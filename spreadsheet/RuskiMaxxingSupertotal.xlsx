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2.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Baseline" sheetId="2" state="visible" r:id="rId2"/>
    <sheet name="Month 01" sheetId="3" state="visible" r:id="rId3"/>
    <sheet name="Month 02" sheetId="4" state="visible" r:id="rId4"/>
    <sheet name="Month 03" sheetId="5" state="visible" r:id="rId5"/>
    <sheet name="Month 04" sheetId="6" state="visible" r:id="rId6"/>
    <sheet name="Month 05" sheetId="7" state="visible" r:id="rId7"/>
    <sheet name="Month 06" sheetId="8" state="visible" r:id="rId8"/>
    <sheet name="Month 07" sheetId="9" state="visible" r:id="rId9"/>
    <sheet name="Month 08" sheetId="10" state="visible" r:id="rId10"/>
    <sheet name="Month 09" sheetId="11" state="visible" r:id="rId11"/>
    <sheet name="Month 10" sheetId="12" state="visible" r:id="rId12"/>
    <sheet name="Month 11" sheetId="13" state="visible" r:id="rId13"/>
    <sheet name="Month 12" sheetId="14" state="visible" r:id="rId14"/>
    <sheet name="Month 13" sheetId="15" state="visible" r:id="rId15"/>
    <sheet name="Log" sheetId="16" state="visible" r:id="rId16"/>
    <sheet name="PRs" sheetId="17" state="visible" r:id="rId17"/>
    <sheet name="Maxes" sheetId="18" state="visible" r:id="rId18"/>
    <sheet name="Body" sheetId="19" state="visible" r:id="rId19"/>
    <sheet name="Progress" sheetId="20" state="visible" r:id="rId20"/>
    <sheet name="Sets" sheetId="21" state="hidden" r:id="rId21"/>
    <sheet name="Lists" sheetId="22" state="hidden" r:id="rId22"/>
  </sheets>
  <definedNames/>
  <calcPr calcId="124519" fullCalcOnLoad="1"/>
</workbook>
</file>

<file path=xl/styles.xml><?xml version="1.0" encoding="utf-8"?>
<styleSheet xmlns="http://schemas.openxmlformats.org/spreadsheetml/2006/main">
  <numFmts count="3">
    <numFmt numFmtId="164" formatCode="yyyy-mm-dd"/>
    <numFmt numFmtId="165" formatCode="#,##0.#;-#,##0.#;&quot;&quot;"/>
    <numFmt numFmtId="166" formatCode="ddd mmm d"/>
  </numFmts>
  <fonts count="19">
    <font>
      <sz val="11"/>
      <color theme="1"/>
      <name val="Calibri"/>
      <family val="2"/>
      <scheme val="minor"/>
    </font>
    <font>
      <b val="1"/>
      <sz val="22"/>
      <color rgb="004A1942"/>
    </font>
    <font>
      <i val="1"/>
      <color rgb="008B1A1A"/>
    </font>
    <font>
      <b val="1"/>
      <color rgb="00F6EFDE"/>
    </font>
    <font>
      <b val="1"/>
      <sz val="14"/>
      <color rgb="008B1A1A"/>
    </font>
    <font>
      <b val="1"/>
      <color rgb="004A1942"/>
    </font>
    <font>
      <b val="1"/>
      <color rgb="00F2D675"/>
    </font>
    <font>
      <b val="1"/>
    </font>
    <font>
      <b val="1"/>
      <color rgb="008B1A1A"/>
    </font>
    <font>
      <b val="1"/>
      <color rgb="002E7D32"/>
    </font>
    <font>
      <b val="1"/>
      <u val="single"/>
      <color rgb="005B2C83"/>
    </font>
    <font/>
    <font>
      <b val="1"/>
      <sz val="15"/>
      <color rgb="004A1942"/>
    </font>
    <font>
      <i val="1"/>
      <color rgb="00666666"/>
    </font>
    <font>
      <b val="1"/>
      <sz val="12"/>
      <color rgb="004A1942"/>
    </font>
    <font>
      <color rgb="00888888"/>
    </font>
    <font>
      <b val="1"/>
      <color rgb="00333333"/>
    </font>
    <font>
      <b val="1"/>
      <sz val="13"/>
      <color rgb="004A1942"/>
    </font>
    <font>
      <b val="1"/>
      <sz val="14"/>
      <color rgb="004A1942"/>
    </font>
  </fonts>
  <fills count="14">
    <fill>
      <patternFill/>
    </fill>
    <fill>
      <patternFill patternType="gray125"/>
    </fill>
    <fill>
      <patternFill patternType="solid">
        <fgColor rgb="008B1A1A"/>
      </patternFill>
    </fill>
    <fill>
      <patternFill patternType="solid">
        <fgColor rgb="00FFF4CC"/>
      </patternFill>
    </fill>
    <fill>
      <patternFill patternType="solid">
        <fgColor rgb="004A1942"/>
      </patternFill>
    </fill>
    <fill>
      <patternFill patternType="solid">
        <fgColor rgb="00E4D9EC"/>
      </patternFill>
    </fill>
    <fill>
      <patternFill patternType="solid">
        <fgColor rgb="00E6E2DA"/>
      </patternFill>
    </fill>
    <fill>
      <patternFill patternType="solid">
        <fgColor rgb="00F2D675"/>
      </patternFill>
    </fill>
    <fill>
      <patternFill patternType="solid">
        <fgColor rgb="00EDE3F0"/>
      </patternFill>
    </fill>
    <fill>
      <patternFill patternType="solid">
        <fgColor rgb="00F6EFDE"/>
      </patternFill>
    </fill>
    <fill>
      <patternFill patternType="solid">
        <fgColor rgb="00E3EFD9"/>
      </patternFill>
    </fill>
    <fill>
      <patternFill patternType="solid">
        <fgColor rgb="00F7E6C4"/>
      </patternFill>
    </fill>
    <fill>
      <patternFill patternType="solid">
        <fgColor rgb="00F2D0CC"/>
      </patternFill>
    </fill>
    <fill>
      <patternFill patternType="solid">
        <fgColor rgb="00DCEBEA"/>
      </patternFill>
    </fill>
  </fills>
  <borders count="2">
    <border>
      <left/>
      <right/>
      <top/>
      <bottom/>
      <diagonal/>
    </border>
    <border>
      <left style="thin">
        <color rgb="00C8BBA0"/>
      </left>
      <right style="thin">
        <color rgb="00C8BBA0"/>
      </right>
      <top style="thin">
        <color rgb="00C8BBA0"/>
      </top>
      <bottom style="thin">
        <color rgb="00C8BBA0"/>
      </bottom>
    </border>
  </borders>
  <cellStyleXfs count="1">
    <xf numFmtId="0" fontId="0" fillId="0" borderId="0"/>
  </cellStyleXfs>
  <cellXfs count="70">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pivotButton="0" quotePrefix="0" xfId="0"/>
    <xf numFmtId="0" fontId="0" fillId="0" borderId="1" pivotButton="0" quotePrefix="0" xfId="0"/>
    <xf numFmtId="0" fontId="0" fillId="3" borderId="1" pivotButton="0" quotePrefix="0" xfId="0"/>
    <xf numFmtId="0" fontId="6" fillId="4" borderId="1" applyAlignment="1" pivotButton="0" quotePrefix="0" xfId="0">
      <alignment horizontal="center" vertical="center" wrapText="1"/>
    </xf>
    <xf numFmtId="0" fontId="7" fillId="0" borderId="1" pivotButton="0" quotePrefix="0" xfId="0"/>
    <xf numFmtId="165" fontId="5" fillId="0" borderId="1" pivotButton="0" quotePrefix="0" xfId="0"/>
    <xf numFmtId="165" fontId="0" fillId="0" borderId="1" pivotButton="0" quotePrefix="0" xfId="0"/>
    <xf numFmtId="164" fontId="0" fillId="3" borderId="1" pivotButton="0" quotePrefix="0" xfId="0"/>
    <xf numFmtId="0" fontId="5" fillId="0" borderId="1" pivotButton="0" quotePrefix="0" xfId="0"/>
    <xf numFmtId="0" fontId="7" fillId="0" borderId="0" pivotButton="0" quotePrefix="0" xfId="0"/>
    <xf numFmtId="165" fontId="8" fillId="0" borderId="0" pivotButton="0" quotePrefix="0" xfId="0"/>
    <xf numFmtId="0" fontId="0" fillId="0" borderId="1" applyAlignment="1" pivotButton="0" quotePrefix="0" xfId="0">
      <alignment horizontal="center"/>
    </xf>
    <xf numFmtId="0" fontId="5" fillId="0" borderId="0" pivotButton="0" quotePrefix="0" xfId="0"/>
    <xf numFmtId="165" fontId="0" fillId="0" borderId="0" pivotButton="0" quotePrefix="0" xfId="0"/>
    <xf numFmtId="0" fontId="8" fillId="0" borderId="0" applyAlignment="1" pivotButton="0" quotePrefix="0" xfId="0">
      <alignment horizontal="center"/>
    </xf>
    <xf numFmtId="0" fontId="9" fillId="0" borderId="0" pivotButton="0" quotePrefix="0" xfId="0"/>
    <xf numFmtId="0" fontId="10" fillId="5" borderId="0" pivotButton="0" quotePrefix="0" xfId="0"/>
    <xf numFmtId="0" fontId="10" fillId="6" borderId="0" pivotButton="0" quotePrefix="0" xfId="0"/>
    <xf numFmtId="0" fontId="10" fillId="7" borderId="0" pivotButton="0" quotePrefix="0" xfId="0"/>
    <xf numFmtId="0" fontId="11" fillId="0" borderId="0" pivotButton="0" quotePrefix="0" xfId="0"/>
    <xf numFmtId="0" fontId="12" fillId="0" borderId="0" pivotButton="0" quotePrefix="0" xfId="0"/>
    <xf numFmtId="0" fontId="10" fillId="0" borderId="0" pivotButton="0" quotePrefix="0" xfId="0"/>
    <xf numFmtId="0" fontId="13" fillId="0" borderId="0" pivotButton="0" quotePrefix="0" xfId="0"/>
    <xf numFmtId="0" fontId="14" fillId="5" borderId="0" pivotButton="0" quotePrefix="0" xfId="0"/>
    <xf numFmtId="0" fontId="0" fillId="5" borderId="0" pivotButton="0" quotePrefix="0" xfId="0"/>
    <xf numFmtId="0" fontId="5" fillId="5" borderId="0" applyAlignment="1" pivotButton="0" quotePrefix="0" xfId="0">
      <alignment horizontal="right"/>
    </xf>
    <xf numFmtId="0" fontId="7" fillId="8" borderId="0" pivotButton="0" quotePrefix="0" xfId="0"/>
    <xf numFmtId="166" fontId="7" fillId="8" borderId="0" pivotButton="0" quotePrefix="0" xfId="0"/>
    <xf numFmtId="0" fontId="0" fillId="8" borderId="0" pivotButton="0" quotePrefix="0" xfId="0"/>
    <xf numFmtId="0" fontId="0" fillId="9" borderId="1" pivotButton="0" quotePrefix="0" xfId="0"/>
    <xf numFmtId="0" fontId="9" fillId="9" borderId="1" pivotButton="0" quotePrefix="0" xfId="0"/>
    <xf numFmtId="1" fontId="0" fillId="9" borderId="1" pivotButton="0" quotePrefix="0" xfId="0"/>
    <xf numFmtId="0" fontId="7" fillId="9" borderId="1" pivotButton="0" quotePrefix="0" xfId="0"/>
    <xf numFmtId="0" fontId="0" fillId="9" borderId="1" applyAlignment="1" pivotButton="0" quotePrefix="0" xfId="0">
      <alignment/>
    </xf>
    <xf numFmtId="0" fontId="15" fillId="0" borderId="0" pivotButton="0" quotePrefix="0" xfId="0"/>
    <xf numFmtId="0" fontId="0" fillId="3" borderId="1" applyAlignment="1" pivotButton="0" quotePrefix="0" xfId="0">
      <alignment horizontal="center"/>
    </xf>
    <xf numFmtId="0" fontId="8" fillId="0" borderId="0" pivotButton="0" quotePrefix="0" xfId="0"/>
    <xf numFmtId="0" fontId="5" fillId="9" borderId="1" pivotButton="0" quotePrefix="0" xfId="0"/>
    <xf numFmtId="0" fontId="16" fillId="9" borderId="1" pivotButton="0" quotePrefix="0" xfId="0"/>
    <xf numFmtId="0" fontId="0" fillId="0" borderId="0" applyAlignment="1" pivotButton="0" quotePrefix="0" xfId="0">
      <alignment horizontal="right"/>
    </xf>
    <xf numFmtId="0" fontId="14" fillId="10" borderId="0" pivotButton="0" quotePrefix="0" xfId="0"/>
    <xf numFmtId="0" fontId="0" fillId="10" borderId="0" pivotButton="0" quotePrefix="0" xfId="0"/>
    <xf numFmtId="0" fontId="5" fillId="10" borderId="0" applyAlignment="1" pivotButton="0" quotePrefix="0" xfId="0">
      <alignment horizontal="right"/>
    </xf>
    <xf numFmtId="0" fontId="14" fillId="6" borderId="0" pivotButton="0" quotePrefix="0" xfId="0"/>
    <xf numFmtId="0" fontId="0" fillId="6" borderId="0" pivotButton="0" quotePrefix="0" xfId="0"/>
    <xf numFmtId="0" fontId="5" fillId="6" borderId="0" applyAlignment="1" pivotButton="0" quotePrefix="0" xfId="0">
      <alignment horizontal="right"/>
    </xf>
    <xf numFmtId="0" fontId="14" fillId="11" borderId="0" pivotButton="0" quotePrefix="0" xfId="0"/>
    <xf numFmtId="0" fontId="0" fillId="11" borderId="0" pivotButton="0" quotePrefix="0" xfId="0"/>
    <xf numFmtId="0" fontId="5" fillId="11" borderId="0" applyAlignment="1" pivotButton="0" quotePrefix="0" xfId="0">
      <alignment horizontal="right"/>
    </xf>
    <xf numFmtId="0" fontId="14" fillId="12" borderId="0" pivotButton="0" quotePrefix="0" xfId="0"/>
    <xf numFmtId="0" fontId="0" fillId="12" borderId="0" pivotButton="0" quotePrefix="0" xfId="0"/>
    <xf numFmtId="0" fontId="5" fillId="12" borderId="0" applyAlignment="1" pivotButton="0" quotePrefix="0" xfId="0">
      <alignment horizontal="right"/>
    </xf>
    <xf numFmtId="0" fontId="14" fillId="7" borderId="0" pivotButton="0" quotePrefix="0" xfId="0"/>
    <xf numFmtId="0" fontId="0" fillId="7" borderId="0" pivotButton="0" quotePrefix="0" xfId="0"/>
    <xf numFmtId="0" fontId="5" fillId="7" borderId="0" applyAlignment="1" pivotButton="0" quotePrefix="0" xfId="0">
      <alignment horizontal="right"/>
    </xf>
    <xf numFmtId="0" fontId="14" fillId="13" borderId="0" pivotButton="0" quotePrefix="0" xfId="0"/>
    <xf numFmtId="0" fontId="0" fillId="13" borderId="0" pivotButton="0" quotePrefix="0" xfId="0"/>
    <xf numFmtId="0" fontId="5" fillId="13" borderId="0" applyAlignment="1" pivotButton="0" quotePrefix="0" xfId="0">
      <alignment horizontal="right"/>
    </xf>
    <xf numFmtId="165" fontId="7" fillId="0" borderId="0" pivotButton="0" quotePrefix="0" xfId="0"/>
    <xf numFmtId="1" fontId="0" fillId="0" borderId="0" pivotButton="0" quotePrefix="0" xfId="0"/>
    <xf numFmtId="0" fontId="17" fillId="0" borderId="0" pivotButton="0" quotePrefix="0" xfId="0"/>
    <xf numFmtId="0" fontId="10" fillId="0" borderId="1" pivotButton="0" quotePrefix="0" xfId="0"/>
    <xf numFmtId="164" fontId="0" fillId="0" borderId="1" pivotButton="0" quotePrefix="0" xfId="0"/>
    <xf numFmtId="0" fontId="18" fillId="0" borderId="0" pivotButton="0" quotePrefix="0" xfId="0"/>
    <xf numFmtId="1" fontId="0" fillId="0" borderId="1" pivotButton="0" quotePrefix="0" xfId="0"/>
  </cellXfs>
  <cellStyles count="1">
    <cellStyle name="Normal" xfId="0" builtinId="0" hidden="0"/>
  </cellStyles>
  <dxfs count="1">
    <dxf>
      <font>
        <i val="1"/>
        <color rgb="00888888"/>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harts/chart1.xml><?xml version="1.0" encoding="utf-8"?>
<chartSpace xmlns:a="http://schemas.openxmlformats.org/drawingml/2006/main" xmlns="http://schemas.openxmlformats.org/drawingml/2006/chart">
  <chart>
    <title>
      <tx>
        <rich>
          <a:bodyPr/>
          <a:p>
            <a:pPr>
              <a:defRPr/>
            </a:pPr>
            <a:r>
              <a:t>Strength (est. 1RM) vs bodyweight</a:t>
            </a:r>
          </a:p>
        </rich>
      </tx>
    </title>
    <plotArea>
      <lineChart>
        <grouping val="standard"/>
        <ser>
          <idx val="0"/>
          <order val="0"/>
          <tx>
            <strRef>
              <f>'Progress'!C3</f>
            </strRef>
          </tx>
          <spPr>
            <a:ln>
              <a:prstDash val="solid"/>
            </a:ln>
          </spPr>
          <marker>
            <symbol val="none"/>
            <spPr>
              <a:ln>
                <a:prstDash val="solid"/>
              </a:ln>
            </spPr>
          </marker>
          <cat>
            <numRef>
              <f>'Progress'!$A$4:$A$8</f>
            </numRef>
          </cat>
          <val>
            <numRef>
              <f>'Progress'!$C$4:$C$8</f>
            </numRef>
          </val>
        </ser>
        <ser>
          <idx val="1"/>
          <order val="1"/>
          <tx>
            <strRef>
              <f>'Progress'!D3</f>
            </strRef>
          </tx>
          <spPr>
            <a:ln>
              <a:prstDash val="solid"/>
            </a:ln>
          </spPr>
          <marker>
            <symbol val="none"/>
            <spPr>
              <a:ln>
                <a:prstDash val="solid"/>
              </a:ln>
            </spPr>
          </marker>
          <cat>
            <numRef>
              <f>'Progress'!$A$4:$A$8</f>
            </numRef>
          </cat>
          <val>
            <numRef>
              <f>'Progress'!$D$4:$D$8</f>
            </numRef>
          </val>
        </ser>
        <ser>
          <idx val="2"/>
          <order val="2"/>
          <tx>
            <strRef>
              <f>'Progress'!E3</f>
            </strRef>
          </tx>
          <spPr>
            <a:ln>
              <a:prstDash val="solid"/>
            </a:ln>
          </spPr>
          <marker>
            <symbol val="none"/>
            <spPr>
              <a:ln>
                <a:prstDash val="solid"/>
              </a:ln>
            </spPr>
          </marker>
          <cat>
            <numRef>
              <f>'Progress'!$A$4:$A$8</f>
            </numRef>
          </cat>
          <val>
            <numRef>
              <f>'Progress'!$E$4:$E$8</f>
            </numRef>
          </val>
        </ser>
        <ser>
          <idx val="3"/>
          <order val="3"/>
          <tx>
            <strRef>
              <f>'Progress'!F3</f>
            </strRef>
          </tx>
          <spPr>
            <a:ln>
              <a:prstDash val="solid"/>
            </a:ln>
          </spPr>
          <marker>
            <symbol val="none"/>
            <spPr>
              <a:ln>
                <a:prstDash val="solid"/>
              </a:ln>
            </spPr>
          </marker>
          <cat>
            <numRef>
              <f>'Progress'!$A$4:$A$8</f>
            </numRef>
          </cat>
          <val>
            <numRef>
              <f>'Progress'!$F$4:$F$8</f>
            </numRef>
          </val>
        </ser>
        <ser>
          <idx val="4"/>
          <order val="4"/>
          <tx>
            <strRef>
              <f>'Progress'!G3</f>
            </strRef>
          </tx>
          <spPr>
            <a:ln>
              <a:prstDash val="solid"/>
            </a:ln>
          </spPr>
          <marker>
            <symbol val="none"/>
            <spPr>
              <a:ln>
                <a:prstDash val="solid"/>
              </a:ln>
            </spPr>
          </marker>
          <cat>
            <numRef>
              <f>'Progress'!$A$4:$A$8</f>
            </numRef>
          </cat>
          <val>
            <numRef>
              <f>'Progress'!$G$4:$G$8</f>
            </numRef>
          </val>
        </ser>
        <ser>
          <idx val="5"/>
          <order val="5"/>
          <tx>
            <strRef>
              <f>'Progress'!H3</f>
            </strRef>
          </tx>
          <spPr>
            <a:ln>
              <a:prstDash val="solid"/>
            </a:ln>
          </spPr>
          <marker>
            <symbol val="none"/>
            <spPr>
              <a:ln>
                <a:prstDash val="solid"/>
              </a:ln>
            </spPr>
          </marker>
          <cat>
            <numRef>
              <f>'Progress'!$A$4:$A$8</f>
            </numRef>
          </cat>
          <val>
            <numRef>
              <f>'Progress'!$H$4:$H$8</f>
            </numRef>
          </val>
        </ser>
        <axId val="10"/>
        <axId val="100"/>
      </lineChart>
      <lineChart>
        <grouping val="standard"/>
        <ser>
          <idx val="6"/>
          <order val="6"/>
          <tx>
            <strRef>
              <f>'Progress'!I3</f>
            </strRef>
          </tx>
          <spPr>
            <a:ln>
              <a:prstDash val="solid"/>
            </a:ln>
          </spPr>
          <marker>
            <symbol val="none"/>
            <spPr>
              <a:ln>
                <a:prstDash val="solid"/>
              </a:ln>
            </spPr>
          </marker>
          <val>
            <numRef>
              <f>'Progress'!$I$4:$I$8</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Estimated 1RM</a:t>
                </a:r>
              </a:p>
            </rich>
          </tx>
        </title>
        <majorTickMark val="none"/>
        <minorTickMark val="none"/>
        <crossAx val="10"/>
      </valAx>
      <valAx>
        <axId val="200"/>
        <scaling>
          <orientation val="minMax"/>
        </scaling>
        <delete val="0"/>
        <axPos val="l"/>
        <majorGridlines/>
        <title>
          <tx>
            <rich>
              <a:bodyPr/>
              <a:p>
                <a:pPr>
                  <a:defRPr/>
                </a:pPr>
                <a:r>
                  <a:t>Bodyweight</a:t>
                </a:r>
              </a:p>
            </rich>
          </tx>
        </title>
        <majorTickMark val="none"/>
        <minorTickMark val="none"/>
        <crossAx val="10"/>
        <crosses val="max"/>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Bodyweight (weekly)</a:t>
            </a:r>
          </a:p>
        </rich>
      </tx>
    </title>
    <plotArea>
      <lineChart>
        <grouping val="standard"/>
        <ser>
          <idx val="0"/>
          <order val="0"/>
          <tx>
            <strRef>
              <f>'Body'!C3</f>
            </strRef>
          </tx>
          <spPr>
            <a:ln>
              <a:prstDash val="solid"/>
            </a:ln>
          </spPr>
          <marker>
            <symbol val="none"/>
            <spPr>
              <a:ln>
                <a:prstDash val="solid"/>
              </a:ln>
            </spPr>
          </marker>
          <cat>
            <numRef>
              <f>'Body'!$A$4:$A$56</f>
            </numRef>
          </cat>
          <val>
            <numRef>
              <f>'Body'!$C$4:$C$56</f>
            </numRef>
          </val>
        </ser>
        <axId val="10"/>
        <axId val="100"/>
      </lineChart>
      <catAx>
        <axId val="10"/>
        <scaling>
          <orientation val="minMax"/>
        </scaling>
        <delete val="0"/>
        <axPos val="l"/>
        <title>
          <tx>
            <rich>
              <a:bodyPr/>
              <a:p>
                <a:pPr>
                  <a:defRPr/>
                </a:pPr>
                <a:r>
                  <a:t>Week</a:t>
                </a:r>
              </a:p>
            </rich>
          </tx>
        </title>
        <majorTickMark val="none"/>
        <minorTickMark val="none"/>
        <crossAx val="100"/>
        <lblOffset val="100"/>
      </catAx>
      <valAx>
        <axId val="100"/>
        <scaling>
          <orientation val="minMax"/>
        </scaling>
        <delete val="0"/>
        <axPos val="l"/>
        <majorGridlines/>
        <title>
          <tx>
            <rich>
              <a:bodyPr/>
              <a:p>
                <a:pPr>
                  <a:defRPr/>
                </a:pPr>
                <a:r>
                  <a:t>Bodyweight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Body fat % and lean mass (monthly)</a:t>
            </a:r>
          </a:p>
        </rich>
      </tx>
    </title>
    <plotArea>
      <lineChart>
        <grouping val="standard"/>
        <ser>
          <idx val="0"/>
          <order val="0"/>
          <tx>
            <strRef>
              <f>'Body'!H3</f>
            </strRef>
          </tx>
          <spPr>
            <a:ln>
              <a:prstDash val="solid"/>
            </a:ln>
          </spPr>
          <marker>
            <symbol val="none"/>
            <spPr>
              <a:ln>
                <a:prstDash val="solid"/>
              </a:ln>
            </spPr>
          </marker>
          <cat>
            <numRef>
              <f>'Body'!$E$4:$E$17</f>
            </numRef>
          </cat>
          <val>
            <numRef>
              <f>'Body'!$H$4:$H$17</f>
            </numRef>
          </val>
        </ser>
        <axId val="10"/>
        <axId val="100"/>
      </lineChart>
      <lineChart>
        <grouping val="standard"/>
        <ser>
          <idx val="1"/>
          <order val="1"/>
          <tx>
            <strRef>
              <f>'Body'!K3</f>
            </strRef>
          </tx>
          <spPr>
            <a:ln>
              <a:prstDash val="solid"/>
            </a:ln>
          </spPr>
          <marker>
            <symbol val="none"/>
            <spPr>
              <a:ln>
                <a:prstDash val="solid"/>
              </a:ln>
            </spPr>
          </marker>
          <val>
            <numRef>
              <f>'Body'!$K$4:$K$17</f>
            </numRef>
          </val>
        </ser>
        <axId val="10"/>
        <axId val="300"/>
      </lineChart>
      <catAx>
        <axId val="10"/>
        <scaling>
          <orientation val="minMax"/>
        </scaling>
        <delete val="0"/>
        <axPos val="l"/>
        <title>
          <tx>
            <rich>
              <a:bodyPr/>
              <a:p>
                <a:pPr>
                  <a:defRPr/>
                </a:pPr>
                <a:r>
                  <a:t>Month</a:t>
                </a:r>
              </a:p>
            </rich>
          </tx>
        </title>
        <majorTickMark val="none"/>
        <minorTickMark val="none"/>
        <crossAx val="100"/>
        <lblOffset val="100"/>
      </catAx>
      <valAx>
        <axId val="100"/>
        <scaling>
          <orientation val="minMax"/>
        </scaling>
        <delete val="0"/>
        <axPos val="l"/>
        <majorGridlines/>
        <title>
          <tx>
            <rich>
              <a:bodyPr/>
              <a:p>
                <a:pPr>
                  <a:defRPr/>
                </a:pPr>
                <a:r>
                  <a:t>Body fat %</a:t>
                </a:r>
              </a:p>
            </rich>
          </tx>
        </title>
        <majorTickMark val="none"/>
        <minorTickMark val="none"/>
        <crossAx val="10"/>
      </valAx>
      <valAx>
        <axId val="300"/>
        <scaling>
          <orientation val="minMax"/>
        </scaling>
        <delete val="0"/>
        <axPos val="l"/>
        <majorGridlines/>
        <title>
          <tx>
            <rich>
              <a:bodyPr/>
              <a:p>
                <a:pPr>
                  <a:defRPr/>
                </a:pPr>
                <a:r>
                  <a:t>Lean mass</a:t>
                </a:r>
              </a:p>
            </rich>
          </tx>
        </title>
        <majorTickMark val="none"/>
        <minorTickMark val="none"/>
        <crossAx val="10"/>
        <crosses val="max"/>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13</col>
      <colOff>0</colOff>
      <row>0</row>
      <rowOff>0</rowOff>
    </from>
    <ext cx="1428750" cy="14287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2</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11</col>
      <colOff>0</colOff>
      <row>21</row>
      <rowOff>0</rowOff>
    </from>
    <ext cx="6480000" cy="324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0.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4A1942"/>
    <outlinePr summaryBelow="1" summaryRight="1"/>
    <pageSetUpPr/>
  </sheetPr>
  <dimension ref="A1:M64"/>
  <sheetViews>
    <sheetView workbookViewId="0">
      <selection activeCell="A1" sqref="A1"/>
    </sheetView>
  </sheetViews>
  <sheetFormatPr baseColWidth="8" defaultRowHeight="15"/>
  <cols>
    <col width="34" customWidth="1" min="1" max="1"/>
    <col width="14" customWidth="1" min="2" max="2"/>
    <col width="8" customWidth="1" min="3" max="3"/>
    <col width="11" customWidth="1" min="4" max="4"/>
    <col width="3" customWidth="1" min="5" max="5"/>
    <col width="18" customWidth="1" min="6" max="6"/>
    <col width="15" customWidth="1" min="7" max="7"/>
    <col width="15" customWidth="1" min="8" max="8"/>
    <col width="15" customWidth="1" min="9" max="9"/>
    <col width="10" customWidth="1" min="10" max="10"/>
    <col width="10" customWidth="1" min="11" max="11"/>
    <col width="10" customWidth="1" min="12" max="12"/>
    <col width="10" customWidth="1" min="13" max="13"/>
    <col width="10" customWidth="1" min="14" max="14"/>
  </cols>
  <sheetData>
    <row r="1">
      <c r="A1" s="1" t="inlineStr">
        <is>
          <t>RUSKIMAXXING SUPERTOTAL</t>
        </is>
      </c>
    </row>
    <row r="2">
      <c r="A2" s="2" t="inlineStr">
        <is>
          <t>1-year strength, mass &amp; power program  -  yellow cells are yours to fill in</t>
        </is>
      </c>
    </row>
    <row r="3">
      <c r="A3" s="3" t="inlineStr">
        <is>
          <t>SHOULDER TIP - for you malchiki with no shoulder development: 100 reps each of front raises, lateral (medial) raises and rear delt raises EVERY night before bed with 5 lb (2.5 kg) dumbbells. Go buy a pair and keep them by your nightstand.</t>
        </is>
      </c>
      <c r="B3" s="4" t="n"/>
      <c r="C3" s="4" t="n"/>
      <c r="D3" s="4" t="n"/>
      <c r="E3" s="4" t="n"/>
      <c r="F3" s="4" t="n"/>
      <c r="G3" s="4" t="n"/>
      <c r="H3" s="4" t="n"/>
      <c r="I3" s="4" t="n"/>
      <c r="J3" s="4" t="n"/>
      <c r="K3" s="4" t="n"/>
      <c r="L3" s="4" t="n"/>
      <c r="M3" s="4" t="n"/>
    </row>
    <row r="4">
      <c r="A4" s="5" t="inlineStr">
        <is>
          <t>STEP 1 - INTAKE (fill in first)</t>
        </is>
      </c>
      <c r="F4" s="5" t="inlineStr">
        <is>
          <t>PR BOARD</t>
        </is>
      </c>
    </row>
    <row r="5">
      <c r="A5" s="6" t="inlineStr">
        <is>
          <t>Name (optional)</t>
        </is>
      </c>
      <c r="B5" s="7" t="n"/>
      <c r="F5" s="8" t="inlineStr">
        <is>
          <t>Lift</t>
        </is>
      </c>
      <c r="G5" s="8" t="inlineStr">
        <is>
          <t>Best est. 1RM</t>
        </is>
      </c>
      <c r="H5" s="8" t="inlineStr">
        <is>
          <t>1RM</t>
        </is>
      </c>
      <c r="I5" s="8" t="inlineStr">
        <is>
          <t>3RM</t>
        </is>
      </c>
      <c r="J5" s="8" t="inlineStr">
        <is>
          <t>5RM</t>
        </is>
      </c>
      <c r="K5" s="8" t="inlineStr">
        <is>
          <t>10RM</t>
        </is>
      </c>
    </row>
    <row r="6">
      <c r="A6" s="6" t="inlineStr">
        <is>
          <t>Units (lb or kg)</t>
        </is>
      </c>
      <c r="B6" s="7" t="inlineStr">
        <is>
          <t>lb</t>
        </is>
      </c>
      <c r="F6" s="9" t="inlineStr">
        <is>
          <t>Squat</t>
        </is>
      </c>
      <c r="G6" s="10">
        <f>PRs!C2</f>
        <v/>
      </c>
      <c r="H6" s="11">
        <f>PRs!D2</f>
        <v/>
      </c>
      <c r="I6" s="11">
        <f>PRs!F2</f>
        <v/>
      </c>
      <c r="J6" s="11">
        <f>PRs!H2</f>
        <v/>
      </c>
      <c r="K6" s="11">
        <f>PRs!K2</f>
        <v/>
      </c>
    </row>
    <row r="7">
      <c r="A7" s="6" t="inlineStr">
        <is>
          <t>Round weights to nearest</t>
        </is>
      </c>
      <c r="B7" s="7" t="n">
        <v>5</v>
      </c>
      <c r="F7" s="9" t="inlineStr">
        <is>
          <t>Bench Press</t>
        </is>
      </c>
      <c r="G7" s="10">
        <f>PRs!C3</f>
        <v/>
      </c>
      <c r="H7" s="11">
        <f>PRs!D3</f>
        <v/>
      </c>
      <c r="I7" s="11">
        <f>PRs!F3</f>
        <v/>
      </c>
      <c r="J7" s="11">
        <f>PRs!H3</f>
        <v/>
      </c>
      <c r="K7" s="11">
        <f>PRs!K3</f>
        <v/>
      </c>
    </row>
    <row r="8">
      <c r="A8" s="6" t="inlineStr">
        <is>
          <t>Start date (a Monday)</t>
        </is>
      </c>
      <c r="B8" s="12" t="n">
        <v>46293</v>
      </c>
      <c r="F8" s="9" t="inlineStr">
        <is>
          <t>Deadlift</t>
        </is>
      </c>
      <c r="G8" s="10">
        <f>PRs!C4</f>
        <v/>
      </c>
      <c r="H8" s="11">
        <f>PRs!D4</f>
        <v/>
      </c>
      <c r="I8" s="11">
        <f>PRs!F4</f>
        <v/>
      </c>
      <c r="J8" s="11">
        <f>PRs!H4</f>
        <v/>
      </c>
      <c r="K8" s="11">
        <f>PRs!K4</f>
        <v/>
      </c>
    </row>
    <row r="9">
      <c r="A9" s="13" t="inlineStr">
        <is>
          <t>HEIGHT (inches if lb, cm if kg)</t>
        </is>
      </c>
      <c r="B9" s="7" t="n"/>
      <c r="F9" s="9" t="inlineStr">
        <is>
          <t>Overhead Press</t>
        </is>
      </c>
      <c r="G9" s="10">
        <f>PRs!C5</f>
        <v/>
      </c>
      <c r="H9" s="11">
        <f>PRs!D5</f>
        <v/>
      </c>
      <c r="I9" s="11">
        <f>PRs!F5</f>
        <v/>
      </c>
      <c r="J9" s="11">
        <f>PRs!H5</f>
        <v/>
      </c>
      <c r="K9" s="11">
        <f>PRs!K5</f>
        <v/>
      </c>
    </row>
    <row r="10">
      <c r="A10" s="13" t="inlineStr">
        <is>
          <t>STARTING BODYWEIGHT</t>
        </is>
      </c>
      <c r="B10" s="7" t="n"/>
      <c r="F10" s="9" t="inlineStr">
        <is>
          <t>Snatch</t>
        </is>
      </c>
      <c r="G10" s="10">
        <f>PRs!C6</f>
        <v/>
      </c>
      <c r="H10" s="11">
        <f>PRs!D6</f>
        <v/>
      </c>
      <c r="I10" s="11">
        <f>PRs!F6</f>
        <v/>
      </c>
      <c r="J10" s="11">
        <f>PRs!H6</f>
        <v/>
      </c>
      <c r="K10" s="11">
        <f>PRs!K6</f>
        <v/>
      </c>
    </row>
    <row r="11">
      <c r="A11" s="6" t="inlineStr">
        <is>
          <t>Starting body fat % (optional)</t>
        </is>
      </c>
      <c r="B11" s="7" t="n"/>
      <c r="F11" s="9" t="inlineStr">
        <is>
          <t>Clean &amp; Jerk</t>
        </is>
      </c>
      <c r="G11" s="10">
        <f>PRs!C7</f>
        <v/>
      </c>
      <c r="H11" s="11">
        <f>PRs!D7</f>
        <v/>
      </c>
      <c r="I11" s="11">
        <f>PRs!F7</f>
        <v/>
      </c>
      <c r="J11" s="11">
        <f>PRs!H7</f>
        <v/>
      </c>
      <c r="K11" s="11">
        <f>PRs!K7</f>
        <v/>
      </c>
    </row>
    <row r="12">
      <c r="A12" s="6" t="inlineStr">
        <is>
          <t>Body fat method</t>
        </is>
      </c>
      <c r="B12" s="7" t="n"/>
      <c r="F12" s="14" t="inlineStr">
        <is>
          <t>Total (e1RM)</t>
        </is>
      </c>
      <c r="G12" s="15">
        <f>G6+G7+G8+G9+G10+G11</f>
        <v/>
      </c>
    </row>
    <row r="13">
      <c r="A13" s="6" t="inlineStr">
        <is>
          <t>Age (optional)</t>
        </is>
      </c>
      <c r="B13" s="7" t="n"/>
    </row>
    <row r="14">
      <c r="A14" s="6" t="inlineStr">
        <is>
          <t>Sex (optional)</t>
        </is>
      </c>
      <c r="B14" s="7" t="n"/>
      <c r="F14" s="5" t="inlineStr">
        <is>
          <t>PLYOMETRIC STANDARDS (from your height)</t>
        </is>
      </c>
    </row>
    <row r="15">
      <c r="A15" t="inlineStr">
        <is>
          <t>Height sets your box / broad jump standards. Bodyweight is then logged weekly on the month sheets.</t>
        </is>
      </c>
      <c r="F15" s="8" t="inlineStr">
        <is>
          <t>Level</t>
        </is>
      </c>
      <c r="G15" s="8" t="inlineStr">
        <is>
          <t>Box Jump</t>
        </is>
      </c>
      <c r="H15" s="8" t="inlineStr">
        <is>
          <t>Broad Jump</t>
        </is>
      </c>
      <c r="I15" s="8" t="inlineStr">
        <is>
          <t>Vertical Jump</t>
        </is>
      </c>
    </row>
    <row r="16">
      <c r="F16" s="9" t="inlineStr">
        <is>
          <t>Beginner</t>
        </is>
      </c>
      <c r="G16" s="16">
        <f>IF('Start Here'!$B$6="kg",19.0,7.5)</f>
        <v/>
      </c>
      <c r="H16" s="16">
        <f>IF('Start Here'!$B$9="","enter height",ROUND('Start Here'!$B$9*0.75,1))</f>
        <v/>
      </c>
      <c r="I16" s="16">
        <f>IF('Start Here'!$B$6="kg",30.0,12.0)</f>
        <v/>
      </c>
    </row>
    <row r="17">
      <c r="A17" s="5" t="inlineStr">
        <is>
          <t>STEP 2 - STARTING MAXES (any movement or variation)</t>
        </is>
      </c>
      <c r="F17" s="9" t="inlineStr">
        <is>
          <t>Intermediate</t>
        </is>
      </c>
      <c r="G17" s="16">
        <f>IF('Start Here'!$B$9="","enter height",ROUND('Start Here'!$B$9*0.3,1))</f>
        <v/>
      </c>
      <c r="H17" s="16">
        <f>IF('Start Here'!$B$9="","enter height",ROUND('Start Here'!$B$9*1.0,1))</f>
        <v/>
      </c>
      <c r="I17" s="16">
        <f>IF('Start Here'!$B$6="kg",46.0,18.0)</f>
        <v/>
      </c>
    </row>
    <row r="18">
      <c r="A18" s="8" t="inlineStr">
        <is>
          <t>Exercise</t>
        </is>
      </c>
      <c r="B18" s="8" t="inlineStr">
        <is>
          <t>Weight / height</t>
        </is>
      </c>
      <c r="C18" s="8" t="inlineStr">
        <is>
          <t>Reps</t>
        </is>
      </c>
      <c r="D18" s="8" t="inlineStr">
        <is>
          <t>Est. 1RM</t>
        </is>
      </c>
      <c r="F18" s="9" t="inlineStr">
        <is>
          <t>Proficient</t>
        </is>
      </c>
      <c r="G18" s="16">
        <f>IF('Start Here'!$B$9="","enter height",ROUND('Start Here'!$B$9*0.72,1))</f>
        <v/>
      </c>
      <c r="H18" s="16">
        <f>IF('Start Here'!$B$9="","enter height",ROUND('Start Here'!$B$9*1.25,1))</f>
        <v/>
      </c>
      <c r="I18" s="16">
        <f>IF('Start Here'!$B$6="kg",61.0,24.0)</f>
        <v/>
      </c>
    </row>
    <row r="19">
      <c r="A19" s="7" t="inlineStr">
        <is>
          <t>Squat</t>
        </is>
      </c>
      <c r="B19" s="7" t="n"/>
      <c r="C19" s="7" t="n"/>
      <c r="D19" s="9">
        <f>IF(OR(B19="",C19=""),"",IF(C19=1,B19,ROUND(B19*(1+C19/30),1)))</f>
        <v/>
      </c>
      <c r="F19" s="9" t="inlineStr">
        <is>
          <t>Elite</t>
        </is>
      </c>
      <c r="G19" s="16">
        <f>IF('Start Here'!$B$9="","enter height",ROUND('Start Here'!$B$9*0.93,1))</f>
        <v/>
      </c>
      <c r="H19" s="16">
        <f>IF('Start Here'!$B$9="","enter height",ROUND('Start Here'!$B$9*1.5,1))</f>
        <v/>
      </c>
      <c r="I19" s="16">
        <f>IF('Start Here'!$B$6="kg",76.0,30.0)</f>
        <v/>
      </c>
    </row>
    <row r="20">
      <c r="A20" s="7" t="inlineStr">
        <is>
          <t>Bench Press</t>
        </is>
      </c>
      <c r="B20" s="7" t="n"/>
      <c r="C20" s="7" t="n"/>
      <c r="D20" s="9">
        <f>IF(OR(B20="",C20=""),"",IF(C20=1,B20,ROUND(B20*(1+C20/30),1)))</f>
        <v/>
      </c>
      <c r="F20" s="17" t="inlineStr">
        <is>
          <t>Your best</t>
        </is>
      </c>
      <c r="G20" s="18">
        <f>PRs!D69</f>
        <v/>
      </c>
      <c r="H20" s="18">
        <f>PRs!D70</f>
        <v/>
      </c>
      <c r="I20" s="18">
        <f>PRs!D71</f>
        <v/>
      </c>
    </row>
    <row r="21">
      <c r="A21" s="7" t="inlineStr">
        <is>
          <t>Deadlift</t>
        </is>
      </c>
      <c r="B21" s="7" t="n"/>
      <c r="C21" s="7" t="n"/>
      <c r="D21" s="9">
        <f>IF(OR(B21="",C21=""),"",IF(C21=1,B21,ROUND(B21*(1+C21/30),1)))</f>
        <v/>
      </c>
      <c r="F21" s="17" t="inlineStr">
        <is>
          <t>Your level</t>
        </is>
      </c>
      <c r="G21" s="19">
        <f>IF(PRs!D69=0,"Not tested",IF(NOT(ISNUMBER(G19)),"Enter height",IF(PRs!D69&gt;=G19,"Elite",IF(PRs!D69&gt;=G18,"Proficient",IF(PRs!D69&gt;=G17,"Intermediate",IF(PRs!D69&gt;=G16,"Beginner","Below beginner"))))))</f>
        <v/>
      </c>
      <c r="H21" s="19">
        <f>IF(PRs!D70=0,"Not tested",IF(NOT(ISNUMBER(H19)),"Enter height",IF(PRs!D70&gt;=H19,"Elite",IF(PRs!D70&gt;=H18,"Proficient",IF(PRs!D70&gt;=H17,"Intermediate",IF(PRs!D70&gt;=H16,"Beginner","Below beginner"))))))</f>
        <v/>
      </c>
      <c r="I21" s="19">
        <f>IF(PRs!D71=0,"Not tested",IF(NOT(ISNUMBER(I19)),"Enter height",IF(PRs!D71&gt;=I19,"Elite",IF(PRs!D71&gt;=I18,"Proficient",IF(PRs!D71&gt;=I17,"Intermediate",IF(PRs!D71&gt;=I16,"Beginner","Below beginner"))))))</f>
        <v/>
      </c>
    </row>
    <row r="22">
      <c r="A22" s="7" t="inlineStr">
        <is>
          <t>Overhead Press</t>
        </is>
      </c>
      <c r="B22" s="7" t="n"/>
      <c r="C22" s="7" t="n"/>
      <c r="D22" s="9">
        <f>IF(OR(B22="",C22=""),"",IF(C22=1,B22,ROUND(B22*(1+C22/30),1)))</f>
        <v/>
      </c>
      <c r="F22" t="inlineStr">
        <is>
          <t>Box: 1 step / above knee / chest / head height.  Broad: 3/4, 1x, 1.25x, 1.5x your height.  Vertical: 12 / 18 / 24 / 30 in (rules of thumb).</t>
        </is>
      </c>
    </row>
    <row r="23">
      <c r="A23" s="7" t="inlineStr">
        <is>
          <t>Snatch</t>
        </is>
      </c>
      <c r="B23" s="7" t="n"/>
      <c r="C23" s="7" t="n"/>
      <c r="D23" s="9">
        <f>IF(OR(B23="",C23=""),"",IF(C23=1,B23,ROUND(B23*(1+C23/30),1)))</f>
        <v/>
      </c>
    </row>
    <row r="24">
      <c r="A24" s="7" t="inlineStr">
        <is>
          <t>Clean &amp; Jerk</t>
        </is>
      </c>
      <c r="B24" s="7" t="n"/>
      <c r="C24" s="7" t="n"/>
      <c r="D24" s="9">
        <f>IF(OR(B24="",C24=""),"",IF(C24=1,B24,ROUND(B24*(1+C24/30),1)))</f>
        <v/>
      </c>
      <c r="F24" s="5" t="inlineStr">
        <is>
          <t>PLYOMETRICS GUIDE - how to do and measure each move</t>
        </is>
      </c>
    </row>
    <row r="25">
      <c r="A25" s="7" t="inlineStr">
        <is>
          <t>Box Squat</t>
        </is>
      </c>
      <c r="B25" s="7" t="n"/>
      <c r="C25" s="7" t="n"/>
      <c r="D25" s="9">
        <f>IF(OR(B25="",C25=""),"",IF(C25=1,B25,ROUND(B25*(1+C25/30),1)))</f>
        <v/>
      </c>
      <c r="F25" s="20" t="inlineStr">
        <is>
          <t>Box Jump</t>
        </is>
      </c>
      <c r="H25" t="inlineStr">
        <is>
          <t>Two-foot jump onto a box, land soft in a quarter squat, STEP down. Log the box height (floor to top of box).</t>
        </is>
      </c>
    </row>
    <row r="26">
      <c r="A26" s="7" t="inlineStr">
        <is>
          <t>Close-Grip Bench Press</t>
        </is>
      </c>
      <c r="B26" s="7" t="n"/>
      <c r="C26" s="7" t="n"/>
      <c r="D26" s="9">
        <f>IF(OR(B26="",C26=""),"",IF(C26=1,B26,ROUND(B26*(1+C26/30),1)))</f>
        <v/>
      </c>
      <c r="F26" s="20" t="inlineStr">
        <is>
          <t>Broad Jump</t>
        </is>
      </c>
      <c r="H26" t="inlineStr">
        <is>
          <t>Standing two-foot jump forward, stick the landing. Measure toe line to the back of the nearest heel.</t>
        </is>
      </c>
    </row>
    <row r="27">
      <c r="A27" s="7" t="inlineStr">
        <is>
          <t>Romanian Deadlift</t>
        </is>
      </c>
      <c r="B27" s="7" t="n"/>
      <c r="C27" s="7" t="n"/>
      <c r="D27" s="9">
        <f>IF(OR(B27="",C27=""),"",IF(C27=1,B27,ROUND(B27*(1+C27/30),1)))</f>
        <v/>
      </c>
      <c r="F27" s="20" t="inlineStr">
        <is>
          <t>Vertical Jump</t>
        </is>
      </c>
      <c r="H27" t="inlineStr">
        <is>
          <t>Stand side-on to a wall, reach up and mark it; jump and touch as high as you can. Log jump mark minus standing reach.</t>
        </is>
      </c>
    </row>
    <row r="28">
      <c r="A28" s="7" t="inlineStr">
        <is>
          <t>Box Jump</t>
        </is>
      </c>
      <c r="B28" s="7" t="n"/>
      <c r="C28" s="7" t="n"/>
      <c r="D28" s="9">
        <f>IF(OR(B28="",C28=""),"",IF(C28=1,B28,ROUND(B28*(1+C28/30),1)))</f>
        <v/>
      </c>
      <c r="F28" s="20" t="inlineStr">
        <is>
          <t>Depth Jump</t>
        </is>
      </c>
      <c r="H28" t="inlineStr">
        <is>
          <t>Step off a low box (12-18 in / 30-45 cm), land and rebound straight up as fast as possible. Log the drop-box height.</t>
        </is>
      </c>
    </row>
    <row r="29">
      <c r="A29" s="7" t="inlineStr">
        <is>
          <t>Broad Jump</t>
        </is>
      </c>
      <c r="B29" s="7" t="n"/>
      <c r="C29" s="7" t="n"/>
      <c r="D29" s="9">
        <f>IF(OR(B29="",C29=""),"",IF(C29=1,B29,ROUND(B29*(1+C29/30),1)))</f>
        <v/>
      </c>
      <c r="F29" s="20" t="inlineStr">
        <is>
          <t>Hurdle Hop</t>
        </is>
      </c>
      <c r="H29" t="inlineStr">
        <is>
          <t>Continuous two-foot hops over a row of 4-6 low hurdles or cones, minimal ground contact. Log the hurdle height.</t>
        </is>
      </c>
    </row>
    <row r="30">
      <c r="A30" s="7" t="inlineStr">
        <is>
          <t>Vertical Jump</t>
        </is>
      </c>
      <c r="B30" s="7" t="n"/>
      <c r="C30" s="7" t="n"/>
      <c r="D30" s="9">
        <f>IF(OR(B30="",C30=""),"",IF(C30=1,B30,ROUND(B30*(1+C30/30),1)))</f>
        <v/>
      </c>
      <c r="F30" s="20" t="inlineStr">
        <is>
          <t>Lateral Bound</t>
        </is>
      </c>
      <c r="H30" t="inlineStr">
        <is>
          <t>Single-leg bound sideways, stick the landing on the other leg, then back. Log distance (each side counts as a rep).</t>
        </is>
      </c>
    </row>
    <row r="31">
      <c r="A31" s="7" t="n"/>
      <c r="B31" s="7" t="n"/>
      <c r="C31" s="7" t="n"/>
      <c r="D31" s="9">
        <f>IF(OR(B31="",C31=""),"",IF(C31=1,B31,ROUND(B31*(1+C31/30),1)))</f>
        <v/>
      </c>
      <c r="F31" s="20" t="inlineStr">
        <is>
          <t>Plyo Push-up</t>
        </is>
      </c>
      <c r="H31" t="inlineStr">
        <is>
          <t>Explosive push-up so the hands leave the floor. Log reps (distance/height = 1).</t>
        </is>
      </c>
    </row>
    <row r="32">
      <c r="A32" s="7" t="n"/>
      <c r="B32" s="7" t="n"/>
      <c r="C32" s="7" t="n"/>
      <c r="D32" s="9">
        <f>IF(OR(B32="",C32=""),"",IF(C32=1,B32,ROUND(B32*(1+C32/30),1)))</f>
        <v/>
      </c>
      <c r="F32" s="20" t="inlineStr">
        <is>
          <t>Seated Box Jump</t>
        </is>
      </c>
      <c r="H32" t="inlineStr">
        <is>
          <t>Sit on a box, feet flat, then jump from seated onto a second box. Log the landing-box height.</t>
        </is>
      </c>
    </row>
    <row r="33">
      <c r="A33" s="7" t="n"/>
      <c r="B33" s="7" t="n"/>
      <c r="C33" s="7" t="n"/>
      <c r="D33" s="9">
        <f>IF(OR(B33="",C33=""),"",IF(C33=1,B33,ROUND(B33*(1+C33/30),1)))</f>
        <v/>
      </c>
      <c r="F33" s="20" t="inlineStr">
        <is>
          <t>Med Ball Chest Pass</t>
        </is>
      </c>
      <c r="H33" t="inlineStr">
        <is>
          <t>Kneeling or standing chest pass for distance with a 6-10 lb / 3-5 kg ball. Log the distance.</t>
        </is>
      </c>
    </row>
    <row r="34">
      <c r="A34" s="7" t="n"/>
      <c r="B34" s="7" t="n"/>
      <c r="C34" s="7" t="n"/>
      <c r="D34" s="9">
        <f>IF(OR(B34="",C34=""),"",IF(C34=1,B34,ROUND(B34*(1+C34/30),1)))</f>
        <v/>
      </c>
    </row>
    <row r="35">
      <c r="A35" s="7" t="n"/>
      <c r="B35" s="7" t="n"/>
      <c r="C35" s="7" t="n"/>
      <c r="D35" s="9">
        <f>IF(OR(B35="",C35=""),"",IF(C35=1,B35,ROUND(B35*(1+C35/30),1)))</f>
        <v/>
      </c>
      <c r="F35" s="5" t="inlineStr">
        <is>
          <t>PRILEPIN'S CHART</t>
        </is>
      </c>
    </row>
    <row r="36">
      <c r="A36" s="7" t="n"/>
      <c r="B36" s="7" t="n"/>
      <c r="C36" s="7" t="n"/>
      <c r="D36" s="9">
        <f>IF(OR(B36="",C36=""),"",IF(C36=1,B36,ROUND(B36*(1+C36/30),1)))</f>
        <v/>
      </c>
      <c r="F36" s="8" t="inlineStr">
        <is>
          <t>% of max</t>
        </is>
      </c>
      <c r="G36" s="8" t="inlineStr">
        <is>
          <t>Reps per set</t>
        </is>
      </c>
      <c r="H36" s="8" t="inlineStr">
        <is>
          <t>Optimal total</t>
        </is>
      </c>
      <c r="I36" s="8" t="inlineStr">
        <is>
          <t>Total range</t>
        </is>
      </c>
    </row>
    <row r="37">
      <c r="A37" s="7" t="n"/>
      <c r="B37" s="7" t="n"/>
      <c r="C37" s="7" t="n"/>
      <c r="D37" s="9">
        <f>IF(OR(B37="",C37=""),"",IF(C37=1,B37,ROUND(B37*(1+C37/30),1)))</f>
        <v/>
      </c>
      <c r="F37" s="16" t="inlineStr">
        <is>
          <t>Under 70%</t>
        </is>
      </c>
      <c r="G37" s="16" t="inlineStr">
        <is>
          <t>3-6</t>
        </is>
      </c>
      <c r="H37" s="16" t="n">
        <v>24</v>
      </c>
      <c r="I37" s="16" t="inlineStr">
        <is>
          <t>18-30</t>
        </is>
      </c>
    </row>
    <row r="38">
      <c r="A38" s="7" t="n"/>
      <c r="B38" s="7" t="n"/>
      <c r="C38" s="7" t="n"/>
      <c r="D38" s="9">
        <f>IF(OR(B38="",C38=""),"",IF(C38=1,B38,ROUND(B38*(1+C38/30),1)))</f>
        <v/>
      </c>
      <c r="F38" s="16" t="inlineStr">
        <is>
          <t>70-80%</t>
        </is>
      </c>
      <c r="G38" s="16" t="inlineStr">
        <is>
          <t>3-6</t>
        </is>
      </c>
      <c r="H38" s="16" t="n">
        <v>18</v>
      </c>
      <c r="I38" s="16" t="inlineStr">
        <is>
          <t>12-24</t>
        </is>
      </c>
    </row>
    <row r="39">
      <c r="A39" s="7" t="n"/>
      <c r="B39" s="7" t="n"/>
      <c r="C39" s="7" t="n"/>
      <c r="D39" s="9">
        <f>IF(OR(B39="",C39=""),"",IF(C39=1,B39,ROUND(B39*(1+C39/30),1)))</f>
        <v/>
      </c>
      <c r="F39" s="16" t="inlineStr">
        <is>
          <t>80-90%</t>
        </is>
      </c>
      <c r="G39" s="16" t="inlineStr">
        <is>
          <t>2-4</t>
        </is>
      </c>
      <c r="H39" s="16" t="n">
        <v>15</v>
      </c>
      <c r="I39" s="16" t="inlineStr">
        <is>
          <t>10-20</t>
        </is>
      </c>
    </row>
    <row r="40">
      <c r="A40" s="7" t="n"/>
      <c r="B40" s="7" t="n"/>
      <c r="C40" s="7" t="n"/>
      <c r="D40" s="9">
        <f>IF(OR(B40="",C40=""),"",IF(C40=1,B40,ROUND(B40*(1+C40/30),1)))</f>
        <v/>
      </c>
      <c r="F40" s="16" t="inlineStr">
        <is>
          <t>90%+</t>
        </is>
      </c>
      <c r="G40" s="16" t="inlineStr">
        <is>
          <t>1-2</t>
        </is>
      </c>
      <c r="H40" s="16" t="n">
        <v>7</v>
      </c>
      <c r="I40" s="16" t="inlineStr">
        <is>
          <t>4-10</t>
        </is>
      </c>
    </row>
    <row r="41">
      <c r="A41" s="7" t="n"/>
      <c r="B41" s="7" t="n"/>
      <c r="C41" s="7" t="n"/>
      <c r="D41" s="9">
        <f>IF(OR(B41="",C41=""),"",IF(C41=1,B41,ROUND(B41*(1+C41/30),1)))</f>
        <v/>
      </c>
      <c r="F41" t="inlineStr">
        <is>
          <t>Every loaded session's sets x reps come from this chart.</t>
        </is>
      </c>
    </row>
    <row r="42">
      <c r="A42" s="7" t="n"/>
      <c r="B42" s="7" t="n"/>
      <c r="C42" s="7" t="n"/>
      <c r="D42" s="9">
        <f>IF(OR(B42="",C42=""),"",IF(C42=1,B42,ROUND(B42*(1+C42/30),1)))</f>
        <v/>
      </c>
    </row>
    <row r="43">
      <c r="A43" s="7" t="n"/>
      <c r="B43" s="7" t="n"/>
      <c r="C43" s="7" t="n"/>
      <c r="D43" s="9">
        <f>IF(OR(B43="",C43=""),"",IF(C43=1,B43,ROUND(B43*(1+C43/30),1)))</f>
        <v/>
      </c>
      <c r="F43" s="5" t="inlineStr">
        <is>
          <t>GO TO MONTH</t>
        </is>
      </c>
    </row>
    <row r="44">
      <c r="A44" s="7" t="n"/>
      <c r="B44" s="7" t="n"/>
      <c r="C44" s="7" t="n"/>
      <c r="D44" s="9">
        <f>IF(OR(B44="",C44=""),"",IF(C44=1,B44,ROUND(B44*(1+C44/30),1)))</f>
        <v/>
      </c>
      <c r="F44" s="21" t="inlineStr">
        <is>
          <t>Baseline (wk 0)</t>
        </is>
      </c>
      <c r="H44" s="22" t="inlineStr">
        <is>
          <t>Month 01 (wk 1-4)</t>
        </is>
      </c>
      <c r="J44" s="22" t="inlineStr">
        <is>
          <t>Month 02 (wk 5-8)</t>
        </is>
      </c>
      <c r="L44" s="23" t="inlineStr">
        <is>
          <t>Month 03 (wk 9-12)</t>
        </is>
      </c>
    </row>
    <row r="45">
      <c r="A45" s="7" t="n"/>
      <c r="B45" s="7" t="n"/>
      <c r="C45" s="7" t="n"/>
      <c r="D45" s="9">
        <f>IF(OR(B45="",C45=""),"",IF(C45=1,B45,ROUND(B45*(1+C45/30),1)))</f>
        <v/>
      </c>
      <c r="F45" s="22" t="inlineStr">
        <is>
          <t>Month 04 (wk 13-16)</t>
        </is>
      </c>
      <c r="H45" s="22" t="inlineStr">
        <is>
          <t>Month 05 (wk 17-20)</t>
        </is>
      </c>
      <c r="J45" s="23" t="inlineStr">
        <is>
          <t>Month 06 (wk 21-24)</t>
        </is>
      </c>
      <c r="L45" s="22" t="inlineStr">
        <is>
          <t>Month 07 (wk 25-28)</t>
        </is>
      </c>
    </row>
    <row r="46">
      <c r="A46" s="7" t="n"/>
      <c r="B46" s="7" t="n"/>
      <c r="C46" s="7" t="n"/>
      <c r="D46" s="9">
        <f>IF(OR(B46="",C46=""),"",IF(C46=1,B46,ROUND(B46*(1+C46/30),1)))</f>
        <v/>
      </c>
      <c r="F46" s="22" t="inlineStr">
        <is>
          <t>Month 08 (wk 29-32)</t>
        </is>
      </c>
      <c r="H46" s="23" t="inlineStr">
        <is>
          <t>Month 09 (wk 33-36)</t>
        </is>
      </c>
      <c r="J46" s="22" t="inlineStr">
        <is>
          <t>Month 10 (wk 37-40)</t>
        </is>
      </c>
      <c r="L46" s="22" t="inlineStr">
        <is>
          <t>Month 11 (wk 41-44)</t>
        </is>
      </c>
    </row>
    <row r="47">
      <c r="A47" s="7" t="n"/>
      <c r="B47" s="7" t="n"/>
      <c r="C47" s="7" t="n"/>
      <c r="D47" s="9">
        <f>IF(OR(B47="",C47=""),"",IF(C47=1,B47,ROUND(B47*(1+C47/30),1)))</f>
        <v/>
      </c>
      <c r="F47" s="23" t="inlineStr">
        <is>
          <t>Month 12 (wk 45-48)</t>
        </is>
      </c>
      <c r="H47" s="22" t="inlineStr">
        <is>
          <t>Month 13 (wk 49-52)</t>
        </is>
      </c>
    </row>
    <row r="48">
      <c r="A48" s="7" t="n"/>
      <c r="B48" s="7" t="n"/>
      <c r="C48" s="7" t="n"/>
      <c r="D48" s="9">
        <f>IF(OR(B48="",C48=""),"",IF(C48=1,B48,ROUND(B48*(1+C48/30),1)))</f>
        <v/>
      </c>
    </row>
    <row r="49">
      <c r="A49" s="7" t="n"/>
      <c r="B49" s="7" t="n"/>
      <c r="C49" s="7" t="n"/>
      <c r="D49" s="9">
        <f>IF(OR(B49="",C49=""),"",IF(C49=1,B49,ROUND(B49*(1+C49/30),1)))</f>
        <v/>
      </c>
      <c r="F49" s="5" t="inlineStr">
        <is>
          <t>How to use this workbook</t>
        </is>
      </c>
    </row>
    <row r="50">
      <c r="A50" s="7" t="n"/>
      <c r="B50" s="7" t="n"/>
      <c r="C50" s="7" t="n"/>
      <c r="D50" s="9">
        <f>IF(OR(B50="",C50=""),"",IF(C50=1,B50,ROUND(B50*(1+C50/30),1)))</f>
        <v/>
      </c>
      <c r="F50" s="24" t="inlineStr">
        <is>
          <t>1. STEP 1 (left): fill in the intake - especially HEIGHT (sets your jump standards) and bodyweight.</t>
        </is>
      </c>
    </row>
    <row r="51">
      <c r="A51" s="7" t="n"/>
      <c r="B51" s="7" t="n"/>
      <c r="C51" s="7" t="n"/>
      <c r="D51" s="9">
        <f>IF(OR(B51="",C51=""),"",IF(C51=1,B51,ROUND(B51*(1+C51/30),1)))</f>
        <v/>
      </c>
      <c r="F51" s="24" t="inlineStr">
        <is>
          <t>2. STEP 2: enter starting maxes you know (any movement, weight and reps), OR run the Baseline sheet (week 0).</t>
        </is>
      </c>
    </row>
    <row r="52">
      <c r="A52" s="7" t="n"/>
      <c r="B52" s="7" t="n"/>
      <c r="C52" s="7" t="n"/>
      <c r="D52" s="9">
        <f>IF(OR(B52="",C52=""),"",IF(C52=1,B52,ROUND(B52*(1+C52/30),1)))</f>
        <v/>
      </c>
      <c r="F52" s="24" t="inlineStr">
        <is>
          <t xml:space="preserve">   Variations you haven't done yet are estimated from the main lift until you log them.</t>
        </is>
      </c>
    </row>
    <row r="53">
      <c r="A53" s="7" t="n"/>
      <c r="B53" s="7" t="n"/>
      <c r="C53" s="7" t="n"/>
      <c r="D53" s="9">
        <f>IF(OR(B53="",C53=""),"",IF(C53=1,B53,ROUND(B53*(1+C53/30),1)))</f>
        <v/>
      </c>
      <c r="F53" s="24" t="inlineStr">
        <is>
          <t>3. Each month has its own sheet (Month 01-13, links above). Every set has its own row, already filled in</t>
        </is>
      </c>
    </row>
    <row r="54">
      <c r="A54" s="7" t="n"/>
      <c r="B54" s="7" t="n"/>
      <c r="C54" s="7" t="n"/>
      <c r="D54" s="9">
        <f>IF(OR(B54="",C54=""),"",IF(C54=1,B54,ROUND(B54*(1+C54/30),1)))</f>
        <v/>
      </c>
      <c r="F54" s="24" t="inlineStr">
        <is>
          <t xml:space="preserve">   with the target weight and reps. Overwrite anything that was different, pick RPE if you like, and</t>
        </is>
      </c>
    </row>
    <row r="55">
      <c r="A55" s="7" t="n"/>
      <c r="B55" s="7" t="n"/>
      <c r="C55" s="7" t="n"/>
      <c r="D55" s="9">
        <f>IF(OR(B55="",C55=""),"",IF(C55=1,B55,ROUND(B55*(1+C55/30),1)))</f>
        <v/>
      </c>
      <c r="F55" s="24" t="inlineStr">
        <is>
          <t xml:space="preserve">   put a mark (the dropdown's check) in Done. Only sets marked Done count toward PRs and maxes.</t>
        </is>
      </c>
    </row>
    <row r="56">
      <c r="A56" s="7" t="n"/>
      <c r="B56" s="7" t="n"/>
      <c r="C56" s="7" t="n"/>
      <c r="D56" s="9">
        <f>IF(OR(B56="",C56=""),"",IF(C56=1,B56,ROUND(B56*(1+C56/30),1)))</f>
        <v/>
      </c>
      <c r="F56" s="24" t="inlineStr">
        <is>
          <t>4. Bodyweight: once a week, on each week's purple header row. Body fat: once a month, at the top of each</t>
        </is>
      </c>
    </row>
    <row r="57">
      <c r="A57" s="7" t="n"/>
      <c r="B57" s="7" t="n"/>
      <c r="C57" s="7" t="n"/>
      <c r="D57" s="9">
        <f>IF(OR(B57="",C57=""),"",IF(C57=1,B57,ROUND(B57*(1+C57/30),1)))</f>
        <v/>
      </c>
      <c r="F57" s="24" t="inlineStr">
        <is>
          <t xml:space="preserve">   month sheet (see the Body sheet for how to prepare for a Bod Pod, InBody or hydrostatic test).</t>
        </is>
      </c>
    </row>
    <row r="58">
      <c r="A58" s="7" t="n"/>
      <c r="B58" s="7" t="n"/>
      <c r="C58" s="7" t="n"/>
      <c r="D58" s="9">
        <f>IF(OR(B58="",C58=""),"",IF(C58=1,B58,ROUND(B58*(1+C58/30),1)))</f>
        <v/>
      </c>
      <c r="F58" s="24" t="inlineStr">
        <is>
          <t>5. Every 12th week (end of months 3, 6, 9, 12) is a test week. Those numbers become next cycle's maxes.</t>
        </is>
      </c>
    </row>
    <row r="59">
      <c r="A59" t="inlineStr">
        <is>
          <t>Jumps: enter the height or distance as 'Weight / height' with reps = 1.</t>
        </is>
      </c>
      <c r="F59" s="24" t="inlineStr">
        <is>
          <t>6. PR board and jump standards below update as you log. PRs sheet = every movement and variation.</t>
        </is>
      </c>
    </row>
    <row r="60">
      <c r="F60" s="24" t="inlineStr">
        <is>
          <t xml:space="preserve">   Progress sheet charts strength next to bodyweight and body fat.</t>
        </is>
      </c>
    </row>
    <row r="61">
      <c r="F61" s="24" t="inlineStr">
        <is>
          <t>7. Train 3 days a week (Mon/Wed/Fri). Warm up before every main lift: empty bar x 10, then 3-4 sets up.</t>
        </is>
      </c>
    </row>
    <row r="62">
      <c r="F62" s="24" t="inlineStr"/>
    </row>
    <row r="63">
      <c r="F63" s="24" t="inlineStr">
        <is>
          <t>Eat enough to grow: a small calorie surplus and ~0.7-1 g protein per lb bodyweight (1.6-2.2 g/kg). Sleep 7-9 h.</t>
        </is>
      </c>
    </row>
    <row r="64">
      <c r="F64" s="24" t="inlineStr">
        <is>
          <t>Free for everyone - MIT license. Not medical advice; check with a doctor before starting.</t>
        </is>
      </c>
    </row>
  </sheetData>
  <dataValidations count="4">
    <dataValidation sqref="B6" showDropDown="0" showInputMessage="0" showErrorMessage="0" allowBlank="1" type="list">
      <formula1>"lb,kg"</formula1>
    </dataValidation>
    <dataValidation sqref="B14" showDropDown="0" showInputMessage="0" showErrorMessage="0" allowBlank="1" type="list">
      <formula1>"Male,Female"</formula1>
    </dataValidation>
    <dataValidation sqref="B12" showDropDown="0" showInputMessage="0" showErrorMessage="0" allowBlank="1" type="list">
      <formula1>Lists!$B$1:$B$6</formula1>
    </dataValidation>
    <dataValidation sqref="A19 A20 A21 A22 A23 A24 A25 A26 A27 A28 A29 A30 A31 A32 A33 A34 A35 A36 A37 A38 A39 A40 A41 A42 A43 A44 A45 A46 A47 A48 A49 A50 A51 A52 A53 A54 A55 A56 A57 A58" showDropDown="0" showInputMessage="0" showErrorMessage="0" allowBlank="1" type="list">
      <formula1>Lists!$A$1:$A$76</formula1>
    </dataValidation>
  </dataValidations>
  <hyperlinks>
    <hyperlink ref="F44" location="'Baseline'!A1" display="Baseline (wk 0)"/>
    <hyperlink ref="H44" location="'Month 01'!A1" display="Month 01 (wk 1-4)"/>
    <hyperlink ref="J44" location="'Month 02'!A1" display="Month 02 (wk 5-8)"/>
    <hyperlink ref="L44" location="'Month 03'!A1" display="Month 03 (wk 9-12)"/>
    <hyperlink ref="F45" location="'Month 04'!A1" display="Month 04 (wk 13-16)"/>
    <hyperlink ref="H45" location="'Month 05'!A1" display="Month 05 (wk 17-20)"/>
    <hyperlink ref="J45" location="'Month 06'!A1" display="Month 06 (wk 21-24)"/>
    <hyperlink ref="L45" location="'Month 07'!A1" display="Month 07 (wk 25-28)"/>
    <hyperlink ref="F46" location="'Month 08'!A1" display="Month 08 (wk 29-32)"/>
    <hyperlink ref="H46" location="'Month 09'!A1" display="Month 09 (wk 33-36)"/>
    <hyperlink ref="J46" location="'Month 10'!A1" display="Month 10 (wk 37-40)"/>
    <hyperlink ref="L46" location="'Month 11'!A1" display="Month 11 (wk 41-44)"/>
    <hyperlink ref="F47" location="'Month 12'!A1" display="Month 12 (wk 45-48)"/>
    <hyperlink ref="H47" location="'Month 13'!A1" display="Month 13 (wk 49-52)"/>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E4D9EC"/>
    <outlinePr summaryBelow="1" summaryRight="1"/>
    <pageSetUpPr fitToPage="1"/>
  </sheetPr>
  <dimension ref="A1:O53"/>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26" customWidth="1" min="3" max="3"/>
    <col width="10" customWidth="1" min="4" max="4"/>
    <col width="7" customWidth="1" min="5" max="5"/>
    <col width="6" customWidth="1" min="6" max="6"/>
    <col width="9" customWidth="1" min="7" max="7"/>
    <col width="9" customWidth="1" min="8" max="8"/>
    <col width="12" customWidth="1" min="9" max="9"/>
    <col width="8" customWidth="1" min="10" max="10"/>
    <col width="6" customWidth="1" min="11" max="11"/>
    <col width="6" customWidth="1" min="12" max="12"/>
    <col width="9" customWidth="1" min="13" max="13"/>
    <col width="5" customWidth="1" min="14" max="14"/>
    <col width="60" customWidth="1" min="15" max="15"/>
  </cols>
  <sheetData>
    <row r="1">
      <c r="A1" s="25" t="inlineStr">
        <is>
          <t>BASELINE  -  week 0  -  optional test week (skip it if you entered starting maxes)</t>
        </is>
      </c>
    </row>
    <row r="2">
      <c r="C2" s="26" t="inlineStr">
        <is>
          <t>Start Here</t>
        </is>
      </c>
      <c r="E2" s="26" t="inlineStr">
        <is>
          <t>Month 01 &gt;</t>
        </is>
      </c>
    </row>
    <row r="4">
      <c r="A4" s="27" t="inlineStr">
        <is>
          <t>Every set is filled in with the plan. Change what was different, mark Done. Enter bodyweight once per week on the purple week rows.</t>
        </is>
      </c>
    </row>
    <row r="5">
      <c r="A5" s="8" t="inlineStr">
        <is>
          <t>Day</t>
        </is>
      </c>
      <c r="B5" s="8" t="inlineStr">
        <is>
          <t>Date</t>
        </is>
      </c>
      <c r="C5" s="8" t="inlineStr">
        <is>
          <t>Exercise / set</t>
        </is>
      </c>
      <c r="D5" s="8" t="inlineStr">
        <is>
          <t>Scheme</t>
        </is>
      </c>
      <c r="E5" s="8" t="inlineStr">
        <is>
          <t>Target reps</t>
        </is>
      </c>
      <c r="F5" s="8" t="inlineStr">
        <is>
          <t>% TM</t>
        </is>
      </c>
      <c r="G5" s="8" t="inlineStr">
        <is>
          <t>Training max</t>
        </is>
      </c>
      <c r="H5" s="8" t="inlineStr">
        <is>
          <t>Target</t>
        </is>
      </c>
      <c r="I5" s="8" t="inlineStr">
        <is>
          <t>Actual weight / height</t>
        </is>
      </c>
      <c r="J5" s="8" t="inlineStr">
        <is>
          <t>Actual reps</t>
        </is>
      </c>
      <c r="K5" s="8" t="inlineStr">
        <is>
          <t>RPE</t>
        </is>
      </c>
      <c r="L5" s="8" t="inlineStr">
        <is>
          <t>Done</t>
        </is>
      </c>
      <c r="M5" s="8" t="inlineStr">
        <is>
          <t>Est. 1RM</t>
        </is>
      </c>
      <c r="N5" s="8" t="inlineStr">
        <is>
          <t>PR</t>
        </is>
      </c>
      <c r="O5" s="8" t="inlineStr">
        <is>
          <t>Notes / guidance</t>
        </is>
      </c>
    </row>
    <row r="6">
      <c r="A6" s="28" t="inlineStr">
        <is>
          <t>WEEK 0 - BASELINE TEST (OPTIONAL)</t>
        </is>
      </c>
      <c r="B6" s="29" t="n"/>
      <c r="C6" s="29" t="n"/>
      <c r="D6" s="29" t="n"/>
      <c r="E6" s="29" t="n"/>
      <c r="F6" s="29" t="n"/>
      <c r="G6" s="29" t="n"/>
      <c r="H6" s="30" t="inlineStr">
        <is>
          <t>Bodyweight:</t>
        </is>
      </c>
      <c r="I6" s="7">
        <f>IF('Start Here'!$B$10="","",'Start Here'!$B$10)</f>
        <v/>
      </c>
      <c r="J6" s="29" t="n"/>
      <c r="K6" s="29" t="n"/>
      <c r="L6" s="29" t="n"/>
      <c r="M6" s="29" t="n"/>
      <c r="N6" s="29" t="n"/>
      <c r="O6" s="29" t="n"/>
    </row>
    <row r="7">
      <c r="A7" s="31" t="inlineStr">
        <is>
          <t>Day 1 - Heavy</t>
        </is>
      </c>
      <c r="B7" s="32">
        <f>'Start Here'!$B$8+-7</f>
        <v/>
      </c>
      <c r="C7" s="33" t="n"/>
      <c r="D7" s="33" t="n"/>
      <c r="E7" s="33" t="n"/>
      <c r="F7" s="33" t="n"/>
      <c r="G7" s="33" t="n"/>
      <c r="H7" s="33" t="n"/>
      <c r="I7" s="33" t="n"/>
      <c r="J7" s="33" t="n"/>
      <c r="K7" s="33" t="n"/>
      <c r="L7" s="33" t="n"/>
      <c r="M7" s="33" t="n"/>
      <c r="N7" s="33" t="n"/>
      <c r="O7" s="33" t="n"/>
    </row>
    <row r="8">
      <c r="A8" s="34" t="n"/>
      <c r="B8" s="34" t="n"/>
      <c r="C8" s="35" t="inlineStr">
        <is>
          <t>Box Jump</t>
        </is>
      </c>
      <c r="D8" s="34" t="inlineStr">
        <is>
          <t>1 x Max</t>
        </is>
      </c>
      <c r="E8" s="34" t="n"/>
      <c r="F8" s="34" t="n"/>
      <c r="G8" s="36" t="n"/>
      <c r="H8" s="37">
        <f>'Start Here'!$G$16</f>
        <v/>
      </c>
      <c r="I8" s="34" t="n"/>
      <c r="J8" s="34" t="n"/>
      <c r="K8" s="34" t="n"/>
      <c r="L8" s="34" t="n"/>
      <c r="M8" s="34" t="n"/>
      <c r="N8" s="34" t="n"/>
      <c r="O8" s="38" t="inlineStr">
        <is>
          <t>Find your best: work up box by box to the highest box you land cleanly. Log it and check the standards on Start Here</t>
        </is>
      </c>
    </row>
    <row r="9">
      <c r="C9" t="inlineStr">
        <is>
          <t xml:space="preserve">      Set 1</t>
        </is>
      </c>
      <c r="E9" t="n">
        <v>1</v>
      </c>
      <c r="H9" s="39">
        <f>IF(H8="","",H8)</f>
        <v/>
      </c>
      <c r="I9" s="7">
        <f>IF(H8="","",H8)</f>
        <v/>
      </c>
      <c r="J9" s="7" t="n">
        <v>1</v>
      </c>
      <c r="K9" s="7" t="n"/>
      <c r="L9" s="40" t="n"/>
      <c r="N9" s="41">
        <f>IF(AND(L9&lt;&gt;"",N(I9)&gt;0),IF(I9&gt;=PRs!D69,"PR!",""),"")</f>
        <v/>
      </c>
      <c r="O9" s="7" t="n"/>
    </row>
    <row r="10">
      <c r="A10" s="34" t="n"/>
      <c r="B10" s="34" t="n"/>
      <c r="C10" s="42" t="inlineStr">
        <is>
          <t>Snatch</t>
        </is>
      </c>
      <c r="D10" s="34" t="inlineStr">
        <is>
          <t>1 x 1RM</t>
        </is>
      </c>
      <c r="E10" s="34" t="n"/>
      <c r="F10" s="34" t="n"/>
      <c r="G10" s="36" t="n"/>
      <c r="H10" s="37" t="n"/>
      <c r="I10" s="34" t="n"/>
      <c r="J10" s="34" t="n"/>
      <c r="K10" s="34" t="n"/>
      <c r="L10" s="34" t="n"/>
      <c r="M10" s="34" t="n"/>
      <c r="N10" s="34" t="n"/>
      <c r="O10" s="38" t="inlineStr">
        <is>
          <t>Optional - skip if you entered maxes. Work up to a technically clean heavy single</t>
        </is>
      </c>
    </row>
    <row r="11">
      <c r="C11" t="inlineStr">
        <is>
          <t xml:space="preserve">      Set 1</t>
        </is>
      </c>
      <c r="E11" t="n">
        <v>1</v>
      </c>
      <c r="H11" s="39">
        <f>IF(H10="","",H10)</f>
        <v/>
      </c>
      <c r="I11" s="7">
        <f>IF(H10="","",H10)</f>
        <v/>
      </c>
      <c r="J11" s="7" t="n">
        <v>1</v>
      </c>
      <c r="K11" s="7" t="n"/>
      <c r="L11" s="40" t="n"/>
      <c r="M11">
        <f>IF(AND(L11&lt;&gt;"",N(I11)&gt;0,N(J11)&gt;0),IF(J11=1,I11,ROUND(I11*(1+J11/30),1)),"")</f>
        <v/>
      </c>
      <c r="N11" s="41">
        <f>IF(M11="","",IF(M11&gt;=PRs!C6,"PR!",""))</f>
        <v/>
      </c>
      <c r="O11" s="7" t="n"/>
    </row>
    <row r="12">
      <c r="A12" s="34" t="n"/>
      <c r="B12" s="34" t="n"/>
      <c r="C12" s="42" t="inlineStr">
        <is>
          <t>Squat</t>
        </is>
      </c>
      <c r="D12" s="34" t="inlineStr">
        <is>
          <t>1 x 5RM</t>
        </is>
      </c>
      <c r="E12" s="34" t="n"/>
      <c r="F12" s="34" t="n"/>
      <c r="G12" s="36" t="n"/>
      <c r="H12" s="37" t="n"/>
      <c r="I12" s="34" t="n"/>
      <c r="J12" s="34" t="n"/>
      <c r="K12" s="34" t="n"/>
      <c r="L12" s="34" t="n"/>
      <c r="M12" s="34" t="n"/>
      <c r="N12" s="34" t="n"/>
      <c r="O12" s="38" t="inlineStr">
        <is>
          <t>Optional - skip if you entered maxes. Work up to a hard set of 5 (or a 1RM if you're experienced)</t>
        </is>
      </c>
    </row>
    <row r="13">
      <c r="C13" t="inlineStr">
        <is>
          <t xml:space="preserve">      Set 1</t>
        </is>
      </c>
      <c r="E13" t="n">
        <v>5</v>
      </c>
      <c r="H13" s="39">
        <f>IF(H12="","",H12)</f>
        <v/>
      </c>
      <c r="I13" s="7">
        <f>IF(H12="","",H12)</f>
        <v/>
      </c>
      <c r="J13" s="7" t="n">
        <v>5</v>
      </c>
      <c r="K13" s="7" t="n"/>
      <c r="L13" s="40" t="n"/>
      <c r="M13">
        <f>IF(AND(L13&lt;&gt;"",N(I13)&gt;0,N(J13)&gt;0),IF(J13=1,I13,ROUND(I13*(1+J13/30),1)),"")</f>
        <v/>
      </c>
      <c r="N13" s="41">
        <f>IF(M13="","",IF(M13&gt;=PRs!C2,"PR!",""))</f>
        <v/>
      </c>
      <c r="O13" s="7" t="n"/>
    </row>
    <row r="14">
      <c r="A14" s="34" t="n"/>
      <c r="B14" s="34" t="n"/>
      <c r="C14" s="42" t="inlineStr">
        <is>
          <t>Bench Press</t>
        </is>
      </c>
      <c r="D14" s="34" t="inlineStr">
        <is>
          <t>1 x 5RM</t>
        </is>
      </c>
      <c r="E14" s="34" t="n"/>
      <c r="F14" s="34" t="n"/>
      <c r="G14" s="36" t="n"/>
      <c r="H14" s="37" t="n"/>
      <c r="I14" s="34" t="n"/>
      <c r="J14" s="34" t="n"/>
      <c r="K14" s="34" t="n"/>
      <c r="L14" s="34" t="n"/>
      <c r="M14" s="34" t="n"/>
      <c r="N14" s="34" t="n"/>
      <c r="O14" s="38" t="inlineStr">
        <is>
          <t>Optional - skip if you entered maxes. Work up to a hard set of 5 (or a 1RM if you're experienced)</t>
        </is>
      </c>
    </row>
    <row r="15">
      <c r="C15" t="inlineStr">
        <is>
          <t xml:space="preserve">      Set 1</t>
        </is>
      </c>
      <c r="E15" t="n">
        <v>5</v>
      </c>
      <c r="H15" s="39">
        <f>IF(H14="","",H14)</f>
        <v/>
      </c>
      <c r="I15" s="7">
        <f>IF(H14="","",H14)</f>
        <v/>
      </c>
      <c r="J15" s="7" t="n">
        <v>5</v>
      </c>
      <c r="K15" s="7" t="n"/>
      <c r="L15" s="40" t="n"/>
      <c r="M15">
        <f>IF(AND(L15&lt;&gt;"",N(I15)&gt;0,N(J15)&gt;0),IF(J15=1,I15,ROUND(I15*(1+J15/30),1)),"")</f>
        <v/>
      </c>
      <c r="N15" s="41">
        <f>IF(M15="","",IF(M15&gt;=PRs!C3,"PR!",""))</f>
        <v/>
      </c>
      <c r="O15" s="7" t="n"/>
    </row>
    <row r="16">
      <c r="A16" s="34" t="n"/>
      <c r="B16" s="34" t="n"/>
      <c r="C16" s="43" t="inlineStr">
        <is>
          <t>Barbell Row</t>
        </is>
      </c>
      <c r="D16" s="34" t="inlineStr">
        <is>
          <t>2 x 8-10</t>
        </is>
      </c>
      <c r="E16" s="34" t="n"/>
      <c r="F16" s="34" t="n"/>
      <c r="G16" s="36" t="n"/>
      <c r="H16" s="37" t="n"/>
      <c r="I16" s="34" t="n"/>
      <c r="J16" s="34" t="n"/>
      <c r="K16" s="34" t="n"/>
      <c r="L16" s="34" t="n"/>
      <c r="M16" s="34" t="n"/>
      <c r="N16" s="34" t="n"/>
      <c r="O16" s="38" t="inlineStr">
        <is>
          <t>Find a weight you can do for the top of the range</t>
        </is>
      </c>
    </row>
    <row r="17">
      <c r="C17" t="inlineStr">
        <is>
          <t xml:space="preserve">      Set 1</t>
        </is>
      </c>
      <c r="E17" t="n">
        <v>8</v>
      </c>
      <c r="H17" s="39">
        <f>IF(H16="","",H16)</f>
        <v/>
      </c>
      <c r="I17" s="7">
        <f>IF(H16="","",H16)</f>
        <v/>
      </c>
      <c r="J17" s="7" t="n">
        <v>8</v>
      </c>
      <c r="K17" s="7" t="n"/>
      <c r="L17" s="40" t="n"/>
      <c r="M17">
        <f>IF(AND(L17&lt;&gt;"",N(I17)&gt;0,N(J17)&gt;0),IF(J17=1,I17,ROUND(I17*(1+J17/30),1)),"")</f>
        <v/>
      </c>
      <c r="N17" s="41">
        <f>IF(M17="","",IF(M17&gt;=PRs!C50,"PR!",""))</f>
        <v/>
      </c>
      <c r="O17" s="7" t="n"/>
    </row>
    <row r="18">
      <c r="C18" t="inlineStr">
        <is>
          <t xml:space="preserve">      Set 2</t>
        </is>
      </c>
      <c r="E18" t="n">
        <v>8</v>
      </c>
      <c r="H18" s="39">
        <f>IF(H16="","",H16)</f>
        <v/>
      </c>
      <c r="I18" s="7">
        <f>IF(H16="","",H16)</f>
        <v/>
      </c>
      <c r="J18" s="7" t="n">
        <v>8</v>
      </c>
      <c r="K18" s="7" t="n"/>
      <c r="L18" s="40" t="n"/>
      <c r="M18">
        <f>IF(AND(L18&lt;&gt;"",N(I18)&gt;0,N(J18)&gt;0),IF(J18=1,I18,ROUND(I18*(1+J18/30),1)),"")</f>
        <v/>
      </c>
      <c r="N18" s="41">
        <f>IF(M18="","",IF(M18&gt;=PRs!C50,"PR!",""))</f>
        <v/>
      </c>
      <c r="O18" s="7" t="n"/>
    </row>
    <row r="19">
      <c r="A19" s="34" t="n"/>
      <c r="B19" s="34" t="n"/>
      <c r="C19" s="43" t="inlineStr">
        <is>
          <t>Face Pull</t>
        </is>
      </c>
      <c r="D19" s="34" t="inlineStr">
        <is>
          <t>2 x 12-15</t>
        </is>
      </c>
      <c r="E19" s="34" t="n"/>
      <c r="F19" s="34" t="n"/>
      <c r="G19" s="36" t="n"/>
      <c r="H19" s="37" t="n"/>
      <c r="I19" s="34" t="n"/>
      <c r="J19" s="34" t="n"/>
      <c r="K19" s="34" t="n"/>
      <c r="L19" s="34" t="n"/>
      <c r="M19" s="34" t="n"/>
      <c r="N19" s="34" t="n"/>
      <c r="O19" s="38" t="inlineStr">
        <is>
          <t>Find a weight you can do for the top of the range</t>
        </is>
      </c>
    </row>
    <row r="20">
      <c r="C20" t="inlineStr">
        <is>
          <t xml:space="preserve">      Set 1</t>
        </is>
      </c>
      <c r="E20" t="n">
        <v>12</v>
      </c>
      <c r="H20" s="39">
        <f>IF(H19="","",H19)</f>
        <v/>
      </c>
      <c r="I20" s="7">
        <f>IF(H19="","",H19)</f>
        <v/>
      </c>
      <c r="J20" s="7" t="n">
        <v>12</v>
      </c>
      <c r="K20" s="7" t="n"/>
      <c r="L20" s="40" t="n"/>
      <c r="M20">
        <f>IF(AND(L20&lt;&gt;"",N(I20)&gt;0,N(J20)&gt;0),IF(J20=1,I20,ROUND(I20*(1+J20/30),1)),"")</f>
        <v/>
      </c>
      <c r="N20" s="41">
        <f>IF(M20="","",IF(M20&gt;=PRs!C51,"PR!",""))</f>
        <v/>
      </c>
      <c r="O20" s="7" t="n"/>
    </row>
    <row r="21">
      <c r="C21" t="inlineStr">
        <is>
          <t xml:space="preserve">      Set 2</t>
        </is>
      </c>
      <c r="E21" t="n">
        <v>12</v>
      </c>
      <c r="H21" s="39">
        <f>IF(H19="","",H19)</f>
        <v/>
      </c>
      <c r="I21" s="7">
        <f>IF(H19="","",H19)</f>
        <v/>
      </c>
      <c r="J21" s="7" t="n">
        <v>12</v>
      </c>
      <c r="K21" s="7" t="n"/>
      <c r="L21" s="40" t="n"/>
      <c r="M21">
        <f>IF(AND(L21&lt;&gt;"",N(I21)&gt;0,N(J21)&gt;0),IF(J21=1,I21,ROUND(I21*(1+J21/30),1)),"")</f>
        <v/>
      </c>
      <c r="N21" s="41">
        <f>IF(M21="","",IF(M21&gt;=PRs!C51,"PR!",""))</f>
        <v/>
      </c>
      <c r="O21" s="7" t="n"/>
    </row>
    <row r="22">
      <c r="A22" s="31" t="inlineStr">
        <is>
          <t>Day 2 - Light</t>
        </is>
      </c>
      <c r="B22" s="32">
        <f>'Start Here'!$B$8+-5</f>
        <v/>
      </c>
      <c r="C22" s="33" t="n"/>
      <c r="D22" s="33" t="n"/>
      <c r="E22" s="33" t="n"/>
      <c r="F22" s="33" t="n"/>
      <c r="G22" s="33" t="n"/>
      <c r="H22" s="33" t="n"/>
      <c r="I22" s="33" t="n"/>
      <c r="J22" s="33" t="n"/>
      <c r="K22" s="33" t="n"/>
      <c r="L22" s="33" t="n"/>
      <c r="M22" s="33" t="n"/>
      <c r="N22" s="33" t="n"/>
      <c r="O22" s="33" t="n"/>
    </row>
    <row r="23">
      <c r="A23" s="34" t="n"/>
      <c r="B23" s="34" t="n"/>
      <c r="C23" s="35" t="inlineStr">
        <is>
          <t>Broad Jump</t>
        </is>
      </c>
      <c r="D23" s="34" t="inlineStr">
        <is>
          <t>1 x Max</t>
        </is>
      </c>
      <c r="E23" s="34" t="n"/>
      <c r="F23" s="34" t="n"/>
      <c r="G23" s="36" t="n"/>
      <c r="H23" s="37" t="n"/>
      <c r="I23" s="34" t="n"/>
      <c r="J23" s="34" t="n"/>
      <c r="K23" s="34" t="n"/>
      <c r="L23" s="34" t="n"/>
      <c r="M23" s="34" t="n"/>
      <c r="N23" s="34" t="n"/>
      <c r="O23" s="38" t="inlineStr">
        <is>
          <t>Find your best: best of 3-5 jumps for distance. Log it and check the standards on Start Here</t>
        </is>
      </c>
    </row>
    <row r="24">
      <c r="C24" t="inlineStr">
        <is>
          <t xml:space="preserve">      Set 1</t>
        </is>
      </c>
      <c r="E24" t="n">
        <v>1</v>
      </c>
      <c r="H24" s="39">
        <f>IF(H23="","",H23)</f>
        <v/>
      </c>
      <c r="I24" s="7">
        <f>IF(H23="","",H23)</f>
        <v/>
      </c>
      <c r="J24" s="7" t="n">
        <v>1</v>
      </c>
      <c r="K24" s="7" t="n"/>
      <c r="L24" s="40" t="n"/>
      <c r="N24" s="41">
        <f>IF(AND(L24&lt;&gt;"",N(I24)&gt;0),IF(I24&gt;=PRs!D70,"PR!",""),"")</f>
        <v/>
      </c>
      <c r="O24" s="7" t="n"/>
    </row>
    <row r="25">
      <c r="A25" s="34" t="n"/>
      <c r="B25" s="34" t="n"/>
      <c r="C25" s="42" t="inlineStr">
        <is>
          <t>Clean &amp; Jerk</t>
        </is>
      </c>
      <c r="D25" s="34" t="inlineStr">
        <is>
          <t>1 x 1RM</t>
        </is>
      </c>
      <c r="E25" s="34" t="n"/>
      <c r="F25" s="34" t="n"/>
      <c r="G25" s="36" t="n"/>
      <c r="H25" s="37" t="n"/>
      <c r="I25" s="34" t="n"/>
      <c r="J25" s="34" t="n"/>
      <c r="K25" s="34" t="n"/>
      <c r="L25" s="34" t="n"/>
      <c r="M25" s="34" t="n"/>
      <c r="N25" s="34" t="n"/>
      <c r="O25" s="38" t="inlineStr">
        <is>
          <t>Optional - skip if you entered maxes. Work up to a technically clean heavy single</t>
        </is>
      </c>
    </row>
    <row r="26">
      <c r="C26" t="inlineStr">
        <is>
          <t xml:space="preserve">      Set 1</t>
        </is>
      </c>
      <c r="E26" t="n">
        <v>1</v>
      </c>
      <c r="H26" s="39">
        <f>IF(H25="","",H25)</f>
        <v/>
      </c>
      <c r="I26" s="7">
        <f>IF(H25="","",H25)</f>
        <v/>
      </c>
      <c r="J26" s="7" t="n">
        <v>1</v>
      </c>
      <c r="K26" s="7" t="n"/>
      <c r="L26" s="40" t="n"/>
      <c r="M26">
        <f>IF(AND(L26&lt;&gt;"",N(I26)&gt;0,N(J26)&gt;0),IF(J26=1,I26,ROUND(I26*(1+J26/30),1)),"")</f>
        <v/>
      </c>
      <c r="N26" s="41">
        <f>IF(M26="","",IF(M26&gt;=PRs!C7,"PR!",""))</f>
        <v/>
      </c>
      <c r="O26" s="7" t="n"/>
    </row>
    <row r="27">
      <c r="A27" s="34" t="n"/>
      <c r="B27" s="34" t="n"/>
      <c r="C27" s="42" t="inlineStr">
        <is>
          <t>Overhead Press</t>
        </is>
      </c>
      <c r="D27" s="34" t="inlineStr">
        <is>
          <t>1 x 5RM</t>
        </is>
      </c>
      <c r="E27" s="34" t="n"/>
      <c r="F27" s="34" t="n"/>
      <c r="G27" s="36" t="n"/>
      <c r="H27" s="37" t="n"/>
      <c r="I27" s="34" t="n"/>
      <c r="J27" s="34" t="n"/>
      <c r="K27" s="34" t="n"/>
      <c r="L27" s="34" t="n"/>
      <c r="M27" s="34" t="n"/>
      <c r="N27" s="34" t="n"/>
      <c r="O27" s="38" t="inlineStr">
        <is>
          <t>Optional - skip if you entered maxes. Work up to a hard set of 5 (or a 1RM if you're experienced)</t>
        </is>
      </c>
    </row>
    <row r="28">
      <c r="C28" t="inlineStr">
        <is>
          <t xml:space="preserve">      Set 1</t>
        </is>
      </c>
      <c r="E28" t="n">
        <v>5</v>
      </c>
      <c r="H28" s="39">
        <f>IF(H27="","",H27)</f>
        <v/>
      </c>
      <c r="I28" s="7">
        <f>IF(H27="","",H27)</f>
        <v/>
      </c>
      <c r="J28" s="7" t="n">
        <v>5</v>
      </c>
      <c r="K28" s="7" t="n"/>
      <c r="L28" s="40" t="n"/>
      <c r="M28">
        <f>IF(AND(L28&lt;&gt;"",N(I28)&gt;0,N(J28)&gt;0),IF(J28=1,I28,ROUND(I28*(1+J28/30),1)),"")</f>
        <v/>
      </c>
      <c r="N28" s="41">
        <f>IF(M28="","",IF(M28&gt;=PRs!C5,"PR!",""))</f>
        <v/>
      </c>
      <c r="O28" s="7" t="n"/>
    </row>
    <row r="29">
      <c r="A29" s="34" t="n"/>
      <c r="B29" s="34" t="n"/>
      <c r="C29" s="42" t="inlineStr">
        <is>
          <t>Deadlift</t>
        </is>
      </c>
      <c r="D29" s="34" t="inlineStr">
        <is>
          <t>1 x 5RM</t>
        </is>
      </c>
      <c r="E29" s="34" t="n"/>
      <c r="F29" s="34" t="n"/>
      <c r="G29" s="36" t="n"/>
      <c r="H29" s="37" t="n"/>
      <c r="I29" s="34" t="n"/>
      <c r="J29" s="34" t="n"/>
      <c r="K29" s="34" t="n"/>
      <c r="L29" s="34" t="n"/>
      <c r="M29" s="34" t="n"/>
      <c r="N29" s="34" t="n"/>
      <c r="O29" s="38" t="inlineStr">
        <is>
          <t>Optional - skip if you entered maxes. Work up to a hard set of 5 (or a 1RM if you're experienced)</t>
        </is>
      </c>
    </row>
    <row r="30">
      <c r="C30" t="inlineStr">
        <is>
          <t xml:space="preserve">      Set 1</t>
        </is>
      </c>
      <c r="E30" t="n">
        <v>5</v>
      </c>
      <c r="H30" s="39">
        <f>IF(H29="","",H29)</f>
        <v/>
      </c>
      <c r="I30" s="7">
        <f>IF(H29="","",H29)</f>
        <v/>
      </c>
      <c r="J30" s="7" t="n">
        <v>5</v>
      </c>
      <c r="K30" s="7" t="n"/>
      <c r="L30" s="40" t="n"/>
      <c r="M30">
        <f>IF(AND(L30&lt;&gt;"",N(I30)&gt;0,N(J30)&gt;0),IF(J30=1,I30,ROUND(I30*(1+J30/30),1)),"")</f>
        <v/>
      </c>
      <c r="N30" s="41">
        <f>IF(M30="","",IF(M30&gt;=PRs!C4,"PR!",""))</f>
        <v/>
      </c>
      <c r="O30" s="7" t="n"/>
    </row>
    <row r="31">
      <c r="A31" s="34" t="n"/>
      <c r="B31" s="34" t="n"/>
      <c r="C31" s="43" t="inlineStr">
        <is>
          <t>Chin-up</t>
        </is>
      </c>
      <c r="D31" s="34" t="inlineStr">
        <is>
          <t>2 x 6-10</t>
        </is>
      </c>
      <c r="E31" s="34" t="n"/>
      <c r="F31" s="34" t="n"/>
      <c r="G31" s="36" t="n"/>
      <c r="H31" s="37" t="n"/>
      <c r="I31" s="34" t="n"/>
      <c r="J31" s="34" t="n"/>
      <c r="K31" s="34" t="n"/>
      <c r="L31" s="34" t="n"/>
      <c r="M31" s="34" t="n"/>
      <c r="N31" s="34" t="n"/>
      <c r="O31" s="38" t="inlineStr">
        <is>
          <t>Find a weight you can do for the top of the range</t>
        </is>
      </c>
    </row>
    <row r="32">
      <c r="C32" t="inlineStr">
        <is>
          <t xml:space="preserve">      Set 1</t>
        </is>
      </c>
      <c r="E32" t="n">
        <v>6</v>
      </c>
      <c r="H32" s="39">
        <f>IF(H31="","",H31)</f>
        <v/>
      </c>
      <c r="I32" s="7">
        <f>IF(H31="","",H31)</f>
        <v/>
      </c>
      <c r="J32" s="7" t="n">
        <v>6</v>
      </c>
      <c r="K32" s="7" t="n"/>
      <c r="L32" s="40" t="n"/>
      <c r="M32">
        <f>IF(AND(L32&lt;&gt;"",N(I32)&gt;0,N(J32)&gt;0),IF(J32=1,I32,ROUND(I32*(1+J32/30),1)),"")</f>
        <v/>
      </c>
      <c r="N32" s="41">
        <f>IF(M32="","",IF(M32&gt;=PRs!C53,"PR!",""))</f>
        <v/>
      </c>
      <c r="O32" s="7" t="n"/>
    </row>
    <row r="33">
      <c r="C33" t="inlineStr">
        <is>
          <t xml:space="preserve">      Set 2</t>
        </is>
      </c>
      <c r="E33" t="n">
        <v>6</v>
      </c>
      <c r="H33" s="39">
        <f>IF(H31="","",H31)</f>
        <v/>
      </c>
      <c r="I33" s="7">
        <f>IF(H31="","",H31)</f>
        <v/>
      </c>
      <c r="J33" s="7" t="n">
        <v>6</v>
      </c>
      <c r="K33" s="7" t="n"/>
      <c r="L33" s="40" t="n"/>
      <c r="M33">
        <f>IF(AND(L33&lt;&gt;"",N(I33)&gt;0,N(J33)&gt;0),IF(J33=1,I33,ROUND(I33*(1+J33/30),1)),"")</f>
        <v/>
      </c>
      <c r="N33" s="41">
        <f>IF(M33="","",IF(M33&gt;=PRs!C53,"PR!",""))</f>
        <v/>
      </c>
      <c r="O33" s="7" t="n"/>
    </row>
    <row r="34">
      <c r="A34" s="34" t="n"/>
      <c r="B34" s="34" t="n"/>
      <c r="C34" s="43" t="inlineStr">
        <is>
          <t>Plank</t>
        </is>
      </c>
      <c r="D34" s="34" t="inlineStr">
        <is>
          <t>2 x 30-60s</t>
        </is>
      </c>
      <c r="E34" s="34" t="n"/>
      <c r="F34" s="34" t="n"/>
      <c r="G34" s="36" t="n"/>
      <c r="H34" s="37" t="n"/>
      <c r="I34" s="34" t="n"/>
      <c r="J34" s="34" t="n"/>
      <c r="K34" s="34" t="n"/>
      <c r="L34" s="34" t="n"/>
      <c r="M34" s="34" t="n"/>
      <c r="N34" s="34" t="n"/>
      <c r="O34" s="38" t="inlineStr">
        <is>
          <t>Find a weight you can do for the top of the range</t>
        </is>
      </c>
    </row>
    <row r="35">
      <c r="C35" t="inlineStr">
        <is>
          <t xml:space="preserve">      Set 1</t>
        </is>
      </c>
      <c r="E35" t="n">
        <v>30</v>
      </c>
      <c r="H35" s="39">
        <f>IF(H34="","",H34)</f>
        <v/>
      </c>
      <c r="I35" s="7">
        <f>IF(H34="","",H34)</f>
        <v/>
      </c>
      <c r="J35" s="7" t="n">
        <v>30</v>
      </c>
      <c r="K35" s="7" t="n"/>
      <c r="L35" s="40" t="n"/>
      <c r="M35">
        <f>IF(AND(L35&lt;&gt;"",N(I35)&gt;0,N(J35)&gt;0),IF(J35=1,I35,ROUND(I35*(1+J35/30),1)),"")</f>
        <v/>
      </c>
      <c r="N35" s="41">
        <f>IF(M35="","",IF(M35&gt;=PRs!C56,"PR!",""))</f>
        <v/>
      </c>
      <c r="O35" s="7" t="n"/>
    </row>
    <row r="36">
      <c r="C36" t="inlineStr">
        <is>
          <t xml:space="preserve">      Set 2</t>
        </is>
      </c>
      <c r="E36" t="n">
        <v>30</v>
      </c>
      <c r="H36" s="39">
        <f>IF(H34="","",H34)</f>
        <v/>
      </c>
      <c r="I36" s="7">
        <f>IF(H34="","",H34)</f>
        <v/>
      </c>
      <c r="J36" s="7" t="n">
        <v>30</v>
      </c>
      <c r="K36" s="7" t="n"/>
      <c r="L36" s="40" t="n"/>
      <c r="M36">
        <f>IF(AND(L36&lt;&gt;"",N(I36)&gt;0,N(J36)&gt;0),IF(J36=1,I36,ROUND(I36*(1+J36/30),1)),"")</f>
        <v/>
      </c>
      <c r="N36" s="41">
        <f>IF(M36="","",IF(M36&gt;=PRs!C56,"PR!",""))</f>
        <v/>
      </c>
      <c r="O36" s="7" t="n"/>
    </row>
    <row r="37">
      <c r="A37" s="31" t="inlineStr">
        <is>
          <t>Day 3 - Variations</t>
        </is>
      </c>
      <c r="B37" s="32">
        <f>'Start Here'!$B$8+-3</f>
        <v/>
      </c>
      <c r="C37" s="33" t="n"/>
      <c r="D37" s="33" t="n"/>
      <c r="E37" s="33" t="n"/>
      <c r="F37" s="33" t="n"/>
      <c r="G37" s="33" t="n"/>
      <c r="H37" s="33" t="n"/>
      <c r="I37" s="33" t="n"/>
      <c r="J37" s="33" t="n"/>
      <c r="K37" s="33" t="n"/>
      <c r="L37" s="33" t="n"/>
      <c r="M37" s="33" t="n"/>
      <c r="N37" s="33" t="n"/>
      <c r="O37" s="33" t="n"/>
    </row>
    <row r="38">
      <c r="A38" s="34" t="n"/>
      <c r="B38" s="34" t="n"/>
      <c r="C38" s="35" t="inlineStr">
        <is>
          <t>Vertical Jump</t>
        </is>
      </c>
      <c r="D38" s="34" t="inlineStr">
        <is>
          <t>1 x Max</t>
        </is>
      </c>
      <c r="E38" s="34" t="n"/>
      <c r="F38" s="34" t="n"/>
      <c r="G38" s="36" t="n"/>
      <c r="H38" s="37" t="n"/>
      <c r="I38" s="34" t="n"/>
      <c r="J38" s="34" t="n"/>
      <c r="K38" s="34" t="n"/>
      <c r="L38" s="34" t="n"/>
      <c r="M38" s="34" t="n"/>
      <c r="N38" s="34" t="n"/>
      <c r="O38" s="38" t="inlineStr">
        <is>
          <t>Find your best: best of 3-5 jumps (jump mark minus standing reach). Log it and check the standards on Start Here</t>
        </is>
      </c>
    </row>
    <row r="39">
      <c r="C39" t="inlineStr">
        <is>
          <t xml:space="preserve">      Set 1</t>
        </is>
      </c>
      <c r="E39" t="n">
        <v>1</v>
      </c>
      <c r="H39" s="39">
        <f>IF(H38="","",H38)</f>
        <v/>
      </c>
      <c r="I39" s="7">
        <f>IF(H38="","",H38)</f>
        <v/>
      </c>
      <c r="J39" s="7" t="n">
        <v>1</v>
      </c>
      <c r="K39" s="7" t="n"/>
      <c r="L39" s="40" t="n"/>
      <c r="N39" s="41">
        <f>IF(AND(L39&lt;&gt;"",N(I39)&gt;0),IF(I39&gt;=PRs!D71,"PR!",""),"")</f>
        <v/>
      </c>
      <c r="O39" s="7" t="n"/>
    </row>
    <row r="40">
      <c r="A40" s="34" t="n"/>
      <c r="B40" s="34" t="n"/>
      <c r="C40" s="42" t="inlineStr">
        <is>
          <t>Power Snatch</t>
        </is>
      </c>
      <c r="D40" s="34" t="inlineStr">
        <is>
          <t>1 x 1RM</t>
        </is>
      </c>
      <c r="E40" s="34" t="n"/>
      <c r="F40" s="34" t="n"/>
      <c r="G40" s="36" t="n"/>
      <c r="H40" s="37" t="n"/>
      <c r="I40" s="34" t="n"/>
      <c r="J40" s="34" t="n"/>
      <c r="K40" s="34" t="n"/>
      <c r="L40" s="34" t="n"/>
      <c r="M40" s="34" t="n"/>
      <c r="N40" s="34" t="n"/>
      <c r="O40" s="38" t="inlineStr">
        <is>
          <t>Optional - skip if you entered maxes. Work up to a technically clean heavy single</t>
        </is>
      </c>
    </row>
    <row r="41">
      <c r="C41" t="inlineStr">
        <is>
          <t xml:space="preserve">      Set 1</t>
        </is>
      </c>
      <c r="E41" t="n">
        <v>1</v>
      </c>
      <c r="H41" s="39">
        <f>IF(H40="","",H40)</f>
        <v/>
      </c>
      <c r="I41" s="7">
        <f>IF(H40="","",H40)</f>
        <v/>
      </c>
      <c r="J41" s="7" t="n">
        <v>1</v>
      </c>
      <c r="K41" s="7" t="n"/>
      <c r="L41" s="40" t="n"/>
      <c r="M41">
        <f>IF(AND(L41&lt;&gt;"",N(I41)&gt;0,N(J41)&gt;0),IF(J41=1,I41,ROUND(I41*(1+J41/30),1)),"")</f>
        <v/>
      </c>
      <c r="N41" s="41">
        <f>IF(M41="","",IF(M41&gt;=PRs!C34,"PR!",""))</f>
        <v/>
      </c>
      <c r="O41" s="7" t="n"/>
    </row>
    <row r="42">
      <c r="A42" s="34" t="n"/>
      <c r="B42" s="34" t="n"/>
      <c r="C42" s="42" t="inlineStr">
        <is>
          <t>Box Squat</t>
        </is>
      </c>
      <c r="D42" s="34" t="inlineStr">
        <is>
          <t>1 x 5RM</t>
        </is>
      </c>
      <c r="E42" s="34" t="n"/>
      <c r="F42" s="34" t="n"/>
      <c r="G42" s="36" t="n"/>
      <c r="H42" s="37" t="n"/>
      <c r="I42" s="34" t="n"/>
      <c r="J42" s="34" t="n"/>
      <c r="K42" s="34" t="n"/>
      <c r="L42" s="34" t="n"/>
      <c r="M42" s="34" t="n"/>
      <c r="N42" s="34" t="n"/>
      <c r="O42" s="38" t="inlineStr">
        <is>
          <t>Optional - skip if you entered maxes. Work up to a hard set of 5 (or a 1RM if you're experienced)</t>
        </is>
      </c>
    </row>
    <row r="43">
      <c r="C43" t="inlineStr">
        <is>
          <t xml:space="preserve">      Set 1</t>
        </is>
      </c>
      <c r="E43" t="n">
        <v>5</v>
      </c>
      <c r="H43" s="39">
        <f>IF(H42="","",H42)</f>
        <v/>
      </c>
      <c r="I43" s="7">
        <f>IF(H42="","",H42)</f>
        <v/>
      </c>
      <c r="J43" s="7" t="n">
        <v>5</v>
      </c>
      <c r="K43" s="7" t="n"/>
      <c r="L43" s="40" t="n"/>
      <c r="M43">
        <f>IF(AND(L43&lt;&gt;"",N(I43)&gt;0,N(J43)&gt;0),IF(J43=1,I43,ROUND(I43*(1+J43/30),1)),"")</f>
        <v/>
      </c>
      <c r="N43" s="41">
        <f>IF(M43="","",IF(M43&gt;=PRs!C8,"PR!",""))</f>
        <v/>
      </c>
      <c r="O43" s="7" t="n"/>
    </row>
    <row r="44">
      <c r="A44" s="34" t="n"/>
      <c r="B44" s="34" t="n"/>
      <c r="C44" s="42" t="inlineStr">
        <is>
          <t>Close-Grip Bench Press</t>
        </is>
      </c>
      <c r="D44" s="34" t="inlineStr">
        <is>
          <t>1 x 5RM</t>
        </is>
      </c>
      <c r="E44" s="34" t="n"/>
      <c r="F44" s="34" t="n"/>
      <c r="G44" s="36" t="n"/>
      <c r="H44" s="37" t="n"/>
      <c r="I44" s="34" t="n"/>
      <c r="J44" s="34" t="n"/>
      <c r="K44" s="34" t="n"/>
      <c r="L44" s="34" t="n"/>
      <c r="M44" s="34" t="n"/>
      <c r="N44" s="34" t="n"/>
      <c r="O44" s="38" t="inlineStr">
        <is>
          <t>Optional - skip if you entered maxes. Work up to a hard set of 5 (or a 1RM if you're experienced)</t>
        </is>
      </c>
    </row>
    <row r="45">
      <c r="C45" t="inlineStr">
        <is>
          <t xml:space="preserve">      Set 1</t>
        </is>
      </c>
      <c r="E45" t="n">
        <v>5</v>
      </c>
      <c r="H45" s="39">
        <f>IF(H44="","",H44)</f>
        <v/>
      </c>
      <c r="I45" s="7">
        <f>IF(H44="","",H44)</f>
        <v/>
      </c>
      <c r="J45" s="7" t="n">
        <v>5</v>
      </c>
      <c r="K45" s="7" t="n"/>
      <c r="L45" s="40" t="n"/>
      <c r="M45">
        <f>IF(AND(L45&lt;&gt;"",N(I45)&gt;0,N(J45)&gt;0),IF(J45=1,I45,ROUND(I45*(1+J45/30),1)),"")</f>
        <v/>
      </c>
      <c r="N45" s="41">
        <f>IF(M45="","",IF(M45&gt;=PRs!C14,"PR!",""))</f>
        <v/>
      </c>
      <c r="O45" s="7" t="n"/>
    </row>
    <row r="46">
      <c r="A46" s="34" t="n"/>
      <c r="B46" s="34" t="n"/>
      <c r="C46" s="42" t="inlineStr">
        <is>
          <t>Romanian Deadlift</t>
        </is>
      </c>
      <c r="D46" s="34" t="inlineStr">
        <is>
          <t>1 x 5RM</t>
        </is>
      </c>
      <c r="E46" s="34" t="n"/>
      <c r="F46" s="34" t="n"/>
      <c r="G46" s="36" t="n"/>
      <c r="H46" s="37" t="n"/>
      <c r="I46" s="34" t="n"/>
      <c r="J46" s="34" t="n"/>
      <c r="K46" s="34" t="n"/>
      <c r="L46" s="34" t="n"/>
      <c r="M46" s="34" t="n"/>
      <c r="N46" s="34" t="n"/>
      <c r="O46" s="38" t="inlineStr">
        <is>
          <t>Optional - skip if you entered maxes. Work up to a hard set of 5 (or a 1RM if you're experienced)</t>
        </is>
      </c>
    </row>
    <row r="47">
      <c r="C47" t="inlineStr">
        <is>
          <t xml:space="preserve">      Set 1</t>
        </is>
      </c>
      <c r="E47" t="n">
        <v>5</v>
      </c>
      <c r="H47" s="39">
        <f>IF(H46="","",H46)</f>
        <v/>
      </c>
      <c r="I47" s="7">
        <f>IF(H46="","",H46)</f>
        <v/>
      </c>
      <c r="J47" s="7" t="n">
        <v>5</v>
      </c>
      <c r="K47" s="7" t="n"/>
      <c r="L47" s="40" t="n"/>
      <c r="M47">
        <f>IF(AND(L47&lt;&gt;"",N(I47)&gt;0,N(J47)&gt;0),IF(J47=1,I47,ROUND(I47*(1+J47/30),1)),"")</f>
        <v/>
      </c>
      <c r="N47" s="41">
        <f>IF(M47="","",IF(M47&gt;=PRs!C23,"PR!",""))</f>
        <v/>
      </c>
      <c r="O47" s="7" t="n"/>
    </row>
    <row r="48">
      <c r="A48" s="34" t="n"/>
      <c r="B48" s="34" t="n"/>
      <c r="C48" s="43" t="inlineStr">
        <is>
          <t>Incline Dumbbell Press</t>
        </is>
      </c>
      <c r="D48" s="34" t="inlineStr">
        <is>
          <t>2 x 8-12</t>
        </is>
      </c>
      <c r="E48" s="34" t="n"/>
      <c r="F48" s="34" t="n"/>
      <c r="G48" s="36" t="n"/>
      <c r="H48" s="37" t="n"/>
      <c r="I48" s="34" t="n"/>
      <c r="J48" s="34" t="n"/>
      <c r="K48" s="34" t="n"/>
      <c r="L48" s="34" t="n"/>
      <c r="M48" s="34" t="n"/>
      <c r="N48" s="34" t="n"/>
      <c r="O48" s="38" t="inlineStr">
        <is>
          <t>Find a weight you can do for the top of the range</t>
        </is>
      </c>
    </row>
    <row r="49">
      <c r="C49" t="inlineStr">
        <is>
          <t xml:space="preserve">      Set 1</t>
        </is>
      </c>
      <c r="E49" t="n">
        <v>8</v>
      </c>
      <c r="H49" s="39">
        <f>IF(H48="","",H48)</f>
        <v/>
      </c>
      <c r="I49" s="7">
        <f>IF(H48="","",H48)</f>
        <v/>
      </c>
      <c r="J49" s="7" t="n">
        <v>8</v>
      </c>
      <c r="K49" s="7" t="n"/>
      <c r="L49" s="40" t="n"/>
      <c r="M49">
        <f>IF(AND(L49&lt;&gt;"",N(I49)&gt;0,N(J49)&gt;0),IF(J49=1,I49,ROUND(I49*(1+J49/30),1)),"")</f>
        <v/>
      </c>
      <c r="N49" s="41">
        <f>IF(M49="","",IF(M49&gt;=PRs!C57,"PR!",""))</f>
        <v/>
      </c>
      <c r="O49" s="7" t="n"/>
    </row>
    <row r="50">
      <c r="C50" t="inlineStr">
        <is>
          <t xml:space="preserve">      Set 2</t>
        </is>
      </c>
      <c r="E50" t="n">
        <v>8</v>
      </c>
      <c r="H50" s="39">
        <f>IF(H48="","",H48)</f>
        <v/>
      </c>
      <c r="I50" s="7">
        <f>IF(H48="","",H48)</f>
        <v/>
      </c>
      <c r="J50" s="7" t="n">
        <v>8</v>
      </c>
      <c r="K50" s="7" t="n"/>
      <c r="L50" s="40" t="n"/>
      <c r="M50">
        <f>IF(AND(L50&lt;&gt;"",N(I50)&gt;0,N(J50)&gt;0),IF(J50=1,I50,ROUND(I50*(1+J50/30),1)),"")</f>
        <v/>
      </c>
      <c r="N50" s="41">
        <f>IF(M50="","",IF(M50&gt;=PRs!C57,"PR!",""))</f>
        <v/>
      </c>
      <c r="O50" s="7" t="n"/>
    </row>
    <row r="51">
      <c r="A51" s="34" t="n"/>
      <c r="B51" s="34" t="n"/>
      <c r="C51" s="43" t="inlineStr">
        <is>
          <t>Triceps Pushdown</t>
        </is>
      </c>
      <c r="D51" s="34" t="inlineStr">
        <is>
          <t>2 x 10-15</t>
        </is>
      </c>
      <c r="E51" s="34" t="n"/>
      <c r="F51" s="34" t="n"/>
      <c r="G51" s="36" t="n"/>
      <c r="H51" s="37" t="n"/>
      <c r="I51" s="34" t="n"/>
      <c r="J51" s="34" t="n"/>
      <c r="K51" s="34" t="n"/>
      <c r="L51" s="34" t="n"/>
      <c r="M51" s="34" t="n"/>
      <c r="N51" s="34" t="n"/>
      <c r="O51" s="38" t="inlineStr">
        <is>
          <t>Find a weight you can do for the top of the range</t>
        </is>
      </c>
    </row>
    <row r="52">
      <c r="C52" t="inlineStr">
        <is>
          <t xml:space="preserve">      Set 1</t>
        </is>
      </c>
      <c r="E52" t="n">
        <v>10</v>
      </c>
      <c r="H52" s="39">
        <f>IF(H51="","",H51)</f>
        <v/>
      </c>
      <c r="I52" s="7">
        <f>IF(H51="","",H51)</f>
        <v/>
      </c>
      <c r="J52" s="7" t="n">
        <v>10</v>
      </c>
      <c r="K52" s="7" t="n"/>
      <c r="L52" s="40" t="n"/>
      <c r="M52">
        <f>IF(AND(L52&lt;&gt;"",N(I52)&gt;0,N(J52)&gt;0),IF(J52=1,I52,ROUND(I52*(1+J52/30),1)),"")</f>
        <v/>
      </c>
      <c r="N52" s="41">
        <f>IF(M52="","",IF(M52&gt;=PRs!C59,"PR!",""))</f>
        <v/>
      </c>
      <c r="O52" s="7" t="n"/>
    </row>
    <row r="53">
      <c r="C53" t="inlineStr">
        <is>
          <t xml:space="preserve">      Set 2</t>
        </is>
      </c>
      <c r="E53" t="n">
        <v>10</v>
      </c>
      <c r="H53" s="39">
        <f>IF(H51="","",H51)</f>
        <v/>
      </c>
      <c r="I53" s="7">
        <f>IF(H51="","",H51)</f>
        <v/>
      </c>
      <c r="J53" s="7" t="n">
        <v>10</v>
      </c>
      <c r="K53" s="7" t="n"/>
      <c r="L53" s="40" t="n"/>
      <c r="M53">
        <f>IF(AND(L53&lt;&gt;"",N(I53)&gt;0,N(J53)&gt;0),IF(J53=1,I53,ROUND(I53*(1+J53/30),1)),"")</f>
        <v/>
      </c>
      <c r="N53" s="41">
        <f>IF(M53="","",IF(M53&gt;=PRs!C59,"PR!",""))</f>
        <v/>
      </c>
      <c r="O53" s="7" t="n"/>
    </row>
  </sheetData>
  <dataValidations count="2">
    <dataValidation sqref="L9 L11 L13 L15 L17 L18 L20 L21 L24 L26 L28 L30 L32 L33 L35 L36 L39 L41 L43 L45 L47 L49 L50 L52 L53" showDropDown="0" showInputMessage="0" showErrorMessage="0" allowBlank="1" type="list">
      <formula1>"✓"</formula1>
    </dataValidation>
    <dataValidation sqref="K9 K11 K13 K15 K17 K18 K20 K21 K24 K26 K28 K30 K32 K33 K35 K36 K39 K41 K43 K45 K47 K49 K50 K52 K53" showDropDown="0" showInputMessage="0" showErrorMessage="0" allowBlank="1" type="list">
      <formula1>"6,6.5,7,7.5,8,8.5,9,9.5,10"</formula1>
    </dataValidation>
  </dataValidations>
  <hyperlinks>
    <hyperlink ref="C2" location="'Start Here'!A1" display="Start Here"/>
    <hyperlink ref="E2" location="'Month 01'!A1" display="Month 01 &gt;"/>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E6E2DA"/>
    <outlinePr summaryBelow="1" summaryRight="1"/>
    <pageSetUpPr fitToPage="1"/>
  </sheetPr>
  <dimension ref="A1:O38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26" customWidth="1" min="3" max="3"/>
    <col width="10" customWidth="1" min="4" max="4"/>
    <col width="7" customWidth="1" min="5" max="5"/>
    <col width="6" customWidth="1" min="6" max="6"/>
    <col width="9" customWidth="1" min="7" max="7"/>
    <col width="9" customWidth="1" min="8" max="8"/>
    <col width="12" customWidth="1" min="9" max="9"/>
    <col width="8" customWidth="1" min="10" max="10"/>
    <col width="6" customWidth="1" min="11" max="11"/>
    <col width="6" customWidth="1" min="12" max="12"/>
    <col width="9" customWidth="1" min="13" max="13"/>
    <col width="5" customWidth="1" min="14" max="14"/>
    <col width="60" customWidth="1" min="15" max="15"/>
  </cols>
  <sheetData>
    <row r="1">
      <c r="A1" s="25" t="inlineStr">
        <is>
          <t>MONTH 01  -  weeks 1-4  -  Cycle 1</t>
        </is>
      </c>
    </row>
    <row r="2">
      <c r="A2" s="26" t="inlineStr">
        <is>
          <t>&lt; Baseline</t>
        </is>
      </c>
      <c r="C2" s="26" t="inlineStr">
        <is>
          <t>Start Here</t>
        </is>
      </c>
      <c r="E2" s="26" t="inlineStr">
        <is>
          <t>Month 02 &gt;</t>
        </is>
      </c>
    </row>
    <row r="3">
      <c r="A3" s="41" t="inlineStr">
        <is>
          <t>BODY FAT (once this month)</t>
        </is>
      </c>
      <c r="C3" s="44" t="inlineStr">
        <is>
          <t>Date</t>
        </is>
      </c>
      <c r="D3" s="12" t="n"/>
      <c r="E3" s="44" t="inlineStr">
        <is>
          <t>Body fat %</t>
        </is>
      </c>
      <c r="F3" s="7" t="n"/>
      <c r="G3" s="44" t="inlineStr">
        <is>
          <t>Method</t>
        </is>
      </c>
      <c r="H3" s="7" t="n"/>
      <c r="I3" s="44" t="inlineStr">
        <is>
          <t>Weight at test</t>
        </is>
      </c>
      <c r="J3" s="7" t="n"/>
      <c r="L3" s="26" t="inlineStr">
        <is>
          <t>How to test</t>
        </is>
      </c>
    </row>
    <row r="4">
      <c r="A4" s="27" t="inlineStr">
        <is>
          <t>Every set is filled in with the plan. Change what was different, mark Done. Enter bodyweight once per week on the purple week rows.</t>
        </is>
      </c>
    </row>
    <row r="5">
      <c r="A5" s="8" t="inlineStr">
        <is>
          <t>Day</t>
        </is>
      </c>
      <c r="B5" s="8" t="inlineStr">
        <is>
          <t>Date</t>
        </is>
      </c>
      <c r="C5" s="8" t="inlineStr">
        <is>
          <t>Exercise / set</t>
        </is>
      </c>
      <c r="D5" s="8" t="inlineStr">
        <is>
          <t>Scheme</t>
        </is>
      </c>
      <c r="E5" s="8" t="inlineStr">
        <is>
          <t>Target reps</t>
        </is>
      </c>
      <c r="F5" s="8" t="inlineStr">
        <is>
          <t>% TM</t>
        </is>
      </c>
      <c r="G5" s="8" t="inlineStr">
        <is>
          <t>Training max</t>
        </is>
      </c>
      <c r="H5" s="8" t="inlineStr">
        <is>
          <t>Target</t>
        </is>
      </c>
      <c r="I5" s="8" t="inlineStr">
        <is>
          <t>Actual weight / height</t>
        </is>
      </c>
      <c r="J5" s="8" t="inlineStr">
        <is>
          <t>Actual reps</t>
        </is>
      </c>
      <c r="K5" s="8" t="inlineStr">
        <is>
          <t>RPE</t>
        </is>
      </c>
      <c r="L5" s="8" t="inlineStr">
        <is>
          <t>Done</t>
        </is>
      </c>
      <c r="M5" s="8" t="inlineStr">
        <is>
          <t>Est. 1RM</t>
        </is>
      </c>
      <c r="N5" s="8" t="inlineStr">
        <is>
          <t>PR</t>
        </is>
      </c>
      <c r="O5" s="8" t="inlineStr">
        <is>
          <t>Notes / guidance</t>
        </is>
      </c>
    </row>
    <row r="6">
      <c r="A6" s="45" t="inlineStr">
        <is>
          <t>WEEK 1 - CYCLE 1 - ACCUMULATION</t>
        </is>
      </c>
      <c r="B6" s="46" t="n"/>
      <c r="C6" s="46" t="n"/>
      <c r="D6" s="46" t="n"/>
      <c r="E6" s="46" t="n"/>
      <c r="F6" s="46" t="n"/>
      <c r="G6" s="46" t="n"/>
      <c r="H6" s="47" t="inlineStr">
        <is>
          <t>Bodyweight:</t>
        </is>
      </c>
      <c r="I6" s="7" t="n"/>
      <c r="J6" s="46" t="n"/>
      <c r="K6" s="46" t="n"/>
      <c r="L6" s="46" t="n"/>
      <c r="M6" s="46" t="n"/>
      <c r="N6" s="46" t="n"/>
      <c r="O6" s="46" t="n"/>
    </row>
    <row r="7">
      <c r="A7" s="31" t="inlineStr">
        <is>
          <t>Day 1 - Heavy</t>
        </is>
      </c>
      <c r="B7" s="32">
        <f>'Start Here'!$B$8+0</f>
        <v/>
      </c>
      <c r="C7" s="33" t="n"/>
      <c r="D7" s="33" t="n"/>
      <c r="E7" s="33" t="n"/>
      <c r="F7" s="33" t="n"/>
      <c r="G7" s="33" t="n"/>
      <c r="H7" s="33" t="n"/>
      <c r="I7" s="33" t="n"/>
      <c r="J7" s="33" t="n"/>
      <c r="K7" s="33" t="n"/>
      <c r="L7" s="33" t="n"/>
      <c r="M7" s="33" t="n"/>
      <c r="N7" s="33" t="n"/>
      <c r="O7" s="33" t="n"/>
    </row>
    <row r="8">
      <c r="A8" s="34" t="n"/>
      <c r="B8" s="34" t="n"/>
      <c r="C8" s="35" t="inlineStr">
        <is>
          <t>Box Jump</t>
        </is>
      </c>
      <c r="D8" s="34" t="inlineStr">
        <is>
          <t>4 x 3</t>
        </is>
      </c>
      <c r="E8" s="34" t="n"/>
      <c r="F8" s="34" t="n"/>
      <c r="G8" s="36" t="n"/>
      <c r="H8" s="37">
        <f>IF(N(Maxes!E69)&gt;0,Maxes!E69,'Start Here'!$G$16)</f>
        <v/>
      </c>
      <c r="I8" s="34" t="n"/>
      <c r="J8" s="34" t="n"/>
      <c r="K8" s="34" t="n"/>
      <c r="L8" s="34" t="n"/>
      <c r="M8" s="34" t="n"/>
      <c r="N8" s="34" t="n"/>
      <c r="O8" s="38" t="inlineStr">
        <is>
          <t>Two-foot jump onto a box, land soft in a quarter squat, STEP down. Log the box height (floor to top of box).</t>
        </is>
      </c>
    </row>
    <row r="9">
      <c r="C9" t="inlineStr">
        <is>
          <t xml:space="preserve">      Set 1</t>
        </is>
      </c>
      <c r="E9" t="n">
        <v>3</v>
      </c>
      <c r="H9" s="39">
        <f>IF(H8="","",H8)</f>
        <v/>
      </c>
      <c r="I9" s="7">
        <f>IF(H8="","",H8)</f>
        <v/>
      </c>
      <c r="J9" s="7" t="n">
        <v>3</v>
      </c>
      <c r="K9" s="7" t="n"/>
      <c r="L9" s="40" t="n"/>
      <c r="N9" s="41">
        <f>IF(AND(L9&lt;&gt;"",N(I9)&gt;0),IF(I9&gt;=PRs!D69,"PR!",""),"")</f>
        <v/>
      </c>
      <c r="O9" s="7" t="n"/>
    </row>
    <row r="10">
      <c r="C10" t="inlineStr">
        <is>
          <t xml:space="preserve">      Set 2</t>
        </is>
      </c>
      <c r="E10" t="n">
        <v>3</v>
      </c>
      <c r="H10" s="39">
        <f>IF(H8="","",H8)</f>
        <v/>
      </c>
      <c r="I10" s="7">
        <f>IF(H8="","",H8)</f>
        <v/>
      </c>
      <c r="J10" s="7" t="n">
        <v>3</v>
      </c>
      <c r="K10" s="7" t="n"/>
      <c r="L10" s="40" t="n"/>
      <c r="N10" s="41">
        <f>IF(AND(L10&lt;&gt;"",N(I10)&gt;0),IF(I10&gt;=PRs!D69,"PR!",""),"")</f>
        <v/>
      </c>
      <c r="O10" s="7" t="n"/>
    </row>
    <row r="11">
      <c r="C11" t="inlineStr">
        <is>
          <t xml:space="preserve">      Set 3</t>
        </is>
      </c>
      <c r="E11" t="n">
        <v>3</v>
      </c>
      <c r="H11" s="39">
        <f>IF(H8="","",H8)</f>
        <v/>
      </c>
      <c r="I11" s="7">
        <f>IF(H8="","",H8)</f>
        <v/>
      </c>
      <c r="J11" s="7" t="n">
        <v>3</v>
      </c>
      <c r="K11" s="7" t="n"/>
      <c r="L11" s="40" t="n"/>
      <c r="N11" s="41">
        <f>IF(AND(L11&lt;&gt;"",N(I11)&gt;0),IF(I11&gt;=PRs!D69,"PR!",""),"")</f>
        <v/>
      </c>
      <c r="O11" s="7" t="n"/>
    </row>
    <row r="12">
      <c r="C12" t="inlineStr">
        <is>
          <t xml:space="preserve">      Set 4</t>
        </is>
      </c>
      <c r="E12" t="n">
        <v>3</v>
      </c>
      <c r="H12" s="39">
        <f>IF(H8="","",H8)</f>
        <v/>
      </c>
      <c r="I12" s="7">
        <f>IF(H8="","",H8)</f>
        <v/>
      </c>
      <c r="J12" s="7" t="n">
        <v>3</v>
      </c>
      <c r="K12" s="7" t="n"/>
      <c r="L12" s="40" t="n"/>
      <c r="N12" s="41">
        <f>IF(AND(L12&lt;&gt;"",N(I12)&gt;0),IF(I12&gt;=PRs!D69,"PR!",""),"")</f>
        <v/>
      </c>
      <c r="O12" s="7" t="n"/>
    </row>
    <row r="13">
      <c r="A13" s="34" t="n"/>
      <c r="B13" s="34" t="n"/>
      <c r="C13" s="42" t="inlineStr">
        <is>
          <t>Snatch</t>
        </is>
      </c>
      <c r="D13" s="34" t="inlineStr">
        <is>
          <t>4 x 3</t>
        </is>
      </c>
      <c r="E13" s="34" t="n"/>
      <c r="F13" s="34" t="n">
        <v>70</v>
      </c>
      <c r="G13" s="36">
        <f>Maxes!E6</f>
        <v/>
      </c>
      <c r="H13" s="37">
        <f>IF(OR(G13="",F13=""),"",MROUND(G13*F13/100,'Start Here'!$B$7))</f>
        <v/>
      </c>
      <c r="I13" s="34" t="n"/>
      <c r="J13" s="34" t="n"/>
      <c r="K13" s="34" t="n"/>
      <c r="L13" s="34" t="n"/>
      <c r="M13" s="34" t="n"/>
      <c r="N13" s="34" t="n"/>
      <c r="O13" s="38" t="inlineStr"/>
    </row>
    <row r="14">
      <c r="C14" t="inlineStr">
        <is>
          <t xml:space="preserve">      Set 1</t>
        </is>
      </c>
      <c r="E14" t="n">
        <v>3</v>
      </c>
      <c r="H14" s="39">
        <f>IF(H13="","",H13)</f>
        <v/>
      </c>
      <c r="I14" s="7">
        <f>IF(H13="","",H13)</f>
        <v/>
      </c>
      <c r="J14" s="7" t="n">
        <v>3</v>
      </c>
      <c r="K14" s="7" t="n"/>
      <c r="L14" s="40" t="n"/>
      <c r="M14">
        <f>IF(AND(L14&lt;&gt;"",N(I14)&gt;0,N(J14)&gt;0),IF(J14=1,I14,ROUND(I14*(1+J14/30),1)),"")</f>
        <v/>
      </c>
      <c r="N14" s="41">
        <f>IF(M14="","",IF(M14&gt;=PRs!C6,"PR!",""))</f>
        <v/>
      </c>
      <c r="O14" s="7" t="n"/>
    </row>
    <row r="15">
      <c r="C15" t="inlineStr">
        <is>
          <t xml:space="preserve">      Set 2</t>
        </is>
      </c>
      <c r="E15" t="n">
        <v>3</v>
      </c>
      <c r="H15" s="39">
        <f>IF(H13="","",H13)</f>
        <v/>
      </c>
      <c r="I15" s="7">
        <f>IF(H13="","",H13)</f>
        <v/>
      </c>
      <c r="J15" s="7" t="n">
        <v>3</v>
      </c>
      <c r="K15" s="7" t="n"/>
      <c r="L15" s="40" t="n"/>
      <c r="M15">
        <f>IF(AND(L15&lt;&gt;"",N(I15)&gt;0,N(J15)&gt;0),IF(J15=1,I15,ROUND(I15*(1+J15/30),1)),"")</f>
        <v/>
      </c>
      <c r="N15" s="41">
        <f>IF(M15="","",IF(M15&gt;=PRs!C6,"PR!",""))</f>
        <v/>
      </c>
      <c r="O15" s="7" t="n"/>
    </row>
    <row r="16">
      <c r="C16" t="inlineStr">
        <is>
          <t xml:space="preserve">      Set 3</t>
        </is>
      </c>
      <c r="E16" t="n">
        <v>3</v>
      </c>
      <c r="H16" s="39">
        <f>IF(H13="","",H13)</f>
        <v/>
      </c>
      <c r="I16" s="7">
        <f>IF(H13="","",H13)</f>
        <v/>
      </c>
      <c r="J16" s="7" t="n">
        <v>3</v>
      </c>
      <c r="K16" s="7" t="n"/>
      <c r="L16" s="40" t="n"/>
      <c r="M16">
        <f>IF(AND(L16&lt;&gt;"",N(I16)&gt;0,N(J16)&gt;0),IF(J16=1,I16,ROUND(I16*(1+J16/30),1)),"")</f>
        <v/>
      </c>
      <c r="N16" s="41">
        <f>IF(M16="","",IF(M16&gt;=PRs!C6,"PR!",""))</f>
        <v/>
      </c>
      <c r="O16" s="7" t="n"/>
    </row>
    <row r="17">
      <c r="C17" t="inlineStr">
        <is>
          <t xml:space="preserve">      Set 4</t>
        </is>
      </c>
      <c r="E17" t="n">
        <v>3</v>
      </c>
      <c r="H17" s="39">
        <f>IF(H13="","",H13)</f>
        <v/>
      </c>
      <c r="I17" s="7">
        <f>IF(H13="","",H13)</f>
        <v/>
      </c>
      <c r="J17" s="7" t="n">
        <v>3</v>
      </c>
      <c r="K17" s="7" t="n"/>
      <c r="L17" s="40" t="n"/>
      <c r="M17">
        <f>IF(AND(L17&lt;&gt;"",N(I17)&gt;0,N(J17)&gt;0),IF(J17=1,I17,ROUND(I17*(1+J17/30),1)),"")</f>
        <v/>
      </c>
      <c r="N17" s="41">
        <f>IF(M17="","",IF(M17&gt;=PRs!C6,"PR!",""))</f>
        <v/>
      </c>
      <c r="O17" s="7" t="n"/>
    </row>
    <row r="18">
      <c r="A18" s="34" t="n"/>
      <c r="B18" s="34" t="n"/>
      <c r="C18" s="42" t="inlineStr">
        <is>
          <t>Squat</t>
        </is>
      </c>
      <c r="D18" s="34" t="inlineStr">
        <is>
          <t>3 x 6</t>
        </is>
      </c>
      <c r="E18" s="34" t="n"/>
      <c r="F18" s="34" t="n">
        <v>70</v>
      </c>
      <c r="G18" s="36">
        <f>Maxes!E2</f>
        <v/>
      </c>
      <c r="H18" s="37">
        <f>IF(OR(G18="",F18=""),"",MROUND(G18*F18/100,'Start Here'!$B$7))</f>
        <v/>
      </c>
      <c r="I18" s="34" t="n"/>
      <c r="J18" s="34" t="n"/>
      <c r="K18" s="34" t="n"/>
      <c r="L18" s="34" t="n"/>
      <c r="M18" s="34" t="n"/>
      <c r="N18" s="34" t="n"/>
      <c r="O18" s="38" t="inlineStr"/>
    </row>
    <row r="19">
      <c r="C19" t="inlineStr">
        <is>
          <t xml:space="preserve">      Set 1</t>
        </is>
      </c>
      <c r="E19" t="n">
        <v>6</v>
      </c>
      <c r="H19" s="39">
        <f>IF(H18="","",H18)</f>
        <v/>
      </c>
      <c r="I19" s="7">
        <f>IF(H18="","",H18)</f>
        <v/>
      </c>
      <c r="J19" s="7" t="n">
        <v>6</v>
      </c>
      <c r="K19" s="7" t="n"/>
      <c r="L19" s="40" t="n"/>
      <c r="M19">
        <f>IF(AND(L19&lt;&gt;"",N(I19)&gt;0,N(J19)&gt;0),IF(J19=1,I19,ROUND(I19*(1+J19/30),1)),"")</f>
        <v/>
      </c>
      <c r="N19" s="41">
        <f>IF(M19="","",IF(M19&gt;=PRs!C2,"PR!",""))</f>
        <v/>
      </c>
      <c r="O19" s="7" t="n"/>
    </row>
    <row r="20">
      <c r="C20" t="inlineStr">
        <is>
          <t xml:space="preserve">      Set 2</t>
        </is>
      </c>
      <c r="E20" t="n">
        <v>6</v>
      </c>
      <c r="H20" s="39">
        <f>IF(H18="","",H18)</f>
        <v/>
      </c>
      <c r="I20" s="7">
        <f>IF(H18="","",H18)</f>
        <v/>
      </c>
      <c r="J20" s="7" t="n">
        <v>6</v>
      </c>
      <c r="K20" s="7" t="n"/>
      <c r="L20" s="40" t="n"/>
      <c r="M20">
        <f>IF(AND(L20&lt;&gt;"",N(I20)&gt;0,N(J20)&gt;0),IF(J20=1,I20,ROUND(I20*(1+J20/30),1)),"")</f>
        <v/>
      </c>
      <c r="N20" s="41">
        <f>IF(M20="","",IF(M20&gt;=PRs!C2,"PR!",""))</f>
        <v/>
      </c>
      <c r="O20" s="7" t="n"/>
    </row>
    <row r="21">
      <c r="C21" t="inlineStr">
        <is>
          <t xml:space="preserve">      Set 3</t>
        </is>
      </c>
      <c r="E21" t="n">
        <v>6</v>
      </c>
      <c r="H21" s="39">
        <f>IF(H18="","",H18)</f>
        <v/>
      </c>
      <c r="I21" s="7">
        <f>IF(H18="","",H18)</f>
        <v/>
      </c>
      <c r="J21" s="7" t="n">
        <v>6</v>
      </c>
      <c r="K21" s="7" t="n"/>
      <c r="L21" s="40" t="n"/>
      <c r="M21">
        <f>IF(AND(L21&lt;&gt;"",N(I21)&gt;0,N(J21)&gt;0),IF(J21=1,I21,ROUND(I21*(1+J21/30),1)),"")</f>
        <v/>
      </c>
      <c r="N21" s="41">
        <f>IF(M21="","",IF(M21&gt;=PRs!C2,"PR!",""))</f>
        <v/>
      </c>
      <c r="O21" s="7" t="n"/>
    </row>
    <row r="22">
      <c r="A22" s="34" t="n"/>
      <c r="B22" s="34" t="n"/>
      <c r="C22" s="42" t="inlineStr">
        <is>
          <t>Bench Press</t>
        </is>
      </c>
      <c r="D22" s="34" t="inlineStr">
        <is>
          <t>3 x 6</t>
        </is>
      </c>
      <c r="E22" s="34" t="n"/>
      <c r="F22" s="34" t="n">
        <v>70</v>
      </c>
      <c r="G22" s="36">
        <f>Maxes!E3</f>
        <v/>
      </c>
      <c r="H22" s="37">
        <f>IF(OR(G22="",F22=""),"",MROUND(G22*F22/100,'Start Here'!$B$7))</f>
        <v/>
      </c>
      <c r="I22" s="34" t="n"/>
      <c r="J22" s="34" t="n"/>
      <c r="K22" s="34" t="n"/>
      <c r="L22" s="34" t="n"/>
      <c r="M22" s="34" t="n"/>
      <c r="N22" s="34" t="n"/>
      <c r="O22" s="38" t="inlineStr"/>
    </row>
    <row r="23">
      <c r="C23" t="inlineStr">
        <is>
          <t xml:space="preserve">      Set 1</t>
        </is>
      </c>
      <c r="E23" t="n">
        <v>6</v>
      </c>
      <c r="H23" s="39">
        <f>IF(H22="","",H22)</f>
        <v/>
      </c>
      <c r="I23" s="7">
        <f>IF(H22="","",H22)</f>
        <v/>
      </c>
      <c r="J23" s="7" t="n">
        <v>6</v>
      </c>
      <c r="K23" s="7" t="n"/>
      <c r="L23" s="40" t="n"/>
      <c r="M23">
        <f>IF(AND(L23&lt;&gt;"",N(I23)&gt;0,N(J23)&gt;0),IF(J23=1,I23,ROUND(I23*(1+J23/30),1)),"")</f>
        <v/>
      </c>
      <c r="N23" s="41">
        <f>IF(M23="","",IF(M23&gt;=PRs!C3,"PR!",""))</f>
        <v/>
      </c>
      <c r="O23" s="7" t="n"/>
    </row>
    <row r="24">
      <c r="C24" t="inlineStr">
        <is>
          <t xml:space="preserve">      Set 2</t>
        </is>
      </c>
      <c r="E24" t="n">
        <v>6</v>
      </c>
      <c r="H24" s="39">
        <f>IF(H22="","",H22)</f>
        <v/>
      </c>
      <c r="I24" s="7">
        <f>IF(H22="","",H22)</f>
        <v/>
      </c>
      <c r="J24" s="7" t="n">
        <v>6</v>
      </c>
      <c r="K24" s="7" t="n"/>
      <c r="L24" s="40" t="n"/>
      <c r="M24">
        <f>IF(AND(L24&lt;&gt;"",N(I24)&gt;0,N(J24)&gt;0),IF(J24=1,I24,ROUND(I24*(1+J24/30),1)),"")</f>
        <v/>
      </c>
      <c r="N24" s="41">
        <f>IF(M24="","",IF(M24&gt;=PRs!C3,"PR!",""))</f>
        <v/>
      </c>
      <c r="O24" s="7" t="n"/>
    </row>
    <row r="25">
      <c r="C25" t="inlineStr">
        <is>
          <t xml:space="preserve">      Set 3</t>
        </is>
      </c>
      <c r="E25" t="n">
        <v>6</v>
      </c>
      <c r="H25" s="39">
        <f>IF(H22="","",H22)</f>
        <v/>
      </c>
      <c r="I25" s="7">
        <f>IF(H22="","",H22)</f>
        <v/>
      </c>
      <c r="J25" s="7" t="n">
        <v>6</v>
      </c>
      <c r="K25" s="7" t="n"/>
      <c r="L25" s="40" t="n"/>
      <c r="M25">
        <f>IF(AND(L25&lt;&gt;"",N(I25)&gt;0,N(J25)&gt;0),IF(J25=1,I25,ROUND(I25*(1+J25/30),1)),"")</f>
        <v/>
      </c>
      <c r="N25" s="41">
        <f>IF(M25="","",IF(M25&gt;=PRs!C3,"PR!",""))</f>
        <v/>
      </c>
      <c r="O25" s="7" t="n"/>
    </row>
    <row r="26">
      <c r="A26" s="34" t="n"/>
      <c r="B26" s="34" t="n"/>
      <c r="C26" s="43" t="inlineStr">
        <is>
          <t>Barbell Row</t>
        </is>
      </c>
      <c r="D26" s="34" t="inlineStr">
        <is>
          <t>4 x 8-10</t>
        </is>
      </c>
      <c r="E26" s="34" t="n"/>
      <c r="F26" s="34" t="n"/>
      <c r="G26" s="36" t="n"/>
      <c r="H26" s="37" t="n"/>
      <c r="I26" s="34" t="n"/>
      <c r="J26" s="34" t="n"/>
      <c r="K26" s="34" t="n"/>
      <c r="L26" s="34" t="n"/>
      <c r="M26" s="34" t="n"/>
      <c r="N26" s="34" t="n"/>
      <c r="O26" s="38" t="inlineStr">
        <is>
          <t>Leave 1-2 reps in the tank; add weight when you hit the top of the range</t>
        </is>
      </c>
    </row>
    <row r="27">
      <c r="C27" t="inlineStr">
        <is>
          <t xml:space="preserve">      Set 1</t>
        </is>
      </c>
      <c r="E27" t="n">
        <v>8</v>
      </c>
      <c r="H27" s="39">
        <f>IF(H26="","",H26)</f>
        <v/>
      </c>
      <c r="I27" s="7">
        <f>IF(H26="","",H26)</f>
        <v/>
      </c>
      <c r="J27" s="7" t="n">
        <v>8</v>
      </c>
      <c r="K27" s="7" t="n"/>
      <c r="L27" s="40" t="n"/>
      <c r="M27">
        <f>IF(AND(L27&lt;&gt;"",N(I27)&gt;0,N(J27)&gt;0),IF(J27=1,I27,ROUND(I27*(1+J27/30),1)),"")</f>
        <v/>
      </c>
      <c r="N27" s="41">
        <f>IF(M27="","",IF(M27&gt;=PRs!C50,"PR!",""))</f>
        <v/>
      </c>
      <c r="O27" s="7" t="n"/>
    </row>
    <row r="28">
      <c r="C28" t="inlineStr">
        <is>
          <t xml:space="preserve">      Set 2</t>
        </is>
      </c>
      <c r="E28" t="n">
        <v>8</v>
      </c>
      <c r="H28" s="39">
        <f>IF(H26="","",H26)</f>
        <v/>
      </c>
      <c r="I28" s="7">
        <f>IF(H26="","",H26)</f>
        <v/>
      </c>
      <c r="J28" s="7" t="n">
        <v>8</v>
      </c>
      <c r="K28" s="7" t="n"/>
      <c r="L28" s="40" t="n"/>
      <c r="M28">
        <f>IF(AND(L28&lt;&gt;"",N(I28)&gt;0,N(J28)&gt;0),IF(J28=1,I28,ROUND(I28*(1+J28/30),1)),"")</f>
        <v/>
      </c>
      <c r="N28" s="41">
        <f>IF(M28="","",IF(M28&gt;=PRs!C50,"PR!",""))</f>
        <v/>
      </c>
      <c r="O28" s="7" t="n"/>
    </row>
    <row r="29">
      <c r="C29" t="inlineStr">
        <is>
          <t xml:space="preserve">      Set 3</t>
        </is>
      </c>
      <c r="E29" t="n">
        <v>8</v>
      </c>
      <c r="H29" s="39">
        <f>IF(H26="","",H26)</f>
        <v/>
      </c>
      <c r="I29" s="7">
        <f>IF(H26="","",H26)</f>
        <v/>
      </c>
      <c r="J29" s="7" t="n">
        <v>8</v>
      </c>
      <c r="K29" s="7" t="n"/>
      <c r="L29" s="40" t="n"/>
      <c r="M29">
        <f>IF(AND(L29&lt;&gt;"",N(I29)&gt;0,N(J29)&gt;0),IF(J29=1,I29,ROUND(I29*(1+J29/30),1)),"")</f>
        <v/>
      </c>
      <c r="N29" s="41">
        <f>IF(M29="","",IF(M29&gt;=PRs!C50,"PR!",""))</f>
        <v/>
      </c>
      <c r="O29" s="7" t="n"/>
    </row>
    <row r="30">
      <c r="C30" t="inlineStr">
        <is>
          <t xml:space="preserve">      Set 4</t>
        </is>
      </c>
      <c r="E30" t="n">
        <v>8</v>
      </c>
      <c r="H30" s="39">
        <f>IF(H26="","",H26)</f>
        <v/>
      </c>
      <c r="I30" s="7">
        <f>IF(H26="","",H26)</f>
        <v/>
      </c>
      <c r="J30" s="7" t="n">
        <v>8</v>
      </c>
      <c r="K30" s="7" t="n"/>
      <c r="L30" s="40" t="n"/>
      <c r="M30">
        <f>IF(AND(L30&lt;&gt;"",N(I30)&gt;0,N(J30)&gt;0),IF(J30=1,I30,ROUND(I30*(1+J30/30),1)),"")</f>
        <v/>
      </c>
      <c r="N30" s="41">
        <f>IF(M30="","",IF(M30&gt;=PRs!C50,"PR!",""))</f>
        <v/>
      </c>
      <c r="O30" s="7" t="n"/>
    </row>
    <row r="31">
      <c r="A31" s="34" t="n"/>
      <c r="B31" s="34" t="n"/>
      <c r="C31" s="43" t="inlineStr">
        <is>
          <t>Face Pull</t>
        </is>
      </c>
      <c r="D31" s="34" t="inlineStr">
        <is>
          <t>4 x 12-15</t>
        </is>
      </c>
      <c r="E31" s="34" t="n"/>
      <c r="F31" s="34" t="n"/>
      <c r="G31" s="36" t="n"/>
      <c r="H31" s="37" t="n"/>
      <c r="I31" s="34" t="n"/>
      <c r="J31" s="34" t="n"/>
      <c r="K31" s="34" t="n"/>
      <c r="L31" s="34" t="n"/>
      <c r="M31" s="34" t="n"/>
      <c r="N31" s="34" t="n"/>
      <c r="O31" s="38" t="inlineStr">
        <is>
          <t>Leave 1-2 reps in the tank; add weight when you hit the top of the range</t>
        </is>
      </c>
    </row>
    <row r="32">
      <c r="C32" t="inlineStr">
        <is>
          <t xml:space="preserve">      Set 1</t>
        </is>
      </c>
      <c r="E32" t="n">
        <v>12</v>
      </c>
      <c r="H32" s="39">
        <f>IF(H31="","",H31)</f>
        <v/>
      </c>
      <c r="I32" s="7">
        <f>IF(H31="","",H31)</f>
        <v/>
      </c>
      <c r="J32" s="7" t="n">
        <v>12</v>
      </c>
      <c r="K32" s="7" t="n"/>
      <c r="L32" s="40" t="n"/>
      <c r="M32">
        <f>IF(AND(L32&lt;&gt;"",N(I32)&gt;0,N(J32)&gt;0),IF(J32=1,I32,ROUND(I32*(1+J32/30),1)),"")</f>
        <v/>
      </c>
      <c r="N32" s="41">
        <f>IF(M32="","",IF(M32&gt;=PRs!C51,"PR!",""))</f>
        <v/>
      </c>
      <c r="O32" s="7" t="n"/>
    </row>
    <row r="33">
      <c r="C33" t="inlineStr">
        <is>
          <t xml:space="preserve">      Set 2</t>
        </is>
      </c>
      <c r="E33" t="n">
        <v>12</v>
      </c>
      <c r="H33" s="39">
        <f>IF(H31="","",H31)</f>
        <v/>
      </c>
      <c r="I33" s="7">
        <f>IF(H31="","",H31)</f>
        <v/>
      </c>
      <c r="J33" s="7" t="n">
        <v>12</v>
      </c>
      <c r="K33" s="7" t="n"/>
      <c r="L33" s="40" t="n"/>
      <c r="M33">
        <f>IF(AND(L33&lt;&gt;"",N(I33)&gt;0,N(J33)&gt;0),IF(J33=1,I33,ROUND(I33*(1+J33/30),1)),"")</f>
        <v/>
      </c>
      <c r="N33" s="41">
        <f>IF(M33="","",IF(M33&gt;=PRs!C51,"PR!",""))</f>
        <v/>
      </c>
      <c r="O33" s="7" t="n"/>
    </row>
    <row r="34">
      <c r="C34" t="inlineStr">
        <is>
          <t xml:space="preserve">      Set 3</t>
        </is>
      </c>
      <c r="E34" t="n">
        <v>12</v>
      </c>
      <c r="H34" s="39">
        <f>IF(H31="","",H31)</f>
        <v/>
      </c>
      <c r="I34" s="7">
        <f>IF(H31="","",H31)</f>
        <v/>
      </c>
      <c r="J34" s="7" t="n">
        <v>12</v>
      </c>
      <c r="K34" s="7" t="n"/>
      <c r="L34" s="40" t="n"/>
      <c r="M34">
        <f>IF(AND(L34&lt;&gt;"",N(I34)&gt;0,N(J34)&gt;0),IF(J34=1,I34,ROUND(I34*(1+J34/30),1)),"")</f>
        <v/>
      </c>
      <c r="N34" s="41">
        <f>IF(M34="","",IF(M34&gt;=PRs!C51,"PR!",""))</f>
        <v/>
      </c>
      <c r="O34" s="7" t="n"/>
    </row>
    <row r="35">
      <c r="C35" t="inlineStr">
        <is>
          <t xml:space="preserve">      Set 4</t>
        </is>
      </c>
      <c r="E35" t="n">
        <v>12</v>
      </c>
      <c r="H35" s="39">
        <f>IF(H31="","",H31)</f>
        <v/>
      </c>
      <c r="I35" s="7">
        <f>IF(H31="","",H31)</f>
        <v/>
      </c>
      <c r="J35" s="7" t="n">
        <v>12</v>
      </c>
      <c r="K35" s="7" t="n"/>
      <c r="L35" s="40" t="n"/>
      <c r="M35">
        <f>IF(AND(L35&lt;&gt;"",N(I35)&gt;0,N(J35)&gt;0),IF(J35=1,I35,ROUND(I35*(1+J35/30),1)),"")</f>
        <v/>
      </c>
      <c r="N35" s="41">
        <f>IF(M35="","",IF(M35&gt;=PRs!C51,"PR!",""))</f>
        <v/>
      </c>
      <c r="O35" s="7" t="n"/>
    </row>
    <row r="36">
      <c r="A36" s="31" t="inlineStr">
        <is>
          <t>Day 2 - Light</t>
        </is>
      </c>
      <c r="B36" s="32">
        <f>'Start Here'!$B$8+2</f>
        <v/>
      </c>
      <c r="C36" s="33" t="n"/>
      <c r="D36" s="33" t="n"/>
      <c r="E36" s="33" t="n"/>
      <c r="F36" s="33" t="n"/>
      <c r="G36" s="33" t="n"/>
      <c r="H36" s="33" t="n"/>
      <c r="I36" s="33" t="n"/>
      <c r="J36" s="33" t="n"/>
      <c r="K36" s="33" t="n"/>
      <c r="L36" s="33" t="n"/>
      <c r="M36" s="33" t="n"/>
      <c r="N36" s="33" t="n"/>
      <c r="O36" s="33" t="n"/>
    </row>
    <row r="37">
      <c r="A37" s="34" t="n"/>
      <c r="B37" s="34" t="n"/>
      <c r="C37" s="35" t="inlineStr">
        <is>
          <t>Broad Jump</t>
        </is>
      </c>
      <c r="D37" s="34" t="inlineStr">
        <is>
          <t>4 x 3</t>
        </is>
      </c>
      <c r="E37" s="34" t="n"/>
      <c r="F37" s="34" t="n"/>
      <c r="G37" s="36" t="n"/>
      <c r="H37" s="37">
        <f>IF(N(Maxes!E70)&gt;0,Maxes!E70,"")</f>
        <v/>
      </c>
      <c r="I37" s="34" t="n"/>
      <c r="J37" s="34" t="n"/>
      <c r="K37" s="34" t="n"/>
      <c r="L37" s="34" t="n"/>
      <c r="M37" s="34" t="n"/>
      <c r="N37" s="34" t="n"/>
      <c r="O37" s="38" t="inlineStr">
        <is>
          <t>Standing two-foot jump forward, stick the landing. Measure toe line to the back of the nearest heel.</t>
        </is>
      </c>
    </row>
    <row r="38">
      <c r="C38" t="inlineStr">
        <is>
          <t xml:space="preserve">      Set 1</t>
        </is>
      </c>
      <c r="E38" t="n">
        <v>3</v>
      </c>
      <c r="H38" s="39">
        <f>IF(H37="","",H37)</f>
        <v/>
      </c>
      <c r="I38" s="7">
        <f>IF(H37="","",H37)</f>
        <v/>
      </c>
      <c r="J38" s="7" t="n">
        <v>3</v>
      </c>
      <c r="K38" s="7" t="n"/>
      <c r="L38" s="40" t="n"/>
      <c r="N38" s="41">
        <f>IF(AND(L38&lt;&gt;"",N(I38)&gt;0),IF(I38&gt;=PRs!D70,"PR!",""),"")</f>
        <v/>
      </c>
      <c r="O38" s="7" t="n"/>
    </row>
    <row r="39">
      <c r="C39" t="inlineStr">
        <is>
          <t xml:space="preserve">      Set 2</t>
        </is>
      </c>
      <c r="E39" t="n">
        <v>3</v>
      </c>
      <c r="H39" s="39">
        <f>IF(H37="","",H37)</f>
        <v/>
      </c>
      <c r="I39" s="7">
        <f>IF(H37="","",H37)</f>
        <v/>
      </c>
      <c r="J39" s="7" t="n">
        <v>3</v>
      </c>
      <c r="K39" s="7" t="n"/>
      <c r="L39" s="40" t="n"/>
      <c r="N39" s="41">
        <f>IF(AND(L39&lt;&gt;"",N(I39)&gt;0),IF(I39&gt;=PRs!D70,"PR!",""),"")</f>
        <v/>
      </c>
      <c r="O39" s="7" t="n"/>
    </row>
    <row r="40">
      <c r="C40" t="inlineStr">
        <is>
          <t xml:space="preserve">      Set 3</t>
        </is>
      </c>
      <c r="E40" t="n">
        <v>3</v>
      </c>
      <c r="H40" s="39">
        <f>IF(H37="","",H37)</f>
        <v/>
      </c>
      <c r="I40" s="7">
        <f>IF(H37="","",H37)</f>
        <v/>
      </c>
      <c r="J40" s="7" t="n">
        <v>3</v>
      </c>
      <c r="K40" s="7" t="n"/>
      <c r="L40" s="40" t="n"/>
      <c r="N40" s="41">
        <f>IF(AND(L40&lt;&gt;"",N(I40)&gt;0),IF(I40&gt;=PRs!D70,"PR!",""),"")</f>
        <v/>
      </c>
      <c r="O40" s="7" t="n"/>
    </row>
    <row r="41">
      <c r="C41" t="inlineStr">
        <is>
          <t xml:space="preserve">      Set 4</t>
        </is>
      </c>
      <c r="E41" t="n">
        <v>3</v>
      </c>
      <c r="H41" s="39">
        <f>IF(H37="","",H37)</f>
        <v/>
      </c>
      <c r="I41" s="7">
        <f>IF(H37="","",H37)</f>
        <v/>
      </c>
      <c r="J41" s="7" t="n">
        <v>3</v>
      </c>
      <c r="K41" s="7" t="n"/>
      <c r="L41" s="40" t="n"/>
      <c r="N41" s="41">
        <f>IF(AND(L41&lt;&gt;"",N(I41)&gt;0),IF(I41&gt;=PRs!D70,"PR!",""),"")</f>
        <v/>
      </c>
      <c r="O41" s="7" t="n"/>
    </row>
    <row r="42">
      <c r="A42" s="34" t="n"/>
      <c r="B42" s="34" t="n"/>
      <c r="C42" s="35" t="inlineStr">
        <is>
          <t>Med Ball Chest Pass</t>
        </is>
      </c>
      <c r="D42" s="34" t="inlineStr">
        <is>
          <t>3 x 5</t>
        </is>
      </c>
      <c r="E42" s="34" t="n"/>
      <c r="F42" s="34" t="n"/>
      <c r="G42" s="36" t="n"/>
      <c r="H42" s="37">
        <f>IF(N(Maxes!E77)&gt;0,Maxes!E77,"")</f>
        <v/>
      </c>
      <c r="I42" s="34" t="n"/>
      <c r="J42" s="34" t="n"/>
      <c r="K42" s="34" t="n"/>
      <c r="L42" s="34" t="n"/>
      <c r="M42" s="34" t="n"/>
      <c r="N42" s="34" t="n"/>
      <c r="O42" s="38" t="inlineStr">
        <is>
          <t>Kneeling or standing chest pass for distance with a 6-10 lb / 3-5 kg ball. Log the distance.</t>
        </is>
      </c>
    </row>
    <row r="43">
      <c r="C43" t="inlineStr">
        <is>
          <t xml:space="preserve">      Set 1</t>
        </is>
      </c>
      <c r="E43" t="n">
        <v>5</v>
      </c>
      <c r="H43" s="39">
        <f>IF(H42="","",H42)</f>
        <v/>
      </c>
      <c r="I43" s="7">
        <f>IF(H42="","",H42)</f>
        <v/>
      </c>
      <c r="J43" s="7" t="n">
        <v>5</v>
      </c>
      <c r="K43" s="7" t="n"/>
      <c r="L43" s="40" t="n"/>
      <c r="N43" s="41">
        <f>IF(AND(L43&lt;&gt;"",N(I43)&gt;0),IF(I43&gt;=PRs!D77,"PR!",""),"")</f>
        <v/>
      </c>
      <c r="O43" s="7" t="n"/>
    </row>
    <row r="44">
      <c r="C44" t="inlineStr">
        <is>
          <t xml:space="preserve">      Set 2</t>
        </is>
      </c>
      <c r="E44" t="n">
        <v>5</v>
      </c>
      <c r="H44" s="39">
        <f>IF(H42="","",H42)</f>
        <v/>
      </c>
      <c r="I44" s="7">
        <f>IF(H42="","",H42)</f>
        <v/>
      </c>
      <c r="J44" s="7" t="n">
        <v>5</v>
      </c>
      <c r="K44" s="7" t="n"/>
      <c r="L44" s="40" t="n"/>
      <c r="N44" s="41">
        <f>IF(AND(L44&lt;&gt;"",N(I44)&gt;0),IF(I44&gt;=PRs!D77,"PR!",""),"")</f>
        <v/>
      </c>
      <c r="O44" s="7" t="n"/>
    </row>
    <row r="45">
      <c r="C45" t="inlineStr">
        <is>
          <t xml:space="preserve">      Set 3</t>
        </is>
      </c>
      <c r="E45" t="n">
        <v>5</v>
      </c>
      <c r="H45" s="39">
        <f>IF(H42="","",H42)</f>
        <v/>
      </c>
      <c r="I45" s="7">
        <f>IF(H42="","",H42)</f>
        <v/>
      </c>
      <c r="J45" s="7" t="n">
        <v>5</v>
      </c>
      <c r="K45" s="7" t="n"/>
      <c r="L45" s="40" t="n"/>
      <c r="N45" s="41">
        <f>IF(AND(L45&lt;&gt;"",N(I45)&gt;0),IF(I45&gt;=PRs!D77,"PR!",""),"")</f>
        <v/>
      </c>
      <c r="O45" s="7" t="n"/>
    </row>
    <row r="46">
      <c r="A46" s="34" t="n"/>
      <c r="B46" s="34" t="n"/>
      <c r="C46" s="42" t="inlineStr">
        <is>
          <t>Clean &amp; Jerk</t>
        </is>
      </c>
      <c r="D46" s="34" t="inlineStr">
        <is>
          <t>4 x 3</t>
        </is>
      </c>
      <c r="E46" s="34" t="n"/>
      <c r="F46" s="34" t="n">
        <v>70</v>
      </c>
      <c r="G46" s="36">
        <f>Maxes!E7</f>
        <v/>
      </c>
      <c r="H46" s="37">
        <f>IF(OR(G46="",F46=""),"",MROUND(G46*F46/100,'Start Here'!$B$7))</f>
        <v/>
      </c>
      <c r="I46" s="34" t="n"/>
      <c r="J46" s="34" t="n"/>
      <c r="K46" s="34" t="n"/>
      <c r="L46" s="34" t="n"/>
      <c r="M46" s="34" t="n"/>
      <c r="N46" s="34" t="n"/>
      <c r="O46" s="38" t="inlineStr"/>
    </row>
    <row r="47">
      <c r="C47" t="inlineStr">
        <is>
          <t xml:space="preserve">      Set 1</t>
        </is>
      </c>
      <c r="E47" t="n">
        <v>3</v>
      </c>
      <c r="H47" s="39">
        <f>IF(H46="","",H46)</f>
        <v/>
      </c>
      <c r="I47" s="7">
        <f>IF(H46="","",H46)</f>
        <v/>
      </c>
      <c r="J47" s="7" t="n">
        <v>3</v>
      </c>
      <c r="K47" s="7" t="n"/>
      <c r="L47" s="40" t="n"/>
      <c r="M47">
        <f>IF(AND(L47&lt;&gt;"",N(I47)&gt;0,N(J47)&gt;0),IF(J47=1,I47,ROUND(I47*(1+J47/30),1)),"")</f>
        <v/>
      </c>
      <c r="N47" s="41">
        <f>IF(M47="","",IF(M47&gt;=PRs!C7,"PR!",""))</f>
        <v/>
      </c>
      <c r="O47" s="7" t="n"/>
    </row>
    <row r="48">
      <c r="C48" t="inlineStr">
        <is>
          <t xml:space="preserve">      Set 2</t>
        </is>
      </c>
      <c r="E48" t="n">
        <v>3</v>
      </c>
      <c r="H48" s="39">
        <f>IF(H46="","",H46)</f>
        <v/>
      </c>
      <c r="I48" s="7">
        <f>IF(H46="","",H46)</f>
        <v/>
      </c>
      <c r="J48" s="7" t="n">
        <v>3</v>
      </c>
      <c r="K48" s="7" t="n"/>
      <c r="L48" s="40" t="n"/>
      <c r="M48">
        <f>IF(AND(L48&lt;&gt;"",N(I48)&gt;0,N(J48)&gt;0),IF(J48=1,I48,ROUND(I48*(1+J48/30),1)),"")</f>
        <v/>
      </c>
      <c r="N48" s="41">
        <f>IF(M48="","",IF(M48&gt;=PRs!C7,"PR!",""))</f>
        <v/>
      </c>
      <c r="O48" s="7" t="n"/>
    </row>
    <row r="49">
      <c r="C49" t="inlineStr">
        <is>
          <t xml:space="preserve">      Set 3</t>
        </is>
      </c>
      <c r="E49" t="n">
        <v>3</v>
      </c>
      <c r="H49" s="39">
        <f>IF(H46="","",H46)</f>
        <v/>
      </c>
      <c r="I49" s="7">
        <f>IF(H46="","",H46)</f>
        <v/>
      </c>
      <c r="J49" s="7" t="n">
        <v>3</v>
      </c>
      <c r="K49" s="7" t="n"/>
      <c r="L49" s="40" t="n"/>
      <c r="M49">
        <f>IF(AND(L49&lt;&gt;"",N(I49)&gt;0,N(J49)&gt;0),IF(J49=1,I49,ROUND(I49*(1+J49/30),1)),"")</f>
        <v/>
      </c>
      <c r="N49" s="41">
        <f>IF(M49="","",IF(M49&gt;=PRs!C7,"PR!",""))</f>
        <v/>
      </c>
      <c r="O49" s="7" t="n"/>
    </row>
    <row r="50">
      <c r="C50" t="inlineStr">
        <is>
          <t xml:space="preserve">      Set 4</t>
        </is>
      </c>
      <c r="E50" t="n">
        <v>3</v>
      </c>
      <c r="H50" s="39">
        <f>IF(H46="","",H46)</f>
        <v/>
      </c>
      <c r="I50" s="7">
        <f>IF(H46="","",H46)</f>
        <v/>
      </c>
      <c r="J50" s="7" t="n">
        <v>3</v>
      </c>
      <c r="K50" s="7" t="n"/>
      <c r="L50" s="40" t="n"/>
      <c r="M50">
        <f>IF(AND(L50&lt;&gt;"",N(I50)&gt;0,N(J50)&gt;0),IF(J50=1,I50,ROUND(I50*(1+J50/30),1)),"")</f>
        <v/>
      </c>
      <c r="N50" s="41">
        <f>IF(M50="","",IF(M50&gt;=PRs!C7,"PR!",""))</f>
        <v/>
      </c>
      <c r="O50" s="7" t="n"/>
    </row>
    <row r="51">
      <c r="A51" s="34" t="n"/>
      <c r="B51" s="34" t="n"/>
      <c r="C51" s="42" t="inlineStr">
        <is>
          <t>Squat</t>
        </is>
      </c>
      <c r="D51" s="34" t="inlineStr">
        <is>
          <t>3 x 6</t>
        </is>
      </c>
      <c r="E51" s="34" t="n"/>
      <c r="F51" s="34" t="n">
        <v>60</v>
      </c>
      <c r="G51" s="36">
        <f>Maxes!E2</f>
        <v/>
      </c>
      <c r="H51" s="37">
        <f>IF(OR(G51="",F51=""),"",MROUND(G51*F51/100,'Start Here'!$B$7))</f>
        <v/>
      </c>
      <c r="I51" s="34" t="n"/>
      <c r="J51" s="34" t="n"/>
      <c r="K51" s="34" t="n"/>
      <c r="L51" s="34" t="n"/>
      <c r="M51" s="34" t="n"/>
      <c r="N51" s="34" t="n"/>
      <c r="O51" s="38" t="inlineStr"/>
    </row>
    <row r="52">
      <c r="C52" t="inlineStr">
        <is>
          <t xml:space="preserve">      Set 1</t>
        </is>
      </c>
      <c r="E52" t="n">
        <v>6</v>
      </c>
      <c r="H52" s="39">
        <f>IF(H51="","",H51)</f>
        <v/>
      </c>
      <c r="I52" s="7">
        <f>IF(H51="","",H51)</f>
        <v/>
      </c>
      <c r="J52" s="7" t="n">
        <v>6</v>
      </c>
      <c r="K52" s="7" t="n"/>
      <c r="L52" s="40" t="n"/>
      <c r="M52">
        <f>IF(AND(L52&lt;&gt;"",N(I52)&gt;0,N(J52)&gt;0),IF(J52=1,I52,ROUND(I52*(1+J52/30),1)),"")</f>
        <v/>
      </c>
      <c r="N52" s="41">
        <f>IF(M52="","",IF(M52&gt;=PRs!C2,"PR!",""))</f>
        <v/>
      </c>
      <c r="O52" s="7" t="n"/>
    </row>
    <row r="53">
      <c r="C53" t="inlineStr">
        <is>
          <t xml:space="preserve">      Set 2</t>
        </is>
      </c>
      <c r="E53" t="n">
        <v>6</v>
      </c>
      <c r="H53" s="39">
        <f>IF(H51="","",H51)</f>
        <v/>
      </c>
      <c r="I53" s="7">
        <f>IF(H51="","",H51)</f>
        <v/>
      </c>
      <c r="J53" s="7" t="n">
        <v>6</v>
      </c>
      <c r="K53" s="7" t="n"/>
      <c r="L53" s="40" t="n"/>
      <c r="M53">
        <f>IF(AND(L53&lt;&gt;"",N(I53)&gt;0,N(J53)&gt;0),IF(J53=1,I53,ROUND(I53*(1+J53/30),1)),"")</f>
        <v/>
      </c>
      <c r="N53" s="41">
        <f>IF(M53="","",IF(M53&gt;=PRs!C2,"PR!",""))</f>
        <v/>
      </c>
      <c r="O53" s="7" t="n"/>
    </row>
    <row r="54">
      <c r="C54" t="inlineStr">
        <is>
          <t xml:space="preserve">      Set 3</t>
        </is>
      </c>
      <c r="E54" t="n">
        <v>6</v>
      </c>
      <c r="H54" s="39">
        <f>IF(H51="","",H51)</f>
        <v/>
      </c>
      <c r="I54" s="7">
        <f>IF(H51="","",H51)</f>
        <v/>
      </c>
      <c r="J54" s="7" t="n">
        <v>6</v>
      </c>
      <c r="K54" s="7" t="n"/>
      <c r="L54" s="40" t="n"/>
      <c r="M54">
        <f>IF(AND(L54&lt;&gt;"",N(I54)&gt;0,N(J54)&gt;0),IF(J54=1,I54,ROUND(I54*(1+J54/30),1)),"")</f>
        <v/>
      </c>
      <c r="N54" s="41">
        <f>IF(M54="","",IF(M54&gt;=PRs!C2,"PR!",""))</f>
        <v/>
      </c>
      <c r="O54" s="7" t="n"/>
    </row>
    <row r="55">
      <c r="A55" s="34" t="n"/>
      <c r="B55" s="34" t="n"/>
      <c r="C55" s="42" t="inlineStr">
        <is>
          <t>Overhead Press</t>
        </is>
      </c>
      <c r="D55" s="34" t="inlineStr">
        <is>
          <t>4 x 6</t>
        </is>
      </c>
      <c r="E55" s="34" t="n"/>
      <c r="F55" s="34" t="n">
        <v>65</v>
      </c>
      <c r="G55" s="36">
        <f>Maxes!E5</f>
        <v/>
      </c>
      <c r="H55" s="37">
        <f>IF(OR(G55="",F55=""),"",MROUND(G55*F55/100,'Start Here'!$B$7))</f>
        <v/>
      </c>
      <c r="I55" s="34" t="n"/>
      <c r="J55" s="34" t="n"/>
      <c r="K55" s="34" t="n"/>
      <c r="L55" s="34" t="n"/>
      <c r="M55" s="34" t="n"/>
      <c r="N55" s="34" t="n"/>
      <c r="O55" s="38" t="inlineStr"/>
    </row>
    <row r="56">
      <c r="C56" t="inlineStr">
        <is>
          <t xml:space="preserve">      Set 1</t>
        </is>
      </c>
      <c r="E56" t="n">
        <v>6</v>
      </c>
      <c r="H56" s="39">
        <f>IF(H55="","",H55)</f>
        <v/>
      </c>
      <c r="I56" s="7">
        <f>IF(H55="","",H55)</f>
        <v/>
      </c>
      <c r="J56" s="7" t="n">
        <v>6</v>
      </c>
      <c r="K56" s="7" t="n"/>
      <c r="L56" s="40" t="n"/>
      <c r="M56">
        <f>IF(AND(L56&lt;&gt;"",N(I56)&gt;0,N(J56)&gt;0),IF(J56=1,I56,ROUND(I56*(1+J56/30),1)),"")</f>
        <v/>
      </c>
      <c r="N56" s="41">
        <f>IF(M56="","",IF(M56&gt;=PRs!C5,"PR!",""))</f>
        <v/>
      </c>
      <c r="O56" s="7" t="n"/>
    </row>
    <row r="57">
      <c r="C57" t="inlineStr">
        <is>
          <t xml:space="preserve">      Set 2</t>
        </is>
      </c>
      <c r="E57" t="n">
        <v>6</v>
      </c>
      <c r="H57" s="39">
        <f>IF(H55="","",H55)</f>
        <v/>
      </c>
      <c r="I57" s="7">
        <f>IF(H55="","",H55)</f>
        <v/>
      </c>
      <c r="J57" s="7" t="n">
        <v>6</v>
      </c>
      <c r="K57" s="7" t="n"/>
      <c r="L57" s="40" t="n"/>
      <c r="M57">
        <f>IF(AND(L57&lt;&gt;"",N(I57)&gt;0,N(J57)&gt;0),IF(J57=1,I57,ROUND(I57*(1+J57/30),1)),"")</f>
        <v/>
      </c>
      <c r="N57" s="41">
        <f>IF(M57="","",IF(M57&gt;=PRs!C5,"PR!",""))</f>
        <v/>
      </c>
      <c r="O57" s="7" t="n"/>
    </row>
    <row r="58">
      <c r="C58" t="inlineStr">
        <is>
          <t xml:space="preserve">      Set 3</t>
        </is>
      </c>
      <c r="E58" t="n">
        <v>6</v>
      </c>
      <c r="H58" s="39">
        <f>IF(H55="","",H55)</f>
        <v/>
      </c>
      <c r="I58" s="7">
        <f>IF(H55="","",H55)</f>
        <v/>
      </c>
      <c r="J58" s="7" t="n">
        <v>6</v>
      </c>
      <c r="K58" s="7" t="n"/>
      <c r="L58" s="40" t="n"/>
      <c r="M58">
        <f>IF(AND(L58&lt;&gt;"",N(I58)&gt;0,N(J58)&gt;0),IF(J58=1,I58,ROUND(I58*(1+J58/30),1)),"")</f>
        <v/>
      </c>
      <c r="N58" s="41">
        <f>IF(M58="","",IF(M58&gt;=PRs!C5,"PR!",""))</f>
        <v/>
      </c>
      <c r="O58" s="7" t="n"/>
    </row>
    <row r="59">
      <c r="C59" t="inlineStr">
        <is>
          <t xml:space="preserve">      Set 4</t>
        </is>
      </c>
      <c r="E59" t="n">
        <v>6</v>
      </c>
      <c r="H59" s="39">
        <f>IF(H55="","",H55)</f>
        <v/>
      </c>
      <c r="I59" s="7">
        <f>IF(H55="","",H55)</f>
        <v/>
      </c>
      <c r="J59" s="7" t="n">
        <v>6</v>
      </c>
      <c r="K59" s="7" t="n"/>
      <c r="L59" s="40" t="n"/>
      <c r="M59">
        <f>IF(AND(L59&lt;&gt;"",N(I59)&gt;0,N(J59)&gt;0),IF(J59=1,I59,ROUND(I59*(1+J59/30),1)),"")</f>
        <v/>
      </c>
      <c r="N59" s="41">
        <f>IF(M59="","",IF(M59&gt;=PRs!C5,"PR!",""))</f>
        <v/>
      </c>
      <c r="O59" s="7" t="n"/>
    </row>
    <row r="60">
      <c r="A60" s="34" t="n"/>
      <c r="B60" s="34" t="n"/>
      <c r="C60" s="42" t="inlineStr">
        <is>
          <t>Deadlift</t>
        </is>
      </c>
      <c r="D60" s="34" t="inlineStr">
        <is>
          <t>3 x 6</t>
        </is>
      </c>
      <c r="E60" s="34" t="n"/>
      <c r="F60" s="34" t="n">
        <v>65</v>
      </c>
      <c r="G60" s="36">
        <f>Maxes!E4</f>
        <v/>
      </c>
      <c r="H60" s="37">
        <f>IF(OR(G60="",F60=""),"",MROUND(G60*F60/100,'Start Here'!$B$7))</f>
        <v/>
      </c>
      <c r="I60" s="34" t="n"/>
      <c r="J60" s="34" t="n"/>
      <c r="K60" s="34" t="n"/>
      <c r="L60" s="34" t="n"/>
      <c r="M60" s="34" t="n"/>
      <c r="N60" s="34" t="n"/>
      <c r="O60" s="38" t="inlineStr"/>
    </row>
    <row r="61">
      <c r="C61" t="inlineStr">
        <is>
          <t xml:space="preserve">      Set 1</t>
        </is>
      </c>
      <c r="E61" t="n">
        <v>6</v>
      </c>
      <c r="H61" s="39">
        <f>IF(H60="","",H60)</f>
        <v/>
      </c>
      <c r="I61" s="7">
        <f>IF(H60="","",H60)</f>
        <v/>
      </c>
      <c r="J61" s="7" t="n">
        <v>6</v>
      </c>
      <c r="K61" s="7" t="n"/>
      <c r="L61" s="40" t="n"/>
      <c r="M61">
        <f>IF(AND(L61&lt;&gt;"",N(I61)&gt;0,N(J61)&gt;0),IF(J61=1,I61,ROUND(I61*(1+J61/30),1)),"")</f>
        <v/>
      </c>
      <c r="N61" s="41">
        <f>IF(M61="","",IF(M61&gt;=PRs!C4,"PR!",""))</f>
        <v/>
      </c>
      <c r="O61" s="7" t="n"/>
    </row>
    <row r="62">
      <c r="C62" t="inlineStr">
        <is>
          <t xml:space="preserve">      Set 2</t>
        </is>
      </c>
      <c r="E62" t="n">
        <v>6</v>
      </c>
      <c r="H62" s="39">
        <f>IF(H60="","",H60)</f>
        <v/>
      </c>
      <c r="I62" s="7">
        <f>IF(H60="","",H60)</f>
        <v/>
      </c>
      <c r="J62" s="7" t="n">
        <v>6</v>
      </c>
      <c r="K62" s="7" t="n"/>
      <c r="L62" s="40" t="n"/>
      <c r="M62">
        <f>IF(AND(L62&lt;&gt;"",N(I62)&gt;0,N(J62)&gt;0),IF(J62=1,I62,ROUND(I62*(1+J62/30),1)),"")</f>
        <v/>
      </c>
      <c r="N62" s="41">
        <f>IF(M62="","",IF(M62&gt;=PRs!C4,"PR!",""))</f>
        <v/>
      </c>
      <c r="O62" s="7" t="n"/>
    </row>
    <row r="63">
      <c r="C63" t="inlineStr">
        <is>
          <t xml:space="preserve">      Set 3</t>
        </is>
      </c>
      <c r="E63" t="n">
        <v>6</v>
      </c>
      <c r="H63" s="39">
        <f>IF(H60="","",H60)</f>
        <v/>
      </c>
      <c r="I63" s="7">
        <f>IF(H60="","",H60)</f>
        <v/>
      </c>
      <c r="J63" s="7" t="n">
        <v>6</v>
      </c>
      <c r="K63" s="7" t="n"/>
      <c r="L63" s="40" t="n"/>
      <c r="M63">
        <f>IF(AND(L63&lt;&gt;"",N(I63)&gt;0,N(J63)&gt;0),IF(J63=1,I63,ROUND(I63*(1+J63/30),1)),"")</f>
        <v/>
      </c>
      <c r="N63" s="41">
        <f>IF(M63="","",IF(M63&gt;=PRs!C4,"PR!",""))</f>
        <v/>
      </c>
      <c r="O63" s="7" t="n"/>
    </row>
    <row r="64">
      <c r="A64" s="34" t="n"/>
      <c r="B64" s="34" t="n"/>
      <c r="C64" s="43" t="inlineStr">
        <is>
          <t>Chin-up</t>
        </is>
      </c>
      <c r="D64" s="34" t="inlineStr">
        <is>
          <t>4 x 6-10</t>
        </is>
      </c>
      <c r="E64" s="34" t="n"/>
      <c r="F64" s="34" t="n"/>
      <c r="G64" s="36" t="n"/>
      <c r="H64" s="37" t="n"/>
      <c r="I64" s="34" t="n"/>
      <c r="J64" s="34" t="n"/>
      <c r="K64" s="34" t="n"/>
      <c r="L64" s="34" t="n"/>
      <c r="M64" s="34" t="n"/>
      <c r="N64" s="34" t="n"/>
      <c r="O64" s="38" t="inlineStr">
        <is>
          <t>Leave 1-2 reps in the tank; add weight when you hit the top of the range</t>
        </is>
      </c>
    </row>
    <row r="65">
      <c r="C65" t="inlineStr">
        <is>
          <t xml:space="preserve">      Set 1</t>
        </is>
      </c>
      <c r="E65" t="n">
        <v>6</v>
      </c>
      <c r="H65" s="39">
        <f>IF(H64="","",H64)</f>
        <v/>
      </c>
      <c r="I65" s="7">
        <f>IF(H64="","",H64)</f>
        <v/>
      </c>
      <c r="J65" s="7" t="n">
        <v>6</v>
      </c>
      <c r="K65" s="7" t="n"/>
      <c r="L65" s="40" t="n"/>
      <c r="M65">
        <f>IF(AND(L65&lt;&gt;"",N(I65)&gt;0,N(J65)&gt;0),IF(J65=1,I65,ROUND(I65*(1+J65/30),1)),"")</f>
        <v/>
      </c>
      <c r="N65" s="41">
        <f>IF(M65="","",IF(M65&gt;=PRs!C53,"PR!",""))</f>
        <v/>
      </c>
      <c r="O65" s="7" t="n"/>
    </row>
    <row r="66">
      <c r="C66" t="inlineStr">
        <is>
          <t xml:space="preserve">      Set 2</t>
        </is>
      </c>
      <c r="E66" t="n">
        <v>6</v>
      </c>
      <c r="H66" s="39">
        <f>IF(H64="","",H64)</f>
        <v/>
      </c>
      <c r="I66" s="7">
        <f>IF(H64="","",H64)</f>
        <v/>
      </c>
      <c r="J66" s="7" t="n">
        <v>6</v>
      </c>
      <c r="K66" s="7" t="n"/>
      <c r="L66" s="40" t="n"/>
      <c r="M66">
        <f>IF(AND(L66&lt;&gt;"",N(I66)&gt;0,N(J66)&gt;0),IF(J66=1,I66,ROUND(I66*(1+J66/30),1)),"")</f>
        <v/>
      </c>
      <c r="N66" s="41">
        <f>IF(M66="","",IF(M66&gt;=PRs!C53,"PR!",""))</f>
        <v/>
      </c>
      <c r="O66" s="7" t="n"/>
    </row>
    <row r="67">
      <c r="C67" t="inlineStr">
        <is>
          <t xml:space="preserve">      Set 3</t>
        </is>
      </c>
      <c r="E67" t="n">
        <v>6</v>
      </c>
      <c r="H67" s="39">
        <f>IF(H64="","",H64)</f>
        <v/>
      </c>
      <c r="I67" s="7">
        <f>IF(H64="","",H64)</f>
        <v/>
      </c>
      <c r="J67" s="7" t="n">
        <v>6</v>
      </c>
      <c r="K67" s="7" t="n"/>
      <c r="L67" s="40" t="n"/>
      <c r="M67">
        <f>IF(AND(L67&lt;&gt;"",N(I67)&gt;0,N(J67)&gt;0),IF(J67=1,I67,ROUND(I67*(1+J67/30),1)),"")</f>
        <v/>
      </c>
      <c r="N67" s="41">
        <f>IF(M67="","",IF(M67&gt;=PRs!C53,"PR!",""))</f>
        <v/>
      </c>
      <c r="O67" s="7" t="n"/>
    </row>
    <row r="68">
      <c r="C68" t="inlineStr">
        <is>
          <t xml:space="preserve">      Set 4</t>
        </is>
      </c>
      <c r="E68" t="n">
        <v>6</v>
      </c>
      <c r="H68" s="39">
        <f>IF(H64="","",H64)</f>
        <v/>
      </c>
      <c r="I68" s="7">
        <f>IF(H64="","",H64)</f>
        <v/>
      </c>
      <c r="J68" s="7" t="n">
        <v>6</v>
      </c>
      <c r="K68" s="7" t="n"/>
      <c r="L68" s="40" t="n"/>
      <c r="M68">
        <f>IF(AND(L68&lt;&gt;"",N(I68)&gt;0,N(J68)&gt;0),IF(J68=1,I68,ROUND(I68*(1+J68/30),1)),"")</f>
        <v/>
      </c>
      <c r="N68" s="41">
        <f>IF(M68="","",IF(M68&gt;=PRs!C53,"PR!",""))</f>
        <v/>
      </c>
      <c r="O68" s="7" t="n"/>
    </row>
    <row r="69">
      <c r="A69" s="34" t="n"/>
      <c r="B69" s="34" t="n"/>
      <c r="C69" s="43" t="inlineStr">
        <is>
          <t>Plank</t>
        </is>
      </c>
      <c r="D69" s="34" t="inlineStr">
        <is>
          <t>4 x 30-60s</t>
        </is>
      </c>
      <c r="E69" s="34" t="n"/>
      <c r="F69" s="34" t="n"/>
      <c r="G69" s="36" t="n"/>
      <c r="H69" s="37" t="n"/>
      <c r="I69" s="34" t="n"/>
      <c r="J69" s="34" t="n"/>
      <c r="K69" s="34" t="n"/>
      <c r="L69" s="34" t="n"/>
      <c r="M69" s="34" t="n"/>
      <c r="N69" s="34" t="n"/>
      <c r="O69" s="38" t="inlineStr">
        <is>
          <t>Leave 1-2 reps in the tank; add weight when you hit the top of the range</t>
        </is>
      </c>
    </row>
    <row r="70">
      <c r="C70" t="inlineStr">
        <is>
          <t xml:space="preserve">      Set 1</t>
        </is>
      </c>
      <c r="E70" t="n">
        <v>30</v>
      </c>
      <c r="H70" s="39">
        <f>IF(H69="","",H69)</f>
        <v/>
      </c>
      <c r="I70" s="7">
        <f>IF(H69="","",H69)</f>
        <v/>
      </c>
      <c r="J70" s="7" t="n">
        <v>30</v>
      </c>
      <c r="K70" s="7" t="n"/>
      <c r="L70" s="40" t="n"/>
      <c r="M70">
        <f>IF(AND(L70&lt;&gt;"",N(I70)&gt;0,N(J70)&gt;0),IF(J70=1,I70,ROUND(I70*(1+J70/30),1)),"")</f>
        <v/>
      </c>
      <c r="N70" s="41">
        <f>IF(M70="","",IF(M70&gt;=PRs!C56,"PR!",""))</f>
        <v/>
      </c>
      <c r="O70" s="7" t="n"/>
    </row>
    <row r="71">
      <c r="C71" t="inlineStr">
        <is>
          <t xml:space="preserve">      Set 2</t>
        </is>
      </c>
      <c r="E71" t="n">
        <v>30</v>
      </c>
      <c r="H71" s="39">
        <f>IF(H69="","",H69)</f>
        <v/>
      </c>
      <c r="I71" s="7">
        <f>IF(H69="","",H69)</f>
        <v/>
      </c>
      <c r="J71" s="7" t="n">
        <v>30</v>
      </c>
      <c r="K71" s="7" t="n"/>
      <c r="L71" s="40" t="n"/>
      <c r="M71">
        <f>IF(AND(L71&lt;&gt;"",N(I71)&gt;0,N(J71)&gt;0),IF(J71=1,I71,ROUND(I71*(1+J71/30),1)),"")</f>
        <v/>
      </c>
      <c r="N71" s="41">
        <f>IF(M71="","",IF(M71&gt;=PRs!C56,"PR!",""))</f>
        <v/>
      </c>
      <c r="O71" s="7" t="n"/>
    </row>
    <row r="72">
      <c r="C72" t="inlineStr">
        <is>
          <t xml:space="preserve">      Set 3</t>
        </is>
      </c>
      <c r="E72" t="n">
        <v>30</v>
      </c>
      <c r="H72" s="39">
        <f>IF(H69="","",H69)</f>
        <v/>
      </c>
      <c r="I72" s="7">
        <f>IF(H69="","",H69)</f>
        <v/>
      </c>
      <c r="J72" s="7" t="n">
        <v>30</v>
      </c>
      <c r="K72" s="7" t="n"/>
      <c r="L72" s="40" t="n"/>
      <c r="M72">
        <f>IF(AND(L72&lt;&gt;"",N(I72)&gt;0,N(J72)&gt;0),IF(J72=1,I72,ROUND(I72*(1+J72/30),1)),"")</f>
        <v/>
      </c>
      <c r="N72" s="41">
        <f>IF(M72="","",IF(M72&gt;=PRs!C56,"PR!",""))</f>
        <v/>
      </c>
      <c r="O72" s="7" t="n"/>
    </row>
    <row r="73">
      <c r="C73" t="inlineStr">
        <is>
          <t xml:space="preserve">      Set 4</t>
        </is>
      </c>
      <c r="E73" t="n">
        <v>30</v>
      </c>
      <c r="H73" s="39">
        <f>IF(H69="","",H69)</f>
        <v/>
      </c>
      <c r="I73" s="7">
        <f>IF(H69="","",H69)</f>
        <v/>
      </c>
      <c r="J73" s="7" t="n">
        <v>30</v>
      </c>
      <c r="K73" s="7" t="n"/>
      <c r="L73" s="40" t="n"/>
      <c r="M73">
        <f>IF(AND(L73&lt;&gt;"",N(I73)&gt;0,N(J73)&gt;0),IF(J73=1,I73,ROUND(I73*(1+J73/30),1)),"")</f>
        <v/>
      </c>
      <c r="N73" s="41">
        <f>IF(M73="","",IF(M73&gt;=PRs!C56,"PR!",""))</f>
        <v/>
      </c>
      <c r="O73" s="7" t="n"/>
    </row>
    <row r="74">
      <c r="A74" s="31" t="inlineStr">
        <is>
          <t>Day 3 - Variations</t>
        </is>
      </c>
      <c r="B74" s="32">
        <f>'Start Here'!$B$8+4</f>
        <v/>
      </c>
      <c r="C74" s="33" t="n"/>
      <c r="D74" s="33" t="n"/>
      <c r="E74" s="33" t="n"/>
      <c r="F74" s="33" t="n"/>
      <c r="G74" s="33" t="n"/>
      <c r="H74" s="33" t="n"/>
      <c r="I74" s="33" t="n"/>
      <c r="J74" s="33" t="n"/>
      <c r="K74" s="33" t="n"/>
      <c r="L74" s="33" t="n"/>
      <c r="M74" s="33" t="n"/>
      <c r="N74" s="33" t="n"/>
      <c r="O74" s="33" t="n"/>
    </row>
    <row r="75">
      <c r="A75" s="34" t="n"/>
      <c r="B75" s="34" t="n"/>
      <c r="C75" s="35" t="inlineStr">
        <is>
          <t>Depth Jump</t>
        </is>
      </c>
      <c r="D75" s="34" t="inlineStr">
        <is>
          <t>4 x 3</t>
        </is>
      </c>
      <c r="E75" s="34" t="n"/>
      <c r="F75" s="34" t="n"/>
      <c r="G75" s="36" t="n"/>
      <c r="H75" s="37">
        <f>IF(N(Maxes!E72)&gt;0,Maxes!E72,"")</f>
        <v/>
      </c>
      <c r="I75" s="34" t="n"/>
      <c r="J75" s="34" t="n"/>
      <c r="K75" s="34" t="n"/>
      <c r="L75" s="34" t="n"/>
      <c r="M75" s="34" t="n"/>
      <c r="N75" s="34" t="n"/>
      <c r="O75" s="38" t="inlineStr">
        <is>
          <t>Step off a low box (12-18 in / 30-45 cm), land and rebound straight up as fast as possible. Log the drop-box height.</t>
        </is>
      </c>
    </row>
    <row r="76">
      <c r="C76" t="inlineStr">
        <is>
          <t xml:space="preserve">      Set 1</t>
        </is>
      </c>
      <c r="E76" t="n">
        <v>3</v>
      </c>
      <c r="H76" s="39">
        <f>IF(H75="","",H75)</f>
        <v/>
      </c>
      <c r="I76" s="7">
        <f>IF(H75="","",H75)</f>
        <v/>
      </c>
      <c r="J76" s="7" t="n">
        <v>3</v>
      </c>
      <c r="K76" s="7" t="n"/>
      <c r="L76" s="40" t="n"/>
      <c r="N76" s="41">
        <f>IF(AND(L76&lt;&gt;"",N(I76)&gt;0),IF(I76&gt;=PRs!D72,"PR!",""),"")</f>
        <v/>
      </c>
      <c r="O76" s="7" t="n"/>
    </row>
    <row r="77">
      <c r="C77" t="inlineStr">
        <is>
          <t xml:space="preserve">      Set 2</t>
        </is>
      </c>
      <c r="E77" t="n">
        <v>3</v>
      </c>
      <c r="H77" s="39">
        <f>IF(H75="","",H75)</f>
        <v/>
      </c>
      <c r="I77" s="7">
        <f>IF(H75="","",H75)</f>
        <v/>
      </c>
      <c r="J77" s="7" t="n">
        <v>3</v>
      </c>
      <c r="K77" s="7" t="n"/>
      <c r="L77" s="40" t="n"/>
      <c r="N77" s="41">
        <f>IF(AND(L77&lt;&gt;"",N(I77)&gt;0),IF(I77&gt;=PRs!D72,"PR!",""),"")</f>
        <v/>
      </c>
      <c r="O77" s="7" t="n"/>
    </row>
    <row r="78">
      <c r="C78" t="inlineStr">
        <is>
          <t xml:space="preserve">      Set 3</t>
        </is>
      </c>
      <c r="E78" t="n">
        <v>3</v>
      </c>
      <c r="H78" s="39">
        <f>IF(H75="","",H75)</f>
        <v/>
      </c>
      <c r="I78" s="7">
        <f>IF(H75="","",H75)</f>
        <v/>
      </c>
      <c r="J78" s="7" t="n">
        <v>3</v>
      </c>
      <c r="K78" s="7" t="n"/>
      <c r="L78" s="40" t="n"/>
      <c r="N78" s="41">
        <f>IF(AND(L78&lt;&gt;"",N(I78)&gt;0),IF(I78&gt;=PRs!D72,"PR!",""),"")</f>
        <v/>
      </c>
      <c r="O78" s="7" t="n"/>
    </row>
    <row r="79">
      <c r="C79" t="inlineStr">
        <is>
          <t xml:space="preserve">      Set 4</t>
        </is>
      </c>
      <c r="E79" t="n">
        <v>3</v>
      </c>
      <c r="H79" s="39">
        <f>IF(H75="","",H75)</f>
        <v/>
      </c>
      <c r="I79" s="7">
        <f>IF(H75="","",H75)</f>
        <v/>
      </c>
      <c r="J79" s="7" t="n">
        <v>3</v>
      </c>
      <c r="K79" s="7" t="n"/>
      <c r="L79" s="40" t="n"/>
      <c r="N79" s="41">
        <f>IF(AND(L79&lt;&gt;"",N(I79)&gt;0),IF(I79&gt;=PRs!D72,"PR!",""),"")</f>
        <v/>
      </c>
      <c r="O79" s="7" t="n"/>
    </row>
    <row r="80">
      <c r="A80" s="34" t="n"/>
      <c r="B80" s="34" t="n"/>
      <c r="C80" s="42" t="inlineStr">
        <is>
          <t>Power Snatch</t>
        </is>
      </c>
      <c r="D80" s="34" t="inlineStr">
        <is>
          <t>6 x 3</t>
        </is>
      </c>
      <c r="E80" s="34" t="n"/>
      <c r="F80" s="34" t="n">
        <v>65</v>
      </c>
      <c r="G80" s="36">
        <f>Maxes!E34</f>
        <v/>
      </c>
      <c r="H80" s="37">
        <f>IF(OR(G80="",F80=""),"",MROUND(G80*F80/100,'Start Here'!$B$7))</f>
        <v/>
      </c>
      <c r="I80" s="34" t="n"/>
      <c r="J80" s="34" t="n"/>
      <c r="K80" s="34" t="n"/>
      <c r="L80" s="34" t="n"/>
      <c r="M80" s="34" t="n"/>
      <c r="N80" s="34" t="n"/>
      <c r="O80" s="38" t="inlineStr"/>
    </row>
    <row r="81">
      <c r="C81" t="inlineStr">
        <is>
          <t xml:space="preserve">      Set 1</t>
        </is>
      </c>
      <c r="E81" t="n">
        <v>3</v>
      </c>
      <c r="H81" s="39">
        <f>IF(H80="","",H80)</f>
        <v/>
      </c>
      <c r="I81" s="7">
        <f>IF(H80="","",H80)</f>
        <v/>
      </c>
      <c r="J81" s="7" t="n">
        <v>3</v>
      </c>
      <c r="K81" s="7" t="n"/>
      <c r="L81" s="40" t="n"/>
      <c r="M81">
        <f>IF(AND(L81&lt;&gt;"",N(I81)&gt;0,N(J81)&gt;0),IF(J81=1,I81,ROUND(I81*(1+J81/30),1)),"")</f>
        <v/>
      </c>
      <c r="N81" s="41">
        <f>IF(M81="","",IF(M81&gt;=PRs!C34,"PR!",""))</f>
        <v/>
      </c>
      <c r="O81" s="7" t="n"/>
    </row>
    <row r="82">
      <c r="C82" t="inlineStr">
        <is>
          <t xml:space="preserve">      Set 2</t>
        </is>
      </c>
      <c r="E82" t="n">
        <v>3</v>
      </c>
      <c r="H82" s="39">
        <f>IF(H80="","",H80)</f>
        <v/>
      </c>
      <c r="I82" s="7">
        <f>IF(H80="","",H80)</f>
        <v/>
      </c>
      <c r="J82" s="7" t="n">
        <v>3</v>
      </c>
      <c r="K82" s="7" t="n"/>
      <c r="L82" s="40" t="n"/>
      <c r="M82">
        <f>IF(AND(L82&lt;&gt;"",N(I82)&gt;0,N(J82)&gt;0),IF(J82=1,I82,ROUND(I82*(1+J82/30),1)),"")</f>
        <v/>
      </c>
      <c r="N82" s="41">
        <f>IF(M82="","",IF(M82&gt;=PRs!C34,"PR!",""))</f>
        <v/>
      </c>
      <c r="O82" s="7" t="n"/>
    </row>
    <row r="83">
      <c r="C83" t="inlineStr">
        <is>
          <t xml:space="preserve">      Set 3</t>
        </is>
      </c>
      <c r="E83" t="n">
        <v>3</v>
      </c>
      <c r="H83" s="39">
        <f>IF(H80="","",H80)</f>
        <v/>
      </c>
      <c r="I83" s="7">
        <f>IF(H80="","",H80)</f>
        <v/>
      </c>
      <c r="J83" s="7" t="n">
        <v>3</v>
      </c>
      <c r="K83" s="7" t="n"/>
      <c r="L83" s="40" t="n"/>
      <c r="M83">
        <f>IF(AND(L83&lt;&gt;"",N(I83)&gt;0,N(J83)&gt;0),IF(J83=1,I83,ROUND(I83*(1+J83/30),1)),"")</f>
        <v/>
      </c>
      <c r="N83" s="41">
        <f>IF(M83="","",IF(M83&gt;=PRs!C34,"PR!",""))</f>
        <v/>
      </c>
      <c r="O83" s="7" t="n"/>
    </row>
    <row r="84">
      <c r="C84" t="inlineStr">
        <is>
          <t xml:space="preserve">      Set 4</t>
        </is>
      </c>
      <c r="E84" t="n">
        <v>3</v>
      </c>
      <c r="H84" s="39">
        <f>IF(H80="","",H80)</f>
        <v/>
      </c>
      <c r="I84" s="7">
        <f>IF(H80="","",H80)</f>
        <v/>
      </c>
      <c r="J84" s="7" t="n">
        <v>3</v>
      </c>
      <c r="K84" s="7" t="n"/>
      <c r="L84" s="40" t="n"/>
      <c r="M84">
        <f>IF(AND(L84&lt;&gt;"",N(I84)&gt;0,N(J84)&gt;0),IF(J84=1,I84,ROUND(I84*(1+J84/30),1)),"")</f>
        <v/>
      </c>
      <c r="N84" s="41">
        <f>IF(M84="","",IF(M84&gt;=PRs!C34,"PR!",""))</f>
        <v/>
      </c>
      <c r="O84" s="7" t="n"/>
    </row>
    <row r="85">
      <c r="C85" t="inlineStr">
        <is>
          <t xml:space="preserve">      Set 5</t>
        </is>
      </c>
      <c r="E85" t="n">
        <v>3</v>
      </c>
      <c r="H85" s="39">
        <f>IF(H80="","",H80)</f>
        <v/>
      </c>
      <c r="I85" s="7">
        <f>IF(H80="","",H80)</f>
        <v/>
      </c>
      <c r="J85" s="7" t="n">
        <v>3</v>
      </c>
      <c r="K85" s="7" t="n"/>
      <c r="L85" s="40" t="n"/>
      <c r="M85">
        <f>IF(AND(L85&lt;&gt;"",N(I85)&gt;0,N(J85)&gt;0),IF(J85=1,I85,ROUND(I85*(1+J85/30),1)),"")</f>
        <v/>
      </c>
      <c r="N85" s="41">
        <f>IF(M85="","",IF(M85&gt;=PRs!C34,"PR!",""))</f>
        <v/>
      </c>
      <c r="O85" s="7" t="n"/>
    </row>
    <row r="86">
      <c r="C86" t="inlineStr">
        <is>
          <t xml:space="preserve">      Set 6</t>
        </is>
      </c>
      <c r="E86" t="n">
        <v>3</v>
      </c>
      <c r="H86" s="39">
        <f>IF(H80="","",H80)</f>
        <v/>
      </c>
      <c r="I86" s="7">
        <f>IF(H80="","",H80)</f>
        <v/>
      </c>
      <c r="J86" s="7" t="n">
        <v>3</v>
      </c>
      <c r="K86" s="7" t="n"/>
      <c r="L86" s="40" t="n"/>
      <c r="M86">
        <f>IF(AND(L86&lt;&gt;"",N(I86)&gt;0,N(J86)&gt;0),IF(J86=1,I86,ROUND(I86*(1+J86/30),1)),"")</f>
        <v/>
      </c>
      <c r="N86" s="41">
        <f>IF(M86="","",IF(M86&gt;=PRs!C34,"PR!",""))</f>
        <v/>
      </c>
      <c r="O86" s="7" t="n"/>
    </row>
    <row r="87">
      <c r="A87" s="34" t="n"/>
      <c r="B87" s="34" t="n"/>
      <c r="C87" s="42" t="inlineStr">
        <is>
          <t>Box Squat</t>
        </is>
      </c>
      <c r="D87" s="34" t="inlineStr">
        <is>
          <t>4 x 6</t>
        </is>
      </c>
      <c r="E87" s="34" t="n"/>
      <c r="F87" s="34" t="n">
        <v>65</v>
      </c>
      <c r="G87" s="36">
        <f>Maxes!E8</f>
        <v/>
      </c>
      <c r="H87" s="37">
        <f>IF(OR(G87="",F87=""),"",MROUND(G87*F87/100,'Start Here'!$B$7))</f>
        <v/>
      </c>
      <c r="I87" s="34" t="n"/>
      <c r="J87" s="34" t="n"/>
      <c r="K87" s="34" t="n"/>
      <c r="L87" s="34" t="n"/>
      <c r="M87" s="34" t="n"/>
      <c r="N87" s="34" t="n"/>
      <c r="O87" s="38" t="inlineStr"/>
    </row>
    <row r="88">
      <c r="C88" t="inlineStr">
        <is>
          <t xml:space="preserve">      Set 1</t>
        </is>
      </c>
      <c r="E88" t="n">
        <v>6</v>
      </c>
      <c r="H88" s="39">
        <f>IF(H87="","",H87)</f>
        <v/>
      </c>
      <c r="I88" s="7">
        <f>IF(H87="","",H87)</f>
        <v/>
      </c>
      <c r="J88" s="7" t="n">
        <v>6</v>
      </c>
      <c r="K88" s="7" t="n"/>
      <c r="L88" s="40" t="n"/>
      <c r="M88">
        <f>IF(AND(L88&lt;&gt;"",N(I88)&gt;0,N(J88)&gt;0),IF(J88=1,I88,ROUND(I88*(1+J88/30),1)),"")</f>
        <v/>
      </c>
      <c r="N88" s="41">
        <f>IF(M88="","",IF(M88&gt;=PRs!C8,"PR!",""))</f>
        <v/>
      </c>
      <c r="O88" s="7" t="n"/>
    </row>
    <row r="89">
      <c r="C89" t="inlineStr">
        <is>
          <t xml:space="preserve">      Set 2</t>
        </is>
      </c>
      <c r="E89" t="n">
        <v>6</v>
      </c>
      <c r="H89" s="39">
        <f>IF(H87="","",H87)</f>
        <v/>
      </c>
      <c r="I89" s="7">
        <f>IF(H87="","",H87)</f>
        <v/>
      </c>
      <c r="J89" s="7" t="n">
        <v>6</v>
      </c>
      <c r="K89" s="7" t="n"/>
      <c r="L89" s="40" t="n"/>
      <c r="M89">
        <f>IF(AND(L89&lt;&gt;"",N(I89)&gt;0,N(J89)&gt;0),IF(J89=1,I89,ROUND(I89*(1+J89/30),1)),"")</f>
        <v/>
      </c>
      <c r="N89" s="41">
        <f>IF(M89="","",IF(M89&gt;=PRs!C8,"PR!",""))</f>
        <v/>
      </c>
      <c r="O89" s="7" t="n"/>
    </row>
    <row r="90">
      <c r="C90" t="inlineStr">
        <is>
          <t xml:space="preserve">      Set 3</t>
        </is>
      </c>
      <c r="E90" t="n">
        <v>6</v>
      </c>
      <c r="H90" s="39">
        <f>IF(H87="","",H87)</f>
        <v/>
      </c>
      <c r="I90" s="7">
        <f>IF(H87="","",H87)</f>
        <v/>
      </c>
      <c r="J90" s="7" t="n">
        <v>6</v>
      </c>
      <c r="K90" s="7" t="n"/>
      <c r="L90" s="40" t="n"/>
      <c r="M90">
        <f>IF(AND(L90&lt;&gt;"",N(I90)&gt;0,N(J90)&gt;0),IF(J90=1,I90,ROUND(I90*(1+J90/30),1)),"")</f>
        <v/>
      </c>
      <c r="N90" s="41">
        <f>IF(M90="","",IF(M90&gt;=PRs!C8,"PR!",""))</f>
        <v/>
      </c>
      <c r="O90" s="7" t="n"/>
    </row>
    <row r="91">
      <c r="C91" t="inlineStr">
        <is>
          <t xml:space="preserve">      Set 4</t>
        </is>
      </c>
      <c r="E91" t="n">
        <v>6</v>
      </c>
      <c r="H91" s="39">
        <f>IF(H87="","",H87)</f>
        <v/>
      </c>
      <c r="I91" s="7">
        <f>IF(H87="","",H87)</f>
        <v/>
      </c>
      <c r="J91" s="7" t="n">
        <v>6</v>
      </c>
      <c r="K91" s="7" t="n"/>
      <c r="L91" s="40" t="n"/>
      <c r="M91">
        <f>IF(AND(L91&lt;&gt;"",N(I91)&gt;0,N(J91)&gt;0),IF(J91=1,I91,ROUND(I91*(1+J91/30),1)),"")</f>
        <v/>
      </c>
      <c r="N91" s="41">
        <f>IF(M91="","",IF(M91&gt;=PRs!C8,"PR!",""))</f>
        <v/>
      </c>
      <c r="O91" s="7" t="n"/>
    </row>
    <row r="92">
      <c r="A92" s="34" t="n"/>
      <c r="B92" s="34" t="n"/>
      <c r="C92" s="42" t="inlineStr">
        <is>
          <t>Close-Grip Bench Press</t>
        </is>
      </c>
      <c r="D92" s="34" t="inlineStr">
        <is>
          <t>4 x 6</t>
        </is>
      </c>
      <c r="E92" s="34" t="n"/>
      <c r="F92" s="34" t="n">
        <v>65</v>
      </c>
      <c r="G92" s="36">
        <f>Maxes!E14</f>
        <v/>
      </c>
      <c r="H92" s="37">
        <f>IF(OR(G92="",F92=""),"",MROUND(G92*F92/100,'Start Here'!$B$7))</f>
        <v/>
      </c>
      <c r="I92" s="34" t="n"/>
      <c r="J92" s="34" t="n"/>
      <c r="K92" s="34" t="n"/>
      <c r="L92" s="34" t="n"/>
      <c r="M92" s="34" t="n"/>
      <c r="N92" s="34" t="n"/>
      <c r="O92" s="38" t="inlineStr"/>
    </row>
    <row r="93">
      <c r="C93" t="inlineStr">
        <is>
          <t xml:space="preserve">      Set 1</t>
        </is>
      </c>
      <c r="E93" t="n">
        <v>6</v>
      </c>
      <c r="H93" s="39">
        <f>IF(H92="","",H92)</f>
        <v/>
      </c>
      <c r="I93" s="7">
        <f>IF(H92="","",H92)</f>
        <v/>
      </c>
      <c r="J93" s="7" t="n">
        <v>6</v>
      </c>
      <c r="K93" s="7" t="n"/>
      <c r="L93" s="40" t="n"/>
      <c r="M93">
        <f>IF(AND(L93&lt;&gt;"",N(I93)&gt;0,N(J93)&gt;0),IF(J93=1,I93,ROUND(I93*(1+J93/30),1)),"")</f>
        <v/>
      </c>
      <c r="N93" s="41">
        <f>IF(M93="","",IF(M93&gt;=PRs!C14,"PR!",""))</f>
        <v/>
      </c>
      <c r="O93" s="7" t="n"/>
    </row>
    <row r="94">
      <c r="C94" t="inlineStr">
        <is>
          <t xml:space="preserve">      Set 2</t>
        </is>
      </c>
      <c r="E94" t="n">
        <v>6</v>
      </c>
      <c r="H94" s="39">
        <f>IF(H92="","",H92)</f>
        <v/>
      </c>
      <c r="I94" s="7">
        <f>IF(H92="","",H92)</f>
        <v/>
      </c>
      <c r="J94" s="7" t="n">
        <v>6</v>
      </c>
      <c r="K94" s="7" t="n"/>
      <c r="L94" s="40" t="n"/>
      <c r="M94">
        <f>IF(AND(L94&lt;&gt;"",N(I94)&gt;0,N(J94)&gt;0),IF(J94=1,I94,ROUND(I94*(1+J94/30),1)),"")</f>
        <v/>
      </c>
      <c r="N94" s="41">
        <f>IF(M94="","",IF(M94&gt;=PRs!C14,"PR!",""))</f>
        <v/>
      </c>
      <c r="O94" s="7" t="n"/>
    </row>
    <row r="95">
      <c r="C95" t="inlineStr">
        <is>
          <t xml:space="preserve">      Set 3</t>
        </is>
      </c>
      <c r="E95" t="n">
        <v>6</v>
      </c>
      <c r="H95" s="39">
        <f>IF(H92="","",H92)</f>
        <v/>
      </c>
      <c r="I95" s="7">
        <f>IF(H92="","",H92)</f>
        <v/>
      </c>
      <c r="J95" s="7" t="n">
        <v>6</v>
      </c>
      <c r="K95" s="7" t="n"/>
      <c r="L95" s="40" t="n"/>
      <c r="M95">
        <f>IF(AND(L95&lt;&gt;"",N(I95)&gt;0,N(J95)&gt;0),IF(J95=1,I95,ROUND(I95*(1+J95/30),1)),"")</f>
        <v/>
      </c>
      <c r="N95" s="41">
        <f>IF(M95="","",IF(M95&gt;=PRs!C14,"PR!",""))</f>
        <v/>
      </c>
      <c r="O95" s="7" t="n"/>
    </row>
    <row r="96">
      <c r="C96" t="inlineStr">
        <is>
          <t xml:space="preserve">      Set 4</t>
        </is>
      </c>
      <c r="E96" t="n">
        <v>6</v>
      </c>
      <c r="H96" s="39">
        <f>IF(H92="","",H92)</f>
        <v/>
      </c>
      <c r="I96" s="7">
        <f>IF(H92="","",H92)</f>
        <v/>
      </c>
      <c r="J96" s="7" t="n">
        <v>6</v>
      </c>
      <c r="K96" s="7" t="n"/>
      <c r="L96" s="40" t="n"/>
      <c r="M96">
        <f>IF(AND(L96&lt;&gt;"",N(I96)&gt;0,N(J96)&gt;0),IF(J96=1,I96,ROUND(I96*(1+J96/30),1)),"")</f>
        <v/>
      </c>
      <c r="N96" s="41">
        <f>IF(M96="","",IF(M96&gt;=PRs!C14,"PR!",""))</f>
        <v/>
      </c>
      <c r="O96" s="7" t="n"/>
    </row>
    <row r="97">
      <c r="A97" s="34" t="n"/>
      <c r="B97" s="34" t="n"/>
      <c r="C97" s="42" t="inlineStr">
        <is>
          <t>Romanian Deadlift</t>
        </is>
      </c>
      <c r="D97" s="34" t="inlineStr">
        <is>
          <t>3 x 6</t>
        </is>
      </c>
      <c r="E97" s="34" t="n"/>
      <c r="F97" s="34" t="n">
        <v>60</v>
      </c>
      <c r="G97" s="36">
        <f>Maxes!E23</f>
        <v/>
      </c>
      <c r="H97" s="37">
        <f>IF(OR(G97="",F97=""),"",MROUND(G97*F97/100,'Start Here'!$B$7))</f>
        <v/>
      </c>
      <c r="I97" s="34" t="n"/>
      <c r="J97" s="34" t="n"/>
      <c r="K97" s="34" t="n"/>
      <c r="L97" s="34" t="n"/>
      <c r="M97" s="34" t="n"/>
      <c r="N97" s="34" t="n"/>
      <c r="O97" s="38" t="inlineStr"/>
    </row>
    <row r="98">
      <c r="C98" t="inlineStr">
        <is>
          <t xml:space="preserve">      Set 1</t>
        </is>
      </c>
      <c r="E98" t="n">
        <v>6</v>
      </c>
      <c r="H98" s="39">
        <f>IF(H97="","",H97)</f>
        <v/>
      </c>
      <c r="I98" s="7">
        <f>IF(H97="","",H97)</f>
        <v/>
      </c>
      <c r="J98" s="7" t="n">
        <v>6</v>
      </c>
      <c r="K98" s="7" t="n"/>
      <c r="L98" s="40" t="n"/>
      <c r="M98">
        <f>IF(AND(L98&lt;&gt;"",N(I98)&gt;0,N(J98)&gt;0),IF(J98=1,I98,ROUND(I98*(1+J98/30),1)),"")</f>
        <v/>
      </c>
      <c r="N98" s="41">
        <f>IF(M98="","",IF(M98&gt;=PRs!C23,"PR!",""))</f>
        <v/>
      </c>
      <c r="O98" s="7" t="n"/>
    </row>
    <row r="99">
      <c r="C99" t="inlineStr">
        <is>
          <t xml:space="preserve">      Set 2</t>
        </is>
      </c>
      <c r="E99" t="n">
        <v>6</v>
      </c>
      <c r="H99" s="39">
        <f>IF(H97="","",H97)</f>
        <v/>
      </c>
      <c r="I99" s="7">
        <f>IF(H97="","",H97)</f>
        <v/>
      </c>
      <c r="J99" s="7" t="n">
        <v>6</v>
      </c>
      <c r="K99" s="7" t="n"/>
      <c r="L99" s="40" t="n"/>
      <c r="M99">
        <f>IF(AND(L99&lt;&gt;"",N(I99)&gt;0,N(J99)&gt;0),IF(J99=1,I99,ROUND(I99*(1+J99/30),1)),"")</f>
        <v/>
      </c>
      <c r="N99" s="41">
        <f>IF(M99="","",IF(M99&gt;=PRs!C23,"PR!",""))</f>
        <v/>
      </c>
      <c r="O99" s="7" t="n"/>
    </row>
    <row r="100">
      <c r="C100" t="inlineStr">
        <is>
          <t xml:space="preserve">      Set 3</t>
        </is>
      </c>
      <c r="E100" t="n">
        <v>6</v>
      </c>
      <c r="H100" s="39">
        <f>IF(H97="","",H97)</f>
        <v/>
      </c>
      <c r="I100" s="7">
        <f>IF(H97="","",H97)</f>
        <v/>
      </c>
      <c r="J100" s="7" t="n">
        <v>6</v>
      </c>
      <c r="K100" s="7" t="n"/>
      <c r="L100" s="40" t="n"/>
      <c r="M100">
        <f>IF(AND(L100&lt;&gt;"",N(I100)&gt;0,N(J100)&gt;0),IF(J100=1,I100,ROUND(I100*(1+J100/30),1)),"")</f>
        <v/>
      </c>
      <c r="N100" s="41">
        <f>IF(M100="","",IF(M100&gt;=PRs!C23,"PR!",""))</f>
        <v/>
      </c>
      <c r="O100" s="7" t="n"/>
    </row>
    <row r="101">
      <c r="A101" s="34" t="n"/>
      <c r="B101" s="34" t="n"/>
      <c r="C101" s="43" t="inlineStr">
        <is>
          <t>Incline Dumbbell Press</t>
        </is>
      </c>
      <c r="D101" s="34" t="inlineStr">
        <is>
          <t>4 x 8-12</t>
        </is>
      </c>
      <c r="E101" s="34" t="n"/>
      <c r="F101" s="34" t="n"/>
      <c r="G101" s="36" t="n"/>
      <c r="H101" s="37" t="n"/>
      <c r="I101" s="34" t="n"/>
      <c r="J101" s="34" t="n"/>
      <c r="K101" s="34" t="n"/>
      <c r="L101" s="34" t="n"/>
      <c r="M101" s="34" t="n"/>
      <c r="N101" s="34" t="n"/>
      <c r="O101" s="38" t="inlineStr">
        <is>
          <t>Leave 1-2 reps in the tank; add weight when you hit the top of the range</t>
        </is>
      </c>
    </row>
    <row r="102">
      <c r="C102" t="inlineStr">
        <is>
          <t xml:space="preserve">      Set 1</t>
        </is>
      </c>
      <c r="E102" t="n">
        <v>8</v>
      </c>
      <c r="H102" s="39">
        <f>IF(H101="","",H101)</f>
        <v/>
      </c>
      <c r="I102" s="7">
        <f>IF(H101="","",H101)</f>
        <v/>
      </c>
      <c r="J102" s="7" t="n">
        <v>8</v>
      </c>
      <c r="K102" s="7" t="n"/>
      <c r="L102" s="40" t="n"/>
      <c r="M102">
        <f>IF(AND(L102&lt;&gt;"",N(I102)&gt;0,N(J102)&gt;0),IF(J102=1,I102,ROUND(I102*(1+J102/30),1)),"")</f>
        <v/>
      </c>
      <c r="N102" s="41">
        <f>IF(M102="","",IF(M102&gt;=PRs!C57,"PR!",""))</f>
        <v/>
      </c>
      <c r="O102" s="7" t="n"/>
    </row>
    <row r="103">
      <c r="C103" t="inlineStr">
        <is>
          <t xml:space="preserve">      Set 2</t>
        </is>
      </c>
      <c r="E103" t="n">
        <v>8</v>
      </c>
      <c r="H103" s="39">
        <f>IF(H101="","",H101)</f>
        <v/>
      </c>
      <c r="I103" s="7">
        <f>IF(H101="","",H101)</f>
        <v/>
      </c>
      <c r="J103" s="7" t="n">
        <v>8</v>
      </c>
      <c r="K103" s="7" t="n"/>
      <c r="L103" s="40" t="n"/>
      <c r="M103">
        <f>IF(AND(L103&lt;&gt;"",N(I103)&gt;0,N(J103)&gt;0),IF(J103=1,I103,ROUND(I103*(1+J103/30),1)),"")</f>
        <v/>
      </c>
      <c r="N103" s="41">
        <f>IF(M103="","",IF(M103&gt;=PRs!C57,"PR!",""))</f>
        <v/>
      </c>
      <c r="O103" s="7" t="n"/>
    </row>
    <row r="104">
      <c r="C104" t="inlineStr">
        <is>
          <t xml:space="preserve">      Set 3</t>
        </is>
      </c>
      <c r="E104" t="n">
        <v>8</v>
      </c>
      <c r="H104" s="39">
        <f>IF(H101="","",H101)</f>
        <v/>
      </c>
      <c r="I104" s="7">
        <f>IF(H101="","",H101)</f>
        <v/>
      </c>
      <c r="J104" s="7" t="n">
        <v>8</v>
      </c>
      <c r="K104" s="7" t="n"/>
      <c r="L104" s="40" t="n"/>
      <c r="M104">
        <f>IF(AND(L104&lt;&gt;"",N(I104)&gt;0,N(J104)&gt;0),IF(J104=1,I104,ROUND(I104*(1+J104/30),1)),"")</f>
        <v/>
      </c>
      <c r="N104" s="41">
        <f>IF(M104="","",IF(M104&gt;=PRs!C57,"PR!",""))</f>
        <v/>
      </c>
      <c r="O104" s="7" t="n"/>
    </row>
    <row r="105">
      <c r="C105" t="inlineStr">
        <is>
          <t xml:space="preserve">      Set 4</t>
        </is>
      </c>
      <c r="E105" t="n">
        <v>8</v>
      </c>
      <c r="H105" s="39">
        <f>IF(H101="","",H101)</f>
        <v/>
      </c>
      <c r="I105" s="7">
        <f>IF(H101="","",H101)</f>
        <v/>
      </c>
      <c r="J105" s="7" t="n">
        <v>8</v>
      </c>
      <c r="K105" s="7" t="n"/>
      <c r="L105" s="40" t="n"/>
      <c r="M105">
        <f>IF(AND(L105&lt;&gt;"",N(I105)&gt;0,N(J105)&gt;0),IF(J105=1,I105,ROUND(I105*(1+J105/30),1)),"")</f>
        <v/>
      </c>
      <c r="N105" s="41">
        <f>IF(M105="","",IF(M105&gt;=PRs!C57,"PR!",""))</f>
        <v/>
      </c>
      <c r="O105" s="7" t="n"/>
    </row>
    <row r="106">
      <c r="A106" s="34" t="n"/>
      <c r="B106" s="34" t="n"/>
      <c r="C106" s="43" t="inlineStr">
        <is>
          <t>Triceps Pushdown</t>
        </is>
      </c>
      <c r="D106" s="34" t="inlineStr">
        <is>
          <t>4 x 10-15</t>
        </is>
      </c>
      <c r="E106" s="34" t="n"/>
      <c r="F106" s="34" t="n"/>
      <c r="G106" s="36" t="n"/>
      <c r="H106" s="37" t="n"/>
      <c r="I106" s="34" t="n"/>
      <c r="J106" s="34" t="n"/>
      <c r="K106" s="34" t="n"/>
      <c r="L106" s="34" t="n"/>
      <c r="M106" s="34" t="n"/>
      <c r="N106" s="34" t="n"/>
      <c r="O106" s="38" t="inlineStr">
        <is>
          <t>Leave 1-2 reps in the tank; add weight when you hit the top of the range</t>
        </is>
      </c>
    </row>
    <row r="107">
      <c r="C107" t="inlineStr">
        <is>
          <t xml:space="preserve">      Set 1</t>
        </is>
      </c>
      <c r="E107" t="n">
        <v>10</v>
      </c>
      <c r="H107" s="39">
        <f>IF(H106="","",H106)</f>
        <v/>
      </c>
      <c r="I107" s="7">
        <f>IF(H106="","",H106)</f>
        <v/>
      </c>
      <c r="J107" s="7" t="n">
        <v>10</v>
      </c>
      <c r="K107" s="7" t="n"/>
      <c r="L107" s="40" t="n"/>
      <c r="M107">
        <f>IF(AND(L107&lt;&gt;"",N(I107)&gt;0,N(J107)&gt;0),IF(J107=1,I107,ROUND(I107*(1+J107/30),1)),"")</f>
        <v/>
      </c>
      <c r="N107" s="41">
        <f>IF(M107="","",IF(M107&gt;=PRs!C59,"PR!",""))</f>
        <v/>
      </c>
      <c r="O107" s="7" t="n"/>
    </row>
    <row r="108">
      <c r="C108" t="inlineStr">
        <is>
          <t xml:space="preserve">      Set 2</t>
        </is>
      </c>
      <c r="E108" t="n">
        <v>10</v>
      </c>
      <c r="H108" s="39">
        <f>IF(H106="","",H106)</f>
        <v/>
      </c>
      <c r="I108" s="7">
        <f>IF(H106="","",H106)</f>
        <v/>
      </c>
      <c r="J108" s="7" t="n">
        <v>10</v>
      </c>
      <c r="K108" s="7" t="n"/>
      <c r="L108" s="40" t="n"/>
      <c r="M108">
        <f>IF(AND(L108&lt;&gt;"",N(I108)&gt;0,N(J108)&gt;0),IF(J108=1,I108,ROUND(I108*(1+J108/30),1)),"")</f>
        <v/>
      </c>
      <c r="N108" s="41">
        <f>IF(M108="","",IF(M108&gt;=PRs!C59,"PR!",""))</f>
        <v/>
      </c>
      <c r="O108" s="7" t="n"/>
    </row>
    <row r="109">
      <c r="C109" t="inlineStr">
        <is>
          <t xml:space="preserve">      Set 3</t>
        </is>
      </c>
      <c r="E109" t="n">
        <v>10</v>
      </c>
      <c r="H109" s="39">
        <f>IF(H106="","",H106)</f>
        <v/>
      </c>
      <c r="I109" s="7">
        <f>IF(H106="","",H106)</f>
        <v/>
      </c>
      <c r="J109" s="7" t="n">
        <v>10</v>
      </c>
      <c r="K109" s="7" t="n"/>
      <c r="L109" s="40" t="n"/>
      <c r="M109">
        <f>IF(AND(L109&lt;&gt;"",N(I109)&gt;0,N(J109)&gt;0),IF(J109=1,I109,ROUND(I109*(1+J109/30),1)),"")</f>
        <v/>
      </c>
      <c r="N109" s="41">
        <f>IF(M109="","",IF(M109&gt;=PRs!C59,"PR!",""))</f>
        <v/>
      </c>
      <c r="O109" s="7" t="n"/>
    </row>
    <row r="110">
      <c r="C110" t="inlineStr">
        <is>
          <t xml:space="preserve">      Set 4</t>
        </is>
      </c>
      <c r="E110" t="n">
        <v>10</v>
      </c>
      <c r="H110" s="39">
        <f>IF(H106="","",H106)</f>
        <v/>
      </c>
      <c r="I110" s="7">
        <f>IF(H106="","",H106)</f>
        <v/>
      </c>
      <c r="J110" s="7" t="n">
        <v>10</v>
      </c>
      <c r="K110" s="7" t="n"/>
      <c r="L110" s="40" t="n"/>
      <c r="M110">
        <f>IF(AND(L110&lt;&gt;"",N(I110)&gt;0,N(J110)&gt;0),IF(J110=1,I110,ROUND(I110*(1+J110/30),1)),"")</f>
        <v/>
      </c>
      <c r="N110" s="41">
        <f>IF(M110="","",IF(M110&gt;=PRs!C59,"PR!",""))</f>
        <v/>
      </c>
      <c r="O110" s="7" t="n"/>
    </row>
    <row r="112">
      <c r="A112" s="45" t="inlineStr">
        <is>
          <t>WEEK 2 - CYCLE 1 - ACCUMULATION</t>
        </is>
      </c>
      <c r="B112" s="46" t="n"/>
      <c r="C112" s="46" t="n"/>
      <c r="D112" s="46" t="n"/>
      <c r="E112" s="46" t="n"/>
      <c r="F112" s="46" t="n"/>
      <c r="G112" s="46" t="n"/>
      <c r="H112" s="47" t="inlineStr">
        <is>
          <t>Bodyweight:</t>
        </is>
      </c>
      <c r="I112" s="7" t="n"/>
      <c r="J112" s="46" t="n"/>
      <c r="K112" s="46" t="n"/>
      <c r="L112" s="46" t="n"/>
      <c r="M112" s="46" t="n"/>
      <c r="N112" s="46" t="n"/>
      <c r="O112" s="46" t="n"/>
    </row>
    <row r="113">
      <c r="A113" s="31" t="inlineStr">
        <is>
          <t>Day 1 - Heavy</t>
        </is>
      </c>
      <c r="B113" s="32">
        <f>'Start Here'!$B$8+7</f>
        <v/>
      </c>
      <c r="C113" s="33" t="n"/>
      <c r="D113" s="33" t="n"/>
      <c r="E113" s="33" t="n"/>
      <c r="F113" s="33" t="n"/>
      <c r="G113" s="33" t="n"/>
      <c r="H113" s="33" t="n"/>
      <c r="I113" s="33" t="n"/>
      <c r="J113" s="33" t="n"/>
      <c r="K113" s="33" t="n"/>
      <c r="L113" s="33" t="n"/>
      <c r="M113" s="33" t="n"/>
      <c r="N113" s="33" t="n"/>
      <c r="O113" s="33" t="n"/>
    </row>
    <row r="114">
      <c r="A114" s="34" t="n"/>
      <c r="B114" s="34" t="n"/>
      <c r="C114" s="35" t="inlineStr">
        <is>
          <t>Box Jump</t>
        </is>
      </c>
      <c r="D114" s="34" t="inlineStr">
        <is>
          <t>4 x 3</t>
        </is>
      </c>
      <c r="E114" s="34" t="n"/>
      <c r="F114" s="34" t="n"/>
      <c r="G114" s="36" t="n"/>
      <c r="H114" s="37">
        <f>IF(N(Maxes!E69)&gt;0,Maxes!E69,'Start Here'!$G$16)</f>
        <v/>
      </c>
      <c r="I114" s="34" t="n"/>
      <c r="J114" s="34" t="n"/>
      <c r="K114" s="34" t="n"/>
      <c r="L114" s="34" t="n"/>
      <c r="M114" s="34" t="n"/>
      <c r="N114" s="34" t="n"/>
      <c r="O114" s="38" t="inlineStr">
        <is>
          <t>Two-foot jump onto a box, land soft in a quarter squat, STEP down. Log the box height (floor to top of box).</t>
        </is>
      </c>
    </row>
    <row r="115">
      <c r="C115" t="inlineStr">
        <is>
          <t xml:space="preserve">      Set 1</t>
        </is>
      </c>
      <c r="E115" t="n">
        <v>3</v>
      </c>
      <c r="H115" s="39">
        <f>IF(H114="","",H114)</f>
        <v/>
      </c>
      <c r="I115" s="7">
        <f>IF(H114="","",H114)</f>
        <v/>
      </c>
      <c r="J115" s="7" t="n">
        <v>3</v>
      </c>
      <c r="K115" s="7" t="n"/>
      <c r="L115" s="40" t="n"/>
      <c r="N115" s="41">
        <f>IF(AND(L115&lt;&gt;"",N(I115)&gt;0),IF(I115&gt;=PRs!D69,"PR!",""),"")</f>
        <v/>
      </c>
      <c r="O115" s="7" t="n"/>
    </row>
    <row r="116">
      <c r="C116" t="inlineStr">
        <is>
          <t xml:space="preserve">      Set 2</t>
        </is>
      </c>
      <c r="E116" t="n">
        <v>3</v>
      </c>
      <c r="H116" s="39">
        <f>IF(H114="","",H114)</f>
        <v/>
      </c>
      <c r="I116" s="7">
        <f>IF(H114="","",H114)</f>
        <v/>
      </c>
      <c r="J116" s="7" t="n">
        <v>3</v>
      </c>
      <c r="K116" s="7" t="n"/>
      <c r="L116" s="40" t="n"/>
      <c r="N116" s="41">
        <f>IF(AND(L116&lt;&gt;"",N(I116)&gt;0),IF(I116&gt;=PRs!D69,"PR!",""),"")</f>
        <v/>
      </c>
      <c r="O116" s="7" t="n"/>
    </row>
    <row r="117">
      <c r="C117" t="inlineStr">
        <is>
          <t xml:space="preserve">      Set 3</t>
        </is>
      </c>
      <c r="E117" t="n">
        <v>3</v>
      </c>
      <c r="H117" s="39">
        <f>IF(H114="","",H114)</f>
        <v/>
      </c>
      <c r="I117" s="7">
        <f>IF(H114="","",H114)</f>
        <v/>
      </c>
      <c r="J117" s="7" t="n">
        <v>3</v>
      </c>
      <c r="K117" s="7" t="n"/>
      <c r="L117" s="40" t="n"/>
      <c r="N117" s="41">
        <f>IF(AND(L117&lt;&gt;"",N(I117)&gt;0),IF(I117&gt;=PRs!D69,"PR!",""),"")</f>
        <v/>
      </c>
      <c r="O117" s="7" t="n"/>
    </row>
    <row r="118">
      <c r="C118" t="inlineStr">
        <is>
          <t xml:space="preserve">      Set 4</t>
        </is>
      </c>
      <c r="E118" t="n">
        <v>3</v>
      </c>
      <c r="H118" s="39">
        <f>IF(H114="","",H114)</f>
        <v/>
      </c>
      <c r="I118" s="7">
        <f>IF(H114="","",H114)</f>
        <v/>
      </c>
      <c r="J118" s="7" t="n">
        <v>3</v>
      </c>
      <c r="K118" s="7" t="n"/>
      <c r="L118" s="40" t="n"/>
      <c r="N118" s="41">
        <f>IF(AND(L118&lt;&gt;"",N(I118)&gt;0),IF(I118&gt;=PRs!D69,"PR!",""),"")</f>
        <v/>
      </c>
      <c r="O118" s="7" t="n"/>
    </row>
    <row r="119">
      <c r="A119" s="34" t="n"/>
      <c r="B119" s="34" t="n"/>
      <c r="C119" s="42" t="inlineStr">
        <is>
          <t>Snatch</t>
        </is>
      </c>
      <c r="D119" s="34" t="inlineStr">
        <is>
          <t>4 x 3</t>
        </is>
      </c>
      <c r="E119" s="34" t="n"/>
      <c r="F119" s="34" t="n">
        <v>72.5</v>
      </c>
      <c r="G119" s="36">
        <f>Maxes!E6</f>
        <v/>
      </c>
      <c r="H119" s="37">
        <f>IF(OR(G119="",F119=""),"",MROUND(G119*F119/100,'Start Here'!$B$7))</f>
        <v/>
      </c>
      <c r="I119" s="34" t="n"/>
      <c r="J119" s="34" t="n"/>
      <c r="K119" s="34" t="n"/>
      <c r="L119" s="34" t="n"/>
      <c r="M119" s="34" t="n"/>
      <c r="N119" s="34" t="n"/>
      <c r="O119" s="38" t="inlineStr"/>
    </row>
    <row r="120">
      <c r="C120" t="inlineStr">
        <is>
          <t xml:space="preserve">      Set 1</t>
        </is>
      </c>
      <c r="E120" t="n">
        <v>3</v>
      </c>
      <c r="H120" s="39">
        <f>IF(H119="","",H119)</f>
        <v/>
      </c>
      <c r="I120" s="7">
        <f>IF(H119="","",H119)</f>
        <v/>
      </c>
      <c r="J120" s="7" t="n">
        <v>3</v>
      </c>
      <c r="K120" s="7" t="n"/>
      <c r="L120" s="40" t="n"/>
      <c r="M120">
        <f>IF(AND(L120&lt;&gt;"",N(I120)&gt;0,N(J120)&gt;0),IF(J120=1,I120,ROUND(I120*(1+J120/30),1)),"")</f>
        <v/>
      </c>
      <c r="N120" s="41">
        <f>IF(M120="","",IF(M120&gt;=PRs!C6,"PR!",""))</f>
        <v/>
      </c>
      <c r="O120" s="7" t="n"/>
    </row>
    <row r="121">
      <c r="C121" t="inlineStr">
        <is>
          <t xml:space="preserve">      Set 2</t>
        </is>
      </c>
      <c r="E121" t="n">
        <v>3</v>
      </c>
      <c r="H121" s="39">
        <f>IF(H119="","",H119)</f>
        <v/>
      </c>
      <c r="I121" s="7">
        <f>IF(H119="","",H119)</f>
        <v/>
      </c>
      <c r="J121" s="7" t="n">
        <v>3</v>
      </c>
      <c r="K121" s="7" t="n"/>
      <c r="L121" s="40" t="n"/>
      <c r="M121">
        <f>IF(AND(L121&lt;&gt;"",N(I121)&gt;0,N(J121)&gt;0),IF(J121=1,I121,ROUND(I121*(1+J121/30),1)),"")</f>
        <v/>
      </c>
      <c r="N121" s="41">
        <f>IF(M121="","",IF(M121&gt;=PRs!C6,"PR!",""))</f>
        <v/>
      </c>
      <c r="O121" s="7" t="n"/>
    </row>
    <row r="122">
      <c r="C122" t="inlineStr">
        <is>
          <t xml:space="preserve">      Set 3</t>
        </is>
      </c>
      <c r="E122" t="n">
        <v>3</v>
      </c>
      <c r="H122" s="39">
        <f>IF(H119="","",H119)</f>
        <v/>
      </c>
      <c r="I122" s="7">
        <f>IF(H119="","",H119)</f>
        <v/>
      </c>
      <c r="J122" s="7" t="n">
        <v>3</v>
      </c>
      <c r="K122" s="7" t="n"/>
      <c r="L122" s="40" t="n"/>
      <c r="M122">
        <f>IF(AND(L122&lt;&gt;"",N(I122)&gt;0,N(J122)&gt;0),IF(J122=1,I122,ROUND(I122*(1+J122/30),1)),"")</f>
        <v/>
      </c>
      <c r="N122" s="41">
        <f>IF(M122="","",IF(M122&gt;=PRs!C6,"PR!",""))</f>
        <v/>
      </c>
      <c r="O122" s="7" t="n"/>
    </row>
    <row r="123">
      <c r="C123" t="inlineStr">
        <is>
          <t xml:space="preserve">      Set 4</t>
        </is>
      </c>
      <c r="E123" t="n">
        <v>3</v>
      </c>
      <c r="H123" s="39">
        <f>IF(H119="","",H119)</f>
        <v/>
      </c>
      <c r="I123" s="7">
        <f>IF(H119="","",H119)</f>
        <v/>
      </c>
      <c r="J123" s="7" t="n">
        <v>3</v>
      </c>
      <c r="K123" s="7" t="n"/>
      <c r="L123" s="40" t="n"/>
      <c r="M123">
        <f>IF(AND(L123&lt;&gt;"",N(I123)&gt;0,N(J123)&gt;0),IF(J123=1,I123,ROUND(I123*(1+J123/30),1)),"")</f>
        <v/>
      </c>
      <c r="N123" s="41">
        <f>IF(M123="","",IF(M123&gt;=PRs!C6,"PR!",""))</f>
        <v/>
      </c>
      <c r="O123" s="7" t="n"/>
    </row>
    <row r="124">
      <c r="A124" s="34" t="n"/>
      <c r="B124" s="34" t="n"/>
      <c r="C124" s="42" t="inlineStr">
        <is>
          <t>Squat</t>
        </is>
      </c>
      <c r="D124" s="34" t="inlineStr">
        <is>
          <t>3 x 6</t>
        </is>
      </c>
      <c r="E124" s="34" t="n"/>
      <c r="F124" s="34" t="n">
        <v>72.5</v>
      </c>
      <c r="G124" s="36">
        <f>Maxes!E2</f>
        <v/>
      </c>
      <c r="H124" s="37">
        <f>IF(OR(G124="",F124=""),"",MROUND(G124*F124/100,'Start Here'!$B$7))</f>
        <v/>
      </c>
      <c r="I124" s="34" t="n"/>
      <c r="J124" s="34" t="n"/>
      <c r="K124" s="34" t="n"/>
      <c r="L124" s="34" t="n"/>
      <c r="M124" s="34" t="n"/>
      <c r="N124" s="34" t="n"/>
      <c r="O124" s="38" t="inlineStr"/>
    </row>
    <row r="125">
      <c r="C125" t="inlineStr">
        <is>
          <t xml:space="preserve">      Set 1</t>
        </is>
      </c>
      <c r="E125" t="n">
        <v>6</v>
      </c>
      <c r="H125" s="39">
        <f>IF(H124="","",H124)</f>
        <v/>
      </c>
      <c r="I125" s="7">
        <f>IF(H124="","",H124)</f>
        <v/>
      </c>
      <c r="J125" s="7" t="n">
        <v>6</v>
      </c>
      <c r="K125" s="7" t="n"/>
      <c r="L125" s="40" t="n"/>
      <c r="M125">
        <f>IF(AND(L125&lt;&gt;"",N(I125)&gt;0,N(J125)&gt;0),IF(J125=1,I125,ROUND(I125*(1+J125/30),1)),"")</f>
        <v/>
      </c>
      <c r="N125" s="41">
        <f>IF(M125="","",IF(M125&gt;=PRs!C2,"PR!",""))</f>
        <v/>
      </c>
      <c r="O125" s="7" t="n"/>
    </row>
    <row r="126">
      <c r="C126" t="inlineStr">
        <is>
          <t xml:space="preserve">      Set 2</t>
        </is>
      </c>
      <c r="E126" t="n">
        <v>6</v>
      </c>
      <c r="H126" s="39">
        <f>IF(H124="","",H124)</f>
        <v/>
      </c>
      <c r="I126" s="7">
        <f>IF(H124="","",H124)</f>
        <v/>
      </c>
      <c r="J126" s="7" t="n">
        <v>6</v>
      </c>
      <c r="K126" s="7" t="n"/>
      <c r="L126" s="40" t="n"/>
      <c r="M126">
        <f>IF(AND(L126&lt;&gt;"",N(I126)&gt;0,N(J126)&gt;0),IF(J126=1,I126,ROUND(I126*(1+J126/30),1)),"")</f>
        <v/>
      </c>
      <c r="N126" s="41">
        <f>IF(M126="","",IF(M126&gt;=PRs!C2,"PR!",""))</f>
        <v/>
      </c>
      <c r="O126" s="7" t="n"/>
    </row>
    <row r="127">
      <c r="C127" t="inlineStr">
        <is>
          <t xml:space="preserve">      Set 3</t>
        </is>
      </c>
      <c r="E127" t="n">
        <v>6</v>
      </c>
      <c r="H127" s="39">
        <f>IF(H124="","",H124)</f>
        <v/>
      </c>
      <c r="I127" s="7">
        <f>IF(H124="","",H124)</f>
        <v/>
      </c>
      <c r="J127" s="7" t="n">
        <v>6</v>
      </c>
      <c r="K127" s="7" t="n"/>
      <c r="L127" s="40" t="n"/>
      <c r="M127">
        <f>IF(AND(L127&lt;&gt;"",N(I127)&gt;0,N(J127)&gt;0),IF(J127=1,I127,ROUND(I127*(1+J127/30),1)),"")</f>
        <v/>
      </c>
      <c r="N127" s="41">
        <f>IF(M127="","",IF(M127&gt;=PRs!C2,"PR!",""))</f>
        <v/>
      </c>
      <c r="O127" s="7" t="n"/>
    </row>
    <row r="128">
      <c r="A128" s="34" t="n"/>
      <c r="B128" s="34" t="n"/>
      <c r="C128" s="42" t="inlineStr">
        <is>
          <t>Bench Press</t>
        </is>
      </c>
      <c r="D128" s="34" t="inlineStr">
        <is>
          <t>3 x 6</t>
        </is>
      </c>
      <c r="E128" s="34" t="n"/>
      <c r="F128" s="34" t="n">
        <v>72.5</v>
      </c>
      <c r="G128" s="36">
        <f>Maxes!E3</f>
        <v/>
      </c>
      <c r="H128" s="37">
        <f>IF(OR(G128="",F128=""),"",MROUND(G128*F128/100,'Start Here'!$B$7))</f>
        <v/>
      </c>
      <c r="I128" s="34" t="n"/>
      <c r="J128" s="34" t="n"/>
      <c r="K128" s="34" t="n"/>
      <c r="L128" s="34" t="n"/>
      <c r="M128" s="34" t="n"/>
      <c r="N128" s="34" t="n"/>
      <c r="O128" s="38" t="inlineStr"/>
    </row>
    <row r="129">
      <c r="C129" t="inlineStr">
        <is>
          <t xml:space="preserve">      Set 1</t>
        </is>
      </c>
      <c r="E129" t="n">
        <v>6</v>
      </c>
      <c r="H129" s="39">
        <f>IF(H128="","",H128)</f>
        <v/>
      </c>
      <c r="I129" s="7">
        <f>IF(H128="","",H128)</f>
        <v/>
      </c>
      <c r="J129" s="7" t="n">
        <v>6</v>
      </c>
      <c r="K129" s="7" t="n"/>
      <c r="L129" s="40" t="n"/>
      <c r="M129">
        <f>IF(AND(L129&lt;&gt;"",N(I129)&gt;0,N(J129)&gt;0),IF(J129=1,I129,ROUND(I129*(1+J129/30),1)),"")</f>
        <v/>
      </c>
      <c r="N129" s="41">
        <f>IF(M129="","",IF(M129&gt;=PRs!C3,"PR!",""))</f>
        <v/>
      </c>
      <c r="O129" s="7" t="n"/>
    </row>
    <row r="130">
      <c r="C130" t="inlineStr">
        <is>
          <t xml:space="preserve">      Set 2</t>
        </is>
      </c>
      <c r="E130" t="n">
        <v>6</v>
      </c>
      <c r="H130" s="39">
        <f>IF(H128="","",H128)</f>
        <v/>
      </c>
      <c r="I130" s="7">
        <f>IF(H128="","",H128)</f>
        <v/>
      </c>
      <c r="J130" s="7" t="n">
        <v>6</v>
      </c>
      <c r="K130" s="7" t="n"/>
      <c r="L130" s="40" t="n"/>
      <c r="M130">
        <f>IF(AND(L130&lt;&gt;"",N(I130)&gt;0,N(J130)&gt;0),IF(J130=1,I130,ROUND(I130*(1+J130/30),1)),"")</f>
        <v/>
      </c>
      <c r="N130" s="41">
        <f>IF(M130="","",IF(M130&gt;=PRs!C3,"PR!",""))</f>
        <v/>
      </c>
      <c r="O130" s="7" t="n"/>
    </row>
    <row r="131">
      <c r="C131" t="inlineStr">
        <is>
          <t xml:space="preserve">      Set 3</t>
        </is>
      </c>
      <c r="E131" t="n">
        <v>6</v>
      </c>
      <c r="H131" s="39">
        <f>IF(H128="","",H128)</f>
        <v/>
      </c>
      <c r="I131" s="7">
        <f>IF(H128="","",H128)</f>
        <v/>
      </c>
      <c r="J131" s="7" t="n">
        <v>6</v>
      </c>
      <c r="K131" s="7" t="n"/>
      <c r="L131" s="40" t="n"/>
      <c r="M131">
        <f>IF(AND(L131&lt;&gt;"",N(I131)&gt;0,N(J131)&gt;0),IF(J131=1,I131,ROUND(I131*(1+J131/30),1)),"")</f>
        <v/>
      </c>
      <c r="N131" s="41">
        <f>IF(M131="","",IF(M131&gt;=PRs!C3,"PR!",""))</f>
        <v/>
      </c>
      <c r="O131" s="7" t="n"/>
    </row>
    <row r="132">
      <c r="A132" s="34" t="n"/>
      <c r="B132" s="34" t="n"/>
      <c r="C132" s="43" t="inlineStr">
        <is>
          <t>Barbell Row</t>
        </is>
      </c>
      <c r="D132" s="34" t="inlineStr">
        <is>
          <t>4 x 8-10</t>
        </is>
      </c>
      <c r="E132" s="34" t="n"/>
      <c r="F132" s="34" t="n"/>
      <c r="G132" s="36" t="n"/>
      <c r="H132" s="37" t="n"/>
      <c r="I132" s="34" t="n"/>
      <c r="J132" s="34" t="n"/>
      <c r="K132" s="34" t="n"/>
      <c r="L132" s="34" t="n"/>
      <c r="M132" s="34" t="n"/>
      <c r="N132" s="34" t="n"/>
      <c r="O132" s="38" t="inlineStr">
        <is>
          <t>Leave 1-2 reps in the tank; add weight when you hit the top of the range</t>
        </is>
      </c>
    </row>
    <row r="133">
      <c r="C133" t="inlineStr">
        <is>
          <t xml:space="preserve">      Set 1</t>
        </is>
      </c>
      <c r="E133" t="n">
        <v>8</v>
      </c>
      <c r="H133" s="39">
        <f>IF(H132="","",H132)</f>
        <v/>
      </c>
      <c r="I133" s="7">
        <f>IF(H132="","",H132)</f>
        <v/>
      </c>
      <c r="J133" s="7" t="n">
        <v>8</v>
      </c>
      <c r="K133" s="7" t="n"/>
      <c r="L133" s="40" t="n"/>
      <c r="M133">
        <f>IF(AND(L133&lt;&gt;"",N(I133)&gt;0,N(J133)&gt;0),IF(J133=1,I133,ROUND(I133*(1+J133/30),1)),"")</f>
        <v/>
      </c>
      <c r="N133" s="41">
        <f>IF(M133="","",IF(M133&gt;=PRs!C50,"PR!",""))</f>
        <v/>
      </c>
      <c r="O133" s="7" t="n"/>
    </row>
    <row r="134">
      <c r="C134" t="inlineStr">
        <is>
          <t xml:space="preserve">      Set 2</t>
        </is>
      </c>
      <c r="E134" t="n">
        <v>8</v>
      </c>
      <c r="H134" s="39">
        <f>IF(H132="","",H132)</f>
        <v/>
      </c>
      <c r="I134" s="7">
        <f>IF(H132="","",H132)</f>
        <v/>
      </c>
      <c r="J134" s="7" t="n">
        <v>8</v>
      </c>
      <c r="K134" s="7" t="n"/>
      <c r="L134" s="40" t="n"/>
      <c r="M134">
        <f>IF(AND(L134&lt;&gt;"",N(I134)&gt;0,N(J134)&gt;0),IF(J134=1,I134,ROUND(I134*(1+J134/30),1)),"")</f>
        <v/>
      </c>
      <c r="N134" s="41">
        <f>IF(M134="","",IF(M134&gt;=PRs!C50,"PR!",""))</f>
        <v/>
      </c>
      <c r="O134" s="7" t="n"/>
    </row>
    <row r="135">
      <c r="C135" t="inlineStr">
        <is>
          <t xml:space="preserve">      Set 3</t>
        </is>
      </c>
      <c r="E135" t="n">
        <v>8</v>
      </c>
      <c r="H135" s="39">
        <f>IF(H132="","",H132)</f>
        <v/>
      </c>
      <c r="I135" s="7">
        <f>IF(H132="","",H132)</f>
        <v/>
      </c>
      <c r="J135" s="7" t="n">
        <v>8</v>
      </c>
      <c r="K135" s="7" t="n"/>
      <c r="L135" s="40" t="n"/>
      <c r="M135">
        <f>IF(AND(L135&lt;&gt;"",N(I135)&gt;0,N(J135)&gt;0),IF(J135=1,I135,ROUND(I135*(1+J135/30),1)),"")</f>
        <v/>
      </c>
      <c r="N135" s="41">
        <f>IF(M135="","",IF(M135&gt;=PRs!C50,"PR!",""))</f>
        <v/>
      </c>
      <c r="O135" s="7" t="n"/>
    </row>
    <row r="136">
      <c r="C136" t="inlineStr">
        <is>
          <t xml:space="preserve">      Set 4</t>
        </is>
      </c>
      <c r="E136" t="n">
        <v>8</v>
      </c>
      <c r="H136" s="39">
        <f>IF(H132="","",H132)</f>
        <v/>
      </c>
      <c r="I136" s="7">
        <f>IF(H132="","",H132)</f>
        <v/>
      </c>
      <c r="J136" s="7" t="n">
        <v>8</v>
      </c>
      <c r="K136" s="7" t="n"/>
      <c r="L136" s="40" t="n"/>
      <c r="M136">
        <f>IF(AND(L136&lt;&gt;"",N(I136)&gt;0,N(J136)&gt;0),IF(J136=1,I136,ROUND(I136*(1+J136/30),1)),"")</f>
        <v/>
      </c>
      <c r="N136" s="41">
        <f>IF(M136="","",IF(M136&gt;=PRs!C50,"PR!",""))</f>
        <v/>
      </c>
      <c r="O136" s="7" t="n"/>
    </row>
    <row r="137">
      <c r="A137" s="34" t="n"/>
      <c r="B137" s="34" t="n"/>
      <c r="C137" s="43" t="inlineStr">
        <is>
          <t>Face Pull</t>
        </is>
      </c>
      <c r="D137" s="34" t="inlineStr">
        <is>
          <t>4 x 12-15</t>
        </is>
      </c>
      <c r="E137" s="34" t="n"/>
      <c r="F137" s="34" t="n"/>
      <c r="G137" s="36" t="n"/>
      <c r="H137" s="37" t="n"/>
      <c r="I137" s="34" t="n"/>
      <c r="J137" s="34" t="n"/>
      <c r="K137" s="34" t="n"/>
      <c r="L137" s="34" t="n"/>
      <c r="M137" s="34" t="n"/>
      <c r="N137" s="34" t="n"/>
      <c r="O137" s="38" t="inlineStr">
        <is>
          <t>Leave 1-2 reps in the tank; add weight when you hit the top of the range</t>
        </is>
      </c>
    </row>
    <row r="138">
      <c r="C138" t="inlineStr">
        <is>
          <t xml:space="preserve">      Set 1</t>
        </is>
      </c>
      <c r="E138" t="n">
        <v>12</v>
      </c>
      <c r="H138" s="39">
        <f>IF(H137="","",H137)</f>
        <v/>
      </c>
      <c r="I138" s="7">
        <f>IF(H137="","",H137)</f>
        <v/>
      </c>
      <c r="J138" s="7" t="n">
        <v>12</v>
      </c>
      <c r="K138" s="7" t="n"/>
      <c r="L138" s="40" t="n"/>
      <c r="M138">
        <f>IF(AND(L138&lt;&gt;"",N(I138)&gt;0,N(J138)&gt;0),IF(J138=1,I138,ROUND(I138*(1+J138/30),1)),"")</f>
        <v/>
      </c>
      <c r="N138" s="41">
        <f>IF(M138="","",IF(M138&gt;=PRs!C51,"PR!",""))</f>
        <v/>
      </c>
      <c r="O138" s="7" t="n"/>
    </row>
    <row r="139">
      <c r="C139" t="inlineStr">
        <is>
          <t xml:space="preserve">      Set 2</t>
        </is>
      </c>
      <c r="E139" t="n">
        <v>12</v>
      </c>
      <c r="H139" s="39">
        <f>IF(H137="","",H137)</f>
        <v/>
      </c>
      <c r="I139" s="7">
        <f>IF(H137="","",H137)</f>
        <v/>
      </c>
      <c r="J139" s="7" t="n">
        <v>12</v>
      </c>
      <c r="K139" s="7" t="n"/>
      <c r="L139" s="40" t="n"/>
      <c r="M139">
        <f>IF(AND(L139&lt;&gt;"",N(I139)&gt;0,N(J139)&gt;0),IF(J139=1,I139,ROUND(I139*(1+J139/30),1)),"")</f>
        <v/>
      </c>
      <c r="N139" s="41">
        <f>IF(M139="","",IF(M139&gt;=PRs!C51,"PR!",""))</f>
        <v/>
      </c>
      <c r="O139" s="7" t="n"/>
    </row>
    <row r="140">
      <c r="C140" t="inlineStr">
        <is>
          <t xml:space="preserve">      Set 3</t>
        </is>
      </c>
      <c r="E140" t="n">
        <v>12</v>
      </c>
      <c r="H140" s="39">
        <f>IF(H137="","",H137)</f>
        <v/>
      </c>
      <c r="I140" s="7">
        <f>IF(H137="","",H137)</f>
        <v/>
      </c>
      <c r="J140" s="7" t="n">
        <v>12</v>
      </c>
      <c r="K140" s="7" t="n"/>
      <c r="L140" s="40" t="n"/>
      <c r="M140">
        <f>IF(AND(L140&lt;&gt;"",N(I140)&gt;0,N(J140)&gt;0),IF(J140=1,I140,ROUND(I140*(1+J140/30),1)),"")</f>
        <v/>
      </c>
      <c r="N140" s="41">
        <f>IF(M140="","",IF(M140&gt;=PRs!C51,"PR!",""))</f>
        <v/>
      </c>
      <c r="O140" s="7" t="n"/>
    </row>
    <row r="141">
      <c r="C141" t="inlineStr">
        <is>
          <t xml:space="preserve">      Set 4</t>
        </is>
      </c>
      <c r="E141" t="n">
        <v>12</v>
      </c>
      <c r="H141" s="39">
        <f>IF(H137="","",H137)</f>
        <v/>
      </c>
      <c r="I141" s="7">
        <f>IF(H137="","",H137)</f>
        <v/>
      </c>
      <c r="J141" s="7" t="n">
        <v>12</v>
      </c>
      <c r="K141" s="7" t="n"/>
      <c r="L141" s="40" t="n"/>
      <c r="M141">
        <f>IF(AND(L141&lt;&gt;"",N(I141)&gt;0,N(J141)&gt;0),IF(J141=1,I141,ROUND(I141*(1+J141/30),1)),"")</f>
        <v/>
      </c>
      <c r="N141" s="41">
        <f>IF(M141="","",IF(M141&gt;=PRs!C51,"PR!",""))</f>
        <v/>
      </c>
      <c r="O141" s="7" t="n"/>
    </row>
    <row r="142">
      <c r="A142" s="31" t="inlineStr">
        <is>
          <t>Day 2 - Light</t>
        </is>
      </c>
      <c r="B142" s="32">
        <f>'Start Here'!$B$8+9</f>
        <v/>
      </c>
      <c r="C142" s="33" t="n"/>
      <c r="D142" s="33" t="n"/>
      <c r="E142" s="33" t="n"/>
      <c r="F142" s="33" t="n"/>
      <c r="G142" s="33" t="n"/>
      <c r="H142" s="33" t="n"/>
      <c r="I142" s="33" t="n"/>
      <c r="J142" s="33" t="n"/>
      <c r="K142" s="33" t="n"/>
      <c r="L142" s="33" t="n"/>
      <c r="M142" s="33" t="n"/>
      <c r="N142" s="33" t="n"/>
      <c r="O142" s="33" t="n"/>
    </row>
    <row r="143">
      <c r="A143" s="34" t="n"/>
      <c r="B143" s="34" t="n"/>
      <c r="C143" s="35" t="inlineStr">
        <is>
          <t>Broad Jump</t>
        </is>
      </c>
      <c r="D143" s="34" t="inlineStr">
        <is>
          <t>4 x 3</t>
        </is>
      </c>
      <c r="E143" s="34" t="n"/>
      <c r="F143" s="34" t="n"/>
      <c r="G143" s="36" t="n"/>
      <c r="H143" s="37">
        <f>IF(N(Maxes!E70)&gt;0,Maxes!E70,"")</f>
        <v/>
      </c>
      <c r="I143" s="34" t="n"/>
      <c r="J143" s="34" t="n"/>
      <c r="K143" s="34" t="n"/>
      <c r="L143" s="34" t="n"/>
      <c r="M143" s="34" t="n"/>
      <c r="N143" s="34" t="n"/>
      <c r="O143" s="38" t="inlineStr">
        <is>
          <t>Standing two-foot jump forward, stick the landing. Measure toe line to the back of the nearest heel.</t>
        </is>
      </c>
    </row>
    <row r="144">
      <c r="C144" t="inlineStr">
        <is>
          <t xml:space="preserve">      Set 1</t>
        </is>
      </c>
      <c r="E144" t="n">
        <v>3</v>
      </c>
      <c r="H144" s="39">
        <f>IF(H143="","",H143)</f>
        <v/>
      </c>
      <c r="I144" s="7">
        <f>IF(H143="","",H143)</f>
        <v/>
      </c>
      <c r="J144" s="7" t="n">
        <v>3</v>
      </c>
      <c r="K144" s="7" t="n"/>
      <c r="L144" s="40" t="n"/>
      <c r="N144" s="41">
        <f>IF(AND(L144&lt;&gt;"",N(I144)&gt;0),IF(I144&gt;=PRs!D70,"PR!",""),"")</f>
        <v/>
      </c>
      <c r="O144" s="7" t="n"/>
    </row>
    <row r="145">
      <c r="C145" t="inlineStr">
        <is>
          <t xml:space="preserve">      Set 2</t>
        </is>
      </c>
      <c r="E145" t="n">
        <v>3</v>
      </c>
      <c r="H145" s="39">
        <f>IF(H143="","",H143)</f>
        <v/>
      </c>
      <c r="I145" s="7">
        <f>IF(H143="","",H143)</f>
        <v/>
      </c>
      <c r="J145" s="7" t="n">
        <v>3</v>
      </c>
      <c r="K145" s="7" t="n"/>
      <c r="L145" s="40" t="n"/>
      <c r="N145" s="41">
        <f>IF(AND(L145&lt;&gt;"",N(I145)&gt;0),IF(I145&gt;=PRs!D70,"PR!",""),"")</f>
        <v/>
      </c>
      <c r="O145" s="7" t="n"/>
    </row>
    <row r="146">
      <c r="C146" t="inlineStr">
        <is>
          <t xml:space="preserve">      Set 3</t>
        </is>
      </c>
      <c r="E146" t="n">
        <v>3</v>
      </c>
      <c r="H146" s="39">
        <f>IF(H143="","",H143)</f>
        <v/>
      </c>
      <c r="I146" s="7">
        <f>IF(H143="","",H143)</f>
        <v/>
      </c>
      <c r="J146" s="7" t="n">
        <v>3</v>
      </c>
      <c r="K146" s="7" t="n"/>
      <c r="L146" s="40" t="n"/>
      <c r="N146" s="41">
        <f>IF(AND(L146&lt;&gt;"",N(I146)&gt;0),IF(I146&gt;=PRs!D70,"PR!",""),"")</f>
        <v/>
      </c>
      <c r="O146" s="7" t="n"/>
    </row>
    <row r="147">
      <c r="C147" t="inlineStr">
        <is>
          <t xml:space="preserve">      Set 4</t>
        </is>
      </c>
      <c r="E147" t="n">
        <v>3</v>
      </c>
      <c r="H147" s="39">
        <f>IF(H143="","",H143)</f>
        <v/>
      </c>
      <c r="I147" s="7">
        <f>IF(H143="","",H143)</f>
        <v/>
      </c>
      <c r="J147" s="7" t="n">
        <v>3</v>
      </c>
      <c r="K147" s="7" t="n"/>
      <c r="L147" s="40" t="n"/>
      <c r="N147" s="41">
        <f>IF(AND(L147&lt;&gt;"",N(I147)&gt;0),IF(I147&gt;=PRs!D70,"PR!",""),"")</f>
        <v/>
      </c>
      <c r="O147" s="7" t="n"/>
    </row>
    <row r="148">
      <c r="A148" s="34" t="n"/>
      <c r="B148" s="34" t="n"/>
      <c r="C148" s="35" t="inlineStr">
        <is>
          <t>Med Ball Chest Pass</t>
        </is>
      </c>
      <c r="D148" s="34" t="inlineStr">
        <is>
          <t>3 x 5</t>
        </is>
      </c>
      <c r="E148" s="34" t="n"/>
      <c r="F148" s="34" t="n"/>
      <c r="G148" s="36" t="n"/>
      <c r="H148" s="37">
        <f>IF(N(Maxes!E77)&gt;0,Maxes!E77,"")</f>
        <v/>
      </c>
      <c r="I148" s="34" t="n"/>
      <c r="J148" s="34" t="n"/>
      <c r="K148" s="34" t="n"/>
      <c r="L148" s="34" t="n"/>
      <c r="M148" s="34" t="n"/>
      <c r="N148" s="34" t="n"/>
      <c r="O148" s="38" t="inlineStr">
        <is>
          <t>Kneeling or standing chest pass for distance with a 6-10 lb / 3-5 kg ball. Log the distance.</t>
        </is>
      </c>
    </row>
    <row r="149">
      <c r="C149" t="inlineStr">
        <is>
          <t xml:space="preserve">      Set 1</t>
        </is>
      </c>
      <c r="E149" t="n">
        <v>5</v>
      </c>
      <c r="H149" s="39">
        <f>IF(H148="","",H148)</f>
        <v/>
      </c>
      <c r="I149" s="7">
        <f>IF(H148="","",H148)</f>
        <v/>
      </c>
      <c r="J149" s="7" t="n">
        <v>5</v>
      </c>
      <c r="K149" s="7" t="n"/>
      <c r="L149" s="40" t="n"/>
      <c r="N149" s="41">
        <f>IF(AND(L149&lt;&gt;"",N(I149)&gt;0),IF(I149&gt;=PRs!D77,"PR!",""),"")</f>
        <v/>
      </c>
      <c r="O149" s="7" t="n"/>
    </row>
    <row r="150">
      <c r="C150" t="inlineStr">
        <is>
          <t xml:space="preserve">      Set 2</t>
        </is>
      </c>
      <c r="E150" t="n">
        <v>5</v>
      </c>
      <c r="H150" s="39">
        <f>IF(H148="","",H148)</f>
        <v/>
      </c>
      <c r="I150" s="7">
        <f>IF(H148="","",H148)</f>
        <v/>
      </c>
      <c r="J150" s="7" t="n">
        <v>5</v>
      </c>
      <c r="K150" s="7" t="n"/>
      <c r="L150" s="40" t="n"/>
      <c r="N150" s="41">
        <f>IF(AND(L150&lt;&gt;"",N(I150)&gt;0),IF(I150&gt;=PRs!D77,"PR!",""),"")</f>
        <v/>
      </c>
      <c r="O150" s="7" t="n"/>
    </row>
    <row r="151">
      <c r="C151" t="inlineStr">
        <is>
          <t xml:space="preserve">      Set 3</t>
        </is>
      </c>
      <c r="E151" t="n">
        <v>5</v>
      </c>
      <c r="H151" s="39">
        <f>IF(H148="","",H148)</f>
        <v/>
      </c>
      <c r="I151" s="7">
        <f>IF(H148="","",H148)</f>
        <v/>
      </c>
      <c r="J151" s="7" t="n">
        <v>5</v>
      </c>
      <c r="K151" s="7" t="n"/>
      <c r="L151" s="40" t="n"/>
      <c r="N151" s="41">
        <f>IF(AND(L151&lt;&gt;"",N(I151)&gt;0),IF(I151&gt;=PRs!D77,"PR!",""),"")</f>
        <v/>
      </c>
      <c r="O151" s="7" t="n"/>
    </row>
    <row r="152">
      <c r="A152" s="34" t="n"/>
      <c r="B152" s="34" t="n"/>
      <c r="C152" s="42" t="inlineStr">
        <is>
          <t>Clean &amp; Jerk</t>
        </is>
      </c>
      <c r="D152" s="34" t="inlineStr">
        <is>
          <t>4 x 3</t>
        </is>
      </c>
      <c r="E152" s="34" t="n"/>
      <c r="F152" s="34" t="n">
        <v>72.5</v>
      </c>
      <c r="G152" s="36">
        <f>Maxes!E7</f>
        <v/>
      </c>
      <c r="H152" s="37">
        <f>IF(OR(G152="",F152=""),"",MROUND(G152*F152/100,'Start Here'!$B$7))</f>
        <v/>
      </c>
      <c r="I152" s="34" t="n"/>
      <c r="J152" s="34" t="n"/>
      <c r="K152" s="34" t="n"/>
      <c r="L152" s="34" t="n"/>
      <c r="M152" s="34" t="n"/>
      <c r="N152" s="34" t="n"/>
      <c r="O152" s="38" t="inlineStr"/>
    </row>
    <row r="153">
      <c r="C153" t="inlineStr">
        <is>
          <t xml:space="preserve">      Set 1</t>
        </is>
      </c>
      <c r="E153" t="n">
        <v>3</v>
      </c>
      <c r="H153" s="39">
        <f>IF(H152="","",H152)</f>
        <v/>
      </c>
      <c r="I153" s="7">
        <f>IF(H152="","",H152)</f>
        <v/>
      </c>
      <c r="J153" s="7" t="n">
        <v>3</v>
      </c>
      <c r="K153" s="7" t="n"/>
      <c r="L153" s="40" t="n"/>
      <c r="M153">
        <f>IF(AND(L153&lt;&gt;"",N(I153)&gt;0,N(J153)&gt;0),IF(J153=1,I153,ROUND(I153*(1+J153/30),1)),"")</f>
        <v/>
      </c>
      <c r="N153" s="41">
        <f>IF(M153="","",IF(M153&gt;=PRs!C7,"PR!",""))</f>
        <v/>
      </c>
      <c r="O153" s="7" t="n"/>
    </row>
    <row r="154">
      <c r="C154" t="inlineStr">
        <is>
          <t xml:space="preserve">      Set 2</t>
        </is>
      </c>
      <c r="E154" t="n">
        <v>3</v>
      </c>
      <c r="H154" s="39">
        <f>IF(H152="","",H152)</f>
        <v/>
      </c>
      <c r="I154" s="7">
        <f>IF(H152="","",H152)</f>
        <v/>
      </c>
      <c r="J154" s="7" t="n">
        <v>3</v>
      </c>
      <c r="K154" s="7" t="n"/>
      <c r="L154" s="40" t="n"/>
      <c r="M154">
        <f>IF(AND(L154&lt;&gt;"",N(I154)&gt;0,N(J154)&gt;0),IF(J154=1,I154,ROUND(I154*(1+J154/30),1)),"")</f>
        <v/>
      </c>
      <c r="N154" s="41">
        <f>IF(M154="","",IF(M154&gt;=PRs!C7,"PR!",""))</f>
        <v/>
      </c>
      <c r="O154" s="7" t="n"/>
    </row>
    <row r="155">
      <c r="C155" t="inlineStr">
        <is>
          <t xml:space="preserve">      Set 3</t>
        </is>
      </c>
      <c r="E155" t="n">
        <v>3</v>
      </c>
      <c r="H155" s="39">
        <f>IF(H152="","",H152)</f>
        <v/>
      </c>
      <c r="I155" s="7">
        <f>IF(H152="","",H152)</f>
        <v/>
      </c>
      <c r="J155" s="7" t="n">
        <v>3</v>
      </c>
      <c r="K155" s="7" t="n"/>
      <c r="L155" s="40" t="n"/>
      <c r="M155">
        <f>IF(AND(L155&lt;&gt;"",N(I155)&gt;0,N(J155)&gt;0),IF(J155=1,I155,ROUND(I155*(1+J155/30),1)),"")</f>
        <v/>
      </c>
      <c r="N155" s="41">
        <f>IF(M155="","",IF(M155&gt;=PRs!C7,"PR!",""))</f>
        <v/>
      </c>
      <c r="O155" s="7" t="n"/>
    </row>
    <row r="156">
      <c r="C156" t="inlineStr">
        <is>
          <t xml:space="preserve">      Set 4</t>
        </is>
      </c>
      <c r="E156" t="n">
        <v>3</v>
      </c>
      <c r="H156" s="39">
        <f>IF(H152="","",H152)</f>
        <v/>
      </c>
      <c r="I156" s="7">
        <f>IF(H152="","",H152)</f>
        <v/>
      </c>
      <c r="J156" s="7" t="n">
        <v>3</v>
      </c>
      <c r="K156" s="7" t="n"/>
      <c r="L156" s="40" t="n"/>
      <c r="M156">
        <f>IF(AND(L156&lt;&gt;"",N(I156)&gt;0,N(J156)&gt;0),IF(J156=1,I156,ROUND(I156*(1+J156/30),1)),"")</f>
        <v/>
      </c>
      <c r="N156" s="41">
        <f>IF(M156="","",IF(M156&gt;=PRs!C7,"PR!",""))</f>
        <v/>
      </c>
      <c r="O156" s="7" t="n"/>
    </row>
    <row r="157">
      <c r="A157" s="34" t="n"/>
      <c r="B157" s="34" t="n"/>
      <c r="C157" s="42" t="inlineStr">
        <is>
          <t>Squat</t>
        </is>
      </c>
      <c r="D157" s="34" t="inlineStr">
        <is>
          <t>3 x 6</t>
        </is>
      </c>
      <c r="E157" s="34" t="n"/>
      <c r="F157" s="34" t="n">
        <v>62.5</v>
      </c>
      <c r="G157" s="36">
        <f>Maxes!E2</f>
        <v/>
      </c>
      <c r="H157" s="37">
        <f>IF(OR(G157="",F157=""),"",MROUND(G157*F157/100,'Start Here'!$B$7))</f>
        <v/>
      </c>
      <c r="I157" s="34" t="n"/>
      <c r="J157" s="34" t="n"/>
      <c r="K157" s="34" t="n"/>
      <c r="L157" s="34" t="n"/>
      <c r="M157" s="34" t="n"/>
      <c r="N157" s="34" t="n"/>
      <c r="O157" s="38" t="inlineStr"/>
    </row>
    <row r="158">
      <c r="C158" t="inlineStr">
        <is>
          <t xml:space="preserve">      Set 1</t>
        </is>
      </c>
      <c r="E158" t="n">
        <v>6</v>
      </c>
      <c r="H158" s="39">
        <f>IF(H157="","",H157)</f>
        <v/>
      </c>
      <c r="I158" s="7">
        <f>IF(H157="","",H157)</f>
        <v/>
      </c>
      <c r="J158" s="7" t="n">
        <v>6</v>
      </c>
      <c r="K158" s="7" t="n"/>
      <c r="L158" s="40" t="n"/>
      <c r="M158">
        <f>IF(AND(L158&lt;&gt;"",N(I158)&gt;0,N(J158)&gt;0),IF(J158=1,I158,ROUND(I158*(1+J158/30),1)),"")</f>
        <v/>
      </c>
      <c r="N158" s="41">
        <f>IF(M158="","",IF(M158&gt;=PRs!C2,"PR!",""))</f>
        <v/>
      </c>
      <c r="O158" s="7" t="n"/>
    </row>
    <row r="159">
      <c r="C159" t="inlineStr">
        <is>
          <t xml:space="preserve">      Set 2</t>
        </is>
      </c>
      <c r="E159" t="n">
        <v>6</v>
      </c>
      <c r="H159" s="39">
        <f>IF(H157="","",H157)</f>
        <v/>
      </c>
      <c r="I159" s="7">
        <f>IF(H157="","",H157)</f>
        <v/>
      </c>
      <c r="J159" s="7" t="n">
        <v>6</v>
      </c>
      <c r="K159" s="7" t="n"/>
      <c r="L159" s="40" t="n"/>
      <c r="M159">
        <f>IF(AND(L159&lt;&gt;"",N(I159)&gt;0,N(J159)&gt;0),IF(J159=1,I159,ROUND(I159*(1+J159/30),1)),"")</f>
        <v/>
      </c>
      <c r="N159" s="41">
        <f>IF(M159="","",IF(M159&gt;=PRs!C2,"PR!",""))</f>
        <v/>
      </c>
      <c r="O159" s="7" t="n"/>
    </row>
    <row r="160">
      <c r="C160" t="inlineStr">
        <is>
          <t xml:space="preserve">      Set 3</t>
        </is>
      </c>
      <c r="E160" t="n">
        <v>6</v>
      </c>
      <c r="H160" s="39">
        <f>IF(H157="","",H157)</f>
        <v/>
      </c>
      <c r="I160" s="7">
        <f>IF(H157="","",H157)</f>
        <v/>
      </c>
      <c r="J160" s="7" t="n">
        <v>6</v>
      </c>
      <c r="K160" s="7" t="n"/>
      <c r="L160" s="40" t="n"/>
      <c r="M160">
        <f>IF(AND(L160&lt;&gt;"",N(I160)&gt;0,N(J160)&gt;0),IF(J160=1,I160,ROUND(I160*(1+J160/30),1)),"")</f>
        <v/>
      </c>
      <c r="N160" s="41">
        <f>IF(M160="","",IF(M160&gt;=PRs!C2,"PR!",""))</f>
        <v/>
      </c>
      <c r="O160" s="7" t="n"/>
    </row>
    <row r="161">
      <c r="A161" s="34" t="n"/>
      <c r="B161" s="34" t="n"/>
      <c r="C161" s="42" t="inlineStr">
        <is>
          <t>Overhead Press</t>
        </is>
      </c>
      <c r="D161" s="34" t="inlineStr">
        <is>
          <t>4 x 6</t>
        </is>
      </c>
      <c r="E161" s="34" t="n"/>
      <c r="F161" s="34" t="n">
        <v>67.5</v>
      </c>
      <c r="G161" s="36">
        <f>Maxes!E5</f>
        <v/>
      </c>
      <c r="H161" s="37">
        <f>IF(OR(G161="",F161=""),"",MROUND(G161*F161/100,'Start Here'!$B$7))</f>
        <v/>
      </c>
      <c r="I161" s="34" t="n"/>
      <c r="J161" s="34" t="n"/>
      <c r="K161" s="34" t="n"/>
      <c r="L161" s="34" t="n"/>
      <c r="M161" s="34" t="n"/>
      <c r="N161" s="34" t="n"/>
      <c r="O161" s="38" t="inlineStr"/>
    </row>
    <row r="162">
      <c r="C162" t="inlineStr">
        <is>
          <t xml:space="preserve">      Set 1</t>
        </is>
      </c>
      <c r="E162" t="n">
        <v>6</v>
      </c>
      <c r="H162" s="39">
        <f>IF(H161="","",H161)</f>
        <v/>
      </c>
      <c r="I162" s="7">
        <f>IF(H161="","",H161)</f>
        <v/>
      </c>
      <c r="J162" s="7" t="n">
        <v>6</v>
      </c>
      <c r="K162" s="7" t="n"/>
      <c r="L162" s="40" t="n"/>
      <c r="M162">
        <f>IF(AND(L162&lt;&gt;"",N(I162)&gt;0,N(J162)&gt;0),IF(J162=1,I162,ROUND(I162*(1+J162/30),1)),"")</f>
        <v/>
      </c>
      <c r="N162" s="41">
        <f>IF(M162="","",IF(M162&gt;=PRs!C5,"PR!",""))</f>
        <v/>
      </c>
      <c r="O162" s="7" t="n"/>
    </row>
    <row r="163">
      <c r="C163" t="inlineStr">
        <is>
          <t xml:space="preserve">      Set 2</t>
        </is>
      </c>
      <c r="E163" t="n">
        <v>6</v>
      </c>
      <c r="H163" s="39">
        <f>IF(H161="","",H161)</f>
        <v/>
      </c>
      <c r="I163" s="7">
        <f>IF(H161="","",H161)</f>
        <v/>
      </c>
      <c r="J163" s="7" t="n">
        <v>6</v>
      </c>
      <c r="K163" s="7" t="n"/>
      <c r="L163" s="40" t="n"/>
      <c r="M163">
        <f>IF(AND(L163&lt;&gt;"",N(I163)&gt;0,N(J163)&gt;0),IF(J163=1,I163,ROUND(I163*(1+J163/30),1)),"")</f>
        <v/>
      </c>
      <c r="N163" s="41">
        <f>IF(M163="","",IF(M163&gt;=PRs!C5,"PR!",""))</f>
        <v/>
      </c>
      <c r="O163" s="7" t="n"/>
    </row>
    <row r="164">
      <c r="C164" t="inlineStr">
        <is>
          <t xml:space="preserve">      Set 3</t>
        </is>
      </c>
      <c r="E164" t="n">
        <v>6</v>
      </c>
      <c r="H164" s="39">
        <f>IF(H161="","",H161)</f>
        <v/>
      </c>
      <c r="I164" s="7">
        <f>IF(H161="","",H161)</f>
        <v/>
      </c>
      <c r="J164" s="7" t="n">
        <v>6</v>
      </c>
      <c r="K164" s="7" t="n"/>
      <c r="L164" s="40" t="n"/>
      <c r="M164">
        <f>IF(AND(L164&lt;&gt;"",N(I164)&gt;0,N(J164)&gt;0),IF(J164=1,I164,ROUND(I164*(1+J164/30),1)),"")</f>
        <v/>
      </c>
      <c r="N164" s="41">
        <f>IF(M164="","",IF(M164&gt;=PRs!C5,"PR!",""))</f>
        <v/>
      </c>
      <c r="O164" s="7" t="n"/>
    </row>
    <row r="165">
      <c r="C165" t="inlineStr">
        <is>
          <t xml:space="preserve">      Set 4</t>
        </is>
      </c>
      <c r="E165" t="n">
        <v>6</v>
      </c>
      <c r="H165" s="39">
        <f>IF(H161="","",H161)</f>
        <v/>
      </c>
      <c r="I165" s="7">
        <f>IF(H161="","",H161)</f>
        <v/>
      </c>
      <c r="J165" s="7" t="n">
        <v>6</v>
      </c>
      <c r="K165" s="7" t="n"/>
      <c r="L165" s="40" t="n"/>
      <c r="M165">
        <f>IF(AND(L165&lt;&gt;"",N(I165)&gt;0,N(J165)&gt;0),IF(J165=1,I165,ROUND(I165*(1+J165/30),1)),"")</f>
        <v/>
      </c>
      <c r="N165" s="41">
        <f>IF(M165="","",IF(M165&gt;=PRs!C5,"PR!",""))</f>
        <v/>
      </c>
      <c r="O165" s="7" t="n"/>
    </row>
    <row r="166">
      <c r="A166" s="34" t="n"/>
      <c r="B166" s="34" t="n"/>
      <c r="C166" s="42" t="inlineStr">
        <is>
          <t>Deadlift</t>
        </is>
      </c>
      <c r="D166" s="34" t="inlineStr">
        <is>
          <t>3 x 6</t>
        </is>
      </c>
      <c r="E166" s="34" t="n"/>
      <c r="F166" s="34" t="n">
        <v>67.5</v>
      </c>
      <c r="G166" s="36">
        <f>Maxes!E4</f>
        <v/>
      </c>
      <c r="H166" s="37">
        <f>IF(OR(G166="",F166=""),"",MROUND(G166*F166/100,'Start Here'!$B$7))</f>
        <v/>
      </c>
      <c r="I166" s="34" t="n"/>
      <c r="J166" s="34" t="n"/>
      <c r="K166" s="34" t="n"/>
      <c r="L166" s="34" t="n"/>
      <c r="M166" s="34" t="n"/>
      <c r="N166" s="34" t="n"/>
      <c r="O166" s="38" t="inlineStr"/>
    </row>
    <row r="167">
      <c r="C167" t="inlineStr">
        <is>
          <t xml:space="preserve">      Set 1</t>
        </is>
      </c>
      <c r="E167" t="n">
        <v>6</v>
      </c>
      <c r="H167" s="39">
        <f>IF(H166="","",H166)</f>
        <v/>
      </c>
      <c r="I167" s="7">
        <f>IF(H166="","",H166)</f>
        <v/>
      </c>
      <c r="J167" s="7" t="n">
        <v>6</v>
      </c>
      <c r="K167" s="7" t="n"/>
      <c r="L167" s="40" t="n"/>
      <c r="M167">
        <f>IF(AND(L167&lt;&gt;"",N(I167)&gt;0,N(J167)&gt;0),IF(J167=1,I167,ROUND(I167*(1+J167/30),1)),"")</f>
        <v/>
      </c>
      <c r="N167" s="41">
        <f>IF(M167="","",IF(M167&gt;=PRs!C4,"PR!",""))</f>
        <v/>
      </c>
      <c r="O167" s="7" t="n"/>
    </row>
    <row r="168">
      <c r="C168" t="inlineStr">
        <is>
          <t xml:space="preserve">      Set 2</t>
        </is>
      </c>
      <c r="E168" t="n">
        <v>6</v>
      </c>
      <c r="H168" s="39">
        <f>IF(H166="","",H166)</f>
        <v/>
      </c>
      <c r="I168" s="7">
        <f>IF(H166="","",H166)</f>
        <v/>
      </c>
      <c r="J168" s="7" t="n">
        <v>6</v>
      </c>
      <c r="K168" s="7" t="n"/>
      <c r="L168" s="40" t="n"/>
      <c r="M168">
        <f>IF(AND(L168&lt;&gt;"",N(I168)&gt;0,N(J168)&gt;0),IF(J168=1,I168,ROUND(I168*(1+J168/30),1)),"")</f>
        <v/>
      </c>
      <c r="N168" s="41">
        <f>IF(M168="","",IF(M168&gt;=PRs!C4,"PR!",""))</f>
        <v/>
      </c>
      <c r="O168" s="7" t="n"/>
    </row>
    <row r="169">
      <c r="C169" t="inlineStr">
        <is>
          <t xml:space="preserve">      Set 3</t>
        </is>
      </c>
      <c r="E169" t="n">
        <v>6</v>
      </c>
      <c r="H169" s="39">
        <f>IF(H166="","",H166)</f>
        <v/>
      </c>
      <c r="I169" s="7">
        <f>IF(H166="","",H166)</f>
        <v/>
      </c>
      <c r="J169" s="7" t="n">
        <v>6</v>
      </c>
      <c r="K169" s="7" t="n"/>
      <c r="L169" s="40" t="n"/>
      <c r="M169">
        <f>IF(AND(L169&lt;&gt;"",N(I169)&gt;0,N(J169)&gt;0),IF(J169=1,I169,ROUND(I169*(1+J169/30),1)),"")</f>
        <v/>
      </c>
      <c r="N169" s="41">
        <f>IF(M169="","",IF(M169&gt;=PRs!C4,"PR!",""))</f>
        <v/>
      </c>
      <c r="O169" s="7" t="n"/>
    </row>
    <row r="170">
      <c r="A170" s="34" t="n"/>
      <c r="B170" s="34" t="n"/>
      <c r="C170" s="43" t="inlineStr">
        <is>
          <t>Chin-up</t>
        </is>
      </c>
      <c r="D170" s="34" t="inlineStr">
        <is>
          <t>4 x 6-10</t>
        </is>
      </c>
      <c r="E170" s="34" t="n"/>
      <c r="F170" s="34" t="n"/>
      <c r="G170" s="36" t="n"/>
      <c r="H170" s="37" t="n"/>
      <c r="I170" s="34" t="n"/>
      <c r="J170" s="34" t="n"/>
      <c r="K170" s="34" t="n"/>
      <c r="L170" s="34" t="n"/>
      <c r="M170" s="34" t="n"/>
      <c r="N170" s="34" t="n"/>
      <c r="O170" s="38" t="inlineStr">
        <is>
          <t>Leave 1-2 reps in the tank; add weight when you hit the top of the range</t>
        </is>
      </c>
    </row>
    <row r="171">
      <c r="C171" t="inlineStr">
        <is>
          <t xml:space="preserve">      Set 1</t>
        </is>
      </c>
      <c r="E171" t="n">
        <v>6</v>
      </c>
      <c r="H171" s="39">
        <f>IF(H170="","",H170)</f>
        <v/>
      </c>
      <c r="I171" s="7">
        <f>IF(H170="","",H170)</f>
        <v/>
      </c>
      <c r="J171" s="7" t="n">
        <v>6</v>
      </c>
      <c r="K171" s="7" t="n"/>
      <c r="L171" s="40" t="n"/>
      <c r="M171">
        <f>IF(AND(L171&lt;&gt;"",N(I171)&gt;0,N(J171)&gt;0),IF(J171=1,I171,ROUND(I171*(1+J171/30),1)),"")</f>
        <v/>
      </c>
      <c r="N171" s="41">
        <f>IF(M171="","",IF(M171&gt;=PRs!C53,"PR!",""))</f>
        <v/>
      </c>
      <c r="O171" s="7" t="n"/>
    </row>
    <row r="172">
      <c r="C172" t="inlineStr">
        <is>
          <t xml:space="preserve">      Set 2</t>
        </is>
      </c>
      <c r="E172" t="n">
        <v>6</v>
      </c>
      <c r="H172" s="39">
        <f>IF(H170="","",H170)</f>
        <v/>
      </c>
      <c r="I172" s="7">
        <f>IF(H170="","",H170)</f>
        <v/>
      </c>
      <c r="J172" s="7" t="n">
        <v>6</v>
      </c>
      <c r="K172" s="7" t="n"/>
      <c r="L172" s="40" t="n"/>
      <c r="M172">
        <f>IF(AND(L172&lt;&gt;"",N(I172)&gt;0,N(J172)&gt;0),IF(J172=1,I172,ROUND(I172*(1+J172/30),1)),"")</f>
        <v/>
      </c>
      <c r="N172" s="41">
        <f>IF(M172="","",IF(M172&gt;=PRs!C53,"PR!",""))</f>
        <v/>
      </c>
      <c r="O172" s="7" t="n"/>
    </row>
    <row r="173">
      <c r="C173" t="inlineStr">
        <is>
          <t xml:space="preserve">      Set 3</t>
        </is>
      </c>
      <c r="E173" t="n">
        <v>6</v>
      </c>
      <c r="H173" s="39">
        <f>IF(H170="","",H170)</f>
        <v/>
      </c>
      <c r="I173" s="7">
        <f>IF(H170="","",H170)</f>
        <v/>
      </c>
      <c r="J173" s="7" t="n">
        <v>6</v>
      </c>
      <c r="K173" s="7" t="n"/>
      <c r="L173" s="40" t="n"/>
      <c r="M173">
        <f>IF(AND(L173&lt;&gt;"",N(I173)&gt;0,N(J173)&gt;0),IF(J173=1,I173,ROUND(I173*(1+J173/30),1)),"")</f>
        <v/>
      </c>
      <c r="N173" s="41">
        <f>IF(M173="","",IF(M173&gt;=PRs!C53,"PR!",""))</f>
        <v/>
      </c>
      <c r="O173" s="7" t="n"/>
    </row>
    <row r="174">
      <c r="C174" t="inlineStr">
        <is>
          <t xml:space="preserve">      Set 4</t>
        </is>
      </c>
      <c r="E174" t="n">
        <v>6</v>
      </c>
      <c r="H174" s="39">
        <f>IF(H170="","",H170)</f>
        <v/>
      </c>
      <c r="I174" s="7">
        <f>IF(H170="","",H170)</f>
        <v/>
      </c>
      <c r="J174" s="7" t="n">
        <v>6</v>
      </c>
      <c r="K174" s="7" t="n"/>
      <c r="L174" s="40" t="n"/>
      <c r="M174">
        <f>IF(AND(L174&lt;&gt;"",N(I174)&gt;0,N(J174)&gt;0),IF(J174=1,I174,ROUND(I174*(1+J174/30),1)),"")</f>
        <v/>
      </c>
      <c r="N174" s="41">
        <f>IF(M174="","",IF(M174&gt;=PRs!C53,"PR!",""))</f>
        <v/>
      </c>
      <c r="O174" s="7" t="n"/>
    </row>
    <row r="175">
      <c r="A175" s="34" t="n"/>
      <c r="B175" s="34" t="n"/>
      <c r="C175" s="43" t="inlineStr">
        <is>
          <t>Plank</t>
        </is>
      </c>
      <c r="D175" s="34" t="inlineStr">
        <is>
          <t>4 x 30-60s</t>
        </is>
      </c>
      <c r="E175" s="34" t="n"/>
      <c r="F175" s="34" t="n"/>
      <c r="G175" s="36" t="n"/>
      <c r="H175" s="37" t="n"/>
      <c r="I175" s="34" t="n"/>
      <c r="J175" s="34" t="n"/>
      <c r="K175" s="34" t="n"/>
      <c r="L175" s="34" t="n"/>
      <c r="M175" s="34" t="n"/>
      <c r="N175" s="34" t="n"/>
      <c r="O175" s="38" t="inlineStr">
        <is>
          <t>Leave 1-2 reps in the tank; add weight when you hit the top of the range</t>
        </is>
      </c>
    </row>
    <row r="176">
      <c r="C176" t="inlineStr">
        <is>
          <t xml:space="preserve">      Set 1</t>
        </is>
      </c>
      <c r="E176" t="n">
        <v>30</v>
      </c>
      <c r="H176" s="39">
        <f>IF(H175="","",H175)</f>
        <v/>
      </c>
      <c r="I176" s="7">
        <f>IF(H175="","",H175)</f>
        <v/>
      </c>
      <c r="J176" s="7" t="n">
        <v>30</v>
      </c>
      <c r="K176" s="7" t="n"/>
      <c r="L176" s="40" t="n"/>
      <c r="M176">
        <f>IF(AND(L176&lt;&gt;"",N(I176)&gt;0,N(J176)&gt;0),IF(J176=1,I176,ROUND(I176*(1+J176/30),1)),"")</f>
        <v/>
      </c>
      <c r="N176" s="41">
        <f>IF(M176="","",IF(M176&gt;=PRs!C56,"PR!",""))</f>
        <v/>
      </c>
      <c r="O176" s="7" t="n"/>
    </row>
    <row r="177">
      <c r="C177" t="inlineStr">
        <is>
          <t xml:space="preserve">      Set 2</t>
        </is>
      </c>
      <c r="E177" t="n">
        <v>30</v>
      </c>
      <c r="H177" s="39">
        <f>IF(H175="","",H175)</f>
        <v/>
      </c>
      <c r="I177" s="7">
        <f>IF(H175="","",H175)</f>
        <v/>
      </c>
      <c r="J177" s="7" t="n">
        <v>30</v>
      </c>
      <c r="K177" s="7" t="n"/>
      <c r="L177" s="40" t="n"/>
      <c r="M177">
        <f>IF(AND(L177&lt;&gt;"",N(I177)&gt;0,N(J177)&gt;0),IF(J177=1,I177,ROUND(I177*(1+J177/30),1)),"")</f>
        <v/>
      </c>
      <c r="N177" s="41">
        <f>IF(M177="","",IF(M177&gt;=PRs!C56,"PR!",""))</f>
        <v/>
      </c>
      <c r="O177" s="7" t="n"/>
    </row>
    <row r="178">
      <c r="C178" t="inlineStr">
        <is>
          <t xml:space="preserve">      Set 3</t>
        </is>
      </c>
      <c r="E178" t="n">
        <v>30</v>
      </c>
      <c r="H178" s="39">
        <f>IF(H175="","",H175)</f>
        <v/>
      </c>
      <c r="I178" s="7">
        <f>IF(H175="","",H175)</f>
        <v/>
      </c>
      <c r="J178" s="7" t="n">
        <v>30</v>
      </c>
      <c r="K178" s="7" t="n"/>
      <c r="L178" s="40" t="n"/>
      <c r="M178">
        <f>IF(AND(L178&lt;&gt;"",N(I178)&gt;0,N(J178)&gt;0),IF(J178=1,I178,ROUND(I178*(1+J178/30),1)),"")</f>
        <v/>
      </c>
      <c r="N178" s="41">
        <f>IF(M178="","",IF(M178&gt;=PRs!C56,"PR!",""))</f>
        <v/>
      </c>
      <c r="O178" s="7" t="n"/>
    </row>
    <row r="179">
      <c r="C179" t="inlineStr">
        <is>
          <t xml:space="preserve">      Set 4</t>
        </is>
      </c>
      <c r="E179" t="n">
        <v>30</v>
      </c>
      <c r="H179" s="39">
        <f>IF(H175="","",H175)</f>
        <v/>
      </c>
      <c r="I179" s="7">
        <f>IF(H175="","",H175)</f>
        <v/>
      </c>
      <c r="J179" s="7" t="n">
        <v>30</v>
      </c>
      <c r="K179" s="7" t="n"/>
      <c r="L179" s="40" t="n"/>
      <c r="M179">
        <f>IF(AND(L179&lt;&gt;"",N(I179)&gt;0,N(J179)&gt;0),IF(J179=1,I179,ROUND(I179*(1+J179/30),1)),"")</f>
        <v/>
      </c>
      <c r="N179" s="41">
        <f>IF(M179="","",IF(M179&gt;=PRs!C56,"PR!",""))</f>
        <v/>
      </c>
      <c r="O179" s="7" t="n"/>
    </row>
    <row r="180">
      <c r="A180" s="31" t="inlineStr">
        <is>
          <t>Day 3 - Variations</t>
        </is>
      </c>
      <c r="B180" s="32">
        <f>'Start Here'!$B$8+11</f>
        <v/>
      </c>
      <c r="C180" s="33" t="n"/>
      <c r="D180" s="33" t="n"/>
      <c r="E180" s="33" t="n"/>
      <c r="F180" s="33" t="n"/>
      <c r="G180" s="33" t="n"/>
      <c r="H180" s="33" t="n"/>
      <c r="I180" s="33" t="n"/>
      <c r="J180" s="33" t="n"/>
      <c r="K180" s="33" t="n"/>
      <c r="L180" s="33" t="n"/>
      <c r="M180" s="33" t="n"/>
      <c r="N180" s="33" t="n"/>
      <c r="O180" s="33" t="n"/>
    </row>
    <row r="181">
      <c r="A181" s="34" t="n"/>
      <c r="B181" s="34" t="n"/>
      <c r="C181" s="35" t="inlineStr">
        <is>
          <t>Depth Jump</t>
        </is>
      </c>
      <c r="D181" s="34" t="inlineStr">
        <is>
          <t>4 x 3</t>
        </is>
      </c>
      <c r="E181" s="34" t="n"/>
      <c r="F181" s="34" t="n"/>
      <c r="G181" s="36" t="n"/>
      <c r="H181" s="37">
        <f>IF(N(Maxes!E72)&gt;0,Maxes!E72,"")</f>
        <v/>
      </c>
      <c r="I181" s="34" t="n"/>
      <c r="J181" s="34" t="n"/>
      <c r="K181" s="34" t="n"/>
      <c r="L181" s="34" t="n"/>
      <c r="M181" s="34" t="n"/>
      <c r="N181" s="34" t="n"/>
      <c r="O181" s="38" t="inlineStr">
        <is>
          <t>Step off a low box (12-18 in / 30-45 cm), land and rebound straight up as fast as possible. Log the drop-box height.</t>
        </is>
      </c>
    </row>
    <row r="182">
      <c r="C182" t="inlineStr">
        <is>
          <t xml:space="preserve">      Set 1</t>
        </is>
      </c>
      <c r="E182" t="n">
        <v>3</v>
      </c>
      <c r="H182" s="39">
        <f>IF(H181="","",H181)</f>
        <v/>
      </c>
      <c r="I182" s="7">
        <f>IF(H181="","",H181)</f>
        <v/>
      </c>
      <c r="J182" s="7" t="n">
        <v>3</v>
      </c>
      <c r="K182" s="7" t="n"/>
      <c r="L182" s="40" t="n"/>
      <c r="N182" s="41">
        <f>IF(AND(L182&lt;&gt;"",N(I182)&gt;0),IF(I182&gt;=PRs!D72,"PR!",""),"")</f>
        <v/>
      </c>
      <c r="O182" s="7" t="n"/>
    </row>
    <row r="183">
      <c r="C183" t="inlineStr">
        <is>
          <t xml:space="preserve">      Set 2</t>
        </is>
      </c>
      <c r="E183" t="n">
        <v>3</v>
      </c>
      <c r="H183" s="39">
        <f>IF(H181="","",H181)</f>
        <v/>
      </c>
      <c r="I183" s="7">
        <f>IF(H181="","",H181)</f>
        <v/>
      </c>
      <c r="J183" s="7" t="n">
        <v>3</v>
      </c>
      <c r="K183" s="7" t="n"/>
      <c r="L183" s="40" t="n"/>
      <c r="N183" s="41">
        <f>IF(AND(L183&lt;&gt;"",N(I183)&gt;0),IF(I183&gt;=PRs!D72,"PR!",""),"")</f>
        <v/>
      </c>
      <c r="O183" s="7" t="n"/>
    </row>
    <row r="184">
      <c r="C184" t="inlineStr">
        <is>
          <t xml:space="preserve">      Set 3</t>
        </is>
      </c>
      <c r="E184" t="n">
        <v>3</v>
      </c>
      <c r="H184" s="39">
        <f>IF(H181="","",H181)</f>
        <v/>
      </c>
      <c r="I184" s="7">
        <f>IF(H181="","",H181)</f>
        <v/>
      </c>
      <c r="J184" s="7" t="n">
        <v>3</v>
      </c>
      <c r="K184" s="7" t="n"/>
      <c r="L184" s="40" t="n"/>
      <c r="N184" s="41">
        <f>IF(AND(L184&lt;&gt;"",N(I184)&gt;0),IF(I184&gt;=PRs!D72,"PR!",""),"")</f>
        <v/>
      </c>
      <c r="O184" s="7" t="n"/>
    </row>
    <row r="185">
      <c r="C185" t="inlineStr">
        <is>
          <t xml:space="preserve">      Set 4</t>
        </is>
      </c>
      <c r="E185" t="n">
        <v>3</v>
      </c>
      <c r="H185" s="39">
        <f>IF(H181="","",H181)</f>
        <v/>
      </c>
      <c r="I185" s="7">
        <f>IF(H181="","",H181)</f>
        <v/>
      </c>
      <c r="J185" s="7" t="n">
        <v>3</v>
      </c>
      <c r="K185" s="7" t="n"/>
      <c r="L185" s="40" t="n"/>
      <c r="N185" s="41">
        <f>IF(AND(L185&lt;&gt;"",N(I185)&gt;0),IF(I185&gt;=PRs!D72,"PR!",""),"")</f>
        <v/>
      </c>
      <c r="O185" s="7" t="n"/>
    </row>
    <row r="186">
      <c r="A186" s="34" t="n"/>
      <c r="B186" s="34" t="n"/>
      <c r="C186" s="42" t="inlineStr">
        <is>
          <t>Power Snatch</t>
        </is>
      </c>
      <c r="D186" s="34" t="inlineStr">
        <is>
          <t>6 x 3</t>
        </is>
      </c>
      <c r="E186" s="34" t="n"/>
      <c r="F186" s="34" t="n">
        <v>67.5</v>
      </c>
      <c r="G186" s="36">
        <f>Maxes!E34</f>
        <v/>
      </c>
      <c r="H186" s="37">
        <f>IF(OR(G186="",F186=""),"",MROUND(G186*F186/100,'Start Here'!$B$7))</f>
        <v/>
      </c>
      <c r="I186" s="34" t="n"/>
      <c r="J186" s="34" t="n"/>
      <c r="K186" s="34" t="n"/>
      <c r="L186" s="34" t="n"/>
      <c r="M186" s="34" t="n"/>
      <c r="N186" s="34" t="n"/>
      <c r="O186" s="38" t="inlineStr"/>
    </row>
    <row r="187">
      <c r="C187" t="inlineStr">
        <is>
          <t xml:space="preserve">      Set 1</t>
        </is>
      </c>
      <c r="E187" t="n">
        <v>3</v>
      </c>
      <c r="H187" s="39">
        <f>IF(H186="","",H186)</f>
        <v/>
      </c>
      <c r="I187" s="7">
        <f>IF(H186="","",H186)</f>
        <v/>
      </c>
      <c r="J187" s="7" t="n">
        <v>3</v>
      </c>
      <c r="K187" s="7" t="n"/>
      <c r="L187" s="40" t="n"/>
      <c r="M187">
        <f>IF(AND(L187&lt;&gt;"",N(I187)&gt;0,N(J187)&gt;0),IF(J187=1,I187,ROUND(I187*(1+J187/30),1)),"")</f>
        <v/>
      </c>
      <c r="N187" s="41">
        <f>IF(M187="","",IF(M187&gt;=PRs!C34,"PR!",""))</f>
        <v/>
      </c>
      <c r="O187" s="7" t="n"/>
    </row>
    <row r="188">
      <c r="C188" t="inlineStr">
        <is>
          <t xml:space="preserve">      Set 2</t>
        </is>
      </c>
      <c r="E188" t="n">
        <v>3</v>
      </c>
      <c r="H188" s="39">
        <f>IF(H186="","",H186)</f>
        <v/>
      </c>
      <c r="I188" s="7">
        <f>IF(H186="","",H186)</f>
        <v/>
      </c>
      <c r="J188" s="7" t="n">
        <v>3</v>
      </c>
      <c r="K188" s="7" t="n"/>
      <c r="L188" s="40" t="n"/>
      <c r="M188">
        <f>IF(AND(L188&lt;&gt;"",N(I188)&gt;0,N(J188)&gt;0),IF(J188=1,I188,ROUND(I188*(1+J188/30),1)),"")</f>
        <v/>
      </c>
      <c r="N188" s="41">
        <f>IF(M188="","",IF(M188&gt;=PRs!C34,"PR!",""))</f>
        <v/>
      </c>
      <c r="O188" s="7" t="n"/>
    </row>
    <row r="189">
      <c r="C189" t="inlineStr">
        <is>
          <t xml:space="preserve">      Set 3</t>
        </is>
      </c>
      <c r="E189" t="n">
        <v>3</v>
      </c>
      <c r="H189" s="39">
        <f>IF(H186="","",H186)</f>
        <v/>
      </c>
      <c r="I189" s="7">
        <f>IF(H186="","",H186)</f>
        <v/>
      </c>
      <c r="J189" s="7" t="n">
        <v>3</v>
      </c>
      <c r="K189" s="7" t="n"/>
      <c r="L189" s="40" t="n"/>
      <c r="M189">
        <f>IF(AND(L189&lt;&gt;"",N(I189)&gt;0,N(J189)&gt;0),IF(J189=1,I189,ROUND(I189*(1+J189/30),1)),"")</f>
        <v/>
      </c>
      <c r="N189" s="41">
        <f>IF(M189="","",IF(M189&gt;=PRs!C34,"PR!",""))</f>
        <v/>
      </c>
      <c r="O189" s="7" t="n"/>
    </row>
    <row r="190">
      <c r="C190" t="inlineStr">
        <is>
          <t xml:space="preserve">      Set 4</t>
        </is>
      </c>
      <c r="E190" t="n">
        <v>3</v>
      </c>
      <c r="H190" s="39">
        <f>IF(H186="","",H186)</f>
        <v/>
      </c>
      <c r="I190" s="7">
        <f>IF(H186="","",H186)</f>
        <v/>
      </c>
      <c r="J190" s="7" t="n">
        <v>3</v>
      </c>
      <c r="K190" s="7" t="n"/>
      <c r="L190" s="40" t="n"/>
      <c r="M190">
        <f>IF(AND(L190&lt;&gt;"",N(I190)&gt;0,N(J190)&gt;0),IF(J190=1,I190,ROUND(I190*(1+J190/30),1)),"")</f>
        <v/>
      </c>
      <c r="N190" s="41">
        <f>IF(M190="","",IF(M190&gt;=PRs!C34,"PR!",""))</f>
        <v/>
      </c>
      <c r="O190" s="7" t="n"/>
    </row>
    <row r="191">
      <c r="C191" t="inlineStr">
        <is>
          <t xml:space="preserve">      Set 5</t>
        </is>
      </c>
      <c r="E191" t="n">
        <v>3</v>
      </c>
      <c r="H191" s="39">
        <f>IF(H186="","",H186)</f>
        <v/>
      </c>
      <c r="I191" s="7">
        <f>IF(H186="","",H186)</f>
        <v/>
      </c>
      <c r="J191" s="7" t="n">
        <v>3</v>
      </c>
      <c r="K191" s="7" t="n"/>
      <c r="L191" s="40" t="n"/>
      <c r="M191">
        <f>IF(AND(L191&lt;&gt;"",N(I191)&gt;0,N(J191)&gt;0),IF(J191=1,I191,ROUND(I191*(1+J191/30),1)),"")</f>
        <v/>
      </c>
      <c r="N191" s="41">
        <f>IF(M191="","",IF(M191&gt;=PRs!C34,"PR!",""))</f>
        <v/>
      </c>
      <c r="O191" s="7" t="n"/>
    </row>
    <row r="192">
      <c r="C192" t="inlineStr">
        <is>
          <t xml:space="preserve">      Set 6</t>
        </is>
      </c>
      <c r="E192" t="n">
        <v>3</v>
      </c>
      <c r="H192" s="39">
        <f>IF(H186="","",H186)</f>
        <v/>
      </c>
      <c r="I192" s="7">
        <f>IF(H186="","",H186)</f>
        <v/>
      </c>
      <c r="J192" s="7" t="n">
        <v>3</v>
      </c>
      <c r="K192" s="7" t="n"/>
      <c r="L192" s="40" t="n"/>
      <c r="M192">
        <f>IF(AND(L192&lt;&gt;"",N(I192)&gt;0,N(J192)&gt;0),IF(J192=1,I192,ROUND(I192*(1+J192/30),1)),"")</f>
        <v/>
      </c>
      <c r="N192" s="41">
        <f>IF(M192="","",IF(M192&gt;=PRs!C34,"PR!",""))</f>
        <v/>
      </c>
      <c r="O192" s="7" t="n"/>
    </row>
    <row r="193">
      <c r="A193" s="34" t="n"/>
      <c r="B193" s="34" t="n"/>
      <c r="C193" s="42" t="inlineStr">
        <is>
          <t>Box Squat</t>
        </is>
      </c>
      <c r="D193" s="34" t="inlineStr">
        <is>
          <t>4 x 6</t>
        </is>
      </c>
      <c r="E193" s="34" t="n"/>
      <c r="F193" s="34" t="n">
        <v>67.5</v>
      </c>
      <c r="G193" s="36">
        <f>Maxes!E8</f>
        <v/>
      </c>
      <c r="H193" s="37">
        <f>IF(OR(G193="",F193=""),"",MROUND(G193*F193/100,'Start Here'!$B$7))</f>
        <v/>
      </c>
      <c r="I193" s="34" t="n"/>
      <c r="J193" s="34" t="n"/>
      <c r="K193" s="34" t="n"/>
      <c r="L193" s="34" t="n"/>
      <c r="M193" s="34" t="n"/>
      <c r="N193" s="34" t="n"/>
      <c r="O193" s="38" t="inlineStr"/>
    </row>
    <row r="194">
      <c r="C194" t="inlineStr">
        <is>
          <t xml:space="preserve">      Set 1</t>
        </is>
      </c>
      <c r="E194" t="n">
        <v>6</v>
      </c>
      <c r="H194" s="39">
        <f>IF(H193="","",H193)</f>
        <v/>
      </c>
      <c r="I194" s="7">
        <f>IF(H193="","",H193)</f>
        <v/>
      </c>
      <c r="J194" s="7" t="n">
        <v>6</v>
      </c>
      <c r="K194" s="7" t="n"/>
      <c r="L194" s="40" t="n"/>
      <c r="M194">
        <f>IF(AND(L194&lt;&gt;"",N(I194)&gt;0,N(J194)&gt;0),IF(J194=1,I194,ROUND(I194*(1+J194/30),1)),"")</f>
        <v/>
      </c>
      <c r="N194" s="41">
        <f>IF(M194="","",IF(M194&gt;=PRs!C8,"PR!",""))</f>
        <v/>
      </c>
      <c r="O194" s="7" t="n"/>
    </row>
    <row r="195">
      <c r="C195" t="inlineStr">
        <is>
          <t xml:space="preserve">      Set 2</t>
        </is>
      </c>
      <c r="E195" t="n">
        <v>6</v>
      </c>
      <c r="H195" s="39">
        <f>IF(H193="","",H193)</f>
        <v/>
      </c>
      <c r="I195" s="7">
        <f>IF(H193="","",H193)</f>
        <v/>
      </c>
      <c r="J195" s="7" t="n">
        <v>6</v>
      </c>
      <c r="K195" s="7" t="n"/>
      <c r="L195" s="40" t="n"/>
      <c r="M195">
        <f>IF(AND(L195&lt;&gt;"",N(I195)&gt;0,N(J195)&gt;0),IF(J195=1,I195,ROUND(I195*(1+J195/30),1)),"")</f>
        <v/>
      </c>
      <c r="N195" s="41">
        <f>IF(M195="","",IF(M195&gt;=PRs!C8,"PR!",""))</f>
        <v/>
      </c>
      <c r="O195" s="7" t="n"/>
    </row>
    <row r="196">
      <c r="C196" t="inlineStr">
        <is>
          <t xml:space="preserve">      Set 3</t>
        </is>
      </c>
      <c r="E196" t="n">
        <v>6</v>
      </c>
      <c r="H196" s="39">
        <f>IF(H193="","",H193)</f>
        <v/>
      </c>
      <c r="I196" s="7">
        <f>IF(H193="","",H193)</f>
        <v/>
      </c>
      <c r="J196" s="7" t="n">
        <v>6</v>
      </c>
      <c r="K196" s="7" t="n"/>
      <c r="L196" s="40" t="n"/>
      <c r="M196">
        <f>IF(AND(L196&lt;&gt;"",N(I196)&gt;0,N(J196)&gt;0),IF(J196=1,I196,ROUND(I196*(1+J196/30),1)),"")</f>
        <v/>
      </c>
      <c r="N196" s="41">
        <f>IF(M196="","",IF(M196&gt;=PRs!C8,"PR!",""))</f>
        <v/>
      </c>
      <c r="O196" s="7" t="n"/>
    </row>
    <row r="197">
      <c r="C197" t="inlineStr">
        <is>
          <t xml:space="preserve">      Set 4</t>
        </is>
      </c>
      <c r="E197" t="n">
        <v>6</v>
      </c>
      <c r="H197" s="39">
        <f>IF(H193="","",H193)</f>
        <v/>
      </c>
      <c r="I197" s="7">
        <f>IF(H193="","",H193)</f>
        <v/>
      </c>
      <c r="J197" s="7" t="n">
        <v>6</v>
      </c>
      <c r="K197" s="7" t="n"/>
      <c r="L197" s="40" t="n"/>
      <c r="M197">
        <f>IF(AND(L197&lt;&gt;"",N(I197)&gt;0,N(J197)&gt;0),IF(J197=1,I197,ROUND(I197*(1+J197/30),1)),"")</f>
        <v/>
      </c>
      <c r="N197" s="41">
        <f>IF(M197="","",IF(M197&gt;=PRs!C8,"PR!",""))</f>
        <v/>
      </c>
      <c r="O197" s="7" t="n"/>
    </row>
    <row r="198">
      <c r="A198" s="34" t="n"/>
      <c r="B198" s="34" t="n"/>
      <c r="C198" s="42" t="inlineStr">
        <is>
          <t>Close-Grip Bench Press</t>
        </is>
      </c>
      <c r="D198" s="34" t="inlineStr">
        <is>
          <t>4 x 6</t>
        </is>
      </c>
      <c r="E198" s="34" t="n"/>
      <c r="F198" s="34" t="n">
        <v>67.5</v>
      </c>
      <c r="G198" s="36">
        <f>Maxes!E14</f>
        <v/>
      </c>
      <c r="H198" s="37">
        <f>IF(OR(G198="",F198=""),"",MROUND(G198*F198/100,'Start Here'!$B$7))</f>
        <v/>
      </c>
      <c r="I198" s="34" t="n"/>
      <c r="J198" s="34" t="n"/>
      <c r="K198" s="34" t="n"/>
      <c r="L198" s="34" t="n"/>
      <c r="M198" s="34" t="n"/>
      <c r="N198" s="34" t="n"/>
      <c r="O198" s="38" t="inlineStr"/>
    </row>
    <row r="199">
      <c r="C199" t="inlineStr">
        <is>
          <t xml:space="preserve">      Set 1</t>
        </is>
      </c>
      <c r="E199" t="n">
        <v>6</v>
      </c>
      <c r="H199" s="39">
        <f>IF(H198="","",H198)</f>
        <v/>
      </c>
      <c r="I199" s="7">
        <f>IF(H198="","",H198)</f>
        <v/>
      </c>
      <c r="J199" s="7" t="n">
        <v>6</v>
      </c>
      <c r="K199" s="7" t="n"/>
      <c r="L199" s="40" t="n"/>
      <c r="M199">
        <f>IF(AND(L199&lt;&gt;"",N(I199)&gt;0,N(J199)&gt;0),IF(J199=1,I199,ROUND(I199*(1+J199/30),1)),"")</f>
        <v/>
      </c>
      <c r="N199" s="41">
        <f>IF(M199="","",IF(M199&gt;=PRs!C14,"PR!",""))</f>
        <v/>
      </c>
      <c r="O199" s="7" t="n"/>
    </row>
    <row r="200">
      <c r="C200" t="inlineStr">
        <is>
          <t xml:space="preserve">      Set 2</t>
        </is>
      </c>
      <c r="E200" t="n">
        <v>6</v>
      </c>
      <c r="H200" s="39">
        <f>IF(H198="","",H198)</f>
        <v/>
      </c>
      <c r="I200" s="7">
        <f>IF(H198="","",H198)</f>
        <v/>
      </c>
      <c r="J200" s="7" t="n">
        <v>6</v>
      </c>
      <c r="K200" s="7" t="n"/>
      <c r="L200" s="40" t="n"/>
      <c r="M200">
        <f>IF(AND(L200&lt;&gt;"",N(I200)&gt;0,N(J200)&gt;0),IF(J200=1,I200,ROUND(I200*(1+J200/30),1)),"")</f>
        <v/>
      </c>
      <c r="N200" s="41">
        <f>IF(M200="","",IF(M200&gt;=PRs!C14,"PR!",""))</f>
        <v/>
      </c>
      <c r="O200" s="7" t="n"/>
    </row>
    <row r="201">
      <c r="C201" t="inlineStr">
        <is>
          <t xml:space="preserve">      Set 3</t>
        </is>
      </c>
      <c r="E201" t="n">
        <v>6</v>
      </c>
      <c r="H201" s="39">
        <f>IF(H198="","",H198)</f>
        <v/>
      </c>
      <c r="I201" s="7">
        <f>IF(H198="","",H198)</f>
        <v/>
      </c>
      <c r="J201" s="7" t="n">
        <v>6</v>
      </c>
      <c r="K201" s="7" t="n"/>
      <c r="L201" s="40" t="n"/>
      <c r="M201">
        <f>IF(AND(L201&lt;&gt;"",N(I201)&gt;0,N(J201)&gt;0),IF(J201=1,I201,ROUND(I201*(1+J201/30),1)),"")</f>
        <v/>
      </c>
      <c r="N201" s="41">
        <f>IF(M201="","",IF(M201&gt;=PRs!C14,"PR!",""))</f>
        <v/>
      </c>
      <c r="O201" s="7" t="n"/>
    </row>
    <row r="202">
      <c r="C202" t="inlineStr">
        <is>
          <t xml:space="preserve">      Set 4</t>
        </is>
      </c>
      <c r="E202" t="n">
        <v>6</v>
      </c>
      <c r="H202" s="39">
        <f>IF(H198="","",H198)</f>
        <v/>
      </c>
      <c r="I202" s="7">
        <f>IF(H198="","",H198)</f>
        <v/>
      </c>
      <c r="J202" s="7" t="n">
        <v>6</v>
      </c>
      <c r="K202" s="7" t="n"/>
      <c r="L202" s="40" t="n"/>
      <c r="M202">
        <f>IF(AND(L202&lt;&gt;"",N(I202)&gt;0,N(J202)&gt;0),IF(J202=1,I202,ROUND(I202*(1+J202/30),1)),"")</f>
        <v/>
      </c>
      <c r="N202" s="41">
        <f>IF(M202="","",IF(M202&gt;=PRs!C14,"PR!",""))</f>
        <v/>
      </c>
      <c r="O202" s="7" t="n"/>
    </row>
    <row r="203">
      <c r="A203" s="34" t="n"/>
      <c r="B203" s="34" t="n"/>
      <c r="C203" s="42" t="inlineStr">
        <is>
          <t>Romanian Deadlift</t>
        </is>
      </c>
      <c r="D203" s="34" t="inlineStr">
        <is>
          <t>3 x 6</t>
        </is>
      </c>
      <c r="E203" s="34" t="n"/>
      <c r="F203" s="34" t="n">
        <v>62.5</v>
      </c>
      <c r="G203" s="36">
        <f>Maxes!E23</f>
        <v/>
      </c>
      <c r="H203" s="37">
        <f>IF(OR(G203="",F203=""),"",MROUND(G203*F203/100,'Start Here'!$B$7))</f>
        <v/>
      </c>
      <c r="I203" s="34" t="n"/>
      <c r="J203" s="34" t="n"/>
      <c r="K203" s="34" t="n"/>
      <c r="L203" s="34" t="n"/>
      <c r="M203" s="34" t="n"/>
      <c r="N203" s="34" t="n"/>
      <c r="O203" s="38" t="inlineStr"/>
    </row>
    <row r="204">
      <c r="C204" t="inlineStr">
        <is>
          <t xml:space="preserve">      Set 1</t>
        </is>
      </c>
      <c r="E204" t="n">
        <v>6</v>
      </c>
      <c r="H204" s="39">
        <f>IF(H203="","",H203)</f>
        <v/>
      </c>
      <c r="I204" s="7">
        <f>IF(H203="","",H203)</f>
        <v/>
      </c>
      <c r="J204" s="7" t="n">
        <v>6</v>
      </c>
      <c r="K204" s="7" t="n"/>
      <c r="L204" s="40" t="n"/>
      <c r="M204">
        <f>IF(AND(L204&lt;&gt;"",N(I204)&gt;0,N(J204)&gt;0),IF(J204=1,I204,ROUND(I204*(1+J204/30),1)),"")</f>
        <v/>
      </c>
      <c r="N204" s="41">
        <f>IF(M204="","",IF(M204&gt;=PRs!C23,"PR!",""))</f>
        <v/>
      </c>
      <c r="O204" s="7" t="n"/>
    </row>
    <row r="205">
      <c r="C205" t="inlineStr">
        <is>
          <t xml:space="preserve">      Set 2</t>
        </is>
      </c>
      <c r="E205" t="n">
        <v>6</v>
      </c>
      <c r="H205" s="39">
        <f>IF(H203="","",H203)</f>
        <v/>
      </c>
      <c r="I205" s="7">
        <f>IF(H203="","",H203)</f>
        <v/>
      </c>
      <c r="J205" s="7" t="n">
        <v>6</v>
      </c>
      <c r="K205" s="7" t="n"/>
      <c r="L205" s="40" t="n"/>
      <c r="M205">
        <f>IF(AND(L205&lt;&gt;"",N(I205)&gt;0,N(J205)&gt;0),IF(J205=1,I205,ROUND(I205*(1+J205/30),1)),"")</f>
        <v/>
      </c>
      <c r="N205" s="41">
        <f>IF(M205="","",IF(M205&gt;=PRs!C23,"PR!",""))</f>
        <v/>
      </c>
      <c r="O205" s="7" t="n"/>
    </row>
    <row r="206">
      <c r="C206" t="inlineStr">
        <is>
          <t xml:space="preserve">      Set 3</t>
        </is>
      </c>
      <c r="E206" t="n">
        <v>6</v>
      </c>
      <c r="H206" s="39">
        <f>IF(H203="","",H203)</f>
        <v/>
      </c>
      <c r="I206" s="7">
        <f>IF(H203="","",H203)</f>
        <v/>
      </c>
      <c r="J206" s="7" t="n">
        <v>6</v>
      </c>
      <c r="K206" s="7" t="n"/>
      <c r="L206" s="40" t="n"/>
      <c r="M206">
        <f>IF(AND(L206&lt;&gt;"",N(I206)&gt;0,N(J206)&gt;0),IF(J206=1,I206,ROUND(I206*(1+J206/30),1)),"")</f>
        <v/>
      </c>
      <c r="N206" s="41">
        <f>IF(M206="","",IF(M206&gt;=PRs!C23,"PR!",""))</f>
        <v/>
      </c>
      <c r="O206" s="7" t="n"/>
    </row>
    <row r="207">
      <c r="A207" s="34" t="n"/>
      <c r="B207" s="34" t="n"/>
      <c r="C207" s="43" t="inlineStr">
        <is>
          <t>Incline Dumbbell Press</t>
        </is>
      </c>
      <c r="D207" s="34" t="inlineStr">
        <is>
          <t>4 x 8-12</t>
        </is>
      </c>
      <c r="E207" s="34" t="n"/>
      <c r="F207" s="34" t="n"/>
      <c r="G207" s="36" t="n"/>
      <c r="H207" s="37" t="n"/>
      <c r="I207" s="34" t="n"/>
      <c r="J207" s="34" t="n"/>
      <c r="K207" s="34" t="n"/>
      <c r="L207" s="34" t="n"/>
      <c r="M207" s="34" t="n"/>
      <c r="N207" s="34" t="n"/>
      <c r="O207" s="38" t="inlineStr">
        <is>
          <t>Leave 1-2 reps in the tank; add weight when you hit the top of the range</t>
        </is>
      </c>
    </row>
    <row r="208">
      <c r="C208" t="inlineStr">
        <is>
          <t xml:space="preserve">      Set 1</t>
        </is>
      </c>
      <c r="E208" t="n">
        <v>8</v>
      </c>
      <c r="H208" s="39">
        <f>IF(H207="","",H207)</f>
        <v/>
      </c>
      <c r="I208" s="7">
        <f>IF(H207="","",H207)</f>
        <v/>
      </c>
      <c r="J208" s="7" t="n">
        <v>8</v>
      </c>
      <c r="K208" s="7" t="n"/>
      <c r="L208" s="40" t="n"/>
      <c r="M208">
        <f>IF(AND(L208&lt;&gt;"",N(I208)&gt;0,N(J208)&gt;0),IF(J208=1,I208,ROUND(I208*(1+J208/30),1)),"")</f>
        <v/>
      </c>
      <c r="N208" s="41">
        <f>IF(M208="","",IF(M208&gt;=PRs!C57,"PR!",""))</f>
        <v/>
      </c>
      <c r="O208" s="7" t="n"/>
    </row>
    <row r="209">
      <c r="C209" t="inlineStr">
        <is>
          <t xml:space="preserve">      Set 2</t>
        </is>
      </c>
      <c r="E209" t="n">
        <v>8</v>
      </c>
      <c r="H209" s="39">
        <f>IF(H207="","",H207)</f>
        <v/>
      </c>
      <c r="I209" s="7">
        <f>IF(H207="","",H207)</f>
        <v/>
      </c>
      <c r="J209" s="7" t="n">
        <v>8</v>
      </c>
      <c r="K209" s="7" t="n"/>
      <c r="L209" s="40" t="n"/>
      <c r="M209">
        <f>IF(AND(L209&lt;&gt;"",N(I209)&gt;0,N(J209)&gt;0),IF(J209=1,I209,ROUND(I209*(1+J209/30),1)),"")</f>
        <v/>
      </c>
      <c r="N209" s="41">
        <f>IF(M209="","",IF(M209&gt;=PRs!C57,"PR!",""))</f>
        <v/>
      </c>
      <c r="O209" s="7" t="n"/>
    </row>
    <row r="210">
      <c r="C210" t="inlineStr">
        <is>
          <t xml:space="preserve">      Set 3</t>
        </is>
      </c>
      <c r="E210" t="n">
        <v>8</v>
      </c>
      <c r="H210" s="39">
        <f>IF(H207="","",H207)</f>
        <v/>
      </c>
      <c r="I210" s="7">
        <f>IF(H207="","",H207)</f>
        <v/>
      </c>
      <c r="J210" s="7" t="n">
        <v>8</v>
      </c>
      <c r="K210" s="7" t="n"/>
      <c r="L210" s="40" t="n"/>
      <c r="M210">
        <f>IF(AND(L210&lt;&gt;"",N(I210)&gt;0,N(J210)&gt;0),IF(J210=1,I210,ROUND(I210*(1+J210/30),1)),"")</f>
        <v/>
      </c>
      <c r="N210" s="41">
        <f>IF(M210="","",IF(M210&gt;=PRs!C57,"PR!",""))</f>
        <v/>
      </c>
      <c r="O210" s="7" t="n"/>
    </row>
    <row r="211">
      <c r="C211" t="inlineStr">
        <is>
          <t xml:space="preserve">      Set 4</t>
        </is>
      </c>
      <c r="E211" t="n">
        <v>8</v>
      </c>
      <c r="H211" s="39">
        <f>IF(H207="","",H207)</f>
        <v/>
      </c>
      <c r="I211" s="7">
        <f>IF(H207="","",H207)</f>
        <v/>
      </c>
      <c r="J211" s="7" t="n">
        <v>8</v>
      </c>
      <c r="K211" s="7" t="n"/>
      <c r="L211" s="40" t="n"/>
      <c r="M211">
        <f>IF(AND(L211&lt;&gt;"",N(I211)&gt;0,N(J211)&gt;0),IF(J211=1,I211,ROUND(I211*(1+J211/30),1)),"")</f>
        <v/>
      </c>
      <c r="N211" s="41">
        <f>IF(M211="","",IF(M211&gt;=PRs!C57,"PR!",""))</f>
        <v/>
      </c>
      <c r="O211" s="7" t="n"/>
    </row>
    <row r="212">
      <c r="A212" s="34" t="n"/>
      <c r="B212" s="34" t="n"/>
      <c r="C212" s="43" t="inlineStr">
        <is>
          <t>Triceps Pushdown</t>
        </is>
      </c>
      <c r="D212" s="34" t="inlineStr">
        <is>
          <t>4 x 10-15</t>
        </is>
      </c>
      <c r="E212" s="34" t="n"/>
      <c r="F212" s="34" t="n"/>
      <c r="G212" s="36" t="n"/>
      <c r="H212" s="37" t="n"/>
      <c r="I212" s="34" t="n"/>
      <c r="J212" s="34" t="n"/>
      <c r="K212" s="34" t="n"/>
      <c r="L212" s="34" t="n"/>
      <c r="M212" s="34" t="n"/>
      <c r="N212" s="34" t="n"/>
      <c r="O212" s="38" t="inlineStr">
        <is>
          <t>Leave 1-2 reps in the tank; add weight when you hit the top of the range</t>
        </is>
      </c>
    </row>
    <row r="213">
      <c r="C213" t="inlineStr">
        <is>
          <t xml:space="preserve">      Set 1</t>
        </is>
      </c>
      <c r="E213" t="n">
        <v>10</v>
      </c>
      <c r="H213" s="39">
        <f>IF(H212="","",H212)</f>
        <v/>
      </c>
      <c r="I213" s="7">
        <f>IF(H212="","",H212)</f>
        <v/>
      </c>
      <c r="J213" s="7" t="n">
        <v>10</v>
      </c>
      <c r="K213" s="7" t="n"/>
      <c r="L213" s="40" t="n"/>
      <c r="M213">
        <f>IF(AND(L213&lt;&gt;"",N(I213)&gt;0,N(J213)&gt;0),IF(J213=1,I213,ROUND(I213*(1+J213/30),1)),"")</f>
        <v/>
      </c>
      <c r="N213" s="41">
        <f>IF(M213="","",IF(M213&gt;=PRs!C59,"PR!",""))</f>
        <v/>
      </c>
      <c r="O213" s="7" t="n"/>
    </row>
    <row r="214">
      <c r="C214" t="inlineStr">
        <is>
          <t xml:space="preserve">      Set 2</t>
        </is>
      </c>
      <c r="E214" t="n">
        <v>10</v>
      </c>
      <c r="H214" s="39">
        <f>IF(H212="","",H212)</f>
        <v/>
      </c>
      <c r="I214" s="7">
        <f>IF(H212="","",H212)</f>
        <v/>
      </c>
      <c r="J214" s="7" t="n">
        <v>10</v>
      </c>
      <c r="K214" s="7" t="n"/>
      <c r="L214" s="40" t="n"/>
      <c r="M214">
        <f>IF(AND(L214&lt;&gt;"",N(I214)&gt;0,N(J214)&gt;0),IF(J214=1,I214,ROUND(I214*(1+J214/30),1)),"")</f>
        <v/>
      </c>
      <c r="N214" s="41">
        <f>IF(M214="","",IF(M214&gt;=PRs!C59,"PR!",""))</f>
        <v/>
      </c>
      <c r="O214" s="7" t="n"/>
    </row>
    <row r="215">
      <c r="C215" t="inlineStr">
        <is>
          <t xml:space="preserve">      Set 3</t>
        </is>
      </c>
      <c r="E215" t="n">
        <v>10</v>
      </c>
      <c r="H215" s="39">
        <f>IF(H212="","",H212)</f>
        <v/>
      </c>
      <c r="I215" s="7">
        <f>IF(H212="","",H212)</f>
        <v/>
      </c>
      <c r="J215" s="7" t="n">
        <v>10</v>
      </c>
      <c r="K215" s="7" t="n"/>
      <c r="L215" s="40" t="n"/>
      <c r="M215">
        <f>IF(AND(L215&lt;&gt;"",N(I215)&gt;0,N(J215)&gt;0),IF(J215=1,I215,ROUND(I215*(1+J215/30),1)),"")</f>
        <v/>
      </c>
      <c r="N215" s="41">
        <f>IF(M215="","",IF(M215&gt;=PRs!C59,"PR!",""))</f>
        <v/>
      </c>
      <c r="O215" s="7" t="n"/>
    </row>
    <row r="216">
      <c r="C216" t="inlineStr">
        <is>
          <t xml:space="preserve">      Set 4</t>
        </is>
      </c>
      <c r="E216" t="n">
        <v>10</v>
      </c>
      <c r="H216" s="39">
        <f>IF(H212="","",H212)</f>
        <v/>
      </c>
      <c r="I216" s="7">
        <f>IF(H212="","",H212)</f>
        <v/>
      </c>
      <c r="J216" s="7" t="n">
        <v>10</v>
      </c>
      <c r="K216" s="7" t="n"/>
      <c r="L216" s="40" t="n"/>
      <c r="M216">
        <f>IF(AND(L216&lt;&gt;"",N(I216)&gt;0,N(J216)&gt;0),IF(J216=1,I216,ROUND(I216*(1+J216/30),1)),"")</f>
        <v/>
      </c>
      <c r="N216" s="41">
        <f>IF(M216="","",IF(M216&gt;=PRs!C59,"PR!",""))</f>
        <v/>
      </c>
      <c r="O216" s="7" t="n"/>
    </row>
    <row r="218">
      <c r="A218" s="45" t="inlineStr">
        <is>
          <t>WEEK 3 - CYCLE 1 - ACCUMULATION</t>
        </is>
      </c>
      <c r="B218" s="46" t="n"/>
      <c r="C218" s="46" t="n"/>
      <c r="D218" s="46" t="n"/>
      <c r="E218" s="46" t="n"/>
      <c r="F218" s="46" t="n"/>
      <c r="G218" s="46" t="n"/>
      <c r="H218" s="47" t="inlineStr">
        <is>
          <t>Bodyweight:</t>
        </is>
      </c>
      <c r="I218" s="7" t="n"/>
      <c r="J218" s="46" t="n"/>
      <c r="K218" s="46" t="n"/>
      <c r="L218" s="46" t="n"/>
      <c r="M218" s="46" t="n"/>
      <c r="N218" s="46" t="n"/>
      <c r="O218" s="46" t="n"/>
    </row>
    <row r="219">
      <c r="A219" s="31" t="inlineStr">
        <is>
          <t>Day 1 - Heavy</t>
        </is>
      </c>
      <c r="B219" s="32">
        <f>'Start Here'!$B$8+14</f>
        <v/>
      </c>
      <c r="C219" s="33" t="n"/>
      <c r="D219" s="33" t="n"/>
      <c r="E219" s="33" t="n"/>
      <c r="F219" s="33" t="n"/>
      <c r="G219" s="33" t="n"/>
      <c r="H219" s="33" t="n"/>
      <c r="I219" s="33" t="n"/>
      <c r="J219" s="33" t="n"/>
      <c r="K219" s="33" t="n"/>
      <c r="L219" s="33" t="n"/>
      <c r="M219" s="33" t="n"/>
      <c r="N219" s="33" t="n"/>
      <c r="O219" s="33" t="n"/>
    </row>
    <row r="220">
      <c r="A220" s="34" t="n"/>
      <c r="B220" s="34" t="n"/>
      <c r="C220" s="35" t="inlineStr">
        <is>
          <t>Box Jump</t>
        </is>
      </c>
      <c r="D220" s="34" t="inlineStr">
        <is>
          <t>4 x 3</t>
        </is>
      </c>
      <c r="E220" s="34" t="n"/>
      <c r="F220" s="34" t="n"/>
      <c r="G220" s="36" t="n"/>
      <c r="H220" s="37">
        <f>IF(N(Maxes!E69)&gt;0,Maxes!E69,'Start Here'!$G$16)</f>
        <v/>
      </c>
      <c r="I220" s="34" t="n"/>
      <c r="J220" s="34" t="n"/>
      <c r="K220" s="34" t="n"/>
      <c r="L220" s="34" t="n"/>
      <c r="M220" s="34" t="n"/>
      <c r="N220" s="34" t="n"/>
      <c r="O220" s="38" t="inlineStr">
        <is>
          <t>Two-foot jump onto a box, land soft in a quarter squat, STEP down. Log the box height (floor to top of box).</t>
        </is>
      </c>
    </row>
    <row r="221">
      <c r="C221" t="inlineStr">
        <is>
          <t xml:space="preserve">      Set 1</t>
        </is>
      </c>
      <c r="E221" t="n">
        <v>3</v>
      </c>
      <c r="H221" s="39">
        <f>IF(H220="","",H220)</f>
        <v/>
      </c>
      <c r="I221" s="7">
        <f>IF(H220="","",H220)</f>
        <v/>
      </c>
      <c r="J221" s="7" t="n">
        <v>3</v>
      </c>
      <c r="K221" s="7" t="n"/>
      <c r="L221" s="40" t="n"/>
      <c r="N221" s="41">
        <f>IF(AND(L221&lt;&gt;"",N(I221)&gt;0),IF(I221&gt;=PRs!D69,"PR!",""),"")</f>
        <v/>
      </c>
      <c r="O221" s="7" t="n"/>
    </row>
    <row r="222">
      <c r="C222" t="inlineStr">
        <is>
          <t xml:space="preserve">      Set 2</t>
        </is>
      </c>
      <c r="E222" t="n">
        <v>3</v>
      </c>
      <c r="H222" s="39">
        <f>IF(H220="","",H220)</f>
        <v/>
      </c>
      <c r="I222" s="7">
        <f>IF(H220="","",H220)</f>
        <v/>
      </c>
      <c r="J222" s="7" t="n">
        <v>3</v>
      </c>
      <c r="K222" s="7" t="n"/>
      <c r="L222" s="40" t="n"/>
      <c r="N222" s="41">
        <f>IF(AND(L222&lt;&gt;"",N(I222)&gt;0),IF(I222&gt;=PRs!D69,"PR!",""),"")</f>
        <v/>
      </c>
      <c r="O222" s="7" t="n"/>
    </row>
    <row r="223">
      <c r="C223" t="inlineStr">
        <is>
          <t xml:space="preserve">      Set 3</t>
        </is>
      </c>
      <c r="E223" t="n">
        <v>3</v>
      </c>
      <c r="H223" s="39">
        <f>IF(H220="","",H220)</f>
        <v/>
      </c>
      <c r="I223" s="7">
        <f>IF(H220="","",H220)</f>
        <v/>
      </c>
      <c r="J223" s="7" t="n">
        <v>3</v>
      </c>
      <c r="K223" s="7" t="n"/>
      <c r="L223" s="40" t="n"/>
      <c r="N223" s="41">
        <f>IF(AND(L223&lt;&gt;"",N(I223)&gt;0),IF(I223&gt;=PRs!D69,"PR!",""),"")</f>
        <v/>
      </c>
      <c r="O223" s="7" t="n"/>
    </row>
    <row r="224">
      <c r="C224" t="inlineStr">
        <is>
          <t xml:space="preserve">      Set 4</t>
        </is>
      </c>
      <c r="E224" t="n">
        <v>3</v>
      </c>
      <c r="H224" s="39">
        <f>IF(H220="","",H220)</f>
        <v/>
      </c>
      <c r="I224" s="7">
        <f>IF(H220="","",H220)</f>
        <v/>
      </c>
      <c r="J224" s="7" t="n">
        <v>3</v>
      </c>
      <c r="K224" s="7" t="n"/>
      <c r="L224" s="40" t="n"/>
      <c r="N224" s="41">
        <f>IF(AND(L224&lt;&gt;"",N(I224)&gt;0),IF(I224&gt;=PRs!D69,"PR!",""),"")</f>
        <v/>
      </c>
      <c r="O224" s="7" t="n"/>
    </row>
    <row r="225">
      <c r="A225" s="34" t="n"/>
      <c r="B225" s="34" t="n"/>
      <c r="C225" s="42" t="inlineStr">
        <is>
          <t>Snatch</t>
        </is>
      </c>
      <c r="D225" s="34" t="inlineStr">
        <is>
          <t>4 x 3</t>
        </is>
      </c>
      <c r="E225" s="34" t="n"/>
      <c r="F225" s="34" t="n">
        <v>75</v>
      </c>
      <c r="G225" s="36">
        <f>Maxes!E6</f>
        <v/>
      </c>
      <c r="H225" s="37">
        <f>IF(OR(G225="",F225=""),"",MROUND(G225*F225/100,'Start Here'!$B$7))</f>
        <v/>
      </c>
      <c r="I225" s="34" t="n"/>
      <c r="J225" s="34" t="n"/>
      <c r="K225" s="34" t="n"/>
      <c r="L225" s="34" t="n"/>
      <c r="M225" s="34" t="n"/>
      <c r="N225" s="34" t="n"/>
      <c r="O225" s="38" t="inlineStr"/>
    </row>
    <row r="226">
      <c r="C226" t="inlineStr">
        <is>
          <t xml:space="preserve">      Set 1</t>
        </is>
      </c>
      <c r="E226" t="n">
        <v>3</v>
      </c>
      <c r="H226" s="39">
        <f>IF(H225="","",H225)</f>
        <v/>
      </c>
      <c r="I226" s="7">
        <f>IF(H225="","",H225)</f>
        <v/>
      </c>
      <c r="J226" s="7" t="n">
        <v>3</v>
      </c>
      <c r="K226" s="7" t="n"/>
      <c r="L226" s="40" t="n"/>
      <c r="M226">
        <f>IF(AND(L226&lt;&gt;"",N(I226)&gt;0,N(J226)&gt;0),IF(J226=1,I226,ROUND(I226*(1+J226/30),1)),"")</f>
        <v/>
      </c>
      <c r="N226" s="41">
        <f>IF(M226="","",IF(M226&gt;=PRs!C6,"PR!",""))</f>
        <v/>
      </c>
      <c r="O226" s="7" t="n"/>
    </row>
    <row r="227">
      <c r="C227" t="inlineStr">
        <is>
          <t xml:space="preserve">      Set 2</t>
        </is>
      </c>
      <c r="E227" t="n">
        <v>3</v>
      </c>
      <c r="H227" s="39">
        <f>IF(H225="","",H225)</f>
        <v/>
      </c>
      <c r="I227" s="7">
        <f>IF(H225="","",H225)</f>
        <v/>
      </c>
      <c r="J227" s="7" t="n">
        <v>3</v>
      </c>
      <c r="K227" s="7" t="n"/>
      <c r="L227" s="40" t="n"/>
      <c r="M227">
        <f>IF(AND(L227&lt;&gt;"",N(I227)&gt;0,N(J227)&gt;0),IF(J227=1,I227,ROUND(I227*(1+J227/30),1)),"")</f>
        <v/>
      </c>
      <c r="N227" s="41">
        <f>IF(M227="","",IF(M227&gt;=PRs!C6,"PR!",""))</f>
        <v/>
      </c>
      <c r="O227" s="7" t="n"/>
    </row>
    <row r="228">
      <c r="C228" t="inlineStr">
        <is>
          <t xml:space="preserve">      Set 3</t>
        </is>
      </c>
      <c r="E228" t="n">
        <v>3</v>
      </c>
      <c r="H228" s="39">
        <f>IF(H225="","",H225)</f>
        <v/>
      </c>
      <c r="I228" s="7">
        <f>IF(H225="","",H225)</f>
        <v/>
      </c>
      <c r="J228" s="7" t="n">
        <v>3</v>
      </c>
      <c r="K228" s="7" t="n"/>
      <c r="L228" s="40" t="n"/>
      <c r="M228">
        <f>IF(AND(L228&lt;&gt;"",N(I228)&gt;0,N(J228)&gt;0),IF(J228=1,I228,ROUND(I228*(1+J228/30),1)),"")</f>
        <v/>
      </c>
      <c r="N228" s="41">
        <f>IF(M228="","",IF(M228&gt;=PRs!C6,"PR!",""))</f>
        <v/>
      </c>
      <c r="O228" s="7" t="n"/>
    </row>
    <row r="229">
      <c r="C229" t="inlineStr">
        <is>
          <t xml:space="preserve">      Set 4</t>
        </is>
      </c>
      <c r="E229" t="n">
        <v>3</v>
      </c>
      <c r="H229" s="39">
        <f>IF(H225="","",H225)</f>
        <v/>
      </c>
      <c r="I229" s="7">
        <f>IF(H225="","",H225)</f>
        <v/>
      </c>
      <c r="J229" s="7" t="n">
        <v>3</v>
      </c>
      <c r="K229" s="7" t="n"/>
      <c r="L229" s="40" t="n"/>
      <c r="M229">
        <f>IF(AND(L229&lt;&gt;"",N(I229)&gt;0,N(J229)&gt;0),IF(J229=1,I229,ROUND(I229*(1+J229/30),1)),"")</f>
        <v/>
      </c>
      <c r="N229" s="41">
        <f>IF(M229="","",IF(M229&gt;=PRs!C6,"PR!",""))</f>
        <v/>
      </c>
      <c r="O229" s="7" t="n"/>
    </row>
    <row r="230">
      <c r="A230" s="34" t="n"/>
      <c r="B230" s="34" t="n"/>
      <c r="C230" s="42" t="inlineStr">
        <is>
          <t>Squat</t>
        </is>
      </c>
      <c r="D230" s="34" t="inlineStr">
        <is>
          <t>3 x 6</t>
        </is>
      </c>
      <c r="E230" s="34" t="n"/>
      <c r="F230" s="34" t="n">
        <v>75</v>
      </c>
      <c r="G230" s="36">
        <f>Maxes!E2</f>
        <v/>
      </c>
      <c r="H230" s="37">
        <f>IF(OR(G230="",F230=""),"",MROUND(G230*F230/100,'Start Here'!$B$7))</f>
        <v/>
      </c>
      <c r="I230" s="34" t="n"/>
      <c r="J230" s="34" t="n"/>
      <c r="K230" s="34" t="n"/>
      <c r="L230" s="34" t="n"/>
      <c r="M230" s="34" t="n"/>
      <c r="N230" s="34" t="n"/>
      <c r="O230" s="38" t="inlineStr"/>
    </row>
    <row r="231">
      <c r="C231" t="inlineStr">
        <is>
          <t xml:space="preserve">      Set 1</t>
        </is>
      </c>
      <c r="E231" t="n">
        <v>6</v>
      </c>
      <c r="H231" s="39">
        <f>IF(H230="","",H230)</f>
        <v/>
      </c>
      <c r="I231" s="7">
        <f>IF(H230="","",H230)</f>
        <v/>
      </c>
      <c r="J231" s="7" t="n">
        <v>6</v>
      </c>
      <c r="K231" s="7" t="n"/>
      <c r="L231" s="40" t="n"/>
      <c r="M231">
        <f>IF(AND(L231&lt;&gt;"",N(I231)&gt;0,N(J231)&gt;0),IF(J231=1,I231,ROUND(I231*(1+J231/30),1)),"")</f>
        <v/>
      </c>
      <c r="N231" s="41">
        <f>IF(M231="","",IF(M231&gt;=PRs!C2,"PR!",""))</f>
        <v/>
      </c>
      <c r="O231" s="7" t="n"/>
    </row>
    <row r="232">
      <c r="C232" t="inlineStr">
        <is>
          <t xml:space="preserve">      Set 2</t>
        </is>
      </c>
      <c r="E232" t="n">
        <v>6</v>
      </c>
      <c r="H232" s="39">
        <f>IF(H230="","",H230)</f>
        <v/>
      </c>
      <c r="I232" s="7">
        <f>IF(H230="","",H230)</f>
        <v/>
      </c>
      <c r="J232" s="7" t="n">
        <v>6</v>
      </c>
      <c r="K232" s="7" t="n"/>
      <c r="L232" s="40" t="n"/>
      <c r="M232">
        <f>IF(AND(L232&lt;&gt;"",N(I232)&gt;0,N(J232)&gt;0),IF(J232=1,I232,ROUND(I232*(1+J232/30),1)),"")</f>
        <v/>
      </c>
      <c r="N232" s="41">
        <f>IF(M232="","",IF(M232&gt;=PRs!C2,"PR!",""))</f>
        <v/>
      </c>
      <c r="O232" s="7" t="n"/>
    </row>
    <row r="233">
      <c r="C233" t="inlineStr">
        <is>
          <t xml:space="preserve">      Set 3</t>
        </is>
      </c>
      <c r="E233" t="n">
        <v>6</v>
      </c>
      <c r="H233" s="39">
        <f>IF(H230="","",H230)</f>
        <v/>
      </c>
      <c r="I233" s="7">
        <f>IF(H230="","",H230)</f>
        <v/>
      </c>
      <c r="J233" s="7" t="n">
        <v>6</v>
      </c>
      <c r="K233" s="7" t="n"/>
      <c r="L233" s="40" t="n"/>
      <c r="M233">
        <f>IF(AND(L233&lt;&gt;"",N(I233)&gt;0,N(J233)&gt;0),IF(J233=1,I233,ROUND(I233*(1+J233/30),1)),"")</f>
        <v/>
      </c>
      <c r="N233" s="41">
        <f>IF(M233="","",IF(M233&gt;=PRs!C2,"PR!",""))</f>
        <v/>
      </c>
      <c r="O233" s="7" t="n"/>
    </row>
    <row r="234">
      <c r="A234" s="34" t="n"/>
      <c r="B234" s="34" t="n"/>
      <c r="C234" s="42" t="inlineStr">
        <is>
          <t>Bench Press</t>
        </is>
      </c>
      <c r="D234" s="34" t="inlineStr">
        <is>
          <t>3 x 6</t>
        </is>
      </c>
      <c r="E234" s="34" t="n"/>
      <c r="F234" s="34" t="n">
        <v>75</v>
      </c>
      <c r="G234" s="36">
        <f>Maxes!E3</f>
        <v/>
      </c>
      <c r="H234" s="37">
        <f>IF(OR(G234="",F234=""),"",MROUND(G234*F234/100,'Start Here'!$B$7))</f>
        <v/>
      </c>
      <c r="I234" s="34" t="n"/>
      <c r="J234" s="34" t="n"/>
      <c r="K234" s="34" t="n"/>
      <c r="L234" s="34" t="n"/>
      <c r="M234" s="34" t="n"/>
      <c r="N234" s="34" t="n"/>
      <c r="O234" s="38" t="inlineStr"/>
    </row>
    <row r="235">
      <c r="C235" t="inlineStr">
        <is>
          <t xml:space="preserve">      Set 1</t>
        </is>
      </c>
      <c r="E235" t="n">
        <v>6</v>
      </c>
      <c r="H235" s="39">
        <f>IF(H234="","",H234)</f>
        <v/>
      </c>
      <c r="I235" s="7">
        <f>IF(H234="","",H234)</f>
        <v/>
      </c>
      <c r="J235" s="7" t="n">
        <v>6</v>
      </c>
      <c r="K235" s="7" t="n"/>
      <c r="L235" s="40" t="n"/>
      <c r="M235">
        <f>IF(AND(L235&lt;&gt;"",N(I235)&gt;0,N(J235)&gt;0),IF(J235=1,I235,ROUND(I235*(1+J235/30),1)),"")</f>
        <v/>
      </c>
      <c r="N235" s="41">
        <f>IF(M235="","",IF(M235&gt;=PRs!C3,"PR!",""))</f>
        <v/>
      </c>
      <c r="O235" s="7" t="n"/>
    </row>
    <row r="236">
      <c r="C236" t="inlineStr">
        <is>
          <t xml:space="preserve">      Set 2</t>
        </is>
      </c>
      <c r="E236" t="n">
        <v>6</v>
      </c>
      <c r="H236" s="39">
        <f>IF(H234="","",H234)</f>
        <v/>
      </c>
      <c r="I236" s="7">
        <f>IF(H234="","",H234)</f>
        <v/>
      </c>
      <c r="J236" s="7" t="n">
        <v>6</v>
      </c>
      <c r="K236" s="7" t="n"/>
      <c r="L236" s="40" t="n"/>
      <c r="M236">
        <f>IF(AND(L236&lt;&gt;"",N(I236)&gt;0,N(J236)&gt;0),IF(J236=1,I236,ROUND(I236*(1+J236/30),1)),"")</f>
        <v/>
      </c>
      <c r="N236" s="41">
        <f>IF(M236="","",IF(M236&gt;=PRs!C3,"PR!",""))</f>
        <v/>
      </c>
      <c r="O236" s="7" t="n"/>
    </row>
    <row r="237">
      <c r="C237" t="inlineStr">
        <is>
          <t xml:space="preserve">      Set 3</t>
        </is>
      </c>
      <c r="E237" t="n">
        <v>6</v>
      </c>
      <c r="H237" s="39">
        <f>IF(H234="","",H234)</f>
        <v/>
      </c>
      <c r="I237" s="7">
        <f>IF(H234="","",H234)</f>
        <v/>
      </c>
      <c r="J237" s="7" t="n">
        <v>6</v>
      </c>
      <c r="K237" s="7" t="n"/>
      <c r="L237" s="40" t="n"/>
      <c r="M237">
        <f>IF(AND(L237&lt;&gt;"",N(I237)&gt;0,N(J237)&gt;0),IF(J237=1,I237,ROUND(I237*(1+J237/30),1)),"")</f>
        <v/>
      </c>
      <c r="N237" s="41">
        <f>IF(M237="","",IF(M237&gt;=PRs!C3,"PR!",""))</f>
        <v/>
      </c>
      <c r="O237" s="7" t="n"/>
    </row>
    <row r="238">
      <c r="A238" s="34" t="n"/>
      <c r="B238" s="34" t="n"/>
      <c r="C238" s="43" t="inlineStr">
        <is>
          <t>Barbell Row</t>
        </is>
      </c>
      <c r="D238" s="34" t="inlineStr">
        <is>
          <t>4 x 8-10</t>
        </is>
      </c>
      <c r="E238" s="34" t="n"/>
      <c r="F238" s="34" t="n"/>
      <c r="G238" s="36" t="n"/>
      <c r="H238" s="37" t="n"/>
      <c r="I238" s="34" t="n"/>
      <c r="J238" s="34" t="n"/>
      <c r="K238" s="34" t="n"/>
      <c r="L238" s="34" t="n"/>
      <c r="M238" s="34" t="n"/>
      <c r="N238" s="34" t="n"/>
      <c r="O238" s="38" t="inlineStr">
        <is>
          <t>Leave 1-2 reps in the tank; add weight when you hit the top of the range</t>
        </is>
      </c>
    </row>
    <row r="239">
      <c r="C239" t="inlineStr">
        <is>
          <t xml:space="preserve">      Set 1</t>
        </is>
      </c>
      <c r="E239" t="n">
        <v>8</v>
      </c>
      <c r="H239" s="39">
        <f>IF(H238="","",H238)</f>
        <v/>
      </c>
      <c r="I239" s="7">
        <f>IF(H238="","",H238)</f>
        <v/>
      </c>
      <c r="J239" s="7" t="n">
        <v>8</v>
      </c>
      <c r="K239" s="7" t="n"/>
      <c r="L239" s="40" t="n"/>
      <c r="M239">
        <f>IF(AND(L239&lt;&gt;"",N(I239)&gt;0,N(J239)&gt;0),IF(J239=1,I239,ROUND(I239*(1+J239/30),1)),"")</f>
        <v/>
      </c>
      <c r="N239" s="41">
        <f>IF(M239="","",IF(M239&gt;=PRs!C50,"PR!",""))</f>
        <v/>
      </c>
      <c r="O239" s="7" t="n"/>
    </row>
    <row r="240">
      <c r="C240" t="inlineStr">
        <is>
          <t xml:space="preserve">      Set 2</t>
        </is>
      </c>
      <c r="E240" t="n">
        <v>8</v>
      </c>
      <c r="H240" s="39">
        <f>IF(H238="","",H238)</f>
        <v/>
      </c>
      <c r="I240" s="7">
        <f>IF(H238="","",H238)</f>
        <v/>
      </c>
      <c r="J240" s="7" t="n">
        <v>8</v>
      </c>
      <c r="K240" s="7" t="n"/>
      <c r="L240" s="40" t="n"/>
      <c r="M240">
        <f>IF(AND(L240&lt;&gt;"",N(I240)&gt;0,N(J240)&gt;0),IF(J240=1,I240,ROUND(I240*(1+J240/30),1)),"")</f>
        <v/>
      </c>
      <c r="N240" s="41">
        <f>IF(M240="","",IF(M240&gt;=PRs!C50,"PR!",""))</f>
        <v/>
      </c>
      <c r="O240" s="7" t="n"/>
    </row>
    <row r="241">
      <c r="C241" t="inlineStr">
        <is>
          <t xml:space="preserve">      Set 3</t>
        </is>
      </c>
      <c r="E241" t="n">
        <v>8</v>
      </c>
      <c r="H241" s="39">
        <f>IF(H238="","",H238)</f>
        <v/>
      </c>
      <c r="I241" s="7">
        <f>IF(H238="","",H238)</f>
        <v/>
      </c>
      <c r="J241" s="7" t="n">
        <v>8</v>
      </c>
      <c r="K241" s="7" t="n"/>
      <c r="L241" s="40" t="n"/>
      <c r="M241">
        <f>IF(AND(L241&lt;&gt;"",N(I241)&gt;0,N(J241)&gt;0),IF(J241=1,I241,ROUND(I241*(1+J241/30),1)),"")</f>
        <v/>
      </c>
      <c r="N241" s="41">
        <f>IF(M241="","",IF(M241&gt;=PRs!C50,"PR!",""))</f>
        <v/>
      </c>
      <c r="O241" s="7" t="n"/>
    </row>
    <row r="242">
      <c r="C242" t="inlineStr">
        <is>
          <t xml:space="preserve">      Set 4</t>
        </is>
      </c>
      <c r="E242" t="n">
        <v>8</v>
      </c>
      <c r="H242" s="39">
        <f>IF(H238="","",H238)</f>
        <v/>
      </c>
      <c r="I242" s="7">
        <f>IF(H238="","",H238)</f>
        <v/>
      </c>
      <c r="J242" s="7" t="n">
        <v>8</v>
      </c>
      <c r="K242" s="7" t="n"/>
      <c r="L242" s="40" t="n"/>
      <c r="M242">
        <f>IF(AND(L242&lt;&gt;"",N(I242)&gt;0,N(J242)&gt;0),IF(J242=1,I242,ROUND(I242*(1+J242/30),1)),"")</f>
        <v/>
      </c>
      <c r="N242" s="41">
        <f>IF(M242="","",IF(M242&gt;=PRs!C50,"PR!",""))</f>
        <v/>
      </c>
      <c r="O242" s="7" t="n"/>
    </row>
    <row r="243">
      <c r="A243" s="34" t="n"/>
      <c r="B243" s="34" t="n"/>
      <c r="C243" s="43" t="inlineStr">
        <is>
          <t>Face Pull</t>
        </is>
      </c>
      <c r="D243" s="34" t="inlineStr">
        <is>
          <t>4 x 12-15</t>
        </is>
      </c>
      <c r="E243" s="34" t="n"/>
      <c r="F243" s="34" t="n"/>
      <c r="G243" s="36" t="n"/>
      <c r="H243" s="37" t="n"/>
      <c r="I243" s="34" t="n"/>
      <c r="J243" s="34" t="n"/>
      <c r="K243" s="34" t="n"/>
      <c r="L243" s="34" t="n"/>
      <c r="M243" s="34" t="n"/>
      <c r="N243" s="34" t="n"/>
      <c r="O243" s="38" t="inlineStr">
        <is>
          <t>Leave 1-2 reps in the tank; add weight when you hit the top of the range</t>
        </is>
      </c>
    </row>
    <row r="244">
      <c r="C244" t="inlineStr">
        <is>
          <t xml:space="preserve">      Set 1</t>
        </is>
      </c>
      <c r="E244" t="n">
        <v>12</v>
      </c>
      <c r="H244" s="39">
        <f>IF(H243="","",H243)</f>
        <v/>
      </c>
      <c r="I244" s="7">
        <f>IF(H243="","",H243)</f>
        <v/>
      </c>
      <c r="J244" s="7" t="n">
        <v>12</v>
      </c>
      <c r="K244" s="7" t="n"/>
      <c r="L244" s="40" t="n"/>
      <c r="M244">
        <f>IF(AND(L244&lt;&gt;"",N(I244)&gt;0,N(J244)&gt;0),IF(J244=1,I244,ROUND(I244*(1+J244/30),1)),"")</f>
        <v/>
      </c>
      <c r="N244" s="41">
        <f>IF(M244="","",IF(M244&gt;=PRs!C51,"PR!",""))</f>
        <v/>
      </c>
      <c r="O244" s="7" t="n"/>
    </row>
    <row r="245">
      <c r="C245" t="inlineStr">
        <is>
          <t xml:space="preserve">      Set 2</t>
        </is>
      </c>
      <c r="E245" t="n">
        <v>12</v>
      </c>
      <c r="H245" s="39">
        <f>IF(H243="","",H243)</f>
        <v/>
      </c>
      <c r="I245" s="7">
        <f>IF(H243="","",H243)</f>
        <v/>
      </c>
      <c r="J245" s="7" t="n">
        <v>12</v>
      </c>
      <c r="K245" s="7" t="n"/>
      <c r="L245" s="40" t="n"/>
      <c r="M245">
        <f>IF(AND(L245&lt;&gt;"",N(I245)&gt;0,N(J245)&gt;0),IF(J245=1,I245,ROUND(I245*(1+J245/30),1)),"")</f>
        <v/>
      </c>
      <c r="N245" s="41">
        <f>IF(M245="","",IF(M245&gt;=PRs!C51,"PR!",""))</f>
        <v/>
      </c>
      <c r="O245" s="7" t="n"/>
    </row>
    <row r="246">
      <c r="C246" t="inlineStr">
        <is>
          <t xml:space="preserve">      Set 3</t>
        </is>
      </c>
      <c r="E246" t="n">
        <v>12</v>
      </c>
      <c r="H246" s="39">
        <f>IF(H243="","",H243)</f>
        <v/>
      </c>
      <c r="I246" s="7">
        <f>IF(H243="","",H243)</f>
        <v/>
      </c>
      <c r="J246" s="7" t="n">
        <v>12</v>
      </c>
      <c r="K246" s="7" t="n"/>
      <c r="L246" s="40" t="n"/>
      <c r="M246">
        <f>IF(AND(L246&lt;&gt;"",N(I246)&gt;0,N(J246)&gt;0),IF(J246=1,I246,ROUND(I246*(1+J246/30),1)),"")</f>
        <v/>
      </c>
      <c r="N246" s="41">
        <f>IF(M246="","",IF(M246&gt;=PRs!C51,"PR!",""))</f>
        <v/>
      </c>
      <c r="O246" s="7" t="n"/>
    </row>
    <row r="247">
      <c r="C247" t="inlineStr">
        <is>
          <t xml:space="preserve">      Set 4</t>
        </is>
      </c>
      <c r="E247" t="n">
        <v>12</v>
      </c>
      <c r="H247" s="39">
        <f>IF(H243="","",H243)</f>
        <v/>
      </c>
      <c r="I247" s="7">
        <f>IF(H243="","",H243)</f>
        <v/>
      </c>
      <c r="J247" s="7" t="n">
        <v>12</v>
      </c>
      <c r="K247" s="7" t="n"/>
      <c r="L247" s="40" t="n"/>
      <c r="M247">
        <f>IF(AND(L247&lt;&gt;"",N(I247)&gt;0,N(J247)&gt;0),IF(J247=1,I247,ROUND(I247*(1+J247/30),1)),"")</f>
        <v/>
      </c>
      <c r="N247" s="41">
        <f>IF(M247="","",IF(M247&gt;=PRs!C51,"PR!",""))</f>
        <v/>
      </c>
      <c r="O247" s="7" t="n"/>
    </row>
    <row r="248">
      <c r="A248" s="31" t="inlineStr">
        <is>
          <t>Day 2 - Light</t>
        </is>
      </c>
      <c r="B248" s="32">
        <f>'Start Here'!$B$8+16</f>
        <v/>
      </c>
      <c r="C248" s="33" t="n"/>
      <c r="D248" s="33" t="n"/>
      <c r="E248" s="33" t="n"/>
      <c r="F248" s="33" t="n"/>
      <c r="G248" s="33" t="n"/>
      <c r="H248" s="33" t="n"/>
      <c r="I248" s="33" t="n"/>
      <c r="J248" s="33" t="n"/>
      <c r="K248" s="33" t="n"/>
      <c r="L248" s="33" t="n"/>
      <c r="M248" s="33" t="n"/>
      <c r="N248" s="33" t="n"/>
      <c r="O248" s="33" t="n"/>
    </row>
    <row r="249">
      <c r="A249" s="34" t="n"/>
      <c r="B249" s="34" t="n"/>
      <c r="C249" s="35" t="inlineStr">
        <is>
          <t>Broad Jump</t>
        </is>
      </c>
      <c r="D249" s="34" t="inlineStr">
        <is>
          <t>4 x 3</t>
        </is>
      </c>
      <c r="E249" s="34" t="n"/>
      <c r="F249" s="34" t="n"/>
      <c r="G249" s="36" t="n"/>
      <c r="H249" s="37">
        <f>IF(N(Maxes!E70)&gt;0,Maxes!E70,"")</f>
        <v/>
      </c>
      <c r="I249" s="34" t="n"/>
      <c r="J249" s="34" t="n"/>
      <c r="K249" s="34" t="n"/>
      <c r="L249" s="34" t="n"/>
      <c r="M249" s="34" t="n"/>
      <c r="N249" s="34" t="n"/>
      <c r="O249" s="38" t="inlineStr">
        <is>
          <t>Standing two-foot jump forward, stick the landing. Measure toe line to the back of the nearest heel.</t>
        </is>
      </c>
    </row>
    <row r="250">
      <c r="C250" t="inlineStr">
        <is>
          <t xml:space="preserve">      Set 1</t>
        </is>
      </c>
      <c r="E250" t="n">
        <v>3</v>
      </c>
      <c r="H250" s="39">
        <f>IF(H249="","",H249)</f>
        <v/>
      </c>
      <c r="I250" s="7">
        <f>IF(H249="","",H249)</f>
        <v/>
      </c>
      <c r="J250" s="7" t="n">
        <v>3</v>
      </c>
      <c r="K250" s="7" t="n"/>
      <c r="L250" s="40" t="n"/>
      <c r="N250" s="41">
        <f>IF(AND(L250&lt;&gt;"",N(I250)&gt;0),IF(I250&gt;=PRs!D70,"PR!",""),"")</f>
        <v/>
      </c>
      <c r="O250" s="7" t="n"/>
    </row>
    <row r="251">
      <c r="C251" t="inlineStr">
        <is>
          <t xml:space="preserve">      Set 2</t>
        </is>
      </c>
      <c r="E251" t="n">
        <v>3</v>
      </c>
      <c r="H251" s="39">
        <f>IF(H249="","",H249)</f>
        <v/>
      </c>
      <c r="I251" s="7">
        <f>IF(H249="","",H249)</f>
        <v/>
      </c>
      <c r="J251" s="7" t="n">
        <v>3</v>
      </c>
      <c r="K251" s="7" t="n"/>
      <c r="L251" s="40" t="n"/>
      <c r="N251" s="41">
        <f>IF(AND(L251&lt;&gt;"",N(I251)&gt;0),IF(I251&gt;=PRs!D70,"PR!",""),"")</f>
        <v/>
      </c>
      <c r="O251" s="7" t="n"/>
    </row>
    <row r="252">
      <c r="C252" t="inlineStr">
        <is>
          <t xml:space="preserve">      Set 3</t>
        </is>
      </c>
      <c r="E252" t="n">
        <v>3</v>
      </c>
      <c r="H252" s="39">
        <f>IF(H249="","",H249)</f>
        <v/>
      </c>
      <c r="I252" s="7">
        <f>IF(H249="","",H249)</f>
        <v/>
      </c>
      <c r="J252" s="7" t="n">
        <v>3</v>
      </c>
      <c r="K252" s="7" t="n"/>
      <c r="L252" s="40" t="n"/>
      <c r="N252" s="41">
        <f>IF(AND(L252&lt;&gt;"",N(I252)&gt;0),IF(I252&gt;=PRs!D70,"PR!",""),"")</f>
        <v/>
      </c>
      <c r="O252" s="7" t="n"/>
    </row>
    <row r="253">
      <c r="C253" t="inlineStr">
        <is>
          <t xml:space="preserve">      Set 4</t>
        </is>
      </c>
      <c r="E253" t="n">
        <v>3</v>
      </c>
      <c r="H253" s="39">
        <f>IF(H249="","",H249)</f>
        <v/>
      </c>
      <c r="I253" s="7">
        <f>IF(H249="","",H249)</f>
        <v/>
      </c>
      <c r="J253" s="7" t="n">
        <v>3</v>
      </c>
      <c r="K253" s="7" t="n"/>
      <c r="L253" s="40" t="n"/>
      <c r="N253" s="41">
        <f>IF(AND(L253&lt;&gt;"",N(I253)&gt;0),IF(I253&gt;=PRs!D70,"PR!",""),"")</f>
        <v/>
      </c>
      <c r="O253" s="7" t="n"/>
    </row>
    <row r="254">
      <c r="A254" s="34" t="n"/>
      <c r="B254" s="34" t="n"/>
      <c r="C254" s="35" t="inlineStr">
        <is>
          <t>Med Ball Chest Pass</t>
        </is>
      </c>
      <c r="D254" s="34" t="inlineStr">
        <is>
          <t>3 x 5</t>
        </is>
      </c>
      <c r="E254" s="34" t="n"/>
      <c r="F254" s="34" t="n"/>
      <c r="G254" s="36" t="n"/>
      <c r="H254" s="37">
        <f>IF(N(Maxes!E77)&gt;0,Maxes!E77,"")</f>
        <v/>
      </c>
      <c r="I254" s="34" t="n"/>
      <c r="J254" s="34" t="n"/>
      <c r="K254" s="34" t="n"/>
      <c r="L254" s="34" t="n"/>
      <c r="M254" s="34" t="n"/>
      <c r="N254" s="34" t="n"/>
      <c r="O254" s="38" t="inlineStr">
        <is>
          <t>Kneeling or standing chest pass for distance with a 6-10 lb / 3-5 kg ball. Log the distance.</t>
        </is>
      </c>
    </row>
    <row r="255">
      <c r="C255" t="inlineStr">
        <is>
          <t xml:space="preserve">      Set 1</t>
        </is>
      </c>
      <c r="E255" t="n">
        <v>5</v>
      </c>
      <c r="H255" s="39">
        <f>IF(H254="","",H254)</f>
        <v/>
      </c>
      <c r="I255" s="7">
        <f>IF(H254="","",H254)</f>
        <v/>
      </c>
      <c r="J255" s="7" t="n">
        <v>5</v>
      </c>
      <c r="K255" s="7" t="n"/>
      <c r="L255" s="40" t="n"/>
      <c r="N255" s="41">
        <f>IF(AND(L255&lt;&gt;"",N(I255)&gt;0),IF(I255&gt;=PRs!D77,"PR!",""),"")</f>
        <v/>
      </c>
      <c r="O255" s="7" t="n"/>
    </row>
    <row r="256">
      <c r="C256" t="inlineStr">
        <is>
          <t xml:space="preserve">      Set 2</t>
        </is>
      </c>
      <c r="E256" t="n">
        <v>5</v>
      </c>
      <c r="H256" s="39">
        <f>IF(H254="","",H254)</f>
        <v/>
      </c>
      <c r="I256" s="7">
        <f>IF(H254="","",H254)</f>
        <v/>
      </c>
      <c r="J256" s="7" t="n">
        <v>5</v>
      </c>
      <c r="K256" s="7" t="n"/>
      <c r="L256" s="40" t="n"/>
      <c r="N256" s="41">
        <f>IF(AND(L256&lt;&gt;"",N(I256)&gt;0),IF(I256&gt;=PRs!D77,"PR!",""),"")</f>
        <v/>
      </c>
      <c r="O256" s="7" t="n"/>
    </row>
    <row r="257">
      <c r="C257" t="inlineStr">
        <is>
          <t xml:space="preserve">      Set 3</t>
        </is>
      </c>
      <c r="E257" t="n">
        <v>5</v>
      </c>
      <c r="H257" s="39">
        <f>IF(H254="","",H254)</f>
        <v/>
      </c>
      <c r="I257" s="7">
        <f>IF(H254="","",H254)</f>
        <v/>
      </c>
      <c r="J257" s="7" t="n">
        <v>5</v>
      </c>
      <c r="K257" s="7" t="n"/>
      <c r="L257" s="40" t="n"/>
      <c r="N257" s="41">
        <f>IF(AND(L257&lt;&gt;"",N(I257)&gt;0),IF(I257&gt;=PRs!D77,"PR!",""),"")</f>
        <v/>
      </c>
      <c r="O257" s="7" t="n"/>
    </row>
    <row r="258">
      <c r="A258" s="34" t="n"/>
      <c r="B258" s="34" t="n"/>
      <c r="C258" s="42" t="inlineStr">
        <is>
          <t>Clean &amp; Jerk</t>
        </is>
      </c>
      <c r="D258" s="34" t="inlineStr">
        <is>
          <t>4 x 3</t>
        </is>
      </c>
      <c r="E258" s="34" t="n"/>
      <c r="F258" s="34" t="n">
        <v>75</v>
      </c>
      <c r="G258" s="36">
        <f>Maxes!E7</f>
        <v/>
      </c>
      <c r="H258" s="37">
        <f>IF(OR(G258="",F258=""),"",MROUND(G258*F258/100,'Start Here'!$B$7))</f>
        <v/>
      </c>
      <c r="I258" s="34" t="n"/>
      <c r="J258" s="34" t="n"/>
      <c r="K258" s="34" t="n"/>
      <c r="L258" s="34" t="n"/>
      <c r="M258" s="34" t="n"/>
      <c r="N258" s="34" t="n"/>
      <c r="O258" s="38" t="inlineStr"/>
    </row>
    <row r="259">
      <c r="C259" t="inlineStr">
        <is>
          <t xml:space="preserve">      Set 1</t>
        </is>
      </c>
      <c r="E259" t="n">
        <v>3</v>
      </c>
      <c r="H259" s="39">
        <f>IF(H258="","",H258)</f>
        <v/>
      </c>
      <c r="I259" s="7">
        <f>IF(H258="","",H258)</f>
        <v/>
      </c>
      <c r="J259" s="7" t="n">
        <v>3</v>
      </c>
      <c r="K259" s="7" t="n"/>
      <c r="L259" s="40" t="n"/>
      <c r="M259">
        <f>IF(AND(L259&lt;&gt;"",N(I259)&gt;0,N(J259)&gt;0),IF(J259=1,I259,ROUND(I259*(1+J259/30),1)),"")</f>
        <v/>
      </c>
      <c r="N259" s="41">
        <f>IF(M259="","",IF(M259&gt;=PRs!C7,"PR!",""))</f>
        <v/>
      </c>
      <c r="O259" s="7" t="n"/>
    </row>
    <row r="260">
      <c r="C260" t="inlineStr">
        <is>
          <t xml:space="preserve">      Set 2</t>
        </is>
      </c>
      <c r="E260" t="n">
        <v>3</v>
      </c>
      <c r="H260" s="39">
        <f>IF(H258="","",H258)</f>
        <v/>
      </c>
      <c r="I260" s="7">
        <f>IF(H258="","",H258)</f>
        <v/>
      </c>
      <c r="J260" s="7" t="n">
        <v>3</v>
      </c>
      <c r="K260" s="7" t="n"/>
      <c r="L260" s="40" t="n"/>
      <c r="M260">
        <f>IF(AND(L260&lt;&gt;"",N(I260)&gt;0,N(J260)&gt;0),IF(J260=1,I260,ROUND(I260*(1+J260/30),1)),"")</f>
        <v/>
      </c>
      <c r="N260" s="41">
        <f>IF(M260="","",IF(M260&gt;=PRs!C7,"PR!",""))</f>
        <v/>
      </c>
      <c r="O260" s="7" t="n"/>
    </row>
    <row r="261">
      <c r="C261" t="inlineStr">
        <is>
          <t xml:space="preserve">      Set 3</t>
        </is>
      </c>
      <c r="E261" t="n">
        <v>3</v>
      </c>
      <c r="H261" s="39">
        <f>IF(H258="","",H258)</f>
        <v/>
      </c>
      <c r="I261" s="7">
        <f>IF(H258="","",H258)</f>
        <v/>
      </c>
      <c r="J261" s="7" t="n">
        <v>3</v>
      </c>
      <c r="K261" s="7" t="n"/>
      <c r="L261" s="40" t="n"/>
      <c r="M261">
        <f>IF(AND(L261&lt;&gt;"",N(I261)&gt;0,N(J261)&gt;0),IF(J261=1,I261,ROUND(I261*(1+J261/30),1)),"")</f>
        <v/>
      </c>
      <c r="N261" s="41">
        <f>IF(M261="","",IF(M261&gt;=PRs!C7,"PR!",""))</f>
        <v/>
      </c>
      <c r="O261" s="7" t="n"/>
    </row>
    <row r="262">
      <c r="C262" t="inlineStr">
        <is>
          <t xml:space="preserve">      Set 4</t>
        </is>
      </c>
      <c r="E262" t="n">
        <v>3</v>
      </c>
      <c r="H262" s="39">
        <f>IF(H258="","",H258)</f>
        <v/>
      </c>
      <c r="I262" s="7">
        <f>IF(H258="","",H258)</f>
        <v/>
      </c>
      <c r="J262" s="7" t="n">
        <v>3</v>
      </c>
      <c r="K262" s="7" t="n"/>
      <c r="L262" s="40" t="n"/>
      <c r="M262">
        <f>IF(AND(L262&lt;&gt;"",N(I262)&gt;0,N(J262)&gt;0),IF(J262=1,I262,ROUND(I262*(1+J262/30),1)),"")</f>
        <v/>
      </c>
      <c r="N262" s="41">
        <f>IF(M262="","",IF(M262&gt;=PRs!C7,"PR!",""))</f>
        <v/>
      </c>
      <c r="O262" s="7" t="n"/>
    </row>
    <row r="263">
      <c r="A263" s="34" t="n"/>
      <c r="B263" s="34" t="n"/>
      <c r="C263" s="42" t="inlineStr">
        <is>
          <t>Squat</t>
        </is>
      </c>
      <c r="D263" s="34" t="inlineStr">
        <is>
          <t>3 x 6</t>
        </is>
      </c>
      <c r="E263" s="34" t="n"/>
      <c r="F263" s="34" t="n">
        <v>65</v>
      </c>
      <c r="G263" s="36">
        <f>Maxes!E2</f>
        <v/>
      </c>
      <c r="H263" s="37">
        <f>IF(OR(G263="",F263=""),"",MROUND(G263*F263/100,'Start Here'!$B$7))</f>
        <v/>
      </c>
      <c r="I263" s="34" t="n"/>
      <c r="J263" s="34" t="n"/>
      <c r="K263" s="34" t="n"/>
      <c r="L263" s="34" t="n"/>
      <c r="M263" s="34" t="n"/>
      <c r="N263" s="34" t="n"/>
      <c r="O263" s="38" t="inlineStr"/>
    </row>
    <row r="264">
      <c r="C264" t="inlineStr">
        <is>
          <t xml:space="preserve">      Set 1</t>
        </is>
      </c>
      <c r="E264" t="n">
        <v>6</v>
      </c>
      <c r="H264" s="39">
        <f>IF(H263="","",H263)</f>
        <v/>
      </c>
      <c r="I264" s="7">
        <f>IF(H263="","",H263)</f>
        <v/>
      </c>
      <c r="J264" s="7" t="n">
        <v>6</v>
      </c>
      <c r="K264" s="7" t="n"/>
      <c r="L264" s="40" t="n"/>
      <c r="M264">
        <f>IF(AND(L264&lt;&gt;"",N(I264)&gt;0,N(J264)&gt;0),IF(J264=1,I264,ROUND(I264*(1+J264/30),1)),"")</f>
        <v/>
      </c>
      <c r="N264" s="41">
        <f>IF(M264="","",IF(M264&gt;=PRs!C2,"PR!",""))</f>
        <v/>
      </c>
      <c r="O264" s="7" t="n"/>
    </row>
    <row r="265">
      <c r="C265" t="inlineStr">
        <is>
          <t xml:space="preserve">      Set 2</t>
        </is>
      </c>
      <c r="E265" t="n">
        <v>6</v>
      </c>
      <c r="H265" s="39">
        <f>IF(H263="","",H263)</f>
        <v/>
      </c>
      <c r="I265" s="7">
        <f>IF(H263="","",H263)</f>
        <v/>
      </c>
      <c r="J265" s="7" t="n">
        <v>6</v>
      </c>
      <c r="K265" s="7" t="n"/>
      <c r="L265" s="40" t="n"/>
      <c r="M265">
        <f>IF(AND(L265&lt;&gt;"",N(I265)&gt;0,N(J265)&gt;0),IF(J265=1,I265,ROUND(I265*(1+J265/30),1)),"")</f>
        <v/>
      </c>
      <c r="N265" s="41">
        <f>IF(M265="","",IF(M265&gt;=PRs!C2,"PR!",""))</f>
        <v/>
      </c>
      <c r="O265" s="7" t="n"/>
    </row>
    <row r="266">
      <c r="C266" t="inlineStr">
        <is>
          <t xml:space="preserve">      Set 3</t>
        </is>
      </c>
      <c r="E266" t="n">
        <v>6</v>
      </c>
      <c r="H266" s="39">
        <f>IF(H263="","",H263)</f>
        <v/>
      </c>
      <c r="I266" s="7">
        <f>IF(H263="","",H263)</f>
        <v/>
      </c>
      <c r="J266" s="7" t="n">
        <v>6</v>
      </c>
      <c r="K266" s="7" t="n"/>
      <c r="L266" s="40" t="n"/>
      <c r="M266">
        <f>IF(AND(L266&lt;&gt;"",N(I266)&gt;0,N(J266)&gt;0),IF(J266=1,I266,ROUND(I266*(1+J266/30),1)),"")</f>
        <v/>
      </c>
      <c r="N266" s="41">
        <f>IF(M266="","",IF(M266&gt;=PRs!C2,"PR!",""))</f>
        <v/>
      </c>
      <c r="O266" s="7" t="n"/>
    </row>
    <row r="267">
      <c r="A267" s="34" t="n"/>
      <c r="B267" s="34" t="n"/>
      <c r="C267" s="42" t="inlineStr">
        <is>
          <t>Overhead Press</t>
        </is>
      </c>
      <c r="D267" s="34" t="inlineStr">
        <is>
          <t>3 x 6</t>
        </is>
      </c>
      <c r="E267" s="34" t="n"/>
      <c r="F267" s="34" t="n">
        <v>70</v>
      </c>
      <c r="G267" s="36">
        <f>Maxes!E5</f>
        <v/>
      </c>
      <c r="H267" s="37">
        <f>IF(OR(G267="",F267=""),"",MROUND(G267*F267/100,'Start Here'!$B$7))</f>
        <v/>
      </c>
      <c r="I267" s="34" t="n"/>
      <c r="J267" s="34" t="n"/>
      <c r="K267" s="34" t="n"/>
      <c r="L267" s="34" t="n"/>
      <c r="M267" s="34" t="n"/>
      <c r="N267" s="34" t="n"/>
      <c r="O267" s="38" t="inlineStr"/>
    </row>
    <row r="268">
      <c r="C268" t="inlineStr">
        <is>
          <t xml:space="preserve">      Set 1</t>
        </is>
      </c>
      <c r="E268" t="n">
        <v>6</v>
      </c>
      <c r="H268" s="39">
        <f>IF(H267="","",H267)</f>
        <v/>
      </c>
      <c r="I268" s="7">
        <f>IF(H267="","",H267)</f>
        <v/>
      </c>
      <c r="J268" s="7" t="n">
        <v>6</v>
      </c>
      <c r="K268" s="7" t="n"/>
      <c r="L268" s="40" t="n"/>
      <c r="M268">
        <f>IF(AND(L268&lt;&gt;"",N(I268)&gt;0,N(J268)&gt;0),IF(J268=1,I268,ROUND(I268*(1+J268/30),1)),"")</f>
        <v/>
      </c>
      <c r="N268" s="41">
        <f>IF(M268="","",IF(M268&gt;=PRs!C5,"PR!",""))</f>
        <v/>
      </c>
      <c r="O268" s="7" t="n"/>
    </row>
    <row r="269">
      <c r="C269" t="inlineStr">
        <is>
          <t xml:space="preserve">      Set 2</t>
        </is>
      </c>
      <c r="E269" t="n">
        <v>6</v>
      </c>
      <c r="H269" s="39">
        <f>IF(H267="","",H267)</f>
        <v/>
      </c>
      <c r="I269" s="7">
        <f>IF(H267="","",H267)</f>
        <v/>
      </c>
      <c r="J269" s="7" t="n">
        <v>6</v>
      </c>
      <c r="K269" s="7" t="n"/>
      <c r="L269" s="40" t="n"/>
      <c r="M269">
        <f>IF(AND(L269&lt;&gt;"",N(I269)&gt;0,N(J269)&gt;0),IF(J269=1,I269,ROUND(I269*(1+J269/30),1)),"")</f>
        <v/>
      </c>
      <c r="N269" s="41">
        <f>IF(M269="","",IF(M269&gt;=PRs!C5,"PR!",""))</f>
        <v/>
      </c>
      <c r="O269" s="7" t="n"/>
    </row>
    <row r="270">
      <c r="C270" t="inlineStr">
        <is>
          <t xml:space="preserve">      Set 3</t>
        </is>
      </c>
      <c r="E270" t="n">
        <v>6</v>
      </c>
      <c r="H270" s="39">
        <f>IF(H267="","",H267)</f>
        <v/>
      </c>
      <c r="I270" s="7">
        <f>IF(H267="","",H267)</f>
        <v/>
      </c>
      <c r="J270" s="7" t="n">
        <v>6</v>
      </c>
      <c r="K270" s="7" t="n"/>
      <c r="L270" s="40" t="n"/>
      <c r="M270">
        <f>IF(AND(L270&lt;&gt;"",N(I270)&gt;0,N(J270)&gt;0),IF(J270=1,I270,ROUND(I270*(1+J270/30),1)),"")</f>
        <v/>
      </c>
      <c r="N270" s="41">
        <f>IF(M270="","",IF(M270&gt;=PRs!C5,"PR!",""))</f>
        <v/>
      </c>
      <c r="O270" s="7" t="n"/>
    </row>
    <row r="271">
      <c r="A271" s="34" t="n"/>
      <c r="B271" s="34" t="n"/>
      <c r="C271" s="42" t="inlineStr">
        <is>
          <t>Deadlift</t>
        </is>
      </c>
      <c r="D271" s="34" t="inlineStr">
        <is>
          <t>3 x 6</t>
        </is>
      </c>
      <c r="E271" s="34" t="n"/>
      <c r="F271" s="34" t="n">
        <v>70</v>
      </c>
      <c r="G271" s="36">
        <f>Maxes!E4</f>
        <v/>
      </c>
      <c r="H271" s="37">
        <f>IF(OR(G271="",F271=""),"",MROUND(G271*F271/100,'Start Here'!$B$7))</f>
        <v/>
      </c>
      <c r="I271" s="34" t="n"/>
      <c r="J271" s="34" t="n"/>
      <c r="K271" s="34" t="n"/>
      <c r="L271" s="34" t="n"/>
      <c r="M271" s="34" t="n"/>
      <c r="N271" s="34" t="n"/>
      <c r="O271" s="38" t="inlineStr"/>
    </row>
    <row r="272">
      <c r="C272" t="inlineStr">
        <is>
          <t xml:space="preserve">      Set 1</t>
        </is>
      </c>
      <c r="E272" t="n">
        <v>6</v>
      </c>
      <c r="H272" s="39">
        <f>IF(H271="","",H271)</f>
        <v/>
      </c>
      <c r="I272" s="7">
        <f>IF(H271="","",H271)</f>
        <v/>
      </c>
      <c r="J272" s="7" t="n">
        <v>6</v>
      </c>
      <c r="K272" s="7" t="n"/>
      <c r="L272" s="40" t="n"/>
      <c r="M272">
        <f>IF(AND(L272&lt;&gt;"",N(I272)&gt;0,N(J272)&gt;0),IF(J272=1,I272,ROUND(I272*(1+J272/30),1)),"")</f>
        <v/>
      </c>
      <c r="N272" s="41">
        <f>IF(M272="","",IF(M272&gt;=PRs!C4,"PR!",""))</f>
        <v/>
      </c>
      <c r="O272" s="7" t="n"/>
    </row>
    <row r="273">
      <c r="C273" t="inlineStr">
        <is>
          <t xml:space="preserve">      Set 2</t>
        </is>
      </c>
      <c r="E273" t="n">
        <v>6</v>
      </c>
      <c r="H273" s="39">
        <f>IF(H271="","",H271)</f>
        <v/>
      </c>
      <c r="I273" s="7">
        <f>IF(H271="","",H271)</f>
        <v/>
      </c>
      <c r="J273" s="7" t="n">
        <v>6</v>
      </c>
      <c r="K273" s="7" t="n"/>
      <c r="L273" s="40" t="n"/>
      <c r="M273">
        <f>IF(AND(L273&lt;&gt;"",N(I273)&gt;0,N(J273)&gt;0),IF(J273=1,I273,ROUND(I273*(1+J273/30),1)),"")</f>
        <v/>
      </c>
      <c r="N273" s="41">
        <f>IF(M273="","",IF(M273&gt;=PRs!C4,"PR!",""))</f>
        <v/>
      </c>
      <c r="O273" s="7" t="n"/>
    </row>
    <row r="274">
      <c r="C274" t="inlineStr">
        <is>
          <t xml:space="preserve">      Set 3</t>
        </is>
      </c>
      <c r="E274" t="n">
        <v>6</v>
      </c>
      <c r="H274" s="39">
        <f>IF(H271="","",H271)</f>
        <v/>
      </c>
      <c r="I274" s="7">
        <f>IF(H271="","",H271)</f>
        <v/>
      </c>
      <c r="J274" s="7" t="n">
        <v>6</v>
      </c>
      <c r="K274" s="7" t="n"/>
      <c r="L274" s="40" t="n"/>
      <c r="M274">
        <f>IF(AND(L274&lt;&gt;"",N(I274)&gt;0,N(J274)&gt;0),IF(J274=1,I274,ROUND(I274*(1+J274/30),1)),"")</f>
        <v/>
      </c>
      <c r="N274" s="41">
        <f>IF(M274="","",IF(M274&gt;=PRs!C4,"PR!",""))</f>
        <v/>
      </c>
      <c r="O274" s="7" t="n"/>
    </row>
    <row r="275">
      <c r="A275" s="34" t="n"/>
      <c r="B275" s="34" t="n"/>
      <c r="C275" s="43" t="inlineStr">
        <is>
          <t>Chin-up</t>
        </is>
      </c>
      <c r="D275" s="34" t="inlineStr">
        <is>
          <t>4 x 6-10</t>
        </is>
      </c>
      <c r="E275" s="34" t="n"/>
      <c r="F275" s="34" t="n"/>
      <c r="G275" s="36" t="n"/>
      <c r="H275" s="37" t="n"/>
      <c r="I275" s="34" t="n"/>
      <c r="J275" s="34" t="n"/>
      <c r="K275" s="34" t="n"/>
      <c r="L275" s="34" t="n"/>
      <c r="M275" s="34" t="n"/>
      <c r="N275" s="34" t="n"/>
      <c r="O275" s="38" t="inlineStr">
        <is>
          <t>Leave 1-2 reps in the tank; add weight when you hit the top of the range</t>
        </is>
      </c>
    </row>
    <row r="276">
      <c r="C276" t="inlineStr">
        <is>
          <t xml:space="preserve">      Set 1</t>
        </is>
      </c>
      <c r="E276" t="n">
        <v>6</v>
      </c>
      <c r="H276" s="39">
        <f>IF(H275="","",H275)</f>
        <v/>
      </c>
      <c r="I276" s="7">
        <f>IF(H275="","",H275)</f>
        <v/>
      </c>
      <c r="J276" s="7" t="n">
        <v>6</v>
      </c>
      <c r="K276" s="7" t="n"/>
      <c r="L276" s="40" t="n"/>
      <c r="M276">
        <f>IF(AND(L276&lt;&gt;"",N(I276)&gt;0,N(J276)&gt;0),IF(J276=1,I276,ROUND(I276*(1+J276/30),1)),"")</f>
        <v/>
      </c>
      <c r="N276" s="41">
        <f>IF(M276="","",IF(M276&gt;=PRs!C53,"PR!",""))</f>
        <v/>
      </c>
      <c r="O276" s="7" t="n"/>
    </row>
    <row r="277">
      <c r="C277" t="inlineStr">
        <is>
          <t xml:space="preserve">      Set 2</t>
        </is>
      </c>
      <c r="E277" t="n">
        <v>6</v>
      </c>
      <c r="H277" s="39">
        <f>IF(H275="","",H275)</f>
        <v/>
      </c>
      <c r="I277" s="7">
        <f>IF(H275="","",H275)</f>
        <v/>
      </c>
      <c r="J277" s="7" t="n">
        <v>6</v>
      </c>
      <c r="K277" s="7" t="n"/>
      <c r="L277" s="40" t="n"/>
      <c r="M277">
        <f>IF(AND(L277&lt;&gt;"",N(I277)&gt;0,N(J277)&gt;0),IF(J277=1,I277,ROUND(I277*(1+J277/30),1)),"")</f>
        <v/>
      </c>
      <c r="N277" s="41">
        <f>IF(M277="","",IF(M277&gt;=PRs!C53,"PR!",""))</f>
        <v/>
      </c>
      <c r="O277" s="7" t="n"/>
    </row>
    <row r="278">
      <c r="C278" t="inlineStr">
        <is>
          <t xml:space="preserve">      Set 3</t>
        </is>
      </c>
      <c r="E278" t="n">
        <v>6</v>
      </c>
      <c r="H278" s="39">
        <f>IF(H275="","",H275)</f>
        <v/>
      </c>
      <c r="I278" s="7">
        <f>IF(H275="","",H275)</f>
        <v/>
      </c>
      <c r="J278" s="7" t="n">
        <v>6</v>
      </c>
      <c r="K278" s="7" t="n"/>
      <c r="L278" s="40" t="n"/>
      <c r="M278">
        <f>IF(AND(L278&lt;&gt;"",N(I278)&gt;0,N(J278)&gt;0),IF(J278=1,I278,ROUND(I278*(1+J278/30),1)),"")</f>
        <v/>
      </c>
      <c r="N278" s="41">
        <f>IF(M278="","",IF(M278&gt;=PRs!C53,"PR!",""))</f>
        <v/>
      </c>
      <c r="O278" s="7" t="n"/>
    </row>
    <row r="279">
      <c r="C279" t="inlineStr">
        <is>
          <t xml:space="preserve">      Set 4</t>
        </is>
      </c>
      <c r="E279" t="n">
        <v>6</v>
      </c>
      <c r="H279" s="39">
        <f>IF(H275="","",H275)</f>
        <v/>
      </c>
      <c r="I279" s="7">
        <f>IF(H275="","",H275)</f>
        <v/>
      </c>
      <c r="J279" s="7" t="n">
        <v>6</v>
      </c>
      <c r="K279" s="7" t="n"/>
      <c r="L279" s="40" t="n"/>
      <c r="M279">
        <f>IF(AND(L279&lt;&gt;"",N(I279)&gt;0,N(J279)&gt;0),IF(J279=1,I279,ROUND(I279*(1+J279/30),1)),"")</f>
        <v/>
      </c>
      <c r="N279" s="41">
        <f>IF(M279="","",IF(M279&gt;=PRs!C53,"PR!",""))</f>
        <v/>
      </c>
      <c r="O279" s="7" t="n"/>
    </row>
    <row r="280">
      <c r="A280" s="34" t="n"/>
      <c r="B280" s="34" t="n"/>
      <c r="C280" s="43" t="inlineStr">
        <is>
          <t>Plank</t>
        </is>
      </c>
      <c r="D280" s="34" t="inlineStr">
        <is>
          <t>4 x 30-60s</t>
        </is>
      </c>
      <c r="E280" s="34" t="n"/>
      <c r="F280" s="34" t="n"/>
      <c r="G280" s="36" t="n"/>
      <c r="H280" s="37" t="n"/>
      <c r="I280" s="34" t="n"/>
      <c r="J280" s="34" t="n"/>
      <c r="K280" s="34" t="n"/>
      <c r="L280" s="34" t="n"/>
      <c r="M280" s="34" t="n"/>
      <c r="N280" s="34" t="n"/>
      <c r="O280" s="38" t="inlineStr">
        <is>
          <t>Leave 1-2 reps in the tank; add weight when you hit the top of the range</t>
        </is>
      </c>
    </row>
    <row r="281">
      <c r="C281" t="inlineStr">
        <is>
          <t xml:space="preserve">      Set 1</t>
        </is>
      </c>
      <c r="E281" t="n">
        <v>30</v>
      </c>
      <c r="H281" s="39">
        <f>IF(H280="","",H280)</f>
        <v/>
      </c>
      <c r="I281" s="7">
        <f>IF(H280="","",H280)</f>
        <v/>
      </c>
      <c r="J281" s="7" t="n">
        <v>30</v>
      </c>
      <c r="K281" s="7" t="n"/>
      <c r="L281" s="40" t="n"/>
      <c r="M281">
        <f>IF(AND(L281&lt;&gt;"",N(I281)&gt;0,N(J281)&gt;0),IF(J281=1,I281,ROUND(I281*(1+J281/30),1)),"")</f>
        <v/>
      </c>
      <c r="N281" s="41">
        <f>IF(M281="","",IF(M281&gt;=PRs!C56,"PR!",""))</f>
        <v/>
      </c>
      <c r="O281" s="7" t="n"/>
    </row>
    <row r="282">
      <c r="C282" t="inlineStr">
        <is>
          <t xml:space="preserve">      Set 2</t>
        </is>
      </c>
      <c r="E282" t="n">
        <v>30</v>
      </c>
      <c r="H282" s="39">
        <f>IF(H280="","",H280)</f>
        <v/>
      </c>
      <c r="I282" s="7">
        <f>IF(H280="","",H280)</f>
        <v/>
      </c>
      <c r="J282" s="7" t="n">
        <v>30</v>
      </c>
      <c r="K282" s="7" t="n"/>
      <c r="L282" s="40" t="n"/>
      <c r="M282">
        <f>IF(AND(L282&lt;&gt;"",N(I282)&gt;0,N(J282)&gt;0),IF(J282=1,I282,ROUND(I282*(1+J282/30),1)),"")</f>
        <v/>
      </c>
      <c r="N282" s="41">
        <f>IF(M282="","",IF(M282&gt;=PRs!C56,"PR!",""))</f>
        <v/>
      </c>
      <c r="O282" s="7" t="n"/>
    </row>
    <row r="283">
      <c r="C283" t="inlineStr">
        <is>
          <t xml:space="preserve">      Set 3</t>
        </is>
      </c>
      <c r="E283" t="n">
        <v>30</v>
      </c>
      <c r="H283" s="39">
        <f>IF(H280="","",H280)</f>
        <v/>
      </c>
      <c r="I283" s="7">
        <f>IF(H280="","",H280)</f>
        <v/>
      </c>
      <c r="J283" s="7" t="n">
        <v>30</v>
      </c>
      <c r="K283" s="7" t="n"/>
      <c r="L283" s="40" t="n"/>
      <c r="M283">
        <f>IF(AND(L283&lt;&gt;"",N(I283)&gt;0,N(J283)&gt;0),IF(J283=1,I283,ROUND(I283*(1+J283/30),1)),"")</f>
        <v/>
      </c>
      <c r="N283" s="41">
        <f>IF(M283="","",IF(M283&gt;=PRs!C56,"PR!",""))</f>
        <v/>
      </c>
      <c r="O283" s="7" t="n"/>
    </row>
    <row r="284">
      <c r="C284" t="inlineStr">
        <is>
          <t xml:space="preserve">      Set 4</t>
        </is>
      </c>
      <c r="E284" t="n">
        <v>30</v>
      </c>
      <c r="H284" s="39">
        <f>IF(H280="","",H280)</f>
        <v/>
      </c>
      <c r="I284" s="7">
        <f>IF(H280="","",H280)</f>
        <v/>
      </c>
      <c r="J284" s="7" t="n">
        <v>30</v>
      </c>
      <c r="K284" s="7" t="n"/>
      <c r="L284" s="40" t="n"/>
      <c r="M284">
        <f>IF(AND(L284&lt;&gt;"",N(I284)&gt;0,N(J284)&gt;0),IF(J284=1,I284,ROUND(I284*(1+J284/30),1)),"")</f>
        <v/>
      </c>
      <c r="N284" s="41">
        <f>IF(M284="","",IF(M284&gt;=PRs!C56,"PR!",""))</f>
        <v/>
      </c>
      <c r="O284" s="7" t="n"/>
    </row>
    <row r="285">
      <c r="A285" s="31" t="inlineStr">
        <is>
          <t>Day 3 - Variations</t>
        </is>
      </c>
      <c r="B285" s="32">
        <f>'Start Here'!$B$8+18</f>
        <v/>
      </c>
      <c r="C285" s="33" t="n"/>
      <c r="D285" s="33" t="n"/>
      <c r="E285" s="33" t="n"/>
      <c r="F285" s="33" t="n"/>
      <c r="G285" s="33" t="n"/>
      <c r="H285" s="33" t="n"/>
      <c r="I285" s="33" t="n"/>
      <c r="J285" s="33" t="n"/>
      <c r="K285" s="33" t="n"/>
      <c r="L285" s="33" t="n"/>
      <c r="M285" s="33" t="n"/>
      <c r="N285" s="33" t="n"/>
      <c r="O285" s="33" t="n"/>
    </row>
    <row r="286">
      <c r="A286" s="34" t="n"/>
      <c r="B286" s="34" t="n"/>
      <c r="C286" s="35" t="inlineStr">
        <is>
          <t>Depth Jump</t>
        </is>
      </c>
      <c r="D286" s="34" t="inlineStr">
        <is>
          <t>4 x 3</t>
        </is>
      </c>
      <c r="E286" s="34" t="n"/>
      <c r="F286" s="34" t="n"/>
      <c r="G286" s="36" t="n"/>
      <c r="H286" s="37">
        <f>IF(N(Maxes!E72)&gt;0,Maxes!E72,"")</f>
        <v/>
      </c>
      <c r="I286" s="34" t="n"/>
      <c r="J286" s="34" t="n"/>
      <c r="K286" s="34" t="n"/>
      <c r="L286" s="34" t="n"/>
      <c r="M286" s="34" t="n"/>
      <c r="N286" s="34" t="n"/>
      <c r="O286" s="38" t="inlineStr">
        <is>
          <t>Step off a low box (12-18 in / 30-45 cm), land and rebound straight up as fast as possible. Log the drop-box height.</t>
        </is>
      </c>
    </row>
    <row r="287">
      <c r="C287" t="inlineStr">
        <is>
          <t xml:space="preserve">      Set 1</t>
        </is>
      </c>
      <c r="E287" t="n">
        <v>3</v>
      </c>
      <c r="H287" s="39">
        <f>IF(H286="","",H286)</f>
        <v/>
      </c>
      <c r="I287" s="7">
        <f>IF(H286="","",H286)</f>
        <v/>
      </c>
      <c r="J287" s="7" t="n">
        <v>3</v>
      </c>
      <c r="K287" s="7" t="n"/>
      <c r="L287" s="40" t="n"/>
      <c r="N287" s="41">
        <f>IF(AND(L287&lt;&gt;"",N(I287)&gt;0),IF(I287&gt;=PRs!D72,"PR!",""),"")</f>
        <v/>
      </c>
      <c r="O287" s="7" t="n"/>
    </row>
    <row r="288">
      <c r="C288" t="inlineStr">
        <is>
          <t xml:space="preserve">      Set 2</t>
        </is>
      </c>
      <c r="E288" t="n">
        <v>3</v>
      </c>
      <c r="H288" s="39">
        <f>IF(H286="","",H286)</f>
        <v/>
      </c>
      <c r="I288" s="7">
        <f>IF(H286="","",H286)</f>
        <v/>
      </c>
      <c r="J288" s="7" t="n">
        <v>3</v>
      </c>
      <c r="K288" s="7" t="n"/>
      <c r="L288" s="40" t="n"/>
      <c r="N288" s="41">
        <f>IF(AND(L288&lt;&gt;"",N(I288)&gt;0),IF(I288&gt;=PRs!D72,"PR!",""),"")</f>
        <v/>
      </c>
      <c r="O288" s="7" t="n"/>
    </row>
    <row r="289">
      <c r="C289" t="inlineStr">
        <is>
          <t xml:space="preserve">      Set 3</t>
        </is>
      </c>
      <c r="E289" t="n">
        <v>3</v>
      </c>
      <c r="H289" s="39">
        <f>IF(H286="","",H286)</f>
        <v/>
      </c>
      <c r="I289" s="7">
        <f>IF(H286="","",H286)</f>
        <v/>
      </c>
      <c r="J289" s="7" t="n">
        <v>3</v>
      </c>
      <c r="K289" s="7" t="n"/>
      <c r="L289" s="40" t="n"/>
      <c r="N289" s="41">
        <f>IF(AND(L289&lt;&gt;"",N(I289)&gt;0),IF(I289&gt;=PRs!D72,"PR!",""),"")</f>
        <v/>
      </c>
      <c r="O289" s="7" t="n"/>
    </row>
    <row r="290">
      <c r="C290" t="inlineStr">
        <is>
          <t xml:space="preserve">      Set 4</t>
        </is>
      </c>
      <c r="E290" t="n">
        <v>3</v>
      </c>
      <c r="H290" s="39">
        <f>IF(H286="","",H286)</f>
        <v/>
      </c>
      <c r="I290" s="7">
        <f>IF(H286="","",H286)</f>
        <v/>
      </c>
      <c r="J290" s="7" t="n">
        <v>3</v>
      </c>
      <c r="K290" s="7" t="n"/>
      <c r="L290" s="40" t="n"/>
      <c r="N290" s="41">
        <f>IF(AND(L290&lt;&gt;"",N(I290)&gt;0),IF(I290&gt;=PRs!D72,"PR!",""),"")</f>
        <v/>
      </c>
      <c r="O290" s="7" t="n"/>
    </row>
    <row r="291">
      <c r="A291" s="34" t="n"/>
      <c r="B291" s="34" t="n"/>
      <c r="C291" s="42" t="inlineStr">
        <is>
          <t>Power Snatch</t>
        </is>
      </c>
      <c r="D291" s="34" t="inlineStr">
        <is>
          <t>4 x 3</t>
        </is>
      </c>
      <c r="E291" s="34" t="n"/>
      <c r="F291" s="34" t="n">
        <v>70</v>
      </c>
      <c r="G291" s="36">
        <f>Maxes!E34</f>
        <v/>
      </c>
      <c r="H291" s="37">
        <f>IF(OR(G291="",F291=""),"",MROUND(G291*F291/100,'Start Here'!$B$7))</f>
        <v/>
      </c>
      <c r="I291" s="34" t="n"/>
      <c r="J291" s="34" t="n"/>
      <c r="K291" s="34" t="n"/>
      <c r="L291" s="34" t="n"/>
      <c r="M291" s="34" t="n"/>
      <c r="N291" s="34" t="n"/>
      <c r="O291" s="38" t="inlineStr"/>
    </row>
    <row r="292">
      <c r="C292" t="inlineStr">
        <is>
          <t xml:space="preserve">      Set 1</t>
        </is>
      </c>
      <c r="E292" t="n">
        <v>3</v>
      </c>
      <c r="H292" s="39">
        <f>IF(H291="","",H291)</f>
        <v/>
      </c>
      <c r="I292" s="7">
        <f>IF(H291="","",H291)</f>
        <v/>
      </c>
      <c r="J292" s="7" t="n">
        <v>3</v>
      </c>
      <c r="K292" s="7" t="n"/>
      <c r="L292" s="40" t="n"/>
      <c r="M292">
        <f>IF(AND(L292&lt;&gt;"",N(I292)&gt;0,N(J292)&gt;0),IF(J292=1,I292,ROUND(I292*(1+J292/30),1)),"")</f>
        <v/>
      </c>
      <c r="N292" s="41">
        <f>IF(M292="","",IF(M292&gt;=PRs!C34,"PR!",""))</f>
        <v/>
      </c>
      <c r="O292" s="7" t="n"/>
    </row>
    <row r="293">
      <c r="C293" t="inlineStr">
        <is>
          <t xml:space="preserve">      Set 2</t>
        </is>
      </c>
      <c r="E293" t="n">
        <v>3</v>
      </c>
      <c r="H293" s="39">
        <f>IF(H291="","",H291)</f>
        <v/>
      </c>
      <c r="I293" s="7">
        <f>IF(H291="","",H291)</f>
        <v/>
      </c>
      <c r="J293" s="7" t="n">
        <v>3</v>
      </c>
      <c r="K293" s="7" t="n"/>
      <c r="L293" s="40" t="n"/>
      <c r="M293">
        <f>IF(AND(L293&lt;&gt;"",N(I293)&gt;0,N(J293)&gt;0),IF(J293=1,I293,ROUND(I293*(1+J293/30),1)),"")</f>
        <v/>
      </c>
      <c r="N293" s="41">
        <f>IF(M293="","",IF(M293&gt;=PRs!C34,"PR!",""))</f>
        <v/>
      </c>
      <c r="O293" s="7" t="n"/>
    </row>
    <row r="294">
      <c r="C294" t="inlineStr">
        <is>
          <t xml:space="preserve">      Set 3</t>
        </is>
      </c>
      <c r="E294" t="n">
        <v>3</v>
      </c>
      <c r="H294" s="39">
        <f>IF(H291="","",H291)</f>
        <v/>
      </c>
      <c r="I294" s="7">
        <f>IF(H291="","",H291)</f>
        <v/>
      </c>
      <c r="J294" s="7" t="n">
        <v>3</v>
      </c>
      <c r="K294" s="7" t="n"/>
      <c r="L294" s="40" t="n"/>
      <c r="M294">
        <f>IF(AND(L294&lt;&gt;"",N(I294)&gt;0,N(J294)&gt;0),IF(J294=1,I294,ROUND(I294*(1+J294/30),1)),"")</f>
        <v/>
      </c>
      <c r="N294" s="41">
        <f>IF(M294="","",IF(M294&gt;=PRs!C34,"PR!",""))</f>
        <v/>
      </c>
      <c r="O294" s="7" t="n"/>
    </row>
    <row r="295">
      <c r="C295" t="inlineStr">
        <is>
          <t xml:space="preserve">      Set 4</t>
        </is>
      </c>
      <c r="E295" t="n">
        <v>3</v>
      </c>
      <c r="H295" s="39">
        <f>IF(H291="","",H291)</f>
        <v/>
      </c>
      <c r="I295" s="7">
        <f>IF(H291="","",H291)</f>
        <v/>
      </c>
      <c r="J295" s="7" t="n">
        <v>3</v>
      </c>
      <c r="K295" s="7" t="n"/>
      <c r="L295" s="40" t="n"/>
      <c r="M295">
        <f>IF(AND(L295&lt;&gt;"",N(I295)&gt;0,N(J295)&gt;0),IF(J295=1,I295,ROUND(I295*(1+J295/30),1)),"")</f>
        <v/>
      </c>
      <c r="N295" s="41">
        <f>IF(M295="","",IF(M295&gt;=PRs!C34,"PR!",""))</f>
        <v/>
      </c>
      <c r="O295" s="7" t="n"/>
    </row>
    <row r="296">
      <c r="A296" s="34" t="n"/>
      <c r="B296" s="34" t="n"/>
      <c r="C296" s="42" t="inlineStr">
        <is>
          <t>Box Squat</t>
        </is>
      </c>
      <c r="D296" s="34" t="inlineStr">
        <is>
          <t>3 x 6</t>
        </is>
      </c>
      <c r="E296" s="34" t="n"/>
      <c r="F296" s="34" t="n">
        <v>70</v>
      </c>
      <c r="G296" s="36">
        <f>Maxes!E8</f>
        <v/>
      </c>
      <c r="H296" s="37">
        <f>IF(OR(G296="",F296=""),"",MROUND(G296*F296/100,'Start Here'!$B$7))</f>
        <v/>
      </c>
      <c r="I296" s="34" t="n"/>
      <c r="J296" s="34" t="n"/>
      <c r="K296" s="34" t="n"/>
      <c r="L296" s="34" t="n"/>
      <c r="M296" s="34" t="n"/>
      <c r="N296" s="34" t="n"/>
      <c r="O296" s="38" t="inlineStr"/>
    </row>
    <row r="297">
      <c r="C297" t="inlineStr">
        <is>
          <t xml:space="preserve">      Set 1</t>
        </is>
      </c>
      <c r="E297" t="n">
        <v>6</v>
      </c>
      <c r="H297" s="39">
        <f>IF(H296="","",H296)</f>
        <v/>
      </c>
      <c r="I297" s="7">
        <f>IF(H296="","",H296)</f>
        <v/>
      </c>
      <c r="J297" s="7" t="n">
        <v>6</v>
      </c>
      <c r="K297" s="7" t="n"/>
      <c r="L297" s="40" t="n"/>
      <c r="M297">
        <f>IF(AND(L297&lt;&gt;"",N(I297)&gt;0,N(J297)&gt;0),IF(J297=1,I297,ROUND(I297*(1+J297/30),1)),"")</f>
        <v/>
      </c>
      <c r="N297" s="41">
        <f>IF(M297="","",IF(M297&gt;=PRs!C8,"PR!",""))</f>
        <v/>
      </c>
      <c r="O297" s="7" t="n"/>
    </row>
    <row r="298">
      <c r="C298" t="inlineStr">
        <is>
          <t xml:space="preserve">      Set 2</t>
        </is>
      </c>
      <c r="E298" t="n">
        <v>6</v>
      </c>
      <c r="H298" s="39">
        <f>IF(H296="","",H296)</f>
        <v/>
      </c>
      <c r="I298" s="7">
        <f>IF(H296="","",H296)</f>
        <v/>
      </c>
      <c r="J298" s="7" t="n">
        <v>6</v>
      </c>
      <c r="K298" s="7" t="n"/>
      <c r="L298" s="40" t="n"/>
      <c r="M298">
        <f>IF(AND(L298&lt;&gt;"",N(I298)&gt;0,N(J298)&gt;0),IF(J298=1,I298,ROUND(I298*(1+J298/30),1)),"")</f>
        <v/>
      </c>
      <c r="N298" s="41">
        <f>IF(M298="","",IF(M298&gt;=PRs!C8,"PR!",""))</f>
        <v/>
      </c>
      <c r="O298" s="7" t="n"/>
    </row>
    <row r="299">
      <c r="C299" t="inlineStr">
        <is>
          <t xml:space="preserve">      Set 3</t>
        </is>
      </c>
      <c r="E299" t="n">
        <v>6</v>
      </c>
      <c r="H299" s="39">
        <f>IF(H296="","",H296)</f>
        <v/>
      </c>
      <c r="I299" s="7">
        <f>IF(H296="","",H296)</f>
        <v/>
      </c>
      <c r="J299" s="7" t="n">
        <v>6</v>
      </c>
      <c r="K299" s="7" t="n"/>
      <c r="L299" s="40" t="n"/>
      <c r="M299">
        <f>IF(AND(L299&lt;&gt;"",N(I299)&gt;0,N(J299)&gt;0),IF(J299=1,I299,ROUND(I299*(1+J299/30),1)),"")</f>
        <v/>
      </c>
      <c r="N299" s="41">
        <f>IF(M299="","",IF(M299&gt;=PRs!C8,"PR!",""))</f>
        <v/>
      </c>
      <c r="O299" s="7" t="n"/>
    </row>
    <row r="300">
      <c r="A300" s="34" t="n"/>
      <c r="B300" s="34" t="n"/>
      <c r="C300" s="42" t="inlineStr">
        <is>
          <t>Close-Grip Bench Press</t>
        </is>
      </c>
      <c r="D300" s="34" t="inlineStr">
        <is>
          <t>3 x 6</t>
        </is>
      </c>
      <c r="E300" s="34" t="n"/>
      <c r="F300" s="34" t="n">
        <v>70</v>
      </c>
      <c r="G300" s="36">
        <f>Maxes!E14</f>
        <v/>
      </c>
      <c r="H300" s="37">
        <f>IF(OR(G300="",F300=""),"",MROUND(G300*F300/100,'Start Here'!$B$7))</f>
        <v/>
      </c>
      <c r="I300" s="34" t="n"/>
      <c r="J300" s="34" t="n"/>
      <c r="K300" s="34" t="n"/>
      <c r="L300" s="34" t="n"/>
      <c r="M300" s="34" t="n"/>
      <c r="N300" s="34" t="n"/>
      <c r="O300" s="38" t="inlineStr"/>
    </row>
    <row r="301">
      <c r="C301" t="inlineStr">
        <is>
          <t xml:space="preserve">      Set 1</t>
        </is>
      </c>
      <c r="E301" t="n">
        <v>6</v>
      </c>
      <c r="H301" s="39">
        <f>IF(H300="","",H300)</f>
        <v/>
      </c>
      <c r="I301" s="7">
        <f>IF(H300="","",H300)</f>
        <v/>
      </c>
      <c r="J301" s="7" t="n">
        <v>6</v>
      </c>
      <c r="K301" s="7" t="n"/>
      <c r="L301" s="40" t="n"/>
      <c r="M301">
        <f>IF(AND(L301&lt;&gt;"",N(I301)&gt;0,N(J301)&gt;0),IF(J301=1,I301,ROUND(I301*(1+J301/30),1)),"")</f>
        <v/>
      </c>
      <c r="N301" s="41">
        <f>IF(M301="","",IF(M301&gt;=PRs!C14,"PR!",""))</f>
        <v/>
      </c>
      <c r="O301" s="7" t="n"/>
    </row>
    <row r="302">
      <c r="C302" t="inlineStr">
        <is>
          <t xml:space="preserve">      Set 2</t>
        </is>
      </c>
      <c r="E302" t="n">
        <v>6</v>
      </c>
      <c r="H302" s="39">
        <f>IF(H300="","",H300)</f>
        <v/>
      </c>
      <c r="I302" s="7">
        <f>IF(H300="","",H300)</f>
        <v/>
      </c>
      <c r="J302" s="7" t="n">
        <v>6</v>
      </c>
      <c r="K302" s="7" t="n"/>
      <c r="L302" s="40" t="n"/>
      <c r="M302">
        <f>IF(AND(L302&lt;&gt;"",N(I302)&gt;0,N(J302)&gt;0),IF(J302=1,I302,ROUND(I302*(1+J302/30),1)),"")</f>
        <v/>
      </c>
      <c r="N302" s="41">
        <f>IF(M302="","",IF(M302&gt;=PRs!C14,"PR!",""))</f>
        <v/>
      </c>
      <c r="O302" s="7" t="n"/>
    </row>
    <row r="303">
      <c r="C303" t="inlineStr">
        <is>
          <t xml:space="preserve">      Set 3</t>
        </is>
      </c>
      <c r="E303" t="n">
        <v>6</v>
      </c>
      <c r="H303" s="39">
        <f>IF(H300="","",H300)</f>
        <v/>
      </c>
      <c r="I303" s="7">
        <f>IF(H300="","",H300)</f>
        <v/>
      </c>
      <c r="J303" s="7" t="n">
        <v>6</v>
      </c>
      <c r="K303" s="7" t="n"/>
      <c r="L303" s="40" t="n"/>
      <c r="M303">
        <f>IF(AND(L303&lt;&gt;"",N(I303)&gt;0,N(J303)&gt;0),IF(J303=1,I303,ROUND(I303*(1+J303/30),1)),"")</f>
        <v/>
      </c>
      <c r="N303" s="41">
        <f>IF(M303="","",IF(M303&gt;=PRs!C14,"PR!",""))</f>
        <v/>
      </c>
      <c r="O303" s="7" t="n"/>
    </row>
    <row r="304">
      <c r="A304" s="34" t="n"/>
      <c r="B304" s="34" t="n"/>
      <c r="C304" s="42" t="inlineStr">
        <is>
          <t>Romanian Deadlift</t>
        </is>
      </c>
      <c r="D304" s="34" t="inlineStr">
        <is>
          <t>3 x 6</t>
        </is>
      </c>
      <c r="E304" s="34" t="n"/>
      <c r="F304" s="34" t="n">
        <v>65</v>
      </c>
      <c r="G304" s="36">
        <f>Maxes!E23</f>
        <v/>
      </c>
      <c r="H304" s="37">
        <f>IF(OR(G304="",F304=""),"",MROUND(G304*F304/100,'Start Here'!$B$7))</f>
        <v/>
      </c>
      <c r="I304" s="34" t="n"/>
      <c r="J304" s="34" t="n"/>
      <c r="K304" s="34" t="n"/>
      <c r="L304" s="34" t="n"/>
      <c r="M304" s="34" t="n"/>
      <c r="N304" s="34" t="n"/>
      <c r="O304" s="38" t="inlineStr"/>
    </row>
    <row r="305">
      <c r="C305" t="inlineStr">
        <is>
          <t xml:space="preserve">      Set 1</t>
        </is>
      </c>
      <c r="E305" t="n">
        <v>6</v>
      </c>
      <c r="H305" s="39">
        <f>IF(H304="","",H304)</f>
        <v/>
      </c>
      <c r="I305" s="7">
        <f>IF(H304="","",H304)</f>
        <v/>
      </c>
      <c r="J305" s="7" t="n">
        <v>6</v>
      </c>
      <c r="K305" s="7" t="n"/>
      <c r="L305" s="40" t="n"/>
      <c r="M305">
        <f>IF(AND(L305&lt;&gt;"",N(I305)&gt;0,N(J305)&gt;0),IF(J305=1,I305,ROUND(I305*(1+J305/30),1)),"")</f>
        <v/>
      </c>
      <c r="N305" s="41">
        <f>IF(M305="","",IF(M305&gt;=PRs!C23,"PR!",""))</f>
        <v/>
      </c>
      <c r="O305" s="7" t="n"/>
    </row>
    <row r="306">
      <c r="C306" t="inlineStr">
        <is>
          <t xml:space="preserve">      Set 2</t>
        </is>
      </c>
      <c r="E306" t="n">
        <v>6</v>
      </c>
      <c r="H306" s="39">
        <f>IF(H304="","",H304)</f>
        <v/>
      </c>
      <c r="I306" s="7">
        <f>IF(H304="","",H304)</f>
        <v/>
      </c>
      <c r="J306" s="7" t="n">
        <v>6</v>
      </c>
      <c r="K306" s="7" t="n"/>
      <c r="L306" s="40" t="n"/>
      <c r="M306">
        <f>IF(AND(L306&lt;&gt;"",N(I306)&gt;0,N(J306)&gt;0),IF(J306=1,I306,ROUND(I306*(1+J306/30),1)),"")</f>
        <v/>
      </c>
      <c r="N306" s="41">
        <f>IF(M306="","",IF(M306&gt;=PRs!C23,"PR!",""))</f>
        <v/>
      </c>
      <c r="O306" s="7" t="n"/>
    </row>
    <row r="307">
      <c r="C307" t="inlineStr">
        <is>
          <t xml:space="preserve">      Set 3</t>
        </is>
      </c>
      <c r="E307" t="n">
        <v>6</v>
      </c>
      <c r="H307" s="39">
        <f>IF(H304="","",H304)</f>
        <v/>
      </c>
      <c r="I307" s="7">
        <f>IF(H304="","",H304)</f>
        <v/>
      </c>
      <c r="J307" s="7" t="n">
        <v>6</v>
      </c>
      <c r="K307" s="7" t="n"/>
      <c r="L307" s="40" t="n"/>
      <c r="M307">
        <f>IF(AND(L307&lt;&gt;"",N(I307)&gt;0,N(J307)&gt;0),IF(J307=1,I307,ROUND(I307*(1+J307/30),1)),"")</f>
        <v/>
      </c>
      <c r="N307" s="41">
        <f>IF(M307="","",IF(M307&gt;=PRs!C23,"PR!",""))</f>
        <v/>
      </c>
      <c r="O307" s="7" t="n"/>
    </row>
    <row r="308">
      <c r="A308" s="34" t="n"/>
      <c r="B308" s="34" t="n"/>
      <c r="C308" s="43" t="inlineStr">
        <is>
          <t>Incline Dumbbell Press</t>
        </is>
      </c>
      <c r="D308" s="34" t="inlineStr">
        <is>
          <t>4 x 8-12</t>
        </is>
      </c>
      <c r="E308" s="34" t="n"/>
      <c r="F308" s="34" t="n"/>
      <c r="G308" s="36" t="n"/>
      <c r="H308" s="37" t="n"/>
      <c r="I308" s="34" t="n"/>
      <c r="J308" s="34" t="n"/>
      <c r="K308" s="34" t="n"/>
      <c r="L308" s="34" t="n"/>
      <c r="M308" s="34" t="n"/>
      <c r="N308" s="34" t="n"/>
      <c r="O308" s="38" t="inlineStr">
        <is>
          <t>Leave 1-2 reps in the tank; add weight when you hit the top of the range</t>
        </is>
      </c>
    </row>
    <row r="309">
      <c r="C309" t="inlineStr">
        <is>
          <t xml:space="preserve">      Set 1</t>
        </is>
      </c>
      <c r="E309" t="n">
        <v>8</v>
      </c>
      <c r="H309" s="39">
        <f>IF(H308="","",H308)</f>
        <v/>
      </c>
      <c r="I309" s="7">
        <f>IF(H308="","",H308)</f>
        <v/>
      </c>
      <c r="J309" s="7" t="n">
        <v>8</v>
      </c>
      <c r="K309" s="7" t="n"/>
      <c r="L309" s="40" t="n"/>
      <c r="M309">
        <f>IF(AND(L309&lt;&gt;"",N(I309)&gt;0,N(J309)&gt;0),IF(J309=1,I309,ROUND(I309*(1+J309/30),1)),"")</f>
        <v/>
      </c>
      <c r="N309" s="41">
        <f>IF(M309="","",IF(M309&gt;=PRs!C57,"PR!",""))</f>
        <v/>
      </c>
      <c r="O309" s="7" t="n"/>
    </row>
    <row r="310">
      <c r="C310" t="inlineStr">
        <is>
          <t xml:space="preserve">      Set 2</t>
        </is>
      </c>
      <c r="E310" t="n">
        <v>8</v>
      </c>
      <c r="H310" s="39">
        <f>IF(H308="","",H308)</f>
        <v/>
      </c>
      <c r="I310" s="7">
        <f>IF(H308="","",H308)</f>
        <v/>
      </c>
      <c r="J310" s="7" t="n">
        <v>8</v>
      </c>
      <c r="K310" s="7" t="n"/>
      <c r="L310" s="40" t="n"/>
      <c r="M310">
        <f>IF(AND(L310&lt;&gt;"",N(I310)&gt;0,N(J310)&gt;0),IF(J310=1,I310,ROUND(I310*(1+J310/30),1)),"")</f>
        <v/>
      </c>
      <c r="N310" s="41">
        <f>IF(M310="","",IF(M310&gt;=PRs!C57,"PR!",""))</f>
        <v/>
      </c>
      <c r="O310" s="7" t="n"/>
    </row>
    <row r="311">
      <c r="C311" t="inlineStr">
        <is>
          <t xml:space="preserve">      Set 3</t>
        </is>
      </c>
      <c r="E311" t="n">
        <v>8</v>
      </c>
      <c r="H311" s="39">
        <f>IF(H308="","",H308)</f>
        <v/>
      </c>
      <c r="I311" s="7">
        <f>IF(H308="","",H308)</f>
        <v/>
      </c>
      <c r="J311" s="7" t="n">
        <v>8</v>
      </c>
      <c r="K311" s="7" t="n"/>
      <c r="L311" s="40" t="n"/>
      <c r="M311">
        <f>IF(AND(L311&lt;&gt;"",N(I311)&gt;0,N(J311)&gt;0),IF(J311=1,I311,ROUND(I311*(1+J311/30),1)),"")</f>
        <v/>
      </c>
      <c r="N311" s="41">
        <f>IF(M311="","",IF(M311&gt;=PRs!C57,"PR!",""))</f>
        <v/>
      </c>
      <c r="O311" s="7" t="n"/>
    </row>
    <row r="312">
      <c r="C312" t="inlineStr">
        <is>
          <t xml:space="preserve">      Set 4</t>
        </is>
      </c>
      <c r="E312" t="n">
        <v>8</v>
      </c>
      <c r="H312" s="39">
        <f>IF(H308="","",H308)</f>
        <v/>
      </c>
      <c r="I312" s="7">
        <f>IF(H308="","",H308)</f>
        <v/>
      </c>
      <c r="J312" s="7" t="n">
        <v>8</v>
      </c>
      <c r="K312" s="7" t="n"/>
      <c r="L312" s="40" t="n"/>
      <c r="M312">
        <f>IF(AND(L312&lt;&gt;"",N(I312)&gt;0,N(J312)&gt;0),IF(J312=1,I312,ROUND(I312*(1+J312/30),1)),"")</f>
        <v/>
      </c>
      <c r="N312" s="41">
        <f>IF(M312="","",IF(M312&gt;=PRs!C57,"PR!",""))</f>
        <v/>
      </c>
      <c r="O312" s="7" t="n"/>
    </row>
    <row r="313">
      <c r="A313" s="34" t="n"/>
      <c r="B313" s="34" t="n"/>
      <c r="C313" s="43" t="inlineStr">
        <is>
          <t>Triceps Pushdown</t>
        </is>
      </c>
      <c r="D313" s="34" t="inlineStr">
        <is>
          <t>4 x 10-15</t>
        </is>
      </c>
      <c r="E313" s="34" t="n"/>
      <c r="F313" s="34" t="n"/>
      <c r="G313" s="36" t="n"/>
      <c r="H313" s="37" t="n"/>
      <c r="I313" s="34" t="n"/>
      <c r="J313" s="34" t="n"/>
      <c r="K313" s="34" t="n"/>
      <c r="L313" s="34" t="n"/>
      <c r="M313" s="34" t="n"/>
      <c r="N313" s="34" t="n"/>
      <c r="O313" s="38" t="inlineStr">
        <is>
          <t>Leave 1-2 reps in the tank; add weight when you hit the top of the range</t>
        </is>
      </c>
    </row>
    <row r="314">
      <c r="C314" t="inlineStr">
        <is>
          <t xml:space="preserve">      Set 1</t>
        </is>
      </c>
      <c r="E314" t="n">
        <v>10</v>
      </c>
      <c r="H314" s="39">
        <f>IF(H313="","",H313)</f>
        <v/>
      </c>
      <c r="I314" s="7">
        <f>IF(H313="","",H313)</f>
        <v/>
      </c>
      <c r="J314" s="7" t="n">
        <v>10</v>
      </c>
      <c r="K314" s="7" t="n"/>
      <c r="L314" s="40" t="n"/>
      <c r="M314">
        <f>IF(AND(L314&lt;&gt;"",N(I314)&gt;0,N(J314)&gt;0),IF(J314=1,I314,ROUND(I314*(1+J314/30),1)),"")</f>
        <v/>
      </c>
      <c r="N314" s="41">
        <f>IF(M314="","",IF(M314&gt;=PRs!C59,"PR!",""))</f>
        <v/>
      </c>
      <c r="O314" s="7" t="n"/>
    </row>
    <row r="315">
      <c r="C315" t="inlineStr">
        <is>
          <t xml:space="preserve">      Set 2</t>
        </is>
      </c>
      <c r="E315" t="n">
        <v>10</v>
      </c>
      <c r="H315" s="39">
        <f>IF(H313="","",H313)</f>
        <v/>
      </c>
      <c r="I315" s="7">
        <f>IF(H313="","",H313)</f>
        <v/>
      </c>
      <c r="J315" s="7" t="n">
        <v>10</v>
      </c>
      <c r="K315" s="7" t="n"/>
      <c r="L315" s="40" t="n"/>
      <c r="M315">
        <f>IF(AND(L315&lt;&gt;"",N(I315)&gt;0,N(J315)&gt;0),IF(J315=1,I315,ROUND(I315*(1+J315/30),1)),"")</f>
        <v/>
      </c>
      <c r="N315" s="41">
        <f>IF(M315="","",IF(M315&gt;=PRs!C59,"PR!",""))</f>
        <v/>
      </c>
      <c r="O315" s="7" t="n"/>
    </row>
    <row r="316">
      <c r="C316" t="inlineStr">
        <is>
          <t xml:space="preserve">      Set 3</t>
        </is>
      </c>
      <c r="E316" t="n">
        <v>10</v>
      </c>
      <c r="H316" s="39">
        <f>IF(H313="","",H313)</f>
        <v/>
      </c>
      <c r="I316" s="7">
        <f>IF(H313="","",H313)</f>
        <v/>
      </c>
      <c r="J316" s="7" t="n">
        <v>10</v>
      </c>
      <c r="K316" s="7" t="n"/>
      <c r="L316" s="40" t="n"/>
      <c r="M316">
        <f>IF(AND(L316&lt;&gt;"",N(I316)&gt;0,N(J316)&gt;0),IF(J316=1,I316,ROUND(I316*(1+J316/30),1)),"")</f>
        <v/>
      </c>
      <c r="N316" s="41">
        <f>IF(M316="","",IF(M316&gt;=PRs!C59,"PR!",""))</f>
        <v/>
      </c>
      <c r="O316" s="7" t="n"/>
    </row>
    <row r="317">
      <c r="C317" t="inlineStr">
        <is>
          <t xml:space="preserve">      Set 4</t>
        </is>
      </c>
      <c r="E317" t="n">
        <v>10</v>
      </c>
      <c r="H317" s="39">
        <f>IF(H313="","",H313)</f>
        <v/>
      </c>
      <c r="I317" s="7">
        <f>IF(H313="","",H313)</f>
        <v/>
      </c>
      <c r="J317" s="7" t="n">
        <v>10</v>
      </c>
      <c r="K317" s="7" t="n"/>
      <c r="L317" s="40" t="n"/>
      <c r="M317">
        <f>IF(AND(L317&lt;&gt;"",N(I317)&gt;0,N(J317)&gt;0),IF(J317=1,I317,ROUND(I317*(1+J317/30),1)),"")</f>
        <v/>
      </c>
      <c r="N317" s="41">
        <f>IF(M317="","",IF(M317&gt;=PRs!C59,"PR!",""))</f>
        <v/>
      </c>
      <c r="O317" s="7" t="n"/>
    </row>
    <row r="319">
      <c r="A319" s="48" t="inlineStr">
        <is>
          <t>WEEK 4 - CYCLE 1 - DELOAD</t>
        </is>
      </c>
      <c r="B319" s="49" t="n"/>
      <c r="C319" s="49" t="n"/>
      <c r="D319" s="49" t="n"/>
      <c r="E319" s="49" t="n"/>
      <c r="F319" s="49" t="n"/>
      <c r="G319" s="49" t="n"/>
      <c r="H319" s="50" t="inlineStr">
        <is>
          <t>Bodyweight:</t>
        </is>
      </c>
      <c r="I319" s="7" t="n"/>
      <c r="J319" s="49" t="n"/>
      <c r="K319" s="49" t="n"/>
      <c r="L319" s="49" t="n"/>
      <c r="M319" s="49" t="n"/>
      <c r="N319" s="49" t="n"/>
      <c r="O319" s="49" t="n"/>
    </row>
    <row r="320">
      <c r="A320" s="31" t="inlineStr">
        <is>
          <t>Day 1 - Heavy</t>
        </is>
      </c>
      <c r="B320" s="32">
        <f>'Start Here'!$B$8+21</f>
        <v/>
      </c>
      <c r="C320" s="33" t="n"/>
      <c r="D320" s="33" t="n"/>
      <c r="E320" s="33" t="n"/>
      <c r="F320" s="33" t="n"/>
      <c r="G320" s="33" t="n"/>
      <c r="H320" s="33" t="n"/>
      <c r="I320" s="33" t="n"/>
      <c r="J320" s="33" t="n"/>
      <c r="K320" s="33" t="n"/>
      <c r="L320" s="33" t="n"/>
      <c r="M320" s="33" t="n"/>
      <c r="N320" s="33" t="n"/>
      <c r="O320" s="33" t="n"/>
    </row>
    <row r="321">
      <c r="A321" s="34" t="n"/>
      <c r="B321" s="34" t="n"/>
      <c r="C321" s="35" t="inlineStr">
        <is>
          <t>Box Jump</t>
        </is>
      </c>
      <c r="D321" s="34" t="inlineStr">
        <is>
          <t>2 x 3</t>
        </is>
      </c>
      <c r="E321" s="34" t="n"/>
      <c r="F321" s="34" t="n"/>
      <c r="G321" s="36" t="n"/>
      <c r="H321" s="37">
        <f>IF(N(Maxes!E69)&gt;0,Maxes!E69,'Start Here'!$G$16)</f>
        <v/>
      </c>
      <c r="I321" s="34" t="n"/>
      <c r="J321" s="34" t="n"/>
      <c r="K321" s="34" t="n"/>
      <c r="L321" s="34" t="n"/>
      <c r="M321" s="34" t="n"/>
      <c r="N321" s="34" t="n"/>
      <c r="O321" s="38" t="inlineStr">
        <is>
          <t>Two-foot jump onto a box, land soft in a quarter squat, STEP down. Log the box height (floor to top of box).</t>
        </is>
      </c>
    </row>
    <row r="322">
      <c r="C322" t="inlineStr">
        <is>
          <t xml:space="preserve">      Set 1</t>
        </is>
      </c>
      <c r="E322" t="n">
        <v>3</v>
      </c>
      <c r="H322" s="39">
        <f>IF(H321="","",H321)</f>
        <v/>
      </c>
      <c r="I322" s="7">
        <f>IF(H321="","",H321)</f>
        <v/>
      </c>
      <c r="J322" s="7" t="n">
        <v>3</v>
      </c>
      <c r="K322" s="7" t="n"/>
      <c r="L322" s="40" t="n"/>
      <c r="N322" s="41">
        <f>IF(AND(L322&lt;&gt;"",N(I322)&gt;0),IF(I322&gt;=PRs!D69,"PR!",""),"")</f>
        <v/>
      </c>
      <c r="O322" s="7" t="n"/>
    </row>
    <row r="323">
      <c r="C323" t="inlineStr">
        <is>
          <t xml:space="preserve">      Set 2</t>
        </is>
      </c>
      <c r="E323" t="n">
        <v>3</v>
      </c>
      <c r="H323" s="39">
        <f>IF(H321="","",H321)</f>
        <v/>
      </c>
      <c r="I323" s="7">
        <f>IF(H321="","",H321)</f>
        <v/>
      </c>
      <c r="J323" s="7" t="n">
        <v>3</v>
      </c>
      <c r="K323" s="7" t="n"/>
      <c r="L323" s="40" t="n"/>
      <c r="N323" s="41">
        <f>IF(AND(L323&lt;&gt;"",N(I323)&gt;0),IF(I323&gt;=PRs!D69,"PR!",""),"")</f>
        <v/>
      </c>
      <c r="O323" s="7" t="n"/>
    </row>
    <row r="324">
      <c r="A324" s="34" t="n"/>
      <c r="B324" s="34" t="n"/>
      <c r="C324" s="42" t="inlineStr">
        <is>
          <t>Snatch</t>
        </is>
      </c>
      <c r="D324" s="34" t="inlineStr">
        <is>
          <t>2 x 2</t>
        </is>
      </c>
      <c r="E324" s="34" t="n"/>
      <c r="F324" s="34" t="n">
        <v>60</v>
      </c>
      <c r="G324" s="36">
        <f>Maxes!E6</f>
        <v/>
      </c>
      <c r="H324" s="37">
        <f>IF(OR(G324="",F324=""),"",MROUND(G324*F324/100,'Start Here'!$B$7))</f>
        <v/>
      </c>
      <c r="I324" s="34" t="n"/>
      <c r="J324" s="34" t="n"/>
      <c r="K324" s="34" t="n"/>
      <c r="L324" s="34" t="n"/>
      <c r="M324" s="34" t="n"/>
      <c r="N324" s="34" t="n"/>
      <c r="O324" s="38" t="inlineStr">
        <is>
          <t>Easy week - move fast, recover</t>
        </is>
      </c>
    </row>
    <row r="325">
      <c r="C325" t="inlineStr">
        <is>
          <t xml:space="preserve">      Set 1</t>
        </is>
      </c>
      <c r="E325" t="n">
        <v>2</v>
      </c>
      <c r="H325" s="39">
        <f>IF(H324="","",H324)</f>
        <v/>
      </c>
      <c r="I325" s="7">
        <f>IF(H324="","",H324)</f>
        <v/>
      </c>
      <c r="J325" s="7" t="n">
        <v>2</v>
      </c>
      <c r="K325" s="7" t="n"/>
      <c r="L325" s="40" t="n"/>
      <c r="M325">
        <f>IF(AND(L325&lt;&gt;"",N(I325)&gt;0,N(J325)&gt;0),IF(J325=1,I325,ROUND(I325*(1+J325/30),1)),"")</f>
        <v/>
      </c>
      <c r="N325" s="41">
        <f>IF(M325="","",IF(M325&gt;=PRs!C6,"PR!",""))</f>
        <v/>
      </c>
      <c r="O325" s="7" t="n"/>
    </row>
    <row r="326">
      <c r="C326" t="inlineStr">
        <is>
          <t xml:space="preserve">      Set 2</t>
        </is>
      </c>
      <c r="E326" t="n">
        <v>2</v>
      </c>
      <c r="H326" s="39">
        <f>IF(H324="","",H324)</f>
        <v/>
      </c>
      <c r="I326" s="7">
        <f>IF(H324="","",H324)</f>
        <v/>
      </c>
      <c r="J326" s="7" t="n">
        <v>2</v>
      </c>
      <c r="K326" s="7" t="n"/>
      <c r="L326" s="40" t="n"/>
      <c r="M326">
        <f>IF(AND(L326&lt;&gt;"",N(I326)&gt;0,N(J326)&gt;0),IF(J326=1,I326,ROUND(I326*(1+J326/30),1)),"")</f>
        <v/>
      </c>
      <c r="N326" s="41">
        <f>IF(M326="","",IF(M326&gt;=PRs!C6,"PR!",""))</f>
        <v/>
      </c>
      <c r="O326" s="7" t="n"/>
    </row>
    <row r="327">
      <c r="A327" s="34" t="n"/>
      <c r="B327" s="34" t="n"/>
      <c r="C327" s="42" t="inlineStr">
        <is>
          <t>Squat</t>
        </is>
      </c>
      <c r="D327" s="34" t="inlineStr">
        <is>
          <t>2 x 5</t>
        </is>
      </c>
      <c r="E327" s="34" t="n"/>
      <c r="F327" s="34" t="n">
        <v>60</v>
      </c>
      <c r="G327" s="36">
        <f>Maxes!E2</f>
        <v/>
      </c>
      <c r="H327" s="37">
        <f>IF(OR(G327="",F327=""),"",MROUND(G327*F327/100,'Start Here'!$B$7))</f>
        <v/>
      </c>
      <c r="I327" s="34" t="n"/>
      <c r="J327" s="34" t="n"/>
      <c r="K327" s="34" t="n"/>
      <c r="L327" s="34" t="n"/>
      <c r="M327" s="34" t="n"/>
      <c r="N327" s="34" t="n"/>
      <c r="O327" s="38" t="inlineStr">
        <is>
          <t>Easy week - move fast, recover</t>
        </is>
      </c>
    </row>
    <row r="328">
      <c r="C328" t="inlineStr">
        <is>
          <t xml:space="preserve">      Set 1</t>
        </is>
      </c>
      <c r="E328" t="n">
        <v>5</v>
      </c>
      <c r="H328" s="39">
        <f>IF(H327="","",H327)</f>
        <v/>
      </c>
      <c r="I328" s="7">
        <f>IF(H327="","",H327)</f>
        <v/>
      </c>
      <c r="J328" s="7" t="n">
        <v>5</v>
      </c>
      <c r="K328" s="7" t="n"/>
      <c r="L328" s="40" t="n"/>
      <c r="M328">
        <f>IF(AND(L328&lt;&gt;"",N(I328)&gt;0,N(J328)&gt;0),IF(J328=1,I328,ROUND(I328*(1+J328/30),1)),"")</f>
        <v/>
      </c>
      <c r="N328" s="41">
        <f>IF(M328="","",IF(M328&gt;=PRs!C2,"PR!",""))</f>
        <v/>
      </c>
      <c r="O328" s="7" t="n"/>
    </row>
    <row r="329">
      <c r="C329" t="inlineStr">
        <is>
          <t xml:space="preserve">      Set 2</t>
        </is>
      </c>
      <c r="E329" t="n">
        <v>5</v>
      </c>
      <c r="H329" s="39">
        <f>IF(H327="","",H327)</f>
        <v/>
      </c>
      <c r="I329" s="7">
        <f>IF(H327="","",H327)</f>
        <v/>
      </c>
      <c r="J329" s="7" t="n">
        <v>5</v>
      </c>
      <c r="K329" s="7" t="n"/>
      <c r="L329" s="40" t="n"/>
      <c r="M329">
        <f>IF(AND(L329&lt;&gt;"",N(I329)&gt;0,N(J329)&gt;0),IF(J329=1,I329,ROUND(I329*(1+J329/30),1)),"")</f>
        <v/>
      </c>
      <c r="N329" s="41">
        <f>IF(M329="","",IF(M329&gt;=PRs!C2,"PR!",""))</f>
        <v/>
      </c>
      <c r="O329" s="7" t="n"/>
    </row>
    <row r="330">
      <c r="A330" s="34" t="n"/>
      <c r="B330" s="34" t="n"/>
      <c r="C330" s="42" t="inlineStr">
        <is>
          <t>Bench Press</t>
        </is>
      </c>
      <c r="D330" s="34" t="inlineStr">
        <is>
          <t>2 x 5</t>
        </is>
      </c>
      <c r="E330" s="34" t="n"/>
      <c r="F330" s="34" t="n">
        <v>60</v>
      </c>
      <c r="G330" s="36">
        <f>Maxes!E3</f>
        <v/>
      </c>
      <c r="H330" s="37">
        <f>IF(OR(G330="",F330=""),"",MROUND(G330*F330/100,'Start Here'!$B$7))</f>
        <v/>
      </c>
      <c r="I330" s="34" t="n"/>
      <c r="J330" s="34" t="n"/>
      <c r="K330" s="34" t="n"/>
      <c r="L330" s="34" t="n"/>
      <c r="M330" s="34" t="n"/>
      <c r="N330" s="34" t="n"/>
      <c r="O330" s="38" t="inlineStr">
        <is>
          <t>Easy week - move fast, recover</t>
        </is>
      </c>
    </row>
    <row r="331">
      <c r="C331" t="inlineStr">
        <is>
          <t xml:space="preserve">      Set 1</t>
        </is>
      </c>
      <c r="E331" t="n">
        <v>5</v>
      </c>
      <c r="H331" s="39">
        <f>IF(H330="","",H330)</f>
        <v/>
      </c>
      <c r="I331" s="7">
        <f>IF(H330="","",H330)</f>
        <v/>
      </c>
      <c r="J331" s="7" t="n">
        <v>5</v>
      </c>
      <c r="K331" s="7" t="n"/>
      <c r="L331" s="40" t="n"/>
      <c r="M331">
        <f>IF(AND(L331&lt;&gt;"",N(I331)&gt;0,N(J331)&gt;0),IF(J331=1,I331,ROUND(I331*(1+J331/30),1)),"")</f>
        <v/>
      </c>
      <c r="N331" s="41">
        <f>IF(M331="","",IF(M331&gt;=PRs!C3,"PR!",""))</f>
        <v/>
      </c>
      <c r="O331" s="7" t="n"/>
    </row>
    <row r="332">
      <c r="C332" t="inlineStr">
        <is>
          <t xml:space="preserve">      Set 2</t>
        </is>
      </c>
      <c r="E332" t="n">
        <v>5</v>
      </c>
      <c r="H332" s="39">
        <f>IF(H330="","",H330)</f>
        <v/>
      </c>
      <c r="I332" s="7">
        <f>IF(H330="","",H330)</f>
        <v/>
      </c>
      <c r="J332" s="7" t="n">
        <v>5</v>
      </c>
      <c r="K332" s="7" t="n"/>
      <c r="L332" s="40" t="n"/>
      <c r="M332">
        <f>IF(AND(L332&lt;&gt;"",N(I332)&gt;0,N(J332)&gt;0),IF(J332=1,I332,ROUND(I332*(1+J332/30),1)),"")</f>
        <v/>
      </c>
      <c r="N332" s="41">
        <f>IF(M332="","",IF(M332&gt;=PRs!C3,"PR!",""))</f>
        <v/>
      </c>
      <c r="O332" s="7" t="n"/>
    </row>
    <row r="333">
      <c r="A333" s="34" t="n"/>
      <c r="B333" s="34" t="n"/>
      <c r="C333" s="43" t="inlineStr">
        <is>
          <t>Barbell Row</t>
        </is>
      </c>
      <c r="D333" s="34" t="inlineStr">
        <is>
          <t>2 x 8-10</t>
        </is>
      </c>
      <c r="E333" s="34" t="n"/>
      <c r="F333" s="34" t="n"/>
      <c r="G333" s="36" t="n"/>
      <c r="H333" s="37" t="n"/>
      <c r="I333" s="34" t="n"/>
      <c r="J333" s="34" t="n"/>
      <c r="K333" s="34" t="n"/>
      <c r="L333" s="34" t="n"/>
      <c r="M333" s="34" t="n"/>
      <c r="N333" s="34" t="n"/>
      <c r="O333" s="38" t="inlineStr">
        <is>
          <t>Easy - stop well short of failure</t>
        </is>
      </c>
    </row>
    <row r="334">
      <c r="C334" t="inlineStr">
        <is>
          <t xml:space="preserve">      Set 1</t>
        </is>
      </c>
      <c r="E334" t="n">
        <v>8</v>
      </c>
      <c r="H334" s="39">
        <f>IF(H333="","",H333)</f>
        <v/>
      </c>
      <c r="I334" s="7">
        <f>IF(H333="","",H333)</f>
        <v/>
      </c>
      <c r="J334" s="7" t="n">
        <v>8</v>
      </c>
      <c r="K334" s="7" t="n"/>
      <c r="L334" s="40" t="n"/>
      <c r="M334">
        <f>IF(AND(L334&lt;&gt;"",N(I334)&gt;0,N(J334)&gt;0),IF(J334=1,I334,ROUND(I334*(1+J334/30),1)),"")</f>
        <v/>
      </c>
      <c r="N334" s="41">
        <f>IF(M334="","",IF(M334&gt;=PRs!C50,"PR!",""))</f>
        <v/>
      </c>
      <c r="O334" s="7" t="n"/>
    </row>
    <row r="335">
      <c r="C335" t="inlineStr">
        <is>
          <t xml:space="preserve">      Set 2</t>
        </is>
      </c>
      <c r="E335" t="n">
        <v>8</v>
      </c>
      <c r="H335" s="39">
        <f>IF(H333="","",H333)</f>
        <v/>
      </c>
      <c r="I335" s="7">
        <f>IF(H333="","",H333)</f>
        <v/>
      </c>
      <c r="J335" s="7" t="n">
        <v>8</v>
      </c>
      <c r="K335" s="7" t="n"/>
      <c r="L335" s="40" t="n"/>
      <c r="M335">
        <f>IF(AND(L335&lt;&gt;"",N(I335)&gt;0,N(J335)&gt;0),IF(J335=1,I335,ROUND(I335*(1+J335/30),1)),"")</f>
        <v/>
      </c>
      <c r="N335" s="41">
        <f>IF(M335="","",IF(M335&gt;=PRs!C50,"PR!",""))</f>
        <v/>
      </c>
      <c r="O335" s="7" t="n"/>
    </row>
    <row r="336">
      <c r="A336" s="34" t="n"/>
      <c r="B336" s="34" t="n"/>
      <c r="C336" s="43" t="inlineStr">
        <is>
          <t>Face Pull</t>
        </is>
      </c>
      <c r="D336" s="34" t="inlineStr">
        <is>
          <t>2 x 12-15</t>
        </is>
      </c>
      <c r="E336" s="34" t="n"/>
      <c r="F336" s="34" t="n"/>
      <c r="G336" s="36" t="n"/>
      <c r="H336" s="37" t="n"/>
      <c r="I336" s="34" t="n"/>
      <c r="J336" s="34" t="n"/>
      <c r="K336" s="34" t="n"/>
      <c r="L336" s="34" t="n"/>
      <c r="M336" s="34" t="n"/>
      <c r="N336" s="34" t="n"/>
      <c r="O336" s="38" t="inlineStr">
        <is>
          <t>Easy - stop well short of failure</t>
        </is>
      </c>
    </row>
    <row r="337">
      <c r="C337" t="inlineStr">
        <is>
          <t xml:space="preserve">      Set 1</t>
        </is>
      </c>
      <c r="E337" t="n">
        <v>12</v>
      </c>
      <c r="H337" s="39">
        <f>IF(H336="","",H336)</f>
        <v/>
      </c>
      <c r="I337" s="7">
        <f>IF(H336="","",H336)</f>
        <v/>
      </c>
      <c r="J337" s="7" t="n">
        <v>12</v>
      </c>
      <c r="K337" s="7" t="n"/>
      <c r="L337" s="40" t="n"/>
      <c r="M337">
        <f>IF(AND(L337&lt;&gt;"",N(I337)&gt;0,N(J337)&gt;0),IF(J337=1,I337,ROUND(I337*(1+J337/30),1)),"")</f>
        <v/>
      </c>
      <c r="N337" s="41">
        <f>IF(M337="","",IF(M337&gt;=PRs!C51,"PR!",""))</f>
        <v/>
      </c>
      <c r="O337" s="7" t="n"/>
    </row>
    <row r="338">
      <c r="C338" t="inlineStr">
        <is>
          <t xml:space="preserve">      Set 2</t>
        </is>
      </c>
      <c r="E338" t="n">
        <v>12</v>
      </c>
      <c r="H338" s="39">
        <f>IF(H336="","",H336)</f>
        <v/>
      </c>
      <c r="I338" s="7">
        <f>IF(H336="","",H336)</f>
        <v/>
      </c>
      <c r="J338" s="7" t="n">
        <v>12</v>
      </c>
      <c r="K338" s="7" t="n"/>
      <c r="L338" s="40" t="n"/>
      <c r="M338">
        <f>IF(AND(L338&lt;&gt;"",N(I338)&gt;0,N(J338)&gt;0),IF(J338=1,I338,ROUND(I338*(1+J338/30),1)),"")</f>
        <v/>
      </c>
      <c r="N338" s="41">
        <f>IF(M338="","",IF(M338&gt;=PRs!C51,"PR!",""))</f>
        <v/>
      </c>
      <c r="O338" s="7" t="n"/>
    </row>
    <row r="339">
      <c r="A339" s="31" t="inlineStr">
        <is>
          <t>Day 2 - Light</t>
        </is>
      </c>
      <c r="B339" s="32">
        <f>'Start Here'!$B$8+23</f>
        <v/>
      </c>
      <c r="C339" s="33" t="n"/>
      <c r="D339" s="33" t="n"/>
      <c r="E339" s="33" t="n"/>
      <c r="F339" s="33" t="n"/>
      <c r="G339" s="33" t="n"/>
      <c r="H339" s="33" t="n"/>
      <c r="I339" s="33" t="n"/>
      <c r="J339" s="33" t="n"/>
      <c r="K339" s="33" t="n"/>
      <c r="L339" s="33" t="n"/>
      <c r="M339" s="33" t="n"/>
      <c r="N339" s="33" t="n"/>
      <c r="O339" s="33" t="n"/>
    </row>
    <row r="340">
      <c r="A340" s="34" t="n"/>
      <c r="B340" s="34" t="n"/>
      <c r="C340" s="35" t="inlineStr">
        <is>
          <t>Broad Jump</t>
        </is>
      </c>
      <c r="D340" s="34" t="inlineStr">
        <is>
          <t>2 x 3</t>
        </is>
      </c>
      <c r="E340" s="34" t="n"/>
      <c r="F340" s="34" t="n"/>
      <c r="G340" s="36" t="n"/>
      <c r="H340" s="37">
        <f>IF(N(Maxes!E70)&gt;0,Maxes!E70,"")</f>
        <v/>
      </c>
      <c r="I340" s="34" t="n"/>
      <c r="J340" s="34" t="n"/>
      <c r="K340" s="34" t="n"/>
      <c r="L340" s="34" t="n"/>
      <c r="M340" s="34" t="n"/>
      <c r="N340" s="34" t="n"/>
      <c r="O340" s="38" t="inlineStr">
        <is>
          <t>Standing two-foot jump forward, stick the landing. Measure toe line to the back of the nearest heel.</t>
        </is>
      </c>
    </row>
    <row r="341">
      <c r="C341" t="inlineStr">
        <is>
          <t xml:space="preserve">      Set 1</t>
        </is>
      </c>
      <c r="E341" t="n">
        <v>3</v>
      </c>
      <c r="H341" s="39">
        <f>IF(H340="","",H340)</f>
        <v/>
      </c>
      <c r="I341" s="7">
        <f>IF(H340="","",H340)</f>
        <v/>
      </c>
      <c r="J341" s="7" t="n">
        <v>3</v>
      </c>
      <c r="K341" s="7" t="n"/>
      <c r="L341" s="40" t="n"/>
      <c r="N341" s="41">
        <f>IF(AND(L341&lt;&gt;"",N(I341)&gt;0),IF(I341&gt;=PRs!D70,"PR!",""),"")</f>
        <v/>
      </c>
      <c r="O341" s="7" t="n"/>
    </row>
    <row r="342">
      <c r="C342" t="inlineStr">
        <is>
          <t xml:space="preserve">      Set 2</t>
        </is>
      </c>
      <c r="E342" t="n">
        <v>3</v>
      </c>
      <c r="H342" s="39">
        <f>IF(H340="","",H340)</f>
        <v/>
      </c>
      <c r="I342" s="7">
        <f>IF(H340="","",H340)</f>
        <v/>
      </c>
      <c r="J342" s="7" t="n">
        <v>3</v>
      </c>
      <c r="K342" s="7" t="n"/>
      <c r="L342" s="40" t="n"/>
      <c r="N342" s="41">
        <f>IF(AND(L342&lt;&gt;"",N(I342)&gt;0),IF(I342&gt;=PRs!D70,"PR!",""),"")</f>
        <v/>
      </c>
      <c r="O342" s="7" t="n"/>
    </row>
    <row r="343">
      <c r="A343" s="34" t="n"/>
      <c r="B343" s="34" t="n"/>
      <c r="C343" s="35" t="inlineStr">
        <is>
          <t>Med Ball Chest Pass</t>
        </is>
      </c>
      <c r="D343" s="34" t="inlineStr">
        <is>
          <t>2 x 3</t>
        </is>
      </c>
      <c r="E343" s="34" t="n"/>
      <c r="F343" s="34" t="n"/>
      <c r="G343" s="36" t="n"/>
      <c r="H343" s="37">
        <f>IF(N(Maxes!E77)&gt;0,Maxes!E77,"")</f>
        <v/>
      </c>
      <c r="I343" s="34" t="n"/>
      <c r="J343" s="34" t="n"/>
      <c r="K343" s="34" t="n"/>
      <c r="L343" s="34" t="n"/>
      <c r="M343" s="34" t="n"/>
      <c r="N343" s="34" t="n"/>
      <c r="O343" s="38" t="inlineStr">
        <is>
          <t>Kneeling or standing chest pass for distance with a 6-10 lb / 3-5 kg ball. Log the distance.</t>
        </is>
      </c>
    </row>
    <row r="344">
      <c r="C344" t="inlineStr">
        <is>
          <t xml:space="preserve">      Set 1</t>
        </is>
      </c>
      <c r="E344" t="n">
        <v>3</v>
      </c>
      <c r="H344" s="39">
        <f>IF(H343="","",H343)</f>
        <v/>
      </c>
      <c r="I344" s="7">
        <f>IF(H343="","",H343)</f>
        <v/>
      </c>
      <c r="J344" s="7" t="n">
        <v>3</v>
      </c>
      <c r="K344" s="7" t="n"/>
      <c r="L344" s="40" t="n"/>
      <c r="N344" s="41">
        <f>IF(AND(L344&lt;&gt;"",N(I344)&gt;0),IF(I344&gt;=PRs!D77,"PR!",""),"")</f>
        <v/>
      </c>
      <c r="O344" s="7" t="n"/>
    </row>
    <row r="345">
      <c r="C345" t="inlineStr">
        <is>
          <t xml:space="preserve">      Set 2</t>
        </is>
      </c>
      <c r="E345" t="n">
        <v>3</v>
      </c>
      <c r="H345" s="39">
        <f>IF(H343="","",H343)</f>
        <v/>
      </c>
      <c r="I345" s="7">
        <f>IF(H343="","",H343)</f>
        <v/>
      </c>
      <c r="J345" s="7" t="n">
        <v>3</v>
      </c>
      <c r="K345" s="7" t="n"/>
      <c r="L345" s="40" t="n"/>
      <c r="N345" s="41">
        <f>IF(AND(L345&lt;&gt;"",N(I345)&gt;0),IF(I345&gt;=PRs!D77,"PR!",""),"")</f>
        <v/>
      </c>
      <c r="O345" s="7" t="n"/>
    </row>
    <row r="346">
      <c r="A346" s="34" t="n"/>
      <c r="B346" s="34" t="n"/>
      <c r="C346" s="42" t="inlineStr">
        <is>
          <t>Clean &amp; Jerk</t>
        </is>
      </c>
      <c r="D346" s="34" t="inlineStr">
        <is>
          <t>2 x 2</t>
        </is>
      </c>
      <c r="E346" s="34" t="n"/>
      <c r="F346" s="34" t="n">
        <v>60</v>
      </c>
      <c r="G346" s="36">
        <f>Maxes!E7</f>
        <v/>
      </c>
      <c r="H346" s="37">
        <f>IF(OR(G346="",F346=""),"",MROUND(G346*F346/100,'Start Here'!$B$7))</f>
        <v/>
      </c>
      <c r="I346" s="34" t="n"/>
      <c r="J346" s="34" t="n"/>
      <c r="K346" s="34" t="n"/>
      <c r="L346" s="34" t="n"/>
      <c r="M346" s="34" t="n"/>
      <c r="N346" s="34" t="n"/>
      <c r="O346" s="38" t="inlineStr">
        <is>
          <t>Easy week - move fast, recover</t>
        </is>
      </c>
    </row>
    <row r="347">
      <c r="C347" t="inlineStr">
        <is>
          <t xml:space="preserve">      Set 1</t>
        </is>
      </c>
      <c r="E347" t="n">
        <v>2</v>
      </c>
      <c r="H347" s="39">
        <f>IF(H346="","",H346)</f>
        <v/>
      </c>
      <c r="I347" s="7">
        <f>IF(H346="","",H346)</f>
        <v/>
      </c>
      <c r="J347" s="7" t="n">
        <v>2</v>
      </c>
      <c r="K347" s="7" t="n"/>
      <c r="L347" s="40" t="n"/>
      <c r="M347">
        <f>IF(AND(L347&lt;&gt;"",N(I347)&gt;0,N(J347)&gt;0),IF(J347=1,I347,ROUND(I347*(1+J347/30),1)),"")</f>
        <v/>
      </c>
      <c r="N347" s="41">
        <f>IF(M347="","",IF(M347&gt;=PRs!C7,"PR!",""))</f>
        <v/>
      </c>
      <c r="O347" s="7" t="n"/>
    </row>
    <row r="348">
      <c r="C348" t="inlineStr">
        <is>
          <t xml:space="preserve">      Set 2</t>
        </is>
      </c>
      <c r="E348" t="n">
        <v>2</v>
      </c>
      <c r="H348" s="39">
        <f>IF(H346="","",H346)</f>
        <v/>
      </c>
      <c r="I348" s="7">
        <f>IF(H346="","",H346)</f>
        <v/>
      </c>
      <c r="J348" s="7" t="n">
        <v>2</v>
      </c>
      <c r="K348" s="7" t="n"/>
      <c r="L348" s="40" t="n"/>
      <c r="M348">
        <f>IF(AND(L348&lt;&gt;"",N(I348)&gt;0,N(J348)&gt;0),IF(J348=1,I348,ROUND(I348*(1+J348/30),1)),"")</f>
        <v/>
      </c>
      <c r="N348" s="41">
        <f>IF(M348="","",IF(M348&gt;=PRs!C7,"PR!",""))</f>
        <v/>
      </c>
      <c r="O348" s="7" t="n"/>
    </row>
    <row r="349">
      <c r="A349" s="34" t="n"/>
      <c r="B349" s="34" t="n"/>
      <c r="C349" s="42" t="inlineStr">
        <is>
          <t>Squat</t>
        </is>
      </c>
      <c r="D349" s="34" t="inlineStr">
        <is>
          <t>2 x 5</t>
        </is>
      </c>
      <c r="E349" s="34" t="n"/>
      <c r="F349" s="34" t="n">
        <v>60</v>
      </c>
      <c r="G349" s="36">
        <f>Maxes!E2</f>
        <v/>
      </c>
      <c r="H349" s="37">
        <f>IF(OR(G349="",F349=""),"",MROUND(G349*F349/100,'Start Here'!$B$7))</f>
        <v/>
      </c>
      <c r="I349" s="34" t="n"/>
      <c r="J349" s="34" t="n"/>
      <c r="K349" s="34" t="n"/>
      <c r="L349" s="34" t="n"/>
      <c r="M349" s="34" t="n"/>
      <c r="N349" s="34" t="n"/>
      <c r="O349" s="38" t="inlineStr">
        <is>
          <t>Easy week - move fast, recover</t>
        </is>
      </c>
    </row>
    <row r="350">
      <c r="C350" t="inlineStr">
        <is>
          <t xml:space="preserve">      Set 1</t>
        </is>
      </c>
      <c r="E350" t="n">
        <v>5</v>
      </c>
      <c r="H350" s="39">
        <f>IF(H349="","",H349)</f>
        <v/>
      </c>
      <c r="I350" s="7">
        <f>IF(H349="","",H349)</f>
        <v/>
      </c>
      <c r="J350" s="7" t="n">
        <v>5</v>
      </c>
      <c r="K350" s="7" t="n"/>
      <c r="L350" s="40" t="n"/>
      <c r="M350">
        <f>IF(AND(L350&lt;&gt;"",N(I350)&gt;0,N(J350)&gt;0),IF(J350=1,I350,ROUND(I350*(1+J350/30),1)),"")</f>
        <v/>
      </c>
      <c r="N350" s="41">
        <f>IF(M350="","",IF(M350&gt;=PRs!C2,"PR!",""))</f>
        <v/>
      </c>
      <c r="O350" s="7" t="n"/>
    </row>
    <row r="351">
      <c r="C351" t="inlineStr">
        <is>
          <t xml:space="preserve">      Set 2</t>
        </is>
      </c>
      <c r="E351" t="n">
        <v>5</v>
      </c>
      <c r="H351" s="39">
        <f>IF(H349="","",H349)</f>
        <v/>
      </c>
      <c r="I351" s="7">
        <f>IF(H349="","",H349)</f>
        <v/>
      </c>
      <c r="J351" s="7" t="n">
        <v>5</v>
      </c>
      <c r="K351" s="7" t="n"/>
      <c r="L351" s="40" t="n"/>
      <c r="M351">
        <f>IF(AND(L351&lt;&gt;"",N(I351)&gt;0,N(J351)&gt;0),IF(J351=1,I351,ROUND(I351*(1+J351/30),1)),"")</f>
        <v/>
      </c>
      <c r="N351" s="41">
        <f>IF(M351="","",IF(M351&gt;=PRs!C2,"PR!",""))</f>
        <v/>
      </c>
      <c r="O351" s="7" t="n"/>
    </row>
    <row r="352">
      <c r="A352" s="34" t="n"/>
      <c r="B352" s="34" t="n"/>
      <c r="C352" s="42" t="inlineStr">
        <is>
          <t>Overhead Press</t>
        </is>
      </c>
      <c r="D352" s="34" t="inlineStr">
        <is>
          <t>2 x 5</t>
        </is>
      </c>
      <c r="E352" s="34" t="n"/>
      <c r="F352" s="34" t="n">
        <v>60</v>
      </c>
      <c r="G352" s="36">
        <f>Maxes!E5</f>
        <v/>
      </c>
      <c r="H352" s="37">
        <f>IF(OR(G352="",F352=""),"",MROUND(G352*F352/100,'Start Here'!$B$7))</f>
        <v/>
      </c>
      <c r="I352" s="34" t="n"/>
      <c r="J352" s="34" t="n"/>
      <c r="K352" s="34" t="n"/>
      <c r="L352" s="34" t="n"/>
      <c r="M352" s="34" t="n"/>
      <c r="N352" s="34" t="n"/>
      <c r="O352" s="38" t="inlineStr">
        <is>
          <t>Easy week - move fast, recover</t>
        </is>
      </c>
    </row>
    <row r="353">
      <c r="C353" t="inlineStr">
        <is>
          <t xml:space="preserve">      Set 1</t>
        </is>
      </c>
      <c r="E353" t="n">
        <v>5</v>
      </c>
      <c r="H353" s="39">
        <f>IF(H352="","",H352)</f>
        <v/>
      </c>
      <c r="I353" s="7">
        <f>IF(H352="","",H352)</f>
        <v/>
      </c>
      <c r="J353" s="7" t="n">
        <v>5</v>
      </c>
      <c r="K353" s="7" t="n"/>
      <c r="L353" s="40" t="n"/>
      <c r="M353">
        <f>IF(AND(L353&lt;&gt;"",N(I353)&gt;0,N(J353)&gt;0),IF(J353=1,I353,ROUND(I353*(1+J353/30),1)),"")</f>
        <v/>
      </c>
      <c r="N353" s="41">
        <f>IF(M353="","",IF(M353&gt;=PRs!C5,"PR!",""))</f>
        <v/>
      </c>
      <c r="O353" s="7" t="n"/>
    </row>
    <row r="354">
      <c r="C354" t="inlineStr">
        <is>
          <t xml:space="preserve">      Set 2</t>
        </is>
      </c>
      <c r="E354" t="n">
        <v>5</v>
      </c>
      <c r="H354" s="39">
        <f>IF(H352="","",H352)</f>
        <v/>
      </c>
      <c r="I354" s="7">
        <f>IF(H352="","",H352)</f>
        <v/>
      </c>
      <c r="J354" s="7" t="n">
        <v>5</v>
      </c>
      <c r="K354" s="7" t="n"/>
      <c r="L354" s="40" t="n"/>
      <c r="M354">
        <f>IF(AND(L354&lt;&gt;"",N(I354)&gt;0,N(J354)&gt;0),IF(J354=1,I354,ROUND(I354*(1+J354/30),1)),"")</f>
        <v/>
      </c>
      <c r="N354" s="41">
        <f>IF(M354="","",IF(M354&gt;=PRs!C5,"PR!",""))</f>
        <v/>
      </c>
      <c r="O354" s="7" t="n"/>
    </row>
    <row r="355">
      <c r="A355" s="34" t="n"/>
      <c r="B355" s="34" t="n"/>
      <c r="C355" s="42" t="inlineStr">
        <is>
          <t>Deadlift</t>
        </is>
      </c>
      <c r="D355" s="34" t="inlineStr">
        <is>
          <t>2 x 5</t>
        </is>
      </c>
      <c r="E355" s="34" t="n"/>
      <c r="F355" s="34" t="n">
        <v>60</v>
      </c>
      <c r="G355" s="36">
        <f>Maxes!E4</f>
        <v/>
      </c>
      <c r="H355" s="37">
        <f>IF(OR(G355="",F355=""),"",MROUND(G355*F355/100,'Start Here'!$B$7))</f>
        <v/>
      </c>
      <c r="I355" s="34" t="n"/>
      <c r="J355" s="34" t="n"/>
      <c r="K355" s="34" t="n"/>
      <c r="L355" s="34" t="n"/>
      <c r="M355" s="34" t="n"/>
      <c r="N355" s="34" t="n"/>
      <c r="O355" s="38" t="inlineStr">
        <is>
          <t>Easy week - move fast, recover</t>
        </is>
      </c>
    </row>
    <row r="356">
      <c r="C356" t="inlineStr">
        <is>
          <t xml:space="preserve">      Set 1</t>
        </is>
      </c>
      <c r="E356" t="n">
        <v>5</v>
      </c>
      <c r="H356" s="39">
        <f>IF(H355="","",H355)</f>
        <v/>
      </c>
      <c r="I356" s="7">
        <f>IF(H355="","",H355)</f>
        <v/>
      </c>
      <c r="J356" s="7" t="n">
        <v>5</v>
      </c>
      <c r="K356" s="7" t="n"/>
      <c r="L356" s="40" t="n"/>
      <c r="M356">
        <f>IF(AND(L356&lt;&gt;"",N(I356)&gt;0,N(J356)&gt;0),IF(J356=1,I356,ROUND(I356*(1+J356/30),1)),"")</f>
        <v/>
      </c>
      <c r="N356" s="41">
        <f>IF(M356="","",IF(M356&gt;=PRs!C4,"PR!",""))</f>
        <v/>
      </c>
      <c r="O356" s="7" t="n"/>
    </row>
    <row r="357">
      <c r="C357" t="inlineStr">
        <is>
          <t xml:space="preserve">      Set 2</t>
        </is>
      </c>
      <c r="E357" t="n">
        <v>5</v>
      </c>
      <c r="H357" s="39">
        <f>IF(H355="","",H355)</f>
        <v/>
      </c>
      <c r="I357" s="7">
        <f>IF(H355="","",H355)</f>
        <v/>
      </c>
      <c r="J357" s="7" t="n">
        <v>5</v>
      </c>
      <c r="K357" s="7" t="n"/>
      <c r="L357" s="40" t="n"/>
      <c r="M357">
        <f>IF(AND(L357&lt;&gt;"",N(I357)&gt;0,N(J357)&gt;0),IF(J357=1,I357,ROUND(I357*(1+J357/30),1)),"")</f>
        <v/>
      </c>
      <c r="N357" s="41">
        <f>IF(M357="","",IF(M357&gt;=PRs!C4,"PR!",""))</f>
        <v/>
      </c>
      <c r="O357" s="7" t="n"/>
    </row>
    <row r="358">
      <c r="A358" s="34" t="n"/>
      <c r="B358" s="34" t="n"/>
      <c r="C358" s="43" t="inlineStr">
        <is>
          <t>Chin-up</t>
        </is>
      </c>
      <c r="D358" s="34" t="inlineStr">
        <is>
          <t>2 x 6-10</t>
        </is>
      </c>
      <c r="E358" s="34" t="n"/>
      <c r="F358" s="34" t="n"/>
      <c r="G358" s="36" t="n"/>
      <c r="H358" s="37" t="n"/>
      <c r="I358" s="34" t="n"/>
      <c r="J358" s="34" t="n"/>
      <c r="K358" s="34" t="n"/>
      <c r="L358" s="34" t="n"/>
      <c r="M358" s="34" t="n"/>
      <c r="N358" s="34" t="n"/>
      <c r="O358" s="38" t="inlineStr">
        <is>
          <t>Easy - stop well short of failure</t>
        </is>
      </c>
    </row>
    <row r="359">
      <c r="C359" t="inlineStr">
        <is>
          <t xml:space="preserve">      Set 1</t>
        </is>
      </c>
      <c r="E359" t="n">
        <v>6</v>
      </c>
      <c r="H359" s="39">
        <f>IF(H358="","",H358)</f>
        <v/>
      </c>
      <c r="I359" s="7">
        <f>IF(H358="","",H358)</f>
        <v/>
      </c>
      <c r="J359" s="7" t="n">
        <v>6</v>
      </c>
      <c r="K359" s="7" t="n"/>
      <c r="L359" s="40" t="n"/>
      <c r="M359">
        <f>IF(AND(L359&lt;&gt;"",N(I359)&gt;0,N(J359)&gt;0),IF(J359=1,I359,ROUND(I359*(1+J359/30),1)),"")</f>
        <v/>
      </c>
      <c r="N359" s="41">
        <f>IF(M359="","",IF(M359&gt;=PRs!C53,"PR!",""))</f>
        <v/>
      </c>
      <c r="O359" s="7" t="n"/>
    </row>
    <row r="360">
      <c r="C360" t="inlineStr">
        <is>
          <t xml:space="preserve">      Set 2</t>
        </is>
      </c>
      <c r="E360" t="n">
        <v>6</v>
      </c>
      <c r="H360" s="39">
        <f>IF(H358="","",H358)</f>
        <v/>
      </c>
      <c r="I360" s="7">
        <f>IF(H358="","",H358)</f>
        <v/>
      </c>
      <c r="J360" s="7" t="n">
        <v>6</v>
      </c>
      <c r="K360" s="7" t="n"/>
      <c r="L360" s="40" t="n"/>
      <c r="M360">
        <f>IF(AND(L360&lt;&gt;"",N(I360)&gt;0,N(J360)&gt;0),IF(J360=1,I360,ROUND(I360*(1+J360/30),1)),"")</f>
        <v/>
      </c>
      <c r="N360" s="41">
        <f>IF(M360="","",IF(M360&gt;=PRs!C53,"PR!",""))</f>
        <v/>
      </c>
      <c r="O360" s="7" t="n"/>
    </row>
    <row r="361">
      <c r="A361" s="34" t="n"/>
      <c r="B361" s="34" t="n"/>
      <c r="C361" s="43" t="inlineStr">
        <is>
          <t>Plank</t>
        </is>
      </c>
      <c r="D361" s="34" t="inlineStr">
        <is>
          <t>2 x 30-60s</t>
        </is>
      </c>
      <c r="E361" s="34" t="n"/>
      <c r="F361" s="34" t="n"/>
      <c r="G361" s="36" t="n"/>
      <c r="H361" s="37" t="n"/>
      <c r="I361" s="34" t="n"/>
      <c r="J361" s="34" t="n"/>
      <c r="K361" s="34" t="n"/>
      <c r="L361" s="34" t="n"/>
      <c r="M361" s="34" t="n"/>
      <c r="N361" s="34" t="n"/>
      <c r="O361" s="38" t="inlineStr">
        <is>
          <t>Easy - stop well short of failure</t>
        </is>
      </c>
    </row>
    <row r="362">
      <c r="C362" t="inlineStr">
        <is>
          <t xml:space="preserve">      Set 1</t>
        </is>
      </c>
      <c r="E362" t="n">
        <v>30</v>
      </c>
      <c r="H362" s="39">
        <f>IF(H361="","",H361)</f>
        <v/>
      </c>
      <c r="I362" s="7">
        <f>IF(H361="","",H361)</f>
        <v/>
      </c>
      <c r="J362" s="7" t="n">
        <v>30</v>
      </c>
      <c r="K362" s="7" t="n"/>
      <c r="L362" s="40" t="n"/>
      <c r="M362">
        <f>IF(AND(L362&lt;&gt;"",N(I362)&gt;0,N(J362)&gt;0),IF(J362=1,I362,ROUND(I362*(1+J362/30),1)),"")</f>
        <v/>
      </c>
      <c r="N362" s="41">
        <f>IF(M362="","",IF(M362&gt;=PRs!C56,"PR!",""))</f>
        <v/>
      </c>
      <c r="O362" s="7" t="n"/>
    </row>
    <row r="363">
      <c r="C363" t="inlineStr">
        <is>
          <t xml:space="preserve">      Set 2</t>
        </is>
      </c>
      <c r="E363" t="n">
        <v>30</v>
      </c>
      <c r="H363" s="39">
        <f>IF(H361="","",H361)</f>
        <v/>
      </c>
      <c r="I363" s="7">
        <f>IF(H361="","",H361)</f>
        <v/>
      </c>
      <c r="J363" s="7" t="n">
        <v>30</v>
      </c>
      <c r="K363" s="7" t="n"/>
      <c r="L363" s="40" t="n"/>
      <c r="M363">
        <f>IF(AND(L363&lt;&gt;"",N(I363)&gt;0,N(J363)&gt;0),IF(J363=1,I363,ROUND(I363*(1+J363/30),1)),"")</f>
        <v/>
      </c>
      <c r="N363" s="41">
        <f>IF(M363="","",IF(M363&gt;=PRs!C56,"PR!",""))</f>
        <v/>
      </c>
      <c r="O363" s="7" t="n"/>
    </row>
    <row r="364">
      <c r="A364" s="31" t="inlineStr">
        <is>
          <t>Day 3 - Variations</t>
        </is>
      </c>
      <c r="B364" s="32">
        <f>'Start Here'!$B$8+25</f>
        <v/>
      </c>
      <c r="C364" s="33" t="n"/>
      <c r="D364" s="33" t="n"/>
      <c r="E364" s="33" t="n"/>
      <c r="F364" s="33" t="n"/>
      <c r="G364" s="33" t="n"/>
      <c r="H364" s="33" t="n"/>
      <c r="I364" s="33" t="n"/>
      <c r="J364" s="33" t="n"/>
      <c r="K364" s="33" t="n"/>
      <c r="L364" s="33" t="n"/>
      <c r="M364" s="33" t="n"/>
      <c r="N364" s="33" t="n"/>
      <c r="O364" s="33" t="n"/>
    </row>
    <row r="365">
      <c r="A365" s="34" t="n"/>
      <c r="B365" s="34" t="n"/>
      <c r="C365" s="35" t="inlineStr">
        <is>
          <t>Depth Jump</t>
        </is>
      </c>
      <c r="D365" s="34" t="inlineStr">
        <is>
          <t>2 x 3</t>
        </is>
      </c>
      <c r="E365" s="34" t="n"/>
      <c r="F365" s="34" t="n"/>
      <c r="G365" s="36" t="n"/>
      <c r="H365" s="37">
        <f>IF(N(Maxes!E72)&gt;0,Maxes!E72,"")</f>
        <v/>
      </c>
      <c r="I365" s="34" t="n"/>
      <c r="J365" s="34" t="n"/>
      <c r="K365" s="34" t="n"/>
      <c r="L365" s="34" t="n"/>
      <c r="M365" s="34" t="n"/>
      <c r="N365" s="34" t="n"/>
      <c r="O365" s="38" t="inlineStr">
        <is>
          <t>Step off a low box (12-18 in / 30-45 cm), land and rebound straight up as fast as possible. Log the drop-box height.</t>
        </is>
      </c>
    </row>
    <row r="366">
      <c r="C366" t="inlineStr">
        <is>
          <t xml:space="preserve">      Set 1</t>
        </is>
      </c>
      <c r="E366" t="n">
        <v>3</v>
      </c>
      <c r="H366" s="39">
        <f>IF(H365="","",H365)</f>
        <v/>
      </c>
      <c r="I366" s="7">
        <f>IF(H365="","",H365)</f>
        <v/>
      </c>
      <c r="J366" s="7" t="n">
        <v>3</v>
      </c>
      <c r="K366" s="7" t="n"/>
      <c r="L366" s="40" t="n"/>
      <c r="N366" s="41">
        <f>IF(AND(L366&lt;&gt;"",N(I366)&gt;0),IF(I366&gt;=PRs!D72,"PR!",""),"")</f>
        <v/>
      </c>
      <c r="O366" s="7" t="n"/>
    </row>
    <row r="367">
      <c r="C367" t="inlineStr">
        <is>
          <t xml:space="preserve">      Set 2</t>
        </is>
      </c>
      <c r="E367" t="n">
        <v>3</v>
      </c>
      <c r="H367" s="39">
        <f>IF(H365="","",H365)</f>
        <v/>
      </c>
      <c r="I367" s="7">
        <f>IF(H365="","",H365)</f>
        <v/>
      </c>
      <c r="J367" s="7" t="n">
        <v>3</v>
      </c>
      <c r="K367" s="7" t="n"/>
      <c r="L367" s="40" t="n"/>
      <c r="N367" s="41">
        <f>IF(AND(L367&lt;&gt;"",N(I367)&gt;0),IF(I367&gt;=PRs!D72,"PR!",""),"")</f>
        <v/>
      </c>
      <c r="O367" s="7" t="n"/>
    </row>
    <row r="368">
      <c r="A368" s="34" t="n"/>
      <c r="B368" s="34" t="n"/>
      <c r="C368" s="42" t="inlineStr">
        <is>
          <t>Power Snatch</t>
        </is>
      </c>
      <c r="D368" s="34" t="inlineStr">
        <is>
          <t>2 x 2</t>
        </is>
      </c>
      <c r="E368" s="34" t="n"/>
      <c r="F368" s="34" t="n">
        <v>60</v>
      </c>
      <c r="G368" s="36">
        <f>Maxes!E34</f>
        <v/>
      </c>
      <c r="H368" s="37">
        <f>IF(OR(G368="",F368=""),"",MROUND(G368*F368/100,'Start Here'!$B$7))</f>
        <v/>
      </c>
      <c r="I368" s="34" t="n"/>
      <c r="J368" s="34" t="n"/>
      <c r="K368" s="34" t="n"/>
      <c r="L368" s="34" t="n"/>
      <c r="M368" s="34" t="n"/>
      <c r="N368" s="34" t="n"/>
      <c r="O368" s="38" t="inlineStr">
        <is>
          <t>Easy week - move fast, recover</t>
        </is>
      </c>
    </row>
    <row r="369">
      <c r="C369" t="inlineStr">
        <is>
          <t xml:space="preserve">      Set 1</t>
        </is>
      </c>
      <c r="E369" t="n">
        <v>2</v>
      </c>
      <c r="H369" s="39">
        <f>IF(H368="","",H368)</f>
        <v/>
      </c>
      <c r="I369" s="7">
        <f>IF(H368="","",H368)</f>
        <v/>
      </c>
      <c r="J369" s="7" t="n">
        <v>2</v>
      </c>
      <c r="K369" s="7" t="n"/>
      <c r="L369" s="40" t="n"/>
      <c r="M369">
        <f>IF(AND(L369&lt;&gt;"",N(I369)&gt;0,N(J369)&gt;0),IF(J369=1,I369,ROUND(I369*(1+J369/30),1)),"")</f>
        <v/>
      </c>
      <c r="N369" s="41">
        <f>IF(M369="","",IF(M369&gt;=PRs!C34,"PR!",""))</f>
        <v/>
      </c>
      <c r="O369" s="7" t="n"/>
    </row>
    <row r="370">
      <c r="C370" t="inlineStr">
        <is>
          <t xml:space="preserve">      Set 2</t>
        </is>
      </c>
      <c r="E370" t="n">
        <v>2</v>
      </c>
      <c r="H370" s="39">
        <f>IF(H368="","",H368)</f>
        <v/>
      </c>
      <c r="I370" s="7">
        <f>IF(H368="","",H368)</f>
        <v/>
      </c>
      <c r="J370" s="7" t="n">
        <v>2</v>
      </c>
      <c r="K370" s="7" t="n"/>
      <c r="L370" s="40" t="n"/>
      <c r="M370">
        <f>IF(AND(L370&lt;&gt;"",N(I370)&gt;0,N(J370)&gt;0),IF(J370=1,I370,ROUND(I370*(1+J370/30),1)),"")</f>
        <v/>
      </c>
      <c r="N370" s="41">
        <f>IF(M370="","",IF(M370&gt;=PRs!C34,"PR!",""))</f>
        <v/>
      </c>
      <c r="O370" s="7" t="n"/>
    </row>
    <row r="371">
      <c r="A371" s="34" t="n"/>
      <c r="B371" s="34" t="n"/>
      <c r="C371" s="42" t="inlineStr">
        <is>
          <t>Box Squat</t>
        </is>
      </c>
      <c r="D371" s="34" t="inlineStr">
        <is>
          <t>2 x 5</t>
        </is>
      </c>
      <c r="E371" s="34" t="n"/>
      <c r="F371" s="34" t="n">
        <v>60</v>
      </c>
      <c r="G371" s="36">
        <f>Maxes!E8</f>
        <v/>
      </c>
      <c r="H371" s="37">
        <f>IF(OR(G371="",F371=""),"",MROUND(G371*F371/100,'Start Here'!$B$7))</f>
        <v/>
      </c>
      <c r="I371" s="34" t="n"/>
      <c r="J371" s="34" t="n"/>
      <c r="K371" s="34" t="n"/>
      <c r="L371" s="34" t="n"/>
      <c r="M371" s="34" t="n"/>
      <c r="N371" s="34" t="n"/>
      <c r="O371" s="38" t="inlineStr">
        <is>
          <t>Easy week - move fast, recover</t>
        </is>
      </c>
    </row>
    <row r="372">
      <c r="C372" t="inlineStr">
        <is>
          <t xml:space="preserve">      Set 1</t>
        </is>
      </c>
      <c r="E372" t="n">
        <v>5</v>
      </c>
      <c r="H372" s="39">
        <f>IF(H371="","",H371)</f>
        <v/>
      </c>
      <c r="I372" s="7">
        <f>IF(H371="","",H371)</f>
        <v/>
      </c>
      <c r="J372" s="7" t="n">
        <v>5</v>
      </c>
      <c r="K372" s="7" t="n"/>
      <c r="L372" s="40" t="n"/>
      <c r="M372">
        <f>IF(AND(L372&lt;&gt;"",N(I372)&gt;0,N(J372)&gt;0),IF(J372=1,I372,ROUND(I372*(1+J372/30),1)),"")</f>
        <v/>
      </c>
      <c r="N372" s="41">
        <f>IF(M372="","",IF(M372&gt;=PRs!C8,"PR!",""))</f>
        <v/>
      </c>
      <c r="O372" s="7" t="n"/>
    </row>
    <row r="373">
      <c r="C373" t="inlineStr">
        <is>
          <t xml:space="preserve">      Set 2</t>
        </is>
      </c>
      <c r="E373" t="n">
        <v>5</v>
      </c>
      <c r="H373" s="39">
        <f>IF(H371="","",H371)</f>
        <v/>
      </c>
      <c r="I373" s="7">
        <f>IF(H371="","",H371)</f>
        <v/>
      </c>
      <c r="J373" s="7" t="n">
        <v>5</v>
      </c>
      <c r="K373" s="7" t="n"/>
      <c r="L373" s="40" t="n"/>
      <c r="M373">
        <f>IF(AND(L373&lt;&gt;"",N(I373)&gt;0,N(J373)&gt;0),IF(J373=1,I373,ROUND(I373*(1+J373/30),1)),"")</f>
        <v/>
      </c>
      <c r="N373" s="41">
        <f>IF(M373="","",IF(M373&gt;=PRs!C8,"PR!",""))</f>
        <v/>
      </c>
      <c r="O373" s="7" t="n"/>
    </row>
    <row r="374">
      <c r="A374" s="34" t="n"/>
      <c r="B374" s="34" t="n"/>
      <c r="C374" s="42" t="inlineStr">
        <is>
          <t>Close-Grip Bench Press</t>
        </is>
      </c>
      <c r="D374" s="34" t="inlineStr">
        <is>
          <t>2 x 5</t>
        </is>
      </c>
      <c r="E374" s="34" t="n"/>
      <c r="F374" s="34" t="n">
        <v>60</v>
      </c>
      <c r="G374" s="36">
        <f>Maxes!E14</f>
        <v/>
      </c>
      <c r="H374" s="37">
        <f>IF(OR(G374="",F374=""),"",MROUND(G374*F374/100,'Start Here'!$B$7))</f>
        <v/>
      </c>
      <c r="I374" s="34" t="n"/>
      <c r="J374" s="34" t="n"/>
      <c r="K374" s="34" t="n"/>
      <c r="L374" s="34" t="n"/>
      <c r="M374" s="34" t="n"/>
      <c r="N374" s="34" t="n"/>
      <c r="O374" s="38" t="inlineStr">
        <is>
          <t>Easy week - move fast, recover</t>
        </is>
      </c>
    </row>
    <row r="375">
      <c r="C375" t="inlineStr">
        <is>
          <t xml:space="preserve">      Set 1</t>
        </is>
      </c>
      <c r="E375" t="n">
        <v>5</v>
      </c>
      <c r="H375" s="39">
        <f>IF(H374="","",H374)</f>
        <v/>
      </c>
      <c r="I375" s="7">
        <f>IF(H374="","",H374)</f>
        <v/>
      </c>
      <c r="J375" s="7" t="n">
        <v>5</v>
      </c>
      <c r="K375" s="7" t="n"/>
      <c r="L375" s="40" t="n"/>
      <c r="M375">
        <f>IF(AND(L375&lt;&gt;"",N(I375)&gt;0,N(J375)&gt;0),IF(J375=1,I375,ROUND(I375*(1+J375/30),1)),"")</f>
        <v/>
      </c>
      <c r="N375" s="41">
        <f>IF(M375="","",IF(M375&gt;=PRs!C14,"PR!",""))</f>
        <v/>
      </c>
      <c r="O375" s="7" t="n"/>
    </row>
    <row r="376">
      <c r="C376" t="inlineStr">
        <is>
          <t xml:space="preserve">      Set 2</t>
        </is>
      </c>
      <c r="E376" t="n">
        <v>5</v>
      </c>
      <c r="H376" s="39">
        <f>IF(H374="","",H374)</f>
        <v/>
      </c>
      <c r="I376" s="7">
        <f>IF(H374="","",H374)</f>
        <v/>
      </c>
      <c r="J376" s="7" t="n">
        <v>5</v>
      </c>
      <c r="K376" s="7" t="n"/>
      <c r="L376" s="40" t="n"/>
      <c r="M376">
        <f>IF(AND(L376&lt;&gt;"",N(I376)&gt;0,N(J376)&gt;0),IF(J376=1,I376,ROUND(I376*(1+J376/30),1)),"")</f>
        <v/>
      </c>
      <c r="N376" s="41">
        <f>IF(M376="","",IF(M376&gt;=PRs!C14,"PR!",""))</f>
        <v/>
      </c>
      <c r="O376" s="7" t="n"/>
    </row>
    <row r="377">
      <c r="A377" s="34" t="n"/>
      <c r="B377" s="34" t="n"/>
      <c r="C377" s="42" t="inlineStr">
        <is>
          <t>Romanian Deadlift</t>
        </is>
      </c>
      <c r="D377" s="34" t="inlineStr">
        <is>
          <t>2 x 5</t>
        </is>
      </c>
      <c r="E377" s="34" t="n"/>
      <c r="F377" s="34" t="n">
        <v>60</v>
      </c>
      <c r="G377" s="36">
        <f>Maxes!E23</f>
        <v/>
      </c>
      <c r="H377" s="37">
        <f>IF(OR(G377="",F377=""),"",MROUND(G377*F377/100,'Start Here'!$B$7))</f>
        <v/>
      </c>
      <c r="I377" s="34" t="n"/>
      <c r="J377" s="34" t="n"/>
      <c r="K377" s="34" t="n"/>
      <c r="L377" s="34" t="n"/>
      <c r="M377" s="34" t="n"/>
      <c r="N377" s="34" t="n"/>
      <c r="O377" s="38" t="inlineStr">
        <is>
          <t>Easy week - move fast, recover</t>
        </is>
      </c>
    </row>
    <row r="378">
      <c r="C378" t="inlineStr">
        <is>
          <t xml:space="preserve">      Set 1</t>
        </is>
      </c>
      <c r="E378" t="n">
        <v>5</v>
      </c>
      <c r="H378" s="39">
        <f>IF(H377="","",H377)</f>
        <v/>
      </c>
      <c r="I378" s="7">
        <f>IF(H377="","",H377)</f>
        <v/>
      </c>
      <c r="J378" s="7" t="n">
        <v>5</v>
      </c>
      <c r="K378" s="7" t="n"/>
      <c r="L378" s="40" t="n"/>
      <c r="M378">
        <f>IF(AND(L378&lt;&gt;"",N(I378)&gt;0,N(J378)&gt;0),IF(J378=1,I378,ROUND(I378*(1+J378/30),1)),"")</f>
        <v/>
      </c>
      <c r="N378" s="41">
        <f>IF(M378="","",IF(M378&gt;=PRs!C23,"PR!",""))</f>
        <v/>
      </c>
      <c r="O378" s="7" t="n"/>
    </row>
    <row r="379">
      <c r="C379" t="inlineStr">
        <is>
          <t xml:space="preserve">      Set 2</t>
        </is>
      </c>
      <c r="E379" t="n">
        <v>5</v>
      </c>
      <c r="H379" s="39">
        <f>IF(H377="","",H377)</f>
        <v/>
      </c>
      <c r="I379" s="7">
        <f>IF(H377="","",H377)</f>
        <v/>
      </c>
      <c r="J379" s="7" t="n">
        <v>5</v>
      </c>
      <c r="K379" s="7" t="n"/>
      <c r="L379" s="40" t="n"/>
      <c r="M379">
        <f>IF(AND(L379&lt;&gt;"",N(I379)&gt;0,N(J379)&gt;0),IF(J379=1,I379,ROUND(I379*(1+J379/30),1)),"")</f>
        <v/>
      </c>
      <c r="N379" s="41">
        <f>IF(M379="","",IF(M379&gt;=PRs!C23,"PR!",""))</f>
        <v/>
      </c>
      <c r="O379" s="7" t="n"/>
    </row>
    <row r="380">
      <c r="A380" s="34" t="n"/>
      <c r="B380" s="34" t="n"/>
      <c r="C380" s="43" t="inlineStr">
        <is>
          <t>Incline Dumbbell Press</t>
        </is>
      </c>
      <c r="D380" s="34" t="inlineStr">
        <is>
          <t>2 x 8-12</t>
        </is>
      </c>
      <c r="E380" s="34" t="n"/>
      <c r="F380" s="34" t="n"/>
      <c r="G380" s="36" t="n"/>
      <c r="H380" s="37" t="n"/>
      <c r="I380" s="34" t="n"/>
      <c r="J380" s="34" t="n"/>
      <c r="K380" s="34" t="n"/>
      <c r="L380" s="34" t="n"/>
      <c r="M380" s="34" t="n"/>
      <c r="N380" s="34" t="n"/>
      <c r="O380" s="38" t="inlineStr">
        <is>
          <t>Easy - stop well short of failure</t>
        </is>
      </c>
    </row>
    <row r="381">
      <c r="C381" t="inlineStr">
        <is>
          <t xml:space="preserve">      Set 1</t>
        </is>
      </c>
      <c r="E381" t="n">
        <v>8</v>
      </c>
      <c r="H381" s="39">
        <f>IF(H380="","",H380)</f>
        <v/>
      </c>
      <c r="I381" s="7">
        <f>IF(H380="","",H380)</f>
        <v/>
      </c>
      <c r="J381" s="7" t="n">
        <v>8</v>
      </c>
      <c r="K381" s="7" t="n"/>
      <c r="L381" s="40" t="n"/>
      <c r="M381">
        <f>IF(AND(L381&lt;&gt;"",N(I381)&gt;0,N(J381)&gt;0),IF(J381=1,I381,ROUND(I381*(1+J381/30),1)),"")</f>
        <v/>
      </c>
      <c r="N381" s="41">
        <f>IF(M381="","",IF(M381&gt;=PRs!C57,"PR!",""))</f>
        <v/>
      </c>
      <c r="O381" s="7" t="n"/>
    </row>
    <row r="382">
      <c r="C382" t="inlineStr">
        <is>
          <t xml:space="preserve">      Set 2</t>
        </is>
      </c>
      <c r="E382" t="n">
        <v>8</v>
      </c>
      <c r="H382" s="39">
        <f>IF(H380="","",H380)</f>
        <v/>
      </c>
      <c r="I382" s="7">
        <f>IF(H380="","",H380)</f>
        <v/>
      </c>
      <c r="J382" s="7" t="n">
        <v>8</v>
      </c>
      <c r="K382" s="7" t="n"/>
      <c r="L382" s="40" t="n"/>
      <c r="M382">
        <f>IF(AND(L382&lt;&gt;"",N(I382)&gt;0,N(J382)&gt;0),IF(J382=1,I382,ROUND(I382*(1+J382/30),1)),"")</f>
        <v/>
      </c>
      <c r="N382" s="41">
        <f>IF(M382="","",IF(M382&gt;=PRs!C57,"PR!",""))</f>
        <v/>
      </c>
      <c r="O382" s="7" t="n"/>
    </row>
    <row r="383">
      <c r="A383" s="34" t="n"/>
      <c r="B383" s="34" t="n"/>
      <c r="C383" s="43" t="inlineStr">
        <is>
          <t>Triceps Pushdown</t>
        </is>
      </c>
      <c r="D383" s="34" t="inlineStr">
        <is>
          <t>2 x 10-15</t>
        </is>
      </c>
      <c r="E383" s="34" t="n"/>
      <c r="F383" s="34" t="n"/>
      <c r="G383" s="36" t="n"/>
      <c r="H383" s="37" t="n"/>
      <c r="I383" s="34" t="n"/>
      <c r="J383" s="34" t="n"/>
      <c r="K383" s="34" t="n"/>
      <c r="L383" s="34" t="n"/>
      <c r="M383" s="34" t="n"/>
      <c r="N383" s="34" t="n"/>
      <c r="O383" s="38" t="inlineStr">
        <is>
          <t>Easy - stop well short of failure</t>
        </is>
      </c>
    </row>
    <row r="384">
      <c r="C384" t="inlineStr">
        <is>
          <t xml:space="preserve">      Set 1</t>
        </is>
      </c>
      <c r="E384" t="n">
        <v>10</v>
      </c>
      <c r="H384" s="39">
        <f>IF(H383="","",H383)</f>
        <v/>
      </c>
      <c r="I384" s="7">
        <f>IF(H383="","",H383)</f>
        <v/>
      </c>
      <c r="J384" s="7" t="n">
        <v>10</v>
      </c>
      <c r="K384" s="7" t="n"/>
      <c r="L384" s="40" t="n"/>
      <c r="M384">
        <f>IF(AND(L384&lt;&gt;"",N(I384)&gt;0,N(J384)&gt;0),IF(J384=1,I384,ROUND(I384*(1+J384/30),1)),"")</f>
        <v/>
      </c>
      <c r="N384" s="41">
        <f>IF(M384="","",IF(M384&gt;=PRs!C59,"PR!",""))</f>
        <v/>
      </c>
      <c r="O384" s="7" t="n"/>
    </row>
    <row r="385">
      <c r="C385" t="inlineStr">
        <is>
          <t xml:space="preserve">      Set 2</t>
        </is>
      </c>
      <c r="E385" t="n">
        <v>10</v>
      </c>
      <c r="H385" s="39">
        <f>IF(H383="","",H383)</f>
        <v/>
      </c>
      <c r="I385" s="7">
        <f>IF(H383="","",H383)</f>
        <v/>
      </c>
      <c r="J385" s="7" t="n">
        <v>10</v>
      </c>
      <c r="K385" s="7" t="n"/>
      <c r="L385" s="40" t="n"/>
      <c r="M385">
        <f>IF(AND(L385&lt;&gt;"",N(I385)&gt;0,N(J385)&gt;0),IF(J385=1,I385,ROUND(I385*(1+J385/30),1)),"")</f>
        <v/>
      </c>
      <c r="N385" s="41">
        <f>IF(M385="","",IF(M385&gt;=PRs!C59,"PR!",""))</f>
        <v/>
      </c>
      <c r="O385" s="7" t="n"/>
    </row>
  </sheetData>
  <dataValidations count="3">
    <dataValidation sqref="H3" showDropDown="0" showInputMessage="0" showErrorMessage="0" allowBlank="1" type="list">
      <formula1>Lists!$B$1:$B$6</formula1>
    </dataValidation>
    <dataValidation sqref="L9 L10 L11 L12 L14 L15 L16 L17 L19 L20 L21 L23 L24 L25 L27 L28 L29 L30 L32 L33 L34 L35 L38 L39 L40 L41 L43 L44 L45 L47 L48 L49 L50 L52 L53 L54 L56 L57 L58 L59 L61 L62 L63 L65 L66 L67 L68 L70 L71 L72 L73 L76 L77 L78 L79 L81 L82 L83 L84 L85 L86 L88 L89 L90 L91 L93 L94 L95 L96 L98 L99 L100 L102 L103 L104 L105 L107 L108 L109 L110 L115 L116 L117 L118 L120 L121 L122 L123 L125 L126 L127 L129 L130 L131 L133 L134 L135 L136 L138 L139 L140 L141 L144 L145 L146 L147 L149 L150 L151 L153 L154 L155 L156 L158 L159 L160 L162 L163 L164 L165 L167 L168 L169 L171 L172 L173 L174 L176 L177 L178 L179 L182 L183 L184 L185 L187 L188 L189 L190 L191 L192 L194 L195 L196 L197 L199 L200 L201 L202 L204 L205 L206 L208 L209 L210 L211 L213 L214 L215 L216 L221 L222 L223 L224 L226 L227 L228 L229 L231 L232 L233 L235 L236 L237 L239 L240 L241 L242 L244 L245 L246 L247 L250 L251 L252 L253 L255 L256 L257 L259 L260 L261 L262 L264 L265 L266 L268 L269 L270 L272 L273 L274 L276 L277 L278 L279 L281 L282 L283 L284 L287 L288 L289 L290 L292 L293 L294 L295 L297 L298 L299 L301 L302 L303 L305 L306 L307 L309 L310 L311 L312 L314 L315 L316 L317 L322 L323 L325 L326 L328 L329 L331 L332 L334 L335 L337 L338 L341 L342 L344 L345 L347 L348 L350 L351 L353 L354 L356 L357 L359 L360 L362 L363 L366 L367 L369 L370 L372 L373 L375 L376 L378 L379 L381 L382 L384 L385" showDropDown="0" showInputMessage="0" showErrorMessage="0" allowBlank="1" type="list">
      <formula1>"✓"</formula1>
    </dataValidation>
    <dataValidation sqref="K9 K10 K11 K12 K14 K15 K16 K17 K19 K20 K21 K23 K24 K25 K27 K28 K29 K30 K32 K33 K34 K35 K38 K39 K40 K41 K43 K44 K45 K47 K48 K49 K50 K52 K53 K54 K56 K57 K58 K59 K61 K62 K63 K65 K66 K67 K68 K70 K71 K72 K73 K76 K77 K78 K79 K81 K82 K83 K84 K85 K86 K88 K89 K90 K91 K93 K94 K95 K96 K98 K99 K100 K102 K103 K104 K105 K107 K108 K109 K110 K115 K116 K117 K118 K120 K121 K122 K123 K125 K126 K127 K129 K130 K131 K133 K134 K135 K136 K138 K139 K140 K141 K144 K145 K146 K147 K149 K150 K151 K153 K154 K155 K156 K158 K159 K160 K162 K163 K164 K165 K167 K168 K169 K171 K172 K173 K174 K176 K177 K178 K179 K182 K183 K184 K185 K187 K188 K189 K190 K191 K192 K194 K195 K196 K197 K199 K200 K201 K202 K204 K205 K206 K208 K209 K210 K211 K213 K214 K215 K216 K221 K222 K223 K224 K226 K227 K228 K229 K231 K232 K233 K235 K236 K237 K239 K240 K241 K242 K244 K245 K246 K247 K250 K251 K252 K253 K255 K256 K257 K259 K260 K261 K262 K264 K265 K266 K268 K269 K270 K272 K273 K274 K276 K277 K278 K279 K281 K282 K283 K284 K287 K288 K289 K290 K292 K293 K294 K295 K297 K298 K299 K301 K302 K303 K305 K306 K307 K309 K310 K311 K312 K314 K315 K316 K317 K322 K323 K325 K326 K328 K329 K331 K332 K334 K335 K337 K338 K341 K342 K344 K345 K347 K348 K350 K351 K353 K354 K356 K357 K359 K360 K362 K363 K366 K367 K369 K370 K372 K373 K375 K376 K378 K379 K381 K382 K384 K385" showDropDown="0" showInputMessage="0" showErrorMessage="0" allowBlank="1" type="list">
      <formula1>"6,6.5,7,7.5,8,8.5,9,9.5,10"</formula1>
    </dataValidation>
  </dataValidations>
  <hyperlinks>
    <hyperlink ref="A2" location="'Baseline'!A1" display="&lt; Baseline"/>
    <hyperlink ref="C2" location="'Start Here'!A1" display="Start Here"/>
    <hyperlink ref="E2" location="'Month 02'!A1" display="Month 02 &gt;"/>
    <hyperlink ref="L3" location="'Body'!A1" display="How to test"/>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E6E2DA"/>
    <outlinePr summaryBelow="1" summaryRight="1"/>
    <pageSetUpPr fitToPage="1"/>
  </sheetPr>
  <dimension ref="A1:O36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26" customWidth="1" min="3" max="3"/>
    <col width="10" customWidth="1" min="4" max="4"/>
    <col width="7" customWidth="1" min="5" max="5"/>
    <col width="6" customWidth="1" min="6" max="6"/>
    <col width="9" customWidth="1" min="7" max="7"/>
    <col width="9" customWidth="1" min="8" max="8"/>
    <col width="12" customWidth="1" min="9" max="9"/>
    <col width="8" customWidth="1" min="10" max="10"/>
    <col width="6" customWidth="1" min="11" max="11"/>
    <col width="6" customWidth="1" min="12" max="12"/>
    <col width="9" customWidth="1" min="13" max="13"/>
    <col width="5" customWidth="1" min="14" max="14"/>
    <col width="60" customWidth="1" min="15" max="15"/>
  </cols>
  <sheetData>
    <row r="1">
      <c r="A1" s="25" t="inlineStr">
        <is>
          <t>MONTH 02  -  weeks 5-8  -  Cycle 1</t>
        </is>
      </c>
    </row>
    <row r="2">
      <c r="A2" s="26" t="inlineStr">
        <is>
          <t>&lt; Month 01</t>
        </is>
      </c>
      <c r="C2" s="26" t="inlineStr">
        <is>
          <t>Start Here</t>
        </is>
      </c>
      <c r="E2" s="26" t="inlineStr">
        <is>
          <t>Month 03 &gt;</t>
        </is>
      </c>
    </row>
    <row r="3">
      <c r="A3" s="41" t="inlineStr">
        <is>
          <t>BODY FAT (once this month)</t>
        </is>
      </c>
      <c r="C3" s="44" t="inlineStr">
        <is>
          <t>Date</t>
        </is>
      </c>
      <c r="D3" s="12" t="n"/>
      <c r="E3" s="44" t="inlineStr">
        <is>
          <t>Body fat %</t>
        </is>
      </c>
      <c r="F3" s="7" t="n"/>
      <c r="G3" s="44" t="inlineStr">
        <is>
          <t>Method</t>
        </is>
      </c>
      <c r="H3" s="7" t="n"/>
      <c r="I3" s="44" t="inlineStr">
        <is>
          <t>Weight at test</t>
        </is>
      </c>
      <c r="J3" s="7" t="n"/>
      <c r="L3" s="26" t="inlineStr">
        <is>
          <t>How to test</t>
        </is>
      </c>
    </row>
    <row r="4">
      <c r="A4" s="27" t="inlineStr">
        <is>
          <t>Every set is filled in with the plan. Change what was different, mark Done. Enter bodyweight once per week on the purple week rows.</t>
        </is>
      </c>
    </row>
    <row r="5">
      <c r="A5" s="8" t="inlineStr">
        <is>
          <t>Day</t>
        </is>
      </c>
      <c r="B5" s="8" t="inlineStr">
        <is>
          <t>Date</t>
        </is>
      </c>
      <c r="C5" s="8" t="inlineStr">
        <is>
          <t>Exercise / set</t>
        </is>
      </c>
      <c r="D5" s="8" t="inlineStr">
        <is>
          <t>Scheme</t>
        </is>
      </c>
      <c r="E5" s="8" t="inlineStr">
        <is>
          <t>Target reps</t>
        </is>
      </c>
      <c r="F5" s="8" t="inlineStr">
        <is>
          <t>% TM</t>
        </is>
      </c>
      <c r="G5" s="8" t="inlineStr">
        <is>
          <t>Training max</t>
        </is>
      </c>
      <c r="H5" s="8" t="inlineStr">
        <is>
          <t>Target</t>
        </is>
      </c>
      <c r="I5" s="8" t="inlineStr">
        <is>
          <t>Actual weight / height</t>
        </is>
      </c>
      <c r="J5" s="8" t="inlineStr">
        <is>
          <t>Actual reps</t>
        </is>
      </c>
      <c r="K5" s="8" t="inlineStr">
        <is>
          <t>RPE</t>
        </is>
      </c>
      <c r="L5" s="8" t="inlineStr">
        <is>
          <t>Done</t>
        </is>
      </c>
      <c r="M5" s="8" t="inlineStr">
        <is>
          <t>Est. 1RM</t>
        </is>
      </c>
      <c r="N5" s="8" t="inlineStr">
        <is>
          <t>PR</t>
        </is>
      </c>
      <c r="O5" s="8" t="inlineStr">
        <is>
          <t>Notes / guidance</t>
        </is>
      </c>
    </row>
    <row r="6">
      <c r="A6" s="51" t="inlineStr">
        <is>
          <t>WEEK 5 - CYCLE 1 - TRANSMUTATION</t>
        </is>
      </c>
      <c r="B6" s="52" t="n"/>
      <c r="C6" s="52" t="n"/>
      <c r="D6" s="52" t="n"/>
      <c r="E6" s="52" t="n"/>
      <c r="F6" s="52" t="n"/>
      <c r="G6" s="52" t="n"/>
      <c r="H6" s="53" t="inlineStr">
        <is>
          <t>Bodyweight:</t>
        </is>
      </c>
      <c r="I6" s="7" t="n"/>
      <c r="J6" s="52" t="n"/>
      <c r="K6" s="52" t="n"/>
      <c r="L6" s="52" t="n"/>
      <c r="M6" s="52" t="n"/>
      <c r="N6" s="52" t="n"/>
      <c r="O6" s="52" t="n"/>
    </row>
    <row r="7">
      <c r="A7" s="31" t="inlineStr">
        <is>
          <t>Day 1 - Heavy</t>
        </is>
      </c>
      <c r="B7" s="32">
        <f>'Start Here'!$B$8+28</f>
        <v/>
      </c>
      <c r="C7" s="33" t="n"/>
      <c r="D7" s="33" t="n"/>
      <c r="E7" s="33" t="n"/>
      <c r="F7" s="33" t="n"/>
      <c r="G7" s="33" t="n"/>
      <c r="H7" s="33" t="n"/>
      <c r="I7" s="33" t="n"/>
      <c r="J7" s="33" t="n"/>
      <c r="K7" s="33" t="n"/>
      <c r="L7" s="33" t="n"/>
      <c r="M7" s="33" t="n"/>
      <c r="N7" s="33" t="n"/>
      <c r="O7" s="33" t="n"/>
    </row>
    <row r="8">
      <c r="A8" s="34" t="n"/>
      <c r="B8" s="34" t="n"/>
      <c r="C8" s="35" t="inlineStr">
        <is>
          <t>Box Jump</t>
        </is>
      </c>
      <c r="D8" s="34" t="inlineStr">
        <is>
          <t>4 x 3</t>
        </is>
      </c>
      <c r="E8" s="34" t="n"/>
      <c r="F8" s="34" t="n"/>
      <c r="G8" s="36" t="n"/>
      <c r="H8" s="37">
        <f>IF(N(Maxes!E69)&gt;0,Maxes!E69,'Start Here'!$G$16)</f>
        <v/>
      </c>
      <c r="I8" s="34" t="n"/>
      <c r="J8" s="34" t="n"/>
      <c r="K8" s="34" t="n"/>
      <c r="L8" s="34" t="n"/>
      <c r="M8" s="34" t="n"/>
      <c r="N8" s="34" t="n"/>
      <c r="O8" s="38" t="inlineStr">
        <is>
          <t>Two-foot jump onto a box, land soft in a quarter squat, STEP down. Log the box height (floor to top of box).</t>
        </is>
      </c>
    </row>
    <row r="9">
      <c r="C9" t="inlineStr">
        <is>
          <t xml:space="preserve">      Set 1</t>
        </is>
      </c>
      <c r="E9" t="n">
        <v>3</v>
      </c>
      <c r="H9" s="39">
        <f>IF(H8="","",H8)</f>
        <v/>
      </c>
      <c r="I9" s="7">
        <f>IF(H8="","",H8)</f>
        <v/>
      </c>
      <c r="J9" s="7" t="n">
        <v>3</v>
      </c>
      <c r="K9" s="7" t="n"/>
      <c r="L9" s="40" t="n"/>
      <c r="N9" s="41">
        <f>IF(AND(L9&lt;&gt;"",N(I9)&gt;0),IF(I9&gt;=PRs!D69,"PR!",""),"")</f>
        <v/>
      </c>
      <c r="O9" s="7" t="n"/>
    </row>
    <row r="10">
      <c r="C10" t="inlineStr">
        <is>
          <t xml:space="preserve">      Set 2</t>
        </is>
      </c>
      <c r="E10" t="n">
        <v>3</v>
      </c>
      <c r="H10" s="39">
        <f>IF(H8="","",H8)</f>
        <v/>
      </c>
      <c r="I10" s="7">
        <f>IF(H8="","",H8)</f>
        <v/>
      </c>
      <c r="J10" s="7" t="n">
        <v>3</v>
      </c>
      <c r="K10" s="7" t="n"/>
      <c r="L10" s="40" t="n"/>
      <c r="N10" s="41">
        <f>IF(AND(L10&lt;&gt;"",N(I10)&gt;0),IF(I10&gt;=PRs!D69,"PR!",""),"")</f>
        <v/>
      </c>
      <c r="O10" s="7" t="n"/>
    </row>
    <row r="11">
      <c r="C11" t="inlineStr">
        <is>
          <t xml:space="preserve">      Set 3</t>
        </is>
      </c>
      <c r="E11" t="n">
        <v>3</v>
      </c>
      <c r="H11" s="39">
        <f>IF(H8="","",H8)</f>
        <v/>
      </c>
      <c r="I11" s="7">
        <f>IF(H8="","",H8)</f>
        <v/>
      </c>
      <c r="J11" s="7" t="n">
        <v>3</v>
      </c>
      <c r="K11" s="7" t="n"/>
      <c r="L11" s="40" t="n"/>
      <c r="N11" s="41">
        <f>IF(AND(L11&lt;&gt;"",N(I11)&gt;0),IF(I11&gt;=PRs!D69,"PR!",""),"")</f>
        <v/>
      </c>
      <c r="O11" s="7" t="n"/>
    </row>
    <row r="12">
      <c r="C12" t="inlineStr">
        <is>
          <t xml:space="preserve">      Set 4</t>
        </is>
      </c>
      <c r="E12" t="n">
        <v>3</v>
      </c>
      <c r="H12" s="39">
        <f>IF(H8="","",H8)</f>
        <v/>
      </c>
      <c r="I12" s="7">
        <f>IF(H8="","",H8)</f>
        <v/>
      </c>
      <c r="J12" s="7" t="n">
        <v>3</v>
      </c>
      <c r="K12" s="7" t="n"/>
      <c r="L12" s="40" t="n"/>
      <c r="N12" s="41">
        <f>IF(AND(L12&lt;&gt;"",N(I12)&gt;0),IF(I12&gt;=PRs!D69,"PR!",""),"")</f>
        <v/>
      </c>
      <c r="O12" s="7" t="n"/>
    </row>
    <row r="13">
      <c r="A13" s="34" t="n"/>
      <c r="B13" s="34" t="n"/>
      <c r="C13" s="42" t="inlineStr">
        <is>
          <t>Snatch</t>
        </is>
      </c>
      <c r="D13" s="34" t="inlineStr">
        <is>
          <t>4 x 3</t>
        </is>
      </c>
      <c r="E13" s="34" t="n"/>
      <c r="F13" s="34" t="n">
        <v>77.5</v>
      </c>
      <c r="G13" s="36">
        <f>Maxes!E6</f>
        <v/>
      </c>
      <c r="H13" s="37">
        <f>IF(OR(G13="",F13=""),"",MROUND(G13*F13/100,'Start Here'!$B$7))</f>
        <v/>
      </c>
      <c r="I13" s="34" t="n"/>
      <c r="J13" s="34" t="n"/>
      <c r="K13" s="34" t="n"/>
      <c r="L13" s="34" t="n"/>
      <c r="M13" s="34" t="n"/>
      <c r="N13" s="34" t="n"/>
      <c r="O13" s="38" t="inlineStr"/>
    </row>
    <row r="14">
      <c r="C14" t="inlineStr">
        <is>
          <t xml:space="preserve">      Set 1</t>
        </is>
      </c>
      <c r="E14" t="n">
        <v>3</v>
      </c>
      <c r="H14" s="39">
        <f>IF(H13="","",H13)</f>
        <v/>
      </c>
      <c r="I14" s="7">
        <f>IF(H13="","",H13)</f>
        <v/>
      </c>
      <c r="J14" s="7" t="n">
        <v>3</v>
      </c>
      <c r="K14" s="7" t="n"/>
      <c r="L14" s="40" t="n"/>
      <c r="M14">
        <f>IF(AND(L14&lt;&gt;"",N(I14)&gt;0,N(J14)&gt;0),IF(J14=1,I14,ROUND(I14*(1+J14/30),1)),"")</f>
        <v/>
      </c>
      <c r="N14" s="41">
        <f>IF(M14="","",IF(M14&gt;=PRs!C6,"PR!",""))</f>
        <v/>
      </c>
      <c r="O14" s="7" t="n"/>
    </row>
    <row r="15">
      <c r="C15" t="inlineStr">
        <is>
          <t xml:space="preserve">      Set 2</t>
        </is>
      </c>
      <c r="E15" t="n">
        <v>3</v>
      </c>
      <c r="H15" s="39">
        <f>IF(H13="","",H13)</f>
        <v/>
      </c>
      <c r="I15" s="7">
        <f>IF(H13="","",H13)</f>
        <v/>
      </c>
      <c r="J15" s="7" t="n">
        <v>3</v>
      </c>
      <c r="K15" s="7" t="n"/>
      <c r="L15" s="40" t="n"/>
      <c r="M15">
        <f>IF(AND(L15&lt;&gt;"",N(I15)&gt;0,N(J15)&gt;0),IF(J15=1,I15,ROUND(I15*(1+J15/30),1)),"")</f>
        <v/>
      </c>
      <c r="N15" s="41">
        <f>IF(M15="","",IF(M15&gt;=PRs!C6,"PR!",""))</f>
        <v/>
      </c>
      <c r="O15" s="7" t="n"/>
    </row>
    <row r="16">
      <c r="C16" t="inlineStr">
        <is>
          <t xml:space="preserve">      Set 3</t>
        </is>
      </c>
      <c r="E16" t="n">
        <v>3</v>
      </c>
      <c r="H16" s="39">
        <f>IF(H13="","",H13)</f>
        <v/>
      </c>
      <c r="I16" s="7">
        <f>IF(H13="","",H13)</f>
        <v/>
      </c>
      <c r="J16" s="7" t="n">
        <v>3</v>
      </c>
      <c r="K16" s="7" t="n"/>
      <c r="L16" s="40" t="n"/>
      <c r="M16">
        <f>IF(AND(L16&lt;&gt;"",N(I16)&gt;0,N(J16)&gt;0),IF(J16=1,I16,ROUND(I16*(1+J16/30),1)),"")</f>
        <v/>
      </c>
      <c r="N16" s="41">
        <f>IF(M16="","",IF(M16&gt;=PRs!C6,"PR!",""))</f>
        <v/>
      </c>
      <c r="O16" s="7" t="n"/>
    </row>
    <row r="17">
      <c r="C17" t="inlineStr">
        <is>
          <t xml:space="preserve">      Set 4</t>
        </is>
      </c>
      <c r="E17" t="n">
        <v>3</v>
      </c>
      <c r="H17" s="39">
        <f>IF(H13="","",H13)</f>
        <v/>
      </c>
      <c r="I17" s="7">
        <f>IF(H13="","",H13)</f>
        <v/>
      </c>
      <c r="J17" s="7" t="n">
        <v>3</v>
      </c>
      <c r="K17" s="7" t="n"/>
      <c r="L17" s="40" t="n"/>
      <c r="M17">
        <f>IF(AND(L17&lt;&gt;"",N(I17)&gt;0,N(J17)&gt;0),IF(J17=1,I17,ROUND(I17*(1+J17/30),1)),"")</f>
        <v/>
      </c>
      <c r="N17" s="41">
        <f>IF(M17="","",IF(M17&gt;=PRs!C6,"PR!",""))</f>
        <v/>
      </c>
      <c r="O17" s="7" t="n"/>
    </row>
    <row r="18">
      <c r="A18" s="34" t="n"/>
      <c r="B18" s="34" t="n"/>
      <c r="C18" s="42" t="inlineStr">
        <is>
          <t>Squat</t>
        </is>
      </c>
      <c r="D18" s="34" t="inlineStr">
        <is>
          <t>3 x 6</t>
        </is>
      </c>
      <c r="E18" s="34" t="n"/>
      <c r="F18" s="34" t="n">
        <v>77.5</v>
      </c>
      <c r="G18" s="36">
        <f>Maxes!E2</f>
        <v/>
      </c>
      <c r="H18" s="37">
        <f>IF(OR(G18="",F18=""),"",MROUND(G18*F18/100,'Start Here'!$B$7))</f>
        <v/>
      </c>
      <c r="I18" s="34" t="n"/>
      <c r="J18" s="34" t="n"/>
      <c r="K18" s="34" t="n"/>
      <c r="L18" s="34" t="n"/>
      <c r="M18" s="34" t="n"/>
      <c r="N18" s="34" t="n"/>
      <c r="O18" s="38" t="inlineStr"/>
    </row>
    <row r="19">
      <c r="C19" t="inlineStr">
        <is>
          <t xml:space="preserve">      Set 1</t>
        </is>
      </c>
      <c r="E19" t="n">
        <v>6</v>
      </c>
      <c r="H19" s="39">
        <f>IF(H18="","",H18)</f>
        <v/>
      </c>
      <c r="I19" s="7">
        <f>IF(H18="","",H18)</f>
        <v/>
      </c>
      <c r="J19" s="7" t="n">
        <v>6</v>
      </c>
      <c r="K19" s="7" t="n"/>
      <c r="L19" s="40" t="n"/>
      <c r="M19">
        <f>IF(AND(L19&lt;&gt;"",N(I19)&gt;0,N(J19)&gt;0),IF(J19=1,I19,ROUND(I19*(1+J19/30),1)),"")</f>
        <v/>
      </c>
      <c r="N19" s="41">
        <f>IF(M19="","",IF(M19&gt;=PRs!C2,"PR!",""))</f>
        <v/>
      </c>
      <c r="O19" s="7" t="n"/>
    </row>
    <row r="20">
      <c r="C20" t="inlineStr">
        <is>
          <t xml:space="preserve">      Set 2</t>
        </is>
      </c>
      <c r="E20" t="n">
        <v>6</v>
      </c>
      <c r="H20" s="39">
        <f>IF(H18="","",H18)</f>
        <v/>
      </c>
      <c r="I20" s="7">
        <f>IF(H18="","",H18)</f>
        <v/>
      </c>
      <c r="J20" s="7" t="n">
        <v>6</v>
      </c>
      <c r="K20" s="7" t="n"/>
      <c r="L20" s="40" t="n"/>
      <c r="M20">
        <f>IF(AND(L20&lt;&gt;"",N(I20)&gt;0,N(J20)&gt;0),IF(J20=1,I20,ROUND(I20*(1+J20/30),1)),"")</f>
        <v/>
      </c>
      <c r="N20" s="41">
        <f>IF(M20="","",IF(M20&gt;=PRs!C2,"PR!",""))</f>
        <v/>
      </c>
      <c r="O20" s="7" t="n"/>
    </row>
    <row r="21">
      <c r="C21" t="inlineStr">
        <is>
          <t xml:space="preserve">      Set 3</t>
        </is>
      </c>
      <c r="E21" t="n">
        <v>6</v>
      </c>
      <c r="H21" s="39">
        <f>IF(H18="","",H18)</f>
        <v/>
      </c>
      <c r="I21" s="7">
        <f>IF(H18="","",H18)</f>
        <v/>
      </c>
      <c r="J21" s="7" t="n">
        <v>6</v>
      </c>
      <c r="K21" s="7" t="n"/>
      <c r="L21" s="40" t="n"/>
      <c r="M21">
        <f>IF(AND(L21&lt;&gt;"",N(I21)&gt;0,N(J21)&gt;0),IF(J21=1,I21,ROUND(I21*(1+J21/30),1)),"")</f>
        <v/>
      </c>
      <c r="N21" s="41">
        <f>IF(M21="","",IF(M21&gt;=PRs!C2,"PR!",""))</f>
        <v/>
      </c>
      <c r="O21" s="7" t="n"/>
    </row>
    <row r="22">
      <c r="A22" s="34" t="n"/>
      <c r="B22" s="34" t="n"/>
      <c r="C22" s="42" t="inlineStr">
        <is>
          <t>Bench Press</t>
        </is>
      </c>
      <c r="D22" s="34" t="inlineStr">
        <is>
          <t>3 x 6</t>
        </is>
      </c>
      <c r="E22" s="34" t="n"/>
      <c r="F22" s="34" t="n">
        <v>77.5</v>
      </c>
      <c r="G22" s="36">
        <f>Maxes!E3</f>
        <v/>
      </c>
      <c r="H22" s="37">
        <f>IF(OR(G22="",F22=""),"",MROUND(G22*F22/100,'Start Here'!$B$7))</f>
        <v/>
      </c>
      <c r="I22" s="34" t="n"/>
      <c r="J22" s="34" t="n"/>
      <c r="K22" s="34" t="n"/>
      <c r="L22" s="34" t="n"/>
      <c r="M22" s="34" t="n"/>
      <c r="N22" s="34" t="n"/>
      <c r="O22" s="38" t="inlineStr"/>
    </row>
    <row r="23">
      <c r="C23" t="inlineStr">
        <is>
          <t xml:space="preserve">      Set 1</t>
        </is>
      </c>
      <c r="E23" t="n">
        <v>6</v>
      </c>
      <c r="H23" s="39">
        <f>IF(H22="","",H22)</f>
        <v/>
      </c>
      <c r="I23" s="7">
        <f>IF(H22="","",H22)</f>
        <v/>
      </c>
      <c r="J23" s="7" t="n">
        <v>6</v>
      </c>
      <c r="K23" s="7" t="n"/>
      <c r="L23" s="40" t="n"/>
      <c r="M23">
        <f>IF(AND(L23&lt;&gt;"",N(I23)&gt;0,N(J23)&gt;0),IF(J23=1,I23,ROUND(I23*(1+J23/30),1)),"")</f>
        <v/>
      </c>
      <c r="N23" s="41">
        <f>IF(M23="","",IF(M23&gt;=PRs!C3,"PR!",""))</f>
        <v/>
      </c>
      <c r="O23" s="7" t="n"/>
    </row>
    <row r="24">
      <c r="C24" t="inlineStr">
        <is>
          <t xml:space="preserve">      Set 2</t>
        </is>
      </c>
      <c r="E24" t="n">
        <v>6</v>
      </c>
      <c r="H24" s="39">
        <f>IF(H22="","",H22)</f>
        <v/>
      </c>
      <c r="I24" s="7">
        <f>IF(H22="","",H22)</f>
        <v/>
      </c>
      <c r="J24" s="7" t="n">
        <v>6</v>
      </c>
      <c r="K24" s="7" t="n"/>
      <c r="L24" s="40" t="n"/>
      <c r="M24">
        <f>IF(AND(L24&lt;&gt;"",N(I24)&gt;0,N(J24)&gt;0),IF(J24=1,I24,ROUND(I24*(1+J24/30),1)),"")</f>
        <v/>
      </c>
      <c r="N24" s="41">
        <f>IF(M24="","",IF(M24&gt;=PRs!C3,"PR!",""))</f>
        <v/>
      </c>
      <c r="O24" s="7" t="n"/>
    </row>
    <row r="25">
      <c r="C25" t="inlineStr">
        <is>
          <t xml:space="preserve">      Set 3</t>
        </is>
      </c>
      <c r="E25" t="n">
        <v>6</v>
      </c>
      <c r="H25" s="39">
        <f>IF(H22="","",H22)</f>
        <v/>
      </c>
      <c r="I25" s="7">
        <f>IF(H22="","",H22)</f>
        <v/>
      </c>
      <c r="J25" s="7" t="n">
        <v>6</v>
      </c>
      <c r="K25" s="7" t="n"/>
      <c r="L25" s="40" t="n"/>
      <c r="M25">
        <f>IF(AND(L25&lt;&gt;"",N(I25)&gt;0,N(J25)&gt;0),IF(J25=1,I25,ROUND(I25*(1+J25/30),1)),"")</f>
        <v/>
      </c>
      <c r="N25" s="41">
        <f>IF(M25="","",IF(M25&gt;=PRs!C3,"PR!",""))</f>
        <v/>
      </c>
      <c r="O25" s="7" t="n"/>
    </row>
    <row r="26">
      <c r="A26" s="34" t="n"/>
      <c r="B26" s="34" t="n"/>
      <c r="C26" s="43" t="inlineStr">
        <is>
          <t>Barbell Row</t>
        </is>
      </c>
      <c r="D26" s="34" t="inlineStr">
        <is>
          <t>3 x 8-10</t>
        </is>
      </c>
      <c r="E26" s="34" t="n"/>
      <c r="F26" s="34" t="n"/>
      <c r="G26" s="36" t="n"/>
      <c r="H26" s="37" t="n"/>
      <c r="I26" s="34" t="n"/>
      <c r="J26" s="34" t="n"/>
      <c r="K26" s="34" t="n"/>
      <c r="L26" s="34" t="n"/>
      <c r="M26" s="34" t="n"/>
      <c r="N26" s="34" t="n"/>
      <c r="O26" s="38" t="inlineStr">
        <is>
          <t>Leave 1-2 reps in the tank; add weight when you hit the top of the range</t>
        </is>
      </c>
    </row>
    <row r="27">
      <c r="C27" t="inlineStr">
        <is>
          <t xml:space="preserve">      Set 1</t>
        </is>
      </c>
      <c r="E27" t="n">
        <v>8</v>
      </c>
      <c r="H27" s="39">
        <f>IF(H26="","",H26)</f>
        <v/>
      </c>
      <c r="I27" s="7">
        <f>IF(H26="","",H26)</f>
        <v/>
      </c>
      <c r="J27" s="7" t="n">
        <v>8</v>
      </c>
      <c r="K27" s="7" t="n"/>
      <c r="L27" s="40" t="n"/>
      <c r="M27">
        <f>IF(AND(L27&lt;&gt;"",N(I27)&gt;0,N(J27)&gt;0),IF(J27=1,I27,ROUND(I27*(1+J27/30),1)),"")</f>
        <v/>
      </c>
      <c r="N27" s="41">
        <f>IF(M27="","",IF(M27&gt;=PRs!C50,"PR!",""))</f>
        <v/>
      </c>
      <c r="O27" s="7" t="n"/>
    </row>
    <row r="28">
      <c r="C28" t="inlineStr">
        <is>
          <t xml:space="preserve">      Set 2</t>
        </is>
      </c>
      <c r="E28" t="n">
        <v>8</v>
      </c>
      <c r="H28" s="39">
        <f>IF(H26="","",H26)</f>
        <v/>
      </c>
      <c r="I28" s="7">
        <f>IF(H26="","",H26)</f>
        <v/>
      </c>
      <c r="J28" s="7" t="n">
        <v>8</v>
      </c>
      <c r="K28" s="7" t="n"/>
      <c r="L28" s="40" t="n"/>
      <c r="M28">
        <f>IF(AND(L28&lt;&gt;"",N(I28)&gt;0,N(J28)&gt;0),IF(J28=1,I28,ROUND(I28*(1+J28/30),1)),"")</f>
        <v/>
      </c>
      <c r="N28" s="41">
        <f>IF(M28="","",IF(M28&gt;=PRs!C50,"PR!",""))</f>
        <v/>
      </c>
      <c r="O28" s="7" t="n"/>
    </row>
    <row r="29">
      <c r="C29" t="inlineStr">
        <is>
          <t xml:space="preserve">      Set 3</t>
        </is>
      </c>
      <c r="E29" t="n">
        <v>8</v>
      </c>
      <c r="H29" s="39">
        <f>IF(H26="","",H26)</f>
        <v/>
      </c>
      <c r="I29" s="7">
        <f>IF(H26="","",H26)</f>
        <v/>
      </c>
      <c r="J29" s="7" t="n">
        <v>8</v>
      </c>
      <c r="K29" s="7" t="n"/>
      <c r="L29" s="40" t="n"/>
      <c r="M29">
        <f>IF(AND(L29&lt;&gt;"",N(I29)&gt;0,N(J29)&gt;0),IF(J29=1,I29,ROUND(I29*(1+J29/30),1)),"")</f>
        <v/>
      </c>
      <c r="N29" s="41">
        <f>IF(M29="","",IF(M29&gt;=PRs!C50,"PR!",""))</f>
        <v/>
      </c>
      <c r="O29" s="7" t="n"/>
    </row>
    <row r="30">
      <c r="A30" s="34" t="n"/>
      <c r="B30" s="34" t="n"/>
      <c r="C30" s="43" t="inlineStr">
        <is>
          <t>Face Pull</t>
        </is>
      </c>
      <c r="D30" s="34" t="inlineStr">
        <is>
          <t>3 x 12-15</t>
        </is>
      </c>
      <c r="E30" s="34" t="n"/>
      <c r="F30" s="34" t="n"/>
      <c r="G30" s="36" t="n"/>
      <c r="H30" s="37" t="n"/>
      <c r="I30" s="34" t="n"/>
      <c r="J30" s="34" t="n"/>
      <c r="K30" s="34" t="n"/>
      <c r="L30" s="34" t="n"/>
      <c r="M30" s="34" t="n"/>
      <c r="N30" s="34" t="n"/>
      <c r="O30" s="38" t="inlineStr">
        <is>
          <t>Leave 1-2 reps in the tank; add weight when you hit the top of the range</t>
        </is>
      </c>
    </row>
    <row r="31">
      <c r="C31" t="inlineStr">
        <is>
          <t xml:space="preserve">      Set 1</t>
        </is>
      </c>
      <c r="E31" t="n">
        <v>12</v>
      </c>
      <c r="H31" s="39">
        <f>IF(H30="","",H30)</f>
        <v/>
      </c>
      <c r="I31" s="7">
        <f>IF(H30="","",H30)</f>
        <v/>
      </c>
      <c r="J31" s="7" t="n">
        <v>12</v>
      </c>
      <c r="K31" s="7" t="n"/>
      <c r="L31" s="40" t="n"/>
      <c r="M31">
        <f>IF(AND(L31&lt;&gt;"",N(I31)&gt;0,N(J31)&gt;0),IF(J31=1,I31,ROUND(I31*(1+J31/30),1)),"")</f>
        <v/>
      </c>
      <c r="N31" s="41">
        <f>IF(M31="","",IF(M31&gt;=PRs!C51,"PR!",""))</f>
        <v/>
      </c>
      <c r="O31" s="7" t="n"/>
    </row>
    <row r="32">
      <c r="C32" t="inlineStr">
        <is>
          <t xml:space="preserve">      Set 2</t>
        </is>
      </c>
      <c r="E32" t="n">
        <v>12</v>
      </c>
      <c r="H32" s="39">
        <f>IF(H30="","",H30)</f>
        <v/>
      </c>
      <c r="I32" s="7">
        <f>IF(H30="","",H30)</f>
        <v/>
      </c>
      <c r="J32" s="7" t="n">
        <v>12</v>
      </c>
      <c r="K32" s="7" t="n"/>
      <c r="L32" s="40" t="n"/>
      <c r="M32">
        <f>IF(AND(L32&lt;&gt;"",N(I32)&gt;0,N(J32)&gt;0),IF(J32=1,I32,ROUND(I32*(1+J32/30),1)),"")</f>
        <v/>
      </c>
      <c r="N32" s="41">
        <f>IF(M32="","",IF(M32&gt;=PRs!C51,"PR!",""))</f>
        <v/>
      </c>
      <c r="O32" s="7" t="n"/>
    </row>
    <row r="33">
      <c r="C33" t="inlineStr">
        <is>
          <t xml:space="preserve">      Set 3</t>
        </is>
      </c>
      <c r="E33" t="n">
        <v>12</v>
      </c>
      <c r="H33" s="39">
        <f>IF(H30="","",H30)</f>
        <v/>
      </c>
      <c r="I33" s="7">
        <f>IF(H30="","",H30)</f>
        <v/>
      </c>
      <c r="J33" s="7" t="n">
        <v>12</v>
      </c>
      <c r="K33" s="7" t="n"/>
      <c r="L33" s="40" t="n"/>
      <c r="M33">
        <f>IF(AND(L33&lt;&gt;"",N(I33)&gt;0,N(J33)&gt;0),IF(J33=1,I33,ROUND(I33*(1+J33/30),1)),"")</f>
        <v/>
      </c>
      <c r="N33" s="41">
        <f>IF(M33="","",IF(M33&gt;=PRs!C51,"PR!",""))</f>
        <v/>
      </c>
      <c r="O33" s="7" t="n"/>
    </row>
    <row r="34">
      <c r="A34" s="31" t="inlineStr">
        <is>
          <t>Day 2 - Light</t>
        </is>
      </c>
      <c r="B34" s="32">
        <f>'Start Here'!$B$8+30</f>
        <v/>
      </c>
      <c r="C34" s="33" t="n"/>
      <c r="D34" s="33" t="n"/>
      <c r="E34" s="33" t="n"/>
      <c r="F34" s="33" t="n"/>
      <c r="G34" s="33" t="n"/>
      <c r="H34" s="33" t="n"/>
      <c r="I34" s="33" t="n"/>
      <c r="J34" s="33" t="n"/>
      <c r="K34" s="33" t="n"/>
      <c r="L34" s="33" t="n"/>
      <c r="M34" s="33" t="n"/>
      <c r="N34" s="33" t="n"/>
      <c r="O34" s="33" t="n"/>
    </row>
    <row r="35">
      <c r="A35" s="34" t="n"/>
      <c r="B35" s="34" t="n"/>
      <c r="C35" s="35" t="inlineStr">
        <is>
          <t>Broad Jump</t>
        </is>
      </c>
      <c r="D35" s="34" t="inlineStr">
        <is>
          <t>4 x 3</t>
        </is>
      </c>
      <c r="E35" s="34" t="n"/>
      <c r="F35" s="34" t="n"/>
      <c r="G35" s="36" t="n"/>
      <c r="H35" s="37">
        <f>IF(N(Maxes!E70)&gt;0,Maxes!E70,"")</f>
        <v/>
      </c>
      <c r="I35" s="34" t="n"/>
      <c r="J35" s="34" t="n"/>
      <c r="K35" s="34" t="n"/>
      <c r="L35" s="34" t="n"/>
      <c r="M35" s="34" t="n"/>
      <c r="N35" s="34" t="n"/>
      <c r="O35" s="38" t="inlineStr">
        <is>
          <t>Standing two-foot jump forward, stick the landing. Measure toe line to the back of the nearest heel.</t>
        </is>
      </c>
    </row>
    <row r="36">
      <c r="C36" t="inlineStr">
        <is>
          <t xml:space="preserve">      Set 1</t>
        </is>
      </c>
      <c r="E36" t="n">
        <v>3</v>
      </c>
      <c r="H36" s="39">
        <f>IF(H35="","",H35)</f>
        <v/>
      </c>
      <c r="I36" s="7">
        <f>IF(H35="","",H35)</f>
        <v/>
      </c>
      <c r="J36" s="7" t="n">
        <v>3</v>
      </c>
      <c r="K36" s="7" t="n"/>
      <c r="L36" s="40" t="n"/>
      <c r="N36" s="41">
        <f>IF(AND(L36&lt;&gt;"",N(I36)&gt;0),IF(I36&gt;=PRs!D70,"PR!",""),"")</f>
        <v/>
      </c>
      <c r="O36" s="7" t="n"/>
    </row>
    <row r="37">
      <c r="C37" t="inlineStr">
        <is>
          <t xml:space="preserve">      Set 2</t>
        </is>
      </c>
      <c r="E37" t="n">
        <v>3</v>
      </c>
      <c r="H37" s="39">
        <f>IF(H35="","",H35)</f>
        <v/>
      </c>
      <c r="I37" s="7">
        <f>IF(H35="","",H35)</f>
        <v/>
      </c>
      <c r="J37" s="7" t="n">
        <v>3</v>
      </c>
      <c r="K37" s="7" t="n"/>
      <c r="L37" s="40" t="n"/>
      <c r="N37" s="41">
        <f>IF(AND(L37&lt;&gt;"",N(I37)&gt;0),IF(I37&gt;=PRs!D70,"PR!",""),"")</f>
        <v/>
      </c>
      <c r="O37" s="7" t="n"/>
    </row>
    <row r="38">
      <c r="C38" t="inlineStr">
        <is>
          <t xml:space="preserve">      Set 3</t>
        </is>
      </c>
      <c r="E38" t="n">
        <v>3</v>
      </c>
      <c r="H38" s="39">
        <f>IF(H35="","",H35)</f>
        <v/>
      </c>
      <c r="I38" s="7">
        <f>IF(H35="","",H35)</f>
        <v/>
      </c>
      <c r="J38" s="7" t="n">
        <v>3</v>
      </c>
      <c r="K38" s="7" t="n"/>
      <c r="L38" s="40" t="n"/>
      <c r="N38" s="41">
        <f>IF(AND(L38&lt;&gt;"",N(I38)&gt;0),IF(I38&gt;=PRs!D70,"PR!",""),"")</f>
        <v/>
      </c>
      <c r="O38" s="7" t="n"/>
    </row>
    <row r="39">
      <c r="C39" t="inlineStr">
        <is>
          <t xml:space="preserve">      Set 4</t>
        </is>
      </c>
      <c r="E39" t="n">
        <v>3</v>
      </c>
      <c r="H39" s="39">
        <f>IF(H35="","",H35)</f>
        <v/>
      </c>
      <c r="I39" s="7">
        <f>IF(H35="","",H35)</f>
        <v/>
      </c>
      <c r="J39" s="7" t="n">
        <v>3</v>
      </c>
      <c r="K39" s="7" t="n"/>
      <c r="L39" s="40" t="n"/>
      <c r="N39" s="41">
        <f>IF(AND(L39&lt;&gt;"",N(I39)&gt;0),IF(I39&gt;=PRs!D70,"PR!",""),"")</f>
        <v/>
      </c>
      <c r="O39" s="7" t="n"/>
    </row>
    <row r="40">
      <c r="A40" s="34" t="n"/>
      <c r="B40" s="34" t="n"/>
      <c r="C40" s="35" t="inlineStr">
        <is>
          <t>Med Ball Chest Pass</t>
        </is>
      </c>
      <c r="D40" s="34" t="inlineStr">
        <is>
          <t>3 x 5</t>
        </is>
      </c>
      <c r="E40" s="34" t="n"/>
      <c r="F40" s="34" t="n"/>
      <c r="G40" s="36" t="n"/>
      <c r="H40" s="37">
        <f>IF(N(Maxes!E77)&gt;0,Maxes!E77,"")</f>
        <v/>
      </c>
      <c r="I40" s="34" t="n"/>
      <c r="J40" s="34" t="n"/>
      <c r="K40" s="34" t="n"/>
      <c r="L40" s="34" t="n"/>
      <c r="M40" s="34" t="n"/>
      <c r="N40" s="34" t="n"/>
      <c r="O40" s="38" t="inlineStr">
        <is>
          <t>Kneeling or standing chest pass for distance with a 6-10 lb / 3-5 kg ball. Log the distance.</t>
        </is>
      </c>
    </row>
    <row r="41">
      <c r="C41" t="inlineStr">
        <is>
          <t xml:space="preserve">      Set 1</t>
        </is>
      </c>
      <c r="E41" t="n">
        <v>5</v>
      </c>
      <c r="H41" s="39">
        <f>IF(H40="","",H40)</f>
        <v/>
      </c>
      <c r="I41" s="7">
        <f>IF(H40="","",H40)</f>
        <v/>
      </c>
      <c r="J41" s="7" t="n">
        <v>5</v>
      </c>
      <c r="K41" s="7" t="n"/>
      <c r="L41" s="40" t="n"/>
      <c r="N41" s="41">
        <f>IF(AND(L41&lt;&gt;"",N(I41)&gt;0),IF(I41&gt;=PRs!D77,"PR!",""),"")</f>
        <v/>
      </c>
      <c r="O41" s="7" t="n"/>
    </row>
    <row r="42">
      <c r="C42" t="inlineStr">
        <is>
          <t xml:space="preserve">      Set 2</t>
        </is>
      </c>
      <c r="E42" t="n">
        <v>5</v>
      </c>
      <c r="H42" s="39">
        <f>IF(H40="","",H40)</f>
        <v/>
      </c>
      <c r="I42" s="7">
        <f>IF(H40="","",H40)</f>
        <v/>
      </c>
      <c r="J42" s="7" t="n">
        <v>5</v>
      </c>
      <c r="K42" s="7" t="n"/>
      <c r="L42" s="40" t="n"/>
      <c r="N42" s="41">
        <f>IF(AND(L42&lt;&gt;"",N(I42)&gt;0),IF(I42&gt;=PRs!D77,"PR!",""),"")</f>
        <v/>
      </c>
      <c r="O42" s="7" t="n"/>
    </row>
    <row r="43">
      <c r="C43" t="inlineStr">
        <is>
          <t xml:space="preserve">      Set 3</t>
        </is>
      </c>
      <c r="E43" t="n">
        <v>5</v>
      </c>
      <c r="H43" s="39">
        <f>IF(H40="","",H40)</f>
        <v/>
      </c>
      <c r="I43" s="7">
        <f>IF(H40="","",H40)</f>
        <v/>
      </c>
      <c r="J43" s="7" t="n">
        <v>5</v>
      </c>
      <c r="K43" s="7" t="n"/>
      <c r="L43" s="40" t="n"/>
      <c r="N43" s="41">
        <f>IF(AND(L43&lt;&gt;"",N(I43)&gt;0),IF(I43&gt;=PRs!D77,"PR!",""),"")</f>
        <v/>
      </c>
      <c r="O43" s="7" t="n"/>
    </row>
    <row r="44">
      <c r="A44" s="34" t="n"/>
      <c r="B44" s="34" t="n"/>
      <c r="C44" s="42" t="inlineStr">
        <is>
          <t>Clean &amp; Jerk</t>
        </is>
      </c>
      <c r="D44" s="34" t="inlineStr">
        <is>
          <t>4 x 3</t>
        </is>
      </c>
      <c r="E44" s="34" t="n"/>
      <c r="F44" s="34" t="n">
        <v>77.5</v>
      </c>
      <c r="G44" s="36">
        <f>Maxes!E7</f>
        <v/>
      </c>
      <c r="H44" s="37">
        <f>IF(OR(G44="",F44=""),"",MROUND(G44*F44/100,'Start Here'!$B$7))</f>
        <v/>
      </c>
      <c r="I44" s="34" t="n"/>
      <c r="J44" s="34" t="n"/>
      <c r="K44" s="34" t="n"/>
      <c r="L44" s="34" t="n"/>
      <c r="M44" s="34" t="n"/>
      <c r="N44" s="34" t="n"/>
      <c r="O44" s="38" t="inlineStr"/>
    </row>
    <row r="45">
      <c r="C45" t="inlineStr">
        <is>
          <t xml:space="preserve">      Set 1</t>
        </is>
      </c>
      <c r="E45" t="n">
        <v>3</v>
      </c>
      <c r="H45" s="39">
        <f>IF(H44="","",H44)</f>
        <v/>
      </c>
      <c r="I45" s="7">
        <f>IF(H44="","",H44)</f>
        <v/>
      </c>
      <c r="J45" s="7" t="n">
        <v>3</v>
      </c>
      <c r="K45" s="7" t="n"/>
      <c r="L45" s="40" t="n"/>
      <c r="M45">
        <f>IF(AND(L45&lt;&gt;"",N(I45)&gt;0,N(J45)&gt;0),IF(J45=1,I45,ROUND(I45*(1+J45/30),1)),"")</f>
        <v/>
      </c>
      <c r="N45" s="41">
        <f>IF(M45="","",IF(M45&gt;=PRs!C7,"PR!",""))</f>
        <v/>
      </c>
      <c r="O45" s="7" t="n"/>
    </row>
    <row r="46">
      <c r="C46" t="inlineStr">
        <is>
          <t xml:space="preserve">      Set 2</t>
        </is>
      </c>
      <c r="E46" t="n">
        <v>3</v>
      </c>
      <c r="H46" s="39">
        <f>IF(H44="","",H44)</f>
        <v/>
      </c>
      <c r="I46" s="7">
        <f>IF(H44="","",H44)</f>
        <v/>
      </c>
      <c r="J46" s="7" t="n">
        <v>3</v>
      </c>
      <c r="K46" s="7" t="n"/>
      <c r="L46" s="40" t="n"/>
      <c r="M46">
        <f>IF(AND(L46&lt;&gt;"",N(I46)&gt;0,N(J46)&gt;0),IF(J46=1,I46,ROUND(I46*(1+J46/30),1)),"")</f>
        <v/>
      </c>
      <c r="N46" s="41">
        <f>IF(M46="","",IF(M46&gt;=PRs!C7,"PR!",""))</f>
        <v/>
      </c>
      <c r="O46" s="7" t="n"/>
    </row>
    <row r="47">
      <c r="C47" t="inlineStr">
        <is>
          <t xml:space="preserve">      Set 3</t>
        </is>
      </c>
      <c r="E47" t="n">
        <v>3</v>
      </c>
      <c r="H47" s="39">
        <f>IF(H44="","",H44)</f>
        <v/>
      </c>
      <c r="I47" s="7">
        <f>IF(H44="","",H44)</f>
        <v/>
      </c>
      <c r="J47" s="7" t="n">
        <v>3</v>
      </c>
      <c r="K47" s="7" t="n"/>
      <c r="L47" s="40" t="n"/>
      <c r="M47">
        <f>IF(AND(L47&lt;&gt;"",N(I47)&gt;0,N(J47)&gt;0),IF(J47=1,I47,ROUND(I47*(1+J47/30),1)),"")</f>
        <v/>
      </c>
      <c r="N47" s="41">
        <f>IF(M47="","",IF(M47&gt;=PRs!C7,"PR!",""))</f>
        <v/>
      </c>
      <c r="O47" s="7" t="n"/>
    </row>
    <row r="48">
      <c r="C48" t="inlineStr">
        <is>
          <t xml:space="preserve">      Set 4</t>
        </is>
      </c>
      <c r="E48" t="n">
        <v>3</v>
      </c>
      <c r="H48" s="39">
        <f>IF(H44="","",H44)</f>
        <v/>
      </c>
      <c r="I48" s="7">
        <f>IF(H44="","",H44)</f>
        <v/>
      </c>
      <c r="J48" s="7" t="n">
        <v>3</v>
      </c>
      <c r="K48" s="7" t="n"/>
      <c r="L48" s="40" t="n"/>
      <c r="M48">
        <f>IF(AND(L48&lt;&gt;"",N(I48)&gt;0,N(J48)&gt;0),IF(J48=1,I48,ROUND(I48*(1+J48/30),1)),"")</f>
        <v/>
      </c>
      <c r="N48" s="41">
        <f>IF(M48="","",IF(M48&gt;=PRs!C7,"PR!",""))</f>
        <v/>
      </c>
      <c r="O48" s="7" t="n"/>
    </row>
    <row r="49">
      <c r="A49" s="34" t="n"/>
      <c r="B49" s="34" t="n"/>
      <c r="C49" s="42" t="inlineStr">
        <is>
          <t>Squat</t>
        </is>
      </c>
      <c r="D49" s="34" t="inlineStr">
        <is>
          <t>3 x 6</t>
        </is>
      </c>
      <c r="E49" s="34" t="n"/>
      <c r="F49" s="34" t="n">
        <v>65</v>
      </c>
      <c r="G49" s="36">
        <f>Maxes!E2</f>
        <v/>
      </c>
      <c r="H49" s="37">
        <f>IF(OR(G49="",F49=""),"",MROUND(G49*F49/100,'Start Here'!$B$7))</f>
        <v/>
      </c>
      <c r="I49" s="34" t="n"/>
      <c r="J49" s="34" t="n"/>
      <c r="K49" s="34" t="n"/>
      <c r="L49" s="34" t="n"/>
      <c r="M49" s="34" t="n"/>
      <c r="N49" s="34" t="n"/>
      <c r="O49" s="38" t="inlineStr"/>
    </row>
    <row r="50">
      <c r="C50" t="inlineStr">
        <is>
          <t xml:space="preserve">      Set 1</t>
        </is>
      </c>
      <c r="E50" t="n">
        <v>6</v>
      </c>
      <c r="H50" s="39">
        <f>IF(H49="","",H49)</f>
        <v/>
      </c>
      <c r="I50" s="7">
        <f>IF(H49="","",H49)</f>
        <v/>
      </c>
      <c r="J50" s="7" t="n">
        <v>6</v>
      </c>
      <c r="K50" s="7" t="n"/>
      <c r="L50" s="40" t="n"/>
      <c r="M50">
        <f>IF(AND(L50&lt;&gt;"",N(I50)&gt;0,N(J50)&gt;0),IF(J50=1,I50,ROUND(I50*(1+J50/30),1)),"")</f>
        <v/>
      </c>
      <c r="N50" s="41">
        <f>IF(M50="","",IF(M50&gt;=PRs!C2,"PR!",""))</f>
        <v/>
      </c>
      <c r="O50" s="7" t="n"/>
    </row>
    <row r="51">
      <c r="C51" t="inlineStr">
        <is>
          <t xml:space="preserve">      Set 2</t>
        </is>
      </c>
      <c r="E51" t="n">
        <v>6</v>
      </c>
      <c r="H51" s="39">
        <f>IF(H49="","",H49)</f>
        <v/>
      </c>
      <c r="I51" s="7">
        <f>IF(H49="","",H49)</f>
        <v/>
      </c>
      <c r="J51" s="7" t="n">
        <v>6</v>
      </c>
      <c r="K51" s="7" t="n"/>
      <c r="L51" s="40" t="n"/>
      <c r="M51">
        <f>IF(AND(L51&lt;&gt;"",N(I51)&gt;0,N(J51)&gt;0),IF(J51=1,I51,ROUND(I51*(1+J51/30),1)),"")</f>
        <v/>
      </c>
      <c r="N51" s="41">
        <f>IF(M51="","",IF(M51&gt;=PRs!C2,"PR!",""))</f>
        <v/>
      </c>
      <c r="O51" s="7" t="n"/>
    </row>
    <row r="52">
      <c r="C52" t="inlineStr">
        <is>
          <t xml:space="preserve">      Set 3</t>
        </is>
      </c>
      <c r="E52" t="n">
        <v>6</v>
      </c>
      <c r="H52" s="39">
        <f>IF(H49="","",H49)</f>
        <v/>
      </c>
      <c r="I52" s="7">
        <f>IF(H49="","",H49)</f>
        <v/>
      </c>
      <c r="J52" s="7" t="n">
        <v>6</v>
      </c>
      <c r="K52" s="7" t="n"/>
      <c r="L52" s="40" t="n"/>
      <c r="M52">
        <f>IF(AND(L52&lt;&gt;"",N(I52)&gt;0,N(J52)&gt;0),IF(J52=1,I52,ROUND(I52*(1+J52/30),1)),"")</f>
        <v/>
      </c>
      <c r="N52" s="41">
        <f>IF(M52="","",IF(M52&gt;=PRs!C2,"PR!",""))</f>
        <v/>
      </c>
      <c r="O52" s="7" t="n"/>
    </row>
    <row r="53">
      <c r="A53" s="34" t="n"/>
      <c r="B53" s="34" t="n"/>
      <c r="C53" s="42" t="inlineStr">
        <is>
          <t>Overhead Press</t>
        </is>
      </c>
      <c r="D53" s="34" t="inlineStr">
        <is>
          <t>3 x 6</t>
        </is>
      </c>
      <c r="E53" s="34" t="n"/>
      <c r="F53" s="34" t="n">
        <v>72.5</v>
      </c>
      <c r="G53" s="36">
        <f>Maxes!E5</f>
        <v/>
      </c>
      <c r="H53" s="37">
        <f>IF(OR(G53="",F53=""),"",MROUND(G53*F53/100,'Start Here'!$B$7))</f>
        <v/>
      </c>
      <c r="I53" s="34" t="n"/>
      <c r="J53" s="34" t="n"/>
      <c r="K53" s="34" t="n"/>
      <c r="L53" s="34" t="n"/>
      <c r="M53" s="34" t="n"/>
      <c r="N53" s="34" t="n"/>
      <c r="O53" s="38" t="inlineStr"/>
    </row>
    <row r="54">
      <c r="C54" t="inlineStr">
        <is>
          <t xml:space="preserve">      Set 1</t>
        </is>
      </c>
      <c r="E54" t="n">
        <v>6</v>
      </c>
      <c r="H54" s="39">
        <f>IF(H53="","",H53)</f>
        <v/>
      </c>
      <c r="I54" s="7">
        <f>IF(H53="","",H53)</f>
        <v/>
      </c>
      <c r="J54" s="7" t="n">
        <v>6</v>
      </c>
      <c r="K54" s="7" t="n"/>
      <c r="L54" s="40" t="n"/>
      <c r="M54">
        <f>IF(AND(L54&lt;&gt;"",N(I54)&gt;0,N(J54)&gt;0),IF(J54=1,I54,ROUND(I54*(1+J54/30),1)),"")</f>
        <v/>
      </c>
      <c r="N54" s="41">
        <f>IF(M54="","",IF(M54&gt;=PRs!C5,"PR!",""))</f>
        <v/>
      </c>
      <c r="O54" s="7" t="n"/>
    </row>
    <row r="55">
      <c r="C55" t="inlineStr">
        <is>
          <t xml:space="preserve">      Set 2</t>
        </is>
      </c>
      <c r="E55" t="n">
        <v>6</v>
      </c>
      <c r="H55" s="39">
        <f>IF(H53="","",H53)</f>
        <v/>
      </c>
      <c r="I55" s="7">
        <f>IF(H53="","",H53)</f>
        <v/>
      </c>
      <c r="J55" s="7" t="n">
        <v>6</v>
      </c>
      <c r="K55" s="7" t="n"/>
      <c r="L55" s="40" t="n"/>
      <c r="M55">
        <f>IF(AND(L55&lt;&gt;"",N(I55)&gt;0,N(J55)&gt;0),IF(J55=1,I55,ROUND(I55*(1+J55/30),1)),"")</f>
        <v/>
      </c>
      <c r="N55" s="41">
        <f>IF(M55="","",IF(M55&gt;=PRs!C5,"PR!",""))</f>
        <v/>
      </c>
      <c r="O55" s="7" t="n"/>
    </row>
    <row r="56">
      <c r="C56" t="inlineStr">
        <is>
          <t xml:space="preserve">      Set 3</t>
        </is>
      </c>
      <c r="E56" t="n">
        <v>6</v>
      </c>
      <c r="H56" s="39">
        <f>IF(H53="","",H53)</f>
        <v/>
      </c>
      <c r="I56" s="7">
        <f>IF(H53="","",H53)</f>
        <v/>
      </c>
      <c r="J56" s="7" t="n">
        <v>6</v>
      </c>
      <c r="K56" s="7" t="n"/>
      <c r="L56" s="40" t="n"/>
      <c r="M56">
        <f>IF(AND(L56&lt;&gt;"",N(I56)&gt;0,N(J56)&gt;0),IF(J56=1,I56,ROUND(I56*(1+J56/30),1)),"")</f>
        <v/>
      </c>
      <c r="N56" s="41">
        <f>IF(M56="","",IF(M56&gt;=PRs!C5,"PR!",""))</f>
        <v/>
      </c>
      <c r="O56" s="7" t="n"/>
    </row>
    <row r="57">
      <c r="A57" s="34" t="n"/>
      <c r="B57" s="34" t="n"/>
      <c r="C57" s="42" t="inlineStr">
        <is>
          <t>Deadlift</t>
        </is>
      </c>
      <c r="D57" s="34" t="inlineStr">
        <is>
          <t>3 x 6</t>
        </is>
      </c>
      <c r="E57" s="34" t="n"/>
      <c r="F57" s="34" t="n">
        <v>72.5</v>
      </c>
      <c r="G57" s="36">
        <f>Maxes!E4</f>
        <v/>
      </c>
      <c r="H57" s="37">
        <f>IF(OR(G57="",F57=""),"",MROUND(G57*F57/100,'Start Here'!$B$7))</f>
        <v/>
      </c>
      <c r="I57" s="34" t="n"/>
      <c r="J57" s="34" t="n"/>
      <c r="K57" s="34" t="n"/>
      <c r="L57" s="34" t="n"/>
      <c r="M57" s="34" t="n"/>
      <c r="N57" s="34" t="n"/>
      <c r="O57" s="38" t="inlineStr"/>
    </row>
    <row r="58">
      <c r="C58" t="inlineStr">
        <is>
          <t xml:space="preserve">      Set 1</t>
        </is>
      </c>
      <c r="E58" t="n">
        <v>6</v>
      </c>
      <c r="H58" s="39">
        <f>IF(H57="","",H57)</f>
        <v/>
      </c>
      <c r="I58" s="7">
        <f>IF(H57="","",H57)</f>
        <v/>
      </c>
      <c r="J58" s="7" t="n">
        <v>6</v>
      </c>
      <c r="K58" s="7" t="n"/>
      <c r="L58" s="40" t="n"/>
      <c r="M58">
        <f>IF(AND(L58&lt;&gt;"",N(I58)&gt;0,N(J58)&gt;0),IF(J58=1,I58,ROUND(I58*(1+J58/30),1)),"")</f>
        <v/>
      </c>
      <c r="N58" s="41">
        <f>IF(M58="","",IF(M58&gt;=PRs!C4,"PR!",""))</f>
        <v/>
      </c>
      <c r="O58" s="7" t="n"/>
    </row>
    <row r="59">
      <c r="C59" t="inlineStr">
        <is>
          <t xml:space="preserve">      Set 2</t>
        </is>
      </c>
      <c r="E59" t="n">
        <v>6</v>
      </c>
      <c r="H59" s="39">
        <f>IF(H57="","",H57)</f>
        <v/>
      </c>
      <c r="I59" s="7">
        <f>IF(H57="","",H57)</f>
        <v/>
      </c>
      <c r="J59" s="7" t="n">
        <v>6</v>
      </c>
      <c r="K59" s="7" t="n"/>
      <c r="L59" s="40" t="n"/>
      <c r="M59">
        <f>IF(AND(L59&lt;&gt;"",N(I59)&gt;0,N(J59)&gt;0),IF(J59=1,I59,ROUND(I59*(1+J59/30),1)),"")</f>
        <v/>
      </c>
      <c r="N59" s="41">
        <f>IF(M59="","",IF(M59&gt;=PRs!C4,"PR!",""))</f>
        <v/>
      </c>
      <c r="O59" s="7" t="n"/>
    </row>
    <row r="60">
      <c r="C60" t="inlineStr">
        <is>
          <t xml:space="preserve">      Set 3</t>
        </is>
      </c>
      <c r="E60" t="n">
        <v>6</v>
      </c>
      <c r="H60" s="39">
        <f>IF(H57="","",H57)</f>
        <v/>
      </c>
      <c r="I60" s="7">
        <f>IF(H57="","",H57)</f>
        <v/>
      </c>
      <c r="J60" s="7" t="n">
        <v>6</v>
      </c>
      <c r="K60" s="7" t="n"/>
      <c r="L60" s="40" t="n"/>
      <c r="M60">
        <f>IF(AND(L60&lt;&gt;"",N(I60)&gt;0,N(J60)&gt;0),IF(J60=1,I60,ROUND(I60*(1+J60/30),1)),"")</f>
        <v/>
      </c>
      <c r="N60" s="41">
        <f>IF(M60="","",IF(M60&gt;=PRs!C4,"PR!",""))</f>
        <v/>
      </c>
      <c r="O60" s="7" t="n"/>
    </row>
    <row r="61">
      <c r="A61" s="34" t="n"/>
      <c r="B61" s="34" t="n"/>
      <c r="C61" s="43" t="inlineStr">
        <is>
          <t>Chin-up</t>
        </is>
      </c>
      <c r="D61" s="34" t="inlineStr">
        <is>
          <t>3 x 6-10</t>
        </is>
      </c>
      <c r="E61" s="34" t="n"/>
      <c r="F61" s="34" t="n"/>
      <c r="G61" s="36" t="n"/>
      <c r="H61" s="37" t="n"/>
      <c r="I61" s="34" t="n"/>
      <c r="J61" s="34" t="n"/>
      <c r="K61" s="34" t="n"/>
      <c r="L61" s="34" t="n"/>
      <c r="M61" s="34" t="n"/>
      <c r="N61" s="34" t="n"/>
      <c r="O61" s="38" t="inlineStr">
        <is>
          <t>Leave 1-2 reps in the tank; add weight when you hit the top of the range</t>
        </is>
      </c>
    </row>
    <row r="62">
      <c r="C62" t="inlineStr">
        <is>
          <t xml:space="preserve">      Set 1</t>
        </is>
      </c>
      <c r="E62" t="n">
        <v>6</v>
      </c>
      <c r="H62" s="39">
        <f>IF(H61="","",H61)</f>
        <v/>
      </c>
      <c r="I62" s="7">
        <f>IF(H61="","",H61)</f>
        <v/>
      </c>
      <c r="J62" s="7" t="n">
        <v>6</v>
      </c>
      <c r="K62" s="7" t="n"/>
      <c r="L62" s="40" t="n"/>
      <c r="M62">
        <f>IF(AND(L62&lt;&gt;"",N(I62)&gt;0,N(J62)&gt;0),IF(J62=1,I62,ROUND(I62*(1+J62/30),1)),"")</f>
        <v/>
      </c>
      <c r="N62" s="41">
        <f>IF(M62="","",IF(M62&gt;=PRs!C53,"PR!",""))</f>
        <v/>
      </c>
      <c r="O62" s="7" t="n"/>
    </row>
    <row r="63">
      <c r="C63" t="inlineStr">
        <is>
          <t xml:space="preserve">      Set 2</t>
        </is>
      </c>
      <c r="E63" t="n">
        <v>6</v>
      </c>
      <c r="H63" s="39">
        <f>IF(H61="","",H61)</f>
        <v/>
      </c>
      <c r="I63" s="7">
        <f>IF(H61="","",H61)</f>
        <v/>
      </c>
      <c r="J63" s="7" t="n">
        <v>6</v>
      </c>
      <c r="K63" s="7" t="n"/>
      <c r="L63" s="40" t="n"/>
      <c r="M63">
        <f>IF(AND(L63&lt;&gt;"",N(I63)&gt;0,N(J63)&gt;0),IF(J63=1,I63,ROUND(I63*(1+J63/30),1)),"")</f>
        <v/>
      </c>
      <c r="N63" s="41">
        <f>IF(M63="","",IF(M63&gt;=PRs!C53,"PR!",""))</f>
        <v/>
      </c>
      <c r="O63" s="7" t="n"/>
    </row>
    <row r="64">
      <c r="C64" t="inlineStr">
        <is>
          <t xml:space="preserve">      Set 3</t>
        </is>
      </c>
      <c r="E64" t="n">
        <v>6</v>
      </c>
      <c r="H64" s="39">
        <f>IF(H61="","",H61)</f>
        <v/>
      </c>
      <c r="I64" s="7">
        <f>IF(H61="","",H61)</f>
        <v/>
      </c>
      <c r="J64" s="7" t="n">
        <v>6</v>
      </c>
      <c r="K64" s="7" t="n"/>
      <c r="L64" s="40" t="n"/>
      <c r="M64">
        <f>IF(AND(L64&lt;&gt;"",N(I64)&gt;0,N(J64)&gt;0),IF(J64=1,I64,ROUND(I64*(1+J64/30),1)),"")</f>
        <v/>
      </c>
      <c r="N64" s="41">
        <f>IF(M64="","",IF(M64&gt;=PRs!C53,"PR!",""))</f>
        <v/>
      </c>
      <c r="O64" s="7" t="n"/>
    </row>
    <row r="65">
      <c r="A65" s="34" t="n"/>
      <c r="B65" s="34" t="n"/>
      <c r="C65" s="43" t="inlineStr">
        <is>
          <t>Plank</t>
        </is>
      </c>
      <c r="D65" s="34" t="inlineStr">
        <is>
          <t>3 x 30-60s</t>
        </is>
      </c>
      <c r="E65" s="34" t="n"/>
      <c r="F65" s="34" t="n"/>
      <c r="G65" s="36" t="n"/>
      <c r="H65" s="37" t="n"/>
      <c r="I65" s="34" t="n"/>
      <c r="J65" s="34" t="n"/>
      <c r="K65" s="34" t="n"/>
      <c r="L65" s="34" t="n"/>
      <c r="M65" s="34" t="n"/>
      <c r="N65" s="34" t="n"/>
      <c r="O65" s="38" t="inlineStr">
        <is>
          <t>Leave 1-2 reps in the tank; add weight when you hit the top of the range</t>
        </is>
      </c>
    </row>
    <row r="66">
      <c r="C66" t="inlineStr">
        <is>
          <t xml:space="preserve">      Set 1</t>
        </is>
      </c>
      <c r="E66" t="n">
        <v>30</v>
      </c>
      <c r="H66" s="39">
        <f>IF(H65="","",H65)</f>
        <v/>
      </c>
      <c r="I66" s="7">
        <f>IF(H65="","",H65)</f>
        <v/>
      </c>
      <c r="J66" s="7" t="n">
        <v>30</v>
      </c>
      <c r="K66" s="7" t="n"/>
      <c r="L66" s="40" t="n"/>
      <c r="M66">
        <f>IF(AND(L66&lt;&gt;"",N(I66)&gt;0,N(J66)&gt;0),IF(J66=1,I66,ROUND(I66*(1+J66/30),1)),"")</f>
        <v/>
      </c>
      <c r="N66" s="41">
        <f>IF(M66="","",IF(M66&gt;=PRs!C56,"PR!",""))</f>
        <v/>
      </c>
      <c r="O66" s="7" t="n"/>
    </row>
    <row r="67">
      <c r="C67" t="inlineStr">
        <is>
          <t xml:space="preserve">      Set 2</t>
        </is>
      </c>
      <c r="E67" t="n">
        <v>30</v>
      </c>
      <c r="H67" s="39">
        <f>IF(H65="","",H65)</f>
        <v/>
      </c>
      <c r="I67" s="7">
        <f>IF(H65="","",H65)</f>
        <v/>
      </c>
      <c r="J67" s="7" t="n">
        <v>30</v>
      </c>
      <c r="K67" s="7" t="n"/>
      <c r="L67" s="40" t="n"/>
      <c r="M67">
        <f>IF(AND(L67&lt;&gt;"",N(I67)&gt;0,N(J67)&gt;0),IF(J67=1,I67,ROUND(I67*(1+J67/30),1)),"")</f>
        <v/>
      </c>
      <c r="N67" s="41">
        <f>IF(M67="","",IF(M67&gt;=PRs!C56,"PR!",""))</f>
        <v/>
      </c>
      <c r="O67" s="7" t="n"/>
    </row>
    <row r="68">
      <c r="C68" t="inlineStr">
        <is>
          <t xml:space="preserve">      Set 3</t>
        </is>
      </c>
      <c r="E68" t="n">
        <v>30</v>
      </c>
      <c r="H68" s="39">
        <f>IF(H65="","",H65)</f>
        <v/>
      </c>
      <c r="I68" s="7">
        <f>IF(H65="","",H65)</f>
        <v/>
      </c>
      <c r="J68" s="7" t="n">
        <v>30</v>
      </c>
      <c r="K68" s="7" t="n"/>
      <c r="L68" s="40" t="n"/>
      <c r="M68">
        <f>IF(AND(L68&lt;&gt;"",N(I68)&gt;0,N(J68)&gt;0),IF(J68=1,I68,ROUND(I68*(1+J68/30),1)),"")</f>
        <v/>
      </c>
      <c r="N68" s="41">
        <f>IF(M68="","",IF(M68&gt;=PRs!C56,"PR!",""))</f>
        <v/>
      </c>
      <c r="O68" s="7" t="n"/>
    </row>
    <row r="69">
      <c r="A69" s="31" t="inlineStr">
        <is>
          <t>Day 3 - Variations</t>
        </is>
      </c>
      <c r="B69" s="32">
        <f>'Start Here'!$B$8+32</f>
        <v/>
      </c>
      <c r="C69" s="33" t="n"/>
      <c r="D69" s="33" t="n"/>
      <c r="E69" s="33" t="n"/>
      <c r="F69" s="33" t="n"/>
      <c r="G69" s="33" t="n"/>
      <c r="H69" s="33" t="n"/>
      <c r="I69" s="33" t="n"/>
      <c r="J69" s="33" t="n"/>
      <c r="K69" s="33" t="n"/>
      <c r="L69" s="33" t="n"/>
      <c r="M69" s="33" t="n"/>
      <c r="N69" s="33" t="n"/>
      <c r="O69" s="33" t="n"/>
    </row>
    <row r="70">
      <c r="A70" s="34" t="n"/>
      <c r="B70" s="34" t="n"/>
      <c r="C70" s="35" t="inlineStr">
        <is>
          <t>Hurdle Hop</t>
        </is>
      </c>
      <c r="D70" s="34" t="inlineStr">
        <is>
          <t>4 x 3</t>
        </is>
      </c>
      <c r="E70" s="34" t="n"/>
      <c r="F70" s="34" t="n"/>
      <c r="G70" s="36" t="n"/>
      <c r="H70" s="37">
        <f>IF(N(Maxes!E73)&gt;0,Maxes!E73,"")</f>
        <v/>
      </c>
      <c r="I70" s="34" t="n"/>
      <c r="J70" s="34" t="n"/>
      <c r="K70" s="34" t="n"/>
      <c r="L70" s="34" t="n"/>
      <c r="M70" s="34" t="n"/>
      <c r="N70" s="34" t="n"/>
      <c r="O70" s="38" t="inlineStr">
        <is>
          <t>Continuous two-foot hops over a row of 4-6 low hurdles or cones, minimal ground contact. Log the hurdle height.</t>
        </is>
      </c>
    </row>
    <row r="71">
      <c r="C71" t="inlineStr">
        <is>
          <t xml:space="preserve">      Set 1</t>
        </is>
      </c>
      <c r="E71" t="n">
        <v>3</v>
      </c>
      <c r="H71" s="39">
        <f>IF(H70="","",H70)</f>
        <v/>
      </c>
      <c r="I71" s="7">
        <f>IF(H70="","",H70)</f>
        <v/>
      </c>
      <c r="J71" s="7" t="n">
        <v>3</v>
      </c>
      <c r="K71" s="7" t="n"/>
      <c r="L71" s="40" t="n"/>
      <c r="N71" s="41">
        <f>IF(AND(L71&lt;&gt;"",N(I71)&gt;0),IF(I71&gt;=PRs!D73,"PR!",""),"")</f>
        <v/>
      </c>
      <c r="O71" s="7" t="n"/>
    </row>
    <row r="72">
      <c r="C72" t="inlineStr">
        <is>
          <t xml:space="preserve">      Set 2</t>
        </is>
      </c>
      <c r="E72" t="n">
        <v>3</v>
      </c>
      <c r="H72" s="39">
        <f>IF(H70="","",H70)</f>
        <v/>
      </c>
      <c r="I72" s="7">
        <f>IF(H70="","",H70)</f>
        <v/>
      </c>
      <c r="J72" s="7" t="n">
        <v>3</v>
      </c>
      <c r="K72" s="7" t="n"/>
      <c r="L72" s="40" t="n"/>
      <c r="N72" s="41">
        <f>IF(AND(L72&lt;&gt;"",N(I72)&gt;0),IF(I72&gt;=PRs!D73,"PR!",""),"")</f>
        <v/>
      </c>
      <c r="O72" s="7" t="n"/>
    </row>
    <row r="73">
      <c r="C73" t="inlineStr">
        <is>
          <t xml:space="preserve">      Set 3</t>
        </is>
      </c>
      <c r="E73" t="n">
        <v>3</v>
      </c>
      <c r="H73" s="39">
        <f>IF(H70="","",H70)</f>
        <v/>
      </c>
      <c r="I73" s="7">
        <f>IF(H70="","",H70)</f>
        <v/>
      </c>
      <c r="J73" s="7" t="n">
        <v>3</v>
      </c>
      <c r="K73" s="7" t="n"/>
      <c r="L73" s="40" t="n"/>
      <c r="N73" s="41">
        <f>IF(AND(L73&lt;&gt;"",N(I73)&gt;0),IF(I73&gt;=PRs!D73,"PR!",""),"")</f>
        <v/>
      </c>
      <c r="O73" s="7" t="n"/>
    </row>
    <row r="74">
      <c r="C74" t="inlineStr">
        <is>
          <t xml:space="preserve">      Set 4</t>
        </is>
      </c>
      <c r="E74" t="n">
        <v>3</v>
      </c>
      <c r="H74" s="39">
        <f>IF(H70="","",H70)</f>
        <v/>
      </c>
      <c r="I74" s="7">
        <f>IF(H70="","",H70)</f>
        <v/>
      </c>
      <c r="J74" s="7" t="n">
        <v>3</v>
      </c>
      <c r="K74" s="7" t="n"/>
      <c r="L74" s="40" t="n"/>
      <c r="N74" s="41">
        <f>IF(AND(L74&lt;&gt;"",N(I74)&gt;0),IF(I74&gt;=PRs!D73,"PR!",""),"")</f>
        <v/>
      </c>
      <c r="O74" s="7" t="n"/>
    </row>
    <row r="75">
      <c r="A75" s="34" t="n"/>
      <c r="B75" s="34" t="n"/>
      <c r="C75" s="42" t="inlineStr">
        <is>
          <t>Power Clean</t>
        </is>
      </c>
      <c r="D75" s="34" t="inlineStr">
        <is>
          <t>4 x 3</t>
        </is>
      </c>
      <c r="E75" s="34" t="n"/>
      <c r="F75" s="34" t="n">
        <v>72.5</v>
      </c>
      <c r="G75" s="36">
        <f>Maxes!E42</f>
        <v/>
      </c>
      <c r="H75" s="37">
        <f>IF(OR(G75="",F75=""),"",MROUND(G75*F75/100,'Start Here'!$B$7))</f>
        <v/>
      </c>
      <c r="I75" s="34" t="n"/>
      <c r="J75" s="34" t="n"/>
      <c r="K75" s="34" t="n"/>
      <c r="L75" s="34" t="n"/>
      <c r="M75" s="34" t="n"/>
      <c r="N75" s="34" t="n"/>
      <c r="O75" s="38" t="inlineStr"/>
    </row>
    <row r="76">
      <c r="C76" t="inlineStr">
        <is>
          <t xml:space="preserve">      Set 1</t>
        </is>
      </c>
      <c r="E76" t="n">
        <v>3</v>
      </c>
      <c r="H76" s="39">
        <f>IF(H75="","",H75)</f>
        <v/>
      </c>
      <c r="I76" s="7">
        <f>IF(H75="","",H75)</f>
        <v/>
      </c>
      <c r="J76" s="7" t="n">
        <v>3</v>
      </c>
      <c r="K76" s="7" t="n"/>
      <c r="L76" s="40" t="n"/>
      <c r="M76">
        <f>IF(AND(L76&lt;&gt;"",N(I76)&gt;0,N(J76)&gt;0),IF(J76=1,I76,ROUND(I76*(1+J76/30),1)),"")</f>
        <v/>
      </c>
      <c r="N76" s="41">
        <f>IF(M76="","",IF(M76&gt;=PRs!C42,"PR!",""))</f>
        <v/>
      </c>
      <c r="O76" s="7" t="n"/>
    </row>
    <row r="77">
      <c r="C77" t="inlineStr">
        <is>
          <t xml:space="preserve">      Set 2</t>
        </is>
      </c>
      <c r="E77" t="n">
        <v>3</v>
      </c>
      <c r="H77" s="39">
        <f>IF(H75="","",H75)</f>
        <v/>
      </c>
      <c r="I77" s="7">
        <f>IF(H75="","",H75)</f>
        <v/>
      </c>
      <c r="J77" s="7" t="n">
        <v>3</v>
      </c>
      <c r="K77" s="7" t="n"/>
      <c r="L77" s="40" t="n"/>
      <c r="M77">
        <f>IF(AND(L77&lt;&gt;"",N(I77)&gt;0,N(J77)&gt;0),IF(J77=1,I77,ROUND(I77*(1+J77/30),1)),"")</f>
        <v/>
      </c>
      <c r="N77" s="41">
        <f>IF(M77="","",IF(M77&gt;=PRs!C42,"PR!",""))</f>
        <v/>
      </c>
      <c r="O77" s="7" t="n"/>
    </row>
    <row r="78">
      <c r="C78" t="inlineStr">
        <is>
          <t xml:space="preserve">      Set 3</t>
        </is>
      </c>
      <c r="E78" t="n">
        <v>3</v>
      </c>
      <c r="H78" s="39">
        <f>IF(H75="","",H75)</f>
        <v/>
      </c>
      <c r="I78" s="7">
        <f>IF(H75="","",H75)</f>
        <v/>
      </c>
      <c r="J78" s="7" t="n">
        <v>3</v>
      </c>
      <c r="K78" s="7" t="n"/>
      <c r="L78" s="40" t="n"/>
      <c r="M78">
        <f>IF(AND(L78&lt;&gt;"",N(I78)&gt;0,N(J78)&gt;0),IF(J78=1,I78,ROUND(I78*(1+J78/30),1)),"")</f>
        <v/>
      </c>
      <c r="N78" s="41">
        <f>IF(M78="","",IF(M78&gt;=PRs!C42,"PR!",""))</f>
        <v/>
      </c>
      <c r="O78" s="7" t="n"/>
    </row>
    <row r="79">
      <c r="C79" t="inlineStr">
        <is>
          <t xml:space="preserve">      Set 4</t>
        </is>
      </c>
      <c r="E79" t="n">
        <v>3</v>
      </c>
      <c r="H79" s="39">
        <f>IF(H75="","",H75)</f>
        <v/>
      </c>
      <c r="I79" s="7">
        <f>IF(H75="","",H75)</f>
        <v/>
      </c>
      <c r="J79" s="7" t="n">
        <v>3</v>
      </c>
      <c r="K79" s="7" t="n"/>
      <c r="L79" s="40" t="n"/>
      <c r="M79">
        <f>IF(AND(L79&lt;&gt;"",N(I79)&gt;0,N(J79)&gt;0),IF(J79=1,I79,ROUND(I79*(1+J79/30),1)),"")</f>
        <v/>
      </c>
      <c r="N79" s="41">
        <f>IF(M79="","",IF(M79&gt;=PRs!C42,"PR!",""))</f>
        <v/>
      </c>
      <c r="O79" s="7" t="n"/>
    </row>
    <row r="80">
      <c r="A80" s="34" t="n"/>
      <c r="B80" s="34" t="n"/>
      <c r="C80" s="42" t="inlineStr">
        <is>
          <t>Pause Squat</t>
        </is>
      </c>
      <c r="D80" s="34" t="inlineStr">
        <is>
          <t>3 x 6</t>
        </is>
      </c>
      <c r="E80" s="34" t="n"/>
      <c r="F80" s="34" t="n">
        <v>72.5</v>
      </c>
      <c r="G80" s="36">
        <f>Maxes!E9</f>
        <v/>
      </c>
      <c r="H80" s="37">
        <f>IF(OR(G80="",F80=""),"",MROUND(G80*F80/100,'Start Here'!$B$7))</f>
        <v/>
      </c>
      <c r="I80" s="34" t="n"/>
      <c r="J80" s="34" t="n"/>
      <c r="K80" s="34" t="n"/>
      <c r="L80" s="34" t="n"/>
      <c r="M80" s="34" t="n"/>
      <c r="N80" s="34" t="n"/>
      <c r="O80" s="38" t="inlineStr"/>
    </row>
    <row r="81">
      <c r="C81" t="inlineStr">
        <is>
          <t xml:space="preserve">      Set 1</t>
        </is>
      </c>
      <c r="E81" t="n">
        <v>6</v>
      </c>
      <c r="H81" s="39">
        <f>IF(H80="","",H80)</f>
        <v/>
      </c>
      <c r="I81" s="7">
        <f>IF(H80="","",H80)</f>
        <v/>
      </c>
      <c r="J81" s="7" t="n">
        <v>6</v>
      </c>
      <c r="K81" s="7" t="n"/>
      <c r="L81" s="40" t="n"/>
      <c r="M81">
        <f>IF(AND(L81&lt;&gt;"",N(I81)&gt;0,N(J81)&gt;0),IF(J81=1,I81,ROUND(I81*(1+J81/30),1)),"")</f>
        <v/>
      </c>
      <c r="N81" s="41">
        <f>IF(M81="","",IF(M81&gt;=PRs!C9,"PR!",""))</f>
        <v/>
      </c>
      <c r="O81" s="7" t="n"/>
    </row>
    <row r="82">
      <c r="C82" t="inlineStr">
        <is>
          <t xml:space="preserve">      Set 2</t>
        </is>
      </c>
      <c r="E82" t="n">
        <v>6</v>
      </c>
      <c r="H82" s="39">
        <f>IF(H80="","",H80)</f>
        <v/>
      </c>
      <c r="I82" s="7">
        <f>IF(H80="","",H80)</f>
        <v/>
      </c>
      <c r="J82" s="7" t="n">
        <v>6</v>
      </c>
      <c r="K82" s="7" t="n"/>
      <c r="L82" s="40" t="n"/>
      <c r="M82">
        <f>IF(AND(L82&lt;&gt;"",N(I82)&gt;0,N(J82)&gt;0),IF(J82=1,I82,ROUND(I82*(1+J82/30),1)),"")</f>
        <v/>
      </c>
      <c r="N82" s="41">
        <f>IF(M82="","",IF(M82&gt;=PRs!C9,"PR!",""))</f>
        <v/>
      </c>
      <c r="O82" s="7" t="n"/>
    </row>
    <row r="83">
      <c r="C83" t="inlineStr">
        <is>
          <t xml:space="preserve">      Set 3</t>
        </is>
      </c>
      <c r="E83" t="n">
        <v>6</v>
      </c>
      <c r="H83" s="39">
        <f>IF(H80="","",H80)</f>
        <v/>
      </c>
      <c r="I83" s="7">
        <f>IF(H80="","",H80)</f>
        <v/>
      </c>
      <c r="J83" s="7" t="n">
        <v>6</v>
      </c>
      <c r="K83" s="7" t="n"/>
      <c r="L83" s="40" t="n"/>
      <c r="M83">
        <f>IF(AND(L83&lt;&gt;"",N(I83)&gt;0,N(J83)&gt;0),IF(J83=1,I83,ROUND(I83*(1+J83/30),1)),"")</f>
        <v/>
      </c>
      <c r="N83" s="41">
        <f>IF(M83="","",IF(M83&gt;=PRs!C9,"PR!",""))</f>
        <v/>
      </c>
      <c r="O83" s="7" t="n"/>
    </row>
    <row r="84">
      <c r="A84" s="34" t="n"/>
      <c r="B84" s="34" t="n"/>
      <c r="C84" s="42" t="inlineStr">
        <is>
          <t>2-Board Press</t>
        </is>
      </c>
      <c r="D84" s="34" t="inlineStr">
        <is>
          <t>3 x 6</t>
        </is>
      </c>
      <c r="E84" s="34" t="n"/>
      <c r="F84" s="34" t="n">
        <v>72.5</v>
      </c>
      <c r="G84" s="36">
        <f>Maxes!E16</f>
        <v/>
      </c>
      <c r="H84" s="37">
        <f>IF(OR(G84="",F84=""),"",MROUND(G84*F84/100,'Start Here'!$B$7))</f>
        <v/>
      </c>
      <c r="I84" s="34" t="n"/>
      <c r="J84" s="34" t="n"/>
      <c r="K84" s="34" t="n"/>
      <c r="L84" s="34" t="n"/>
      <c r="M84" s="34" t="n"/>
      <c r="N84" s="34" t="n"/>
      <c r="O84" s="38" t="inlineStr"/>
    </row>
    <row r="85">
      <c r="C85" t="inlineStr">
        <is>
          <t xml:space="preserve">      Set 1</t>
        </is>
      </c>
      <c r="E85" t="n">
        <v>6</v>
      </c>
      <c r="H85" s="39">
        <f>IF(H84="","",H84)</f>
        <v/>
      </c>
      <c r="I85" s="7">
        <f>IF(H84="","",H84)</f>
        <v/>
      </c>
      <c r="J85" s="7" t="n">
        <v>6</v>
      </c>
      <c r="K85" s="7" t="n"/>
      <c r="L85" s="40" t="n"/>
      <c r="M85">
        <f>IF(AND(L85&lt;&gt;"",N(I85)&gt;0,N(J85)&gt;0),IF(J85=1,I85,ROUND(I85*(1+J85/30),1)),"")</f>
        <v/>
      </c>
      <c r="N85" s="41">
        <f>IF(M85="","",IF(M85&gt;=PRs!C16,"PR!",""))</f>
        <v/>
      </c>
      <c r="O85" s="7" t="n"/>
    </row>
    <row r="86">
      <c r="C86" t="inlineStr">
        <is>
          <t xml:space="preserve">      Set 2</t>
        </is>
      </c>
      <c r="E86" t="n">
        <v>6</v>
      </c>
      <c r="H86" s="39">
        <f>IF(H84="","",H84)</f>
        <v/>
      </c>
      <c r="I86" s="7">
        <f>IF(H84="","",H84)</f>
        <v/>
      </c>
      <c r="J86" s="7" t="n">
        <v>6</v>
      </c>
      <c r="K86" s="7" t="n"/>
      <c r="L86" s="40" t="n"/>
      <c r="M86">
        <f>IF(AND(L86&lt;&gt;"",N(I86)&gt;0,N(J86)&gt;0),IF(J86=1,I86,ROUND(I86*(1+J86/30),1)),"")</f>
        <v/>
      </c>
      <c r="N86" s="41">
        <f>IF(M86="","",IF(M86&gt;=PRs!C16,"PR!",""))</f>
        <v/>
      </c>
      <c r="O86" s="7" t="n"/>
    </row>
    <row r="87">
      <c r="C87" t="inlineStr">
        <is>
          <t xml:space="preserve">      Set 3</t>
        </is>
      </c>
      <c r="E87" t="n">
        <v>6</v>
      </c>
      <c r="H87" s="39">
        <f>IF(H84="","",H84)</f>
        <v/>
      </c>
      <c r="I87" s="7">
        <f>IF(H84="","",H84)</f>
        <v/>
      </c>
      <c r="J87" s="7" t="n">
        <v>6</v>
      </c>
      <c r="K87" s="7" t="n"/>
      <c r="L87" s="40" t="n"/>
      <c r="M87">
        <f>IF(AND(L87&lt;&gt;"",N(I87)&gt;0,N(J87)&gt;0),IF(J87=1,I87,ROUND(I87*(1+J87/30),1)),"")</f>
        <v/>
      </c>
      <c r="N87" s="41">
        <f>IF(M87="","",IF(M87&gt;=PRs!C16,"PR!",""))</f>
        <v/>
      </c>
      <c r="O87" s="7" t="n"/>
    </row>
    <row r="88">
      <c r="A88" s="34" t="n"/>
      <c r="B88" s="34" t="n"/>
      <c r="C88" s="42" t="inlineStr">
        <is>
          <t>Deficit Deadlift</t>
        </is>
      </c>
      <c r="D88" s="34" t="inlineStr">
        <is>
          <t>3 x 6</t>
        </is>
      </c>
      <c r="E88" s="34" t="n"/>
      <c r="F88" s="34" t="n">
        <v>65</v>
      </c>
      <c r="G88" s="36">
        <f>Maxes!E24</f>
        <v/>
      </c>
      <c r="H88" s="37">
        <f>IF(OR(G88="",F88=""),"",MROUND(G88*F88/100,'Start Here'!$B$7))</f>
        <v/>
      </c>
      <c r="I88" s="34" t="n"/>
      <c r="J88" s="34" t="n"/>
      <c r="K88" s="34" t="n"/>
      <c r="L88" s="34" t="n"/>
      <c r="M88" s="34" t="n"/>
      <c r="N88" s="34" t="n"/>
      <c r="O88" s="38" t="inlineStr"/>
    </row>
    <row r="89">
      <c r="C89" t="inlineStr">
        <is>
          <t xml:space="preserve">      Set 1</t>
        </is>
      </c>
      <c r="E89" t="n">
        <v>6</v>
      </c>
      <c r="H89" s="39">
        <f>IF(H88="","",H88)</f>
        <v/>
      </c>
      <c r="I89" s="7">
        <f>IF(H88="","",H88)</f>
        <v/>
      </c>
      <c r="J89" s="7" t="n">
        <v>6</v>
      </c>
      <c r="K89" s="7" t="n"/>
      <c r="L89" s="40" t="n"/>
      <c r="M89">
        <f>IF(AND(L89&lt;&gt;"",N(I89)&gt;0,N(J89)&gt;0),IF(J89=1,I89,ROUND(I89*(1+J89/30),1)),"")</f>
        <v/>
      </c>
      <c r="N89" s="41">
        <f>IF(M89="","",IF(M89&gt;=PRs!C24,"PR!",""))</f>
        <v/>
      </c>
      <c r="O89" s="7" t="n"/>
    </row>
    <row r="90">
      <c r="C90" t="inlineStr">
        <is>
          <t xml:space="preserve">      Set 2</t>
        </is>
      </c>
      <c r="E90" t="n">
        <v>6</v>
      </c>
      <c r="H90" s="39">
        <f>IF(H88="","",H88)</f>
        <v/>
      </c>
      <c r="I90" s="7">
        <f>IF(H88="","",H88)</f>
        <v/>
      </c>
      <c r="J90" s="7" t="n">
        <v>6</v>
      </c>
      <c r="K90" s="7" t="n"/>
      <c r="L90" s="40" t="n"/>
      <c r="M90">
        <f>IF(AND(L90&lt;&gt;"",N(I90)&gt;0,N(J90)&gt;0),IF(J90=1,I90,ROUND(I90*(1+J90/30),1)),"")</f>
        <v/>
      </c>
      <c r="N90" s="41">
        <f>IF(M90="","",IF(M90&gt;=PRs!C24,"PR!",""))</f>
        <v/>
      </c>
      <c r="O90" s="7" t="n"/>
    </row>
    <row r="91">
      <c r="C91" t="inlineStr">
        <is>
          <t xml:space="preserve">      Set 3</t>
        </is>
      </c>
      <c r="E91" t="n">
        <v>6</v>
      </c>
      <c r="H91" s="39">
        <f>IF(H88="","",H88)</f>
        <v/>
      </c>
      <c r="I91" s="7">
        <f>IF(H88="","",H88)</f>
        <v/>
      </c>
      <c r="J91" s="7" t="n">
        <v>6</v>
      </c>
      <c r="K91" s="7" t="n"/>
      <c r="L91" s="40" t="n"/>
      <c r="M91">
        <f>IF(AND(L91&lt;&gt;"",N(I91)&gt;0,N(J91)&gt;0),IF(J91=1,I91,ROUND(I91*(1+J91/30),1)),"")</f>
        <v/>
      </c>
      <c r="N91" s="41">
        <f>IF(M91="","",IF(M91&gt;=PRs!C24,"PR!",""))</f>
        <v/>
      </c>
      <c r="O91" s="7" t="n"/>
    </row>
    <row r="92">
      <c r="A92" s="34" t="n"/>
      <c r="B92" s="34" t="n"/>
      <c r="C92" s="43" t="inlineStr">
        <is>
          <t>Incline Dumbbell Press</t>
        </is>
      </c>
      <c r="D92" s="34" t="inlineStr">
        <is>
          <t>3 x 8-12</t>
        </is>
      </c>
      <c r="E92" s="34" t="n"/>
      <c r="F92" s="34" t="n"/>
      <c r="G92" s="36" t="n"/>
      <c r="H92" s="37" t="n"/>
      <c r="I92" s="34" t="n"/>
      <c r="J92" s="34" t="n"/>
      <c r="K92" s="34" t="n"/>
      <c r="L92" s="34" t="n"/>
      <c r="M92" s="34" t="n"/>
      <c r="N92" s="34" t="n"/>
      <c r="O92" s="38" t="inlineStr">
        <is>
          <t>Leave 1-2 reps in the tank; add weight when you hit the top of the range</t>
        </is>
      </c>
    </row>
    <row r="93">
      <c r="C93" t="inlineStr">
        <is>
          <t xml:space="preserve">      Set 1</t>
        </is>
      </c>
      <c r="E93" t="n">
        <v>8</v>
      </c>
      <c r="H93" s="39">
        <f>IF(H92="","",H92)</f>
        <v/>
      </c>
      <c r="I93" s="7">
        <f>IF(H92="","",H92)</f>
        <v/>
      </c>
      <c r="J93" s="7" t="n">
        <v>8</v>
      </c>
      <c r="K93" s="7" t="n"/>
      <c r="L93" s="40" t="n"/>
      <c r="M93">
        <f>IF(AND(L93&lt;&gt;"",N(I93)&gt;0,N(J93)&gt;0),IF(J93=1,I93,ROUND(I93*(1+J93/30),1)),"")</f>
        <v/>
      </c>
      <c r="N93" s="41">
        <f>IF(M93="","",IF(M93&gt;=PRs!C57,"PR!",""))</f>
        <v/>
      </c>
      <c r="O93" s="7" t="n"/>
    </row>
    <row r="94">
      <c r="C94" t="inlineStr">
        <is>
          <t xml:space="preserve">      Set 2</t>
        </is>
      </c>
      <c r="E94" t="n">
        <v>8</v>
      </c>
      <c r="H94" s="39">
        <f>IF(H92="","",H92)</f>
        <v/>
      </c>
      <c r="I94" s="7">
        <f>IF(H92="","",H92)</f>
        <v/>
      </c>
      <c r="J94" s="7" t="n">
        <v>8</v>
      </c>
      <c r="K94" s="7" t="n"/>
      <c r="L94" s="40" t="n"/>
      <c r="M94">
        <f>IF(AND(L94&lt;&gt;"",N(I94)&gt;0,N(J94)&gt;0),IF(J94=1,I94,ROUND(I94*(1+J94/30),1)),"")</f>
        <v/>
      </c>
      <c r="N94" s="41">
        <f>IF(M94="","",IF(M94&gt;=PRs!C57,"PR!",""))</f>
        <v/>
      </c>
      <c r="O94" s="7" t="n"/>
    </row>
    <row r="95">
      <c r="C95" t="inlineStr">
        <is>
          <t xml:space="preserve">      Set 3</t>
        </is>
      </c>
      <c r="E95" t="n">
        <v>8</v>
      </c>
      <c r="H95" s="39">
        <f>IF(H92="","",H92)</f>
        <v/>
      </c>
      <c r="I95" s="7">
        <f>IF(H92="","",H92)</f>
        <v/>
      </c>
      <c r="J95" s="7" t="n">
        <v>8</v>
      </c>
      <c r="K95" s="7" t="n"/>
      <c r="L95" s="40" t="n"/>
      <c r="M95">
        <f>IF(AND(L95&lt;&gt;"",N(I95)&gt;0,N(J95)&gt;0),IF(J95=1,I95,ROUND(I95*(1+J95/30),1)),"")</f>
        <v/>
      </c>
      <c r="N95" s="41">
        <f>IF(M95="","",IF(M95&gt;=PRs!C57,"PR!",""))</f>
        <v/>
      </c>
      <c r="O95" s="7" t="n"/>
    </row>
    <row r="96">
      <c r="A96" s="34" t="n"/>
      <c r="B96" s="34" t="n"/>
      <c r="C96" s="43" t="inlineStr">
        <is>
          <t>Triceps Pushdown</t>
        </is>
      </c>
      <c r="D96" s="34" t="inlineStr">
        <is>
          <t>3 x 10-15</t>
        </is>
      </c>
      <c r="E96" s="34" t="n"/>
      <c r="F96" s="34" t="n"/>
      <c r="G96" s="36" t="n"/>
      <c r="H96" s="37" t="n"/>
      <c r="I96" s="34" t="n"/>
      <c r="J96" s="34" t="n"/>
      <c r="K96" s="34" t="n"/>
      <c r="L96" s="34" t="n"/>
      <c r="M96" s="34" t="n"/>
      <c r="N96" s="34" t="n"/>
      <c r="O96" s="38" t="inlineStr">
        <is>
          <t>Leave 1-2 reps in the tank; add weight when you hit the top of the range</t>
        </is>
      </c>
    </row>
    <row r="97">
      <c r="C97" t="inlineStr">
        <is>
          <t xml:space="preserve">      Set 1</t>
        </is>
      </c>
      <c r="E97" t="n">
        <v>10</v>
      </c>
      <c r="H97" s="39">
        <f>IF(H96="","",H96)</f>
        <v/>
      </c>
      <c r="I97" s="7">
        <f>IF(H96="","",H96)</f>
        <v/>
      </c>
      <c r="J97" s="7" t="n">
        <v>10</v>
      </c>
      <c r="K97" s="7" t="n"/>
      <c r="L97" s="40" t="n"/>
      <c r="M97">
        <f>IF(AND(L97&lt;&gt;"",N(I97)&gt;0,N(J97)&gt;0),IF(J97=1,I97,ROUND(I97*(1+J97/30),1)),"")</f>
        <v/>
      </c>
      <c r="N97" s="41">
        <f>IF(M97="","",IF(M97&gt;=PRs!C59,"PR!",""))</f>
        <v/>
      </c>
      <c r="O97" s="7" t="n"/>
    </row>
    <row r="98">
      <c r="C98" t="inlineStr">
        <is>
          <t xml:space="preserve">      Set 2</t>
        </is>
      </c>
      <c r="E98" t="n">
        <v>10</v>
      </c>
      <c r="H98" s="39">
        <f>IF(H96="","",H96)</f>
        <v/>
      </c>
      <c r="I98" s="7">
        <f>IF(H96="","",H96)</f>
        <v/>
      </c>
      <c r="J98" s="7" t="n">
        <v>10</v>
      </c>
      <c r="K98" s="7" t="n"/>
      <c r="L98" s="40" t="n"/>
      <c r="M98">
        <f>IF(AND(L98&lt;&gt;"",N(I98)&gt;0,N(J98)&gt;0),IF(J98=1,I98,ROUND(I98*(1+J98/30),1)),"")</f>
        <v/>
      </c>
      <c r="N98" s="41">
        <f>IF(M98="","",IF(M98&gt;=PRs!C59,"PR!",""))</f>
        <v/>
      </c>
      <c r="O98" s="7" t="n"/>
    </row>
    <row r="99">
      <c r="C99" t="inlineStr">
        <is>
          <t xml:space="preserve">      Set 3</t>
        </is>
      </c>
      <c r="E99" t="n">
        <v>10</v>
      </c>
      <c r="H99" s="39">
        <f>IF(H96="","",H96)</f>
        <v/>
      </c>
      <c r="I99" s="7">
        <f>IF(H96="","",H96)</f>
        <v/>
      </c>
      <c r="J99" s="7" t="n">
        <v>10</v>
      </c>
      <c r="K99" s="7" t="n"/>
      <c r="L99" s="40" t="n"/>
      <c r="M99">
        <f>IF(AND(L99&lt;&gt;"",N(I99)&gt;0,N(J99)&gt;0),IF(J99=1,I99,ROUND(I99*(1+J99/30),1)),"")</f>
        <v/>
      </c>
      <c r="N99" s="41">
        <f>IF(M99="","",IF(M99&gt;=PRs!C59,"PR!",""))</f>
        <v/>
      </c>
      <c r="O99" s="7" t="n"/>
    </row>
    <row r="101">
      <c r="A101" s="51" t="inlineStr">
        <is>
          <t>WEEK 6 - CYCLE 1 - TRANSMUTATION</t>
        </is>
      </c>
      <c r="B101" s="52" t="n"/>
      <c r="C101" s="52" t="n"/>
      <c r="D101" s="52" t="n"/>
      <c r="E101" s="52" t="n"/>
      <c r="F101" s="52" t="n"/>
      <c r="G101" s="52" t="n"/>
      <c r="H101" s="53" t="inlineStr">
        <is>
          <t>Bodyweight:</t>
        </is>
      </c>
      <c r="I101" s="7" t="n"/>
      <c r="J101" s="52" t="n"/>
      <c r="K101" s="52" t="n"/>
      <c r="L101" s="52" t="n"/>
      <c r="M101" s="52" t="n"/>
      <c r="N101" s="52" t="n"/>
      <c r="O101" s="52" t="n"/>
    </row>
    <row r="102">
      <c r="A102" s="31" t="inlineStr">
        <is>
          <t>Day 1 - Heavy</t>
        </is>
      </c>
      <c r="B102" s="32">
        <f>'Start Here'!$B$8+35</f>
        <v/>
      </c>
      <c r="C102" s="33" t="n"/>
      <c r="D102" s="33" t="n"/>
      <c r="E102" s="33" t="n"/>
      <c r="F102" s="33" t="n"/>
      <c r="G102" s="33" t="n"/>
      <c r="H102" s="33" t="n"/>
      <c r="I102" s="33" t="n"/>
      <c r="J102" s="33" t="n"/>
      <c r="K102" s="33" t="n"/>
      <c r="L102" s="33" t="n"/>
      <c r="M102" s="33" t="n"/>
      <c r="N102" s="33" t="n"/>
      <c r="O102" s="33" t="n"/>
    </row>
    <row r="103">
      <c r="A103" s="34" t="n"/>
      <c r="B103" s="34" t="n"/>
      <c r="C103" s="35" t="inlineStr">
        <is>
          <t>Box Jump</t>
        </is>
      </c>
      <c r="D103" s="34" t="inlineStr">
        <is>
          <t>4 x 3</t>
        </is>
      </c>
      <c r="E103" s="34" t="n"/>
      <c r="F103" s="34" t="n"/>
      <c r="G103" s="36" t="n"/>
      <c r="H103" s="37">
        <f>IF(N(Maxes!E69)&gt;0,Maxes!E69,'Start Here'!$G$16)</f>
        <v/>
      </c>
      <c r="I103" s="34" t="n"/>
      <c r="J103" s="34" t="n"/>
      <c r="K103" s="34" t="n"/>
      <c r="L103" s="34" t="n"/>
      <c r="M103" s="34" t="n"/>
      <c r="N103" s="34" t="n"/>
      <c r="O103" s="38" t="inlineStr">
        <is>
          <t>Two-foot jump onto a box, land soft in a quarter squat, STEP down. Log the box height (floor to top of box).</t>
        </is>
      </c>
    </row>
    <row r="104">
      <c r="C104" t="inlineStr">
        <is>
          <t xml:space="preserve">      Set 1</t>
        </is>
      </c>
      <c r="E104" t="n">
        <v>3</v>
      </c>
      <c r="H104" s="39">
        <f>IF(H103="","",H103)</f>
        <v/>
      </c>
      <c r="I104" s="7">
        <f>IF(H103="","",H103)</f>
        <v/>
      </c>
      <c r="J104" s="7" t="n">
        <v>3</v>
      </c>
      <c r="K104" s="7" t="n"/>
      <c r="L104" s="40" t="n"/>
      <c r="N104" s="41">
        <f>IF(AND(L104&lt;&gt;"",N(I104)&gt;0),IF(I104&gt;=PRs!D69,"PR!",""),"")</f>
        <v/>
      </c>
      <c r="O104" s="7" t="n"/>
    </row>
    <row r="105">
      <c r="C105" t="inlineStr">
        <is>
          <t xml:space="preserve">      Set 2</t>
        </is>
      </c>
      <c r="E105" t="n">
        <v>3</v>
      </c>
      <c r="H105" s="39">
        <f>IF(H103="","",H103)</f>
        <v/>
      </c>
      <c r="I105" s="7">
        <f>IF(H103="","",H103)</f>
        <v/>
      </c>
      <c r="J105" s="7" t="n">
        <v>3</v>
      </c>
      <c r="K105" s="7" t="n"/>
      <c r="L105" s="40" t="n"/>
      <c r="N105" s="41">
        <f>IF(AND(L105&lt;&gt;"",N(I105)&gt;0),IF(I105&gt;=PRs!D69,"PR!",""),"")</f>
        <v/>
      </c>
      <c r="O105" s="7" t="n"/>
    </row>
    <row r="106">
      <c r="C106" t="inlineStr">
        <is>
          <t xml:space="preserve">      Set 3</t>
        </is>
      </c>
      <c r="E106" t="n">
        <v>3</v>
      </c>
      <c r="H106" s="39">
        <f>IF(H103="","",H103)</f>
        <v/>
      </c>
      <c r="I106" s="7">
        <f>IF(H103="","",H103)</f>
        <v/>
      </c>
      <c r="J106" s="7" t="n">
        <v>3</v>
      </c>
      <c r="K106" s="7" t="n"/>
      <c r="L106" s="40" t="n"/>
      <c r="N106" s="41">
        <f>IF(AND(L106&lt;&gt;"",N(I106)&gt;0),IF(I106&gt;=PRs!D69,"PR!",""),"")</f>
        <v/>
      </c>
      <c r="O106" s="7" t="n"/>
    </row>
    <row r="107">
      <c r="C107" t="inlineStr">
        <is>
          <t xml:space="preserve">      Set 4</t>
        </is>
      </c>
      <c r="E107" t="n">
        <v>3</v>
      </c>
      <c r="H107" s="39">
        <f>IF(H103="","",H103)</f>
        <v/>
      </c>
      <c r="I107" s="7">
        <f>IF(H103="","",H103)</f>
        <v/>
      </c>
      <c r="J107" s="7" t="n">
        <v>3</v>
      </c>
      <c r="K107" s="7" t="n"/>
      <c r="L107" s="40" t="n"/>
      <c r="N107" s="41">
        <f>IF(AND(L107&lt;&gt;"",N(I107)&gt;0),IF(I107&gt;=PRs!D69,"PR!",""),"")</f>
        <v/>
      </c>
      <c r="O107" s="7" t="n"/>
    </row>
    <row r="108">
      <c r="A108" s="34" t="n"/>
      <c r="B108" s="34" t="n"/>
      <c r="C108" s="42" t="inlineStr">
        <is>
          <t>Snatch</t>
        </is>
      </c>
      <c r="D108" s="34" t="inlineStr">
        <is>
          <t>5 x 2</t>
        </is>
      </c>
      <c r="E108" s="34" t="n"/>
      <c r="F108" s="34" t="n">
        <v>80</v>
      </c>
      <c r="G108" s="36">
        <f>Maxes!E6</f>
        <v/>
      </c>
      <c r="H108" s="37">
        <f>IF(OR(G108="",F108=""),"",MROUND(G108*F108/100,'Start Here'!$B$7))</f>
        <v/>
      </c>
      <c r="I108" s="34" t="n"/>
      <c r="J108" s="34" t="n"/>
      <c r="K108" s="34" t="n"/>
      <c r="L108" s="34" t="n"/>
      <c r="M108" s="34" t="n"/>
      <c r="N108" s="34" t="n"/>
      <c r="O108" s="38" t="inlineStr"/>
    </row>
    <row r="109">
      <c r="C109" t="inlineStr">
        <is>
          <t xml:space="preserve">      Set 1</t>
        </is>
      </c>
      <c r="E109" t="n">
        <v>2</v>
      </c>
      <c r="H109" s="39">
        <f>IF(H108="","",H108)</f>
        <v/>
      </c>
      <c r="I109" s="7">
        <f>IF(H108="","",H108)</f>
        <v/>
      </c>
      <c r="J109" s="7" t="n">
        <v>2</v>
      </c>
      <c r="K109" s="7" t="n"/>
      <c r="L109" s="40" t="n"/>
      <c r="M109">
        <f>IF(AND(L109&lt;&gt;"",N(I109)&gt;0,N(J109)&gt;0),IF(J109=1,I109,ROUND(I109*(1+J109/30),1)),"")</f>
        <v/>
      </c>
      <c r="N109" s="41">
        <f>IF(M109="","",IF(M109&gt;=PRs!C6,"PR!",""))</f>
        <v/>
      </c>
      <c r="O109" s="7" t="n"/>
    </row>
    <row r="110">
      <c r="C110" t="inlineStr">
        <is>
          <t xml:space="preserve">      Set 2</t>
        </is>
      </c>
      <c r="E110" t="n">
        <v>2</v>
      </c>
      <c r="H110" s="39">
        <f>IF(H108="","",H108)</f>
        <v/>
      </c>
      <c r="I110" s="7">
        <f>IF(H108="","",H108)</f>
        <v/>
      </c>
      <c r="J110" s="7" t="n">
        <v>2</v>
      </c>
      <c r="K110" s="7" t="n"/>
      <c r="L110" s="40" t="n"/>
      <c r="M110">
        <f>IF(AND(L110&lt;&gt;"",N(I110)&gt;0,N(J110)&gt;0),IF(J110=1,I110,ROUND(I110*(1+J110/30),1)),"")</f>
        <v/>
      </c>
      <c r="N110" s="41">
        <f>IF(M110="","",IF(M110&gt;=PRs!C6,"PR!",""))</f>
        <v/>
      </c>
      <c r="O110" s="7" t="n"/>
    </row>
    <row r="111">
      <c r="C111" t="inlineStr">
        <is>
          <t xml:space="preserve">      Set 3</t>
        </is>
      </c>
      <c r="E111" t="n">
        <v>2</v>
      </c>
      <c r="H111" s="39">
        <f>IF(H108="","",H108)</f>
        <v/>
      </c>
      <c r="I111" s="7">
        <f>IF(H108="","",H108)</f>
        <v/>
      </c>
      <c r="J111" s="7" t="n">
        <v>2</v>
      </c>
      <c r="K111" s="7" t="n"/>
      <c r="L111" s="40" t="n"/>
      <c r="M111">
        <f>IF(AND(L111&lt;&gt;"",N(I111)&gt;0,N(J111)&gt;0),IF(J111=1,I111,ROUND(I111*(1+J111/30),1)),"")</f>
        <v/>
      </c>
      <c r="N111" s="41">
        <f>IF(M111="","",IF(M111&gt;=PRs!C6,"PR!",""))</f>
        <v/>
      </c>
      <c r="O111" s="7" t="n"/>
    </row>
    <row r="112">
      <c r="C112" t="inlineStr">
        <is>
          <t xml:space="preserve">      Set 4</t>
        </is>
      </c>
      <c r="E112" t="n">
        <v>2</v>
      </c>
      <c r="H112" s="39">
        <f>IF(H108="","",H108)</f>
        <v/>
      </c>
      <c r="I112" s="7">
        <f>IF(H108="","",H108)</f>
        <v/>
      </c>
      <c r="J112" s="7" t="n">
        <v>2</v>
      </c>
      <c r="K112" s="7" t="n"/>
      <c r="L112" s="40" t="n"/>
      <c r="M112">
        <f>IF(AND(L112&lt;&gt;"",N(I112)&gt;0,N(J112)&gt;0),IF(J112=1,I112,ROUND(I112*(1+J112/30),1)),"")</f>
        <v/>
      </c>
      <c r="N112" s="41">
        <f>IF(M112="","",IF(M112&gt;=PRs!C6,"PR!",""))</f>
        <v/>
      </c>
      <c r="O112" s="7" t="n"/>
    </row>
    <row r="113">
      <c r="C113" t="inlineStr">
        <is>
          <t xml:space="preserve">      Set 5</t>
        </is>
      </c>
      <c r="E113" t="n">
        <v>2</v>
      </c>
      <c r="H113" s="39">
        <f>IF(H108="","",H108)</f>
        <v/>
      </c>
      <c r="I113" s="7">
        <f>IF(H108="","",H108)</f>
        <v/>
      </c>
      <c r="J113" s="7" t="n">
        <v>2</v>
      </c>
      <c r="K113" s="7" t="n"/>
      <c r="L113" s="40" t="n"/>
      <c r="M113">
        <f>IF(AND(L113&lt;&gt;"",N(I113)&gt;0,N(J113)&gt;0),IF(J113=1,I113,ROUND(I113*(1+J113/30),1)),"")</f>
        <v/>
      </c>
      <c r="N113" s="41">
        <f>IF(M113="","",IF(M113&gt;=PRs!C6,"PR!",""))</f>
        <v/>
      </c>
      <c r="O113" s="7" t="n"/>
    </row>
    <row r="114">
      <c r="A114" s="34" t="n"/>
      <c r="B114" s="34" t="n"/>
      <c r="C114" s="42" t="inlineStr">
        <is>
          <t>Squat</t>
        </is>
      </c>
      <c r="D114" s="34" t="inlineStr">
        <is>
          <t>4 x 4</t>
        </is>
      </c>
      <c r="E114" s="34" t="n"/>
      <c r="F114" s="34" t="n">
        <v>80</v>
      </c>
      <c r="G114" s="36">
        <f>Maxes!E2</f>
        <v/>
      </c>
      <c r="H114" s="37">
        <f>IF(OR(G114="",F114=""),"",MROUND(G114*F114/100,'Start Here'!$B$7))</f>
        <v/>
      </c>
      <c r="I114" s="34" t="n"/>
      <c r="J114" s="34" t="n"/>
      <c r="K114" s="34" t="n"/>
      <c r="L114" s="34" t="n"/>
      <c r="M114" s="34" t="n"/>
      <c r="N114" s="34" t="n"/>
      <c r="O114" s="38" t="inlineStr"/>
    </row>
    <row r="115">
      <c r="C115" t="inlineStr">
        <is>
          <t xml:space="preserve">      Set 1</t>
        </is>
      </c>
      <c r="E115" t="n">
        <v>4</v>
      </c>
      <c r="H115" s="39">
        <f>IF(H114="","",H114)</f>
        <v/>
      </c>
      <c r="I115" s="7">
        <f>IF(H114="","",H114)</f>
        <v/>
      </c>
      <c r="J115" s="7" t="n">
        <v>4</v>
      </c>
      <c r="K115" s="7" t="n"/>
      <c r="L115" s="40" t="n"/>
      <c r="M115">
        <f>IF(AND(L115&lt;&gt;"",N(I115)&gt;0,N(J115)&gt;0),IF(J115=1,I115,ROUND(I115*(1+J115/30),1)),"")</f>
        <v/>
      </c>
      <c r="N115" s="41">
        <f>IF(M115="","",IF(M115&gt;=PRs!C2,"PR!",""))</f>
        <v/>
      </c>
      <c r="O115" s="7" t="n"/>
    </row>
    <row r="116">
      <c r="C116" t="inlineStr">
        <is>
          <t xml:space="preserve">      Set 2</t>
        </is>
      </c>
      <c r="E116" t="n">
        <v>4</v>
      </c>
      <c r="H116" s="39">
        <f>IF(H114="","",H114)</f>
        <v/>
      </c>
      <c r="I116" s="7">
        <f>IF(H114="","",H114)</f>
        <v/>
      </c>
      <c r="J116" s="7" t="n">
        <v>4</v>
      </c>
      <c r="K116" s="7" t="n"/>
      <c r="L116" s="40" t="n"/>
      <c r="M116">
        <f>IF(AND(L116&lt;&gt;"",N(I116)&gt;0,N(J116)&gt;0),IF(J116=1,I116,ROUND(I116*(1+J116/30),1)),"")</f>
        <v/>
      </c>
      <c r="N116" s="41">
        <f>IF(M116="","",IF(M116&gt;=PRs!C2,"PR!",""))</f>
        <v/>
      </c>
      <c r="O116" s="7" t="n"/>
    </row>
    <row r="117">
      <c r="C117" t="inlineStr">
        <is>
          <t xml:space="preserve">      Set 3</t>
        </is>
      </c>
      <c r="E117" t="n">
        <v>4</v>
      </c>
      <c r="H117" s="39">
        <f>IF(H114="","",H114)</f>
        <v/>
      </c>
      <c r="I117" s="7">
        <f>IF(H114="","",H114)</f>
        <v/>
      </c>
      <c r="J117" s="7" t="n">
        <v>4</v>
      </c>
      <c r="K117" s="7" t="n"/>
      <c r="L117" s="40" t="n"/>
      <c r="M117">
        <f>IF(AND(L117&lt;&gt;"",N(I117)&gt;0,N(J117)&gt;0),IF(J117=1,I117,ROUND(I117*(1+J117/30),1)),"")</f>
        <v/>
      </c>
      <c r="N117" s="41">
        <f>IF(M117="","",IF(M117&gt;=PRs!C2,"PR!",""))</f>
        <v/>
      </c>
      <c r="O117" s="7" t="n"/>
    </row>
    <row r="118">
      <c r="C118" t="inlineStr">
        <is>
          <t xml:space="preserve">      Set 4</t>
        </is>
      </c>
      <c r="E118" t="n">
        <v>4</v>
      </c>
      <c r="H118" s="39">
        <f>IF(H114="","",H114)</f>
        <v/>
      </c>
      <c r="I118" s="7">
        <f>IF(H114="","",H114)</f>
        <v/>
      </c>
      <c r="J118" s="7" t="n">
        <v>4</v>
      </c>
      <c r="K118" s="7" t="n"/>
      <c r="L118" s="40" t="n"/>
      <c r="M118">
        <f>IF(AND(L118&lt;&gt;"",N(I118)&gt;0,N(J118)&gt;0),IF(J118=1,I118,ROUND(I118*(1+J118/30),1)),"")</f>
        <v/>
      </c>
      <c r="N118" s="41">
        <f>IF(M118="","",IF(M118&gt;=PRs!C2,"PR!",""))</f>
        <v/>
      </c>
      <c r="O118" s="7" t="n"/>
    </row>
    <row r="119">
      <c r="A119" s="34" t="n"/>
      <c r="B119" s="34" t="n"/>
      <c r="C119" s="42" t="inlineStr">
        <is>
          <t>Bench Press</t>
        </is>
      </c>
      <c r="D119" s="34" t="inlineStr">
        <is>
          <t>4 x 4</t>
        </is>
      </c>
      <c r="E119" s="34" t="n"/>
      <c r="F119" s="34" t="n">
        <v>80</v>
      </c>
      <c r="G119" s="36">
        <f>Maxes!E3</f>
        <v/>
      </c>
      <c r="H119" s="37">
        <f>IF(OR(G119="",F119=""),"",MROUND(G119*F119/100,'Start Here'!$B$7))</f>
        <v/>
      </c>
      <c r="I119" s="34" t="n"/>
      <c r="J119" s="34" t="n"/>
      <c r="K119" s="34" t="n"/>
      <c r="L119" s="34" t="n"/>
      <c r="M119" s="34" t="n"/>
      <c r="N119" s="34" t="n"/>
      <c r="O119" s="38" t="inlineStr"/>
    </row>
    <row r="120">
      <c r="C120" t="inlineStr">
        <is>
          <t xml:space="preserve">      Set 1</t>
        </is>
      </c>
      <c r="E120" t="n">
        <v>4</v>
      </c>
      <c r="H120" s="39">
        <f>IF(H119="","",H119)</f>
        <v/>
      </c>
      <c r="I120" s="7">
        <f>IF(H119="","",H119)</f>
        <v/>
      </c>
      <c r="J120" s="7" t="n">
        <v>4</v>
      </c>
      <c r="K120" s="7" t="n"/>
      <c r="L120" s="40" t="n"/>
      <c r="M120">
        <f>IF(AND(L120&lt;&gt;"",N(I120)&gt;0,N(J120)&gt;0),IF(J120=1,I120,ROUND(I120*(1+J120/30),1)),"")</f>
        <v/>
      </c>
      <c r="N120" s="41">
        <f>IF(M120="","",IF(M120&gt;=PRs!C3,"PR!",""))</f>
        <v/>
      </c>
      <c r="O120" s="7" t="n"/>
    </row>
    <row r="121">
      <c r="C121" t="inlineStr">
        <is>
          <t xml:space="preserve">      Set 2</t>
        </is>
      </c>
      <c r="E121" t="n">
        <v>4</v>
      </c>
      <c r="H121" s="39">
        <f>IF(H119="","",H119)</f>
        <v/>
      </c>
      <c r="I121" s="7">
        <f>IF(H119="","",H119)</f>
        <v/>
      </c>
      <c r="J121" s="7" t="n">
        <v>4</v>
      </c>
      <c r="K121" s="7" t="n"/>
      <c r="L121" s="40" t="n"/>
      <c r="M121">
        <f>IF(AND(L121&lt;&gt;"",N(I121)&gt;0,N(J121)&gt;0),IF(J121=1,I121,ROUND(I121*(1+J121/30),1)),"")</f>
        <v/>
      </c>
      <c r="N121" s="41">
        <f>IF(M121="","",IF(M121&gt;=PRs!C3,"PR!",""))</f>
        <v/>
      </c>
      <c r="O121" s="7" t="n"/>
    </row>
    <row r="122">
      <c r="C122" t="inlineStr">
        <is>
          <t xml:space="preserve">      Set 3</t>
        </is>
      </c>
      <c r="E122" t="n">
        <v>4</v>
      </c>
      <c r="H122" s="39">
        <f>IF(H119="","",H119)</f>
        <v/>
      </c>
      <c r="I122" s="7">
        <f>IF(H119="","",H119)</f>
        <v/>
      </c>
      <c r="J122" s="7" t="n">
        <v>4</v>
      </c>
      <c r="K122" s="7" t="n"/>
      <c r="L122" s="40" t="n"/>
      <c r="M122">
        <f>IF(AND(L122&lt;&gt;"",N(I122)&gt;0,N(J122)&gt;0),IF(J122=1,I122,ROUND(I122*(1+J122/30),1)),"")</f>
        <v/>
      </c>
      <c r="N122" s="41">
        <f>IF(M122="","",IF(M122&gt;=PRs!C3,"PR!",""))</f>
        <v/>
      </c>
      <c r="O122" s="7" t="n"/>
    </row>
    <row r="123">
      <c r="C123" t="inlineStr">
        <is>
          <t xml:space="preserve">      Set 4</t>
        </is>
      </c>
      <c r="E123" t="n">
        <v>4</v>
      </c>
      <c r="H123" s="39">
        <f>IF(H119="","",H119)</f>
        <v/>
      </c>
      <c r="I123" s="7">
        <f>IF(H119="","",H119)</f>
        <v/>
      </c>
      <c r="J123" s="7" t="n">
        <v>4</v>
      </c>
      <c r="K123" s="7" t="n"/>
      <c r="L123" s="40" t="n"/>
      <c r="M123">
        <f>IF(AND(L123&lt;&gt;"",N(I123)&gt;0,N(J123)&gt;0),IF(J123=1,I123,ROUND(I123*(1+J123/30),1)),"")</f>
        <v/>
      </c>
      <c r="N123" s="41">
        <f>IF(M123="","",IF(M123&gt;=PRs!C3,"PR!",""))</f>
        <v/>
      </c>
      <c r="O123" s="7" t="n"/>
    </row>
    <row r="124">
      <c r="A124" s="34" t="n"/>
      <c r="B124" s="34" t="n"/>
      <c r="C124" s="43" t="inlineStr">
        <is>
          <t>Barbell Row</t>
        </is>
      </c>
      <c r="D124" s="34" t="inlineStr">
        <is>
          <t>3 x 8-10</t>
        </is>
      </c>
      <c r="E124" s="34" t="n"/>
      <c r="F124" s="34" t="n"/>
      <c r="G124" s="36" t="n"/>
      <c r="H124" s="37" t="n"/>
      <c r="I124" s="34" t="n"/>
      <c r="J124" s="34" t="n"/>
      <c r="K124" s="34" t="n"/>
      <c r="L124" s="34" t="n"/>
      <c r="M124" s="34" t="n"/>
      <c r="N124" s="34" t="n"/>
      <c r="O124" s="38" t="inlineStr">
        <is>
          <t>Leave 1-2 reps in the tank; add weight when you hit the top of the range</t>
        </is>
      </c>
    </row>
    <row r="125">
      <c r="C125" t="inlineStr">
        <is>
          <t xml:space="preserve">      Set 1</t>
        </is>
      </c>
      <c r="E125" t="n">
        <v>8</v>
      </c>
      <c r="H125" s="39">
        <f>IF(H124="","",H124)</f>
        <v/>
      </c>
      <c r="I125" s="7">
        <f>IF(H124="","",H124)</f>
        <v/>
      </c>
      <c r="J125" s="7" t="n">
        <v>8</v>
      </c>
      <c r="K125" s="7" t="n"/>
      <c r="L125" s="40" t="n"/>
      <c r="M125">
        <f>IF(AND(L125&lt;&gt;"",N(I125)&gt;0,N(J125)&gt;0),IF(J125=1,I125,ROUND(I125*(1+J125/30),1)),"")</f>
        <v/>
      </c>
      <c r="N125" s="41">
        <f>IF(M125="","",IF(M125&gt;=PRs!C50,"PR!",""))</f>
        <v/>
      </c>
      <c r="O125" s="7" t="n"/>
    </row>
    <row r="126">
      <c r="C126" t="inlineStr">
        <is>
          <t xml:space="preserve">      Set 2</t>
        </is>
      </c>
      <c r="E126" t="n">
        <v>8</v>
      </c>
      <c r="H126" s="39">
        <f>IF(H124="","",H124)</f>
        <v/>
      </c>
      <c r="I126" s="7">
        <f>IF(H124="","",H124)</f>
        <v/>
      </c>
      <c r="J126" s="7" t="n">
        <v>8</v>
      </c>
      <c r="K126" s="7" t="n"/>
      <c r="L126" s="40" t="n"/>
      <c r="M126">
        <f>IF(AND(L126&lt;&gt;"",N(I126)&gt;0,N(J126)&gt;0),IF(J126=1,I126,ROUND(I126*(1+J126/30),1)),"")</f>
        <v/>
      </c>
      <c r="N126" s="41">
        <f>IF(M126="","",IF(M126&gt;=PRs!C50,"PR!",""))</f>
        <v/>
      </c>
      <c r="O126" s="7" t="n"/>
    </row>
    <row r="127">
      <c r="C127" t="inlineStr">
        <is>
          <t xml:space="preserve">      Set 3</t>
        </is>
      </c>
      <c r="E127" t="n">
        <v>8</v>
      </c>
      <c r="H127" s="39">
        <f>IF(H124="","",H124)</f>
        <v/>
      </c>
      <c r="I127" s="7">
        <f>IF(H124="","",H124)</f>
        <v/>
      </c>
      <c r="J127" s="7" t="n">
        <v>8</v>
      </c>
      <c r="K127" s="7" t="n"/>
      <c r="L127" s="40" t="n"/>
      <c r="M127">
        <f>IF(AND(L127&lt;&gt;"",N(I127)&gt;0,N(J127)&gt;0),IF(J127=1,I127,ROUND(I127*(1+J127/30),1)),"")</f>
        <v/>
      </c>
      <c r="N127" s="41">
        <f>IF(M127="","",IF(M127&gt;=PRs!C50,"PR!",""))</f>
        <v/>
      </c>
      <c r="O127" s="7" t="n"/>
    </row>
    <row r="128">
      <c r="A128" s="34" t="n"/>
      <c r="B128" s="34" t="n"/>
      <c r="C128" s="43" t="inlineStr">
        <is>
          <t>Face Pull</t>
        </is>
      </c>
      <c r="D128" s="34" t="inlineStr">
        <is>
          <t>3 x 12-15</t>
        </is>
      </c>
      <c r="E128" s="34" t="n"/>
      <c r="F128" s="34" t="n"/>
      <c r="G128" s="36" t="n"/>
      <c r="H128" s="37" t="n"/>
      <c r="I128" s="34" t="n"/>
      <c r="J128" s="34" t="n"/>
      <c r="K128" s="34" t="n"/>
      <c r="L128" s="34" t="n"/>
      <c r="M128" s="34" t="n"/>
      <c r="N128" s="34" t="n"/>
      <c r="O128" s="38" t="inlineStr">
        <is>
          <t>Leave 1-2 reps in the tank; add weight when you hit the top of the range</t>
        </is>
      </c>
    </row>
    <row r="129">
      <c r="C129" t="inlineStr">
        <is>
          <t xml:space="preserve">      Set 1</t>
        </is>
      </c>
      <c r="E129" t="n">
        <v>12</v>
      </c>
      <c r="H129" s="39">
        <f>IF(H128="","",H128)</f>
        <v/>
      </c>
      <c r="I129" s="7">
        <f>IF(H128="","",H128)</f>
        <v/>
      </c>
      <c r="J129" s="7" t="n">
        <v>12</v>
      </c>
      <c r="K129" s="7" t="n"/>
      <c r="L129" s="40" t="n"/>
      <c r="M129">
        <f>IF(AND(L129&lt;&gt;"",N(I129)&gt;0,N(J129)&gt;0),IF(J129=1,I129,ROUND(I129*(1+J129/30),1)),"")</f>
        <v/>
      </c>
      <c r="N129" s="41">
        <f>IF(M129="","",IF(M129&gt;=PRs!C51,"PR!",""))</f>
        <v/>
      </c>
      <c r="O129" s="7" t="n"/>
    </row>
    <row r="130">
      <c r="C130" t="inlineStr">
        <is>
          <t xml:space="preserve">      Set 2</t>
        </is>
      </c>
      <c r="E130" t="n">
        <v>12</v>
      </c>
      <c r="H130" s="39">
        <f>IF(H128="","",H128)</f>
        <v/>
      </c>
      <c r="I130" s="7">
        <f>IF(H128="","",H128)</f>
        <v/>
      </c>
      <c r="J130" s="7" t="n">
        <v>12</v>
      </c>
      <c r="K130" s="7" t="n"/>
      <c r="L130" s="40" t="n"/>
      <c r="M130">
        <f>IF(AND(L130&lt;&gt;"",N(I130)&gt;0,N(J130)&gt;0),IF(J130=1,I130,ROUND(I130*(1+J130/30),1)),"")</f>
        <v/>
      </c>
      <c r="N130" s="41">
        <f>IF(M130="","",IF(M130&gt;=PRs!C51,"PR!",""))</f>
        <v/>
      </c>
      <c r="O130" s="7" t="n"/>
    </row>
    <row r="131">
      <c r="C131" t="inlineStr">
        <is>
          <t xml:space="preserve">      Set 3</t>
        </is>
      </c>
      <c r="E131" t="n">
        <v>12</v>
      </c>
      <c r="H131" s="39">
        <f>IF(H128="","",H128)</f>
        <v/>
      </c>
      <c r="I131" s="7">
        <f>IF(H128="","",H128)</f>
        <v/>
      </c>
      <c r="J131" s="7" t="n">
        <v>12</v>
      </c>
      <c r="K131" s="7" t="n"/>
      <c r="L131" s="40" t="n"/>
      <c r="M131">
        <f>IF(AND(L131&lt;&gt;"",N(I131)&gt;0,N(J131)&gt;0),IF(J131=1,I131,ROUND(I131*(1+J131/30),1)),"")</f>
        <v/>
      </c>
      <c r="N131" s="41">
        <f>IF(M131="","",IF(M131&gt;=PRs!C51,"PR!",""))</f>
        <v/>
      </c>
      <c r="O131" s="7" t="n"/>
    </row>
    <row r="132">
      <c r="A132" s="31" t="inlineStr">
        <is>
          <t>Day 2 - Light</t>
        </is>
      </c>
      <c r="B132" s="32">
        <f>'Start Here'!$B$8+37</f>
        <v/>
      </c>
      <c r="C132" s="33" t="n"/>
      <c r="D132" s="33" t="n"/>
      <c r="E132" s="33" t="n"/>
      <c r="F132" s="33" t="n"/>
      <c r="G132" s="33" t="n"/>
      <c r="H132" s="33" t="n"/>
      <c r="I132" s="33" t="n"/>
      <c r="J132" s="33" t="n"/>
      <c r="K132" s="33" t="n"/>
      <c r="L132" s="33" t="n"/>
      <c r="M132" s="33" t="n"/>
      <c r="N132" s="33" t="n"/>
      <c r="O132" s="33" t="n"/>
    </row>
    <row r="133">
      <c r="A133" s="34" t="n"/>
      <c r="B133" s="34" t="n"/>
      <c r="C133" s="35" t="inlineStr">
        <is>
          <t>Broad Jump</t>
        </is>
      </c>
      <c r="D133" s="34" t="inlineStr">
        <is>
          <t>4 x 3</t>
        </is>
      </c>
      <c r="E133" s="34" t="n"/>
      <c r="F133" s="34" t="n"/>
      <c r="G133" s="36" t="n"/>
      <c r="H133" s="37">
        <f>IF(N(Maxes!E70)&gt;0,Maxes!E70,"")</f>
        <v/>
      </c>
      <c r="I133" s="34" t="n"/>
      <c r="J133" s="34" t="n"/>
      <c r="K133" s="34" t="n"/>
      <c r="L133" s="34" t="n"/>
      <c r="M133" s="34" t="n"/>
      <c r="N133" s="34" t="n"/>
      <c r="O133" s="38" t="inlineStr">
        <is>
          <t>Standing two-foot jump forward, stick the landing. Measure toe line to the back of the nearest heel.</t>
        </is>
      </c>
    </row>
    <row r="134">
      <c r="C134" t="inlineStr">
        <is>
          <t xml:space="preserve">      Set 1</t>
        </is>
      </c>
      <c r="E134" t="n">
        <v>3</v>
      </c>
      <c r="H134" s="39">
        <f>IF(H133="","",H133)</f>
        <v/>
      </c>
      <c r="I134" s="7">
        <f>IF(H133="","",H133)</f>
        <v/>
      </c>
      <c r="J134" s="7" t="n">
        <v>3</v>
      </c>
      <c r="K134" s="7" t="n"/>
      <c r="L134" s="40" t="n"/>
      <c r="N134" s="41">
        <f>IF(AND(L134&lt;&gt;"",N(I134)&gt;0),IF(I134&gt;=PRs!D70,"PR!",""),"")</f>
        <v/>
      </c>
      <c r="O134" s="7" t="n"/>
    </row>
    <row r="135">
      <c r="C135" t="inlineStr">
        <is>
          <t xml:space="preserve">      Set 2</t>
        </is>
      </c>
      <c r="E135" t="n">
        <v>3</v>
      </c>
      <c r="H135" s="39">
        <f>IF(H133="","",H133)</f>
        <v/>
      </c>
      <c r="I135" s="7">
        <f>IF(H133="","",H133)</f>
        <v/>
      </c>
      <c r="J135" s="7" t="n">
        <v>3</v>
      </c>
      <c r="K135" s="7" t="n"/>
      <c r="L135" s="40" t="n"/>
      <c r="N135" s="41">
        <f>IF(AND(L135&lt;&gt;"",N(I135)&gt;0),IF(I135&gt;=PRs!D70,"PR!",""),"")</f>
        <v/>
      </c>
      <c r="O135" s="7" t="n"/>
    </row>
    <row r="136">
      <c r="C136" t="inlineStr">
        <is>
          <t xml:space="preserve">      Set 3</t>
        </is>
      </c>
      <c r="E136" t="n">
        <v>3</v>
      </c>
      <c r="H136" s="39">
        <f>IF(H133="","",H133)</f>
        <v/>
      </c>
      <c r="I136" s="7">
        <f>IF(H133="","",H133)</f>
        <v/>
      </c>
      <c r="J136" s="7" t="n">
        <v>3</v>
      </c>
      <c r="K136" s="7" t="n"/>
      <c r="L136" s="40" t="n"/>
      <c r="N136" s="41">
        <f>IF(AND(L136&lt;&gt;"",N(I136)&gt;0),IF(I136&gt;=PRs!D70,"PR!",""),"")</f>
        <v/>
      </c>
      <c r="O136" s="7" t="n"/>
    </row>
    <row r="137">
      <c r="C137" t="inlineStr">
        <is>
          <t xml:space="preserve">      Set 4</t>
        </is>
      </c>
      <c r="E137" t="n">
        <v>3</v>
      </c>
      <c r="H137" s="39">
        <f>IF(H133="","",H133)</f>
        <v/>
      </c>
      <c r="I137" s="7">
        <f>IF(H133="","",H133)</f>
        <v/>
      </c>
      <c r="J137" s="7" t="n">
        <v>3</v>
      </c>
      <c r="K137" s="7" t="n"/>
      <c r="L137" s="40" t="n"/>
      <c r="N137" s="41">
        <f>IF(AND(L137&lt;&gt;"",N(I137)&gt;0),IF(I137&gt;=PRs!D70,"PR!",""),"")</f>
        <v/>
      </c>
      <c r="O137" s="7" t="n"/>
    </row>
    <row r="138">
      <c r="A138" s="34" t="n"/>
      <c r="B138" s="34" t="n"/>
      <c r="C138" s="35" t="inlineStr">
        <is>
          <t>Med Ball Chest Pass</t>
        </is>
      </c>
      <c r="D138" s="34" t="inlineStr">
        <is>
          <t>3 x 5</t>
        </is>
      </c>
      <c r="E138" s="34" t="n"/>
      <c r="F138" s="34" t="n"/>
      <c r="G138" s="36" t="n"/>
      <c r="H138" s="37">
        <f>IF(N(Maxes!E77)&gt;0,Maxes!E77,"")</f>
        <v/>
      </c>
      <c r="I138" s="34" t="n"/>
      <c r="J138" s="34" t="n"/>
      <c r="K138" s="34" t="n"/>
      <c r="L138" s="34" t="n"/>
      <c r="M138" s="34" t="n"/>
      <c r="N138" s="34" t="n"/>
      <c r="O138" s="38" t="inlineStr">
        <is>
          <t>Kneeling or standing chest pass for distance with a 6-10 lb / 3-5 kg ball. Log the distance.</t>
        </is>
      </c>
    </row>
    <row r="139">
      <c r="C139" t="inlineStr">
        <is>
          <t xml:space="preserve">      Set 1</t>
        </is>
      </c>
      <c r="E139" t="n">
        <v>5</v>
      </c>
      <c r="H139" s="39">
        <f>IF(H138="","",H138)</f>
        <v/>
      </c>
      <c r="I139" s="7">
        <f>IF(H138="","",H138)</f>
        <v/>
      </c>
      <c r="J139" s="7" t="n">
        <v>5</v>
      </c>
      <c r="K139" s="7" t="n"/>
      <c r="L139" s="40" t="n"/>
      <c r="N139" s="41">
        <f>IF(AND(L139&lt;&gt;"",N(I139)&gt;0),IF(I139&gt;=PRs!D77,"PR!",""),"")</f>
        <v/>
      </c>
      <c r="O139" s="7" t="n"/>
    </row>
    <row r="140">
      <c r="C140" t="inlineStr">
        <is>
          <t xml:space="preserve">      Set 2</t>
        </is>
      </c>
      <c r="E140" t="n">
        <v>5</v>
      </c>
      <c r="H140" s="39">
        <f>IF(H138="","",H138)</f>
        <v/>
      </c>
      <c r="I140" s="7">
        <f>IF(H138="","",H138)</f>
        <v/>
      </c>
      <c r="J140" s="7" t="n">
        <v>5</v>
      </c>
      <c r="K140" s="7" t="n"/>
      <c r="L140" s="40" t="n"/>
      <c r="N140" s="41">
        <f>IF(AND(L140&lt;&gt;"",N(I140)&gt;0),IF(I140&gt;=PRs!D77,"PR!",""),"")</f>
        <v/>
      </c>
      <c r="O140" s="7" t="n"/>
    </row>
    <row r="141">
      <c r="C141" t="inlineStr">
        <is>
          <t xml:space="preserve">      Set 3</t>
        </is>
      </c>
      <c r="E141" t="n">
        <v>5</v>
      </c>
      <c r="H141" s="39">
        <f>IF(H138="","",H138)</f>
        <v/>
      </c>
      <c r="I141" s="7">
        <f>IF(H138="","",H138)</f>
        <v/>
      </c>
      <c r="J141" s="7" t="n">
        <v>5</v>
      </c>
      <c r="K141" s="7" t="n"/>
      <c r="L141" s="40" t="n"/>
      <c r="N141" s="41">
        <f>IF(AND(L141&lt;&gt;"",N(I141)&gt;0),IF(I141&gt;=PRs!D77,"PR!",""),"")</f>
        <v/>
      </c>
      <c r="O141" s="7" t="n"/>
    </row>
    <row r="142">
      <c r="A142" s="34" t="n"/>
      <c r="B142" s="34" t="n"/>
      <c r="C142" s="42" t="inlineStr">
        <is>
          <t>Clean &amp; Jerk</t>
        </is>
      </c>
      <c r="D142" s="34" t="inlineStr">
        <is>
          <t>5 x 2</t>
        </is>
      </c>
      <c r="E142" s="34" t="n"/>
      <c r="F142" s="34" t="n">
        <v>80</v>
      </c>
      <c r="G142" s="36">
        <f>Maxes!E7</f>
        <v/>
      </c>
      <c r="H142" s="37">
        <f>IF(OR(G142="",F142=""),"",MROUND(G142*F142/100,'Start Here'!$B$7))</f>
        <v/>
      </c>
      <c r="I142" s="34" t="n"/>
      <c r="J142" s="34" t="n"/>
      <c r="K142" s="34" t="n"/>
      <c r="L142" s="34" t="n"/>
      <c r="M142" s="34" t="n"/>
      <c r="N142" s="34" t="n"/>
      <c r="O142" s="38" t="inlineStr"/>
    </row>
    <row r="143">
      <c r="C143" t="inlineStr">
        <is>
          <t xml:space="preserve">      Set 1</t>
        </is>
      </c>
      <c r="E143" t="n">
        <v>2</v>
      </c>
      <c r="H143" s="39">
        <f>IF(H142="","",H142)</f>
        <v/>
      </c>
      <c r="I143" s="7">
        <f>IF(H142="","",H142)</f>
        <v/>
      </c>
      <c r="J143" s="7" t="n">
        <v>2</v>
      </c>
      <c r="K143" s="7" t="n"/>
      <c r="L143" s="40" t="n"/>
      <c r="M143">
        <f>IF(AND(L143&lt;&gt;"",N(I143)&gt;0,N(J143)&gt;0),IF(J143=1,I143,ROUND(I143*(1+J143/30),1)),"")</f>
        <v/>
      </c>
      <c r="N143" s="41">
        <f>IF(M143="","",IF(M143&gt;=PRs!C7,"PR!",""))</f>
        <v/>
      </c>
      <c r="O143" s="7" t="n"/>
    </row>
    <row r="144">
      <c r="C144" t="inlineStr">
        <is>
          <t xml:space="preserve">      Set 2</t>
        </is>
      </c>
      <c r="E144" t="n">
        <v>2</v>
      </c>
      <c r="H144" s="39">
        <f>IF(H142="","",H142)</f>
        <v/>
      </c>
      <c r="I144" s="7">
        <f>IF(H142="","",H142)</f>
        <v/>
      </c>
      <c r="J144" s="7" t="n">
        <v>2</v>
      </c>
      <c r="K144" s="7" t="n"/>
      <c r="L144" s="40" t="n"/>
      <c r="M144">
        <f>IF(AND(L144&lt;&gt;"",N(I144)&gt;0,N(J144)&gt;0),IF(J144=1,I144,ROUND(I144*(1+J144/30),1)),"")</f>
        <v/>
      </c>
      <c r="N144" s="41">
        <f>IF(M144="","",IF(M144&gt;=PRs!C7,"PR!",""))</f>
        <v/>
      </c>
      <c r="O144" s="7" t="n"/>
    </row>
    <row r="145">
      <c r="C145" t="inlineStr">
        <is>
          <t xml:space="preserve">      Set 3</t>
        </is>
      </c>
      <c r="E145" t="n">
        <v>2</v>
      </c>
      <c r="H145" s="39">
        <f>IF(H142="","",H142)</f>
        <v/>
      </c>
      <c r="I145" s="7">
        <f>IF(H142="","",H142)</f>
        <v/>
      </c>
      <c r="J145" s="7" t="n">
        <v>2</v>
      </c>
      <c r="K145" s="7" t="n"/>
      <c r="L145" s="40" t="n"/>
      <c r="M145">
        <f>IF(AND(L145&lt;&gt;"",N(I145)&gt;0,N(J145)&gt;0),IF(J145=1,I145,ROUND(I145*(1+J145/30),1)),"")</f>
        <v/>
      </c>
      <c r="N145" s="41">
        <f>IF(M145="","",IF(M145&gt;=PRs!C7,"PR!",""))</f>
        <v/>
      </c>
      <c r="O145" s="7" t="n"/>
    </row>
    <row r="146">
      <c r="C146" t="inlineStr">
        <is>
          <t xml:space="preserve">      Set 4</t>
        </is>
      </c>
      <c r="E146" t="n">
        <v>2</v>
      </c>
      <c r="H146" s="39">
        <f>IF(H142="","",H142)</f>
        <v/>
      </c>
      <c r="I146" s="7">
        <f>IF(H142="","",H142)</f>
        <v/>
      </c>
      <c r="J146" s="7" t="n">
        <v>2</v>
      </c>
      <c r="K146" s="7" t="n"/>
      <c r="L146" s="40" t="n"/>
      <c r="M146">
        <f>IF(AND(L146&lt;&gt;"",N(I146)&gt;0,N(J146)&gt;0),IF(J146=1,I146,ROUND(I146*(1+J146/30),1)),"")</f>
        <v/>
      </c>
      <c r="N146" s="41">
        <f>IF(M146="","",IF(M146&gt;=PRs!C7,"PR!",""))</f>
        <v/>
      </c>
      <c r="O146" s="7" t="n"/>
    </row>
    <row r="147">
      <c r="C147" t="inlineStr">
        <is>
          <t xml:space="preserve">      Set 5</t>
        </is>
      </c>
      <c r="E147" t="n">
        <v>2</v>
      </c>
      <c r="H147" s="39">
        <f>IF(H142="","",H142)</f>
        <v/>
      </c>
      <c r="I147" s="7">
        <f>IF(H142="","",H142)</f>
        <v/>
      </c>
      <c r="J147" s="7" t="n">
        <v>2</v>
      </c>
      <c r="K147" s="7" t="n"/>
      <c r="L147" s="40" t="n"/>
      <c r="M147">
        <f>IF(AND(L147&lt;&gt;"",N(I147)&gt;0,N(J147)&gt;0),IF(J147=1,I147,ROUND(I147*(1+J147/30),1)),"")</f>
        <v/>
      </c>
      <c r="N147" s="41">
        <f>IF(M147="","",IF(M147&gt;=PRs!C7,"PR!",""))</f>
        <v/>
      </c>
      <c r="O147" s="7" t="n"/>
    </row>
    <row r="148">
      <c r="A148" s="34" t="n"/>
      <c r="B148" s="34" t="n"/>
      <c r="C148" s="42" t="inlineStr">
        <is>
          <t>Squat</t>
        </is>
      </c>
      <c r="D148" s="34" t="inlineStr">
        <is>
          <t>3 x 6</t>
        </is>
      </c>
      <c r="E148" s="34" t="n"/>
      <c r="F148" s="34" t="n">
        <v>67.5</v>
      </c>
      <c r="G148" s="36">
        <f>Maxes!E2</f>
        <v/>
      </c>
      <c r="H148" s="37">
        <f>IF(OR(G148="",F148=""),"",MROUND(G148*F148/100,'Start Here'!$B$7))</f>
        <v/>
      </c>
      <c r="I148" s="34" t="n"/>
      <c r="J148" s="34" t="n"/>
      <c r="K148" s="34" t="n"/>
      <c r="L148" s="34" t="n"/>
      <c r="M148" s="34" t="n"/>
      <c r="N148" s="34" t="n"/>
      <c r="O148" s="38" t="inlineStr"/>
    </row>
    <row r="149">
      <c r="C149" t="inlineStr">
        <is>
          <t xml:space="preserve">      Set 1</t>
        </is>
      </c>
      <c r="E149" t="n">
        <v>6</v>
      </c>
      <c r="H149" s="39">
        <f>IF(H148="","",H148)</f>
        <v/>
      </c>
      <c r="I149" s="7">
        <f>IF(H148="","",H148)</f>
        <v/>
      </c>
      <c r="J149" s="7" t="n">
        <v>6</v>
      </c>
      <c r="K149" s="7" t="n"/>
      <c r="L149" s="40" t="n"/>
      <c r="M149">
        <f>IF(AND(L149&lt;&gt;"",N(I149)&gt;0,N(J149)&gt;0),IF(J149=1,I149,ROUND(I149*(1+J149/30),1)),"")</f>
        <v/>
      </c>
      <c r="N149" s="41">
        <f>IF(M149="","",IF(M149&gt;=PRs!C2,"PR!",""))</f>
        <v/>
      </c>
      <c r="O149" s="7" t="n"/>
    </row>
    <row r="150">
      <c r="C150" t="inlineStr">
        <is>
          <t xml:space="preserve">      Set 2</t>
        </is>
      </c>
      <c r="E150" t="n">
        <v>6</v>
      </c>
      <c r="H150" s="39">
        <f>IF(H148="","",H148)</f>
        <v/>
      </c>
      <c r="I150" s="7">
        <f>IF(H148="","",H148)</f>
        <v/>
      </c>
      <c r="J150" s="7" t="n">
        <v>6</v>
      </c>
      <c r="K150" s="7" t="n"/>
      <c r="L150" s="40" t="n"/>
      <c r="M150">
        <f>IF(AND(L150&lt;&gt;"",N(I150)&gt;0,N(J150)&gt;0),IF(J150=1,I150,ROUND(I150*(1+J150/30),1)),"")</f>
        <v/>
      </c>
      <c r="N150" s="41">
        <f>IF(M150="","",IF(M150&gt;=PRs!C2,"PR!",""))</f>
        <v/>
      </c>
      <c r="O150" s="7" t="n"/>
    </row>
    <row r="151">
      <c r="C151" t="inlineStr">
        <is>
          <t xml:space="preserve">      Set 3</t>
        </is>
      </c>
      <c r="E151" t="n">
        <v>6</v>
      </c>
      <c r="H151" s="39">
        <f>IF(H148="","",H148)</f>
        <v/>
      </c>
      <c r="I151" s="7">
        <f>IF(H148="","",H148)</f>
        <v/>
      </c>
      <c r="J151" s="7" t="n">
        <v>6</v>
      </c>
      <c r="K151" s="7" t="n"/>
      <c r="L151" s="40" t="n"/>
      <c r="M151">
        <f>IF(AND(L151&lt;&gt;"",N(I151)&gt;0,N(J151)&gt;0),IF(J151=1,I151,ROUND(I151*(1+J151/30),1)),"")</f>
        <v/>
      </c>
      <c r="N151" s="41">
        <f>IF(M151="","",IF(M151&gt;=PRs!C2,"PR!",""))</f>
        <v/>
      </c>
      <c r="O151" s="7" t="n"/>
    </row>
    <row r="152">
      <c r="A152" s="34" t="n"/>
      <c r="B152" s="34" t="n"/>
      <c r="C152" s="42" t="inlineStr">
        <is>
          <t>Overhead Press</t>
        </is>
      </c>
      <c r="D152" s="34" t="inlineStr">
        <is>
          <t>3 x 6</t>
        </is>
      </c>
      <c r="E152" s="34" t="n"/>
      <c r="F152" s="34" t="n">
        <v>75</v>
      </c>
      <c r="G152" s="36">
        <f>Maxes!E5</f>
        <v/>
      </c>
      <c r="H152" s="37">
        <f>IF(OR(G152="",F152=""),"",MROUND(G152*F152/100,'Start Here'!$B$7))</f>
        <v/>
      </c>
      <c r="I152" s="34" t="n"/>
      <c r="J152" s="34" t="n"/>
      <c r="K152" s="34" t="n"/>
      <c r="L152" s="34" t="n"/>
      <c r="M152" s="34" t="n"/>
      <c r="N152" s="34" t="n"/>
      <c r="O152" s="38" t="inlineStr"/>
    </row>
    <row r="153">
      <c r="C153" t="inlineStr">
        <is>
          <t xml:space="preserve">      Set 1</t>
        </is>
      </c>
      <c r="E153" t="n">
        <v>6</v>
      </c>
      <c r="H153" s="39">
        <f>IF(H152="","",H152)</f>
        <v/>
      </c>
      <c r="I153" s="7">
        <f>IF(H152="","",H152)</f>
        <v/>
      </c>
      <c r="J153" s="7" t="n">
        <v>6</v>
      </c>
      <c r="K153" s="7" t="n"/>
      <c r="L153" s="40" t="n"/>
      <c r="M153">
        <f>IF(AND(L153&lt;&gt;"",N(I153)&gt;0,N(J153)&gt;0),IF(J153=1,I153,ROUND(I153*(1+J153/30),1)),"")</f>
        <v/>
      </c>
      <c r="N153" s="41">
        <f>IF(M153="","",IF(M153&gt;=PRs!C5,"PR!",""))</f>
        <v/>
      </c>
      <c r="O153" s="7" t="n"/>
    </row>
    <row r="154">
      <c r="C154" t="inlineStr">
        <is>
          <t xml:space="preserve">      Set 2</t>
        </is>
      </c>
      <c r="E154" t="n">
        <v>6</v>
      </c>
      <c r="H154" s="39">
        <f>IF(H152="","",H152)</f>
        <v/>
      </c>
      <c r="I154" s="7">
        <f>IF(H152="","",H152)</f>
        <v/>
      </c>
      <c r="J154" s="7" t="n">
        <v>6</v>
      </c>
      <c r="K154" s="7" t="n"/>
      <c r="L154" s="40" t="n"/>
      <c r="M154">
        <f>IF(AND(L154&lt;&gt;"",N(I154)&gt;0,N(J154)&gt;0),IF(J154=1,I154,ROUND(I154*(1+J154/30),1)),"")</f>
        <v/>
      </c>
      <c r="N154" s="41">
        <f>IF(M154="","",IF(M154&gt;=PRs!C5,"PR!",""))</f>
        <v/>
      </c>
      <c r="O154" s="7" t="n"/>
    </row>
    <row r="155">
      <c r="C155" t="inlineStr">
        <is>
          <t xml:space="preserve">      Set 3</t>
        </is>
      </c>
      <c r="E155" t="n">
        <v>6</v>
      </c>
      <c r="H155" s="39">
        <f>IF(H152="","",H152)</f>
        <v/>
      </c>
      <c r="I155" s="7">
        <f>IF(H152="","",H152)</f>
        <v/>
      </c>
      <c r="J155" s="7" t="n">
        <v>6</v>
      </c>
      <c r="K155" s="7" t="n"/>
      <c r="L155" s="40" t="n"/>
      <c r="M155">
        <f>IF(AND(L155&lt;&gt;"",N(I155)&gt;0,N(J155)&gt;0),IF(J155=1,I155,ROUND(I155*(1+J155/30),1)),"")</f>
        <v/>
      </c>
      <c r="N155" s="41">
        <f>IF(M155="","",IF(M155&gt;=PRs!C5,"PR!",""))</f>
        <v/>
      </c>
      <c r="O155" s="7" t="n"/>
    </row>
    <row r="156">
      <c r="A156" s="34" t="n"/>
      <c r="B156" s="34" t="n"/>
      <c r="C156" s="42" t="inlineStr">
        <is>
          <t>Deadlift</t>
        </is>
      </c>
      <c r="D156" s="34" t="inlineStr">
        <is>
          <t>3 x 6</t>
        </is>
      </c>
      <c r="E156" s="34" t="n"/>
      <c r="F156" s="34" t="n">
        <v>75</v>
      </c>
      <c r="G156" s="36">
        <f>Maxes!E4</f>
        <v/>
      </c>
      <c r="H156" s="37">
        <f>IF(OR(G156="",F156=""),"",MROUND(G156*F156/100,'Start Here'!$B$7))</f>
        <v/>
      </c>
      <c r="I156" s="34" t="n"/>
      <c r="J156" s="34" t="n"/>
      <c r="K156" s="34" t="n"/>
      <c r="L156" s="34" t="n"/>
      <c r="M156" s="34" t="n"/>
      <c r="N156" s="34" t="n"/>
      <c r="O156" s="38" t="inlineStr"/>
    </row>
    <row r="157">
      <c r="C157" t="inlineStr">
        <is>
          <t xml:space="preserve">      Set 1</t>
        </is>
      </c>
      <c r="E157" t="n">
        <v>6</v>
      </c>
      <c r="H157" s="39">
        <f>IF(H156="","",H156)</f>
        <v/>
      </c>
      <c r="I157" s="7">
        <f>IF(H156="","",H156)</f>
        <v/>
      </c>
      <c r="J157" s="7" t="n">
        <v>6</v>
      </c>
      <c r="K157" s="7" t="n"/>
      <c r="L157" s="40" t="n"/>
      <c r="M157">
        <f>IF(AND(L157&lt;&gt;"",N(I157)&gt;0,N(J157)&gt;0),IF(J157=1,I157,ROUND(I157*(1+J157/30),1)),"")</f>
        <v/>
      </c>
      <c r="N157" s="41">
        <f>IF(M157="","",IF(M157&gt;=PRs!C4,"PR!",""))</f>
        <v/>
      </c>
      <c r="O157" s="7" t="n"/>
    </row>
    <row r="158">
      <c r="C158" t="inlineStr">
        <is>
          <t xml:space="preserve">      Set 2</t>
        </is>
      </c>
      <c r="E158" t="n">
        <v>6</v>
      </c>
      <c r="H158" s="39">
        <f>IF(H156="","",H156)</f>
        <v/>
      </c>
      <c r="I158" s="7">
        <f>IF(H156="","",H156)</f>
        <v/>
      </c>
      <c r="J158" s="7" t="n">
        <v>6</v>
      </c>
      <c r="K158" s="7" t="n"/>
      <c r="L158" s="40" t="n"/>
      <c r="M158">
        <f>IF(AND(L158&lt;&gt;"",N(I158)&gt;0,N(J158)&gt;0),IF(J158=1,I158,ROUND(I158*(1+J158/30),1)),"")</f>
        <v/>
      </c>
      <c r="N158" s="41">
        <f>IF(M158="","",IF(M158&gt;=PRs!C4,"PR!",""))</f>
        <v/>
      </c>
      <c r="O158" s="7" t="n"/>
    </row>
    <row r="159">
      <c r="C159" t="inlineStr">
        <is>
          <t xml:space="preserve">      Set 3</t>
        </is>
      </c>
      <c r="E159" t="n">
        <v>6</v>
      </c>
      <c r="H159" s="39">
        <f>IF(H156="","",H156)</f>
        <v/>
      </c>
      <c r="I159" s="7">
        <f>IF(H156="","",H156)</f>
        <v/>
      </c>
      <c r="J159" s="7" t="n">
        <v>6</v>
      </c>
      <c r="K159" s="7" t="n"/>
      <c r="L159" s="40" t="n"/>
      <c r="M159">
        <f>IF(AND(L159&lt;&gt;"",N(I159)&gt;0,N(J159)&gt;0),IF(J159=1,I159,ROUND(I159*(1+J159/30),1)),"")</f>
        <v/>
      </c>
      <c r="N159" s="41">
        <f>IF(M159="","",IF(M159&gt;=PRs!C4,"PR!",""))</f>
        <v/>
      </c>
      <c r="O159" s="7" t="n"/>
    </row>
    <row r="160">
      <c r="A160" s="34" t="n"/>
      <c r="B160" s="34" t="n"/>
      <c r="C160" s="43" t="inlineStr">
        <is>
          <t>Chin-up</t>
        </is>
      </c>
      <c r="D160" s="34" t="inlineStr">
        <is>
          <t>3 x 6-10</t>
        </is>
      </c>
      <c r="E160" s="34" t="n"/>
      <c r="F160" s="34" t="n"/>
      <c r="G160" s="36" t="n"/>
      <c r="H160" s="37" t="n"/>
      <c r="I160" s="34" t="n"/>
      <c r="J160" s="34" t="n"/>
      <c r="K160" s="34" t="n"/>
      <c r="L160" s="34" t="n"/>
      <c r="M160" s="34" t="n"/>
      <c r="N160" s="34" t="n"/>
      <c r="O160" s="38" t="inlineStr">
        <is>
          <t>Leave 1-2 reps in the tank; add weight when you hit the top of the range</t>
        </is>
      </c>
    </row>
    <row r="161">
      <c r="C161" t="inlineStr">
        <is>
          <t xml:space="preserve">      Set 1</t>
        </is>
      </c>
      <c r="E161" t="n">
        <v>6</v>
      </c>
      <c r="H161" s="39">
        <f>IF(H160="","",H160)</f>
        <v/>
      </c>
      <c r="I161" s="7">
        <f>IF(H160="","",H160)</f>
        <v/>
      </c>
      <c r="J161" s="7" t="n">
        <v>6</v>
      </c>
      <c r="K161" s="7" t="n"/>
      <c r="L161" s="40" t="n"/>
      <c r="M161">
        <f>IF(AND(L161&lt;&gt;"",N(I161)&gt;0,N(J161)&gt;0),IF(J161=1,I161,ROUND(I161*(1+J161/30),1)),"")</f>
        <v/>
      </c>
      <c r="N161" s="41">
        <f>IF(M161="","",IF(M161&gt;=PRs!C53,"PR!",""))</f>
        <v/>
      </c>
      <c r="O161" s="7" t="n"/>
    </row>
    <row r="162">
      <c r="C162" t="inlineStr">
        <is>
          <t xml:space="preserve">      Set 2</t>
        </is>
      </c>
      <c r="E162" t="n">
        <v>6</v>
      </c>
      <c r="H162" s="39">
        <f>IF(H160="","",H160)</f>
        <v/>
      </c>
      <c r="I162" s="7">
        <f>IF(H160="","",H160)</f>
        <v/>
      </c>
      <c r="J162" s="7" t="n">
        <v>6</v>
      </c>
      <c r="K162" s="7" t="n"/>
      <c r="L162" s="40" t="n"/>
      <c r="M162">
        <f>IF(AND(L162&lt;&gt;"",N(I162)&gt;0,N(J162)&gt;0),IF(J162=1,I162,ROUND(I162*(1+J162/30),1)),"")</f>
        <v/>
      </c>
      <c r="N162" s="41">
        <f>IF(M162="","",IF(M162&gt;=PRs!C53,"PR!",""))</f>
        <v/>
      </c>
      <c r="O162" s="7" t="n"/>
    </row>
    <row r="163">
      <c r="C163" t="inlineStr">
        <is>
          <t xml:space="preserve">      Set 3</t>
        </is>
      </c>
      <c r="E163" t="n">
        <v>6</v>
      </c>
      <c r="H163" s="39">
        <f>IF(H160="","",H160)</f>
        <v/>
      </c>
      <c r="I163" s="7">
        <f>IF(H160="","",H160)</f>
        <v/>
      </c>
      <c r="J163" s="7" t="n">
        <v>6</v>
      </c>
      <c r="K163" s="7" t="n"/>
      <c r="L163" s="40" t="n"/>
      <c r="M163">
        <f>IF(AND(L163&lt;&gt;"",N(I163)&gt;0,N(J163)&gt;0),IF(J163=1,I163,ROUND(I163*(1+J163/30),1)),"")</f>
        <v/>
      </c>
      <c r="N163" s="41">
        <f>IF(M163="","",IF(M163&gt;=PRs!C53,"PR!",""))</f>
        <v/>
      </c>
      <c r="O163" s="7" t="n"/>
    </row>
    <row r="164">
      <c r="A164" s="34" t="n"/>
      <c r="B164" s="34" t="n"/>
      <c r="C164" s="43" t="inlineStr">
        <is>
          <t>Plank</t>
        </is>
      </c>
      <c r="D164" s="34" t="inlineStr">
        <is>
          <t>3 x 30-60s</t>
        </is>
      </c>
      <c r="E164" s="34" t="n"/>
      <c r="F164" s="34" t="n"/>
      <c r="G164" s="36" t="n"/>
      <c r="H164" s="37" t="n"/>
      <c r="I164" s="34" t="n"/>
      <c r="J164" s="34" t="n"/>
      <c r="K164" s="34" t="n"/>
      <c r="L164" s="34" t="n"/>
      <c r="M164" s="34" t="n"/>
      <c r="N164" s="34" t="n"/>
      <c r="O164" s="38" t="inlineStr">
        <is>
          <t>Leave 1-2 reps in the tank; add weight when you hit the top of the range</t>
        </is>
      </c>
    </row>
    <row r="165">
      <c r="C165" t="inlineStr">
        <is>
          <t xml:space="preserve">      Set 1</t>
        </is>
      </c>
      <c r="E165" t="n">
        <v>30</v>
      </c>
      <c r="H165" s="39">
        <f>IF(H164="","",H164)</f>
        <v/>
      </c>
      <c r="I165" s="7">
        <f>IF(H164="","",H164)</f>
        <v/>
      </c>
      <c r="J165" s="7" t="n">
        <v>30</v>
      </c>
      <c r="K165" s="7" t="n"/>
      <c r="L165" s="40" t="n"/>
      <c r="M165">
        <f>IF(AND(L165&lt;&gt;"",N(I165)&gt;0,N(J165)&gt;0),IF(J165=1,I165,ROUND(I165*(1+J165/30),1)),"")</f>
        <v/>
      </c>
      <c r="N165" s="41">
        <f>IF(M165="","",IF(M165&gt;=PRs!C56,"PR!",""))</f>
        <v/>
      </c>
      <c r="O165" s="7" t="n"/>
    </row>
    <row r="166">
      <c r="C166" t="inlineStr">
        <is>
          <t xml:space="preserve">      Set 2</t>
        </is>
      </c>
      <c r="E166" t="n">
        <v>30</v>
      </c>
      <c r="H166" s="39">
        <f>IF(H164="","",H164)</f>
        <v/>
      </c>
      <c r="I166" s="7">
        <f>IF(H164="","",H164)</f>
        <v/>
      </c>
      <c r="J166" s="7" t="n">
        <v>30</v>
      </c>
      <c r="K166" s="7" t="n"/>
      <c r="L166" s="40" t="n"/>
      <c r="M166">
        <f>IF(AND(L166&lt;&gt;"",N(I166)&gt;0,N(J166)&gt;0),IF(J166=1,I166,ROUND(I166*(1+J166/30),1)),"")</f>
        <v/>
      </c>
      <c r="N166" s="41">
        <f>IF(M166="","",IF(M166&gt;=PRs!C56,"PR!",""))</f>
        <v/>
      </c>
      <c r="O166" s="7" t="n"/>
    </row>
    <row r="167">
      <c r="C167" t="inlineStr">
        <is>
          <t xml:space="preserve">      Set 3</t>
        </is>
      </c>
      <c r="E167" t="n">
        <v>30</v>
      </c>
      <c r="H167" s="39">
        <f>IF(H164="","",H164)</f>
        <v/>
      </c>
      <c r="I167" s="7">
        <f>IF(H164="","",H164)</f>
        <v/>
      </c>
      <c r="J167" s="7" t="n">
        <v>30</v>
      </c>
      <c r="K167" s="7" t="n"/>
      <c r="L167" s="40" t="n"/>
      <c r="M167">
        <f>IF(AND(L167&lt;&gt;"",N(I167)&gt;0,N(J167)&gt;0),IF(J167=1,I167,ROUND(I167*(1+J167/30),1)),"")</f>
        <v/>
      </c>
      <c r="N167" s="41">
        <f>IF(M167="","",IF(M167&gt;=PRs!C56,"PR!",""))</f>
        <v/>
      </c>
      <c r="O167" s="7" t="n"/>
    </row>
    <row r="168">
      <c r="A168" s="31" t="inlineStr">
        <is>
          <t>Day 3 - Variations</t>
        </is>
      </c>
      <c r="B168" s="32">
        <f>'Start Here'!$B$8+39</f>
        <v/>
      </c>
      <c r="C168" s="33" t="n"/>
      <c r="D168" s="33" t="n"/>
      <c r="E168" s="33" t="n"/>
      <c r="F168" s="33" t="n"/>
      <c r="G168" s="33" t="n"/>
      <c r="H168" s="33" t="n"/>
      <c r="I168" s="33" t="n"/>
      <c r="J168" s="33" t="n"/>
      <c r="K168" s="33" t="n"/>
      <c r="L168" s="33" t="n"/>
      <c r="M168" s="33" t="n"/>
      <c r="N168" s="33" t="n"/>
      <c r="O168" s="33" t="n"/>
    </row>
    <row r="169">
      <c r="A169" s="34" t="n"/>
      <c r="B169" s="34" t="n"/>
      <c r="C169" s="35" t="inlineStr">
        <is>
          <t>Hurdle Hop</t>
        </is>
      </c>
      <c r="D169" s="34" t="inlineStr">
        <is>
          <t>4 x 3</t>
        </is>
      </c>
      <c r="E169" s="34" t="n"/>
      <c r="F169" s="34" t="n"/>
      <c r="G169" s="36" t="n"/>
      <c r="H169" s="37">
        <f>IF(N(Maxes!E73)&gt;0,Maxes!E73,"")</f>
        <v/>
      </c>
      <c r="I169" s="34" t="n"/>
      <c r="J169" s="34" t="n"/>
      <c r="K169" s="34" t="n"/>
      <c r="L169" s="34" t="n"/>
      <c r="M169" s="34" t="n"/>
      <c r="N169" s="34" t="n"/>
      <c r="O169" s="38" t="inlineStr">
        <is>
          <t>Continuous two-foot hops over a row of 4-6 low hurdles or cones, minimal ground contact. Log the hurdle height.</t>
        </is>
      </c>
    </row>
    <row r="170">
      <c r="C170" t="inlineStr">
        <is>
          <t xml:space="preserve">      Set 1</t>
        </is>
      </c>
      <c r="E170" t="n">
        <v>3</v>
      </c>
      <c r="H170" s="39">
        <f>IF(H169="","",H169)</f>
        <v/>
      </c>
      <c r="I170" s="7">
        <f>IF(H169="","",H169)</f>
        <v/>
      </c>
      <c r="J170" s="7" t="n">
        <v>3</v>
      </c>
      <c r="K170" s="7" t="n"/>
      <c r="L170" s="40" t="n"/>
      <c r="N170" s="41">
        <f>IF(AND(L170&lt;&gt;"",N(I170)&gt;0),IF(I170&gt;=PRs!D73,"PR!",""),"")</f>
        <v/>
      </c>
      <c r="O170" s="7" t="n"/>
    </row>
    <row r="171">
      <c r="C171" t="inlineStr">
        <is>
          <t xml:space="preserve">      Set 2</t>
        </is>
      </c>
      <c r="E171" t="n">
        <v>3</v>
      </c>
      <c r="H171" s="39">
        <f>IF(H169="","",H169)</f>
        <v/>
      </c>
      <c r="I171" s="7">
        <f>IF(H169="","",H169)</f>
        <v/>
      </c>
      <c r="J171" s="7" t="n">
        <v>3</v>
      </c>
      <c r="K171" s="7" t="n"/>
      <c r="L171" s="40" t="n"/>
      <c r="N171" s="41">
        <f>IF(AND(L171&lt;&gt;"",N(I171)&gt;0),IF(I171&gt;=PRs!D73,"PR!",""),"")</f>
        <v/>
      </c>
      <c r="O171" s="7" t="n"/>
    </row>
    <row r="172">
      <c r="C172" t="inlineStr">
        <is>
          <t xml:space="preserve">      Set 3</t>
        </is>
      </c>
      <c r="E172" t="n">
        <v>3</v>
      </c>
      <c r="H172" s="39">
        <f>IF(H169="","",H169)</f>
        <v/>
      </c>
      <c r="I172" s="7">
        <f>IF(H169="","",H169)</f>
        <v/>
      </c>
      <c r="J172" s="7" t="n">
        <v>3</v>
      </c>
      <c r="K172" s="7" t="n"/>
      <c r="L172" s="40" t="n"/>
      <c r="N172" s="41">
        <f>IF(AND(L172&lt;&gt;"",N(I172)&gt;0),IF(I172&gt;=PRs!D73,"PR!",""),"")</f>
        <v/>
      </c>
      <c r="O172" s="7" t="n"/>
    </row>
    <row r="173">
      <c r="C173" t="inlineStr">
        <is>
          <t xml:space="preserve">      Set 4</t>
        </is>
      </c>
      <c r="E173" t="n">
        <v>3</v>
      </c>
      <c r="H173" s="39">
        <f>IF(H169="","",H169)</f>
        <v/>
      </c>
      <c r="I173" s="7">
        <f>IF(H169="","",H169)</f>
        <v/>
      </c>
      <c r="J173" s="7" t="n">
        <v>3</v>
      </c>
      <c r="K173" s="7" t="n"/>
      <c r="L173" s="40" t="n"/>
      <c r="N173" s="41">
        <f>IF(AND(L173&lt;&gt;"",N(I173)&gt;0),IF(I173&gt;=PRs!D73,"PR!",""),"")</f>
        <v/>
      </c>
      <c r="O173" s="7" t="n"/>
    </row>
    <row r="174">
      <c r="A174" s="34" t="n"/>
      <c r="B174" s="34" t="n"/>
      <c r="C174" s="42" t="inlineStr">
        <is>
          <t>Power Clean</t>
        </is>
      </c>
      <c r="D174" s="34" t="inlineStr">
        <is>
          <t>4 x 3</t>
        </is>
      </c>
      <c r="E174" s="34" t="n"/>
      <c r="F174" s="34" t="n">
        <v>75</v>
      </c>
      <c r="G174" s="36">
        <f>Maxes!E42</f>
        <v/>
      </c>
      <c r="H174" s="37">
        <f>IF(OR(G174="",F174=""),"",MROUND(G174*F174/100,'Start Here'!$B$7))</f>
        <v/>
      </c>
      <c r="I174" s="34" t="n"/>
      <c r="J174" s="34" t="n"/>
      <c r="K174" s="34" t="n"/>
      <c r="L174" s="34" t="n"/>
      <c r="M174" s="34" t="n"/>
      <c r="N174" s="34" t="n"/>
      <c r="O174" s="38" t="inlineStr"/>
    </row>
    <row r="175">
      <c r="C175" t="inlineStr">
        <is>
          <t xml:space="preserve">      Set 1</t>
        </is>
      </c>
      <c r="E175" t="n">
        <v>3</v>
      </c>
      <c r="H175" s="39">
        <f>IF(H174="","",H174)</f>
        <v/>
      </c>
      <c r="I175" s="7">
        <f>IF(H174="","",H174)</f>
        <v/>
      </c>
      <c r="J175" s="7" t="n">
        <v>3</v>
      </c>
      <c r="K175" s="7" t="n"/>
      <c r="L175" s="40" t="n"/>
      <c r="M175">
        <f>IF(AND(L175&lt;&gt;"",N(I175)&gt;0,N(J175)&gt;0),IF(J175=1,I175,ROUND(I175*(1+J175/30),1)),"")</f>
        <v/>
      </c>
      <c r="N175" s="41">
        <f>IF(M175="","",IF(M175&gt;=PRs!C42,"PR!",""))</f>
        <v/>
      </c>
      <c r="O175" s="7" t="n"/>
    </row>
    <row r="176">
      <c r="C176" t="inlineStr">
        <is>
          <t xml:space="preserve">      Set 2</t>
        </is>
      </c>
      <c r="E176" t="n">
        <v>3</v>
      </c>
      <c r="H176" s="39">
        <f>IF(H174="","",H174)</f>
        <v/>
      </c>
      <c r="I176" s="7">
        <f>IF(H174="","",H174)</f>
        <v/>
      </c>
      <c r="J176" s="7" t="n">
        <v>3</v>
      </c>
      <c r="K176" s="7" t="n"/>
      <c r="L176" s="40" t="n"/>
      <c r="M176">
        <f>IF(AND(L176&lt;&gt;"",N(I176)&gt;0,N(J176)&gt;0),IF(J176=1,I176,ROUND(I176*(1+J176/30),1)),"")</f>
        <v/>
      </c>
      <c r="N176" s="41">
        <f>IF(M176="","",IF(M176&gt;=PRs!C42,"PR!",""))</f>
        <v/>
      </c>
      <c r="O176" s="7" t="n"/>
    </row>
    <row r="177">
      <c r="C177" t="inlineStr">
        <is>
          <t xml:space="preserve">      Set 3</t>
        </is>
      </c>
      <c r="E177" t="n">
        <v>3</v>
      </c>
      <c r="H177" s="39">
        <f>IF(H174="","",H174)</f>
        <v/>
      </c>
      <c r="I177" s="7">
        <f>IF(H174="","",H174)</f>
        <v/>
      </c>
      <c r="J177" s="7" t="n">
        <v>3</v>
      </c>
      <c r="K177" s="7" t="n"/>
      <c r="L177" s="40" t="n"/>
      <c r="M177">
        <f>IF(AND(L177&lt;&gt;"",N(I177)&gt;0,N(J177)&gt;0),IF(J177=1,I177,ROUND(I177*(1+J177/30),1)),"")</f>
        <v/>
      </c>
      <c r="N177" s="41">
        <f>IF(M177="","",IF(M177&gt;=PRs!C42,"PR!",""))</f>
        <v/>
      </c>
      <c r="O177" s="7" t="n"/>
    </row>
    <row r="178">
      <c r="C178" t="inlineStr">
        <is>
          <t xml:space="preserve">      Set 4</t>
        </is>
      </c>
      <c r="E178" t="n">
        <v>3</v>
      </c>
      <c r="H178" s="39">
        <f>IF(H174="","",H174)</f>
        <v/>
      </c>
      <c r="I178" s="7">
        <f>IF(H174="","",H174)</f>
        <v/>
      </c>
      <c r="J178" s="7" t="n">
        <v>3</v>
      </c>
      <c r="K178" s="7" t="n"/>
      <c r="L178" s="40" t="n"/>
      <c r="M178">
        <f>IF(AND(L178&lt;&gt;"",N(I178)&gt;0,N(J178)&gt;0),IF(J178=1,I178,ROUND(I178*(1+J178/30),1)),"")</f>
        <v/>
      </c>
      <c r="N178" s="41">
        <f>IF(M178="","",IF(M178&gt;=PRs!C42,"PR!",""))</f>
        <v/>
      </c>
      <c r="O178" s="7" t="n"/>
    </row>
    <row r="179">
      <c r="A179" s="34" t="n"/>
      <c r="B179" s="34" t="n"/>
      <c r="C179" s="42" t="inlineStr">
        <is>
          <t>Pause Squat</t>
        </is>
      </c>
      <c r="D179" s="34" t="inlineStr">
        <is>
          <t>3 x 6</t>
        </is>
      </c>
      <c r="E179" s="34" t="n"/>
      <c r="F179" s="34" t="n">
        <v>75</v>
      </c>
      <c r="G179" s="36">
        <f>Maxes!E9</f>
        <v/>
      </c>
      <c r="H179" s="37">
        <f>IF(OR(G179="",F179=""),"",MROUND(G179*F179/100,'Start Here'!$B$7))</f>
        <v/>
      </c>
      <c r="I179" s="34" t="n"/>
      <c r="J179" s="34" t="n"/>
      <c r="K179" s="34" t="n"/>
      <c r="L179" s="34" t="n"/>
      <c r="M179" s="34" t="n"/>
      <c r="N179" s="34" t="n"/>
      <c r="O179" s="38" t="inlineStr"/>
    </row>
    <row r="180">
      <c r="C180" t="inlineStr">
        <is>
          <t xml:space="preserve">      Set 1</t>
        </is>
      </c>
      <c r="E180" t="n">
        <v>6</v>
      </c>
      <c r="H180" s="39">
        <f>IF(H179="","",H179)</f>
        <v/>
      </c>
      <c r="I180" s="7">
        <f>IF(H179="","",H179)</f>
        <v/>
      </c>
      <c r="J180" s="7" t="n">
        <v>6</v>
      </c>
      <c r="K180" s="7" t="n"/>
      <c r="L180" s="40" t="n"/>
      <c r="M180">
        <f>IF(AND(L180&lt;&gt;"",N(I180)&gt;0,N(J180)&gt;0),IF(J180=1,I180,ROUND(I180*(1+J180/30),1)),"")</f>
        <v/>
      </c>
      <c r="N180" s="41">
        <f>IF(M180="","",IF(M180&gt;=PRs!C9,"PR!",""))</f>
        <v/>
      </c>
      <c r="O180" s="7" t="n"/>
    </row>
    <row r="181">
      <c r="C181" t="inlineStr">
        <is>
          <t xml:space="preserve">      Set 2</t>
        </is>
      </c>
      <c r="E181" t="n">
        <v>6</v>
      </c>
      <c r="H181" s="39">
        <f>IF(H179="","",H179)</f>
        <v/>
      </c>
      <c r="I181" s="7">
        <f>IF(H179="","",H179)</f>
        <v/>
      </c>
      <c r="J181" s="7" t="n">
        <v>6</v>
      </c>
      <c r="K181" s="7" t="n"/>
      <c r="L181" s="40" t="n"/>
      <c r="M181">
        <f>IF(AND(L181&lt;&gt;"",N(I181)&gt;0,N(J181)&gt;0),IF(J181=1,I181,ROUND(I181*(1+J181/30),1)),"")</f>
        <v/>
      </c>
      <c r="N181" s="41">
        <f>IF(M181="","",IF(M181&gt;=PRs!C9,"PR!",""))</f>
        <v/>
      </c>
      <c r="O181" s="7" t="n"/>
    </row>
    <row r="182">
      <c r="C182" t="inlineStr">
        <is>
          <t xml:space="preserve">      Set 3</t>
        </is>
      </c>
      <c r="E182" t="n">
        <v>6</v>
      </c>
      <c r="H182" s="39">
        <f>IF(H179="","",H179)</f>
        <v/>
      </c>
      <c r="I182" s="7">
        <f>IF(H179="","",H179)</f>
        <v/>
      </c>
      <c r="J182" s="7" t="n">
        <v>6</v>
      </c>
      <c r="K182" s="7" t="n"/>
      <c r="L182" s="40" t="n"/>
      <c r="M182">
        <f>IF(AND(L182&lt;&gt;"",N(I182)&gt;0,N(J182)&gt;0),IF(J182=1,I182,ROUND(I182*(1+J182/30),1)),"")</f>
        <v/>
      </c>
      <c r="N182" s="41">
        <f>IF(M182="","",IF(M182&gt;=PRs!C9,"PR!",""))</f>
        <v/>
      </c>
      <c r="O182" s="7" t="n"/>
    </row>
    <row r="183">
      <c r="A183" s="34" t="n"/>
      <c r="B183" s="34" t="n"/>
      <c r="C183" s="42" t="inlineStr">
        <is>
          <t>2-Board Press</t>
        </is>
      </c>
      <c r="D183" s="34" t="inlineStr">
        <is>
          <t>3 x 6</t>
        </is>
      </c>
      <c r="E183" s="34" t="n"/>
      <c r="F183" s="34" t="n">
        <v>75</v>
      </c>
      <c r="G183" s="36">
        <f>Maxes!E16</f>
        <v/>
      </c>
      <c r="H183" s="37">
        <f>IF(OR(G183="",F183=""),"",MROUND(G183*F183/100,'Start Here'!$B$7))</f>
        <v/>
      </c>
      <c r="I183" s="34" t="n"/>
      <c r="J183" s="34" t="n"/>
      <c r="K183" s="34" t="n"/>
      <c r="L183" s="34" t="n"/>
      <c r="M183" s="34" t="n"/>
      <c r="N183" s="34" t="n"/>
      <c r="O183" s="38" t="inlineStr"/>
    </row>
    <row r="184">
      <c r="C184" t="inlineStr">
        <is>
          <t xml:space="preserve">      Set 1</t>
        </is>
      </c>
      <c r="E184" t="n">
        <v>6</v>
      </c>
      <c r="H184" s="39">
        <f>IF(H183="","",H183)</f>
        <v/>
      </c>
      <c r="I184" s="7">
        <f>IF(H183="","",H183)</f>
        <v/>
      </c>
      <c r="J184" s="7" t="n">
        <v>6</v>
      </c>
      <c r="K184" s="7" t="n"/>
      <c r="L184" s="40" t="n"/>
      <c r="M184">
        <f>IF(AND(L184&lt;&gt;"",N(I184)&gt;0,N(J184)&gt;0),IF(J184=1,I184,ROUND(I184*(1+J184/30),1)),"")</f>
        <v/>
      </c>
      <c r="N184" s="41">
        <f>IF(M184="","",IF(M184&gt;=PRs!C16,"PR!",""))</f>
        <v/>
      </c>
      <c r="O184" s="7" t="n"/>
    </row>
    <row r="185">
      <c r="C185" t="inlineStr">
        <is>
          <t xml:space="preserve">      Set 2</t>
        </is>
      </c>
      <c r="E185" t="n">
        <v>6</v>
      </c>
      <c r="H185" s="39">
        <f>IF(H183="","",H183)</f>
        <v/>
      </c>
      <c r="I185" s="7">
        <f>IF(H183="","",H183)</f>
        <v/>
      </c>
      <c r="J185" s="7" t="n">
        <v>6</v>
      </c>
      <c r="K185" s="7" t="n"/>
      <c r="L185" s="40" t="n"/>
      <c r="M185">
        <f>IF(AND(L185&lt;&gt;"",N(I185)&gt;0,N(J185)&gt;0),IF(J185=1,I185,ROUND(I185*(1+J185/30),1)),"")</f>
        <v/>
      </c>
      <c r="N185" s="41">
        <f>IF(M185="","",IF(M185&gt;=PRs!C16,"PR!",""))</f>
        <v/>
      </c>
      <c r="O185" s="7" t="n"/>
    </row>
    <row r="186">
      <c r="C186" t="inlineStr">
        <is>
          <t xml:space="preserve">      Set 3</t>
        </is>
      </c>
      <c r="E186" t="n">
        <v>6</v>
      </c>
      <c r="H186" s="39">
        <f>IF(H183="","",H183)</f>
        <v/>
      </c>
      <c r="I186" s="7">
        <f>IF(H183="","",H183)</f>
        <v/>
      </c>
      <c r="J186" s="7" t="n">
        <v>6</v>
      </c>
      <c r="K186" s="7" t="n"/>
      <c r="L186" s="40" t="n"/>
      <c r="M186">
        <f>IF(AND(L186&lt;&gt;"",N(I186)&gt;0,N(J186)&gt;0),IF(J186=1,I186,ROUND(I186*(1+J186/30),1)),"")</f>
        <v/>
      </c>
      <c r="N186" s="41">
        <f>IF(M186="","",IF(M186&gt;=PRs!C16,"PR!",""))</f>
        <v/>
      </c>
      <c r="O186" s="7" t="n"/>
    </row>
    <row r="187">
      <c r="A187" s="34" t="n"/>
      <c r="B187" s="34" t="n"/>
      <c r="C187" s="42" t="inlineStr">
        <is>
          <t>Deficit Deadlift</t>
        </is>
      </c>
      <c r="D187" s="34" t="inlineStr">
        <is>
          <t>3 x 6</t>
        </is>
      </c>
      <c r="E187" s="34" t="n"/>
      <c r="F187" s="34" t="n">
        <v>67.5</v>
      </c>
      <c r="G187" s="36">
        <f>Maxes!E24</f>
        <v/>
      </c>
      <c r="H187" s="37">
        <f>IF(OR(G187="",F187=""),"",MROUND(G187*F187/100,'Start Here'!$B$7))</f>
        <v/>
      </c>
      <c r="I187" s="34" t="n"/>
      <c r="J187" s="34" t="n"/>
      <c r="K187" s="34" t="n"/>
      <c r="L187" s="34" t="n"/>
      <c r="M187" s="34" t="n"/>
      <c r="N187" s="34" t="n"/>
      <c r="O187" s="38" t="inlineStr"/>
    </row>
    <row r="188">
      <c r="C188" t="inlineStr">
        <is>
          <t xml:space="preserve">      Set 1</t>
        </is>
      </c>
      <c r="E188" t="n">
        <v>6</v>
      </c>
      <c r="H188" s="39">
        <f>IF(H187="","",H187)</f>
        <v/>
      </c>
      <c r="I188" s="7">
        <f>IF(H187="","",H187)</f>
        <v/>
      </c>
      <c r="J188" s="7" t="n">
        <v>6</v>
      </c>
      <c r="K188" s="7" t="n"/>
      <c r="L188" s="40" t="n"/>
      <c r="M188">
        <f>IF(AND(L188&lt;&gt;"",N(I188)&gt;0,N(J188)&gt;0),IF(J188=1,I188,ROUND(I188*(1+J188/30),1)),"")</f>
        <v/>
      </c>
      <c r="N188" s="41">
        <f>IF(M188="","",IF(M188&gt;=PRs!C24,"PR!",""))</f>
        <v/>
      </c>
      <c r="O188" s="7" t="n"/>
    </row>
    <row r="189">
      <c r="C189" t="inlineStr">
        <is>
          <t xml:space="preserve">      Set 2</t>
        </is>
      </c>
      <c r="E189" t="n">
        <v>6</v>
      </c>
      <c r="H189" s="39">
        <f>IF(H187="","",H187)</f>
        <v/>
      </c>
      <c r="I189" s="7">
        <f>IF(H187="","",H187)</f>
        <v/>
      </c>
      <c r="J189" s="7" t="n">
        <v>6</v>
      </c>
      <c r="K189" s="7" t="n"/>
      <c r="L189" s="40" t="n"/>
      <c r="M189">
        <f>IF(AND(L189&lt;&gt;"",N(I189)&gt;0,N(J189)&gt;0),IF(J189=1,I189,ROUND(I189*(1+J189/30),1)),"")</f>
        <v/>
      </c>
      <c r="N189" s="41">
        <f>IF(M189="","",IF(M189&gt;=PRs!C24,"PR!",""))</f>
        <v/>
      </c>
      <c r="O189" s="7" t="n"/>
    </row>
    <row r="190">
      <c r="C190" t="inlineStr">
        <is>
          <t xml:space="preserve">      Set 3</t>
        </is>
      </c>
      <c r="E190" t="n">
        <v>6</v>
      </c>
      <c r="H190" s="39">
        <f>IF(H187="","",H187)</f>
        <v/>
      </c>
      <c r="I190" s="7">
        <f>IF(H187="","",H187)</f>
        <v/>
      </c>
      <c r="J190" s="7" t="n">
        <v>6</v>
      </c>
      <c r="K190" s="7" t="n"/>
      <c r="L190" s="40" t="n"/>
      <c r="M190">
        <f>IF(AND(L190&lt;&gt;"",N(I190)&gt;0,N(J190)&gt;0),IF(J190=1,I190,ROUND(I190*(1+J190/30),1)),"")</f>
        <v/>
      </c>
      <c r="N190" s="41">
        <f>IF(M190="","",IF(M190&gt;=PRs!C24,"PR!",""))</f>
        <v/>
      </c>
      <c r="O190" s="7" t="n"/>
    </row>
    <row r="191">
      <c r="A191" s="34" t="n"/>
      <c r="B191" s="34" t="n"/>
      <c r="C191" s="43" t="inlineStr">
        <is>
          <t>Incline Dumbbell Press</t>
        </is>
      </c>
      <c r="D191" s="34" t="inlineStr">
        <is>
          <t>3 x 8-12</t>
        </is>
      </c>
      <c r="E191" s="34" t="n"/>
      <c r="F191" s="34" t="n"/>
      <c r="G191" s="36" t="n"/>
      <c r="H191" s="37" t="n"/>
      <c r="I191" s="34" t="n"/>
      <c r="J191" s="34" t="n"/>
      <c r="K191" s="34" t="n"/>
      <c r="L191" s="34" t="n"/>
      <c r="M191" s="34" t="n"/>
      <c r="N191" s="34" t="n"/>
      <c r="O191" s="38" t="inlineStr">
        <is>
          <t>Leave 1-2 reps in the tank; add weight when you hit the top of the range</t>
        </is>
      </c>
    </row>
    <row r="192">
      <c r="C192" t="inlineStr">
        <is>
          <t xml:space="preserve">      Set 1</t>
        </is>
      </c>
      <c r="E192" t="n">
        <v>8</v>
      </c>
      <c r="H192" s="39">
        <f>IF(H191="","",H191)</f>
        <v/>
      </c>
      <c r="I192" s="7">
        <f>IF(H191="","",H191)</f>
        <v/>
      </c>
      <c r="J192" s="7" t="n">
        <v>8</v>
      </c>
      <c r="K192" s="7" t="n"/>
      <c r="L192" s="40" t="n"/>
      <c r="M192">
        <f>IF(AND(L192&lt;&gt;"",N(I192)&gt;0,N(J192)&gt;0),IF(J192=1,I192,ROUND(I192*(1+J192/30),1)),"")</f>
        <v/>
      </c>
      <c r="N192" s="41">
        <f>IF(M192="","",IF(M192&gt;=PRs!C57,"PR!",""))</f>
        <v/>
      </c>
      <c r="O192" s="7" t="n"/>
    </row>
    <row r="193">
      <c r="C193" t="inlineStr">
        <is>
          <t xml:space="preserve">      Set 2</t>
        </is>
      </c>
      <c r="E193" t="n">
        <v>8</v>
      </c>
      <c r="H193" s="39">
        <f>IF(H191="","",H191)</f>
        <v/>
      </c>
      <c r="I193" s="7">
        <f>IF(H191="","",H191)</f>
        <v/>
      </c>
      <c r="J193" s="7" t="n">
        <v>8</v>
      </c>
      <c r="K193" s="7" t="n"/>
      <c r="L193" s="40" t="n"/>
      <c r="M193">
        <f>IF(AND(L193&lt;&gt;"",N(I193)&gt;0,N(J193)&gt;0),IF(J193=1,I193,ROUND(I193*(1+J193/30),1)),"")</f>
        <v/>
      </c>
      <c r="N193" s="41">
        <f>IF(M193="","",IF(M193&gt;=PRs!C57,"PR!",""))</f>
        <v/>
      </c>
      <c r="O193" s="7" t="n"/>
    </row>
    <row r="194">
      <c r="C194" t="inlineStr">
        <is>
          <t xml:space="preserve">      Set 3</t>
        </is>
      </c>
      <c r="E194" t="n">
        <v>8</v>
      </c>
      <c r="H194" s="39">
        <f>IF(H191="","",H191)</f>
        <v/>
      </c>
      <c r="I194" s="7">
        <f>IF(H191="","",H191)</f>
        <v/>
      </c>
      <c r="J194" s="7" t="n">
        <v>8</v>
      </c>
      <c r="K194" s="7" t="n"/>
      <c r="L194" s="40" t="n"/>
      <c r="M194">
        <f>IF(AND(L194&lt;&gt;"",N(I194)&gt;0,N(J194)&gt;0),IF(J194=1,I194,ROUND(I194*(1+J194/30),1)),"")</f>
        <v/>
      </c>
      <c r="N194" s="41">
        <f>IF(M194="","",IF(M194&gt;=PRs!C57,"PR!",""))</f>
        <v/>
      </c>
      <c r="O194" s="7" t="n"/>
    </row>
    <row r="195">
      <c r="A195" s="34" t="n"/>
      <c r="B195" s="34" t="n"/>
      <c r="C195" s="43" t="inlineStr">
        <is>
          <t>Triceps Pushdown</t>
        </is>
      </c>
      <c r="D195" s="34" t="inlineStr">
        <is>
          <t>3 x 10-15</t>
        </is>
      </c>
      <c r="E195" s="34" t="n"/>
      <c r="F195" s="34" t="n"/>
      <c r="G195" s="36" t="n"/>
      <c r="H195" s="37" t="n"/>
      <c r="I195" s="34" t="n"/>
      <c r="J195" s="34" t="n"/>
      <c r="K195" s="34" t="n"/>
      <c r="L195" s="34" t="n"/>
      <c r="M195" s="34" t="n"/>
      <c r="N195" s="34" t="n"/>
      <c r="O195" s="38" t="inlineStr">
        <is>
          <t>Leave 1-2 reps in the tank; add weight when you hit the top of the range</t>
        </is>
      </c>
    </row>
    <row r="196">
      <c r="C196" t="inlineStr">
        <is>
          <t xml:space="preserve">      Set 1</t>
        </is>
      </c>
      <c r="E196" t="n">
        <v>10</v>
      </c>
      <c r="H196" s="39">
        <f>IF(H195="","",H195)</f>
        <v/>
      </c>
      <c r="I196" s="7">
        <f>IF(H195="","",H195)</f>
        <v/>
      </c>
      <c r="J196" s="7" t="n">
        <v>10</v>
      </c>
      <c r="K196" s="7" t="n"/>
      <c r="L196" s="40" t="n"/>
      <c r="M196">
        <f>IF(AND(L196&lt;&gt;"",N(I196)&gt;0,N(J196)&gt;0),IF(J196=1,I196,ROUND(I196*(1+J196/30),1)),"")</f>
        <v/>
      </c>
      <c r="N196" s="41">
        <f>IF(M196="","",IF(M196&gt;=PRs!C59,"PR!",""))</f>
        <v/>
      </c>
      <c r="O196" s="7" t="n"/>
    </row>
    <row r="197">
      <c r="C197" t="inlineStr">
        <is>
          <t xml:space="preserve">      Set 2</t>
        </is>
      </c>
      <c r="E197" t="n">
        <v>10</v>
      </c>
      <c r="H197" s="39">
        <f>IF(H195="","",H195)</f>
        <v/>
      </c>
      <c r="I197" s="7">
        <f>IF(H195="","",H195)</f>
        <v/>
      </c>
      <c r="J197" s="7" t="n">
        <v>10</v>
      </c>
      <c r="K197" s="7" t="n"/>
      <c r="L197" s="40" t="n"/>
      <c r="M197">
        <f>IF(AND(L197&lt;&gt;"",N(I197)&gt;0,N(J197)&gt;0),IF(J197=1,I197,ROUND(I197*(1+J197/30),1)),"")</f>
        <v/>
      </c>
      <c r="N197" s="41">
        <f>IF(M197="","",IF(M197&gt;=PRs!C59,"PR!",""))</f>
        <v/>
      </c>
      <c r="O197" s="7" t="n"/>
    </row>
    <row r="198">
      <c r="C198" t="inlineStr">
        <is>
          <t xml:space="preserve">      Set 3</t>
        </is>
      </c>
      <c r="E198" t="n">
        <v>10</v>
      </c>
      <c r="H198" s="39">
        <f>IF(H195="","",H195)</f>
        <v/>
      </c>
      <c r="I198" s="7">
        <f>IF(H195="","",H195)</f>
        <v/>
      </c>
      <c r="J198" s="7" t="n">
        <v>10</v>
      </c>
      <c r="K198" s="7" t="n"/>
      <c r="L198" s="40" t="n"/>
      <c r="M198">
        <f>IF(AND(L198&lt;&gt;"",N(I198)&gt;0,N(J198)&gt;0),IF(J198=1,I198,ROUND(I198*(1+J198/30),1)),"")</f>
        <v/>
      </c>
      <c r="N198" s="41">
        <f>IF(M198="","",IF(M198&gt;=PRs!C59,"PR!",""))</f>
        <v/>
      </c>
      <c r="O198" s="7" t="n"/>
    </row>
    <row r="200">
      <c r="A200" s="51" t="inlineStr">
        <is>
          <t>WEEK 7 - CYCLE 1 - TRANSMUTATION</t>
        </is>
      </c>
      <c r="B200" s="52" t="n"/>
      <c r="C200" s="52" t="n"/>
      <c r="D200" s="52" t="n"/>
      <c r="E200" s="52" t="n"/>
      <c r="F200" s="52" t="n"/>
      <c r="G200" s="52" t="n"/>
      <c r="H200" s="53" t="inlineStr">
        <is>
          <t>Bodyweight:</t>
        </is>
      </c>
      <c r="I200" s="7" t="n"/>
      <c r="J200" s="52" t="n"/>
      <c r="K200" s="52" t="n"/>
      <c r="L200" s="52" t="n"/>
      <c r="M200" s="52" t="n"/>
      <c r="N200" s="52" t="n"/>
      <c r="O200" s="52" t="n"/>
    </row>
    <row r="201">
      <c r="A201" s="31" t="inlineStr">
        <is>
          <t>Day 1 - Heavy</t>
        </is>
      </c>
      <c r="B201" s="32">
        <f>'Start Here'!$B$8+42</f>
        <v/>
      </c>
      <c r="C201" s="33" t="n"/>
      <c r="D201" s="33" t="n"/>
      <c r="E201" s="33" t="n"/>
      <c r="F201" s="33" t="n"/>
      <c r="G201" s="33" t="n"/>
      <c r="H201" s="33" t="n"/>
      <c r="I201" s="33" t="n"/>
      <c r="J201" s="33" t="n"/>
      <c r="K201" s="33" t="n"/>
      <c r="L201" s="33" t="n"/>
      <c r="M201" s="33" t="n"/>
      <c r="N201" s="33" t="n"/>
      <c r="O201" s="33" t="n"/>
    </row>
    <row r="202">
      <c r="A202" s="34" t="n"/>
      <c r="B202" s="34" t="n"/>
      <c r="C202" s="35" t="inlineStr">
        <is>
          <t>Box Jump</t>
        </is>
      </c>
      <c r="D202" s="34" t="inlineStr">
        <is>
          <t>4 x 3</t>
        </is>
      </c>
      <c r="E202" s="34" t="n"/>
      <c r="F202" s="34" t="n"/>
      <c r="G202" s="36" t="n"/>
      <c r="H202" s="37">
        <f>IF(N(Maxes!E69)&gt;0,Maxes!E69,'Start Here'!$G$16)</f>
        <v/>
      </c>
      <c r="I202" s="34" t="n"/>
      <c r="J202" s="34" t="n"/>
      <c r="K202" s="34" t="n"/>
      <c r="L202" s="34" t="n"/>
      <c r="M202" s="34" t="n"/>
      <c r="N202" s="34" t="n"/>
      <c r="O202" s="38" t="inlineStr">
        <is>
          <t>Two-foot jump onto a box, land soft in a quarter squat, STEP down. Log the box height (floor to top of box).</t>
        </is>
      </c>
    </row>
    <row r="203">
      <c r="C203" t="inlineStr">
        <is>
          <t xml:space="preserve">      Set 1</t>
        </is>
      </c>
      <c r="E203" t="n">
        <v>3</v>
      </c>
      <c r="H203" s="39">
        <f>IF(H202="","",H202)</f>
        <v/>
      </c>
      <c r="I203" s="7">
        <f>IF(H202="","",H202)</f>
        <v/>
      </c>
      <c r="J203" s="7" t="n">
        <v>3</v>
      </c>
      <c r="K203" s="7" t="n"/>
      <c r="L203" s="40" t="n"/>
      <c r="N203" s="41">
        <f>IF(AND(L203&lt;&gt;"",N(I203)&gt;0),IF(I203&gt;=PRs!D69,"PR!",""),"")</f>
        <v/>
      </c>
      <c r="O203" s="7" t="n"/>
    </row>
    <row r="204">
      <c r="C204" t="inlineStr">
        <is>
          <t xml:space="preserve">      Set 2</t>
        </is>
      </c>
      <c r="E204" t="n">
        <v>3</v>
      </c>
      <c r="H204" s="39">
        <f>IF(H202="","",H202)</f>
        <v/>
      </c>
      <c r="I204" s="7">
        <f>IF(H202="","",H202)</f>
        <v/>
      </c>
      <c r="J204" s="7" t="n">
        <v>3</v>
      </c>
      <c r="K204" s="7" t="n"/>
      <c r="L204" s="40" t="n"/>
      <c r="N204" s="41">
        <f>IF(AND(L204&lt;&gt;"",N(I204)&gt;0),IF(I204&gt;=PRs!D69,"PR!",""),"")</f>
        <v/>
      </c>
      <c r="O204" s="7" t="n"/>
    </row>
    <row r="205">
      <c r="C205" t="inlineStr">
        <is>
          <t xml:space="preserve">      Set 3</t>
        </is>
      </c>
      <c r="E205" t="n">
        <v>3</v>
      </c>
      <c r="H205" s="39">
        <f>IF(H202="","",H202)</f>
        <v/>
      </c>
      <c r="I205" s="7">
        <f>IF(H202="","",H202)</f>
        <v/>
      </c>
      <c r="J205" s="7" t="n">
        <v>3</v>
      </c>
      <c r="K205" s="7" t="n"/>
      <c r="L205" s="40" t="n"/>
      <c r="N205" s="41">
        <f>IF(AND(L205&lt;&gt;"",N(I205)&gt;0),IF(I205&gt;=PRs!D69,"PR!",""),"")</f>
        <v/>
      </c>
      <c r="O205" s="7" t="n"/>
    </row>
    <row r="206">
      <c r="C206" t="inlineStr">
        <is>
          <t xml:space="preserve">      Set 4</t>
        </is>
      </c>
      <c r="E206" t="n">
        <v>3</v>
      </c>
      <c r="H206" s="39">
        <f>IF(H202="","",H202)</f>
        <v/>
      </c>
      <c r="I206" s="7">
        <f>IF(H202="","",H202)</f>
        <v/>
      </c>
      <c r="J206" s="7" t="n">
        <v>3</v>
      </c>
      <c r="K206" s="7" t="n"/>
      <c r="L206" s="40" t="n"/>
      <c r="N206" s="41">
        <f>IF(AND(L206&lt;&gt;"",N(I206)&gt;0),IF(I206&gt;=PRs!D69,"PR!",""),"")</f>
        <v/>
      </c>
      <c r="O206" s="7" t="n"/>
    </row>
    <row r="207">
      <c r="A207" s="34" t="n"/>
      <c r="B207" s="34" t="n"/>
      <c r="C207" s="42" t="inlineStr">
        <is>
          <t>Snatch</t>
        </is>
      </c>
      <c r="D207" s="34" t="inlineStr">
        <is>
          <t>5 x 2</t>
        </is>
      </c>
      <c r="E207" s="34" t="n"/>
      <c r="F207" s="34" t="n">
        <v>82.5</v>
      </c>
      <c r="G207" s="36">
        <f>Maxes!E6</f>
        <v/>
      </c>
      <c r="H207" s="37">
        <f>IF(OR(G207="",F207=""),"",MROUND(G207*F207/100,'Start Here'!$B$7))</f>
        <v/>
      </c>
      <c r="I207" s="34" t="n"/>
      <c r="J207" s="34" t="n"/>
      <c r="K207" s="34" t="n"/>
      <c r="L207" s="34" t="n"/>
      <c r="M207" s="34" t="n"/>
      <c r="N207" s="34" t="n"/>
      <c r="O207" s="38" t="inlineStr"/>
    </row>
    <row r="208">
      <c r="C208" t="inlineStr">
        <is>
          <t xml:space="preserve">      Set 1</t>
        </is>
      </c>
      <c r="E208" t="n">
        <v>2</v>
      </c>
      <c r="H208" s="39">
        <f>IF(H207="","",H207)</f>
        <v/>
      </c>
      <c r="I208" s="7">
        <f>IF(H207="","",H207)</f>
        <v/>
      </c>
      <c r="J208" s="7" t="n">
        <v>2</v>
      </c>
      <c r="K208" s="7" t="n"/>
      <c r="L208" s="40" t="n"/>
      <c r="M208">
        <f>IF(AND(L208&lt;&gt;"",N(I208)&gt;0,N(J208)&gt;0),IF(J208=1,I208,ROUND(I208*(1+J208/30),1)),"")</f>
        <v/>
      </c>
      <c r="N208" s="41">
        <f>IF(M208="","",IF(M208&gt;=PRs!C6,"PR!",""))</f>
        <v/>
      </c>
      <c r="O208" s="7" t="n"/>
    </row>
    <row r="209">
      <c r="C209" t="inlineStr">
        <is>
          <t xml:space="preserve">      Set 2</t>
        </is>
      </c>
      <c r="E209" t="n">
        <v>2</v>
      </c>
      <c r="H209" s="39">
        <f>IF(H207="","",H207)</f>
        <v/>
      </c>
      <c r="I209" s="7">
        <f>IF(H207="","",H207)</f>
        <v/>
      </c>
      <c r="J209" s="7" t="n">
        <v>2</v>
      </c>
      <c r="K209" s="7" t="n"/>
      <c r="L209" s="40" t="n"/>
      <c r="M209">
        <f>IF(AND(L209&lt;&gt;"",N(I209)&gt;0,N(J209)&gt;0),IF(J209=1,I209,ROUND(I209*(1+J209/30),1)),"")</f>
        <v/>
      </c>
      <c r="N209" s="41">
        <f>IF(M209="","",IF(M209&gt;=PRs!C6,"PR!",""))</f>
        <v/>
      </c>
      <c r="O209" s="7" t="n"/>
    </row>
    <row r="210">
      <c r="C210" t="inlineStr">
        <is>
          <t xml:space="preserve">      Set 3</t>
        </is>
      </c>
      <c r="E210" t="n">
        <v>2</v>
      </c>
      <c r="H210" s="39">
        <f>IF(H207="","",H207)</f>
        <v/>
      </c>
      <c r="I210" s="7">
        <f>IF(H207="","",H207)</f>
        <v/>
      </c>
      <c r="J210" s="7" t="n">
        <v>2</v>
      </c>
      <c r="K210" s="7" t="n"/>
      <c r="L210" s="40" t="n"/>
      <c r="M210">
        <f>IF(AND(L210&lt;&gt;"",N(I210)&gt;0,N(J210)&gt;0),IF(J210=1,I210,ROUND(I210*(1+J210/30),1)),"")</f>
        <v/>
      </c>
      <c r="N210" s="41">
        <f>IF(M210="","",IF(M210&gt;=PRs!C6,"PR!",""))</f>
        <v/>
      </c>
      <c r="O210" s="7" t="n"/>
    </row>
    <row r="211">
      <c r="C211" t="inlineStr">
        <is>
          <t xml:space="preserve">      Set 4</t>
        </is>
      </c>
      <c r="E211" t="n">
        <v>2</v>
      </c>
      <c r="H211" s="39">
        <f>IF(H207="","",H207)</f>
        <v/>
      </c>
      <c r="I211" s="7">
        <f>IF(H207="","",H207)</f>
        <v/>
      </c>
      <c r="J211" s="7" t="n">
        <v>2</v>
      </c>
      <c r="K211" s="7" t="n"/>
      <c r="L211" s="40" t="n"/>
      <c r="M211">
        <f>IF(AND(L211&lt;&gt;"",N(I211)&gt;0,N(J211)&gt;0),IF(J211=1,I211,ROUND(I211*(1+J211/30),1)),"")</f>
        <v/>
      </c>
      <c r="N211" s="41">
        <f>IF(M211="","",IF(M211&gt;=PRs!C6,"PR!",""))</f>
        <v/>
      </c>
      <c r="O211" s="7" t="n"/>
    </row>
    <row r="212">
      <c r="C212" t="inlineStr">
        <is>
          <t xml:space="preserve">      Set 5</t>
        </is>
      </c>
      <c r="E212" t="n">
        <v>2</v>
      </c>
      <c r="H212" s="39">
        <f>IF(H207="","",H207)</f>
        <v/>
      </c>
      <c r="I212" s="7">
        <f>IF(H207="","",H207)</f>
        <v/>
      </c>
      <c r="J212" s="7" t="n">
        <v>2</v>
      </c>
      <c r="K212" s="7" t="n"/>
      <c r="L212" s="40" t="n"/>
      <c r="M212">
        <f>IF(AND(L212&lt;&gt;"",N(I212)&gt;0,N(J212)&gt;0),IF(J212=1,I212,ROUND(I212*(1+J212/30),1)),"")</f>
        <v/>
      </c>
      <c r="N212" s="41">
        <f>IF(M212="","",IF(M212&gt;=PRs!C6,"PR!",""))</f>
        <v/>
      </c>
      <c r="O212" s="7" t="n"/>
    </row>
    <row r="213">
      <c r="A213" s="34" t="n"/>
      <c r="B213" s="34" t="n"/>
      <c r="C213" s="42" t="inlineStr">
        <is>
          <t>Squat</t>
        </is>
      </c>
      <c r="D213" s="34" t="inlineStr">
        <is>
          <t>4 x 4</t>
        </is>
      </c>
      <c r="E213" s="34" t="n"/>
      <c r="F213" s="34" t="n">
        <v>82.5</v>
      </c>
      <c r="G213" s="36">
        <f>Maxes!E2</f>
        <v/>
      </c>
      <c r="H213" s="37">
        <f>IF(OR(G213="",F213=""),"",MROUND(G213*F213/100,'Start Here'!$B$7))</f>
        <v/>
      </c>
      <c r="I213" s="34" t="n"/>
      <c r="J213" s="34" t="n"/>
      <c r="K213" s="34" t="n"/>
      <c r="L213" s="34" t="n"/>
      <c r="M213" s="34" t="n"/>
      <c r="N213" s="34" t="n"/>
      <c r="O213" s="38" t="inlineStr"/>
    </row>
    <row r="214">
      <c r="C214" t="inlineStr">
        <is>
          <t xml:space="preserve">      Set 1</t>
        </is>
      </c>
      <c r="E214" t="n">
        <v>4</v>
      </c>
      <c r="H214" s="39">
        <f>IF(H213="","",H213)</f>
        <v/>
      </c>
      <c r="I214" s="7">
        <f>IF(H213="","",H213)</f>
        <v/>
      </c>
      <c r="J214" s="7" t="n">
        <v>4</v>
      </c>
      <c r="K214" s="7" t="n"/>
      <c r="L214" s="40" t="n"/>
      <c r="M214">
        <f>IF(AND(L214&lt;&gt;"",N(I214)&gt;0,N(J214)&gt;0),IF(J214=1,I214,ROUND(I214*(1+J214/30),1)),"")</f>
        <v/>
      </c>
      <c r="N214" s="41">
        <f>IF(M214="","",IF(M214&gt;=PRs!C2,"PR!",""))</f>
        <v/>
      </c>
      <c r="O214" s="7" t="n"/>
    </row>
    <row r="215">
      <c r="C215" t="inlineStr">
        <is>
          <t xml:space="preserve">      Set 2</t>
        </is>
      </c>
      <c r="E215" t="n">
        <v>4</v>
      </c>
      <c r="H215" s="39">
        <f>IF(H213="","",H213)</f>
        <v/>
      </c>
      <c r="I215" s="7">
        <f>IF(H213="","",H213)</f>
        <v/>
      </c>
      <c r="J215" s="7" t="n">
        <v>4</v>
      </c>
      <c r="K215" s="7" t="n"/>
      <c r="L215" s="40" t="n"/>
      <c r="M215">
        <f>IF(AND(L215&lt;&gt;"",N(I215)&gt;0,N(J215)&gt;0),IF(J215=1,I215,ROUND(I215*(1+J215/30),1)),"")</f>
        <v/>
      </c>
      <c r="N215" s="41">
        <f>IF(M215="","",IF(M215&gt;=PRs!C2,"PR!",""))</f>
        <v/>
      </c>
      <c r="O215" s="7" t="n"/>
    </row>
    <row r="216">
      <c r="C216" t="inlineStr">
        <is>
          <t xml:space="preserve">      Set 3</t>
        </is>
      </c>
      <c r="E216" t="n">
        <v>4</v>
      </c>
      <c r="H216" s="39">
        <f>IF(H213="","",H213)</f>
        <v/>
      </c>
      <c r="I216" s="7">
        <f>IF(H213="","",H213)</f>
        <v/>
      </c>
      <c r="J216" s="7" t="n">
        <v>4</v>
      </c>
      <c r="K216" s="7" t="n"/>
      <c r="L216" s="40" t="n"/>
      <c r="M216">
        <f>IF(AND(L216&lt;&gt;"",N(I216)&gt;0,N(J216)&gt;0),IF(J216=1,I216,ROUND(I216*(1+J216/30),1)),"")</f>
        <v/>
      </c>
      <c r="N216" s="41">
        <f>IF(M216="","",IF(M216&gt;=PRs!C2,"PR!",""))</f>
        <v/>
      </c>
      <c r="O216" s="7" t="n"/>
    </row>
    <row r="217">
      <c r="C217" t="inlineStr">
        <is>
          <t xml:space="preserve">      Set 4</t>
        </is>
      </c>
      <c r="E217" t="n">
        <v>4</v>
      </c>
      <c r="H217" s="39">
        <f>IF(H213="","",H213)</f>
        <v/>
      </c>
      <c r="I217" s="7">
        <f>IF(H213="","",H213)</f>
        <v/>
      </c>
      <c r="J217" s="7" t="n">
        <v>4</v>
      </c>
      <c r="K217" s="7" t="n"/>
      <c r="L217" s="40" t="n"/>
      <c r="M217">
        <f>IF(AND(L217&lt;&gt;"",N(I217)&gt;0,N(J217)&gt;0),IF(J217=1,I217,ROUND(I217*(1+J217/30),1)),"")</f>
        <v/>
      </c>
      <c r="N217" s="41">
        <f>IF(M217="","",IF(M217&gt;=PRs!C2,"PR!",""))</f>
        <v/>
      </c>
      <c r="O217" s="7" t="n"/>
    </row>
    <row r="218">
      <c r="A218" s="34" t="n"/>
      <c r="B218" s="34" t="n"/>
      <c r="C218" s="42" t="inlineStr">
        <is>
          <t>Bench Press</t>
        </is>
      </c>
      <c r="D218" s="34" t="inlineStr">
        <is>
          <t>4 x 4</t>
        </is>
      </c>
      <c r="E218" s="34" t="n"/>
      <c r="F218" s="34" t="n">
        <v>82.5</v>
      </c>
      <c r="G218" s="36">
        <f>Maxes!E3</f>
        <v/>
      </c>
      <c r="H218" s="37">
        <f>IF(OR(G218="",F218=""),"",MROUND(G218*F218/100,'Start Here'!$B$7))</f>
        <v/>
      </c>
      <c r="I218" s="34" t="n"/>
      <c r="J218" s="34" t="n"/>
      <c r="K218" s="34" t="n"/>
      <c r="L218" s="34" t="n"/>
      <c r="M218" s="34" t="n"/>
      <c r="N218" s="34" t="n"/>
      <c r="O218" s="38" t="inlineStr"/>
    </row>
    <row r="219">
      <c r="C219" t="inlineStr">
        <is>
          <t xml:space="preserve">      Set 1</t>
        </is>
      </c>
      <c r="E219" t="n">
        <v>4</v>
      </c>
      <c r="H219" s="39">
        <f>IF(H218="","",H218)</f>
        <v/>
      </c>
      <c r="I219" s="7">
        <f>IF(H218="","",H218)</f>
        <v/>
      </c>
      <c r="J219" s="7" t="n">
        <v>4</v>
      </c>
      <c r="K219" s="7" t="n"/>
      <c r="L219" s="40" t="n"/>
      <c r="M219">
        <f>IF(AND(L219&lt;&gt;"",N(I219)&gt;0,N(J219)&gt;0),IF(J219=1,I219,ROUND(I219*(1+J219/30),1)),"")</f>
        <v/>
      </c>
      <c r="N219" s="41">
        <f>IF(M219="","",IF(M219&gt;=PRs!C3,"PR!",""))</f>
        <v/>
      </c>
      <c r="O219" s="7" t="n"/>
    </row>
    <row r="220">
      <c r="C220" t="inlineStr">
        <is>
          <t xml:space="preserve">      Set 2</t>
        </is>
      </c>
      <c r="E220" t="n">
        <v>4</v>
      </c>
      <c r="H220" s="39">
        <f>IF(H218="","",H218)</f>
        <v/>
      </c>
      <c r="I220" s="7">
        <f>IF(H218="","",H218)</f>
        <v/>
      </c>
      <c r="J220" s="7" t="n">
        <v>4</v>
      </c>
      <c r="K220" s="7" t="n"/>
      <c r="L220" s="40" t="n"/>
      <c r="M220">
        <f>IF(AND(L220&lt;&gt;"",N(I220)&gt;0,N(J220)&gt;0),IF(J220=1,I220,ROUND(I220*(1+J220/30),1)),"")</f>
        <v/>
      </c>
      <c r="N220" s="41">
        <f>IF(M220="","",IF(M220&gt;=PRs!C3,"PR!",""))</f>
        <v/>
      </c>
      <c r="O220" s="7" t="n"/>
    </row>
    <row r="221">
      <c r="C221" t="inlineStr">
        <is>
          <t xml:space="preserve">      Set 3</t>
        </is>
      </c>
      <c r="E221" t="n">
        <v>4</v>
      </c>
      <c r="H221" s="39">
        <f>IF(H218="","",H218)</f>
        <v/>
      </c>
      <c r="I221" s="7">
        <f>IF(H218="","",H218)</f>
        <v/>
      </c>
      <c r="J221" s="7" t="n">
        <v>4</v>
      </c>
      <c r="K221" s="7" t="n"/>
      <c r="L221" s="40" t="n"/>
      <c r="M221">
        <f>IF(AND(L221&lt;&gt;"",N(I221)&gt;0,N(J221)&gt;0),IF(J221=1,I221,ROUND(I221*(1+J221/30),1)),"")</f>
        <v/>
      </c>
      <c r="N221" s="41">
        <f>IF(M221="","",IF(M221&gt;=PRs!C3,"PR!",""))</f>
        <v/>
      </c>
      <c r="O221" s="7" t="n"/>
    </row>
    <row r="222">
      <c r="C222" t="inlineStr">
        <is>
          <t xml:space="preserve">      Set 4</t>
        </is>
      </c>
      <c r="E222" t="n">
        <v>4</v>
      </c>
      <c r="H222" s="39">
        <f>IF(H218="","",H218)</f>
        <v/>
      </c>
      <c r="I222" s="7">
        <f>IF(H218="","",H218)</f>
        <v/>
      </c>
      <c r="J222" s="7" t="n">
        <v>4</v>
      </c>
      <c r="K222" s="7" t="n"/>
      <c r="L222" s="40" t="n"/>
      <c r="M222">
        <f>IF(AND(L222&lt;&gt;"",N(I222)&gt;0,N(J222)&gt;0),IF(J222=1,I222,ROUND(I222*(1+J222/30),1)),"")</f>
        <v/>
      </c>
      <c r="N222" s="41">
        <f>IF(M222="","",IF(M222&gt;=PRs!C3,"PR!",""))</f>
        <v/>
      </c>
      <c r="O222" s="7" t="n"/>
    </row>
    <row r="223">
      <c r="A223" s="34" t="n"/>
      <c r="B223" s="34" t="n"/>
      <c r="C223" s="43" t="inlineStr">
        <is>
          <t>Barbell Row</t>
        </is>
      </c>
      <c r="D223" s="34" t="inlineStr">
        <is>
          <t>3 x 8-10</t>
        </is>
      </c>
      <c r="E223" s="34" t="n"/>
      <c r="F223" s="34" t="n"/>
      <c r="G223" s="36" t="n"/>
      <c r="H223" s="37" t="n"/>
      <c r="I223" s="34" t="n"/>
      <c r="J223" s="34" t="n"/>
      <c r="K223" s="34" t="n"/>
      <c r="L223" s="34" t="n"/>
      <c r="M223" s="34" t="n"/>
      <c r="N223" s="34" t="n"/>
      <c r="O223" s="38" t="inlineStr">
        <is>
          <t>Leave 1-2 reps in the tank; add weight when you hit the top of the range</t>
        </is>
      </c>
    </row>
    <row r="224">
      <c r="C224" t="inlineStr">
        <is>
          <t xml:space="preserve">      Set 1</t>
        </is>
      </c>
      <c r="E224" t="n">
        <v>8</v>
      </c>
      <c r="H224" s="39">
        <f>IF(H223="","",H223)</f>
        <v/>
      </c>
      <c r="I224" s="7">
        <f>IF(H223="","",H223)</f>
        <v/>
      </c>
      <c r="J224" s="7" t="n">
        <v>8</v>
      </c>
      <c r="K224" s="7" t="n"/>
      <c r="L224" s="40" t="n"/>
      <c r="M224">
        <f>IF(AND(L224&lt;&gt;"",N(I224)&gt;0,N(J224)&gt;0),IF(J224=1,I224,ROUND(I224*(1+J224/30),1)),"")</f>
        <v/>
      </c>
      <c r="N224" s="41">
        <f>IF(M224="","",IF(M224&gt;=PRs!C50,"PR!",""))</f>
        <v/>
      </c>
      <c r="O224" s="7" t="n"/>
    </row>
    <row r="225">
      <c r="C225" t="inlineStr">
        <is>
          <t xml:space="preserve">      Set 2</t>
        </is>
      </c>
      <c r="E225" t="n">
        <v>8</v>
      </c>
      <c r="H225" s="39">
        <f>IF(H223="","",H223)</f>
        <v/>
      </c>
      <c r="I225" s="7">
        <f>IF(H223="","",H223)</f>
        <v/>
      </c>
      <c r="J225" s="7" t="n">
        <v>8</v>
      </c>
      <c r="K225" s="7" t="n"/>
      <c r="L225" s="40" t="n"/>
      <c r="M225">
        <f>IF(AND(L225&lt;&gt;"",N(I225)&gt;0,N(J225)&gt;0),IF(J225=1,I225,ROUND(I225*(1+J225/30),1)),"")</f>
        <v/>
      </c>
      <c r="N225" s="41">
        <f>IF(M225="","",IF(M225&gt;=PRs!C50,"PR!",""))</f>
        <v/>
      </c>
      <c r="O225" s="7" t="n"/>
    </row>
    <row r="226">
      <c r="C226" t="inlineStr">
        <is>
          <t xml:space="preserve">      Set 3</t>
        </is>
      </c>
      <c r="E226" t="n">
        <v>8</v>
      </c>
      <c r="H226" s="39">
        <f>IF(H223="","",H223)</f>
        <v/>
      </c>
      <c r="I226" s="7">
        <f>IF(H223="","",H223)</f>
        <v/>
      </c>
      <c r="J226" s="7" t="n">
        <v>8</v>
      </c>
      <c r="K226" s="7" t="n"/>
      <c r="L226" s="40" t="n"/>
      <c r="M226">
        <f>IF(AND(L226&lt;&gt;"",N(I226)&gt;0,N(J226)&gt;0),IF(J226=1,I226,ROUND(I226*(1+J226/30),1)),"")</f>
        <v/>
      </c>
      <c r="N226" s="41">
        <f>IF(M226="","",IF(M226&gt;=PRs!C50,"PR!",""))</f>
        <v/>
      </c>
      <c r="O226" s="7" t="n"/>
    </row>
    <row r="227">
      <c r="A227" s="34" t="n"/>
      <c r="B227" s="34" t="n"/>
      <c r="C227" s="43" t="inlineStr">
        <is>
          <t>Face Pull</t>
        </is>
      </c>
      <c r="D227" s="34" t="inlineStr">
        <is>
          <t>3 x 12-15</t>
        </is>
      </c>
      <c r="E227" s="34" t="n"/>
      <c r="F227" s="34" t="n"/>
      <c r="G227" s="36" t="n"/>
      <c r="H227" s="37" t="n"/>
      <c r="I227" s="34" t="n"/>
      <c r="J227" s="34" t="n"/>
      <c r="K227" s="34" t="n"/>
      <c r="L227" s="34" t="n"/>
      <c r="M227" s="34" t="n"/>
      <c r="N227" s="34" t="n"/>
      <c r="O227" s="38" t="inlineStr">
        <is>
          <t>Leave 1-2 reps in the tank; add weight when you hit the top of the range</t>
        </is>
      </c>
    </row>
    <row r="228">
      <c r="C228" t="inlineStr">
        <is>
          <t xml:space="preserve">      Set 1</t>
        </is>
      </c>
      <c r="E228" t="n">
        <v>12</v>
      </c>
      <c r="H228" s="39">
        <f>IF(H227="","",H227)</f>
        <v/>
      </c>
      <c r="I228" s="7">
        <f>IF(H227="","",H227)</f>
        <v/>
      </c>
      <c r="J228" s="7" t="n">
        <v>12</v>
      </c>
      <c r="K228" s="7" t="n"/>
      <c r="L228" s="40" t="n"/>
      <c r="M228">
        <f>IF(AND(L228&lt;&gt;"",N(I228)&gt;0,N(J228)&gt;0),IF(J228=1,I228,ROUND(I228*(1+J228/30),1)),"")</f>
        <v/>
      </c>
      <c r="N228" s="41">
        <f>IF(M228="","",IF(M228&gt;=PRs!C51,"PR!",""))</f>
        <v/>
      </c>
      <c r="O228" s="7" t="n"/>
    </row>
    <row r="229">
      <c r="C229" t="inlineStr">
        <is>
          <t xml:space="preserve">      Set 2</t>
        </is>
      </c>
      <c r="E229" t="n">
        <v>12</v>
      </c>
      <c r="H229" s="39">
        <f>IF(H227="","",H227)</f>
        <v/>
      </c>
      <c r="I229" s="7">
        <f>IF(H227="","",H227)</f>
        <v/>
      </c>
      <c r="J229" s="7" t="n">
        <v>12</v>
      </c>
      <c r="K229" s="7" t="n"/>
      <c r="L229" s="40" t="n"/>
      <c r="M229">
        <f>IF(AND(L229&lt;&gt;"",N(I229)&gt;0,N(J229)&gt;0),IF(J229=1,I229,ROUND(I229*(1+J229/30),1)),"")</f>
        <v/>
      </c>
      <c r="N229" s="41">
        <f>IF(M229="","",IF(M229&gt;=PRs!C51,"PR!",""))</f>
        <v/>
      </c>
      <c r="O229" s="7" t="n"/>
    </row>
    <row r="230">
      <c r="C230" t="inlineStr">
        <is>
          <t xml:space="preserve">      Set 3</t>
        </is>
      </c>
      <c r="E230" t="n">
        <v>12</v>
      </c>
      <c r="H230" s="39">
        <f>IF(H227="","",H227)</f>
        <v/>
      </c>
      <c r="I230" s="7">
        <f>IF(H227="","",H227)</f>
        <v/>
      </c>
      <c r="J230" s="7" t="n">
        <v>12</v>
      </c>
      <c r="K230" s="7" t="n"/>
      <c r="L230" s="40" t="n"/>
      <c r="M230">
        <f>IF(AND(L230&lt;&gt;"",N(I230)&gt;0,N(J230)&gt;0),IF(J230=1,I230,ROUND(I230*(1+J230/30),1)),"")</f>
        <v/>
      </c>
      <c r="N230" s="41">
        <f>IF(M230="","",IF(M230&gt;=PRs!C51,"PR!",""))</f>
        <v/>
      </c>
      <c r="O230" s="7" t="n"/>
    </row>
    <row r="231">
      <c r="A231" s="31" t="inlineStr">
        <is>
          <t>Day 2 - Light</t>
        </is>
      </c>
      <c r="B231" s="32">
        <f>'Start Here'!$B$8+44</f>
        <v/>
      </c>
      <c r="C231" s="33" t="n"/>
      <c r="D231" s="33" t="n"/>
      <c r="E231" s="33" t="n"/>
      <c r="F231" s="33" t="n"/>
      <c r="G231" s="33" t="n"/>
      <c r="H231" s="33" t="n"/>
      <c r="I231" s="33" t="n"/>
      <c r="J231" s="33" t="n"/>
      <c r="K231" s="33" t="n"/>
      <c r="L231" s="33" t="n"/>
      <c r="M231" s="33" t="n"/>
      <c r="N231" s="33" t="n"/>
      <c r="O231" s="33" t="n"/>
    </row>
    <row r="232">
      <c r="A232" s="34" t="n"/>
      <c r="B232" s="34" t="n"/>
      <c r="C232" s="35" t="inlineStr">
        <is>
          <t>Broad Jump</t>
        </is>
      </c>
      <c r="D232" s="34" t="inlineStr">
        <is>
          <t>4 x 3</t>
        </is>
      </c>
      <c r="E232" s="34" t="n"/>
      <c r="F232" s="34" t="n"/>
      <c r="G232" s="36" t="n"/>
      <c r="H232" s="37">
        <f>IF(N(Maxes!E70)&gt;0,Maxes!E70,"")</f>
        <v/>
      </c>
      <c r="I232" s="34" t="n"/>
      <c r="J232" s="34" t="n"/>
      <c r="K232" s="34" t="n"/>
      <c r="L232" s="34" t="n"/>
      <c r="M232" s="34" t="n"/>
      <c r="N232" s="34" t="n"/>
      <c r="O232" s="38" t="inlineStr">
        <is>
          <t>Standing two-foot jump forward, stick the landing. Measure toe line to the back of the nearest heel.</t>
        </is>
      </c>
    </row>
    <row r="233">
      <c r="C233" t="inlineStr">
        <is>
          <t xml:space="preserve">      Set 1</t>
        </is>
      </c>
      <c r="E233" t="n">
        <v>3</v>
      </c>
      <c r="H233" s="39">
        <f>IF(H232="","",H232)</f>
        <v/>
      </c>
      <c r="I233" s="7">
        <f>IF(H232="","",H232)</f>
        <v/>
      </c>
      <c r="J233" s="7" t="n">
        <v>3</v>
      </c>
      <c r="K233" s="7" t="n"/>
      <c r="L233" s="40" t="n"/>
      <c r="N233" s="41">
        <f>IF(AND(L233&lt;&gt;"",N(I233)&gt;0),IF(I233&gt;=PRs!D70,"PR!",""),"")</f>
        <v/>
      </c>
      <c r="O233" s="7" t="n"/>
    </row>
    <row r="234">
      <c r="C234" t="inlineStr">
        <is>
          <t xml:space="preserve">      Set 2</t>
        </is>
      </c>
      <c r="E234" t="n">
        <v>3</v>
      </c>
      <c r="H234" s="39">
        <f>IF(H232="","",H232)</f>
        <v/>
      </c>
      <c r="I234" s="7">
        <f>IF(H232="","",H232)</f>
        <v/>
      </c>
      <c r="J234" s="7" t="n">
        <v>3</v>
      </c>
      <c r="K234" s="7" t="n"/>
      <c r="L234" s="40" t="n"/>
      <c r="N234" s="41">
        <f>IF(AND(L234&lt;&gt;"",N(I234)&gt;0),IF(I234&gt;=PRs!D70,"PR!",""),"")</f>
        <v/>
      </c>
      <c r="O234" s="7" t="n"/>
    </row>
    <row r="235">
      <c r="C235" t="inlineStr">
        <is>
          <t xml:space="preserve">      Set 3</t>
        </is>
      </c>
      <c r="E235" t="n">
        <v>3</v>
      </c>
      <c r="H235" s="39">
        <f>IF(H232="","",H232)</f>
        <v/>
      </c>
      <c r="I235" s="7">
        <f>IF(H232="","",H232)</f>
        <v/>
      </c>
      <c r="J235" s="7" t="n">
        <v>3</v>
      </c>
      <c r="K235" s="7" t="n"/>
      <c r="L235" s="40" t="n"/>
      <c r="N235" s="41">
        <f>IF(AND(L235&lt;&gt;"",N(I235)&gt;0),IF(I235&gt;=PRs!D70,"PR!",""),"")</f>
        <v/>
      </c>
      <c r="O235" s="7" t="n"/>
    </row>
    <row r="236">
      <c r="C236" t="inlineStr">
        <is>
          <t xml:space="preserve">      Set 4</t>
        </is>
      </c>
      <c r="E236" t="n">
        <v>3</v>
      </c>
      <c r="H236" s="39">
        <f>IF(H232="","",H232)</f>
        <v/>
      </c>
      <c r="I236" s="7">
        <f>IF(H232="","",H232)</f>
        <v/>
      </c>
      <c r="J236" s="7" t="n">
        <v>3</v>
      </c>
      <c r="K236" s="7" t="n"/>
      <c r="L236" s="40" t="n"/>
      <c r="N236" s="41">
        <f>IF(AND(L236&lt;&gt;"",N(I236)&gt;0),IF(I236&gt;=PRs!D70,"PR!",""),"")</f>
        <v/>
      </c>
      <c r="O236" s="7" t="n"/>
    </row>
    <row r="237">
      <c r="A237" s="34" t="n"/>
      <c r="B237" s="34" t="n"/>
      <c r="C237" s="35" t="inlineStr">
        <is>
          <t>Med Ball Chest Pass</t>
        </is>
      </c>
      <c r="D237" s="34" t="inlineStr">
        <is>
          <t>3 x 5</t>
        </is>
      </c>
      <c r="E237" s="34" t="n"/>
      <c r="F237" s="34" t="n"/>
      <c r="G237" s="36" t="n"/>
      <c r="H237" s="37">
        <f>IF(N(Maxes!E77)&gt;0,Maxes!E77,"")</f>
        <v/>
      </c>
      <c r="I237" s="34" t="n"/>
      <c r="J237" s="34" t="n"/>
      <c r="K237" s="34" t="n"/>
      <c r="L237" s="34" t="n"/>
      <c r="M237" s="34" t="n"/>
      <c r="N237" s="34" t="n"/>
      <c r="O237" s="38" t="inlineStr">
        <is>
          <t>Kneeling or standing chest pass for distance with a 6-10 lb / 3-5 kg ball. Log the distance.</t>
        </is>
      </c>
    </row>
    <row r="238">
      <c r="C238" t="inlineStr">
        <is>
          <t xml:space="preserve">      Set 1</t>
        </is>
      </c>
      <c r="E238" t="n">
        <v>5</v>
      </c>
      <c r="H238" s="39">
        <f>IF(H237="","",H237)</f>
        <v/>
      </c>
      <c r="I238" s="7">
        <f>IF(H237="","",H237)</f>
        <v/>
      </c>
      <c r="J238" s="7" t="n">
        <v>5</v>
      </c>
      <c r="K238" s="7" t="n"/>
      <c r="L238" s="40" t="n"/>
      <c r="N238" s="41">
        <f>IF(AND(L238&lt;&gt;"",N(I238)&gt;0),IF(I238&gt;=PRs!D77,"PR!",""),"")</f>
        <v/>
      </c>
      <c r="O238" s="7" t="n"/>
    </row>
    <row r="239">
      <c r="C239" t="inlineStr">
        <is>
          <t xml:space="preserve">      Set 2</t>
        </is>
      </c>
      <c r="E239" t="n">
        <v>5</v>
      </c>
      <c r="H239" s="39">
        <f>IF(H237="","",H237)</f>
        <v/>
      </c>
      <c r="I239" s="7">
        <f>IF(H237="","",H237)</f>
        <v/>
      </c>
      <c r="J239" s="7" t="n">
        <v>5</v>
      </c>
      <c r="K239" s="7" t="n"/>
      <c r="L239" s="40" t="n"/>
      <c r="N239" s="41">
        <f>IF(AND(L239&lt;&gt;"",N(I239)&gt;0),IF(I239&gt;=PRs!D77,"PR!",""),"")</f>
        <v/>
      </c>
      <c r="O239" s="7" t="n"/>
    </row>
    <row r="240">
      <c r="C240" t="inlineStr">
        <is>
          <t xml:space="preserve">      Set 3</t>
        </is>
      </c>
      <c r="E240" t="n">
        <v>5</v>
      </c>
      <c r="H240" s="39">
        <f>IF(H237="","",H237)</f>
        <v/>
      </c>
      <c r="I240" s="7">
        <f>IF(H237="","",H237)</f>
        <v/>
      </c>
      <c r="J240" s="7" t="n">
        <v>5</v>
      </c>
      <c r="K240" s="7" t="n"/>
      <c r="L240" s="40" t="n"/>
      <c r="N240" s="41">
        <f>IF(AND(L240&lt;&gt;"",N(I240)&gt;0),IF(I240&gt;=PRs!D77,"PR!",""),"")</f>
        <v/>
      </c>
      <c r="O240" s="7" t="n"/>
    </row>
    <row r="241">
      <c r="A241" s="34" t="n"/>
      <c r="B241" s="34" t="n"/>
      <c r="C241" s="42" t="inlineStr">
        <is>
          <t>Clean &amp; Jerk</t>
        </is>
      </c>
      <c r="D241" s="34" t="inlineStr">
        <is>
          <t>5 x 2</t>
        </is>
      </c>
      <c r="E241" s="34" t="n"/>
      <c r="F241" s="34" t="n">
        <v>82.5</v>
      </c>
      <c r="G241" s="36">
        <f>Maxes!E7</f>
        <v/>
      </c>
      <c r="H241" s="37">
        <f>IF(OR(G241="",F241=""),"",MROUND(G241*F241/100,'Start Here'!$B$7))</f>
        <v/>
      </c>
      <c r="I241" s="34" t="n"/>
      <c r="J241" s="34" t="n"/>
      <c r="K241" s="34" t="n"/>
      <c r="L241" s="34" t="n"/>
      <c r="M241" s="34" t="n"/>
      <c r="N241" s="34" t="n"/>
      <c r="O241" s="38" t="inlineStr"/>
    </row>
    <row r="242">
      <c r="C242" t="inlineStr">
        <is>
          <t xml:space="preserve">      Set 1</t>
        </is>
      </c>
      <c r="E242" t="n">
        <v>2</v>
      </c>
      <c r="H242" s="39">
        <f>IF(H241="","",H241)</f>
        <v/>
      </c>
      <c r="I242" s="7">
        <f>IF(H241="","",H241)</f>
        <v/>
      </c>
      <c r="J242" s="7" t="n">
        <v>2</v>
      </c>
      <c r="K242" s="7" t="n"/>
      <c r="L242" s="40" t="n"/>
      <c r="M242">
        <f>IF(AND(L242&lt;&gt;"",N(I242)&gt;0,N(J242)&gt;0),IF(J242=1,I242,ROUND(I242*(1+J242/30),1)),"")</f>
        <v/>
      </c>
      <c r="N242" s="41">
        <f>IF(M242="","",IF(M242&gt;=PRs!C7,"PR!",""))</f>
        <v/>
      </c>
      <c r="O242" s="7" t="n"/>
    </row>
    <row r="243">
      <c r="C243" t="inlineStr">
        <is>
          <t xml:space="preserve">      Set 2</t>
        </is>
      </c>
      <c r="E243" t="n">
        <v>2</v>
      </c>
      <c r="H243" s="39">
        <f>IF(H241="","",H241)</f>
        <v/>
      </c>
      <c r="I243" s="7">
        <f>IF(H241="","",H241)</f>
        <v/>
      </c>
      <c r="J243" s="7" t="n">
        <v>2</v>
      </c>
      <c r="K243" s="7" t="n"/>
      <c r="L243" s="40" t="n"/>
      <c r="M243">
        <f>IF(AND(L243&lt;&gt;"",N(I243)&gt;0,N(J243)&gt;0),IF(J243=1,I243,ROUND(I243*(1+J243/30),1)),"")</f>
        <v/>
      </c>
      <c r="N243" s="41">
        <f>IF(M243="","",IF(M243&gt;=PRs!C7,"PR!",""))</f>
        <v/>
      </c>
      <c r="O243" s="7" t="n"/>
    </row>
    <row r="244">
      <c r="C244" t="inlineStr">
        <is>
          <t xml:space="preserve">      Set 3</t>
        </is>
      </c>
      <c r="E244" t="n">
        <v>2</v>
      </c>
      <c r="H244" s="39">
        <f>IF(H241="","",H241)</f>
        <v/>
      </c>
      <c r="I244" s="7">
        <f>IF(H241="","",H241)</f>
        <v/>
      </c>
      <c r="J244" s="7" t="n">
        <v>2</v>
      </c>
      <c r="K244" s="7" t="n"/>
      <c r="L244" s="40" t="n"/>
      <c r="M244">
        <f>IF(AND(L244&lt;&gt;"",N(I244)&gt;0,N(J244)&gt;0),IF(J244=1,I244,ROUND(I244*(1+J244/30),1)),"")</f>
        <v/>
      </c>
      <c r="N244" s="41">
        <f>IF(M244="","",IF(M244&gt;=PRs!C7,"PR!",""))</f>
        <v/>
      </c>
      <c r="O244" s="7" t="n"/>
    </row>
    <row r="245">
      <c r="C245" t="inlineStr">
        <is>
          <t xml:space="preserve">      Set 4</t>
        </is>
      </c>
      <c r="E245" t="n">
        <v>2</v>
      </c>
      <c r="H245" s="39">
        <f>IF(H241="","",H241)</f>
        <v/>
      </c>
      <c r="I245" s="7">
        <f>IF(H241="","",H241)</f>
        <v/>
      </c>
      <c r="J245" s="7" t="n">
        <v>2</v>
      </c>
      <c r="K245" s="7" t="n"/>
      <c r="L245" s="40" t="n"/>
      <c r="M245">
        <f>IF(AND(L245&lt;&gt;"",N(I245)&gt;0,N(J245)&gt;0),IF(J245=1,I245,ROUND(I245*(1+J245/30),1)),"")</f>
        <v/>
      </c>
      <c r="N245" s="41">
        <f>IF(M245="","",IF(M245&gt;=PRs!C7,"PR!",""))</f>
        <v/>
      </c>
      <c r="O245" s="7" t="n"/>
    </row>
    <row r="246">
      <c r="C246" t="inlineStr">
        <is>
          <t xml:space="preserve">      Set 5</t>
        </is>
      </c>
      <c r="E246" t="n">
        <v>2</v>
      </c>
      <c r="H246" s="39">
        <f>IF(H241="","",H241)</f>
        <v/>
      </c>
      <c r="I246" s="7">
        <f>IF(H241="","",H241)</f>
        <v/>
      </c>
      <c r="J246" s="7" t="n">
        <v>2</v>
      </c>
      <c r="K246" s="7" t="n"/>
      <c r="L246" s="40" t="n"/>
      <c r="M246">
        <f>IF(AND(L246&lt;&gt;"",N(I246)&gt;0,N(J246)&gt;0),IF(J246=1,I246,ROUND(I246*(1+J246/30),1)),"")</f>
        <v/>
      </c>
      <c r="N246" s="41">
        <f>IF(M246="","",IF(M246&gt;=PRs!C7,"PR!",""))</f>
        <v/>
      </c>
      <c r="O246" s="7" t="n"/>
    </row>
    <row r="247">
      <c r="A247" s="34" t="n"/>
      <c r="B247" s="34" t="n"/>
      <c r="C247" s="42" t="inlineStr">
        <is>
          <t>Squat</t>
        </is>
      </c>
      <c r="D247" s="34" t="inlineStr">
        <is>
          <t>3 x 6</t>
        </is>
      </c>
      <c r="E247" s="34" t="n"/>
      <c r="F247" s="34" t="n">
        <v>70</v>
      </c>
      <c r="G247" s="36">
        <f>Maxes!E2</f>
        <v/>
      </c>
      <c r="H247" s="37">
        <f>IF(OR(G247="",F247=""),"",MROUND(G247*F247/100,'Start Here'!$B$7))</f>
        <v/>
      </c>
      <c r="I247" s="34" t="n"/>
      <c r="J247" s="34" t="n"/>
      <c r="K247" s="34" t="n"/>
      <c r="L247" s="34" t="n"/>
      <c r="M247" s="34" t="n"/>
      <c r="N247" s="34" t="n"/>
      <c r="O247" s="38" t="inlineStr"/>
    </row>
    <row r="248">
      <c r="C248" t="inlineStr">
        <is>
          <t xml:space="preserve">      Set 1</t>
        </is>
      </c>
      <c r="E248" t="n">
        <v>6</v>
      </c>
      <c r="H248" s="39">
        <f>IF(H247="","",H247)</f>
        <v/>
      </c>
      <c r="I248" s="7">
        <f>IF(H247="","",H247)</f>
        <v/>
      </c>
      <c r="J248" s="7" t="n">
        <v>6</v>
      </c>
      <c r="K248" s="7" t="n"/>
      <c r="L248" s="40" t="n"/>
      <c r="M248">
        <f>IF(AND(L248&lt;&gt;"",N(I248)&gt;0,N(J248)&gt;0),IF(J248=1,I248,ROUND(I248*(1+J248/30),1)),"")</f>
        <v/>
      </c>
      <c r="N248" s="41">
        <f>IF(M248="","",IF(M248&gt;=PRs!C2,"PR!",""))</f>
        <v/>
      </c>
      <c r="O248" s="7" t="n"/>
    </row>
    <row r="249">
      <c r="C249" t="inlineStr">
        <is>
          <t xml:space="preserve">      Set 2</t>
        </is>
      </c>
      <c r="E249" t="n">
        <v>6</v>
      </c>
      <c r="H249" s="39">
        <f>IF(H247="","",H247)</f>
        <v/>
      </c>
      <c r="I249" s="7">
        <f>IF(H247="","",H247)</f>
        <v/>
      </c>
      <c r="J249" s="7" t="n">
        <v>6</v>
      </c>
      <c r="K249" s="7" t="n"/>
      <c r="L249" s="40" t="n"/>
      <c r="M249">
        <f>IF(AND(L249&lt;&gt;"",N(I249)&gt;0,N(J249)&gt;0),IF(J249=1,I249,ROUND(I249*(1+J249/30),1)),"")</f>
        <v/>
      </c>
      <c r="N249" s="41">
        <f>IF(M249="","",IF(M249&gt;=PRs!C2,"PR!",""))</f>
        <v/>
      </c>
      <c r="O249" s="7" t="n"/>
    </row>
    <row r="250">
      <c r="C250" t="inlineStr">
        <is>
          <t xml:space="preserve">      Set 3</t>
        </is>
      </c>
      <c r="E250" t="n">
        <v>6</v>
      </c>
      <c r="H250" s="39">
        <f>IF(H247="","",H247)</f>
        <v/>
      </c>
      <c r="I250" s="7">
        <f>IF(H247="","",H247)</f>
        <v/>
      </c>
      <c r="J250" s="7" t="n">
        <v>6</v>
      </c>
      <c r="K250" s="7" t="n"/>
      <c r="L250" s="40" t="n"/>
      <c r="M250">
        <f>IF(AND(L250&lt;&gt;"",N(I250)&gt;0,N(J250)&gt;0),IF(J250=1,I250,ROUND(I250*(1+J250/30),1)),"")</f>
        <v/>
      </c>
      <c r="N250" s="41">
        <f>IF(M250="","",IF(M250&gt;=PRs!C2,"PR!",""))</f>
        <v/>
      </c>
      <c r="O250" s="7" t="n"/>
    </row>
    <row r="251">
      <c r="A251" s="34" t="n"/>
      <c r="B251" s="34" t="n"/>
      <c r="C251" s="42" t="inlineStr">
        <is>
          <t>Overhead Press</t>
        </is>
      </c>
      <c r="D251" s="34" t="inlineStr">
        <is>
          <t>3 x 6</t>
        </is>
      </c>
      <c r="E251" s="34" t="n"/>
      <c r="F251" s="34" t="n">
        <v>77.5</v>
      </c>
      <c r="G251" s="36">
        <f>Maxes!E5</f>
        <v/>
      </c>
      <c r="H251" s="37">
        <f>IF(OR(G251="",F251=""),"",MROUND(G251*F251/100,'Start Here'!$B$7))</f>
        <v/>
      </c>
      <c r="I251" s="34" t="n"/>
      <c r="J251" s="34" t="n"/>
      <c r="K251" s="34" t="n"/>
      <c r="L251" s="34" t="n"/>
      <c r="M251" s="34" t="n"/>
      <c r="N251" s="34" t="n"/>
      <c r="O251" s="38" t="inlineStr"/>
    </row>
    <row r="252">
      <c r="C252" t="inlineStr">
        <is>
          <t xml:space="preserve">      Set 1</t>
        </is>
      </c>
      <c r="E252" t="n">
        <v>6</v>
      </c>
      <c r="H252" s="39">
        <f>IF(H251="","",H251)</f>
        <v/>
      </c>
      <c r="I252" s="7">
        <f>IF(H251="","",H251)</f>
        <v/>
      </c>
      <c r="J252" s="7" t="n">
        <v>6</v>
      </c>
      <c r="K252" s="7" t="n"/>
      <c r="L252" s="40" t="n"/>
      <c r="M252">
        <f>IF(AND(L252&lt;&gt;"",N(I252)&gt;0,N(J252)&gt;0),IF(J252=1,I252,ROUND(I252*(1+J252/30),1)),"")</f>
        <v/>
      </c>
      <c r="N252" s="41">
        <f>IF(M252="","",IF(M252&gt;=PRs!C5,"PR!",""))</f>
        <v/>
      </c>
      <c r="O252" s="7" t="n"/>
    </row>
    <row r="253">
      <c r="C253" t="inlineStr">
        <is>
          <t xml:space="preserve">      Set 2</t>
        </is>
      </c>
      <c r="E253" t="n">
        <v>6</v>
      </c>
      <c r="H253" s="39">
        <f>IF(H251="","",H251)</f>
        <v/>
      </c>
      <c r="I253" s="7">
        <f>IF(H251="","",H251)</f>
        <v/>
      </c>
      <c r="J253" s="7" t="n">
        <v>6</v>
      </c>
      <c r="K253" s="7" t="n"/>
      <c r="L253" s="40" t="n"/>
      <c r="M253">
        <f>IF(AND(L253&lt;&gt;"",N(I253)&gt;0,N(J253)&gt;0),IF(J253=1,I253,ROUND(I253*(1+J253/30),1)),"")</f>
        <v/>
      </c>
      <c r="N253" s="41">
        <f>IF(M253="","",IF(M253&gt;=PRs!C5,"PR!",""))</f>
        <v/>
      </c>
      <c r="O253" s="7" t="n"/>
    </row>
    <row r="254">
      <c r="C254" t="inlineStr">
        <is>
          <t xml:space="preserve">      Set 3</t>
        </is>
      </c>
      <c r="E254" t="n">
        <v>6</v>
      </c>
      <c r="H254" s="39">
        <f>IF(H251="","",H251)</f>
        <v/>
      </c>
      <c r="I254" s="7">
        <f>IF(H251="","",H251)</f>
        <v/>
      </c>
      <c r="J254" s="7" t="n">
        <v>6</v>
      </c>
      <c r="K254" s="7" t="n"/>
      <c r="L254" s="40" t="n"/>
      <c r="M254">
        <f>IF(AND(L254&lt;&gt;"",N(I254)&gt;0,N(J254)&gt;0),IF(J254=1,I254,ROUND(I254*(1+J254/30),1)),"")</f>
        <v/>
      </c>
      <c r="N254" s="41">
        <f>IF(M254="","",IF(M254&gt;=PRs!C5,"PR!",""))</f>
        <v/>
      </c>
      <c r="O254" s="7" t="n"/>
    </row>
    <row r="255">
      <c r="A255" s="34" t="n"/>
      <c r="B255" s="34" t="n"/>
      <c r="C255" s="42" t="inlineStr">
        <is>
          <t>Deadlift</t>
        </is>
      </c>
      <c r="D255" s="34" t="inlineStr">
        <is>
          <t>3 x 6</t>
        </is>
      </c>
      <c r="E255" s="34" t="n"/>
      <c r="F255" s="34" t="n">
        <v>77.5</v>
      </c>
      <c r="G255" s="36">
        <f>Maxes!E4</f>
        <v/>
      </c>
      <c r="H255" s="37">
        <f>IF(OR(G255="",F255=""),"",MROUND(G255*F255/100,'Start Here'!$B$7))</f>
        <v/>
      </c>
      <c r="I255" s="34" t="n"/>
      <c r="J255" s="34" t="n"/>
      <c r="K255" s="34" t="n"/>
      <c r="L255" s="34" t="n"/>
      <c r="M255" s="34" t="n"/>
      <c r="N255" s="34" t="n"/>
      <c r="O255" s="38" t="inlineStr"/>
    </row>
    <row r="256">
      <c r="C256" t="inlineStr">
        <is>
          <t xml:space="preserve">      Set 1</t>
        </is>
      </c>
      <c r="E256" t="n">
        <v>6</v>
      </c>
      <c r="H256" s="39">
        <f>IF(H255="","",H255)</f>
        <v/>
      </c>
      <c r="I256" s="7">
        <f>IF(H255="","",H255)</f>
        <v/>
      </c>
      <c r="J256" s="7" t="n">
        <v>6</v>
      </c>
      <c r="K256" s="7" t="n"/>
      <c r="L256" s="40" t="n"/>
      <c r="M256">
        <f>IF(AND(L256&lt;&gt;"",N(I256)&gt;0,N(J256)&gt;0),IF(J256=1,I256,ROUND(I256*(1+J256/30),1)),"")</f>
        <v/>
      </c>
      <c r="N256" s="41">
        <f>IF(M256="","",IF(M256&gt;=PRs!C4,"PR!",""))</f>
        <v/>
      </c>
      <c r="O256" s="7" t="n"/>
    </row>
    <row r="257">
      <c r="C257" t="inlineStr">
        <is>
          <t xml:space="preserve">      Set 2</t>
        </is>
      </c>
      <c r="E257" t="n">
        <v>6</v>
      </c>
      <c r="H257" s="39">
        <f>IF(H255="","",H255)</f>
        <v/>
      </c>
      <c r="I257" s="7">
        <f>IF(H255="","",H255)</f>
        <v/>
      </c>
      <c r="J257" s="7" t="n">
        <v>6</v>
      </c>
      <c r="K257" s="7" t="n"/>
      <c r="L257" s="40" t="n"/>
      <c r="M257">
        <f>IF(AND(L257&lt;&gt;"",N(I257)&gt;0,N(J257)&gt;0),IF(J257=1,I257,ROUND(I257*(1+J257/30),1)),"")</f>
        <v/>
      </c>
      <c r="N257" s="41">
        <f>IF(M257="","",IF(M257&gt;=PRs!C4,"PR!",""))</f>
        <v/>
      </c>
      <c r="O257" s="7" t="n"/>
    </row>
    <row r="258">
      <c r="C258" t="inlineStr">
        <is>
          <t xml:space="preserve">      Set 3</t>
        </is>
      </c>
      <c r="E258" t="n">
        <v>6</v>
      </c>
      <c r="H258" s="39">
        <f>IF(H255="","",H255)</f>
        <v/>
      </c>
      <c r="I258" s="7">
        <f>IF(H255="","",H255)</f>
        <v/>
      </c>
      <c r="J258" s="7" t="n">
        <v>6</v>
      </c>
      <c r="K258" s="7" t="n"/>
      <c r="L258" s="40" t="n"/>
      <c r="M258">
        <f>IF(AND(L258&lt;&gt;"",N(I258)&gt;0,N(J258)&gt;0),IF(J258=1,I258,ROUND(I258*(1+J258/30),1)),"")</f>
        <v/>
      </c>
      <c r="N258" s="41">
        <f>IF(M258="","",IF(M258&gt;=PRs!C4,"PR!",""))</f>
        <v/>
      </c>
      <c r="O258" s="7" t="n"/>
    </row>
    <row r="259">
      <c r="A259" s="34" t="n"/>
      <c r="B259" s="34" t="n"/>
      <c r="C259" s="43" t="inlineStr">
        <is>
          <t>Chin-up</t>
        </is>
      </c>
      <c r="D259" s="34" t="inlineStr">
        <is>
          <t>3 x 6-10</t>
        </is>
      </c>
      <c r="E259" s="34" t="n"/>
      <c r="F259" s="34" t="n"/>
      <c r="G259" s="36" t="n"/>
      <c r="H259" s="37" t="n"/>
      <c r="I259" s="34" t="n"/>
      <c r="J259" s="34" t="n"/>
      <c r="K259" s="34" t="n"/>
      <c r="L259" s="34" t="n"/>
      <c r="M259" s="34" t="n"/>
      <c r="N259" s="34" t="n"/>
      <c r="O259" s="38" t="inlineStr">
        <is>
          <t>Leave 1-2 reps in the tank; add weight when you hit the top of the range</t>
        </is>
      </c>
    </row>
    <row r="260">
      <c r="C260" t="inlineStr">
        <is>
          <t xml:space="preserve">      Set 1</t>
        </is>
      </c>
      <c r="E260" t="n">
        <v>6</v>
      </c>
      <c r="H260" s="39">
        <f>IF(H259="","",H259)</f>
        <v/>
      </c>
      <c r="I260" s="7">
        <f>IF(H259="","",H259)</f>
        <v/>
      </c>
      <c r="J260" s="7" t="n">
        <v>6</v>
      </c>
      <c r="K260" s="7" t="n"/>
      <c r="L260" s="40" t="n"/>
      <c r="M260">
        <f>IF(AND(L260&lt;&gt;"",N(I260)&gt;0,N(J260)&gt;0),IF(J260=1,I260,ROUND(I260*(1+J260/30),1)),"")</f>
        <v/>
      </c>
      <c r="N260" s="41">
        <f>IF(M260="","",IF(M260&gt;=PRs!C53,"PR!",""))</f>
        <v/>
      </c>
      <c r="O260" s="7" t="n"/>
    </row>
    <row r="261">
      <c r="C261" t="inlineStr">
        <is>
          <t xml:space="preserve">      Set 2</t>
        </is>
      </c>
      <c r="E261" t="n">
        <v>6</v>
      </c>
      <c r="H261" s="39">
        <f>IF(H259="","",H259)</f>
        <v/>
      </c>
      <c r="I261" s="7">
        <f>IF(H259="","",H259)</f>
        <v/>
      </c>
      <c r="J261" s="7" t="n">
        <v>6</v>
      </c>
      <c r="K261" s="7" t="n"/>
      <c r="L261" s="40" t="n"/>
      <c r="M261">
        <f>IF(AND(L261&lt;&gt;"",N(I261)&gt;0,N(J261)&gt;0),IF(J261=1,I261,ROUND(I261*(1+J261/30),1)),"")</f>
        <v/>
      </c>
      <c r="N261" s="41">
        <f>IF(M261="","",IF(M261&gt;=PRs!C53,"PR!",""))</f>
        <v/>
      </c>
      <c r="O261" s="7" t="n"/>
    </row>
    <row r="262">
      <c r="C262" t="inlineStr">
        <is>
          <t xml:space="preserve">      Set 3</t>
        </is>
      </c>
      <c r="E262" t="n">
        <v>6</v>
      </c>
      <c r="H262" s="39">
        <f>IF(H259="","",H259)</f>
        <v/>
      </c>
      <c r="I262" s="7">
        <f>IF(H259="","",H259)</f>
        <v/>
      </c>
      <c r="J262" s="7" t="n">
        <v>6</v>
      </c>
      <c r="K262" s="7" t="n"/>
      <c r="L262" s="40" t="n"/>
      <c r="M262">
        <f>IF(AND(L262&lt;&gt;"",N(I262)&gt;0,N(J262)&gt;0),IF(J262=1,I262,ROUND(I262*(1+J262/30),1)),"")</f>
        <v/>
      </c>
      <c r="N262" s="41">
        <f>IF(M262="","",IF(M262&gt;=PRs!C53,"PR!",""))</f>
        <v/>
      </c>
      <c r="O262" s="7" t="n"/>
    </row>
    <row r="263">
      <c r="A263" s="34" t="n"/>
      <c r="B263" s="34" t="n"/>
      <c r="C263" s="43" t="inlineStr">
        <is>
          <t>Plank</t>
        </is>
      </c>
      <c r="D263" s="34" t="inlineStr">
        <is>
          <t>3 x 30-60s</t>
        </is>
      </c>
      <c r="E263" s="34" t="n"/>
      <c r="F263" s="34" t="n"/>
      <c r="G263" s="36" t="n"/>
      <c r="H263" s="37" t="n"/>
      <c r="I263" s="34" t="n"/>
      <c r="J263" s="34" t="n"/>
      <c r="K263" s="34" t="n"/>
      <c r="L263" s="34" t="n"/>
      <c r="M263" s="34" t="n"/>
      <c r="N263" s="34" t="n"/>
      <c r="O263" s="38" t="inlineStr">
        <is>
          <t>Leave 1-2 reps in the tank; add weight when you hit the top of the range</t>
        </is>
      </c>
    </row>
    <row r="264">
      <c r="C264" t="inlineStr">
        <is>
          <t xml:space="preserve">      Set 1</t>
        </is>
      </c>
      <c r="E264" t="n">
        <v>30</v>
      </c>
      <c r="H264" s="39">
        <f>IF(H263="","",H263)</f>
        <v/>
      </c>
      <c r="I264" s="7">
        <f>IF(H263="","",H263)</f>
        <v/>
      </c>
      <c r="J264" s="7" t="n">
        <v>30</v>
      </c>
      <c r="K264" s="7" t="n"/>
      <c r="L264" s="40" t="n"/>
      <c r="M264">
        <f>IF(AND(L264&lt;&gt;"",N(I264)&gt;0,N(J264)&gt;0),IF(J264=1,I264,ROUND(I264*(1+J264/30),1)),"")</f>
        <v/>
      </c>
      <c r="N264" s="41">
        <f>IF(M264="","",IF(M264&gt;=PRs!C56,"PR!",""))</f>
        <v/>
      </c>
      <c r="O264" s="7" t="n"/>
    </row>
    <row r="265">
      <c r="C265" t="inlineStr">
        <is>
          <t xml:space="preserve">      Set 2</t>
        </is>
      </c>
      <c r="E265" t="n">
        <v>30</v>
      </c>
      <c r="H265" s="39">
        <f>IF(H263="","",H263)</f>
        <v/>
      </c>
      <c r="I265" s="7">
        <f>IF(H263="","",H263)</f>
        <v/>
      </c>
      <c r="J265" s="7" t="n">
        <v>30</v>
      </c>
      <c r="K265" s="7" t="n"/>
      <c r="L265" s="40" t="n"/>
      <c r="M265">
        <f>IF(AND(L265&lt;&gt;"",N(I265)&gt;0,N(J265)&gt;0),IF(J265=1,I265,ROUND(I265*(1+J265/30),1)),"")</f>
        <v/>
      </c>
      <c r="N265" s="41">
        <f>IF(M265="","",IF(M265&gt;=PRs!C56,"PR!",""))</f>
        <v/>
      </c>
      <c r="O265" s="7" t="n"/>
    </row>
    <row r="266">
      <c r="C266" t="inlineStr">
        <is>
          <t xml:space="preserve">      Set 3</t>
        </is>
      </c>
      <c r="E266" t="n">
        <v>30</v>
      </c>
      <c r="H266" s="39">
        <f>IF(H263="","",H263)</f>
        <v/>
      </c>
      <c r="I266" s="7">
        <f>IF(H263="","",H263)</f>
        <v/>
      </c>
      <c r="J266" s="7" t="n">
        <v>30</v>
      </c>
      <c r="K266" s="7" t="n"/>
      <c r="L266" s="40" t="n"/>
      <c r="M266">
        <f>IF(AND(L266&lt;&gt;"",N(I266)&gt;0,N(J266)&gt;0),IF(J266=1,I266,ROUND(I266*(1+J266/30),1)),"")</f>
        <v/>
      </c>
      <c r="N266" s="41">
        <f>IF(M266="","",IF(M266&gt;=PRs!C56,"PR!",""))</f>
        <v/>
      </c>
      <c r="O266" s="7" t="n"/>
    </row>
    <row r="267">
      <c r="A267" s="31" t="inlineStr">
        <is>
          <t>Day 3 - Variations</t>
        </is>
      </c>
      <c r="B267" s="32">
        <f>'Start Here'!$B$8+46</f>
        <v/>
      </c>
      <c r="C267" s="33" t="n"/>
      <c r="D267" s="33" t="n"/>
      <c r="E267" s="33" t="n"/>
      <c r="F267" s="33" t="n"/>
      <c r="G267" s="33" t="n"/>
      <c r="H267" s="33" t="n"/>
      <c r="I267" s="33" t="n"/>
      <c r="J267" s="33" t="n"/>
      <c r="K267" s="33" t="n"/>
      <c r="L267" s="33" t="n"/>
      <c r="M267" s="33" t="n"/>
      <c r="N267" s="33" t="n"/>
      <c r="O267" s="33" t="n"/>
    </row>
    <row r="268">
      <c r="A268" s="34" t="n"/>
      <c r="B268" s="34" t="n"/>
      <c r="C268" s="35" t="inlineStr">
        <is>
          <t>Hurdle Hop</t>
        </is>
      </c>
      <c r="D268" s="34" t="inlineStr">
        <is>
          <t>4 x 3</t>
        </is>
      </c>
      <c r="E268" s="34" t="n"/>
      <c r="F268" s="34" t="n"/>
      <c r="G268" s="36" t="n"/>
      <c r="H268" s="37">
        <f>IF(N(Maxes!E73)&gt;0,Maxes!E73,"")</f>
        <v/>
      </c>
      <c r="I268" s="34" t="n"/>
      <c r="J268" s="34" t="n"/>
      <c r="K268" s="34" t="n"/>
      <c r="L268" s="34" t="n"/>
      <c r="M268" s="34" t="n"/>
      <c r="N268" s="34" t="n"/>
      <c r="O268" s="38" t="inlineStr">
        <is>
          <t>Continuous two-foot hops over a row of 4-6 low hurdles or cones, minimal ground contact. Log the hurdle height.</t>
        </is>
      </c>
    </row>
    <row r="269">
      <c r="C269" t="inlineStr">
        <is>
          <t xml:space="preserve">      Set 1</t>
        </is>
      </c>
      <c r="E269" t="n">
        <v>3</v>
      </c>
      <c r="H269" s="39">
        <f>IF(H268="","",H268)</f>
        <v/>
      </c>
      <c r="I269" s="7">
        <f>IF(H268="","",H268)</f>
        <v/>
      </c>
      <c r="J269" s="7" t="n">
        <v>3</v>
      </c>
      <c r="K269" s="7" t="n"/>
      <c r="L269" s="40" t="n"/>
      <c r="N269" s="41">
        <f>IF(AND(L269&lt;&gt;"",N(I269)&gt;0),IF(I269&gt;=PRs!D73,"PR!",""),"")</f>
        <v/>
      </c>
      <c r="O269" s="7" t="n"/>
    </row>
    <row r="270">
      <c r="C270" t="inlineStr">
        <is>
          <t xml:space="preserve">      Set 2</t>
        </is>
      </c>
      <c r="E270" t="n">
        <v>3</v>
      </c>
      <c r="H270" s="39">
        <f>IF(H268="","",H268)</f>
        <v/>
      </c>
      <c r="I270" s="7">
        <f>IF(H268="","",H268)</f>
        <v/>
      </c>
      <c r="J270" s="7" t="n">
        <v>3</v>
      </c>
      <c r="K270" s="7" t="n"/>
      <c r="L270" s="40" t="n"/>
      <c r="N270" s="41">
        <f>IF(AND(L270&lt;&gt;"",N(I270)&gt;0),IF(I270&gt;=PRs!D73,"PR!",""),"")</f>
        <v/>
      </c>
      <c r="O270" s="7" t="n"/>
    </row>
    <row r="271">
      <c r="C271" t="inlineStr">
        <is>
          <t xml:space="preserve">      Set 3</t>
        </is>
      </c>
      <c r="E271" t="n">
        <v>3</v>
      </c>
      <c r="H271" s="39">
        <f>IF(H268="","",H268)</f>
        <v/>
      </c>
      <c r="I271" s="7">
        <f>IF(H268="","",H268)</f>
        <v/>
      </c>
      <c r="J271" s="7" t="n">
        <v>3</v>
      </c>
      <c r="K271" s="7" t="n"/>
      <c r="L271" s="40" t="n"/>
      <c r="N271" s="41">
        <f>IF(AND(L271&lt;&gt;"",N(I271)&gt;0),IF(I271&gt;=PRs!D73,"PR!",""),"")</f>
        <v/>
      </c>
      <c r="O271" s="7" t="n"/>
    </row>
    <row r="272">
      <c r="C272" t="inlineStr">
        <is>
          <t xml:space="preserve">      Set 4</t>
        </is>
      </c>
      <c r="E272" t="n">
        <v>3</v>
      </c>
      <c r="H272" s="39">
        <f>IF(H268="","",H268)</f>
        <v/>
      </c>
      <c r="I272" s="7">
        <f>IF(H268="","",H268)</f>
        <v/>
      </c>
      <c r="J272" s="7" t="n">
        <v>3</v>
      </c>
      <c r="K272" s="7" t="n"/>
      <c r="L272" s="40" t="n"/>
      <c r="N272" s="41">
        <f>IF(AND(L272&lt;&gt;"",N(I272)&gt;0),IF(I272&gt;=PRs!D73,"PR!",""),"")</f>
        <v/>
      </c>
      <c r="O272" s="7" t="n"/>
    </row>
    <row r="273">
      <c r="A273" s="34" t="n"/>
      <c r="B273" s="34" t="n"/>
      <c r="C273" s="42" t="inlineStr">
        <is>
          <t>Power Clean</t>
        </is>
      </c>
      <c r="D273" s="34" t="inlineStr">
        <is>
          <t>4 x 3</t>
        </is>
      </c>
      <c r="E273" s="34" t="n"/>
      <c r="F273" s="34" t="n">
        <v>77.5</v>
      </c>
      <c r="G273" s="36">
        <f>Maxes!E42</f>
        <v/>
      </c>
      <c r="H273" s="37">
        <f>IF(OR(G273="",F273=""),"",MROUND(G273*F273/100,'Start Here'!$B$7))</f>
        <v/>
      </c>
      <c r="I273" s="34" t="n"/>
      <c r="J273" s="34" t="n"/>
      <c r="K273" s="34" t="n"/>
      <c r="L273" s="34" t="n"/>
      <c r="M273" s="34" t="n"/>
      <c r="N273" s="34" t="n"/>
      <c r="O273" s="38" t="inlineStr"/>
    </row>
    <row r="274">
      <c r="C274" t="inlineStr">
        <is>
          <t xml:space="preserve">      Set 1</t>
        </is>
      </c>
      <c r="E274" t="n">
        <v>3</v>
      </c>
      <c r="H274" s="39">
        <f>IF(H273="","",H273)</f>
        <v/>
      </c>
      <c r="I274" s="7">
        <f>IF(H273="","",H273)</f>
        <v/>
      </c>
      <c r="J274" s="7" t="n">
        <v>3</v>
      </c>
      <c r="K274" s="7" t="n"/>
      <c r="L274" s="40" t="n"/>
      <c r="M274">
        <f>IF(AND(L274&lt;&gt;"",N(I274)&gt;0,N(J274)&gt;0),IF(J274=1,I274,ROUND(I274*(1+J274/30),1)),"")</f>
        <v/>
      </c>
      <c r="N274" s="41">
        <f>IF(M274="","",IF(M274&gt;=PRs!C42,"PR!",""))</f>
        <v/>
      </c>
      <c r="O274" s="7" t="n"/>
    </row>
    <row r="275">
      <c r="C275" t="inlineStr">
        <is>
          <t xml:space="preserve">      Set 2</t>
        </is>
      </c>
      <c r="E275" t="n">
        <v>3</v>
      </c>
      <c r="H275" s="39">
        <f>IF(H273="","",H273)</f>
        <v/>
      </c>
      <c r="I275" s="7">
        <f>IF(H273="","",H273)</f>
        <v/>
      </c>
      <c r="J275" s="7" t="n">
        <v>3</v>
      </c>
      <c r="K275" s="7" t="n"/>
      <c r="L275" s="40" t="n"/>
      <c r="M275">
        <f>IF(AND(L275&lt;&gt;"",N(I275)&gt;0,N(J275)&gt;0),IF(J275=1,I275,ROUND(I275*(1+J275/30),1)),"")</f>
        <v/>
      </c>
      <c r="N275" s="41">
        <f>IF(M275="","",IF(M275&gt;=PRs!C42,"PR!",""))</f>
        <v/>
      </c>
      <c r="O275" s="7" t="n"/>
    </row>
    <row r="276">
      <c r="C276" t="inlineStr">
        <is>
          <t xml:space="preserve">      Set 3</t>
        </is>
      </c>
      <c r="E276" t="n">
        <v>3</v>
      </c>
      <c r="H276" s="39">
        <f>IF(H273="","",H273)</f>
        <v/>
      </c>
      <c r="I276" s="7">
        <f>IF(H273="","",H273)</f>
        <v/>
      </c>
      <c r="J276" s="7" t="n">
        <v>3</v>
      </c>
      <c r="K276" s="7" t="n"/>
      <c r="L276" s="40" t="n"/>
      <c r="M276">
        <f>IF(AND(L276&lt;&gt;"",N(I276)&gt;0,N(J276)&gt;0),IF(J276=1,I276,ROUND(I276*(1+J276/30),1)),"")</f>
        <v/>
      </c>
      <c r="N276" s="41">
        <f>IF(M276="","",IF(M276&gt;=PRs!C42,"PR!",""))</f>
        <v/>
      </c>
      <c r="O276" s="7" t="n"/>
    </row>
    <row r="277">
      <c r="C277" t="inlineStr">
        <is>
          <t xml:space="preserve">      Set 4</t>
        </is>
      </c>
      <c r="E277" t="n">
        <v>3</v>
      </c>
      <c r="H277" s="39">
        <f>IF(H273="","",H273)</f>
        <v/>
      </c>
      <c r="I277" s="7">
        <f>IF(H273="","",H273)</f>
        <v/>
      </c>
      <c r="J277" s="7" t="n">
        <v>3</v>
      </c>
      <c r="K277" s="7" t="n"/>
      <c r="L277" s="40" t="n"/>
      <c r="M277">
        <f>IF(AND(L277&lt;&gt;"",N(I277)&gt;0,N(J277)&gt;0),IF(J277=1,I277,ROUND(I277*(1+J277/30),1)),"")</f>
        <v/>
      </c>
      <c r="N277" s="41">
        <f>IF(M277="","",IF(M277&gt;=PRs!C42,"PR!",""))</f>
        <v/>
      </c>
      <c r="O277" s="7" t="n"/>
    </row>
    <row r="278">
      <c r="A278" s="34" t="n"/>
      <c r="B278" s="34" t="n"/>
      <c r="C278" s="42" t="inlineStr">
        <is>
          <t>Pause Squat</t>
        </is>
      </c>
      <c r="D278" s="34" t="inlineStr">
        <is>
          <t>3 x 6</t>
        </is>
      </c>
      <c r="E278" s="34" t="n"/>
      <c r="F278" s="34" t="n">
        <v>77.5</v>
      </c>
      <c r="G278" s="36">
        <f>Maxes!E9</f>
        <v/>
      </c>
      <c r="H278" s="37">
        <f>IF(OR(G278="",F278=""),"",MROUND(G278*F278/100,'Start Here'!$B$7))</f>
        <v/>
      </c>
      <c r="I278" s="34" t="n"/>
      <c r="J278" s="34" t="n"/>
      <c r="K278" s="34" t="n"/>
      <c r="L278" s="34" t="n"/>
      <c r="M278" s="34" t="n"/>
      <c r="N278" s="34" t="n"/>
      <c r="O278" s="38" t="inlineStr"/>
    </row>
    <row r="279">
      <c r="C279" t="inlineStr">
        <is>
          <t xml:space="preserve">      Set 1</t>
        </is>
      </c>
      <c r="E279" t="n">
        <v>6</v>
      </c>
      <c r="H279" s="39">
        <f>IF(H278="","",H278)</f>
        <v/>
      </c>
      <c r="I279" s="7">
        <f>IF(H278="","",H278)</f>
        <v/>
      </c>
      <c r="J279" s="7" t="n">
        <v>6</v>
      </c>
      <c r="K279" s="7" t="n"/>
      <c r="L279" s="40" t="n"/>
      <c r="M279">
        <f>IF(AND(L279&lt;&gt;"",N(I279)&gt;0,N(J279)&gt;0),IF(J279=1,I279,ROUND(I279*(1+J279/30),1)),"")</f>
        <v/>
      </c>
      <c r="N279" s="41">
        <f>IF(M279="","",IF(M279&gt;=PRs!C9,"PR!",""))</f>
        <v/>
      </c>
      <c r="O279" s="7" t="n"/>
    </row>
    <row r="280">
      <c r="C280" t="inlineStr">
        <is>
          <t xml:space="preserve">      Set 2</t>
        </is>
      </c>
      <c r="E280" t="n">
        <v>6</v>
      </c>
      <c r="H280" s="39">
        <f>IF(H278="","",H278)</f>
        <v/>
      </c>
      <c r="I280" s="7">
        <f>IF(H278="","",H278)</f>
        <v/>
      </c>
      <c r="J280" s="7" t="n">
        <v>6</v>
      </c>
      <c r="K280" s="7" t="n"/>
      <c r="L280" s="40" t="n"/>
      <c r="M280">
        <f>IF(AND(L280&lt;&gt;"",N(I280)&gt;0,N(J280)&gt;0),IF(J280=1,I280,ROUND(I280*(1+J280/30),1)),"")</f>
        <v/>
      </c>
      <c r="N280" s="41">
        <f>IF(M280="","",IF(M280&gt;=PRs!C9,"PR!",""))</f>
        <v/>
      </c>
      <c r="O280" s="7" t="n"/>
    </row>
    <row r="281">
      <c r="C281" t="inlineStr">
        <is>
          <t xml:space="preserve">      Set 3</t>
        </is>
      </c>
      <c r="E281" t="n">
        <v>6</v>
      </c>
      <c r="H281" s="39">
        <f>IF(H278="","",H278)</f>
        <v/>
      </c>
      <c r="I281" s="7">
        <f>IF(H278="","",H278)</f>
        <v/>
      </c>
      <c r="J281" s="7" t="n">
        <v>6</v>
      </c>
      <c r="K281" s="7" t="n"/>
      <c r="L281" s="40" t="n"/>
      <c r="M281">
        <f>IF(AND(L281&lt;&gt;"",N(I281)&gt;0,N(J281)&gt;0),IF(J281=1,I281,ROUND(I281*(1+J281/30),1)),"")</f>
        <v/>
      </c>
      <c r="N281" s="41">
        <f>IF(M281="","",IF(M281&gt;=PRs!C9,"PR!",""))</f>
        <v/>
      </c>
      <c r="O281" s="7" t="n"/>
    </row>
    <row r="282">
      <c r="A282" s="34" t="n"/>
      <c r="B282" s="34" t="n"/>
      <c r="C282" s="42" t="inlineStr">
        <is>
          <t>2-Board Press</t>
        </is>
      </c>
      <c r="D282" s="34" t="inlineStr">
        <is>
          <t>3 x 6</t>
        </is>
      </c>
      <c r="E282" s="34" t="n"/>
      <c r="F282" s="34" t="n">
        <v>77.5</v>
      </c>
      <c r="G282" s="36">
        <f>Maxes!E16</f>
        <v/>
      </c>
      <c r="H282" s="37">
        <f>IF(OR(G282="",F282=""),"",MROUND(G282*F282/100,'Start Here'!$B$7))</f>
        <v/>
      </c>
      <c r="I282" s="34" t="n"/>
      <c r="J282" s="34" t="n"/>
      <c r="K282" s="34" t="n"/>
      <c r="L282" s="34" t="n"/>
      <c r="M282" s="34" t="n"/>
      <c r="N282" s="34" t="n"/>
      <c r="O282" s="38" t="inlineStr"/>
    </row>
    <row r="283">
      <c r="C283" t="inlineStr">
        <is>
          <t xml:space="preserve">      Set 1</t>
        </is>
      </c>
      <c r="E283" t="n">
        <v>6</v>
      </c>
      <c r="H283" s="39">
        <f>IF(H282="","",H282)</f>
        <v/>
      </c>
      <c r="I283" s="7">
        <f>IF(H282="","",H282)</f>
        <v/>
      </c>
      <c r="J283" s="7" t="n">
        <v>6</v>
      </c>
      <c r="K283" s="7" t="n"/>
      <c r="L283" s="40" t="n"/>
      <c r="M283">
        <f>IF(AND(L283&lt;&gt;"",N(I283)&gt;0,N(J283)&gt;0),IF(J283=1,I283,ROUND(I283*(1+J283/30),1)),"")</f>
        <v/>
      </c>
      <c r="N283" s="41">
        <f>IF(M283="","",IF(M283&gt;=PRs!C16,"PR!",""))</f>
        <v/>
      </c>
      <c r="O283" s="7" t="n"/>
    </row>
    <row r="284">
      <c r="C284" t="inlineStr">
        <is>
          <t xml:space="preserve">      Set 2</t>
        </is>
      </c>
      <c r="E284" t="n">
        <v>6</v>
      </c>
      <c r="H284" s="39">
        <f>IF(H282="","",H282)</f>
        <v/>
      </c>
      <c r="I284" s="7">
        <f>IF(H282="","",H282)</f>
        <v/>
      </c>
      <c r="J284" s="7" t="n">
        <v>6</v>
      </c>
      <c r="K284" s="7" t="n"/>
      <c r="L284" s="40" t="n"/>
      <c r="M284">
        <f>IF(AND(L284&lt;&gt;"",N(I284)&gt;0,N(J284)&gt;0),IF(J284=1,I284,ROUND(I284*(1+J284/30),1)),"")</f>
        <v/>
      </c>
      <c r="N284" s="41">
        <f>IF(M284="","",IF(M284&gt;=PRs!C16,"PR!",""))</f>
        <v/>
      </c>
      <c r="O284" s="7" t="n"/>
    </row>
    <row r="285">
      <c r="C285" t="inlineStr">
        <is>
          <t xml:space="preserve">      Set 3</t>
        </is>
      </c>
      <c r="E285" t="n">
        <v>6</v>
      </c>
      <c r="H285" s="39">
        <f>IF(H282="","",H282)</f>
        <v/>
      </c>
      <c r="I285" s="7">
        <f>IF(H282="","",H282)</f>
        <v/>
      </c>
      <c r="J285" s="7" t="n">
        <v>6</v>
      </c>
      <c r="K285" s="7" t="n"/>
      <c r="L285" s="40" t="n"/>
      <c r="M285">
        <f>IF(AND(L285&lt;&gt;"",N(I285)&gt;0,N(J285)&gt;0),IF(J285=1,I285,ROUND(I285*(1+J285/30),1)),"")</f>
        <v/>
      </c>
      <c r="N285" s="41">
        <f>IF(M285="","",IF(M285&gt;=PRs!C16,"PR!",""))</f>
        <v/>
      </c>
      <c r="O285" s="7" t="n"/>
    </row>
    <row r="286">
      <c r="A286" s="34" t="n"/>
      <c r="B286" s="34" t="n"/>
      <c r="C286" s="42" t="inlineStr">
        <is>
          <t>Deficit Deadlift</t>
        </is>
      </c>
      <c r="D286" s="34" t="inlineStr">
        <is>
          <t>3 x 6</t>
        </is>
      </c>
      <c r="E286" s="34" t="n"/>
      <c r="F286" s="34" t="n">
        <v>70</v>
      </c>
      <c r="G286" s="36">
        <f>Maxes!E24</f>
        <v/>
      </c>
      <c r="H286" s="37">
        <f>IF(OR(G286="",F286=""),"",MROUND(G286*F286/100,'Start Here'!$B$7))</f>
        <v/>
      </c>
      <c r="I286" s="34" t="n"/>
      <c r="J286" s="34" t="n"/>
      <c r="K286" s="34" t="n"/>
      <c r="L286" s="34" t="n"/>
      <c r="M286" s="34" t="n"/>
      <c r="N286" s="34" t="n"/>
      <c r="O286" s="38" t="inlineStr"/>
    </row>
    <row r="287">
      <c r="C287" t="inlineStr">
        <is>
          <t xml:space="preserve">      Set 1</t>
        </is>
      </c>
      <c r="E287" t="n">
        <v>6</v>
      </c>
      <c r="H287" s="39">
        <f>IF(H286="","",H286)</f>
        <v/>
      </c>
      <c r="I287" s="7">
        <f>IF(H286="","",H286)</f>
        <v/>
      </c>
      <c r="J287" s="7" t="n">
        <v>6</v>
      </c>
      <c r="K287" s="7" t="n"/>
      <c r="L287" s="40" t="n"/>
      <c r="M287">
        <f>IF(AND(L287&lt;&gt;"",N(I287)&gt;0,N(J287)&gt;0),IF(J287=1,I287,ROUND(I287*(1+J287/30),1)),"")</f>
        <v/>
      </c>
      <c r="N287" s="41">
        <f>IF(M287="","",IF(M287&gt;=PRs!C24,"PR!",""))</f>
        <v/>
      </c>
      <c r="O287" s="7" t="n"/>
    </row>
    <row r="288">
      <c r="C288" t="inlineStr">
        <is>
          <t xml:space="preserve">      Set 2</t>
        </is>
      </c>
      <c r="E288" t="n">
        <v>6</v>
      </c>
      <c r="H288" s="39">
        <f>IF(H286="","",H286)</f>
        <v/>
      </c>
      <c r="I288" s="7">
        <f>IF(H286="","",H286)</f>
        <v/>
      </c>
      <c r="J288" s="7" t="n">
        <v>6</v>
      </c>
      <c r="K288" s="7" t="n"/>
      <c r="L288" s="40" t="n"/>
      <c r="M288">
        <f>IF(AND(L288&lt;&gt;"",N(I288)&gt;0,N(J288)&gt;0),IF(J288=1,I288,ROUND(I288*(1+J288/30),1)),"")</f>
        <v/>
      </c>
      <c r="N288" s="41">
        <f>IF(M288="","",IF(M288&gt;=PRs!C24,"PR!",""))</f>
        <v/>
      </c>
      <c r="O288" s="7" t="n"/>
    </row>
    <row r="289">
      <c r="C289" t="inlineStr">
        <is>
          <t xml:space="preserve">      Set 3</t>
        </is>
      </c>
      <c r="E289" t="n">
        <v>6</v>
      </c>
      <c r="H289" s="39">
        <f>IF(H286="","",H286)</f>
        <v/>
      </c>
      <c r="I289" s="7">
        <f>IF(H286="","",H286)</f>
        <v/>
      </c>
      <c r="J289" s="7" t="n">
        <v>6</v>
      </c>
      <c r="K289" s="7" t="n"/>
      <c r="L289" s="40" t="n"/>
      <c r="M289">
        <f>IF(AND(L289&lt;&gt;"",N(I289)&gt;0,N(J289)&gt;0),IF(J289=1,I289,ROUND(I289*(1+J289/30),1)),"")</f>
        <v/>
      </c>
      <c r="N289" s="41">
        <f>IF(M289="","",IF(M289&gt;=PRs!C24,"PR!",""))</f>
        <v/>
      </c>
      <c r="O289" s="7" t="n"/>
    </row>
    <row r="290">
      <c r="A290" s="34" t="n"/>
      <c r="B290" s="34" t="n"/>
      <c r="C290" s="43" t="inlineStr">
        <is>
          <t>Incline Dumbbell Press</t>
        </is>
      </c>
      <c r="D290" s="34" t="inlineStr">
        <is>
          <t>3 x 8-12</t>
        </is>
      </c>
      <c r="E290" s="34" t="n"/>
      <c r="F290" s="34" t="n"/>
      <c r="G290" s="36" t="n"/>
      <c r="H290" s="37" t="n"/>
      <c r="I290" s="34" t="n"/>
      <c r="J290" s="34" t="n"/>
      <c r="K290" s="34" t="n"/>
      <c r="L290" s="34" t="n"/>
      <c r="M290" s="34" t="n"/>
      <c r="N290" s="34" t="n"/>
      <c r="O290" s="38" t="inlineStr">
        <is>
          <t>Leave 1-2 reps in the tank; add weight when you hit the top of the range</t>
        </is>
      </c>
    </row>
    <row r="291">
      <c r="C291" t="inlineStr">
        <is>
          <t xml:space="preserve">      Set 1</t>
        </is>
      </c>
      <c r="E291" t="n">
        <v>8</v>
      </c>
      <c r="H291" s="39">
        <f>IF(H290="","",H290)</f>
        <v/>
      </c>
      <c r="I291" s="7">
        <f>IF(H290="","",H290)</f>
        <v/>
      </c>
      <c r="J291" s="7" t="n">
        <v>8</v>
      </c>
      <c r="K291" s="7" t="n"/>
      <c r="L291" s="40" t="n"/>
      <c r="M291">
        <f>IF(AND(L291&lt;&gt;"",N(I291)&gt;0,N(J291)&gt;0),IF(J291=1,I291,ROUND(I291*(1+J291/30),1)),"")</f>
        <v/>
      </c>
      <c r="N291" s="41">
        <f>IF(M291="","",IF(M291&gt;=PRs!C57,"PR!",""))</f>
        <v/>
      </c>
      <c r="O291" s="7" t="n"/>
    </row>
    <row r="292">
      <c r="C292" t="inlineStr">
        <is>
          <t xml:space="preserve">      Set 2</t>
        </is>
      </c>
      <c r="E292" t="n">
        <v>8</v>
      </c>
      <c r="H292" s="39">
        <f>IF(H290="","",H290)</f>
        <v/>
      </c>
      <c r="I292" s="7">
        <f>IF(H290="","",H290)</f>
        <v/>
      </c>
      <c r="J292" s="7" t="n">
        <v>8</v>
      </c>
      <c r="K292" s="7" t="n"/>
      <c r="L292" s="40" t="n"/>
      <c r="M292">
        <f>IF(AND(L292&lt;&gt;"",N(I292)&gt;0,N(J292)&gt;0),IF(J292=1,I292,ROUND(I292*(1+J292/30),1)),"")</f>
        <v/>
      </c>
      <c r="N292" s="41">
        <f>IF(M292="","",IF(M292&gt;=PRs!C57,"PR!",""))</f>
        <v/>
      </c>
      <c r="O292" s="7" t="n"/>
    </row>
    <row r="293">
      <c r="C293" t="inlineStr">
        <is>
          <t xml:space="preserve">      Set 3</t>
        </is>
      </c>
      <c r="E293" t="n">
        <v>8</v>
      </c>
      <c r="H293" s="39">
        <f>IF(H290="","",H290)</f>
        <v/>
      </c>
      <c r="I293" s="7">
        <f>IF(H290="","",H290)</f>
        <v/>
      </c>
      <c r="J293" s="7" t="n">
        <v>8</v>
      </c>
      <c r="K293" s="7" t="n"/>
      <c r="L293" s="40" t="n"/>
      <c r="M293">
        <f>IF(AND(L293&lt;&gt;"",N(I293)&gt;0,N(J293)&gt;0),IF(J293=1,I293,ROUND(I293*(1+J293/30),1)),"")</f>
        <v/>
      </c>
      <c r="N293" s="41">
        <f>IF(M293="","",IF(M293&gt;=PRs!C57,"PR!",""))</f>
        <v/>
      </c>
      <c r="O293" s="7" t="n"/>
    </row>
    <row r="294">
      <c r="A294" s="34" t="n"/>
      <c r="B294" s="34" t="n"/>
      <c r="C294" s="43" t="inlineStr">
        <is>
          <t>Triceps Pushdown</t>
        </is>
      </c>
      <c r="D294" s="34" t="inlineStr">
        <is>
          <t>3 x 10-15</t>
        </is>
      </c>
      <c r="E294" s="34" t="n"/>
      <c r="F294" s="34" t="n"/>
      <c r="G294" s="36" t="n"/>
      <c r="H294" s="37" t="n"/>
      <c r="I294" s="34" t="n"/>
      <c r="J294" s="34" t="n"/>
      <c r="K294" s="34" t="n"/>
      <c r="L294" s="34" t="n"/>
      <c r="M294" s="34" t="n"/>
      <c r="N294" s="34" t="n"/>
      <c r="O294" s="38" t="inlineStr">
        <is>
          <t>Leave 1-2 reps in the tank; add weight when you hit the top of the range</t>
        </is>
      </c>
    </row>
    <row r="295">
      <c r="C295" t="inlineStr">
        <is>
          <t xml:space="preserve">      Set 1</t>
        </is>
      </c>
      <c r="E295" t="n">
        <v>10</v>
      </c>
      <c r="H295" s="39">
        <f>IF(H294="","",H294)</f>
        <v/>
      </c>
      <c r="I295" s="7">
        <f>IF(H294="","",H294)</f>
        <v/>
      </c>
      <c r="J295" s="7" t="n">
        <v>10</v>
      </c>
      <c r="K295" s="7" t="n"/>
      <c r="L295" s="40" t="n"/>
      <c r="M295">
        <f>IF(AND(L295&lt;&gt;"",N(I295)&gt;0,N(J295)&gt;0),IF(J295=1,I295,ROUND(I295*(1+J295/30),1)),"")</f>
        <v/>
      </c>
      <c r="N295" s="41">
        <f>IF(M295="","",IF(M295&gt;=PRs!C59,"PR!",""))</f>
        <v/>
      </c>
      <c r="O295" s="7" t="n"/>
    </row>
    <row r="296">
      <c r="C296" t="inlineStr">
        <is>
          <t xml:space="preserve">      Set 2</t>
        </is>
      </c>
      <c r="E296" t="n">
        <v>10</v>
      </c>
      <c r="H296" s="39">
        <f>IF(H294="","",H294)</f>
        <v/>
      </c>
      <c r="I296" s="7">
        <f>IF(H294="","",H294)</f>
        <v/>
      </c>
      <c r="J296" s="7" t="n">
        <v>10</v>
      </c>
      <c r="K296" s="7" t="n"/>
      <c r="L296" s="40" t="n"/>
      <c r="M296">
        <f>IF(AND(L296&lt;&gt;"",N(I296)&gt;0,N(J296)&gt;0),IF(J296=1,I296,ROUND(I296*(1+J296/30),1)),"")</f>
        <v/>
      </c>
      <c r="N296" s="41">
        <f>IF(M296="","",IF(M296&gt;=PRs!C59,"PR!",""))</f>
        <v/>
      </c>
      <c r="O296" s="7" t="n"/>
    </row>
    <row r="297">
      <c r="C297" t="inlineStr">
        <is>
          <t xml:space="preserve">      Set 3</t>
        </is>
      </c>
      <c r="E297" t="n">
        <v>10</v>
      </c>
      <c r="H297" s="39">
        <f>IF(H294="","",H294)</f>
        <v/>
      </c>
      <c r="I297" s="7">
        <f>IF(H294="","",H294)</f>
        <v/>
      </c>
      <c r="J297" s="7" t="n">
        <v>10</v>
      </c>
      <c r="K297" s="7" t="n"/>
      <c r="L297" s="40" t="n"/>
      <c r="M297">
        <f>IF(AND(L297&lt;&gt;"",N(I297)&gt;0,N(J297)&gt;0),IF(J297=1,I297,ROUND(I297*(1+J297/30),1)),"")</f>
        <v/>
      </c>
      <c r="N297" s="41">
        <f>IF(M297="","",IF(M297&gt;=PRs!C59,"PR!",""))</f>
        <v/>
      </c>
      <c r="O297" s="7" t="n"/>
    </row>
    <row r="299">
      <c r="A299" s="48" t="inlineStr">
        <is>
          <t>WEEK 8 - CYCLE 1 - DELOAD</t>
        </is>
      </c>
      <c r="B299" s="49" t="n"/>
      <c r="C299" s="49" t="n"/>
      <c r="D299" s="49" t="n"/>
      <c r="E299" s="49" t="n"/>
      <c r="F299" s="49" t="n"/>
      <c r="G299" s="49" t="n"/>
      <c r="H299" s="50" t="inlineStr">
        <is>
          <t>Bodyweight:</t>
        </is>
      </c>
      <c r="I299" s="7" t="n"/>
      <c r="J299" s="49" t="n"/>
      <c r="K299" s="49" t="n"/>
      <c r="L299" s="49" t="n"/>
      <c r="M299" s="49" t="n"/>
      <c r="N299" s="49" t="n"/>
      <c r="O299" s="49" t="n"/>
    </row>
    <row r="300">
      <c r="A300" s="31" t="inlineStr">
        <is>
          <t>Day 1 - Heavy</t>
        </is>
      </c>
      <c r="B300" s="32">
        <f>'Start Here'!$B$8+49</f>
        <v/>
      </c>
      <c r="C300" s="33" t="n"/>
      <c r="D300" s="33" t="n"/>
      <c r="E300" s="33" t="n"/>
      <c r="F300" s="33" t="n"/>
      <c r="G300" s="33" t="n"/>
      <c r="H300" s="33" t="n"/>
      <c r="I300" s="33" t="n"/>
      <c r="J300" s="33" t="n"/>
      <c r="K300" s="33" t="n"/>
      <c r="L300" s="33" t="n"/>
      <c r="M300" s="33" t="n"/>
      <c r="N300" s="33" t="n"/>
      <c r="O300" s="33" t="n"/>
    </row>
    <row r="301">
      <c r="A301" s="34" t="n"/>
      <c r="B301" s="34" t="n"/>
      <c r="C301" s="35" t="inlineStr">
        <is>
          <t>Box Jump</t>
        </is>
      </c>
      <c r="D301" s="34" t="inlineStr">
        <is>
          <t>2 x 3</t>
        </is>
      </c>
      <c r="E301" s="34" t="n"/>
      <c r="F301" s="34" t="n"/>
      <c r="G301" s="36" t="n"/>
      <c r="H301" s="37">
        <f>IF(N(Maxes!E69)&gt;0,Maxes!E69,'Start Here'!$G$16)</f>
        <v/>
      </c>
      <c r="I301" s="34" t="n"/>
      <c r="J301" s="34" t="n"/>
      <c r="K301" s="34" t="n"/>
      <c r="L301" s="34" t="n"/>
      <c r="M301" s="34" t="n"/>
      <c r="N301" s="34" t="n"/>
      <c r="O301" s="38" t="inlineStr">
        <is>
          <t>Two-foot jump onto a box, land soft in a quarter squat, STEP down. Log the box height (floor to top of box).</t>
        </is>
      </c>
    </row>
    <row r="302">
      <c r="C302" t="inlineStr">
        <is>
          <t xml:space="preserve">      Set 1</t>
        </is>
      </c>
      <c r="E302" t="n">
        <v>3</v>
      </c>
      <c r="H302" s="39">
        <f>IF(H301="","",H301)</f>
        <v/>
      </c>
      <c r="I302" s="7">
        <f>IF(H301="","",H301)</f>
        <v/>
      </c>
      <c r="J302" s="7" t="n">
        <v>3</v>
      </c>
      <c r="K302" s="7" t="n"/>
      <c r="L302" s="40" t="n"/>
      <c r="N302" s="41">
        <f>IF(AND(L302&lt;&gt;"",N(I302)&gt;0),IF(I302&gt;=PRs!D69,"PR!",""),"")</f>
        <v/>
      </c>
      <c r="O302" s="7" t="n"/>
    </row>
    <row r="303">
      <c r="C303" t="inlineStr">
        <is>
          <t xml:space="preserve">      Set 2</t>
        </is>
      </c>
      <c r="E303" t="n">
        <v>3</v>
      </c>
      <c r="H303" s="39">
        <f>IF(H301="","",H301)</f>
        <v/>
      </c>
      <c r="I303" s="7">
        <f>IF(H301="","",H301)</f>
        <v/>
      </c>
      <c r="J303" s="7" t="n">
        <v>3</v>
      </c>
      <c r="K303" s="7" t="n"/>
      <c r="L303" s="40" t="n"/>
      <c r="N303" s="41">
        <f>IF(AND(L303&lt;&gt;"",N(I303)&gt;0),IF(I303&gt;=PRs!D69,"PR!",""),"")</f>
        <v/>
      </c>
      <c r="O303" s="7" t="n"/>
    </row>
    <row r="304">
      <c r="A304" s="34" t="n"/>
      <c r="B304" s="34" t="n"/>
      <c r="C304" s="42" t="inlineStr">
        <is>
          <t>Snatch</t>
        </is>
      </c>
      <c r="D304" s="34" t="inlineStr">
        <is>
          <t>2 x 2</t>
        </is>
      </c>
      <c r="E304" s="34" t="n"/>
      <c r="F304" s="34" t="n">
        <v>65</v>
      </c>
      <c r="G304" s="36">
        <f>Maxes!E6</f>
        <v/>
      </c>
      <c r="H304" s="37">
        <f>IF(OR(G304="",F304=""),"",MROUND(G304*F304/100,'Start Here'!$B$7))</f>
        <v/>
      </c>
      <c r="I304" s="34" t="n"/>
      <c r="J304" s="34" t="n"/>
      <c r="K304" s="34" t="n"/>
      <c r="L304" s="34" t="n"/>
      <c r="M304" s="34" t="n"/>
      <c r="N304" s="34" t="n"/>
      <c r="O304" s="38" t="inlineStr">
        <is>
          <t>Easy week - move fast, recover</t>
        </is>
      </c>
    </row>
    <row r="305">
      <c r="C305" t="inlineStr">
        <is>
          <t xml:space="preserve">      Set 1</t>
        </is>
      </c>
      <c r="E305" t="n">
        <v>2</v>
      </c>
      <c r="H305" s="39">
        <f>IF(H304="","",H304)</f>
        <v/>
      </c>
      <c r="I305" s="7">
        <f>IF(H304="","",H304)</f>
        <v/>
      </c>
      <c r="J305" s="7" t="n">
        <v>2</v>
      </c>
      <c r="K305" s="7" t="n"/>
      <c r="L305" s="40" t="n"/>
      <c r="M305">
        <f>IF(AND(L305&lt;&gt;"",N(I305)&gt;0,N(J305)&gt;0),IF(J305=1,I305,ROUND(I305*(1+J305/30),1)),"")</f>
        <v/>
      </c>
      <c r="N305" s="41">
        <f>IF(M305="","",IF(M305&gt;=PRs!C6,"PR!",""))</f>
        <v/>
      </c>
      <c r="O305" s="7" t="n"/>
    </row>
    <row r="306">
      <c r="C306" t="inlineStr">
        <is>
          <t xml:space="preserve">      Set 2</t>
        </is>
      </c>
      <c r="E306" t="n">
        <v>2</v>
      </c>
      <c r="H306" s="39">
        <f>IF(H304="","",H304)</f>
        <v/>
      </c>
      <c r="I306" s="7">
        <f>IF(H304="","",H304)</f>
        <v/>
      </c>
      <c r="J306" s="7" t="n">
        <v>2</v>
      </c>
      <c r="K306" s="7" t="n"/>
      <c r="L306" s="40" t="n"/>
      <c r="M306">
        <f>IF(AND(L306&lt;&gt;"",N(I306)&gt;0,N(J306)&gt;0),IF(J306=1,I306,ROUND(I306*(1+J306/30),1)),"")</f>
        <v/>
      </c>
      <c r="N306" s="41">
        <f>IF(M306="","",IF(M306&gt;=PRs!C6,"PR!",""))</f>
        <v/>
      </c>
      <c r="O306" s="7" t="n"/>
    </row>
    <row r="307">
      <c r="A307" s="34" t="n"/>
      <c r="B307" s="34" t="n"/>
      <c r="C307" s="42" t="inlineStr">
        <is>
          <t>Squat</t>
        </is>
      </c>
      <c r="D307" s="34" t="inlineStr">
        <is>
          <t>2 x 5</t>
        </is>
      </c>
      <c r="E307" s="34" t="n"/>
      <c r="F307" s="34" t="n">
        <v>65</v>
      </c>
      <c r="G307" s="36">
        <f>Maxes!E2</f>
        <v/>
      </c>
      <c r="H307" s="37">
        <f>IF(OR(G307="",F307=""),"",MROUND(G307*F307/100,'Start Here'!$B$7))</f>
        <v/>
      </c>
      <c r="I307" s="34" t="n"/>
      <c r="J307" s="34" t="n"/>
      <c r="K307" s="34" t="n"/>
      <c r="L307" s="34" t="n"/>
      <c r="M307" s="34" t="n"/>
      <c r="N307" s="34" t="n"/>
      <c r="O307" s="38" t="inlineStr">
        <is>
          <t>Easy week - move fast, recover</t>
        </is>
      </c>
    </row>
    <row r="308">
      <c r="C308" t="inlineStr">
        <is>
          <t xml:space="preserve">      Set 1</t>
        </is>
      </c>
      <c r="E308" t="n">
        <v>5</v>
      </c>
      <c r="H308" s="39">
        <f>IF(H307="","",H307)</f>
        <v/>
      </c>
      <c r="I308" s="7">
        <f>IF(H307="","",H307)</f>
        <v/>
      </c>
      <c r="J308" s="7" t="n">
        <v>5</v>
      </c>
      <c r="K308" s="7" t="n"/>
      <c r="L308" s="40" t="n"/>
      <c r="M308">
        <f>IF(AND(L308&lt;&gt;"",N(I308)&gt;0,N(J308)&gt;0),IF(J308=1,I308,ROUND(I308*(1+J308/30),1)),"")</f>
        <v/>
      </c>
      <c r="N308" s="41">
        <f>IF(M308="","",IF(M308&gt;=PRs!C2,"PR!",""))</f>
        <v/>
      </c>
      <c r="O308" s="7" t="n"/>
    </row>
    <row r="309">
      <c r="C309" t="inlineStr">
        <is>
          <t xml:space="preserve">      Set 2</t>
        </is>
      </c>
      <c r="E309" t="n">
        <v>5</v>
      </c>
      <c r="H309" s="39">
        <f>IF(H307="","",H307)</f>
        <v/>
      </c>
      <c r="I309" s="7">
        <f>IF(H307="","",H307)</f>
        <v/>
      </c>
      <c r="J309" s="7" t="n">
        <v>5</v>
      </c>
      <c r="K309" s="7" t="n"/>
      <c r="L309" s="40" t="n"/>
      <c r="M309">
        <f>IF(AND(L309&lt;&gt;"",N(I309)&gt;0,N(J309)&gt;0),IF(J309=1,I309,ROUND(I309*(1+J309/30),1)),"")</f>
        <v/>
      </c>
      <c r="N309" s="41">
        <f>IF(M309="","",IF(M309&gt;=PRs!C2,"PR!",""))</f>
        <v/>
      </c>
      <c r="O309" s="7" t="n"/>
    </row>
    <row r="310">
      <c r="A310" s="34" t="n"/>
      <c r="B310" s="34" t="n"/>
      <c r="C310" s="42" t="inlineStr">
        <is>
          <t>Bench Press</t>
        </is>
      </c>
      <c r="D310" s="34" t="inlineStr">
        <is>
          <t>2 x 5</t>
        </is>
      </c>
      <c r="E310" s="34" t="n"/>
      <c r="F310" s="34" t="n">
        <v>65</v>
      </c>
      <c r="G310" s="36">
        <f>Maxes!E3</f>
        <v/>
      </c>
      <c r="H310" s="37">
        <f>IF(OR(G310="",F310=""),"",MROUND(G310*F310/100,'Start Here'!$B$7))</f>
        <v/>
      </c>
      <c r="I310" s="34" t="n"/>
      <c r="J310" s="34" t="n"/>
      <c r="K310" s="34" t="n"/>
      <c r="L310" s="34" t="n"/>
      <c r="M310" s="34" t="n"/>
      <c r="N310" s="34" t="n"/>
      <c r="O310" s="38" t="inlineStr">
        <is>
          <t>Easy week - move fast, recover</t>
        </is>
      </c>
    </row>
    <row r="311">
      <c r="C311" t="inlineStr">
        <is>
          <t xml:space="preserve">      Set 1</t>
        </is>
      </c>
      <c r="E311" t="n">
        <v>5</v>
      </c>
      <c r="H311" s="39">
        <f>IF(H310="","",H310)</f>
        <v/>
      </c>
      <c r="I311" s="7">
        <f>IF(H310="","",H310)</f>
        <v/>
      </c>
      <c r="J311" s="7" t="n">
        <v>5</v>
      </c>
      <c r="K311" s="7" t="n"/>
      <c r="L311" s="40" t="n"/>
      <c r="M311">
        <f>IF(AND(L311&lt;&gt;"",N(I311)&gt;0,N(J311)&gt;0),IF(J311=1,I311,ROUND(I311*(1+J311/30),1)),"")</f>
        <v/>
      </c>
      <c r="N311" s="41">
        <f>IF(M311="","",IF(M311&gt;=PRs!C3,"PR!",""))</f>
        <v/>
      </c>
      <c r="O311" s="7" t="n"/>
    </row>
    <row r="312">
      <c r="C312" t="inlineStr">
        <is>
          <t xml:space="preserve">      Set 2</t>
        </is>
      </c>
      <c r="E312" t="n">
        <v>5</v>
      </c>
      <c r="H312" s="39">
        <f>IF(H310="","",H310)</f>
        <v/>
      </c>
      <c r="I312" s="7">
        <f>IF(H310="","",H310)</f>
        <v/>
      </c>
      <c r="J312" s="7" t="n">
        <v>5</v>
      </c>
      <c r="K312" s="7" t="n"/>
      <c r="L312" s="40" t="n"/>
      <c r="M312">
        <f>IF(AND(L312&lt;&gt;"",N(I312)&gt;0,N(J312)&gt;0),IF(J312=1,I312,ROUND(I312*(1+J312/30),1)),"")</f>
        <v/>
      </c>
      <c r="N312" s="41">
        <f>IF(M312="","",IF(M312&gt;=PRs!C3,"PR!",""))</f>
        <v/>
      </c>
      <c r="O312" s="7" t="n"/>
    </row>
    <row r="313">
      <c r="A313" s="34" t="n"/>
      <c r="B313" s="34" t="n"/>
      <c r="C313" s="43" t="inlineStr">
        <is>
          <t>Barbell Row</t>
        </is>
      </c>
      <c r="D313" s="34" t="inlineStr">
        <is>
          <t>2 x 8-10</t>
        </is>
      </c>
      <c r="E313" s="34" t="n"/>
      <c r="F313" s="34" t="n"/>
      <c r="G313" s="36" t="n"/>
      <c r="H313" s="37" t="n"/>
      <c r="I313" s="34" t="n"/>
      <c r="J313" s="34" t="n"/>
      <c r="K313" s="34" t="n"/>
      <c r="L313" s="34" t="n"/>
      <c r="M313" s="34" t="n"/>
      <c r="N313" s="34" t="n"/>
      <c r="O313" s="38" t="inlineStr">
        <is>
          <t>Easy - stop well short of failure</t>
        </is>
      </c>
    </row>
    <row r="314">
      <c r="C314" t="inlineStr">
        <is>
          <t xml:space="preserve">      Set 1</t>
        </is>
      </c>
      <c r="E314" t="n">
        <v>8</v>
      </c>
      <c r="H314" s="39">
        <f>IF(H313="","",H313)</f>
        <v/>
      </c>
      <c r="I314" s="7">
        <f>IF(H313="","",H313)</f>
        <v/>
      </c>
      <c r="J314" s="7" t="n">
        <v>8</v>
      </c>
      <c r="K314" s="7" t="n"/>
      <c r="L314" s="40" t="n"/>
      <c r="M314">
        <f>IF(AND(L314&lt;&gt;"",N(I314)&gt;0,N(J314)&gt;0),IF(J314=1,I314,ROUND(I314*(1+J314/30),1)),"")</f>
        <v/>
      </c>
      <c r="N314" s="41">
        <f>IF(M314="","",IF(M314&gt;=PRs!C50,"PR!",""))</f>
        <v/>
      </c>
      <c r="O314" s="7" t="n"/>
    </row>
    <row r="315">
      <c r="C315" t="inlineStr">
        <is>
          <t xml:space="preserve">      Set 2</t>
        </is>
      </c>
      <c r="E315" t="n">
        <v>8</v>
      </c>
      <c r="H315" s="39">
        <f>IF(H313="","",H313)</f>
        <v/>
      </c>
      <c r="I315" s="7">
        <f>IF(H313="","",H313)</f>
        <v/>
      </c>
      <c r="J315" s="7" t="n">
        <v>8</v>
      </c>
      <c r="K315" s="7" t="n"/>
      <c r="L315" s="40" t="n"/>
      <c r="M315">
        <f>IF(AND(L315&lt;&gt;"",N(I315)&gt;0,N(J315)&gt;0),IF(J315=1,I315,ROUND(I315*(1+J315/30),1)),"")</f>
        <v/>
      </c>
      <c r="N315" s="41">
        <f>IF(M315="","",IF(M315&gt;=PRs!C50,"PR!",""))</f>
        <v/>
      </c>
      <c r="O315" s="7" t="n"/>
    </row>
    <row r="316">
      <c r="A316" s="34" t="n"/>
      <c r="B316" s="34" t="n"/>
      <c r="C316" s="43" t="inlineStr">
        <is>
          <t>Face Pull</t>
        </is>
      </c>
      <c r="D316" s="34" t="inlineStr">
        <is>
          <t>2 x 12-15</t>
        </is>
      </c>
      <c r="E316" s="34" t="n"/>
      <c r="F316" s="34" t="n"/>
      <c r="G316" s="36" t="n"/>
      <c r="H316" s="37" t="n"/>
      <c r="I316" s="34" t="n"/>
      <c r="J316" s="34" t="n"/>
      <c r="K316" s="34" t="n"/>
      <c r="L316" s="34" t="n"/>
      <c r="M316" s="34" t="n"/>
      <c r="N316" s="34" t="n"/>
      <c r="O316" s="38" t="inlineStr">
        <is>
          <t>Easy - stop well short of failure</t>
        </is>
      </c>
    </row>
    <row r="317">
      <c r="C317" t="inlineStr">
        <is>
          <t xml:space="preserve">      Set 1</t>
        </is>
      </c>
      <c r="E317" t="n">
        <v>12</v>
      </c>
      <c r="H317" s="39">
        <f>IF(H316="","",H316)</f>
        <v/>
      </c>
      <c r="I317" s="7">
        <f>IF(H316="","",H316)</f>
        <v/>
      </c>
      <c r="J317" s="7" t="n">
        <v>12</v>
      </c>
      <c r="K317" s="7" t="n"/>
      <c r="L317" s="40" t="n"/>
      <c r="M317">
        <f>IF(AND(L317&lt;&gt;"",N(I317)&gt;0,N(J317)&gt;0),IF(J317=1,I317,ROUND(I317*(1+J317/30),1)),"")</f>
        <v/>
      </c>
      <c r="N317" s="41">
        <f>IF(M317="","",IF(M317&gt;=PRs!C51,"PR!",""))</f>
        <v/>
      </c>
      <c r="O317" s="7" t="n"/>
    </row>
    <row r="318">
      <c r="C318" t="inlineStr">
        <is>
          <t xml:space="preserve">      Set 2</t>
        </is>
      </c>
      <c r="E318" t="n">
        <v>12</v>
      </c>
      <c r="H318" s="39">
        <f>IF(H316="","",H316)</f>
        <v/>
      </c>
      <c r="I318" s="7">
        <f>IF(H316="","",H316)</f>
        <v/>
      </c>
      <c r="J318" s="7" t="n">
        <v>12</v>
      </c>
      <c r="K318" s="7" t="n"/>
      <c r="L318" s="40" t="n"/>
      <c r="M318">
        <f>IF(AND(L318&lt;&gt;"",N(I318)&gt;0,N(J318)&gt;0),IF(J318=1,I318,ROUND(I318*(1+J318/30),1)),"")</f>
        <v/>
      </c>
      <c r="N318" s="41">
        <f>IF(M318="","",IF(M318&gt;=PRs!C51,"PR!",""))</f>
        <v/>
      </c>
      <c r="O318" s="7" t="n"/>
    </row>
    <row r="319">
      <c r="A319" s="31" t="inlineStr">
        <is>
          <t>Day 2 - Light</t>
        </is>
      </c>
      <c r="B319" s="32">
        <f>'Start Here'!$B$8+51</f>
        <v/>
      </c>
      <c r="C319" s="33" t="n"/>
      <c r="D319" s="33" t="n"/>
      <c r="E319" s="33" t="n"/>
      <c r="F319" s="33" t="n"/>
      <c r="G319" s="33" t="n"/>
      <c r="H319" s="33" t="n"/>
      <c r="I319" s="33" t="n"/>
      <c r="J319" s="33" t="n"/>
      <c r="K319" s="33" t="n"/>
      <c r="L319" s="33" t="n"/>
      <c r="M319" s="33" t="n"/>
      <c r="N319" s="33" t="n"/>
      <c r="O319" s="33" t="n"/>
    </row>
    <row r="320">
      <c r="A320" s="34" t="n"/>
      <c r="B320" s="34" t="n"/>
      <c r="C320" s="35" t="inlineStr">
        <is>
          <t>Broad Jump</t>
        </is>
      </c>
      <c r="D320" s="34" t="inlineStr">
        <is>
          <t>2 x 3</t>
        </is>
      </c>
      <c r="E320" s="34" t="n"/>
      <c r="F320" s="34" t="n"/>
      <c r="G320" s="36" t="n"/>
      <c r="H320" s="37">
        <f>IF(N(Maxes!E70)&gt;0,Maxes!E70,"")</f>
        <v/>
      </c>
      <c r="I320" s="34" t="n"/>
      <c r="J320" s="34" t="n"/>
      <c r="K320" s="34" t="n"/>
      <c r="L320" s="34" t="n"/>
      <c r="M320" s="34" t="n"/>
      <c r="N320" s="34" t="n"/>
      <c r="O320" s="38" t="inlineStr">
        <is>
          <t>Standing two-foot jump forward, stick the landing. Measure toe line to the back of the nearest heel.</t>
        </is>
      </c>
    </row>
    <row r="321">
      <c r="C321" t="inlineStr">
        <is>
          <t xml:space="preserve">      Set 1</t>
        </is>
      </c>
      <c r="E321" t="n">
        <v>3</v>
      </c>
      <c r="H321" s="39">
        <f>IF(H320="","",H320)</f>
        <v/>
      </c>
      <c r="I321" s="7">
        <f>IF(H320="","",H320)</f>
        <v/>
      </c>
      <c r="J321" s="7" t="n">
        <v>3</v>
      </c>
      <c r="K321" s="7" t="n"/>
      <c r="L321" s="40" t="n"/>
      <c r="N321" s="41">
        <f>IF(AND(L321&lt;&gt;"",N(I321)&gt;0),IF(I321&gt;=PRs!D70,"PR!",""),"")</f>
        <v/>
      </c>
      <c r="O321" s="7" t="n"/>
    </row>
    <row r="322">
      <c r="C322" t="inlineStr">
        <is>
          <t xml:space="preserve">      Set 2</t>
        </is>
      </c>
      <c r="E322" t="n">
        <v>3</v>
      </c>
      <c r="H322" s="39">
        <f>IF(H320="","",H320)</f>
        <v/>
      </c>
      <c r="I322" s="7">
        <f>IF(H320="","",H320)</f>
        <v/>
      </c>
      <c r="J322" s="7" t="n">
        <v>3</v>
      </c>
      <c r="K322" s="7" t="n"/>
      <c r="L322" s="40" t="n"/>
      <c r="N322" s="41">
        <f>IF(AND(L322&lt;&gt;"",N(I322)&gt;0),IF(I322&gt;=PRs!D70,"PR!",""),"")</f>
        <v/>
      </c>
      <c r="O322" s="7" t="n"/>
    </row>
    <row r="323">
      <c r="A323" s="34" t="n"/>
      <c r="B323" s="34" t="n"/>
      <c r="C323" s="35" t="inlineStr">
        <is>
          <t>Med Ball Chest Pass</t>
        </is>
      </c>
      <c r="D323" s="34" t="inlineStr">
        <is>
          <t>2 x 3</t>
        </is>
      </c>
      <c r="E323" s="34" t="n"/>
      <c r="F323" s="34" t="n"/>
      <c r="G323" s="36" t="n"/>
      <c r="H323" s="37">
        <f>IF(N(Maxes!E77)&gt;0,Maxes!E77,"")</f>
        <v/>
      </c>
      <c r="I323" s="34" t="n"/>
      <c r="J323" s="34" t="n"/>
      <c r="K323" s="34" t="n"/>
      <c r="L323" s="34" t="n"/>
      <c r="M323" s="34" t="n"/>
      <c r="N323" s="34" t="n"/>
      <c r="O323" s="38" t="inlineStr">
        <is>
          <t>Kneeling or standing chest pass for distance with a 6-10 lb / 3-5 kg ball. Log the distance.</t>
        </is>
      </c>
    </row>
    <row r="324">
      <c r="C324" t="inlineStr">
        <is>
          <t xml:space="preserve">      Set 1</t>
        </is>
      </c>
      <c r="E324" t="n">
        <v>3</v>
      </c>
      <c r="H324" s="39">
        <f>IF(H323="","",H323)</f>
        <v/>
      </c>
      <c r="I324" s="7">
        <f>IF(H323="","",H323)</f>
        <v/>
      </c>
      <c r="J324" s="7" t="n">
        <v>3</v>
      </c>
      <c r="K324" s="7" t="n"/>
      <c r="L324" s="40" t="n"/>
      <c r="N324" s="41">
        <f>IF(AND(L324&lt;&gt;"",N(I324)&gt;0),IF(I324&gt;=PRs!D77,"PR!",""),"")</f>
        <v/>
      </c>
      <c r="O324" s="7" t="n"/>
    </row>
    <row r="325">
      <c r="C325" t="inlineStr">
        <is>
          <t xml:space="preserve">      Set 2</t>
        </is>
      </c>
      <c r="E325" t="n">
        <v>3</v>
      </c>
      <c r="H325" s="39">
        <f>IF(H323="","",H323)</f>
        <v/>
      </c>
      <c r="I325" s="7">
        <f>IF(H323="","",H323)</f>
        <v/>
      </c>
      <c r="J325" s="7" t="n">
        <v>3</v>
      </c>
      <c r="K325" s="7" t="n"/>
      <c r="L325" s="40" t="n"/>
      <c r="N325" s="41">
        <f>IF(AND(L325&lt;&gt;"",N(I325)&gt;0),IF(I325&gt;=PRs!D77,"PR!",""),"")</f>
        <v/>
      </c>
      <c r="O325" s="7" t="n"/>
    </row>
    <row r="326">
      <c r="A326" s="34" t="n"/>
      <c r="B326" s="34" t="n"/>
      <c r="C326" s="42" t="inlineStr">
        <is>
          <t>Clean &amp; Jerk</t>
        </is>
      </c>
      <c r="D326" s="34" t="inlineStr">
        <is>
          <t>2 x 2</t>
        </is>
      </c>
      <c r="E326" s="34" t="n"/>
      <c r="F326" s="34" t="n">
        <v>65</v>
      </c>
      <c r="G326" s="36">
        <f>Maxes!E7</f>
        <v/>
      </c>
      <c r="H326" s="37">
        <f>IF(OR(G326="",F326=""),"",MROUND(G326*F326/100,'Start Here'!$B$7))</f>
        <v/>
      </c>
      <c r="I326" s="34" t="n"/>
      <c r="J326" s="34" t="n"/>
      <c r="K326" s="34" t="n"/>
      <c r="L326" s="34" t="n"/>
      <c r="M326" s="34" t="n"/>
      <c r="N326" s="34" t="n"/>
      <c r="O326" s="38" t="inlineStr">
        <is>
          <t>Easy week - move fast, recover</t>
        </is>
      </c>
    </row>
    <row r="327">
      <c r="C327" t="inlineStr">
        <is>
          <t xml:space="preserve">      Set 1</t>
        </is>
      </c>
      <c r="E327" t="n">
        <v>2</v>
      </c>
      <c r="H327" s="39">
        <f>IF(H326="","",H326)</f>
        <v/>
      </c>
      <c r="I327" s="7">
        <f>IF(H326="","",H326)</f>
        <v/>
      </c>
      <c r="J327" s="7" t="n">
        <v>2</v>
      </c>
      <c r="K327" s="7" t="n"/>
      <c r="L327" s="40" t="n"/>
      <c r="M327">
        <f>IF(AND(L327&lt;&gt;"",N(I327)&gt;0,N(J327)&gt;0),IF(J327=1,I327,ROUND(I327*(1+J327/30),1)),"")</f>
        <v/>
      </c>
      <c r="N327" s="41">
        <f>IF(M327="","",IF(M327&gt;=PRs!C7,"PR!",""))</f>
        <v/>
      </c>
      <c r="O327" s="7" t="n"/>
    </row>
    <row r="328">
      <c r="C328" t="inlineStr">
        <is>
          <t xml:space="preserve">      Set 2</t>
        </is>
      </c>
      <c r="E328" t="n">
        <v>2</v>
      </c>
      <c r="H328" s="39">
        <f>IF(H326="","",H326)</f>
        <v/>
      </c>
      <c r="I328" s="7">
        <f>IF(H326="","",H326)</f>
        <v/>
      </c>
      <c r="J328" s="7" t="n">
        <v>2</v>
      </c>
      <c r="K328" s="7" t="n"/>
      <c r="L328" s="40" t="n"/>
      <c r="M328">
        <f>IF(AND(L328&lt;&gt;"",N(I328)&gt;0,N(J328)&gt;0),IF(J328=1,I328,ROUND(I328*(1+J328/30),1)),"")</f>
        <v/>
      </c>
      <c r="N328" s="41">
        <f>IF(M328="","",IF(M328&gt;=PRs!C7,"PR!",""))</f>
        <v/>
      </c>
      <c r="O328" s="7" t="n"/>
    </row>
    <row r="329">
      <c r="A329" s="34" t="n"/>
      <c r="B329" s="34" t="n"/>
      <c r="C329" s="42" t="inlineStr">
        <is>
          <t>Squat</t>
        </is>
      </c>
      <c r="D329" s="34" t="inlineStr">
        <is>
          <t>2 x 5</t>
        </is>
      </c>
      <c r="E329" s="34" t="n"/>
      <c r="F329" s="34" t="n">
        <v>65</v>
      </c>
      <c r="G329" s="36">
        <f>Maxes!E2</f>
        <v/>
      </c>
      <c r="H329" s="37">
        <f>IF(OR(G329="",F329=""),"",MROUND(G329*F329/100,'Start Here'!$B$7))</f>
        <v/>
      </c>
      <c r="I329" s="34" t="n"/>
      <c r="J329" s="34" t="n"/>
      <c r="K329" s="34" t="n"/>
      <c r="L329" s="34" t="n"/>
      <c r="M329" s="34" t="n"/>
      <c r="N329" s="34" t="n"/>
      <c r="O329" s="38" t="inlineStr">
        <is>
          <t>Easy week - move fast, recover</t>
        </is>
      </c>
    </row>
    <row r="330">
      <c r="C330" t="inlineStr">
        <is>
          <t xml:space="preserve">      Set 1</t>
        </is>
      </c>
      <c r="E330" t="n">
        <v>5</v>
      </c>
      <c r="H330" s="39">
        <f>IF(H329="","",H329)</f>
        <v/>
      </c>
      <c r="I330" s="7">
        <f>IF(H329="","",H329)</f>
        <v/>
      </c>
      <c r="J330" s="7" t="n">
        <v>5</v>
      </c>
      <c r="K330" s="7" t="n"/>
      <c r="L330" s="40" t="n"/>
      <c r="M330">
        <f>IF(AND(L330&lt;&gt;"",N(I330)&gt;0,N(J330)&gt;0),IF(J330=1,I330,ROUND(I330*(1+J330/30),1)),"")</f>
        <v/>
      </c>
      <c r="N330" s="41">
        <f>IF(M330="","",IF(M330&gt;=PRs!C2,"PR!",""))</f>
        <v/>
      </c>
      <c r="O330" s="7" t="n"/>
    </row>
    <row r="331">
      <c r="C331" t="inlineStr">
        <is>
          <t xml:space="preserve">      Set 2</t>
        </is>
      </c>
      <c r="E331" t="n">
        <v>5</v>
      </c>
      <c r="H331" s="39">
        <f>IF(H329="","",H329)</f>
        <v/>
      </c>
      <c r="I331" s="7">
        <f>IF(H329="","",H329)</f>
        <v/>
      </c>
      <c r="J331" s="7" t="n">
        <v>5</v>
      </c>
      <c r="K331" s="7" t="n"/>
      <c r="L331" s="40" t="n"/>
      <c r="M331">
        <f>IF(AND(L331&lt;&gt;"",N(I331)&gt;0,N(J331)&gt;0),IF(J331=1,I331,ROUND(I331*(1+J331/30),1)),"")</f>
        <v/>
      </c>
      <c r="N331" s="41">
        <f>IF(M331="","",IF(M331&gt;=PRs!C2,"PR!",""))</f>
        <v/>
      </c>
      <c r="O331" s="7" t="n"/>
    </row>
    <row r="332">
      <c r="A332" s="34" t="n"/>
      <c r="B332" s="34" t="n"/>
      <c r="C332" s="42" t="inlineStr">
        <is>
          <t>Overhead Press</t>
        </is>
      </c>
      <c r="D332" s="34" t="inlineStr">
        <is>
          <t>2 x 5</t>
        </is>
      </c>
      <c r="E332" s="34" t="n"/>
      <c r="F332" s="34" t="n">
        <v>65</v>
      </c>
      <c r="G332" s="36">
        <f>Maxes!E5</f>
        <v/>
      </c>
      <c r="H332" s="37">
        <f>IF(OR(G332="",F332=""),"",MROUND(G332*F332/100,'Start Here'!$B$7))</f>
        <v/>
      </c>
      <c r="I332" s="34" t="n"/>
      <c r="J332" s="34" t="n"/>
      <c r="K332" s="34" t="n"/>
      <c r="L332" s="34" t="n"/>
      <c r="M332" s="34" t="n"/>
      <c r="N332" s="34" t="n"/>
      <c r="O332" s="38" t="inlineStr">
        <is>
          <t>Easy week - move fast, recover</t>
        </is>
      </c>
    </row>
    <row r="333">
      <c r="C333" t="inlineStr">
        <is>
          <t xml:space="preserve">      Set 1</t>
        </is>
      </c>
      <c r="E333" t="n">
        <v>5</v>
      </c>
      <c r="H333" s="39">
        <f>IF(H332="","",H332)</f>
        <v/>
      </c>
      <c r="I333" s="7">
        <f>IF(H332="","",H332)</f>
        <v/>
      </c>
      <c r="J333" s="7" t="n">
        <v>5</v>
      </c>
      <c r="K333" s="7" t="n"/>
      <c r="L333" s="40" t="n"/>
      <c r="M333">
        <f>IF(AND(L333&lt;&gt;"",N(I333)&gt;0,N(J333)&gt;0),IF(J333=1,I333,ROUND(I333*(1+J333/30),1)),"")</f>
        <v/>
      </c>
      <c r="N333" s="41">
        <f>IF(M333="","",IF(M333&gt;=PRs!C5,"PR!",""))</f>
        <v/>
      </c>
      <c r="O333" s="7" t="n"/>
    </row>
    <row r="334">
      <c r="C334" t="inlineStr">
        <is>
          <t xml:space="preserve">      Set 2</t>
        </is>
      </c>
      <c r="E334" t="n">
        <v>5</v>
      </c>
      <c r="H334" s="39">
        <f>IF(H332="","",H332)</f>
        <v/>
      </c>
      <c r="I334" s="7">
        <f>IF(H332="","",H332)</f>
        <v/>
      </c>
      <c r="J334" s="7" t="n">
        <v>5</v>
      </c>
      <c r="K334" s="7" t="n"/>
      <c r="L334" s="40" t="n"/>
      <c r="M334">
        <f>IF(AND(L334&lt;&gt;"",N(I334)&gt;0,N(J334)&gt;0),IF(J334=1,I334,ROUND(I334*(1+J334/30),1)),"")</f>
        <v/>
      </c>
      <c r="N334" s="41">
        <f>IF(M334="","",IF(M334&gt;=PRs!C5,"PR!",""))</f>
        <v/>
      </c>
      <c r="O334" s="7" t="n"/>
    </row>
    <row r="335">
      <c r="A335" s="34" t="n"/>
      <c r="B335" s="34" t="n"/>
      <c r="C335" s="42" t="inlineStr">
        <is>
          <t>Deadlift</t>
        </is>
      </c>
      <c r="D335" s="34" t="inlineStr">
        <is>
          <t>2 x 5</t>
        </is>
      </c>
      <c r="E335" s="34" t="n"/>
      <c r="F335" s="34" t="n">
        <v>65</v>
      </c>
      <c r="G335" s="36">
        <f>Maxes!E4</f>
        <v/>
      </c>
      <c r="H335" s="37">
        <f>IF(OR(G335="",F335=""),"",MROUND(G335*F335/100,'Start Here'!$B$7))</f>
        <v/>
      </c>
      <c r="I335" s="34" t="n"/>
      <c r="J335" s="34" t="n"/>
      <c r="K335" s="34" t="n"/>
      <c r="L335" s="34" t="n"/>
      <c r="M335" s="34" t="n"/>
      <c r="N335" s="34" t="n"/>
      <c r="O335" s="38" t="inlineStr">
        <is>
          <t>Easy week - move fast, recover</t>
        </is>
      </c>
    </row>
    <row r="336">
      <c r="C336" t="inlineStr">
        <is>
          <t xml:space="preserve">      Set 1</t>
        </is>
      </c>
      <c r="E336" t="n">
        <v>5</v>
      </c>
      <c r="H336" s="39">
        <f>IF(H335="","",H335)</f>
        <v/>
      </c>
      <c r="I336" s="7">
        <f>IF(H335="","",H335)</f>
        <v/>
      </c>
      <c r="J336" s="7" t="n">
        <v>5</v>
      </c>
      <c r="K336" s="7" t="n"/>
      <c r="L336" s="40" t="n"/>
      <c r="M336">
        <f>IF(AND(L336&lt;&gt;"",N(I336)&gt;0,N(J336)&gt;0),IF(J336=1,I336,ROUND(I336*(1+J336/30),1)),"")</f>
        <v/>
      </c>
      <c r="N336" s="41">
        <f>IF(M336="","",IF(M336&gt;=PRs!C4,"PR!",""))</f>
        <v/>
      </c>
      <c r="O336" s="7" t="n"/>
    </row>
    <row r="337">
      <c r="C337" t="inlineStr">
        <is>
          <t xml:space="preserve">      Set 2</t>
        </is>
      </c>
      <c r="E337" t="n">
        <v>5</v>
      </c>
      <c r="H337" s="39">
        <f>IF(H335="","",H335)</f>
        <v/>
      </c>
      <c r="I337" s="7">
        <f>IF(H335="","",H335)</f>
        <v/>
      </c>
      <c r="J337" s="7" t="n">
        <v>5</v>
      </c>
      <c r="K337" s="7" t="n"/>
      <c r="L337" s="40" t="n"/>
      <c r="M337">
        <f>IF(AND(L337&lt;&gt;"",N(I337)&gt;0,N(J337)&gt;0),IF(J337=1,I337,ROUND(I337*(1+J337/30),1)),"")</f>
        <v/>
      </c>
      <c r="N337" s="41">
        <f>IF(M337="","",IF(M337&gt;=PRs!C4,"PR!",""))</f>
        <v/>
      </c>
      <c r="O337" s="7" t="n"/>
    </row>
    <row r="338">
      <c r="A338" s="34" t="n"/>
      <c r="B338" s="34" t="n"/>
      <c r="C338" s="43" t="inlineStr">
        <is>
          <t>Chin-up</t>
        </is>
      </c>
      <c r="D338" s="34" t="inlineStr">
        <is>
          <t>2 x 6-10</t>
        </is>
      </c>
      <c r="E338" s="34" t="n"/>
      <c r="F338" s="34" t="n"/>
      <c r="G338" s="36" t="n"/>
      <c r="H338" s="37" t="n"/>
      <c r="I338" s="34" t="n"/>
      <c r="J338" s="34" t="n"/>
      <c r="K338" s="34" t="n"/>
      <c r="L338" s="34" t="n"/>
      <c r="M338" s="34" t="n"/>
      <c r="N338" s="34" t="n"/>
      <c r="O338" s="38" t="inlineStr">
        <is>
          <t>Easy - stop well short of failure</t>
        </is>
      </c>
    </row>
    <row r="339">
      <c r="C339" t="inlineStr">
        <is>
          <t xml:space="preserve">      Set 1</t>
        </is>
      </c>
      <c r="E339" t="n">
        <v>6</v>
      </c>
      <c r="H339" s="39">
        <f>IF(H338="","",H338)</f>
        <v/>
      </c>
      <c r="I339" s="7">
        <f>IF(H338="","",H338)</f>
        <v/>
      </c>
      <c r="J339" s="7" t="n">
        <v>6</v>
      </c>
      <c r="K339" s="7" t="n"/>
      <c r="L339" s="40" t="n"/>
      <c r="M339">
        <f>IF(AND(L339&lt;&gt;"",N(I339)&gt;0,N(J339)&gt;0),IF(J339=1,I339,ROUND(I339*(1+J339/30),1)),"")</f>
        <v/>
      </c>
      <c r="N339" s="41">
        <f>IF(M339="","",IF(M339&gt;=PRs!C53,"PR!",""))</f>
        <v/>
      </c>
      <c r="O339" s="7" t="n"/>
    </row>
    <row r="340">
      <c r="C340" t="inlineStr">
        <is>
          <t xml:space="preserve">      Set 2</t>
        </is>
      </c>
      <c r="E340" t="n">
        <v>6</v>
      </c>
      <c r="H340" s="39">
        <f>IF(H338="","",H338)</f>
        <v/>
      </c>
      <c r="I340" s="7">
        <f>IF(H338="","",H338)</f>
        <v/>
      </c>
      <c r="J340" s="7" t="n">
        <v>6</v>
      </c>
      <c r="K340" s="7" t="n"/>
      <c r="L340" s="40" t="n"/>
      <c r="M340">
        <f>IF(AND(L340&lt;&gt;"",N(I340)&gt;0,N(J340)&gt;0),IF(J340=1,I340,ROUND(I340*(1+J340/30),1)),"")</f>
        <v/>
      </c>
      <c r="N340" s="41">
        <f>IF(M340="","",IF(M340&gt;=PRs!C53,"PR!",""))</f>
        <v/>
      </c>
      <c r="O340" s="7" t="n"/>
    </row>
    <row r="341">
      <c r="A341" s="34" t="n"/>
      <c r="B341" s="34" t="n"/>
      <c r="C341" s="43" t="inlineStr">
        <is>
          <t>Plank</t>
        </is>
      </c>
      <c r="D341" s="34" t="inlineStr">
        <is>
          <t>2 x 30-60s</t>
        </is>
      </c>
      <c r="E341" s="34" t="n"/>
      <c r="F341" s="34" t="n"/>
      <c r="G341" s="36" t="n"/>
      <c r="H341" s="37" t="n"/>
      <c r="I341" s="34" t="n"/>
      <c r="J341" s="34" t="n"/>
      <c r="K341" s="34" t="n"/>
      <c r="L341" s="34" t="n"/>
      <c r="M341" s="34" t="n"/>
      <c r="N341" s="34" t="n"/>
      <c r="O341" s="38" t="inlineStr">
        <is>
          <t>Easy - stop well short of failure</t>
        </is>
      </c>
    </row>
    <row r="342">
      <c r="C342" t="inlineStr">
        <is>
          <t xml:space="preserve">      Set 1</t>
        </is>
      </c>
      <c r="E342" t="n">
        <v>30</v>
      </c>
      <c r="H342" s="39">
        <f>IF(H341="","",H341)</f>
        <v/>
      </c>
      <c r="I342" s="7">
        <f>IF(H341="","",H341)</f>
        <v/>
      </c>
      <c r="J342" s="7" t="n">
        <v>30</v>
      </c>
      <c r="K342" s="7" t="n"/>
      <c r="L342" s="40" t="n"/>
      <c r="M342">
        <f>IF(AND(L342&lt;&gt;"",N(I342)&gt;0,N(J342)&gt;0),IF(J342=1,I342,ROUND(I342*(1+J342/30),1)),"")</f>
        <v/>
      </c>
      <c r="N342" s="41">
        <f>IF(M342="","",IF(M342&gt;=PRs!C56,"PR!",""))</f>
        <v/>
      </c>
      <c r="O342" s="7" t="n"/>
    </row>
    <row r="343">
      <c r="C343" t="inlineStr">
        <is>
          <t xml:space="preserve">      Set 2</t>
        </is>
      </c>
      <c r="E343" t="n">
        <v>30</v>
      </c>
      <c r="H343" s="39">
        <f>IF(H341="","",H341)</f>
        <v/>
      </c>
      <c r="I343" s="7">
        <f>IF(H341="","",H341)</f>
        <v/>
      </c>
      <c r="J343" s="7" t="n">
        <v>30</v>
      </c>
      <c r="K343" s="7" t="n"/>
      <c r="L343" s="40" t="n"/>
      <c r="M343">
        <f>IF(AND(L343&lt;&gt;"",N(I343)&gt;0,N(J343)&gt;0),IF(J343=1,I343,ROUND(I343*(1+J343/30),1)),"")</f>
        <v/>
      </c>
      <c r="N343" s="41">
        <f>IF(M343="","",IF(M343&gt;=PRs!C56,"PR!",""))</f>
        <v/>
      </c>
      <c r="O343" s="7" t="n"/>
    </row>
    <row r="344">
      <c r="A344" s="31" t="inlineStr">
        <is>
          <t>Day 3 - Variations</t>
        </is>
      </c>
      <c r="B344" s="32">
        <f>'Start Here'!$B$8+53</f>
        <v/>
      </c>
      <c r="C344" s="33" t="n"/>
      <c r="D344" s="33" t="n"/>
      <c r="E344" s="33" t="n"/>
      <c r="F344" s="33" t="n"/>
      <c r="G344" s="33" t="n"/>
      <c r="H344" s="33" t="n"/>
      <c r="I344" s="33" t="n"/>
      <c r="J344" s="33" t="n"/>
      <c r="K344" s="33" t="n"/>
      <c r="L344" s="33" t="n"/>
      <c r="M344" s="33" t="n"/>
      <c r="N344" s="33" t="n"/>
      <c r="O344" s="33" t="n"/>
    </row>
    <row r="345">
      <c r="A345" s="34" t="n"/>
      <c r="B345" s="34" t="n"/>
      <c r="C345" s="35" t="inlineStr">
        <is>
          <t>Hurdle Hop</t>
        </is>
      </c>
      <c r="D345" s="34" t="inlineStr">
        <is>
          <t>2 x 3</t>
        </is>
      </c>
      <c r="E345" s="34" t="n"/>
      <c r="F345" s="34" t="n"/>
      <c r="G345" s="36" t="n"/>
      <c r="H345" s="37">
        <f>IF(N(Maxes!E73)&gt;0,Maxes!E73,"")</f>
        <v/>
      </c>
      <c r="I345" s="34" t="n"/>
      <c r="J345" s="34" t="n"/>
      <c r="K345" s="34" t="n"/>
      <c r="L345" s="34" t="n"/>
      <c r="M345" s="34" t="n"/>
      <c r="N345" s="34" t="n"/>
      <c r="O345" s="38" t="inlineStr">
        <is>
          <t>Continuous two-foot hops over a row of 4-6 low hurdles or cones, minimal ground contact. Log the hurdle height.</t>
        </is>
      </c>
    </row>
    <row r="346">
      <c r="C346" t="inlineStr">
        <is>
          <t xml:space="preserve">      Set 1</t>
        </is>
      </c>
      <c r="E346" t="n">
        <v>3</v>
      </c>
      <c r="H346" s="39">
        <f>IF(H345="","",H345)</f>
        <v/>
      </c>
      <c r="I346" s="7">
        <f>IF(H345="","",H345)</f>
        <v/>
      </c>
      <c r="J346" s="7" t="n">
        <v>3</v>
      </c>
      <c r="K346" s="7" t="n"/>
      <c r="L346" s="40" t="n"/>
      <c r="N346" s="41">
        <f>IF(AND(L346&lt;&gt;"",N(I346)&gt;0),IF(I346&gt;=PRs!D73,"PR!",""),"")</f>
        <v/>
      </c>
      <c r="O346" s="7" t="n"/>
    </row>
    <row r="347">
      <c r="C347" t="inlineStr">
        <is>
          <t xml:space="preserve">      Set 2</t>
        </is>
      </c>
      <c r="E347" t="n">
        <v>3</v>
      </c>
      <c r="H347" s="39">
        <f>IF(H345="","",H345)</f>
        <v/>
      </c>
      <c r="I347" s="7">
        <f>IF(H345="","",H345)</f>
        <v/>
      </c>
      <c r="J347" s="7" t="n">
        <v>3</v>
      </c>
      <c r="K347" s="7" t="n"/>
      <c r="L347" s="40" t="n"/>
      <c r="N347" s="41">
        <f>IF(AND(L347&lt;&gt;"",N(I347)&gt;0),IF(I347&gt;=PRs!D73,"PR!",""),"")</f>
        <v/>
      </c>
      <c r="O347" s="7" t="n"/>
    </row>
    <row r="348">
      <c r="A348" s="34" t="n"/>
      <c r="B348" s="34" t="n"/>
      <c r="C348" s="42" t="inlineStr">
        <is>
          <t>Power Clean</t>
        </is>
      </c>
      <c r="D348" s="34" t="inlineStr">
        <is>
          <t>2 x 2</t>
        </is>
      </c>
      <c r="E348" s="34" t="n"/>
      <c r="F348" s="34" t="n">
        <v>65</v>
      </c>
      <c r="G348" s="36">
        <f>Maxes!E42</f>
        <v/>
      </c>
      <c r="H348" s="37">
        <f>IF(OR(G348="",F348=""),"",MROUND(G348*F348/100,'Start Here'!$B$7))</f>
        <v/>
      </c>
      <c r="I348" s="34" t="n"/>
      <c r="J348" s="34" t="n"/>
      <c r="K348" s="34" t="n"/>
      <c r="L348" s="34" t="n"/>
      <c r="M348" s="34" t="n"/>
      <c r="N348" s="34" t="n"/>
      <c r="O348" s="38" t="inlineStr">
        <is>
          <t>Easy week - move fast, recover</t>
        </is>
      </c>
    </row>
    <row r="349">
      <c r="C349" t="inlineStr">
        <is>
          <t xml:space="preserve">      Set 1</t>
        </is>
      </c>
      <c r="E349" t="n">
        <v>2</v>
      </c>
      <c r="H349" s="39">
        <f>IF(H348="","",H348)</f>
        <v/>
      </c>
      <c r="I349" s="7">
        <f>IF(H348="","",H348)</f>
        <v/>
      </c>
      <c r="J349" s="7" t="n">
        <v>2</v>
      </c>
      <c r="K349" s="7" t="n"/>
      <c r="L349" s="40" t="n"/>
      <c r="M349">
        <f>IF(AND(L349&lt;&gt;"",N(I349)&gt;0,N(J349)&gt;0),IF(J349=1,I349,ROUND(I349*(1+J349/30),1)),"")</f>
        <v/>
      </c>
      <c r="N349" s="41">
        <f>IF(M349="","",IF(M349&gt;=PRs!C42,"PR!",""))</f>
        <v/>
      </c>
      <c r="O349" s="7" t="n"/>
    </row>
    <row r="350">
      <c r="C350" t="inlineStr">
        <is>
          <t xml:space="preserve">      Set 2</t>
        </is>
      </c>
      <c r="E350" t="n">
        <v>2</v>
      </c>
      <c r="H350" s="39">
        <f>IF(H348="","",H348)</f>
        <v/>
      </c>
      <c r="I350" s="7">
        <f>IF(H348="","",H348)</f>
        <v/>
      </c>
      <c r="J350" s="7" t="n">
        <v>2</v>
      </c>
      <c r="K350" s="7" t="n"/>
      <c r="L350" s="40" t="n"/>
      <c r="M350">
        <f>IF(AND(L350&lt;&gt;"",N(I350)&gt;0,N(J350)&gt;0),IF(J350=1,I350,ROUND(I350*(1+J350/30),1)),"")</f>
        <v/>
      </c>
      <c r="N350" s="41">
        <f>IF(M350="","",IF(M350&gt;=PRs!C42,"PR!",""))</f>
        <v/>
      </c>
      <c r="O350" s="7" t="n"/>
    </row>
    <row r="351">
      <c r="A351" s="34" t="n"/>
      <c r="B351" s="34" t="n"/>
      <c r="C351" s="42" t="inlineStr">
        <is>
          <t>Pause Squat</t>
        </is>
      </c>
      <c r="D351" s="34" t="inlineStr">
        <is>
          <t>2 x 5</t>
        </is>
      </c>
      <c r="E351" s="34" t="n"/>
      <c r="F351" s="34" t="n">
        <v>65</v>
      </c>
      <c r="G351" s="36">
        <f>Maxes!E9</f>
        <v/>
      </c>
      <c r="H351" s="37">
        <f>IF(OR(G351="",F351=""),"",MROUND(G351*F351/100,'Start Here'!$B$7))</f>
        <v/>
      </c>
      <c r="I351" s="34" t="n"/>
      <c r="J351" s="34" t="n"/>
      <c r="K351" s="34" t="n"/>
      <c r="L351" s="34" t="n"/>
      <c r="M351" s="34" t="n"/>
      <c r="N351" s="34" t="n"/>
      <c r="O351" s="38" t="inlineStr">
        <is>
          <t>Easy week - move fast, recover</t>
        </is>
      </c>
    </row>
    <row r="352">
      <c r="C352" t="inlineStr">
        <is>
          <t xml:space="preserve">      Set 1</t>
        </is>
      </c>
      <c r="E352" t="n">
        <v>5</v>
      </c>
      <c r="H352" s="39">
        <f>IF(H351="","",H351)</f>
        <v/>
      </c>
      <c r="I352" s="7">
        <f>IF(H351="","",H351)</f>
        <v/>
      </c>
      <c r="J352" s="7" t="n">
        <v>5</v>
      </c>
      <c r="K352" s="7" t="n"/>
      <c r="L352" s="40" t="n"/>
      <c r="M352">
        <f>IF(AND(L352&lt;&gt;"",N(I352)&gt;0,N(J352)&gt;0),IF(J352=1,I352,ROUND(I352*(1+J352/30),1)),"")</f>
        <v/>
      </c>
      <c r="N352" s="41">
        <f>IF(M352="","",IF(M352&gt;=PRs!C9,"PR!",""))</f>
        <v/>
      </c>
      <c r="O352" s="7" t="n"/>
    </row>
    <row r="353">
      <c r="C353" t="inlineStr">
        <is>
          <t xml:space="preserve">      Set 2</t>
        </is>
      </c>
      <c r="E353" t="n">
        <v>5</v>
      </c>
      <c r="H353" s="39">
        <f>IF(H351="","",H351)</f>
        <v/>
      </c>
      <c r="I353" s="7">
        <f>IF(H351="","",H351)</f>
        <v/>
      </c>
      <c r="J353" s="7" t="n">
        <v>5</v>
      </c>
      <c r="K353" s="7" t="n"/>
      <c r="L353" s="40" t="n"/>
      <c r="M353">
        <f>IF(AND(L353&lt;&gt;"",N(I353)&gt;0,N(J353)&gt;0),IF(J353=1,I353,ROUND(I353*(1+J353/30),1)),"")</f>
        <v/>
      </c>
      <c r="N353" s="41">
        <f>IF(M353="","",IF(M353&gt;=PRs!C9,"PR!",""))</f>
        <v/>
      </c>
      <c r="O353" s="7" t="n"/>
    </row>
    <row r="354">
      <c r="A354" s="34" t="n"/>
      <c r="B354" s="34" t="n"/>
      <c r="C354" s="42" t="inlineStr">
        <is>
          <t>2-Board Press</t>
        </is>
      </c>
      <c r="D354" s="34" t="inlineStr">
        <is>
          <t>2 x 5</t>
        </is>
      </c>
      <c r="E354" s="34" t="n"/>
      <c r="F354" s="34" t="n">
        <v>65</v>
      </c>
      <c r="G354" s="36">
        <f>Maxes!E16</f>
        <v/>
      </c>
      <c r="H354" s="37">
        <f>IF(OR(G354="",F354=""),"",MROUND(G354*F354/100,'Start Here'!$B$7))</f>
        <v/>
      </c>
      <c r="I354" s="34" t="n"/>
      <c r="J354" s="34" t="n"/>
      <c r="K354" s="34" t="n"/>
      <c r="L354" s="34" t="n"/>
      <c r="M354" s="34" t="n"/>
      <c r="N354" s="34" t="n"/>
      <c r="O354" s="38" t="inlineStr">
        <is>
          <t>Easy week - move fast, recover</t>
        </is>
      </c>
    </row>
    <row r="355">
      <c r="C355" t="inlineStr">
        <is>
          <t xml:space="preserve">      Set 1</t>
        </is>
      </c>
      <c r="E355" t="n">
        <v>5</v>
      </c>
      <c r="H355" s="39">
        <f>IF(H354="","",H354)</f>
        <v/>
      </c>
      <c r="I355" s="7">
        <f>IF(H354="","",H354)</f>
        <v/>
      </c>
      <c r="J355" s="7" t="n">
        <v>5</v>
      </c>
      <c r="K355" s="7" t="n"/>
      <c r="L355" s="40" t="n"/>
      <c r="M355">
        <f>IF(AND(L355&lt;&gt;"",N(I355)&gt;0,N(J355)&gt;0),IF(J355=1,I355,ROUND(I355*(1+J355/30),1)),"")</f>
        <v/>
      </c>
      <c r="N355" s="41">
        <f>IF(M355="","",IF(M355&gt;=PRs!C16,"PR!",""))</f>
        <v/>
      </c>
      <c r="O355" s="7" t="n"/>
    </row>
    <row r="356">
      <c r="C356" t="inlineStr">
        <is>
          <t xml:space="preserve">      Set 2</t>
        </is>
      </c>
      <c r="E356" t="n">
        <v>5</v>
      </c>
      <c r="H356" s="39">
        <f>IF(H354="","",H354)</f>
        <v/>
      </c>
      <c r="I356" s="7">
        <f>IF(H354="","",H354)</f>
        <v/>
      </c>
      <c r="J356" s="7" t="n">
        <v>5</v>
      </c>
      <c r="K356" s="7" t="n"/>
      <c r="L356" s="40" t="n"/>
      <c r="M356">
        <f>IF(AND(L356&lt;&gt;"",N(I356)&gt;0,N(J356)&gt;0),IF(J356=1,I356,ROUND(I356*(1+J356/30),1)),"")</f>
        <v/>
      </c>
      <c r="N356" s="41">
        <f>IF(M356="","",IF(M356&gt;=PRs!C16,"PR!",""))</f>
        <v/>
      </c>
      <c r="O356" s="7" t="n"/>
    </row>
    <row r="357">
      <c r="A357" s="34" t="n"/>
      <c r="B357" s="34" t="n"/>
      <c r="C357" s="42" t="inlineStr">
        <is>
          <t>Deficit Deadlift</t>
        </is>
      </c>
      <c r="D357" s="34" t="inlineStr">
        <is>
          <t>2 x 5</t>
        </is>
      </c>
      <c r="E357" s="34" t="n"/>
      <c r="F357" s="34" t="n">
        <v>65</v>
      </c>
      <c r="G357" s="36">
        <f>Maxes!E24</f>
        <v/>
      </c>
      <c r="H357" s="37">
        <f>IF(OR(G357="",F357=""),"",MROUND(G357*F357/100,'Start Here'!$B$7))</f>
        <v/>
      </c>
      <c r="I357" s="34" t="n"/>
      <c r="J357" s="34" t="n"/>
      <c r="K357" s="34" t="n"/>
      <c r="L357" s="34" t="n"/>
      <c r="M357" s="34" t="n"/>
      <c r="N357" s="34" t="n"/>
      <c r="O357" s="38" t="inlineStr">
        <is>
          <t>Easy week - move fast, recover</t>
        </is>
      </c>
    </row>
    <row r="358">
      <c r="C358" t="inlineStr">
        <is>
          <t xml:space="preserve">      Set 1</t>
        </is>
      </c>
      <c r="E358" t="n">
        <v>5</v>
      </c>
      <c r="H358" s="39">
        <f>IF(H357="","",H357)</f>
        <v/>
      </c>
      <c r="I358" s="7">
        <f>IF(H357="","",H357)</f>
        <v/>
      </c>
      <c r="J358" s="7" t="n">
        <v>5</v>
      </c>
      <c r="K358" s="7" t="n"/>
      <c r="L358" s="40" t="n"/>
      <c r="M358">
        <f>IF(AND(L358&lt;&gt;"",N(I358)&gt;0,N(J358)&gt;0),IF(J358=1,I358,ROUND(I358*(1+J358/30),1)),"")</f>
        <v/>
      </c>
      <c r="N358" s="41">
        <f>IF(M358="","",IF(M358&gt;=PRs!C24,"PR!",""))</f>
        <v/>
      </c>
      <c r="O358" s="7" t="n"/>
    </row>
    <row r="359">
      <c r="C359" t="inlineStr">
        <is>
          <t xml:space="preserve">      Set 2</t>
        </is>
      </c>
      <c r="E359" t="n">
        <v>5</v>
      </c>
      <c r="H359" s="39">
        <f>IF(H357="","",H357)</f>
        <v/>
      </c>
      <c r="I359" s="7">
        <f>IF(H357="","",H357)</f>
        <v/>
      </c>
      <c r="J359" s="7" t="n">
        <v>5</v>
      </c>
      <c r="K359" s="7" t="n"/>
      <c r="L359" s="40" t="n"/>
      <c r="M359">
        <f>IF(AND(L359&lt;&gt;"",N(I359)&gt;0,N(J359)&gt;0),IF(J359=1,I359,ROUND(I359*(1+J359/30),1)),"")</f>
        <v/>
      </c>
      <c r="N359" s="41">
        <f>IF(M359="","",IF(M359&gt;=PRs!C24,"PR!",""))</f>
        <v/>
      </c>
      <c r="O359" s="7" t="n"/>
    </row>
    <row r="360">
      <c r="A360" s="34" t="n"/>
      <c r="B360" s="34" t="n"/>
      <c r="C360" s="43" t="inlineStr">
        <is>
          <t>Incline Dumbbell Press</t>
        </is>
      </c>
      <c r="D360" s="34" t="inlineStr">
        <is>
          <t>2 x 8-12</t>
        </is>
      </c>
      <c r="E360" s="34" t="n"/>
      <c r="F360" s="34" t="n"/>
      <c r="G360" s="36" t="n"/>
      <c r="H360" s="37" t="n"/>
      <c r="I360" s="34" t="n"/>
      <c r="J360" s="34" t="n"/>
      <c r="K360" s="34" t="n"/>
      <c r="L360" s="34" t="n"/>
      <c r="M360" s="34" t="n"/>
      <c r="N360" s="34" t="n"/>
      <c r="O360" s="38" t="inlineStr">
        <is>
          <t>Easy - stop well short of failure</t>
        </is>
      </c>
    </row>
    <row r="361">
      <c r="C361" t="inlineStr">
        <is>
          <t xml:space="preserve">      Set 1</t>
        </is>
      </c>
      <c r="E361" t="n">
        <v>8</v>
      </c>
      <c r="H361" s="39">
        <f>IF(H360="","",H360)</f>
        <v/>
      </c>
      <c r="I361" s="7">
        <f>IF(H360="","",H360)</f>
        <v/>
      </c>
      <c r="J361" s="7" t="n">
        <v>8</v>
      </c>
      <c r="K361" s="7" t="n"/>
      <c r="L361" s="40" t="n"/>
      <c r="M361">
        <f>IF(AND(L361&lt;&gt;"",N(I361)&gt;0,N(J361)&gt;0),IF(J361=1,I361,ROUND(I361*(1+J361/30),1)),"")</f>
        <v/>
      </c>
      <c r="N361" s="41">
        <f>IF(M361="","",IF(M361&gt;=PRs!C57,"PR!",""))</f>
        <v/>
      </c>
      <c r="O361" s="7" t="n"/>
    </row>
    <row r="362">
      <c r="C362" t="inlineStr">
        <is>
          <t xml:space="preserve">      Set 2</t>
        </is>
      </c>
      <c r="E362" t="n">
        <v>8</v>
      </c>
      <c r="H362" s="39">
        <f>IF(H360="","",H360)</f>
        <v/>
      </c>
      <c r="I362" s="7">
        <f>IF(H360="","",H360)</f>
        <v/>
      </c>
      <c r="J362" s="7" t="n">
        <v>8</v>
      </c>
      <c r="K362" s="7" t="n"/>
      <c r="L362" s="40" t="n"/>
      <c r="M362">
        <f>IF(AND(L362&lt;&gt;"",N(I362)&gt;0,N(J362)&gt;0),IF(J362=1,I362,ROUND(I362*(1+J362/30),1)),"")</f>
        <v/>
      </c>
      <c r="N362" s="41">
        <f>IF(M362="","",IF(M362&gt;=PRs!C57,"PR!",""))</f>
        <v/>
      </c>
      <c r="O362" s="7" t="n"/>
    </row>
    <row r="363">
      <c r="A363" s="34" t="n"/>
      <c r="B363" s="34" t="n"/>
      <c r="C363" s="43" t="inlineStr">
        <is>
          <t>Triceps Pushdown</t>
        </is>
      </c>
      <c r="D363" s="34" t="inlineStr">
        <is>
          <t>2 x 10-15</t>
        </is>
      </c>
      <c r="E363" s="34" t="n"/>
      <c r="F363" s="34" t="n"/>
      <c r="G363" s="36" t="n"/>
      <c r="H363" s="37" t="n"/>
      <c r="I363" s="34" t="n"/>
      <c r="J363" s="34" t="n"/>
      <c r="K363" s="34" t="n"/>
      <c r="L363" s="34" t="n"/>
      <c r="M363" s="34" t="n"/>
      <c r="N363" s="34" t="n"/>
      <c r="O363" s="38" t="inlineStr">
        <is>
          <t>Easy - stop well short of failure</t>
        </is>
      </c>
    </row>
    <row r="364">
      <c r="C364" t="inlineStr">
        <is>
          <t xml:space="preserve">      Set 1</t>
        </is>
      </c>
      <c r="E364" t="n">
        <v>10</v>
      </c>
      <c r="H364" s="39">
        <f>IF(H363="","",H363)</f>
        <v/>
      </c>
      <c r="I364" s="7">
        <f>IF(H363="","",H363)</f>
        <v/>
      </c>
      <c r="J364" s="7" t="n">
        <v>10</v>
      </c>
      <c r="K364" s="7" t="n"/>
      <c r="L364" s="40" t="n"/>
      <c r="M364">
        <f>IF(AND(L364&lt;&gt;"",N(I364)&gt;0,N(J364)&gt;0),IF(J364=1,I364,ROUND(I364*(1+J364/30),1)),"")</f>
        <v/>
      </c>
      <c r="N364" s="41">
        <f>IF(M364="","",IF(M364&gt;=PRs!C59,"PR!",""))</f>
        <v/>
      </c>
      <c r="O364" s="7" t="n"/>
    </row>
    <row r="365">
      <c r="C365" t="inlineStr">
        <is>
          <t xml:space="preserve">      Set 2</t>
        </is>
      </c>
      <c r="E365" t="n">
        <v>10</v>
      </c>
      <c r="H365" s="39">
        <f>IF(H363="","",H363)</f>
        <v/>
      </c>
      <c r="I365" s="7">
        <f>IF(H363="","",H363)</f>
        <v/>
      </c>
      <c r="J365" s="7" t="n">
        <v>10</v>
      </c>
      <c r="K365" s="7" t="n"/>
      <c r="L365" s="40" t="n"/>
      <c r="M365">
        <f>IF(AND(L365&lt;&gt;"",N(I365)&gt;0,N(J365)&gt;0),IF(J365=1,I365,ROUND(I365*(1+J365/30),1)),"")</f>
        <v/>
      </c>
      <c r="N365" s="41">
        <f>IF(M365="","",IF(M365&gt;=PRs!C59,"PR!",""))</f>
        <v/>
      </c>
      <c r="O365" s="7" t="n"/>
    </row>
  </sheetData>
  <dataValidations count="3">
    <dataValidation sqref="H3" showDropDown="0" showInputMessage="0" showErrorMessage="0" allowBlank="1" type="list">
      <formula1>Lists!$B$1:$B$6</formula1>
    </dataValidation>
    <dataValidation sqref="L9 L10 L11 L12 L14 L15 L16 L17 L19 L20 L21 L23 L24 L25 L27 L28 L29 L31 L32 L33 L36 L37 L38 L39 L41 L42 L43 L45 L46 L47 L48 L50 L51 L52 L54 L55 L56 L58 L59 L60 L62 L63 L64 L66 L67 L68 L71 L72 L73 L74 L76 L77 L78 L79 L81 L82 L83 L85 L86 L87 L89 L90 L91 L93 L94 L95 L97 L98 L99 L104 L105 L106 L107 L109 L110 L111 L112 L113 L115 L116 L117 L118 L120 L121 L122 L123 L125 L126 L127 L129 L130 L131 L134 L135 L136 L137 L139 L140 L141 L143 L144 L145 L146 L147 L149 L150 L151 L153 L154 L155 L157 L158 L159 L161 L162 L163 L165 L166 L167 L170 L171 L172 L173 L175 L176 L177 L178 L180 L181 L182 L184 L185 L186 L188 L189 L190 L192 L193 L194 L196 L197 L198 L203 L204 L205 L206 L208 L209 L210 L211 L212 L214 L215 L216 L217 L219 L220 L221 L222 L224 L225 L226 L228 L229 L230 L233 L234 L235 L236 L238 L239 L240 L242 L243 L244 L245 L246 L248 L249 L250 L252 L253 L254 L256 L257 L258 L260 L261 L262 L264 L265 L266 L269 L270 L271 L272 L274 L275 L276 L277 L279 L280 L281 L283 L284 L285 L287 L288 L289 L291 L292 L293 L295 L296 L297 L302 L303 L305 L306 L308 L309 L311 L312 L314 L315 L317 L318 L321 L322 L324 L325 L327 L328 L330 L331 L333 L334 L336 L337 L339 L340 L342 L343 L346 L347 L349 L350 L352 L353 L355 L356 L358 L359 L361 L362 L364 L365" showDropDown="0" showInputMessage="0" showErrorMessage="0" allowBlank="1" type="list">
      <formula1>"✓"</formula1>
    </dataValidation>
    <dataValidation sqref="K9 K10 K11 K12 K14 K15 K16 K17 K19 K20 K21 K23 K24 K25 K27 K28 K29 K31 K32 K33 K36 K37 K38 K39 K41 K42 K43 K45 K46 K47 K48 K50 K51 K52 K54 K55 K56 K58 K59 K60 K62 K63 K64 K66 K67 K68 K71 K72 K73 K74 K76 K77 K78 K79 K81 K82 K83 K85 K86 K87 K89 K90 K91 K93 K94 K95 K97 K98 K99 K104 K105 K106 K107 K109 K110 K111 K112 K113 K115 K116 K117 K118 K120 K121 K122 K123 K125 K126 K127 K129 K130 K131 K134 K135 K136 K137 K139 K140 K141 K143 K144 K145 K146 K147 K149 K150 K151 K153 K154 K155 K157 K158 K159 K161 K162 K163 K165 K166 K167 K170 K171 K172 K173 K175 K176 K177 K178 K180 K181 K182 K184 K185 K186 K188 K189 K190 K192 K193 K194 K196 K197 K198 K203 K204 K205 K206 K208 K209 K210 K211 K212 K214 K215 K216 K217 K219 K220 K221 K222 K224 K225 K226 K228 K229 K230 K233 K234 K235 K236 K238 K239 K240 K242 K243 K244 K245 K246 K248 K249 K250 K252 K253 K254 K256 K257 K258 K260 K261 K262 K264 K265 K266 K269 K270 K271 K272 K274 K275 K276 K277 K279 K280 K281 K283 K284 K285 K287 K288 K289 K291 K292 K293 K295 K296 K297 K302 K303 K305 K306 K308 K309 K311 K312 K314 K315 K317 K318 K321 K322 K324 K325 K327 K328 K330 K331 K333 K334 K336 K337 K339 K340 K342 K343 K346 K347 K349 K350 K352 K353 K355 K356 K358 K359 K361 K362 K364 K365" showDropDown="0" showInputMessage="0" showErrorMessage="0" allowBlank="1" type="list">
      <formula1>"6,6.5,7,7.5,8,8.5,9,9.5,10"</formula1>
    </dataValidation>
  </dataValidations>
  <hyperlinks>
    <hyperlink ref="A2" location="'Month 01'!A1" display="&lt; Month 01"/>
    <hyperlink ref="C2" location="'Start Here'!A1" display="Start Here"/>
    <hyperlink ref="E2" location="'Month 03'!A1" display="Month 03 &gt;"/>
    <hyperlink ref="L3" location="'Body'!A1" display="How to test"/>
  </hyperlinks>
  <pageMargins left="0.75" right="0.75" top="1" bottom="1" header="0.5" footer="0.5"/>
  <pageSetup orientation="landscape" fitToHeight="0" fitToWidth="1"/>
</worksheet>
</file>

<file path=xl/worksheets/sheet5.xml><?xml version="1.0" encoding="utf-8"?>
<worksheet xmlns="http://schemas.openxmlformats.org/spreadsheetml/2006/main">
  <sheetPr>
    <tabColor rgb="00F2D675"/>
    <outlinePr summaryBelow="1" summaryRight="1"/>
    <pageSetUpPr fitToPage="1"/>
  </sheetPr>
  <dimension ref="A1:O330"/>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26" customWidth="1" min="3" max="3"/>
    <col width="10" customWidth="1" min="4" max="4"/>
    <col width="7" customWidth="1" min="5" max="5"/>
    <col width="6" customWidth="1" min="6" max="6"/>
    <col width="9" customWidth="1" min="7" max="7"/>
    <col width="9" customWidth="1" min="8" max="8"/>
    <col width="12" customWidth="1" min="9" max="9"/>
    <col width="8" customWidth="1" min="10" max="10"/>
    <col width="6" customWidth="1" min="11" max="11"/>
    <col width="6" customWidth="1" min="12" max="12"/>
    <col width="9" customWidth="1" min="13" max="13"/>
    <col width="5" customWidth="1" min="14" max="14"/>
    <col width="60" customWidth="1" min="15" max="15"/>
  </cols>
  <sheetData>
    <row r="1">
      <c r="A1" s="25" t="inlineStr">
        <is>
          <t>MONTH 03  -  weeks 9-12  -  Cycle 1</t>
        </is>
      </c>
    </row>
    <row r="2">
      <c r="A2" s="26" t="inlineStr">
        <is>
          <t>&lt; Month 02</t>
        </is>
      </c>
      <c r="C2" s="26" t="inlineStr">
        <is>
          <t>Start Here</t>
        </is>
      </c>
      <c r="E2" s="26" t="inlineStr">
        <is>
          <t>Month 04 &gt;</t>
        </is>
      </c>
    </row>
    <row r="3">
      <c r="A3" s="41" t="inlineStr">
        <is>
          <t>BODY FAT (once this month)</t>
        </is>
      </c>
      <c r="C3" s="44" t="inlineStr">
        <is>
          <t>Date</t>
        </is>
      </c>
      <c r="D3" s="12" t="n"/>
      <c r="E3" s="44" t="inlineStr">
        <is>
          <t>Body fat %</t>
        </is>
      </c>
      <c r="F3" s="7" t="n"/>
      <c r="G3" s="44" t="inlineStr">
        <is>
          <t>Method</t>
        </is>
      </c>
      <c r="H3" s="7" t="n"/>
      <c r="I3" s="44" t="inlineStr">
        <is>
          <t>Weight at test</t>
        </is>
      </c>
      <c r="J3" s="7" t="n"/>
      <c r="L3" s="26" t="inlineStr">
        <is>
          <t>How to test</t>
        </is>
      </c>
    </row>
    <row r="4">
      <c r="A4" s="27" t="inlineStr">
        <is>
          <t>Every set is filled in with the plan. Change what was different, mark Done. Enter bodyweight once per week on the purple week rows.</t>
        </is>
      </c>
    </row>
    <row r="5">
      <c r="A5" s="8" t="inlineStr">
        <is>
          <t>Day</t>
        </is>
      </c>
      <c r="B5" s="8" t="inlineStr">
        <is>
          <t>Date</t>
        </is>
      </c>
      <c r="C5" s="8" t="inlineStr">
        <is>
          <t>Exercise / set</t>
        </is>
      </c>
      <c r="D5" s="8" t="inlineStr">
        <is>
          <t>Scheme</t>
        </is>
      </c>
      <c r="E5" s="8" t="inlineStr">
        <is>
          <t>Target reps</t>
        </is>
      </c>
      <c r="F5" s="8" t="inlineStr">
        <is>
          <t>% TM</t>
        </is>
      </c>
      <c r="G5" s="8" t="inlineStr">
        <is>
          <t>Training max</t>
        </is>
      </c>
      <c r="H5" s="8" t="inlineStr">
        <is>
          <t>Target</t>
        </is>
      </c>
      <c r="I5" s="8" t="inlineStr">
        <is>
          <t>Actual weight / height</t>
        </is>
      </c>
      <c r="J5" s="8" t="inlineStr">
        <is>
          <t>Actual reps</t>
        </is>
      </c>
      <c r="K5" s="8" t="inlineStr">
        <is>
          <t>RPE</t>
        </is>
      </c>
      <c r="L5" s="8" t="inlineStr">
        <is>
          <t>Done</t>
        </is>
      </c>
      <c r="M5" s="8" t="inlineStr">
        <is>
          <t>Est. 1RM</t>
        </is>
      </c>
      <c r="N5" s="8" t="inlineStr">
        <is>
          <t>PR</t>
        </is>
      </c>
      <c r="O5" s="8" t="inlineStr">
        <is>
          <t>Notes / guidance</t>
        </is>
      </c>
    </row>
    <row r="6">
      <c r="A6" s="54" t="inlineStr">
        <is>
          <t>WEEK 9 - CYCLE 1 - REALIZATION</t>
        </is>
      </c>
      <c r="B6" s="55" t="n"/>
      <c r="C6" s="55" t="n"/>
      <c r="D6" s="55" t="n"/>
      <c r="E6" s="55" t="n"/>
      <c r="F6" s="55" t="n"/>
      <c r="G6" s="55" t="n"/>
      <c r="H6" s="56" t="inlineStr">
        <is>
          <t>Bodyweight:</t>
        </is>
      </c>
      <c r="I6" s="7" t="n"/>
      <c r="J6" s="55" t="n"/>
      <c r="K6" s="55" t="n"/>
      <c r="L6" s="55" t="n"/>
      <c r="M6" s="55" t="n"/>
      <c r="N6" s="55" t="n"/>
      <c r="O6" s="55" t="n"/>
    </row>
    <row r="7">
      <c r="A7" s="31" t="inlineStr">
        <is>
          <t>Day 1 - Heavy</t>
        </is>
      </c>
      <c r="B7" s="32">
        <f>'Start Here'!$B$8+56</f>
        <v/>
      </c>
      <c r="C7" s="33" t="n"/>
      <c r="D7" s="33" t="n"/>
      <c r="E7" s="33" t="n"/>
      <c r="F7" s="33" t="n"/>
      <c r="G7" s="33" t="n"/>
      <c r="H7" s="33" t="n"/>
      <c r="I7" s="33" t="n"/>
      <c r="J7" s="33" t="n"/>
      <c r="K7" s="33" t="n"/>
      <c r="L7" s="33" t="n"/>
      <c r="M7" s="33" t="n"/>
      <c r="N7" s="33" t="n"/>
      <c r="O7" s="33" t="n"/>
    </row>
    <row r="8">
      <c r="A8" s="34" t="n"/>
      <c r="B8" s="34" t="n"/>
      <c r="C8" s="35" t="inlineStr">
        <is>
          <t>Box Jump</t>
        </is>
      </c>
      <c r="D8" s="34" t="inlineStr">
        <is>
          <t>3 x 2</t>
        </is>
      </c>
      <c r="E8" s="34" t="n"/>
      <c r="F8" s="34" t="n"/>
      <c r="G8" s="36" t="n"/>
      <c r="H8" s="37">
        <f>IF(N(Maxes!E69)&gt;0,Maxes!E69,'Start Here'!$G$16)</f>
        <v/>
      </c>
      <c r="I8" s="34" t="n"/>
      <c r="J8" s="34" t="n"/>
      <c r="K8" s="34" t="n"/>
      <c r="L8" s="34" t="n"/>
      <c r="M8" s="34" t="n"/>
      <c r="N8" s="34" t="n"/>
      <c r="O8" s="38" t="inlineStr">
        <is>
          <t>Two-foot jump onto a box, land soft in a quarter squat, STEP down. Log the box height (floor to top of box).</t>
        </is>
      </c>
    </row>
    <row r="9">
      <c r="C9" t="inlineStr">
        <is>
          <t xml:space="preserve">      Set 1</t>
        </is>
      </c>
      <c r="E9" t="n">
        <v>2</v>
      </c>
      <c r="H9" s="39">
        <f>IF(H8="","",H8)</f>
        <v/>
      </c>
      <c r="I9" s="7">
        <f>IF(H8="","",H8)</f>
        <v/>
      </c>
      <c r="J9" s="7" t="n">
        <v>2</v>
      </c>
      <c r="K9" s="7" t="n"/>
      <c r="L9" s="40" t="n"/>
      <c r="N9" s="41">
        <f>IF(AND(L9&lt;&gt;"",N(I9)&gt;0),IF(I9&gt;=PRs!D69,"PR!",""),"")</f>
        <v/>
      </c>
      <c r="O9" s="7" t="n"/>
    </row>
    <row r="10">
      <c r="C10" t="inlineStr">
        <is>
          <t xml:space="preserve">      Set 2</t>
        </is>
      </c>
      <c r="E10" t="n">
        <v>2</v>
      </c>
      <c r="H10" s="39">
        <f>IF(H8="","",H8)</f>
        <v/>
      </c>
      <c r="I10" s="7">
        <f>IF(H8="","",H8)</f>
        <v/>
      </c>
      <c r="J10" s="7" t="n">
        <v>2</v>
      </c>
      <c r="K10" s="7" t="n"/>
      <c r="L10" s="40" t="n"/>
      <c r="N10" s="41">
        <f>IF(AND(L10&lt;&gt;"",N(I10)&gt;0),IF(I10&gt;=PRs!D69,"PR!",""),"")</f>
        <v/>
      </c>
      <c r="O10" s="7" t="n"/>
    </row>
    <row r="11">
      <c r="C11" t="inlineStr">
        <is>
          <t xml:space="preserve">      Set 3</t>
        </is>
      </c>
      <c r="E11" t="n">
        <v>2</v>
      </c>
      <c r="H11" s="39">
        <f>IF(H8="","",H8)</f>
        <v/>
      </c>
      <c r="I11" s="7">
        <f>IF(H8="","",H8)</f>
        <v/>
      </c>
      <c r="J11" s="7" t="n">
        <v>2</v>
      </c>
      <c r="K11" s="7" t="n"/>
      <c r="L11" s="40" t="n"/>
      <c r="N11" s="41">
        <f>IF(AND(L11&lt;&gt;"",N(I11)&gt;0),IF(I11&gt;=PRs!D69,"PR!",""),"")</f>
        <v/>
      </c>
      <c r="O11" s="7" t="n"/>
    </row>
    <row r="12">
      <c r="A12" s="34" t="n"/>
      <c r="B12" s="34" t="n"/>
      <c r="C12" s="42" t="inlineStr">
        <is>
          <t>Snatch</t>
        </is>
      </c>
      <c r="D12" s="34" t="inlineStr">
        <is>
          <t>5 x 2</t>
        </is>
      </c>
      <c r="E12" s="34" t="n"/>
      <c r="F12" s="34" t="n">
        <v>85</v>
      </c>
      <c r="G12" s="36">
        <f>Maxes!E6</f>
        <v/>
      </c>
      <c r="H12" s="37">
        <f>IF(OR(G12="",F12=""),"",MROUND(G12*F12/100,'Start Here'!$B$7))</f>
        <v/>
      </c>
      <c r="I12" s="34" t="n"/>
      <c r="J12" s="34" t="n"/>
      <c r="K12" s="34" t="n"/>
      <c r="L12" s="34" t="n"/>
      <c r="M12" s="34" t="n"/>
      <c r="N12" s="34" t="n"/>
      <c r="O12" s="38" t="inlineStr"/>
    </row>
    <row r="13">
      <c r="C13" t="inlineStr">
        <is>
          <t xml:space="preserve">      Set 1</t>
        </is>
      </c>
      <c r="E13" t="n">
        <v>2</v>
      </c>
      <c r="H13" s="39">
        <f>IF(H12="","",H12)</f>
        <v/>
      </c>
      <c r="I13" s="7">
        <f>IF(H12="","",H12)</f>
        <v/>
      </c>
      <c r="J13" s="7" t="n">
        <v>2</v>
      </c>
      <c r="K13" s="7" t="n"/>
      <c r="L13" s="40" t="n"/>
      <c r="M13">
        <f>IF(AND(L13&lt;&gt;"",N(I13)&gt;0,N(J13)&gt;0),IF(J13=1,I13,ROUND(I13*(1+J13/30),1)),"")</f>
        <v/>
      </c>
      <c r="N13" s="41">
        <f>IF(M13="","",IF(M13&gt;=PRs!C6,"PR!",""))</f>
        <v/>
      </c>
      <c r="O13" s="7" t="n"/>
    </row>
    <row r="14">
      <c r="C14" t="inlineStr">
        <is>
          <t xml:space="preserve">      Set 2</t>
        </is>
      </c>
      <c r="E14" t="n">
        <v>2</v>
      </c>
      <c r="H14" s="39">
        <f>IF(H12="","",H12)</f>
        <v/>
      </c>
      <c r="I14" s="7">
        <f>IF(H12="","",H12)</f>
        <v/>
      </c>
      <c r="J14" s="7" t="n">
        <v>2</v>
      </c>
      <c r="K14" s="7" t="n"/>
      <c r="L14" s="40" t="n"/>
      <c r="M14">
        <f>IF(AND(L14&lt;&gt;"",N(I14)&gt;0,N(J14)&gt;0),IF(J14=1,I14,ROUND(I14*(1+J14/30),1)),"")</f>
        <v/>
      </c>
      <c r="N14" s="41">
        <f>IF(M14="","",IF(M14&gt;=PRs!C6,"PR!",""))</f>
        <v/>
      </c>
      <c r="O14" s="7" t="n"/>
    </row>
    <row r="15">
      <c r="C15" t="inlineStr">
        <is>
          <t xml:space="preserve">      Set 3</t>
        </is>
      </c>
      <c r="E15" t="n">
        <v>2</v>
      </c>
      <c r="H15" s="39">
        <f>IF(H12="","",H12)</f>
        <v/>
      </c>
      <c r="I15" s="7">
        <f>IF(H12="","",H12)</f>
        <v/>
      </c>
      <c r="J15" s="7" t="n">
        <v>2</v>
      </c>
      <c r="K15" s="7" t="n"/>
      <c r="L15" s="40" t="n"/>
      <c r="M15">
        <f>IF(AND(L15&lt;&gt;"",N(I15)&gt;0,N(J15)&gt;0),IF(J15=1,I15,ROUND(I15*(1+J15/30),1)),"")</f>
        <v/>
      </c>
      <c r="N15" s="41">
        <f>IF(M15="","",IF(M15&gt;=PRs!C6,"PR!",""))</f>
        <v/>
      </c>
      <c r="O15" s="7" t="n"/>
    </row>
    <row r="16">
      <c r="C16" t="inlineStr">
        <is>
          <t xml:space="preserve">      Set 4</t>
        </is>
      </c>
      <c r="E16" t="n">
        <v>2</v>
      </c>
      <c r="H16" s="39">
        <f>IF(H12="","",H12)</f>
        <v/>
      </c>
      <c r="I16" s="7">
        <f>IF(H12="","",H12)</f>
        <v/>
      </c>
      <c r="J16" s="7" t="n">
        <v>2</v>
      </c>
      <c r="K16" s="7" t="n"/>
      <c r="L16" s="40" t="n"/>
      <c r="M16">
        <f>IF(AND(L16&lt;&gt;"",N(I16)&gt;0,N(J16)&gt;0),IF(J16=1,I16,ROUND(I16*(1+J16/30),1)),"")</f>
        <v/>
      </c>
      <c r="N16" s="41">
        <f>IF(M16="","",IF(M16&gt;=PRs!C6,"PR!",""))</f>
        <v/>
      </c>
      <c r="O16" s="7" t="n"/>
    </row>
    <row r="17">
      <c r="C17" t="inlineStr">
        <is>
          <t xml:space="preserve">      Set 5</t>
        </is>
      </c>
      <c r="E17" t="n">
        <v>2</v>
      </c>
      <c r="H17" s="39">
        <f>IF(H12="","",H12)</f>
        <v/>
      </c>
      <c r="I17" s="7">
        <f>IF(H12="","",H12)</f>
        <v/>
      </c>
      <c r="J17" s="7" t="n">
        <v>2</v>
      </c>
      <c r="K17" s="7" t="n"/>
      <c r="L17" s="40" t="n"/>
      <c r="M17">
        <f>IF(AND(L17&lt;&gt;"",N(I17)&gt;0,N(J17)&gt;0),IF(J17=1,I17,ROUND(I17*(1+J17/30),1)),"")</f>
        <v/>
      </c>
      <c r="N17" s="41">
        <f>IF(M17="","",IF(M17&gt;=PRs!C6,"PR!",""))</f>
        <v/>
      </c>
      <c r="O17" s="7" t="n"/>
    </row>
    <row r="18">
      <c r="A18" s="34" t="n"/>
      <c r="B18" s="34" t="n"/>
      <c r="C18" s="42" t="inlineStr">
        <is>
          <t>Squat</t>
        </is>
      </c>
      <c r="D18" s="34" t="inlineStr">
        <is>
          <t>5 x 3</t>
        </is>
      </c>
      <c r="E18" s="34" t="n"/>
      <c r="F18" s="34" t="n">
        <v>85</v>
      </c>
      <c r="G18" s="36">
        <f>Maxes!E2</f>
        <v/>
      </c>
      <c r="H18" s="37">
        <f>IF(OR(G18="",F18=""),"",MROUND(G18*F18/100,'Start Here'!$B$7))</f>
        <v/>
      </c>
      <c r="I18" s="34" t="n"/>
      <c r="J18" s="34" t="n"/>
      <c r="K18" s="34" t="n"/>
      <c r="L18" s="34" t="n"/>
      <c r="M18" s="34" t="n"/>
      <c r="N18" s="34" t="n"/>
      <c r="O18" s="38" t="inlineStr"/>
    </row>
    <row r="19">
      <c r="C19" t="inlineStr">
        <is>
          <t xml:space="preserve">      Set 1</t>
        </is>
      </c>
      <c r="E19" t="n">
        <v>3</v>
      </c>
      <c r="H19" s="39">
        <f>IF(H18="","",H18)</f>
        <v/>
      </c>
      <c r="I19" s="7">
        <f>IF(H18="","",H18)</f>
        <v/>
      </c>
      <c r="J19" s="7" t="n">
        <v>3</v>
      </c>
      <c r="K19" s="7" t="n"/>
      <c r="L19" s="40" t="n"/>
      <c r="M19">
        <f>IF(AND(L19&lt;&gt;"",N(I19)&gt;0,N(J19)&gt;0),IF(J19=1,I19,ROUND(I19*(1+J19/30),1)),"")</f>
        <v/>
      </c>
      <c r="N19" s="41">
        <f>IF(M19="","",IF(M19&gt;=PRs!C2,"PR!",""))</f>
        <v/>
      </c>
      <c r="O19" s="7" t="n"/>
    </row>
    <row r="20">
      <c r="C20" t="inlineStr">
        <is>
          <t xml:space="preserve">      Set 2</t>
        </is>
      </c>
      <c r="E20" t="n">
        <v>3</v>
      </c>
      <c r="H20" s="39">
        <f>IF(H18="","",H18)</f>
        <v/>
      </c>
      <c r="I20" s="7">
        <f>IF(H18="","",H18)</f>
        <v/>
      </c>
      <c r="J20" s="7" t="n">
        <v>3</v>
      </c>
      <c r="K20" s="7" t="n"/>
      <c r="L20" s="40" t="n"/>
      <c r="M20">
        <f>IF(AND(L20&lt;&gt;"",N(I20)&gt;0,N(J20)&gt;0),IF(J20=1,I20,ROUND(I20*(1+J20/30),1)),"")</f>
        <v/>
      </c>
      <c r="N20" s="41">
        <f>IF(M20="","",IF(M20&gt;=PRs!C2,"PR!",""))</f>
        <v/>
      </c>
      <c r="O20" s="7" t="n"/>
    </row>
    <row r="21">
      <c r="C21" t="inlineStr">
        <is>
          <t xml:space="preserve">      Set 3</t>
        </is>
      </c>
      <c r="E21" t="n">
        <v>3</v>
      </c>
      <c r="H21" s="39">
        <f>IF(H18="","",H18)</f>
        <v/>
      </c>
      <c r="I21" s="7">
        <f>IF(H18="","",H18)</f>
        <v/>
      </c>
      <c r="J21" s="7" t="n">
        <v>3</v>
      </c>
      <c r="K21" s="7" t="n"/>
      <c r="L21" s="40" t="n"/>
      <c r="M21">
        <f>IF(AND(L21&lt;&gt;"",N(I21)&gt;0,N(J21)&gt;0),IF(J21=1,I21,ROUND(I21*(1+J21/30),1)),"")</f>
        <v/>
      </c>
      <c r="N21" s="41">
        <f>IF(M21="","",IF(M21&gt;=PRs!C2,"PR!",""))</f>
        <v/>
      </c>
      <c r="O21" s="7" t="n"/>
    </row>
    <row r="22">
      <c r="C22" t="inlineStr">
        <is>
          <t xml:space="preserve">      Set 4</t>
        </is>
      </c>
      <c r="E22" t="n">
        <v>3</v>
      </c>
      <c r="H22" s="39">
        <f>IF(H18="","",H18)</f>
        <v/>
      </c>
      <c r="I22" s="7">
        <f>IF(H18="","",H18)</f>
        <v/>
      </c>
      <c r="J22" s="7" t="n">
        <v>3</v>
      </c>
      <c r="K22" s="7" t="n"/>
      <c r="L22" s="40" t="n"/>
      <c r="M22">
        <f>IF(AND(L22&lt;&gt;"",N(I22)&gt;0,N(J22)&gt;0),IF(J22=1,I22,ROUND(I22*(1+J22/30),1)),"")</f>
        <v/>
      </c>
      <c r="N22" s="41">
        <f>IF(M22="","",IF(M22&gt;=PRs!C2,"PR!",""))</f>
        <v/>
      </c>
      <c r="O22" s="7" t="n"/>
    </row>
    <row r="23">
      <c r="C23" t="inlineStr">
        <is>
          <t xml:space="preserve">      Set 5</t>
        </is>
      </c>
      <c r="E23" t="n">
        <v>3</v>
      </c>
      <c r="H23" s="39">
        <f>IF(H18="","",H18)</f>
        <v/>
      </c>
      <c r="I23" s="7">
        <f>IF(H18="","",H18)</f>
        <v/>
      </c>
      <c r="J23" s="7" t="n">
        <v>3</v>
      </c>
      <c r="K23" s="7" t="n"/>
      <c r="L23" s="40" t="n"/>
      <c r="M23">
        <f>IF(AND(L23&lt;&gt;"",N(I23)&gt;0,N(J23)&gt;0),IF(J23=1,I23,ROUND(I23*(1+J23/30),1)),"")</f>
        <v/>
      </c>
      <c r="N23" s="41">
        <f>IF(M23="","",IF(M23&gt;=PRs!C2,"PR!",""))</f>
        <v/>
      </c>
      <c r="O23" s="7" t="n"/>
    </row>
    <row r="24">
      <c r="A24" s="34" t="n"/>
      <c r="B24" s="34" t="n"/>
      <c r="C24" s="42" t="inlineStr">
        <is>
          <t>Bench Press</t>
        </is>
      </c>
      <c r="D24" s="34" t="inlineStr">
        <is>
          <t>5 x 3</t>
        </is>
      </c>
      <c r="E24" s="34" t="n"/>
      <c r="F24" s="34" t="n">
        <v>85</v>
      </c>
      <c r="G24" s="36">
        <f>Maxes!E3</f>
        <v/>
      </c>
      <c r="H24" s="37">
        <f>IF(OR(G24="",F24=""),"",MROUND(G24*F24/100,'Start Here'!$B$7))</f>
        <v/>
      </c>
      <c r="I24" s="34" t="n"/>
      <c r="J24" s="34" t="n"/>
      <c r="K24" s="34" t="n"/>
      <c r="L24" s="34" t="n"/>
      <c r="M24" s="34" t="n"/>
      <c r="N24" s="34" t="n"/>
      <c r="O24" s="38" t="inlineStr"/>
    </row>
    <row r="25">
      <c r="C25" t="inlineStr">
        <is>
          <t xml:space="preserve">      Set 1</t>
        </is>
      </c>
      <c r="E25" t="n">
        <v>3</v>
      </c>
      <c r="H25" s="39">
        <f>IF(H24="","",H24)</f>
        <v/>
      </c>
      <c r="I25" s="7">
        <f>IF(H24="","",H24)</f>
        <v/>
      </c>
      <c r="J25" s="7" t="n">
        <v>3</v>
      </c>
      <c r="K25" s="7" t="n"/>
      <c r="L25" s="40" t="n"/>
      <c r="M25">
        <f>IF(AND(L25&lt;&gt;"",N(I25)&gt;0,N(J25)&gt;0),IF(J25=1,I25,ROUND(I25*(1+J25/30),1)),"")</f>
        <v/>
      </c>
      <c r="N25" s="41">
        <f>IF(M25="","",IF(M25&gt;=PRs!C3,"PR!",""))</f>
        <v/>
      </c>
      <c r="O25" s="7" t="n"/>
    </row>
    <row r="26">
      <c r="C26" t="inlineStr">
        <is>
          <t xml:space="preserve">      Set 2</t>
        </is>
      </c>
      <c r="E26" t="n">
        <v>3</v>
      </c>
      <c r="H26" s="39">
        <f>IF(H24="","",H24)</f>
        <v/>
      </c>
      <c r="I26" s="7">
        <f>IF(H24="","",H24)</f>
        <v/>
      </c>
      <c r="J26" s="7" t="n">
        <v>3</v>
      </c>
      <c r="K26" s="7" t="n"/>
      <c r="L26" s="40" t="n"/>
      <c r="M26">
        <f>IF(AND(L26&lt;&gt;"",N(I26)&gt;0,N(J26)&gt;0),IF(J26=1,I26,ROUND(I26*(1+J26/30),1)),"")</f>
        <v/>
      </c>
      <c r="N26" s="41">
        <f>IF(M26="","",IF(M26&gt;=PRs!C3,"PR!",""))</f>
        <v/>
      </c>
      <c r="O26" s="7" t="n"/>
    </row>
    <row r="27">
      <c r="C27" t="inlineStr">
        <is>
          <t xml:space="preserve">      Set 3</t>
        </is>
      </c>
      <c r="E27" t="n">
        <v>3</v>
      </c>
      <c r="H27" s="39">
        <f>IF(H24="","",H24)</f>
        <v/>
      </c>
      <c r="I27" s="7">
        <f>IF(H24="","",H24)</f>
        <v/>
      </c>
      <c r="J27" s="7" t="n">
        <v>3</v>
      </c>
      <c r="K27" s="7" t="n"/>
      <c r="L27" s="40" t="n"/>
      <c r="M27">
        <f>IF(AND(L27&lt;&gt;"",N(I27)&gt;0,N(J27)&gt;0),IF(J27=1,I27,ROUND(I27*(1+J27/30),1)),"")</f>
        <v/>
      </c>
      <c r="N27" s="41">
        <f>IF(M27="","",IF(M27&gt;=PRs!C3,"PR!",""))</f>
        <v/>
      </c>
      <c r="O27" s="7" t="n"/>
    </row>
    <row r="28">
      <c r="C28" t="inlineStr">
        <is>
          <t xml:space="preserve">      Set 4</t>
        </is>
      </c>
      <c r="E28" t="n">
        <v>3</v>
      </c>
      <c r="H28" s="39">
        <f>IF(H24="","",H24)</f>
        <v/>
      </c>
      <c r="I28" s="7">
        <f>IF(H24="","",H24)</f>
        <v/>
      </c>
      <c r="J28" s="7" t="n">
        <v>3</v>
      </c>
      <c r="K28" s="7" t="n"/>
      <c r="L28" s="40" t="n"/>
      <c r="M28">
        <f>IF(AND(L28&lt;&gt;"",N(I28)&gt;0,N(J28)&gt;0),IF(J28=1,I28,ROUND(I28*(1+J28/30),1)),"")</f>
        <v/>
      </c>
      <c r="N28" s="41">
        <f>IF(M28="","",IF(M28&gt;=PRs!C3,"PR!",""))</f>
        <v/>
      </c>
      <c r="O28" s="7" t="n"/>
    </row>
    <row r="29">
      <c r="C29" t="inlineStr">
        <is>
          <t xml:space="preserve">      Set 5</t>
        </is>
      </c>
      <c r="E29" t="n">
        <v>3</v>
      </c>
      <c r="H29" s="39">
        <f>IF(H24="","",H24)</f>
        <v/>
      </c>
      <c r="I29" s="7">
        <f>IF(H24="","",H24)</f>
        <v/>
      </c>
      <c r="J29" s="7" t="n">
        <v>3</v>
      </c>
      <c r="K29" s="7" t="n"/>
      <c r="L29" s="40" t="n"/>
      <c r="M29">
        <f>IF(AND(L29&lt;&gt;"",N(I29)&gt;0,N(J29)&gt;0),IF(J29=1,I29,ROUND(I29*(1+J29/30),1)),"")</f>
        <v/>
      </c>
      <c r="N29" s="41">
        <f>IF(M29="","",IF(M29&gt;=PRs!C3,"PR!",""))</f>
        <v/>
      </c>
      <c r="O29" s="7" t="n"/>
    </row>
    <row r="30">
      <c r="A30" s="34" t="n"/>
      <c r="B30" s="34" t="n"/>
      <c r="C30" s="43" t="inlineStr">
        <is>
          <t>Barbell Row</t>
        </is>
      </c>
      <c r="D30" s="34" t="inlineStr">
        <is>
          <t>3 x 8-10</t>
        </is>
      </c>
      <c r="E30" s="34" t="n"/>
      <c r="F30" s="34" t="n"/>
      <c r="G30" s="36" t="n"/>
      <c r="H30" s="37" t="n"/>
      <c r="I30" s="34" t="n"/>
      <c r="J30" s="34" t="n"/>
      <c r="K30" s="34" t="n"/>
      <c r="L30" s="34" t="n"/>
      <c r="M30" s="34" t="n"/>
      <c r="N30" s="34" t="n"/>
      <c r="O30" s="38" t="inlineStr">
        <is>
          <t>Leave 1-2 reps in the tank; add weight when you hit the top of the range</t>
        </is>
      </c>
    </row>
    <row r="31">
      <c r="C31" t="inlineStr">
        <is>
          <t xml:space="preserve">      Set 1</t>
        </is>
      </c>
      <c r="E31" t="n">
        <v>8</v>
      </c>
      <c r="H31" s="39">
        <f>IF(H30="","",H30)</f>
        <v/>
      </c>
      <c r="I31" s="7">
        <f>IF(H30="","",H30)</f>
        <v/>
      </c>
      <c r="J31" s="7" t="n">
        <v>8</v>
      </c>
      <c r="K31" s="7" t="n"/>
      <c r="L31" s="40" t="n"/>
      <c r="M31">
        <f>IF(AND(L31&lt;&gt;"",N(I31)&gt;0,N(J31)&gt;0),IF(J31=1,I31,ROUND(I31*(1+J31/30),1)),"")</f>
        <v/>
      </c>
      <c r="N31" s="41">
        <f>IF(M31="","",IF(M31&gt;=PRs!C50,"PR!",""))</f>
        <v/>
      </c>
      <c r="O31" s="7" t="n"/>
    </row>
    <row r="32">
      <c r="C32" t="inlineStr">
        <is>
          <t xml:space="preserve">      Set 2</t>
        </is>
      </c>
      <c r="E32" t="n">
        <v>8</v>
      </c>
      <c r="H32" s="39">
        <f>IF(H30="","",H30)</f>
        <v/>
      </c>
      <c r="I32" s="7">
        <f>IF(H30="","",H30)</f>
        <v/>
      </c>
      <c r="J32" s="7" t="n">
        <v>8</v>
      </c>
      <c r="K32" s="7" t="n"/>
      <c r="L32" s="40" t="n"/>
      <c r="M32">
        <f>IF(AND(L32&lt;&gt;"",N(I32)&gt;0,N(J32)&gt;0),IF(J32=1,I32,ROUND(I32*(1+J32/30),1)),"")</f>
        <v/>
      </c>
      <c r="N32" s="41">
        <f>IF(M32="","",IF(M32&gt;=PRs!C50,"PR!",""))</f>
        <v/>
      </c>
      <c r="O32" s="7" t="n"/>
    </row>
    <row r="33">
      <c r="C33" t="inlineStr">
        <is>
          <t xml:space="preserve">      Set 3</t>
        </is>
      </c>
      <c r="E33" t="n">
        <v>8</v>
      </c>
      <c r="H33" s="39">
        <f>IF(H30="","",H30)</f>
        <v/>
      </c>
      <c r="I33" s="7">
        <f>IF(H30="","",H30)</f>
        <v/>
      </c>
      <c r="J33" s="7" t="n">
        <v>8</v>
      </c>
      <c r="K33" s="7" t="n"/>
      <c r="L33" s="40" t="n"/>
      <c r="M33">
        <f>IF(AND(L33&lt;&gt;"",N(I33)&gt;0,N(J33)&gt;0),IF(J33=1,I33,ROUND(I33*(1+J33/30),1)),"")</f>
        <v/>
      </c>
      <c r="N33" s="41">
        <f>IF(M33="","",IF(M33&gt;=PRs!C50,"PR!",""))</f>
        <v/>
      </c>
      <c r="O33" s="7" t="n"/>
    </row>
    <row r="34">
      <c r="A34" s="34" t="n"/>
      <c r="B34" s="34" t="n"/>
      <c r="C34" s="43" t="inlineStr">
        <is>
          <t>Face Pull</t>
        </is>
      </c>
      <c r="D34" s="34" t="inlineStr">
        <is>
          <t>3 x 12-15</t>
        </is>
      </c>
      <c r="E34" s="34" t="n"/>
      <c r="F34" s="34" t="n"/>
      <c r="G34" s="36" t="n"/>
      <c r="H34" s="37" t="n"/>
      <c r="I34" s="34" t="n"/>
      <c r="J34" s="34" t="n"/>
      <c r="K34" s="34" t="n"/>
      <c r="L34" s="34" t="n"/>
      <c r="M34" s="34" t="n"/>
      <c r="N34" s="34" t="n"/>
      <c r="O34" s="38" t="inlineStr">
        <is>
          <t>Leave 1-2 reps in the tank; add weight when you hit the top of the range</t>
        </is>
      </c>
    </row>
    <row r="35">
      <c r="C35" t="inlineStr">
        <is>
          <t xml:space="preserve">      Set 1</t>
        </is>
      </c>
      <c r="E35" t="n">
        <v>12</v>
      </c>
      <c r="H35" s="39">
        <f>IF(H34="","",H34)</f>
        <v/>
      </c>
      <c r="I35" s="7">
        <f>IF(H34="","",H34)</f>
        <v/>
      </c>
      <c r="J35" s="7" t="n">
        <v>12</v>
      </c>
      <c r="K35" s="7" t="n"/>
      <c r="L35" s="40" t="n"/>
      <c r="M35">
        <f>IF(AND(L35&lt;&gt;"",N(I35)&gt;0,N(J35)&gt;0),IF(J35=1,I35,ROUND(I35*(1+J35/30),1)),"")</f>
        <v/>
      </c>
      <c r="N35" s="41">
        <f>IF(M35="","",IF(M35&gt;=PRs!C51,"PR!",""))</f>
        <v/>
      </c>
      <c r="O35" s="7" t="n"/>
    </row>
    <row r="36">
      <c r="C36" t="inlineStr">
        <is>
          <t xml:space="preserve">      Set 2</t>
        </is>
      </c>
      <c r="E36" t="n">
        <v>12</v>
      </c>
      <c r="H36" s="39">
        <f>IF(H34="","",H34)</f>
        <v/>
      </c>
      <c r="I36" s="7">
        <f>IF(H34="","",H34)</f>
        <v/>
      </c>
      <c r="J36" s="7" t="n">
        <v>12</v>
      </c>
      <c r="K36" s="7" t="n"/>
      <c r="L36" s="40" t="n"/>
      <c r="M36">
        <f>IF(AND(L36&lt;&gt;"",N(I36)&gt;0,N(J36)&gt;0),IF(J36=1,I36,ROUND(I36*(1+J36/30),1)),"")</f>
        <v/>
      </c>
      <c r="N36" s="41">
        <f>IF(M36="","",IF(M36&gt;=PRs!C51,"PR!",""))</f>
        <v/>
      </c>
      <c r="O36" s="7" t="n"/>
    </row>
    <row r="37">
      <c r="C37" t="inlineStr">
        <is>
          <t xml:space="preserve">      Set 3</t>
        </is>
      </c>
      <c r="E37" t="n">
        <v>12</v>
      </c>
      <c r="H37" s="39">
        <f>IF(H34="","",H34)</f>
        <v/>
      </c>
      <c r="I37" s="7">
        <f>IF(H34="","",H34)</f>
        <v/>
      </c>
      <c r="J37" s="7" t="n">
        <v>12</v>
      </c>
      <c r="K37" s="7" t="n"/>
      <c r="L37" s="40" t="n"/>
      <c r="M37">
        <f>IF(AND(L37&lt;&gt;"",N(I37)&gt;0,N(J37)&gt;0),IF(J37=1,I37,ROUND(I37*(1+J37/30),1)),"")</f>
        <v/>
      </c>
      <c r="N37" s="41">
        <f>IF(M37="","",IF(M37&gt;=PRs!C51,"PR!",""))</f>
        <v/>
      </c>
      <c r="O37" s="7" t="n"/>
    </row>
    <row r="38">
      <c r="A38" s="31" t="inlineStr">
        <is>
          <t>Day 2 - Light</t>
        </is>
      </c>
      <c r="B38" s="32">
        <f>'Start Here'!$B$8+58</f>
        <v/>
      </c>
      <c r="C38" s="33" t="n"/>
      <c r="D38" s="33" t="n"/>
      <c r="E38" s="33" t="n"/>
      <c r="F38" s="33" t="n"/>
      <c r="G38" s="33" t="n"/>
      <c r="H38" s="33" t="n"/>
      <c r="I38" s="33" t="n"/>
      <c r="J38" s="33" t="n"/>
      <c r="K38" s="33" t="n"/>
      <c r="L38" s="33" t="n"/>
      <c r="M38" s="33" t="n"/>
      <c r="N38" s="33" t="n"/>
      <c r="O38" s="33" t="n"/>
    </row>
    <row r="39">
      <c r="A39" s="34" t="n"/>
      <c r="B39" s="34" t="n"/>
      <c r="C39" s="35" t="inlineStr">
        <is>
          <t>Broad Jump</t>
        </is>
      </c>
      <c r="D39" s="34" t="inlineStr">
        <is>
          <t>3 x 2</t>
        </is>
      </c>
      <c r="E39" s="34" t="n"/>
      <c r="F39" s="34" t="n"/>
      <c r="G39" s="36" t="n"/>
      <c r="H39" s="37">
        <f>IF(N(Maxes!E70)&gt;0,Maxes!E70,"")</f>
        <v/>
      </c>
      <c r="I39" s="34" t="n"/>
      <c r="J39" s="34" t="n"/>
      <c r="K39" s="34" t="n"/>
      <c r="L39" s="34" t="n"/>
      <c r="M39" s="34" t="n"/>
      <c r="N39" s="34" t="n"/>
      <c r="O39" s="38" t="inlineStr">
        <is>
          <t>Standing two-foot jump forward, stick the landing. Measure toe line to the back of the nearest heel.</t>
        </is>
      </c>
    </row>
    <row r="40">
      <c r="C40" t="inlineStr">
        <is>
          <t xml:space="preserve">      Set 1</t>
        </is>
      </c>
      <c r="E40" t="n">
        <v>2</v>
      </c>
      <c r="H40" s="39">
        <f>IF(H39="","",H39)</f>
        <v/>
      </c>
      <c r="I40" s="7">
        <f>IF(H39="","",H39)</f>
        <v/>
      </c>
      <c r="J40" s="7" t="n">
        <v>2</v>
      </c>
      <c r="K40" s="7" t="n"/>
      <c r="L40" s="40" t="n"/>
      <c r="N40" s="41">
        <f>IF(AND(L40&lt;&gt;"",N(I40)&gt;0),IF(I40&gt;=PRs!D70,"PR!",""),"")</f>
        <v/>
      </c>
      <c r="O40" s="7" t="n"/>
    </row>
    <row r="41">
      <c r="C41" t="inlineStr">
        <is>
          <t xml:space="preserve">      Set 2</t>
        </is>
      </c>
      <c r="E41" t="n">
        <v>2</v>
      </c>
      <c r="H41" s="39">
        <f>IF(H39="","",H39)</f>
        <v/>
      </c>
      <c r="I41" s="7">
        <f>IF(H39="","",H39)</f>
        <v/>
      </c>
      <c r="J41" s="7" t="n">
        <v>2</v>
      </c>
      <c r="K41" s="7" t="n"/>
      <c r="L41" s="40" t="n"/>
      <c r="N41" s="41">
        <f>IF(AND(L41&lt;&gt;"",N(I41)&gt;0),IF(I41&gt;=PRs!D70,"PR!",""),"")</f>
        <v/>
      </c>
      <c r="O41" s="7" t="n"/>
    </row>
    <row r="42">
      <c r="C42" t="inlineStr">
        <is>
          <t xml:space="preserve">      Set 3</t>
        </is>
      </c>
      <c r="E42" t="n">
        <v>2</v>
      </c>
      <c r="H42" s="39">
        <f>IF(H39="","",H39)</f>
        <v/>
      </c>
      <c r="I42" s="7">
        <f>IF(H39="","",H39)</f>
        <v/>
      </c>
      <c r="J42" s="7" t="n">
        <v>2</v>
      </c>
      <c r="K42" s="7" t="n"/>
      <c r="L42" s="40" t="n"/>
      <c r="N42" s="41">
        <f>IF(AND(L42&lt;&gt;"",N(I42)&gt;0),IF(I42&gt;=PRs!D70,"PR!",""),"")</f>
        <v/>
      </c>
      <c r="O42" s="7" t="n"/>
    </row>
    <row r="43">
      <c r="A43" s="34" t="n"/>
      <c r="B43" s="34" t="n"/>
      <c r="C43" s="35" t="inlineStr">
        <is>
          <t>Med Ball Chest Pass</t>
        </is>
      </c>
      <c r="D43" s="34" t="inlineStr">
        <is>
          <t>2 x 5</t>
        </is>
      </c>
      <c r="E43" s="34" t="n"/>
      <c r="F43" s="34" t="n"/>
      <c r="G43" s="36" t="n"/>
      <c r="H43" s="37">
        <f>IF(N(Maxes!E77)&gt;0,Maxes!E77,"")</f>
        <v/>
      </c>
      <c r="I43" s="34" t="n"/>
      <c r="J43" s="34" t="n"/>
      <c r="K43" s="34" t="n"/>
      <c r="L43" s="34" t="n"/>
      <c r="M43" s="34" t="n"/>
      <c r="N43" s="34" t="n"/>
      <c r="O43" s="38" t="inlineStr">
        <is>
          <t>Kneeling or standing chest pass for distance with a 6-10 lb / 3-5 kg ball. Log the distance.</t>
        </is>
      </c>
    </row>
    <row r="44">
      <c r="C44" t="inlineStr">
        <is>
          <t xml:space="preserve">      Set 1</t>
        </is>
      </c>
      <c r="E44" t="n">
        <v>5</v>
      </c>
      <c r="H44" s="39">
        <f>IF(H43="","",H43)</f>
        <v/>
      </c>
      <c r="I44" s="7">
        <f>IF(H43="","",H43)</f>
        <v/>
      </c>
      <c r="J44" s="7" t="n">
        <v>5</v>
      </c>
      <c r="K44" s="7" t="n"/>
      <c r="L44" s="40" t="n"/>
      <c r="N44" s="41">
        <f>IF(AND(L44&lt;&gt;"",N(I44)&gt;0),IF(I44&gt;=PRs!D77,"PR!",""),"")</f>
        <v/>
      </c>
      <c r="O44" s="7" t="n"/>
    </row>
    <row r="45">
      <c r="C45" t="inlineStr">
        <is>
          <t xml:space="preserve">      Set 2</t>
        </is>
      </c>
      <c r="E45" t="n">
        <v>5</v>
      </c>
      <c r="H45" s="39">
        <f>IF(H43="","",H43)</f>
        <v/>
      </c>
      <c r="I45" s="7">
        <f>IF(H43="","",H43)</f>
        <v/>
      </c>
      <c r="J45" s="7" t="n">
        <v>5</v>
      </c>
      <c r="K45" s="7" t="n"/>
      <c r="L45" s="40" t="n"/>
      <c r="N45" s="41">
        <f>IF(AND(L45&lt;&gt;"",N(I45)&gt;0),IF(I45&gt;=PRs!D77,"PR!",""),"")</f>
        <v/>
      </c>
      <c r="O45" s="7" t="n"/>
    </row>
    <row r="46">
      <c r="A46" s="34" t="n"/>
      <c r="B46" s="34" t="n"/>
      <c r="C46" s="42" t="inlineStr">
        <is>
          <t>Clean &amp; Jerk</t>
        </is>
      </c>
      <c r="D46" s="34" t="inlineStr">
        <is>
          <t>5 x 2</t>
        </is>
      </c>
      <c r="E46" s="34" t="n"/>
      <c r="F46" s="34" t="n">
        <v>85</v>
      </c>
      <c r="G46" s="36">
        <f>Maxes!E7</f>
        <v/>
      </c>
      <c r="H46" s="37">
        <f>IF(OR(G46="",F46=""),"",MROUND(G46*F46/100,'Start Here'!$B$7))</f>
        <v/>
      </c>
      <c r="I46" s="34" t="n"/>
      <c r="J46" s="34" t="n"/>
      <c r="K46" s="34" t="n"/>
      <c r="L46" s="34" t="n"/>
      <c r="M46" s="34" t="n"/>
      <c r="N46" s="34" t="n"/>
      <c r="O46" s="38" t="inlineStr"/>
    </row>
    <row r="47">
      <c r="C47" t="inlineStr">
        <is>
          <t xml:space="preserve">      Set 1</t>
        </is>
      </c>
      <c r="E47" t="n">
        <v>2</v>
      </c>
      <c r="H47" s="39">
        <f>IF(H46="","",H46)</f>
        <v/>
      </c>
      <c r="I47" s="7">
        <f>IF(H46="","",H46)</f>
        <v/>
      </c>
      <c r="J47" s="7" t="n">
        <v>2</v>
      </c>
      <c r="K47" s="7" t="n"/>
      <c r="L47" s="40" t="n"/>
      <c r="M47">
        <f>IF(AND(L47&lt;&gt;"",N(I47)&gt;0,N(J47)&gt;0),IF(J47=1,I47,ROUND(I47*(1+J47/30),1)),"")</f>
        <v/>
      </c>
      <c r="N47" s="41">
        <f>IF(M47="","",IF(M47&gt;=PRs!C7,"PR!",""))</f>
        <v/>
      </c>
      <c r="O47" s="7" t="n"/>
    </row>
    <row r="48">
      <c r="C48" t="inlineStr">
        <is>
          <t xml:space="preserve">      Set 2</t>
        </is>
      </c>
      <c r="E48" t="n">
        <v>2</v>
      </c>
      <c r="H48" s="39">
        <f>IF(H46="","",H46)</f>
        <v/>
      </c>
      <c r="I48" s="7">
        <f>IF(H46="","",H46)</f>
        <v/>
      </c>
      <c r="J48" s="7" t="n">
        <v>2</v>
      </c>
      <c r="K48" s="7" t="n"/>
      <c r="L48" s="40" t="n"/>
      <c r="M48">
        <f>IF(AND(L48&lt;&gt;"",N(I48)&gt;0,N(J48)&gt;0),IF(J48=1,I48,ROUND(I48*(1+J48/30),1)),"")</f>
        <v/>
      </c>
      <c r="N48" s="41">
        <f>IF(M48="","",IF(M48&gt;=PRs!C7,"PR!",""))</f>
        <v/>
      </c>
      <c r="O48" s="7" t="n"/>
    </row>
    <row r="49">
      <c r="C49" t="inlineStr">
        <is>
          <t xml:space="preserve">      Set 3</t>
        </is>
      </c>
      <c r="E49" t="n">
        <v>2</v>
      </c>
      <c r="H49" s="39">
        <f>IF(H46="","",H46)</f>
        <v/>
      </c>
      <c r="I49" s="7">
        <f>IF(H46="","",H46)</f>
        <v/>
      </c>
      <c r="J49" s="7" t="n">
        <v>2</v>
      </c>
      <c r="K49" s="7" t="n"/>
      <c r="L49" s="40" t="n"/>
      <c r="M49">
        <f>IF(AND(L49&lt;&gt;"",N(I49)&gt;0,N(J49)&gt;0),IF(J49=1,I49,ROUND(I49*(1+J49/30),1)),"")</f>
        <v/>
      </c>
      <c r="N49" s="41">
        <f>IF(M49="","",IF(M49&gt;=PRs!C7,"PR!",""))</f>
        <v/>
      </c>
      <c r="O49" s="7" t="n"/>
    </row>
    <row r="50">
      <c r="C50" t="inlineStr">
        <is>
          <t xml:space="preserve">      Set 4</t>
        </is>
      </c>
      <c r="E50" t="n">
        <v>2</v>
      </c>
      <c r="H50" s="39">
        <f>IF(H46="","",H46)</f>
        <v/>
      </c>
      <c r="I50" s="7">
        <f>IF(H46="","",H46)</f>
        <v/>
      </c>
      <c r="J50" s="7" t="n">
        <v>2</v>
      </c>
      <c r="K50" s="7" t="n"/>
      <c r="L50" s="40" t="n"/>
      <c r="M50">
        <f>IF(AND(L50&lt;&gt;"",N(I50)&gt;0,N(J50)&gt;0),IF(J50=1,I50,ROUND(I50*(1+J50/30),1)),"")</f>
        <v/>
      </c>
      <c r="N50" s="41">
        <f>IF(M50="","",IF(M50&gt;=PRs!C7,"PR!",""))</f>
        <v/>
      </c>
      <c r="O50" s="7" t="n"/>
    </row>
    <row r="51">
      <c r="C51" t="inlineStr">
        <is>
          <t xml:space="preserve">      Set 5</t>
        </is>
      </c>
      <c r="E51" t="n">
        <v>2</v>
      </c>
      <c r="H51" s="39">
        <f>IF(H46="","",H46)</f>
        <v/>
      </c>
      <c r="I51" s="7">
        <f>IF(H46="","",H46)</f>
        <v/>
      </c>
      <c r="J51" s="7" t="n">
        <v>2</v>
      </c>
      <c r="K51" s="7" t="n"/>
      <c r="L51" s="40" t="n"/>
      <c r="M51">
        <f>IF(AND(L51&lt;&gt;"",N(I51)&gt;0,N(J51)&gt;0),IF(J51=1,I51,ROUND(I51*(1+J51/30),1)),"")</f>
        <v/>
      </c>
      <c r="N51" s="41">
        <f>IF(M51="","",IF(M51&gt;=PRs!C7,"PR!",""))</f>
        <v/>
      </c>
      <c r="O51" s="7" t="n"/>
    </row>
    <row r="52">
      <c r="A52" s="34" t="n"/>
      <c r="B52" s="34" t="n"/>
      <c r="C52" s="42" t="inlineStr">
        <is>
          <t>Squat</t>
        </is>
      </c>
      <c r="D52" s="34" t="inlineStr">
        <is>
          <t>4 x 5</t>
        </is>
      </c>
      <c r="E52" s="34" t="n"/>
      <c r="F52" s="34" t="n">
        <v>67.5</v>
      </c>
      <c r="G52" s="36">
        <f>Maxes!E2</f>
        <v/>
      </c>
      <c r="H52" s="37">
        <f>IF(OR(G52="",F52=""),"",MROUND(G52*F52/100,'Start Here'!$B$7))</f>
        <v/>
      </c>
      <c r="I52" s="34" t="n"/>
      <c r="J52" s="34" t="n"/>
      <c r="K52" s="34" t="n"/>
      <c r="L52" s="34" t="n"/>
      <c r="M52" s="34" t="n"/>
      <c r="N52" s="34" t="n"/>
      <c r="O52" s="38" t="inlineStr"/>
    </row>
    <row r="53">
      <c r="C53" t="inlineStr">
        <is>
          <t xml:space="preserve">      Set 1</t>
        </is>
      </c>
      <c r="E53" t="n">
        <v>5</v>
      </c>
      <c r="H53" s="39">
        <f>IF(H52="","",H52)</f>
        <v/>
      </c>
      <c r="I53" s="7">
        <f>IF(H52="","",H52)</f>
        <v/>
      </c>
      <c r="J53" s="7" t="n">
        <v>5</v>
      </c>
      <c r="K53" s="7" t="n"/>
      <c r="L53" s="40" t="n"/>
      <c r="M53">
        <f>IF(AND(L53&lt;&gt;"",N(I53)&gt;0,N(J53)&gt;0),IF(J53=1,I53,ROUND(I53*(1+J53/30),1)),"")</f>
        <v/>
      </c>
      <c r="N53" s="41">
        <f>IF(M53="","",IF(M53&gt;=PRs!C2,"PR!",""))</f>
        <v/>
      </c>
      <c r="O53" s="7" t="n"/>
    </row>
    <row r="54">
      <c r="C54" t="inlineStr">
        <is>
          <t xml:space="preserve">      Set 2</t>
        </is>
      </c>
      <c r="E54" t="n">
        <v>5</v>
      </c>
      <c r="H54" s="39">
        <f>IF(H52="","",H52)</f>
        <v/>
      </c>
      <c r="I54" s="7">
        <f>IF(H52="","",H52)</f>
        <v/>
      </c>
      <c r="J54" s="7" t="n">
        <v>5</v>
      </c>
      <c r="K54" s="7" t="n"/>
      <c r="L54" s="40" t="n"/>
      <c r="M54">
        <f>IF(AND(L54&lt;&gt;"",N(I54)&gt;0,N(J54)&gt;0),IF(J54=1,I54,ROUND(I54*(1+J54/30),1)),"")</f>
        <v/>
      </c>
      <c r="N54" s="41">
        <f>IF(M54="","",IF(M54&gt;=PRs!C2,"PR!",""))</f>
        <v/>
      </c>
      <c r="O54" s="7" t="n"/>
    </row>
    <row r="55">
      <c r="C55" t="inlineStr">
        <is>
          <t xml:space="preserve">      Set 3</t>
        </is>
      </c>
      <c r="E55" t="n">
        <v>5</v>
      </c>
      <c r="H55" s="39">
        <f>IF(H52="","",H52)</f>
        <v/>
      </c>
      <c r="I55" s="7">
        <f>IF(H52="","",H52)</f>
        <v/>
      </c>
      <c r="J55" s="7" t="n">
        <v>5</v>
      </c>
      <c r="K55" s="7" t="n"/>
      <c r="L55" s="40" t="n"/>
      <c r="M55">
        <f>IF(AND(L55&lt;&gt;"",N(I55)&gt;0,N(J55)&gt;0),IF(J55=1,I55,ROUND(I55*(1+J55/30),1)),"")</f>
        <v/>
      </c>
      <c r="N55" s="41">
        <f>IF(M55="","",IF(M55&gt;=PRs!C2,"PR!",""))</f>
        <v/>
      </c>
      <c r="O55" s="7" t="n"/>
    </row>
    <row r="56">
      <c r="C56" t="inlineStr">
        <is>
          <t xml:space="preserve">      Set 4</t>
        </is>
      </c>
      <c r="E56" t="n">
        <v>5</v>
      </c>
      <c r="H56" s="39">
        <f>IF(H52="","",H52)</f>
        <v/>
      </c>
      <c r="I56" s="7">
        <f>IF(H52="","",H52)</f>
        <v/>
      </c>
      <c r="J56" s="7" t="n">
        <v>5</v>
      </c>
      <c r="K56" s="7" t="n"/>
      <c r="L56" s="40" t="n"/>
      <c r="M56">
        <f>IF(AND(L56&lt;&gt;"",N(I56)&gt;0,N(J56)&gt;0),IF(J56=1,I56,ROUND(I56*(1+J56/30),1)),"")</f>
        <v/>
      </c>
      <c r="N56" s="41">
        <f>IF(M56="","",IF(M56&gt;=PRs!C2,"PR!",""))</f>
        <v/>
      </c>
      <c r="O56" s="7" t="n"/>
    </row>
    <row r="57">
      <c r="A57" s="34" t="n"/>
      <c r="B57" s="34" t="n"/>
      <c r="C57" s="42" t="inlineStr">
        <is>
          <t>Overhead Press</t>
        </is>
      </c>
      <c r="D57" s="34" t="inlineStr">
        <is>
          <t>4 x 5</t>
        </is>
      </c>
      <c r="E57" s="34" t="n"/>
      <c r="F57" s="34" t="n">
        <v>77.5</v>
      </c>
      <c r="G57" s="36">
        <f>Maxes!E5</f>
        <v/>
      </c>
      <c r="H57" s="37">
        <f>IF(OR(G57="",F57=""),"",MROUND(G57*F57/100,'Start Here'!$B$7))</f>
        <v/>
      </c>
      <c r="I57" s="34" t="n"/>
      <c r="J57" s="34" t="n"/>
      <c r="K57" s="34" t="n"/>
      <c r="L57" s="34" t="n"/>
      <c r="M57" s="34" t="n"/>
      <c r="N57" s="34" t="n"/>
      <c r="O57" s="38" t="inlineStr"/>
    </row>
    <row r="58">
      <c r="C58" t="inlineStr">
        <is>
          <t xml:space="preserve">      Set 1</t>
        </is>
      </c>
      <c r="E58" t="n">
        <v>5</v>
      </c>
      <c r="H58" s="39">
        <f>IF(H57="","",H57)</f>
        <v/>
      </c>
      <c r="I58" s="7">
        <f>IF(H57="","",H57)</f>
        <v/>
      </c>
      <c r="J58" s="7" t="n">
        <v>5</v>
      </c>
      <c r="K58" s="7" t="n"/>
      <c r="L58" s="40" t="n"/>
      <c r="M58">
        <f>IF(AND(L58&lt;&gt;"",N(I58)&gt;0,N(J58)&gt;0),IF(J58=1,I58,ROUND(I58*(1+J58/30),1)),"")</f>
        <v/>
      </c>
      <c r="N58" s="41">
        <f>IF(M58="","",IF(M58&gt;=PRs!C5,"PR!",""))</f>
        <v/>
      </c>
      <c r="O58" s="7" t="n"/>
    </row>
    <row r="59">
      <c r="C59" t="inlineStr">
        <is>
          <t xml:space="preserve">      Set 2</t>
        </is>
      </c>
      <c r="E59" t="n">
        <v>5</v>
      </c>
      <c r="H59" s="39">
        <f>IF(H57="","",H57)</f>
        <v/>
      </c>
      <c r="I59" s="7">
        <f>IF(H57="","",H57)</f>
        <v/>
      </c>
      <c r="J59" s="7" t="n">
        <v>5</v>
      </c>
      <c r="K59" s="7" t="n"/>
      <c r="L59" s="40" t="n"/>
      <c r="M59">
        <f>IF(AND(L59&lt;&gt;"",N(I59)&gt;0,N(J59)&gt;0),IF(J59=1,I59,ROUND(I59*(1+J59/30),1)),"")</f>
        <v/>
      </c>
      <c r="N59" s="41">
        <f>IF(M59="","",IF(M59&gt;=PRs!C5,"PR!",""))</f>
        <v/>
      </c>
      <c r="O59" s="7" t="n"/>
    </row>
    <row r="60">
      <c r="C60" t="inlineStr">
        <is>
          <t xml:space="preserve">      Set 3</t>
        </is>
      </c>
      <c r="E60" t="n">
        <v>5</v>
      </c>
      <c r="H60" s="39">
        <f>IF(H57="","",H57)</f>
        <v/>
      </c>
      <c r="I60" s="7">
        <f>IF(H57="","",H57)</f>
        <v/>
      </c>
      <c r="J60" s="7" t="n">
        <v>5</v>
      </c>
      <c r="K60" s="7" t="n"/>
      <c r="L60" s="40" t="n"/>
      <c r="M60">
        <f>IF(AND(L60&lt;&gt;"",N(I60)&gt;0,N(J60)&gt;0),IF(J60=1,I60,ROUND(I60*(1+J60/30),1)),"")</f>
        <v/>
      </c>
      <c r="N60" s="41">
        <f>IF(M60="","",IF(M60&gt;=PRs!C5,"PR!",""))</f>
        <v/>
      </c>
      <c r="O60" s="7" t="n"/>
    </row>
    <row r="61">
      <c r="C61" t="inlineStr">
        <is>
          <t xml:space="preserve">      Set 4</t>
        </is>
      </c>
      <c r="E61" t="n">
        <v>5</v>
      </c>
      <c r="H61" s="39">
        <f>IF(H57="","",H57)</f>
        <v/>
      </c>
      <c r="I61" s="7">
        <f>IF(H57="","",H57)</f>
        <v/>
      </c>
      <c r="J61" s="7" t="n">
        <v>5</v>
      </c>
      <c r="K61" s="7" t="n"/>
      <c r="L61" s="40" t="n"/>
      <c r="M61">
        <f>IF(AND(L61&lt;&gt;"",N(I61)&gt;0,N(J61)&gt;0),IF(J61=1,I61,ROUND(I61*(1+J61/30),1)),"")</f>
        <v/>
      </c>
      <c r="N61" s="41">
        <f>IF(M61="","",IF(M61&gt;=PRs!C5,"PR!",""))</f>
        <v/>
      </c>
      <c r="O61" s="7" t="n"/>
    </row>
    <row r="62">
      <c r="A62" s="34" t="n"/>
      <c r="B62" s="34" t="n"/>
      <c r="C62" s="42" t="inlineStr">
        <is>
          <t>Deadlift</t>
        </is>
      </c>
      <c r="D62" s="34" t="inlineStr">
        <is>
          <t>3 x 5</t>
        </is>
      </c>
      <c r="E62" s="34" t="n"/>
      <c r="F62" s="34" t="n">
        <v>77.5</v>
      </c>
      <c r="G62" s="36">
        <f>Maxes!E4</f>
        <v/>
      </c>
      <c r="H62" s="37">
        <f>IF(OR(G62="",F62=""),"",MROUND(G62*F62/100,'Start Here'!$B$7))</f>
        <v/>
      </c>
      <c r="I62" s="34" t="n"/>
      <c r="J62" s="34" t="n"/>
      <c r="K62" s="34" t="n"/>
      <c r="L62" s="34" t="n"/>
      <c r="M62" s="34" t="n"/>
      <c r="N62" s="34" t="n"/>
      <c r="O62" s="38" t="inlineStr"/>
    </row>
    <row r="63">
      <c r="C63" t="inlineStr">
        <is>
          <t xml:space="preserve">      Set 1</t>
        </is>
      </c>
      <c r="E63" t="n">
        <v>5</v>
      </c>
      <c r="H63" s="39">
        <f>IF(H62="","",H62)</f>
        <v/>
      </c>
      <c r="I63" s="7">
        <f>IF(H62="","",H62)</f>
        <v/>
      </c>
      <c r="J63" s="7" t="n">
        <v>5</v>
      </c>
      <c r="K63" s="7" t="n"/>
      <c r="L63" s="40" t="n"/>
      <c r="M63">
        <f>IF(AND(L63&lt;&gt;"",N(I63)&gt;0,N(J63)&gt;0),IF(J63=1,I63,ROUND(I63*(1+J63/30),1)),"")</f>
        <v/>
      </c>
      <c r="N63" s="41">
        <f>IF(M63="","",IF(M63&gt;=PRs!C4,"PR!",""))</f>
        <v/>
      </c>
      <c r="O63" s="7" t="n"/>
    </row>
    <row r="64">
      <c r="C64" t="inlineStr">
        <is>
          <t xml:space="preserve">      Set 2</t>
        </is>
      </c>
      <c r="E64" t="n">
        <v>5</v>
      </c>
      <c r="H64" s="39">
        <f>IF(H62="","",H62)</f>
        <v/>
      </c>
      <c r="I64" s="7">
        <f>IF(H62="","",H62)</f>
        <v/>
      </c>
      <c r="J64" s="7" t="n">
        <v>5</v>
      </c>
      <c r="K64" s="7" t="n"/>
      <c r="L64" s="40" t="n"/>
      <c r="M64">
        <f>IF(AND(L64&lt;&gt;"",N(I64)&gt;0,N(J64)&gt;0),IF(J64=1,I64,ROUND(I64*(1+J64/30),1)),"")</f>
        <v/>
      </c>
      <c r="N64" s="41">
        <f>IF(M64="","",IF(M64&gt;=PRs!C4,"PR!",""))</f>
        <v/>
      </c>
      <c r="O64" s="7" t="n"/>
    </row>
    <row r="65">
      <c r="C65" t="inlineStr">
        <is>
          <t xml:space="preserve">      Set 3</t>
        </is>
      </c>
      <c r="E65" t="n">
        <v>5</v>
      </c>
      <c r="H65" s="39">
        <f>IF(H62="","",H62)</f>
        <v/>
      </c>
      <c r="I65" s="7">
        <f>IF(H62="","",H62)</f>
        <v/>
      </c>
      <c r="J65" s="7" t="n">
        <v>5</v>
      </c>
      <c r="K65" s="7" t="n"/>
      <c r="L65" s="40" t="n"/>
      <c r="M65">
        <f>IF(AND(L65&lt;&gt;"",N(I65)&gt;0,N(J65)&gt;0),IF(J65=1,I65,ROUND(I65*(1+J65/30),1)),"")</f>
        <v/>
      </c>
      <c r="N65" s="41">
        <f>IF(M65="","",IF(M65&gt;=PRs!C4,"PR!",""))</f>
        <v/>
      </c>
      <c r="O65" s="7" t="n"/>
    </row>
    <row r="66">
      <c r="A66" s="34" t="n"/>
      <c r="B66" s="34" t="n"/>
      <c r="C66" s="43" t="inlineStr">
        <is>
          <t>Chin-up</t>
        </is>
      </c>
      <c r="D66" s="34" t="inlineStr">
        <is>
          <t>3 x 6-10</t>
        </is>
      </c>
      <c r="E66" s="34" t="n"/>
      <c r="F66" s="34" t="n"/>
      <c r="G66" s="36" t="n"/>
      <c r="H66" s="37" t="n"/>
      <c r="I66" s="34" t="n"/>
      <c r="J66" s="34" t="n"/>
      <c r="K66" s="34" t="n"/>
      <c r="L66" s="34" t="n"/>
      <c r="M66" s="34" t="n"/>
      <c r="N66" s="34" t="n"/>
      <c r="O66" s="38" t="inlineStr">
        <is>
          <t>Leave 1-2 reps in the tank; add weight when you hit the top of the range</t>
        </is>
      </c>
    </row>
    <row r="67">
      <c r="C67" t="inlineStr">
        <is>
          <t xml:space="preserve">      Set 1</t>
        </is>
      </c>
      <c r="E67" t="n">
        <v>6</v>
      </c>
      <c r="H67" s="39">
        <f>IF(H66="","",H66)</f>
        <v/>
      </c>
      <c r="I67" s="7">
        <f>IF(H66="","",H66)</f>
        <v/>
      </c>
      <c r="J67" s="7" t="n">
        <v>6</v>
      </c>
      <c r="K67" s="7" t="n"/>
      <c r="L67" s="40" t="n"/>
      <c r="M67">
        <f>IF(AND(L67&lt;&gt;"",N(I67)&gt;0,N(J67)&gt;0),IF(J67=1,I67,ROUND(I67*(1+J67/30),1)),"")</f>
        <v/>
      </c>
      <c r="N67" s="41">
        <f>IF(M67="","",IF(M67&gt;=PRs!C53,"PR!",""))</f>
        <v/>
      </c>
      <c r="O67" s="7" t="n"/>
    </row>
    <row r="68">
      <c r="C68" t="inlineStr">
        <is>
          <t xml:space="preserve">      Set 2</t>
        </is>
      </c>
      <c r="E68" t="n">
        <v>6</v>
      </c>
      <c r="H68" s="39">
        <f>IF(H66="","",H66)</f>
        <v/>
      </c>
      <c r="I68" s="7">
        <f>IF(H66="","",H66)</f>
        <v/>
      </c>
      <c r="J68" s="7" t="n">
        <v>6</v>
      </c>
      <c r="K68" s="7" t="n"/>
      <c r="L68" s="40" t="n"/>
      <c r="M68">
        <f>IF(AND(L68&lt;&gt;"",N(I68)&gt;0,N(J68)&gt;0),IF(J68=1,I68,ROUND(I68*(1+J68/30),1)),"")</f>
        <v/>
      </c>
      <c r="N68" s="41">
        <f>IF(M68="","",IF(M68&gt;=PRs!C53,"PR!",""))</f>
        <v/>
      </c>
      <c r="O68" s="7" t="n"/>
    </row>
    <row r="69">
      <c r="C69" t="inlineStr">
        <is>
          <t xml:space="preserve">      Set 3</t>
        </is>
      </c>
      <c r="E69" t="n">
        <v>6</v>
      </c>
      <c r="H69" s="39">
        <f>IF(H66="","",H66)</f>
        <v/>
      </c>
      <c r="I69" s="7">
        <f>IF(H66="","",H66)</f>
        <v/>
      </c>
      <c r="J69" s="7" t="n">
        <v>6</v>
      </c>
      <c r="K69" s="7" t="n"/>
      <c r="L69" s="40" t="n"/>
      <c r="M69">
        <f>IF(AND(L69&lt;&gt;"",N(I69)&gt;0,N(J69)&gt;0),IF(J69=1,I69,ROUND(I69*(1+J69/30),1)),"")</f>
        <v/>
      </c>
      <c r="N69" s="41">
        <f>IF(M69="","",IF(M69&gt;=PRs!C53,"PR!",""))</f>
        <v/>
      </c>
      <c r="O69" s="7" t="n"/>
    </row>
    <row r="70">
      <c r="A70" s="34" t="n"/>
      <c r="B70" s="34" t="n"/>
      <c r="C70" s="43" t="inlineStr">
        <is>
          <t>Plank</t>
        </is>
      </c>
      <c r="D70" s="34" t="inlineStr">
        <is>
          <t>3 x 30-60s</t>
        </is>
      </c>
      <c r="E70" s="34" t="n"/>
      <c r="F70" s="34" t="n"/>
      <c r="G70" s="36" t="n"/>
      <c r="H70" s="37" t="n"/>
      <c r="I70" s="34" t="n"/>
      <c r="J70" s="34" t="n"/>
      <c r="K70" s="34" t="n"/>
      <c r="L70" s="34" t="n"/>
      <c r="M70" s="34" t="n"/>
      <c r="N70" s="34" t="n"/>
      <c r="O70" s="38" t="inlineStr">
        <is>
          <t>Leave 1-2 reps in the tank; add weight when you hit the top of the range</t>
        </is>
      </c>
    </row>
    <row r="71">
      <c r="C71" t="inlineStr">
        <is>
          <t xml:space="preserve">      Set 1</t>
        </is>
      </c>
      <c r="E71" t="n">
        <v>30</v>
      </c>
      <c r="H71" s="39">
        <f>IF(H70="","",H70)</f>
        <v/>
      </c>
      <c r="I71" s="7">
        <f>IF(H70="","",H70)</f>
        <v/>
      </c>
      <c r="J71" s="7" t="n">
        <v>30</v>
      </c>
      <c r="K71" s="7" t="n"/>
      <c r="L71" s="40" t="n"/>
      <c r="M71">
        <f>IF(AND(L71&lt;&gt;"",N(I71)&gt;0,N(J71)&gt;0),IF(J71=1,I71,ROUND(I71*(1+J71/30),1)),"")</f>
        <v/>
      </c>
      <c r="N71" s="41">
        <f>IF(M71="","",IF(M71&gt;=PRs!C56,"PR!",""))</f>
        <v/>
      </c>
      <c r="O71" s="7" t="n"/>
    </row>
    <row r="72">
      <c r="C72" t="inlineStr">
        <is>
          <t xml:space="preserve">      Set 2</t>
        </is>
      </c>
      <c r="E72" t="n">
        <v>30</v>
      </c>
      <c r="H72" s="39">
        <f>IF(H70="","",H70)</f>
        <v/>
      </c>
      <c r="I72" s="7">
        <f>IF(H70="","",H70)</f>
        <v/>
      </c>
      <c r="J72" s="7" t="n">
        <v>30</v>
      </c>
      <c r="K72" s="7" t="n"/>
      <c r="L72" s="40" t="n"/>
      <c r="M72">
        <f>IF(AND(L72&lt;&gt;"",N(I72)&gt;0,N(J72)&gt;0),IF(J72=1,I72,ROUND(I72*(1+J72/30),1)),"")</f>
        <v/>
      </c>
      <c r="N72" s="41">
        <f>IF(M72="","",IF(M72&gt;=PRs!C56,"PR!",""))</f>
        <v/>
      </c>
      <c r="O72" s="7" t="n"/>
    </row>
    <row r="73">
      <c r="C73" t="inlineStr">
        <is>
          <t xml:space="preserve">      Set 3</t>
        </is>
      </c>
      <c r="E73" t="n">
        <v>30</v>
      </c>
      <c r="H73" s="39">
        <f>IF(H70="","",H70)</f>
        <v/>
      </c>
      <c r="I73" s="7">
        <f>IF(H70="","",H70)</f>
        <v/>
      </c>
      <c r="J73" s="7" t="n">
        <v>30</v>
      </c>
      <c r="K73" s="7" t="n"/>
      <c r="L73" s="40" t="n"/>
      <c r="M73">
        <f>IF(AND(L73&lt;&gt;"",N(I73)&gt;0,N(J73)&gt;0),IF(J73=1,I73,ROUND(I73*(1+J73/30),1)),"")</f>
        <v/>
      </c>
      <c r="N73" s="41">
        <f>IF(M73="","",IF(M73&gt;=PRs!C56,"PR!",""))</f>
        <v/>
      </c>
      <c r="O73" s="7" t="n"/>
    </row>
    <row r="74">
      <c r="A74" s="31" t="inlineStr">
        <is>
          <t>Day 3 - Variations</t>
        </is>
      </c>
      <c r="B74" s="32">
        <f>'Start Here'!$B$8+60</f>
        <v/>
      </c>
      <c r="C74" s="33" t="n"/>
      <c r="D74" s="33" t="n"/>
      <c r="E74" s="33" t="n"/>
      <c r="F74" s="33" t="n"/>
      <c r="G74" s="33" t="n"/>
      <c r="H74" s="33" t="n"/>
      <c r="I74" s="33" t="n"/>
      <c r="J74" s="33" t="n"/>
      <c r="K74" s="33" t="n"/>
      <c r="L74" s="33" t="n"/>
      <c r="M74" s="33" t="n"/>
      <c r="N74" s="33" t="n"/>
      <c r="O74" s="33" t="n"/>
    </row>
    <row r="75">
      <c r="A75" s="34" t="n"/>
      <c r="B75" s="34" t="n"/>
      <c r="C75" s="35" t="inlineStr">
        <is>
          <t>Vertical Jump</t>
        </is>
      </c>
      <c r="D75" s="34" t="inlineStr">
        <is>
          <t>3 x 2</t>
        </is>
      </c>
      <c r="E75" s="34" t="n"/>
      <c r="F75" s="34" t="n"/>
      <c r="G75" s="36" t="n"/>
      <c r="H75" s="37">
        <f>IF(N(Maxes!E71)&gt;0,Maxes!E71,"")</f>
        <v/>
      </c>
      <c r="I75" s="34" t="n"/>
      <c r="J75" s="34" t="n"/>
      <c r="K75" s="34" t="n"/>
      <c r="L75" s="34" t="n"/>
      <c r="M75" s="34" t="n"/>
      <c r="N75" s="34" t="n"/>
      <c r="O75" s="38" t="inlineStr">
        <is>
          <t>Stand side-on to a wall, reach up and mark it; jump and touch as high as you can. Log jump mark minus standing reach.</t>
        </is>
      </c>
    </row>
    <row r="76">
      <c r="C76" t="inlineStr">
        <is>
          <t xml:space="preserve">      Set 1</t>
        </is>
      </c>
      <c r="E76" t="n">
        <v>2</v>
      </c>
      <c r="H76" s="39">
        <f>IF(H75="","",H75)</f>
        <v/>
      </c>
      <c r="I76" s="7">
        <f>IF(H75="","",H75)</f>
        <v/>
      </c>
      <c r="J76" s="7" t="n">
        <v>2</v>
      </c>
      <c r="K76" s="7" t="n"/>
      <c r="L76" s="40" t="n"/>
      <c r="N76" s="41">
        <f>IF(AND(L76&lt;&gt;"",N(I76)&gt;0),IF(I76&gt;=PRs!D71,"PR!",""),"")</f>
        <v/>
      </c>
      <c r="O76" s="7" t="n"/>
    </row>
    <row r="77">
      <c r="C77" t="inlineStr">
        <is>
          <t xml:space="preserve">      Set 2</t>
        </is>
      </c>
      <c r="E77" t="n">
        <v>2</v>
      </c>
      <c r="H77" s="39">
        <f>IF(H75="","",H75)</f>
        <v/>
      </c>
      <c r="I77" s="7">
        <f>IF(H75="","",H75)</f>
        <v/>
      </c>
      <c r="J77" s="7" t="n">
        <v>2</v>
      </c>
      <c r="K77" s="7" t="n"/>
      <c r="L77" s="40" t="n"/>
      <c r="N77" s="41">
        <f>IF(AND(L77&lt;&gt;"",N(I77)&gt;0),IF(I77&gt;=PRs!D71,"PR!",""),"")</f>
        <v/>
      </c>
      <c r="O77" s="7" t="n"/>
    </row>
    <row r="78">
      <c r="C78" t="inlineStr">
        <is>
          <t xml:space="preserve">      Set 3</t>
        </is>
      </c>
      <c r="E78" t="n">
        <v>2</v>
      </c>
      <c r="H78" s="39">
        <f>IF(H75="","",H75)</f>
        <v/>
      </c>
      <c r="I78" s="7">
        <f>IF(H75="","",H75)</f>
        <v/>
      </c>
      <c r="J78" s="7" t="n">
        <v>2</v>
      </c>
      <c r="K78" s="7" t="n"/>
      <c r="L78" s="40" t="n"/>
      <c r="N78" s="41">
        <f>IF(AND(L78&lt;&gt;"",N(I78)&gt;0),IF(I78&gt;=PRs!D71,"PR!",""),"")</f>
        <v/>
      </c>
      <c r="O78" s="7" t="n"/>
    </row>
    <row r="79">
      <c r="A79" s="34" t="n"/>
      <c r="B79" s="34" t="n"/>
      <c r="C79" s="42" t="inlineStr">
        <is>
          <t>Hang Snatch</t>
        </is>
      </c>
      <c r="D79" s="34" t="inlineStr">
        <is>
          <t>4 x 3</t>
        </is>
      </c>
      <c r="E79" s="34" t="n"/>
      <c r="F79" s="34" t="n">
        <v>77.5</v>
      </c>
      <c r="G79" s="36">
        <f>Maxes!E35</f>
        <v/>
      </c>
      <c r="H79" s="37">
        <f>IF(OR(G79="",F79=""),"",MROUND(G79*F79/100,'Start Here'!$B$7))</f>
        <v/>
      </c>
      <c r="I79" s="34" t="n"/>
      <c r="J79" s="34" t="n"/>
      <c r="K79" s="34" t="n"/>
      <c r="L79" s="34" t="n"/>
      <c r="M79" s="34" t="n"/>
      <c r="N79" s="34" t="n"/>
      <c r="O79" s="38" t="inlineStr"/>
    </row>
    <row r="80">
      <c r="C80" t="inlineStr">
        <is>
          <t xml:space="preserve">      Set 1</t>
        </is>
      </c>
      <c r="E80" t="n">
        <v>3</v>
      </c>
      <c r="H80" s="39">
        <f>IF(H79="","",H79)</f>
        <v/>
      </c>
      <c r="I80" s="7">
        <f>IF(H79="","",H79)</f>
        <v/>
      </c>
      <c r="J80" s="7" t="n">
        <v>3</v>
      </c>
      <c r="K80" s="7" t="n"/>
      <c r="L80" s="40" t="n"/>
      <c r="M80">
        <f>IF(AND(L80&lt;&gt;"",N(I80)&gt;0,N(J80)&gt;0),IF(J80=1,I80,ROUND(I80*(1+J80/30),1)),"")</f>
        <v/>
      </c>
      <c r="N80" s="41">
        <f>IF(M80="","",IF(M80&gt;=PRs!C35,"PR!",""))</f>
        <v/>
      </c>
      <c r="O80" s="7" t="n"/>
    </row>
    <row r="81">
      <c r="C81" t="inlineStr">
        <is>
          <t xml:space="preserve">      Set 2</t>
        </is>
      </c>
      <c r="E81" t="n">
        <v>3</v>
      </c>
      <c r="H81" s="39">
        <f>IF(H79="","",H79)</f>
        <v/>
      </c>
      <c r="I81" s="7">
        <f>IF(H79="","",H79)</f>
        <v/>
      </c>
      <c r="J81" s="7" t="n">
        <v>3</v>
      </c>
      <c r="K81" s="7" t="n"/>
      <c r="L81" s="40" t="n"/>
      <c r="M81">
        <f>IF(AND(L81&lt;&gt;"",N(I81)&gt;0,N(J81)&gt;0),IF(J81=1,I81,ROUND(I81*(1+J81/30),1)),"")</f>
        <v/>
      </c>
      <c r="N81" s="41">
        <f>IF(M81="","",IF(M81&gt;=PRs!C35,"PR!",""))</f>
        <v/>
      </c>
      <c r="O81" s="7" t="n"/>
    </row>
    <row r="82">
      <c r="C82" t="inlineStr">
        <is>
          <t xml:space="preserve">      Set 3</t>
        </is>
      </c>
      <c r="E82" t="n">
        <v>3</v>
      </c>
      <c r="H82" s="39">
        <f>IF(H79="","",H79)</f>
        <v/>
      </c>
      <c r="I82" s="7">
        <f>IF(H79="","",H79)</f>
        <v/>
      </c>
      <c r="J82" s="7" t="n">
        <v>3</v>
      </c>
      <c r="K82" s="7" t="n"/>
      <c r="L82" s="40" t="n"/>
      <c r="M82">
        <f>IF(AND(L82&lt;&gt;"",N(I82)&gt;0,N(J82)&gt;0),IF(J82=1,I82,ROUND(I82*(1+J82/30),1)),"")</f>
        <v/>
      </c>
      <c r="N82" s="41">
        <f>IF(M82="","",IF(M82&gt;=PRs!C35,"PR!",""))</f>
        <v/>
      </c>
      <c r="O82" s="7" t="n"/>
    </row>
    <row r="83">
      <c r="C83" t="inlineStr">
        <is>
          <t xml:space="preserve">      Set 4</t>
        </is>
      </c>
      <c r="E83" t="n">
        <v>3</v>
      </c>
      <c r="H83" s="39">
        <f>IF(H79="","",H79)</f>
        <v/>
      </c>
      <c r="I83" s="7">
        <f>IF(H79="","",H79)</f>
        <v/>
      </c>
      <c r="J83" s="7" t="n">
        <v>3</v>
      </c>
      <c r="K83" s="7" t="n"/>
      <c r="L83" s="40" t="n"/>
      <c r="M83">
        <f>IF(AND(L83&lt;&gt;"",N(I83)&gt;0,N(J83)&gt;0),IF(J83=1,I83,ROUND(I83*(1+J83/30),1)),"")</f>
        <v/>
      </c>
      <c r="N83" s="41">
        <f>IF(M83="","",IF(M83&gt;=PRs!C35,"PR!",""))</f>
        <v/>
      </c>
      <c r="O83" s="7" t="n"/>
    </row>
    <row r="84">
      <c r="A84" s="34" t="n"/>
      <c r="B84" s="34" t="n"/>
      <c r="C84" s="42" t="inlineStr">
        <is>
          <t>Front Squat</t>
        </is>
      </c>
      <c r="D84" s="34" t="inlineStr">
        <is>
          <t>4 x 5</t>
        </is>
      </c>
      <c r="E84" s="34" t="n"/>
      <c r="F84" s="34" t="n">
        <v>77.5</v>
      </c>
      <c r="G84" s="36">
        <f>Maxes!E10</f>
        <v/>
      </c>
      <c r="H84" s="37">
        <f>IF(OR(G84="",F84=""),"",MROUND(G84*F84/100,'Start Here'!$B$7))</f>
        <v/>
      </c>
      <c r="I84" s="34" t="n"/>
      <c r="J84" s="34" t="n"/>
      <c r="K84" s="34" t="n"/>
      <c r="L84" s="34" t="n"/>
      <c r="M84" s="34" t="n"/>
      <c r="N84" s="34" t="n"/>
      <c r="O84" s="38" t="inlineStr"/>
    </row>
    <row r="85">
      <c r="C85" t="inlineStr">
        <is>
          <t xml:space="preserve">      Set 1</t>
        </is>
      </c>
      <c r="E85" t="n">
        <v>5</v>
      </c>
      <c r="H85" s="39">
        <f>IF(H84="","",H84)</f>
        <v/>
      </c>
      <c r="I85" s="7">
        <f>IF(H84="","",H84)</f>
        <v/>
      </c>
      <c r="J85" s="7" t="n">
        <v>5</v>
      </c>
      <c r="K85" s="7" t="n"/>
      <c r="L85" s="40" t="n"/>
      <c r="M85">
        <f>IF(AND(L85&lt;&gt;"",N(I85)&gt;0,N(J85)&gt;0),IF(J85=1,I85,ROUND(I85*(1+J85/30),1)),"")</f>
        <v/>
      </c>
      <c r="N85" s="41">
        <f>IF(M85="","",IF(M85&gt;=PRs!C10,"PR!",""))</f>
        <v/>
      </c>
      <c r="O85" s="7" t="n"/>
    </row>
    <row r="86">
      <c r="C86" t="inlineStr">
        <is>
          <t xml:space="preserve">      Set 2</t>
        </is>
      </c>
      <c r="E86" t="n">
        <v>5</v>
      </c>
      <c r="H86" s="39">
        <f>IF(H84="","",H84)</f>
        <v/>
      </c>
      <c r="I86" s="7">
        <f>IF(H84="","",H84)</f>
        <v/>
      </c>
      <c r="J86" s="7" t="n">
        <v>5</v>
      </c>
      <c r="K86" s="7" t="n"/>
      <c r="L86" s="40" t="n"/>
      <c r="M86">
        <f>IF(AND(L86&lt;&gt;"",N(I86)&gt;0,N(J86)&gt;0),IF(J86=1,I86,ROUND(I86*(1+J86/30),1)),"")</f>
        <v/>
      </c>
      <c r="N86" s="41">
        <f>IF(M86="","",IF(M86&gt;=PRs!C10,"PR!",""))</f>
        <v/>
      </c>
      <c r="O86" s="7" t="n"/>
    </row>
    <row r="87">
      <c r="C87" t="inlineStr">
        <is>
          <t xml:space="preserve">      Set 3</t>
        </is>
      </c>
      <c r="E87" t="n">
        <v>5</v>
      </c>
      <c r="H87" s="39">
        <f>IF(H84="","",H84)</f>
        <v/>
      </c>
      <c r="I87" s="7">
        <f>IF(H84="","",H84)</f>
        <v/>
      </c>
      <c r="J87" s="7" t="n">
        <v>5</v>
      </c>
      <c r="K87" s="7" t="n"/>
      <c r="L87" s="40" t="n"/>
      <c r="M87">
        <f>IF(AND(L87&lt;&gt;"",N(I87)&gt;0,N(J87)&gt;0),IF(J87=1,I87,ROUND(I87*(1+J87/30),1)),"")</f>
        <v/>
      </c>
      <c r="N87" s="41">
        <f>IF(M87="","",IF(M87&gt;=PRs!C10,"PR!",""))</f>
        <v/>
      </c>
      <c r="O87" s="7" t="n"/>
    </row>
    <row r="88">
      <c r="C88" t="inlineStr">
        <is>
          <t xml:space="preserve">      Set 4</t>
        </is>
      </c>
      <c r="E88" t="n">
        <v>5</v>
      </c>
      <c r="H88" s="39">
        <f>IF(H84="","",H84)</f>
        <v/>
      </c>
      <c r="I88" s="7">
        <f>IF(H84="","",H84)</f>
        <v/>
      </c>
      <c r="J88" s="7" t="n">
        <v>5</v>
      </c>
      <c r="K88" s="7" t="n"/>
      <c r="L88" s="40" t="n"/>
      <c r="M88">
        <f>IF(AND(L88&lt;&gt;"",N(I88)&gt;0,N(J88)&gt;0),IF(J88=1,I88,ROUND(I88*(1+J88/30),1)),"")</f>
        <v/>
      </c>
      <c r="N88" s="41">
        <f>IF(M88="","",IF(M88&gt;=PRs!C10,"PR!",""))</f>
        <v/>
      </c>
      <c r="O88" s="7" t="n"/>
    </row>
    <row r="89">
      <c r="A89" s="34" t="n"/>
      <c r="B89" s="34" t="n"/>
      <c r="C89" s="42" t="inlineStr">
        <is>
          <t>Pause Bench Press</t>
        </is>
      </c>
      <c r="D89" s="34" t="inlineStr">
        <is>
          <t>4 x 5</t>
        </is>
      </c>
      <c r="E89" s="34" t="n"/>
      <c r="F89" s="34" t="n">
        <v>77.5</v>
      </c>
      <c r="G89" s="36">
        <f>Maxes!E18</f>
        <v/>
      </c>
      <c r="H89" s="37">
        <f>IF(OR(G89="",F89=""),"",MROUND(G89*F89/100,'Start Here'!$B$7))</f>
        <v/>
      </c>
      <c r="I89" s="34" t="n"/>
      <c r="J89" s="34" t="n"/>
      <c r="K89" s="34" t="n"/>
      <c r="L89" s="34" t="n"/>
      <c r="M89" s="34" t="n"/>
      <c r="N89" s="34" t="n"/>
      <c r="O89" s="38" t="inlineStr"/>
    </row>
    <row r="90">
      <c r="C90" t="inlineStr">
        <is>
          <t xml:space="preserve">      Set 1</t>
        </is>
      </c>
      <c r="E90" t="n">
        <v>5</v>
      </c>
      <c r="H90" s="39">
        <f>IF(H89="","",H89)</f>
        <v/>
      </c>
      <c r="I90" s="7">
        <f>IF(H89="","",H89)</f>
        <v/>
      </c>
      <c r="J90" s="7" t="n">
        <v>5</v>
      </c>
      <c r="K90" s="7" t="n"/>
      <c r="L90" s="40" t="n"/>
      <c r="M90">
        <f>IF(AND(L90&lt;&gt;"",N(I90)&gt;0,N(J90)&gt;0),IF(J90=1,I90,ROUND(I90*(1+J90/30),1)),"")</f>
        <v/>
      </c>
      <c r="N90" s="41">
        <f>IF(M90="","",IF(M90&gt;=PRs!C18,"PR!",""))</f>
        <v/>
      </c>
      <c r="O90" s="7" t="n"/>
    </row>
    <row r="91">
      <c r="C91" t="inlineStr">
        <is>
          <t xml:space="preserve">      Set 2</t>
        </is>
      </c>
      <c r="E91" t="n">
        <v>5</v>
      </c>
      <c r="H91" s="39">
        <f>IF(H89="","",H89)</f>
        <v/>
      </c>
      <c r="I91" s="7">
        <f>IF(H89="","",H89)</f>
        <v/>
      </c>
      <c r="J91" s="7" t="n">
        <v>5</v>
      </c>
      <c r="K91" s="7" t="n"/>
      <c r="L91" s="40" t="n"/>
      <c r="M91">
        <f>IF(AND(L91&lt;&gt;"",N(I91)&gt;0,N(J91)&gt;0),IF(J91=1,I91,ROUND(I91*(1+J91/30),1)),"")</f>
        <v/>
      </c>
      <c r="N91" s="41">
        <f>IF(M91="","",IF(M91&gt;=PRs!C18,"PR!",""))</f>
        <v/>
      </c>
      <c r="O91" s="7" t="n"/>
    </row>
    <row r="92">
      <c r="C92" t="inlineStr">
        <is>
          <t xml:space="preserve">      Set 3</t>
        </is>
      </c>
      <c r="E92" t="n">
        <v>5</v>
      </c>
      <c r="H92" s="39">
        <f>IF(H89="","",H89)</f>
        <v/>
      </c>
      <c r="I92" s="7">
        <f>IF(H89="","",H89)</f>
        <v/>
      </c>
      <c r="J92" s="7" t="n">
        <v>5</v>
      </c>
      <c r="K92" s="7" t="n"/>
      <c r="L92" s="40" t="n"/>
      <c r="M92">
        <f>IF(AND(L92&lt;&gt;"",N(I92)&gt;0,N(J92)&gt;0),IF(J92=1,I92,ROUND(I92*(1+J92/30),1)),"")</f>
        <v/>
      </c>
      <c r="N92" s="41">
        <f>IF(M92="","",IF(M92&gt;=PRs!C18,"PR!",""))</f>
        <v/>
      </c>
      <c r="O92" s="7" t="n"/>
    </row>
    <row r="93">
      <c r="C93" t="inlineStr">
        <is>
          <t xml:space="preserve">      Set 4</t>
        </is>
      </c>
      <c r="E93" t="n">
        <v>5</v>
      </c>
      <c r="H93" s="39">
        <f>IF(H89="","",H89)</f>
        <v/>
      </c>
      <c r="I93" s="7">
        <f>IF(H89="","",H89)</f>
        <v/>
      </c>
      <c r="J93" s="7" t="n">
        <v>5</v>
      </c>
      <c r="K93" s="7" t="n"/>
      <c r="L93" s="40" t="n"/>
      <c r="M93">
        <f>IF(AND(L93&lt;&gt;"",N(I93)&gt;0,N(J93)&gt;0),IF(J93=1,I93,ROUND(I93*(1+J93/30),1)),"")</f>
        <v/>
      </c>
      <c r="N93" s="41">
        <f>IF(M93="","",IF(M93&gt;=PRs!C18,"PR!",""))</f>
        <v/>
      </c>
      <c r="O93" s="7" t="n"/>
    </row>
    <row r="94">
      <c r="A94" s="34" t="n"/>
      <c r="B94" s="34" t="n"/>
      <c r="C94" s="42" t="inlineStr">
        <is>
          <t>Paused Deadlift</t>
        </is>
      </c>
      <c r="D94" s="34" t="inlineStr">
        <is>
          <t>4 x 5</t>
        </is>
      </c>
      <c r="E94" s="34" t="n"/>
      <c r="F94" s="34" t="n">
        <v>67.5</v>
      </c>
      <c r="G94" s="36">
        <f>Maxes!E25</f>
        <v/>
      </c>
      <c r="H94" s="37">
        <f>IF(OR(G94="",F94=""),"",MROUND(G94*F94/100,'Start Here'!$B$7))</f>
        <v/>
      </c>
      <c r="I94" s="34" t="n"/>
      <c r="J94" s="34" t="n"/>
      <c r="K94" s="34" t="n"/>
      <c r="L94" s="34" t="n"/>
      <c r="M94" s="34" t="n"/>
      <c r="N94" s="34" t="n"/>
      <c r="O94" s="38" t="inlineStr"/>
    </row>
    <row r="95">
      <c r="C95" t="inlineStr">
        <is>
          <t xml:space="preserve">      Set 1</t>
        </is>
      </c>
      <c r="E95" t="n">
        <v>5</v>
      </c>
      <c r="H95" s="39">
        <f>IF(H94="","",H94)</f>
        <v/>
      </c>
      <c r="I95" s="7">
        <f>IF(H94="","",H94)</f>
        <v/>
      </c>
      <c r="J95" s="7" t="n">
        <v>5</v>
      </c>
      <c r="K95" s="7" t="n"/>
      <c r="L95" s="40" t="n"/>
      <c r="M95">
        <f>IF(AND(L95&lt;&gt;"",N(I95)&gt;0,N(J95)&gt;0),IF(J95=1,I95,ROUND(I95*(1+J95/30),1)),"")</f>
        <v/>
      </c>
      <c r="N95" s="41">
        <f>IF(M95="","",IF(M95&gt;=PRs!C25,"PR!",""))</f>
        <v/>
      </c>
      <c r="O95" s="7" t="n"/>
    </row>
    <row r="96">
      <c r="C96" t="inlineStr">
        <is>
          <t xml:space="preserve">      Set 2</t>
        </is>
      </c>
      <c r="E96" t="n">
        <v>5</v>
      </c>
      <c r="H96" s="39">
        <f>IF(H94="","",H94)</f>
        <v/>
      </c>
      <c r="I96" s="7">
        <f>IF(H94="","",H94)</f>
        <v/>
      </c>
      <c r="J96" s="7" t="n">
        <v>5</v>
      </c>
      <c r="K96" s="7" t="n"/>
      <c r="L96" s="40" t="n"/>
      <c r="M96">
        <f>IF(AND(L96&lt;&gt;"",N(I96)&gt;0,N(J96)&gt;0),IF(J96=1,I96,ROUND(I96*(1+J96/30),1)),"")</f>
        <v/>
      </c>
      <c r="N96" s="41">
        <f>IF(M96="","",IF(M96&gt;=PRs!C25,"PR!",""))</f>
        <v/>
      </c>
      <c r="O96" s="7" t="n"/>
    </row>
    <row r="97">
      <c r="C97" t="inlineStr">
        <is>
          <t xml:space="preserve">      Set 3</t>
        </is>
      </c>
      <c r="E97" t="n">
        <v>5</v>
      </c>
      <c r="H97" s="39">
        <f>IF(H94="","",H94)</f>
        <v/>
      </c>
      <c r="I97" s="7">
        <f>IF(H94="","",H94)</f>
        <v/>
      </c>
      <c r="J97" s="7" t="n">
        <v>5</v>
      </c>
      <c r="K97" s="7" t="n"/>
      <c r="L97" s="40" t="n"/>
      <c r="M97">
        <f>IF(AND(L97&lt;&gt;"",N(I97)&gt;0,N(J97)&gt;0),IF(J97=1,I97,ROUND(I97*(1+J97/30),1)),"")</f>
        <v/>
      </c>
      <c r="N97" s="41">
        <f>IF(M97="","",IF(M97&gt;=PRs!C25,"PR!",""))</f>
        <v/>
      </c>
      <c r="O97" s="7" t="n"/>
    </row>
    <row r="98">
      <c r="C98" t="inlineStr">
        <is>
          <t xml:space="preserve">      Set 4</t>
        </is>
      </c>
      <c r="E98" t="n">
        <v>5</v>
      </c>
      <c r="H98" s="39">
        <f>IF(H94="","",H94)</f>
        <v/>
      </c>
      <c r="I98" s="7">
        <f>IF(H94="","",H94)</f>
        <v/>
      </c>
      <c r="J98" s="7" t="n">
        <v>5</v>
      </c>
      <c r="K98" s="7" t="n"/>
      <c r="L98" s="40" t="n"/>
      <c r="M98">
        <f>IF(AND(L98&lt;&gt;"",N(I98)&gt;0,N(J98)&gt;0),IF(J98=1,I98,ROUND(I98*(1+J98/30),1)),"")</f>
        <v/>
      </c>
      <c r="N98" s="41">
        <f>IF(M98="","",IF(M98&gt;=PRs!C25,"PR!",""))</f>
        <v/>
      </c>
      <c r="O98" s="7" t="n"/>
    </row>
    <row r="99">
      <c r="A99" s="34" t="n"/>
      <c r="B99" s="34" t="n"/>
      <c r="C99" s="43" t="inlineStr">
        <is>
          <t>Incline Dumbbell Press</t>
        </is>
      </c>
      <c r="D99" s="34" t="inlineStr">
        <is>
          <t>3 x 8-12</t>
        </is>
      </c>
      <c r="E99" s="34" t="n"/>
      <c r="F99" s="34" t="n"/>
      <c r="G99" s="36" t="n"/>
      <c r="H99" s="37" t="n"/>
      <c r="I99" s="34" t="n"/>
      <c r="J99" s="34" t="n"/>
      <c r="K99" s="34" t="n"/>
      <c r="L99" s="34" t="n"/>
      <c r="M99" s="34" t="n"/>
      <c r="N99" s="34" t="n"/>
      <c r="O99" s="38" t="inlineStr">
        <is>
          <t>Leave 1-2 reps in the tank; add weight when you hit the top of the range</t>
        </is>
      </c>
    </row>
    <row r="100">
      <c r="C100" t="inlineStr">
        <is>
          <t xml:space="preserve">      Set 1</t>
        </is>
      </c>
      <c r="E100" t="n">
        <v>8</v>
      </c>
      <c r="H100" s="39">
        <f>IF(H99="","",H99)</f>
        <v/>
      </c>
      <c r="I100" s="7">
        <f>IF(H99="","",H99)</f>
        <v/>
      </c>
      <c r="J100" s="7" t="n">
        <v>8</v>
      </c>
      <c r="K100" s="7" t="n"/>
      <c r="L100" s="40" t="n"/>
      <c r="M100">
        <f>IF(AND(L100&lt;&gt;"",N(I100)&gt;0,N(J100)&gt;0),IF(J100=1,I100,ROUND(I100*(1+J100/30),1)),"")</f>
        <v/>
      </c>
      <c r="N100" s="41">
        <f>IF(M100="","",IF(M100&gt;=PRs!C57,"PR!",""))</f>
        <v/>
      </c>
      <c r="O100" s="7" t="n"/>
    </row>
    <row r="101">
      <c r="C101" t="inlineStr">
        <is>
          <t xml:space="preserve">      Set 2</t>
        </is>
      </c>
      <c r="E101" t="n">
        <v>8</v>
      </c>
      <c r="H101" s="39">
        <f>IF(H99="","",H99)</f>
        <v/>
      </c>
      <c r="I101" s="7">
        <f>IF(H99="","",H99)</f>
        <v/>
      </c>
      <c r="J101" s="7" t="n">
        <v>8</v>
      </c>
      <c r="K101" s="7" t="n"/>
      <c r="L101" s="40" t="n"/>
      <c r="M101">
        <f>IF(AND(L101&lt;&gt;"",N(I101)&gt;0,N(J101)&gt;0),IF(J101=1,I101,ROUND(I101*(1+J101/30),1)),"")</f>
        <v/>
      </c>
      <c r="N101" s="41">
        <f>IF(M101="","",IF(M101&gt;=PRs!C57,"PR!",""))</f>
        <v/>
      </c>
      <c r="O101" s="7" t="n"/>
    </row>
    <row r="102">
      <c r="C102" t="inlineStr">
        <is>
          <t xml:space="preserve">      Set 3</t>
        </is>
      </c>
      <c r="E102" t="n">
        <v>8</v>
      </c>
      <c r="H102" s="39">
        <f>IF(H99="","",H99)</f>
        <v/>
      </c>
      <c r="I102" s="7">
        <f>IF(H99="","",H99)</f>
        <v/>
      </c>
      <c r="J102" s="7" t="n">
        <v>8</v>
      </c>
      <c r="K102" s="7" t="n"/>
      <c r="L102" s="40" t="n"/>
      <c r="M102">
        <f>IF(AND(L102&lt;&gt;"",N(I102)&gt;0,N(J102)&gt;0),IF(J102=1,I102,ROUND(I102*(1+J102/30),1)),"")</f>
        <v/>
      </c>
      <c r="N102" s="41">
        <f>IF(M102="","",IF(M102&gt;=PRs!C57,"PR!",""))</f>
        <v/>
      </c>
      <c r="O102" s="7" t="n"/>
    </row>
    <row r="103">
      <c r="A103" s="34" t="n"/>
      <c r="B103" s="34" t="n"/>
      <c r="C103" s="43" t="inlineStr">
        <is>
          <t>Triceps Pushdown</t>
        </is>
      </c>
      <c r="D103" s="34" t="inlineStr">
        <is>
          <t>3 x 10-15</t>
        </is>
      </c>
      <c r="E103" s="34" t="n"/>
      <c r="F103" s="34" t="n"/>
      <c r="G103" s="36" t="n"/>
      <c r="H103" s="37" t="n"/>
      <c r="I103" s="34" t="n"/>
      <c r="J103" s="34" t="n"/>
      <c r="K103" s="34" t="n"/>
      <c r="L103" s="34" t="n"/>
      <c r="M103" s="34" t="n"/>
      <c r="N103" s="34" t="n"/>
      <c r="O103" s="38" t="inlineStr">
        <is>
          <t>Leave 1-2 reps in the tank; add weight when you hit the top of the range</t>
        </is>
      </c>
    </row>
    <row r="104">
      <c r="C104" t="inlineStr">
        <is>
          <t xml:space="preserve">      Set 1</t>
        </is>
      </c>
      <c r="E104" t="n">
        <v>10</v>
      </c>
      <c r="H104" s="39">
        <f>IF(H103="","",H103)</f>
        <v/>
      </c>
      <c r="I104" s="7">
        <f>IF(H103="","",H103)</f>
        <v/>
      </c>
      <c r="J104" s="7" t="n">
        <v>10</v>
      </c>
      <c r="K104" s="7" t="n"/>
      <c r="L104" s="40" t="n"/>
      <c r="M104">
        <f>IF(AND(L104&lt;&gt;"",N(I104)&gt;0,N(J104)&gt;0),IF(J104=1,I104,ROUND(I104*(1+J104/30),1)),"")</f>
        <v/>
      </c>
      <c r="N104" s="41">
        <f>IF(M104="","",IF(M104&gt;=PRs!C59,"PR!",""))</f>
        <v/>
      </c>
      <c r="O104" s="7" t="n"/>
    </row>
    <row r="105">
      <c r="C105" t="inlineStr">
        <is>
          <t xml:space="preserve">      Set 2</t>
        </is>
      </c>
      <c r="E105" t="n">
        <v>10</v>
      </c>
      <c r="H105" s="39">
        <f>IF(H103="","",H103)</f>
        <v/>
      </c>
      <c r="I105" s="7">
        <f>IF(H103="","",H103)</f>
        <v/>
      </c>
      <c r="J105" s="7" t="n">
        <v>10</v>
      </c>
      <c r="K105" s="7" t="n"/>
      <c r="L105" s="40" t="n"/>
      <c r="M105">
        <f>IF(AND(L105&lt;&gt;"",N(I105)&gt;0,N(J105)&gt;0),IF(J105=1,I105,ROUND(I105*(1+J105/30),1)),"")</f>
        <v/>
      </c>
      <c r="N105" s="41">
        <f>IF(M105="","",IF(M105&gt;=PRs!C59,"PR!",""))</f>
        <v/>
      </c>
      <c r="O105" s="7" t="n"/>
    </row>
    <row r="106">
      <c r="C106" t="inlineStr">
        <is>
          <t xml:space="preserve">      Set 3</t>
        </is>
      </c>
      <c r="E106" t="n">
        <v>10</v>
      </c>
      <c r="H106" s="39">
        <f>IF(H103="","",H103)</f>
        <v/>
      </c>
      <c r="I106" s="7">
        <f>IF(H103="","",H103)</f>
        <v/>
      </c>
      <c r="J106" s="7" t="n">
        <v>10</v>
      </c>
      <c r="K106" s="7" t="n"/>
      <c r="L106" s="40" t="n"/>
      <c r="M106">
        <f>IF(AND(L106&lt;&gt;"",N(I106)&gt;0,N(J106)&gt;0),IF(J106=1,I106,ROUND(I106*(1+J106/30),1)),"")</f>
        <v/>
      </c>
      <c r="N106" s="41">
        <f>IF(M106="","",IF(M106&gt;=PRs!C59,"PR!",""))</f>
        <v/>
      </c>
      <c r="O106" s="7" t="n"/>
    </row>
    <row r="108">
      <c r="A108" s="54" t="inlineStr">
        <is>
          <t>WEEK 10 - CYCLE 1 - REALIZATION</t>
        </is>
      </c>
      <c r="B108" s="55" t="n"/>
      <c r="C108" s="55" t="n"/>
      <c r="D108" s="55" t="n"/>
      <c r="E108" s="55" t="n"/>
      <c r="F108" s="55" t="n"/>
      <c r="G108" s="55" t="n"/>
      <c r="H108" s="56" t="inlineStr">
        <is>
          <t>Bodyweight:</t>
        </is>
      </c>
      <c r="I108" s="7" t="n"/>
      <c r="J108" s="55" t="n"/>
      <c r="K108" s="55" t="n"/>
      <c r="L108" s="55" t="n"/>
      <c r="M108" s="55" t="n"/>
      <c r="N108" s="55" t="n"/>
      <c r="O108" s="55" t="n"/>
    </row>
    <row r="109">
      <c r="A109" s="31" t="inlineStr">
        <is>
          <t>Day 1 - Heavy</t>
        </is>
      </c>
      <c r="B109" s="32">
        <f>'Start Here'!$B$8+63</f>
        <v/>
      </c>
      <c r="C109" s="33" t="n"/>
      <c r="D109" s="33" t="n"/>
      <c r="E109" s="33" t="n"/>
      <c r="F109" s="33" t="n"/>
      <c r="G109" s="33" t="n"/>
      <c r="H109" s="33" t="n"/>
      <c r="I109" s="33" t="n"/>
      <c r="J109" s="33" t="n"/>
      <c r="K109" s="33" t="n"/>
      <c r="L109" s="33" t="n"/>
      <c r="M109" s="33" t="n"/>
      <c r="N109" s="33" t="n"/>
      <c r="O109" s="33" t="n"/>
    </row>
    <row r="110">
      <c r="A110" s="34" t="n"/>
      <c r="B110" s="34" t="n"/>
      <c r="C110" s="35" t="inlineStr">
        <is>
          <t>Box Jump</t>
        </is>
      </c>
      <c r="D110" s="34" t="inlineStr">
        <is>
          <t>3 x 2</t>
        </is>
      </c>
      <c r="E110" s="34" t="n"/>
      <c r="F110" s="34" t="n"/>
      <c r="G110" s="36" t="n"/>
      <c r="H110" s="37">
        <f>IF(N(Maxes!E69)&gt;0,Maxes!E69,'Start Here'!$G$16)</f>
        <v/>
      </c>
      <c r="I110" s="34" t="n"/>
      <c r="J110" s="34" t="n"/>
      <c r="K110" s="34" t="n"/>
      <c r="L110" s="34" t="n"/>
      <c r="M110" s="34" t="n"/>
      <c r="N110" s="34" t="n"/>
      <c r="O110" s="38" t="inlineStr">
        <is>
          <t>Two-foot jump onto a box, land soft in a quarter squat, STEP down. Log the box height (floor to top of box).</t>
        </is>
      </c>
    </row>
    <row r="111">
      <c r="C111" t="inlineStr">
        <is>
          <t xml:space="preserve">      Set 1</t>
        </is>
      </c>
      <c r="E111" t="n">
        <v>2</v>
      </c>
      <c r="H111" s="39">
        <f>IF(H110="","",H110)</f>
        <v/>
      </c>
      <c r="I111" s="7">
        <f>IF(H110="","",H110)</f>
        <v/>
      </c>
      <c r="J111" s="7" t="n">
        <v>2</v>
      </c>
      <c r="K111" s="7" t="n"/>
      <c r="L111" s="40" t="n"/>
      <c r="N111" s="41">
        <f>IF(AND(L111&lt;&gt;"",N(I111)&gt;0),IF(I111&gt;=PRs!D69,"PR!",""),"")</f>
        <v/>
      </c>
      <c r="O111" s="7" t="n"/>
    </row>
    <row r="112">
      <c r="C112" t="inlineStr">
        <is>
          <t xml:space="preserve">      Set 2</t>
        </is>
      </c>
      <c r="E112" t="n">
        <v>2</v>
      </c>
      <c r="H112" s="39">
        <f>IF(H110="","",H110)</f>
        <v/>
      </c>
      <c r="I112" s="7">
        <f>IF(H110="","",H110)</f>
        <v/>
      </c>
      <c r="J112" s="7" t="n">
        <v>2</v>
      </c>
      <c r="K112" s="7" t="n"/>
      <c r="L112" s="40" t="n"/>
      <c r="N112" s="41">
        <f>IF(AND(L112&lt;&gt;"",N(I112)&gt;0),IF(I112&gt;=PRs!D69,"PR!",""),"")</f>
        <v/>
      </c>
      <c r="O112" s="7" t="n"/>
    </row>
    <row r="113">
      <c r="C113" t="inlineStr">
        <is>
          <t xml:space="preserve">      Set 3</t>
        </is>
      </c>
      <c r="E113" t="n">
        <v>2</v>
      </c>
      <c r="H113" s="39">
        <f>IF(H110="","",H110)</f>
        <v/>
      </c>
      <c r="I113" s="7">
        <f>IF(H110="","",H110)</f>
        <v/>
      </c>
      <c r="J113" s="7" t="n">
        <v>2</v>
      </c>
      <c r="K113" s="7" t="n"/>
      <c r="L113" s="40" t="n"/>
      <c r="N113" s="41">
        <f>IF(AND(L113&lt;&gt;"",N(I113)&gt;0),IF(I113&gt;=PRs!D69,"PR!",""),"")</f>
        <v/>
      </c>
      <c r="O113" s="7" t="n"/>
    </row>
    <row r="114">
      <c r="A114" s="34" t="n"/>
      <c r="B114" s="34" t="n"/>
      <c r="C114" s="42" t="inlineStr">
        <is>
          <t>Snatch</t>
        </is>
      </c>
      <c r="D114" s="34" t="inlineStr">
        <is>
          <t>4 x 1</t>
        </is>
      </c>
      <c r="E114" s="34" t="n"/>
      <c r="F114" s="34" t="n">
        <v>90</v>
      </c>
      <c r="G114" s="36">
        <f>Maxes!E6</f>
        <v/>
      </c>
      <c r="H114" s="37">
        <f>IF(OR(G114="",F114=""),"",MROUND(G114*F114/100,'Start Here'!$B$7))</f>
        <v/>
      </c>
      <c r="I114" s="34" t="n"/>
      <c r="J114" s="34" t="n"/>
      <c r="K114" s="34" t="n"/>
      <c r="L114" s="34" t="n"/>
      <c r="M114" s="34" t="n"/>
      <c r="N114" s="34" t="n"/>
      <c r="O114" s="38" t="inlineStr"/>
    </row>
    <row r="115">
      <c r="C115" t="inlineStr">
        <is>
          <t xml:space="preserve">      Set 1</t>
        </is>
      </c>
      <c r="E115" t="n">
        <v>1</v>
      </c>
      <c r="H115" s="39">
        <f>IF(H114="","",H114)</f>
        <v/>
      </c>
      <c r="I115" s="7">
        <f>IF(H114="","",H114)</f>
        <v/>
      </c>
      <c r="J115" s="7" t="n">
        <v>1</v>
      </c>
      <c r="K115" s="7" t="n"/>
      <c r="L115" s="40" t="n"/>
      <c r="M115">
        <f>IF(AND(L115&lt;&gt;"",N(I115)&gt;0,N(J115)&gt;0),IF(J115=1,I115,ROUND(I115*(1+J115/30),1)),"")</f>
        <v/>
      </c>
      <c r="N115" s="41">
        <f>IF(M115="","",IF(M115&gt;=PRs!C6,"PR!",""))</f>
        <v/>
      </c>
      <c r="O115" s="7" t="n"/>
    </row>
    <row r="116">
      <c r="C116" t="inlineStr">
        <is>
          <t xml:space="preserve">      Set 2</t>
        </is>
      </c>
      <c r="E116" t="n">
        <v>1</v>
      </c>
      <c r="H116" s="39">
        <f>IF(H114="","",H114)</f>
        <v/>
      </c>
      <c r="I116" s="7">
        <f>IF(H114="","",H114)</f>
        <v/>
      </c>
      <c r="J116" s="7" t="n">
        <v>1</v>
      </c>
      <c r="K116" s="7" t="n"/>
      <c r="L116" s="40" t="n"/>
      <c r="M116">
        <f>IF(AND(L116&lt;&gt;"",N(I116)&gt;0,N(J116)&gt;0),IF(J116=1,I116,ROUND(I116*(1+J116/30),1)),"")</f>
        <v/>
      </c>
      <c r="N116" s="41">
        <f>IF(M116="","",IF(M116&gt;=PRs!C6,"PR!",""))</f>
        <v/>
      </c>
      <c r="O116" s="7" t="n"/>
    </row>
    <row r="117">
      <c r="C117" t="inlineStr">
        <is>
          <t xml:space="preserve">      Set 3</t>
        </is>
      </c>
      <c r="E117" t="n">
        <v>1</v>
      </c>
      <c r="H117" s="39">
        <f>IF(H114="","",H114)</f>
        <v/>
      </c>
      <c r="I117" s="7">
        <f>IF(H114="","",H114)</f>
        <v/>
      </c>
      <c r="J117" s="7" t="n">
        <v>1</v>
      </c>
      <c r="K117" s="7" t="n"/>
      <c r="L117" s="40" t="n"/>
      <c r="M117">
        <f>IF(AND(L117&lt;&gt;"",N(I117)&gt;0,N(J117)&gt;0),IF(J117=1,I117,ROUND(I117*(1+J117/30),1)),"")</f>
        <v/>
      </c>
      <c r="N117" s="41">
        <f>IF(M117="","",IF(M117&gt;=PRs!C6,"PR!",""))</f>
        <v/>
      </c>
      <c r="O117" s="7" t="n"/>
    </row>
    <row r="118">
      <c r="C118" t="inlineStr">
        <is>
          <t xml:space="preserve">      Set 4</t>
        </is>
      </c>
      <c r="E118" t="n">
        <v>1</v>
      </c>
      <c r="H118" s="39">
        <f>IF(H114="","",H114)</f>
        <v/>
      </c>
      <c r="I118" s="7">
        <f>IF(H114="","",H114)</f>
        <v/>
      </c>
      <c r="J118" s="7" t="n">
        <v>1</v>
      </c>
      <c r="K118" s="7" t="n"/>
      <c r="L118" s="40" t="n"/>
      <c r="M118">
        <f>IF(AND(L118&lt;&gt;"",N(I118)&gt;0,N(J118)&gt;0),IF(J118=1,I118,ROUND(I118*(1+J118/30),1)),"")</f>
        <v/>
      </c>
      <c r="N118" s="41">
        <f>IF(M118="","",IF(M118&gt;=PRs!C6,"PR!",""))</f>
        <v/>
      </c>
      <c r="O118" s="7" t="n"/>
    </row>
    <row r="119">
      <c r="A119" s="34" t="n"/>
      <c r="B119" s="34" t="n"/>
      <c r="C119" s="42" t="inlineStr">
        <is>
          <t>Squat</t>
        </is>
      </c>
      <c r="D119" s="34" t="inlineStr">
        <is>
          <t>4 x 2</t>
        </is>
      </c>
      <c r="E119" s="34" t="n"/>
      <c r="F119" s="34" t="n">
        <v>90</v>
      </c>
      <c r="G119" s="36">
        <f>Maxes!E2</f>
        <v/>
      </c>
      <c r="H119" s="37">
        <f>IF(OR(G119="",F119=""),"",MROUND(G119*F119/100,'Start Here'!$B$7))</f>
        <v/>
      </c>
      <c r="I119" s="34" t="n"/>
      <c r="J119" s="34" t="n"/>
      <c r="K119" s="34" t="n"/>
      <c r="L119" s="34" t="n"/>
      <c r="M119" s="34" t="n"/>
      <c r="N119" s="34" t="n"/>
      <c r="O119" s="38" t="inlineStr"/>
    </row>
    <row r="120">
      <c r="C120" t="inlineStr">
        <is>
          <t xml:space="preserve">      Set 1</t>
        </is>
      </c>
      <c r="E120" t="n">
        <v>2</v>
      </c>
      <c r="H120" s="39">
        <f>IF(H119="","",H119)</f>
        <v/>
      </c>
      <c r="I120" s="7">
        <f>IF(H119="","",H119)</f>
        <v/>
      </c>
      <c r="J120" s="7" t="n">
        <v>2</v>
      </c>
      <c r="K120" s="7" t="n"/>
      <c r="L120" s="40" t="n"/>
      <c r="M120">
        <f>IF(AND(L120&lt;&gt;"",N(I120)&gt;0,N(J120)&gt;0),IF(J120=1,I120,ROUND(I120*(1+J120/30),1)),"")</f>
        <v/>
      </c>
      <c r="N120" s="41">
        <f>IF(M120="","",IF(M120&gt;=PRs!C2,"PR!",""))</f>
        <v/>
      </c>
      <c r="O120" s="7" t="n"/>
    </row>
    <row r="121">
      <c r="C121" t="inlineStr">
        <is>
          <t xml:space="preserve">      Set 2</t>
        </is>
      </c>
      <c r="E121" t="n">
        <v>2</v>
      </c>
      <c r="H121" s="39">
        <f>IF(H119="","",H119)</f>
        <v/>
      </c>
      <c r="I121" s="7">
        <f>IF(H119="","",H119)</f>
        <v/>
      </c>
      <c r="J121" s="7" t="n">
        <v>2</v>
      </c>
      <c r="K121" s="7" t="n"/>
      <c r="L121" s="40" t="n"/>
      <c r="M121">
        <f>IF(AND(L121&lt;&gt;"",N(I121)&gt;0,N(J121)&gt;0),IF(J121=1,I121,ROUND(I121*(1+J121/30),1)),"")</f>
        <v/>
      </c>
      <c r="N121" s="41">
        <f>IF(M121="","",IF(M121&gt;=PRs!C2,"PR!",""))</f>
        <v/>
      </c>
      <c r="O121" s="7" t="n"/>
    </row>
    <row r="122">
      <c r="C122" t="inlineStr">
        <is>
          <t xml:space="preserve">      Set 3</t>
        </is>
      </c>
      <c r="E122" t="n">
        <v>2</v>
      </c>
      <c r="H122" s="39">
        <f>IF(H119="","",H119)</f>
        <v/>
      </c>
      <c r="I122" s="7">
        <f>IF(H119="","",H119)</f>
        <v/>
      </c>
      <c r="J122" s="7" t="n">
        <v>2</v>
      </c>
      <c r="K122" s="7" t="n"/>
      <c r="L122" s="40" t="n"/>
      <c r="M122">
        <f>IF(AND(L122&lt;&gt;"",N(I122)&gt;0,N(J122)&gt;0),IF(J122=1,I122,ROUND(I122*(1+J122/30),1)),"")</f>
        <v/>
      </c>
      <c r="N122" s="41">
        <f>IF(M122="","",IF(M122&gt;=PRs!C2,"PR!",""))</f>
        <v/>
      </c>
      <c r="O122" s="7" t="n"/>
    </row>
    <row r="123">
      <c r="C123" t="inlineStr">
        <is>
          <t xml:space="preserve">      Set 4</t>
        </is>
      </c>
      <c r="E123" t="n">
        <v>2</v>
      </c>
      <c r="H123" s="39">
        <f>IF(H119="","",H119)</f>
        <v/>
      </c>
      <c r="I123" s="7">
        <f>IF(H119="","",H119)</f>
        <v/>
      </c>
      <c r="J123" s="7" t="n">
        <v>2</v>
      </c>
      <c r="K123" s="7" t="n"/>
      <c r="L123" s="40" t="n"/>
      <c r="M123">
        <f>IF(AND(L123&lt;&gt;"",N(I123)&gt;0,N(J123)&gt;0),IF(J123=1,I123,ROUND(I123*(1+J123/30),1)),"")</f>
        <v/>
      </c>
      <c r="N123" s="41">
        <f>IF(M123="","",IF(M123&gt;=PRs!C2,"PR!",""))</f>
        <v/>
      </c>
      <c r="O123" s="7" t="n"/>
    </row>
    <row r="124">
      <c r="A124" s="34" t="n"/>
      <c r="B124" s="34" t="n"/>
      <c r="C124" s="42" t="inlineStr">
        <is>
          <t>Bench Press</t>
        </is>
      </c>
      <c r="D124" s="34" t="inlineStr">
        <is>
          <t>4 x 2</t>
        </is>
      </c>
      <c r="E124" s="34" t="n"/>
      <c r="F124" s="34" t="n">
        <v>90</v>
      </c>
      <c r="G124" s="36">
        <f>Maxes!E3</f>
        <v/>
      </c>
      <c r="H124" s="37">
        <f>IF(OR(G124="",F124=""),"",MROUND(G124*F124/100,'Start Here'!$B$7))</f>
        <v/>
      </c>
      <c r="I124" s="34" t="n"/>
      <c r="J124" s="34" t="n"/>
      <c r="K124" s="34" t="n"/>
      <c r="L124" s="34" t="n"/>
      <c r="M124" s="34" t="n"/>
      <c r="N124" s="34" t="n"/>
      <c r="O124" s="38" t="inlineStr"/>
    </row>
    <row r="125">
      <c r="C125" t="inlineStr">
        <is>
          <t xml:space="preserve">      Set 1</t>
        </is>
      </c>
      <c r="E125" t="n">
        <v>2</v>
      </c>
      <c r="H125" s="39">
        <f>IF(H124="","",H124)</f>
        <v/>
      </c>
      <c r="I125" s="7">
        <f>IF(H124="","",H124)</f>
        <v/>
      </c>
      <c r="J125" s="7" t="n">
        <v>2</v>
      </c>
      <c r="K125" s="7" t="n"/>
      <c r="L125" s="40" t="n"/>
      <c r="M125">
        <f>IF(AND(L125&lt;&gt;"",N(I125)&gt;0,N(J125)&gt;0),IF(J125=1,I125,ROUND(I125*(1+J125/30),1)),"")</f>
        <v/>
      </c>
      <c r="N125" s="41">
        <f>IF(M125="","",IF(M125&gt;=PRs!C3,"PR!",""))</f>
        <v/>
      </c>
      <c r="O125" s="7" t="n"/>
    </row>
    <row r="126">
      <c r="C126" t="inlineStr">
        <is>
          <t xml:space="preserve">      Set 2</t>
        </is>
      </c>
      <c r="E126" t="n">
        <v>2</v>
      </c>
      <c r="H126" s="39">
        <f>IF(H124="","",H124)</f>
        <v/>
      </c>
      <c r="I126" s="7">
        <f>IF(H124="","",H124)</f>
        <v/>
      </c>
      <c r="J126" s="7" t="n">
        <v>2</v>
      </c>
      <c r="K126" s="7" t="n"/>
      <c r="L126" s="40" t="n"/>
      <c r="M126">
        <f>IF(AND(L126&lt;&gt;"",N(I126)&gt;0,N(J126)&gt;0),IF(J126=1,I126,ROUND(I126*(1+J126/30),1)),"")</f>
        <v/>
      </c>
      <c r="N126" s="41">
        <f>IF(M126="","",IF(M126&gt;=PRs!C3,"PR!",""))</f>
        <v/>
      </c>
      <c r="O126" s="7" t="n"/>
    </row>
    <row r="127">
      <c r="C127" t="inlineStr">
        <is>
          <t xml:space="preserve">      Set 3</t>
        </is>
      </c>
      <c r="E127" t="n">
        <v>2</v>
      </c>
      <c r="H127" s="39">
        <f>IF(H124="","",H124)</f>
        <v/>
      </c>
      <c r="I127" s="7">
        <f>IF(H124="","",H124)</f>
        <v/>
      </c>
      <c r="J127" s="7" t="n">
        <v>2</v>
      </c>
      <c r="K127" s="7" t="n"/>
      <c r="L127" s="40" t="n"/>
      <c r="M127">
        <f>IF(AND(L127&lt;&gt;"",N(I127)&gt;0,N(J127)&gt;0),IF(J127=1,I127,ROUND(I127*(1+J127/30),1)),"")</f>
        <v/>
      </c>
      <c r="N127" s="41">
        <f>IF(M127="","",IF(M127&gt;=PRs!C3,"PR!",""))</f>
        <v/>
      </c>
      <c r="O127" s="7" t="n"/>
    </row>
    <row r="128">
      <c r="C128" t="inlineStr">
        <is>
          <t xml:space="preserve">      Set 4</t>
        </is>
      </c>
      <c r="E128" t="n">
        <v>2</v>
      </c>
      <c r="H128" s="39">
        <f>IF(H124="","",H124)</f>
        <v/>
      </c>
      <c r="I128" s="7">
        <f>IF(H124="","",H124)</f>
        <v/>
      </c>
      <c r="J128" s="7" t="n">
        <v>2</v>
      </c>
      <c r="K128" s="7" t="n"/>
      <c r="L128" s="40" t="n"/>
      <c r="M128">
        <f>IF(AND(L128&lt;&gt;"",N(I128)&gt;0,N(J128)&gt;0),IF(J128=1,I128,ROUND(I128*(1+J128/30),1)),"")</f>
        <v/>
      </c>
      <c r="N128" s="41">
        <f>IF(M128="","",IF(M128&gt;=PRs!C3,"PR!",""))</f>
        <v/>
      </c>
      <c r="O128" s="7" t="n"/>
    </row>
    <row r="129">
      <c r="A129" s="34" t="n"/>
      <c r="B129" s="34" t="n"/>
      <c r="C129" s="43" t="inlineStr">
        <is>
          <t>Barbell Row</t>
        </is>
      </c>
      <c r="D129" s="34" t="inlineStr">
        <is>
          <t>3 x 8-10</t>
        </is>
      </c>
      <c r="E129" s="34" t="n"/>
      <c r="F129" s="34" t="n"/>
      <c r="G129" s="36" t="n"/>
      <c r="H129" s="37" t="n"/>
      <c r="I129" s="34" t="n"/>
      <c r="J129" s="34" t="n"/>
      <c r="K129" s="34" t="n"/>
      <c r="L129" s="34" t="n"/>
      <c r="M129" s="34" t="n"/>
      <c r="N129" s="34" t="n"/>
      <c r="O129" s="38" t="inlineStr">
        <is>
          <t>Leave 1-2 reps in the tank; add weight when you hit the top of the range</t>
        </is>
      </c>
    </row>
    <row r="130">
      <c r="C130" t="inlineStr">
        <is>
          <t xml:space="preserve">      Set 1</t>
        </is>
      </c>
      <c r="E130" t="n">
        <v>8</v>
      </c>
      <c r="H130" s="39">
        <f>IF(H129="","",H129)</f>
        <v/>
      </c>
      <c r="I130" s="7">
        <f>IF(H129="","",H129)</f>
        <v/>
      </c>
      <c r="J130" s="7" t="n">
        <v>8</v>
      </c>
      <c r="K130" s="7" t="n"/>
      <c r="L130" s="40" t="n"/>
      <c r="M130">
        <f>IF(AND(L130&lt;&gt;"",N(I130)&gt;0,N(J130)&gt;0),IF(J130=1,I130,ROUND(I130*(1+J130/30),1)),"")</f>
        <v/>
      </c>
      <c r="N130" s="41">
        <f>IF(M130="","",IF(M130&gt;=PRs!C50,"PR!",""))</f>
        <v/>
      </c>
      <c r="O130" s="7" t="n"/>
    </row>
    <row r="131">
      <c r="C131" t="inlineStr">
        <is>
          <t xml:space="preserve">      Set 2</t>
        </is>
      </c>
      <c r="E131" t="n">
        <v>8</v>
      </c>
      <c r="H131" s="39">
        <f>IF(H129="","",H129)</f>
        <v/>
      </c>
      <c r="I131" s="7">
        <f>IF(H129="","",H129)</f>
        <v/>
      </c>
      <c r="J131" s="7" t="n">
        <v>8</v>
      </c>
      <c r="K131" s="7" t="n"/>
      <c r="L131" s="40" t="n"/>
      <c r="M131">
        <f>IF(AND(L131&lt;&gt;"",N(I131)&gt;0,N(J131)&gt;0),IF(J131=1,I131,ROUND(I131*(1+J131/30),1)),"")</f>
        <v/>
      </c>
      <c r="N131" s="41">
        <f>IF(M131="","",IF(M131&gt;=PRs!C50,"PR!",""))</f>
        <v/>
      </c>
      <c r="O131" s="7" t="n"/>
    </row>
    <row r="132">
      <c r="C132" t="inlineStr">
        <is>
          <t xml:space="preserve">      Set 3</t>
        </is>
      </c>
      <c r="E132" t="n">
        <v>8</v>
      </c>
      <c r="H132" s="39">
        <f>IF(H129="","",H129)</f>
        <v/>
      </c>
      <c r="I132" s="7">
        <f>IF(H129="","",H129)</f>
        <v/>
      </c>
      <c r="J132" s="7" t="n">
        <v>8</v>
      </c>
      <c r="K132" s="7" t="n"/>
      <c r="L132" s="40" t="n"/>
      <c r="M132">
        <f>IF(AND(L132&lt;&gt;"",N(I132)&gt;0,N(J132)&gt;0),IF(J132=1,I132,ROUND(I132*(1+J132/30),1)),"")</f>
        <v/>
      </c>
      <c r="N132" s="41">
        <f>IF(M132="","",IF(M132&gt;=PRs!C50,"PR!",""))</f>
        <v/>
      </c>
      <c r="O132" s="7" t="n"/>
    </row>
    <row r="133">
      <c r="A133" s="34" t="n"/>
      <c r="B133" s="34" t="n"/>
      <c r="C133" s="43" t="inlineStr">
        <is>
          <t>Face Pull</t>
        </is>
      </c>
      <c r="D133" s="34" t="inlineStr">
        <is>
          <t>3 x 12-15</t>
        </is>
      </c>
      <c r="E133" s="34" t="n"/>
      <c r="F133" s="34" t="n"/>
      <c r="G133" s="36" t="n"/>
      <c r="H133" s="37" t="n"/>
      <c r="I133" s="34" t="n"/>
      <c r="J133" s="34" t="n"/>
      <c r="K133" s="34" t="n"/>
      <c r="L133" s="34" t="n"/>
      <c r="M133" s="34" t="n"/>
      <c r="N133" s="34" t="n"/>
      <c r="O133" s="38" t="inlineStr">
        <is>
          <t>Leave 1-2 reps in the tank; add weight when you hit the top of the range</t>
        </is>
      </c>
    </row>
    <row r="134">
      <c r="C134" t="inlineStr">
        <is>
          <t xml:space="preserve">      Set 1</t>
        </is>
      </c>
      <c r="E134" t="n">
        <v>12</v>
      </c>
      <c r="H134" s="39">
        <f>IF(H133="","",H133)</f>
        <v/>
      </c>
      <c r="I134" s="7">
        <f>IF(H133="","",H133)</f>
        <v/>
      </c>
      <c r="J134" s="7" t="n">
        <v>12</v>
      </c>
      <c r="K134" s="7" t="n"/>
      <c r="L134" s="40" t="n"/>
      <c r="M134">
        <f>IF(AND(L134&lt;&gt;"",N(I134)&gt;0,N(J134)&gt;0),IF(J134=1,I134,ROUND(I134*(1+J134/30),1)),"")</f>
        <v/>
      </c>
      <c r="N134" s="41">
        <f>IF(M134="","",IF(M134&gt;=PRs!C51,"PR!",""))</f>
        <v/>
      </c>
      <c r="O134" s="7" t="n"/>
    </row>
    <row r="135">
      <c r="C135" t="inlineStr">
        <is>
          <t xml:space="preserve">      Set 2</t>
        </is>
      </c>
      <c r="E135" t="n">
        <v>12</v>
      </c>
      <c r="H135" s="39">
        <f>IF(H133="","",H133)</f>
        <v/>
      </c>
      <c r="I135" s="7">
        <f>IF(H133="","",H133)</f>
        <v/>
      </c>
      <c r="J135" s="7" t="n">
        <v>12</v>
      </c>
      <c r="K135" s="7" t="n"/>
      <c r="L135" s="40" t="n"/>
      <c r="M135">
        <f>IF(AND(L135&lt;&gt;"",N(I135)&gt;0,N(J135)&gt;0),IF(J135=1,I135,ROUND(I135*(1+J135/30),1)),"")</f>
        <v/>
      </c>
      <c r="N135" s="41">
        <f>IF(M135="","",IF(M135&gt;=PRs!C51,"PR!",""))</f>
        <v/>
      </c>
      <c r="O135" s="7" t="n"/>
    </row>
    <row r="136">
      <c r="C136" t="inlineStr">
        <is>
          <t xml:space="preserve">      Set 3</t>
        </is>
      </c>
      <c r="E136" t="n">
        <v>12</v>
      </c>
      <c r="H136" s="39">
        <f>IF(H133="","",H133)</f>
        <v/>
      </c>
      <c r="I136" s="7">
        <f>IF(H133="","",H133)</f>
        <v/>
      </c>
      <c r="J136" s="7" t="n">
        <v>12</v>
      </c>
      <c r="K136" s="7" t="n"/>
      <c r="L136" s="40" t="n"/>
      <c r="M136">
        <f>IF(AND(L136&lt;&gt;"",N(I136)&gt;0,N(J136)&gt;0),IF(J136=1,I136,ROUND(I136*(1+J136/30),1)),"")</f>
        <v/>
      </c>
      <c r="N136" s="41">
        <f>IF(M136="","",IF(M136&gt;=PRs!C51,"PR!",""))</f>
        <v/>
      </c>
      <c r="O136" s="7" t="n"/>
    </row>
    <row r="137">
      <c r="A137" s="31" t="inlineStr">
        <is>
          <t>Day 2 - Light</t>
        </is>
      </c>
      <c r="B137" s="32">
        <f>'Start Here'!$B$8+65</f>
        <v/>
      </c>
      <c r="C137" s="33" t="n"/>
      <c r="D137" s="33" t="n"/>
      <c r="E137" s="33" t="n"/>
      <c r="F137" s="33" t="n"/>
      <c r="G137" s="33" t="n"/>
      <c r="H137" s="33" t="n"/>
      <c r="I137" s="33" t="n"/>
      <c r="J137" s="33" t="n"/>
      <c r="K137" s="33" t="n"/>
      <c r="L137" s="33" t="n"/>
      <c r="M137" s="33" t="n"/>
      <c r="N137" s="33" t="n"/>
      <c r="O137" s="33" t="n"/>
    </row>
    <row r="138">
      <c r="A138" s="34" t="n"/>
      <c r="B138" s="34" t="n"/>
      <c r="C138" s="35" t="inlineStr">
        <is>
          <t>Broad Jump</t>
        </is>
      </c>
      <c r="D138" s="34" t="inlineStr">
        <is>
          <t>3 x 2</t>
        </is>
      </c>
      <c r="E138" s="34" t="n"/>
      <c r="F138" s="34" t="n"/>
      <c r="G138" s="36" t="n"/>
      <c r="H138" s="37">
        <f>IF(N(Maxes!E70)&gt;0,Maxes!E70,"")</f>
        <v/>
      </c>
      <c r="I138" s="34" t="n"/>
      <c r="J138" s="34" t="n"/>
      <c r="K138" s="34" t="n"/>
      <c r="L138" s="34" t="n"/>
      <c r="M138" s="34" t="n"/>
      <c r="N138" s="34" t="n"/>
      <c r="O138" s="38" t="inlineStr">
        <is>
          <t>Standing two-foot jump forward, stick the landing. Measure toe line to the back of the nearest heel.</t>
        </is>
      </c>
    </row>
    <row r="139">
      <c r="C139" t="inlineStr">
        <is>
          <t xml:space="preserve">      Set 1</t>
        </is>
      </c>
      <c r="E139" t="n">
        <v>2</v>
      </c>
      <c r="H139" s="39">
        <f>IF(H138="","",H138)</f>
        <v/>
      </c>
      <c r="I139" s="7">
        <f>IF(H138="","",H138)</f>
        <v/>
      </c>
      <c r="J139" s="7" t="n">
        <v>2</v>
      </c>
      <c r="K139" s="7" t="n"/>
      <c r="L139" s="40" t="n"/>
      <c r="N139" s="41">
        <f>IF(AND(L139&lt;&gt;"",N(I139)&gt;0),IF(I139&gt;=PRs!D70,"PR!",""),"")</f>
        <v/>
      </c>
      <c r="O139" s="7" t="n"/>
    </row>
    <row r="140">
      <c r="C140" t="inlineStr">
        <is>
          <t xml:space="preserve">      Set 2</t>
        </is>
      </c>
      <c r="E140" t="n">
        <v>2</v>
      </c>
      <c r="H140" s="39">
        <f>IF(H138="","",H138)</f>
        <v/>
      </c>
      <c r="I140" s="7">
        <f>IF(H138="","",H138)</f>
        <v/>
      </c>
      <c r="J140" s="7" t="n">
        <v>2</v>
      </c>
      <c r="K140" s="7" t="n"/>
      <c r="L140" s="40" t="n"/>
      <c r="N140" s="41">
        <f>IF(AND(L140&lt;&gt;"",N(I140)&gt;0),IF(I140&gt;=PRs!D70,"PR!",""),"")</f>
        <v/>
      </c>
      <c r="O140" s="7" t="n"/>
    </row>
    <row r="141">
      <c r="C141" t="inlineStr">
        <is>
          <t xml:space="preserve">      Set 3</t>
        </is>
      </c>
      <c r="E141" t="n">
        <v>2</v>
      </c>
      <c r="H141" s="39">
        <f>IF(H138="","",H138)</f>
        <v/>
      </c>
      <c r="I141" s="7">
        <f>IF(H138="","",H138)</f>
        <v/>
      </c>
      <c r="J141" s="7" t="n">
        <v>2</v>
      </c>
      <c r="K141" s="7" t="n"/>
      <c r="L141" s="40" t="n"/>
      <c r="N141" s="41">
        <f>IF(AND(L141&lt;&gt;"",N(I141)&gt;0),IF(I141&gt;=PRs!D70,"PR!",""),"")</f>
        <v/>
      </c>
      <c r="O141" s="7" t="n"/>
    </row>
    <row r="142">
      <c r="A142" s="34" t="n"/>
      <c r="B142" s="34" t="n"/>
      <c r="C142" s="35" t="inlineStr">
        <is>
          <t>Med Ball Chest Pass</t>
        </is>
      </c>
      <c r="D142" s="34" t="inlineStr">
        <is>
          <t>2 x 5</t>
        </is>
      </c>
      <c r="E142" s="34" t="n"/>
      <c r="F142" s="34" t="n"/>
      <c r="G142" s="36" t="n"/>
      <c r="H142" s="37">
        <f>IF(N(Maxes!E77)&gt;0,Maxes!E77,"")</f>
        <v/>
      </c>
      <c r="I142" s="34" t="n"/>
      <c r="J142" s="34" t="n"/>
      <c r="K142" s="34" t="n"/>
      <c r="L142" s="34" t="n"/>
      <c r="M142" s="34" t="n"/>
      <c r="N142" s="34" t="n"/>
      <c r="O142" s="38" t="inlineStr">
        <is>
          <t>Kneeling or standing chest pass for distance with a 6-10 lb / 3-5 kg ball. Log the distance.</t>
        </is>
      </c>
    </row>
    <row r="143">
      <c r="C143" t="inlineStr">
        <is>
          <t xml:space="preserve">      Set 1</t>
        </is>
      </c>
      <c r="E143" t="n">
        <v>5</v>
      </c>
      <c r="H143" s="39">
        <f>IF(H142="","",H142)</f>
        <v/>
      </c>
      <c r="I143" s="7">
        <f>IF(H142="","",H142)</f>
        <v/>
      </c>
      <c r="J143" s="7" t="n">
        <v>5</v>
      </c>
      <c r="K143" s="7" t="n"/>
      <c r="L143" s="40" t="n"/>
      <c r="N143" s="41">
        <f>IF(AND(L143&lt;&gt;"",N(I143)&gt;0),IF(I143&gt;=PRs!D77,"PR!",""),"")</f>
        <v/>
      </c>
      <c r="O143" s="7" t="n"/>
    </row>
    <row r="144">
      <c r="C144" t="inlineStr">
        <is>
          <t xml:space="preserve">      Set 2</t>
        </is>
      </c>
      <c r="E144" t="n">
        <v>5</v>
      </c>
      <c r="H144" s="39">
        <f>IF(H142="","",H142)</f>
        <v/>
      </c>
      <c r="I144" s="7">
        <f>IF(H142="","",H142)</f>
        <v/>
      </c>
      <c r="J144" s="7" t="n">
        <v>5</v>
      </c>
      <c r="K144" s="7" t="n"/>
      <c r="L144" s="40" t="n"/>
      <c r="N144" s="41">
        <f>IF(AND(L144&lt;&gt;"",N(I144)&gt;0),IF(I144&gt;=PRs!D77,"PR!",""),"")</f>
        <v/>
      </c>
      <c r="O144" s="7" t="n"/>
    </row>
    <row r="145">
      <c r="A145" s="34" t="n"/>
      <c r="B145" s="34" t="n"/>
      <c r="C145" s="42" t="inlineStr">
        <is>
          <t>Clean &amp; Jerk</t>
        </is>
      </c>
      <c r="D145" s="34" t="inlineStr">
        <is>
          <t>4 x 1</t>
        </is>
      </c>
      <c r="E145" s="34" t="n"/>
      <c r="F145" s="34" t="n">
        <v>90</v>
      </c>
      <c r="G145" s="36">
        <f>Maxes!E7</f>
        <v/>
      </c>
      <c r="H145" s="37">
        <f>IF(OR(G145="",F145=""),"",MROUND(G145*F145/100,'Start Here'!$B$7))</f>
        <v/>
      </c>
      <c r="I145" s="34" t="n"/>
      <c r="J145" s="34" t="n"/>
      <c r="K145" s="34" t="n"/>
      <c r="L145" s="34" t="n"/>
      <c r="M145" s="34" t="n"/>
      <c r="N145" s="34" t="n"/>
      <c r="O145" s="38" t="inlineStr"/>
    </row>
    <row r="146">
      <c r="C146" t="inlineStr">
        <is>
          <t xml:space="preserve">      Set 1</t>
        </is>
      </c>
      <c r="E146" t="n">
        <v>1</v>
      </c>
      <c r="H146" s="39">
        <f>IF(H145="","",H145)</f>
        <v/>
      </c>
      <c r="I146" s="7">
        <f>IF(H145="","",H145)</f>
        <v/>
      </c>
      <c r="J146" s="7" t="n">
        <v>1</v>
      </c>
      <c r="K146" s="7" t="n"/>
      <c r="L146" s="40" t="n"/>
      <c r="M146">
        <f>IF(AND(L146&lt;&gt;"",N(I146)&gt;0,N(J146)&gt;0),IF(J146=1,I146,ROUND(I146*(1+J146/30),1)),"")</f>
        <v/>
      </c>
      <c r="N146" s="41">
        <f>IF(M146="","",IF(M146&gt;=PRs!C7,"PR!",""))</f>
        <v/>
      </c>
      <c r="O146" s="7" t="n"/>
    </row>
    <row r="147">
      <c r="C147" t="inlineStr">
        <is>
          <t xml:space="preserve">      Set 2</t>
        </is>
      </c>
      <c r="E147" t="n">
        <v>1</v>
      </c>
      <c r="H147" s="39">
        <f>IF(H145="","",H145)</f>
        <v/>
      </c>
      <c r="I147" s="7">
        <f>IF(H145="","",H145)</f>
        <v/>
      </c>
      <c r="J147" s="7" t="n">
        <v>1</v>
      </c>
      <c r="K147" s="7" t="n"/>
      <c r="L147" s="40" t="n"/>
      <c r="M147">
        <f>IF(AND(L147&lt;&gt;"",N(I147)&gt;0,N(J147)&gt;0),IF(J147=1,I147,ROUND(I147*(1+J147/30),1)),"")</f>
        <v/>
      </c>
      <c r="N147" s="41">
        <f>IF(M147="","",IF(M147&gt;=PRs!C7,"PR!",""))</f>
        <v/>
      </c>
      <c r="O147" s="7" t="n"/>
    </row>
    <row r="148">
      <c r="C148" t="inlineStr">
        <is>
          <t xml:space="preserve">      Set 3</t>
        </is>
      </c>
      <c r="E148" t="n">
        <v>1</v>
      </c>
      <c r="H148" s="39">
        <f>IF(H145="","",H145)</f>
        <v/>
      </c>
      <c r="I148" s="7">
        <f>IF(H145="","",H145)</f>
        <v/>
      </c>
      <c r="J148" s="7" t="n">
        <v>1</v>
      </c>
      <c r="K148" s="7" t="n"/>
      <c r="L148" s="40" t="n"/>
      <c r="M148">
        <f>IF(AND(L148&lt;&gt;"",N(I148)&gt;0,N(J148)&gt;0),IF(J148=1,I148,ROUND(I148*(1+J148/30),1)),"")</f>
        <v/>
      </c>
      <c r="N148" s="41">
        <f>IF(M148="","",IF(M148&gt;=PRs!C7,"PR!",""))</f>
        <v/>
      </c>
      <c r="O148" s="7" t="n"/>
    </row>
    <row r="149">
      <c r="C149" t="inlineStr">
        <is>
          <t xml:space="preserve">      Set 4</t>
        </is>
      </c>
      <c r="E149" t="n">
        <v>1</v>
      </c>
      <c r="H149" s="39">
        <f>IF(H145="","",H145)</f>
        <v/>
      </c>
      <c r="I149" s="7">
        <f>IF(H145="","",H145)</f>
        <v/>
      </c>
      <c r="J149" s="7" t="n">
        <v>1</v>
      </c>
      <c r="K149" s="7" t="n"/>
      <c r="L149" s="40" t="n"/>
      <c r="M149">
        <f>IF(AND(L149&lt;&gt;"",N(I149)&gt;0,N(J149)&gt;0),IF(J149=1,I149,ROUND(I149*(1+J149/30),1)),"")</f>
        <v/>
      </c>
      <c r="N149" s="41">
        <f>IF(M149="","",IF(M149&gt;=PRs!C7,"PR!",""))</f>
        <v/>
      </c>
      <c r="O149" s="7" t="n"/>
    </row>
    <row r="150">
      <c r="A150" s="34" t="n"/>
      <c r="B150" s="34" t="n"/>
      <c r="C150" s="42" t="inlineStr">
        <is>
          <t>Squat</t>
        </is>
      </c>
      <c r="D150" s="34" t="inlineStr">
        <is>
          <t>3 x 5</t>
        </is>
      </c>
      <c r="E150" s="34" t="n"/>
      <c r="F150" s="34" t="n">
        <v>70</v>
      </c>
      <c r="G150" s="36">
        <f>Maxes!E2</f>
        <v/>
      </c>
      <c r="H150" s="37">
        <f>IF(OR(G150="",F150=""),"",MROUND(G150*F150/100,'Start Here'!$B$7))</f>
        <v/>
      </c>
      <c r="I150" s="34" t="n"/>
      <c r="J150" s="34" t="n"/>
      <c r="K150" s="34" t="n"/>
      <c r="L150" s="34" t="n"/>
      <c r="M150" s="34" t="n"/>
      <c r="N150" s="34" t="n"/>
      <c r="O150" s="38" t="inlineStr"/>
    </row>
    <row r="151">
      <c r="C151" t="inlineStr">
        <is>
          <t xml:space="preserve">      Set 1</t>
        </is>
      </c>
      <c r="E151" t="n">
        <v>5</v>
      </c>
      <c r="H151" s="39">
        <f>IF(H150="","",H150)</f>
        <v/>
      </c>
      <c r="I151" s="7">
        <f>IF(H150="","",H150)</f>
        <v/>
      </c>
      <c r="J151" s="7" t="n">
        <v>5</v>
      </c>
      <c r="K151" s="7" t="n"/>
      <c r="L151" s="40" t="n"/>
      <c r="M151">
        <f>IF(AND(L151&lt;&gt;"",N(I151)&gt;0,N(J151)&gt;0),IF(J151=1,I151,ROUND(I151*(1+J151/30),1)),"")</f>
        <v/>
      </c>
      <c r="N151" s="41">
        <f>IF(M151="","",IF(M151&gt;=PRs!C2,"PR!",""))</f>
        <v/>
      </c>
      <c r="O151" s="7" t="n"/>
    </row>
    <row r="152">
      <c r="C152" t="inlineStr">
        <is>
          <t xml:space="preserve">      Set 2</t>
        </is>
      </c>
      <c r="E152" t="n">
        <v>5</v>
      </c>
      <c r="H152" s="39">
        <f>IF(H150="","",H150)</f>
        <v/>
      </c>
      <c r="I152" s="7">
        <f>IF(H150="","",H150)</f>
        <v/>
      </c>
      <c r="J152" s="7" t="n">
        <v>5</v>
      </c>
      <c r="K152" s="7" t="n"/>
      <c r="L152" s="40" t="n"/>
      <c r="M152">
        <f>IF(AND(L152&lt;&gt;"",N(I152)&gt;0,N(J152)&gt;0),IF(J152=1,I152,ROUND(I152*(1+J152/30),1)),"")</f>
        <v/>
      </c>
      <c r="N152" s="41">
        <f>IF(M152="","",IF(M152&gt;=PRs!C2,"PR!",""))</f>
        <v/>
      </c>
      <c r="O152" s="7" t="n"/>
    </row>
    <row r="153">
      <c r="C153" t="inlineStr">
        <is>
          <t xml:space="preserve">      Set 3</t>
        </is>
      </c>
      <c r="E153" t="n">
        <v>5</v>
      </c>
      <c r="H153" s="39">
        <f>IF(H150="","",H150)</f>
        <v/>
      </c>
      <c r="I153" s="7">
        <f>IF(H150="","",H150)</f>
        <v/>
      </c>
      <c r="J153" s="7" t="n">
        <v>5</v>
      </c>
      <c r="K153" s="7" t="n"/>
      <c r="L153" s="40" t="n"/>
      <c r="M153">
        <f>IF(AND(L153&lt;&gt;"",N(I153)&gt;0,N(J153)&gt;0),IF(J153=1,I153,ROUND(I153*(1+J153/30),1)),"")</f>
        <v/>
      </c>
      <c r="N153" s="41">
        <f>IF(M153="","",IF(M153&gt;=PRs!C2,"PR!",""))</f>
        <v/>
      </c>
      <c r="O153" s="7" t="n"/>
    </row>
    <row r="154">
      <c r="A154" s="34" t="n"/>
      <c r="B154" s="34" t="n"/>
      <c r="C154" s="42" t="inlineStr">
        <is>
          <t>Overhead Press</t>
        </is>
      </c>
      <c r="D154" s="34" t="inlineStr">
        <is>
          <t>5 x 3</t>
        </is>
      </c>
      <c r="E154" s="34" t="n"/>
      <c r="F154" s="34" t="n">
        <v>80</v>
      </c>
      <c r="G154" s="36">
        <f>Maxes!E5</f>
        <v/>
      </c>
      <c r="H154" s="37">
        <f>IF(OR(G154="",F154=""),"",MROUND(G154*F154/100,'Start Here'!$B$7))</f>
        <v/>
      </c>
      <c r="I154" s="34" t="n"/>
      <c r="J154" s="34" t="n"/>
      <c r="K154" s="34" t="n"/>
      <c r="L154" s="34" t="n"/>
      <c r="M154" s="34" t="n"/>
      <c r="N154" s="34" t="n"/>
      <c r="O154" s="38" t="inlineStr"/>
    </row>
    <row r="155">
      <c r="C155" t="inlineStr">
        <is>
          <t xml:space="preserve">      Set 1</t>
        </is>
      </c>
      <c r="E155" t="n">
        <v>3</v>
      </c>
      <c r="H155" s="39">
        <f>IF(H154="","",H154)</f>
        <v/>
      </c>
      <c r="I155" s="7">
        <f>IF(H154="","",H154)</f>
        <v/>
      </c>
      <c r="J155" s="7" t="n">
        <v>3</v>
      </c>
      <c r="K155" s="7" t="n"/>
      <c r="L155" s="40" t="n"/>
      <c r="M155">
        <f>IF(AND(L155&lt;&gt;"",N(I155)&gt;0,N(J155)&gt;0),IF(J155=1,I155,ROUND(I155*(1+J155/30),1)),"")</f>
        <v/>
      </c>
      <c r="N155" s="41">
        <f>IF(M155="","",IF(M155&gt;=PRs!C5,"PR!",""))</f>
        <v/>
      </c>
      <c r="O155" s="7" t="n"/>
    </row>
    <row r="156">
      <c r="C156" t="inlineStr">
        <is>
          <t xml:space="preserve">      Set 2</t>
        </is>
      </c>
      <c r="E156" t="n">
        <v>3</v>
      </c>
      <c r="H156" s="39">
        <f>IF(H154="","",H154)</f>
        <v/>
      </c>
      <c r="I156" s="7">
        <f>IF(H154="","",H154)</f>
        <v/>
      </c>
      <c r="J156" s="7" t="n">
        <v>3</v>
      </c>
      <c r="K156" s="7" t="n"/>
      <c r="L156" s="40" t="n"/>
      <c r="M156">
        <f>IF(AND(L156&lt;&gt;"",N(I156)&gt;0,N(J156)&gt;0),IF(J156=1,I156,ROUND(I156*(1+J156/30),1)),"")</f>
        <v/>
      </c>
      <c r="N156" s="41">
        <f>IF(M156="","",IF(M156&gt;=PRs!C5,"PR!",""))</f>
        <v/>
      </c>
      <c r="O156" s="7" t="n"/>
    </row>
    <row r="157">
      <c r="C157" t="inlineStr">
        <is>
          <t xml:space="preserve">      Set 3</t>
        </is>
      </c>
      <c r="E157" t="n">
        <v>3</v>
      </c>
      <c r="H157" s="39">
        <f>IF(H154="","",H154)</f>
        <v/>
      </c>
      <c r="I157" s="7">
        <f>IF(H154="","",H154)</f>
        <v/>
      </c>
      <c r="J157" s="7" t="n">
        <v>3</v>
      </c>
      <c r="K157" s="7" t="n"/>
      <c r="L157" s="40" t="n"/>
      <c r="M157">
        <f>IF(AND(L157&lt;&gt;"",N(I157)&gt;0,N(J157)&gt;0),IF(J157=1,I157,ROUND(I157*(1+J157/30),1)),"")</f>
        <v/>
      </c>
      <c r="N157" s="41">
        <f>IF(M157="","",IF(M157&gt;=PRs!C5,"PR!",""))</f>
        <v/>
      </c>
      <c r="O157" s="7" t="n"/>
    </row>
    <row r="158">
      <c r="C158" t="inlineStr">
        <is>
          <t xml:space="preserve">      Set 4</t>
        </is>
      </c>
      <c r="E158" t="n">
        <v>3</v>
      </c>
      <c r="H158" s="39">
        <f>IF(H154="","",H154)</f>
        <v/>
      </c>
      <c r="I158" s="7">
        <f>IF(H154="","",H154)</f>
        <v/>
      </c>
      <c r="J158" s="7" t="n">
        <v>3</v>
      </c>
      <c r="K158" s="7" t="n"/>
      <c r="L158" s="40" t="n"/>
      <c r="M158">
        <f>IF(AND(L158&lt;&gt;"",N(I158)&gt;0,N(J158)&gt;0),IF(J158=1,I158,ROUND(I158*(1+J158/30),1)),"")</f>
        <v/>
      </c>
      <c r="N158" s="41">
        <f>IF(M158="","",IF(M158&gt;=PRs!C5,"PR!",""))</f>
        <v/>
      </c>
      <c r="O158" s="7" t="n"/>
    </row>
    <row r="159">
      <c r="C159" t="inlineStr">
        <is>
          <t xml:space="preserve">      Set 5</t>
        </is>
      </c>
      <c r="E159" t="n">
        <v>3</v>
      </c>
      <c r="H159" s="39">
        <f>IF(H154="","",H154)</f>
        <v/>
      </c>
      <c r="I159" s="7">
        <f>IF(H154="","",H154)</f>
        <v/>
      </c>
      <c r="J159" s="7" t="n">
        <v>3</v>
      </c>
      <c r="K159" s="7" t="n"/>
      <c r="L159" s="40" t="n"/>
      <c r="M159">
        <f>IF(AND(L159&lt;&gt;"",N(I159)&gt;0,N(J159)&gt;0),IF(J159=1,I159,ROUND(I159*(1+J159/30),1)),"")</f>
        <v/>
      </c>
      <c r="N159" s="41">
        <f>IF(M159="","",IF(M159&gt;=PRs!C5,"PR!",""))</f>
        <v/>
      </c>
      <c r="O159" s="7" t="n"/>
    </row>
    <row r="160">
      <c r="A160" s="34" t="n"/>
      <c r="B160" s="34" t="n"/>
      <c r="C160" s="42" t="inlineStr">
        <is>
          <t>Deadlift</t>
        </is>
      </c>
      <c r="D160" s="34" t="inlineStr">
        <is>
          <t>4 x 3</t>
        </is>
      </c>
      <c r="E160" s="34" t="n"/>
      <c r="F160" s="34" t="n">
        <v>80</v>
      </c>
      <c r="G160" s="36">
        <f>Maxes!E4</f>
        <v/>
      </c>
      <c r="H160" s="37">
        <f>IF(OR(G160="",F160=""),"",MROUND(G160*F160/100,'Start Here'!$B$7))</f>
        <v/>
      </c>
      <c r="I160" s="34" t="n"/>
      <c r="J160" s="34" t="n"/>
      <c r="K160" s="34" t="n"/>
      <c r="L160" s="34" t="n"/>
      <c r="M160" s="34" t="n"/>
      <c r="N160" s="34" t="n"/>
      <c r="O160" s="38" t="inlineStr"/>
    </row>
    <row r="161">
      <c r="C161" t="inlineStr">
        <is>
          <t xml:space="preserve">      Set 1</t>
        </is>
      </c>
      <c r="E161" t="n">
        <v>3</v>
      </c>
      <c r="H161" s="39">
        <f>IF(H160="","",H160)</f>
        <v/>
      </c>
      <c r="I161" s="7">
        <f>IF(H160="","",H160)</f>
        <v/>
      </c>
      <c r="J161" s="7" t="n">
        <v>3</v>
      </c>
      <c r="K161" s="7" t="n"/>
      <c r="L161" s="40" t="n"/>
      <c r="M161">
        <f>IF(AND(L161&lt;&gt;"",N(I161)&gt;0,N(J161)&gt;0),IF(J161=1,I161,ROUND(I161*(1+J161/30),1)),"")</f>
        <v/>
      </c>
      <c r="N161" s="41">
        <f>IF(M161="","",IF(M161&gt;=PRs!C4,"PR!",""))</f>
        <v/>
      </c>
      <c r="O161" s="7" t="n"/>
    </row>
    <row r="162">
      <c r="C162" t="inlineStr">
        <is>
          <t xml:space="preserve">      Set 2</t>
        </is>
      </c>
      <c r="E162" t="n">
        <v>3</v>
      </c>
      <c r="H162" s="39">
        <f>IF(H160="","",H160)</f>
        <v/>
      </c>
      <c r="I162" s="7">
        <f>IF(H160="","",H160)</f>
        <v/>
      </c>
      <c r="J162" s="7" t="n">
        <v>3</v>
      </c>
      <c r="K162" s="7" t="n"/>
      <c r="L162" s="40" t="n"/>
      <c r="M162">
        <f>IF(AND(L162&lt;&gt;"",N(I162)&gt;0,N(J162)&gt;0),IF(J162=1,I162,ROUND(I162*(1+J162/30),1)),"")</f>
        <v/>
      </c>
      <c r="N162" s="41">
        <f>IF(M162="","",IF(M162&gt;=PRs!C4,"PR!",""))</f>
        <v/>
      </c>
      <c r="O162" s="7" t="n"/>
    </row>
    <row r="163">
      <c r="C163" t="inlineStr">
        <is>
          <t xml:space="preserve">      Set 3</t>
        </is>
      </c>
      <c r="E163" t="n">
        <v>3</v>
      </c>
      <c r="H163" s="39">
        <f>IF(H160="","",H160)</f>
        <v/>
      </c>
      <c r="I163" s="7">
        <f>IF(H160="","",H160)</f>
        <v/>
      </c>
      <c r="J163" s="7" t="n">
        <v>3</v>
      </c>
      <c r="K163" s="7" t="n"/>
      <c r="L163" s="40" t="n"/>
      <c r="M163">
        <f>IF(AND(L163&lt;&gt;"",N(I163)&gt;0,N(J163)&gt;0),IF(J163=1,I163,ROUND(I163*(1+J163/30),1)),"")</f>
        <v/>
      </c>
      <c r="N163" s="41">
        <f>IF(M163="","",IF(M163&gt;=PRs!C4,"PR!",""))</f>
        <v/>
      </c>
      <c r="O163" s="7" t="n"/>
    </row>
    <row r="164">
      <c r="C164" t="inlineStr">
        <is>
          <t xml:space="preserve">      Set 4</t>
        </is>
      </c>
      <c r="E164" t="n">
        <v>3</v>
      </c>
      <c r="H164" s="39">
        <f>IF(H160="","",H160)</f>
        <v/>
      </c>
      <c r="I164" s="7">
        <f>IF(H160="","",H160)</f>
        <v/>
      </c>
      <c r="J164" s="7" t="n">
        <v>3</v>
      </c>
      <c r="K164" s="7" t="n"/>
      <c r="L164" s="40" t="n"/>
      <c r="M164">
        <f>IF(AND(L164&lt;&gt;"",N(I164)&gt;0,N(J164)&gt;0),IF(J164=1,I164,ROUND(I164*(1+J164/30),1)),"")</f>
        <v/>
      </c>
      <c r="N164" s="41">
        <f>IF(M164="","",IF(M164&gt;=PRs!C4,"PR!",""))</f>
        <v/>
      </c>
      <c r="O164" s="7" t="n"/>
    </row>
    <row r="165">
      <c r="A165" s="34" t="n"/>
      <c r="B165" s="34" t="n"/>
      <c r="C165" s="43" t="inlineStr">
        <is>
          <t>Chin-up</t>
        </is>
      </c>
      <c r="D165" s="34" t="inlineStr">
        <is>
          <t>3 x 6-10</t>
        </is>
      </c>
      <c r="E165" s="34" t="n"/>
      <c r="F165" s="34" t="n"/>
      <c r="G165" s="36" t="n"/>
      <c r="H165" s="37" t="n"/>
      <c r="I165" s="34" t="n"/>
      <c r="J165" s="34" t="n"/>
      <c r="K165" s="34" t="n"/>
      <c r="L165" s="34" t="n"/>
      <c r="M165" s="34" t="n"/>
      <c r="N165" s="34" t="n"/>
      <c r="O165" s="38" t="inlineStr">
        <is>
          <t>Leave 1-2 reps in the tank; add weight when you hit the top of the range</t>
        </is>
      </c>
    </row>
    <row r="166">
      <c r="C166" t="inlineStr">
        <is>
          <t xml:space="preserve">      Set 1</t>
        </is>
      </c>
      <c r="E166" t="n">
        <v>6</v>
      </c>
      <c r="H166" s="39">
        <f>IF(H165="","",H165)</f>
        <v/>
      </c>
      <c r="I166" s="7">
        <f>IF(H165="","",H165)</f>
        <v/>
      </c>
      <c r="J166" s="7" t="n">
        <v>6</v>
      </c>
      <c r="K166" s="7" t="n"/>
      <c r="L166" s="40" t="n"/>
      <c r="M166">
        <f>IF(AND(L166&lt;&gt;"",N(I166)&gt;0,N(J166)&gt;0),IF(J166=1,I166,ROUND(I166*(1+J166/30),1)),"")</f>
        <v/>
      </c>
      <c r="N166" s="41">
        <f>IF(M166="","",IF(M166&gt;=PRs!C53,"PR!",""))</f>
        <v/>
      </c>
      <c r="O166" s="7" t="n"/>
    </row>
    <row r="167">
      <c r="C167" t="inlineStr">
        <is>
          <t xml:space="preserve">      Set 2</t>
        </is>
      </c>
      <c r="E167" t="n">
        <v>6</v>
      </c>
      <c r="H167" s="39">
        <f>IF(H165="","",H165)</f>
        <v/>
      </c>
      <c r="I167" s="7">
        <f>IF(H165="","",H165)</f>
        <v/>
      </c>
      <c r="J167" s="7" t="n">
        <v>6</v>
      </c>
      <c r="K167" s="7" t="n"/>
      <c r="L167" s="40" t="n"/>
      <c r="M167">
        <f>IF(AND(L167&lt;&gt;"",N(I167)&gt;0,N(J167)&gt;0),IF(J167=1,I167,ROUND(I167*(1+J167/30),1)),"")</f>
        <v/>
      </c>
      <c r="N167" s="41">
        <f>IF(M167="","",IF(M167&gt;=PRs!C53,"PR!",""))</f>
        <v/>
      </c>
      <c r="O167" s="7" t="n"/>
    </row>
    <row r="168">
      <c r="C168" t="inlineStr">
        <is>
          <t xml:space="preserve">      Set 3</t>
        </is>
      </c>
      <c r="E168" t="n">
        <v>6</v>
      </c>
      <c r="H168" s="39">
        <f>IF(H165="","",H165)</f>
        <v/>
      </c>
      <c r="I168" s="7">
        <f>IF(H165="","",H165)</f>
        <v/>
      </c>
      <c r="J168" s="7" t="n">
        <v>6</v>
      </c>
      <c r="K168" s="7" t="n"/>
      <c r="L168" s="40" t="n"/>
      <c r="M168">
        <f>IF(AND(L168&lt;&gt;"",N(I168)&gt;0,N(J168)&gt;0),IF(J168=1,I168,ROUND(I168*(1+J168/30),1)),"")</f>
        <v/>
      </c>
      <c r="N168" s="41">
        <f>IF(M168="","",IF(M168&gt;=PRs!C53,"PR!",""))</f>
        <v/>
      </c>
      <c r="O168" s="7" t="n"/>
    </row>
    <row r="169">
      <c r="A169" s="34" t="n"/>
      <c r="B169" s="34" t="n"/>
      <c r="C169" s="43" t="inlineStr">
        <is>
          <t>Plank</t>
        </is>
      </c>
      <c r="D169" s="34" t="inlineStr">
        <is>
          <t>3 x 30-60s</t>
        </is>
      </c>
      <c r="E169" s="34" t="n"/>
      <c r="F169" s="34" t="n"/>
      <c r="G169" s="36" t="n"/>
      <c r="H169" s="37" t="n"/>
      <c r="I169" s="34" t="n"/>
      <c r="J169" s="34" t="n"/>
      <c r="K169" s="34" t="n"/>
      <c r="L169" s="34" t="n"/>
      <c r="M169" s="34" t="n"/>
      <c r="N169" s="34" t="n"/>
      <c r="O169" s="38" t="inlineStr">
        <is>
          <t>Leave 1-2 reps in the tank; add weight when you hit the top of the range</t>
        </is>
      </c>
    </row>
    <row r="170">
      <c r="C170" t="inlineStr">
        <is>
          <t xml:space="preserve">      Set 1</t>
        </is>
      </c>
      <c r="E170" t="n">
        <v>30</v>
      </c>
      <c r="H170" s="39">
        <f>IF(H169="","",H169)</f>
        <v/>
      </c>
      <c r="I170" s="7">
        <f>IF(H169="","",H169)</f>
        <v/>
      </c>
      <c r="J170" s="7" t="n">
        <v>30</v>
      </c>
      <c r="K170" s="7" t="n"/>
      <c r="L170" s="40" t="n"/>
      <c r="M170">
        <f>IF(AND(L170&lt;&gt;"",N(I170)&gt;0,N(J170)&gt;0),IF(J170=1,I170,ROUND(I170*(1+J170/30),1)),"")</f>
        <v/>
      </c>
      <c r="N170" s="41">
        <f>IF(M170="","",IF(M170&gt;=PRs!C56,"PR!",""))</f>
        <v/>
      </c>
      <c r="O170" s="7" t="n"/>
    </row>
    <row r="171">
      <c r="C171" t="inlineStr">
        <is>
          <t xml:space="preserve">      Set 2</t>
        </is>
      </c>
      <c r="E171" t="n">
        <v>30</v>
      </c>
      <c r="H171" s="39">
        <f>IF(H169="","",H169)</f>
        <v/>
      </c>
      <c r="I171" s="7">
        <f>IF(H169="","",H169)</f>
        <v/>
      </c>
      <c r="J171" s="7" t="n">
        <v>30</v>
      </c>
      <c r="K171" s="7" t="n"/>
      <c r="L171" s="40" t="n"/>
      <c r="M171">
        <f>IF(AND(L171&lt;&gt;"",N(I171)&gt;0,N(J171)&gt;0),IF(J171=1,I171,ROUND(I171*(1+J171/30),1)),"")</f>
        <v/>
      </c>
      <c r="N171" s="41">
        <f>IF(M171="","",IF(M171&gt;=PRs!C56,"PR!",""))</f>
        <v/>
      </c>
      <c r="O171" s="7" t="n"/>
    </row>
    <row r="172">
      <c r="C172" t="inlineStr">
        <is>
          <t xml:space="preserve">      Set 3</t>
        </is>
      </c>
      <c r="E172" t="n">
        <v>30</v>
      </c>
      <c r="H172" s="39">
        <f>IF(H169="","",H169)</f>
        <v/>
      </c>
      <c r="I172" s="7">
        <f>IF(H169="","",H169)</f>
        <v/>
      </c>
      <c r="J172" s="7" t="n">
        <v>30</v>
      </c>
      <c r="K172" s="7" t="n"/>
      <c r="L172" s="40" t="n"/>
      <c r="M172">
        <f>IF(AND(L172&lt;&gt;"",N(I172)&gt;0,N(J172)&gt;0),IF(J172=1,I172,ROUND(I172*(1+J172/30),1)),"")</f>
        <v/>
      </c>
      <c r="N172" s="41">
        <f>IF(M172="","",IF(M172&gt;=PRs!C56,"PR!",""))</f>
        <v/>
      </c>
      <c r="O172" s="7" t="n"/>
    </row>
    <row r="173">
      <c r="A173" s="31" t="inlineStr">
        <is>
          <t>Day 3 - Variations</t>
        </is>
      </c>
      <c r="B173" s="32">
        <f>'Start Here'!$B$8+67</f>
        <v/>
      </c>
      <c r="C173" s="33" t="n"/>
      <c r="D173" s="33" t="n"/>
      <c r="E173" s="33" t="n"/>
      <c r="F173" s="33" t="n"/>
      <c r="G173" s="33" t="n"/>
      <c r="H173" s="33" t="n"/>
      <c r="I173" s="33" t="n"/>
      <c r="J173" s="33" t="n"/>
      <c r="K173" s="33" t="n"/>
      <c r="L173" s="33" t="n"/>
      <c r="M173" s="33" t="n"/>
      <c r="N173" s="33" t="n"/>
      <c r="O173" s="33" t="n"/>
    </row>
    <row r="174">
      <c r="A174" s="34" t="n"/>
      <c r="B174" s="34" t="n"/>
      <c r="C174" s="35" t="inlineStr">
        <is>
          <t>Vertical Jump</t>
        </is>
      </c>
      <c r="D174" s="34" t="inlineStr">
        <is>
          <t>3 x 2</t>
        </is>
      </c>
      <c r="E174" s="34" t="n"/>
      <c r="F174" s="34" t="n"/>
      <c r="G174" s="36" t="n"/>
      <c r="H174" s="37">
        <f>IF(N(Maxes!E71)&gt;0,Maxes!E71,"")</f>
        <v/>
      </c>
      <c r="I174" s="34" t="n"/>
      <c r="J174" s="34" t="n"/>
      <c r="K174" s="34" t="n"/>
      <c r="L174" s="34" t="n"/>
      <c r="M174" s="34" t="n"/>
      <c r="N174" s="34" t="n"/>
      <c r="O174" s="38" t="inlineStr">
        <is>
          <t>Stand side-on to a wall, reach up and mark it; jump and touch as high as you can. Log jump mark minus standing reach.</t>
        </is>
      </c>
    </row>
    <row r="175">
      <c r="C175" t="inlineStr">
        <is>
          <t xml:space="preserve">      Set 1</t>
        </is>
      </c>
      <c r="E175" t="n">
        <v>2</v>
      </c>
      <c r="H175" s="39">
        <f>IF(H174="","",H174)</f>
        <v/>
      </c>
      <c r="I175" s="7">
        <f>IF(H174="","",H174)</f>
        <v/>
      </c>
      <c r="J175" s="7" t="n">
        <v>2</v>
      </c>
      <c r="K175" s="7" t="n"/>
      <c r="L175" s="40" t="n"/>
      <c r="N175" s="41">
        <f>IF(AND(L175&lt;&gt;"",N(I175)&gt;0),IF(I175&gt;=PRs!D71,"PR!",""),"")</f>
        <v/>
      </c>
      <c r="O175" s="7" t="n"/>
    </row>
    <row r="176">
      <c r="C176" t="inlineStr">
        <is>
          <t xml:space="preserve">      Set 2</t>
        </is>
      </c>
      <c r="E176" t="n">
        <v>2</v>
      </c>
      <c r="H176" s="39">
        <f>IF(H174="","",H174)</f>
        <v/>
      </c>
      <c r="I176" s="7">
        <f>IF(H174="","",H174)</f>
        <v/>
      </c>
      <c r="J176" s="7" t="n">
        <v>2</v>
      </c>
      <c r="K176" s="7" t="n"/>
      <c r="L176" s="40" t="n"/>
      <c r="N176" s="41">
        <f>IF(AND(L176&lt;&gt;"",N(I176)&gt;0),IF(I176&gt;=PRs!D71,"PR!",""),"")</f>
        <v/>
      </c>
      <c r="O176" s="7" t="n"/>
    </row>
    <row r="177">
      <c r="C177" t="inlineStr">
        <is>
          <t xml:space="preserve">      Set 3</t>
        </is>
      </c>
      <c r="E177" t="n">
        <v>2</v>
      </c>
      <c r="H177" s="39">
        <f>IF(H174="","",H174)</f>
        <v/>
      </c>
      <c r="I177" s="7">
        <f>IF(H174="","",H174)</f>
        <v/>
      </c>
      <c r="J177" s="7" t="n">
        <v>2</v>
      </c>
      <c r="K177" s="7" t="n"/>
      <c r="L177" s="40" t="n"/>
      <c r="N177" s="41">
        <f>IF(AND(L177&lt;&gt;"",N(I177)&gt;0),IF(I177&gt;=PRs!D71,"PR!",""),"")</f>
        <v/>
      </c>
      <c r="O177" s="7" t="n"/>
    </row>
    <row r="178">
      <c r="A178" s="34" t="n"/>
      <c r="B178" s="34" t="n"/>
      <c r="C178" s="42" t="inlineStr">
        <is>
          <t>Hang Snatch</t>
        </is>
      </c>
      <c r="D178" s="34" t="inlineStr">
        <is>
          <t>5 x 2</t>
        </is>
      </c>
      <c r="E178" s="34" t="n"/>
      <c r="F178" s="34" t="n">
        <v>80</v>
      </c>
      <c r="G178" s="36">
        <f>Maxes!E35</f>
        <v/>
      </c>
      <c r="H178" s="37">
        <f>IF(OR(G178="",F178=""),"",MROUND(G178*F178/100,'Start Here'!$B$7))</f>
        <v/>
      </c>
      <c r="I178" s="34" t="n"/>
      <c r="J178" s="34" t="n"/>
      <c r="K178" s="34" t="n"/>
      <c r="L178" s="34" t="n"/>
      <c r="M178" s="34" t="n"/>
      <c r="N178" s="34" t="n"/>
      <c r="O178" s="38" t="inlineStr"/>
    </row>
    <row r="179">
      <c r="C179" t="inlineStr">
        <is>
          <t xml:space="preserve">      Set 1</t>
        </is>
      </c>
      <c r="E179" t="n">
        <v>2</v>
      </c>
      <c r="H179" s="39">
        <f>IF(H178="","",H178)</f>
        <v/>
      </c>
      <c r="I179" s="7">
        <f>IF(H178="","",H178)</f>
        <v/>
      </c>
      <c r="J179" s="7" t="n">
        <v>2</v>
      </c>
      <c r="K179" s="7" t="n"/>
      <c r="L179" s="40" t="n"/>
      <c r="M179">
        <f>IF(AND(L179&lt;&gt;"",N(I179)&gt;0,N(J179)&gt;0),IF(J179=1,I179,ROUND(I179*(1+J179/30),1)),"")</f>
        <v/>
      </c>
      <c r="N179" s="41">
        <f>IF(M179="","",IF(M179&gt;=PRs!C35,"PR!",""))</f>
        <v/>
      </c>
      <c r="O179" s="7" t="n"/>
    </row>
    <row r="180">
      <c r="C180" t="inlineStr">
        <is>
          <t xml:space="preserve">      Set 2</t>
        </is>
      </c>
      <c r="E180" t="n">
        <v>2</v>
      </c>
      <c r="H180" s="39">
        <f>IF(H178="","",H178)</f>
        <v/>
      </c>
      <c r="I180" s="7">
        <f>IF(H178="","",H178)</f>
        <v/>
      </c>
      <c r="J180" s="7" t="n">
        <v>2</v>
      </c>
      <c r="K180" s="7" t="n"/>
      <c r="L180" s="40" t="n"/>
      <c r="M180">
        <f>IF(AND(L180&lt;&gt;"",N(I180)&gt;0,N(J180)&gt;0),IF(J180=1,I180,ROUND(I180*(1+J180/30),1)),"")</f>
        <v/>
      </c>
      <c r="N180" s="41">
        <f>IF(M180="","",IF(M180&gt;=PRs!C35,"PR!",""))</f>
        <v/>
      </c>
      <c r="O180" s="7" t="n"/>
    </row>
    <row r="181">
      <c r="C181" t="inlineStr">
        <is>
          <t xml:space="preserve">      Set 3</t>
        </is>
      </c>
      <c r="E181" t="n">
        <v>2</v>
      </c>
      <c r="H181" s="39">
        <f>IF(H178="","",H178)</f>
        <v/>
      </c>
      <c r="I181" s="7">
        <f>IF(H178="","",H178)</f>
        <v/>
      </c>
      <c r="J181" s="7" t="n">
        <v>2</v>
      </c>
      <c r="K181" s="7" t="n"/>
      <c r="L181" s="40" t="n"/>
      <c r="M181">
        <f>IF(AND(L181&lt;&gt;"",N(I181)&gt;0,N(J181)&gt;0),IF(J181=1,I181,ROUND(I181*(1+J181/30),1)),"")</f>
        <v/>
      </c>
      <c r="N181" s="41">
        <f>IF(M181="","",IF(M181&gt;=PRs!C35,"PR!",""))</f>
        <v/>
      </c>
      <c r="O181" s="7" t="n"/>
    </row>
    <row r="182">
      <c r="C182" t="inlineStr">
        <is>
          <t xml:space="preserve">      Set 4</t>
        </is>
      </c>
      <c r="E182" t="n">
        <v>2</v>
      </c>
      <c r="H182" s="39">
        <f>IF(H178="","",H178)</f>
        <v/>
      </c>
      <c r="I182" s="7">
        <f>IF(H178="","",H178)</f>
        <v/>
      </c>
      <c r="J182" s="7" t="n">
        <v>2</v>
      </c>
      <c r="K182" s="7" t="n"/>
      <c r="L182" s="40" t="n"/>
      <c r="M182">
        <f>IF(AND(L182&lt;&gt;"",N(I182)&gt;0,N(J182)&gt;0),IF(J182=1,I182,ROUND(I182*(1+J182/30),1)),"")</f>
        <v/>
      </c>
      <c r="N182" s="41">
        <f>IF(M182="","",IF(M182&gt;=PRs!C35,"PR!",""))</f>
        <v/>
      </c>
      <c r="O182" s="7" t="n"/>
    </row>
    <row r="183">
      <c r="C183" t="inlineStr">
        <is>
          <t xml:space="preserve">      Set 5</t>
        </is>
      </c>
      <c r="E183" t="n">
        <v>2</v>
      </c>
      <c r="H183" s="39">
        <f>IF(H178="","",H178)</f>
        <v/>
      </c>
      <c r="I183" s="7">
        <f>IF(H178="","",H178)</f>
        <v/>
      </c>
      <c r="J183" s="7" t="n">
        <v>2</v>
      </c>
      <c r="K183" s="7" t="n"/>
      <c r="L183" s="40" t="n"/>
      <c r="M183">
        <f>IF(AND(L183&lt;&gt;"",N(I183)&gt;0,N(J183)&gt;0),IF(J183=1,I183,ROUND(I183*(1+J183/30),1)),"")</f>
        <v/>
      </c>
      <c r="N183" s="41">
        <f>IF(M183="","",IF(M183&gt;=PRs!C35,"PR!",""))</f>
        <v/>
      </c>
      <c r="O183" s="7" t="n"/>
    </row>
    <row r="184">
      <c r="A184" s="34" t="n"/>
      <c r="B184" s="34" t="n"/>
      <c r="C184" s="42" t="inlineStr">
        <is>
          <t>Front Squat</t>
        </is>
      </c>
      <c r="D184" s="34" t="inlineStr">
        <is>
          <t>5 x 3</t>
        </is>
      </c>
      <c r="E184" s="34" t="n"/>
      <c r="F184" s="34" t="n">
        <v>80</v>
      </c>
      <c r="G184" s="36">
        <f>Maxes!E10</f>
        <v/>
      </c>
      <c r="H184" s="37">
        <f>IF(OR(G184="",F184=""),"",MROUND(G184*F184/100,'Start Here'!$B$7))</f>
        <v/>
      </c>
      <c r="I184" s="34" t="n"/>
      <c r="J184" s="34" t="n"/>
      <c r="K184" s="34" t="n"/>
      <c r="L184" s="34" t="n"/>
      <c r="M184" s="34" t="n"/>
      <c r="N184" s="34" t="n"/>
      <c r="O184" s="38" t="inlineStr"/>
    </row>
    <row r="185">
      <c r="C185" t="inlineStr">
        <is>
          <t xml:space="preserve">      Set 1</t>
        </is>
      </c>
      <c r="E185" t="n">
        <v>3</v>
      </c>
      <c r="H185" s="39">
        <f>IF(H184="","",H184)</f>
        <v/>
      </c>
      <c r="I185" s="7">
        <f>IF(H184="","",H184)</f>
        <v/>
      </c>
      <c r="J185" s="7" t="n">
        <v>3</v>
      </c>
      <c r="K185" s="7" t="n"/>
      <c r="L185" s="40" t="n"/>
      <c r="M185">
        <f>IF(AND(L185&lt;&gt;"",N(I185)&gt;0,N(J185)&gt;0),IF(J185=1,I185,ROUND(I185*(1+J185/30),1)),"")</f>
        <v/>
      </c>
      <c r="N185" s="41">
        <f>IF(M185="","",IF(M185&gt;=PRs!C10,"PR!",""))</f>
        <v/>
      </c>
      <c r="O185" s="7" t="n"/>
    </row>
    <row r="186">
      <c r="C186" t="inlineStr">
        <is>
          <t xml:space="preserve">      Set 2</t>
        </is>
      </c>
      <c r="E186" t="n">
        <v>3</v>
      </c>
      <c r="H186" s="39">
        <f>IF(H184="","",H184)</f>
        <v/>
      </c>
      <c r="I186" s="7">
        <f>IF(H184="","",H184)</f>
        <v/>
      </c>
      <c r="J186" s="7" t="n">
        <v>3</v>
      </c>
      <c r="K186" s="7" t="n"/>
      <c r="L186" s="40" t="n"/>
      <c r="M186">
        <f>IF(AND(L186&lt;&gt;"",N(I186)&gt;0,N(J186)&gt;0),IF(J186=1,I186,ROUND(I186*(1+J186/30),1)),"")</f>
        <v/>
      </c>
      <c r="N186" s="41">
        <f>IF(M186="","",IF(M186&gt;=PRs!C10,"PR!",""))</f>
        <v/>
      </c>
      <c r="O186" s="7" t="n"/>
    </row>
    <row r="187">
      <c r="C187" t="inlineStr">
        <is>
          <t xml:space="preserve">      Set 3</t>
        </is>
      </c>
      <c r="E187" t="n">
        <v>3</v>
      </c>
      <c r="H187" s="39">
        <f>IF(H184="","",H184)</f>
        <v/>
      </c>
      <c r="I187" s="7">
        <f>IF(H184="","",H184)</f>
        <v/>
      </c>
      <c r="J187" s="7" t="n">
        <v>3</v>
      </c>
      <c r="K187" s="7" t="n"/>
      <c r="L187" s="40" t="n"/>
      <c r="M187">
        <f>IF(AND(L187&lt;&gt;"",N(I187)&gt;0,N(J187)&gt;0),IF(J187=1,I187,ROUND(I187*(1+J187/30),1)),"")</f>
        <v/>
      </c>
      <c r="N187" s="41">
        <f>IF(M187="","",IF(M187&gt;=PRs!C10,"PR!",""))</f>
        <v/>
      </c>
      <c r="O187" s="7" t="n"/>
    </row>
    <row r="188">
      <c r="C188" t="inlineStr">
        <is>
          <t xml:space="preserve">      Set 4</t>
        </is>
      </c>
      <c r="E188" t="n">
        <v>3</v>
      </c>
      <c r="H188" s="39">
        <f>IF(H184="","",H184)</f>
        <v/>
      </c>
      <c r="I188" s="7">
        <f>IF(H184="","",H184)</f>
        <v/>
      </c>
      <c r="J188" s="7" t="n">
        <v>3</v>
      </c>
      <c r="K188" s="7" t="n"/>
      <c r="L188" s="40" t="n"/>
      <c r="M188">
        <f>IF(AND(L188&lt;&gt;"",N(I188)&gt;0,N(J188)&gt;0),IF(J188=1,I188,ROUND(I188*(1+J188/30),1)),"")</f>
        <v/>
      </c>
      <c r="N188" s="41">
        <f>IF(M188="","",IF(M188&gt;=PRs!C10,"PR!",""))</f>
        <v/>
      </c>
      <c r="O188" s="7" t="n"/>
    </row>
    <row r="189">
      <c r="C189" t="inlineStr">
        <is>
          <t xml:space="preserve">      Set 5</t>
        </is>
      </c>
      <c r="E189" t="n">
        <v>3</v>
      </c>
      <c r="H189" s="39">
        <f>IF(H184="","",H184)</f>
        <v/>
      </c>
      <c r="I189" s="7">
        <f>IF(H184="","",H184)</f>
        <v/>
      </c>
      <c r="J189" s="7" t="n">
        <v>3</v>
      </c>
      <c r="K189" s="7" t="n"/>
      <c r="L189" s="40" t="n"/>
      <c r="M189">
        <f>IF(AND(L189&lt;&gt;"",N(I189)&gt;0,N(J189)&gt;0),IF(J189=1,I189,ROUND(I189*(1+J189/30),1)),"")</f>
        <v/>
      </c>
      <c r="N189" s="41">
        <f>IF(M189="","",IF(M189&gt;=PRs!C10,"PR!",""))</f>
        <v/>
      </c>
      <c r="O189" s="7" t="n"/>
    </row>
    <row r="190">
      <c r="A190" s="34" t="n"/>
      <c r="B190" s="34" t="n"/>
      <c r="C190" s="42" t="inlineStr">
        <is>
          <t>Pause Bench Press</t>
        </is>
      </c>
      <c r="D190" s="34" t="inlineStr">
        <is>
          <t>5 x 3</t>
        </is>
      </c>
      <c r="E190" s="34" t="n"/>
      <c r="F190" s="34" t="n">
        <v>80</v>
      </c>
      <c r="G190" s="36">
        <f>Maxes!E18</f>
        <v/>
      </c>
      <c r="H190" s="37">
        <f>IF(OR(G190="",F190=""),"",MROUND(G190*F190/100,'Start Here'!$B$7))</f>
        <v/>
      </c>
      <c r="I190" s="34" t="n"/>
      <c r="J190" s="34" t="n"/>
      <c r="K190" s="34" t="n"/>
      <c r="L190" s="34" t="n"/>
      <c r="M190" s="34" t="n"/>
      <c r="N190" s="34" t="n"/>
      <c r="O190" s="38" t="inlineStr"/>
    </row>
    <row r="191">
      <c r="C191" t="inlineStr">
        <is>
          <t xml:space="preserve">      Set 1</t>
        </is>
      </c>
      <c r="E191" t="n">
        <v>3</v>
      </c>
      <c r="H191" s="39">
        <f>IF(H190="","",H190)</f>
        <v/>
      </c>
      <c r="I191" s="7">
        <f>IF(H190="","",H190)</f>
        <v/>
      </c>
      <c r="J191" s="7" t="n">
        <v>3</v>
      </c>
      <c r="K191" s="7" t="n"/>
      <c r="L191" s="40" t="n"/>
      <c r="M191">
        <f>IF(AND(L191&lt;&gt;"",N(I191)&gt;0,N(J191)&gt;0),IF(J191=1,I191,ROUND(I191*(1+J191/30),1)),"")</f>
        <v/>
      </c>
      <c r="N191" s="41">
        <f>IF(M191="","",IF(M191&gt;=PRs!C18,"PR!",""))</f>
        <v/>
      </c>
      <c r="O191" s="7" t="n"/>
    </row>
    <row r="192">
      <c r="C192" t="inlineStr">
        <is>
          <t xml:space="preserve">      Set 2</t>
        </is>
      </c>
      <c r="E192" t="n">
        <v>3</v>
      </c>
      <c r="H192" s="39">
        <f>IF(H190="","",H190)</f>
        <v/>
      </c>
      <c r="I192" s="7">
        <f>IF(H190="","",H190)</f>
        <v/>
      </c>
      <c r="J192" s="7" t="n">
        <v>3</v>
      </c>
      <c r="K192" s="7" t="n"/>
      <c r="L192" s="40" t="n"/>
      <c r="M192">
        <f>IF(AND(L192&lt;&gt;"",N(I192)&gt;0,N(J192)&gt;0),IF(J192=1,I192,ROUND(I192*(1+J192/30),1)),"")</f>
        <v/>
      </c>
      <c r="N192" s="41">
        <f>IF(M192="","",IF(M192&gt;=PRs!C18,"PR!",""))</f>
        <v/>
      </c>
      <c r="O192" s="7" t="n"/>
    </row>
    <row r="193">
      <c r="C193" t="inlineStr">
        <is>
          <t xml:space="preserve">      Set 3</t>
        </is>
      </c>
      <c r="E193" t="n">
        <v>3</v>
      </c>
      <c r="H193" s="39">
        <f>IF(H190="","",H190)</f>
        <v/>
      </c>
      <c r="I193" s="7">
        <f>IF(H190="","",H190)</f>
        <v/>
      </c>
      <c r="J193" s="7" t="n">
        <v>3</v>
      </c>
      <c r="K193" s="7" t="n"/>
      <c r="L193" s="40" t="n"/>
      <c r="M193">
        <f>IF(AND(L193&lt;&gt;"",N(I193)&gt;0,N(J193)&gt;0),IF(J193=1,I193,ROUND(I193*(1+J193/30),1)),"")</f>
        <v/>
      </c>
      <c r="N193" s="41">
        <f>IF(M193="","",IF(M193&gt;=PRs!C18,"PR!",""))</f>
        <v/>
      </c>
      <c r="O193" s="7" t="n"/>
    </row>
    <row r="194">
      <c r="C194" t="inlineStr">
        <is>
          <t xml:space="preserve">      Set 4</t>
        </is>
      </c>
      <c r="E194" t="n">
        <v>3</v>
      </c>
      <c r="H194" s="39">
        <f>IF(H190="","",H190)</f>
        <v/>
      </c>
      <c r="I194" s="7">
        <f>IF(H190="","",H190)</f>
        <v/>
      </c>
      <c r="J194" s="7" t="n">
        <v>3</v>
      </c>
      <c r="K194" s="7" t="n"/>
      <c r="L194" s="40" t="n"/>
      <c r="M194">
        <f>IF(AND(L194&lt;&gt;"",N(I194)&gt;0,N(J194)&gt;0),IF(J194=1,I194,ROUND(I194*(1+J194/30),1)),"")</f>
        <v/>
      </c>
      <c r="N194" s="41">
        <f>IF(M194="","",IF(M194&gt;=PRs!C18,"PR!",""))</f>
        <v/>
      </c>
      <c r="O194" s="7" t="n"/>
    </row>
    <row r="195">
      <c r="C195" t="inlineStr">
        <is>
          <t xml:space="preserve">      Set 5</t>
        </is>
      </c>
      <c r="E195" t="n">
        <v>3</v>
      </c>
      <c r="H195" s="39">
        <f>IF(H190="","",H190)</f>
        <v/>
      </c>
      <c r="I195" s="7">
        <f>IF(H190="","",H190)</f>
        <v/>
      </c>
      <c r="J195" s="7" t="n">
        <v>3</v>
      </c>
      <c r="K195" s="7" t="n"/>
      <c r="L195" s="40" t="n"/>
      <c r="M195">
        <f>IF(AND(L195&lt;&gt;"",N(I195)&gt;0,N(J195)&gt;0),IF(J195=1,I195,ROUND(I195*(1+J195/30),1)),"")</f>
        <v/>
      </c>
      <c r="N195" s="41">
        <f>IF(M195="","",IF(M195&gt;=PRs!C18,"PR!",""))</f>
        <v/>
      </c>
      <c r="O195" s="7" t="n"/>
    </row>
    <row r="196">
      <c r="A196" s="34" t="n"/>
      <c r="B196" s="34" t="n"/>
      <c r="C196" s="42" t="inlineStr">
        <is>
          <t>Paused Deadlift</t>
        </is>
      </c>
      <c r="D196" s="34" t="inlineStr">
        <is>
          <t>3 x 5</t>
        </is>
      </c>
      <c r="E196" s="34" t="n"/>
      <c r="F196" s="34" t="n">
        <v>70</v>
      </c>
      <c r="G196" s="36">
        <f>Maxes!E25</f>
        <v/>
      </c>
      <c r="H196" s="37">
        <f>IF(OR(G196="",F196=""),"",MROUND(G196*F196/100,'Start Here'!$B$7))</f>
        <v/>
      </c>
      <c r="I196" s="34" t="n"/>
      <c r="J196" s="34" t="n"/>
      <c r="K196" s="34" t="n"/>
      <c r="L196" s="34" t="n"/>
      <c r="M196" s="34" t="n"/>
      <c r="N196" s="34" t="n"/>
      <c r="O196" s="38" t="inlineStr"/>
    </row>
    <row r="197">
      <c r="C197" t="inlineStr">
        <is>
          <t xml:space="preserve">      Set 1</t>
        </is>
      </c>
      <c r="E197" t="n">
        <v>5</v>
      </c>
      <c r="H197" s="39">
        <f>IF(H196="","",H196)</f>
        <v/>
      </c>
      <c r="I197" s="7">
        <f>IF(H196="","",H196)</f>
        <v/>
      </c>
      <c r="J197" s="7" t="n">
        <v>5</v>
      </c>
      <c r="K197" s="7" t="n"/>
      <c r="L197" s="40" t="n"/>
      <c r="M197">
        <f>IF(AND(L197&lt;&gt;"",N(I197)&gt;0,N(J197)&gt;0),IF(J197=1,I197,ROUND(I197*(1+J197/30),1)),"")</f>
        <v/>
      </c>
      <c r="N197" s="41">
        <f>IF(M197="","",IF(M197&gt;=PRs!C25,"PR!",""))</f>
        <v/>
      </c>
      <c r="O197" s="7" t="n"/>
    </row>
    <row r="198">
      <c r="C198" t="inlineStr">
        <is>
          <t xml:space="preserve">      Set 2</t>
        </is>
      </c>
      <c r="E198" t="n">
        <v>5</v>
      </c>
      <c r="H198" s="39">
        <f>IF(H196="","",H196)</f>
        <v/>
      </c>
      <c r="I198" s="7">
        <f>IF(H196="","",H196)</f>
        <v/>
      </c>
      <c r="J198" s="7" t="n">
        <v>5</v>
      </c>
      <c r="K198" s="7" t="n"/>
      <c r="L198" s="40" t="n"/>
      <c r="M198">
        <f>IF(AND(L198&lt;&gt;"",N(I198)&gt;0,N(J198)&gt;0),IF(J198=1,I198,ROUND(I198*(1+J198/30),1)),"")</f>
        <v/>
      </c>
      <c r="N198" s="41">
        <f>IF(M198="","",IF(M198&gt;=PRs!C25,"PR!",""))</f>
        <v/>
      </c>
      <c r="O198" s="7" t="n"/>
    </row>
    <row r="199">
      <c r="C199" t="inlineStr">
        <is>
          <t xml:space="preserve">      Set 3</t>
        </is>
      </c>
      <c r="E199" t="n">
        <v>5</v>
      </c>
      <c r="H199" s="39">
        <f>IF(H196="","",H196)</f>
        <v/>
      </c>
      <c r="I199" s="7">
        <f>IF(H196="","",H196)</f>
        <v/>
      </c>
      <c r="J199" s="7" t="n">
        <v>5</v>
      </c>
      <c r="K199" s="7" t="n"/>
      <c r="L199" s="40" t="n"/>
      <c r="M199">
        <f>IF(AND(L199&lt;&gt;"",N(I199)&gt;0,N(J199)&gt;0),IF(J199=1,I199,ROUND(I199*(1+J199/30),1)),"")</f>
        <v/>
      </c>
      <c r="N199" s="41">
        <f>IF(M199="","",IF(M199&gt;=PRs!C25,"PR!",""))</f>
        <v/>
      </c>
      <c r="O199" s="7" t="n"/>
    </row>
    <row r="200">
      <c r="A200" s="34" t="n"/>
      <c r="B200" s="34" t="n"/>
      <c r="C200" s="43" t="inlineStr">
        <is>
          <t>Incline Dumbbell Press</t>
        </is>
      </c>
      <c r="D200" s="34" t="inlineStr">
        <is>
          <t>3 x 8-12</t>
        </is>
      </c>
      <c r="E200" s="34" t="n"/>
      <c r="F200" s="34" t="n"/>
      <c r="G200" s="36" t="n"/>
      <c r="H200" s="37" t="n"/>
      <c r="I200" s="34" t="n"/>
      <c r="J200" s="34" t="n"/>
      <c r="K200" s="34" t="n"/>
      <c r="L200" s="34" t="n"/>
      <c r="M200" s="34" t="n"/>
      <c r="N200" s="34" t="n"/>
      <c r="O200" s="38" t="inlineStr">
        <is>
          <t>Leave 1-2 reps in the tank; add weight when you hit the top of the range</t>
        </is>
      </c>
    </row>
    <row r="201">
      <c r="C201" t="inlineStr">
        <is>
          <t xml:space="preserve">      Set 1</t>
        </is>
      </c>
      <c r="E201" t="n">
        <v>8</v>
      </c>
      <c r="H201" s="39">
        <f>IF(H200="","",H200)</f>
        <v/>
      </c>
      <c r="I201" s="7">
        <f>IF(H200="","",H200)</f>
        <v/>
      </c>
      <c r="J201" s="7" t="n">
        <v>8</v>
      </c>
      <c r="K201" s="7" t="n"/>
      <c r="L201" s="40" t="n"/>
      <c r="M201">
        <f>IF(AND(L201&lt;&gt;"",N(I201)&gt;0,N(J201)&gt;0),IF(J201=1,I201,ROUND(I201*(1+J201/30),1)),"")</f>
        <v/>
      </c>
      <c r="N201" s="41">
        <f>IF(M201="","",IF(M201&gt;=PRs!C57,"PR!",""))</f>
        <v/>
      </c>
      <c r="O201" s="7" t="n"/>
    </row>
    <row r="202">
      <c r="C202" t="inlineStr">
        <is>
          <t xml:space="preserve">      Set 2</t>
        </is>
      </c>
      <c r="E202" t="n">
        <v>8</v>
      </c>
      <c r="H202" s="39">
        <f>IF(H200="","",H200)</f>
        <v/>
      </c>
      <c r="I202" s="7">
        <f>IF(H200="","",H200)</f>
        <v/>
      </c>
      <c r="J202" s="7" t="n">
        <v>8</v>
      </c>
      <c r="K202" s="7" t="n"/>
      <c r="L202" s="40" t="n"/>
      <c r="M202">
        <f>IF(AND(L202&lt;&gt;"",N(I202)&gt;0,N(J202)&gt;0),IF(J202=1,I202,ROUND(I202*(1+J202/30),1)),"")</f>
        <v/>
      </c>
      <c r="N202" s="41">
        <f>IF(M202="","",IF(M202&gt;=PRs!C57,"PR!",""))</f>
        <v/>
      </c>
      <c r="O202" s="7" t="n"/>
    </row>
    <row r="203">
      <c r="C203" t="inlineStr">
        <is>
          <t xml:space="preserve">      Set 3</t>
        </is>
      </c>
      <c r="E203" t="n">
        <v>8</v>
      </c>
      <c r="H203" s="39">
        <f>IF(H200="","",H200)</f>
        <v/>
      </c>
      <c r="I203" s="7">
        <f>IF(H200="","",H200)</f>
        <v/>
      </c>
      <c r="J203" s="7" t="n">
        <v>8</v>
      </c>
      <c r="K203" s="7" t="n"/>
      <c r="L203" s="40" t="n"/>
      <c r="M203">
        <f>IF(AND(L203&lt;&gt;"",N(I203)&gt;0,N(J203)&gt;0),IF(J203=1,I203,ROUND(I203*(1+J203/30),1)),"")</f>
        <v/>
      </c>
      <c r="N203" s="41">
        <f>IF(M203="","",IF(M203&gt;=PRs!C57,"PR!",""))</f>
        <v/>
      </c>
      <c r="O203" s="7" t="n"/>
    </row>
    <row r="204">
      <c r="A204" s="34" t="n"/>
      <c r="B204" s="34" t="n"/>
      <c r="C204" s="43" t="inlineStr">
        <is>
          <t>Triceps Pushdown</t>
        </is>
      </c>
      <c r="D204" s="34" t="inlineStr">
        <is>
          <t>3 x 10-15</t>
        </is>
      </c>
      <c r="E204" s="34" t="n"/>
      <c r="F204" s="34" t="n"/>
      <c r="G204" s="36" t="n"/>
      <c r="H204" s="37" t="n"/>
      <c r="I204" s="34" t="n"/>
      <c r="J204" s="34" t="n"/>
      <c r="K204" s="34" t="n"/>
      <c r="L204" s="34" t="n"/>
      <c r="M204" s="34" t="n"/>
      <c r="N204" s="34" t="n"/>
      <c r="O204" s="38" t="inlineStr">
        <is>
          <t>Leave 1-2 reps in the tank; add weight when you hit the top of the range</t>
        </is>
      </c>
    </row>
    <row r="205">
      <c r="C205" t="inlineStr">
        <is>
          <t xml:space="preserve">      Set 1</t>
        </is>
      </c>
      <c r="E205" t="n">
        <v>10</v>
      </c>
      <c r="H205" s="39">
        <f>IF(H204="","",H204)</f>
        <v/>
      </c>
      <c r="I205" s="7">
        <f>IF(H204="","",H204)</f>
        <v/>
      </c>
      <c r="J205" s="7" t="n">
        <v>10</v>
      </c>
      <c r="K205" s="7" t="n"/>
      <c r="L205" s="40" t="n"/>
      <c r="M205">
        <f>IF(AND(L205&lt;&gt;"",N(I205)&gt;0,N(J205)&gt;0),IF(J205=1,I205,ROUND(I205*(1+J205/30),1)),"")</f>
        <v/>
      </c>
      <c r="N205" s="41">
        <f>IF(M205="","",IF(M205&gt;=PRs!C59,"PR!",""))</f>
        <v/>
      </c>
      <c r="O205" s="7" t="n"/>
    </row>
    <row r="206">
      <c r="C206" t="inlineStr">
        <is>
          <t xml:space="preserve">      Set 2</t>
        </is>
      </c>
      <c r="E206" t="n">
        <v>10</v>
      </c>
      <c r="H206" s="39">
        <f>IF(H204="","",H204)</f>
        <v/>
      </c>
      <c r="I206" s="7">
        <f>IF(H204="","",H204)</f>
        <v/>
      </c>
      <c r="J206" s="7" t="n">
        <v>10</v>
      </c>
      <c r="K206" s="7" t="n"/>
      <c r="L206" s="40" t="n"/>
      <c r="M206">
        <f>IF(AND(L206&lt;&gt;"",N(I206)&gt;0,N(J206)&gt;0),IF(J206=1,I206,ROUND(I206*(1+J206/30),1)),"")</f>
        <v/>
      </c>
      <c r="N206" s="41">
        <f>IF(M206="","",IF(M206&gt;=PRs!C59,"PR!",""))</f>
        <v/>
      </c>
      <c r="O206" s="7" t="n"/>
    </row>
    <row r="207">
      <c r="C207" t="inlineStr">
        <is>
          <t xml:space="preserve">      Set 3</t>
        </is>
      </c>
      <c r="E207" t="n">
        <v>10</v>
      </c>
      <c r="H207" s="39">
        <f>IF(H204="","",H204)</f>
        <v/>
      </c>
      <c r="I207" s="7">
        <f>IF(H204="","",H204)</f>
        <v/>
      </c>
      <c r="J207" s="7" t="n">
        <v>10</v>
      </c>
      <c r="K207" s="7" t="n"/>
      <c r="L207" s="40" t="n"/>
      <c r="M207">
        <f>IF(AND(L207&lt;&gt;"",N(I207)&gt;0,N(J207)&gt;0),IF(J207=1,I207,ROUND(I207*(1+J207/30),1)),"")</f>
        <v/>
      </c>
      <c r="N207" s="41">
        <f>IF(M207="","",IF(M207&gt;=PRs!C59,"PR!",""))</f>
        <v/>
      </c>
      <c r="O207" s="7" t="n"/>
    </row>
    <row r="209">
      <c r="A209" s="28" t="inlineStr">
        <is>
          <t>WEEK 11 - CYCLE 1 - TAPER</t>
        </is>
      </c>
      <c r="B209" s="29" t="n"/>
      <c r="C209" s="29" t="n"/>
      <c r="D209" s="29" t="n"/>
      <c r="E209" s="29" t="n"/>
      <c r="F209" s="29" t="n"/>
      <c r="G209" s="29" t="n"/>
      <c r="H209" s="30" t="inlineStr">
        <is>
          <t>Bodyweight:</t>
        </is>
      </c>
      <c r="I209" s="7" t="n"/>
      <c r="J209" s="29" t="n"/>
      <c r="K209" s="29" t="n"/>
      <c r="L209" s="29" t="n"/>
      <c r="M209" s="29" t="n"/>
      <c r="N209" s="29" t="n"/>
      <c r="O209" s="29" t="n"/>
    </row>
    <row r="210">
      <c r="A210" s="31" t="inlineStr">
        <is>
          <t>Day 1 - Heavy</t>
        </is>
      </c>
      <c r="B210" s="32">
        <f>'Start Here'!$B$8+70</f>
        <v/>
      </c>
      <c r="C210" s="33" t="n"/>
      <c r="D210" s="33" t="n"/>
      <c r="E210" s="33" t="n"/>
      <c r="F210" s="33" t="n"/>
      <c r="G210" s="33" t="n"/>
      <c r="H210" s="33" t="n"/>
      <c r="I210" s="33" t="n"/>
      <c r="J210" s="33" t="n"/>
      <c r="K210" s="33" t="n"/>
      <c r="L210" s="33" t="n"/>
      <c r="M210" s="33" t="n"/>
      <c r="N210" s="33" t="n"/>
      <c r="O210" s="33" t="n"/>
    </row>
    <row r="211">
      <c r="A211" s="34" t="n"/>
      <c r="B211" s="34" t="n"/>
      <c r="C211" s="35" t="inlineStr">
        <is>
          <t>Box Jump</t>
        </is>
      </c>
      <c r="D211" s="34" t="inlineStr">
        <is>
          <t>2 x 2</t>
        </is>
      </c>
      <c r="E211" s="34" t="n"/>
      <c r="F211" s="34" t="n"/>
      <c r="G211" s="36" t="n"/>
      <c r="H211" s="37">
        <f>IF(N(Maxes!E69)&gt;0,Maxes!E69,'Start Here'!$G$16)</f>
        <v/>
      </c>
      <c r="I211" s="34" t="n"/>
      <c r="J211" s="34" t="n"/>
      <c r="K211" s="34" t="n"/>
      <c r="L211" s="34" t="n"/>
      <c r="M211" s="34" t="n"/>
      <c r="N211" s="34" t="n"/>
      <c r="O211" s="38" t="inlineStr">
        <is>
          <t>Two-foot jump onto a box, land soft in a quarter squat, STEP down. Log the box height (floor to top of box).</t>
        </is>
      </c>
    </row>
    <row r="212">
      <c r="C212" t="inlineStr">
        <is>
          <t xml:space="preserve">      Set 1</t>
        </is>
      </c>
      <c r="E212" t="n">
        <v>2</v>
      </c>
      <c r="H212" s="39">
        <f>IF(H211="","",H211)</f>
        <v/>
      </c>
      <c r="I212" s="7">
        <f>IF(H211="","",H211)</f>
        <v/>
      </c>
      <c r="J212" s="7" t="n">
        <v>2</v>
      </c>
      <c r="K212" s="7" t="n"/>
      <c r="L212" s="40" t="n"/>
      <c r="N212" s="41">
        <f>IF(AND(L212&lt;&gt;"",N(I212)&gt;0),IF(I212&gt;=PRs!D69,"PR!",""),"")</f>
        <v/>
      </c>
      <c r="O212" s="7" t="n"/>
    </row>
    <row r="213">
      <c r="C213" t="inlineStr">
        <is>
          <t xml:space="preserve">      Set 2</t>
        </is>
      </c>
      <c r="E213" t="n">
        <v>2</v>
      </c>
      <c r="H213" s="39">
        <f>IF(H211="","",H211)</f>
        <v/>
      </c>
      <c r="I213" s="7">
        <f>IF(H211="","",H211)</f>
        <v/>
      </c>
      <c r="J213" s="7" t="n">
        <v>2</v>
      </c>
      <c r="K213" s="7" t="n"/>
      <c r="L213" s="40" t="n"/>
      <c r="N213" s="41">
        <f>IF(AND(L213&lt;&gt;"",N(I213)&gt;0),IF(I213&gt;=PRs!D69,"PR!",""),"")</f>
        <v/>
      </c>
      <c r="O213" s="7" t="n"/>
    </row>
    <row r="214">
      <c r="A214" s="34" t="n"/>
      <c r="B214" s="34" t="n"/>
      <c r="C214" s="42" t="inlineStr">
        <is>
          <t>Snatch</t>
        </is>
      </c>
      <c r="D214" s="34" t="inlineStr">
        <is>
          <t>3 x 1</t>
        </is>
      </c>
      <c r="E214" s="34" t="n"/>
      <c r="F214" s="34" t="n">
        <v>80</v>
      </c>
      <c r="G214" s="36">
        <f>Maxes!E6</f>
        <v/>
      </c>
      <c r="H214" s="37">
        <f>IF(OR(G214="",F214=""),"",MROUND(G214*F214/100,'Start Here'!$B$7))</f>
        <v/>
      </c>
      <c r="I214" s="34" t="n"/>
      <c r="J214" s="34" t="n"/>
      <c r="K214" s="34" t="n"/>
      <c r="L214" s="34" t="n"/>
      <c r="M214" s="34" t="n"/>
      <c r="N214" s="34" t="n"/>
      <c r="O214" s="38" t="inlineStr">
        <is>
          <t>Keep it heavy but short - no grinding</t>
        </is>
      </c>
    </row>
    <row r="215">
      <c r="C215" t="inlineStr">
        <is>
          <t xml:space="preserve">      Set 1</t>
        </is>
      </c>
      <c r="E215" t="n">
        <v>1</v>
      </c>
      <c r="H215" s="39">
        <f>IF(H214="","",H214)</f>
        <v/>
      </c>
      <c r="I215" s="7">
        <f>IF(H214="","",H214)</f>
        <v/>
      </c>
      <c r="J215" s="7" t="n">
        <v>1</v>
      </c>
      <c r="K215" s="7" t="n"/>
      <c r="L215" s="40" t="n"/>
      <c r="M215">
        <f>IF(AND(L215&lt;&gt;"",N(I215)&gt;0,N(J215)&gt;0),IF(J215=1,I215,ROUND(I215*(1+J215/30),1)),"")</f>
        <v/>
      </c>
      <c r="N215" s="41">
        <f>IF(M215="","",IF(M215&gt;=PRs!C6,"PR!",""))</f>
        <v/>
      </c>
      <c r="O215" s="7" t="n"/>
    </row>
    <row r="216">
      <c r="C216" t="inlineStr">
        <is>
          <t xml:space="preserve">      Set 2</t>
        </is>
      </c>
      <c r="E216" t="n">
        <v>1</v>
      </c>
      <c r="H216" s="39">
        <f>IF(H214="","",H214)</f>
        <v/>
      </c>
      <c r="I216" s="7">
        <f>IF(H214="","",H214)</f>
        <v/>
      </c>
      <c r="J216" s="7" t="n">
        <v>1</v>
      </c>
      <c r="K216" s="7" t="n"/>
      <c r="L216" s="40" t="n"/>
      <c r="M216">
        <f>IF(AND(L216&lt;&gt;"",N(I216)&gt;0,N(J216)&gt;0),IF(J216=1,I216,ROUND(I216*(1+J216/30),1)),"")</f>
        <v/>
      </c>
      <c r="N216" s="41">
        <f>IF(M216="","",IF(M216&gt;=PRs!C6,"PR!",""))</f>
        <v/>
      </c>
      <c r="O216" s="7" t="n"/>
    </row>
    <row r="217">
      <c r="C217" t="inlineStr">
        <is>
          <t xml:space="preserve">      Set 3</t>
        </is>
      </c>
      <c r="E217" t="n">
        <v>1</v>
      </c>
      <c r="H217" s="39">
        <f>IF(H214="","",H214)</f>
        <v/>
      </c>
      <c r="I217" s="7">
        <f>IF(H214="","",H214)</f>
        <v/>
      </c>
      <c r="J217" s="7" t="n">
        <v>1</v>
      </c>
      <c r="K217" s="7" t="n"/>
      <c r="L217" s="40" t="n"/>
      <c r="M217">
        <f>IF(AND(L217&lt;&gt;"",N(I217)&gt;0,N(J217)&gt;0),IF(J217=1,I217,ROUND(I217*(1+J217/30),1)),"")</f>
        <v/>
      </c>
      <c r="N217" s="41">
        <f>IF(M217="","",IF(M217&gt;=PRs!C6,"PR!",""))</f>
        <v/>
      </c>
      <c r="O217" s="7" t="n"/>
    </row>
    <row r="218">
      <c r="A218" s="34" t="n"/>
      <c r="B218" s="34" t="n"/>
      <c r="C218" s="42" t="inlineStr">
        <is>
          <t>Squat</t>
        </is>
      </c>
      <c r="D218" s="34" t="inlineStr">
        <is>
          <t>3 x 2</t>
        </is>
      </c>
      <c r="E218" s="34" t="n"/>
      <c r="F218" s="34" t="n">
        <v>80</v>
      </c>
      <c r="G218" s="36">
        <f>Maxes!E2</f>
        <v/>
      </c>
      <c r="H218" s="37">
        <f>IF(OR(G218="",F218=""),"",MROUND(G218*F218/100,'Start Here'!$B$7))</f>
        <v/>
      </c>
      <c r="I218" s="34" t="n"/>
      <c r="J218" s="34" t="n"/>
      <c r="K218" s="34" t="n"/>
      <c r="L218" s="34" t="n"/>
      <c r="M218" s="34" t="n"/>
      <c r="N218" s="34" t="n"/>
      <c r="O218" s="38" t="inlineStr">
        <is>
          <t>Keep it heavy but short - no grinding</t>
        </is>
      </c>
    </row>
    <row r="219">
      <c r="C219" t="inlineStr">
        <is>
          <t xml:space="preserve">      Set 1</t>
        </is>
      </c>
      <c r="E219" t="n">
        <v>2</v>
      </c>
      <c r="H219" s="39">
        <f>IF(H218="","",H218)</f>
        <v/>
      </c>
      <c r="I219" s="7">
        <f>IF(H218="","",H218)</f>
        <v/>
      </c>
      <c r="J219" s="7" t="n">
        <v>2</v>
      </c>
      <c r="K219" s="7" t="n"/>
      <c r="L219" s="40" t="n"/>
      <c r="M219">
        <f>IF(AND(L219&lt;&gt;"",N(I219)&gt;0,N(J219)&gt;0),IF(J219=1,I219,ROUND(I219*(1+J219/30),1)),"")</f>
        <v/>
      </c>
      <c r="N219" s="41">
        <f>IF(M219="","",IF(M219&gt;=PRs!C2,"PR!",""))</f>
        <v/>
      </c>
      <c r="O219" s="7" t="n"/>
    </row>
    <row r="220">
      <c r="C220" t="inlineStr">
        <is>
          <t xml:space="preserve">      Set 2</t>
        </is>
      </c>
      <c r="E220" t="n">
        <v>2</v>
      </c>
      <c r="H220" s="39">
        <f>IF(H218="","",H218)</f>
        <v/>
      </c>
      <c r="I220" s="7">
        <f>IF(H218="","",H218)</f>
        <v/>
      </c>
      <c r="J220" s="7" t="n">
        <v>2</v>
      </c>
      <c r="K220" s="7" t="n"/>
      <c r="L220" s="40" t="n"/>
      <c r="M220">
        <f>IF(AND(L220&lt;&gt;"",N(I220)&gt;0,N(J220)&gt;0),IF(J220=1,I220,ROUND(I220*(1+J220/30),1)),"")</f>
        <v/>
      </c>
      <c r="N220" s="41">
        <f>IF(M220="","",IF(M220&gt;=PRs!C2,"PR!",""))</f>
        <v/>
      </c>
      <c r="O220" s="7" t="n"/>
    </row>
    <row r="221">
      <c r="C221" t="inlineStr">
        <is>
          <t xml:space="preserve">      Set 3</t>
        </is>
      </c>
      <c r="E221" t="n">
        <v>2</v>
      </c>
      <c r="H221" s="39">
        <f>IF(H218="","",H218)</f>
        <v/>
      </c>
      <c r="I221" s="7">
        <f>IF(H218="","",H218)</f>
        <v/>
      </c>
      <c r="J221" s="7" t="n">
        <v>2</v>
      </c>
      <c r="K221" s="7" t="n"/>
      <c r="L221" s="40" t="n"/>
      <c r="M221">
        <f>IF(AND(L221&lt;&gt;"",N(I221)&gt;0,N(J221)&gt;0),IF(J221=1,I221,ROUND(I221*(1+J221/30),1)),"")</f>
        <v/>
      </c>
      <c r="N221" s="41">
        <f>IF(M221="","",IF(M221&gt;=PRs!C2,"PR!",""))</f>
        <v/>
      </c>
      <c r="O221" s="7" t="n"/>
    </row>
    <row r="222">
      <c r="A222" s="34" t="n"/>
      <c r="B222" s="34" t="n"/>
      <c r="C222" s="42" t="inlineStr">
        <is>
          <t>Bench Press</t>
        </is>
      </c>
      <c r="D222" s="34" t="inlineStr">
        <is>
          <t>3 x 2</t>
        </is>
      </c>
      <c r="E222" s="34" t="n"/>
      <c r="F222" s="34" t="n">
        <v>80</v>
      </c>
      <c r="G222" s="36">
        <f>Maxes!E3</f>
        <v/>
      </c>
      <c r="H222" s="37">
        <f>IF(OR(G222="",F222=""),"",MROUND(G222*F222/100,'Start Here'!$B$7))</f>
        <v/>
      </c>
      <c r="I222" s="34" t="n"/>
      <c r="J222" s="34" t="n"/>
      <c r="K222" s="34" t="n"/>
      <c r="L222" s="34" t="n"/>
      <c r="M222" s="34" t="n"/>
      <c r="N222" s="34" t="n"/>
      <c r="O222" s="38" t="inlineStr">
        <is>
          <t>Keep it heavy but short - no grinding</t>
        </is>
      </c>
    </row>
    <row r="223">
      <c r="C223" t="inlineStr">
        <is>
          <t xml:space="preserve">      Set 1</t>
        </is>
      </c>
      <c r="E223" t="n">
        <v>2</v>
      </c>
      <c r="H223" s="39">
        <f>IF(H222="","",H222)</f>
        <v/>
      </c>
      <c r="I223" s="7">
        <f>IF(H222="","",H222)</f>
        <v/>
      </c>
      <c r="J223" s="7" t="n">
        <v>2</v>
      </c>
      <c r="K223" s="7" t="n"/>
      <c r="L223" s="40" t="n"/>
      <c r="M223">
        <f>IF(AND(L223&lt;&gt;"",N(I223)&gt;0,N(J223)&gt;0),IF(J223=1,I223,ROUND(I223*(1+J223/30),1)),"")</f>
        <v/>
      </c>
      <c r="N223" s="41">
        <f>IF(M223="","",IF(M223&gt;=PRs!C3,"PR!",""))</f>
        <v/>
      </c>
      <c r="O223" s="7" t="n"/>
    </row>
    <row r="224">
      <c r="C224" t="inlineStr">
        <is>
          <t xml:space="preserve">      Set 2</t>
        </is>
      </c>
      <c r="E224" t="n">
        <v>2</v>
      </c>
      <c r="H224" s="39">
        <f>IF(H222="","",H222)</f>
        <v/>
      </c>
      <c r="I224" s="7">
        <f>IF(H222="","",H222)</f>
        <v/>
      </c>
      <c r="J224" s="7" t="n">
        <v>2</v>
      </c>
      <c r="K224" s="7" t="n"/>
      <c r="L224" s="40" t="n"/>
      <c r="M224">
        <f>IF(AND(L224&lt;&gt;"",N(I224)&gt;0,N(J224)&gt;0),IF(J224=1,I224,ROUND(I224*(1+J224/30),1)),"")</f>
        <v/>
      </c>
      <c r="N224" s="41">
        <f>IF(M224="","",IF(M224&gt;=PRs!C3,"PR!",""))</f>
        <v/>
      </c>
      <c r="O224" s="7" t="n"/>
    </row>
    <row r="225">
      <c r="C225" t="inlineStr">
        <is>
          <t xml:space="preserve">      Set 3</t>
        </is>
      </c>
      <c r="E225" t="n">
        <v>2</v>
      </c>
      <c r="H225" s="39">
        <f>IF(H222="","",H222)</f>
        <v/>
      </c>
      <c r="I225" s="7">
        <f>IF(H222="","",H222)</f>
        <v/>
      </c>
      <c r="J225" s="7" t="n">
        <v>2</v>
      </c>
      <c r="K225" s="7" t="n"/>
      <c r="L225" s="40" t="n"/>
      <c r="M225">
        <f>IF(AND(L225&lt;&gt;"",N(I225)&gt;0,N(J225)&gt;0),IF(J225=1,I225,ROUND(I225*(1+J225/30),1)),"")</f>
        <v/>
      </c>
      <c r="N225" s="41">
        <f>IF(M225="","",IF(M225&gt;=PRs!C3,"PR!",""))</f>
        <v/>
      </c>
      <c r="O225" s="7" t="n"/>
    </row>
    <row r="226">
      <c r="A226" s="34" t="n"/>
      <c r="B226" s="34" t="n"/>
      <c r="C226" s="43" t="inlineStr">
        <is>
          <t>Barbell Row</t>
        </is>
      </c>
      <c r="D226" s="34" t="inlineStr">
        <is>
          <t>2 x 8-10</t>
        </is>
      </c>
      <c r="E226" s="34" t="n"/>
      <c r="F226" s="34" t="n"/>
      <c r="G226" s="36" t="n"/>
      <c r="H226" s="37" t="n"/>
      <c r="I226" s="34" t="n"/>
      <c r="J226" s="34" t="n"/>
      <c r="K226" s="34" t="n"/>
      <c r="L226" s="34" t="n"/>
      <c r="M226" s="34" t="n"/>
      <c r="N226" s="34" t="n"/>
      <c r="O226" s="38" t="inlineStr">
        <is>
          <t>Light - save energy for test week</t>
        </is>
      </c>
    </row>
    <row r="227">
      <c r="C227" t="inlineStr">
        <is>
          <t xml:space="preserve">      Set 1</t>
        </is>
      </c>
      <c r="E227" t="n">
        <v>8</v>
      </c>
      <c r="H227" s="39">
        <f>IF(H226="","",H226)</f>
        <v/>
      </c>
      <c r="I227" s="7">
        <f>IF(H226="","",H226)</f>
        <v/>
      </c>
      <c r="J227" s="7" t="n">
        <v>8</v>
      </c>
      <c r="K227" s="7" t="n"/>
      <c r="L227" s="40" t="n"/>
      <c r="M227">
        <f>IF(AND(L227&lt;&gt;"",N(I227)&gt;0,N(J227)&gt;0),IF(J227=1,I227,ROUND(I227*(1+J227/30),1)),"")</f>
        <v/>
      </c>
      <c r="N227" s="41">
        <f>IF(M227="","",IF(M227&gt;=PRs!C50,"PR!",""))</f>
        <v/>
      </c>
      <c r="O227" s="7" t="n"/>
    </row>
    <row r="228">
      <c r="C228" t="inlineStr">
        <is>
          <t xml:space="preserve">      Set 2</t>
        </is>
      </c>
      <c r="E228" t="n">
        <v>8</v>
      </c>
      <c r="H228" s="39">
        <f>IF(H226="","",H226)</f>
        <v/>
      </c>
      <c r="I228" s="7">
        <f>IF(H226="","",H226)</f>
        <v/>
      </c>
      <c r="J228" s="7" t="n">
        <v>8</v>
      </c>
      <c r="K228" s="7" t="n"/>
      <c r="L228" s="40" t="n"/>
      <c r="M228">
        <f>IF(AND(L228&lt;&gt;"",N(I228)&gt;0,N(J228)&gt;0),IF(J228=1,I228,ROUND(I228*(1+J228/30),1)),"")</f>
        <v/>
      </c>
      <c r="N228" s="41">
        <f>IF(M228="","",IF(M228&gt;=PRs!C50,"PR!",""))</f>
        <v/>
      </c>
      <c r="O228" s="7" t="n"/>
    </row>
    <row r="229">
      <c r="A229" s="34" t="n"/>
      <c r="B229" s="34" t="n"/>
      <c r="C229" s="43" t="inlineStr">
        <is>
          <t>Face Pull</t>
        </is>
      </c>
      <c r="D229" s="34" t="inlineStr">
        <is>
          <t>2 x 12-15</t>
        </is>
      </c>
      <c r="E229" s="34" t="n"/>
      <c r="F229" s="34" t="n"/>
      <c r="G229" s="36" t="n"/>
      <c r="H229" s="37" t="n"/>
      <c r="I229" s="34" t="n"/>
      <c r="J229" s="34" t="n"/>
      <c r="K229" s="34" t="n"/>
      <c r="L229" s="34" t="n"/>
      <c r="M229" s="34" t="n"/>
      <c r="N229" s="34" t="n"/>
      <c r="O229" s="38" t="inlineStr">
        <is>
          <t>Light - save energy for test week</t>
        </is>
      </c>
    </row>
    <row r="230">
      <c r="C230" t="inlineStr">
        <is>
          <t xml:space="preserve">      Set 1</t>
        </is>
      </c>
      <c r="E230" t="n">
        <v>12</v>
      </c>
      <c r="H230" s="39">
        <f>IF(H229="","",H229)</f>
        <v/>
      </c>
      <c r="I230" s="7">
        <f>IF(H229="","",H229)</f>
        <v/>
      </c>
      <c r="J230" s="7" t="n">
        <v>12</v>
      </c>
      <c r="K230" s="7" t="n"/>
      <c r="L230" s="40" t="n"/>
      <c r="M230">
        <f>IF(AND(L230&lt;&gt;"",N(I230)&gt;0,N(J230)&gt;0),IF(J230=1,I230,ROUND(I230*(1+J230/30),1)),"")</f>
        <v/>
      </c>
      <c r="N230" s="41">
        <f>IF(M230="","",IF(M230&gt;=PRs!C51,"PR!",""))</f>
        <v/>
      </c>
      <c r="O230" s="7" t="n"/>
    </row>
    <row r="231">
      <c r="C231" t="inlineStr">
        <is>
          <t xml:space="preserve">      Set 2</t>
        </is>
      </c>
      <c r="E231" t="n">
        <v>12</v>
      </c>
      <c r="H231" s="39">
        <f>IF(H229="","",H229)</f>
        <v/>
      </c>
      <c r="I231" s="7">
        <f>IF(H229="","",H229)</f>
        <v/>
      </c>
      <c r="J231" s="7" t="n">
        <v>12</v>
      </c>
      <c r="K231" s="7" t="n"/>
      <c r="L231" s="40" t="n"/>
      <c r="M231">
        <f>IF(AND(L231&lt;&gt;"",N(I231)&gt;0,N(J231)&gt;0),IF(J231=1,I231,ROUND(I231*(1+J231/30),1)),"")</f>
        <v/>
      </c>
      <c r="N231" s="41">
        <f>IF(M231="","",IF(M231&gt;=PRs!C51,"PR!",""))</f>
        <v/>
      </c>
      <c r="O231" s="7" t="n"/>
    </row>
    <row r="232">
      <c r="A232" s="31" t="inlineStr">
        <is>
          <t>Day 2 - Light</t>
        </is>
      </c>
      <c r="B232" s="32">
        <f>'Start Here'!$B$8+72</f>
        <v/>
      </c>
      <c r="C232" s="33" t="n"/>
      <c r="D232" s="33" t="n"/>
      <c r="E232" s="33" t="n"/>
      <c r="F232" s="33" t="n"/>
      <c r="G232" s="33" t="n"/>
      <c r="H232" s="33" t="n"/>
      <c r="I232" s="33" t="n"/>
      <c r="J232" s="33" t="n"/>
      <c r="K232" s="33" t="n"/>
      <c r="L232" s="33" t="n"/>
      <c r="M232" s="33" t="n"/>
      <c r="N232" s="33" t="n"/>
      <c r="O232" s="33" t="n"/>
    </row>
    <row r="233">
      <c r="A233" s="34" t="n"/>
      <c r="B233" s="34" t="n"/>
      <c r="C233" s="35" t="inlineStr">
        <is>
          <t>Broad Jump</t>
        </is>
      </c>
      <c r="D233" s="34" t="inlineStr">
        <is>
          <t>2 x 2</t>
        </is>
      </c>
      <c r="E233" s="34" t="n"/>
      <c r="F233" s="34" t="n"/>
      <c r="G233" s="36" t="n"/>
      <c r="H233" s="37">
        <f>IF(N(Maxes!E70)&gt;0,Maxes!E70,"")</f>
        <v/>
      </c>
      <c r="I233" s="34" t="n"/>
      <c r="J233" s="34" t="n"/>
      <c r="K233" s="34" t="n"/>
      <c r="L233" s="34" t="n"/>
      <c r="M233" s="34" t="n"/>
      <c r="N233" s="34" t="n"/>
      <c r="O233" s="38" t="inlineStr">
        <is>
          <t>Standing two-foot jump forward, stick the landing. Measure toe line to the back of the nearest heel.</t>
        </is>
      </c>
    </row>
    <row r="234">
      <c r="C234" t="inlineStr">
        <is>
          <t xml:space="preserve">      Set 1</t>
        </is>
      </c>
      <c r="E234" t="n">
        <v>2</v>
      </c>
      <c r="H234" s="39">
        <f>IF(H233="","",H233)</f>
        <v/>
      </c>
      <c r="I234" s="7">
        <f>IF(H233="","",H233)</f>
        <v/>
      </c>
      <c r="J234" s="7" t="n">
        <v>2</v>
      </c>
      <c r="K234" s="7" t="n"/>
      <c r="L234" s="40" t="n"/>
      <c r="N234" s="41">
        <f>IF(AND(L234&lt;&gt;"",N(I234)&gt;0),IF(I234&gt;=PRs!D70,"PR!",""),"")</f>
        <v/>
      </c>
      <c r="O234" s="7" t="n"/>
    </row>
    <row r="235">
      <c r="C235" t="inlineStr">
        <is>
          <t xml:space="preserve">      Set 2</t>
        </is>
      </c>
      <c r="E235" t="n">
        <v>2</v>
      </c>
      <c r="H235" s="39">
        <f>IF(H233="","",H233)</f>
        <v/>
      </c>
      <c r="I235" s="7">
        <f>IF(H233="","",H233)</f>
        <v/>
      </c>
      <c r="J235" s="7" t="n">
        <v>2</v>
      </c>
      <c r="K235" s="7" t="n"/>
      <c r="L235" s="40" t="n"/>
      <c r="N235" s="41">
        <f>IF(AND(L235&lt;&gt;"",N(I235)&gt;0),IF(I235&gt;=PRs!D70,"PR!",""),"")</f>
        <v/>
      </c>
      <c r="O235" s="7" t="n"/>
    </row>
    <row r="236">
      <c r="A236" s="34" t="n"/>
      <c r="B236" s="34" t="n"/>
      <c r="C236" s="35" t="inlineStr">
        <is>
          <t>Med Ball Chest Pass</t>
        </is>
      </c>
      <c r="D236" s="34" t="inlineStr">
        <is>
          <t>2 x 3</t>
        </is>
      </c>
      <c r="E236" s="34" t="n"/>
      <c r="F236" s="34" t="n"/>
      <c r="G236" s="36" t="n"/>
      <c r="H236" s="37">
        <f>IF(N(Maxes!E77)&gt;0,Maxes!E77,"")</f>
        <v/>
      </c>
      <c r="I236" s="34" t="n"/>
      <c r="J236" s="34" t="n"/>
      <c r="K236" s="34" t="n"/>
      <c r="L236" s="34" t="n"/>
      <c r="M236" s="34" t="n"/>
      <c r="N236" s="34" t="n"/>
      <c r="O236" s="38" t="inlineStr">
        <is>
          <t>Kneeling or standing chest pass for distance with a 6-10 lb / 3-5 kg ball. Log the distance.</t>
        </is>
      </c>
    </row>
    <row r="237">
      <c r="C237" t="inlineStr">
        <is>
          <t xml:space="preserve">      Set 1</t>
        </is>
      </c>
      <c r="E237" t="n">
        <v>3</v>
      </c>
      <c r="H237" s="39">
        <f>IF(H236="","",H236)</f>
        <v/>
      </c>
      <c r="I237" s="7">
        <f>IF(H236="","",H236)</f>
        <v/>
      </c>
      <c r="J237" s="7" t="n">
        <v>3</v>
      </c>
      <c r="K237" s="7" t="n"/>
      <c r="L237" s="40" t="n"/>
      <c r="N237" s="41">
        <f>IF(AND(L237&lt;&gt;"",N(I237)&gt;0),IF(I237&gt;=PRs!D77,"PR!",""),"")</f>
        <v/>
      </c>
      <c r="O237" s="7" t="n"/>
    </row>
    <row r="238">
      <c r="C238" t="inlineStr">
        <is>
          <t xml:space="preserve">      Set 2</t>
        </is>
      </c>
      <c r="E238" t="n">
        <v>3</v>
      </c>
      <c r="H238" s="39">
        <f>IF(H236="","",H236)</f>
        <v/>
      </c>
      <c r="I238" s="7">
        <f>IF(H236="","",H236)</f>
        <v/>
      </c>
      <c r="J238" s="7" t="n">
        <v>3</v>
      </c>
      <c r="K238" s="7" t="n"/>
      <c r="L238" s="40" t="n"/>
      <c r="N238" s="41">
        <f>IF(AND(L238&lt;&gt;"",N(I238)&gt;0),IF(I238&gt;=PRs!D77,"PR!",""),"")</f>
        <v/>
      </c>
      <c r="O238" s="7" t="n"/>
    </row>
    <row r="239">
      <c r="A239" s="34" t="n"/>
      <c r="B239" s="34" t="n"/>
      <c r="C239" s="42" t="inlineStr">
        <is>
          <t>Clean &amp; Jerk</t>
        </is>
      </c>
      <c r="D239" s="34" t="inlineStr">
        <is>
          <t>2 x 1</t>
        </is>
      </c>
      <c r="E239" s="34" t="n"/>
      <c r="F239" s="34" t="n">
        <v>80</v>
      </c>
      <c r="G239" s="36">
        <f>Maxes!E7</f>
        <v/>
      </c>
      <c r="H239" s="37">
        <f>IF(OR(G239="",F239=""),"",MROUND(G239*F239/100,'Start Here'!$B$7))</f>
        <v/>
      </c>
      <c r="I239" s="34" t="n"/>
      <c r="J239" s="34" t="n"/>
      <c r="K239" s="34" t="n"/>
      <c r="L239" s="34" t="n"/>
      <c r="M239" s="34" t="n"/>
      <c r="N239" s="34" t="n"/>
      <c r="O239" s="38" t="inlineStr">
        <is>
          <t>Keep it heavy but short - no grinding</t>
        </is>
      </c>
    </row>
    <row r="240">
      <c r="C240" t="inlineStr">
        <is>
          <t xml:space="preserve">      Set 1</t>
        </is>
      </c>
      <c r="E240" t="n">
        <v>1</v>
      </c>
      <c r="H240" s="39">
        <f>IF(H239="","",H239)</f>
        <v/>
      </c>
      <c r="I240" s="7">
        <f>IF(H239="","",H239)</f>
        <v/>
      </c>
      <c r="J240" s="7" t="n">
        <v>1</v>
      </c>
      <c r="K240" s="7" t="n"/>
      <c r="L240" s="40" t="n"/>
      <c r="M240">
        <f>IF(AND(L240&lt;&gt;"",N(I240)&gt;0,N(J240)&gt;0),IF(J240=1,I240,ROUND(I240*(1+J240/30),1)),"")</f>
        <v/>
      </c>
      <c r="N240" s="41">
        <f>IF(M240="","",IF(M240&gt;=PRs!C7,"PR!",""))</f>
        <v/>
      </c>
      <c r="O240" s="7" t="n"/>
    </row>
    <row r="241">
      <c r="C241" t="inlineStr">
        <is>
          <t xml:space="preserve">      Set 2</t>
        </is>
      </c>
      <c r="E241" t="n">
        <v>1</v>
      </c>
      <c r="H241" s="39">
        <f>IF(H239="","",H239)</f>
        <v/>
      </c>
      <c r="I241" s="7">
        <f>IF(H239="","",H239)</f>
        <v/>
      </c>
      <c r="J241" s="7" t="n">
        <v>1</v>
      </c>
      <c r="K241" s="7" t="n"/>
      <c r="L241" s="40" t="n"/>
      <c r="M241">
        <f>IF(AND(L241&lt;&gt;"",N(I241)&gt;0,N(J241)&gt;0),IF(J241=1,I241,ROUND(I241*(1+J241/30),1)),"")</f>
        <v/>
      </c>
      <c r="N241" s="41">
        <f>IF(M241="","",IF(M241&gt;=PRs!C7,"PR!",""))</f>
        <v/>
      </c>
      <c r="O241" s="7" t="n"/>
    </row>
    <row r="242">
      <c r="A242" s="34" t="n"/>
      <c r="B242" s="34" t="n"/>
      <c r="C242" s="42" t="inlineStr">
        <is>
          <t>Squat</t>
        </is>
      </c>
      <c r="D242" s="34" t="inlineStr">
        <is>
          <t>2 x 3</t>
        </is>
      </c>
      <c r="E242" s="34" t="n"/>
      <c r="F242" s="34" t="n">
        <v>65</v>
      </c>
      <c r="G242" s="36">
        <f>Maxes!E2</f>
        <v/>
      </c>
      <c r="H242" s="37">
        <f>IF(OR(G242="",F242=""),"",MROUND(G242*F242/100,'Start Here'!$B$7))</f>
        <v/>
      </c>
      <c r="I242" s="34" t="n"/>
      <c r="J242" s="34" t="n"/>
      <c r="K242" s="34" t="n"/>
      <c r="L242" s="34" t="n"/>
      <c r="M242" s="34" t="n"/>
      <c r="N242" s="34" t="n"/>
      <c r="O242" s="38" t="inlineStr">
        <is>
          <t>Easy</t>
        </is>
      </c>
    </row>
    <row r="243">
      <c r="C243" t="inlineStr">
        <is>
          <t xml:space="preserve">      Set 1</t>
        </is>
      </c>
      <c r="E243" t="n">
        <v>3</v>
      </c>
      <c r="H243" s="39">
        <f>IF(H242="","",H242)</f>
        <v/>
      </c>
      <c r="I243" s="7">
        <f>IF(H242="","",H242)</f>
        <v/>
      </c>
      <c r="J243" s="7" t="n">
        <v>3</v>
      </c>
      <c r="K243" s="7" t="n"/>
      <c r="L243" s="40" t="n"/>
      <c r="M243">
        <f>IF(AND(L243&lt;&gt;"",N(I243)&gt;0,N(J243)&gt;0),IF(J243=1,I243,ROUND(I243*(1+J243/30),1)),"")</f>
        <v/>
      </c>
      <c r="N243" s="41">
        <f>IF(M243="","",IF(M243&gt;=PRs!C2,"PR!",""))</f>
        <v/>
      </c>
      <c r="O243" s="7" t="n"/>
    </row>
    <row r="244">
      <c r="C244" t="inlineStr">
        <is>
          <t xml:space="preserve">      Set 2</t>
        </is>
      </c>
      <c r="E244" t="n">
        <v>3</v>
      </c>
      <c r="H244" s="39">
        <f>IF(H242="","",H242)</f>
        <v/>
      </c>
      <c r="I244" s="7">
        <f>IF(H242="","",H242)</f>
        <v/>
      </c>
      <c r="J244" s="7" t="n">
        <v>3</v>
      </c>
      <c r="K244" s="7" t="n"/>
      <c r="L244" s="40" t="n"/>
      <c r="M244">
        <f>IF(AND(L244&lt;&gt;"",N(I244)&gt;0,N(J244)&gt;0),IF(J244=1,I244,ROUND(I244*(1+J244/30),1)),"")</f>
        <v/>
      </c>
      <c r="N244" s="41">
        <f>IF(M244="","",IF(M244&gt;=PRs!C2,"PR!",""))</f>
        <v/>
      </c>
      <c r="O244" s="7" t="n"/>
    </row>
    <row r="245">
      <c r="A245" s="34" t="n"/>
      <c r="B245" s="34" t="n"/>
      <c r="C245" s="42" t="inlineStr">
        <is>
          <t>Overhead Press</t>
        </is>
      </c>
      <c r="D245" s="34" t="inlineStr">
        <is>
          <t>2 x 2</t>
        </is>
      </c>
      <c r="E245" s="34" t="n"/>
      <c r="F245" s="34" t="n">
        <v>80</v>
      </c>
      <c r="G245" s="36">
        <f>Maxes!E5</f>
        <v/>
      </c>
      <c r="H245" s="37">
        <f>IF(OR(G245="",F245=""),"",MROUND(G245*F245/100,'Start Here'!$B$7))</f>
        <v/>
      </c>
      <c r="I245" s="34" t="n"/>
      <c r="J245" s="34" t="n"/>
      <c r="K245" s="34" t="n"/>
      <c r="L245" s="34" t="n"/>
      <c r="M245" s="34" t="n"/>
      <c r="N245" s="34" t="n"/>
      <c r="O245" s="38" t="inlineStr">
        <is>
          <t>Keep it heavy but short - no grinding</t>
        </is>
      </c>
    </row>
    <row r="246">
      <c r="C246" t="inlineStr">
        <is>
          <t xml:space="preserve">      Set 1</t>
        </is>
      </c>
      <c r="E246" t="n">
        <v>2</v>
      </c>
      <c r="H246" s="39">
        <f>IF(H245="","",H245)</f>
        <v/>
      </c>
      <c r="I246" s="7">
        <f>IF(H245="","",H245)</f>
        <v/>
      </c>
      <c r="J246" s="7" t="n">
        <v>2</v>
      </c>
      <c r="K246" s="7" t="n"/>
      <c r="L246" s="40" t="n"/>
      <c r="M246">
        <f>IF(AND(L246&lt;&gt;"",N(I246)&gt;0,N(J246)&gt;0),IF(J246=1,I246,ROUND(I246*(1+J246/30),1)),"")</f>
        <v/>
      </c>
      <c r="N246" s="41">
        <f>IF(M246="","",IF(M246&gt;=PRs!C5,"PR!",""))</f>
        <v/>
      </c>
      <c r="O246" s="7" t="n"/>
    </row>
    <row r="247">
      <c r="C247" t="inlineStr">
        <is>
          <t xml:space="preserve">      Set 2</t>
        </is>
      </c>
      <c r="E247" t="n">
        <v>2</v>
      </c>
      <c r="H247" s="39">
        <f>IF(H245="","",H245)</f>
        <v/>
      </c>
      <c r="I247" s="7">
        <f>IF(H245="","",H245)</f>
        <v/>
      </c>
      <c r="J247" s="7" t="n">
        <v>2</v>
      </c>
      <c r="K247" s="7" t="n"/>
      <c r="L247" s="40" t="n"/>
      <c r="M247">
        <f>IF(AND(L247&lt;&gt;"",N(I247)&gt;0,N(J247)&gt;0),IF(J247=1,I247,ROUND(I247*(1+J247/30),1)),"")</f>
        <v/>
      </c>
      <c r="N247" s="41">
        <f>IF(M247="","",IF(M247&gt;=PRs!C5,"PR!",""))</f>
        <v/>
      </c>
      <c r="O247" s="7" t="n"/>
    </row>
    <row r="248">
      <c r="A248" s="34" t="n"/>
      <c r="B248" s="34" t="n"/>
      <c r="C248" s="42" t="inlineStr">
        <is>
          <t>Deadlift</t>
        </is>
      </c>
      <c r="D248" s="34" t="inlineStr">
        <is>
          <t>2 x 2</t>
        </is>
      </c>
      <c r="E248" s="34" t="n"/>
      <c r="F248" s="34" t="n">
        <v>80</v>
      </c>
      <c r="G248" s="36">
        <f>Maxes!E4</f>
        <v/>
      </c>
      <c r="H248" s="37">
        <f>IF(OR(G248="",F248=""),"",MROUND(G248*F248/100,'Start Here'!$B$7))</f>
        <v/>
      </c>
      <c r="I248" s="34" t="n"/>
      <c r="J248" s="34" t="n"/>
      <c r="K248" s="34" t="n"/>
      <c r="L248" s="34" t="n"/>
      <c r="M248" s="34" t="n"/>
      <c r="N248" s="34" t="n"/>
      <c r="O248" s="38" t="inlineStr">
        <is>
          <t>Keep it heavy but short - no grinding</t>
        </is>
      </c>
    </row>
    <row r="249">
      <c r="C249" t="inlineStr">
        <is>
          <t xml:space="preserve">      Set 1</t>
        </is>
      </c>
      <c r="E249" t="n">
        <v>2</v>
      </c>
      <c r="H249" s="39">
        <f>IF(H248="","",H248)</f>
        <v/>
      </c>
      <c r="I249" s="7">
        <f>IF(H248="","",H248)</f>
        <v/>
      </c>
      <c r="J249" s="7" t="n">
        <v>2</v>
      </c>
      <c r="K249" s="7" t="n"/>
      <c r="L249" s="40" t="n"/>
      <c r="M249">
        <f>IF(AND(L249&lt;&gt;"",N(I249)&gt;0,N(J249)&gt;0),IF(J249=1,I249,ROUND(I249*(1+J249/30),1)),"")</f>
        <v/>
      </c>
      <c r="N249" s="41">
        <f>IF(M249="","",IF(M249&gt;=PRs!C4,"PR!",""))</f>
        <v/>
      </c>
      <c r="O249" s="7" t="n"/>
    </row>
    <row r="250">
      <c r="C250" t="inlineStr">
        <is>
          <t xml:space="preserve">      Set 2</t>
        </is>
      </c>
      <c r="E250" t="n">
        <v>2</v>
      </c>
      <c r="H250" s="39">
        <f>IF(H248="","",H248)</f>
        <v/>
      </c>
      <c r="I250" s="7">
        <f>IF(H248="","",H248)</f>
        <v/>
      </c>
      <c r="J250" s="7" t="n">
        <v>2</v>
      </c>
      <c r="K250" s="7" t="n"/>
      <c r="L250" s="40" t="n"/>
      <c r="M250">
        <f>IF(AND(L250&lt;&gt;"",N(I250)&gt;0,N(J250)&gt;0),IF(J250=1,I250,ROUND(I250*(1+J250/30),1)),"")</f>
        <v/>
      </c>
      <c r="N250" s="41">
        <f>IF(M250="","",IF(M250&gt;=PRs!C4,"PR!",""))</f>
        <v/>
      </c>
      <c r="O250" s="7" t="n"/>
    </row>
    <row r="251">
      <c r="A251" s="34" t="n"/>
      <c r="B251" s="34" t="n"/>
      <c r="C251" s="43" t="inlineStr">
        <is>
          <t>Chin-up</t>
        </is>
      </c>
      <c r="D251" s="34" t="inlineStr">
        <is>
          <t>2 x 6-10</t>
        </is>
      </c>
      <c r="E251" s="34" t="n"/>
      <c r="F251" s="34" t="n"/>
      <c r="G251" s="36" t="n"/>
      <c r="H251" s="37" t="n"/>
      <c r="I251" s="34" t="n"/>
      <c r="J251" s="34" t="n"/>
      <c r="K251" s="34" t="n"/>
      <c r="L251" s="34" t="n"/>
      <c r="M251" s="34" t="n"/>
      <c r="N251" s="34" t="n"/>
      <c r="O251" s="38" t="inlineStr">
        <is>
          <t>Light - save energy for test week</t>
        </is>
      </c>
    </row>
    <row r="252">
      <c r="C252" t="inlineStr">
        <is>
          <t xml:space="preserve">      Set 1</t>
        </is>
      </c>
      <c r="E252" t="n">
        <v>6</v>
      </c>
      <c r="H252" s="39">
        <f>IF(H251="","",H251)</f>
        <v/>
      </c>
      <c r="I252" s="7">
        <f>IF(H251="","",H251)</f>
        <v/>
      </c>
      <c r="J252" s="7" t="n">
        <v>6</v>
      </c>
      <c r="K252" s="7" t="n"/>
      <c r="L252" s="40" t="n"/>
      <c r="M252">
        <f>IF(AND(L252&lt;&gt;"",N(I252)&gt;0,N(J252)&gt;0),IF(J252=1,I252,ROUND(I252*(1+J252/30),1)),"")</f>
        <v/>
      </c>
      <c r="N252" s="41">
        <f>IF(M252="","",IF(M252&gt;=PRs!C53,"PR!",""))</f>
        <v/>
      </c>
      <c r="O252" s="7" t="n"/>
    </row>
    <row r="253">
      <c r="C253" t="inlineStr">
        <is>
          <t xml:space="preserve">      Set 2</t>
        </is>
      </c>
      <c r="E253" t="n">
        <v>6</v>
      </c>
      <c r="H253" s="39">
        <f>IF(H251="","",H251)</f>
        <v/>
      </c>
      <c r="I253" s="7">
        <f>IF(H251="","",H251)</f>
        <v/>
      </c>
      <c r="J253" s="7" t="n">
        <v>6</v>
      </c>
      <c r="K253" s="7" t="n"/>
      <c r="L253" s="40" t="n"/>
      <c r="M253">
        <f>IF(AND(L253&lt;&gt;"",N(I253)&gt;0,N(J253)&gt;0),IF(J253=1,I253,ROUND(I253*(1+J253/30),1)),"")</f>
        <v/>
      </c>
      <c r="N253" s="41">
        <f>IF(M253="","",IF(M253&gt;=PRs!C53,"PR!",""))</f>
        <v/>
      </c>
      <c r="O253" s="7" t="n"/>
    </row>
    <row r="254">
      <c r="A254" s="34" t="n"/>
      <c r="B254" s="34" t="n"/>
      <c r="C254" s="43" t="inlineStr">
        <is>
          <t>Plank</t>
        </is>
      </c>
      <c r="D254" s="34" t="inlineStr">
        <is>
          <t>2 x 30-60s</t>
        </is>
      </c>
      <c r="E254" s="34" t="n"/>
      <c r="F254" s="34" t="n"/>
      <c r="G254" s="36" t="n"/>
      <c r="H254" s="37" t="n"/>
      <c r="I254" s="34" t="n"/>
      <c r="J254" s="34" t="n"/>
      <c r="K254" s="34" t="n"/>
      <c r="L254" s="34" t="n"/>
      <c r="M254" s="34" t="n"/>
      <c r="N254" s="34" t="n"/>
      <c r="O254" s="38" t="inlineStr">
        <is>
          <t>Light - save energy for test week</t>
        </is>
      </c>
    </row>
    <row r="255">
      <c r="C255" t="inlineStr">
        <is>
          <t xml:space="preserve">      Set 1</t>
        </is>
      </c>
      <c r="E255" t="n">
        <v>30</v>
      </c>
      <c r="H255" s="39">
        <f>IF(H254="","",H254)</f>
        <v/>
      </c>
      <c r="I255" s="7">
        <f>IF(H254="","",H254)</f>
        <v/>
      </c>
      <c r="J255" s="7" t="n">
        <v>30</v>
      </c>
      <c r="K255" s="7" t="n"/>
      <c r="L255" s="40" t="n"/>
      <c r="M255">
        <f>IF(AND(L255&lt;&gt;"",N(I255)&gt;0,N(J255)&gt;0),IF(J255=1,I255,ROUND(I255*(1+J255/30),1)),"")</f>
        <v/>
      </c>
      <c r="N255" s="41">
        <f>IF(M255="","",IF(M255&gt;=PRs!C56,"PR!",""))</f>
        <v/>
      </c>
      <c r="O255" s="7" t="n"/>
    </row>
    <row r="256">
      <c r="C256" t="inlineStr">
        <is>
          <t xml:space="preserve">      Set 2</t>
        </is>
      </c>
      <c r="E256" t="n">
        <v>30</v>
      </c>
      <c r="H256" s="39">
        <f>IF(H254="","",H254)</f>
        <v/>
      </c>
      <c r="I256" s="7">
        <f>IF(H254="","",H254)</f>
        <v/>
      </c>
      <c r="J256" s="7" t="n">
        <v>30</v>
      </c>
      <c r="K256" s="7" t="n"/>
      <c r="L256" s="40" t="n"/>
      <c r="M256">
        <f>IF(AND(L256&lt;&gt;"",N(I256)&gt;0,N(J256)&gt;0),IF(J256=1,I256,ROUND(I256*(1+J256/30),1)),"")</f>
        <v/>
      </c>
      <c r="N256" s="41">
        <f>IF(M256="","",IF(M256&gt;=PRs!C56,"PR!",""))</f>
        <v/>
      </c>
      <c r="O256" s="7" t="n"/>
    </row>
    <row r="257">
      <c r="A257" s="31" t="inlineStr">
        <is>
          <t>Day 3 - Variations</t>
        </is>
      </c>
      <c r="B257" s="32">
        <f>'Start Here'!$B$8+74</f>
        <v/>
      </c>
      <c r="C257" s="33" t="n"/>
      <c r="D257" s="33" t="n"/>
      <c r="E257" s="33" t="n"/>
      <c r="F257" s="33" t="n"/>
      <c r="G257" s="33" t="n"/>
      <c r="H257" s="33" t="n"/>
      <c r="I257" s="33" t="n"/>
      <c r="J257" s="33" t="n"/>
      <c r="K257" s="33" t="n"/>
      <c r="L257" s="33" t="n"/>
      <c r="M257" s="33" t="n"/>
      <c r="N257" s="33" t="n"/>
      <c r="O257" s="33" t="n"/>
    </row>
    <row r="258">
      <c r="A258" s="34" t="n"/>
      <c r="B258" s="34" t="n"/>
      <c r="C258" s="35" t="inlineStr">
        <is>
          <t>Vertical Jump</t>
        </is>
      </c>
      <c r="D258" s="34" t="inlineStr">
        <is>
          <t>2 x 2</t>
        </is>
      </c>
      <c r="E258" s="34" t="n"/>
      <c r="F258" s="34" t="n"/>
      <c r="G258" s="36" t="n"/>
      <c r="H258" s="37">
        <f>IF(N(Maxes!E71)&gt;0,Maxes!E71,"")</f>
        <v/>
      </c>
      <c r="I258" s="34" t="n"/>
      <c r="J258" s="34" t="n"/>
      <c r="K258" s="34" t="n"/>
      <c r="L258" s="34" t="n"/>
      <c r="M258" s="34" t="n"/>
      <c r="N258" s="34" t="n"/>
      <c r="O258" s="38" t="inlineStr">
        <is>
          <t>Stand side-on to a wall, reach up and mark it; jump and touch as high as you can. Log jump mark minus standing reach.</t>
        </is>
      </c>
    </row>
    <row r="259">
      <c r="C259" t="inlineStr">
        <is>
          <t xml:space="preserve">      Set 1</t>
        </is>
      </c>
      <c r="E259" t="n">
        <v>2</v>
      </c>
      <c r="H259" s="39">
        <f>IF(H258="","",H258)</f>
        <v/>
      </c>
      <c r="I259" s="7">
        <f>IF(H258="","",H258)</f>
        <v/>
      </c>
      <c r="J259" s="7" t="n">
        <v>2</v>
      </c>
      <c r="K259" s="7" t="n"/>
      <c r="L259" s="40" t="n"/>
      <c r="N259" s="41">
        <f>IF(AND(L259&lt;&gt;"",N(I259)&gt;0),IF(I259&gt;=PRs!D71,"PR!",""),"")</f>
        <v/>
      </c>
      <c r="O259" s="7" t="n"/>
    </row>
    <row r="260">
      <c r="C260" t="inlineStr">
        <is>
          <t xml:space="preserve">      Set 2</t>
        </is>
      </c>
      <c r="E260" t="n">
        <v>2</v>
      </c>
      <c r="H260" s="39">
        <f>IF(H258="","",H258)</f>
        <v/>
      </c>
      <c r="I260" s="7">
        <f>IF(H258="","",H258)</f>
        <v/>
      </c>
      <c r="J260" s="7" t="n">
        <v>2</v>
      </c>
      <c r="K260" s="7" t="n"/>
      <c r="L260" s="40" t="n"/>
      <c r="N260" s="41">
        <f>IF(AND(L260&lt;&gt;"",N(I260)&gt;0),IF(I260&gt;=PRs!D71,"PR!",""),"")</f>
        <v/>
      </c>
      <c r="O260" s="7" t="n"/>
    </row>
    <row r="261">
      <c r="A261" s="34" t="n"/>
      <c r="B261" s="34" t="n"/>
      <c r="C261" s="42" t="inlineStr">
        <is>
          <t>Hang Snatch</t>
        </is>
      </c>
      <c r="D261" s="34" t="inlineStr">
        <is>
          <t>2 x 2</t>
        </is>
      </c>
      <c r="E261" s="34" t="n"/>
      <c r="F261" s="34" t="n">
        <v>75</v>
      </c>
      <c r="G261" s="36">
        <f>Maxes!E35</f>
        <v/>
      </c>
      <c r="H261" s="37">
        <f>IF(OR(G261="",F261=""),"",MROUND(G261*F261/100,'Start Here'!$B$7))</f>
        <v/>
      </c>
      <c r="I261" s="34" t="n"/>
      <c r="J261" s="34" t="n"/>
      <c r="K261" s="34" t="n"/>
      <c r="L261" s="34" t="n"/>
      <c r="M261" s="34" t="n"/>
      <c r="N261" s="34" t="n"/>
      <c r="O261" s="38" t="inlineStr">
        <is>
          <t>Crisp and fast</t>
        </is>
      </c>
    </row>
    <row r="262">
      <c r="C262" t="inlineStr">
        <is>
          <t xml:space="preserve">      Set 1</t>
        </is>
      </c>
      <c r="E262" t="n">
        <v>2</v>
      </c>
      <c r="H262" s="39">
        <f>IF(H261="","",H261)</f>
        <v/>
      </c>
      <c r="I262" s="7">
        <f>IF(H261="","",H261)</f>
        <v/>
      </c>
      <c r="J262" s="7" t="n">
        <v>2</v>
      </c>
      <c r="K262" s="7" t="n"/>
      <c r="L262" s="40" t="n"/>
      <c r="M262">
        <f>IF(AND(L262&lt;&gt;"",N(I262)&gt;0,N(J262)&gt;0),IF(J262=1,I262,ROUND(I262*(1+J262/30),1)),"")</f>
        <v/>
      </c>
      <c r="N262" s="41">
        <f>IF(M262="","",IF(M262&gt;=PRs!C35,"PR!",""))</f>
        <v/>
      </c>
      <c r="O262" s="7" t="n"/>
    </row>
    <row r="263">
      <c r="C263" t="inlineStr">
        <is>
          <t xml:space="preserve">      Set 2</t>
        </is>
      </c>
      <c r="E263" t="n">
        <v>2</v>
      </c>
      <c r="H263" s="39">
        <f>IF(H261="","",H261)</f>
        <v/>
      </c>
      <c r="I263" s="7">
        <f>IF(H261="","",H261)</f>
        <v/>
      </c>
      <c r="J263" s="7" t="n">
        <v>2</v>
      </c>
      <c r="K263" s="7" t="n"/>
      <c r="L263" s="40" t="n"/>
      <c r="M263">
        <f>IF(AND(L263&lt;&gt;"",N(I263)&gt;0,N(J263)&gt;0),IF(J263=1,I263,ROUND(I263*(1+J263/30),1)),"")</f>
        <v/>
      </c>
      <c r="N263" s="41">
        <f>IF(M263="","",IF(M263&gt;=PRs!C35,"PR!",""))</f>
        <v/>
      </c>
      <c r="O263" s="7" t="n"/>
    </row>
    <row r="264">
      <c r="A264" s="34" t="n"/>
      <c r="B264" s="34" t="n"/>
      <c r="C264" s="42" t="inlineStr">
        <is>
          <t>Front Squat</t>
        </is>
      </c>
      <c r="D264" s="34" t="inlineStr">
        <is>
          <t>2 x 3</t>
        </is>
      </c>
      <c r="E264" s="34" t="n"/>
      <c r="F264" s="34" t="n">
        <v>75</v>
      </c>
      <c r="G264" s="36">
        <f>Maxes!E10</f>
        <v/>
      </c>
      <c r="H264" s="37">
        <f>IF(OR(G264="",F264=""),"",MROUND(G264*F264/100,'Start Here'!$B$7))</f>
        <v/>
      </c>
      <c r="I264" s="34" t="n"/>
      <c r="J264" s="34" t="n"/>
      <c r="K264" s="34" t="n"/>
      <c r="L264" s="34" t="n"/>
      <c r="M264" s="34" t="n"/>
      <c r="N264" s="34" t="n"/>
      <c r="O264" s="38" t="inlineStr">
        <is>
          <t>Crisp and fast</t>
        </is>
      </c>
    </row>
    <row r="265">
      <c r="C265" t="inlineStr">
        <is>
          <t xml:space="preserve">      Set 1</t>
        </is>
      </c>
      <c r="E265" t="n">
        <v>3</v>
      </c>
      <c r="H265" s="39">
        <f>IF(H264="","",H264)</f>
        <v/>
      </c>
      <c r="I265" s="7">
        <f>IF(H264="","",H264)</f>
        <v/>
      </c>
      <c r="J265" s="7" t="n">
        <v>3</v>
      </c>
      <c r="K265" s="7" t="n"/>
      <c r="L265" s="40" t="n"/>
      <c r="M265">
        <f>IF(AND(L265&lt;&gt;"",N(I265)&gt;0,N(J265)&gt;0),IF(J265=1,I265,ROUND(I265*(1+J265/30),1)),"")</f>
        <v/>
      </c>
      <c r="N265" s="41">
        <f>IF(M265="","",IF(M265&gt;=PRs!C10,"PR!",""))</f>
        <v/>
      </c>
      <c r="O265" s="7" t="n"/>
    </row>
    <row r="266">
      <c r="C266" t="inlineStr">
        <is>
          <t xml:space="preserve">      Set 2</t>
        </is>
      </c>
      <c r="E266" t="n">
        <v>3</v>
      </c>
      <c r="H266" s="39">
        <f>IF(H264="","",H264)</f>
        <v/>
      </c>
      <c r="I266" s="7">
        <f>IF(H264="","",H264)</f>
        <v/>
      </c>
      <c r="J266" s="7" t="n">
        <v>3</v>
      </c>
      <c r="K266" s="7" t="n"/>
      <c r="L266" s="40" t="n"/>
      <c r="M266">
        <f>IF(AND(L266&lt;&gt;"",N(I266)&gt;0,N(J266)&gt;0),IF(J266=1,I266,ROUND(I266*(1+J266/30),1)),"")</f>
        <v/>
      </c>
      <c r="N266" s="41">
        <f>IF(M266="","",IF(M266&gt;=PRs!C10,"PR!",""))</f>
        <v/>
      </c>
      <c r="O266" s="7" t="n"/>
    </row>
    <row r="267">
      <c r="A267" s="34" t="n"/>
      <c r="B267" s="34" t="n"/>
      <c r="C267" s="42" t="inlineStr">
        <is>
          <t>Pause Bench Press</t>
        </is>
      </c>
      <c r="D267" s="34" t="inlineStr">
        <is>
          <t>2 x 3</t>
        </is>
      </c>
      <c r="E267" s="34" t="n"/>
      <c r="F267" s="34" t="n">
        <v>75</v>
      </c>
      <c r="G267" s="36">
        <f>Maxes!E18</f>
        <v/>
      </c>
      <c r="H267" s="37">
        <f>IF(OR(G267="",F267=""),"",MROUND(G267*F267/100,'Start Here'!$B$7))</f>
        <v/>
      </c>
      <c r="I267" s="34" t="n"/>
      <c r="J267" s="34" t="n"/>
      <c r="K267" s="34" t="n"/>
      <c r="L267" s="34" t="n"/>
      <c r="M267" s="34" t="n"/>
      <c r="N267" s="34" t="n"/>
      <c r="O267" s="38" t="inlineStr">
        <is>
          <t>Crisp and fast</t>
        </is>
      </c>
    </row>
    <row r="268">
      <c r="C268" t="inlineStr">
        <is>
          <t xml:space="preserve">      Set 1</t>
        </is>
      </c>
      <c r="E268" t="n">
        <v>3</v>
      </c>
      <c r="H268" s="39">
        <f>IF(H267="","",H267)</f>
        <v/>
      </c>
      <c r="I268" s="7">
        <f>IF(H267="","",H267)</f>
        <v/>
      </c>
      <c r="J268" s="7" t="n">
        <v>3</v>
      </c>
      <c r="K268" s="7" t="n"/>
      <c r="L268" s="40" t="n"/>
      <c r="M268">
        <f>IF(AND(L268&lt;&gt;"",N(I268)&gt;0,N(J268)&gt;0),IF(J268=1,I268,ROUND(I268*(1+J268/30),1)),"")</f>
        <v/>
      </c>
      <c r="N268" s="41">
        <f>IF(M268="","",IF(M268&gt;=PRs!C18,"PR!",""))</f>
        <v/>
      </c>
      <c r="O268" s="7" t="n"/>
    </row>
    <row r="269">
      <c r="C269" t="inlineStr">
        <is>
          <t xml:space="preserve">      Set 2</t>
        </is>
      </c>
      <c r="E269" t="n">
        <v>3</v>
      </c>
      <c r="H269" s="39">
        <f>IF(H267="","",H267)</f>
        <v/>
      </c>
      <c r="I269" s="7">
        <f>IF(H267="","",H267)</f>
        <v/>
      </c>
      <c r="J269" s="7" t="n">
        <v>3</v>
      </c>
      <c r="K269" s="7" t="n"/>
      <c r="L269" s="40" t="n"/>
      <c r="M269">
        <f>IF(AND(L269&lt;&gt;"",N(I269)&gt;0,N(J269)&gt;0),IF(J269=1,I269,ROUND(I269*(1+J269/30),1)),"")</f>
        <v/>
      </c>
      <c r="N269" s="41">
        <f>IF(M269="","",IF(M269&gt;=PRs!C18,"PR!",""))</f>
        <v/>
      </c>
      <c r="O269" s="7" t="n"/>
    </row>
    <row r="270">
      <c r="A270" s="34" t="n"/>
      <c r="B270" s="34" t="n"/>
      <c r="C270" s="42" t="inlineStr">
        <is>
          <t>Paused Deadlift</t>
        </is>
      </c>
      <c r="D270" s="34" t="inlineStr">
        <is>
          <t>2 x 3</t>
        </is>
      </c>
      <c r="E270" s="34" t="n"/>
      <c r="F270" s="34" t="n">
        <v>75</v>
      </c>
      <c r="G270" s="36">
        <f>Maxes!E25</f>
        <v/>
      </c>
      <c r="H270" s="37">
        <f>IF(OR(G270="",F270=""),"",MROUND(G270*F270/100,'Start Here'!$B$7))</f>
        <v/>
      </c>
      <c r="I270" s="34" t="n"/>
      <c r="J270" s="34" t="n"/>
      <c r="K270" s="34" t="n"/>
      <c r="L270" s="34" t="n"/>
      <c r="M270" s="34" t="n"/>
      <c r="N270" s="34" t="n"/>
      <c r="O270" s="38" t="inlineStr">
        <is>
          <t>Crisp and fast</t>
        </is>
      </c>
    </row>
    <row r="271">
      <c r="C271" t="inlineStr">
        <is>
          <t xml:space="preserve">      Set 1</t>
        </is>
      </c>
      <c r="E271" t="n">
        <v>3</v>
      </c>
      <c r="H271" s="39">
        <f>IF(H270="","",H270)</f>
        <v/>
      </c>
      <c r="I271" s="7">
        <f>IF(H270="","",H270)</f>
        <v/>
      </c>
      <c r="J271" s="7" t="n">
        <v>3</v>
      </c>
      <c r="K271" s="7" t="n"/>
      <c r="L271" s="40" t="n"/>
      <c r="M271">
        <f>IF(AND(L271&lt;&gt;"",N(I271)&gt;0,N(J271)&gt;0),IF(J271=1,I271,ROUND(I271*(1+J271/30),1)),"")</f>
        <v/>
      </c>
      <c r="N271" s="41">
        <f>IF(M271="","",IF(M271&gt;=PRs!C25,"PR!",""))</f>
        <v/>
      </c>
      <c r="O271" s="7" t="n"/>
    </row>
    <row r="272">
      <c r="C272" t="inlineStr">
        <is>
          <t xml:space="preserve">      Set 2</t>
        </is>
      </c>
      <c r="E272" t="n">
        <v>3</v>
      </c>
      <c r="H272" s="39">
        <f>IF(H270="","",H270)</f>
        <v/>
      </c>
      <c r="I272" s="7">
        <f>IF(H270="","",H270)</f>
        <v/>
      </c>
      <c r="J272" s="7" t="n">
        <v>3</v>
      </c>
      <c r="K272" s="7" t="n"/>
      <c r="L272" s="40" t="n"/>
      <c r="M272">
        <f>IF(AND(L272&lt;&gt;"",N(I272)&gt;0,N(J272)&gt;0),IF(J272=1,I272,ROUND(I272*(1+J272/30),1)),"")</f>
        <v/>
      </c>
      <c r="N272" s="41">
        <f>IF(M272="","",IF(M272&gt;=PRs!C25,"PR!",""))</f>
        <v/>
      </c>
      <c r="O272" s="7" t="n"/>
    </row>
    <row r="273">
      <c r="A273" s="34" t="n"/>
      <c r="B273" s="34" t="n"/>
      <c r="C273" s="43" t="inlineStr">
        <is>
          <t>Incline Dumbbell Press</t>
        </is>
      </c>
      <c r="D273" s="34" t="inlineStr">
        <is>
          <t>2 x 8-12</t>
        </is>
      </c>
      <c r="E273" s="34" t="n"/>
      <c r="F273" s="34" t="n"/>
      <c r="G273" s="36" t="n"/>
      <c r="H273" s="37" t="n"/>
      <c r="I273" s="34" t="n"/>
      <c r="J273" s="34" t="n"/>
      <c r="K273" s="34" t="n"/>
      <c r="L273" s="34" t="n"/>
      <c r="M273" s="34" t="n"/>
      <c r="N273" s="34" t="n"/>
      <c r="O273" s="38" t="inlineStr">
        <is>
          <t>Light - save energy for test week</t>
        </is>
      </c>
    </row>
    <row r="274">
      <c r="C274" t="inlineStr">
        <is>
          <t xml:space="preserve">      Set 1</t>
        </is>
      </c>
      <c r="E274" t="n">
        <v>8</v>
      </c>
      <c r="H274" s="39">
        <f>IF(H273="","",H273)</f>
        <v/>
      </c>
      <c r="I274" s="7">
        <f>IF(H273="","",H273)</f>
        <v/>
      </c>
      <c r="J274" s="7" t="n">
        <v>8</v>
      </c>
      <c r="K274" s="7" t="n"/>
      <c r="L274" s="40" t="n"/>
      <c r="M274">
        <f>IF(AND(L274&lt;&gt;"",N(I274)&gt;0,N(J274)&gt;0),IF(J274=1,I274,ROUND(I274*(1+J274/30),1)),"")</f>
        <v/>
      </c>
      <c r="N274" s="41">
        <f>IF(M274="","",IF(M274&gt;=PRs!C57,"PR!",""))</f>
        <v/>
      </c>
      <c r="O274" s="7" t="n"/>
    </row>
    <row r="275">
      <c r="C275" t="inlineStr">
        <is>
          <t xml:space="preserve">      Set 2</t>
        </is>
      </c>
      <c r="E275" t="n">
        <v>8</v>
      </c>
      <c r="H275" s="39">
        <f>IF(H273="","",H273)</f>
        <v/>
      </c>
      <c r="I275" s="7">
        <f>IF(H273="","",H273)</f>
        <v/>
      </c>
      <c r="J275" s="7" t="n">
        <v>8</v>
      </c>
      <c r="K275" s="7" t="n"/>
      <c r="L275" s="40" t="n"/>
      <c r="M275">
        <f>IF(AND(L275&lt;&gt;"",N(I275)&gt;0,N(J275)&gt;0),IF(J275=1,I275,ROUND(I275*(1+J275/30),1)),"")</f>
        <v/>
      </c>
      <c r="N275" s="41">
        <f>IF(M275="","",IF(M275&gt;=PRs!C57,"PR!",""))</f>
        <v/>
      </c>
      <c r="O275" s="7" t="n"/>
    </row>
    <row r="276">
      <c r="A276" s="34" t="n"/>
      <c r="B276" s="34" t="n"/>
      <c r="C276" s="43" t="inlineStr">
        <is>
          <t>Triceps Pushdown</t>
        </is>
      </c>
      <c r="D276" s="34" t="inlineStr">
        <is>
          <t>2 x 10-15</t>
        </is>
      </c>
      <c r="E276" s="34" t="n"/>
      <c r="F276" s="34" t="n"/>
      <c r="G276" s="36" t="n"/>
      <c r="H276" s="37" t="n"/>
      <c r="I276" s="34" t="n"/>
      <c r="J276" s="34" t="n"/>
      <c r="K276" s="34" t="n"/>
      <c r="L276" s="34" t="n"/>
      <c r="M276" s="34" t="n"/>
      <c r="N276" s="34" t="n"/>
      <c r="O276" s="38" t="inlineStr">
        <is>
          <t>Light - save energy for test week</t>
        </is>
      </c>
    </row>
    <row r="277">
      <c r="C277" t="inlineStr">
        <is>
          <t xml:space="preserve">      Set 1</t>
        </is>
      </c>
      <c r="E277" t="n">
        <v>10</v>
      </c>
      <c r="H277" s="39">
        <f>IF(H276="","",H276)</f>
        <v/>
      </c>
      <c r="I277" s="7">
        <f>IF(H276="","",H276)</f>
        <v/>
      </c>
      <c r="J277" s="7" t="n">
        <v>10</v>
      </c>
      <c r="K277" s="7" t="n"/>
      <c r="L277" s="40" t="n"/>
      <c r="M277">
        <f>IF(AND(L277&lt;&gt;"",N(I277)&gt;0,N(J277)&gt;0),IF(J277=1,I277,ROUND(I277*(1+J277/30),1)),"")</f>
        <v/>
      </c>
      <c r="N277" s="41">
        <f>IF(M277="","",IF(M277&gt;=PRs!C59,"PR!",""))</f>
        <v/>
      </c>
      <c r="O277" s="7" t="n"/>
    </row>
    <row r="278">
      <c r="C278" t="inlineStr">
        <is>
          <t xml:space="preserve">      Set 2</t>
        </is>
      </c>
      <c r="E278" t="n">
        <v>10</v>
      </c>
      <c r="H278" s="39">
        <f>IF(H276="","",H276)</f>
        <v/>
      </c>
      <c r="I278" s="7">
        <f>IF(H276="","",H276)</f>
        <v/>
      </c>
      <c r="J278" s="7" t="n">
        <v>10</v>
      </c>
      <c r="K278" s="7" t="n"/>
      <c r="L278" s="40" t="n"/>
      <c r="M278">
        <f>IF(AND(L278&lt;&gt;"",N(I278)&gt;0,N(J278)&gt;0),IF(J278=1,I278,ROUND(I278*(1+J278/30),1)),"")</f>
        <v/>
      </c>
      <c r="N278" s="41">
        <f>IF(M278="","",IF(M278&gt;=PRs!C59,"PR!",""))</f>
        <v/>
      </c>
      <c r="O278" s="7" t="n"/>
    </row>
    <row r="280">
      <c r="A280" s="57" t="inlineStr">
        <is>
          <t>WEEK 12 - CYCLE 1 - TEST</t>
        </is>
      </c>
      <c r="B280" s="58" t="n"/>
      <c r="C280" s="58" t="n"/>
      <c r="D280" s="58" t="n"/>
      <c r="E280" s="58" t="n"/>
      <c r="F280" s="58" t="n"/>
      <c r="G280" s="58" t="n"/>
      <c r="H280" s="59" t="inlineStr">
        <is>
          <t>Bodyweight:</t>
        </is>
      </c>
      <c r="I280" s="7" t="n"/>
      <c r="J280" s="58" t="n"/>
      <c r="K280" s="58" t="n"/>
      <c r="L280" s="58" t="n"/>
      <c r="M280" s="58" t="n"/>
      <c r="N280" s="58" t="n"/>
      <c r="O280" s="58" t="n"/>
    </row>
    <row r="281">
      <c r="A281" s="31" t="inlineStr">
        <is>
          <t>Day 1 - Heavy</t>
        </is>
      </c>
      <c r="B281" s="32">
        <f>'Start Here'!$B$8+77</f>
        <v/>
      </c>
      <c r="C281" s="33" t="n"/>
      <c r="D281" s="33" t="n"/>
      <c r="E281" s="33" t="n"/>
      <c r="F281" s="33" t="n"/>
      <c r="G281" s="33" t="n"/>
      <c r="H281" s="33" t="n"/>
      <c r="I281" s="33" t="n"/>
      <c r="J281" s="33" t="n"/>
      <c r="K281" s="33" t="n"/>
      <c r="L281" s="33" t="n"/>
      <c r="M281" s="33" t="n"/>
      <c r="N281" s="33" t="n"/>
      <c r="O281" s="33" t="n"/>
    </row>
    <row r="282">
      <c r="A282" s="34" t="n"/>
      <c r="B282" s="34" t="n"/>
      <c r="C282" s="35" t="inlineStr">
        <is>
          <t>Box Jump</t>
        </is>
      </c>
      <c r="D282" s="34" t="inlineStr">
        <is>
          <t>1 x Max</t>
        </is>
      </c>
      <c r="E282" s="34" t="n"/>
      <c r="F282" s="34" t="n"/>
      <c r="G282" s="36" t="n"/>
      <c r="H282" s="37">
        <f>IF(N(Maxes!E69)&gt;0,Maxes!E69,'Start Here'!$G$16)</f>
        <v/>
      </c>
      <c r="I282" s="34" t="n"/>
      <c r="J282" s="34" t="n"/>
      <c r="K282" s="34" t="n"/>
      <c r="L282" s="34" t="n"/>
      <c r="M282" s="34" t="n"/>
      <c r="N282" s="34" t="n"/>
      <c r="O282" s="38" t="inlineStr">
        <is>
          <t>Test day: work up box by box to the highest box you land cleanly. Log it and check the standards on Start Here</t>
        </is>
      </c>
    </row>
    <row r="283">
      <c r="C283" t="inlineStr">
        <is>
          <t xml:space="preserve">      Set 1</t>
        </is>
      </c>
      <c r="E283" t="n">
        <v>1</v>
      </c>
      <c r="H283" s="39">
        <f>IF(H282="","",H282)</f>
        <v/>
      </c>
      <c r="I283" s="7">
        <f>IF(H282="","",H282)</f>
        <v/>
      </c>
      <c r="J283" s="7" t="n">
        <v>1</v>
      </c>
      <c r="K283" s="7" t="n"/>
      <c r="L283" s="40" t="n"/>
      <c r="N283" s="41">
        <f>IF(AND(L283&lt;&gt;"",N(I283)&gt;0),IF(I283&gt;=PRs!D69,"PR!",""),"")</f>
        <v/>
      </c>
      <c r="O283" s="7" t="n"/>
    </row>
    <row r="284">
      <c r="A284" s="34" t="n"/>
      <c r="B284" s="34" t="n"/>
      <c r="C284" s="42" t="inlineStr">
        <is>
          <t>Snatch</t>
        </is>
      </c>
      <c r="D284" s="34" t="inlineStr">
        <is>
          <t>1 x Max</t>
        </is>
      </c>
      <c r="E284" s="34" t="n"/>
      <c r="F284" s="34" t="n"/>
      <c r="G284" s="36">
        <f>Maxes!E6</f>
        <v/>
      </c>
      <c r="H284" s="37">
        <f>IF(G284="","",MROUND(G284/1,'Start Here'!$B$7))</f>
        <v/>
      </c>
      <c r="I284" s="34" t="n"/>
      <c r="J284" s="34" t="n"/>
      <c r="K284" s="34" t="n"/>
      <c r="L284" s="34" t="n"/>
      <c r="M284" s="34" t="n"/>
      <c r="N284" s="34" t="n"/>
      <c r="O284" s="38" t="inlineStr">
        <is>
          <t>Work up in small jumps to a new max (1RM, or a 3RM/5RM if you prefer). Log it - it sets next cycle's weights</t>
        </is>
      </c>
    </row>
    <row r="285">
      <c r="C285" t="inlineStr">
        <is>
          <t xml:space="preserve">      Set 1</t>
        </is>
      </c>
      <c r="E285" t="n">
        <v>1</v>
      </c>
      <c r="H285" s="39">
        <f>IF(H284="","",H284)</f>
        <v/>
      </c>
      <c r="I285" s="7">
        <f>IF(H284="","",H284)</f>
        <v/>
      </c>
      <c r="J285" s="7" t="n">
        <v>1</v>
      </c>
      <c r="K285" s="7" t="n"/>
      <c r="L285" s="40" t="n"/>
      <c r="M285">
        <f>IF(AND(L285&lt;&gt;"",N(I285)&gt;0,N(J285)&gt;0),IF(J285=1,I285,ROUND(I285*(1+J285/30),1)),"")</f>
        <v/>
      </c>
      <c r="N285" s="41">
        <f>IF(M285="","",IF(M285&gt;=PRs!C6,"PR!",""))</f>
        <v/>
      </c>
      <c r="O285" s="7" t="n"/>
    </row>
    <row r="286">
      <c r="A286" s="34" t="n"/>
      <c r="B286" s="34" t="n"/>
      <c r="C286" s="42" t="inlineStr">
        <is>
          <t>Squat</t>
        </is>
      </c>
      <c r="D286" s="34" t="inlineStr">
        <is>
          <t>1 x Max</t>
        </is>
      </c>
      <c r="E286" s="34" t="n"/>
      <c r="F286" s="34" t="n"/>
      <c r="G286" s="36">
        <f>Maxes!E2</f>
        <v/>
      </c>
      <c r="H286" s="37">
        <f>IF(G286="","",MROUND(G286/1,'Start Here'!$B$7))</f>
        <v/>
      </c>
      <c r="I286" s="34" t="n"/>
      <c r="J286" s="34" t="n"/>
      <c r="K286" s="34" t="n"/>
      <c r="L286" s="34" t="n"/>
      <c r="M286" s="34" t="n"/>
      <c r="N286" s="34" t="n"/>
      <c r="O286" s="38" t="inlineStr">
        <is>
          <t>Work up in small jumps to a new max (1RM, or a 3RM/5RM if you prefer). Log it - it sets next cycle's weights</t>
        </is>
      </c>
    </row>
    <row r="287">
      <c r="C287" t="inlineStr">
        <is>
          <t xml:space="preserve">      Set 1</t>
        </is>
      </c>
      <c r="E287" t="n">
        <v>1</v>
      </c>
      <c r="H287" s="39">
        <f>IF(H286="","",H286)</f>
        <v/>
      </c>
      <c r="I287" s="7">
        <f>IF(H286="","",H286)</f>
        <v/>
      </c>
      <c r="J287" s="7" t="n">
        <v>1</v>
      </c>
      <c r="K287" s="7" t="n"/>
      <c r="L287" s="40" t="n"/>
      <c r="M287">
        <f>IF(AND(L287&lt;&gt;"",N(I287)&gt;0,N(J287)&gt;0),IF(J287=1,I287,ROUND(I287*(1+J287/30),1)),"")</f>
        <v/>
      </c>
      <c r="N287" s="41">
        <f>IF(M287="","",IF(M287&gt;=PRs!C2,"PR!",""))</f>
        <v/>
      </c>
      <c r="O287" s="7" t="n"/>
    </row>
    <row r="288">
      <c r="A288" s="34" t="n"/>
      <c r="B288" s="34" t="n"/>
      <c r="C288" s="42" t="inlineStr">
        <is>
          <t>Bench Press</t>
        </is>
      </c>
      <c r="D288" s="34" t="inlineStr">
        <is>
          <t>1 x Max</t>
        </is>
      </c>
      <c r="E288" s="34" t="n"/>
      <c r="F288" s="34" t="n"/>
      <c r="G288" s="36">
        <f>Maxes!E3</f>
        <v/>
      </c>
      <c r="H288" s="37">
        <f>IF(G288="","",MROUND(G288/1,'Start Here'!$B$7))</f>
        <v/>
      </c>
      <c r="I288" s="34" t="n"/>
      <c r="J288" s="34" t="n"/>
      <c r="K288" s="34" t="n"/>
      <c r="L288" s="34" t="n"/>
      <c r="M288" s="34" t="n"/>
      <c r="N288" s="34" t="n"/>
      <c r="O288" s="38" t="inlineStr">
        <is>
          <t>Work up in small jumps to a new max (1RM, or a 3RM/5RM if you prefer). Log it - it sets next cycle's weights</t>
        </is>
      </c>
    </row>
    <row r="289">
      <c r="C289" t="inlineStr">
        <is>
          <t xml:space="preserve">      Set 1</t>
        </is>
      </c>
      <c r="E289" t="n">
        <v>1</v>
      </c>
      <c r="H289" s="39">
        <f>IF(H288="","",H288)</f>
        <v/>
      </c>
      <c r="I289" s="7">
        <f>IF(H288="","",H288)</f>
        <v/>
      </c>
      <c r="J289" s="7" t="n">
        <v>1</v>
      </c>
      <c r="K289" s="7" t="n"/>
      <c r="L289" s="40" t="n"/>
      <c r="M289">
        <f>IF(AND(L289&lt;&gt;"",N(I289)&gt;0,N(J289)&gt;0),IF(J289=1,I289,ROUND(I289*(1+J289/30),1)),"")</f>
        <v/>
      </c>
      <c r="N289" s="41">
        <f>IF(M289="","",IF(M289&gt;=PRs!C3,"PR!",""))</f>
        <v/>
      </c>
      <c r="O289" s="7" t="n"/>
    </row>
    <row r="290">
      <c r="A290" s="34" t="n"/>
      <c r="B290" s="34" t="n"/>
      <c r="C290" s="43" t="inlineStr">
        <is>
          <t>Barbell Row</t>
        </is>
      </c>
      <c r="D290" s="34" t="inlineStr">
        <is>
          <t>2 x 8-10</t>
        </is>
      </c>
      <c r="E290" s="34" t="n"/>
      <c r="F290" s="34" t="n"/>
      <c r="G290" s="36" t="n"/>
      <c r="H290" s="37" t="n"/>
      <c r="I290" s="34" t="n"/>
      <c r="J290" s="34" t="n"/>
      <c r="K290" s="34" t="n"/>
      <c r="L290" s="34" t="n"/>
      <c r="M290" s="34" t="n"/>
      <c r="N290" s="34" t="n"/>
      <c r="O290" s="38" t="inlineStr">
        <is>
          <t>Light</t>
        </is>
      </c>
    </row>
    <row r="291">
      <c r="C291" t="inlineStr">
        <is>
          <t xml:space="preserve">      Set 1</t>
        </is>
      </c>
      <c r="E291" t="n">
        <v>8</v>
      </c>
      <c r="H291" s="39">
        <f>IF(H290="","",H290)</f>
        <v/>
      </c>
      <c r="I291" s="7">
        <f>IF(H290="","",H290)</f>
        <v/>
      </c>
      <c r="J291" s="7" t="n">
        <v>8</v>
      </c>
      <c r="K291" s="7" t="n"/>
      <c r="L291" s="40" t="n"/>
      <c r="M291">
        <f>IF(AND(L291&lt;&gt;"",N(I291)&gt;0,N(J291)&gt;0),IF(J291=1,I291,ROUND(I291*(1+J291/30),1)),"")</f>
        <v/>
      </c>
      <c r="N291" s="41">
        <f>IF(M291="","",IF(M291&gt;=PRs!C50,"PR!",""))</f>
        <v/>
      </c>
      <c r="O291" s="7" t="n"/>
    </row>
    <row r="292">
      <c r="C292" t="inlineStr">
        <is>
          <t xml:space="preserve">      Set 2</t>
        </is>
      </c>
      <c r="E292" t="n">
        <v>8</v>
      </c>
      <c r="H292" s="39">
        <f>IF(H290="","",H290)</f>
        <v/>
      </c>
      <c r="I292" s="7">
        <f>IF(H290="","",H290)</f>
        <v/>
      </c>
      <c r="J292" s="7" t="n">
        <v>8</v>
      </c>
      <c r="K292" s="7" t="n"/>
      <c r="L292" s="40" t="n"/>
      <c r="M292">
        <f>IF(AND(L292&lt;&gt;"",N(I292)&gt;0,N(J292)&gt;0),IF(J292=1,I292,ROUND(I292*(1+J292/30),1)),"")</f>
        <v/>
      </c>
      <c r="N292" s="41">
        <f>IF(M292="","",IF(M292&gt;=PRs!C50,"PR!",""))</f>
        <v/>
      </c>
      <c r="O292" s="7" t="n"/>
    </row>
    <row r="293">
      <c r="A293" s="34" t="n"/>
      <c r="B293" s="34" t="n"/>
      <c r="C293" s="43" t="inlineStr">
        <is>
          <t>Face Pull</t>
        </is>
      </c>
      <c r="D293" s="34" t="inlineStr">
        <is>
          <t>2 x 12-15</t>
        </is>
      </c>
      <c r="E293" s="34" t="n"/>
      <c r="F293" s="34" t="n"/>
      <c r="G293" s="36" t="n"/>
      <c r="H293" s="37" t="n"/>
      <c r="I293" s="34" t="n"/>
      <c r="J293" s="34" t="n"/>
      <c r="K293" s="34" t="n"/>
      <c r="L293" s="34" t="n"/>
      <c r="M293" s="34" t="n"/>
      <c r="N293" s="34" t="n"/>
      <c r="O293" s="38" t="inlineStr">
        <is>
          <t>Light</t>
        </is>
      </c>
    </row>
    <row r="294">
      <c r="C294" t="inlineStr">
        <is>
          <t xml:space="preserve">      Set 1</t>
        </is>
      </c>
      <c r="E294" t="n">
        <v>12</v>
      </c>
      <c r="H294" s="39">
        <f>IF(H293="","",H293)</f>
        <v/>
      </c>
      <c r="I294" s="7">
        <f>IF(H293="","",H293)</f>
        <v/>
      </c>
      <c r="J294" s="7" t="n">
        <v>12</v>
      </c>
      <c r="K294" s="7" t="n"/>
      <c r="L294" s="40" t="n"/>
      <c r="M294">
        <f>IF(AND(L294&lt;&gt;"",N(I294)&gt;0,N(J294)&gt;0),IF(J294=1,I294,ROUND(I294*(1+J294/30),1)),"")</f>
        <v/>
      </c>
      <c r="N294" s="41">
        <f>IF(M294="","",IF(M294&gt;=PRs!C51,"PR!",""))</f>
        <v/>
      </c>
      <c r="O294" s="7" t="n"/>
    </row>
    <row r="295">
      <c r="C295" t="inlineStr">
        <is>
          <t xml:space="preserve">      Set 2</t>
        </is>
      </c>
      <c r="E295" t="n">
        <v>12</v>
      </c>
      <c r="H295" s="39">
        <f>IF(H293="","",H293)</f>
        <v/>
      </c>
      <c r="I295" s="7">
        <f>IF(H293="","",H293)</f>
        <v/>
      </c>
      <c r="J295" s="7" t="n">
        <v>12</v>
      </c>
      <c r="K295" s="7" t="n"/>
      <c r="L295" s="40" t="n"/>
      <c r="M295">
        <f>IF(AND(L295&lt;&gt;"",N(I295)&gt;0,N(J295)&gt;0),IF(J295=1,I295,ROUND(I295*(1+J295/30),1)),"")</f>
        <v/>
      </c>
      <c r="N295" s="41">
        <f>IF(M295="","",IF(M295&gt;=PRs!C51,"PR!",""))</f>
        <v/>
      </c>
      <c r="O295" s="7" t="n"/>
    </row>
    <row r="296">
      <c r="A296" s="31" t="inlineStr">
        <is>
          <t>Day 2 - Light</t>
        </is>
      </c>
      <c r="B296" s="32">
        <f>'Start Here'!$B$8+79</f>
        <v/>
      </c>
      <c r="C296" s="33" t="n"/>
      <c r="D296" s="33" t="n"/>
      <c r="E296" s="33" t="n"/>
      <c r="F296" s="33" t="n"/>
      <c r="G296" s="33" t="n"/>
      <c r="H296" s="33" t="n"/>
      <c r="I296" s="33" t="n"/>
      <c r="J296" s="33" t="n"/>
      <c r="K296" s="33" t="n"/>
      <c r="L296" s="33" t="n"/>
      <c r="M296" s="33" t="n"/>
      <c r="N296" s="33" t="n"/>
      <c r="O296" s="33" t="n"/>
    </row>
    <row r="297">
      <c r="A297" s="34" t="n"/>
      <c r="B297" s="34" t="n"/>
      <c r="C297" s="35" t="inlineStr">
        <is>
          <t>Broad Jump</t>
        </is>
      </c>
      <c r="D297" s="34" t="inlineStr">
        <is>
          <t>1 x Max</t>
        </is>
      </c>
      <c r="E297" s="34" t="n"/>
      <c r="F297" s="34" t="n"/>
      <c r="G297" s="36" t="n"/>
      <c r="H297" s="37">
        <f>IF(N(Maxes!E70)&gt;0,Maxes!E70,"")</f>
        <v/>
      </c>
      <c r="I297" s="34" t="n"/>
      <c r="J297" s="34" t="n"/>
      <c r="K297" s="34" t="n"/>
      <c r="L297" s="34" t="n"/>
      <c r="M297" s="34" t="n"/>
      <c r="N297" s="34" t="n"/>
      <c r="O297" s="38" t="inlineStr">
        <is>
          <t>Test day: best of 3-5 jumps for distance. Log it and check the standards on Start Here</t>
        </is>
      </c>
    </row>
    <row r="298">
      <c r="C298" t="inlineStr">
        <is>
          <t xml:space="preserve">      Set 1</t>
        </is>
      </c>
      <c r="E298" t="n">
        <v>1</v>
      </c>
      <c r="H298" s="39">
        <f>IF(H297="","",H297)</f>
        <v/>
      </c>
      <c r="I298" s="7">
        <f>IF(H297="","",H297)</f>
        <v/>
      </c>
      <c r="J298" s="7" t="n">
        <v>1</v>
      </c>
      <c r="K298" s="7" t="n"/>
      <c r="L298" s="40" t="n"/>
      <c r="N298" s="41">
        <f>IF(AND(L298&lt;&gt;"",N(I298)&gt;0),IF(I298&gt;=PRs!D70,"PR!",""),"")</f>
        <v/>
      </c>
      <c r="O298" s="7" t="n"/>
    </row>
    <row r="299">
      <c r="A299" s="34" t="n"/>
      <c r="B299" s="34" t="n"/>
      <c r="C299" s="42" t="inlineStr">
        <is>
          <t>Clean &amp; Jerk</t>
        </is>
      </c>
      <c r="D299" s="34" t="inlineStr">
        <is>
          <t>1 x Max</t>
        </is>
      </c>
      <c r="E299" s="34" t="n"/>
      <c r="F299" s="34" t="n"/>
      <c r="G299" s="36">
        <f>Maxes!E7</f>
        <v/>
      </c>
      <c r="H299" s="37">
        <f>IF(G299="","",MROUND(G299/1,'Start Here'!$B$7))</f>
        <v/>
      </c>
      <c r="I299" s="34" t="n"/>
      <c r="J299" s="34" t="n"/>
      <c r="K299" s="34" t="n"/>
      <c r="L299" s="34" t="n"/>
      <c r="M299" s="34" t="n"/>
      <c r="N299" s="34" t="n"/>
      <c r="O299" s="38" t="inlineStr">
        <is>
          <t>Work up in small jumps to a new max (1RM, or a 3RM/5RM if you prefer). Log it - it sets next cycle's weights</t>
        </is>
      </c>
    </row>
    <row r="300">
      <c r="C300" t="inlineStr">
        <is>
          <t xml:space="preserve">      Set 1</t>
        </is>
      </c>
      <c r="E300" t="n">
        <v>1</v>
      </c>
      <c r="H300" s="39">
        <f>IF(H299="","",H299)</f>
        <v/>
      </c>
      <c r="I300" s="7">
        <f>IF(H299="","",H299)</f>
        <v/>
      </c>
      <c r="J300" s="7" t="n">
        <v>1</v>
      </c>
      <c r="K300" s="7" t="n"/>
      <c r="L300" s="40" t="n"/>
      <c r="M300">
        <f>IF(AND(L300&lt;&gt;"",N(I300)&gt;0,N(J300)&gt;0),IF(J300=1,I300,ROUND(I300*(1+J300/30),1)),"")</f>
        <v/>
      </c>
      <c r="N300" s="41">
        <f>IF(M300="","",IF(M300&gt;=PRs!C7,"PR!",""))</f>
        <v/>
      </c>
      <c r="O300" s="7" t="n"/>
    </row>
    <row r="301">
      <c r="A301" s="34" t="n"/>
      <c r="B301" s="34" t="n"/>
      <c r="C301" s="42" t="inlineStr">
        <is>
          <t>Squat</t>
        </is>
      </c>
      <c r="D301" s="34" t="inlineStr">
        <is>
          <t>2 x 3</t>
        </is>
      </c>
      <c r="E301" s="34" t="n"/>
      <c r="F301" s="34" t="n">
        <v>60</v>
      </c>
      <c r="G301" s="36">
        <f>Maxes!E2</f>
        <v/>
      </c>
      <c r="H301" s="37">
        <f>IF(OR(G301="",F301=""),"",MROUND(G301*F301/100,'Start Here'!$B$7))</f>
        <v/>
      </c>
      <c r="I301" s="34" t="n"/>
      <c r="J301" s="34" t="n"/>
      <c r="K301" s="34" t="n"/>
      <c r="L301" s="34" t="n"/>
      <c r="M301" s="34" t="n"/>
      <c r="N301" s="34" t="n"/>
      <c r="O301" s="38" t="inlineStr">
        <is>
          <t>Light technique work</t>
        </is>
      </c>
    </row>
    <row r="302">
      <c r="C302" t="inlineStr">
        <is>
          <t xml:space="preserve">      Set 1</t>
        </is>
      </c>
      <c r="E302" t="n">
        <v>3</v>
      </c>
      <c r="H302" s="39">
        <f>IF(H301="","",H301)</f>
        <v/>
      </c>
      <c r="I302" s="7">
        <f>IF(H301="","",H301)</f>
        <v/>
      </c>
      <c r="J302" s="7" t="n">
        <v>3</v>
      </c>
      <c r="K302" s="7" t="n"/>
      <c r="L302" s="40" t="n"/>
      <c r="M302">
        <f>IF(AND(L302&lt;&gt;"",N(I302)&gt;0,N(J302)&gt;0),IF(J302=1,I302,ROUND(I302*(1+J302/30),1)),"")</f>
        <v/>
      </c>
      <c r="N302" s="41">
        <f>IF(M302="","",IF(M302&gt;=PRs!C2,"PR!",""))</f>
        <v/>
      </c>
      <c r="O302" s="7" t="n"/>
    </row>
    <row r="303">
      <c r="C303" t="inlineStr">
        <is>
          <t xml:space="preserve">      Set 2</t>
        </is>
      </c>
      <c r="E303" t="n">
        <v>3</v>
      </c>
      <c r="H303" s="39">
        <f>IF(H301="","",H301)</f>
        <v/>
      </c>
      <c r="I303" s="7">
        <f>IF(H301="","",H301)</f>
        <v/>
      </c>
      <c r="J303" s="7" t="n">
        <v>3</v>
      </c>
      <c r="K303" s="7" t="n"/>
      <c r="L303" s="40" t="n"/>
      <c r="M303">
        <f>IF(AND(L303&lt;&gt;"",N(I303)&gt;0,N(J303)&gt;0),IF(J303=1,I303,ROUND(I303*(1+J303/30),1)),"")</f>
        <v/>
      </c>
      <c r="N303" s="41">
        <f>IF(M303="","",IF(M303&gt;=PRs!C2,"PR!",""))</f>
        <v/>
      </c>
      <c r="O303" s="7" t="n"/>
    </row>
    <row r="304">
      <c r="A304" s="34" t="n"/>
      <c r="B304" s="34" t="n"/>
      <c r="C304" s="42" t="inlineStr">
        <is>
          <t>Overhead Press</t>
        </is>
      </c>
      <c r="D304" s="34" t="inlineStr">
        <is>
          <t>1 x Max</t>
        </is>
      </c>
      <c r="E304" s="34" t="n"/>
      <c r="F304" s="34" t="n"/>
      <c r="G304" s="36">
        <f>Maxes!E5</f>
        <v/>
      </c>
      <c r="H304" s="37">
        <f>IF(G304="","",MROUND(G304/1,'Start Here'!$B$7))</f>
        <v/>
      </c>
      <c r="I304" s="34" t="n"/>
      <c r="J304" s="34" t="n"/>
      <c r="K304" s="34" t="n"/>
      <c r="L304" s="34" t="n"/>
      <c r="M304" s="34" t="n"/>
      <c r="N304" s="34" t="n"/>
      <c r="O304" s="38" t="inlineStr">
        <is>
          <t>Work up in small jumps to a new max (1RM, or a 3RM/5RM if you prefer). Log it - it sets next cycle's weights</t>
        </is>
      </c>
    </row>
    <row r="305">
      <c r="C305" t="inlineStr">
        <is>
          <t xml:space="preserve">      Set 1</t>
        </is>
      </c>
      <c r="E305" t="n">
        <v>1</v>
      </c>
      <c r="H305" s="39">
        <f>IF(H304="","",H304)</f>
        <v/>
      </c>
      <c r="I305" s="7">
        <f>IF(H304="","",H304)</f>
        <v/>
      </c>
      <c r="J305" s="7" t="n">
        <v>1</v>
      </c>
      <c r="K305" s="7" t="n"/>
      <c r="L305" s="40" t="n"/>
      <c r="M305">
        <f>IF(AND(L305&lt;&gt;"",N(I305)&gt;0,N(J305)&gt;0),IF(J305=1,I305,ROUND(I305*(1+J305/30),1)),"")</f>
        <v/>
      </c>
      <c r="N305" s="41">
        <f>IF(M305="","",IF(M305&gt;=PRs!C5,"PR!",""))</f>
        <v/>
      </c>
      <c r="O305" s="7" t="n"/>
    </row>
    <row r="306">
      <c r="A306" s="34" t="n"/>
      <c r="B306" s="34" t="n"/>
      <c r="C306" s="42" t="inlineStr">
        <is>
          <t>Deadlift</t>
        </is>
      </c>
      <c r="D306" s="34" t="inlineStr">
        <is>
          <t>1 x Max</t>
        </is>
      </c>
      <c r="E306" s="34" t="n"/>
      <c r="F306" s="34" t="n"/>
      <c r="G306" s="36">
        <f>Maxes!E4</f>
        <v/>
      </c>
      <c r="H306" s="37">
        <f>IF(G306="","",MROUND(G306/1,'Start Here'!$B$7))</f>
        <v/>
      </c>
      <c r="I306" s="34" t="n"/>
      <c r="J306" s="34" t="n"/>
      <c r="K306" s="34" t="n"/>
      <c r="L306" s="34" t="n"/>
      <c r="M306" s="34" t="n"/>
      <c r="N306" s="34" t="n"/>
      <c r="O306" s="38" t="inlineStr">
        <is>
          <t>Work up in small jumps to a new max (1RM, or a 3RM/5RM if you prefer). Log it - it sets next cycle's weights</t>
        </is>
      </c>
    </row>
    <row r="307">
      <c r="C307" t="inlineStr">
        <is>
          <t xml:space="preserve">      Set 1</t>
        </is>
      </c>
      <c r="E307" t="n">
        <v>1</v>
      </c>
      <c r="H307" s="39">
        <f>IF(H306="","",H306)</f>
        <v/>
      </c>
      <c r="I307" s="7">
        <f>IF(H306="","",H306)</f>
        <v/>
      </c>
      <c r="J307" s="7" t="n">
        <v>1</v>
      </c>
      <c r="K307" s="7" t="n"/>
      <c r="L307" s="40" t="n"/>
      <c r="M307">
        <f>IF(AND(L307&lt;&gt;"",N(I307)&gt;0,N(J307)&gt;0),IF(J307=1,I307,ROUND(I307*(1+J307/30),1)),"")</f>
        <v/>
      </c>
      <c r="N307" s="41">
        <f>IF(M307="","",IF(M307&gt;=PRs!C4,"PR!",""))</f>
        <v/>
      </c>
      <c r="O307" s="7" t="n"/>
    </row>
    <row r="308">
      <c r="A308" s="34" t="n"/>
      <c r="B308" s="34" t="n"/>
      <c r="C308" s="43" t="inlineStr">
        <is>
          <t>Chin-up</t>
        </is>
      </c>
      <c r="D308" s="34" t="inlineStr">
        <is>
          <t>2 x 6-10</t>
        </is>
      </c>
      <c r="E308" s="34" t="n"/>
      <c r="F308" s="34" t="n"/>
      <c r="G308" s="36" t="n"/>
      <c r="H308" s="37" t="n"/>
      <c r="I308" s="34" t="n"/>
      <c r="J308" s="34" t="n"/>
      <c r="K308" s="34" t="n"/>
      <c r="L308" s="34" t="n"/>
      <c r="M308" s="34" t="n"/>
      <c r="N308" s="34" t="n"/>
      <c r="O308" s="38" t="inlineStr">
        <is>
          <t>Light</t>
        </is>
      </c>
    </row>
    <row r="309">
      <c r="C309" t="inlineStr">
        <is>
          <t xml:space="preserve">      Set 1</t>
        </is>
      </c>
      <c r="E309" t="n">
        <v>6</v>
      </c>
      <c r="H309" s="39">
        <f>IF(H308="","",H308)</f>
        <v/>
      </c>
      <c r="I309" s="7">
        <f>IF(H308="","",H308)</f>
        <v/>
      </c>
      <c r="J309" s="7" t="n">
        <v>6</v>
      </c>
      <c r="K309" s="7" t="n"/>
      <c r="L309" s="40" t="n"/>
      <c r="M309">
        <f>IF(AND(L309&lt;&gt;"",N(I309)&gt;0,N(J309)&gt;0),IF(J309=1,I309,ROUND(I309*(1+J309/30),1)),"")</f>
        <v/>
      </c>
      <c r="N309" s="41">
        <f>IF(M309="","",IF(M309&gt;=PRs!C53,"PR!",""))</f>
        <v/>
      </c>
      <c r="O309" s="7" t="n"/>
    </row>
    <row r="310">
      <c r="C310" t="inlineStr">
        <is>
          <t xml:space="preserve">      Set 2</t>
        </is>
      </c>
      <c r="E310" t="n">
        <v>6</v>
      </c>
      <c r="H310" s="39">
        <f>IF(H308="","",H308)</f>
        <v/>
      </c>
      <c r="I310" s="7">
        <f>IF(H308="","",H308)</f>
        <v/>
      </c>
      <c r="J310" s="7" t="n">
        <v>6</v>
      </c>
      <c r="K310" s="7" t="n"/>
      <c r="L310" s="40" t="n"/>
      <c r="M310">
        <f>IF(AND(L310&lt;&gt;"",N(I310)&gt;0,N(J310)&gt;0),IF(J310=1,I310,ROUND(I310*(1+J310/30),1)),"")</f>
        <v/>
      </c>
      <c r="N310" s="41">
        <f>IF(M310="","",IF(M310&gt;=PRs!C53,"PR!",""))</f>
        <v/>
      </c>
      <c r="O310" s="7" t="n"/>
    </row>
    <row r="311">
      <c r="A311" s="34" t="n"/>
      <c r="B311" s="34" t="n"/>
      <c r="C311" s="43" t="inlineStr">
        <is>
          <t>Plank</t>
        </is>
      </c>
      <c r="D311" s="34" t="inlineStr">
        <is>
          <t>2 x 30-60s</t>
        </is>
      </c>
      <c r="E311" s="34" t="n"/>
      <c r="F311" s="34" t="n"/>
      <c r="G311" s="36" t="n"/>
      <c r="H311" s="37" t="n"/>
      <c r="I311" s="34" t="n"/>
      <c r="J311" s="34" t="n"/>
      <c r="K311" s="34" t="n"/>
      <c r="L311" s="34" t="n"/>
      <c r="M311" s="34" t="n"/>
      <c r="N311" s="34" t="n"/>
      <c r="O311" s="38" t="inlineStr">
        <is>
          <t>Light</t>
        </is>
      </c>
    </row>
    <row r="312">
      <c r="C312" t="inlineStr">
        <is>
          <t xml:space="preserve">      Set 1</t>
        </is>
      </c>
      <c r="E312" t="n">
        <v>30</v>
      </c>
      <c r="H312" s="39">
        <f>IF(H311="","",H311)</f>
        <v/>
      </c>
      <c r="I312" s="7">
        <f>IF(H311="","",H311)</f>
        <v/>
      </c>
      <c r="J312" s="7" t="n">
        <v>30</v>
      </c>
      <c r="K312" s="7" t="n"/>
      <c r="L312" s="40" t="n"/>
      <c r="M312">
        <f>IF(AND(L312&lt;&gt;"",N(I312)&gt;0,N(J312)&gt;0),IF(J312=1,I312,ROUND(I312*(1+J312/30),1)),"")</f>
        <v/>
      </c>
      <c r="N312" s="41">
        <f>IF(M312="","",IF(M312&gt;=PRs!C56,"PR!",""))</f>
        <v/>
      </c>
      <c r="O312" s="7" t="n"/>
    </row>
    <row r="313">
      <c r="C313" t="inlineStr">
        <is>
          <t xml:space="preserve">      Set 2</t>
        </is>
      </c>
      <c r="E313" t="n">
        <v>30</v>
      </c>
      <c r="H313" s="39">
        <f>IF(H311="","",H311)</f>
        <v/>
      </c>
      <c r="I313" s="7">
        <f>IF(H311="","",H311)</f>
        <v/>
      </c>
      <c r="J313" s="7" t="n">
        <v>30</v>
      </c>
      <c r="K313" s="7" t="n"/>
      <c r="L313" s="40" t="n"/>
      <c r="M313">
        <f>IF(AND(L313&lt;&gt;"",N(I313)&gt;0,N(J313)&gt;0),IF(J313=1,I313,ROUND(I313*(1+J313/30),1)),"")</f>
        <v/>
      </c>
      <c r="N313" s="41">
        <f>IF(M313="","",IF(M313&gt;=PRs!C56,"PR!",""))</f>
        <v/>
      </c>
      <c r="O313" s="7" t="n"/>
    </row>
    <row r="314">
      <c r="A314" s="31" t="inlineStr">
        <is>
          <t>Day 3 - Variations</t>
        </is>
      </c>
      <c r="B314" s="32">
        <f>'Start Here'!$B$8+81</f>
        <v/>
      </c>
      <c r="C314" s="33" t="n"/>
      <c r="D314" s="33" t="n"/>
      <c r="E314" s="33" t="n"/>
      <c r="F314" s="33" t="n"/>
      <c r="G314" s="33" t="n"/>
      <c r="H314" s="33" t="n"/>
      <c r="I314" s="33" t="n"/>
      <c r="J314" s="33" t="n"/>
      <c r="K314" s="33" t="n"/>
      <c r="L314" s="33" t="n"/>
      <c r="M314" s="33" t="n"/>
      <c r="N314" s="33" t="n"/>
      <c r="O314" s="33" t="n"/>
    </row>
    <row r="315">
      <c r="A315" s="34" t="n"/>
      <c r="B315" s="34" t="n"/>
      <c r="C315" s="35" t="inlineStr">
        <is>
          <t>Vertical Jump</t>
        </is>
      </c>
      <c r="D315" s="34" t="inlineStr">
        <is>
          <t>1 x Max</t>
        </is>
      </c>
      <c r="E315" s="34" t="n"/>
      <c r="F315" s="34" t="n"/>
      <c r="G315" s="36" t="n"/>
      <c r="H315" s="37">
        <f>IF(N(Maxes!E71)&gt;0,Maxes!E71,"")</f>
        <v/>
      </c>
      <c r="I315" s="34" t="n"/>
      <c r="J315" s="34" t="n"/>
      <c r="K315" s="34" t="n"/>
      <c r="L315" s="34" t="n"/>
      <c r="M315" s="34" t="n"/>
      <c r="N315" s="34" t="n"/>
      <c r="O315" s="38" t="inlineStr">
        <is>
          <t>Test day: best of 3-5 jumps (jump mark minus standing reach). Log it and check the standards on Start Here</t>
        </is>
      </c>
    </row>
    <row r="316">
      <c r="C316" t="inlineStr">
        <is>
          <t xml:space="preserve">      Set 1</t>
        </is>
      </c>
      <c r="E316" t="n">
        <v>1</v>
      </c>
      <c r="H316" s="39">
        <f>IF(H315="","",H315)</f>
        <v/>
      </c>
      <c r="I316" s="7">
        <f>IF(H315="","",H315)</f>
        <v/>
      </c>
      <c r="J316" s="7" t="n">
        <v>1</v>
      </c>
      <c r="K316" s="7" t="n"/>
      <c r="L316" s="40" t="n"/>
      <c r="N316" s="41">
        <f>IF(AND(L316&lt;&gt;"",N(I316)&gt;0),IF(I316&gt;=PRs!D71,"PR!",""),"")</f>
        <v/>
      </c>
      <c r="O316" s="7" t="n"/>
    </row>
    <row r="317">
      <c r="A317" s="34" t="n"/>
      <c r="B317" s="34" t="n"/>
      <c r="C317" s="42" t="inlineStr">
        <is>
          <t>Hang Snatch</t>
        </is>
      </c>
      <c r="D317" s="34" t="inlineStr">
        <is>
          <t>1 x 1RM</t>
        </is>
      </c>
      <c r="E317" s="34" t="n"/>
      <c r="F317" s="34" t="n"/>
      <c r="G317" s="36">
        <f>Maxes!E35</f>
        <v/>
      </c>
      <c r="H317" s="37">
        <f>IF(G317="","",MROUND(G317/1,'Start Here'!$B$7))</f>
        <v/>
      </c>
      <c r="I317" s="34" t="n"/>
      <c r="J317" s="34" t="n"/>
      <c r="K317" s="34" t="n"/>
      <c r="L317" s="34" t="n"/>
      <c r="M317" s="34" t="n"/>
      <c r="N317" s="34" t="n"/>
      <c r="O317" s="38" t="inlineStr">
        <is>
          <t>Work up to a 1RM - tracked as its own PR</t>
        </is>
      </c>
    </row>
    <row r="318">
      <c r="C318" t="inlineStr">
        <is>
          <t xml:space="preserve">      Set 1</t>
        </is>
      </c>
      <c r="E318" t="n">
        <v>1</v>
      </c>
      <c r="H318" s="39">
        <f>IF(H317="","",H317)</f>
        <v/>
      </c>
      <c r="I318" s="7">
        <f>IF(H317="","",H317)</f>
        <v/>
      </c>
      <c r="J318" s="7" t="n">
        <v>1</v>
      </c>
      <c r="K318" s="7" t="n"/>
      <c r="L318" s="40" t="n"/>
      <c r="M318">
        <f>IF(AND(L318&lt;&gt;"",N(I318)&gt;0,N(J318)&gt;0),IF(J318=1,I318,ROUND(I318*(1+J318/30),1)),"")</f>
        <v/>
      </c>
      <c r="N318" s="41">
        <f>IF(M318="","",IF(M318&gt;=PRs!C35,"PR!",""))</f>
        <v/>
      </c>
      <c r="O318" s="7" t="n"/>
    </row>
    <row r="319">
      <c r="A319" s="34" t="n"/>
      <c r="B319" s="34" t="n"/>
      <c r="C319" s="42" t="inlineStr">
        <is>
          <t>Front Squat</t>
        </is>
      </c>
      <c r="D319" s="34" t="inlineStr">
        <is>
          <t>1 x 3RM</t>
        </is>
      </c>
      <c r="E319" s="34" t="n"/>
      <c r="F319" s="34" t="n"/>
      <c r="G319" s="36">
        <f>Maxes!E10</f>
        <v/>
      </c>
      <c r="H319" s="37">
        <f>IF(G319="","",MROUND(G319/(1+3/30),'Start Here'!$B$7))</f>
        <v/>
      </c>
      <c r="I319" s="34" t="n"/>
      <c r="J319" s="34" t="n"/>
      <c r="K319" s="34" t="n"/>
      <c r="L319" s="34" t="n"/>
      <c r="M319" s="34" t="n"/>
      <c r="N319" s="34" t="n"/>
      <c r="O319" s="38" t="inlineStr">
        <is>
          <t>Work up to a 3RM - tracked as its own PR</t>
        </is>
      </c>
    </row>
    <row r="320">
      <c r="C320" t="inlineStr">
        <is>
          <t xml:space="preserve">      Set 1</t>
        </is>
      </c>
      <c r="E320" t="n">
        <v>3</v>
      </c>
      <c r="H320" s="39">
        <f>IF(H319="","",H319)</f>
        <v/>
      </c>
      <c r="I320" s="7">
        <f>IF(H319="","",H319)</f>
        <v/>
      </c>
      <c r="J320" s="7" t="n">
        <v>3</v>
      </c>
      <c r="K320" s="7" t="n"/>
      <c r="L320" s="40" t="n"/>
      <c r="M320">
        <f>IF(AND(L320&lt;&gt;"",N(I320)&gt;0,N(J320)&gt;0),IF(J320=1,I320,ROUND(I320*(1+J320/30),1)),"")</f>
        <v/>
      </c>
      <c r="N320" s="41">
        <f>IF(M320="","",IF(M320&gt;=PRs!C10,"PR!",""))</f>
        <v/>
      </c>
      <c r="O320" s="7" t="n"/>
    </row>
    <row r="321">
      <c r="A321" s="34" t="n"/>
      <c r="B321" s="34" t="n"/>
      <c r="C321" s="42" t="inlineStr">
        <is>
          <t>Pause Bench Press</t>
        </is>
      </c>
      <c r="D321" s="34" t="inlineStr">
        <is>
          <t>1 x 3RM</t>
        </is>
      </c>
      <c r="E321" s="34" t="n"/>
      <c r="F321" s="34" t="n"/>
      <c r="G321" s="36">
        <f>Maxes!E18</f>
        <v/>
      </c>
      <c r="H321" s="37">
        <f>IF(G321="","",MROUND(G321/(1+3/30),'Start Here'!$B$7))</f>
        <v/>
      </c>
      <c r="I321" s="34" t="n"/>
      <c r="J321" s="34" t="n"/>
      <c r="K321" s="34" t="n"/>
      <c r="L321" s="34" t="n"/>
      <c r="M321" s="34" t="n"/>
      <c r="N321" s="34" t="n"/>
      <c r="O321" s="38" t="inlineStr">
        <is>
          <t>Work up to a 3RM - tracked as its own PR</t>
        </is>
      </c>
    </row>
    <row r="322">
      <c r="C322" t="inlineStr">
        <is>
          <t xml:space="preserve">      Set 1</t>
        </is>
      </c>
      <c r="E322" t="n">
        <v>3</v>
      </c>
      <c r="H322" s="39">
        <f>IF(H321="","",H321)</f>
        <v/>
      </c>
      <c r="I322" s="7">
        <f>IF(H321="","",H321)</f>
        <v/>
      </c>
      <c r="J322" s="7" t="n">
        <v>3</v>
      </c>
      <c r="K322" s="7" t="n"/>
      <c r="L322" s="40" t="n"/>
      <c r="M322">
        <f>IF(AND(L322&lt;&gt;"",N(I322)&gt;0,N(J322)&gt;0),IF(J322=1,I322,ROUND(I322*(1+J322/30),1)),"")</f>
        <v/>
      </c>
      <c r="N322" s="41">
        <f>IF(M322="","",IF(M322&gt;=PRs!C18,"PR!",""))</f>
        <v/>
      </c>
      <c r="O322" s="7" t="n"/>
    </row>
    <row r="323">
      <c r="A323" s="34" t="n"/>
      <c r="B323" s="34" t="n"/>
      <c r="C323" s="42" t="inlineStr">
        <is>
          <t>Paused Deadlift</t>
        </is>
      </c>
      <c r="D323" s="34" t="inlineStr">
        <is>
          <t>1 x 3RM</t>
        </is>
      </c>
      <c r="E323" s="34" t="n"/>
      <c r="F323" s="34" t="n"/>
      <c r="G323" s="36">
        <f>Maxes!E25</f>
        <v/>
      </c>
      <c r="H323" s="37">
        <f>IF(G323="","",MROUND(G323/(1+3/30),'Start Here'!$B$7))</f>
        <v/>
      </c>
      <c r="I323" s="34" t="n"/>
      <c r="J323" s="34" t="n"/>
      <c r="K323" s="34" t="n"/>
      <c r="L323" s="34" t="n"/>
      <c r="M323" s="34" t="n"/>
      <c r="N323" s="34" t="n"/>
      <c r="O323" s="38" t="inlineStr">
        <is>
          <t>Work up to a 3RM - tracked as its own PR</t>
        </is>
      </c>
    </row>
    <row r="324">
      <c r="C324" t="inlineStr">
        <is>
          <t xml:space="preserve">      Set 1</t>
        </is>
      </c>
      <c r="E324" t="n">
        <v>3</v>
      </c>
      <c r="H324" s="39">
        <f>IF(H323="","",H323)</f>
        <v/>
      </c>
      <c r="I324" s="7">
        <f>IF(H323="","",H323)</f>
        <v/>
      </c>
      <c r="J324" s="7" t="n">
        <v>3</v>
      </c>
      <c r="K324" s="7" t="n"/>
      <c r="L324" s="40" t="n"/>
      <c r="M324">
        <f>IF(AND(L324&lt;&gt;"",N(I324)&gt;0,N(J324)&gt;0),IF(J324=1,I324,ROUND(I324*(1+J324/30),1)),"")</f>
        <v/>
      </c>
      <c r="N324" s="41">
        <f>IF(M324="","",IF(M324&gt;=PRs!C25,"PR!",""))</f>
        <v/>
      </c>
      <c r="O324" s="7" t="n"/>
    </row>
    <row r="325">
      <c r="A325" s="34" t="n"/>
      <c r="B325" s="34" t="n"/>
      <c r="C325" s="43" t="inlineStr">
        <is>
          <t>Incline Dumbbell Press</t>
        </is>
      </c>
      <c r="D325" s="34" t="inlineStr">
        <is>
          <t>2 x 8-12</t>
        </is>
      </c>
      <c r="E325" s="34" t="n"/>
      <c r="F325" s="34" t="n"/>
      <c r="G325" s="36" t="n"/>
      <c r="H325" s="37" t="n"/>
      <c r="I325" s="34" t="n"/>
      <c r="J325" s="34" t="n"/>
      <c r="K325" s="34" t="n"/>
      <c r="L325" s="34" t="n"/>
      <c r="M325" s="34" t="n"/>
      <c r="N325" s="34" t="n"/>
      <c r="O325" s="38" t="inlineStr">
        <is>
          <t>Light</t>
        </is>
      </c>
    </row>
    <row r="326">
      <c r="C326" t="inlineStr">
        <is>
          <t xml:space="preserve">      Set 1</t>
        </is>
      </c>
      <c r="E326" t="n">
        <v>8</v>
      </c>
      <c r="H326" s="39">
        <f>IF(H325="","",H325)</f>
        <v/>
      </c>
      <c r="I326" s="7">
        <f>IF(H325="","",H325)</f>
        <v/>
      </c>
      <c r="J326" s="7" t="n">
        <v>8</v>
      </c>
      <c r="K326" s="7" t="n"/>
      <c r="L326" s="40" t="n"/>
      <c r="M326">
        <f>IF(AND(L326&lt;&gt;"",N(I326)&gt;0,N(J326)&gt;0),IF(J326=1,I326,ROUND(I326*(1+J326/30),1)),"")</f>
        <v/>
      </c>
      <c r="N326" s="41">
        <f>IF(M326="","",IF(M326&gt;=PRs!C57,"PR!",""))</f>
        <v/>
      </c>
      <c r="O326" s="7" t="n"/>
    </row>
    <row r="327">
      <c r="C327" t="inlineStr">
        <is>
          <t xml:space="preserve">      Set 2</t>
        </is>
      </c>
      <c r="E327" t="n">
        <v>8</v>
      </c>
      <c r="H327" s="39">
        <f>IF(H325="","",H325)</f>
        <v/>
      </c>
      <c r="I327" s="7">
        <f>IF(H325="","",H325)</f>
        <v/>
      </c>
      <c r="J327" s="7" t="n">
        <v>8</v>
      </c>
      <c r="K327" s="7" t="n"/>
      <c r="L327" s="40" t="n"/>
      <c r="M327">
        <f>IF(AND(L327&lt;&gt;"",N(I327)&gt;0,N(J327)&gt;0),IF(J327=1,I327,ROUND(I327*(1+J327/30),1)),"")</f>
        <v/>
      </c>
      <c r="N327" s="41">
        <f>IF(M327="","",IF(M327&gt;=PRs!C57,"PR!",""))</f>
        <v/>
      </c>
      <c r="O327" s="7" t="n"/>
    </row>
    <row r="328">
      <c r="A328" s="34" t="n"/>
      <c r="B328" s="34" t="n"/>
      <c r="C328" s="43" t="inlineStr">
        <is>
          <t>Triceps Pushdown</t>
        </is>
      </c>
      <c r="D328" s="34" t="inlineStr">
        <is>
          <t>2 x 10-15</t>
        </is>
      </c>
      <c r="E328" s="34" t="n"/>
      <c r="F328" s="34" t="n"/>
      <c r="G328" s="36" t="n"/>
      <c r="H328" s="37" t="n"/>
      <c r="I328" s="34" t="n"/>
      <c r="J328" s="34" t="n"/>
      <c r="K328" s="34" t="n"/>
      <c r="L328" s="34" t="n"/>
      <c r="M328" s="34" t="n"/>
      <c r="N328" s="34" t="n"/>
      <c r="O328" s="38" t="inlineStr">
        <is>
          <t>Light</t>
        </is>
      </c>
    </row>
    <row r="329">
      <c r="C329" t="inlineStr">
        <is>
          <t xml:space="preserve">      Set 1</t>
        </is>
      </c>
      <c r="E329" t="n">
        <v>10</v>
      </c>
      <c r="H329" s="39">
        <f>IF(H328="","",H328)</f>
        <v/>
      </c>
      <c r="I329" s="7">
        <f>IF(H328="","",H328)</f>
        <v/>
      </c>
      <c r="J329" s="7" t="n">
        <v>10</v>
      </c>
      <c r="K329" s="7" t="n"/>
      <c r="L329" s="40" t="n"/>
      <c r="M329">
        <f>IF(AND(L329&lt;&gt;"",N(I329)&gt;0,N(J329)&gt;0),IF(J329=1,I329,ROUND(I329*(1+J329/30),1)),"")</f>
        <v/>
      </c>
      <c r="N329" s="41">
        <f>IF(M329="","",IF(M329&gt;=PRs!C59,"PR!",""))</f>
        <v/>
      </c>
      <c r="O329" s="7" t="n"/>
    </row>
    <row r="330">
      <c r="C330" t="inlineStr">
        <is>
          <t xml:space="preserve">      Set 2</t>
        </is>
      </c>
      <c r="E330" t="n">
        <v>10</v>
      </c>
      <c r="H330" s="39">
        <f>IF(H328="","",H328)</f>
        <v/>
      </c>
      <c r="I330" s="7">
        <f>IF(H328="","",H328)</f>
        <v/>
      </c>
      <c r="J330" s="7" t="n">
        <v>10</v>
      </c>
      <c r="K330" s="7" t="n"/>
      <c r="L330" s="40" t="n"/>
      <c r="M330">
        <f>IF(AND(L330&lt;&gt;"",N(I330)&gt;0,N(J330)&gt;0),IF(J330=1,I330,ROUND(I330*(1+J330/30),1)),"")</f>
        <v/>
      </c>
      <c r="N330" s="41">
        <f>IF(M330="","",IF(M330&gt;=PRs!C59,"PR!",""))</f>
        <v/>
      </c>
      <c r="O330" s="7" t="n"/>
    </row>
  </sheetData>
  <dataValidations count="3">
    <dataValidation sqref="H3" showDropDown="0" showInputMessage="0" showErrorMessage="0" allowBlank="1" type="list">
      <formula1>Lists!$B$1:$B$6</formula1>
    </dataValidation>
    <dataValidation sqref="L9 L10 L11 L13 L14 L15 L16 L17 L19 L20 L21 L22 L23 L25 L26 L27 L28 L29 L31 L32 L33 L35 L36 L37 L40 L41 L42 L44 L45 L47 L48 L49 L50 L51 L53 L54 L55 L56 L58 L59 L60 L61 L63 L64 L65 L67 L68 L69 L71 L72 L73 L76 L77 L78 L80 L81 L82 L83 L85 L86 L87 L88 L90 L91 L92 L93 L95 L96 L97 L98 L100 L101 L102 L104 L105 L106 L111 L112 L113 L115 L116 L117 L118 L120 L121 L122 L123 L125 L126 L127 L128 L130 L131 L132 L134 L135 L136 L139 L140 L141 L143 L144 L146 L147 L148 L149 L151 L152 L153 L155 L156 L157 L158 L159 L161 L162 L163 L164 L166 L167 L168 L170 L171 L172 L175 L176 L177 L179 L180 L181 L182 L183 L185 L186 L187 L188 L189 L191 L192 L193 L194 L195 L197 L198 L199 L201 L202 L203 L205 L206 L207 L212 L213 L215 L216 L217 L219 L220 L221 L223 L224 L225 L227 L228 L230 L231 L234 L235 L237 L238 L240 L241 L243 L244 L246 L247 L249 L250 L252 L253 L255 L256 L259 L260 L262 L263 L265 L266 L268 L269 L271 L272 L274 L275 L277 L278 L283 L285 L287 L289 L291 L292 L294 L295 L298 L300 L302 L303 L305 L307 L309 L310 L312 L313 L316 L318 L320 L322 L324 L326 L327 L329 L330" showDropDown="0" showInputMessage="0" showErrorMessage="0" allowBlank="1" type="list">
      <formula1>"✓"</formula1>
    </dataValidation>
    <dataValidation sqref="K9 K10 K11 K13 K14 K15 K16 K17 K19 K20 K21 K22 K23 K25 K26 K27 K28 K29 K31 K32 K33 K35 K36 K37 K40 K41 K42 K44 K45 K47 K48 K49 K50 K51 K53 K54 K55 K56 K58 K59 K60 K61 K63 K64 K65 K67 K68 K69 K71 K72 K73 K76 K77 K78 K80 K81 K82 K83 K85 K86 K87 K88 K90 K91 K92 K93 K95 K96 K97 K98 K100 K101 K102 K104 K105 K106 K111 K112 K113 K115 K116 K117 K118 K120 K121 K122 K123 K125 K126 K127 K128 K130 K131 K132 K134 K135 K136 K139 K140 K141 K143 K144 K146 K147 K148 K149 K151 K152 K153 K155 K156 K157 K158 K159 K161 K162 K163 K164 K166 K167 K168 K170 K171 K172 K175 K176 K177 K179 K180 K181 K182 K183 K185 K186 K187 K188 K189 K191 K192 K193 K194 K195 K197 K198 K199 K201 K202 K203 K205 K206 K207 K212 K213 K215 K216 K217 K219 K220 K221 K223 K224 K225 K227 K228 K230 K231 K234 K235 K237 K238 K240 K241 K243 K244 K246 K247 K249 K250 K252 K253 K255 K256 K259 K260 K262 K263 K265 K266 K268 K269 K271 K272 K274 K275 K277 K278 K283 K285 K287 K289 K291 K292 K294 K295 K298 K300 K302 K303 K305 K307 K309 K310 K312 K313 K316 K318 K320 K322 K324 K326 K327 K329 K330" showDropDown="0" showInputMessage="0" showErrorMessage="0" allowBlank="1" type="list">
      <formula1>"6,6.5,7,7.5,8,8.5,9,9.5,10"</formula1>
    </dataValidation>
  </dataValidations>
  <hyperlinks>
    <hyperlink ref="A2" location="'Month 02'!A1" display="&lt; Month 02"/>
    <hyperlink ref="C2" location="'Start Here'!A1" display="Start Here"/>
    <hyperlink ref="E2" location="'Month 04'!A1" display="Month 04 &gt;"/>
    <hyperlink ref="L3" location="'Body'!A1" display="How to test"/>
  </hyperlinks>
  <pageMargins left="0.75" right="0.75" top="1" bottom="1" header="0.5" footer="0.5"/>
  <pageSetup orientation="landscape" fitToHeight="0" fitToWidth="1"/>
</worksheet>
</file>

<file path=xl/worksheets/sheet6.xml><?xml version="1.0" encoding="utf-8"?>
<worksheet xmlns="http://schemas.openxmlformats.org/spreadsheetml/2006/main">
  <sheetPr>
    <tabColor rgb="00E6E2DA"/>
    <outlinePr summaryBelow="1" summaryRight="1"/>
    <pageSetUpPr fitToPage="1"/>
  </sheetPr>
  <dimension ref="A1:O38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26" customWidth="1" min="3" max="3"/>
    <col width="10" customWidth="1" min="4" max="4"/>
    <col width="7" customWidth="1" min="5" max="5"/>
    <col width="6" customWidth="1" min="6" max="6"/>
    <col width="9" customWidth="1" min="7" max="7"/>
    <col width="9" customWidth="1" min="8" max="8"/>
    <col width="12" customWidth="1" min="9" max="9"/>
    <col width="8" customWidth="1" min="10" max="10"/>
    <col width="6" customWidth="1" min="11" max="11"/>
    <col width="6" customWidth="1" min="12" max="12"/>
    <col width="9" customWidth="1" min="13" max="13"/>
    <col width="5" customWidth="1" min="14" max="14"/>
    <col width="60" customWidth="1" min="15" max="15"/>
  </cols>
  <sheetData>
    <row r="1">
      <c r="A1" s="25" t="inlineStr">
        <is>
          <t>MONTH 04  -  weeks 13-16  -  Cycle 2</t>
        </is>
      </c>
    </row>
    <row r="2">
      <c r="A2" s="26" t="inlineStr">
        <is>
          <t>&lt; Month 03</t>
        </is>
      </c>
      <c r="C2" s="26" t="inlineStr">
        <is>
          <t>Start Here</t>
        </is>
      </c>
      <c r="E2" s="26" t="inlineStr">
        <is>
          <t>Month 05 &gt;</t>
        </is>
      </c>
    </row>
    <row r="3">
      <c r="A3" s="41" t="inlineStr">
        <is>
          <t>BODY FAT (once this month)</t>
        </is>
      </c>
      <c r="C3" s="44" t="inlineStr">
        <is>
          <t>Date</t>
        </is>
      </c>
      <c r="D3" s="12" t="n"/>
      <c r="E3" s="44" t="inlineStr">
        <is>
          <t>Body fat %</t>
        </is>
      </c>
      <c r="F3" s="7" t="n"/>
      <c r="G3" s="44" t="inlineStr">
        <is>
          <t>Method</t>
        </is>
      </c>
      <c r="H3" s="7" t="n"/>
      <c r="I3" s="44" t="inlineStr">
        <is>
          <t>Weight at test</t>
        </is>
      </c>
      <c r="J3" s="7" t="n"/>
      <c r="L3" s="26" t="inlineStr">
        <is>
          <t>How to test</t>
        </is>
      </c>
    </row>
    <row r="4">
      <c r="A4" s="27" t="inlineStr">
        <is>
          <t>Every set is filled in with the plan. Change what was different, mark Done. Enter bodyweight once per week on the purple week rows.</t>
        </is>
      </c>
    </row>
    <row r="5">
      <c r="A5" s="8" t="inlineStr">
        <is>
          <t>Day</t>
        </is>
      </c>
      <c r="B5" s="8" t="inlineStr">
        <is>
          <t>Date</t>
        </is>
      </c>
      <c r="C5" s="8" t="inlineStr">
        <is>
          <t>Exercise / set</t>
        </is>
      </c>
      <c r="D5" s="8" t="inlineStr">
        <is>
          <t>Scheme</t>
        </is>
      </c>
      <c r="E5" s="8" t="inlineStr">
        <is>
          <t>Target reps</t>
        </is>
      </c>
      <c r="F5" s="8" t="inlineStr">
        <is>
          <t>% TM</t>
        </is>
      </c>
      <c r="G5" s="8" t="inlineStr">
        <is>
          <t>Training max</t>
        </is>
      </c>
      <c r="H5" s="8" t="inlineStr">
        <is>
          <t>Target</t>
        </is>
      </c>
      <c r="I5" s="8" t="inlineStr">
        <is>
          <t>Actual weight / height</t>
        </is>
      </c>
      <c r="J5" s="8" t="inlineStr">
        <is>
          <t>Actual reps</t>
        </is>
      </c>
      <c r="K5" s="8" t="inlineStr">
        <is>
          <t>RPE</t>
        </is>
      </c>
      <c r="L5" s="8" t="inlineStr">
        <is>
          <t>Done</t>
        </is>
      </c>
      <c r="M5" s="8" t="inlineStr">
        <is>
          <t>Est. 1RM</t>
        </is>
      </c>
      <c r="N5" s="8" t="inlineStr">
        <is>
          <t>PR</t>
        </is>
      </c>
      <c r="O5" s="8" t="inlineStr">
        <is>
          <t>Notes / guidance</t>
        </is>
      </c>
    </row>
    <row r="6">
      <c r="A6" s="45" t="inlineStr">
        <is>
          <t>WEEK 13 - CYCLE 2 - ACCUMULATION</t>
        </is>
      </c>
      <c r="B6" s="46" t="n"/>
      <c r="C6" s="46" t="n"/>
      <c r="D6" s="46" t="n"/>
      <c r="E6" s="46" t="n"/>
      <c r="F6" s="46" t="n"/>
      <c r="G6" s="46" t="n"/>
      <c r="H6" s="47" t="inlineStr">
        <is>
          <t>Bodyweight:</t>
        </is>
      </c>
      <c r="I6" s="7" t="n"/>
      <c r="J6" s="46" t="n"/>
      <c r="K6" s="46" t="n"/>
      <c r="L6" s="46" t="n"/>
      <c r="M6" s="46" t="n"/>
      <c r="N6" s="46" t="n"/>
      <c r="O6" s="46" t="n"/>
    </row>
    <row r="7">
      <c r="A7" s="31" t="inlineStr">
        <is>
          <t>Day 1 - Heavy</t>
        </is>
      </c>
      <c r="B7" s="32">
        <f>'Start Here'!$B$8+84</f>
        <v/>
      </c>
      <c r="C7" s="33" t="n"/>
      <c r="D7" s="33" t="n"/>
      <c r="E7" s="33" t="n"/>
      <c r="F7" s="33" t="n"/>
      <c r="G7" s="33" t="n"/>
      <c r="H7" s="33" t="n"/>
      <c r="I7" s="33" t="n"/>
      <c r="J7" s="33" t="n"/>
      <c r="K7" s="33" t="n"/>
      <c r="L7" s="33" t="n"/>
      <c r="M7" s="33" t="n"/>
      <c r="N7" s="33" t="n"/>
      <c r="O7" s="33" t="n"/>
    </row>
    <row r="8">
      <c r="A8" s="34" t="n"/>
      <c r="B8" s="34" t="n"/>
      <c r="C8" s="35" t="inlineStr">
        <is>
          <t>Box Jump</t>
        </is>
      </c>
      <c r="D8" s="34" t="inlineStr">
        <is>
          <t>4 x 3</t>
        </is>
      </c>
      <c r="E8" s="34" t="n"/>
      <c r="F8" s="34" t="n"/>
      <c r="G8" s="36" t="n"/>
      <c r="H8" s="37">
        <f>IF(N(Maxes!F69)&gt;0,Maxes!F69,'Start Here'!$G$16)</f>
        <v/>
      </c>
      <c r="I8" s="34" t="n"/>
      <c r="J8" s="34" t="n"/>
      <c r="K8" s="34" t="n"/>
      <c r="L8" s="34" t="n"/>
      <c r="M8" s="34" t="n"/>
      <c r="N8" s="34" t="n"/>
      <c r="O8" s="38" t="inlineStr">
        <is>
          <t>Two-foot jump onto a box, land soft in a quarter squat, STEP down. Log the box height (floor to top of box).</t>
        </is>
      </c>
    </row>
    <row r="9">
      <c r="C9" t="inlineStr">
        <is>
          <t xml:space="preserve">      Set 1</t>
        </is>
      </c>
      <c r="E9" t="n">
        <v>3</v>
      </c>
      <c r="H9" s="39">
        <f>IF(H8="","",H8)</f>
        <v/>
      </c>
      <c r="I9" s="7">
        <f>IF(H8="","",H8)</f>
        <v/>
      </c>
      <c r="J9" s="7" t="n">
        <v>3</v>
      </c>
      <c r="K9" s="7" t="n"/>
      <c r="L9" s="40" t="n"/>
      <c r="N9" s="41">
        <f>IF(AND(L9&lt;&gt;"",N(I9)&gt;0),IF(I9&gt;=PRs!D69,"PR!",""),"")</f>
        <v/>
      </c>
      <c r="O9" s="7" t="n"/>
    </row>
    <row r="10">
      <c r="C10" t="inlineStr">
        <is>
          <t xml:space="preserve">      Set 2</t>
        </is>
      </c>
      <c r="E10" t="n">
        <v>3</v>
      </c>
      <c r="H10" s="39">
        <f>IF(H8="","",H8)</f>
        <v/>
      </c>
      <c r="I10" s="7">
        <f>IF(H8="","",H8)</f>
        <v/>
      </c>
      <c r="J10" s="7" t="n">
        <v>3</v>
      </c>
      <c r="K10" s="7" t="n"/>
      <c r="L10" s="40" t="n"/>
      <c r="N10" s="41">
        <f>IF(AND(L10&lt;&gt;"",N(I10)&gt;0),IF(I10&gt;=PRs!D69,"PR!",""),"")</f>
        <v/>
      </c>
      <c r="O10" s="7" t="n"/>
    </row>
    <row r="11">
      <c r="C11" t="inlineStr">
        <is>
          <t xml:space="preserve">      Set 3</t>
        </is>
      </c>
      <c r="E11" t="n">
        <v>3</v>
      </c>
      <c r="H11" s="39">
        <f>IF(H8="","",H8)</f>
        <v/>
      </c>
      <c r="I11" s="7">
        <f>IF(H8="","",H8)</f>
        <v/>
      </c>
      <c r="J11" s="7" t="n">
        <v>3</v>
      </c>
      <c r="K11" s="7" t="n"/>
      <c r="L11" s="40" t="n"/>
      <c r="N11" s="41">
        <f>IF(AND(L11&lt;&gt;"",N(I11)&gt;0),IF(I11&gt;=PRs!D69,"PR!",""),"")</f>
        <v/>
      </c>
      <c r="O11" s="7" t="n"/>
    </row>
    <row r="12">
      <c r="C12" t="inlineStr">
        <is>
          <t xml:space="preserve">      Set 4</t>
        </is>
      </c>
      <c r="E12" t="n">
        <v>3</v>
      </c>
      <c r="H12" s="39">
        <f>IF(H8="","",H8)</f>
        <v/>
      </c>
      <c r="I12" s="7">
        <f>IF(H8="","",H8)</f>
        <v/>
      </c>
      <c r="J12" s="7" t="n">
        <v>3</v>
      </c>
      <c r="K12" s="7" t="n"/>
      <c r="L12" s="40" t="n"/>
      <c r="N12" s="41">
        <f>IF(AND(L12&lt;&gt;"",N(I12)&gt;0),IF(I12&gt;=PRs!D69,"PR!",""),"")</f>
        <v/>
      </c>
      <c r="O12" s="7" t="n"/>
    </row>
    <row r="13">
      <c r="A13" s="34" t="n"/>
      <c r="B13" s="34" t="n"/>
      <c r="C13" s="42" t="inlineStr">
        <is>
          <t>Snatch</t>
        </is>
      </c>
      <c r="D13" s="34" t="inlineStr">
        <is>
          <t>4 x 3</t>
        </is>
      </c>
      <c r="E13" s="34" t="n"/>
      <c r="F13" s="34" t="n">
        <v>70</v>
      </c>
      <c r="G13" s="36">
        <f>Maxes!F6</f>
        <v/>
      </c>
      <c r="H13" s="37">
        <f>IF(OR(G13="",F13=""),"",MROUND(G13*F13/100,'Start Here'!$B$7))</f>
        <v/>
      </c>
      <c r="I13" s="34" t="n"/>
      <c r="J13" s="34" t="n"/>
      <c r="K13" s="34" t="n"/>
      <c r="L13" s="34" t="n"/>
      <c r="M13" s="34" t="n"/>
      <c r="N13" s="34" t="n"/>
      <c r="O13" s="38" t="inlineStr"/>
    </row>
    <row r="14">
      <c r="C14" t="inlineStr">
        <is>
          <t xml:space="preserve">      Set 1</t>
        </is>
      </c>
      <c r="E14" t="n">
        <v>3</v>
      </c>
      <c r="H14" s="39">
        <f>IF(H13="","",H13)</f>
        <v/>
      </c>
      <c r="I14" s="7">
        <f>IF(H13="","",H13)</f>
        <v/>
      </c>
      <c r="J14" s="7" t="n">
        <v>3</v>
      </c>
      <c r="K14" s="7" t="n"/>
      <c r="L14" s="40" t="n"/>
      <c r="M14">
        <f>IF(AND(L14&lt;&gt;"",N(I14)&gt;0,N(J14)&gt;0),IF(J14=1,I14,ROUND(I14*(1+J14/30),1)),"")</f>
        <v/>
      </c>
      <c r="N14" s="41">
        <f>IF(M14="","",IF(M14&gt;=PRs!C6,"PR!",""))</f>
        <v/>
      </c>
      <c r="O14" s="7" t="n"/>
    </row>
    <row r="15">
      <c r="C15" t="inlineStr">
        <is>
          <t xml:space="preserve">      Set 2</t>
        </is>
      </c>
      <c r="E15" t="n">
        <v>3</v>
      </c>
      <c r="H15" s="39">
        <f>IF(H13="","",H13)</f>
        <v/>
      </c>
      <c r="I15" s="7">
        <f>IF(H13="","",H13)</f>
        <v/>
      </c>
      <c r="J15" s="7" t="n">
        <v>3</v>
      </c>
      <c r="K15" s="7" t="n"/>
      <c r="L15" s="40" t="n"/>
      <c r="M15">
        <f>IF(AND(L15&lt;&gt;"",N(I15)&gt;0,N(J15)&gt;0),IF(J15=1,I15,ROUND(I15*(1+J15/30),1)),"")</f>
        <v/>
      </c>
      <c r="N15" s="41">
        <f>IF(M15="","",IF(M15&gt;=PRs!C6,"PR!",""))</f>
        <v/>
      </c>
      <c r="O15" s="7" t="n"/>
    </row>
    <row r="16">
      <c r="C16" t="inlineStr">
        <is>
          <t xml:space="preserve">      Set 3</t>
        </is>
      </c>
      <c r="E16" t="n">
        <v>3</v>
      </c>
      <c r="H16" s="39">
        <f>IF(H13="","",H13)</f>
        <v/>
      </c>
      <c r="I16" s="7">
        <f>IF(H13="","",H13)</f>
        <v/>
      </c>
      <c r="J16" s="7" t="n">
        <v>3</v>
      </c>
      <c r="K16" s="7" t="n"/>
      <c r="L16" s="40" t="n"/>
      <c r="M16">
        <f>IF(AND(L16&lt;&gt;"",N(I16)&gt;0,N(J16)&gt;0),IF(J16=1,I16,ROUND(I16*(1+J16/30),1)),"")</f>
        <v/>
      </c>
      <c r="N16" s="41">
        <f>IF(M16="","",IF(M16&gt;=PRs!C6,"PR!",""))</f>
        <v/>
      </c>
      <c r="O16" s="7" t="n"/>
    </row>
    <row r="17">
      <c r="C17" t="inlineStr">
        <is>
          <t xml:space="preserve">      Set 4</t>
        </is>
      </c>
      <c r="E17" t="n">
        <v>3</v>
      </c>
      <c r="H17" s="39">
        <f>IF(H13="","",H13)</f>
        <v/>
      </c>
      <c r="I17" s="7">
        <f>IF(H13="","",H13)</f>
        <v/>
      </c>
      <c r="J17" s="7" t="n">
        <v>3</v>
      </c>
      <c r="K17" s="7" t="n"/>
      <c r="L17" s="40" t="n"/>
      <c r="M17">
        <f>IF(AND(L17&lt;&gt;"",N(I17)&gt;0,N(J17)&gt;0),IF(J17=1,I17,ROUND(I17*(1+J17/30),1)),"")</f>
        <v/>
      </c>
      <c r="N17" s="41">
        <f>IF(M17="","",IF(M17&gt;=PRs!C6,"PR!",""))</f>
        <v/>
      </c>
      <c r="O17" s="7" t="n"/>
    </row>
    <row r="18">
      <c r="A18" s="34" t="n"/>
      <c r="B18" s="34" t="n"/>
      <c r="C18" s="42" t="inlineStr">
        <is>
          <t>Squat</t>
        </is>
      </c>
      <c r="D18" s="34" t="inlineStr">
        <is>
          <t>3 x 6</t>
        </is>
      </c>
      <c r="E18" s="34" t="n"/>
      <c r="F18" s="34" t="n">
        <v>70</v>
      </c>
      <c r="G18" s="36">
        <f>Maxes!F2</f>
        <v/>
      </c>
      <c r="H18" s="37">
        <f>IF(OR(G18="",F18=""),"",MROUND(G18*F18/100,'Start Here'!$B$7))</f>
        <v/>
      </c>
      <c r="I18" s="34" t="n"/>
      <c r="J18" s="34" t="n"/>
      <c r="K18" s="34" t="n"/>
      <c r="L18" s="34" t="n"/>
      <c r="M18" s="34" t="n"/>
      <c r="N18" s="34" t="n"/>
      <c r="O18" s="38" t="inlineStr"/>
    </row>
    <row r="19">
      <c r="C19" t="inlineStr">
        <is>
          <t xml:space="preserve">      Set 1</t>
        </is>
      </c>
      <c r="E19" t="n">
        <v>6</v>
      </c>
      <c r="H19" s="39">
        <f>IF(H18="","",H18)</f>
        <v/>
      </c>
      <c r="I19" s="7">
        <f>IF(H18="","",H18)</f>
        <v/>
      </c>
      <c r="J19" s="7" t="n">
        <v>6</v>
      </c>
      <c r="K19" s="7" t="n"/>
      <c r="L19" s="40" t="n"/>
      <c r="M19">
        <f>IF(AND(L19&lt;&gt;"",N(I19)&gt;0,N(J19)&gt;0),IF(J19=1,I19,ROUND(I19*(1+J19/30),1)),"")</f>
        <v/>
      </c>
      <c r="N19" s="41">
        <f>IF(M19="","",IF(M19&gt;=PRs!C2,"PR!",""))</f>
        <v/>
      </c>
      <c r="O19" s="7" t="n"/>
    </row>
    <row r="20">
      <c r="C20" t="inlineStr">
        <is>
          <t xml:space="preserve">      Set 2</t>
        </is>
      </c>
      <c r="E20" t="n">
        <v>6</v>
      </c>
      <c r="H20" s="39">
        <f>IF(H18="","",H18)</f>
        <v/>
      </c>
      <c r="I20" s="7">
        <f>IF(H18="","",H18)</f>
        <v/>
      </c>
      <c r="J20" s="7" t="n">
        <v>6</v>
      </c>
      <c r="K20" s="7" t="n"/>
      <c r="L20" s="40" t="n"/>
      <c r="M20">
        <f>IF(AND(L20&lt;&gt;"",N(I20)&gt;0,N(J20)&gt;0),IF(J20=1,I20,ROUND(I20*(1+J20/30),1)),"")</f>
        <v/>
      </c>
      <c r="N20" s="41">
        <f>IF(M20="","",IF(M20&gt;=PRs!C2,"PR!",""))</f>
        <v/>
      </c>
      <c r="O20" s="7" t="n"/>
    </row>
    <row r="21">
      <c r="C21" t="inlineStr">
        <is>
          <t xml:space="preserve">      Set 3</t>
        </is>
      </c>
      <c r="E21" t="n">
        <v>6</v>
      </c>
      <c r="H21" s="39">
        <f>IF(H18="","",H18)</f>
        <v/>
      </c>
      <c r="I21" s="7">
        <f>IF(H18="","",H18)</f>
        <v/>
      </c>
      <c r="J21" s="7" t="n">
        <v>6</v>
      </c>
      <c r="K21" s="7" t="n"/>
      <c r="L21" s="40" t="n"/>
      <c r="M21">
        <f>IF(AND(L21&lt;&gt;"",N(I21)&gt;0,N(J21)&gt;0),IF(J21=1,I21,ROUND(I21*(1+J21/30),1)),"")</f>
        <v/>
      </c>
      <c r="N21" s="41">
        <f>IF(M21="","",IF(M21&gt;=PRs!C2,"PR!",""))</f>
        <v/>
      </c>
      <c r="O21" s="7" t="n"/>
    </row>
    <row r="22">
      <c r="A22" s="34" t="n"/>
      <c r="B22" s="34" t="n"/>
      <c r="C22" s="42" t="inlineStr">
        <is>
          <t>Bench Press</t>
        </is>
      </c>
      <c r="D22" s="34" t="inlineStr">
        <is>
          <t>3 x 6</t>
        </is>
      </c>
      <c r="E22" s="34" t="n"/>
      <c r="F22" s="34" t="n">
        <v>70</v>
      </c>
      <c r="G22" s="36">
        <f>Maxes!F3</f>
        <v/>
      </c>
      <c r="H22" s="37">
        <f>IF(OR(G22="",F22=""),"",MROUND(G22*F22/100,'Start Here'!$B$7))</f>
        <v/>
      </c>
      <c r="I22" s="34" t="n"/>
      <c r="J22" s="34" t="n"/>
      <c r="K22" s="34" t="n"/>
      <c r="L22" s="34" t="n"/>
      <c r="M22" s="34" t="n"/>
      <c r="N22" s="34" t="n"/>
      <c r="O22" s="38" t="inlineStr"/>
    </row>
    <row r="23">
      <c r="C23" t="inlineStr">
        <is>
          <t xml:space="preserve">      Set 1</t>
        </is>
      </c>
      <c r="E23" t="n">
        <v>6</v>
      </c>
      <c r="H23" s="39">
        <f>IF(H22="","",H22)</f>
        <v/>
      </c>
      <c r="I23" s="7">
        <f>IF(H22="","",H22)</f>
        <v/>
      </c>
      <c r="J23" s="7" t="n">
        <v>6</v>
      </c>
      <c r="K23" s="7" t="n"/>
      <c r="L23" s="40" t="n"/>
      <c r="M23">
        <f>IF(AND(L23&lt;&gt;"",N(I23)&gt;0,N(J23)&gt;0),IF(J23=1,I23,ROUND(I23*(1+J23/30),1)),"")</f>
        <v/>
      </c>
      <c r="N23" s="41">
        <f>IF(M23="","",IF(M23&gt;=PRs!C3,"PR!",""))</f>
        <v/>
      </c>
      <c r="O23" s="7" t="n"/>
    </row>
    <row r="24">
      <c r="C24" t="inlineStr">
        <is>
          <t xml:space="preserve">      Set 2</t>
        </is>
      </c>
      <c r="E24" t="n">
        <v>6</v>
      </c>
      <c r="H24" s="39">
        <f>IF(H22="","",H22)</f>
        <v/>
      </c>
      <c r="I24" s="7">
        <f>IF(H22="","",H22)</f>
        <v/>
      </c>
      <c r="J24" s="7" t="n">
        <v>6</v>
      </c>
      <c r="K24" s="7" t="n"/>
      <c r="L24" s="40" t="n"/>
      <c r="M24">
        <f>IF(AND(L24&lt;&gt;"",N(I24)&gt;0,N(J24)&gt;0),IF(J24=1,I24,ROUND(I24*(1+J24/30),1)),"")</f>
        <v/>
      </c>
      <c r="N24" s="41">
        <f>IF(M24="","",IF(M24&gt;=PRs!C3,"PR!",""))</f>
        <v/>
      </c>
      <c r="O24" s="7" t="n"/>
    </row>
    <row r="25">
      <c r="C25" t="inlineStr">
        <is>
          <t xml:space="preserve">      Set 3</t>
        </is>
      </c>
      <c r="E25" t="n">
        <v>6</v>
      </c>
      <c r="H25" s="39">
        <f>IF(H22="","",H22)</f>
        <v/>
      </c>
      <c r="I25" s="7">
        <f>IF(H22="","",H22)</f>
        <v/>
      </c>
      <c r="J25" s="7" t="n">
        <v>6</v>
      </c>
      <c r="K25" s="7" t="n"/>
      <c r="L25" s="40" t="n"/>
      <c r="M25">
        <f>IF(AND(L25&lt;&gt;"",N(I25)&gt;0,N(J25)&gt;0),IF(J25=1,I25,ROUND(I25*(1+J25/30),1)),"")</f>
        <v/>
      </c>
      <c r="N25" s="41">
        <f>IF(M25="","",IF(M25&gt;=PRs!C3,"PR!",""))</f>
        <v/>
      </c>
      <c r="O25" s="7" t="n"/>
    </row>
    <row r="26">
      <c r="A26" s="34" t="n"/>
      <c r="B26" s="34" t="n"/>
      <c r="C26" s="43" t="inlineStr">
        <is>
          <t>Barbell Row</t>
        </is>
      </c>
      <c r="D26" s="34" t="inlineStr">
        <is>
          <t>4 x 8-10</t>
        </is>
      </c>
      <c r="E26" s="34" t="n"/>
      <c r="F26" s="34" t="n"/>
      <c r="G26" s="36" t="n"/>
      <c r="H26" s="37" t="n"/>
      <c r="I26" s="34" t="n"/>
      <c r="J26" s="34" t="n"/>
      <c r="K26" s="34" t="n"/>
      <c r="L26" s="34" t="n"/>
      <c r="M26" s="34" t="n"/>
      <c r="N26" s="34" t="n"/>
      <c r="O26" s="38" t="inlineStr">
        <is>
          <t>Leave 1-2 reps in the tank; add weight when you hit the top of the range</t>
        </is>
      </c>
    </row>
    <row r="27">
      <c r="C27" t="inlineStr">
        <is>
          <t xml:space="preserve">      Set 1</t>
        </is>
      </c>
      <c r="E27" t="n">
        <v>8</v>
      </c>
      <c r="H27" s="39">
        <f>IF(H26="","",H26)</f>
        <v/>
      </c>
      <c r="I27" s="7">
        <f>IF(H26="","",H26)</f>
        <v/>
      </c>
      <c r="J27" s="7" t="n">
        <v>8</v>
      </c>
      <c r="K27" s="7" t="n"/>
      <c r="L27" s="40" t="n"/>
      <c r="M27">
        <f>IF(AND(L27&lt;&gt;"",N(I27)&gt;0,N(J27)&gt;0),IF(J27=1,I27,ROUND(I27*(1+J27/30),1)),"")</f>
        <v/>
      </c>
      <c r="N27" s="41">
        <f>IF(M27="","",IF(M27&gt;=PRs!C50,"PR!",""))</f>
        <v/>
      </c>
      <c r="O27" s="7" t="n"/>
    </row>
    <row r="28">
      <c r="C28" t="inlineStr">
        <is>
          <t xml:space="preserve">      Set 2</t>
        </is>
      </c>
      <c r="E28" t="n">
        <v>8</v>
      </c>
      <c r="H28" s="39">
        <f>IF(H26="","",H26)</f>
        <v/>
      </c>
      <c r="I28" s="7">
        <f>IF(H26="","",H26)</f>
        <v/>
      </c>
      <c r="J28" s="7" t="n">
        <v>8</v>
      </c>
      <c r="K28" s="7" t="n"/>
      <c r="L28" s="40" t="n"/>
      <c r="M28">
        <f>IF(AND(L28&lt;&gt;"",N(I28)&gt;0,N(J28)&gt;0),IF(J28=1,I28,ROUND(I28*(1+J28/30),1)),"")</f>
        <v/>
      </c>
      <c r="N28" s="41">
        <f>IF(M28="","",IF(M28&gt;=PRs!C50,"PR!",""))</f>
        <v/>
      </c>
      <c r="O28" s="7" t="n"/>
    </row>
    <row r="29">
      <c r="C29" t="inlineStr">
        <is>
          <t xml:space="preserve">      Set 3</t>
        </is>
      </c>
      <c r="E29" t="n">
        <v>8</v>
      </c>
      <c r="H29" s="39">
        <f>IF(H26="","",H26)</f>
        <v/>
      </c>
      <c r="I29" s="7">
        <f>IF(H26="","",H26)</f>
        <v/>
      </c>
      <c r="J29" s="7" t="n">
        <v>8</v>
      </c>
      <c r="K29" s="7" t="n"/>
      <c r="L29" s="40" t="n"/>
      <c r="M29">
        <f>IF(AND(L29&lt;&gt;"",N(I29)&gt;0,N(J29)&gt;0),IF(J29=1,I29,ROUND(I29*(1+J29/30),1)),"")</f>
        <v/>
      </c>
      <c r="N29" s="41">
        <f>IF(M29="","",IF(M29&gt;=PRs!C50,"PR!",""))</f>
        <v/>
      </c>
      <c r="O29" s="7" t="n"/>
    </row>
    <row r="30">
      <c r="C30" t="inlineStr">
        <is>
          <t xml:space="preserve">      Set 4</t>
        </is>
      </c>
      <c r="E30" t="n">
        <v>8</v>
      </c>
      <c r="H30" s="39">
        <f>IF(H26="","",H26)</f>
        <v/>
      </c>
      <c r="I30" s="7">
        <f>IF(H26="","",H26)</f>
        <v/>
      </c>
      <c r="J30" s="7" t="n">
        <v>8</v>
      </c>
      <c r="K30" s="7" t="n"/>
      <c r="L30" s="40" t="n"/>
      <c r="M30">
        <f>IF(AND(L30&lt;&gt;"",N(I30)&gt;0,N(J30)&gt;0),IF(J30=1,I30,ROUND(I30*(1+J30/30),1)),"")</f>
        <v/>
      </c>
      <c r="N30" s="41">
        <f>IF(M30="","",IF(M30&gt;=PRs!C50,"PR!",""))</f>
        <v/>
      </c>
      <c r="O30" s="7" t="n"/>
    </row>
    <row r="31">
      <c r="A31" s="34" t="n"/>
      <c r="B31" s="34" t="n"/>
      <c r="C31" s="43" t="inlineStr">
        <is>
          <t>Face Pull</t>
        </is>
      </c>
      <c r="D31" s="34" t="inlineStr">
        <is>
          <t>4 x 12-15</t>
        </is>
      </c>
      <c r="E31" s="34" t="n"/>
      <c r="F31" s="34" t="n"/>
      <c r="G31" s="36" t="n"/>
      <c r="H31" s="37" t="n"/>
      <c r="I31" s="34" t="n"/>
      <c r="J31" s="34" t="n"/>
      <c r="K31" s="34" t="n"/>
      <c r="L31" s="34" t="n"/>
      <c r="M31" s="34" t="n"/>
      <c r="N31" s="34" t="n"/>
      <c r="O31" s="38" t="inlineStr">
        <is>
          <t>Leave 1-2 reps in the tank; add weight when you hit the top of the range</t>
        </is>
      </c>
    </row>
    <row r="32">
      <c r="C32" t="inlineStr">
        <is>
          <t xml:space="preserve">      Set 1</t>
        </is>
      </c>
      <c r="E32" t="n">
        <v>12</v>
      </c>
      <c r="H32" s="39">
        <f>IF(H31="","",H31)</f>
        <v/>
      </c>
      <c r="I32" s="7">
        <f>IF(H31="","",H31)</f>
        <v/>
      </c>
      <c r="J32" s="7" t="n">
        <v>12</v>
      </c>
      <c r="K32" s="7" t="n"/>
      <c r="L32" s="40" t="n"/>
      <c r="M32">
        <f>IF(AND(L32&lt;&gt;"",N(I32)&gt;0,N(J32)&gt;0),IF(J32=1,I32,ROUND(I32*(1+J32/30),1)),"")</f>
        <v/>
      </c>
      <c r="N32" s="41">
        <f>IF(M32="","",IF(M32&gt;=PRs!C51,"PR!",""))</f>
        <v/>
      </c>
      <c r="O32" s="7" t="n"/>
    </row>
    <row r="33">
      <c r="C33" t="inlineStr">
        <is>
          <t xml:space="preserve">      Set 2</t>
        </is>
      </c>
      <c r="E33" t="n">
        <v>12</v>
      </c>
      <c r="H33" s="39">
        <f>IF(H31="","",H31)</f>
        <v/>
      </c>
      <c r="I33" s="7">
        <f>IF(H31="","",H31)</f>
        <v/>
      </c>
      <c r="J33" s="7" t="n">
        <v>12</v>
      </c>
      <c r="K33" s="7" t="n"/>
      <c r="L33" s="40" t="n"/>
      <c r="M33">
        <f>IF(AND(L33&lt;&gt;"",N(I33)&gt;0,N(J33)&gt;0),IF(J33=1,I33,ROUND(I33*(1+J33/30),1)),"")</f>
        <v/>
      </c>
      <c r="N33" s="41">
        <f>IF(M33="","",IF(M33&gt;=PRs!C51,"PR!",""))</f>
        <v/>
      </c>
      <c r="O33" s="7" t="n"/>
    </row>
    <row r="34">
      <c r="C34" t="inlineStr">
        <is>
          <t xml:space="preserve">      Set 3</t>
        </is>
      </c>
      <c r="E34" t="n">
        <v>12</v>
      </c>
      <c r="H34" s="39">
        <f>IF(H31="","",H31)</f>
        <v/>
      </c>
      <c r="I34" s="7">
        <f>IF(H31="","",H31)</f>
        <v/>
      </c>
      <c r="J34" s="7" t="n">
        <v>12</v>
      </c>
      <c r="K34" s="7" t="n"/>
      <c r="L34" s="40" t="n"/>
      <c r="M34">
        <f>IF(AND(L34&lt;&gt;"",N(I34)&gt;0,N(J34)&gt;0),IF(J34=1,I34,ROUND(I34*(1+J34/30),1)),"")</f>
        <v/>
      </c>
      <c r="N34" s="41">
        <f>IF(M34="","",IF(M34&gt;=PRs!C51,"PR!",""))</f>
        <v/>
      </c>
      <c r="O34" s="7" t="n"/>
    </row>
    <row r="35">
      <c r="C35" t="inlineStr">
        <is>
          <t xml:space="preserve">      Set 4</t>
        </is>
      </c>
      <c r="E35" t="n">
        <v>12</v>
      </c>
      <c r="H35" s="39">
        <f>IF(H31="","",H31)</f>
        <v/>
      </c>
      <c r="I35" s="7">
        <f>IF(H31="","",H31)</f>
        <v/>
      </c>
      <c r="J35" s="7" t="n">
        <v>12</v>
      </c>
      <c r="K35" s="7" t="n"/>
      <c r="L35" s="40" t="n"/>
      <c r="M35">
        <f>IF(AND(L35&lt;&gt;"",N(I35)&gt;0,N(J35)&gt;0),IF(J35=1,I35,ROUND(I35*(1+J35/30),1)),"")</f>
        <v/>
      </c>
      <c r="N35" s="41">
        <f>IF(M35="","",IF(M35&gt;=PRs!C51,"PR!",""))</f>
        <v/>
      </c>
      <c r="O35" s="7" t="n"/>
    </row>
    <row r="36">
      <c r="A36" s="31" t="inlineStr">
        <is>
          <t>Day 2 - Light</t>
        </is>
      </c>
      <c r="B36" s="32">
        <f>'Start Here'!$B$8+86</f>
        <v/>
      </c>
      <c r="C36" s="33" t="n"/>
      <c r="D36" s="33" t="n"/>
      <c r="E36" s="33" t="n"/>
      <c r="F36" s="33" t="n"/>
      <c r="G36" s="33" t="n"/>
      <c r="H36" s="33" t="n"/>
      <c r="I36" s="33" t="n"/>
      <c r="J36" s="33" t="n"/>
      <c r="K36" s="33" t="n"/>
      <c r="L36" s="33" t="n"/>
      <c r="M36" s="33" t="n"/>
      <c r="N36" s="33" t="n"/>
      <c r="O36" s="33" t="n"/>
    </row>
    <row r="37">
      <c r="A37" s="34" t="n"/>
      <c r="B37" s="34" t="n"/>
      <c r="C37" s="35" t="inlineStr">
        <is>
          <t>Broad Jump</t>
        </is>
      </c>
      <c r="D37" s="34" t="inlineStr">
        <is>
          <t>4 x 3</t>
        </is>
      </c>
      <c r="E37" s="34" t="n"/>
      <c r="F37" s="34" t="n"/>
      <c r="G37" s="36" t="n"/>
      <c r="H37" s="37">
        <f>IF(N(Maxes!F70)&gt;0,Maxes!F70,"")</f>
        <v/>
      </c>
      <c r="I37" s="34" t="n"/>
      <c r="J37" s="34" t="n"/>
      <c r="K37" s="34" t="n"/>
      <c r="L37" s="34" t="n"/>
      <c r="M37" s="34" t="n"/>
      <c r="N37" s="34" t="n"/>
      <c r="O37" s="38" t="inlineStr">
        <is>
          <t>Standing two-foot jump forward, stick the landing. Measure toe line to the back of the nearest heel.</t>
        </is>
      </c>
    </row>
    <row r="38">
      <c r="C38" t="inlineStr">
        <is>
          <t xml:space="preserve">      Set 1</t>
        </is>
      </c>
      <c r="E38" t="n">
        <v>3</v>
      </c>
      <c r="H38" s="39">
        <f>IF(H37="","",H37)</f>
        <v/>
      </c>
      <c r="I38" s="7">
        <f>IF(H37="","",H37)</f>
        <v/>
      </c>
      <c r="J38" s="7" t="n">
        <v>3</v>
      </c>
      <c r="K38" s="7" t="n"/>
      <c r="L38" s="40" t="n"/>
      <c r="N38" s="41">
        <f>IF(AND(L38&lt;&gt;"",N(I38)&gt;0),IF(I38&gt;=PRs!D70,"PR!",""),"")</f>
        <v/>
      </c>
      <c r="O38" s="7" t="n"/>
    </row>
    <row r="39">
      <c r="C39" t="inlineStr">
        <is>
          <t xml:space="preserve">      Set 2</t>
        </is>
      </c>
      <c r="E39" t="n">
        <v>3</v>
      </c>
      <c r="H39" s="39">
        <f>IF(H37="","",H37)</f>
        <v/>
      </c>
      <c r="I39" s="7">
        <f>IF(H37="","",H37)</f>
        <v/>
      </c>
      <c r="J39" s="7" t="n">
        <v>3</v>
      </c>
      <c r="K39" s="7" t="n"/>
      <c r="L39" s="40" t="n"/>
      <c r="N39" s="41">
        <f>IF(AND(L39&lt;&gt;"",N(I39)&gt;0),IF(I39&gt;=PRs!D70,"PR!",""),"")</f>
        <v/>
      </c>
      <c r="O39" s="7" t="n"/>
    </row>
    <row r="40">
      <c r="C40" t="inlineStr">
        <is>
          <t xml:space="preserve">      Set 3</t>
        </is>
      </c>
      <c r="E40" t="n">
        <v>3</v>
      </c>
      <c r="H40" s="39">
        <f>IF(H37="","",H37)</f>
        <v/>
      </c>
      <c r="I40" s="7">
        <f>IF(H37="","",H37)</f>
        <v/>
      </c>
      <c r="J40" s="7" t="n">
        <v>3</v>
      </c>
      <c r="K40" s="7" t="n"/>
      <c r="L40" s="40" t="n"/>
      <c r="N40" s="41">
        <f>IF(AND(L40&lt;&gt;"",N(I40)&gt;0),IF(I40&gt;=PRs!D70,"PR!",""),"")</f>
        <v/>
      </c>
      <c r="O40" s="7" t="n"/>
    </row>
    <row r="41">
      <c r="C41" t="inlineStr">
        <is>
          <t xml:space="preserve">      Set 4</t>
        </is>
      </c>
      <c r="E41" t="n">
        <v>3</v>
      </c>
      <c r="H41" s="39">
        <f>IF(H37="","",H37)</f>
        <v/>
      </c>
      <c r="I41" s="7">
        <f>IF(H37="","",H37)</f>
        <v/>
      </c>
      <c r="J41" s="7" t="n">
        <v>3</v>
      </c>
      <c r="K41" s="7" t="n"/>
      <c r="L41" s="40" t="n"/>
      <c r="N41" s="41">
        <f>IF(AND(L41&lt;&gt;"",N(I41)&gt;0),IF(I41&gt;=PRs!D70,"PR!",""),"")</f>
        <v/>
      </c>
      <c r="O41" s="7" t="n"/>
    </row>
    <row r="42">
      <c r="A42" s="34" t="n"/>
      <c r="B42" s="34" t="n"/>
      <c r="C42" s="35" t="inlineStr">
        <is>
          <t>Med Ball Chest Pass</t>
        </is>
      </c>
      <c r="D42" s="34" t="inlineStr">
        <is>
          <t>3 x 5</t>
        </is>
      </c>
      <c r="E42" s="34" t="n"/>
      <c r="F42" s="34" t="n"/>
      <c r="G42" s="36" t="n"/>
      <c r="H42" s="37">
        <f>IF(N(Maxes!F77)&gt;0,Maxes!F77,"")</f>
        <v/>
      </c>
      <c r="I42" s="34" t="n"/>
      <c r="J42" s="34" t="n"/>
      <c r="K42" s="34" t="n"/>
      <c r="L42" s="34" t="n"/>
      <c r="M42" s="34" t="n"/>
      <c r="N42" s="34" t="n"/>
      <c r="O42" s="38" t="inlineStr">
        <is>
          <t>Kneeling or standing chest pass for distance with a 6-10 lb / 3-5 kg ball. Log the distance.</t>
        </is>
      </c>
    </row>
    <row r="43">
      <c r="C43" t="inlineStr">
        <is>
          <t xml:space="preserve">      Set 1</t>
        </is>
      </c>
      <c r="E43" t="n">
        <v>5</v>
      </c>
      <c r="H43" s="39">
        <f>IF(H42="","",H42)</f>
        <v/>
      </c>
      <c r="I43" s="7">
        <f>IF(H42="","",H42)</f>
        <v/>
      </c>
      <c r="J43" s="7" t="n">
        <v>5</v>
      </c>
      <c r="K43" s="7" t="n"/>
      <c r="L43" s="40" t="n"/>
      <c r="N43" s="41">
        <f>IF(AND(L43&lt;&gt;"",N(I43)&gt;0),IF(I43&gt;=PRs!D77,"PR!",""),"")</f>
        <v/>
      </c>
      <c r="O43" s="7" t="n"/>
    </row>
    <row r="44">
      <c r="C44" t="inlineStr">
        <is>
          <t xml:space="preserve">      Set 2</t>
        </is>
      </c>
      <c r="E44" t="n">
        <v>5</v>
      </c>
      <c r="H44" s="39">
        <f>IF(H42="","",H42)</f>
        <v/>
      </c>
      <c r="I44" s="7">
        <f>IF(H42="","",H42)</f>
        <v/>
      </c>
      <c r="J44" s="7" t="n">
        <v>5</v>
      </c>
      <c r="K44" s="7" t="n"/>
      <c r="L44" s="40" t="n"/>
      <c r="N44" s="41">
        <f>IF(AND(L44&lt;&gt;"",N(I44)&gt;0),IF(I44&gt;=PRs!D77,"PR!",""),"")</f>
        <v/>
      </c>
      <c r="O44" s="7" t="n"/>
    </row>
    <row r="45">
      <c r="C45" t="inlineStr">
        <is>
          <t xml:space="preserve">      Set 3</t>
        </is>
      </c>
      <c r="E45" t="n">
        <v>5</v>
      </c>
      <c r="H45" s="39">
        <f>IF(H42="","",H42)</f>
        <v/>
      </c>
      <c r="I45" s="7">
        <f>IF(H42="","",H42)</f>
        <v/>
      </c>
      <c r="J45" s="7" t="n">
        <v>5</v>
      </c>
      <c r="K45" s="7" t="n"/>
      <c r="L45" s="40" t="n"/>
      <c r="N45" s="41">
        <f>IF(AND(L45&lt;&gt;"",N(I45)&gt;0),IF(I45&gt;=PRs!D77,"PR!",""),"")</f>
        <v/>
      </c>
      <c r="O45" s="7" t="n"/>
    </row>
    <row r="46">
      <c r="A46" s="34" t="n"/>
      <c r="B46" s="34" t="n"/>
      <c r="C46" s="42" t="inlineStr">
        <is>
          <t>Clean &amp; Jerk</t>
        </is>
      </c>
      <c r="D46" s="34" t="inlineStr">
        <is>
          <t>4 x 3</t>
        </is>
      </c>
      <c r="E46" s="34" t="n"/>
      <c r="F46" s="34" t="n">
        <v>70</v>
      </c>
      <c r="G46" s="36">
        <f>Maxes!F7</f>
        <v/>
      </c>
      <c r="H46" s="37">
        <f>IF(OR(G46="",F46=""),"",MROUND(G46*F46/100,'Start Here'!$B$7))</f>
        <v/>
      </c>
      <c r="I46" s="34" t="n"/>
      <c r="J46" s="34" t="n"/>
      <c r="K46" s="34" t="n"/>
      <c r="L46" s="34" t="n"/>
      <c r="M46" s="34" t="n"/>
      <c r="N46" s="34" t="n"/>
      <c r="O46" s="38" t="inlineStr"/>
    </row>
    <row r="47">
      <c r="C47" t="inlineStr">
        <is>
          <t xml:space="preserve">      Set 1</t>
        </is>
      </c>
      <c r="E47" t="n">
        <v>3</v>
      </c>
      <c r="H47" s="39">
        <f>IF(H46="","",H46)</f>
        <v/>
      </c>
      <c r="I47" s="7">
        <f>IF(H46="","",H46)</f>
        <v/>
      </c>
      <c r="J47" s="7" t="n">
        <v>3</v>
      </c>
      <c r="K47" s="7" t="n"/>
      <c r="L47" s="40" t="n"/>
      <c r="M47">
        <f>IF(AND(L47&lt;&gt;"",N(I47)&gt;0,N(J47)&gt;0),IF(J47=1,I47,ROUND(I47*(1+J47/30),1)),"")</f>
        <v/>
      </c>
      <c r="N47" s="41">
        <f>IF(M47="","",IF(M47&gt;=PRs!C7,"PR!",""))</f>
        <v/>
      </c>
      <c r="O47" s="7" t="n"/>
    </row>
    <row r="48">
      <c r="C48" t="inlineStr">
        <is>
          <t xml:space="preserve">      Set 2</t>
        </is>
      </c>
      <c r="E48" t="n">
        <v>3</v>
      </c>
      <c r="H48" s="39">
        <f>IF(H46="","",H46)</f>
        <v/>
      </c>
      <c r="I48" s="7">
        <f>IF(H46="","",H46)</f>
        <v/>
      </c>
      <c r="J48" s="7" t="n">
        <v>3</v>
      </c>
      <c r="K48" s="7" t="n"/>
      <c r="L48" s="40" t="n"/>
      <c r="M48">
        <f>IF(AND(L48&lt;&gt;"",N(I48)&gt;0,N(J48)&gt;0),IF(J48=1,I48,ROUND(I48*(1+J48/30),1)),"")</f>
        <v/>
      </c>
      <c r="N48" s="41">
        <f>IF(M48="","",IF(M48&gt;=PRs!C7,"PR!",""))</f>
        <v/>
      </c>
      <c r="O48" s="7" t="n"/>
    </row>
    <row r="49">
      <c r="C49" t="inlineStr">
        <is>
          <t xml:space="preserve">      Set 3</t>
        </is>
      </c>
      <c r="E49" t="n">
        <v>3</v>
      </c>
      <c r="H49" s="39">
        <f>IF(H46="","",H46)</f>
        <v/>
      </c>
      <c r="I49" s="7">
        <f>IF(H46="","",H46)</f>
        <v/>
      </c>
      <c r="J49" s="7" t="n">
        <v>3</v>
      </c>
      <c r="K49" s="7" t="n"/>
      <c r="L49" s="40" t="n"/>
      <c r="M49">
        <f>IF(AND(L49&lt;&gt;"",N(I49)&gt;0,N(J49)&gt;0),IF(J49=1,I49,ROUND(I49*(1+J49/30),1)),"")</f>
        <v/>
      </c>
      <c r="N49" s="41">
        <f>IF(M49="","",IF(M49&gt;=PRs!C7,"PR!",""))</f>
        <v/>
      </c>
      <c r="O49" s="7" t="n"/>
    </row>
    <row r="50">
      <c r="C50" t="inlineStr">
        <is>
          <t xml:space="preserve">      Set 4</t>
        </is>
      </c>
      <c r="E50" t="n">
        <v>3</v>
      </c>
      <c r="H50" s="39">
        <f>IF(H46="","",H46)</f>
        <v/>
      </c>
      <c r="I50" s="7">
        <f>IF(H46="","",H46)</f>
        <v/>
      </c>
      <c r="J50" s="7" t="n">
        <v>3</v>
      </c>
      <c r="K50" s="7" t="n"/>
      <c r="L50" s="40" t="n"/>
      <c r="M50">
        <f>IF(AND(L50&lt;&gt;"",N(I50)&gt;0,N(J50)&gt;0),IF(J50=1,I50,ROUND(I50*(1+J50/30),1)),"")</f>
        <v/>
      </c>
      <c r="N50" s="41">
        <f>IF(M50="","",IF(M50&gt;=PRs!C7,"PR!",""))</f>
        <v/>
      </c>
      <c r="O50" s="7" t="n"/>
    </row>
    <row r="51">
      <c r="A51" s="34" t="n"/>
      <c r="B51" s="34" t="n"/>
      <c r="C51" s="42" t="inlineStr">
        <is>
          <t>Squat</t>
        </is>
      </c>
      <c r="D51" s="34" t="inlineStr">
        <is>
          <t>3 x 6</t>
        </is>
      </c>
      <c r="E51" s="34" t="n"/>
      <c r="F51" s="34" t="n">
        <v>60</v>
      </c>
      <c r="G51" s="36">
        <f>Maxes!F2</f>
        <v/>
      </c>
      <c r="H51" s="37">
        <f>IF(OR(G51="",F51=""),"",MROUND(G51*F51/100,'Start Here'!$B$7))</f>
        <v/>
      </c>
      <c r="I51" s="34" t="n"/>
      <c r="J51" s="34" t="n"/>
      <c r="K51" s="34" t="n"/>
      <c r="L51" s="34" t="n"/>
      <c r="M51" s="34" t="n"/>
      <c r="N51" s="34" t="n"/>
      <c r="O51" s="38" t="inlineStr"/>
    </row>
    <row r="52">
      <c r="C52" t="inlineStr">
        <is>
          <t xml:space="preserve">      Set 1</t>
        </is>
      </c>
      <c r="E52" t="n">
        <v>6</v>
      </c>
      <c r="H52" s="39">
        <f>IF(H51="","",H51)</f>
        <v/>
      </c>
      <c r="I52" s="7">
        <f>IF(H51="","",H51)</f>
        <v/>
      </c>
      <c r="J52" s="7" t="n">
        <v>6</v>
      </c>
      <c r="K52" s="7" t="n"/>
      <c r="L52" s="40" t="n"/>
      <c r="M52">
        <f>IF(AND(L52&lt;&gt;"",N(I52)&gt;0,N(J52)&gt;0),IF(J52=1,I52,ROUND(I52*(1+J52/30),1)),"")</f>
        <v/>
      </c>
      <c r="N52" s="41">
        <f>IF(M52="","",IF(M52&gt;=PRs!C2,"PR!",""))</f>
        <v/>
      </c>
      <c r="O52" s="7" t="n"/>
    </row>
    <row r="53">
      <c r="C53" t="inlineStr">
        <is>
          <t xml:space="preserve">      Set 2</t>
        </is>
      </c>
      <c r="E53" t="n">
        <v>6</v>
      </c>
      <c r="H53" s="39">
        <f>IF(H51="","",H51)</f>
        <v/>
      </c>
      <c r="I53" s="7">
        <f>IF(H51="","",H51)</f>
        <v/>
      </c>
      <c r="J53" s="7" t="n">
        <v>6</v>
      </c>
      <c r="K53" s="7" t="n"/>
      <c r="L53" s="40" t="n"/>
      <c r="M53">
        <f>IF(AND(L53&lt;&gt;"",N(I53)&gt;0,N(J53)&gt;0),IF(J53=1,I53,ROUND(I53*(1+J53/30),1)),"")</f>
        <v/>
      </c>
      <c r="N53" s="41">
        <f>IF(M53="","",IF(M53&gt;=PRs!C2,"PR!",""))</f>
        <v/>
      </c>
      <c r="O53" s="7" t="n"/>
    </row>
    <row r="54">
      <c r="C54" t="inlineStr">
        <is>
          <t xml:space="preserve">      Set 3</t>
        </is>
      </c>
      <c r="E54" t="n">
        <v>6</v>
      </c>
      <c r="H54" s="39">
        <f>IF(H51="","",H51)</f>
        <v/>
      </c>
      <c r="I54" s="7">
        <f>IF(H51="","",H51)</f>
        <v/>
      </c>
      <c r="J54" s="7" t="n">
        <v>6</v>
      </c>
      <c r="K54" s="7" t="n"/>
      <c r="L54" s="40" t="n"/>
      <c r="M54">
        <f>IF(AND(L54&lt;&gt;"",N(I54)&gt;0,N(J54)&gt;0),IF(J54=1,I54,ROUND(I54*(1+J54/30),1)),"")</f>
        <v/>
      </c>
      <c r="N54" s="41">
        <f>IF(M54="","",IF(M54&gt;=PRs!C2,"PR!",""))</f>
        <v/>
      </c>
      <c r="O54" s="7" t="n"/>
    </row>
    <row r="55">
      <c r="A55" s="34" t="n"/>
      <c r="B55" s="34" t="n"/>
      <c r="C55" s="42" t="inlineStr">
        <is>
          <t>Overhead Press</t>
        </is>
      </c>
      <c r="D55" s="34" t="inlineStr">
        <is>
          <t>4 x 6</t>
        </is>
      </c>
      <c r="E55" s="34" t="n"/>
      <c r="F55" s="34" t="n">
        <v>65</v>
      </c>
      <c r="G55" s="36">
        <f>Maxes!F5</f>
        <v/>
      </c>
      <c r="H55" s="37">
        <f>IF(OR(G55="",F55=""),"",MROUND(G55*F55/100,'Start Here'!$B$7))</f>
        <v/>
      </c>
      <c r="I55" s="34" t="n"/>
      <c r="J55" s="34" t="n"/>
      <c r="K55" s="34" t="n"/>
      <c r="L55" s="34" t="n"/>
      <c r="M55" s="34" t="n"/>
      <c r="N55" s="34" t="n"/>
      <c r="O55" s="38" t="inlineStr"/>
    </row>
    <row r="56">
      <c r="C56" t="inlineStr">
        <is>
          <t xml:space="preserve">      Set 1</t>
        </is>
      </c>
      <c r="E56" t="n">
        <v>6</v>
      </c>
      <c r="H56" s="39">
        <f>IF(H55="","",H55)</f>
        <v/>
      </c>
      <c r="I56" s="7">
        <f>IF(H55="","",H55)</f>
        <v/>
      </c>
      <c r="J56" s="7" t="n">
        <v>6</v>
      </c>
      <c r="K56" s="7" t="n"/>
      <c r="L56" s="40" t="n"/>
      <c r="M56">
        <f>IF(AND(L56&lt;&gt;"",N(I56)&gt;0,N(J56)&gt;0),IF(J56=1,I56,ROUND(I56*(1+J56/30),1)),"")</f>
        <v/>
      </c>
      <c r="N56" s="41">
        <f>IF(M56="","",IF(M56&gt;=PRs!C5,"PR!",""))</f>
        <v/>
      </c>
      <c r="O56" s="7" t="n"/>
    </row>
    <row r="57">
      <c r="C57" t="inlineStr">
        <is>
          <t xml:space="preserve">      Set 2</t>
        </is>
      </c>
      <c r="E57" t="n">
        <v>6</v>
      </c>
      <c r="H57" s="39">
        <f>IF(H55="","",H55)</f>
        <v/>
      </c>
      <c r="I57" s="7">
        <f>IF(H55="","",H55)</f>
        <v/>
      </c>
      <c r="J57" s="7" t="n">
        <v>6</v>
      </c>
      <c r="K57" s="7" t="n"/>
      <c r="L57" s="40" t="n"/>
      <c r="M57">
        <f>IF(AND(L57&lt;&gt;"",N(I57)&gt;0,N(J57)&gt;0),IF(J57=1,I57,ROUND(I57*(1+J57/30),1)),"")</f>
        <v/>
      </c>
      <c r="N57" s="41">
        <f>IF(M57="","",IF(M57&gt;=PRs!C5,"PR!",""))</f>
        <v/>
      </c>
      <c r="O57" s="7" t="n"/>
    </row>
    <row r="58">
      <c r="C58" t="inlineStr">
        <is>
          <t xml:space="preserve">      Set 3</t>
        </is>
      </c>
      <c r="E58" t="n">
        <v>6</v>
      </c>
      <c r="H58" s="39">
        <f>IF(H55="","",H55)</f>
        <v/>
      </c>
      <c r="I58" s="7">
        <f>IF(H55="","",H55)</f>
        <v/>
      </c>
      <c r="J58" s="7" t="n">
        <v>6</v>
      </c>
      <c r="K58" s="7" t="n"/>
      <c r="L58" s="40" t="n"/>
      <c r="M58">
        <f>IF(AND(L58&lt;&gt;"",N(I58)&gt;0,N(J58)&gt;0),IF(J58=1,I58,ROUND(I58*(1+J58/30),1)),"")</f>
        <v/>
      </c>
      <c r="N58" s="41">
        <f>IF(M58="","",IF(M58&gt;=PRs!C5,"PR!",""))</f>
        <v/>
      </c>
      <c r="O58" s="7" t="n"/>
    </row>
    <row r="59">
      <c r="C59" t="inlineStr">
        <is>
          <t xml:space="preserve">      Set 4</t>
        </is>
      </c>
      <c r="E59" t="n">
        <v>6</v>
      </c>
      <c r="H59" s="39">
        <f>IF(H55="","",H55)</f>
        <v/>
      </c>
      <c r="I59" s="7">
        <f>IF(H55="","",H55)</f>
        <v/>
      </c>
      <c r="J59" s="7" t="n">
        <v>6</v>
      </c>
      <c r="K59" s="7" t="n"/>
      <c r="L59" s="40" t="n"/>
      <c r="M59">
        <f>IF(AND(L59&lt;&gt;"",N(I59)&gt;0,N(J59)&gt;0),IF(J59=1,I59,ROUND(I59*(1+J59/30),1)),"")</f>
        <v/>
      </c>
      <c r="N59" s="41">
        <f>IF(M59="","",IF(M59&gt;=PRs!C5,"PR!",""))</f>
        <v/>
      </c>
      <c r="O59" s="7" t="n"/>
    </row>
    <row r="60">
      <c r="A60" s="34" t="n"/>
      <c r="B60" s="34" t="n"/>
      <c r="C60" s="42" t="inlineStr">
        <is>
          <t>Deadlift</t>
        </is>
      </c>
      <c r="D60" s="34" t="inlineStr">
        <is>
          <t>3 x 6</t>
        </is>
      </c>
      <c r="E60" s="34" t="n"/>
      <c r="F60" s="34" t="n">
        <v>65</v>
      </c>
      <c r="G60" s="36">
        <f>Maxes!F4</f>
        <v/>
      </c>
      <c r="H60" s="37">
        <f>IF(OR(G60="",F60=""),"",MROUND(G60*F60/100,'Start Here'!$B$7))</f>
        <v/>
      </c>
      <c r="I60" s="34" t="n"/>
      <c r="J60" s="34" t="n"/>
      <c r="K60" s="34" t="n"/>
      <c r="L60" s="34" t="n"/>
      <c r="M60" s="34" t="n"/>
      <c r="N60" s="34" t="n"/>
      <c r="O60" s="38" t="inlineStr"/>
    </row>
    <row r="61">
      <c r="C61" t="inlineStr">
        <is>
          <t xml:space="preserve">      Set 1</t>
        </is>
      </c>
      <c r="E61" t="n">
        <v>6</v>
      </c>
      <c r="H61" s="39">
        <f>IF(H60="","",H60)</f>
        <v/>
      </c>
      <c r="I61" s="7">
        <f>IF(H60="","",H60)</f>
        <v/>
      </c>
      <c r="J61" s="7" t="n">
        <v>6</v>
      </c>
      <c r="K61" s="7" t="n"/>
      <c r="L61" s="40" t="n"/>
      <c r="M61">
        <f>IF(AND(L61&lt;&gt;"",N(I61)&gt;0,N(J61)&gt;0),IF(J61=1,I61,ROUND(I61*(1+J61/30),1)),"")</f>
        <v/>
      </c>
      <c r="N61" s="41">
        <f>IF(M61="","",IF(M61&gt;=PRs!C4,"PR!",""))</f>
        <v/>
      </c>
      <c r="O61" s="7" t="n"/>
    </row>
    <row r="62">
      <c r="C62" t="inlineStr">
        <is>
          <t xml:space="preserve">      Set 2</t>
        </is>
      </c>
      <c r="E62" t="n">
        <v>6</v>
      </c>
      <c r="H62" s="39">
        <f>IF(H60="","",H60)</f>
        <v/>
      </c>
      <c r="I62" s="7">
        <f>IF(H60="","",H60)</f>
        <v/>
      </c>
      <c r="J62" s="7" t="n">
        <v>6</v>
      </c>
      <c r="K62" s="7" t="n"/>
      <c r="L62" s="40" t="n"/>
      <c r="M62">
        <f>IF(AND(L62&lt;&gt;"",N(I62)&gt;0,N(J62)&gt;0),IF(J62=1,I62,ROUND(I62*(1+J62/30),1)),"")</f>
        <v/>
      </c>
      <c r="N62" s="41">
        <f>IF(M62="","",IF(M62&gt;=PRs!C4,"PR!",""))</f>
        <v/>
      </c>
      <c r="O62" s="7" t="n"/>
    </row>
    <row r="63">
      <c r="C63" t="inlineStr">
        <is>
          <t xml:space="preserve">      Set 3</t>
        </is>
      </c>
      <c r="E63" t="n">
        <v>6</v>
      </c>
      <c r="H63" s="39">
        <f>IF(H60="","",H60)</f>
        <v/>
      </c>
      <c r="I63" s="7">
        <f>IF(H60="","",H60)</f>
        <v/>
      </c>
      <c r="J63" s="7" t="n">
        <v>6</v>
      </c>
      <c r="K63" s="7" t="n"/>
      <c r="L63" s="40" t="n"/>
      <c r="M63">
        <f>IF(AND(L63&lt;&gt;"",N(I63)&gt;0,N(J63)&gt;0),IF(J63=1,I63,ROUND(I63*(1+J63/30),1)),"")</f>
        <v/>
      </c>
      <c r="N63" s="41">
        <f>IF(M63="","",IF(M63&gt;=PRs!C4,"PR!",""))</f>
        <v/>
      </c>
      <c r="O63" s="7" t="n"/>
    </row>
    <row r="64">
      <c r="A64" s="34" t="n"/>
      <c r="B64" s="34" t="n"/>
      <c r="C64" s="43" t="inlineStr">
        <is>
          <t>Chin-up</t>
        </is>
      </c>
      <c r="D64" s="34" t="inlineStr">
        <is>
          <t>4 x 6-10</t>
        </is>
      </c>
      <c r="E64" s="34" t="n"/>
      <c r="F64" s="34" t="n"/>
      <c r="G64" s="36" t="n"/>
      <c r="H64" s="37" t="n"/>
      <c r="I64" s="34" t="n"/>
      <c r="J64" s="34" t="n"/>
      <c r="K64" s="34" t="n"/>
      <c r="L64" s="34" t="n"/>
      <c r="M64" s="34" t="n"/>
      <c r="N64" s="34" t="n"/>
      <c r="O64" s="38" t="inlineStr">
        <is>
          <t>Leave 1-2 reps in the tank; add weight when you hit the top of the range</t>
        </is>
      </c>
    </row>
    <row r="65">
      <c r="C65" t="inlineStr">
        <is>
          <t xml:space="preserve">      Set 1</t>
        </is>
      </c>
      <c r="E65" t="n">
        <v>6</v>
      </c>
      <c r="H65" s="39">
        <f>IF(H64="","",H64)</f>
        <v/>
      </c>
      <c r="I65" s="7">
        <f>IF(H64="","",H64)</f>
        <v/>
      </c>
      <c r="J65" s="7" t="n">
        <v>6</v>
      </c>
      <c r="K65" s="7" t="n"/>
      <c r="L65" s="40" t="n"/>
      <c r="M65">
        <f>IF(AND(L65&lt;&gt;"",N(I65)&gt;0,N(J65)&gt;0),IF(J65=1,I65,ROUND(I65*(1+J65/30),1)),"")</f>
        <v/>
      </c>
      <c r="N65" s="41">
        <f>IF(M65="","",IF(M65&gt;=PRs!C53,"PR!",""))</f>
        <v/>
      </c>
      <c r="O65" s="7" t="n"/>
    </row>
    <row r="66">
      <c r="C66" t="inlineStr">
        <is>
          <t xml:space="preserve">      Set 2</t>
        </is>
      </c>
      <c r="E66" t="n">
        <v>6</v>
      </c>
      <c r="H66" s="39">
        <f>IF(H64="","",H64)</f>
        <v/>
      </c>
      <c r="I66" s="7">
        <f>IF(H64="","",H64)</f>
        <v/>
      </c>
      <c r="J66" s="7" t="n">
        <v>6</v>
      </c>
      <c r="K66" s="7" t="n"/>
      <c r="L66" s="40" t="n"/>
      <c r="M66">
        <f>IF(AND(L66&lt;&gt;"",N(I66)&gt;0,N(J66)&gt;0),IF(J66=1,I66,ROUND(I66*(1+J66/30),1)),"")</f>
        <v/>
      </c>
      <c r="N66" s="41">
        <f>IF(M66="","",IF(M66&gt;=PRs!C53,"PR!",""))</f>
        <v/>
      </c>
      <c r="O66" s="7" t="n"/>
    </row>
    <row r="67">
      <c r="C67" t="inlineStr">
        <is>
          <t xml:space="preserve">      Set 3</t>
        </is>
      </c>
      <c r="E67" t="n">
        <v>6</v>
      </c>
      <c r="H67" s="39">
        <f>IF(H64="","",H64)</f>
        <v/>
      </c>
      <c r="I67" s="7">
        <f>IF(H64="","",H64)</f>
        <v/>
      </c>
      <c r="J67" s="7" t="n">
        <v>6</v>
      </c>
      <c r="K67" s="7" t="n"/>
      <c r="L67" s="40" t="n"/>
      <c r="M67">
        <f>IF(AND(L67&lt;&gt;"",N(I67)&gt;0,N(J67)&gt;0),IF(J67=1,I67,ROUND(I67*(1+J67/30),1)),"")</f>
        <v/>
      </c>
      <c r="N67" s="41">
        <f>IF(M67="","",IF(M67&gt;=PRs!C53,"PR!",""))</f>
        <v/>
      </c>
      <c r="O67" s="7" t="n"/>
    </row>
    <row r="68">
      <c r="C68" t="inlineStr">
        <is>
          <t xml:space="preserve">      Set 4</t>
        </is>
      </c>
      <c r="E68" t="n">
        <v>6</v>
      </c>
      <c r="H68" s="39">
        <f>IF(H64="","",H64)</f>
        <v/>
      </c>
      <c r="I68" s="7">
        <f>IF(H64="","",H64)</f>
        <v/>
      </c>
      <c r="J68" s="7" t="n">
        <v>6</v>
      </c>
      <c r="K68" s="7" t="n"/>
      <c r="L68" s="40" t="n"/>
      <c r="M68">
        <f>IF(AND(L68&lt;&gt;"",N(I68)&gt;0,N(J68)&gt;0),IF(J68=1,I68,ROUND(I68*(1+J68/30),1)),"")</f>
        <v/>
      </c>
      <c r="N68" s="41">
        <f>IF(M68="","",IF(M68&gt;=PRs!C53,"PR!",""))</f>
        <v/>
      </c>
      <c r="O68" s="7" t="n"/>
    </row>
    <row r="69">
      <c r="A69" s="34" t="n"/>
      <c r="B69" s="34" t="n"/>
      <c r="C69" s="43" t="inlineStr">
        <is>
          <t>Plank</t>
        </is>
      </c>
      <c r="D69" s="34" t="inlineStr">
        <is>
          <t>4 x 30-60s</t>
        </is>
      </c>
      <c r="E69" s="34" t="n"/>
      <c r="F69" s="34" t="n"/>
      <c r="G69" s="36" t="n"/>
      <c r="H69" s="37" t="n"/>
      <c r="I69" s="34" t="n"/>
      <c r="J69" s="34" t="n"/>
      <c r="K69" s="34" t="n"/>
      <c r="L69" s="34" t="n"/>
      <c r="M69" s="34" t="n"/>
      <c r="N69" s="34" t="n"/>
      <c r="O69" s="38" t="inlineStr">
        <is>
          <t>Leave 1-2 reps in the tank; add weight when you hit the top of the range</t>
        </is>
      </c>
    </row>
    <row r="70">
      <c r="C70" t="inlineStr">
        <is>
          <t xml:space="preserve">      Set 1</t>
        </is>
      </c>
      <c r="E70" t="n">
        <v>30</v>
      </c>
      <c r="H70" s="39">
        <f>IF(H69="","",H69)</f>
        <v/>
      </c>
      <c r="I70" s="7">
        <f>IF(H69="","",H69)</f>
        <v/>
      </c>
      <c r="J70" s="7" t="n">
        <v>30</v>
      </c>
      <c r="K70" s="7" t="n"/>
      <c r="L70" s="40" t="n"/>
      <c r="M70">
        <f>IF(AND(L70&lt;&gt;"",N(I70)&gt;0,N(J70)&gt;0),IF(J70=1,I70,ROUND(I70*(1+J70/30),1)),"")</f>
        <v/>
      </c>
      <c r="N70" s="41">
        <f>IF(M70="","",IF(M70&gt;=PRs!C56,"PR!",""))</f>
        <v/>
      </c>
      <c r="O70" s="7" t="n"/>
    </row>
    <row r="71">
      <c r="C71" t="inlineStr">
        <is>
          <t xml:space="preserve">      Set 2</t>
        </is>
      </c>
      <c r="E71" t="n">
        <v>30</v>
      </c>
      <c r="H71" s="39">
        <f>IF(H69="","",H69)</f>
        <v/>
      </c>
      <c r="I71" s="7">
        <f>IF(H69="","",H69)</f>
        <v/>
      </c>
      <c r="J71" s="7" t="n">
        <v>30</v>
      </c>
      <c r="K71" s="7" t="n"/>
      <c r="L71" s="40" t="n"/>
      <c r="M71">
        <f>IF(AND(L71&lt;&gt;"",N(I71)&gt;0,N(J71)&gt;0),IF(J71=1,I71,ROUND(I71*(1+J71/30),1)),"")</f>
        <v/>
      </c>
      <c r="N71" s="41">
        <f>IF(M71="","",IF(M71&gt;=PRs!C56,"PR!",""))</f>
        <v/>
      </c>
      <c r="O71" s="7" t="n"/>
    </row>
    <row r="72">
      <c r="C72" t="inlineStr">
        <is>
          <t xml:space="preserve">      Set 3</t>
        </is>
      </c>
      <c r="E72" t="n">
        <v>30</v>
      </c>
      <c r="H72" s="39">
        <f>IF(H69="","",H69)</f>
        <v/>
      </c>
      <c r="I72" s="7">
        <f>IF(H69="","",H69)</f>
        <v/>
      </c>
      <c r="J72" s="7" t="n">
        <v>30</v>
      </c>
      <c r="K72" s="7" t="n"/>
      <c r="L72" s="40" t="n"/>
      <c r="M72">
        <f>IF(AND(L72&lt;&gt;"",N(I72)&gt;0,N(J72)&gt;0),IF(J72=1,I72,ROUND(I72*(1+J72/30),1)),"")</f>
        <v/>
      </c>
      <c r="N72" s="41">
        <f>IF(M72="","",IF(M72&gt;=PRs!C56,"PR!",""))</f>
        <v/>
      </c>
      <c r="O72" s="7" t="n"/>
    </row>
    <row r="73">
      <c r="C73" t="inlineStr">
        <is>
          <t xml:space="preserve">      Set 4</t>
        </is>
      </c>
      <c r="E73" t="n">
        <v>30</v>
      </c>
      <c r="H73" s="39">
        <f>IF(H69="","",H69)</f>
        <v/>
      </c>
      <c r="I73" s="7">
        <f>IF(H69="","",H69)</f>
        <v/>
      </c>
      <c r="J73" s="7" t="n">
        <v>30</v>
      </c>
      <c r="K73" s="7" t="n"/>
      <c r="L73" s="40" t="n"/>
      <c r="M73">
        <f>IF(AND(L73&lt;&gt;"",N(I73)&gt;0,N(J73)&gt;0),IF(J73=1,I73,ROUND(I73*(1+J73/30),1)),"")</f>
        <v/>
      </c>
      <c r="N73" s="41">
        <f>IF(M73="","",IF(M73&gt;=PRs!C56,"PR!",""))</f>
        <v/>
      </c>
      <c r="O73" s="7" t="n"/>
    </row>
    <row r="74">
      <c r="A74" s="31" t="inlineStr">
        <is>
          <t>Day 3 - Variations</t>
        </is>
      </c>
      <c r="B74" s="32">
        <f>'Start Here'!$B$8+88</f>
        <v/>
      </c>
      <c r="C74" s="33" t="n"/>
      <c r="D74" s="33" t="n"/>
      <c r="E74" s="33" t="n"/>
      <c r="F74" s="33" t="n"/>
      <c r="G74" s="33" t="n"/>
      <c r="H74" s="33" t="n"/>
      <c r="I74" s="33" t="n"/>
      <c r="J74" s="33" t="n"/>
      <c r="K74" s="33" t="n"/>
      <c r="L74" s="33" t="n"/>
      <c r="M74" s="33" t="n"/>
      <c r="N74" s="33" t="n"/>
      <c r="O74" s="33" t="n"/>
    </row>
    <row r="75">
      <c r="A75" s="34" t="n"/>
      <c r="B75" s="34" t="n"/>
      <c r="C75" s="35" t="inlineStr">
        <is>
          <t>Lateral Bound</t>
        </is>
      </c>
      <c r="D75" s="34" t="inlineStr">
        <is>
          <t>4 x 3</t>
        </is>
      </c>
      <c r="E75" s="34" t="n"/>
      <c r="F75" s="34" t="n"/>
      <c r="G75" s="36" t="n"/>
      <c r="H75" s="37">
        <f>IF(N(Maxes!F74)&gt;0,Maxes!F74,"")</f>
        <v/>
      </c>
      <c r="I75" s="34" t="n"/>
      <c r="J75" s="34" t="n"/>
      <c r="K75" s="34" t="n"/>
      <c r="L75" s="34" t="n"/>
      <c r="M75" s="34" t="n"/>
      <c r="N75" s="34" t="n"/>
      <c r="O75" s="38" t="inlineStr">
        <is>
          <t>Single-leg bound sideways, stick the landing on the other leg, then back. Log distance (each side counts as a rep).</t>
        </is>
      </c>
    </row>
    <row r="76">
      <c r="C76" t="inlineStr">
        <is>
          <t xml:space="preserve">      Set 1</t>
        </is>
      </c>
      <c r="E76" t="n">
        <v>3</v>
      </c>
      <c r="H76" s="39">
        <f>IF(H75="","",H75)</f>
        <v/>
      </c>
      <c r="I76" s="7">
        <f>IF(H75="","",H75)</f>
        <v/>
      </c>
      <c r="J76" s="7" t="n">
        <v>3</v>
      </c>
      <c r="K76" s="7" t="n"/>
      <c r="L76" s="40" t="n"/>
      <c r="N76" s="41">
        <f>IF(AND(L76&lt;&gt;"",N(I76)&gt;0),IF(I76&gt;=PRs!D74,"PR!",""),"")</f>
        <v/>
      </c>
      <c r="O76" s="7" t="n"/>
    </row>
    <row r="77">
      <c r="C77" t="inlineStr">
        <is>
          <t xml:space="preserve">      Set 2</t>
        </is>
      </c>
      <c r="E77" t="n">
        <v>3</v>
      </c>
      <c r="H77" s="39">
        <f>IF(H75="","",H75)</f>
        <v/>
      </c>
      <c r="I77" s="7">
        <f>IF(H75="","",H75)</f>
        <v/>
      </c>
      <c r="J77" s="7" t="n">
        <v>3</v>
      </c>
      <c r="K77" s="7" t="n"/>
      <c r="L77" s="40" t="n"/>
      <c r="N77" s="41">
        <f>IF(AND(L77&lt;&gt;"",N(I77)&gt;0),IF(I77&gt;=PRs!D74,"PR!",""),"")</f>
        <v/>
      </c>
      <c r="O77" s="7" t="n"/>
    </row>
    <row r="78">
      <c r="C78" t="inlineStr">
        <is>
          <t xml:space="preserve">      Set 3</t>
        </is>
      </c>
      <c r="E78" t="n">
        <v>3</v>
      </c>
      <c r="H78" s="39">
        <f>IF(H75="","",H75)</f>
        <v/>
      </c>
      <c r="I78" s="7">
        <f>IF(H75="","",H75)</f>
        <v/>
      </c>
      <c r="J78" s="7" t="n">
        <v>3</v>
      </c>
      <c r="K78" s="7" t="n"/>
      <c r="L78" s="40" t="n"/>
      <c r="N78" s="41">
        <f>IF(AND(L78&lt;&gt;"",N(I78)&gt;0),IF(I78&gt;=PRs!D74,"PR!",""),"")</f>
        <v/>
      </c>
      <c r="O78" s="7" t="n"/>
    </row>
    <row r="79">
      <c r="C79" t="inlineStr">
        <is>
          <t xml:space="preserve">      Set 4</t>
        </is>
      </c>
      <c r="E79" t="n">
        <v>3</v>
      </c>
      <c r="H79" s="39">
        <f>IF(H75="","",H75)</f>
        <v/>
      </c>
      <c r="I79" s="7">
        <f>IF(H75="","",H75)</f>
        <v/>
      </c>
      <c r="J79" s="7" t="n">
        <v>3</v>
      </c>
      <c r="K79" s="7" t="n"/>
      <c r="L79" s="40" t="n"/>
      <c r="N79" s="41">
        <f>IF(AND(L79&lt;&gt;"",N(I79)&gt;0),IF(I79&gt;=PRs!D74,"PR!",""),"")</f>
        <v/>
      </c>
      <c r="O79" s="7" t="n"/>
    </row>
    <row r="80">
      <c r="A80" s="34" t="n"/>
      <c r="B80" s="34" t="n"/>
      <c r="C80" s="42" t="inlineStr">
        <is>
          <t>Hang Clean</t>
        </is>
      </c>
      <c r="D80" s="34" t="inlineStr">
        <is>
          <t>6 x 3</t>
        </is>
      </c>
      <c r="E80" s="34" t="n"/>
      <c r="F80" s="34" t="n">
        <v>65</v>
      </c>
      <c r="G80" s="36">
        <f>Maxes!F43</f>
        <v/>
      </c>
      <c r="H80" s="37">
        <f>IF(OR(G80="",F80=""),"",MROUND(G80*F80/100,'Start Here'!$B$7))</f>
        <v/>
      </c>
      <c r="I80" s="34" t="n"/>
      <c r="J80" s="34" t="n"/>
      <c r="K80" s="34" t="n"/>
      <c r="L80" s="34" t="n"/>
      <c r="M80" s="34" t="n"/>
      <c r="N80" s="34" t="n"/>
      <c r="O80" s="38" t="inlineStr"/>
    </row>
    <row r="81">
      <c r="C81" t="inlineStr">
        <is>
          <t xml:space="preserve">      Set 1</t>
        </is>
      </c>
      <c r="E81" t="n">
        <v>3</v>
      </c>
      <c r="H81" s="39">
        <f>IF(H80="","",H80)</f>
        <v/>
      </c>
      <c r="I81" s="7">
        <f>IF(H80="","",H80)</f>
        <v/>
      </c>
      <c r="J81" s="7" t="n">
        <v>3</v>
      </c>
      <c r="K81" s="7" t="n"/>
      <c r="L81" s="40" t="n"/>
      <c r="M81">
        <f>IF(AND(L81&lt;&gt;"",N(I81)&gt;0,N(J81)&gt;0),IF(J81=1,I81,ROUND(I81*(1+J81/30),1)),"")</f>
        <v/>
      </c>
      <c r="N81" s="41">
        <f>IF(M81="","",IF(M81&gt;=PRs!C43,"PR!",""))</f>
        <v/>
      </c>
      <c r="O81" s="7" t="n"/>
    </row>
    <row r="82">
      <c r="C82" t="inlineStr">
        <is>
          <t xml:space="preserve">      Set 2</t>
        </is>
      </c>
      <c r="E82" t="n">
        <v>3</v>
      </c>
      <c r="H82" s="39">
        <f>IF(H80="","",H80)</f>
        <v/>
      </c>
      <c r="I82" s="7">
        <f>IF(H80="","",H80)</f>
        <v/>
      </c>
      <c r="J82" s="7" t="n">
        <v>3</v>
      </c>
      <c r="K82" s="7" t="n"/>
      <c r="L82" s="40" t="n"/>
      <c r="M82">
        <f>IF(AND(L82&lt;&gt;"",N(I82)&gt;0,N(J82)&gt;0),IF(J82=1,I82,ROUND(I82*(1+J82/30),1)),"")</f>
        <v/>
      </c>
      <c r="N82" s="41">
        <f>IF(M82="","",IF(M82&gt;=PRs!C43,"PR!",""))</f>
        <v/>
      </c>
      <c r="O82" s="7" t="n"/>
    </row>
    <row r="83">
      <c r="C83" t="inlineStr">
        <is>
          <t xml:space="preserve">      Set 3</t>
        </is>
      </c>
      <c r="E83" t="n">
        <v>3</v>
      </c>
      <c r="H83" s="39">
        <f>IF(H80="","",H80)</f>
        <v/>
      </c>
      <c r="I83" s="7">
        <f>IF(H80="","",H80)</f>
        <v/>
      </c>
      <c r="J83" s="7" t="n">
        <v>3</v>
      </c>
      <c r="K83" s="7" t="n"/>
      <c r="L83" s="40" t="n"/>
      <c r="M83">
        <f>IF(AND(L83&lt;&gt;"",N(I83)&gt;0,N(J83)&gt;0),IF(J83=1,I83,ROUND(I83*(1+J83/30),1)),"")</f>
        <v/>
      </c>
      <c r="N83" s="41">
        <f>IF(M83="","",IF(M83&gt;=PRs!C43,"PR!",""))</f>
        <v/>
      </c>
      <c r="O83" s="7" t="n"/>
    </row>
    <row r="84">
      <c r="C84" t="inlineStr">
        <is>
          <t xml:space="preserve">      Set 4</t>
        </is>
      </c>
      <c r="E84" t="n">
        <v>3</v>
      </c>
      <c r="H84" s="39">
        <f>IF(H80="","",H80)</f>
        <v/>
      </c>
      <c r="I84" s="7">
        <f>IF(H80="","",H80)</f>
        <v/>
      </c>
      <c r="J84" s="7" t="n">
        <v>3</v>
      </c>
      <c r="K84" s="7" t="n"/>
      <c r="L84" s="40" t="n"/>
      <c r="M84">
        <f>IF(AND(L84&lt;&gt;"",N(I84)&gt;0,N(J84)&gt;0),IF(J84=1,I84,ROUND(I84*(1+J84/30),1)),"")</f>
        <v/>
      </c>
      <c r="N84" s="41">
        <f>IF(M84="","",IF(M84&gt;=PRs!C43,"PR!",""))</f>
        <v/>
      </c>
      <c r="O84" s="7" t="n"/>
    </row>
    <row r="85">
      <c r="C85" t="inlineStr">
        <is>
          <t xml:space="preserve">      Set 5</t>
        </is>
      </c>
      <c r="E85" t="n">
        <v>3</v>
      </c>
      <c r="H85" s="39">
        <f>IF(H80="","",H80)</f>
        <v/>
      </c>
      <c r="I85" s="7">
        <f>IF(H80="","",H80)</f>
        <v/>
      </c>
      <c r="J85" s="7" t="n">
        <v>3</v>
      </c>
      <c r="K85" s="7" t="n"/>
      <c r="L85" s="40" t="n"/>
      <c r="M85">
        <f>IF(AND(L85&lt;&gt;"",N(I85)&gt;0,N(J85)&gt;0),IF(J85=1,I85,ROUND(I85*(1+J85/30),1)),"")</f>
        <v/>
      </c>
      <c r="N85" s="41">
        <f>IF(M85="","",IF(M85&gt;=PRs!C43,"PR!",""))</f>
        <v/>
      </c>
      <c r="O85" s="7" t="n"/>
    </row>
    <row r="86">
      <c r="C86" t="inlineStr">
        <is>
          <t xml:space="preserve">      Set 6</t>
        </is>
      </c>
      <c r="E86" t="n">
        <v>3</v>
      </c>
      <c r="H86" s="39">
        <f>IF(H80="","",H80)</f>
        <v/>
      </c>
      <c r="I86" s="7">
        <f>IF(H80="","",H80)</f>
        <v/>
      </c>
      <c r="J86" s="7" t="n">
        <v>3</v>
      </c>
      <c r="K86" s="7" t="n"/>
      <c r="L86" s="40" t="n"/>
      <c r="M86">
        <f>IF(AND(L86&lt;&gt;"",N(I86)&gt;0,N(J86)&gt;0),IF(J86=1,I86,ROUND(I86*(1+J86/30),1)),"")</f>
        <v/>
      </c>
      <c r="N86" s="41">
        <f>IF(M86="","",IF(M86&gt;=PRs!C43,"PR!",""))</f>
        <v/>
      </c>
      <c r="O86" s="7" t="n"/>
    </row>
    <row r="87">
      <c r="A87" s="34" t="n"/>
      <c r="B87" s="34" t="n"/>
      <c r="C87" s="42" t="inlineStr">
        <is>
          <t>Safety Bar Squat</t>
        </is>
      </c>
      <c r="D87" s="34" t="inlineStr">
        <is>
          <t>4 x 6</t>
        </is>
      </c>
      <c r="E87" s="34" t="n"/>
      <c r="F87" s="34" t="n">
        <v>65</v>
      </c>
      <c r="G87" s="36">
        <f>Maxes!F11</f>
        <v/>
      </c>
      <c r="H87" s="37">
        <f>IF(OR(G87="",F87=""),"",MROUND(G87*F87/100,'Start Here'!$B$7))</f>
        <v/>
      </c>
      <c r="I87" s="34" t="n"/>
      <c r="J87" s="34" t="n"/>
      <c r="K87" s="34" t="n"/>
      <c r="L87" s="34" t="n"/>
      <c r="M87" s="34" t="n"/>
      <c r="N87" s="34" t="n"/>
      <c r="O87" s="38" t="inlineStr"/>
    </row>
    <row r="88">
      <c r="C88" t="inlineStr">
        <is>
          <t xml:space="preserve">      Set 1</t>
        </is>
      </c>
      <c r="E88" t="n">
        <v>6</v>
      </c>
      <c r="H88" s="39">
        <f>IF(H87="","",H87)</f>
        <v/>
      </c>
      <c r="I88" s="7">
        <f>IF(H87="","",H87)</f>
        <v/>
      </c>
      <c r="J88" s="7" t="n">
        <v>6</v>
      </c>
      <c r="K88" s="7" t="n"/>
      <c r="L88" s="40" t="n"/>
      <c r="M88">
        <f>IF(AND(L88&lt;&gt;"",N(I88)&gt;0,N(J88)&gt;0),IF(J88=1,I88,ROUND(I88*(1+J88/30),1)),"")</f>
        <v/>
      </c>
      <c r="N88" s="41">
        <f>IF(M88="","",IF(M88&gt;=PRs!C11,"PR!",""))</f>
        <v/>
      </c>
      <c r="O88" s="7" t="n"/>
    </row>
    <row r="89">
      <c r="C89" t="inlineStr">
        <is>
          <t xml:space="preserve">      Set 2</t>
        </is>
      </c>
      <c r="E89" t="n">
        <v>6</v>
      </c>
      <c r="H89" s="39">
        <f>IF(H87="","",H87)</f>
        <v/>
      </c>
      <c r="I89" s="7">
        <f>IF(H87="","",H87)</f>
        <v/>
      </c>
      <c r="J89" s="7" t="n">
        <v>6</v>
      </c>
      <c r="K89" s="7" t="n"/>
      <c r="L89" s="40" t="n"/>
      <c r="M89">
        <f>IF(AND(L89&lt;&gt;"",N(I89)&gt;0,N(J89)&gt;0),IF(J89=1,I89,ROUND(I89*(1+J89/30),1)),"")</f>
        <v/>
      </c>
      <c r="N89" s="41">
        <f>IF(M89="","",IF(M89&gt;=PRs!C11,"PR!",""))</f>
        <v/>
      </c>
      <c r="O89" s="7" t="n"/>
    </row>
    <row r="90">
      <c r="C90" t="inlineStr">
        <is>
          <t xml:space="preserve">      Set 3</t>
        </is>
      </c>
      <c r="E90" t="n">
        <v>6</v>
      </c>
      <c r="H90" s="39">
        <f>IF(H87="","",H87)</f>
        <v/>
      </c>
      <c r="I90" s="7">
        <f>IF(H87="","",H87)</f>
        <v/>
      </c>
      <c r="J90" s="7" t="n">
        <v>6</v>
      </c>
      <c r="K90" s="7" t="n"/>
      <c r="L90" s="40" t="n"/>
      <c r="M90">
        <f>IF(AND(L90&lt;&gt;"",N(I90)&gt;0,N(J90)&gt;0),IF(J90=1,I90,ROUND(I90*(1+J90/30),1)),"")</f>
        <v/>
      </c>
      <c r="N90" s="41">
        <f>IF(M90="","",IF(M90&gt;=PRs!C11,"PR!",""))</f>
        <v/>
      </c>
      <c r="O90" s="7" t="n"/>
    </row>
    <row r="91">
      <c r="C91" t="inlineStr">
        <is>
          <t xml:space="preserve">      Set 4</t>
        </is>
      </c>
      <c r="E91" t="n">
        <v>6</v>
      </c>
      <c r="H91" s="39">
        <f>IF(H87="","",H87)</f>
        <v/>
      </c>
      <c r="I91" s="7">
        <f>IF(H87="","",H87)</f>
        <v/>
      </c>
      <c r="J91" s="7" t="n">
        <v>6</v>
      </c>
      <c r="K91" s="7" t="n"/>
      <c r="L91" s="40" t="n"/>
      <c r="M91">
        <f>IF(AND(L91&lt;&gt;"",N(I91)&gt;0,N(J91)&gt;0),IF(J91=1,I91,ROUND(I91*(1+J91/30),1)),"")</f>
        <v/>
      </c>
      <c r="N91" s="41">
        <f>IF(M91="","",IF(M91&gt;=PRs!C11,"PR!",""))</f>
        <v/>
      </c>
      <c r="O91" s="7" t="n"/>
    </row>
    <row r="92">
      <c r="A92" s="34" t="n"/>
      <c r="B92" s="34" t="n"/>
      <c r="C92" s="42" t="inlineStr">
        <is>
          <t>1-Board Press</t>
        </is>
      </c>
      <c r="D92" s="34" t="inlineStr">
        <is>
          <t>4 x 6</t>
        </is>
      </c>
      <c r="E92" s="34" t="n"/>
      <c r="F92" s="34" t="n">
        <v>65</v>
      </c>
      <c r="G92" s="36">
        <f>Maxes!F15</f>
        <v/>
      </c>
      <c r="H92" s="37">
        <f>IF(OR(G92="",F92=""),"",MROUND(G92*F92/100,'Start Here'!$B$7))</f>
        <v/>
      </c>
      <c r="I92" s="34" t="n"/>
      <c r="J92" s="34" t="n"/>
      <c r="K92" s="34" t="n"/>
      <c r="L92" s="34" t="n"/>
      <c r="M92" s="34" t="n"/>
      <c r="N92" s="34" t="n"/>
      <c r="O92" s="38" t="inlineStr"/>
    </row>
    <row r="93">
      <c r="C93" t="inlineStr">
        <is>
          <t xml:space="preserve">      Set 1</t>
        </is>
      </c>
      <c r="E93" t="n">
        <v>6</v>
      </c>
      <c r="H93" s="39">
        <f>IF(H92="","",H92)</f>
        <v/>
      </c>
      <c r="I93" s="7">
        <f>IF(H92="","",H92)</f>
        <v/>
      </c>
      <c r="J93" s="7" t="n">
        <v>6</v>
      </c>
      <c r="K93" s="7" t="n"/>
      <c r="L93" s="40" t="n"/>
      <c r="M93">
        <f>IF(AND(L93&lt;&gt;"",N(I93)&gt;0,N(J93)&gt;0),IF(J93=1,I93,ROUND(I93*(1+J93/30),1)),"")</f>
        <v/>
      </c>
      <c r="N93" s="41">
        <f>IF(M93="","",IF(M93&gt;=PRs!C15,"PR!",""))</f>
        <v/>
      </c>
      <c r="O93" s="7" t="n"/>
    </row>
    <row r="94">
      <c r="C94" t="inlineStr">
        <is>
          <t xml:space="preserve">      Set 2</t>
        </is>
      </c>
      <c r="E94" t="n">
        <v>6</v>
      </c>
      <c r="H94" s="39">
        <f>IF(H92="","",H92)</f>
        <v/>
      </c>
      <c r="I94" s="7">
        <f>IF(H92="","",H92)</f>
        <v/>
      </c>
      <c r="J94" s="7" t="n">
        <v>6</v>
      </c>
      <c r="K94" s="7" t="n"/>
      <c r="L94" s="40" t="n"/>
      <c r="M94">
        <f>IF(AND(L94&lt;&gt;"",N(I94)&gt;0,N(J94)&gt;0),IF(J94=1,I94,ROUND(I94*(1+J94/30),1)),"")</f>
        <v/>
      </c>
      <c r="N94" s="41">
        <f>IF(M94="","",IF(M94&gt;=PRs!C15,"PR!",""))</f>
        <v/>
      </c>
      <c r="O94" s="7" t="n"/>
    </row>
    <row r="95">
      <c r="C95" t="inlineStr">
        <is>
          <t xml:space="preserve">      Set 3</t>
        </is>
      </c>
      <c r="E95" t="n">
        <v>6</v>
      </c>
      <c r="H95" s="39">
        <f>IF(H92="","",H92)</f>
        <v/>
      </c>
      <c r="I95" s="7">
        <f>IF(H92="","",H92)</f>
        <v/>
      </c>
      <c r="J95" s="7" t="n">
        <v>6</v>
      </c>
      <c r="K95" s="7" t="n"/>
      <c r="L95" s="40" t="n"/>
      <c r="M95">
        <f>IF(AND(L95&lt;&gt;"",N(I95)&gt;0,N(J95)&gt;0),IF(J95=1,I95,ROUND(I95*(1+J95/30),1)),"")</f>
        <v/>
      </c>
      <c r="N95" s="41">
        <f>IF(M95="","",IF(M95&gt;=PRs!C15,"PR!",""))</f>
        <v/>
      </c>
      <c r="O95" s="7" t="n"/>
    </row>
    <row r="96">
      <c r="C96" t="inlineStr">
        <is>
          <t xml:space="preserve">      Set 4</t>
        </is>
      </c>
      <c r="E96" t="n">
        <v>6</v>
      </c>
      <c r="H96" s="39">
        <f>IF(H92="","",H92)</f>
        <v/>
      </c>
      <c r="I96" s="7">
        <f>IF(H92="","",H92)</f>
        <v/>
      </c>
      <c r="J96" s="7" t="n">
        <v>6</v>
      </c>
      <c r="K96" s="7" t="n"/>
      <c r="L96" s="40" t="n"/>
      <c r="M96">
        <f>IF(AND(L96&lt;&gt;"",N(I96)&gt;0,N(J96)&gt;0),IF(J96=1,I96,ROUND(I96*(1+J96/30),1)),"")</f>
        <v/>
      </c>
      <c r="N96" s="41">
        <f>IF(M96="","",IF(M96&gt;=PRs!C15,"PR!",""))</f>
        <v/>
      </c>
      <c r="O96" s="7" t="n"/>
    </row>
    <row r="97">
      <c r="A97" s="34" t="n"/>
      <c r="B97" s="34" t="n"/>
      <c r="C97" s="42" t="inlineStr">
        <is>
          <t>Block Pull</t>
        </is>
      </c>
      <c r="D97" s="34" t="inlineStr">
        <is>
          <t>3 x 6</t>
        </is>
      </c>
      <c r="E97" s="34" t="n"/>
      <c r="F97" s="34" t="n">
        <v>60</v>
      </c>
      <c r="G97" s="36">
        <f>Maxes!F26</f>
        <v/>
      </c>
      <c r="H97" s="37">
        <f>IF(OR(G97="",F97=""),"",MROUND(G97*F97/100,'Start Here'!$B$7))</f>
        <v/>
      </c>
      <c r="I97" s="34" t="n"/>
      <c r="J97" s="34" t="n"/>
      <c r="K97" s="34" t="n"/>
      <c r="L97" s="34" t="n"/>
      <c r="M97" s="34" t="n"/>
      <c r="N97" s="34" t="n"/>
      <c r="O97" s="38" t="inlineStr"/>
    </row>
    <row r="98">
      <c r="C98" t="inlineStr">
        <is>
          <t xml:space="preserve">      Set 1</t>
        </is>
      </c>
      <c r="E98" t="n">
        <v>6</v>
      </c>
      <c r="H98" s="39">
        <f>IF(H97="","",H97)</f>
        <v/>
      </c>
      <c r="I98" s="7">
        <f>IF(H97="","",H97)</f>
        <v/>
      </c>
      <c r="J98" s="7" t="n">
        <v>6</v>
      </c>
      <c r="K98" s="7" t="n"/>
      <c r="L98" s="40" t="n"/>
      <c r="M98">
        <f>IF(AND(L98&lt;&gt;"",N(I98)&gt;0,N(J98)&gt;0),IF(J98=1,I98,ROUND(I98*(1+J98/30),1)),"")</f>
        <v/>
      </c>
      <c r="N98" s="41">
        <f>IF(M98="","",IF(M98&gt;=PRs!C26,"PR!",""))</f>
        <v/>
      </c>
      <c r="O98" s="7" t="n"/>
    </row>
    <row r="99">
      <c r="C99" t="inlineStr">
        <is>
          <t xml:space="preserve">      Set 2</t>
        </is>
      </c>
      <c r="E99" t="n">
        <v>6</v>
      </c>
      <c r="H99" s="39">
        <f>IF(H97="","",H97)</f>
        <v/>
      </c>
      <c r="I99" s="7">
        <f>IF(H97="","",H97)</f>
        <v/>
      </c>
      <c r="J99" s="7" t="n">
        <v>6</v>
      </c>
      <c r="K99" s="7" t="n"/>
      <c r="L99" s="40" t="n"/>
      <c r="M99">
        <f>IF(AND(L99&lt;&gt;"",N(I99)&gt;0,N(J99)&gt;0),IF(J99=1,I99,ROUND(I99*(1+J99/30),1)),"")</f>
        <v/>
      </c>
      <c r="N99" s="41">
        <f>IF(M99="","",IF(M99&gt;=PRs!C26,"PR!",""))</f>
        <v/>
      </c>
      <c r="O99" s="7" t="n"/>
    </row>
    <row r="100">
      <c r="C100" t="inlineStr">
        <is>
          <t xml:space="preserve">      Set 3</t>
        </is>
      </c>
      <c r="E100" t="n">
        <v>6</v>
      </c>
      <c r="H100" s="39">
        <f>IF(H97="","",H97)</f>
        <v/>
      </c>
      <c r="I100" s="7">
        <f>IF(H97="","",H97)</f>
        <v/>
      </c>
      <c r="J100" s="7" t="n">
        <v>6</v>
      </c>
      <c r="K100" s="7" t="n"/>
      <c r="L100" s="40" t="n"/>
      <c r="M100">
        <f>IF(AND(L100&lt;&gt;"",N(I100)&gt;0,N(J100)&gt;0),IF(J100=1,I100,ROUND(I100*(1+J100/30),1)),"")</f>
        <v/>
      </c>
      <c r="N100" s="41">
        <f>IF(M100="","",IF(M100&gt;=PRs!C26,"PR!",""))</f>
        <v/>
      </c>
      <c r="O100" s="7" t="n"/>
    </row>
    <row r="101">
      <c r="A101" s="34" t="n"/>
      <c r="B101" s="34" t="n"/>
      <c r="C101" s="43" t="inlineStr">
        <is>
          <t>Incline Dumbbell Press</t>
        </is>
      </c>
      <c r="D101" s="34" t="inlineStr">
        <is>
          <t>4 x 8-12</t>
        </is>
      </c>
      <c r="E101" s="34" t="n"/>
      <c r="F101" s="34" t="n"/>
      <c r="G101" s="36" t="n"/>
      <c r="H101" s="37" t="n"/>
      <c r="I101" s="34" t="n"/>
      <c r="J101" s="34" t="n"/>
      <c r="K101" s="34" t="n"/>
      <c r="L101" s="34" t="n"/>
      <c r="M101" s="34" t="n"/>
      <c r="N101" s="34" t="n"/>
      <c r="O101" s="38" t="inlineStr">
        <is>
          <t>Leave 1-2 reps in the tank; add weight when you hit the top of the range</t>
        </is>
      </c>
    </row>
    <row r="102">
      <c r="C102" t="inlineStr">
        <is>
          <t xml:space="preserve">      Set 1</t>
        </is>
      </c>
      <c r="E102" t="n">
        <v>8</v>
      </c>
      <c r="H102" s="39">
        <f>IF(H101="","",H101)</f>
        <v/>
      </c>
      <c r="I102" s="7">
        <f>IF(H101="","",H101)</f>
        <v/>
      </c>
      <c r="J102" s="7" t="n">
        <v>8</v>
      </c>
      <c r="K102" s="7" t="n"/>
      <c r="L102" s="40" t="n"/>
      <c r="M102">
        <f>IF(AND(L102&lt;&gt;"",N(I102)&gt;0,N(J102)&gt;0),IF(J102=1,I102,ROUND(I102*(1+J102/30),1)),"")</f>
        <v/>
      </c>
      <c r="N102" s="41">
        <f>IF(M102="","",IF(M102&gt;=PRs!C57,"PR!",""))</f>
        <v/>
      </c>
      <c r="O102" s="7" t="n"/>
    </row>
    <row r="103">
      <c r="C103" t="inlineStr">
        <is>
          <t xml:space="preserve">      Set 2</t>
        </is>
      </c>
      <c r="E103" t="n">
        <v>8</v>
      </c>
      <c r="H103" s="39">
        <f>IF(H101="","",H101)</f>
        <v/>
      </c>
      <c r="I103" s="7">
        <f>IF(H101="","",H101)</f>
        <v/>
      </c>
      <c r="J103" s="7" t="n">
        <v>8</v>
      </c>
      <c r="K103" s="7" t="n"/>
      <c r="L103" s="40" t="n"/>
      <c r="M103">
        <f>IF(AND(L103&lt;&gt;"",N(I103)&gt;0,N(J103)&gt;0),IF(J103=1,I103,ROUND(I103*(1+J103/30),1)),"")</f>
        <v/>
      </c>
      <c r="N103" s="41">
        <f>IF(M103="","",IF(M103&gt;=PRs!C57,"PR!",""))</f>
        <v/>
      </c>
      <c r="O103" s="7" t="n"/>
    </row>
    <row r="104">
      <c r="C104" t="inlineStr">
        <is>
          <t xml:space="preserve">      Set 3</t>
        </is>
      </c>
      <c r="E104" t="n">
        <v>8</v>
      </c>
      <c r="H104" s="39">
        <f>IF(H101="","",H101)</f>
        <v/>
      </c>
      <c r="I104" s="7">
        <f>IF(H101="","",H101)</f>
        <v/>
      </c>
      <c r="J104" s="7" t="n">
        <v>8</v>
      </c>
      <c r="K104" s="7" t="n"/>
      <c r="L104" s="40" t="n"/>
      <c r="M104">
        <f>IF(AND(L104&lt;&gt;"",N(I104)&gt;0,N(J104)&gt;0),IF(J104=1,I104,ROUND(I104*(1+J104/30),1)),"")</f>
        <v/>
      </c>
      <c r="N104" s="41">
        <f>IF(M104="","",IF(M104&gt;=PRs!C57,"PR!",""))</f>
        <v/>
      </c>
      <c r="O104" s="7" t="n"/>
    </row>
    <row r="105">
      <c r="C105" t="inlineStr">
        <is>
          <t xml:space="preserve">      Set 4</t>
        </is>
      </c>
      <c r="E105" t="n">
        <v>8</v>
      </c>
      <c r="H105" s="39">
        <f>IF(H101="","",H101)</f>
        <v/>
      </c>
      <c r="I105" s="7">
        <f>IF(H101="","",H101)</f>
        <v/>
      </c>
      <c r="J105" s="7" t="n">
        <v>8</v>
      </c>
      <c r="K105" s="7" t="n"/>
      <c r="L105" s="40" t="n"/>
      <c r="M105">
        <f>IF(AND(L105&lt;&gt;"",N(I105)&gt;0,N(J105)&gt;0),IF(J105=1,I105,ROUND(I105*(1+J105/30),1)),"")</f>
        <v/>
      </c>
      <c r="N105" s="41">
        <f>IF(M105="","",IF(M105&gt;=PRs!C57,"PR!",""))</f>
        <v/>
      </c>
      <c r="O105" s="7" t="n"/>
    </row>
    <row r="106">
      <c r="A106" s="34" t="n"/>
      <c r="B106" s="34" t="n"/>
      <c r="C106" s="43" t="inlineStr">
        <is>
          <t>Triceps Pushdown</t>
        </is>
      </c>
      <c r="D106" s="34" t="inlineStr">
        <is>
          <t>4 x 10-15</t>
        </is>
      </c>
      <c r="E106" s="34" t="n"/>
      <c r="F106" s="34" t="n"/>
      <c r="G106" s="36" t="n"/>
      <c r="H106" s="37" t="n"/>
      <c r="I106" s="34" t="n"/>
      <c r="J106" s="34" t="n"/>
      <c r="K106" s="34" t="n"/>
      <c r="L106" s="34" t="n"/>
      <c r="M106" s="34" t="n"/>
      <c r="N106" s="34" t="n"/>
      <c r="O106" s="38" t="inlineStr">
        <is>
          <t>Leave 1-2 reps in the tank; add weight when you hit the top of the range</t>
        </is>
      </c>
    </row>
    <row r="107">
      <c r="C107" t="inlineStr">
        <is>
          <t xml:space="preserve">      Set 1</t>
        </is>
      </c>
      <c r="E107" t="n">
        <v>10</v>
      </c>
      <c r="H107" s="39">
        <f>IF(H106="","",H106)</f>
        <v/>
      </c>
      <c r="I107" s="7">
        <f>IF(H106="","",H106)</f>
        <v/>
      </c>
      <c r="J107" s="7" t="n">
        <v>10</v>
      </c>
      <c r="K107" s="7" t="n"/>
      <c r="L107" s="40" t="n"/>
      <c r="M107">
        <f>IF(AND(L107&lt;&gt;"",N(I107)&gt;0,N(J107)&gt;0),IF(J107=1,I107,ROUND(I107*(1+J107/30),1)),"")</f>
        <v/>
      </c>
      <c r="N107" s="41">
        <f>IF(M107="","",IF(M107&gt;=PRs!C59,"PR!",""))</f>
        <v/>
      </c>
      <c r="O107" s="7" t="n"/>
    </row>
    <row r="108">
      <c r="C108" t="inlineStr">
        <is>
          <t xml:space="preserve">      Set 2</t>
        </is>
      </c>
      <c r="E108" t="n">
        <v>10</v>
      </c>
      <c r="H108" s="39">
        <f>IF(H106="","",H106)</f>
        <v/>
      </c>
      <c r="I108" s="7">
        <f>IF(H106="","",H106)</f>
        <v/>
      </c>
      <c r="J108" s="7" t="n">
        <v>10</v>
      </c>
      <c r="K108" s="7" t="n"/>
      <c r="L108" s="40" t="n"/>
      <c r="M108">
        <f>IF(AND(L108&lt;&gt;"",N(I108)&gt;0,N(J108)&gt;0),IF(J108=1,I108,ROUND(I108*(1+J108/30),1)),"")</f>
        <v/>
      </c>
      <c r="N108" s="41">
        <f>IF(M108="","",IF(M108&gt;=PRs!C59,"PR!",""))</f>
        <v/>
      </c>
      <c r="O108" s="7" t="n"/>
    </row>
    <row r="109">
      <c r="C109" t="inlineStr">
        <is>
          <t xml:space="preserve">      Set 3</t>
        </is>
      </c>
      <c r="E109" t="n">
        <v>10</v>
      </c>
      <c r="H109" s="39">
        <f>IF(H106="","",H106)</f>
        <v/>
      </c>
      <c r="I109" s="7">
        <f>IF(H106="","",H106)</f>
        <v/>
      </c>
      <c r="J109" s="7" t="n">
        <v>10</v>
      </c>
      <c r="K109" s="7" t="n"/>
      <c r="L109" s="40" t="n"/>
      <c r="M109">
        <f>IF(AND(L109&lt;&gt;"",N(I109)&gt;0,N(J109)&gt;0),IF(J109=1,I109,ROUND(I109*(1+J109/30),1)),"")</f>
        <v/>
      </c>
      <c r="N109" s="41">
        <f>IF(M109="","",IF(M109&gt;=PRs!C59,"PR!",""))</f>
        <v/>
      </c>
      <c r="O109" s="7" t="n"/>
    </row>
    <row r="110">
      <c r="C110" t="inlineStr">
        <is>
          <t xml:space="preserve">      Set 4</t>
        </is>
      </c>
      <c r="E110" t="n">
        <v>10</v>
      </c>
      <c r="H110" s="39">
        <f>IF(H106="","",H106)</f>
        <v/>
      </c>
      <c r="I110" s="7">
        <f>IF(H106="","",H106)</f>
        <v/>
      </c>
      <c r="J110" s="7" t="n">
        <v>10</v>
      </c>
      <c r="K110" s="7" t="n"/>
      <c r="L110" s="40" t="n"/>
      <c r="M110">
        <f>IF(AND(L110&lt;&gt;"",N(I110)&gt;0,N(J110)&gt;0),IF(J110=1,I110,ROUND(I110*(1+J110/30),1)),"")</f>
        <v/>
      </c>
      <c r="N110" s="41">
        <f>IF(M110="","",IF(M110&gt;=PRs!C59,"PR!",""))</f>
        <v/>
      </c>
      <c r="O110" s="7" t="n"/>
    </row>
    <row r="112">
      <c r="A112" s="45" t="inlineStr">
        <is>
          <t>WEEK 14 - CYCLE 2 - ACCUMULATION</t>
        </is>
      </c>
      <c r="B112" s="46" t="n"/>
      <c r="C112" s="46" t="n"/>
      <c r="D112" s="46" t="n"/>
      <c r="E112" s="46" t="n"/>
      <c r="F112" s="46" t="n"/>
      <c r="G112" s="46" t="n"/>
      <c r="H112" s="47" t="inlineStr">
        <is>
          <t>Bodyweight:</t>
        </is>
      </c>
      <c r="I112" s="7" t="n"/>
      <c r="J112" s="46" t="n"/>
      <c r="K112" s="46" t="n"/>
      <c r="L112" s="46" t="n"/>
      <c r="M112" s="46" t="n"/>
      <c r="N112" s="46" t="n"/>
      <c r="O112" s="46" t="n"/>
    </row>
    <row r="113">
      <c r="A113" s="31" t="inlineStr">
        <is>
          <t>Day 1 - Heavy</t>
        </is>
      </c>
      <c r="B113" s="32">
        <f>'Start Here'!$B$8+91</f>
        <v/>
      </c>
      <c r="C113" s="33" t="n"/>
      <c r="D113" s="33" t="n"/>
      <c r="E113" s="33" t="n"/>
      <c r="F113" s="33" t="n"/>
      <c r="G113" s="33" t="n"/>
      <c r="H113" s="33" t="n"/>
      <c r="I113" s="33" t="n"/>
      <c r="J113" s="33" t="n"/>
      <c r="K113" s="33" t="n"/>
      <c r="L113" s="33" t="n"/>
      <c r="M113" s="33" t="n"/>
      <c r="N113" s="33" t="n"/>
      <c r="O113" s="33" t="n"/>
    </row>
    <row r="114">
      <c r="A114" s="34" t="n"/>
      <c r="B114" s="34" t="n"/>
      <c r="C114" s="35" t="inlineStr">
        <is>
          <t>Box Jump</t>
        </is>
      </c>
      <c r="D114" s="34" t="inlineStr">
        <is>
          <t>4 x 3</t>
        </is>
      </c>
      <c r="E114" s="34" t="n"/>
      <c r="F114" s="34" t="n"/>
      <c r="G114" s="36" t="n"/>
      <c r="H114" s="37">
        <f>IF(N(Maxes!F69)&gt;0,Maxes!F69,'Start Here'!$G$16)</f>
        <v/>
      </c>
      <c r="I114" s="34" t="n"/>
      <c r="J114" s="34" t="n"/>
      <c r="K114" s="34" t="n"/>
      <c r="L114" s="34" t="n"/>
      <c r="M114" s="34" t="n"/>
      <c r="N114" s="34" t="n"/>
      <c r="O114" s="38" t="inlineStr">
        <is>
          <t>Two-foot jump onto a box, land soft in a quarter squat, STEP down. Log the box height (floor to top of box).</t>
        </is>
      </c>
    </row>
    <row r="115">
      <c r="C115" t="inlineStr">
        <is>
          <t xml:space="preserve">      Set 1</t>
        </is>
      </c>
      <c r="E115" t="n">
        <v>3</v>
      </c>
      <c r="H115" s="39">
        <f>IF(H114="","",H114)</f>
        <v/>
      </c>
      <c r="I115" s="7">
        <f>IF(H114="","",H114)</f>
        <v/>
      </c>
      <c r="J115" s="7" t="n">
        <v>3</v>
      </c>
      <c r="K115" s="7" t="n"/>
      <c r="L115" s="40" t="n"/>
      <c r="N115" s="41">
        <f>IF(AND(L115&lt;&gt;"",N(I115)&gt;0),IF(I115&gt;=PRs!D69,"PR!",""),"")</f>
        <v/>
      </c>
      <c r="O115" s="7" t="n"/>
    </row>
    <row r="116">
      <c r="C116" t="inlineStr">
        <is>
          <t xml:space="preserve">      Set 2</t>
        </is>
      </c>
      <c r="E116" t="n">
        <v>3</v>
      </c>
      <c r="H116" s="39">
        <f>IF(H114="","",H114)</f>
        <v/>
      </c>
      <c r="I116" s="7">
        <f>IF(H114="","",H114)</f>
        <v/>
      </c>
      <c r="J116" s="7" t="n">
        <v>3</v>
      </c>
      <c r="K116" s="7" t="n"/>
      <c r="L116" s="40" t="n"/>
      <c r="N116" s="41">
        <f>IF(AND(L116&lt;&gt;"",N(I116)&gt;0),IF(I116&gt;=PRs!D69,"PR!",""),"")</f>
        <v/>
      </c>
      <c r="O116" s="7" t="n"/>
    </row>
    <row r="117">
      <c r="C117" t="inlineStr">
        <is>
          <t xml:space="preserve">      Set 3</t>
        </is>
      </c>
      <c r="E117" t="n">
        <v>3</v>
      </c>
      <c r="H117" s="39">
        <f>IF(H114="","",H114)</f>
        <v/>
      </c>
      <c r="I117" s="7">
        <f>IF(H114="","",H114)</f>
        <v/>
      </c>
      <c r="J117" s="7" t="n">
        <v>3</v>
      </c>
      <c r="K117" s="7" t="n"/>
      <c r="L117" s="40" t="n"/>
      <c r="N117" s="41">
        <f>IF(AND(L117&lt;&gt;"",N(I117)&gt;0),IF(I117&gt;=PRs!D69,"PR!",""),"")</f>
        <v/>
      </c>
      <c r="O117" s="7" t="n"/>
    </row>
    <row r="118">
      <c r="C118" t="inlineStr">
        <is>
          <t xml:space="preserve">      Set 4</t>
        </is>
      </c>
      <c r="E118" t="n">
        <v>3</v>
      </c>
      <c r="H118" s="39">
        <f>IF(H114="","",H114)</f>
        <v/>
      </c>
      <c r="I118" s="7">
        <f>IF(H114="","",H114)</f>
        <v/>
      </c>
      <c r="J118" s="7" t="n">
        <v>3</v>
      </c>
      <c r="K118" s="7" t="n"/>
      <c r="L118" s="40" t="n"/>
      <c r="N118" s="41">
        <f>IF(AND(L118&lt;&gt;"",N(I118)&gt;0),IF(I118&gt;=PRs!D69,"PR!",""),"")</f>
        <v/>
      </c>
      <c r="O118" s="7" t="n"/>
    </row>
    <row r="119">
      <c r="A119" s="34" t="n"/>
      <c r="B119" s="34" t="n"/>
      <c r="C119" s="42" t="inlineStr">
        <is>
          <t>Snatch</t>
        </is>
      </c>
      <c r="D119" s="34" t="inlineStr">
        <is>
          <t>4 x 3</t>
        </is>
      </c>
      <c r="E119" s="34" t="n"/>
      <c r="F119" s="34" t="n">
        <v>72.5</v>
      </c>
      <c r="G119" s="36">
        <f>Maxes!F6</f>
        <v/>
      </c>
      <c r="H119" s="37">
        <f>IF(OR(G119="",F119=""),"",MROUND(G119*F119/100,'Start Here'!$B$7))</f>
        <v/>
      </c>
      <c r="I119" s="34" t="n"/>
      <c r="J119" s="34" t="n"/>
      <c r="K119" s="34" t="n"/>
      <c r="L119" s="34" t="n"/>
      <c r="M119" s="34" t="n"/>
      <c r="N119" s="34" t="n"/>
      <c r="O119" s="38" t="inlineStr"/>
    </row>
    <row r="120">
      <c r="C120" t="inlineStr">
        <is>
          <t xml:space="preserve">      Set 1</t>
        </is>
      </c>
      <c r="E120" t="n">
        <v>3</v>
      </c>
      <c r="H120" s="39">
        <f>IF(H119="","",H119)</f>
        <v/>
      </c>
      <c r="I120" s="7">
        <f>IF(H119="","",H119)</f>
        <v/>
      </c>
      <c r="J120" s="7" t="n">
        <v>3</v>
      </c>
      <c r="K120" s="7" t="n"/>
      <c r="L120" s="40" t="n"/>
      <c r="M120">
        <f>IF(AND(L120&lt;&gt;"",N(I120)&gt;0,N(J120)&gt;0),IF(J120=1,I120,ROUND(I120*(1+J120/30),1)),"")</f>
        <v/>
      </c>
      <c r="N120" s="41">
        <f>IF(M120="","",IF(M120&gt;=PRs!C6,"PR!",""))</f>
        <v/>
      </c>
      <c r="O120" s="7" t="n"/>
    </row>
    <row r="121">
      <c r="C121" t="inlineStr">
        <is>
          <t xml:space="preserve">      Set 2</t>
        </is>
      </c>
      <c r="E121" t="n">
        <v>3</v>
      </c>
      <c r="H121" s="39">
        <f>IF(H119="","",H119)</f>
        <v/>
      </c>
      <c r="I121" s="7">
        <f>IF(H119="","",H119)</f>
        <v/>
      </c>
      <c r="J121" s="7" t="n">
        <v>3</v>
      </c>
      <c r="K121" s="7" t="n"/>
      <c r="L121" s="40" t="n"/>
      <c r="M121">
        <f>IF(AND(L121&lt;&gt;"",N(I121)&gt;0,N(J121)&gt;0),IF(J121=1,I121,ROUND(I121*(1+J121/30),1)),"")</f>
        <v/>
      </c>
      <c r="N121" s="41">
        <f>IF(M121="","",IF(M121&gt;=PRs!C6,"PR!",""))</f>
        <v/>
      </c>
      <c r="O121" s="7" t="n"/>
    </row>
    <row r="122">
      <c r="C122" t="inlineStr">
        <is>
          <t xml:space="preserve">      Set 3</t>
        </is>
      </c>
      <c r="E122" t="n">
        <v>3</v>
      </c>
      <c r="H122" s="39">
        <f>IF(H119="","",H119)</f>
        <v/>
      </c>
      <c r="I122" s="7">
        <f>IF(H119="","",H119)</f>
        <v/>
      </c>
      <c r="J122" s="7" t="n">
        <v>3</v>
      </c>
      <c r="K122" s="7" t="n"/>
      <c r="L122" s="40" t="n"/>
      <c r="M122">
        <f>IF(AND(L122&lt;&gt;"",N(I122)&gt;0,N(J122)&gt;0),IF(J122=1,I122,ROUND(I122*(1+J122/30),1)),"")</f>
        <v/>
      </c>
      <c r="N122" s="41">
        <f>IF(M122="","",IF(M122&gt;=PRs!C6,"PR!",""))</f>
        <v/>
      </c>
      <c r="O122" s="7" t="n"/>
    </row>
    <row r="123">
      <c r="C123" t="inlineStr">
        <is>
          <t xml:space="preserve">      Set 4</t>
        </is>
      </c>
      <c r="E123" t="n">
        <v>3</v>
      </c>
      <c r="H123" s="39">
        <f>IF(H119="","",H119)</f>
        <v/>
      </c>
      <c r="I123" s="7">
        <f>IF(H119="","",H119)</f>
        <v/>
      </c>
      <c r="J123" s="7" t="n">
        <v>3</v>
      </c>
      <c r="K123" s="7" t="n"/>
      <c r="L123" s="40" t="n"/>
      <c r="M123">
        <f>IF(AND(L123&lt;&gt;"",N(I123)&gt;0,N(J123)&gt;0),IF(J123=1,I123,ROUND(I123*(1+J123/30),1)),"")</f>
        <v/>
      </c>
      <c r="N123" s="41">
        <f>IF(M123="","",IF(M123&gt;=PRs!C6,"PR!",""))</f>
        <v/>
      </c>
      <c r="O123" s="7" t="n"/>
    </row>
    <row r="124">
      <c r="A124" s="34" t="n"/>
      <c r="B124" s="34" t="n"/>
      <c r="C124" s="42" t="inlineStr">
        <is>
          <t>Squat</t>
        </is>
      </c>
      <c r="D124" s="34" t="inlineStr">
        <is>
          <t>3 x 6</t>
        </is>
      </c>
      <c r="E124" s="34" t="n"/>
      <c r="F124" s="34" t="n">
        <v>72.5</v>
      </c>
      <c r="G124" s="36">
        <f>Maxes!F2</f>
        <v/>
      </c>
      <c r="H124" s="37">
        <f>IF(OR(G124="",F124=""),"",MROUND(G124*F124/100,'Start Here'!$B$7))</f>
        <v/>
      </c>
      <c r="I124" s="34" t="n"/>
      <c r="J124" s="34" t="n"/>
      <c r="K124" s="34" t="n"/>
      <c r="L124" s="34" t="n"/>
      <c r="M124" s="34" t="n"/>
      <c r="N124" s="34" t="n"/>
      <c r="O124" s="38" t="inlineStr"/>
    </row>
    <row r="125">
      <c r="C125" t="inlineStr">
        <is>
          <t xml:space="preserve">      Set 1</t>
        </is>
      </c>
      <c r="E125" t="n">
        <v>6</v>
      </c>
      <c r="H125" s="39">
        <f>IF(H124="","",H124)</f>
        <v/>
      </c>
      <c r="I125" s="7">
        <f>IF(H124="","",H124)</f>
        <v/>
      </c>
      <c r="J125" s="7" t="n">
        <v>6</v>
      </c>
      <c r="K125" s="7" t="n"/>
      <c r="L125" s="40" t="n"/>
      <c r="M125">
        <f>IF(AND(L125&lt;&gt;"",N(I125)&gt;0,N(J125)&gt;0),IF(J125=1,I125,ROUND(I125*(1+J125/30),1)),"")</f>
        <v/>
      </c>
      <c r="N125" s="41">
        <f>IF(M125="","",IF(M125&gt;=PRs!C2,"PR!",""))</f>
        <v/>
      </c>
      <c r="O125" s="7" t="n"/>
    </row>
    <row r="126">
      <c r="C126" t="inlineStr">
        <is>
          <t xml:space="preserve">      Set 2</t>
        </is>
      </c>
      <c r="E126" t="n">
        <v>6</v>
      </c>
      <c r="H126" s="39">
        <f>IF(H124="","",H124)</f>
        <v/>
      </c>
      <c r="I126" s="7">
        <f>IF(H124="","",H124)</f>
        <v/>
      </c>
      <c r="J126" s="7" t="n">
        <v>6</v>
      </c>
      <c r="K126" s="7" t="n"/>
      <c r="L126" s="40" t="n"/>
      <c r="M126">
        <f>IF(AND(L126&lt;&gt;"",N(I126)&gt;0,N(J126)&gt;0),IF(J126=1,I126,ROUND(I126*(1+J126/30),1)),"")</f>
        <v/>
      </c>
      <c r="N126" s="41">
        <f>IF(M126="","",IF(M126&gt;=PRs!C2,"PR!",""))</f>
        <v/>
      </c>
      <c r="O126" s="7" t="n"/>
    </row>
    <row r="127">
      <c r="C127" t="inlineStr">
        <is>
          <t xml:space="preserve">      Set 3</t>
        </is>
      </c>
      <c r="E127" t="n">
        <v>6</v>
      </c>
      <c r="H127" s="39">
        <f>IF(H124="","",H124)</f>
        <v/>
      </c>
      <c r="I127" s="7">
        <f>IF(H124="","",H124)</f>
        <v/>
      </c>
      <c r="J127" s="7" t="n">
        <v>6</v>
      </c>
      <c r="K127" s="7" t="n"/>
      <c r="L127" s="40" t="n"/>
      <c r="M127">
        <f>IF(AND(L127&lt;&gt;"",N(I127)&gt;0,N(J127)&gt;0),IF(J127=1,I127,ROUND(I127*(1+J127/30),1)),"")</f>
        <v/>
      </c>
      <c r="N127" s="41">
        <f>IF(M127="","",IF(M127&gt;=PRs!C2,"PR!",""))</f>
        <v/>
      </c>
      <c r="O127" s="7" t="n"/>
    </row>
    <row r="128">
      <c r="A128" s="34" t="n"/>
      <c r="B128" s="34" t="n"/>
      <c r="C128" s="42" t="inlineStr">
        <is>
          <t>Bench Press</t>
        </is>
      </c>
      <c r="D128" s="34" t="inlineStr">
        <is>
          <t>3 x 6</t>
        </is>
      </c>
      <c r="E128" s="34" t="n"/>
      <c r="F128" s="34" t="n">
        <v>72.5</v>
      </c>
      <c r="G128" s="36">
        <f>Maxes!F3</f>
        <v/>
      </c>
      <c r="H128" s="37">
        <f>IF(OR(G128="",F128=""),"",MROUND(G128*F128/100,'Start Here'!$B$7))</f>
        <v/>
      </c>
      <c r="I128" s="34" t="n"/>
      <c r="J128" s="34" t="n"/>
      <c r="K128" s="34" t="n"/>
      <c r="L128" s="34" t="n"/>
      <c r="M128" s="34" t="n"/>
      <c r="N128" s="34" t="n"/>
      <c r="O128" s="38" t="inlineStr"/>
    </row>
    <row r="129">
      <c r="C129" t="inlineStr">
        <is>
          <t xml:space="preserve">      Set 1</t>
        </is>
      </c>
      <c r="E129" t="n">
        <v>6</v>
      </c>
      <c r="H129" s="39">
        <f>IF(H128="","",H128)</f>
        <v/>
      </c>
      <c r="I129" s="7">
        <f>IF(H128="","",H128)</f>
        <v/>
      </c>
      <c r="J129" s="7" t="n">
        <v>6</v>
      </c>
      <c r="K129" s="7" t="n"/>
      <c r="L129" s="40" t="n"/>
      <c r="M129">
        <f>IF(AND(L129&lt;&gt;"",N(I129)&gt;0,N(J129)&gt;0),IF(J129=1,I129,ROUND(I129*(1+J129/30),1)),"")</f>
        <v/>
      </c>
      <c r="N129" s="41">
        <f>IF(M129="","",IF(M129&gt;=PRs!C3,"PR!",""))</f>
        <v/>
      </c>
      <c r="O129" s="7" t="n"/>
    </row>
    <row r="130">
      <c r="C130" t="inlineStr">
        <is>
          <t xml:space="preserve">      Set 2</t>
        </is>
      </c>
      <c r="E130" t="n">
        <v>6</v>
      </c>
      <c r="H130" s="39">
        <f>IF(H128="","",H128)</f>
        <v/>
      </c>
      <c r="I130" s="7">
        <f>IF(H128="","",H128)</f>
        <v/>
      </c>
      <c r="J130" s="7" t="n">
        <v>6</v>
      </c>
      <c r="K130" s="7" t="n"/>
      <c r="L130" s="40" t="n"/>
      <c r="M130">
        <f>IF(AND(L130&lt;&gt;"",N(I130)&gt;0,N(J130)&gt;0),IF(J130=1,I130,ROUND(I130*(1+J130/30),1)),"")</f>
        <v/>
      </c>
      <c r="N130" s="41">
        <f>IF(M130="","",IF(M130&gt;=PRs!C3,"PR!",""))</f>
        <v/>
      </c>
      <c r="O130" s="7" t="n"/>
    </row>
    <row r="131">
      <c r="C131" t="inlineStr">
        <is>
          <t xml:space="preserve">      Set 3</t>
        </is>
      </c>
      <c r="E131" t="n">
        <v>6</v>
      </c>
      <c r="H131" s="39">
        <f>IF(H128="","",H128)</f>
        <v/>
      </c>
      <c r="I131" s="7">
        <f>IF(H128="","",H128)</f>
        <v/>
      </c>
      <c r="J131" s="7" t="n">
        <v>6</v>
      </c>
      <c r="K131" s="7" t="n"/>
      <c r="L131" s="40" t="n"/>
      <c r="M131">
        <f>IF(AND(L131&lt;&gt;"",N(I131)&gt;0,N(J131)&gt;0),IF(J131=1,I131,ROUND(I131*(1+J131/30),1)),"")</f>
        <v/>
      </c>
      <c r="N131" s="41">
        <f>IF(M131="","",IF(M131&gt;=PRs!C3,"PR!",""))</f>
        <v/>
      </c>
      <c r="O131" s="7" t="n"/>
    </row>
    <row r="132">
      <c r="A132" s="34" t="n"/>
      <c r="B132" s="34" t="n"/>
      <c r="C132" s="43" t="inlineStr">
        <is>
          <t>Barbell Row</t>
        </is>
      </c>
      <c r="D132" s="34" t="inlineStr">
        <is>
          <t>4 x 8-10</t>
        </is>
      </c>
      <c r="E132" s="34" t="n"/>
      <c r="F132" s="34" t="n"/>
      <c r="G132" s="36" t="n"/>
      <c r="H132" s="37" t="n"/>
      <c r="I132" s="34" t="n"/>
      <c r="J132" s="34" t="n"/>
      <c r="K132" s="34" t="n"/>
      <c r="L132" s="34" t="n"/>
      <c r="M132" s="34" t="n"/>
      <c r="N132" s="34" t="n"/>
      <c r="O132" s="38" t="inlineStr">
        <is>
          <t>Leave 1-2 reps in the tank; add weight when you hit the top of the range</t>
        </is>
      </c>
    </row>
    <row r="133">
      <c r="C133" t="inlineStr">
        <is>
          <t xml:space="preserve">      Set 1</t>
        </is>
      </c>
      <c r="E133" t="n">
        <v>8</v>
      </c>
      <c r="H133" s="39">
        <f>IF(H132="","",H132)</f>
        <v/>
      </c>
      <c r="I133" s="7">
        <f>IF(H132="","",H132)</f>
        <v/>
      </c>
      <c r="J133" s="7" t="n">
        <v>8</v>
      </c>
      <c r="K133" s="7" t="n"/>
      <c r="L133" s="40" t="n"/>
      <c r="M133">
        <f>IF(AND(L133&lt;&gt;"",N(I133)&gt;0,N(J133)&gt;0),IF(J133=1,I133,ROUND(I133*(1+J133/30),1)),"")</f>
        <v/>
      </c>
      <c r="N133" s="41">
        <f>IF(M133="","",IF(M133&gt;=PRs!C50,"PR!",""))</f>
        <v/>
      </c>
      <c r="O133" s="7" t="n"/>
    </row>
    <row r="134">
      <c r="C134" t="inlineStr">
        <is>
          <t xml:space="preserve">      Set 2</t>
        </is>
      </c>
      <c r="E134" t="n">
        <v>8</v>
      </c>
      <c r="H134" s="39">
        <f>IF(H132="","",H132)</f>
        <v/>
      </c>
      <c r="I134" s="7">
        <f>IF(H132="","",H132)</f>
        <v/>
      </c>
      <c r="J134" s="7" t="n">
        <v>8</v>
      </c>
      <c r="K134" s="7" t="n"/>
      <c r="L134" s="40" t="n"/>
      <c r="M134">
        <f>IF(AND(L134&lt;&gt;"",N(I134)&gt;0,N(J134)&gt;0),IF(J134=1,I134,ROUND(I134*(1+J134/30),1)),"")</f>
        <v/>
      </c>
      <c r="N134" s="41">
        <f>IF(M134="","",IF(M134&gt;=PRs!C50,"PR!",""))</f>
        <v/>
      </c>
      <c r="O134" s="7" t="n"/>
    </row>
    <row r="135">
      <c r="C135" t="inlineStr">
        <is>
          <t xml:space="preserve">      Set 3</t>
        </is>
      </c>
      <c r="E135" t="n">
        <v>8</v>
      </c>
      <c r="H135" s="39">
        <f>IF(H132="","",H132)</f>
        <v/>
      </c>
      <c r="I135" s="7">
        <f>IF(H132="","",H132)</f>
        <v/>
      </c>
      <c r="J135" s="7" t="n">
        <v>8</v>
      </c>
      <c r="K135" s="7" t="n"/>
      <c r="L135" s="40" t="n"/>
      <c r="M135">
        <f>IF(AND(L135&lt;&gt;"",N(I135)&gt;0,N(J135)&gt;0),IF(J135=1,I135,ROUND(I135*(1+J135/30),1)),"")</f>
        <v/>
      </c>
      <c r="N135" s="41">
        <f>IF(M135="","",IF(M135&gt;=PRs!C50,"PR!",""))</f>
        <v/>
      </c>
      <c r="O135" s="7" t="n"/>
    </row>
    <row r="136">
      <c r="C136" t="inlineStr">
        <is>
          <t xml:space="preserve">      Set 4</t>
        </is>
      </c>
      <c r="E136" t="n">
        <v>8</v>
      </c>
      <c r="H136" s="39">
        <f>IF(H132="","",H132)</f>
        <v/>
      </c>
      <c r="I136" s="7">
        <f>IF(H132="","",H132)</f>
        <v/>
      </c>
      <c r="J136" s="7" t="n">
        <v>8</v>
      </c>
      <c r="K136" s="7" t="n"/>
      <c r="L136" s="40" t="n"/>
      <c r="M136">
        <f>IF(AND(L136&lt;&gt;"",N(I136)&gt;0,N(J136)&gt;0),IF(J136=1,I136,ROUND(I136*(1+J136/30),1)),"")</f>
        <v/>
      </c>
      <c r="N136" s="41">
        <f>IF(M136="","",IF(M136&gt;=PRs!C50,"PR!",""))</f>
        <v/>
      </c>
      <c r="O136" s="7" t="n"/>
    </row>
    <row r="137">
      <c r="A137" s="34" t="n"/>
      <c r="B137" s="34" t="n"/>
      <c r="C137" s="43" t="inlineStr">
        <is>
          <t>Face Pull</t>
        </is>
      </c>
      <c r="D137" s="34" t="inlineStr">
        <is>
          <t>4 x 12-15</t>
        </is>
      </c>
      <c r="E137" s="34" t="n"/>
      <c r="F137" s="34" t="n"/>
      <c r="G137" s="36" t="n"/>
      <c r="H137" s="37" t="n"/>
      <c r="I137" s="34" t="n"/>
      <c r="J137" s="34" t="n"/>
      <c r="K137" s="34" t="n"/>
      <c r="L137" s="34" t="n"/>
      <c r="M137" s="34" t="n"/>
      <c r="N137" s="34" t="n"/>
      <c r="O137" s="38" t="inlineStr">
        <is>
          <t>Leave 1-2 reps in the tank; add weight when you hit the top of the range</t>
        </is>
      </c>
    </row>
    <row r="138">
      <c r="C138" t="inlineStr">
        <is>
          <t xml:space="preserve">      Set 1</t>
        </is>
      </c>
      <c r="E138" t="n">
        <v>12</v>
      </c>
      <c r="H138" s="39">
        <f>IF(H137="","",H137)</f>
        <v/>
      </c>
      <c r="I138" s="7">
        <f>IF(H137="","",H137)</f>
        <v/>
      </c>
      <c r="J138" s="7" t="n">
        <v>12</v>
      </c>
      <c r="K138" s="7" t="n"/>
      <c r="L138" s="40" t="n"/>
      <c r="M138">
        <f>IF(AND(L138&lt;&gt;"",N(I138)&gt;0,N(J138)&gt;0),IF(J138=1,I138,ROUND(I138*(1+J138/30),1)),"")</f>
        <v/>
      </c>
      <c r="N138" s="41">
        <f>IF(M138="","",IF(M138&gt;=PRs!C51,"PR!",""))</f>
        <v/>
      </c>
      <c r="O138" s="7" t="n"/>
    </row>
    <row r="139">
      <c r="C139" t="inlineStr">
        <is>
          <t xml:space="preserve">      Set 2</t>
        </is>
      </c>
      <c r="E139" t="n">
        <v>12</v>
      </c>
      <c r="H139" s="39">
        <f>IF(H137="","",H137)</f>
        <v/>
      </c>
      <c r="I139" s="7">
        <f>IF(H137="","",H137)</f>
        <v/>
      </c>
      <c r="J139" s="7" t="n">
        <v>12</v>
      </c>
      <c r="K139" s="7" t="n"/>
      <c r="L139" s="40" t="n"/>
      <c r="M139">
        <f>IF(AND(L139&lt;&gt;"",N(I139)&gt;0,N(J139)&gt;0),IF(J139=1,I139,ROUND(I139*(1+J139/30),1)),"")</f>
        <v/>
      </c>
      <c r="N139" s="41">
        <f>IF(M139="","",IF(M139&gt;=PRs!C51,"PR!",""))</f>
        <v/>
      </c>
      <c r="O139" s="7" t="n"/>
    </row>
    <row r="140">
      <c r="C140" t="inlineStr">
        <is>
          <t xml:space="preserve">      Set 3</t>
        </is>
      </c>
      <c r="E140" t="n">
        <v>12</v>
      </c>
      <c r="H140" s="39">
        <f>IF(H137="","",H137)</f>
        <v/>
      </c>
      <c r="I140" s="7">
        <f>IF(H137="","",H137)</f>
        <v/>
      </c>
      <c r="J140" s="7" t="n">
        <v>12</v>
      </c>
      <c r="K140" s="7" t="n"/>
      <c r="L140" s="40" t="n"/>
      <c r="M140">
        <f>IF(AND(L140&lt;&gt;"",N(I140)&gt;0,N(J140)&gt;0),IF(J140=1,I140,ROUND(I140*(1+J140/30),1)),"")</f>
        <v/>
      </c>
      <c r="N140" s="41">
        <f>IF(M140="","",IF(M140&gt;=PRs!C51,"PR!",""))</f>
        <v/>
      </c>
      <c r="O140" s="7" t="n"/>
    </row>
    <row r="141">
      <c r="C141" t="inlineStr">
        <is>
          <t xml:space="preserve">      Set 4</t>
        </is>
      </c>
      <c r="E141" t="n">
        <v>12</v>
      </c>
      <c r="H141" s="39">
        <f>IF(H137="","",H137)</f>
        <v/>
      </c>
      <c r="I141" s="7">
        <f>IF(H137="","",H137)</f>
        <v/>
      </c>
      <c r="J141" s="7" t="n">
        <v>12</v>
      </c>
      <c r="K141" s="7" t="n"/>
      <c r="L141" s="40" t="n"/>
      <c r="M141">
        <f>IF(AND(L141&lt;&gt;"",N(I141)&gt;0,N(J141)&gt;0),IF(J141=1,I141,ROUND(I141*(1+J141/30),1)),"")</f>
        <v/>
      </c>
      <c r="N141" s="41">
        <f>IF(M141="","",IF(M141&gt;=PRs!C51,"PR!",""))</f>
        <v/>
      </c>
      <c r="O141" s="7" t="n"/>
    </row>
    <row r="142">
      <c r="A142" s="31" t="inlineStr">
        <is>
          <t>Day 2 - Light</t>
        </is>
      </c>
      <c r="B142" s="32">
        <f>'Start Here'!$B$8+93</f>
        <v/>
      </c>
      <c r="C142" s="33" t="n"/>
      <c r="D142" s="33" t="n"/>
      <c r="E142" s="33" t="n"/>
      <c r="F142" s="33" t="n"/>
      <c r="G142" s="33" t="n"/>
      <c r="H142" s="33" t="n"/>
      <c r="I142" s="33" t="n"/>
      <c r="J142" s="33" t="n"/>
      <c r="K142" s="33" t="n"/>
      <c r="L142" s="33" t="n"/>
      <c r="M142" s="33" t="n"/>
      <c r="N142" s="33" t="n"/>
      <c r="O142" s="33" t="n"/>
    </row>
    <row r="143">
      <c r="A143" s="34" t="n"/>
      <c r="B143" s="34" t="n"/>
      <c r="C143" s="35" t="inlineStr">
        <is>
          <t>Broad Jump</t>
        </is>
      </c>
      <c r="D143" s="34" t="inlineStr">
        <is>
          <t>4 x 3</t>
        </is>
      </c>
      <c r="E143" s="34" t="n"/>
      <c r="F143" s="34" t="n"/>
      <c r="G143" s="36" t="n"/>
      <c r="H143" s="37">
        <f>IF(N(Maxes!F70)&gt;0,Maxes!F70,"")</f>
        <v/>
      </c>
      <c r="I143" s="34" t="n"/>
      <c r="J143" s="34" t="n"/>
      <c r="K143" s="34" t="n"/>
      <c r="L143" s="34" t="n"/>
      <c r="M143" s="34" t="n"/>
      <c r="N143" s="34" t="n"/>
      <c r="O143" s="38" t="inlineStr">
        <is>
          <t>Standing two-foot jump forward, stick the landing. Measure toe line to the back of the nearest heel.</t>
        </is>
      </c>
    </row>
    <row r="144">
      <c r="C144" t="inlineStr">
        <is>
          <t xml:space="preserve">      Set 1</t>
        </is>
      </c>
      <c r="E144" t="n">
        <v>3</v>
      </c>
      <c r="H144" s="39">
        <f>IF(H143="","",H143)</f>
        <v/>
      </c>
      <c r="I144" s="7">
        <f>IF(H143="","",H143)</f>
        <v/>
      </c>
      <c r="J144" s="7" t="n">
        <v>3</v>
      </c>
      <c r="K144" s="7" t="n"/>
      <c r="L144" s="40" t="n"/>
      <c r="N144" s="41">
        <f>IF(AND(L144&lt;&gt;"",N(I144)&gt;0),IF(I144&gt;=PRs!D70,"PR!",""),"")</f>
        <v/>
      </c>
      <c r="O144" s="7" t="n"/>
    </row>
    <row r="145">
      <c r="C145" t="inlineStr">
        <is>
          <t xml:space="preserve">      Set 2</t>
        </is>
      </c>
      <c r="E145" t="n">
        <v>3</v>
      </c>
      <c r="H145" s="39">
        <f>IF(H143="","",H143)</f>
        <v/>
      </c>
      <c r="I145" s="7">
        <f>IF(H143="","",H143)</f>
        <v/>
      </c>
      <c r="J145" s="7" t="n">
        <v>3</v>
      </c>
      <c r="K145" s="7" t="n"/>
      <c r="L145" s="40" t="n"/>
      <c r="N145" s="41">
        <f>IF(AND(L145&lt;&gt;"",N(I145)&gt;0),IF(I145&gt;=PRs!D70,"PR!",""),"")</f>
        <v/>
      </c>
      <c r="O145" s="7" t="n"/>
    </row>
    <row r="146">
      <c r="C146" t="inlineStr">
        <is>
          <t xml:space="preserve">      Set 3</t>
        </is>
      </c>
      <c r="E146" t="n">
        <v>3</v>
      </c>
      <c r="H146" s="39">
        <f>IF(H143="","",H143)</f>
        <v/>
      </c>
      <c r="I146" s="7">
        <f>IF(H143="","",H143)</f>
        <v/>
      </c>
      <c r="J146" s="7" t="n">
        <v>3</v>
      </c>
      <c r="K146" s="7" t="n"/>
      <c r="L146" s="40" t="n"/>
      <c r="N146" s="41">
        <f>IF(AND(L146&lt;&gt;"",N(I146)&gt;0),IF(I146&gt;=PRs!D70,"PR!",""),"")</f>
        <v/>
      </c>
      <c r="O146" s="7" t="n"/>
    </row>
    <row r="147">
      <c r="C147" t="inlineStr">
        <is>
          <t xml:space="preserve">      Set 4</t>
        </is>
      </c>
      <c r="E147" t="n">
        <v>3</v>
      </c>
      <c r="H147" s="39">
        <f>IF(H143="","",H143)</f>
        <v/>
      </c>
      <c r="I147" s="7">
        <f>IF(H143="","",H143)</f>
        <v/>
      </c>
      <c r="J147" s="7" t="n">
        <v>3</v>
      </c>
      <c r="K147" s="7" t="n"/>
      <c r="L147" s="40" t="n"/>
      <c r="N147" s="41">
        <f>IF(AND(L147&lt;&gt;"",N(I147)&gt;0),IF(I147&gt;=PRs!D70,"PR!",""),"")</f>
        <v/>
      </c>
      <c r="O147" s="7" t="n"/>
    </row>
    <row r="148">
      <c r="A148" s="34" t="n"/>
      <c r="B148" s="34" t="n"/>
      <c r="C148" s="35" t="inlineStr">
        <is>
          <t>Med Ball Chest Pass</t>
        </is>
      </c>
      <c r="D148" s="34" t="inlineStr">
        <is>
          <t>3 x 5</t>
        </is>
      </c>
      <c r="E148" s="34" t="n"/>
      <c r="F148" s="34" t="n"/>
      <c r="G148" s="36" t="n"/>
      <c r="H148" s="37">
        <f>IF(N(Maxes!F77)&gt;0,Maxes!F77,"")</f>
        <v/>
      </c>
      <c r="I148" s="34" t="n"/>
      <c r="J148" s="34" t="n"/>
      <c r="K148" s="34" t="n"/>
      <c r="L148" s="34" t="n"/>
      <c r="M148" s="34" t="n"/>
      <c r="N148" s="34" t="n"/>
      <c r="O148" s="38" t="inlineStr">
        <is>
          <t>Kneeling or standing chest pass for distance with a 6-10 lb / 3-5 kg ball. Log the distance.</t>
        </is>
      </c>
    </row>
    <row r="149">
      <c r="C149" t="inlineStr">
        <is>
          <t xml:space="preserve">      Set 1</t>
        </is>
      </c>
      <c r="E149" t="n">
        <v>5</v>
      </c>
      <c r="H149" s="39">
        <f>IF(H148="","",H148)</f>
        <v/>
      </c>
      <c r="I149" s="7">
        <f>IF(H148="","",H148)</f>
        <v/>
      </c>
      <c r="J149" s="7" t="n">
        <v>5</v>
      </c>
      <c r="K149" s="7" t="n"/>
      <c r="L149" s="40" t="n"/>
      <c r="N149" s="41">
        <f>IF(AND(L149&lt;&gt;"",N(I149)&gt;0),IF(I149&gt;=PRs!D77,"PR!",""),"")</f>
        <v/>
      </c>
      <c r="O149" s="7" t="n"/>
    </row>
    <row r="150">
      <c r="C150" t="inlineStr">
        <is>
          <t xml:space="preserve">      Set 2</t>
        </is>
      </c>
      <c r="E150" t="n">
        <v>5</v>
      </c>
      <c r="H150" s="39">
        <f>IF(H148="","",H148)</f>
        <v/>
      </c>
      <c r="I150" s="7">
        <f>IF(H148="","",H148)</f>
        <v/>
      </c>
      <c r="J150" s="7" t="n">
        <v>5</v>
      </c>
      <c r="K150" s="7" t="n"/>
      <c r="L150" s="40" t="n"/>
      <c r="N150" s="41">
        <f>IF(AND(L150&lt;&gt;"",N(I150)&gt;0),IF(I150&gt;=PRs!D77,"PR!",""),"")</f>
        <v/>
      </c>
      <c r="O150" s="7" t="n"/>
    </row>
    <row r="151">
      <c r="C151" t="inlineStr">
        <is>
          <t xml:space="preserve">      Set 3</t>
        </is>
      </c>
      <c r="E151" t="n">
        <v>5</v>
      </c>
      <c r="H151" s="39">
        <f>IF(H148="","",H148)</f>
        <v/>
      </c>
      <c r="I151" s="7">
        <f>IF(H148="","",H148)</f>
        <v/>
      </c>
      <c r="J151" s="7" t="n">
        <v>5</v>
      </c>
      <c r="K151" s="7" t="n"/>
      <c r="L151" s="40" t="n"/>
      <c r="N151" s="41">
        <f>IF(AND(L151&lt;&gt;"",N(I151)&gt;0),IF(I151&gt;=PRs!D77,"PR!",""),"")</f>
        <v/>
      </c>
      <c r="O151" s="7" t="n"/>
    </row>
    <row r="152">
      <c r="A152" s="34" t="n"/>
      <c r="B152" s="34" t="n"/>
      <c r="C152" s="42" t="inlineStr">
        <is>
          <t>Clean &amp; Jerk</t>
        </is>
      </c>
      <c r="D152" s="34" t="inlineStr">
        <is>
          <t>4 x 3</t>
        </is>
      </c>
      <c r="E152" s="34" t="n"/>
      <c r="F152" s="34" t="n">
        <v>72.5</v>
      </c>
      <c r="G152" s="36">
        <f>Maxes!F7</f>
        <v/>
      </c>
      <c r="H152" s="37">
        <f>IF(OR(G152="",F152=""),"",MROUND(G152*F152/100,'Start Here'!$B$7))</f>
        <v/>
      </c>
      <c r="I152" s="34" t="n"/>
      <c r="J152" s="34" t="n"/>
      <c r="K152" s="34" t="n"/>
      <c r="L152" s="34" t="n"/>
      <c r="M152" s="34" t="n"/>
      <c r="N152" s="34" t="n"/>
      <c r="O152" s="38" t="inlineStr"/>
    </row>
    <row r="153">
      <c r="C153" t="inlineStr">
        <is>
          <t xml:space="preserve">      Set 1</t>
        </is>
      </c>
      <c r="E153" t="n">
        <v>3</v>
      </c>
      <c r="H153" s="39">
        <f>IF(H152="","",H152)</f>
        <v/>
      </c>
      <c r="I153" s="7">
        <f>IF(H152="","",H152)</f>
        <v/>
      </c>
      <c r="J153" s="7" t="n">
        <v>3</v>
      </c>
      <c r="K153" s="7" t="n"/>
      <c r="L153" s="40" t="n"/>
      <c r="M153">
        <f>IF(AND(L153&lt;&gt;"",N(I153)&gt;0,N(J153)&gt;0),IF(J153=1,I153,ROUND(I153*(1+J153/30),1)),"")</f>
        <v/>
      </c>
      <c r="N153" s="41">
        <f>IF(M153="","",IF(M153&gt;=PRs!C7,"PR!",""))</f>
        <v/>
      </c>
      <c r="O153" s="7" t="n"/>
    </row>
    <row r="154">
      <c r="C154" t="inlineStr">
        <is>
          <t xml:space="preserve">      Set 2</t>
        </is>
      </c>
      <c r="E154" t="n">
        <v>3</v>
      </c>
      <c r="H154" s="39">
        <f>IF(H152="","",H152)</f>
        <v/>
      </c>
      <c r="I154" s="7">
        <f>IF(H152="","",H152)</f>
        <v/>
      </c>
      <c r="J154" s="7" t="n">
        <v>3</v>
      </c>
      <c r="K154" s="7" t="n"/>
      <c r="L154" s="40" t="n"/>
      <c r="M154">
        <f>IF(AND(L154&lt;&gt;"",N(I154)&gt;0,N(J154)&gt;0),IF(J154=1,I154,ROUND(I154*(1+J154/30),1)),"")</f>
        <v/>
      </c>
      <c r="N154" s="41">
        <f>IF(M154="","",IF(M154&gt;=PRs!C7,"PR!",""))</f>
        <v/>
      </c>
      <c r="O154" s="7" t="n"/>
    </row>
    <row r="155">
      <c r="C155" t="inlineStr">
        <is>
          <t xml:space="preserve">      Set 3</t>
        </is>
      </c>
      <c r="E155" t="n">
        <v>3</v>
      </c>
      <c r="H155" s="39">
        <f>IF(H152="","",H152)</f>
        <v/>
      </c>
      <c r="I155" s="7">
        <f>IF(H152="","",H152)</f>
        <v/>
      </c>
      <c r="J155" s="7" t="n">
        <v>3</v>
      </c>
      <c r="K155" s="7" t="n"/>
      <c r="L155" s="40" t="n"/>
      <c r="M155">
        <f>IF(AND(L155&lt;&gt;"",N(I155)&gt;0,N(J155)&gt;0),IF(J155=1,I155,ROUND(I155*(1+J155/30),1)),"")</f>
        <v/>
      </c>
      <c r="N155" s="41">
        <f>IF(M155="","",IF(M155&gt;=PRs!C7,"PR!",""))</f>
        <v/>
      </c>
      <c r="O155" s="7" t="n"/>
    </row>
    <row r="156">
      <c r="C156" t="inlineStr">
        <is>
          <t xml:space="preserve">      Set 4</t>
        </is>
      </c>
      <c r="E156" t="n">
        <v>3</v>
      </c>
      <c r="H156" s="39">
        <f>IF(H152="","",H152)</f>
        <v/>
      </c>
      <c r="I156" s="7">
        <f>IF(H152="","",H152)</f>
        <v/>
      </c>
      <c r="J156" s="7" t="n">
        <v>3</v>
      </c>
      <c r="K156" s="7" t="n"/>
      <c r="L156" s="40" t="n"/>
      <c r="M156">
        <f>IF(AND(L156&lt;&gt;"",N(I156)&gt;0,N(J156)&gt;0),IF(J156=1,I156,ROUND(I156*(1+J156/30),1)),"")</f>
        <v/>
      </c>
      <c r="N156" s="41">
        <f>IF(M156="","",IF(M156&gt;=PRs!C7,"PR!",""))</f>
        <v/>
      </c>
      <c r="O156" s="7" t="n"/>
    </row>
    <row r="157">
      <c r="A157" s="34" t="n"/>
      <c r="B157" s="34" t="n"/>
      <c r="C157" s="42" t="inlineStr">
        <is>
          <t>Squat</t>
        </is>
      </c>
      <c r="D157" s="34" t="inlineStr">
        <is>
          <t>3 x 6</t>
        </is>
      </c>
      <c r="E157" s="34" t="n"/>
      <c r="F157" s="34" t="n">
        <v>62.5</v>
      </c>
      <c r="G157" s="36">
        <f>Maxes!F2</f>
        <v/>
      </c>
      <c r="H157" s="37">
        <f>IF(OR(G157="",F157=""),"",MROUND(G157*F157/100,'Start Here'!$B$7))</f>
        <v/>
      </c>
      <c r="I157" s="34" t="n"/>
      <c r="J157" s="34" t="n"/>
      <c r="K157" s="34" t="n"/>
      <c r="L157" s="34" t="n"/>
      <c r="M157" s="34" t="n"/>
      <c r="N157" s="34" t="n"/>
      <c r="O157" s="38" t="inlineStr"/>
    </row>
    <row r="158">
      <c r="C158" t="inlineStr">
        <is>
          <t xml:space="preserve">      Set 1</t>
        </is>
      </c>
      <c r="E158" t="n">
        <v>6</v>
      </c>
      <c r="H158" s="39">
        <f>IF(H157="","",H157)</f>
        <v/>
      </c>
      <c r="I158" s="7">
        <f>IF(H157="","",H157)</f>
        <v/>
      </c>
      <c r="J158" s="7" t="n">
        <v>6</v>
      </c>
      <c r="K158" s="7" t="n"/>
      <c r="L158" s="40" t="n"/>
      <c r="M158">
        <f>IF(AND(L158&lt;&gt;"",N(I158)&gt;0,N(J158)&gt;0),IF(J158=1,I158,ROUND(I158*(1+J158/30),1)),"")</f>
        <v/>
      </c>
      <c r="N158" s="41">
        <f>IF(M158="","",IF(M158&gt;=PRs!C2,"PR!",""))</f>
        <v/>
      </c>
      <c r="O158" s="7" t="n"/>
    </row>
    <row r="159">
      <c r="C159" t="inlineStr">
        <is>
          <t xml:space="preserve">      Set 2</t>
        </is>
      </c>
      <c r="E159" t="n">
        <v>6</v>
      </c>
      <c r="H159" s="39">
        <f>IF(H157="","",H157)</f>
        <v/>
      </c>
      <c r="I159" s="7">
        <f>IF(H157="","",H157)</f>
        <v/>
      </c>
      <c r="J159" s="7" t="n">
        <v>6</v>
      </c>
      <c r="K159" s="7" t="n"/>
      <c r="L159" s="40" t="n"/>
      <c r="M159">
        <f>IF(AND(L159&lt;&gt;"",N(I159)&gt;0,N(J159)&gt;0),IF(J159=1,I159,ROUND(I159*(1+J159/30),1)),"")</f>
        <v/>
      </c>
      <c r="N159" s="41">
        <f>IF(M159="","",IF(M159&gt;=PRs!C2,"PR!",""))</f>
        <v/>
      </c>
      <c r="O159" s="7" t="n"/>
    </row>
    <row r="160">
      <c r="C160" t="inlineStr">
        <is>
          <t xml:space="preserve">      Set 3</t>
        </is>
      </c>
      <c r="E160" t="n">
        <v>6</v>
      </c>
      <c r="H160" s="39">
        <f>IF(H157="","",H157)</f>
        <v/>
      </c>
      <c r="I160" s="7">
        <f>IF(H157="","",H157)</f>
        <v/>
      </c>
      <c r="J160" s="7" t="n">
        <v>6</v>
      </c>
      <c r="K160" s="7" t="n"/>
      <c r="L160" s="40" t="n"/>
      <c r="M160">
        <f>IF(AND(L160&lt;&gt;"",N(I160)&gt;0,N(J160)&gt;0),IF(J160=1,I160,ROUND(I160*(1+J160/30),1)),"")</f>
        <v/>
      </c>
      <c r="N160" s="41">
        <f>IF(M160="","",IF(M160&gt;=PRs!C2,"PR!",""))</f>
        <v/>
      </c>
      <c r="O160" s="7" t="n"/>
    </row>
    <row r="161">
      <c r="A161" s="34" t="n"/>
      <c r="B161" s="34" t="n"/>
      <c r="C161" s="42" t="inlineStr">
        <is>
          <t>Overhead Press</t>
        </is>
      </c>
      <c r="D161" s="34" t="inlineStr">
        <is>
          <t>4 x 6</t>
        </is>
      </c>
      <c r="E161" s="34" t="n"/>
      <c r="F161" s="34" t="n">
        <v>67.5</v>
      </c>
      <c r="G161" s="36">
        <f>Maxes!F5</f>
        <v/>
      </c>
      <c r="H161" s="37">
        <f>IF(OR(G161="",F161=""),"",MROUND(G161*F161/100,'Start Here'!$B$7))</f>
        <v/>
      </c>
      <c r="I161" s="34" t="n"/>
      <c r="J161" s="34" t="n"/>
      <c r="K161" s="34" t="n"/>
      <c r="L161" s="34" t="n"/>
      <c r="M161" s="34" t="n"/>
      <c r="N161" s="34" t="n"/>
      <c r="O161" s="38" t="inlineStr"/>
    </row>
    <row r="162">
      <c r="C162" t="inlineStr">
        <is>
          <t xml:space="preserve">      Set 1</t>
        </is>
      </c>
      <c r="E162" t="n">
        <v>6</v>
      </c>
      <c r="H162" s="39">
        <f>IF(H161="","",H161)</f>
        <v/>
      </c>
      <c r="I162" s="7">
        <f>IF(H161="","",H161)</f>
        <v/>
      </c>
      <c r="J162" s="7" t="n">
        <v>6</v>
      </c>
      <c r="K162" s="7" t="n"/>
      <c r="L162" s="40" t="n"/>
      <c r="M162">
        <f>IF(AND(L162&lt;&gt;"",N(I162)&gt;0,N(J162)&gt;0),IF(J162=1,I162,ROUND(I162*(1+J162/30),1)),"")</f>
        <v/>
      </c>
      <c r="N162" s="41">
        <f>IF(M162="","",IF(M162&gt;=PRs!C5,"PR!",""))</f>
        <v/>
      </c>
      <c r="O162" s="7" t="n"/>
    </row>
    <row r="163">
      <c r="C163" t="inlineStr">
        <is>
          <t xml:space="preserve">      Set 2</t>
        </is>
      </c>
      <c r="E163" t="n">
        <v>6</v>
      </c>
      <c r="H163" s="39">
        <f>IF(H161="","",H161)</f>
        <v/>
      </c>
      <c r="I163" s="7">
        <f>IF(H161="","",H161)</f>
        <v/>
      </c>
      <c r="J163" s="7" t="n">
        <v>6</v>
      </c>
      <c r="K163" s="7" t="n"/>
      <c r="L163" s="40" t="n"/>
      <c r="M163">
        <f>IF(AND(L163&lt;&gt;"",N(I163)&gt;0,N(J163)&gt;0),IF(J163=1,I163,ROUND(I163*(1+J163/30),1)),"")</f>
        <v/>
      </c>
      <c r="N163" s="41">
        <f>IF(M163="","",IF(M163&gt;=PRs!C5,"PR!",""))</f>
        <v/>
      </c>
      <c r="O163" s="7" t="n"/>
    </row>
    <row r="164">
      <c r="C164" t="inlineStr">
        <is>
          <t xml:space="preserve">      Set 3</t>
        </is>
      </c>
      <c r="E164" t="n">
        <v>6</v>
      </c>
      <c r="H164" s="39">
        <f>IF(H161="","",H161)</f>
        <v/>
      </c>
      <c r="I164" s="7">
        <f>IF(H161="","",H161)</f>
        <v/>
      </c>
      <c r="J164" s="7" t="n">
        <v>6</v>
      </c>
      <c r="K164" s="7" t="n"/>
      <c r="L164" s="40" t="n"/>
      <c r="M164">
        <f>IF(AND(L164&lt;&gt;"",N(I164)&gt;0,N(J164)&gt;0),IF(J164=1,I164,ROUND(I164*(1+J164/30),1)),"")</f>
        <v/>
      </c>
      <c r="N164" s="41">
        <f>IF(M164="","",IF(M164&gt;=PRs!C5,"PR!",""))</f>
        <v/>
      </c>
      <c r="O164" s="7" t="n"/>
    </row>
    <row r="165">
      <c r="C165" t="inlineStr">
        <is>
          <t xml:space="preserve">      Set 4</t>
        </is>
      </c>
      <c r="E165" t="n">
        <v>6</v>
      </c>
      <c r="H165" s="39">
        <f>IF(H161="","",H161)</f>
        <v/>
      </c>
      <c r="I165" s="7">
        <f>IF(H161="","",H161)</f>
        <v/>
      </c>
      <c r="J165" s="7" t="n">
        <v>6</v>
      </c>
      <c r="K165" s="7" t="n"/>
      <c r="L165" s="40" t="n"/>
      <c r="M165">
        <f>IF(AND(L165&lt;&gt;"",N(I165)&gt;0,N(J165)&gt;0),IF(J165=1,I165,ROUND(I165*(1+J165/30),1)),"")</f>
        <v/>
      </c>
      <c r="N165" s="41">
        <f>IF(M165="","",IF(M165&gt;=PRs!C5,"PR!",""))</f>
        <v/>
      </c>
      <c r="O165" s="7" t="n"/>
    </row>
    <row r="166">
      <c r="A166" s="34" t="n"/>
      <c r="B166" s="34" t="n"/>
      <c r="C166" s="42" t="inlineStr">
        <is>
          <t>Deadlift</t>
        </is>
      </c>
      <c r="D166" s="34" t="inlineStr">
        <is>
          <t>3 x 6</t>
        </is>
      </c>
      <c r="E166" s="34" t="n"/>
      <c r="F166" s="34" t="n">
        <v>67.5</v>
      </c>
      <c r="G166" s="36">
        <f>Maxes!F4</f>
        <v/>
      </c>
      <c r="H166" s="37">
        <f>IF(OR(G166="",F166=""),"",MROUND(G166*F166/100,'Start Here'!$B$7))</f>
        <v/>
      </c>
      <c r="I166" s="34" t="n"/>
      <c r="J166" s="34" t="n"/>
      <c r="K166" s="34" t="n"/>
      <c r="L166" s="34" t="n"/>
      <c r="M166" s="34" t="n"/>
      <c r="N166" s="34" t="n"/>
      <c r="O166" s="38" t="inlineStr"/>
    </row>
    <row r="167">
      <c r="C167" t="inlineStr">
        <is>
          <t xml:space="preserve">      Set 1</t>
        </is>
      </c>
      <c r="E167" t="n">
        <v>6</v>
      </c>
      <c r="H167" s="39">
        <f>IF(H166="","",H166)</f>
        <v/>
      </c>
      <c r="I167" s="7">
        <f>IF(H166="","",H166)</f>
        <v/>
      </c>
      <c r="J167" s="7" t="n">
        <v>6</v>
      </c>
      <c r="K167" s="7" t="n"/>
      <c r="L167" s="40" t="n"/>
      <c r="M167">
        <f>IF(AND(L167&lt;&gt;"",N(I167)&gt;0,N(J167)&gt;0),IF(J167=1,I167,ROUND(I167*(1+J167/30),1)),"")</f>
        <v/>
      </c>
      <c r="N167" s="41">
        <f>IF(M167="","",IF(M167&gt;=PRs!C4,"PR!",""))</f>
        <v/>
      </c>
      <c r="O167" s="7" t="n"/>
    </row>
    <row r="168">
      <c r="C168" t="inlineStr">
        <is>
          <t xml:space="preserve">      Set 2</t>
        </is>
      </c>
      <c r="E168" t="n">
        <v>6</v>
      </c>
      <c r="H168" s="39">
        <f>IF(H166="","",H166)</f>
        <v/>
      </c>
      <c r="I168" s="7">
        <f>IF(H166="","",H166)</f>
        <v/>
      </c>
      <c r="J168" s="7" t="n">
        <v>6</v>
      </c>
      <c r="K168" s="7" t="n"/>
      <c r="L168" s="40" t="n"/>
      <c r="M168">
        <f>IF(AND(L168&lt;&gt;"",N(I168)&gt;0,N(J168)&gt;0),IF(J168=1,I168,ROUND(I168*(1+J168/30),1)),"")</f>
        <v/>
      </c>
      <c r="N168" s="41">
        <f>IF(M168="","",IF(M168&gt;=PRs!C4,"PR!",""))</f>
        <v/>
      </c>
      <c r="O168" s="7" t="n"/>
    </row>
    <row r="169">
      <c r="C169" t="inlineStr">
        <is>
          <t xml:space="preserve">      Set 3</t>
        </is>
      </c>
      <c r="E169" t="n">
        <v>6</v>
      </c>
      <c r="H169" s="39">
        <f>IF(H166="","",H166)</f>
        <v/>
      </c>
      <c r="I169" s="7">
        <f>IF(H166="","",H166)</f>
        <v/>
      </c>
      <c r="J169" s="7" t="n">
        <v>6</v>
      </c>
      <c r="K169" s="7" t="n"/>
      <c r="L169" s="40" t="n"/>
      <c r="M169">
        <f>IF(AND(L169&lt;&gt;"",N(I169)&gt;0,N(J169)&gt;0),IF(J169=1,I169,ROUND(I169*(1+J169/30),1)),"")</f>
        <v/>
      </c>
      <c r="N169" s="41">
        <f>IF(M169="","",IF(M169&gt;=PRs!C4,"PR!",""))</f>
        <v/>
      </c>
      <c r="O169" s="7" t="n"/>
    </row>
    <row r="170">
      <c r="A170" s="34" t="n"/>
      <c r="B170" s="34" t="n"/>
      <c r="C170" s="43" t="inlineStr">
        <is>
          <t>Chin-up</t>
        </is>
      </c>
      <c r="D170" s="34" t="inlineStr">
        <is>
          <t>4 x 6-10</t>
        </is>
      </c>
      <c r="E170" s="34" t="n"/>
      <c r="F170" s="34" t="n"/>
      <c r="G170" s="36" t="n"/>
      <c r="H170" s="37" t="n"/>
      <c r="I170" s="34" t="n"/>
      <c r="J170" s="34" t="n"/>
      <c r="K170" s="34" t="n"/>
      <c r="L170" s="34" t="n"/>
      <c r="M170" s="34" t="n"/>
      <c r="N170" s="34" t="n"/>
      <c r="O170" s="38" t="inlineStr">
        <is>
          <t>Leave 1-2 reps in the tank; add weight when you hit the top of the range</t>
        </is>
      </c>
    </row>
    <row r="171">
      <c r="C171" t="inlineStr">
        <is>
          <t xml:space="preserve">      Set 1</t>
        </is>
      </c>
      <c r="E171" t="n">
        <v>6</v>
      </c>
      <c r="H171" s="39">
        <f>IF(H170="","",H170)</f>
        <v/>
      </c>
      <c r="I171" s="7">
        <f>IF(H170="","",H170)</f>
        <v/>
      </c>
      <c r="J171" s="7" t="n">
        <v>6</v>
      </c>
      <c r="K171" s="7" t="n"/>
      <c r="L171" s="40" t="n"/>
      <c r="M171">
        <f>IF(AND(L171&lt;&gt;"",N(I171)&gt;0,N(J171)&gt;0),IF(J171=1,I171,ROUND(I171*(1+J171/30),1)),"")</f>
        <v/>
      </c>
      <c r="N171" s="41">
        <f>IF(M171="","",IF(M171&gt;=PRs!C53,"PR!",""))</f>
        <v/>
      </c>
      <c r="O171" s="7" t="n"/>
    </row>
    <row r="172">
      <c r="C172" t="inlineStr">
        <is>
          <t xml:space="preserve">      Set 2</t>
        </is>
      </c>
      <c r="E172" t="n">
        <v>6</v>
      </c>
      <c r="H172" s="39">
        <f>IF(H170="","",H170)</f>
        <v/>
      </c>
      <c r="I172" s="7">
        <f>IF(H170="","",H170)</f>
        <v/>
      </c>
      <c r="J172" s="7" t="n">
        <v>6</v>
      </c>
      <c r="K172" s="7" t="n"/>
      <c r="L172" s="40" t="n"/>
      <c r="M172">
        <f>IF(AND(L172&lt;&gt;"",N(I172)&gt;0,N(J172)&gt;0),IF(J172=1,I172,ROUND(I172*(1+J172/30),1)),"")</f>
        <v/>
      </c>
      <c r="N172" s="41">
        <f>IF(M172="","",IF(M172&gt;=PRs!C53,"PR!",""))</f>
        <v/>
      </c>
      <c r="O172" s="7" t="n"/>
    </row>
    <row r="173">
      <c r="C173" t="inlineStr">
        <is>
          <t xml:space="preserve">      Set 3</t>
        </is>
      </c>
      <c r="E173" t="n">
        <v>6</v>
      </c>
      <c r="H173" s="39">
        <f>IF(H170="","",H170)</f>
        <v/>
      </c>
      <c r="I173" s="7">
        <f>IF(H170="","",H170)</f>
        <v/>
      </c>
      <c r="J173" s="7" t="n">
        <v>6</v>
      </c>
      <c r="K173" s="7" t="n"/>
      <c r="L173" s="40" t="n"/>
      <c r="M173">
        <f>IF(AND(L173&lt;&gt;"",N(I173)&gt;0,N(J173)&gt;0),IF(J173=1,I173,ROUND(I173*(1+J173/30),1)),"")</f>
        <v/>
      </c>
      <c r="N173" s="41">
        <f>IF(M173="","",IF(M173&gt;=PRs!C53,"PR!",""))</f>
        <v/>
      </c>
      <c r="O173" s="7" t="n"/>
    </row>
    <row r="174">
      <c r="C174" t="inlineStr">
        <is>
          <t xml:space="preserve">      Set 4</t>
        </is>
      </c>
      <c r="E174" t="n">
        <v>6</v>
      </c>
      <c r="H174" s="39">
        <f>IF(H170="","",H170)</f>
        <v/>
      </c>
      <c r="I174" s="7">
        <f>IF(H170="","",H170)</f>
        <v/>
      </c>
      <c r="J174" s="7" t="n">
        <v>6</v>
      </c>
      <c r="K174" s="7" t="n"/>
      <c r="L174" s="40" t="n"/>
      <c r="M174">
        <f>IF(AND(L174&lt;&gt;"",N(I174)&gt;0,N(J174)&gt;0),IF(J174=1,I174,ROUND(I174*(1+J174/30),1)),"")</f>
        <v/>
      </c>
      <c r="N174" s="41">
        <f>IF(M174="","",IF(M174&gt;=PRs!C53,"PR!",""))</f>
        <v/>
      </c>
      <c r="O174" s="7" t="n"/>
    </row>
    <row r="175">
      <c r="A175" s="34" t="n"/>
      <c r="B175" s="34" t="n"/>
      <c r="C175" s="43" t="inlineStr">
        <is>
          <t>Plank</t>
        </is>
      </c>
      <c r="D175" s="34" t="inlineStr">
        <is>
          <t>4 x 30-60s</t>
        </is>
      </c>
      <c r="E175" s="34" t="n"/>
      <c r="F175" s="34" t="n"/>
      <c r="G175" s="36" t="n"/>
      <c r="H175" s="37" t="n"/>
      <c r="I175" s="34" t="n"/>
      <c r="J175" s="34" t="n"/>
      <c r="K175" s="34" t="n"/>
      <c r="L175" s="34" t="n"/>
      <c r="M175" s="34" t="n"/>
      <c r="N175" s="34" t="n"/>
      <c r="O175" s="38" t="inlineStr">
        <is>
          <t>Leave 1-2 reps in the tank; add weight when you hit the top of the range</t>
        </is>
      </c>
    </row>
    <row r="176">
      <c r="C176" t="inlineStr">
        <is>
          <t xml:space="preserve">      Set 1</t>
        </is>
      </c>
      <c r="E176" t="n">
        <v>30</v>
      </c>
      <c r="H176" s="39">
        <f>IF(H175="","",H175)</f>
        <v/>
      </c>
      <c r="I176" s="7">
        <f>IF(H175="","",H175)</f>
        <v/>
      </c>
      <c r="J176" s="7" t="n">
        <v>30</v>
      </c>
      <c r="K176" s="7" t="n"/>
      <c r="L176" s="40" t="n"/>
      <c r="M176">
        <f>IF(AND(L176&lt;&gt;"",N(I176)&gt;0,N(J176)&gt;0),IF(J176=1,I176,ROUND(I176*(1+J176/30),1)),"")</f>
        <v/>
      </c>
      <c r="N176" s="41">
        <f>IF(M176="","",IF(M176&gt;=PRs!C56,"PR!",""))</f>
        <v/>
      </c>
      <c r="O176" s="7" t="n"/>
    </row>
    <row r="177">
      <c r="C177" t="inlineStr">
        <is>
          <t xml:space="preserve">      Set 2</t>
        </is>
      </c>
      <c r="E177" t="n">
        <v>30</v>
      </c>
      <c r="H177" s="39">
        <f>IF(H175="","",H175)</f>
        <v/>
      </c>
      <c r="I177" s="7">
        <f>IF(H175="","",H175)</f>
        <v/>
      </c>
      <c r="J177" s="7" t="n">
        <v>30</v>
      </c>
      <c r="K177" s="7" t="n"/>
      <c r="L177" s="40" t="n"/>
      <c r="M177">
        <f>IF(AND(L177&lt;&gt;"",N(I177)&gt;0,N(J177)&gt;0),IF(J177=1,I177,ROUND(I177*(1+J177/30),1)),"")</f>
        <v/>
      </c>
      <c r="N177" s="41">
        <f>IF(M177="","",IF(M177&gt;=PRs!C56,"PR!",""))</f>
        <v/>
      </c>
      <c r="O177" s="7" t="n"/>
    </row>
    <row r="178">
      <c r="C178" t="inlineStr">
        <is>
          <t xml:space="preserve">      Set 3</t>
        </is>
      </c>
      <c r="E178" t="n">
        <v>30</v>
      </c>
      <c r="H178" s="39">
        <f>IF(H175="","",H175)</f>
        <v/>
      </c>
      <c r="I178" s="7">
        <f>IF(H175="","",H175)</f>
        <v/>
      </c>
      <c r="J178" s="7" t="n">
        <v>30</v>
      </c>
      <c r="K178" s="7" t="n"/>
      <c r="L178" s="40" t="n"/>
      <c r="M178">
        <f>IF(AND(L178&lt;&gt;"",N(I178)&gt;0,N(J178)&gt;0),IF(J178=1,I178,ROUND(I178*(1+J178/30),1)),"")</f>
        <v/>
      </c>
      <c r="N178" s="41">
        <f>IF(M178="","",IF(M178&gt;=PRs!C56,"PR!",""))</f>
        <v/>
      </c>
      <c r="O178" s="7" t="n"/>
    </row>
    <row r="179">
      <c r="C179" t="inlineStr">
        <is>
          <t xml:space="preserve">      Set 4</t>
        </is>
      </c>
      <c r="E179" t="n">
        <v>30</v>
      </c>
      <c r="H179" s="39">
        <f>IF(H175="","",H175)</f>
        <v/>
      </c>
      <c r="I179" s="7">
        <f>IF(H175="","",H175)</f>
        <v/>
      </c>
      <c r="J179" s="7" t="n">
        <v>30</v>
      </c>
      <c r="K179" s="7" t="n"/>
      <c r="L179" s="40" t="n"/>
      <c r="M179">
        <f>IF(AND(L179&lt;&gt;"",N(I179)&gt;0,N(J179)&gt;0),IF(J179=1,I179,ROUND(I179*(1+J179/30),1)),"")</f>
        <v/>
      </c>
      <c r="N179" s="41">
        <f>IF(M179="","",IF(M179&gt;=PRs!C56,"PR!",""))</f>
        <v/>
      </c>
      <c r="O179" s="7" t="n"/>
    </row>
    <row r="180">
      <c r="A180" s="31" t="inlineStr">
        <is>
          <t>Day 3 - Variations</t>
        </is>
      </c>
      <c r="B180" s="32">
        <f>'Start Here'!$B$8+95</f>
        <v/>
      </c>
      <c r="C180" s="33" t="n"/>
      <c r="D180" s="33" t="n"/>
      <c r="E180" s="33" t="n"/>
      <c r="F180" s="33" t="n"/>
      <c r="G180" s="33" t="n"/>
      <c r="H180" s="33" t="n"/>
      <c r="I180" s="33" t="n"/>
      <c r="J180" s="33" t="n"/>
      <c r="K180" s="33" t="n"/>
      <c r="L180" s="33" t="n"/>
      <c r="M180" s="33" t="n"/>
      <c r="N180" s="33" t="n"/>
      <c r="O180" s="33" t="n"/>
    </row>
    <row r="181">
      <c r="A181" s="34" t="n"/>
      <c r="B181" s="34" t="n"/>
      <c r="C181" s="35" t="inlineStr">
        <is>
          <t>Lateral Bound</t>
        </is>
      </c>
      <c r="D181" s="34" t="inlineStr">
        <is>
          <t>4 x 3</t>
        </is>
      </c>
      <c r="E181" s="34" t="n"/>
      <c r="F181" s="34" t="n"/>
      <c r="G181" s="36" t="n"/>
      <c r="H181" s="37">
        <f>IF(N(Maxes!F74)&gt;0,Maxes!F74,"")</f>
        <v/>
      </c>
      <c r="I181" s="34" t="n"/>
      <c r="J181" s="34" t="n"/>
      <c r="K181" s="34" t="n"/>
      <c r="L181" s="34" t="n"/>
      <c r="M181" s="34" t="n"/>
      <c r="N181" s="34" t="n"/>
      <c r="O181" s="38" t="inlineStr">
        <is>
          <t>Single-leg bound sideways, stick the landing on the other leg, then back. Log distance (each side counts as a rep).</t>
        </is>
      </c>
    </row>
    <row r="182">
      <c r="C182" t="inlineStr">
        <is>
          <t xml:space="preserve">      Set 1</t>
        </is>
      </c>
      <c r="E182" t="n">
        <v>3</v>
      </c>
      <c r="H182" s="39">
        <f>IF(H181="","",H181)</f>
        <v/>
      </c>
      <c r="I182" s="7">
        <f>IF(H181="","",H181)</f>
        <v/>
      </c>
      <c r="J182" s="7" t="n">
        <v>3</v>
      </c>
      <c r="K182" s="7" t="n"/>
      <c r="L182" s="40" t="n"/>
      <c r="N182" s="41">
        <f>IF(AND(L182&lt;&gt;"",N(I182)&gt;0),IF(I182&gt;=PRs!D74,"PR!",""),"")</f>
        <v/>
      </c>
      <c r="O182" s="7" t="n"/>
    </row>
    <row r="183">
      <c r="C183" t="inlineStr">
        <is>
          <t xml:space="preserve">      Set 2</t>
        </is>
      </c>
      <c r="E183" t="n">
        <v>3</v>
      </c>
      <c r="H183" s="39">
        <f>IF(H181="","",H181)</f>
        <v/>
      </c>
      <c r="I183" s="7">
        <f>IF(H181="","",H181)</f>
        <v/>
      </c>
      <c r="J183" s="7" t="n">
        <v>3</v>
      </c>
      <c r="K183" s="7" t="n"/>
      <c r="L183" s="40" t="n"/>
      <c r="N183" s="41">
        <f>IF(AND(L183&lt;&gt;"",N(I183)&gt;0),IF(I183&gt;=PRs!D74,"PR!",""),"")</f>
        <v/>
      </c>
      <c r="O183" s="7" t="n"/>
    </row>
    <row r="184">
      <c r="C184" t="inlineStr">
        <is>
          <t xml:space="preserve">      Set 3</t>
        </is>
      </c>
      <c r="E184" t="n">
        <v>3</v>
      </c>
      <c r="H184" s="39">
        <f>IF(H181="","",H181)</f>
        <v/>
      </c>
      <c r="I184" s="7">
        <f>IF(H181="","",H181)</f>
        <v/>
      </c>
      <c r="J184" s="7" t="n">
        <v>3</v>
      </c>
      <c r="K184" s="7" t="n"/>
      <c r="L184" s="40" t="n"/>
      <c r="N184" s="41">
        <f>IF(AND(L184&lt;&gt;"",N(I184)&gt;0),IF(I184&gt;=PRs!D74,"PR!",""),"")</f>
        <v/>
      </c>
      <c r="O184" s="7" t="n"/>
    </row>
    <row r="185">
      <c r="C185" t="inlineStr">
        <is>
          <t xml:space="preserve">      Set 4</t>
        </is>
      </c>
      <c r="E185" t="n">
        <v>3</v>
      </c>
      <c r="H185" s="39">
        <f>IF(H181="","",H181)</f>
        <v/>
      </c>
      <c r="I185" s="7">
        <f>IF(H181="","",H181)</f>
        <v/>
      </c>
      <c r="J185" s="7" t="n">
        <v>3</v>
      </c>
      <c r="K185" s="7" t="n"/>
      <c r="L185" s="40" t="n"/>
      <c r="N185" s="41">
        <f>IF(AND(L185&lt;&gt;"",N(I185)&gt;0),IF(I185&gt;=PRs!D74,"PR!",""),"")</f>
        <v/>
      </c>
      <c r="O185" s="7" t="n"/>
    </row>
    <row r="186">
      <c r="A186" s="34" t="n"/>
      <c r="B186" s="34" t="n"/>
      <c r="C186" s="42" t="inlineStr">
        <is>
          <t>Hang Clean</t>
        </is>
      </c>
      <c r="D186" s="34" t="inlineStr">
        <is>
          <t>6 x 3</t>
        </is>
      </c>
      <c r="E186" s="34" t="n"/>
      <c r="F186" s="34" t="n">
        <v>67.5</v>
      </c>
      <c r="G186" s="36">
        <f>Maxes!F43</f>
        <v/>
      </c>
      <c r="H186" s="37">
        <f>IF(OR(G186="",F186=""),"",MROUND(G186*F186/100,'Start Here'!$B$7))</f>
        <v/>
      </c>
      <c r="I186" s="34" t="n"/>
      <c r="J186" s="34" t="n"/>
      <c r="K186" s="34" t="n"/>
      <c r="L186" s="34" t="n"/>
      <c r="M186" s="34" t="n"/>
      <c r="N186" s="34" t="n"/>
      <c r="O186" s="38" t="inlineStr"/>
    </row>
    <row r="187">
      <c r="C187" t="inlineStr">
        <is>
          <t xml:space="preserve">      Set 1</t>
        </is>
      </c>
      <c r="E187" t="n">
        <v>3</v>
      </c>
      <c r="H187" s="39">
        <f>IF(H186="","",H186)</f>
        <v/>
      </c>
      <c r="I187" s="7">
        <f>IF(H186="","",H186)</f>
        <v/>
      </c>
      <c r="J187" s="7" t="n">
        <v>3</v>
      </c>
      <c r="K187" s="7" t="n"/>
      <c r="L187" s="40" t="n"/>
      <c r="M187">
        <f>IF(AND(L187&lt;&gt;"",N(I187)&gt;0,N(J187)&gt;0),IF(J187=1,I187,ROUND(I187*(1+J187/30),1)),"")</f>
        <v/>
      </c>
      <c r="N187" s="41">
        <f>IF(M187="","",IF(M187&gt;=PRs!C43,"PR!",""))</f>
        <v/>
      </c>
      <c r="O187" s="7" t="n"/>
    </row>
    <row r="188">
      <c r="C188" t="inlineStr">
        <is>
          <t xml:space="preserve">      Set 2</t>
        </is>
      </c>
      <c r="E188" t="n">
        <v>3</v>
      </c>
      <c r="H188" s="39">
        <f>IF(H186="","",H186)</f>
        <v/>
      </c>
      <c r="I188" s="7">
        <f>IF(H186="","",H186)</f>
        <v/>
      </c>
      <c r="J188" s="7" t="n">
        <v>3</v>
      </c>
      <c r="K188" s="7" t="n"/>
      <c r="L188" s="40" t="n"/>
      <c r="M188">
        <f>IF(AND(L188&lt;&gt;"",N(I188)&gt;0,N(J188)&gt;0),IF(J188=1,I188,ROUND(I188*(1+J188/30),1)),"")</f>
        <v/>
      </c>
      <c r="N188" s="41">
        <f>IF(M188="","",IF(M188&gt;=PRs!C43,"PR!",""))</f>
        <v/>
      </c>
      <c r="O188" s="7" t="n"/>
    </row>
    <row r="189">
      <c r="C189" t="inlineStr">
        <is>
          <t xml:space="preserve">      Set 3</t>
        </is>
      </c>
      <c r="E189" t="n">
        <v>3</v>
      </c>
      <c r="H189" s="39">
        <f>IF(H186="","",H186)</f>
        <v/>
      </c>
      <c r="I189" s="7">
        <f>IF(H186="","",H186)</f>
        <v/>
      </c>
      <c r="J189" s="7" t="n">
        <v>3</v>
      </c>
      <c r="K189" s="7" t="n"/>
      <c r="L189" s="40" t="n"/>
      <c r="M189">
        <f>IF(AND(L189&lt;&gt;"",N(I189)&gt;0,N(J189)&gt;0),IF(J189=1,I189,ROUND(I189*(1+J189/30),1)),"")</f>
        <v/>
      </c>
      <c r="N189" s="41">
        <f>IF(M189="","",IF(M189&gt;=PRs!C43,"PR!",""))</f>
        <v/>
      </c>
      <c r="O189" s="7" t="n"/>
    </row>
    <row r="190">
      <c r="C190" t="inlineStr">
        <is>
          <t xml:space="preserve">      Set 4</t>
        </is>
      </c>
      <c r="E190" t="n">
        <v>3</v>
      </c>
      <c r="H190" s="39">
        <f>IF(H186="","",H186)</f>
        <v/>
      </c>
      <c r="I190" s="7">
        <f>IF(H186="","",H186)</f>
        <v/>
      </c>
      <c r="J190" s="7" t="n">
        <v>3</v>
      </c>
      <c r="K190" s="7" t="n"/>
      <c r="L190" s="40" t="n"/>
      <c r="M190">
        <f>IF(AND(L190&lt;&gt;"",N(I190)&gt;0,N(J190)&gt;0),IF(J190=1,I190,ROUND(I190*(1+J190/30),1)),"")</f>
        <v/>
      </c>
      <c r="N190" s="41">
        <f>IF(M190="","",IF(M190&gt;=PRs!C43,"PR!",""))</f>
        <v/>
      </c>
      <c r="O190" s="7" t="n"/>
    </row>
    <row r="191">
      <c r="C191" t="inlineStr">
        <is>
          <t xml:space="preserve">      Set 5</t>
        </is>
      </c>
      <c r="E191" t="n">
        <v>3</v>
      </c>
      <c r="H191" s="39">
        <f>IF(H186="","",H186)</f>
        <v/>
      </c>
      <c r="I191" s="7">
        <f>IF(H186="","",H186)</f>
        <v/>
      </c>
      <c r="J191" s="7" t="n">
        <v>3</v>
      </c>
      <c r="K191" s="7" t="n"/>
      <c r="L191" s="40" t="n"/>
      <c r="M191">
        <f>IF(AND(L191&lt;&gt;"",N(I191)&gt;0,N(J191)&gt;0),IF(J191=1,I191,ROUND(I191*(1+J191/30),1)),"")</f>
        <v/>
      </c>
      <c r="N191" s="41">
        <f>IF(M191="","",IF(M191&gt;=PRs!C43,"PR!",""))</f>
        <v/>
      </c>
      <c r="O191" s="7" t="n"/>
    </row>
    <row r="192">
      <c r="C192" t="inlineStr">
        <is>
          <t xml:space="preserve">      Set 6</t>
        </is>
      </c>
      <c r="E192" t="n">
        <v>3</v>
      </c>
      <c r="H192" s="39">
        <f>IF(H186="","",H186)</f>
        <v/>
      </c>
      <c r="I192" s="7">
        <f>IF(H186="","",H186)</f>
        <v/>
      </c>
      <c r="J192" s="7" t="n">
        <v>3</v>
      </c>
      <c r="K192" s="7" t="n"/>
      <c r="L192" s="40" t="n"/>
      <c r="M192">
        <f>IF(AND(L192&lt;&gt;"",N(I192)&gt;0,N(J192)&gt;0),IF(J192=1,I192,ROUND(I192*(1+J192/30),1)),"")</f>
        <v/>
      </c>
      <c r="N192" s="41">
        <f>IF(M192="","",IF(M192&gt;=PRs!C43,"PR!",""))</f>
        <v/>
      </c>
      <c r="O192" s="7" t="n"/>
    </row>
    <row r="193">
      <c r="A193" s="34" t="n"/>
      <c r="B193" s="34" t="n"/>
      <c r="C193" s="42" t="inlineStr">
        <is>
          <t>Safety Bar Squat</t>
        </is>
      </c>
      <c r="D193" s="34" t="inlineStr">
        <is>
          <t>4 x 6</t>
        </is>
      </c>
      <c r="E193" s="34" t="n"/>
      <c r="F193" s="34" t="n">
        <v>67.5</v>
      </c>
      <c r="G193" s="36">
        <f>Maxes!F11</f>
        <v/>
      </c>
      <c r="H193" s="37">
        <f>IF(OR(G193="",F193=""),"",MROUND(G193*F193/100,'Start Here'!$B$7))</f>
        <v/>
      </c>
      <c r="I193" s="34" t="n"/>
      <c r="J193" s="34" t="n"/>
      <c r="K193" s="34" t="n"/>
      <c r="L193" s="34" t="n"/>
      <c r="M193" s="34" t="n"/>
      <c r="N193" s="34" t="n"/>
      <c r="O193" s="38" t="inlineStr"/>
    </row>
    <row r="194">
      <c r="C194" t="inlineStr">
        <is>
          <t xml:space="preserve">      Set 1</t>
        </is>
      </c>
      <c r="E194" t="n">
        <v>6</v>
      </c>
      <c r="H194" s="39">
        <f>IF(H193="","",H193)</f>
        <v/>
      </c>
      <c r="I194" s="7">
        <f>IF(H193="","",H193)</f>
        <v/>
      </c>
      <c r="J194" s="7" t="n">
        <v>6</v>
      </c>
      <c r="K194" s="7" t="n"/>
      <c r="L194" s="40" t="n"/>
      <c r="M194">
        <f>IF(AND(L194&lt;&gt;"",N(I194)&gt;0,N(J194)&gt;0),IF(J194=1,I194,ROUND(I194*(1+J194/30),1)),"")</f>
        <v/>
      </c>
      <c r="N194" s="41">
        <f>IF(M194="","",IF(M194&gt;=PRs!C11,"PR!",""))</f>
        <v/>
      </c>
      <c r="O194" s="7" t="n"/>
    </row>
    <row r="195">
      <c r="C195" t="inlineStr">
        <is>
          <t xml:space="preserve">      Set 2</t>
        </is>
      </c>
      <c r="E195" t="n">
        <v>6</v>
      </c>
      <c r="H195" s="39">
        <f>IF(H193="","",H193)</f>
        <v/>
      </c>
      <c r="I195" s="7">
        <f>IF(H193="","",H193)</f>
        <v/>
      </c>
      <c r="J195" s="7" t="n">
        <v>6</v>
      </c>
      <c r="K195" s="7" t="n"/>
      <c r="L195" s="40" t="n"/>
      <c r="M195">
        <f>IF(AND(L195&lt;&gt;"",N(I195)&gt;0,N(J195)&gt;0),IF(J195=1,I195,ROUND(I195*(1+J195/30),1)),"")</f>
        <v/>
      </c>
      <c r="N195" s="41">
        <f>IF(M195="","",IF(M195&gt;=PRs!C11,"PR!",""))</f>
        <v/>
      </c>
      <c r="O195" s="7" t="n"/>
    </row>
    <row r="196">
      <c r="C196" t="inlineStr">
        <is>
          <t xml:space="preserve">      Set 3</t>
        </is>
      </c>
      <c r="E196" t="n">
        <v>6</v>
      </c>
      <c r="H196" s="39">
        <f>IF(H193="","",H193)</f>
        <v/>
      </c>
      <c r="I196" s="7">
        <f>IF(H193="","",H193)</f>
        <v/>
      </c>
      <c r="J196" s="7" t="n">
        <v>6</v>
      </c>
      <c r="K196" s="7" t="n"/>
      <c r="L196" s="40" t="n"/>
      <c r="M196">
        <f>IF(AND(L196&lt;&gt;"",N(I196)&gt;0,N(J196)&gt;0),IF(J196=1,I196,ROUND(I196*(1+J196/30),1)),"")</f>
        <v/>
      </c>
      <c r="N196" s="41">
        <f>IF(M196="","",IF(M196&gt;=PRs!C11,"PR!",""))</f>
        <v/>
      </c>
      <c r="O196" s="7" t="n"/>
    </row>
    <row r="197">
      <c r="C197" t="inlineStr">
        <is>
          <t xml:space="preserve">      Set 4</t>
        </is>
      </c>
      <c r="E197" t="n">
        <v>6</v>
      </c>
      <c r="H197" s="39">
        <f>IF(H193="","",H193)</f>
        <v/>
      </c>
      <c r="I197" s="7">
        <f>IF(H193="","",H193)</f>
        <v/>
      </c>
      <c r="J197" s="7" t="n">
        <v>6</v>
      </c>
      <c r="K197" s="7" t="n"/>
      <c r="L197" s="40" t="n"/>
      <c r="M197">
        <f>IF(AND(L197&lt;&gt;"",N(I197)&gt;0,N(J197)&gt;0),IF(J197=1,I197,ROUND(I197*(1+J197/30),1)),"")</f>
        <v/>
      </c>
      <c r="N197" s="41">
        <f>IF(M197="","",IF(M197&gt;=PRs!C11,"PR!",""))</f>
        <v/>
      </c>
      <c r="O197" s="7" t="n"/>
    </row>
    <row r="198">
      <c r="A198" s="34" t="n"/>
      <c r="B198" s="34" t="n"/>
      <c r="C198" s="42" t="inlineStr">
        <is>
          <t>1-Board Press</t>
        </is>
      </c>
      <c r="D198" s="34" t="inlineStr">
        <is>
          <t>4 x 6</t>
        </is>
      </c>
      <c r="E198" s="34" t="n"/>
      <c r="F198" s="34" t="n">
        <v>67.5</v>
      </c>
      <c r="G198" s="36">
        <f>Maxes!F15</f>
        <v/>
      </c>
      <c r="H198" s="37">
        <f>IF(OR(G198="",F198=""),"",MROUND(G198*F198/100,'Start Here'!$B$7))</f>
        <v/>
      </c>
      <c r="I198" s="34" t="n"/>
      <c r="J198" s="34" t="n"/>
      <c r="K198" s="34" t="n"/>
      <c r="L198" s="34" t="n"/>
      <c r="M198" s="34" t="n"/>
      <c r="N198" s="34" t="n"/>
      <c r="O198" s="38" t="inlineStr"/>
    </row>
    <row r="199">
      <c r="C199" t="inlineStr">
        <is>
          <t xml:space="preserve">      Set 1</t>
        </is>
      </c>
      <c r="E199" t="n">
        <v>6</v>
      </c>
      <c r="H199" s="39">
        <f>IF(H198="","",H198)</f>
        <v/>
      </c>
      <c r="I199" s="7">
        <f>IF(H198="","",H198)</f>
        <v/>
      </c>
      <c r="J199" s="7" t="n">
        <v>6</v>
      </c>
      <c r="K199" s="7" t="n"/>
      <c r="L199" s="40" t="n"/>
      <c r="M199">
        <f>IF(AND(L199&lt;&gt;"",N(I199)&gt;0,N(J199)&gt;0),IF(J199=1,I199,ROUND(I199*(1+J199/30),1)),"")</f>
        <v/>
      </c>
      <c r="N199" s="41">
        <f>IF(M199="","",IF(M199&gt;=PRs!C15,"PR!",""))</f>
        <v/>
      </c>
      <c r="O199" s="7" t="n"/>
    </row>
    <row r="200">
      <c r="C200" t="inlineStr">
        <is>
          <t xml:space="preserve">      Set 2</t>
        </is>
      </c>
      <c r="E200" t="n">
        <v>6</v>
      </c>
      <c r="H200" s="39">
        <f>IF(H198="","",H198)</f>
        <v/>
      </c>
      <c r="I200" s="7">
        <f>IF(H198="","",H198)</f>
        <v/>
      </c>
      <c r="J200" s="7" t="n">
        <v>6</v>
      </c>
      <c r="K200" s="7" t="n"/>
      <c r="L200" s="40" t="n"/>
      <c r="M200">
        <f>IF(AND(L200&lt;&gt;"",N(I200)&gt;0,N(J200)&gt;0),IF(J200=1,I200,ROUND(I200*(1+J200/30),1)),"")</f>
        <v/>
      </c>
      <c r="N200" s="41">
        <f>IF(M200="","",IF(M200&gt;=PRs!C15,"PR!",""))</f>
        <v/>
      </c>
      <c r="O200" s="7" t="n"/>
    </row>
    <row r="201">
      <c r="C201" t="inlineStr">
        <is>
          <t xml:space="preserve">      Set 3</t>
        </is>
      </c>
      <c r="E201" t="n">
        <v>6</v>
      </c>
      <c r="H201" s="39">
        <f>IF(H198="","",H198)</f>
        <v/>
      </c>
      <c r="I201" s="7">
        <f>IF(H198="","",H198)</f>
        <v/>
      </c>
      <c r="J201" s="7" t="n">
        <v>6</v>
      </c>
      <c r="K201" s="7" t="n"/>
      <c r="L201" s="40" t="n"/>
      <c r="M201">
        <f>IF(AND(L201&lt;&gt;"",N(I201)&gt;0,N(J201)&gt;0),IF(J201=1,I201,ROUND(I201*(1+J201/30),1)),"")</f>
        <v/>
      </c>
      <c r="N201" s="41">
        <f>IF(M201="","",IF(M201&gt;=PRs!C15,"PR!",""))</f>
        <v/>
      </c>
      <c r="O201" s="7" t="n"/>
    </row>
    <row r="202">
      <c r="C202" t="inlineStr">
        <is>
          <t xml:space="preserve">      Set 4</t>
        </is>
      </c>
      <c r="E202" t="n">
        <v>6</v>
      </c>
      <c r="H202" s="39">
        <f>IF(H198="","",H198)</f>
        <v/>
      </c>
      <c r="I202" s="7">
        <f>IF(H198="","",H198)</f>
        <v/>
      </c>
      <c r="J202" s="7" t="n">
        <v>6</v>
      </c>
      <c r="K202" s="7" t="n"/>
      <c r="L202" s="40" t="n"/>
      <c r="M202">
        <f>IF(AND(L202&lt;&gt;"",N(I202)&gt;0,N(J202)&gt;0),IF(J202=1,I202,ROUND(I202*(1+J202/30),1)),"")</f>
        <v/>
      </c>
      <c r="N202" s="41">
        <f>IF(M202="","",IF(M202&gt;=PRs!C15,"PR!",""))</f>
        <v/>
      </c>
      <c r="O202" s="7" t="n"/>
    </row>
    <row r="203">
      <c r="A203" s="34" t="n"/>
      <c r="B203" s="34" t="n"/>
      <c r="C203" s="42" t="inlineStr">
        <is>
          <t>Block Pull</t>
        </is>
      </c>
      <c r="D203" s="34" t="inlineStr">
        <is>
          <t>3 x 6</t>
        </is>
      </c>
      <c r="E203" s="34" t="n"/>
      <c r="F203" s="34" t="n">
        <v>62.5</v>
      </c>
      <c r="G203" s="36">
        <f>Maxes!F26</f>
        <v/>
      </c>
      <c r="H203" s="37">
        <f>IF(OR(G203="",F203=""),"",MROUND(G203*F203/100,'Start Here'!$B$7))</f>
        <v/>
      </c>
      <c r="I203" s="34" t="n"/>
      <c r="J203" s="34" t="n"/>
      <c r="K203" s="34" t="n"/>
      <c r="L203" s="34" t="n"/>
      <c r="M203" s="34" t="n"/>
      <c r="N203" s="34" t="n"/>
      <c r="O203" s="38" t="inlineStr"/>
    </row>
    <row r="204">
      <c r="C204" t="inlineStr">
        <is>
          <t xml:space="preserve">      Set 1</t>
        </is>
      </c>
      <c r="E204" t="n">
        <v>6</v>
      </c>
      <c r="H204" s="39">
        <f>IF(H203="","",H203)</f>
        <v/>
      </c>
      <c r="I204" s="7">
        <f>IF(H203="","",H203)</f>
        <v/>
      </c>
      <c r="J204" s="7" t="n">
        <v>6</v>
      </c>
      <c r="K204" s="7" t="n"/>
      <c r="L204" s="40" t="n"/>
      <c r="M204">
        <f>IF(AND(L204&lt;&gt;"",N(I204)&gt;0,N(J204)&gt;0),IF(J204=1,I204,ROUND(I204*(1+J204/30),1)),"")</f>
        <v/>
      </c>
      <c r="N204" s="41">
        <f>IF(M204="","",IF(M204&gt;=PRs!C26,"PR!",""))</f>
        <v/>
      </c>
      <c r="O204" s="7" t="n"/>
    </row>
    <row r="205">
      <c r="C205" t="inlineStr">
        <is>
          <t xml:space="preserve">      Set 2</t>
        </is>
      </c>
      <c r="E205" t="n">
        <v>6</v>
      </c>
      <c r="H205" s="39">
        <f>IF(H203="","",H203)</f>
        <v/>
      </c>
      <c r="I205" s="7">
        <f>IF(H203="","",H203)</f>
        <v/>
      </c>
      <c r="J205" s="7" t="n">
        <v>6</v>
      </c>
      <c r="K205" s="7" t="n"/>
      <c r="L205" s="40" t="n"/>
      <c r="M205">
        <f>IF(AND(L205&lt;&gt;"",N(I205)&gt;0,N(J205)&gt;0),IF(J205=1,I205,ROUND(I205*(1+J205/30),1)),"")</f>
        <v/>
      </c>
      <c r="N205" s="41">
        <f>IF(M205="","",IF(M205&gt;=PRs!C26,"PR!",""))</f>
        <v/>
      </c>
      <c r="O205" s="7" t="n"/>
    </row>
    <row r="206">
      <c r="C206" t="inlineStr">
        <is>
          <t xml:space="preserve">      Set 3</t>
        </is>
      </c>
      <c r="E206" t="n">
        <v>6</v>
      </c>
      <c r="H206" s="39">
        <f>IF(H203="","",H203)</f>
        <v/>
      </c>
      <c r="I206" s="7">
        <f>IF(H203="","",H203)</f>
        <v/>
      </c>
      <c r="J206" s="7" t="n">
        <v>6</v>
      </c>
      <c r="K206" s="7" t="n"/>
      <c r="L206" s="40" t="n"/>
      <c r="M206">
        <f>IF(AND(L206&lt;&gt;"",N(I206)&gt;0,N(J206)&gt;0),IF(J206=1,I206,ROUND(I206*(1+J206/30),1)),"")</f>
        <v/>
      </c>
      <c r="N206" s="41">
        <f>IF(M206="","",IF(M206&gt;=PRs!C26,"PR!",""))</f>
        <v/>
      </c>
      <c r="O206" s="7" t="n"/>
    </row>
    <row r="207">
      <c r="A207" s="34" t="n"/>
      <c r="B207" s="34" t="n"/>
      <c r="C207" s="43" t="inlineStr">
        <is>
          <t>Incline Dumbbell Press</t>
        </is>
      </c>
      <c r="D207" s="34" t="inlineStr">
        <is>
          <t>4 x 8-12</t>
        </is>
      </c>
      <c r="E207" s="34" t="n"/>
      <c r="F207" s="34" t="n"/>
      <c r="G207" s="36" t="n"/>
      <c r="H207" s="37" t="n"/>
      <c r="I207" s="34" t="n"/>
      <c r="J207" s="34" t="n"/>
      <c r="K207" s="34" t="n"/>
      <c r="L207" s="34" t="n"/>
      <c r="M207" s="34" t="n"/>
      <c r="N207" s="34" t="n"/>
      <c r="O207" s="38" t="inlineStr">
        <is>
          <t>Leave 1-2 reps in the tank; add weight when you hit the top of the range</t>
        </is>
      </c>
    </row>
    <row r="208">
      <c r="C208" t="inlineStr">
        <is>
          <t xml:space="preserve">      Set 1</t>
        </is>
      </c>
      <c r="E208" t="n">
        <v>8</v>
      </c>
      <c r="H208" s="39">
        <f>IF(H207="","",H207)</f>
        <v/>
      </c>
      <c r="I208" s="7">
        <f>IF(H207="","",H207)</f>
        <v/>
      </c>
      <c r="J208" s="7" t="n">
        <v>8</v>
      </c>
      <c r="K208" s="7" t="n"/>
      <c r="L208" s="40" t="n"/>
      <c r="M208">
        <f>IF(AND(L208&lt;&gt;"",N(I208)&gt;0,N(J208)&gt;0),IF(J208=1,I208,ROUND(I208*(1+J208/30),1)),"")</f>
        <v/>
      </c>
      <c r="N208" s="41">
        <f>IF(M208="","",IF(M208&gt;=PRs!C57,"PR!",""))</f>
        <v/>
      </c>
      <c r="O208" s="7" t="n"/>
    </row>
    <row r="209">
      <c r="C209" t="inlineStr">
        <is>
          <t xml:space="preserve">      Set 2</t>
        </is>
      </c>
      <c r="E209" t="n">
        <v>8</v>
      </c>
      <c r="H209" s="39">
        <f>IF(H207="","",H207)</f>
        <v/>
      </c>
      <c r="I209" s="7">
        <f>IF(H207="","",H207)</f>
        <v/>
      </c>
      <c r="J209" s="7" t="n">
        <v>8</v>
      </c>
      <c r="K209" s="7" t="n"/>
      <c r="L209" s="40" t="n"/>
      <c r="M209">
        <f>IF(AND(L209&lt;&gt;"",N(I209)&gt;0,N(J209)&gt;0),IF(J209=1,I209,ROUND(I209*(1+J209/30),1)),"")</f>
        <v/>
      </c>
      <c r="N209" s="41">
        <f>IF(M209="","",IF(M209&gt;=PRs!C57,"PR!",""))</f>
        <v/>
      </c>
      <c r="O209" s="7" t="n"/>
    </row>
    <row r="210">
      <c r="C210" t="inlineStr">
        <is>
          <t xml:space="preserve">      Set 3</t>
        </is>
      </c>
      <c r="E210" t="n">
        <v>8</v>
      </c>
      <c r="H210" s="39">
        <f>IF(H207="","",H207)</f>
        <v/>
      </c>
      <c r="I210" s="7">
        <f>IF(H207="","",H207)</f>
        <v/>
      </c>
      <c r="J210" s="7" t="n">
        <v>8</v>
      </c>
      <c r="K210" s="7" t="n"/>
      <c r="L210" s="40" t="n"/>
      <c r="M210">
        <f>IF(AND(L210&lt;&gt;"",N(I210)&gt;0,N(J210)&gt;0),IF(J210=1,I210,ROUND(I210*(1+J210/30),1)),"")</f>
        <v/>
      </c>
      <c r="N210" s="41">
        <f>IF(M210="","",IF(M210&gt;=PRs!C57,"PR!",""))</f>
        <v/>
      </c>
      <c r="O210" s="7" t="n"/>
    </row>
    <row r="211">
      <c r="C211" t="inlineStr">
        <is>
          <t xml:space="preserve">      Set 4</t>
        </is>
      </c>
      <c r="E211" t="n">
        <v>8</v>
      </c>
      <c r="H211" s="39">
        <f>IF(H207="","",H207)</f>
        <v/>
      </c>
      <c r="I211" s="7">
        <f>IF(H207="","",H207)</f>
        <v/>
      </c>
      <c r="J211" s="7" t="n">
        <v>8</v>
      </c>
      <c r="K211" s="7" t="n"/>
      <c r="L211" s="40" t="n"/>
      <c r="M211">
        <f>IF(AND(L211&lt;&gt;"",N(I211)&gt;0,N(J211)&gt;0),IF(J211=1,I211,ROUND(I211*(1+J211/30),1)),"")</f>
        <v/>
      </c>
      <c r="N211" s="41">
        <f>IF(M211="","",IF(M211&gt;=PRs!C57,"PR!",""))</f>
        <v/>
      </c>
      <c r="O211" s="7" t="n"/>
    </row>
    <row r="212">
      <c r="A212" s="34" t="n"/>
      <c r="B212" s="34" t="n"/>
      <c r="C212" s="43" t="inlineStr">
        <is>
          <t>Triceps Pushdown</t>
        </is>
      </c>
      <c r="D212" s="34" t="inlineStr">
        <is>
          <t>4 x 10-15</t>
        </is>
      </c>
      <c r="E212" s="34" t="n"/>
      <c r="F212" s="34" t="n"/>
      <c r="G212" s="36" t="n"/>
      <c r="H212" s="37" t="n"/>
      <c r="I212" s="34" t="n"/>
      <c r="J212" s="34" t="n"/>
      <c r="K212" s="34" t="n"/>
      <c r="L212" s="34" t="n"/>
      <c r="M212" s="34" t="n"/>
      <c r="N212" s="34" t="n"/>
      <c r="O212" s="38" t="inlineStr">
        <is>
          <t>Leave 1-2 reps in the tank; add weight when you hit the top of the range</t>
        </is>
      </c>
    </row>
    <row r="213">
      <c r="C213" t="inlineStr">
        <is>
          <t xml:space="preserve">      Set 1</t>
        </is>
      </c>
      <c r="E213" t="n">
        <v>10</v>
      </c>
      <c r="H213" s="39">
        <f>IF(H212="","",H212)</f>
        <v/>
      </c>
      <c r="I213" s="7">
        <f>IF(H212="","",H212)</f>
        <v/>
      </c>
      <c r="J213" s="7" t="n">
        <v>10</v>
      </c>
      <c r="K213" s="7" t="n"/>
      <c r="L213" s="40" t="n"/>
      <c r="M213">
        <f>IF(AND(L213&lt;&gt;"",N(I213)&gt;0,N(J213)&gt;0),IF(J213=1,I213,ROUND(I213*(1+J213/30),1)),"")</f>
        <v/>
      </c>
      <c r="N213" s="41">
        <f>IF(M213="","",IF(M213&gt;=PRs!C59,"PR!",""))</f>
        <v/>
      </c>
      <c r="O213" s="7" t="n"/>
    </row>
    <row r="214">
      <c r="C214" t="inlineStr">
        <is>
          <t xml:space="preserve">      Set 2</t>
        </is>
      </c>
      <c r="E214" t="n">
        <v>10</v>
      </c>
      <c r="H214" s="39">
        <f>IF(H212="","",H212)</f>
        <v/>
      </c>
      <c r="I214" s="7">
        <f>IF(H212="","",H212)</f>
        <v/>
      </c>
      <c r="J214" s="7" t="n">
        <v>10</v>
      </c>
      <c r="K214" s="7" t="n"/>
      <c r="L214" s="40" t="n"/>
      <c r="M214">
        <f>IF(AND(L214&lt;&gt;"",N(I214)&gt;0,N(J214)&gt;0),IF(J214=1,I214,ROUND(I214*(1+J214/30),1)),"")</f>
        <v/>
      </c>
      <c r="N214" s="41">
        <f>IF(M214="","",IF(M214&gt;=PRs!C59,"PR!",""))</f>
        <v/>
      </c>
      <c r="O214" s="7" t="n"/>
    </row>
    <row r="215">
      <c r="C215" t="inlineStr">
        <is>
          <t xml:space="preserve">      Set 3</t>
        </is>
      </c>
      <c r="E215" t="n">
        <v>10</v>
      </c>
      <c r="H215" s="39">
        <f>IF(H212="","",H212)</f>
        <v/>
      </c>
      <c r="I215" s="7">
        <f>IF(H212="","",H212)</f>
        <v/>
      </c>
      <c r="J215" s="7" t="n">
        <v>10</v>
      </c>
      <c r="K215" s="7" t="n"/>
      <c r="L215" s="40" t="n"/>
      <c r="M215">
        <f>IF(AND(L215&lt;&gt;"",N(I215)&gt;0,N(J215)&gt;0),IF(J215=1,I215,ROUND(I215*(1+J215/30),1)),"")</f>
        <v/>
      </c>
      <c r="N215" s="41">
        <f>IF(M215="","",IF(M215&gt;=PRs!C59,"PR!",""))</f>
        <v/>
      </c>
      <c r="O215" s="7" t="n"/>
    </row>
    <row r="216">
      <c r="C216" t="inlineStr">
        <is>
          <t xml:space="preserve">      Set 4</t>
        </is>
      </c>
      <c r="E216" t="n">
        <v>10</v>
      </c>
      <c r="H216" s="39">
        <f>IF(H212="","",H212)</f>
        <v/>
      </c>
      <c r="I216" s="7">
        <f>IF(H212="","",H212)</f>
        <v/>
      </c>
      <c r="J216" s="7" t="n">
        <v>10</v>
      </c>
      <c r="K216" s="7" t="n"/>
      <c r="L216" s="40" t="n"/>
      <c r="M216">
        <f>IF(AND(L216&lt;&gt;"",N(I216)&gt;0,N(J216)&gt;0),IF(J216=1,I216,ROUND(I216*(1+J216/30),1)),"")</f>
        <v/>
      </c>
      <c r="N216" s="41">
        <f>IF(M216="","",IF(M216&gt;=PRs!C59,"PR!",""))</f>
        <v/>
      </c>
      <c r="O216" s="7" t="n"/>
    </row>
    <row r="218">
      <c r="A218" s="45" t="inlineStr">
        <is>
          <t>WEEK 15 - CYCLE 2 - ACCUMULATION</t>
        </is>
      </c>
      <c r="B218" s="46" t="n"/>
      <c r="C218" s="46" t="n"/>
      <c r="D218" s="46" t="n"/>
      <c r="E218" s="46" t="n"/>
      <c r="F218" s="46" t="n"/>
      <c r="G218" s="46" t="n"/>
      <c r="H218" s="47" t="inlineStr">
        <is>
          <t>Bodyweight:</t>
        </is>
      </c>
      <c r="I218" s="7" t="n"/>
      <c r="J218" s="46" t="n"/>
      <c r="K218" s="46" t="n"/>
      <c r="L218" s="46" t="n"/>
      <c r="M218" s="46" t="n"/>
      <c r="N218" s="46" t="n"/>
      <c r="O218" s="46" t="n"/>
    </row>
    <row r="219">
      <c r="A219" s="31" t="inlineStr">
        <is>
          <t>Day 1 - Heavy</t>
        </is>
      </c>
      <c r="B219" s="32">
        <f>'Start Here'!$B$8+98</f>
        <v/>
      </c>
      <c r="C219" s="33" t="n"/>
      <c r="D219" s="33" t="n"/>
      <c r="E219" s="33" t="n"/>
      <c r="F219" s="33" t="n"/>
      <c r="G219" s="33" t="n"/>
      <c r="H219" s="33" t="n"/>
      <c r="I219" s="33" t="n"/>
      <c r="J219" s="33" t="n"/>
      <c r="K219" s="33" t="n"/>
      <c r="L219" s="33" t="n"/>
      <c r="M219" s="33" t="n"/>
      <c r="N219" s="33" t="n"/>
      <c r="O219" s="33" t="n"/>
    </row>
    <row r="220">
      <c r="A220" s="34" t="n"/>
      <c r="B220" s="34" t="n"/>
      <c r="C220" s="35" t="inlineStr">
        <is>
          <t>Box Jump</t>
        </is>
      </c>
      <c r="D220" s="34" t="inlineStr">
        <is>
          <t>4 x 3</t>
        </is>
      </c>
      <c r="E220" s="34" t="n"/>
      <c r="F220" s="34" t="n"/>
      <c r="G220" s="36" t="n"/>
      <c r="H220" s="37">
        <f>IF(N(Maxes!F69)&gt;0,Maxes!F69,'Start Here'!$G$16)</f>
        <v/>
      </c>
      <c r="I220" s="34" t="n"/>
      <c r="J220" s="34" t="n"/>
      <c r="K220" s="34" t="n"/>
      <c r="L220" s="34" t="n"/>
      <c r="M220" s="34" t="n"/>
      <c r="N220" s="34" t="n"/>
      <c r="O220" s="38" t="inlineStr">
        <is>
          <t>Two-foot jump onto a box, land soft in a quarter squat, STEP down. Log the box height (floor to top of box).</t>
        </is>
      </c>
    </row>
    <row r="221">
      <c r="C221" t="inlineStr">
        <is>
          <t xml:space="preserve">      Set 1</t>
        </is>
      </c>
      <c r="E221" t="n">
        <v>3</v>
      </c>
      <c r="H221" s="39">
        <f>IF(H220="","",H220)</f>
        <v/>
      </c>
      <c r="I221" s="7">
        <f>IF(H220="","",H220)</f>
        <v/>
      </c>
      <c r="J221" s="7" t="n">
        <v>3</v>
      </c>
      <c r="K221" s="7" t="n"/>
      <c r="L221" s="40" t="n"/>
      <c r="N221" s="41">
        <f>IF(AND(L221&lt;&gt;"",N(I221)&gt;0),IF(I221&gt;=PRs!D69,"PR!",""),"")</f>
        <v/>
      </c>
      <c r="O221" s="7" t="n"/>
    </row>
    <row r="222">
      <c r="C222" t="inlineStr">
        <is>
          <t xml:space="preserve">      Set 2</t>
        </is>
      </c>
      <c r="E222" t="n">
        <v>3</v>
      </c>
      <c r="H222" s="39">
        <f>IF(H220="","",H220)</f>
        <v/>
      </c>
      <c r="I222" s="7">
        <f>IF(H220="","",H220)</f>
        <v/>
      </c>
      <c r="J222" s="7" t="n">
        <v>3</v>
      </c>
      <c r="K222" s="7" t="n"/>
      <c r="L222" s="40" t="n"/>
      <c r="N222" s="41">
        <f>IF(AND(L222&lt;&gt;"",N(I222)&gt;0),IF(I222&gt;=PRs!D69,"PR!",""),"")</f>
        <v/>
      </c>
      <c r="O222" s="7" t="n"/>
    </row>
    <row r="223">
      <c r="C223" t="inlineStr">
        <is>
          <t xml:space="preserve">      Set 3</t>
        </is>
      </c>
      <c r="E223" t="n">
        <v>3</v>
      </c>
      <c r="H223" s="39">
        <f>IF(H220="","",H220)</f>
        <v/>
      </c>
      <c r="I223" s="7">
        <f>IF(H220="","",H220)</f>
        <v/>
      </c>
      <c r="J223" s="7" t="n">
        <v>3</v>
      </c>
      <c r="K223" s="7" t="n"/>
      <c r="L223" s="40" t="n"/>
      <c r="N223" s="41">
        <f>IF(AND(L223&lt;&gt;"",N(I223)&gt;0),IF(I223&gt;=PRs!D69,"PR!",""),"")</f>
        <v/>
      </c>
      <c r="O223" s="7" t="n"/>
    </row>
    <row r="224">
      <c r="C224" t="inlineStr">
        <is>
          <t xml:space="preserve">      Set 4</t>
        </is>
      </c>
      <c r="E224" t="n">
        <v>3</v>
      </c>
      <c r="H224" s="39">
        <f>IF(H220="","",H220)</f>
        <v/>
      </c>
      <c r="I224" s="7">
        <f>IF(H220="","",H220)</f>
        <v/>
      </c>
      <c r="J224" s="7" t="n">
        <v>3</v>
      </c>
      <c r="K224" s="7" t="n"/>
      <c r="L224" s="40" t="n"/>
      <c r="N224" s="41">
        <f>IF(AND(L224&lt;&gt;"",N(I224)&gt;0),IF(I224&gt;=PRs!D69,"PR!",""),"")</f>
        <v/>
      </c>
      <c r="O224" s="7" t="n"/>
    </row>
    <row r="225">
      <c r="A225" s="34" t="n"/>
      <c r="B225" s="34" t="n"/>
      <c r="C225" s="42" t="inlineStr">
        <is>
          <t>Snatch</t>
        </is>
      </c>
      <c r="D225" s="34" t="inlineStr">
        <is>
          <t>4 x 3</t>
        </is>
      </c>
      <c r="E225" s="34" t="n"/>
      <c r="F225" s="34" t="n">
        <v>75</v>
      </c>
      <c r="G225" s="36">
        <f>Maxes!F6</f>
        <v/>
      </c>
      <c r="H225" s="37">
        <f>IF(OR(G225="",F225=""),"",MROUND(G225*F225/100,'Start Here'!$B$7))</f>
        <v/>
      </c>
      <c r="I225" s="34" t="n"/>
      <c r="J225" s="34" t="n"/>
      <c r="K225" s="34" t="n"/>
      <c r="L225" s="34" t="n"/>
      <c r="M225" s="34" t="n"/>
      <c r="N225" s="34" t="n"/>
      <c r="O225" s="38" t="inlineStr"/>
    </row>
    <row r="226">
      <c r="C226" t="inlineStr">
        <is>
          <t xml:space="preserve">      Set 1</t>
        </is>
      </c>
      <c r="E226" t="n">
        <v>3</v>
      </c>
      <c r="H226" s="39">
        <f>IF(H225="","",H225)</f>
        <v/>
      </c>
      <c r="I226" s="7">
        <f>IF(H225="","",H225)</f>
        <v/>
      </c>
      <c r="J226" s="7" t="n">
        <v>3</v>
      </c>
      <c r="K226" s="7" t="n"/>
      <c r="L226" s="40" t="n"/>
      <c r="M226">
        <f>IF(AND(L226&lt;&gt;"",N(I226)&gt;0,N(J226)&gt;0),IF(J226=1,I226,ROUND(I226*(1+J226/30),1)),"")</f>
        <v/>
      </c>
      <c r="N226" s="41">
        <f>IF(M226="","",IF(M226&gt;=PRs!C6,"PR!",""))</f>
        <v/>
      </c>
      <c r="O226" s="7" t="n"/>
    </row>
    <row r="227">
      <c r="C227" t="inlineStr">
        <is>
          <t xml:space="preserve">      Set 2</t>
        </is>
      </c>
      <c r="E227" t="n">
        <v>3</v>
      </c>
      <c r="H227" s="39">
        <f>IF(H225="","",H225)</f>
        <v/>
      </c>
      <c r="I227" s="7">
        <f>IF(H225="","",H225)</f>
        <v/>
      </c>
      <c r="J227" s="7" t="n">
        <v>3</v>
      </c>
      <c r="K227" s="7" t="n"/>
      <c r="L227" s="40" t="n"/>
      <c r="M227">
        <f>IF(AND(L227&lt;&gt;"",N(I227)&gt;0,N(J227)&gt;0),IF(J227=1,I227,ROUND(I227*(1+J227/30),1)),"")</f>
        <v/>
      </c>
      <c r="N227" s="41">
        <f>IF(M227="","",IF(M227&gt;=PRs!C6,"PR!",""))</f>
        <v/>
      </c>
      <c r="O227" s="7" t="n"/>
    </row>
    <row r="228">
      <c r="C228" t="inlineStr">
        <is>
          <t xml:space="preserve">      Set 3</t>
        </is>
      </c>
      <c r="E228" t="n">
        <v>3</v>
      </c>
      <c r="H228" s="39">
        <f>IF(H225="","",H225)</f>
        <v/>
      </c>
      <c r="I228" s="7">
        <f>IF(H225="","",H225)</f>
        <v/>
      </c>
      <c r="J228" s="7" t="n">
        <v>3</v>
      </c>
      <c r="K228" s="7" t="n"/>
      <c r="L228" s="40" t="n"/>
      <c r="M228">
        <f>IF(AND(L228&lt;&gt;"",N(I228)&gt;0,N(J228)&gt;0),IF(J228=1,I228,ROUND(I228*(1+J228/30),1)),"")</f>
        <v/>
      </c>
      <c r="N228" s="41">
        <f>IF(M228="","",IF(M228&gt;=PRs!C6,"PR!",""))</f>
        <v/>
      </c>
      <c r="O228" s="7" t="n"/>
    </row>
    <row r="229">
      <c r="C229" t="inlineStr">
        <is>
          <t xml:space="preserve">      Set 4</t>
        </is>
      </c>
      <c r="E229" t="n">
        <v>3</v>
      </c>
      <c r="H229" s="39">
        <f>IF(H225="","",H225)</f>
        <v/>
      </c>
      <c r="I229" s="7">
        <f>IF(H225="","",H225)</f>
        <v/>
      </c>
      <c r="J229" s="7" t="n">
        <v>3</v>
      </c>
      <c r="K229" s="7" t="n"/>
      <c r="L229" s="40" t="n"/>
      <c r="M229">
        <f>IF(AND(L229&lt;&gt;"",N(I229)&gt;0,N(J229)&gt;0),IF(J229=1,I229,ROUND(I229*(1+J229/30),1)),"")</f>
        <v/>
      </c>
      <c r="N229" s="41">
        <f>IF(M229="","",IF(M229&gt;=PRs!C6,"PR!",""))</f>
        <v/>
      </c>
      <c r="O229" s="7" t="n"/>
    </row>
    <row r="230">
      <c r="A230" s="34" t="n"/>
      <c r="B230" s="34" t="n"/>
      <c r="C230" s="42" t="inlineStr">
        <is>
          <t>Squat</t>
        </is>
      </c>
      <c r="D230" s="34" t="inlineStr">
        <is>
          <t>3 x 6</t>
        </is>
      </c>
      <c r="E230" s="34" t="n"/>
      <c r="F230" s="34" t="n">
        <v>75</v>
      </c>
      <c r="G230" s="36">
        <f>Maxes!F2</f>
        <v/>
      </c>
      <c r="H230" s="37">
        <f>IF(OR(G230="",F230=""),"",MROUND(G230*F230/100,'Start Here'!$B$7))</f>
        <v/>
      </c>
      <c r="I230" s="34" t="n"/>
      <c r="J230" s="34" t="n"/>
      <c r="K230" s="34" t="n"/>
      <c r="L230" s="34" t="n"/>
      <c r="M230" s="34" t="n"/>
      <c r="N230" s="34" t="n"/>
      <c r="O230" s="38" t="inlineStr"/>
    </row>
    <row r="231">
      <c r="C231" t="inlineStr">
        <is>
          <t xml:space="preserve">      Set 1</t>
        </is>
      </c>
      <c r="E231" t="n">
        <v>6</v>
      </c>
      <c r="H231" s="39">
        <f>IF(H230="","",H230)</f>
        <v/>
      </c>
      <c r="I231" s="7">
        <f>IF(H230="","",H230)</f>
        <v/>
      </c>
      <c r="J231" s="7" t="n">
        <v>6</v>
      </c>
      <c r="K231" s="7" t="n"/>
      <c r="L231" s="40" t="n"/>
      <c r="M231">
        <f>IF(AND(L231&lt;&gt;"",N(I231)&gt;0,N(J231)&gt;0),IF(J231=1,I231,ROUND(I231*(1+J231/30),1)),"")</f>
        <v/>
      </c>
      <c r="N231" s="41">
        <f>IF(M231="","",IF(M231&gt;=PRs!C2,"PR!",""))</f>
        <v/>
      </c>
      <c r="O231" s="7" t="n"/>
    </row>
    <row r="232">
      <c r="C232" t="inlineStr">
        <is>
          <t xml:space="preserve">      Set 2</t>
        </is>
      </c>
      <c r="E232" t="n">
        <v>6</v>
      </c>
      <c r="H232" s="39">
        <f>IF(H230="","",H230)</f>
        <v/>
      </c>
      <c r="I232" s="7">
        <f>IF(H230="","",H230)</f>
        <v/>
      </c>
      <c r="J232" s="7" t="n">
        <v>6</v>
      </c>
      <c r="K232" s="7" t="n"/>
      <c r="L232" s="40" t="n"/>
      <c r="M232">
        <f>IF(AND(L232&lt;&gt;"",N(I232)&gt;0,N(J232)&gt;0),IF(J232=1,I232,ROUND(I232*(1+J232/30),1)),"")</f>
        <v/>
      </c>
      <c r="N232" s="41">
        <f>IF(M232="","",IF(M232&gt;=PRs!C2,"PR!",""))</f>
        <v/>
      </c>
      <c r="O232" s="7" t="n"/>
    </row>
    <row r="233">
      <c r="C233" t="inlineStr">
        <is>
          <t xml:space="preserve">      Set 3</t>
        </is>
      </c>
      <c r="E233" t="n">
        <v>6</v>
      </c>
      <c r="H233" s="39">
        <f>IF(H230="","",H230)</f>
        <v/>
      </c>
      <c r="I233" s="7">
        <f>IF(H230="","",H230)</f>
        <v/>
      </c>
      <c r="J233" s="7" t="n">
        <v>6</v>
      </c>
      <c r="K233" s="7" t="n"/>
      <c r="L233" s="40" t="n"/>
      <c r="M233">
        <f>IF(AND(L233&lt;&gt;"",N(I233)&gt;0,N(J233)&gt;0),IF(J233=1,I233,ROUND(I233*(1+J233/30),1)),"")</f>
        <v/>
      </c>
      <c r="N233" s="41">
        <f>IF(M233="","",IF(M233&gt;=PRs!C2,"PR!",""))</f>
        <v/>
      </c>
      <c r="O233" s="7" t="n"/>
    </row>
    <row r="234">
      <c r="A234" s="34" t="n"/>
      <c r="B234" s="34" t="n"/>
      <c r="C234" s="42" t="inlineStr">
        <is>
          <t>Bench Press</t>
        </is>
      </c>
      <c r="D234" s="34" t="inlineStr">
        <is>
          <t>3 x 6</t>
        </is>
      </c>
      <c r="E234" s="34" t="n"/>
      <c r="F234" s="34" t="n">
        <v>75</v>
      </c>
      <c r="G234" s="36">
        <f>Maxes!F3</f>
        <v/>
      </c>
      <c r="H234" s="37">
        <f>IF(OR(G234="",F234=""),"",MROUND(G234*F234/100,'Start Here'!$B$7))</f>
        <v/>
      </c>
      <c r="I234" s="34" t="n"/>
      <c r="J234" s="34" t="n"/>
      <c r="K234" s="34" t="n"/>
      <c r="L234" s="34" t="n"/>
      <c r="M234" s="34" t="n"/>
      <c r="N234" s="34" t="n"/>
      <c r="O234" s="38" t="inlineStr"/>
    </row>
    <row r="235">
      <c r="C235" t="inlineStr">
        <is>
          <t xml:space="preserve">      Set 1</t>
        </is>
      </c>
      <c r="E235" t="n">
        <v>6</v>
      </c>
      <c r="H235" s="39">
        <f>IF(H234="","",H234)</f>
        <v/>
      </c>
      <c r="I235" s="7">
        <f>IF(H234="","",H234)</f>
        <v/>
      </c>
      <c r="J235" s="7" t="n">
        <v>6</v>
      </c>
      <c r="K235" s="7" t="n"/>
      <c r="L235" s="40" t="n"/>
      <c r="M235">
        <f>IF(AND(L235&lt;&gt;"",N(I235)&gt;0,N(J235)&gt;0),IF(J235=1,I235,ROUND(I235*(1+J235/30),1)),"")</f>
        <v/>
      </c>
      <c r="N235" s="41">
        <f>IF(M235="","",IF(M235&gt;=PRs!C3,"PR!",""))</f>
        <v/>
      </c>
      <c r="O235" s="7" t="n"/>
    </row>
    <row r="236">
      <c r="C236" t="inlineStr">
        <is>
          <t xml:space="preserve">      Set 2</t>
        </is>
      </c>
      <c r="E236" t="n">
        <v>6</v>
      </c>
      <c r="H236" s="39">
        <f>IF(H234="","",H234)</f>
        <v/>
      </c>
      <c r="I236" s="7">
        <f>IF(H234="","",H234)</f>
        <v/>
      </c>
      <c r="J236" s="7" t="n">
        <v>6</v>
      </c>
      <c r="K236" s="7" t="n"/>
      <c r="L236" s="40" t="n"/>
      <c r="M236">
        <f>IF(AND(L236&lt;&gt;"",N(I236)&gt;0,N(J236)&gt;0),IF(J236=1,I236,ROUND(I236*(1+J236/30),1)),"")</f>
        <v/>
      </c>
      <c r="N236" s="41">
        <f>IF(M236="","",IF(M236&gt;=PRs!C3,"PR!",""))</f>
        <v/>
      </c>
      <c r="O236" s="7" t="n"/>
    </row>
    <row r="237">
      <c r="C237" t="inlineStr">
        <is>
          <t xml:space="preserve">      Set 3</t>
        </is>
      </c>
      <c r="E237" t="n">
        <v>6</v>
      </c>
      <c r="H237" s="39">
        <f>IF(H234="","",H234)</f>
        <v/>
      </c>
      <c r="I237" s="7">
        <f>IF(H234="","",H234)</f>
        <v/>
      </c>
      <c r="J237" s="7" t="n">
        <v>6</v>
      </c>
      <c r="K237" s="7" t="n"/>
      <c r="L237" s="40" t="n"/>
      <c r="M237">
        <f>IF(AND(L237&lt;&gt;"",N(I237)&gt;0,N(J237)&gt;0),IF(J237=1,I237,ROUND(I237*(1+J237/30),1)),"")</f>
        <v/>
      </c>
      <c r="N237" s="41">
        <f>IF(M237="","",IF(M237&gt;=PRs!C3,"PR!",""))</f>
        <v/>
      </c>
      <c r="O237" s="7" t="n"/>
    </row>
    <row r="238">
      <c r="A238" s="34" t="n"/>
      <c r="B238" s="34" t="n"/>
      <c r="C238" s="43" t="inlineStr">
        <is>
          <t>Barbell Row</t>
        </is>
      </c>
      <c r="D238" s="34" t="inlineStr">
        <is>
          <t>4 x 8-10</t>
        </is>
      </c>
      <c r="E238" s="34" t="n"/>
      <c r="F238" s="34" t="n"/>
      <c r="G238" s="36" t="n"/>
      <c r="H238" s="37" t="n"/>
      <c r="I238" s="34" t="n"/>
      <c r="J238" s="34" t="n"/>
      <c r="K238" s="34" t="n"/>
      <c r="L238" s="34" t="n"/>
      <c r="M238" s="34" t="n"/>
      <c r="N238" s="34" t="n"/>
      <c r="O238" s="38" t="inlineStr">
        <is>
          <t>Leave 1-2 reps in the tank; add weight when you hit the top of the range</t>
        </is>
      </c>
    </row>
    <row r="239">
      <c r="C239" t="inlineStr">
        <is>
          <t xml:space="preserve">      Set 1</t>
        </is>
      </c>
      <c r="E239" t="n">
        <v>8</v>
      </c>
      <c r="H239" s="39">
        <f>IF(H238="","",H238)</f>
        <v/>
      </c>
      <c r="I239" s="7">
        <f>IF(H238="","",H238)</f>
        <v/>
      </c>
      <c r="J239" s="7" t="n">
        <v>8</v>
      </c>
      <c r="K239" s="7" t="n"/>
      <c r="L239" s="40" t="n"/>
      <c r="M239">
        <f>IF(AND(L239&lt;&gt;"",N(I239)&gt;0,N(J239)&gt;0),IF(J239=1,I239,ROUND(I239*(1+J239/30),1)),"")</f>
        <v/>
      </c>
      <c r="N239" s="41">
        <f>IF(M239="","",IF(M239&gt;=PRs!C50,"PR!",""))</f>
        <v/>
      </c>
      <c r="O239" s="7" t="n"/>
    </row>
    <row r="240">
      <c r="C240" t="inlineStr">
        <is>
          <t xml:space="preserve">      Set 2</t>
        </is>
      </c>
      <c r="E240" t="n">
        <v>8</v>
      </c>
      <c r="H240" s="39">
        <f>IF(H238="","",H238)</f>
        <v/>
      </c>
      <c r="I240" s="7">
        <f>IF(H238="","",H238)</f>
        <v/>
      </c>
      <c r="J240" s="7" t="n">
        <v>8</v>
      </c>
      <c r="K240" s="7" t="n"/>
      <c r="L240" s="40" t="n"/>
      <c r="M240">
        <f>IF(AND(L240&lt;&gt;"",N(I240)&gt;0,N(J240)&gt;0),IF(J240=1,I240,ROUND(I240*(1+J240/30),1)),"")</f>
        <v/>
      </c>
      <c r="N240" s="41">
        <f>IF(M240="","",IF(M240&gt;=PRs!C50,"PR!",""))</f>
        <v/>
      </c>
      <c r="O240" s="7" t="n"/>
    </row>
    <row r="241">
      <c r="C241" t="inlineStr">
        <is>
          <t xml:space="preserve">      Set 3</t>
        </is>
      </c>
      <c r="E241" t="n">
        <v>8</v>
      </c>
      <c r="H241" s="39">
        <f>IF(H238="","",H238)</f>
        <v/>
      </c>
      <c r="I241" s="7">
        <f>IF(H238="","",H238)</f>
        <v/>
      </c>
      <c r="J241" s="7" t="n">
        <v>8</v>
      </c>
      <c r="K241" s="7" t="n"/>
      <c r="L241" s="40" t="n"/>
      <c r="M241">
        <f>IF(AND(L241&lt;&gt;"",N(I241)&gt;0,N(J241)&gt;0),IF(J241=1,I241,ROUND(I241*(1+J241/30),1)),"")</f>
        <v/>
      </c>
      <c r="N241" s="41">
        <f>IF(M241="","",IF(M241&gt;=PRs!C50,"PR!",""))</f>
        <v/>
      </c>
      <c r="O241" s="7" t="n"/>
    </row>
    <row r="242">
      <c r="C242" t="inlineStr">
        <is>
          <t xml:space="preserve">      Set 4</t>
        </is>
      </c>
      <c r="E242" t="n">
        <v>8</v>
      </c>
      <c r="H242" s="39">
        <f>IF(H238="","",H238)</f>
        <v/>
      </c>
      <c r="I242" s="7">
        <f>IF(H238="","",H238)</f>
        <v/>
      </c>
      <c r="J242" s="7" t="n">
        <v>8</v>
      </c>
      <c r="K242" s="7" t="n"/>
      <c r="L242" s="40" t="n"/>
      <c r="M242">
        <f>IF(AND(L242&lt;&gt;"",N(I242)&gt;0,N(J242)&gt;0),IF(J242=1,I242,ROUND(I242*(1+J242/30),1)),"")</f>
        <v/>
      </c>
      <c r="N242" s="41">
        <f>IF(M242="","",IF(M242&gt;=PRs!C50,"PR!",""))</f>
        <v/>
      </c>
      <c r="O242" s="7" t="n"/>
    </row>
    <row r="243">
      <c r="A243" s="34" t="n"/>
      <c r="B243" s="34" t="n"/>
      <c r="C243" s="43" t="inlineStr">
        <is>
          <t>Face Pull</t>
        </is>
      </c>
      <c r="D243" s="34" t="inlineStr">
        <is>
          <t>4 x 12-15</t>
        </is>
      </c>
      <c r="E243" s="34" t="n"/>
      <c r="F243" s="34" t="n"/>
      <c r="G243" s="36" t="n"/>
      <c r="H243" s="37" t="n"/>
      <c r="I243" s="34" t="n"/>
      <c r="J243" s="34" t="n"/>
      <c r="K243" s="34" t="n"/>
      <c r="L243" s="34" t="n"/>
      <c r="M243" s="34" t="n"/>
      <c r="N243" s="34" t="n"/>
      <c r="O243" s="38" t="inlineStr">
        <is>
          <t>Leave 1-2 reps in the tank; add weight when you hit the top of the range</t>
        </is>
      </c>
    </row>
    <row r="244">
      <c r="C244" t="inlineStr">
        <is>
          <t xml:space="preserve">      Set 1</t>
        </is>
      </c>
      <c r="E244" t="n">
        <v>12</v>
      </c>
      <c r="H244" s="39">
        <f>IF(H243="","",H243)</f>
        <v/>
      </c>
      <c r="I244" s="7">
        <f>IF(H243="","",H243)</f>
        <v/>
      </c>
      <c r="J244" s="7" t="n">
        <v>12</v>
      </c>
      <c r="K244" s="7" t="n"/>
      <c r="L244" s="40" t="n"/>
      <c r="M244">
        <f>IF(AND(L244&lt;&gt;"",N(I244)&gt;0,N(J244)&gt;0),IF(J244=1,I244,ROUND(I244*(1+J244/30),1)),"")</f>
        <v/>
      </c>
      <c r="N244" s="41">
        <f>IF(M244="","",IF(M244&gt;=PRs!C51,"PR!",""))</f>
        <v/>
      </c>
      <c r="O244" s="7" t="n"/>
    </row>
    <row r="245">
      <c r="C245" t="inlineStr">
        <is>
          <t xml:space="preserve">      Set 2</t>
        </is>
      </c>
      <c r="E245" t="n">
        <v>12</v>
      </c>
      <c r="H245" s="39">
        <f>IF(H243="","",H243)</f>
        <v/>
      </c>
      <c r="I245" s="7">
        <f>IF(H243="","",H243)</f>
        <v/>
      </c>
      <c r="J245" s="7" t="n">
        <v>12</v>
      </c>
      <c r="K245" s="7" t="n"/>
      <c r="L245" s="40" t="n"/>
      <c r="M245">
        <f>IF(AND(L245&lt;&gt;"",N(I245)&gt;0,N(J245)&gt;0),IF(J245=1,I245,ROUND(I245*(1+J245/30),1)),"")</f>
        <v/>
      </c>
      <c r="N245" s="41">
        <f>IF(M245="","",IF(M245&gt;=PRs!C51,"PR!",""))</f>
        <v/>
      </c>
      <c r="O245" s="7" t="n"/>
    </row>
    <row r="246">
      <c r="C246" t="inlineStr">
        <is>
          <t xml:space="preserve">      Set 3</t>
        </is>
      </c>
      <c r="E246" t="n">
        <v>12</v>
      </c>
      <c r="H246" s="39">
        <f>IF(H243="","",H243)</f>
        <v/>
      </c>
      <c r="I246" s="7">
        <f>IF(H243="","",H243)</f>
        <v/>
      </c>
      <c r="J246" s="7" t="n">
        <v>12</v>
      </c>
      <c r="K246" s="7" t="n"/>
      <c r="L246" s="40" t="n"/>
      <c r="M246">
        <f>IF(AND(L246&lt;&gt;"",N(I246)&gt;0,N(J246)&gt;0),IF(J246=1,I246,ROUND(I246*(1+J246/30),1)),"")</f>
        <v/>
      </c>
      <c r="N246" s="41">
        <f>IF(M246="","",IF(M246&gt;=PRs!C51,"PR!",""))</f>
        <v/>
      </c>
      <c r="O246" s="7" t="n"/>
    </row>
    <row r="247">
      <c r="C247" t="inlineStr">
        <is>
          <t xml:space="preserve">      Set 4</t>
        </is>
      </c>
      <c r="E247" t="n">
        <v>12</v>
      </c>
      <c r="H247" s="39">
        <f>IF(H243="","",H243)</f>
        <v/>
      </c>
      <c r="I247" s="7">
        <f>IF(H243="","",H243)</f>
        <v/>
      </c>
      <c r="J247" s="7" t="n">
        <v>12</v>
      </c>
      <c r="K247" s="7" t="n"/>
      <c r="L247" s="40" t="n"/>
      <c r="M247">
        <f>IF(AND(L247&lt;&gt;"",N(I247)&gt;0,N(J247)&gt;0),IF(J247=1,I247,ROUND(I247*(1+J247/30),1)),"")</f>
        <v/>
      </c>
      <c r="N247" s="41">
        <f>IF(M247="","",IF(M247&gt;=PRs!C51,"PR!",""))</f>
        <v/>
      </c>
      <c r="O247" s="7" t="n"/>
    </row>
    <row r="248">
      <c r="A248" s="31" t="inlineStr">
        <is>
          <t>Day 2 - Light</t>
        </is>
      </c>
      <c r="B248" s="32">
        <f>'Start Here'!$B$8+100</f>
        <v/>
      </c>
      <c r="C248" s="33" t="n"/>
      <c r="D248" s="33" t="n"/>
      <c r="E248" s="33" t="n"/>
      <c r="F248" s="33" t="n"/>
      <c r="G248" s="33" t="n"/>
      <c r="H248" s="33" t="n"/>
      <c r="I248" s="33" t="n"/>
      <c r="J248" s="33" t="n"/>
      <c r="K248" s="33" t="n"/>
      <c r="L248" s="33" t="n"/>
      <c r="M248" s="33" t="n"/>
      <c r="N248" s="33" t="n"/>
      <c r="O248" s="33" t="n"/>
    </row>
    <row r="249">
      <c r="A249" s="34" t="n"/>
      <c r="B249" s="34" t="n"/>
      <c r="C249" s="35" t="inlineStr">
        <is>
          <t>Broad Jump</t>
        </is>
      </c>
      <c r="D249" s="34" t="inlineStr">
        <is>
          <t>4 x 3</t>
        </is>
      </c>
      <c r="E249" s="34" t="n"/>
      <c r="F249" s="34" t="n"/>
      <c r="G249" s="36" t="n"/>
      <c r="H249" s="37">
        <f>IF(N(Maxes!F70)&gt;0,Maxes!F70,"")</f>
        <v/>
      </c>
      <c r="I249" s="34" t="n"/>
      <c r="J249" s="34" t="n"/>
      <c r="K249" s="34" t="n"/>
      <c r="L249" s="34" t="n"/>
      <c r="M249" s="34" t="n"/>
      <c r="N249" s="34" t="n"/>
      <c r="O249" s="38" t="inlineStr">
        <is>
          <t>Standing two-foot jump forward, stick the landing. Measure toe line to the back of the nearest heel.</t>
        </is>
      </c>
    </row>
    <row r="250">
      <c r="C250" t="inlineStr">
        <is>
          <t xml:space="preserve">      Set 1</t>
        </is>
      </c>
      <c r="E250" t="n">
        <v>3</v>
      </c>
      <c r="H250" s="39">
        <f>IF(H249="","",H249)</f>
        <v/>
      </c>
      <c r="I250" s="7">
        <f>IF(H249="","",H249)</f>
        <v/>
      </c>
      <c r="J250" s="7" t="n">
        <v>3</v>
      </c>
      <c r="K250" s="7" t="n"/>
      <c r="L250" s="40" t="n"/>
      <c r="N250" s="41">
        <f>IF(AND(L250&lt;&gt;"",N(I250)&gt;0),IF(I250&gt;=PRs!D70,"PR!",""),"")</f>
        <v/>
      </c>
      <c r="O250" s="7" t="n"/>
    </row>
    <row r="251">
      <c r="C251" t="inlineStr">
        <is>
          <t xml:space="preserve">      Set 2</t>
        </is>
      </c>
      <c r="E251" t="n">
        <v>3</v>
      </c>
      <c r="H251" s="39">
        <f>IF(H249="","",H249)</f>
        <v/>
      </c>
      <c r="I251" s="7">
        <f>IF(H249="","",H249)</f>
        <v/>
      </c>
      <c r="J251" s="7" t="n">
        <v>3</v>
      </c>
      <c r="K251" s="7" t="n"/>
      <c r="L251" s="40" t="n"/>
      <c r="N251" s="41">
        <f>IF(AND(L251&lt;&gt;"",N(I251)&gt;0),IF(I251&gt;=PRs!D70,"PR!",""),"")</f>
        <v/>
      </c>
      <c r="O251" s="7" t="n"/>
    </row>
    <row r="252">
      <c r="C252" t="inlineStr">
        <is>
          <t xml:space="preserve">      Set 3</t>
        </is>
      </c>
      <c r="E252" t="n">
        <v>3</v>
      </c>
      <c r="H252" s="39">
        <f>IF(H249="","",H249)</f>
        <v/>
      </c>
      <c r="I252" s="7">
        <f>IF(H249="","",H249)</f>
        <v/>
      </c>
      <c r="J252" s="7" t="n">
        <v>3</v>
      </c>
      <c r="K252" s="7" t="n"/>
      <c r="L252" s="40" t="n"/>
      <c r="N252" s="41">
        <f>IF(AND(L252&lt;&gt;"",N(I252)&gt;0),IF(I252&gt;=PRs!D70,"PR!",""),"")</f>
        <v/>
      </c>
      <c r="O252" s="7" t="n"/>
    </row>
    <row r="253">
      <c r="C253" t="inlineStr">
        <is>
          <t xml:space="preserve">      Set 4</t>
        </is>
      </c>
      <c r="E253" t="n">
        <v>3</v>
      </c>
      <c r="H253" s="39">
        <f>IF(H249="","",H249)</f>
        <v/>
      </c>
      <c r="I253" s="7">
        <f>IF(H249="","",H249)</f>
        <v/>
      </c>
      <c r="J253" s="7" t="n">
        <v>3</v>
      </c>
      <c r="K253" s="7" t="n"/>
      <c r="L253" s="40" t="n"/>
      <c r="N253" s="41">
        <f>IF(AND(L253&lt;&gt;"",N(I253)&gt;0),IF(I253&gt;=PRs!D70,"PR!",""),"")</f>
        <v/>
      </c>
      <c r="O253" s="7" t="n"/>
    </row>
    <row r="254">
      <c r="A254" s="34" t="n"/>
      <c r="B254" s="34" t="n"/>
      <c r="C254" s="35" t="inlineStr">
        <is>
          <t>Med Ball Chest Pass</t>
        </is>
      </c>
      <c r="D254" s="34" t="inlineStr">
        <is>
          <t>3 x 5</t>
        </is>
      </c>
      <c r="E254" s="34" t="n"/>
      <c r="F254" s="34" t="n"/>
      <c r="G254" s="36" t="n"/>
      <c r="H254" s="37">
        <f>IF(N(Maxes!F77)&gt;0,Maxes!F77,"")</f>
        <v/>
      </c>
      <c r="I254" s="34" t="n"/>
      <c r="J254" s="34" t="n"/>
      <c r="K254" s="34" t="n"/>
      <c r="L254" s="34" t="n"/>
      <c r="M254" s="34" t="n"/>
      <c r="N254" s="34" t="n"/>
      <c r="O254" s="38" t="inlineStr">
        <is>
          <t>Kneeling or standing chest pass for distance with a 6-10 lb / 3-5 kg ball. Log the distance.</t>
        </is>
      </c>
    </row>
    <row r="255">
      <c r="C255" t="inlineStr">
        <is>
          <t xml:space="preserve">      Set 1</t>
        </is>
      </c>
      <c r="E255" t="n">
        <v>5</v>
      </c>
      <c r="H255" s="39">
        <f>IF(H254="","",H254)</f>
        <v/>
      </c>
      <c r="I255" s="7">
        <f>IF(H254="","",H254)</f>
        <v/>
      </c>
      <c r="J255" s="7" t="n">
        <v>5</v>
      </c>
      <c r="K255" s="7" t="n"/>
      <c r="L255" s="40" t="n"/>
      <c r="N255" s="41">
        <f>IF(AND(L255&lt;&gt;"",N(I255)&gt;0),IF(I255&gt;=PRs!D77,"PR!",""),"")</f>
        <v/>
      </c>
      <c r="O255" s="7" t="n"/>
    </row>
    <row r="256">
      <c r="C256" t="inlineStr">
        <is>
          <t xml:space="preserve">      Set 2</t>
        </is>
      </c>
      <c r="E256" t="n">
        <v>5</v>
      </c>
      <c r="H256" s="39">
        <f>IF(H254="","",H254)</f>
        <v/>
      </c>
      <c r="I256" s="7">
        <f>IF(H254="","",H254)</f>
        <v/>
      </c>
      <c r="J256" s="7" t="n">
        <v>5</v>
      </c>
      <c r="K256" s="7" t="n"/>
      <c r="L256" s="40" t="n"/>
      <c r="N256" s="41">
        <f>IF(AND(L256&lt;&gt;"",N(I256)&gt;0),IF(I256&gt;=PRs!D77,"PR!",""),"")</f>
        <v/>
      </c>
      <c r="O256" s="7" t="n"/>
    </row>
    <row r="257">
      <c r="C257" t="inlineStr">
        <is>
          <t xml:space="preserve">      Set 3</t>
        </is>
      </c>
      <c r="E257" t="n">
        <v>5</v>
      </c>
      <c r="H257" s="39">
        <f>IF(H254="","",H254)</f>
        <v/>
      </c>
      <c r="I257" s="7">
        <f>IF(H254="","",H254)</f>
        <v/>
      </c>
      <c r="J257" s="7" t="n">
        <v>5</v>
      </c>
      <c r="K257" s="7" t="n"/>
      <c r="L257" s="40" t="n"/>
      <c r="N257" s="41">
        <f>IF(AND(L257&lt;&gt;"",N(I257)&gt;0),IF(I257&gt;=PRs!D77,"PR!",""),"")</f>
        <v/>
      </c>
      <c r="O257" s="7" t="n"/>
    </row>
    <row r="258">
      <c r="A258" s="34" t="n"/>
      <c r="B258" s="34" t="n"/>
      <c r="C258" s="42" t="inlineStr">
        <is>
          <t>Clean &amp; Jerk</t>
        </is>
      </c>
      <c r="D258" s="34" t="inlineStr">
        <is>
          <t>4 x 3</t>
        </is>
      </c>
      <c r="E258" s="34" t="n"/>
      <c r="F258" s="34" t="n">
        <v>75</v>
      </c>
      <c r="G258" s="36">
        <f>Maxes!F7</f>
        <v/>
      </c>
      <c r="H258" s="37">
        <f>IF(OR(G258="",F258=""),"",MROUND(G258*F258/100,'Start Here'!$B$7))</f>
        <v/>
      </c>
      <c r="I258" s="34" t="n"/>
      <c r="J258" s="34" t="n"/>
      <c r="K258" s="34" t="n"/>
      <c r="L258" s="34" t="n"/>
      <c r="M258" s="34" t="n"/>
      <c r="N258" s="34" t="n"/>
      <c r="O258" s="38" t="inlineStr"/>
    </row>
    <row r="259">
      <c r="C259" t="inlineStr">
        <is>
          <t xml:space="preserve">      Set 1</t>
        </is>
      </c>
      <c r="E259" t="n">
        <v>3</v>
      </c>
      <c r="H259" s="39">
        <f>IF(H258="","",H258)</f>
        <v/>
      </c>
      <c r="I259" s="7">
        <f>IF(H258="","",H258)</f>
        <v/>
      </c>
      <c r="J259" s="7" t="n">
        <v>3</v>
      </c>
      <c r="K259" s="7" t="n"/>
      <c r="L259" s="40" t="n"/>
      <c r="M259">
        <f>IF(AND(L259&lt;&gt;"",N(I259)&gt;0,N(J259)&gt;0),IF(J259=1,I259,ROUND(I259*(1+J259/30),1)),"")</f>
        <v/>
      </c>
      <c r="N259" s="41">
        <f>IF(M259="","",IF(M259&gt;=PRs!C7,"PR!",""))</f>
        <v/>
      </c>
      <c r="O259" s="7" t="n"/>
    </row>
    <row r="260">
      <c r="C260" t="inlineStr">
        <is>
          <t xml:space="preserve">      Set 2</t>
        </is>
      </c>
      <c r="E260" t="n">
        <v>3</v>
      </c>
      <c r="H260" s="39">
        <f>IF(H258="","",H258)</f>
        <v/>
      </c>
      <c r="I260" s="7">
        <f>IF(H258="","",H258)</f>
        <v/>
      </c>
      <c r="J260" s="7" t="n">
        <v>3</v>
      </c>
      <c r="K260" s="7" t="n"/>
      <c r="L260" s="40" t="n"/>
      <c r="M260">
        <f>IF(AND(L260&lt;&gt;"",N(I260)&gt;0,N(J260)&gt;0),IF(J260=1,I260,ROUND(I260*(1+J260/30),1)),"")</f>
        <v/>
      </c>
      <c r="N260" s="41">
        <f>IF(M260="","",IF(M260&gt;=PRs!C7,"PR!",""))</f>
        <v/>
      </c>
      <c r="O260" s="7" t="n"/>
    </row>
    <row r="261">
      <c r="C261" t="inlineStr">
        <is>
          <t xml:space="preserve">      Set 3</t>
        </is>
      </c>
      <c r="E261" t="n">
        <v>3</v>
      </c>
      <c r="H261" s="39">
        <f>IF(H258="","",H258)</f>
        <v/>
      </c>
      <c r="I261" s="7">
        <f>IF(H258="","",H258)</f>
        <v/>
      </c>
      <c r="J261" s="7" t="n">
        <v>3</v>
      </c>
      <c r="K261" s="7" t="n"/>
      <c r="L261" s="40" t="n"/>
      <c r="M261">
        <f>IF(AND(L261&lt;&gt;"",N(I261)&gt;0,N(J261)&gt;0),IF(J261=1,I261,ROUND(I261*(1+J261/30),1)),"")</f>
        <v/>
      </c>
      <c r="N261" s="41">
        <f>IF(M261="","",IF(M261&gt;=PRs!C7,"PR!",""))</f>
        <v/>
      </c>
      <c r="O261" s="7" t="n"/>
    </row>
    <row r="262">
      <c r="C262" t="inlineStr">
        <is>
          <t xml:space="preserve">      Set 4</t>
        </is>
      </c>
      <c r="E262" t="n">
        <v>3</v>
      </c>
      <c r="H262" s="39">
        <f>IF(H258="","",H258)</f>
        <v/>
      </c>
      <c r="I262" s="7">
        <f>IF(H258="","",H258)</f>
        <v/>
      </c>
      <c r="J262" s="7" t="n">
        <v>3</v>
      </c>
      <c r="K262" s="7" t="n"/>
      <c r="L262" s="40" t="n"/>
      <c r="M262">
        <f>IF(AND(L262&lt;&gt;"",N(I262)&gt;0,N(J262)&gt;0),IF(J262=1,I262,ROUND(I262*(1+J262/30),1)),"")</f>
        <v/>
      </c>
      <c r="N262" s="41">
        <f>IF(M262="","",IF(M262&gt;=PRs!C7,"PR!",""))</f>
        <v/>
      </c>
      <c r="O262" s="7" t="n"/>
    </row>
    <row r="263">
      <c r="A263" s="34" t="n"/>
      <c r="B263" s="34" t="n"/>
      <c r="C263" s="42" t="inlineStr">
        <is>
          <t>Squat</t>
        </is>
      </c>
      <c r="D263" s="34" t="inlineStr">
        <is>
          <t>3 x 6</t>
        </is>
      </c>
      <c r="E263" s="34" t="n"/>
      <c r="F263" s="34" t="n">
        <v>65</v>
      </c>
      <c r="G263" s="36">
        <f>Maxes!F2</f>
        <v/>
      </c>
      <c r="H263" s="37">
        <f>IF(OR(G263="",F263=""),"",MROUND(G263*F263/100,'Start Here'!$B$7))</f>
        <v/>
      </c>
      <c r="I263" s="34" t="n"/>
      <c r="J263" s="34" t="n"/>
      <c r="K263" s="34" t="n"/>
      <c r="L263" s="34" t="n"/>
      <c r="M263" s="34" t="n"/>
      <c r="N263" s="34" t="n"/>
      <c r="O263" s="38" t="inlineStr"/>
    </row>
    <row r="264">
      <c r="C264" t="inlineStr">
        <is>
          <t xml:space="preserve">      Set 1</t>
        </is>
      </c>
      <c r="E264" t="n">
        <v>6</v>
      </c>
      <c r="H264" s="39">
        <f>IF(H263="","",H263)</f>
        <v/>
      </c>
      <c r="I264" s="7">
        <f>IF(H263="","",H263)</f>
        <v/>
      </c>
      <c r="J264" s="7" t="n">
        <v>6</v>
      </c>
      <c r="K264" s="7" t="n"/>
      <c r="L264" s="40" t="n"/>
      <c r="M264">
        <f>IF(AND(L264&lt;&gt;"",N(I264)&gt;0,N(J264)&gt;0),IF(J264=1,I264,ROUND(I264*(1+J264/30),1)),"")</f>
        <v/>
      </c>
      <c r="N264" s="41">
        <f>IF(M264="","",IF(M264&gt;=PRs!C2,"PR!",""))</f>
        <v/>
      </c>
      <c r="O264" s="7" t="n"/>
    </row>
    <row r="265">
      <c r="C265" t="inlineStr">
        <is>
          <t xml:space="preserve">      Set 2</t>
        </is>
      </c>
      <c r="E265" t="n">
        <v>6</v>
      </c>
      <c r="H265" s="39">
        <f>IF(H263="","",H263)</f>
        <v/>
      </c>
      <c r="I265" s="7">
        <f>IF(H263="","",H263)</f>
        <v/>
      </c>
      <c r="J265" s="7" t="n">
        <v>6</v>
      </c>
      <c r="K265" s="7" t="n"/>
      <c r="L265" s="40" t="n"/>
      <c r="M265">
        <f>IF(AND(L265&lt;&gt;"",N(I265)&gt;0,N(J265)&gt;0),IF(J265=1,I265,ROUND(I265*(1+J265/30),1)),"")</f>
        <v/>
      </c>
      <c r="N265" s="41">
        <f>IF(M265="","",IF(M265&gt;=PRs!C2,"PR!",""))</f>
        <v/>
      </c>
      <c r="O265" s="7" t="n"/>
    </row>
    <row r="266">
      <c r="C266" t="inlineStr">
        <is>
          <t xml:space="preserve">      Set 3</t>
        </is>
      </c>
      <c r="E266" t="n">
        <v>6</v>
      </c>
      <c r="H266" s="39">
        <f>IF(H263="","",H263)</f>
        <v/>
      </c>
      <c r="I266" s="7">
        <f>IF(H263="","",H263)</f>
        <v/>
      </c>
      <c r="J266" s="7" t="n">
        <v>6</v>
      </c>
      <c r="K266" s="7" t="n"/>
      <c r="L266" s="40" t="n"/>
      <c r="M266">
        <f>IF(AND(L266&lt;&gt;"",N(I266)&gt;0,N(J266)&gt;0),IF(J266=1,I266,ROUND(I266*(1+J266/30),1)),"")</f>
        <v/>
      </c>
      <c r="N266" s="41">
        <f>IF(M266="","",IF(M266&gt;=PRs!C2,"PR!",""))</f>
        <v/>
      </c>
      <c r="O266" s="7" t="n"/>
    </row>
    <row r="267">
      <c r="A267" s="34" t="n"/>
      <c r="B267" s="34" t="n"/>
      <c r="C267" s="42" t="inlineStr">
        <is>
          <t>Overhead Press</t>
        </is>
      </c>
      <c r="D267" s="34" t="inlineStr">
        <is>
          <t>3 x 6</t>
        </is>
      </c>
      <c r="E267" s="34" t="n"/>
      <c r="F267" s="34" t="n">
        <v>70</v>
      </c>
      <c r="G267" s="36">
        <f>Maxes!F5</f>
        <v/>
      </c>
      <c r="H267" s="37">
        <f>IF(OR(G267="",F267=""),"",MROUND(G267*F267/100,'Start Here'!$B$7))</f>
        <v/>
      </c>
      <c r="I267" s="34" t="n"/>
      <c r="J267" s="34" t="n"/>
      <c r="K267" s="34" t="n"/>
      <c r="L267" s="34" t="n"/>
      <c r="M267" s="34" t="n"/>
      <c r="N267" s="34" t="n"/>
      <c r="O267" s="38" t="inlineStr"/>
    </row>
    <row r="268">
      <c r="C268" t="inlineStr">
        <is>
          <t xml:space="preserve">      Set 1</t>
        </is>
      </c>
      <c r="E268" t="n">
        <v>6</v>
      </c>
      <c r="H268" s="39">
        <f>IF(H267="","",H267)</f>
        <v/>
      </c>
      <c r="I268" s="7">
        <f>IF(H267="","",H267)</f>
        <v/>
      </c>
      <c r="J268" s="7" t="n">
        <v>6</v>
      </c>
      <c r="K268" s="7" t="n"/>
      <c r="L268" s="40" t="n"/>
      <c r="M268">
        <f>IF(AND(L268&lt;&gt;"",N(I268)&gt;0,N(J268)&gt;0),IF(J268=1,I268,ROUND(I268*(1+J268/30),1)),"")</f>
        <v/>
      </c>
      <c r="N268" s="41">
        <f>IF(M268="","",IF(M268&gt;=PRs!C5,"PR!",""))</f>
        <v/>
      </c>
      <c r="O268" s="7" t="n"/>
    </row>
    <row r="269">
      <c r="C269" t="inlineStr">
        <is>
          <t xml:space="preserve">      Set 2</t>
        </is>
      </c>
      <c r="E269" t="n">
        <v>6</v>
      </c>
      <c r="H269" s="39">
        <f>IF(H267="","",H267)</f>
        <v/>
      </c>
      <c r="I269" s="7">
        <f>IF(H267="","",H267)</f>
        <v/>
      </c>
      <c r="J269" s="7" t="n">
        <v>6</v>
      </c>
      <c r="K269" s="7" t="n"/>
      <c r="L269" s="40" t="n"/>
      <c r="M269">
        <f>IF(AND(L269&lt;&gt;"",N(I269)&gt;0,N(J269)&gt;0),IF(J269=1,I269,ROUND(I269*(1+J269/30),1)),"")</f>
        <v/>
      </c>
      <c r="N269" s="41">
        <f>IF(M269="","",IF(M269&gt;=PRs!C5,"PR!",""))</f>
        <v/>
      </c>
      <c r="O269" s="7" t="n"/>
    </row>
    <row r="270">
      <c r="C270" t="inlineStr">
        <is>
          <t xml:space="preserve">      Set 3</t>
        </is>
      </c>
      <c r="E270" t="n">
        <v>6</v>
      </c>
      <c r="H270" s="39">
        <f>IF(H267="","",H267)</f>
        <v/>
      </c>
      <c r="I270" s="7">
        <f>IF(H267="","",H267)</f>
        <v/>
      </c>
      <c r="J270" s="7" t="n">
        <v>6</v>
      </c>
      <c r="K270" s="7" t="n"/>
      <c r="L270" s="40" t="n"/>
      <c r="M270">
        <f>IF(AND(L270&lt;&gt;"",N(I270)&gt;0,N(J270)&gt;0),IF(J270=1,I270,ROUND(I270*(1+J270/30),1)),"")</f>
        <v/>
      </c>
      <c r="N270" s="41">
        <f>IF(M270="","",IF(M270&gt;=PRs!C5,"PR!",""))</f>
        <v/>
      </c>
      <c r="O270" s="7" t="n"/>
    </row>
    <row r="271">
      <c r="A271" s="34" t="n"/>
      <c r="B271" s="34" t="n"/>
      <c r="C271" s="42" t="inlineStr">
        <is>
          <t>Deadlift</t>
        </is>
      </c>
      <c r="D271" s="34" t="inlineStr">
        <is>
          <t>3 x 6</t>
        </is>
      </c>
      <c r="E271" s="34" t="n"/>
      <c r="F271" s="34" t="n">
        <v>70</v>
      </c>
      <c r="G271" s="36">
        <f>Maxes!F4</f>
        <v/>
      </c>
      <c r="H271" s="37">
        <f>IF(OR(G271="",F271=""),"",MROUND(G271*F271/100,'Start Here'!$B$7))</f>
        <v/>
      </c>
      <c r="I271" s="34" t="n"/>
      <c r="J271" s="34" t="n"/>
      <c r="K271" s="34" t="n"/>
      <c r="L271" s="34" t="n"/>
      <c r="M271" s="34" t="n"/>
      <c r="N271" s="34" t="n"/>
      <c r="O271" s="38" t="inlineStr"/>
    </row>
    <row r="272">
      <c r="C272" t="inlineStr">
        <is>
          <t xml:space="preserve">      Set 1</t>
        </is>
      </c>
      <c r="E272" t="n">
        <v>6</v>
      </c>
      <c r="H272" s="39">
        <f>IF(H271="","",H271)</f>
        <v/>
      </c>
      <c r="I272" s="7">
        <f>IF(H271="","",H271)</f>
        <v/>
      </c>
      <c r="J272" s="7" t="n">
        <v>6</v>
      </c>
      <c r="K272" s="7" t="n"/>
      <c r="L272" s="40" t="n"/>
      <c r="M272">
        <f>IF(AND(L272&lt;&gt;"",N(I272)&gt;0,N(J272)&gt;0),IF(J272=1,I272,ROUND(I272*(1+J272/30),1)),"")</f>
        <v/>
      </c>
      <c r="N272" s="41">
        <f>IF(M272="","",IF(M272&gt;=PRs!C4,"PR!",""))</f>
        <v/>
      </c>
      <c r="O272" s="7" t="n"/>
    </row>
    <row r="273">
      <c r="C273" t="inlineStr">
        <is>
          <t xml:space="preserve">      Set 2</t>
        </is>
      </c>
      <c r="E273" t="n">
        <v>6</v>
      </c>
      <c r="H273" s="39">
        <f>IF(H271="","",H271)</f>
        <v/>
      </c>
      <c r="I273" s="7">
        <f>IF(H271="","",H271)</f>
        <v/>
      </c>
      <c r="J273" s="7" t="n">
        <v>6</v>
      </c>
      <c r="K273" s="7" t="n"/>
      <c r="L273" s="40" t="n"/>
      <c r="M273">
        <f>IF(AND(L273&lt;&gt;"",N(I273)&gt;0,N(J273)&gt;0),IF(J273=1,I273,ROUND(I273*(1+J273/30),1)),"")</f>
        <v/>
      </c>
      <c r="N273" s="41">
        <f>IF(M273="","",IF(M273&gt;=PRs!C4,"PR!",""))</f>
        <v/>
      </c>
      <c r="O273" s="7" t="n"/>
    </row>
    <row r="274">
      <c r="C274" t="inlineStr">
        <is>
          <t xml:space="preserve">      Set 3</t>
        </is>
      </c>
      <c r="E274" t="n">
        <v>6</v>
      </c>
      <c r="H274" s="39">
        <f>IF(H271="","",H271)</f>
        <v/>
      </c>
      <c r="I274" s="7">
        <f>IF(H271="","",H271)</f>
        <v/>
      </c>
      <c r="J274" s="7" t="n">
        <v>6</v>
      </c>
      <c r="K274" s="7" t="n"/>
      <c r="L274" s="40" t="n"/>
      <c r="M274">
        <f>IF(AND(L274&lt;&gt;"",N(I274)&gt;0,N(J274)&gt;0),IF(J274=1,I274,ROUND(I274*(1+J274/30),1)),"")</f>
        <v/>
      </c>
      <c r="N274" s="41">
        <f>IF(M274="","",IF(M274&gt;=PRs!C4,"PR!",""))</f>
        <v/>
      </c>
      <c r="O274" s="7" t="n"/>
    </row>
    <row r="275">
      <c r="A275" s="34" t="n"/>
      <c r="B275" s="34" t="n"/>
      <c r="C275" s="43" t="inlineStr">
        <is>
          <t>Chin-up</t>
        </is>
      </c>
      <c r="D275" s="34" t="inlineStr">
        <is>
          <t>4 x 6-10</t>
        </is>
      </c>
      <c r="E275" s="34" t="n"/>
      <c r="F275" s="34" t="n"/>
      <c r="G275" s="36" t="n"/>
      <c r="H275" s="37" t="n"/>
      <c r="I275" s="34" t="n"/>
      <c r="J275" s="34" t="n"/>
      <c r="K275" s="34" t="n"/>
      <c r="L275" s="34" t="n"/>
      <c r="M275" s="34" t="n"/>
      <c r="N275" s="34" t="n"/>
      <c r="O275" s="38" t="inlineStr">
        <is>
          <t>Leave 1-2 reps in the tank; add weight when you hit the top of the range</t>
        </is>
      </c>
    </row>
    <row r="276">
      <c r="C276" t="inlineStr">
        <is>
          <t xml:space="preserve">      Set 1</t>
        </is>
      </c>
      <c r="E276" t="n">
        <v>6</v>
      </c>
      <c r="H276" s="39">
        <f>IF(H275="","",H275)</f>
        <v/>
      </c>
      <c r="I276" s="7">
        <f>IF(H275="","",H275)</f>
        <v/>
      </c>
      <c r="J276" s="7" t="n">
        <v>6</v>
      </c>
      <c r="K276" s="7" t="n"/>
      <c r="L276" s="40" t="n"/>
      <c r="M276">
        <f>IF(AND(L276&lt;&gt;"",N(I276)&gt;0,N(J276)&gt;0),IF(J276=1,I276,ROUND(I276*(1+J276/30),1)),"")</f>
        <v/>
      </c>
      <c r="N276" s="41">
        <f>IF(M276="","",IF(M276&gt;=PRs!C53,"PR!",""))</f>
        <v/>
      </c>
      <c r="O276" s="7" t="n"/>
    </row>
    <row r="277">
      <c r="C277" t="inlineStr">
        <is>
          <t xml:space="preserve">      Set 2</t>
        </is>
      </c>
      <c r="E277" t="n">
        <v>6</v>
      </c>
      <c r="H277" s="39">
        <f>IF(H275="","",H275)</f>
        <v/>
      </c>
      <c r="I277" s="7">
        <f>IF(H275="","",H275)</f>
        <v/>
      </c>
      <c r="J277" s="7" t="n">
        <v>6</v>
      </c>
      <c r="K277" s="7" t="n"/>
      <c r="L277" s="40" t="n"/>
      <c r="M277">
        <f>IF(AND(L277&lt;&gt;"",N(I277)&gt;0,N(J277)&gt;0),IF(J277=1,I277,ROUND(I277*(1+J277/30),1)),"")</f>
        <v/>
      </c>
      <c r="N277" s="41">
        <f>IF(M277="","",IF(M277&gt;=PRs!C53,"PR!",""))</f>
        <v/>
      </c>
      <c r="O277" s="7" t="n"/>
    </row>
    <row r="278">
      <c r="C278" t="inlineStr">
        <is>
          <t xml:space="preserve">      Set 3</t>
        </is>
      </c>
      <c r="E278" t="n">
        <v>6</v>
      </c>
      <c r="H278" s="39">
        <f>IF(H275="","",H275)</f>
        <v/>
      </c>
      <c r="I278" s="7">
        <f>IF(H275="","",H275)</f>
        <v/>
      </c>
      <c r="J278" s="7" t="n">
        <v>6</v>
      </c>
      <c r="K278" s="7" t="n"/>
      <c r="L278" s="40" t="n"/>
      <c r="M278">
        <f>IF(AND(L278&lt;&gt;"",N(I278)&gt;0,N(J278)&gt;0),IF(J278=1,I278,ROUND(I278*(1+J278/30),1)),"")</f>
        <v/>
      </c>
      <c r="N278" s="41">
        <f>IF(M278="","",IF(M278&gt;=PRs!C53,"PR!",""))</f>
        <v/>
      </c>
      <c r="O278" s="7" t="n"/>
    </row>
    <row r="279">
      <c r="C279" t="inlineStr">
        <is>
          <t xml:space="preserve">      Set 4</t>
        </is>
      </c>
      <c r="E279" t="n">
        <v>6</v>
      </c>
      <c r="H279" s="39">
        <f>IF(H275="","",H275)</f>
        <v/>
      </c>
      <c r="I279" s="7">
        <f>IF(H275="","",H275)</f>
        <v/>
      </c>
      <c r="J279" s="7" t="n">
        <v>6</v>
      </c>
      <c r="K279" s="7" t="n"/>
      <c r="L279" s="40" t="n"/>
      <c r="M279">
        <f>IF(AND(L279&lt;&gt;"",N(I279)&gt;0,N(J279)&gt;0),IF(J279=1,I279,ROUND(I279*(1+J279/30),1)),"")</f>
        <v/>
      </c>
      <c r="N279" s="41">
        <f>IF(M279="","",IF(M279&gt;=PRs!C53,"PR!",""))</f>
        <v/>
      </c>
      <c r="O279" s="7" t="n"/>
    </row>
    <row r="280">
      <c r="A280" s="34" t="n"/>
      <c r="B280" s="34" t="n"/>
      <c r="C280" s="43" t="inlineStr">
        <is>
          <t>Plank</t>
        </is>
      </c>
      <c r="D280" s="34" t="inlineStr">
        <is>
          <t>4 x 30-60s</t>
        </is>
      </c>
      <c r="E280" s="34" t="n"/>
      <c r="F280" s="34" t="n"/>
      <c r="G280" s="36" t="n"/>
      <c r="H280" s="37" t="n"/>
      <c r="I280" s="34" t="n"/>
      <c r="J280" s="34" t="n"/>
      <c r="K280" s="34" t="n"/>
      <c r="L280" s="34" t="n"/>
      <c r="M280" s="34" t="n"/>
      <c r="N280" s="34" t="n"/>
      <c r="O280" s="38" t="inlineStr">
        <is>
          <t>Leave 1-2 reps in the tank; add weight when you hit the top of the range</t>
        </is>
      </c>
    </row>
    <row r="281">
      <c r="C281" t="inlineStr">
        <is>
          <t xml:space="preserve">      Set 1</t>
        </is>
      </c>
      <c r="E281" t="n">
        <v>30</v>
      </c>
      <c r="H281" s="39">
        <f>IF(H280="","",H280)</f>
        <v/>
      </c>
      <c r="I281" s="7">
        <f>IF(H280="","",H280)</f>
        <v/>
      </c>
      <c r="J281" s="7" t="n">
        <v>30</v>
      </c>
      <c r="K281" s="7" t="n"/>
      <c r="L281" s="40" t="n"/>
      <c r="M281">
        <f>IF(AND(L281&lt;&gt;"",N(I281)&gt;0,N(J281)&gt;0),IF(J281=1,I281,ROUND(I281*(1+J281/30),1)),"")</f>
        <v/>
      </c>
      <c r="N281" s="41">
        <f>IF(M281="","",IF(M281&gt;=PRs!C56,"PR!",""))</f>
        <v/>
      </c>
      <c r="O281" s="7" t="n"/>
    </row>
    <row r="282">
      <c r="C282" t="inlineStr">
        <is>
          <t xml:space="preserve">      Set 2</t>
        </is>
      </c>
      <c r="E282" t="n">
        <v>30</v>
      </c>
      <c r="H282" s="39">
        <f>IF(H280="","",H280)</f>
        <v/>
      </c>
      <c r="I282" s="7">
        <f>IF(H280="","",H280)</f>
        <v/>
      </c>
      <c r="J282" s="7" t="n">
        <v>30</v>
      </c>
      <c r="K282" s="7" t="n"/>
      <c r="L282" s="40" t="n"/>
      <c r="M282">
        <f>IF(AND(L282&lt;&gt;"",N(I282)&gt;0,N(J282)&gt;0),IF(J282=1,I282,ROUND(I282*(1+J282/30),1)),"")</f>
        <v/>
      </c>
      <c r="N282" s="41">
        <f>IF(M282="","",IF(M282&gt;=PRs!C56,"PR!",""))</f>
        <v/>
      </c>
      <c r="O282" s="7" t="n"/>
    </row>
    <row r="283">
      <c r="C283" t="inlineStr">
        <is>
          <t xml:space="preserve">      Set 3</t>
        </is>
      </c>
      <c r="E283" t="n">
        <v>30</v>
      </c>
      <c r="H283" s="39">
        <f>IF(H280="","",H280)</f>
        <v/>
      </c>
      <c r="I283" s="7">
        <f>IF(H280="","",H280)</f>
        <v/>
      </c>
      <c r="J283" s="7" t="n">
        <v>30</v>
      </c>
      <c r="K283" s="7" t="n"/>
      <c r="L283" s="40" t="n"/>
      <c r="M283">
        <f>IF(AND(L283&lt;&gt;"",N(I283)&gt;0,N(J283)&gt;0),IF(J283=1,I283,ROUND(I283*(1+J283/30),1)),"")</f>
        <v/>
      </c>
      <c r="N283" s="41">
        <f>IF(M283="","",IF(M283&gt;=PRs!C56,"PR!",""))</f>
        <v/>
      </c>
      <c r="O283" s="7" t="n"/>
    </row>
    <row r="284">
      <c r="C284" t="inlineStr">
        <is>
          <t xml:space="preserve">      Set 4</t>
        </is>
      </c>
      <c r="E284" t="n">
        <v>30</v>
      </c>
      <c r="H284" s="39">
        <f>IF(H280="","",H280)</f>
        <v/>
      </c>
      <c r="I284" s="7">
        <f>IF(H280="","",H280)</f>
        <v/>
      </c>
      <c r="J284" s="7" t="n">
        <v>30</v>
      </c>
      <c r="K284" s="7" t="n"/>
      <c r="L284" s="40" t="n"/>
      <c r="M284">
        <f>IF(AND(L284&lt;&gt;"",N(I284)&gt;0,N(J284)&gt;0),IF(J284=1,I284,ROUND(I284*(1+J284/30),1)),"")</f>
        <v/>
      </c>
      <c r="N284" s="41">
        <f>IF(M284="","",IF(M284&gt;=PRs!C56,"PR!",""))</f>
        <v/>
      </c>
      <c r="O284" s="7" t="n"/>
    </row>
    <row r="285">
      <c r="A285" s="31" t="inlineStr">
        <is>
          <t>Day 3 - Variations</t>
        </is>
      </c>
      <c r="B285" s="32">
        <f>'Start Here'!$B$8+102</f>
        <v/>
      </c>
      <c r="C285" s="33" t="n"/>
      <c r="D285" s="33" t="n"/>
      <c r="E285" s="33" t="n"/>
      <c r="F285" s="33" t="n"/>
      <c r="G285" s="33" t="n"/>
      <c r="H285" s="33" t="n"/>
      <c r="I285" s="33" t="n"/>
      <c r="J285" s="33" t="n"/>
      <c r="K285" s="33" t="n"/>
      <c r="L285" s="33" t="n"/>
      <c r="M285" s="33" t="n"/>
      <c r="N285" s="33" t="n"/>
      <c r="O285" s="33" t="n"/>
    </row>
    <row r="286">
      <c r="A286" s="34" t="n"/>
      <c r="B286" s="34" t="n"/>
      <c r="C286" s="35" t="inlineStr">
        <is>
          <t>Lateral Bound</t>
        </is>
      </c>
      <c r="D286" s="34" t="inlineStr">
        <is>
          <t>4 x 3</t>
        </is>
      </c>
      <c r="E286" s="34" t="n"/>
      <c r="F286" s="34" t="n"/>
      <c r="G286" s="36" t="n"/>
      <c r="H286" s="37">
        <f>IF(N(Maxes!F74)&gt;0,Maxes!F74,"")</f>
        <v/>
      </c>
      <c r="I286" s="34" t="n"/>
      <c r="J286" s="34" t="n"/>
      <c r="K286" s="34" t="n"/>
      <c r="L286" s="34" t="n"/>
      <c r="M286" s="34" t="n"/>
      <c r="N286" s="34" t="n"/>
      <c r="O286" s="38" t="inlineStr">
        <is>
          <t>Single-leg bound sideways, stick the landing on the other leg, then back. Log distance (each side counts as a rep).</t>
        </is>
      </c>
    </row>
    <row r="287">
      <c r="C287" t="inlineStr">
        <is>
          <t xml:space="preserve">      Set 1</t>
        </is>
      </c>
      <c r="E287" t="n">
        <v>3</v>
      </c>
      <c r="H287" s="39">
        <f>IF(H286="","",H286)</f>
        <v/>
      </c>
      <c r="I287" s="7">
        <f>IF(H286="","",H286)</f>
        <v/>
      </c>
      <c r="J287" s="7" t="n">
        <v>3</v>
      </c>
      <c r="K287" s="7" t="n"/>
      <c r="L287" s="40" t="n"/>
      <c r="N287" s="41">
        <f>IF(AND(L287&lt;&gt;"",N(I287)&gt;0),IF(I287&gt;=PRs!D74,"PR!",""),"")</f>
        <v/>
      </c>
      <c r="O287" s="7" t="n"/>
    </row>
    <row r="288">
      <c r="C288" t="inlineStr">
        <is>
          <t xml:space="preserve">      Set 2</t>
        </is>
      </c>
      <c r="E288" t="n">
        <v>3</v>
      </c>
      <c r="H288" s="39">
        <f>IF(H286="","",H286)</f>
        <v/>
      </c>
      <c r="I288" s="7">
        <f>IF(H286="","",H286)</f>
        <v/>
      </c>
      <c r="J288" s="7" t="n">
        <v>3</v>
      </c>
      <c r="K288" s="7" t="n"/>
      <c r="L288" s="40" t="n"/>
      <c r="N288" s="41">
        <f>IF(AND(L288&lt;&gt;"",N(I288)&gt;0),IF(I288&gt;=PRs!D74,"PR!",""),"")</f>
        <v/>
      </c>
      <c r="O288" s="7" t="n"/>
    </row>
    <row r="289">
      <c r="C289" t="inlineStr">
        <is>
          <t xml:space="preserve">      Set 3</t>
        </is>
      </c>
      <c r="E289" t="n">
        <v>3</v>
      </c>
      <c r="H289" s="39">
        <f>IF(H286="","",H286)</f>
        <v/>
      </c>
      <c r="I289" s="7">
        <f>IF(H286="","",H286)</f>
        <v/>
      </c>
      <c r="J289" s="7" t="n">
        <v>3</v>
      </c>
      <c r="K289" s="7" t="n"/>
      <c r="L289" s="40" t="n"/>
      <c r="N289" s="41">
        <f>IF(AND(L289&lt;&gt;"",N(I289)&gt;0),IF(I289&gt;=PRs!D74,"PR!",""),"")</f>
        <v/>
      </c>
      <c r="O289" s="7" t="n"/>
    </row>
    <row r="290">
      <c r="C290" t="inlineStr">
        <is>
          <t xml:space="preserve">      Set 4</t>
        </is>
      </c>
      <c r="E290" t="n">
        <v>3</v>
      </c>
      <c r="H290" s="39">
        <f>IF(H286="","",H286)</f>
        <v/>
      </c>
      <c r="I290" s="7">
        <f>IF(H286="","",H286)</f>
        <v/>
      </c>
      <c r="J290" s="7" t="n">
        <v>3</v>
      </c>
      <c r="K290" s="7" t="n"/>
      <c r="L290" s="40" t="n"/>
      <c r="N290" s="41">
        <f>IF(AND(L290&lt;&gt;"",N(I290)&gt;0),IF(I290&gt;=PRs!D74,"PR!",""),"")</f>
        <v/>
      </c>
      <c r="O290" s="7" t="n"/>
    </row>
    <row r="291">
      <c r="A291" s="34" t="n"/>
      <c r="B291" s="34" t="n"/>
      <c r="C291" s="42" t="inlineStr">
        <is>
          <t>Hang Clean</t>
        </is>
      </c>
      <c r="D291" s="34" t="inlineStr">
        <is>
          <t>4 x 3</t>
        </is>
      </c>
      <c r="E291" s="34" t="n"/>
      <c r="F291" s="34" t="n">
        <v>70</v>
      </c>
      <c r="G291" s="36">
        <f>Maxes!F43</f>
        <v/>
      </c>
      <c r="H291" s="37">
        <f>IF(OR(G291="",F291=""),"",MROUND(G291*F291/100,'Start Here'!$B$7))</f>
        <v/>
      </c>
      <c r="I291" s="34" t="n"/>
      <c r="J291" s="34" t="n"/>
      <c r="K291" s="34" t="n"/>
      <c r="L291" s="34" t="n"/>
      <c r="M291" s="34" t="n"/>
      <c r="N291" s="34" t="n"/>
      <c r="O291" s="38" t="inlineStr"/>
    </row>
    <row r="292">
      <c r="C292" t="inlineStr">
        <is>
          <t xml:space="preserve">      Set 1</t>
        </is>
      </c>
      <c r="E292" t="n">
        <v>3</v>
      </c>
      <c r="H292" s="39">
        <f>IF(H291="","",H291)</f>
        <v/>
      </c>
      <c r="I292" s="7">
        <f>IF(H291="","",H291)</f>
        <v/>
      </c>
      <c r="J292" s="7" t="n">
        <v>3</v>
      </c>
      <c r="K292" s="7" t="n"/>
      <c r="L292" s="40" t="n"/>
      <c r="M292">
        <f>IF(AND(L292&lt;&gt;"",N(I292)&gt;0,N(J292)&gt;0),IF(J292=1,I292,ROUND(I292*(1+J292/30),1)),"")</f>
        <v/>
      </c>
      <c r="N292" s="41">
        <f>IF(M292="","",IF(M292&gt;=PRs!C43,"PR!",""))</f>
        <v/>
      </c>
      <c r="O292" s="7" t="n"/>
    </row>
    <row r="293">
      <c r="C293" t="inlineStr">
        <is>
          <t xml:space="preserve">      Set 2</t>
        </is>
      </c>
      <c r="E293" t="n">
        <v>3</v>
      </c>
      <c r="H293" s="39">
        <f>IF(H291="","",H291)</f>
        <v/>
      </c>
      <c r="I293" s="7">
        <f>IF(H291="","",H291)</f>
        <v/>
      </c>
      <c r="J293" s="7" t="n">
        <v>3</v>
      </c>
      <c r="K293" s="7" t="n"/>
      <c r="L293" s="40" t="n"/>
      <c r="M293">
        <f>IF(AND(L293&lt;&gt;"",N(I293)&gt;0,N(J293)&gt;0),IF(J293=1,I293,ROUND(I293*(1+J293/30),1)),"")</f>
        <v/>
      </c>
      <c r="N293" s="41">
        <f>IF(M293="","",IF(M293&gt;=PRs!C43,"PR!",""))</f>
        <v/>
      </c>
      <c r="O293" s="7" t="n"/>
    </row>
    <row r="294">
      <c r="C294" t="inlineStr">
        <is>
          <t xml:space="preserve">      Set 3</t>
        </is>
      </c>
      <c r="E294" t="n">
        <v>3</v>
      </c>
      <c r="H294" s="39">
        <f>IF(H291="","",H291)</f>
        <v/>
      </c>
      <c r="I294" s="7">
        <f>IF(H291="","",H291)</f>
        <v/>
      </c>
      <c r="J294" s="7" t="n">
        <v>3</v>
      </c>
      <c r="K294" s="7" t="n"/>
      <c r="L294" s="40" t="n"/>
      <c r="M294">
        <f>IF(AND(L294&lt;&gt;"",N(I294)&gt;0,N(J294)&gt;0),IF(J294=1,I294,ROUND(I294*(1+J294/30),1)),"")</f>
        <v/>
      </c>
      <c r="N294" s="41">
        <f>IF(M294="","",IF(M294&gt;=PRs!C43,"PR!",""))</f>
        <v/>
      </c>
      <c r="O294" s="7" t="n"/>
    </row>
    <row r="295">
      <c r="C295" t="inlineStr">
        <is>
          <t xml:space="preserve">      Set 4</t>
        </is>
      </c>
      <c r="E295" t="n">
        <v>3</v>
      </c>
      <c r="H295" s="39">
        <f>IF(H291="","",H291)</f>
        <v/>
      </c>
      <c r="I295" s="7">
        <f>IF(H291="","",H291)</f>
        <v/>
      </c>
      <c r="J295" s="7" t="n">
        <v>3</v>
      </c>
      <c r="K295" s="7" t="n"/>
      <c r="L295" s="40" t="n"/>
      <c r="M295">
        <f>IF(AND(L295&lt;&gt;"",N(I295)&gt;0,N(J295)&gt;0),IF(J295=1,I295,ROUND(I295*(1+J295/30),1)),"")</f>
        <v/>
      </c>
      <c r="N295" s="41">
        <f>IF(M295="","",IF(M295&gt;=PRs!C43,"PR!",""))</f>
        <v/>
      </c>
      <c r="O295" s="7" t="n"/>
    </row>
    <row r="296">
      <c r="A296" s="34" t="n"/>
      <c r="B296" s="34" t="n"/>
      <c r="C296" s="42" t="inlineStr">
        <is>
          <t>Safety Bar Squat</t>
        </is>
      </c>
      <c r="D296" s="34" t="inlineStr">
        <is>
          <t>3 x 6</t>
        </is>
      </c>
      <c r="E296" s="34" t="n"/>
      <c r="F296" s="34" t="n">
        <v>70</v>
      </c>
      <c r="G296" s="36">
        <f>Maxes!F11</f>
        <v/>
      </c>
      <c r="H296" s="37">
        <f>IF(OR(G296="",F296=""),"",MROUND(G296*F296/100,'Start Here'!$B$7))</f>
        <v/>
      </c>
      <c r="I296" s="34" t="n"/>
      <c r="J296" s="34" t="n"/>
      <c r="K296" s="34" t="n"/>
      <c r="L296" s="34" t="n"/>
      <c r="M296" s="34" t="n"/>
      <c r="N296" s="34" t="n"/>
      <c r="O296" s="38" t="inlineStr"/>
    </row>
    <row r="297">
      <c r="C297" t="inlineStr">
        <is>
          <t xml:space="preserve">      Set 1</t>
        </is>
      </c>
      <c r="E297" t="n">
        <v>6</v>
      </c>
      <c r="H297" s="39">
        <f>IF(H296="","",H296)</f>
        <v/>
      </c>
      <c r="I297" s="7">
        <f>IF(H296="","",H296)</f>
        <v/>
      </c>
      <c r="J297" s="7" t="n">
        <v>6</v>
      </c>
      <c r="K297" s="7" t="n"/>
      <c r="L297" s="40" t="n"/>
      <c r="M297">
        <f>IF(AND(L297&lt;&gt;"",N(I297)&gt;0,N(J297)&gt;0),IF(J297=1,I297,ROUND(I297*(1+J297/30),1)),"")</f>
        <v/>
      </c>
      <c r="N297" s="41">
        <f>IF(M297="","",IF(M297&gt;=PRs!C11,"PR!",""))</f>
        <v/>
      </c>
      <c r="O297" s="7" t="n"/>
    </row>
    <row r="298">
      <c r="C298" t="inlineStr">
        <is>
          <t xml:space="preserve">      Set 2</t>
        </is>
      </c>
      <c r="E298" t="n">
        <v>6</v>
      </c>
      <c r="H298" s="39">
        <f>IF(H296="","",H296)</f>
        <v/>
      </c>
      <c r="I298" s="7">
        <f>IF(H296="","",H296)</f>
        <v/>
      </c>
      <c r="J298" s="7" t="n">
        <v>6</v>
      </c>
      <c r="K298" s="7" t="n"/>
      <c r="L298" s="40" t="n"/>
      <c r="M298">
        <f>IF(AND(L298&lt;&gt;"",N(I298)&gt;0,N(J298)&gt;0),IF(J298=1,I298,ROUND(I298*(1+J298/30),1)),"")</f>
        <v/>
      </c>
      <c r="N298" s="41">
        <f>IF(M298="","",IF(M298&gt;=PRs!C11,"PR!",""))</f>
        <v/>
      </c>
      <c r="O298" s="7" t="n"/>
    </row>
    <row r="299">
      <c r="C299" t="inlineStr">
        <is>
          <t xml:space="preserve">      Set 3</t>
        </is>
      </c>
      <c r="E299" t="n">
        <v>6</v>
      </c>
      <c r="H299" s="39">
        <f>IF(H296="","",H296)</f>
        <v/>
      </c>
      <c r="I299" s="7">
        <f>IF(H296="","",H296)</f>
        <v/>
      </c>
      <c r="J299" s="7" t="n">
        <v>6</v>
      </c>
      <c r="K299" s="7" t="n"/>
      <c r="L299" s="40" t="n"/>
      <c r="M299">
        <f>IF(AND(L299&lt;&gt;"",N(I299)&gt;0,N(J299)&gt;0),IF(J299=1,I299,ROUND(I299*(1+J299/30),1)),"")</f>
        <v/>
      </c>
      <c r="N299" s="41">
        <f>IF(M299="","",IF(M299&gt;=PRs!C11,"PR!",""))</f>
        <v/>
      </c>
      <c r="O299" s="7" t="n"/>
    </row>
    <row r="300">
      <c r="A300" s="34" t="n"/>
      <c r="B300" s="34" t="n"/>
      <c r="C300" s="42" t="inlineStr">
        <is>
          <t>1-Board Press</t>
        </is>
      </c>
      <c r="D300" s="34" t="inlineStr">
        <is>
          <t>3 x 6</t>
        </is>
      </c>
      <c r="E300" s="34" t="n"/>
      <c r="F300" s="34" t="n">
        <v>70</v>
      </c>
      <c r="G300" s="36">
        <f>Maxes!F15</f>
        <v/>
      </c>
      <c r="H300" s="37">
        <f>IF(OR(G300="",F300=""),"",MROUND(G300*F300/100,'Start Here'!$B$7))</f>
        <v/>
      </c>
      <c r="I300" s="34" t="n"/>
      <c r="J300" s="34" t="n"/>
      <c r="K300" s="34" t="n"/>
      <c r="L300" s="34" t="n"/>
      <c r="M300" s="34" t="n"/>
      <c r="N300" s="34" t="n"/>
      <c r="O300" s="38" t="inlineStr"/>
    </row>
    <row r="301">
      <c r="C301" t="inlineStr">
        <is>
          <t xml:space="preserve">      Set 1</t>
        </is>
      </c>
      <c r="E301" t="n">
        <v>6</v>
      </c>
      <c r="H301" s="39">
        <f>IF(H300="","",H300)</f>
        <v/>
      </c>
      <c r="I301" s="7">
        <f>IF(H300="","",H300)</f>
        <v/>
      </c>
      <c r="J301" s="7" t="n">
        <v>6</v>
      </c>
      <c r="K301" s="7" t="n"/>
      <c r="L301" s="40" t="n"/>
      <c r="M301">
        <f>IF(AND(L301&lt;&gt;"",N(I301)&gt;0,N(J301)&gt;0),IF(J301=1,I301,ROUND(I301*(1+J301/30),1)),"")</f>
        <v/>
      </c>
      <c r="N301" s="41">
        <f>IF(M301="","",IF(M301&gt;=PRs!C15,"PR!",""))</f>
        <v/>
      </c>
      <c r="O301" s="7" t="n"/>
    </row>
    <row r="302">
      <c r="C302" t="inlineStr">
        <is>
          <t xml:space="preserve">      Set 2</t>
        </is>
      </c>
      <c r="E302" t="n">
        <v>6</v>
      </c>
      <c r="H302" s="39">
        <f>IF(H300="","",H300)</f>
        <v/>
      </c>
      <c r="I302" s="7">
        <f>IF(H300="","",H300)</f>
        <v/>
      </c>
      <c r="J302" s="7" t="n">
        <v>6</v>
      </c>
      <c r="K302" s="7" t="n"/>
      <c r="L302" s="40" t="n"/>
      <c r="M302">
        <f>IF(AND(L302&lt;&gt;"",N(I302)&gt;0,N(J302)&gt;0),IF(J302=1,I302,ROUND(I302*(1+J302/30),1)),"")</f>
        <v/>
      </c>
      <c r="N302" s="41">
        <f>IF(M302="","",IF(M302&gt;=PRs!C15,"PR!",""))</f>
        <v/>
      </c>
      <c r="O302" s="7" t="n"/>
    </row>
    <row r="303">
      <c r="C303" t="inlineStr">
        <is>
          <t xml:space="preserve">      Set 3</t>
        </is>
      </c>
      <c r="E303" t="n">
        <v>6</v>
      </c>
      <c r="H303" s="39">
        <f>IF(H300="","",H300)</f>
        <v/>
      </c>
      <c r="I303" s="7">
        <f>IF(H300="","",H300)</f>
        <v/>
      </c>
      <c r="J303" s="7" t="n">
        <v>6</v>
      </c>
      <c r="K303" s="7" t="n"/>
      <c r="L303" s="40" t="n"/>
      <c r="M303">
        <f>IF(AND(L303&lt;&gt;"",N(I303)&gt;0,N(J303)&gt;0),IF(J303=1,I303,ROUND(I303*(1+J303/30),1)),"")</f>
        <v/>
      </c>
      <c r="N303" s="41">
        <f>IF(M303="","",IF(M303&gt;=PRs!C15,"PR!",""))</f>
        <v/>
      </c>
      <c r="O303" s="7" t="n"/>
    </row>
    <row r="304">
      <c r="A304" s="34" t="n"/>
      <c r="B304" s="34" t="n"/>
      <c r="C304" s="42" t="inlineStr">
        <is>
          <t>Block Pull</t>
        </is>
      </c>
      <c r="D304" s="34" t="inlineStr">
        <is>
          <t>3 x 6</t>
        </is>
      </c>
      <c r="E304" s="34" t="n"/>
      <c r="F304" s="34" t="n">
        <v>65</v>
      </c>
      <c r="G304" s="36">
        <f>Maxes!F26</f>
        <v/>
      </c>
      <c r="H304" s="37">
        <f>IF(OR(G304="",F304=""),"",MROUND(G304*F304/100,'Start Here'!$B$7))</f>
        <v/>
      </c>
      <c r="I304" s="34" t="n"/>
      <c r="J304" s="34" t="n"/>
      <c r="K304" s="34" t="n"/>
      <c r="L304" s="34" t="n"/>
      <c r="M304" s="34" t="n"/>
      <c r="N304" s="34" t="n"/>
      <c r="O304" s="38" t="inlineStr"/>
    </row>
    <row r="305">
      <c r="C305" t="inlineStr">
        <is>
          <t xml:space="preserve">      Set 1</t>
        </is>
      </c>
      <c r="E305" t="n">
        <v>6</v>
      </c>
      <c r="H305" s="39">
        <f>IF(H304="","",H304)</f>
        <v/>
      </c>
      <c r="I305" s="7">
        <f>IF(H304="","",H304)</f>
        <v/>
      </c>
      <c r="J305" s="7" t="n">
        <v>6</v>
      </c>
      <c r="K305" s="7" t="n"/>
      <c r="L305" s="40" t="n"/>
      <c r="M305">
        <f>IF(AND(L305&lt;&gt;"",N(I305)&gt;0,N(J305)&gt;0),IF(J305=1,I305,ROUND(I305*(1+J305/30),1)),"")</f>
        <v/>
      </c>
      <c r="N305" s="41">
        <f>IF(M305="","",IF(M305&gt;=PRs!C26,"PR!",""))</f>
        <v/>
      </c>
      <c r="O305" s="7" t="n"/>
    </row>
    <row r="306">
      <c r="C306" t="inlineStr">
        <is>
          <t xml:space="preserve">      Set 2</t>
        </is>
      </c>
      <c r="E306" t="n">
        <v>6</v>
      </c>
      <c r="H306" s="39">
        <f>IF(H304="","",H304)</f>
        <v/>
      </c>
      <c r="I306" s="7">
        <f>IF(H304="","",H304)</f>
        <v/>
      </c>
      <c r="J306" s="7" t="n">
        <v>6</v>
      </c>
      <c r="K306" s="7" t="n"/>
      <c r="L306" s="40" t="n"/>
      <c r="M306">
        <f>IF(AND(L306&lt;&gt;"",N(I306)&gt;0,N(J306)&gt;0),IF(J306=1,I306,ROUND(I306*(1+J306/30),1)),"")</f>
        <v/>
      </c>
      <c r="N306" s="41">
        <f>IF(M306="","",IF(M306&gt;=PRs!C26,"PR!",""))</f>
        <v/>
      </c>
      <c r="O306" s="7" t="n"/>
    </row>
    <row r="307">
      <c r="C307" t="inlineStr">
        <is>
          <t xml:space="preserve">      Set 3</t>
        </is>
      </c>
      <c r="E307" t="n">
        <v>6</v>
      </c>
      <c r="H307" s="39">
        <f>IF(H304="","",H304)</f>
        <v/>
      </c>
      <c r="I307" s="7">
        <f>IF(H304="","",H304)</f>
        <v/>
      </c>
      <c r="J307" s="7" t="n">
        <v>6</v>
      </c>
      <c r="K307" s="7" t="n"/>
      <c r="L307" s="40" t="n"/>
      <c r="M307">
        <f>IF(AND(L307&lt;&gt;"",N(I307)&gt;0,N(J307)&gt;0),IF(J307=1,I307,ROUND(I307*(1+J307/30),1)),"")</f>
        <v/>
      </c>
      <c r="N307" s="41">
        <f>IF(M307="","",IF(M307&gt;=PRs!C26,"PR!",""))</f>
        <v/>
      </c>
      <c r="O307" s="7" t="n"/>
    </row>
    <row r="308">
      <c r="A308" s="34" t="n"/>
      <c r="B308" s="34" t="n"/>
      <c r="C308" s="43" t="inlineStr">
        <is>
          <t>Incline Dumbbell Press</t>
        </is>
      </c>
      <c r="D308" s="34" t="inlineStr">
        <is>
          <t>4 x 8-12</t>
        </is>
      </c>
      <c r="E308" s="34" t="n"/>
      <c r="F308" s="34" t="n"/>
      <c r="G308" s="36" t="n"/>
      <c r="H308" s="37" t="n"/>
      <c r="I308" s="34" t="n"/>
      <c r="J308" s="34" t="n"/>
      <c r="K308" s="34" t="n"/>
      <c r="L308" s="34" t="n"/>
      <c r="M308" s="34" t="n"/>
      <c r="N308" s="34" t="n"/>
      <c r="O308" s="38" t="inlineStr">
        <is>
          <t>Leave 1-2 reps in the tank; add weight when you hit the top of the range</t>
        </is>
      </c>
    </row>
    <row r="309">
      <c r="C309" t="inlineStr">
        <is>
          <t xml:space="preserve">      Set 1</t>
        </is>
      </c>
      <c r="E309" t="n">
        <v>8</v>
      </c>
      <c r="H309" s="39">
        <f>IF(H308="","",H308)</f>
        <v/>
      </c>
      <c r="I309" s="7">
        <f>IF(H308="","",H308)</f>
        <v/>
      </c>
      <c r="J309" s="7" t="n">
        <v>8</v>
      </c>
      <c r="K309" s="7" t="n"/>
      <c r="L309" s="40" t="n"/>
      <c r="M309">
        <f>IF(AND(L309&lt;&gt;"",N(I309)&gt;0,N(J309)&gt;0),IF(J309=1,I309,ROUND(I309*(1+J309/30),1)),"")</f>
        <v/>
      </c>
      <c r="N309" s="41">
        <f>IF(M309="","",IF(M309&gt;=PRs!C57,"PR!",""))</f>
        <v/>
      </c>
      <c r="O309" s="7" t="n"/>
    </row>
    <row r="310">
      <c r="C310" t="inlineStr">
        <is>
          <t xml:space="preserve">      Set 2</t>
        </is>
      </c>
      <c r="E310" t="n">
        <v>8</v>
      </c>
      <c r="H310" s="39">
        <f>IF(H308="","",H308)</f>
        <v/>
      </c>
      <c r="I310" s="7">
        <f>IF(H308="","",H308)</f>
        <v/>
      </c>
      <c r="J310" s="7" t="n">
        <v>8</v>
      </c>
      <c r="K310" s="7" t="n"/>
      <c r="L310" s="40" t="n"/>
      <c r="M310">
        <f>IF(AND(L310&lt;&gt;"",N(I310)&gt;0,N(J310)&gt;0),IF(J310=1,I310,ROUND(I310*(1+J310/30),1)),"")</f>
        <v/>
      </c>
      <c r="N310" s="41">
        <f>IF(M310="","",IF(M310&gt;=PRs!C57,"PR!",""))</f>
        <v/>
      </c>
      <c r="O310" s="7" t="n"/>
    </row>
    <row r="311">
      <c r="C311" t="inlineStr">
        <is>
          <t xml:space="preserve">      Set 3</t>
        </is>
      </c>
      <c r="E311" t="n">
        <v>8</v>
      </c>
      <c r="H311" s="39">
        <f>IF(H308="","",H308)</f>
        <v/>
      </c>
      <c r="I311" s="7">
        <f>IF(H308="","",H308)</f>
        <v/>
      </c>
      <c r="J311" s="7" t="n">
        <v>8</v>
      </c>
      <c r="K311" s="7" t="n"/>
      <c r="L311" s="40" t="n"/>
      <c r="M311">
        <f>IF(AND(L311&lt;&gt;"",N(I311)&gt;0,N(J311)&gt;0),IF(J311=1,I311,ROUND(I311*(1+J311/30),1)),"")</f>
        <v/>
      </c>
      <c r="N311" s="41">
        <f>IF(M311="","",IF(M311&gt;=PRs!C57,"PR!",""))</f>
        <v/>
      </c>
      <c r="O311" s="7" t="n"/>
    </row>
    <row r="312">
      <c r="C312" t="inlineStr">
        <is>
          <t xml:space="preserve">      Set 4</t>
        </is>
      </c>
      <c r="E312" t="n">
        <v>8</v>
      </c>
      <c r="H312" s="39">
        <f>IF(H308="","",H308)</f>
        <v/>
      </c>
      <c r="I312" s="7">
        <f>IF(H308="","",H308)</f>
        <v/>
      </c>
      <c r="J312" s="7" t="n">
        <v>8</v>
      </c>
      <c r="K312" s="7" t="n"/>
      <c r="L312" s="40" t="n"/>
      <c r="M312">
        <f>IF(AND(L312&lt;&gt;"",N(I312)&gt;0,N(J312)&gt;0),IF(J312=1,I312,ROUND(I312*(1+J312/30),1)),"")</f>
        <v/>
      </c>
      <c r="N312" s="41">
        <f>IF(M312="","",IF(M312&gt;=PRs!C57,"PR!",""))</f>
        <v/>
      </c>
      <c r="O312" s="7" t="n"/>
    </row>
    <row r="313">
      <c r="A313" s="34" t="n"/>
      <c r="B313" s="34" t="n"/>
      <c r="C313" s="43" t="inlineStr">
        <is>
          <t>Triceps Pushdown</t>
        </is>
      </c>
      <c r="D313" s="34" t="inlineStr">
        <is>
          <t>4 x 10-15</t>
        </is>
      </c>
      <c r="E313" s="34" t="n"/>
      <c r="F313" s="34" t="n"/>
      <c r="G313" s="36" t="n"/>
      <c r="H313" s="37" t="n"/>
      <c r="I313" s="34" t="n"/>
      <c r="J313" s="34" t="n"/>
      <c r="K313" s="34" t="n"/>
      <c r="L313" s="34" t="n"/>
      <c r="M313" s="34" t="n"/>
      <c r="N313" s="34" t="n"/>
      <c r="O313" s="38" t="inlineStr">
        <is>
          <t>Leave 1-2 reps in the tank; add weight when you hit the top of the range</t>
        </is>
      </c>
    </row>
    <row r="314">
      <c r="C314" t="inlineStr">
        <is>
          <t xml:space="preserve">      Set 1</t>
        </is>
      </c>
      <c r="E314" t="n">
        <v>10</v>
      </c>
      <c r="H314" s="39">
        <f>IF(H313="","",H313)</f>
        <v/>
      </c>
      <c r="I314" s="7">
        <f>IF(H313="","",H313)</f>
        <v/>
      </c>
      <c r="J314" s="7" t="n">
        <v>10</v>
      </c>
      <c r="K314" s="7" t="n"/>
      <c r="L314" s="40" t="n"/>
      <c r="M314">
        <f>IF(AND(L314&lt;&gt;"",N(I314)&gt;0,N(J314)&gt;0),IF(J314=1,I314,ROUND(I314*(1+J314/30),1)),"")</f>
        <v/>
      </c>
      <c r="N314" s="41">
        <f>IF(M314="","",IF(M314&gt;=PRs!C59,"PR!",""))</f>
        <v/>
      </c>
      <c r="O314" s="7" t="n"/>
    </row>
    <row r="315">
      <c r="C315" t="inlineStr">
        <is>
          <t xml:space="preserve">      Set 2</t>
        </is>
      </c>
      <c r="E315" t="n">
        <v>10</v>
      </c>
      <c r="H315" s="39">
        <f>IF(H313="","",H313)</f>
        <v/>
      </c>
      <c r="I315" s="7">
        <f>IF(H313="","",H313)</f>
        <v/>
      </c>
      <c r="J315" s="7" t="n">
        <v>10</v>
      </c>
      <c r="K315" s="7" t="n"/>
      <c r="L315" s="40" t="n"/>
      <c r="M315">
        <f>IF(AND(L315&lt;&gt;"",N(I315)&gt;0,N(J315)&gt;0),IF(J315=1,I315,ROUND(I315*(1+J315/30),1)),"")</f>
        <v/>
      </c>
      <c r="N315" s="41">
        <f>IF(M315="","",IF(M315&gt;=PRs!C59,"PR!",""))</f>
        <v/>
      </c>
      <c r="O315" s="7" t="n"/>
    </row>
    <row r="316">
      <c r="C316" t="inlineStr">
        <is>
          <t xml:space="preserve">      Set 3</t>
        </is>
      </c>
      <c r="E316" t="n">
        <v>10</v>
      </c>
      <c r="H316" s="39">
        <f>IF(H313="","",H313)</f>
        <v/>
      </c>
      <c r="I316" s="7">
        <f>IF(H313="","",H313)</f>
        <v/>
      </c>
      <c r="J316" s="7" t="n">
        <v>10</v>
      </c>
      <c r="K316" s="7" t="n"/>
      <c r="L316" s="40" t="n"/>
      <c r="M316">
        <f>IF(AND(L316&lt;&gt;"",N(I316)&gt;0,N(J316)&gt;0),IF(J316=1,I316,ROUND(I316*(1+J316/30),1)),"")</f>
        <v/>
      </c>
      <c r="N316" s="41">
        <f>IF(M316="","",IF(M316&gt;=PRs!C59,"PR!",""))</f>
        <v/>
      </c>
      <c r="O316" s="7" t="n"/>
    </row>
    <row r="317">
      <c r="C317" t="inlineStr">
        <is>
          <t xml:space="preserve">      Set 4</t>
        </is>
      </c>
      <c r="E317" t="n">
        <v>10</v>
      </c>
      <c r="H317" s="39">
        <f>IF(H313="","",H313)</f>
        <v/>
      </c>
      <c r="I317" s="7">
        <f>IF(H313="","",H313)</f>
        <v/>
      </c>
      <c r="J317" s="7" t="n">
        <v>10</v>
      </c>
      <c r="K317" s="7" t="n"/>
      <c r="L317" s="40" t="n"/>
      <c r="M317">
        <f>IF(AND(L317&lt;&gt;"",N(I317)&gt;0,N(J317)&gt;0),IF(J317=1,I317,ROUND(I317*(1+J317/30),1)),"")</f>
        <v/>
      </c>
      <c r="N317" s="41">
        <f>IF(M317="","",IF(M317&gt;=PRs!C59,"PR!",""))</f>
        <v/>
      </c>
      <c r="O317" s="7" t="n"/>
    </row>
    <row r="319">
      <c r="A319" s="48" t="inlineStr">
        <is>
          <t>WEEK 16 - CYCLE 2 - DELOAD</t>
        </is>
      </c>
      <c r="B319" s="49" t="n"/>
      <c r="C319" s="49" t="n"/>
      <c r="D319" s="49" t="n"/>
      <c r="E319" s="49" t="n"/>
      <c r="F319" s="49" t="n"/>
      <c r="G319" s="49" t="n"/>
      <c r="H319" s="50" t="inlineStr">
        <is>
          <t>Bodyweight:</t>
        </is>
      </c>
      <c r="I319" s="7" t="n"/>
      <c r="J319" s="49" t="n"/>
      <c r="K319" s="49" t="n"/>
      <c r="L319" s="49" t="n"/>
      <c r="M319" s="49" t="n"/>
      <c r="N319" s="49" t="n"/>
      <c r="O319" s="49" t="n"/>
    </row>
    <row r="320">
      <c r="A320" s="31" t="inlineStr">
        <is>
          <t>Day 1 - Heavy</t>
        </is>
      </c>
      <c r="B320" s="32">
        <f>'Start Here'!$B$8+105</f>
        <v/>
      </c>
      <c r="C320" s="33" t="n"/>
      <c r="D320" s="33" t="n"/>
      <c r="E320" s="33" t="n"/>
      <c r="F320" s="33" t="n"/>
      <c r="G320" s="33" t="n"/>
      <c r="H320" s="33" t="n"/>
      <c r="I320" s="33" t="n"/>
      <c r="J320" s="33" t="n"/>
      <c r="K320" s="33" t="n"/>
      <c r="L320" s="33" t="n"/>
      <c r="M320" s="33" t="n"/>
      <c r="N320" s="33" t="n"/>
      <c r="O320" s="33" t="n"/>
    </row>
    <row r="321">
      <c r="A321" s="34" t="n"/>
      <c r="B321" s="34" t="n"/>
      <c r="C321" s="35" t="inlineStr">
        <is>
          <t>Box Jump</t>
        </is>
      </c>
      <c r="D321" s="34" t="inlineStr">
        <is>
          <t>2 x 3</t>
        </is>
      </c>
      <c r="E321" s="34" t="n"/>
      <c r="F321" s="34" t="n"/>
      <c r="G321" s="36" t="n"/>
      <c r="H321" s="37">
        <f>IF(N(Maxes!F69)&gt;0,Maxes!F69,'Start Here'!$G$16)</f>
        <v/>
      </c>
      <c r="I321" s="34" t="n"/>
      <c r="J321" s="34" t="n"/>
      <c r="K321" s="34" t="n"/>
      <c r="L321" s="34" t="n"/>
      <c r="M321" s="34" t="n"/>
      <c r="N321" s="34" t="n"/>
      <c r="O321" s="38" t="inlineStr">
        <is>
          <t>Two-foot jump onto a box, land soft in a quarter squat, STEP down. Log the box height (floor to top of box).</t>
        </is>
      </c>
    </row>
    <row r="322">
      <c r="C322" t="inlineStr">
        <is>
          <t xml:space="preserve">      Set 1</t>
        </is>
      </c>
      <c r="E322" t="n">
        <v>3</v>
      </c>
      <c r="H322" s="39">
        <f>IF(H321="","",H321)</f>
        <v/>
      </c>
      <c r="I322" s="7">
        <f>IF(H321="","",H321)</f>
        <v/>
      </c>
      <c r="J322" s="7" t="n">
        <v>3</v>
      </c>
      <c r="K322" s="7" t="n"/>
      <c r="L322" s="40" t="n"/>
      <c r="N322" s="41">
        <f>IF(AND(L322&lt;&gt;"",N(I322)&gt;0),IF(I322&gt;=PRs!D69,"PR!",""),"")</f>
        <v/>
      </c>
      <c r="O322" s="7" t="n"/>
    </row>
    <row r="323">
      <c r="C323" t="inlineStr">
        <is>
          <t xml:space="preserve">      Set 2</t>
        </is>
      </c>
      <c r="E323" t="n">
        <v>3</v>
      </c>
      <c r="H323" s="39">
        <f>IF(H321="","",H321)</f>
        <v/>
      </c>
      <c r="I323" s="7">
        <f>IF(H321="","",H321)</f>
        <v/>
      </c>
      <c r="J323" s="7" t="n">
        <v>3</v>
      </c>
      <c r="K323" s="7" t="n"/>
      <c r="L323" s="40" t="n"/>
      <c r="N323" s="41">
        <f>IF(AND(L323&lt;&gt;"",N(I323)&gt;0),IF(I323&gt;=PRs!D69,"PR!",""),"")</f>
        <v/>
      </c>
      <c r="O323" s="7" t="n"/>
    </row>
    <row r="324">
      <c r="A324" s="34" t="n"/>
      <c r="B324" s="34" t="n"/>
      <c r="C324" s="42" t="inlineStr">
        <is>
          <t>Snatch</t>
        </is>
      </c>
      <c r="D324" s="34" t="inlineStr">
        <is>
          <t>2 x 2</t>
        </is>
      </c>
      <c r="E324" s="34" t="n"/>
      <c r="F324" s="34" t="n">
        <v>60</v>
      </c>
      <c r="G324" s="36">
        <f>Maxes!F6</f>
        <v/>
      </c>
      <c r="H324" s="37">
        <f>IF(OR(G324="",F324=""),"",MROUND(G324*F324/100,'Start Here'!$B$7))</f>
        <v/>
      </c>
      <c r="I324" s="34" t="n"/>
      <c r="J324" s="34" t="n"/>
      <c r="K324" s="34" t="n"/>
      <c r="L324" s="34" t="n"/>
      <c r="M324" s="34" t="n"/>
      <c r="N324" s="34" t="n"/>
      <c r="O324" s="38" t="inlineStr">
        <is>
          <t>Easy week - move fast, recover</t>
        </is>
      </c>
    </row>
    <row r="325">
      <c r="C325" t="inlineStr">
        <is>
          <t xml:space="preserve">      Set 1</t>
        </is>
      </c>
      <c r="E325" t="n">
        <v>2</v>
      </c>
      <c r="H325" s="39">
        <f>IF(H324="","",H324)</f>
        <v/>
      </c>
      <c r="I325" s="7">
        <f>IF(H324="","",H324)</f>
        <v/>
      </c>
      <c r="J325" s="7" t="n">
        <v>2</v>
      </c>
      <c r="K325" s="7" t="n"/>
      <c r="L325" s="40" t="n"/>
      <c r="M325">
        <f>IF(AND(L325&lt;&gt;"",N(I325)&gt;0,N(J325)&gt;0),IF(J325=1,I325,ROUND(I325*(1+J325/30),1)),"")</f>
        <v/>
      </c>
      <c r="N325" s="41">
        <f>IF(M325="","",IF(M325&gt;=PRs!C6,"PR!",""))</f>
        <v/>
      </c>
      <c r="O325" s="7" t="n"/>
    </row>
    <row r="326">
      <c r="C326" t="inlineStr">
        <is>
          <t xml:space="preserve">      Set 2</t>
        </is>
      </c>
      <c r="E326" t="n">
        <v>2</v>
      </c>
      <c r="H326" s="39">
        <f>IF(H324="","",H324)</f>
        <v/>
      </c>
      <c r="I326" s="7">
        <f>IF(H324="","",H324)</f>
        <v/>
      </c>
      <c r="J326" s="7" t="n">
        <v>2</v>
      </c>
      <c r="K326" s="7" t="n"/>
      <c r="L326" s="40" t="n"/>
      <c r="M326">
        <f>IF(AND(L326&lt;&gt;"",N(I326)&gt;0,N(J326)&gt;0),IF(J326=1,I326,ROUND(I326*(1+J326/30),1)),"")</f>
        <v/>
      </c>
      <c r="N326" s="41">
        <f>IF(M326="","",IF(M326&gt;=PRs!C6,"PR!",""))</f>
        <v/>
      </c>
      <c r="O326" s="7" t="n"/>
    </row>
    <row r="327">
      <c r="A327" s="34" t="n"/>
      <c r="B327" s="34" t="n"/>
      <c r="C327" s="42" t="inlineStr">
        <is>
          <t>Squat</t>
        </is>
      </c>
      <c r="D327" s="34" t="inlineStr">
        <is>
          <t>2 x 5</t>
        </is>
      </c>
      <c r="E327" s="34" t="n"/>
      <c r="F327" s="34" t="n">
        <v>60</v>
      </c>
      <c r="G327" s="36">
        <f>Maxes!F2</f>
        <v/>
      </c>
      <c r="H327" s="37">
        <f>IF(OR(G327="",F327=""),"",MROUND(G327*F327/100,'Start Here'!$B$7))</f>
        <v/>
      </c>
      <c r="I327" s="34" t="n"/>
      <c r="J327" s="34" t="n"/>
      <c r="K327" s="34" t="n"/>
      <c r="L327" s="34" t="n"/>
      <c r="M327" s="34" t="n"/>
      <c r="N327" s="34" t="n"/>
      <c r="O327" s="38" t="inlineStr">
        <is>
          <t>Easy week - move fast, recover</t>
        </is>
      </c>
    </row>
    <row r="328">
      <c r="C328" t="inlineStr">
        <is>
          <t xml:space="preserve">      Set 1</t>
        </is>
      </c>
      <c r="E328" t="n">
        <v>5</v>
      </c>
      <c r="H328" s="39">
        <f>IF(H327="","",H327)</f>
        <v/>
      </c>
      <c r="I328" s="7">
        <f>IF(H327="","",H327)</f>
        <v/>
      </c>
      <c r="J328" s="7" t="n">
        <v>5</v>
      </c>
      <c r="K328" s="7" t="n"/>
      <c r="L328" s="40" t="n"/>
      <c r="M328">
        <f>IF(AND(L328&lt;&gt;"",N(I328)&gt;0,N(J328)&gt;0),IF(J328=1,I328,ROUND(I328*(1+J328/30),1)),"")</f>
        <v/>
      </c>
      <c r="N328" s="41">
        <f>IF(M328="","",IF(M328&gt;=PRs!C2,"PR!",""))</f>
        <v/>
      </c>
      <c r="O328" s="7" t="n"/>
    </row>
    <row r="329">
      <c r="C329" t="inlineStr">
        <is>
          <t xml:space="preserve">      Set 2</t>
        </is>
      </c>
      <c r="E329" t="n">
        <v>5</v>
      </c>
      <c r="H329" s="39">
        <f>IF(H327="","",H327)</f>
        <v/>
      </c>
      <c r="I329" s="7">
        <f>IF(H327="","",H327)</f>
        <v/>
      </c>
      <c r="J329" s="7" t="n">
        <v>5</v>
      </c>
      <c r="K329" s="7" t="n"/>
      <c r="L329" s="40" t="n"/>
      <c r="M329">
        <f>IF(AND(L329&lt;&gt;"",N(I329)&gt;0,N(J329)&gt;0),IF(J329=1,I329,ROUND(I329*(1+J329/30),1)),"")</f>
        <v/>
      </c>
      <c r="N329" s="41">
        <f>IF(M329="","",IF(M329&gt;=PRs!C2,"PR!",""))</f>
        <v/>
      </c>
      <c r="O329" s="7" t="n"/>
    </row>
    <row r="330">
      <c r="A330" s="34" t="n"/>
      <c r="B330" s="34" t="n"/>
      <c r="C330" s="42" t="inlineStr">
        <is>
          <t>Bench Press</t>
        </is>
      </c>
      <c r="D330" s="34" t="inlineStr">
        <is>
          <t>2 x 5</t>
        </is>
      </c>
      <c r="E330" s="34" t="n"/>
      <c r="F330" s="34" t="n">
        <v>60</v>
      </c>
      <c r="G330" s="36">
        <f>Maxes!F3</f>
        <v/>
      </c>
      <c r="H330" s="37">
        <f>IF(OR(G330="",F330=""),"",MROUND(G330*F330/100,'Start Here'!$B$7))</f>
        <v/>
      </c>
      <c r="I330" s="34" t="n"/>
      <c r="J330" s="34" t="n"/>
      <c r="K330" s="34" t="n"/>
      <c r="L330" s="34" t="n"/>
      <c r="M330" s="34" t="n"/>
      <c r="N330" s="34" t="n"/>
      <c r="O330" s="38" t="inlineStr">
        <is>
          <t>Easy week - move fast, recover</t>
        </is>
      </c>
    </row>
    <row r="331">
      <c r="C331" t="inlineStr">
        <is>
          <t xml:space="preserve">      Set 1</t>
        </is>
      </c>
      <c r="E331" t="n">
        <v>5</v>
      </c>
      <c r="H331" s="39">
        <f>IF(H330="","",H330)</f>
        <v/>
      </c>
      <c r="I331" s="7">
        <f>IF(H330="","",H330)</f>
        <v/>
      </c>
      <c r="J331" s="7" t="n">
        <v>5</v>
      </c>
      <c r="K331" s="7" t="n"/>
      <c r="L331" s="40" t="n"/>
      <c r="M331">
        <f>IF(AND(L331&lt;&gt;"",N(I331)&gt;0,N(J331)&gt;0),IF(J331=1,I331,ROUND(I331*(1+J331/30),1)),"")</f>
        <v/>
      </c>
      <c r="N331" s="41">
        <f>IF(M331="","",IF(M331&gt;=PRs!C3,"PR!",""))</f>
        <v/>
      </c>
      <c r="O331" s="7" t="n"/>
    </row>
    <row r="332">
      <c r="C332" t="inlineStr">
        <is>
          <t xml:space="preserve">      Set 2</t>
        </is>
      </c>
      <c r="E332" t="n">
        <v>5</v>
      </c>
      <c r="H332" s="39">
        <f>IF(H330="","",H330)</f>
        <v/>
      </c>
      <c r="I332" s="7">
        <f>IF(H330="","",H330)</f>
        <v/>
      </c>
      <c r="J332" s="7" t="n">
        <v>5</v>
      </c>
      <c r="K332" s="7" t="n"/>
      <c r="L332" s="40" t="n"/>
      <c r="M332">
        <f>IF(AND(L332&lt;&gt;"",N(I332)&gt;0,N(J332)&gt;0),IF(J332=1,I332,ROUND(I332*(1+J332/30),1)),"")</f>
        <v/>
      </c>
      <c r="N332" s="41">
        <f>IF(M332="","",IF(M332&gt;=PRs!C3,"PR!",""))</f>
        <v/>
      </c>
      <c r="O332" s="7" t="n"/>
    </row>
    <row r="333">
      <c r="A333" s="34" t="n"/>
      <c r="B333" s="34" t="n"/>
      <c r="C333" s="43" t="inlineStr">
        <is>
          <t>Barbell Row</t>
        </is>
      </c>
      <c r="D333" s="34" t="inlineStr">
        <is>
          <t>2 x 8-10</t>
        </is>
      </c>
      <c r="E333" s="34" t="n"/>
      <c r="F333" s="34" t="n"/>
      <c r="G333" s="36" t="n"/>
      <c r="H333" s="37" t="n"/>
      <c r="I333" s="34" t="n"/>
      <c r="J333" s="34" t="n"/>
      <c r="K333" s="34" t="n"/>
      <c r="L333" s="34" t="n"/>
      <c r="M333" s="34" t="n"/>
      <c r="N333" s="34" t="n"/>
      <c r="O333" s="38" t="inlineStr">
        <is>
          <t>Easy - stop well short of failure</t>
        </is>
      </c>
    </row>
    <row r="334">
      <c r="C334" t="inlineStr">
        <is>
          <t xml:space="preserve">      Set 1</t>
        </is>
      </c>
      <c r="E334" t="n">
        <v>8</v>
      </c>
      <c r="H334" s="39">
        <f>IF(H333="","",H333)</f>
        <v/>
      </c>
      <c r="I334" s="7">
        <f>IF(H333="","",H333)</f>
        <v/>
      </c>
      <c r="J334" s="7" t="n">
        <v>8</v>
      </c>
      <c r="K334" s="7" t="n"/>
      <c r="L334" s="40" t="n"/>
      <c r="M334">
        <f>IF(AND(L334&lt;&gt;"",N(I334)&gt;0,N(J334)&gt;0),IF(J334=1,I334,ROUND(I334*(1+J334/30),1)),"")</f>
        <v/>
      </c>
      <c r="N334" s="41">
        <f>IF(M334="","",IF(M334&gt;=PRs!C50,"PR!",""))</f>
        <v/>
      </c>
      <c r="O334" s="7" t="n"/>
    </row>
    <row r="335">
      <c r="C335" t="inlineStr">
        <is>
          <t xml:space="preserve">      Set 2</t>
        </is>
      </c>
      <c r="E335" t="n">
        <v>8</v>
      </c>
      <c r="H335" s="39">
        <f>IF(H333="","",H333)</f>
        <v/>
      </c>
      <c r="I335" s="7">
        <f>IF(H333="","",H333)</f>
        <v/>
      </c>
      <c r="J335" s="7" t="n">
        <v>8</v>
      </c>
      <c r="K335" s="7" t="n"/>
      <c r="L335" s="40" t="n"/>
      <c r="M335">
        <f>IF(AND(L335&lt;&gt;"",N(I335)&gt;0,N(J335)&gt;0),IF(J335=1,I335,ROUND(I335*(1+J335/30),1)),"")</f>
        <v/>
      </c>
      <c r="N335" s="41">
        <f>IF(M335="","",IF(M335&gt;=PRs!C50,"PR!",""))</f>
        <v/>
      </c>
      <c r="O335" s="7" t="n"/>
    </row>
    <row r="336">
      <c r="A336" s="34" t="n"/>
      <c r="B336" s="34" t="n"/>
      <c r="C336" s="43" t="inlineStr">
        <is>
          <t>Face Pull</t>
        </is>
      </c>
      <c r="D336" s="34" t="inlineStr">
        <is>
          <t>2 x 12-15</t>
        </is>
      </c>
      <c r="E336" s="34" t="n"/>
      <c r="F336" s="34" t="n"/>
      <c r="G336" s="36" t="n"/>
      <c r="H336" s="37" t="n"/>
      <c r="I336" s="34" t="n"/>
      <c r="J336" s="34" t="n"/>
      <c r="K336" s="34" t="n"/>
      <c r="L336" s="34" t="n"/>
      <c r="M336" s="34" t="n"/>
      <c r="N336" s="34" t="n"/>
      <c r="O336" s="38" t="inlineStr">
        <is>
          <t>Easy - stop well short of failure</t>
        </is>
      </c>
    </row>
    <row r="337">
      <c r="C337" t="inlineStr">
        <is>
          <t xml:space="preserve">      Set 1</t>
        </is>
      </c>
      <c r="E337" t="n">
        <v>12</v>
      </c>
      <c r="H337" s="39">
        <f>IF(H336="","",H336)</f>
        <v/>
      </c>
      <c r="I337" s="7">
        <f>IF(H336="","",H336)</f>
        <v/>
      </c>
      <c r="J337" s="7" t="n">
        <v>12</v>
      </c>
      <c r="K337" s="7" t="n"/>
      <c r="L337" s="40" t="n"/>
      <c r="M337">
        <f>IF(AND(L337&lt;&gt;"",N(I337)&gt;0,N(J337)&gt;0),IF(J337=1,I337,ROUND(I337*(1+J337/30),1)),"")</f>
        <v/>
      </c>
      <c r="N337" s="41">
        <f>IF(M337="","",IF(M337&gt;=PRs!C51,"PR!",""))</f>
        <v/>
      </c>
      <c r="O337" s="7" t="n"/>
    </row>
    <row r="338">
      <c r="C338" t="inlineStr">
        <is>
          <t xml:space="preserve">      Set 2</t>
        </is>
      </c>
      <c r="E338" t="n">
        <v>12</v>
      </c>
      <c r="H338" s="39">
        <f>IF(H336="","",H336)</f>
        <v/>
      </c>
      <c r="I338" s="7">
        <f>IF(H336="","",H336)</f>
        <v/>
      </c>
      <c r="J338" s="7" t="n">
        <v>12</v>
      </c>
      <c r="K338" s="7" t="n"/>
      <c r="L338" s="40" t="n"/>
      <c r="M338">
        <f>IF(AND(L338&lt;&gt;"",N(I338)&gt;0,N(J338)&gt;0),IF(J338=1,I338,ROUND(I338*(1+J338/30),1)),"")</f>
        <v/>
      </c>
      <c r="N338" s="41">
        <f>IF(M338="","",IF(M338&gt;=PRs!C51,"PR!",""))</f>
        <v/>
      </c>
      <c r="O338" s="7" t="n"/>
    </row>
    <row r="339">
      <c r="A339" s="31" t="inlineStr">
        <is>
          <t>Day 2 - Light</t>
        </is>
      </c>
      <c r="B339" s="32">
        <f>'Start Here'!$B$8+107</f>
        <v/>
      </c>
      <c r="C339" s="33" t="n"/>
      <c r="D339" s="33" t="n"/>
      <c r="E339" s="33" t="n"/>
      <c r="F339" s="33" t="n"/>
      <c r="G339" s="33" t="n"/>
      <c r="H339" s="33" t="n"/>
      <c r="I339" s="33" t="n"/>
      <c r="J339" s="33" t="n"/>
      <c r="K339" s="33" t="n"/>
      <c r="L339" s="33" t="n"/>
      <c r="M339" s="33" t="n"/>
      <c r="N339" s="33" t="n"/>
      <c r="O339" s="33" t="n"/>
    </row>
    <row r="340">
      <c r="A340" s="34" t="n"/>
      <c r="B340" s="34" t="n"/>
      <c r="C340" s="35" t="inlineStr">
        <is>
          <t>Broad Jump</t>
        </is>
      </c>
      <c r="D340" s="34" t="inlineStr">
        <is>
          <t>2 x 3</t>
        </is>
      </c>
      <c r="E340" s="34" t="n"/>
      <c r="F340" s="34" t="n"/>
      <c r="G340" s="36" t="n"/>
      <c r="H340" s="37">
        <f>IF(N(Maxes!F70)&gt;0,Maxes!F70,"")</f>
        <v/>
      </c>
      <c r="I340" s="34" t="n"/>
      <c r="J340" s="34" t="n"/>
      <c r="K340" s="34" t="n"/>
      <c r="L340" s="34" t="n"/>
      <c r="M340" s="34" t="n"/>
      <c r="N340" s="34" t="n"/>
      <c r="O340" s="38" t="inlineStr">
        <is>
          <t>Standing two-foot jump forward, stick the landing. Measure toe line to the back of the nearest heel.</t>
        </is>
      </c>
    </row>
    <row r="341">
      <c r="C341" t="inlineStr">
        <is>
          <t xml:space="preserve">      Set 1</t>
        </is>
      </c>
      <c r="E341" t="n">
        <v>3</v>
      </c>
      <c r="H341" s="39">
        <f>IF(H340="","",H340)</f>
        <v/>
      </c>
      <c r="I341" s="7">
        <f>IF(H340="","",H340)</f>
        <v/>
      </c>
      <c r="J341" s="7" t="n">
        <v>3</v>
      </c>
      <c r="K341" s="7" t="n"/>
      <c r="L341" s="40" t="n"/>
      <c r="N341" s="41">
        <f>IF(AND(L341&lt;&gt;"",N(I341)&gt;0),IF(I341&gt;=PRs!D70,"PR!",""),"")</f>
        <v/>
      </c>
      <c r="O341" s="7" t="n"/>
    </row>
    <row r="342">
      <c r="C342" t="inlineStr">
        <is>
          <t xml:space="preserve">      Set 2</t>
        </is>
      </c>
      <c r="E342" t="n">
        <v>3</v>
      </c>
      <c r="H342" s="39">
        <f>IF(H340="","",H340)</f>
        <v/>
      </c>
      <c r="I342" s="7">
        <f>IF(H340="","",H340)</f>
        <v/>
      </c>
      <c r="J342" s="7" t="n">
        <v>3</v>
      </c>
      <c r="K342" s="7" t="n"/>
      <c r="L342" s="40" t="n"/>
      <c r="N342" s="41">
        <f>IF(AND(L342&lt;&gt;"",N(I342)&gt;0),IF(I342&gt;=PRs!D70,"PR!",""),"")</f>
        <v/>
      </c>
      <c r="O342" s="7" t="n"/>
    </row>
    <row r="343">
      <c r="A343" s="34" t="n"/>
      <c r="B343" s="34" t="n"/>
      <c r="C343" s="35" t="inlineStr">
        <is>
          <t>Med Ball Chest Pass</t>
        </is>
      </c>
      <c r="D343" s="34" t="inlineStr">
        <is>
          <t>2 x 3</t>
        </is>
      </c>
      <c r="E343" s="34" t="n"/>
      <c r="F343" s="34" t="n"/>
      <c r="G343" s="36" t="n"/>
      <c r="H343" s="37">
        <f>IF(N(Maxes!F77)&gt;0,Maxes!F77,"")</f>
        <v/>
      </c>
      <c r="I343" s="34" t="n"/>
      <c r="J343" s="34" t="n"/>
      <c r="K343" s="34" t="n"/>
      <c r="L343" s="34" t="n"/>
      <c r="M343" s="34" t="n"/>
      <c r="N343" s="34" t="n"/>
      <c r="O343" s="38" t="inlineStr">
        <is>
          <t>Kneeling or standing chest pass for distance with a 6-10 lb / 3-5 kg ball. Log the distance.</t>
        </is>
      </c>
    </row>
    <row r="344">
      <c r="C344" t="inlineStr">
        <is>
          <t xml:space="preserve">      Set 1</t>
        </is>
      </c>
      <c r="E344" t="n">
        <v>3</v>
      </c>
      <c r="H344" s="39">
        <f>IF(H343="","",H343)</f>
        <v/>
      </c>
      <c r="I344" s="7">
        <f>IF(H343="","",H343)</f>
        <v/>
      </c>
      <c r="J344" s="7" t="n">
        <v>3</v>
      </c>
      <c r="K344" s="7" t="n"/>
      <c r="L344" s="40" t="n"/>
      <c r="N344" s="41">
        <f>IF(AND(L344&lt;&gt;"",N(I344)&gt;0),IF(I344&gt;=PRs!D77,"PR!",""),"")</f>
        <v/>
      </c>
      <c r="O344" s="7" t="n"/>
    </row>
    <row r="345">
      <c r="C345" t="inlineStr">
        <is>
          <t xml:space="preserve">      Set 2</t>
        </is>
      </c>
      <c r="E345" t="n">
        <v>3</v>
      </c>
      <c r="H345" s="39">
        <f>IF(H343="","",H343)</f>
        <v/>
      </c>
      <c r="I345" s="7">
        <f>IF(H343="","",H343)</f>
        <v/>
      </c>
      <c r="J345" s="7" t="n">
        <v>3</v>
      </c>
      <c r="K345" s="7" t="n"/>
      <c r="L345" s="40" t="n"/>
      <c r="N345" s="41">
        <f>IF(AND(L345&lt;&gt;"",N(I345)&gt;0),IF(I345&gt;=PRs!D77,"PR!",""),"")</f>
        <v/>
      </c>
      <c r="O345" s="7" t="n"/>
    </row>
    <row r="346">
      <c r="A346" s="34" t="n"/>
      <c r="B346" s="34" t="n"/>
      <c r="C346" s="42" t="inlineStr">
        <is>
          <t>Clean &amp; Jerk</t>
        </is>
      </c>
      <c r="D346" s="34" t="inlineStr">
        <is>
          <t>2 x 2</t>
        </is>
      </c>
      <c r="E346" s="34" t="n"/>
      <c r="F346" s="34" t="n">
        <v>60</v>
      </c>
      <c r="G346" s="36">
        <f>Maxes!F7</f>
        <v/>
      </c>
      <c r="H346" s="37">
        <f>IF(OR(G346="",F346=""),"",MROUND(G346*F346/100,'Start Here'!$B$7))</f>
        <v/>
      </c>
      <c r="I346" s="34" t="n"/>
      <c r="J346" s="34" t="n"/>
      <c r="K346" s="34" t="n"/>
      <c r="L346" s="34" t="n"/>
      <c r="M346" s="34" t="n"/>
      <c r="N346" s="34" t="n"/>
      <c r="O346" s="38" t="inlineStr">
        <is>
          <t>Easy week - move fast, recover</t>
        </is>
      </c>
    </row>
    <row r="347">
      <c r="C347" t="inlineStr">
        <is>
          <t xml:space="preserve">      Set 1</t>
        </is>
      </c>
      <c r="E347" t="n">
        <v>2</v>
      </c>
      <c r="H347" s="39">
        <f>IF(H346="","",H346)</f>
        <v/>
      </c>
      <c r="I347" s="7">
        <f>IF(H346="","",H346)</f>
        <v/>
      </c>
      <c r="J347" s="7" t="n">
        <v>2</v>
      </c>
      <c r="K347" s="7" t="n"/>
      <c r="L347" s="40" t="n"/>
      <c r="M347">
        <f>IF(AND(L347&lt;&gt;"",N(I347)&gt;0,N(J347)&gt;0),IF(J347=1,I347,ROUND(I347*(1+J347/30),1)),"")</f>
        <v/>
      </c>
      <c r="N347" s="41">
        <f>IF(M347="","",IF(M347&gt;=PRs!C7,"PR!",""))</f>
        <v/>
      </c>
      <c r="O347" s="7" t="n"/>
    </row>
    <row r="348">
      <c r="C348" t="inlineStr">
        <is>
          <t xml:space="preserve">      Set 2</t>
        </is>
      </c>
      <c r="E348" t="n">
        <v>2</v>
      </c>
      <c r="H348" s="39">
        <f>IF(H346="","",H346)</f>
        <v/>
      </c>
      <c r="I348" s="7">
        <f>IF(H346="","",H346)</f>
        <v/>
      </c>
      <c r="J348" s="7" t="n">
        <v>2</v>
      </c>
      <c r="K348" s="7" t="n"/>
      <c r="L348" s="40" t="n"/>
      <c r="M348">
        <f>IF(AND(L348&lt;&gt;"",N(I348)&gt;0,N(J348)&gt;0),IF(J348=1,I348,ROUND(I348*(1+J348/30),1)),"")</f>
        <v/>
      </c>
      <c r="N348" s="41">
        <f>IF(M348="","",IF(M348&gt;=PRs!C7,"PR!",""))</f>
        <v/>
      </c>
      <c r="O348" s="7" t="n"/>
    </row>
    <row r="349">
      <c r="A349" s="34" t="n"/>
      <c r="B349" s="34" t="n"/>
      <c r="C349" s="42" t="inlineStr">
        <is>
          <t>Squat</t>
        </is>
      </c>
      <c r="D349" s="34" t="inlineStr">
        <is>
          <t>2 x 5</t>
        </is>
      </c>
      <c r="E349" s="34" t="n"/>
      <c r="F349" s="34" t="n">
        <v>60</v>
      </c>
      <c r="G349" s="36">
        <f>Maxes!F2</f>
        <v/>
      </c>
      <c r="H349" s="37">
        <f>IF(OR(G349="",F349=""),"",MROUND(G349*F349/100,'Start Here'!$B$7))</f>
        <v/>
      </c>
      <c r="I349" s="34" t="n"/>
      <c r="J349" s="34" t="n"/>
      <c r="K349" s="34" t="n"/>
      <c r="L349" s="34" t="n"/>
      <c r="M349" s="34" t="n"/>
      <c r="N349" s="34" t="n"/>
      <c r="O349" s="38" t="inlineStr">
        <is>
          <t>Easy week - move fast, recover</t>
        </is>
      </c>
    </row>
    <row r="350">
      <c r="C350" t="inlineStr">
        <is>
          <t xml:space="preserve">      Set 1</t>
        </is>
      </c>
      <c r="E350" t="n">
        <v>5</v>
      </c>
      <c r="H350" s="39">
        <f>IF(H349="","",H349)</f>
        <v/>
      </c>
      <c r="I350" s="7">
        <f>IF(H349="","",H349)</f>
        <v/>
      </c>
      <c r="J350" s="7" t="n">
        <v>5</v>
      </c>
      <c r="K350" s="7" t="n"/>
      <c r="L350" s="40" t="n"/>
      <c r="M350">
        <f>IF(AND(L350&lt;&gt;"",N(I350)&gt;0,N(J350)&gt;0),IF(J350=1,I350,ROUND(I350*(1+J350/30),1)),"")</f>
        <v/>
      </c>
      <c r="N350" s="41">
        <f>IF(M350="","",IF(M350&gt;=PRs!C2,"PR!",""))</f>
        <v/>
      </c>
      <c r="O350" s="7" t="n"/>
    </row>
    <row r="351">
      <c r="C351" t="inlineStr">
        <is>
          <t xml:space="preserve">      Set 2</t>
        </is>
      </c>
      <c r="E351" t="n">
        <v>5</v>
      </c>
      <c r="H351" s="39">
        <f>IF(H349="","",H349)</f>
        <v/>
      </c>
      <c r="I351" s="7">
        <f>IF(H349="","",H349)</f>
        <v/>
      </c>
      <c r="J351" s="7" t="n">
        <v>5</v>
      </c>
      <c r="K351" s="7" t="n"/>
      <c r="L351" s="40" t="n"/>
      <c r="M351">
        <f>IF(AND(L351&lt;&gt;"",N(I351)&gt;0,N(J351)&gt;0),IF(J351=1,I351,ROUND(I351*(1+J351/30),1)),"")</f>
        <v/>
      </c>
      <c r="N351" s="41">
        <f>IF(M351="","",IF(M351&gt;=PRs!C2,"PR!",""))</f>
        <v/>
      </c>
      <c r="O351" s="7" t="n"/>
    </row>
    <row r="352">
      <c r="A352" s="34" t="n"/>
      <c r="B352" s="34" t="n"/>
      <c r="C352" s="42" t="inlineStr">
        <is>
          <t>Overhead Press</t>
        </is>
      </c>
      <c r="D352" s="34" t="inlineStr">
        <is>
          <t>2 x 5</t>
        </is>
      </c>
      <c r="E352" s="34" t="n"/>
      <c r="F352" s="34" t="n">
        <v>60</v>
      </c>
      <c r="G352" s="36">
        <f>Maxes!F5</f>
        <v/>
      </c>
      <c r="H352" s="37">
        <f>IF(OR(G352="",F352=""),"",MROUND(G352*F352/100,'Start Here'!$B$7))</f>
        <v/>
      </c>
      <c r="I352" s="34" t="n"/>
      <c r="J352" s="34" t="n"/>
      <c r="K352" s="34" t="n"/>
      <c r="L352" s="34" t="n"/>
      <c r="M352" s="34" t="n"/>
      <c r="N352" s="34" t="n"/>
      <c r="O352" s="38" t="inlineStr">
        <is>
          <t>Easy week - move fast, recover</t>
        </is>
      </c>
    </row>
    <row r="353">
      <c r="C353" t="inlineStr">
        <is>
          <t xml:space="preserve">      Set 1</t>
        </is>
      </c>
      <c r="E353" t="n">
        <v>5</v>
      </c>
      <c r="H353" s="39">
        <f>IF(H352="","",H352)</f>
        <v/>
      </c>
      <c r="I353" s="7">
        <f>IF(H352="","",H352)</f>
        <v/>
      </c>
      <c r="J353" s="7" t="n">
        <v>5</v>
      </c>
      <c r="K353" s="7" t="n"/>
      <c r="L353" s="40" t="n"/>
      <c r="M353">
        <f>IF(AND(L353&lt;&gt;"",N(I353)&gt;0,N(J353)&gt;0),IF(J353=1,I353,ROUND(I353*(1+J353/30),1)),"")</f>
        <v/>
      </c>
      <c r="N353" s="41">
        <f>IF(M353="","",IF(M353&gt;=PRs!C5,"PR!",""))</f>
        <v/>
      </c>
      <c r="O353" s="7" t="n"/>
    </row>
    <row r="354">
      <c r="C354" t="inlineStr">
        <is>
          <t xml:space="preserve">      Set 2</t>
        </is>
      </c>
      <c r="E354" t="n">
        <v>5</v>
      </c>
      <c r="H354" s="39">
        <f>IF(H352="","",H352)</f>
        <v/>
      </c>
      <c r="I354" s="7">
        <f>IF(H352="","",H352)</f>
        <v/>
      </c>
      <c r="J354" s="7" t="n">
        <v>5</v>
      </c>
      <c r="K354" s="7" t="n"/>
      <c r="L354" s="40" t="n"/>
      <c r="M354">
        <f>IF(AND(L354&lt;&gt;"",N(I354)&gt;0,N(J354)&gt;0),IF(J354=1,I354,ROUND(I354*(1+J354/30),1)),"")</f>
        <v/>
      </c>
      <c r="N354" s="41">
        <f>IF(M354="","",IF(M354&gt;=PRs!C5,"PR!",""))</f>
        <v/>
      </c>
      <c r="O354" s="7" t="n"/>
    </row>
    <row r="355">
      <c r="A355" s="34" t="n"/>
      <c r="B355" s="34" t="n"/>
      <c r="C355" s="42" t="inlineStr">
        <is>
          <t>Deadlift</t>
        </is>
      </c>
      <c r="D355" s="34" t="inlineStr">
        <is>
          <t>2 x 5</t>
        </is>
      </c>
      <c r="E355" s="34" t="n"/>
      <c r="F355" s="34" t="n">
        <v>60</v>
      </c>
      <c r="G355" s="36">
        <f>Maxes!F4</f>
        <v/>
      </c>
      <c r="H355" s="37">
        <f>IF(OR(G355="",F355=""),"",MROUND(G355*F355/100,'Start Here'!$B$7))</f>
        <v/>
      </c>
      <c r="I355" s="34" t="n"/>
      <c r="J355" s="34" t="n"/>
      <c r="K355" s="34" t="n"/>
      <c r="L355" s="34" t="n"/>
      <c r="M355" s="34" t="n"/>
      <c r="N355" s="34" t="n"/>
      <c r="O355" s="38" t="inlineStr">
        <is>
          <t>Easy week - move fast, recover</t>
        </is>
      </c>
    </row>
    <row r="356">
      <c r="C356" t="inlineStr">
        <is>
          <t xml:space="preserve">      Set 1</t>
        </is>
      </c>
      <c r="E356" t="n">
        <v>5</v>
      </c>
      <c r="H356" s="39">
        <f>IF(H355="","",H355)</f>
        <v/>
      </c>
      <c r="I356" s="7">
        <f>IF(H355="","",H355)</f>
        <v/>
      </c>
      <c r="J356" s="7" t="n">
        <v>5</v>
      </c>
      <c r="K356" s="7" t="n"/>
      <c r="L356" s="40" t="n"/>
      <c r="M356">
        <f>IF(AND(L356&lt;&gt;"",N(I356)&gt;0,N(J356)&gt;0),IF(J356=1,I356,ROUND(I356*(1+J356/30),1)),"")</f>
        <v/>
      </c>
      <c r="N356" s="41">
        <f>IF(M356="","",IF(M356&gt;=PRs!C4,"PR!",""))</f>
        <v/>
      </c>
      <c r="O356" s="7" t="n"/>
    </row>
    <row r="357">
      <c r="C357" t="inlineStr">
        <is>
          <t xml:space="preserve">      Set 2</t>
        </is>
      </c>
      <c r="E357" t="n">
        <v>5</v>
      </c>
      <c r="H357" s="39">
        <f>IF(H355="","",H355)</f>
        <v/>
      </c>
      <c r="I357" s="7">
        <f>IF(H355="","",H355)</f>
        <v/>
      </c>
      <c r="J357" s="7" t="n">
        <v>5</v>
      </c>
      <c r="K357" s="7" t="n"/>
      <c r="L357" s="40" t="n"/>
      <c r="M357">
        <f>IF(AND(L357&lt;&gt;"",N(I357)&gt;0,N(J357)&gt;0),IF(J357=1,I357,ROUND(I357*(1+J357/30),1)),"")</f>
        <v/>
      </c>
      <c r="N357" s="41">
        <f>IF(M357="","",IF(M357&gt;=PRs!C4,"PR!",""))</f>
        <v/>
      </c>
      <c r="O357" s="7" t="n"/>
    </row>
    <row r="358">
      <c r="A358" s="34" t="n"/>
      <c r="B358" s="34" t="n"/>
      <c r="C358" s="43" t="inlineStr">
        <is>
          <t>Chin-up</t>
        </is>
      </c>
      <c r="D358" s="34" t="inlineStr">
        <is>
          <t>2 x 6-10</t>
        </is>
      </c>
      <c r="E358" s="34" t="n"/>
      <c r="F358" s="34" t="n"/>
      <c r="G358" s="36" t="n"/>
      <c r="H358" s="37" t="n"/>
      <c r="I358" s="34" t="n"/>
      <c r="J358" s="34" t="n"/>
      <c r="K358" s="34" t="n"/>
      <c r="L358" s="34" t="n"/>
      <c r="M358" s="34" t="n"/>
      <c r="N358" s="34" t="n"/>
      <c r="O358" s="38" t="inlineStr">
        <is>
          <t>Easy - stop well short of failure</t>
        </is>
      </c>
    </row>
    <row r="359">
      <c r="C359" t="inlineStr">
        <is>
          <t xml:space="preserve">      Set 1</t>
        </is>
      </c>
      <c r="E359" t="n">
        <v>6</v>
      </c>
      <c r="H359" s="39">
        <f>IF(H358="","",H358)</f>
        <v/>
      </c>
      <c r="I359" s="7">
        <f>IF(H358="","",H358)</f>
        <v/>
      </c>
      <c r="J359" s="7" t="n">
        <v>6</v>
      </c>
      <c r="K359" s="7" t="n"/>
      <c r="L359" s="40" t="n"/>
      <c r="M359">
        <f>IF(AND(L359&lt;&gt;"",N(I359)&gt;0,N(J359)&gt;0),IF(J359=1,I359,ROUND(I359*(1+J359/30),1)),"")</f>
        <v/>
      </c>
      <c r="N359" s="41">
        <f>IF(M359="","",IF(M359&gt;=PRs!C53,"PR!",""))</f>
        <v/>
      </c>
      <c r="O359" s="7" t="n"/>
    </row>
    <row r="360">
      <c r="C360" t="inlineStr">
        <is>
          <t xml:space="preserve">      Set 2</t>
        </is>
      </c>
      <c r="E360" t="n">
        <v>6</v>
      </c>
      <c r="H360" s="39">
        <f>IF(H358="","",H358)</f>
        <v/>
      </c>
      <c r="I360" s="7">
        <f>IF(H358="","",H358)</f>
        <v/>
      </c>
      <c r="J360" s="7" t="n">
        <v>6</v>
      </c>
      <c r="K360" s="7" t="n"/>
      <c r="L360" s="40" t="n"/>
      <c r="M360">
        <f>IF(AND(L360&lt;&gt;"",N(I360)&gt;0,N(J360)&gt;0),IF(J360=1,I360,ROUND(I360*(1+J360/30),1)),"")</f>
        <v/>
      </c>
      <c r="N360" s="41">
        <f>IF(M360="","",IF(M360&gt;=PRs!C53,"PR!",""))</f>
        <v/>
      </c>
      <c r="O360" s="7" t="n"/>
    </row>
    <row r="361">
      <c r="A361" s="34" t="n"/>
      <c r="B361" s="34" t="n"/>
      <c r="C361" s="43" t="inlineStr">
        <is>
          <t>Plank</t>
        </is>
      </c>
      <c r="D361" s="34" t="inlineStr">
        <is>
          <t>2 x 30-60s</t>
        </is>
      </c>
      <c r="E361" s="34" t="n"/>
      <c r="F361" s="34" t="n"/>
      <c r="G361" s="36" t="n"/>
      <c r="H361" s="37" t="n"/>
      <c r="I361" s="34" t="n"/>
      <c r="J361" s="34" t="n"/>
      <c r="K361" s="34" t="n"/>
      <c r="L361" s="34" t="n"/>
      <c r="M361" s="34" t="n"/>
      <c r="N361" s="34" t="n"/>
      <c r="O361" s="38" t="inlineStr">
        <is>
          <t>Easy - stop well short of failure</t>
        </is>
      </c>
    </row>
    <row r="362">
      <c r="C362" t="inlineStr">
        <is>
          <t xml:space="preserve">      Set 1</t>
        </is>
      </c>
      <c r="E362" t="n">
        <v>30</v>
      </c>
      <c r="H362" s="39">
        <f>IF(H361="","",H361)</f>
        <v/>
      </c>
      <c r="I362" s="7">
        <f>IF(H361="","",H361)</f>
        <v/>
      </c>
      <c r="J362" s="7" t="n">
        <v>30</v>
      </c>
      <c r="K362" s="7" t="n"/>
      <c r="L362" s="40" t="n"/>
      <c r="M362">
        <f>IF(AND(L362&lt;&gt;"",N(I362)&gt;0,N(J362)&gt;0),IF(J362=1,I362,ROUND(I362*(1+J362/30),1)),"")</f>
        <v/>
      </c>
      <c r="N362" s="41">
        <f>IF(M362="","",IF(M362&gt;=PRs!C56,"PR!",""))</f>
        <v/>
      </c>
      <c r="O362" s="7" t="n"/>
    </row>
    <row r="363">
      <c r="C363" t="inlineStr">
        <is>
          <t xml:space="preserve">      Set 2</t>
        </is>
      </c>
      <c r="E363" t="n">
        <v>30</v>
      </c>
      <c r="H363" s="39">
        <f>IF(H361="","",H361)</f>
        <v/>
      </c>
      <c r="I363" s="7">
        <f>IF(H361="","",H361)</f>
        <v/>
      </c>
      <c r="J363" s="7" t="n">
        <v>30</v>
      </c>
      <c r="K363" s="7" t="n"/>
      <c r="L363" s="40" t="n"/>
      <c r="M363">
        <f>IF(AND(L363&lt;&gt;"",N(I363)&gt;0,N(J363)&gt;0),IF(J363=1,I363,ROUND(I363*(1+J363/30),1)),"")</f>
        <v/>
      </c>
      <c r="N363" s="41">
        <f>IF(M363="","",IF(M363&gt;=PRs!C56,"PR!",""))</f>
        <v/>
      </c>
      <c r="O363" s="7" t="n"/>
    </row>
    <row r="364">
      <c r="A364" s="31" t="inlineStr">
        <is>
          <t>Day 3 - Variations</t>
        </is>
      </c>
      <c r="B364" s="32">
        <f>'Start Here'!$B$8+109</f>
        <v/>
      </c>
      <c r="C364" s="33" t="n"/>
      <c r="D364" s="33" t="n"/>
      <c r="E364" s="33" t="n"/>
      <c r="F364" s="33" t="n"/>
      <c r="G364" s="33" t="n"/>
      <c r="H364" s="33" t="n"/>
      <c r="I364" s="33" t="n"/>
      <c r="J364" s="33" t="n"/>
      <c r="K364" s="33" t="n"/>
      <c r="L364" s="33" t="n"/>
      <c r="M364" s="33" t="n"/>
      <c r="N364" s="33" t="n"/>
      <c r="O364" s="33" t="n"/>
    </row>
    <row r="365">
      <c r="A365" s="34" t="n"/>
      <c r="B365" s="34" t="n"/>
      <c r="C365" s="35" t="inlineStr">
        <is>
          <t>Lateral Bound</t>
        </is>
      </c>
      <c r="D365" s="34" t="inlineStr">
        <is>
          <t>2 x 3</t>
        </is>
      </c>
      <c r="E365" s="34" t="n"/>
      <c r="F365" s="34" t="n"/>
      <c r="G365" s="36" t="n"/>
      <c r="H365" s="37">
        <f>IF(N(Maxes!F74)&gt;0,Maxes!F74,"")</f>
        <v/>
      </c>
      <c r="I365" s="34" t="n"/>
      <c r="J365" s="34" t="n"/>
      <c r="K365" s="34" t="n"/>
      <c r="L365" s="34" t="n"/>
      <c r="M365" s="34" t="n"/>
      <c r="N365" s="34" t="n"/>
      <c r="O365" s="38" t="inlineStr">
        <is>
          <t>Single-leg bound sideways, stick the landing on the other leg, then back. Log distance (each side counts as a rep).</t>
        </is>
      </c>
    </row>
    <row r="366">
      <c r="C366" t="inlineStr">
        <is>
          <t xml:space="preserve">      Set 1</t>
        </is>
      </c>
      <c r="E366" t="n">
        <v>3</v>
      </c>
      <c r="H366" s="39">
        <f>IF(H365="","",H365)</f>
        <v/>
      </c>
      <c r="I366" s="7">
        <f>IF(H365="","",H365)</f>
        <v/>
      </c>
      <c r="J366" s="7" t="n">
        <v>3</v>
      </c>
      <c r="K366" s="7" t="n"/>
      <c r="L366" s="40" t="n"/>
      <c r="N366" s="41">
        <f>IF(AND(L366&lt;&gt;"",N(I366)&gt;0),IF(I366&gt;=PRs!D74,"PR!",""),"")</f>
        <v/>
      </c>
      <c r="O366" s="7" t="n"/>
    </row>
    <row r="367">
      <c r="C367" t="inlineStr">
        <is>
          <t xml:space="preserve">      Set 2</t>
        </is>
      </c>
      <c r="E367" t="n">
        <v>3</v>
      </c>
      <c r="H367" s="39">
        <f>IF(H365="","",H365)</f>
        <v/>
      </c>
      <c r="I367" s="7">
        <f>IF(H365="","",H365)</f>
        <v/>
      </c>
      <c r="J367" s="7" t="n">
        <v>3</v>
      </c>
      <c r="K367" s="7" t="n"/>
      <c r="L367" s="40" t="n"/>
      <c r="N367" s="41">
        <f>IF(AND(L367&lt;&gt;"",N(I367)&gt;0),IF(I367&gt;=PRs!D74,"PR!",""),"")</f>
        <v/>
      </c>
      <c r="O367" s="7" t="n"/>
    </row>
    <row r="368">
      <c r="A368" s="34" t="n"/>
      <c r="B368" s="34" t="n"/>
      <c r="C368" s="42" t="inlineStr">
        <is>
          <t>Hang Clean</t>
        </is>
      </c>
      <c r="D368" s="34" t="inlineStr">
        <is>
          <t>2 x 2</t>
        </is>
      </c>
      <c r="E368" s="34" t="n"/>
      <c r="F368" s="34" t="n">
        <v>60</v>
      </c>
      <c r="G368" s="36">
        <f>Maxes!F43</f>
        <v/>
      </c>
      <c r="H368" s="37">
        <f>IF(OR(G368="",F368=""),"",MROUND(G368*F368/100,'Start Here'!$B$7))</f>
        <v/>
      </c>
      <c r="I368" s="34" t="n"/>
      <c r="J368" s="34" t="n"/>
      <c r="K368" s="34" t="n"/>
      <c r="L368" s="34" t="n"/>
      <c r="M368" s="34" t="n"/>
      <c r="N368" s="34" t="n"/>
      <c r="O368" s="38" t="inlineStr">
        <is>
          <t>Easy week - move fast, recover</t>
        </is>
      </c>
    </row>
    <row r="369">
      <c r="C369" t="inlineStr">
        <is>
          <t xml:space="preserve">      Set 1</t>
        </is>
      </c>
      <c r="E369" t="n">
        <v>2</v>
      </c>
      <c r="H369" s="39">
        <f>IF(H368="","",H368)</f>
        <v/>
      </c>
      <c r="I369" s="7">
        <f>IF(H368="","",H368)</f>
        <v/>
      </c>
      <c r="J369" s="7" t="n">
        <v>2</v>
      </c>
      <c r="K369" s="7" t="n"/>
      <c r="L369" s="40" t="n"/>
      <c r="M369">
        <f>IF(AND(L369&lt;&gt;"",N(I369)&gt;0,N(J369)&gt;0),IF(J369=1,I369,ROUND(I369*(1+J369/30),1)),"")</f>
        <v/>
      </c>
      <c r="N369" s="41">
        <f>IF(M369="","",IF(M369&gt;=PRs!C43,"PR!",""))</f>
        <v/>
      </c>
      <c r="O369" s="7" t="n"/>
    </row>
    <row r="370">
      <c r="C370" t="inlineStr">
        <is>
          <t xml:space="preserve">      Set 2</t>
        </is>
      </c>
      <c r="E370" t="n">
        <v>2</v>
      </c>
      <c r="H370" s="39">
        <f>IF(H368="","",H368)</f>
        <v/>
      </c>
      <c r="I370" s="7">
        <f>IF(H368="","",H368)</f>
        <v/>
      </c>
      <c r="J370" s="7" t="n">
        <v>2</v>
      </c>
      <c r="K370" s="7" t="n"/>
      <c r="L370" s="40" t="n"/>
      <c r="M370">
        <f>IF(AND(L370&lt;&gt;"",N(I370)&gt;0,N(J370)&gt;0),IF(J370=1,I370,ROUND(I370*(1+J370/30),1)),"")</f>
        <v/>
      </c>
      <c r="N370" s="41">
        <f>IF(M370="","",IF(M370&gt;=PRs!C43,"PR!",""))</f>
        <v/>
      </c>
      <c r="O370" s="7" t="n"/>
    </row>
    <row r="371">
      <c r="A371" s="34" t="n"/>
      <c r="B371" s="34" t="n"/>
      <c r="C371" s="42" t="inlineStr">
        <is>
          <t>Safety Bar Squat</t>
        </is>
      </c>
      <c r="D371" s="34" t="inlineStr">
        <is>
          <t>2 x 5</t>
        </is>
      </c>
      <c r="E371" s="34" t="n"/>
      <c r="F371" s="34" t="n">
        <v>60</v>
      </c>
      <c r="G371" s="36">
        <f>Maxes!F11</f>
        <v/>
      </c>
      <c r="H371" s="37">
        <f>IF(OR(G371="",F371=""),"",MROUND(G371*F371/100,'Start Here'!$B$7))</f>
        <v/>
      </c>
      <c r="I371" s="34" t="n"/>
      <c r="J371" s="34" t="n"/>
      <c r="K371" s="34" t="n"/>
      <c r="L371" s="34" t="n"/>
      <c r="M371" s="34" t="n"/>
      <c r="N371" s="34" t="n"/>
      <c r="O371" s="38" t="inlineStr">
        <is>
          <t>Easy week - move fast, recover</t>
        </is>
      </c>
    </row>
    <row r="372">
      <c r="C372" t="inlineStr">
        <is>
          <t xml:space="preserve">      Set 1</t>
        </is>
      </c>
      <c r="E372" t="n">
        <v>5</v>
      </c>
      <c r="H372" s="39">
        <f>IF(H371="","",H371)</f>
        <v/>
      </c>
      <c r="I372" s="7">
        <f>IF(H371="","",H371)</f>
        <v/>
      </c>
      <c r="J372" s="7" t="n">
        <v>5</v>
      </c>
      <c r="K372" s="7" t="n"/>
      <c r="L372" s="40" t="n"/>
      <c r="M372">
        <f>IF(AND(L372&lt;&gt;"",N(I372)&gt;0,N(J372)&gt;0),IF(J372=1,I372,ROUND(I372*(1+J372/30),1)),"")</f>
        <v/>
      </c>
      <c r="N372" s="41">
        <f>IF(M372="","",IF(M372&gt;=PRs!C11,"PR!",""))</f>
        <v/>
      </c>
      <c r="O372" s="7" t="n"/>
    </row>
    <row r="373">
      <c r="C373" t="inlineStr">
        <is>
          <t xml:space="preserve">      Set 2</t>
        </is>
      </c>
      <c r="E373" t="n">
        <v>5</v>
      </c>
      <c r="H373" s="39">
        <f>IF(H371="","",H371)</f>
        <v/>
      </c>
      <c r="I373" s="7">
        <f>IF(H371="","",H371)</f>
        <v/>
      </c>
      <c r="J373" s="7" t="n">
        <v>5</v>
      </c>
      <c r="K373" s="7" t="n"/>
      <c r="L373" s="40" t="n"/>
      <c r="M373">
        <f>IF(AND(L373&lt;&gt;"",N(I373)&gt;0,N(J373)&gt;0),IF(J373=1,I373,ROUND(I373*(1+J373/30),1)),"")</f>
        <v/>
      </c>
      <c r="N373" s="41">
        <f>IF(M373="","",IF(M373&gt;=PRs!C11,"PR!",""))</f>
        <v/>
      </c>
      <c r="O373" s="7" t="n"/>
    </row>
    <row r="374">
      <c r="A374" s="34" t="n"/>
      <c r="B374" s="34" t="n"/>
      <c r="C374" s="42" t="inlineStr">
        <is>
          <t>1-Board Press</t>
        </is>
      </c>
      <c r="D374" s="34" t="inlineStr">
        <is>
          <t>2 x 5</t>
        </is>
      </c>
      <c r="E374" s="34" t="n"/>
      <c r="F374" s="34" t="n">
        <v>60</v>
      </c>
      <c r="G374" s="36">
        <f>Maxes!F15</f>
        <v/>
      </c>
      <c r="H374" s="37">
        <f>IF(OR(G374="",F374=""),"",MROUND(G374*F374/100,'Start Here'!$B$7))</f>
        <v/>
      </c>
      <c r="I374" s="34" t="n"/>
      <c r="J374" s="34" t="n"/>
      <c r="K374" s="34" t="n"/>
      <c r="L374" s="34" t="n"/>
      <c r="M374" s="34" t="n"/>
      <c r="N374" s="34" t="n"/>
      <c r="O374" s="38" t="inlineStr">
        <is>
          <t>Easy week - move fast, recover</t>
        </is>
      </c>
    </row>
    <row r="375">
      <c r="C375" t="inlineStr">
        <is>
          <t xml:space="preserve">      Set 1</t>
        </is>
      </c>
      <c r="E375" t="n">
        <v>5</v>
      </c>
      <c r="H375" s="39">
        <f>IF(H374="","",H374)</f>
        <v/>
      </c>
      <c r="I375" s="7">
        <f>IF(H374="","",H374)</f>
        <v/>
      </c>
      <c r="J375" s="7" t="n">
        <v>5</v>
      </c>
      <c r="K375" s="7" t="n"/>
      <c r="L375" s="40" t="n"/>
      <c r="M375">
        <f>IF(AND(L375&lt;&gt;"",N(I375)&gt;0,N(J375)&gt;0),IF(J375=1,I375,ROUND(I375*(1+J375/30),1)),"")</f>
        <v/>
      </c>
      <c r="N375" s="41">
        <f>IF(M375="","",IF(M375&gt;=PRs!C15,"PR!",""))</f>
        <v/>
      </c>
      <c r="O375" s="7" t="n"/>
    </row>
    <row r="376">
      <c r="C376" t="inlineStr">
        <is>
          <t xml:space="preserve">      Set 2</t>
        </is>
      </c>
      <c r="E376" t="n">
        <v>5</v>
      </c>
      <c r="H376" s="39">
        <f>IF(H374="","",H374)</f>
        <v/>
      </c>
      <c r="I376" s="7">
        <f>IF(H374="","",H374)</f>
        <v/>
      </c>
      <c r="J376" s="7" t="n">
        <v>5</v>
      </c>
      <c r="K376" s="7" t="n"/>
      <c r="L376" s="40" t="n"/>
      <c r="M376">
        <f>IF(AND(L376&lt;&gt;"",N(I376)&gt;0,N(J376)&gt;0),IF(J376=1,I376,ROUND(I376*(1+J376/30),1)),"")</f>
        <v/>
      </c>
      <c r="N376" s="41">
        <f>IF(M376="","",IF(M376&gt;=PRs!C15,"PR!",""))</f>
        <v/>
      </c>
      <c r="O376" s="7" t="n"/>
    </row>
    <row r="377">
      <c r="A377" s="34" t="n"/>
      <c r="B377" s="34" t="n"/>
      <c r="C377" s="42" t="inlineStr">
        <is>
          <t>Block Pull</t>
        </is>
      </c>
      <c r="D377" s="34" t="inlineStr">
        <is>
          <t>2 x 5</t>
        </is>
      </c>
      <c r="E377" s="34" t="n"/>
      <c r="F377" s="34" t="n">
        <v>60</v>
      </c>
      <c r="G377" s="36">
        <f>Maxes!F26</f>
        <v/>
      </c>
      <c r="H377" s="37">
        <f>IF(OR(G377="",F377=""),"",MROUND(G377*F377/100,'Start Here'!$B$7))</f>
        <v/>
      </c>
      <c r="I377" s="34" t="n"/>
      <c r="J377" s="34" t="n"/>
      <c r="K377" s="34" t="n"/>
      <c r="L377" s="34" t="n"/>
      <c r="M377" s="34" t="n"/>
      <c r="N377" s="34" t="n"/>
      <c r="O377" s="38" t="inlineStr">
        <is>
          <t>Easy week - move fast, recover</t>
        </is>
      </c>
    </row>
    <row r="378">
      <c r="C378" t="inlineStr">
        <is>
          <t xml:space="preserve">      Set 1</t>
        </is>
      </c>
      <c r="E378" t="n">
        <v>5</v>
      </c>
      <c r="H378" s="39">
        <f>IF(H377="","",H377)</f>
        <v/>
      </c>
      <c r="I378" s="7">
        <f>IF(H377="","",H377)</f>
        <v/>
      </c>
      <c r="J378" s="7" t="n">
        <v>5</v>
      </c>
      <c r="K378" s="7" t="n"/>
      <c r="L378" s="40" t="n"/>
      <c r="M378">
        <f>IF(AND(L378&lt;&gt;"",N(I378)&gt;0,N(J378)&gt;0),IF(J378=1,I378,ROUND(I378*(1+J378/30),1)),"")</f>
        <v/>
      </c>
      <c r="N378" s="41">
        <f>IF(M378="","",IF(M378&gt;=PRs!C26,"PR!",""))</f>
        <v/>
      </c>
      <c r="O378" s="7" t="n"/>
    </row>
    <row r="379">
      <c r="C379" t="inlineStr">
        <is>
          <t xml:space="preserve">      Set 2</t>
        </is>
      </c>
      <c r="E379" t="n">
        <v>5</v>
      </c>
      <c r="H379" s="39">
        <f>IF(H377="","",H377)</f>
        <v/>
      </c>
      <c r="I379" s="7">
        <f>IF(H377="","",H377)</f>
        <v/>
      </c>
      <c r="J379" s="7" t="n">
        <v>5</v>
      </c>
      <c r="K379" s="7" t="n"/>
      <c r="L379" s="40" t="n"/>
      <c r="M379">
        <f>IF(AND(L379&lt;&gt;"",N(I379)&gt;0,N(J379)&gt;0),IF(J379=1,I379,ROUND(I379*(1+J379/30),1)),"")</f>
        <v/>
      </c>
      <c r="N379" s="41">
        <f>IF(M379="","",IF(M379&gt;=PRs!C26,"PR!",""))</f>
        <v/>
      </c>
      <c r="O379" s="7" t="n"/>
    </row>
    <row r="380">
      <c r="A380" s="34" t="n"/>
      <c r="B380" s="34" t="n"/>
      <c r="C380" s="43" t="inlineStr">
        <is>
          <t>Incline Dumbbell Press</t>
        </is>
      </c>
      <c r="D380" s="34" t="inlineStr">
        <is>
          <t>2 x 8-12</t>
        </is>
      </c>
      <c r="E380" s="34" t="n"/>
      <c r="F380" s="34" t="n"/>
      <c r="G380" s="36" t="n"/>
      <c r="H380" s="37" t="n"/>
      <c r="I380" s="34" t="n"/>
      <c r="J380" s="34" t="n"/>
      <c r="K380" s="34" t="n"/>
      <c r="L380" s="34" t="n"/>
      <c r="M380" s="34" t="n"/>
      <c r="N380" s="34" t="n"/>
      <c r="O380" s="38" t="inlineStr">
        <is>
          <t>Easy - stop well short of failure</t>
        </is>
      </c>
    </row>
    <row r="381">
      <c r="C381" t="inlineStr">
        <is>
          <t xml:space="preserve">      Set 1</t>
        </is>
      </c>
      <c r="E381" t="n">
        <v>8</v>
      </c>
      <c r="H381" s="39">
        <f>IF(H380="","",H380)</f>
        <v/>
      </c>
      <c r="I381" s="7">
        <f>IF(H380="","",H380)</f>
        <v/>
      </c>
      <c r="J381" s="7" t="n">
        <v>8</v>
      </c>
      <c r="K381" s="7" t="n"/>
      <c r="L381" s="40" t="n"/>
      <c r="M381">
        <f>IF(AND(L381&lt;&gt;"",N(I381)&gt;0,N(J381)&gt;0),IF(J381=1,I381,ROUND(I381*(1+J381/30),1)),"")</f>
        <v/>
      </c>
      <c r="N381" s="41">
        <f>IF(M381="","",IF(M381&gt;=PRs!C57,"PR!",""))</f>
        <v/>
      </c>
      <c r="O381" s="7" t="n"/>
    </row>
    <row r="382">
      <c r="C382" t="inlineStr">
        <is>
          <t xml:space="preserve">      Set 2</t>
        </is>
      </c>
      <c r="E382" t="n">
        <v>8</v>
      </c>
      <c r="H382" s="39">
        <f>IF(H380="","",H380)</f>
        <v/>
      </c>
      <c r="I382" s="7">
        <f>IF(H380="","",H380)</f>
        <v/>
      </c>
      <c r="J382" s="7" t="n">
        <v>8</v>
      </c>
      <c r="K382" s="7" t="n"/>
      <c r="L382" s="40" t="n"/>
      <c r="M382">
        <f>IF(AND(L382&lt;&gt;"",N(I382)&gt;0,N(J382)&gt;0),IF(J382=1,I382,ROUND(I382*(1+J382/30),1)),"")</f>
        <v/>
      </c>
      <c r="N382" s="41">
        <f>IF(M382="","",IF(M382&gt;=PRs!C57,"PR!",""))</f>
        <v/>
      </c>
      <c r="O382" s="7" t="n"/>
    </row>
    <row r="383">
      <c r="A383" s="34" t="n"/>
      <c r="B383" s="34" t="n"/>
      <c r="C383" s="43" t="inlineStr">
        <is>
          <t>Triceps Pushdown</t>
        </is>
      </c>
      <c r="D383" s="34" t="inlineStr">
        <is>
          <t>2 x 10-15</t>
        </is>
      </c>
      <c r="E383" s="34" t="n"/>
      <c r="F383" s="34" t="n"/>
      <c r="G383" s="36" t="n"/>
      <c r="H383" s="37" t="n"/>
      <c r="I383" s="34" t="n"/>
      <c r="J383" s="34" t="n"/>
      <c r="K383" s="34" t="n"/>
      <c r="L383" s="34" t="n"/>
      <c r="M383" s="34" t="n"/>
      <c r="N383" s="34" t="n"/>
      <c r="O383" s="38" t="inlineStr">
        <is>
          <t>Easy - stop well short of failure</t>
        </is>
      </c>
    </row>
    <row r="384">
      <c r="C384" t="inlineStr">
        <is>
          <t xml:space="preserve">      Set 1</t>
        </is>
      </c>
      <c r="E384" t="n">
        <v>10</v>
      </c>
      <c r="H384" s="39">
        <f>IF(H383="","",H383)</f>
        <v/>
      </c>
      <c r="I384" s="7">
        <f>IF(H383="","",H383)</f>
        <v/>
      </c>
      <c r="J384" s="7" t="n">
        <v>10</v>
      </c>
      <c r="K384" s="7" t="n"/>
      <c r="L384" s="40" t="n"/>
      <c r="M384">
        <f>IF(AND(L384&lt;&gt;"",N(I384)&gt;0,N(J384)&gt;0),IF(J384=1,I384,ROUND(I384*(1+J384/30),1)),"")</f>
        <v/>
      </c>
      <c r="N384" s="41">
        <f>IF(M384="","",IF(M384&gt;=PRs!C59,"PR!",""))</f>
        <v/>
      </c>
      <c r="O384" s="7" t="n"/>
    </row>
    <row r="385">
      <c r="C385" t="inlineStr">
        <is>
          <t xml:space="preserve">      Set 2</t>
        </is>
      </c>
      <c r="E385" t="n">
        <v>10</v>
      </c>
      <c r="H385" s="39">
        <f>IF(H383="","",H383)</f>
        <v/>
      </c>
      <c r="I385" s="7">
        <f>IF(H383="","",H383)</f>
        <v/>
      </c>
      <c r="J385" s="7" t="n">
        <v>10</v>
      </c>
      <c r="K385" s="7" t="n"/>
      <c r="L385" s="40" t="n"/>
      <c r="M385">
        <f>IF(AND(L385&lt;&gt;"",N(I385)&gt;0,N(J385)&gt;0),IF(J385=1,I385,ROUND(I385*(1+J385/30),1)),"")</f>
        <v/>
      </c>
      <c r="N385" s="41">
        <f>IF(M385="","",IF(M385&gt;=PRs!C59,"PR!",""))</f>
        <v/>
      </c>
      <c r="O385" s="7" t="n"/>
    </row>
  </sheetData>
  <dataValidations count="3">
    <dataValidation sqref="H3" showDropDown="0" showInputMessage="0" showErrorMessage="0" allowBlank="1" type="list">
      <formula1>Lists!$B$1:$B$6</formula1>
    </dataValidation>
    <dataValidation sqref="L9 L10 L11 L12 L14 L15 L16 L17 L19 L20 L21 L23 L24 L25 L27 L28 L29 L30 L32 L33 L34 L35 L38 L39 L40 L41 L43 L44 L45 L47 L48 L49 L50 L52 L53 L54 L56 L57 L58 L59 L61 L62 L63 L65 L66 L67 L68 L70 L71 L72 L73 L76 L77 L78 L79 L81 L82 L83 L84 L85 L86 L88 L89 L90 L91 L93 L94 L95 L96 L98 L99 L100 L102 L103 L104 L105 L107 L108 L109 L110 L115 L116 L117 L118 L120 L121 L122 L123 L125 L126 L127 L129 L130 L131 L133 L134 L135 L136 L138 L139 L140 L141 L144 L145 L146 L147 L149 L150 L151 L153 L154 L155 L156 L158 L159 L160 L162 L163 L164 L165 L167 L168 L169 L171 L172 L173 L174 L176 L177 L178 L179 L182 L183 L184 L185 L187 L188 L189 L190 L191 L192 L194 L195 L196 L197 L199 L200 L201 L202 L204 L205 L206 L208 L209 L210 L211 L213 L214 L215 L216 L221 L222 L223 L224 L226 L227 L228 L229 L231 L232 L233 L235 L236 L237 L239 L240 L241 L242 L244 L245 L246 L247 L250 L251 L252 L253 L255 L256 L257 L259 L260 L261 L262 L264 L265 L266 L268 L269 L270 L272 L273 L274 L276 L277 L278 L279 L281 L282 L283 L284 L287 L288 L289 L290 L292 L293 L294 L295 L297 L298 L299 L301 L302 L303 L305 L306 L307 L309 L310 L311 L312 L314 L315 L316 L317 L322 L323 L325 L326 L328 L329 L331 L332 L334 L335 L337 L338 L341 L342 L344 L345 L347 L348 L350 L351 L353 L354 L356 L357 L359 L360 L362 L363 L366 L367 L369 L370 L372 L373 L375 L376 L378 L379 L381 L382 L384 L385" showDropDown="0" showInputMessage="0" showErrorMessage="0" allowBlank="1" type="list">
      <formula1>"✓"</formula1>
    </dataValidation>
    <dataValidation sqref="K9 K10 K11 K12 K14 K15 K16 K17 K19 K20 K21 K23 K24 K25 K27 K28 K29 K30 K32 K33 K34 K35 K38 K39 K40 K41 K43 K44 K45 K47 K48 K49 K50 K52 K53 K54 K56 K57 K58 K59 K61 K62 K63 K65 K66 K67 K68 K70 K71 K72 K73 K76 K77 K78 K79 K81 K82 K83 K84 K85 K86 K88 K89 K90 K91 K93 K94 K95 K96 K98 K99 K100 K102 K103 K104 K105 K107 K108 K109 K110 K115 K116 K117 K118 K120 K121 K122 K123 K125 K126 K127 K129 K130 K131 K133 K134 K135 K136 K138 K139 K140 K141 K144 K145 K146 K147 K149 K150 K151 K153 K154 K155 K156 K158 K159 K160 K162 K163 K164 K165 K167 K168 K169 K171 K172 K173 K174 K176 K177 K178 K179 K182 K183 K184 K185 K187 K188 K189 K190 K191 K192 K194 K195 K196 K197 K199 K200 K201 K202 K204 K205 K206 K208 K209 K210 K211 K213 K214 K215 K216 K221 K222 K223 K224 K226 K227 K228 K229 K231 K232 K233 K235 K236 K237 K239 K240 K241 K242 K244 K245 K246 K247 K250 K251 K252 K253 K255 K256 K257 K259 K260 K261 K262 K264 K265 K266 K268 K269 K270 K272 K273 K274 K276 K277 K278 K279 K281 K282 K283 K284 K287 K288 K289 K290 K292 K293 K294 K295 K297 K298 K299 K301 K302 K303 K305 K306 K307 K309 K310 K311 K312 K314 K315 K316 K317 K322 K323 K325 K326 K328 K329 K331 K332 K334 K335 K337 K338 K341 K342 K344 K345 K347 K348 K350 K351 K353 K354 K356 K357 K359 K360 K362 K363 K366 K367 K369 K370 K372 K373 K375 K376 K378 K379 K381 K382 K384 K385" showDropDown="0" showInputMessage="0" showErrorMessage="0" allowBlank="1" type="list">
      <formula1>"6,6.5,7,7.5,8,8.5,9,9.5,10"</formula1>
    </dataValidation>
  </dataValidations>
  <hyperlinks>
    <hyperlink ref="A2" location="'Month 03'!A1" display="&lt; Month 03"/>
    <hyperlink ref="C2" location="'Start Here'!A1" display="Start Here"/>
    <hyperlink ref="E2" location="'Month 05'!A1" display="Month 05 &gt;"/>
    <hyperlink ref="L3" location="'Body'!A1" display="How to test"/>
  </hyperlinks>
  <pageMargins left="0.75" right="0.75" top="1" bottom="1" header="0.5" footer="0.5"/>
  <pageSetup orientation="landscape" fitToHeight="0" fitToWidth="1"/>
</worksheet>
</file>

<file path=xl/worksheets/sheet7.xml><?xml version="1.0" encoding="utf-8"?>
<worksheet xmlns="http://schemas.openxmlformats.org/spreadsheetml/2006/main">
  <sheetPr>
    <tabColor rgb="00E6E2DA"/>
    <outlinePr summaryBelow="1" summaryRight="1"/>
    <pageSetUpPr fitToPage="1"/>
  </sheetPr>
  <dimension ref="A1:O36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26" customWidth="1" min="3" max="3"/>
    <col width="10" customWidth="1" min="4" max="4"/>
    <col width="7" customWidth="1" min="5" max="5"/>
    <col width="6" customWidth="1" min="6" max="6"/>
    <col width="9" customWidth="1" min="7" max="7"/>
    <col width="9" customWidth="1" min="8" max="8"/>
    <col width="12" customWidth="1" min="9" max="9"/>
    <col width="8" customWidth="1" min="10" max="10"/>
    <col width="6" customWidth="1" min="11" max="11"/>
    <col width="6" customWidth="1" min="12" max="12"/>
    <col width="9" customWidth="1" min="13" max="13"/>
    <col width="5" customWidth="1" min="14" max="14"/>
    <col width="60" customWidth="1" min="15" max="15"/>
  </cols>
  <sheetData>
    <row r="1">
      <c r="A1" s="25" t="inlineStr">
        <is>
          <t>MONTH 05  -  weeks 17-20  -  Cycle 2</t>
        </is>
      </c>
    </row>
    <row r="2">
      <c r="A2" s="26" t="inlineStr">
        <is>
          <t>&lt; Month 04</t>
        </is>
      </c>
      <c r="C2" s="26" t="inlineStr">
        <is>
          <t>Start Here</t>
        </is>
      </c>
      <c r="E2" s="26" t="inlineStr">
        <is>
          <t>Month 06 &gt;</t>
        </is>
      </c>
    </row>
    <row r="3">
      <c r="A3" s="41" t="inlineStr">
        <is>
          <t>BODY FAT (once this month)</t>
        </is>
      </c>
      <c r="C3" s="44" t="inlineStr">
        <is>
          <t>Date</t>
        </is>
      </c>
      <c r="D3" s="12" t="n"/>
      <c r="E3" s="44" t="inlineStr">
        <is>
          <t>Body fat %</t>
        </is>
      </c>
      <c r="F3" s="7" t="n"/>
      <c r="G3" s="44" t="inlineStr">
        <is>
          <t>Method</t>
        </is>
      </c>
      <c r="H3" s="7" t="n"/>
      <c r="I3" s="44" t="inlineStr">
        <is>
          <t>Weight at test</t>
        </is>
      </c>
      <c r="J3" s="7" t="n"/>
      <c r="L3" s="26" t="inlineStr">
        <is>
          <t>How to test</t>
        </is>
      </c>
    </row>
    <row r="4">
      <c r="A4" s="27" t="inlineStr">
        <is>
          <t>Every set is filled in with the plan. Change what was different, mark Done. Enter bodyweight once per week on the purple week rows.</t>
        </is>
      </c>
    </row>
    <row r="5">
      <c r="A5" s="8" t="inlineStr">
        <is>
          <t>Day</t>
        </is>
      </c>
      <c r="B5" s="8" t="inlineStr">
        <is>
          <t>Date</t>
        </is>
      </c>
      <c r="C5" s="8" t="inlineStr">
        <is>
          <t>Exercise / set</t>
        </is>
      </c>
      <c r="D5" s="8" t="inlineStr">
        <is>
          <t>Scheme</t>
        </is>
      </c>
      <c r="E5" s="8" t="inlineStr">
        <is>
          <t>Target reps</t>
        </is>
      </c>
      <c r="F5" s="8" t="inlineStr">
        <is>
          <t>% TM</t>
        </is>
      </c>
      <c r="G5" s="8" t="inlineStr">
        <is>
          <t>Training max</t>
        </is>
      </c>
      <c r="H5" s="8" t="inlineStr">
        <is>
          <t>Target</t>
        </is>
      </c>
      <c r="I5" s="8" t="inlineStr">
        <is>
          <t>Actual weight / height</t>
        </is>
      </c>
      <c r="J5" s="8" t="inlineStr">
        <is>
          <t>Actual reps</t>
        </is>
      </c>
      <c r="K5" s="8" t="inlineStr">
        <is>
          <t>RPE</t>
        </is>
      </c>
      <c r="L5" s="8" t="inlineStr">
        <is>
          <t>Done</t>
        </is>
      </c>
      <c r="M5" s="8" t="inlineStr">
        <is>
          <t>Est. 1RM</t>
        </is>
      </c>
      <c r="N5" s="8" t="inlineStr">
        <is>
          <t>PR</t>
        </is>
      </c>
      <c r="O5" s="8" t="inlineStr">
        <is>
          <t>Notes / guidance</t>
        </is>
      </c>
    </row>
    <row r="6">
      <c r="A6" s="51" t="inlineStr">
        <is>
          <t>WEEK 17 - CYCLE 2 - TRANSMUTATION</t>
        </is>
      </c>
      <c r="B6" s="52" t="n"/>
      <c r="C6" s="52" t="n"/>
      <c r="D6" s="52" t="n"/>
      <c r="E6" s="52" t="n"/>
      <c r="F6" s="52" t="n"/>
      <c r="G6" s="52" t="n"/>
      <c r="H6" s="53" t="inlineStr">
        <is>
          <t>Bodyweight:</t>
        </is>
      </c>
      <c r="I6" s="7" t="n"/>
      <c r="J6" s="52" t="n"/>
      <c r="K6" s="52" t="n"/>
      <c r="L6" s="52" t="n"/>
      <c r="M6" s="52" t="n"/>
      <c r="N6" s="52" t="n"/>
      <c r="O6" s="52" t="n"/>
    </row>
    <row r="7">
      <c r="A7" s="31" t="inlineStr">
        <is>
          <t>Day 1 - Heavy</t>
        </is>
      </c>
      <c r="B7" s="32">
        <f>'Start Here'!$B$8+112</f>
        <v/>
      </c>
      <c r="C7" s="33" t="n"/>
      <c r="D7" s="33" t="n"/>
      <c r="E7" s="33" t="n"/>
      <c r="F7" s="33" t="n"/>
      <c r="G7" s="33" t="n"/>
      <c r="H7" s="33" t="n"/>
      <c r="I7" s="33" t="n"/>
      <c r="J7" s="33" t="n"/>
      <c r="K7" s="33" t="n"/>
      <c r="L7" s="33" t="n"/>
      <c r="M7" s="33" t="n"/>
      <c r="N7" s="33" t="n"/>
      <c r="O7" s="33" t="n"/>
    </row>
    <row r="8">
      <c r="A8" s="34" t="n"/>
      <c r="B8" s="34" t="n"/>
      <c r="C8" s="35" t="inlineStr">
        <is>
          <t>Box Jump</t>
        </is>
      </c>
      <c r="D8" s="34" t="inlineStr">
        <is>
          <t>4 x 3</t>
        </is>
      </c>
      <c r="E8" s="34" t="n"/>
      <c r="F8" s="34" t="n"/>
      <c r="G8" s="36" t="n"/>
      <c r="H8" s="37">
        <f>IF(N(Maxes!F69)&gt;0,Maxes!F69,'Start Here'!$G$16)</f>
        <v/>
      </c>
      <c r="I8" s="34" t="n"/>
      <c r="J8" s="34" t="n"/>
      <c r="K8" s="34" t="n"/>
      <c r="L8" s="34" t="n"/>
      <c r="M8" s="34" t="n"/>
      <c r="N8" s="34" t="n"/>
      <c r="O8" s="38" t="inlineStr">
        <is>
          <t>Two-foot jump onto a box, land soft in a quarter squat, STEP down. Log the box height (floor to top of box).</t>
        </is>
      </c>
    </row>
    <row r="9">
      <c r="C9" t="inlineStr">
        <is>
          <t xml:space="preserve">      Set 1</t>
        </is>
      </c>
      <c r="E9" t="n">
        <v>3</v>
      </c>
      <c r="H9" s="39">
        <f>IF(H8="","",H8)</f>
        <v/>
      </c>
      <c r="I9" s="7">
        <f>IF(H8="","",H8)</f>
        <v/>
      </c>
      <c r="J9" s="7" t="n">
        <v>3</v>
      </c>
      <c r="K9" s="7" t="n"/>
      <c r="L9" s="40" t="n"/>
      <c r="N9" s="41">
        <f>IF(AND(L9&lt;&gt;"",N(I9)&gt;0),IF(I9&gt;=PRs!D69,"PR!",""),"")</f>
        <v/>
      </c>
      <c r="O9" s="7" t="n"/>
    </row>
    <row r="10">
      <c r="C10" t="inlineStr">
        <is>
          <t xml:space="preserve">      Set 2</t>
        </is>
      </c>
      <c r="E10" t="n">
        <v>3</v>
      </c>
      <c r="H10" s="39">
        <f>IF(H8="","",H8)</f>
        <v/>
      </c>
      <c r="I10" s="7">
        <f>IF(H8="","",H8)</f>
        <v/>
      </c>
      <c r="J10" s="7" t="n">
        <v>3</v>
      </c>
      <c r="K10" s="7" t="n"/>
      <c r="L10" s="40" t="n"/>
      <c r="N10" s="41">
        <f>IF(AND(L10&lt;&gt;"",N(I10)&gt;0),IF(I10&gt;=PRs!D69,"PR!",""),"")</f>
        <v/>
      </c>
      <c r="O10" s="7" t="n"/>
    </row>
    <row r="11">
      <c r="C11" t="inlineStr">
        <is>
          <t xml:space="preserve">      Set 3</t>
        </is>
      </c>
      <c r="E11" t="n">
        <v>3</v>
      </c>
      <c r="H11" s="39">
        <f>IF(H8="","",H8)</f>
        <v/>
      </c>
      <c r="I11" s="7">
        <f>IF(H8="","",H8)</f>
        <v/>
      </c>
      <c r="J11" s="7" t="n">
        <v>3</v>
      </c>
      <c r="K11" s="7" t="n"/>
      <c r="L11" s="40" t="n"/>
      <c r="N11" s="41">
        <f>IF(AND(L11&lt;&gt;"",N(I11)&gt;0),IF(I11&gt;=PRs!D69,"PR!",""),"")</f>
        <v/>
      </c>
      <c r="O11" s="7" t="n"/>
    </row>
    <row r="12">
      <c r="C12" t="inlineStr">
        <is>
          <t xml:space="preserve">      Set 4</t>
        </is>
      </c>
      <c r="E12" t="n">
        <v>3</v>
      </c>
      <c r="H12" s="39">
        <f>IF(H8="","",H8)</f>
        <v/>
      </c>
      <c r="I12" s="7">
        <f>IF(H8="","",H8)</f>
        <v/>
      </c>
      <c r="J12" s="7" t="n">
        <v>3</v>
      </c>
      <c r="K12" s="7" t="n"/>
      <c r="L12" s="40" t="n"/>
      <c r="N12" s="41">
        <f>IF(AND(L12&lt;&gt;"",N(I12)&gt;0),IF(I12&gt;=PRs!D69,"PR!",""),"")</f>
        <v/>
      </c>
      <c r="O12" s="7" t="n"/>
    </row>
    <row r="13">
      <c r="A13" s="34" t="n"/>
      <c r="B13" s="34" t="n"/>
      <c r="C13" s="42" t="inlineStr">
        <is>
          <t>Snatch</t>
        </is>
      </c>
      <c r="D13" s="34" t="inlineStr">
        <is>
          <t>4 x 3</t>
        </is>
      </c>
      <c r="E13" s="34" t="n"/>
      <c r="F13" s="34" t="n">
        <v>77.5</v>
      </c>
      <c r="G13" s="36">
        <f>Maxes!F6</f>
        <v/>
      </c>
      <c r="H13" s="37">
        <f>IF(OR(G13="",F13=""),"",MROUND(G13*F13/100,'Start Here'!$B$7))</f>
        <v/>
      </c>
      <c r="I13" s="34" t="n"/>
      <c r="J13" s="34" t="n"/>
      <c r="K13" s="34" t="n"/>
      <c r="L13" s="34" t="n"/>
      <c r="M13" s="34" t="n"/>
      <c r="N13" s="34" t="n"/>
      <c r="O13" s="38" t="inlineStr"/>
    </row>
    <row r="14">
      <c r="C14" t="inlineStr">
        <is>
          <t xml:space="preserve">      Set 1</t>
        </is>
      </c>
      <c r="E14" t="n">
        <v>3</v>
      </c>
      <c r="H14" s="39">
        <f>IF(H13="","",H13)</f>
        <v/>
      </c>
      <c r="I14" s="7">
        <f>IF(H13="","",H13)</f>
        <v/>
      </c>
      <c r="J14" s="7" t="n">
        <v>3</v>
      </c>
      <c r="K14" s="7" t="n"/>
      <c r="L14" s="40" t="n"/>
      <c r="M14">
        <f>IF(AND(L14&lt;&gt;"",N(I14)&gt;0,N(J14)&gt;0),IF(J14=1,I14,ROUND(I14*(1+J14/30),1)),"")</f>
        <v/>
      </c>
      <c r="N14" s="41">
        <f>IF(M14="","",IF(M14&gt;=PRs!C6,"PR!",""))</f>
        <v/>
      </c>
      <c r="O14" s="7" t="n"/>
    </row>
    <row r="15">
      <c r="C15" t="inlineStr">
        <is>
          <t xml:space="preserve">      Set 2</t>
        </is>
      </c>
      <c r="E15" t="n">
        <v>3</v>
      </c>
      <c r="H15" s="39">
        <f>IF(H13="","",H13)</f>
        <v/>
      </c>
      <c r="I15" s="7">
        <f>IF(H13="","",H13)</f>
        <v/>
      </c>
      <c r="J15" s="7" t="n">
        <v>3</v>
      </c>
      <c r="K15" s="7" t="n"/>
      <c r="L15" s="40" t="n"/>
      <c r="M15">
        <f>IF(AND(L15&lt;&gt;"",N(I15)&gt;0,N(J15)&gt;0),IF(J15=1,I15,ROUND(I15*(1+J15/30),1)),"")</f>
        <v/>
      </c>
      <c r="N15" s="41">
        <f>IF(M15="","",IF(M15&gt;=PRs!C6,"PR!",""))</f>
        <v/>
      </c>
      <c r="O15" s="7" t="n"/>
    </row>
    <row r="16">
      <c r="C16" t="inlineStr">
        <is>
          <t xml:space="preserve">      Set 3</t>
        </is>
      </c>
      <c r="E16" t="n">
        <v>3</v>
      </c>
      <c r="H16" s="39">
        <f>IF(H13="","",H13)</f>
        <v/>
      </c>
      <c r="I16" s="7">
        <f>IF(H13="","",H13)</f>
        <v/>
      </c>
      <c r="J16" s="7" t="n">
        <v>3</v>
      </c>
      <c r="K16" s="7" t="n"/>
      <c r="L16" s="40" t="n"/>
      <c r="M16">
        <f>IF(AND(L16&lt;&gt;"",N(I16)&gt;0,N(J16)&gt;0),IF(J16=1,I16,ROUND(I16*(1+J16/30),1)),"")</f>
        <v/>
      </c>
      <c r="N16" s="41">
        <f>IF(M16="","",IF(M16&gt;=PRs!C6,"PR!",""))</f>
        <v/>
      </c>
      <c r="O16" s="7" t="n"/>
    </row>
    <row r="17">
      <c r="C17" t="inlineStr">
        <is>
          <t xml:space="preserve">      Set 4</t>
        </is>
      </c>
      <c r="E17" t="n">
        <v>3</v>
      </c>
      <c r="H17" s="39">
        <f>IF(H13="","",H13)</f>
        <v/>
      </c>
      <c r="I17" s="7">
        <f>IF(H13="","",H13)</f>
        <v/>
      </c>
      <c r="J17" s="7" t="n">
        <v>3</v>
      </c>
      <c r="K17" s="7" t="n"/>
      <c r="L17" s="40" t="n"/>
      <c r="M17">
        <f>IF(AND(L17&lt;&gt;"",N(I17)&gt;0,N(J17)&gt;0),IF(J17=1,I17,ROUND(I17*(1+J17/30),1)),"")</f>
        <v/>
      </c>
      <c r="N17" s="41">
        <f>IF(M17="","",IF(M17&gt;=PRs!C6,"PR!",""))</f>
        <v/>
      </c>
      <c r="O17" s="7" t="n"/>
    </row>
    <row r="18">
      <c r="A18" s="34" t="n"/>
      <c r="B18" s="34" t="n"/>
      <c r="C18" s="42" t="inlineStr">
        <is>
          <t>Squat</t>
        </is>
      </c>
      <c r="D18" s="34" t="inlineStr">
        <is>
          <t>3 x 6</t>
        </is>
      </c>
      <c r="E18" s="34" t="n"/>
      <c r="F18" s="34" t="n">
        <v>77.5</v>
      </c>
      <c r="G18" s="36">
        <f>Maxes!F2</f>
        <v/>
      </c>
      <c r="H18" s="37">
        <f>IF(OR(G18="",F18=""),"",MROUND(G18*F18/100,'Start Here'!$B$7))</f>
        <v/>
      </c>
      <c r="I18" s="34" t="n"/>
      <c r="J18" s="34" t="n"/>
      <c r="K18" s="34" t="n"/>
      <c r="L18" s="34" t="n"/>
      <c r="M18" s="34" t="n"/>
      <c r="N18" s="34" t="n"/>
      <c r="O18" s="38" t="inlineStr"/>
    </row>
    <row r="19">
      <c r="C19" t="inlineStr">
        <is>
          <t xml:space="preserve">      Set 1</t>
        </is>
      </c>
      <c r="E19" t="n">
        <v>6</v>
      </c>
      <c r="H19" s="39">
        <f>IF(H18="","",H18)</f>
        <v/>
      </c>
      <c r="I19" s="7">
        <f>IF(H18="","",H18)</f>
        <v/>
      </c>
      <c r="J19" s="7" t="n">
        <v>6</v>
      </c>
      <c r="K19" s="7" t="n"/>
      <c r="L19" s="40" t="n"/>
      <c r="M19">
        <f>IF(AND(L19&lt;&gt;"",N(I19)&gt;0,N(J19)&gt;0),IF(J19=1,I19,ROUND(I19*(1+J19/30),1)),"")</f>
        <v/>
      </c>
      <c r="N19" s="41">
        <f>IF(M19="","",IF(M19&gt;=PRs!C2,"PR!",""))</f>
        <v/>
      </c>
      <c r="O19" s="7" t="n"/>
    </row>
    <row r="20">
      <c r="C20" t="inlineStr">
        <is>
          <t xml:space="preserve">      Set 2</t>
        </is>
      </c>
      <c r="E20" t="n">
        <v>6</v>
      </c>
      <c r="H20" s="39">
        <f>IF(H18="","",H18)</f>
        <v/>
      </c>
      <c r="I20" s="7">
        <f>IF(H18="","",H18)</f>
        <v/>
      </c>
      <c r="J20" s="7" t="n">
        <v>6</v>
      </c>
      <c r="K20" s="7" t="n"/>
      <c r="L20" s="40" t="n"/>
      <c r="M20">
        <f>IF(AND(L20&lt;&gt;"",N(I20)&gt;0,N(J20)&gt;0),IF(J20=1,I20,ROUND(I20*(1+J20/30),1)),"")</f>
        <v/>
      </c>
      <c r="N20" s="41">
        <f>IF(M20="","",IF(M20&gt;=PRs!C2,"PR!",""))</f>
        <v/>
      </c>
      <c r="O20" s="7" t="n"/>
    </row>
    <row r="21">
      <c r="C21" t="inlineStr">
        <is>
          <t xml:space="preserve">      Set 3</t>
        </is>
      </c>
      <c r="E21" t="n">
        <v>6</v>
      </c>
      <c r="H21" s="39">
        <f>IF(H18="","",H18)</f>
        <v/>
      </c>
      <c r="I21" s="7">
        <f>IF(H18="","",H18)</f>
        <v/>
      </c>
      <c r="J21" s="7" t="n">
        <v>6</v>
      </c>
      <c r="K21" s="7" t="n"/>
      <c r="L21" s="40" t="n"/>
      <c r="M21">
        <f>IF(AND(L21&lt;&gt;"",N(I21)&gt;0,N(J21)&gt;0),IF(J21=1,I21,ROUND(I21*(1+J21/30),1)),"")</f>
        <v/>
      </c>
      <c r="N21" s="41">
        <f>IF(M21="","",IF(M21&gt;=PRs!C2,"PR!",""))</f>
        <v/>
      </c>
      <c r="O21" s="7" t="n"/>
    </row>
    <row r="22">
      <c r="A22" s="34" t="n"/>
      <c r="B22" s="34" t="n"/>
      <c r="C22" s="42" t="inlineStr">
        <is>
          <t>Bench Press</t>
        </is>
      </c>
      <c r="D22" s="34" t="inlineStr">
        <is>
          <t>3 x 6</t>
        </is>
      </c>
      <c r="E22" s="34" t="n"/>
      <c r="F22" s="34" t="n">
        <v>77.5</v>
      </c>
      <c r="G22" s="36">
        <f>Maxes!F3</f>
        <v/>
      </c>
      <c r="H22" s="37">
        <f>IF(OR(G22="",F22=""),"",MROUND(G22*F22/100,'Start Here'!$B$7))</f>
        <v/>
      </c>
      <c r="I22" s="34" t="n"/>
      <c r="J22" s="34" t="n"/>
      <c r="K22" s="34" t="n"/>
      <c r="L22" s="34" t="n"/>
      <c r="M22" s="34" t="n"/>
      <c r="N22" s="34" t="n"/>
      <c r="O22" s="38" t="inlineStr"/>
    </row>
    <row r="23">
      <c r="C23" t="inlineStr">
        <is>
          <t xml:space="preserve">      Set 1</t>
        </is>
      </c>
      <c r="E23" t="n">
        <v>6</v>
      </c>
      <c r="H23" s="39">
        <f>IF(H22="","",H22)</f>
        <v/>
      </c>
      <c r="I23" s="7">
        <f>IF(H22="","",H22)</f>
        <v/>
      </c>
      <c r="J23" s="7" t="n">
        <v>6</v>
      </c>
      <c r="K23" s="7" t="n"/>
      <c r="L23" s="40" t="n"/>
      <c r="M23">
        <f>IF(AND(L23&lt;&gt;"",N(I23)&gt;0,N(J23)&gt;0),IF(J23=1,I23,ROUND(I23*(1+J23/30),1)),"")</f>
        <v/>
      </c>
      <c r="N23" s="41">
        <f>IF(M23="","",IF(M23&gt;=PRs!C3,"PR!",""))</f>
        <v/>
      </c>
      <c r="O23" s="7" t="n"/>
    </row>
    <row r="24">
      <c r="C24" t="inlineStr">
        <is>
          <t xml:space="preserve">      Set 2</t>
        </is>
      </c>
      <c r="E24" t="n">
        <v>6</v>
      </c>
      <c r="H24" s="39">
        <f>IF(H22="","",H22)</f>
        <v/>
      </c>
      <c r="I24" s="7">
        <f>IF(H22="","",H22)</f>
        <v/>
      </c>
      <c r="J24" s="7" t="n">
        <v>6</v>
      </c>
      <c r="K24" s="7" t="n"/>
      <c r="L24" s="40" t="n"/>
      <c r="M24">
        <f>IF(AND(L24&lt;&gt;"",N(I24)&gt;0,N(J24)&gt;0),IF(J24=1,I24,ROUND(I24*(1+J24/30),1)),"")</f>
        <v/>
      </c>
      <c r="N24" s="41">
        <f>IF(M24="","",IF(M24&gt;=PRs!C3,"PR!",""))</f>
        <v/>
      </c>
      <c r="O24" s="7" t="n"/>
    </row>
    <row r="25">
      <c r="C25" t="inlineStr">
        <is>
          <t xml:space="preserve">      Set 3</t>
        </is>
      </c>
      <c r="E25" t="n">
        <v>6</v>
      </c>
      <c r="H25" s="39">
        <f>IF(H22="","",H22)</f>
        <v/>
      </c>
      <c r="I25" s="7">
        <f>IF(H22="","",H22)</f>
        <v/>
      </c>
      <c r="J25" s="7" t="n">
        <v>6</v>
      </c>
      <c r="K25" s="7" t="n"/>
      <c r="L25" s="40" t="n"/>
      <c r="M25">
        <f>IF(AND(L25&lt;&gt;"",N(I25)&gt;0,N(J25)&gt;0),IF(J25=1,I25,ROUND(I25*(1+J25/30),1)),"")</f>
        <v/>
      </c>
      <c r="N25" s="41">
        <f>IF(M25="","",IF(M25&gt;=PRs!C3,"PR!",""))</f>
        <v/>
      </c>
      <c r="O25" s="7" t="n"/>
    </row>
    <row r="26">
      <c r="A26" s="34" t="n"/>
      <c r="B26" s="34" t="n"/>
      <c r="C26" s="43" t="inlineStr">
        <is>
          <t>Barbell Row</t>
        </is>
      </c>
      <c r="D26" s="34" t="inlineStr">
        <is>
          <t>3 x 8-10</t>
        </is>
      </c>
      <c r="E26" s="34" t="n"/>
      <c r="F26" s="34" t="n"/>
      <c r="G26" s="36" t="n"/>
      <c r="H26" s="37" t="n"/>
      <c r="I26" s="34" t="n"/>
      <c r="J26" s="34" t="n"/>
      <c r="K26" s="34" t="n"/>
      <c r="L26" s="34" t="n"/>
      <c r="M26" s="34" t="n"/>
      <c r="N26" s="34" t="n"/>
      <c r="O26" s="38" t="inlineStr">
        <is>
          <t>Leave 1-2 reps in the tank; add weight when you hit the top of the range</t>
        </is>
      </c>
    </row>
    <row r="27">
      <c r="C27" t="inlineStr">
        <is>
          <t xml:space="preserve">      Set 1</t>
        </is>
      </c>
      <c r="E27" t="n">
        <v>8</v>
      </c>
      <c r="H27" s="39">
        <f>IF(H26="","",H26)</f>
        <v/>
      </c>
      <c r="I27" s="7">
        <f>IF(H26="","",H26)</f>
        <v/>
      </c>
      <c r="J27" s="7" t="n">
        <v>8</v>
      </c>
      <c r="K27" s="7" t="n"/>
      <c r="L27" s="40" t="n"/>
      <c r="M27">
        <f>IF(AND(L27&lt;&gt;"",N(I27)&gt;0,N(J27)&gt;0),IF(J27=1,I27,ROUND(I27*(1+J27/30),1)),"")</f>
        <v/>
      </c>
      <c r="N27" s="41">
        <f>IF(M27="","",IF(M27&gt;=PRs!C50,"PR!",""))</f>
        <v/>
      </c>
      <c r="O27" s="7" t="n"/>
    </row>
    <row r="28">
      <c r="C28" t="inlineStr">
        <is>
          <t xml:space="preserve">      Set 2</t>
        </is>
      </c>
      <c r="E28" t="n">
        <v>8</v>
      </c>
      <c r="H28" s="39">
        <f>IF(H26="","",H26)</f>
        <v/>
      </c>
      <c r="I28" s="7">
        <f>IF(H26="","",H26)</f>
        <v/>
      </c>
      <c r="J28" s="7" t="n">
        <v>8</v>
      </c>
      <c r="K28" s="7" t="n"/>
      <c r="L28" s="40" t="n"/>
      <c r="M28">
        <f>IF(AND(L28&lt;&gt;"",N(I28)&gt;0,N(J28)&gt;0),IF(J28=1,I28,ROUND(I28*(1+J28/30),1)),"")</f>
        <v/>
      </c>
      <c r="N28" s="41">
        <f>IF(M28="","",IF(M28&gt;=PRs!C50,"PR!",""))</f>
        <v/>
      </c>
      <c r="O28" s="7" t="n"/>
    </row>
    <row r="29">
      <c r="C29" t="inlineStr">
        <is>
          <t xml:space="preserve">      Set 3</t>
        </is>
      </c>
      <c r="E29" t="n">
        <v>8</v>
      </c>
      <c r="H29" s="39">
        <f>IF(H26="","",H26)</f>
        <v/>
      </c>
      <c r="I29" s="7">
        <f>IF(H26="","",H26)</f>
        <v/>
      </c>
      <c r="J29" s="7" t="n">
        <v>8</v>
      </c>
      <c r="K29" s="7" t="n"/>
      <c r="L29" s="40" t="n"/>
      <c r="M29">
        <f>IF(AND(L29&lt;&gt;"",N(I29)&gt;0,N(J29)&gt;0),IF(J29=1,I29,ROUND(I29*(1+J29/30),1)),"")</f>
        <v/>
      </c>
      <c r="N29" s="41">
        <f>IF(M29="","",IF(M29&gt;=PRs!C50,"PR!",""))</f>
        <v/>
      </c>
      <c r="O29" s="7" t="n"/>
    </row>
    <row r="30">
      <c r="A30" s="34" t="n"/>
      <c r="B30" s="34" t="n"/>
      <c r="C30" s="43" t="inlineStr">
        <is>
          <t>Face Pull</t>
        </is>
      </c>
      <c r="D30" s="34" t="inlineStr">
        <is>
          <t>3 x 12-15</t>
        </is>
      </c>
      <c r="E30" s="34" t="n"/>
      <c r="F30" s="34" t="n"/>
      <c r="G30" s="36" t="n"/>
      <c r="H30" s="37" t="n"/>
      <c r="I30" s="34" t="n"/>
      <c r="J30" s="34" t="n"/>
      <c r="K30" s="34" t="n"/>
      <c r="L30" s="34" t="n"/>
      <c r="M30" s="34" t="n"/>
      <c r="N30" s="34" t="n"/>
      <c r="O30" s="38" t="inlineStr">
        <is>
          <t>Leave 1-2 reps in the tank; add weight when you hit the top of the range</t>
        </is>
      </c>
    </row>
    <row r="31">
      <c r="C31" t="inlineStr">
        <is>
          <t xml:space="preserve">      Set 1</t>
        </is>
      </c>
      <c r="E31" t="n">
        <v>12</v>
      </c>
      <c r="H31" s="39">
        <f>IF(H30="","",H30)</f>
        <v/>
      </c>
      <c r="I31" s="7">
        <f>IF(H30="","",H30)</f>
        <v/>
      </c>
      <c r="J31" s="7" t="n">
        <v>12</v>
      </c>
      <c r="K31" s="7" t="n"/>
      <c r="L31" s="40" t="n"/>
      <c r="M31">
        <f>IF(AND(L31&lt;&gt;"",N(I31)&gt;0,N(J31)&gt;0),IF(J31=1,I31,ROUND(I31*(1+J31/30),1)),"")</f>
        <v/>
      </c>
      <c r="N31" s="41">
        <f>IF(M31="","",IF(M31&gt;=PRs!C51,"PR!",""))</f>
        <v/>
      </c>
      <c r="O31" s="7" t="n"/>
    </row>
    <row r="32">
      <c r="C32" t="inlineStr">
        <is>
          <t xml:space="preserve">      Set 2</t>
        </is>
      </c>
      <c r="E32" t="n">
        <v>12</v>
      </c>
      <c r="H32" s="39">
        <f>IF(H30="","",H30)</f>
        <v/>
      </c>
      <c r="I32" s="7">
        <f>IF(H30="","",H30)</f>
        <v/>
      </c>
      <c r="J32" s="7" t="n">
        <v>12</v>
      </c>
      <c r="K32" s="7" t="n"/>
      <c r="L32" s="40" t="n"/>
      <c r="M32">
        <f>IF(AND(L32&lt;&gt;"",N(I32)&gt;0,N(J32)&gt;0),IF(J32=1,I32,ROUND(I32*(1+J32/30),1)),"")</f>
        <v/>
      </c>
      <c r="N32" s="41">
        <f>IF(M32="","",IF(M32&gt;=PRs!C51,"PR!",""))</f>
        <v/>
      </c>
      <c r="O32" s="7" t="n"/>
    </row>
    <row r="33">
      <c r="C33" t="inlineStr">
        <is>
          <t xml:space="preserve">      Set 3</t>
        </is>
      </c>
      <c r="E33" t="n">
        <v>12</v>
      </c>
      <c r="H33" s="39">
        <f>IF(H30="","",H30)</f>
        <v/>
      </c>
      <c r="I33" s="7">
        <f>IF(H30="","",H30)</f>
        <v/>
      </c>
      <c r="J33" s="7" t="n">
        <v>12</v>
      </c>
      <c r="K33" s="7" t="n"/>
      <c r="L33" s="40" t="n"/>
      <c r="M33">
        <f>IF(AND(L33&lt;&gt;"",N(I33)&gt;0,N(J33)&gt;0),IF(J33=1,I33,ROUND(I33*(1+J33/30),1)),"")</f>
        <v/>
      </c>
      <c r="N33" s="41">
        <f>IF(M33="","",IF(M33&gt;=PRs!C51,"PR!",""))</f>
        <v/>
      </c>
      <c r="O33" s="7" t="n"/>
    </row>
    <row r="34">
      <c r="A34" s="31" t="inlineStr">
        <is>
          <t>Day 2 - Light</t>
        </is>
      </c>
      <c r="B34" s="32">
        <f>'Start Here'!$B$8+114</f>
        <v/>
      </c>
      <c r="C34" s="33" t="n"/>
      <c r="D34" s="33" t="n"/>
      <c r="E34" s="33" t="n"/>
      <c r="F34" s="33" t="n"/>
      <c r="G34" s="33" t="n"/>
      <c r="H34" s="33" t="n"/>
      <c r="I34" s="33" t="n"/>
      <c r="J34" s="33" t="n"/>
      <c r="K34" s="33" t="n"/>
      <c r="L34" s="33" t="n"/>
      <c r="M34" s="33" t="n"/>
      <c r="N34" s="33" t="n"/>
      <c r="O34" s="33" t="n"/>
    </row>
    <row r="35">
      <c r="A35" s="34" t="n"/>
      <c r="B35" s="34" t="n"/>
      <c r="C35" s="35" t="inlineStr">
        <is>
          <t>Broad Jump</t>
        </is>
      </c>
      <c r="D35" s="34" t="inlineStr">
        <is>
          <t>4 x 3</t>
        </is>
      </c>
      <c r="E35" s="34" t="n"/>
      <c r="F35" s="34" t="n"/>
      <c r="G35" s="36" t="n"/>
      <c r="H35" s="37">
        <f>IF(N(Maxes!F70)&gt;0,Maxes!F70,"")</f>
        <v/>
      </c>
      <c r="I35" s="34" t="n"/>
      <c r="J35" s="34" t="n"/>
      <c r="K35" s="34" t="n"/>
      <c r="L35" s="34" t="n"/>
      <c r="M35" s="34" t="n"/>
      <c r="N35" s="34" t="n"/>
      <c r="O35" s="38" t="inlineStr">
        <is>
          <t>Standing two-foot jump forward, stick the landing. Measure toe line to the back of the nearest heel.</t>
        </is>
      </c>
    </row>
    <row r="36">
      <c r="C36" t="inlineStr">
        <is>
          <t xml:space="preserve">      Set 1</t>
        </is>
      </c>
      <c r="E36" t="n">
        <v>3</v>
      </c>
      <c r="H36" s="39">
        <f>IF(H35="","",H35)</f>
        <v/>
      </c>
      <c r="I36" s="7">
        <f>IF(H35="","",H35)</f>
        <v/>
      </c>
      <c r="J36" s="7" t="n">
        <v>3</v>
      </c>
      <c r="K36" s="7" t="n"/>
      <c r="L36" s="40" t="n"/>
      <c r="N36" s="41">
        <f>IF(AND(L36&lt;&gt;"",N(I36)&gt;0),IF(I36&gt;=PRs!D70,"PR!",""),"")</f>
        <v/>
      </c>
      <c r="O36" s="7" t="n"/>
    </row>
    <row r="37">
      <c r="C37" t="inlineStr">
        <is>
          <t xml:space="preserve">      Set 2</t>
        </is>
      </c>
      <c r="E37" t="n">
        <v>3</v>
      </c>
      <c r="H37" s="39">
        <f>IF(H35="","",H35)</f>
        <v/>
      </c>
      <c r="I37" s="7">
        <f>IF(H35="","",H35)</f>
        <v/>
      </c>
      <c r="J37" s="7" t="n">
        <v>3</v>
      </c>
      <c r="K37" s="7" t="n"/>
      <c r="L37" s="40" t="n"/>
      <c r="N37" s="41">
        <f>IF(AND(L37&lt;&gt;"",N(I37)&gt;0),IF(I37&gt;=PRs!D70,"PR!",""),"")</f>
        <v/>
      </c>
      <c r="O37" s="7" t="n"/>
    </row>
    <row r="38">
      <c r="C38" t="inlineStr">
        <is>
          <t xml:space="preserve">      Set 3</t>
        </is>
      </c>
      <c r="E38" t="n">
        <v>3</v>
      </c>
      <c r="H38" s="39">
        <f>IF(H35="","",H35)</f>
        <v/>
      </c>
      <c r="I38" s="7">
        <f>IF(H35="","",H35)</f>
        <v/>
      </c>
      <c r="J38" s="7" t="n">
        <v>3</v>
      </c>
      <c r="K38" s="7" t="n"/>
      <c r="L38" s="40" t="n"/>
      <c r="N38" s="41">
        <f>IF(AND(L38&lt;&gt;"",N(I38)&gt;0),IF(I38&gt;=PRs!D70,"PR!",""),"")</f>
        <v/>
      </c>
      <c r="O38" s="7" t="n"/>
    </row>
    <row r="39">
      <c r="C39" t="inlineStr">
        <is>
          <t xml:space="preserve">      Set 4</t>
        </is>
      </c>
      <c r="E39" t="n">
        <v>3</v>
      </c>
      <c r="H39" s="39">
        <f>IF(H35="","",H35)</f>
        <v/>
      </c>
      <c r="I39" s="7">
        <f>IF(H35="","",H35)</f>
        <v/>
      </c>
      <c r="J39" s="7" t="n">
        <v>3</v>
      </c>
      <c r="K39" s="7" t="n"/>
      <c r="L39" s="40" t="n"/>
      <c r="N39" s="41">
        <f>IF(AND(L39&lt;&gt;"",N(I39)&gt;0),IF(I39&gt;=PRs!D70,"PR!",""),"")</f>
        <v/>
      </c>
      <c r="O39" s="7" t="n"/>
    </row>
    <row r="40">
      <c r="A40" s="34" t="n"/>
      <c r="B40" s="34" t="n"/>
      <c r="C40" s="35" t="inlineStr">
        <is>
          <t>Med Ball Chest Pass</t>
        </is>
      </c>
      <c r="D40" s="34" t="inlineStr">
        <is>
          <t>3 x 5</t>
        </is>
      </c>
      <c r="E40" s="34" t="n"/>
      <c r="F40" s="34" t="n"/>
      <c r="G40" s="36" t="n"/>
      <c r="H40" s="37">
        <f>IF(N(Maxes!F77)&gt;0,Maxes!F77,"")</f>
        <v/>
      </c>
      <c r="I40" s="34" t="n"/>
      <c r="J40" s="34" t="n"/>
      <c r="K40" s="34" t="n"/>
      <c r="L40" s="34" t="n"/>
      <c r="M40" s="34" t="n"/>
      <c r="N40" s="34" t="n"/>
      <c r="O40" s="38" t="inlineStr">
        <is>
          <t>Kneeling or standing chest pass for distance with a 6-10 lb / 3-5 kg ball. Log the distance.</t>
        </is>
      </c>
    </row>
    <row r="41">
      <c r="C41" t="inlineStr">
        <is>
          <t xml:space="preserve">      Set 1</t>
        </is>
      </c>
      <c r="E41" t="n">
        <v>5</v>
      </c>
      <c r="H41" s="39">
        <f>IF(H40="","",H40)</f>
        <v/>
      </c>
      <c r="I41" s="7">
        <f>IF(H40="","",H40)</f>
        <v/>
      </c>
      <c r="J41" s="7" t="n">
        <v>5</v>
      </c>
      <c r="K41" s="7" t="n"/>
      <c r="L41" s="40" t="n"/>
      <c r="N41" s="41">
        <f>IF(AND(L41&lt;&gt;"",N(I41)&gt;0),IF(I41&gt;=PRs!D77,"PR!",""),"")</f>
        <v/>
      </c>
      <c r="O41" s="7" t="n"/>
    </row>
    <row r="42">
      <c r="C42" t="inlineStr">
        <is>
          <t xml:space="preserve">      Set 2</t>
        </is>
      </c>
      <c r="E42" t="n">
        <v>5</v>
      </c>
      <c r="H42" s="39">
        <f>IF(H40="","",H40)</f>
        <v/>
      </c>
      <c r="I42" s="7">
        <f>IF(H40="","",H40)</f>
        <v/>
      </c>
      <c r="J42" s="7" t="n">
        <v>5</v>
      </c>
      <c r="K42" s="7" t="n"/>
      <c r="L42" s="40" t="n"/>
      <c r="N42" s="41">
        <f>IF(AND(L42&lt;&gt;"",N(I42)&gt;0),IF(I42&gt;=PRs!D77,"PR!",""),"")</f>
        <v/>
      </c>
      <c r="O42" s="7" t="n"/>
    </row>
    <row r="43">
      <c r="C43" t="inlineStr">
        <is>
          <t xml:space="preserve">      Set 3</t>
        </is>
      </c>
      <c r="E43" t="n">
        <v>5</v>
      </c>
      <c r="H43" s="39">
        <f>IF(H40="","",H40)</f>
        <v/>
      </c>
      <c r="I43" s="7">
        <f>IF(H40="","",H40)</f>
        <v/>
      </c>
      <c r="J43" s="7" t="n">
        <v>5</v>
      </c>
      <c r="K43" s="7" t="n"/>
      <c r="L43" s="40" t="n"/>
      <c r="N43" s="41">
        <f>IF(AND(L43&lt;&gt;"",N(I43)&gt;0),IF(I43&gt;=PRs!D77,"PR!",""),"")</f>
        <v/>
      </c>
      <c r="O43" s="7" t="n"/>
    </row>
    <row r="44">
      <c r="A44" s="34" t="n"/>
      <c r="B44" s="34" t="n"/>
      <c r="C44" s="42" t="inlineStr">
        <is>
          <t>Clean &amp; Jerk</t>
        </is>
      </c>
      <c r="D44" s="34" t="inlineStr">
        <is>
          <t>4 x 3</t>
        </is>
      </c>
      <c r="E44" s="34" t="n"/>
      <c r="F44" s="34" t="n">
        <v>77.5</v>
      </c>
      <c r="G44" s="36">
        <f>Maxes!F7</f>
        <v/>
      </c>
      <c r="H44" s="37">
        <f>IF(OR(G44="",F44=""),"",MROUND(G44*F44/100,'Start Here'!$B$7))</f>
        <v/>
      </c>
      <c r="I44" s="34" t="n"/>
      <c r="J44" s="34" t="n"/>
      <c r="K44" s="34" t="n"/>
      <c r="L44" s="34" t="n"/>
      <c r="M44" s="34" t="n"/>
      <c r="N44" s="34" t="n"/>
      <c r="O44" s="38" t="inlineStr"/>
    </row>
    <row r="45">
      <c r="C45" t="inlineStr">
        <is>
          <t xml:space="preserve">      Set 1</t>
        </is>
      </c>
      <c r="E45" t="n">
        <v>3</v>
      </c>
      <c r="H45" s="39">
        <f>IF(H44="","",H44)</f>
        <v/>
      </c>
      <c r="I45" s="7">
        <f>IF(H44="","",H44)</f>
        <v/>
      </c>
      <c r="J45" s="7" t="n">
        <v>3</v>
      </c>
      <c r="K45" s="7" t="n"/>
      <c r="L45" s="40" t="n"/>
      <c r="M45">
        <f>IF(AND(L45&lt;&gt;"",N(I45)&gt;0,N(J45)&gt;0),IF(J45=1,I45,ROUND(I45*(1+J45/30),1)),"")</f>
        <v/>
      </c>
      <c r="N45" s="41">
        <f>IF(M45="","",IF(M45&gt;=PRs!C7,"PR!",""))</f>
        <v/>
      </c>
      <c r="O45" s="7" t="n"/>
    </row>
    <row r="46">
      <c r="C46" t="inlineStr">
        <is>
          <t xml:space="preserve">      Set 2</t>
        </is>
      </c>
      <c r="E46" t="n">
        <v>3</v>
      </c>
      <c r="H46" s="39">
        <f>IF(H44="","",H44)</f>
        <v/>
      </c>
      <c r="I46" s="7">
        <f>IF(H44="","",H44)</f>
        <v/>
      </c>
      <c r="J46" s="7" t="n">
        <v>3</v>
      </c>
      <c r="K46" s="7" t="n"/>
      <c r="L46" s="40" t="n"/>
      <c r="M46">
        <f>IF(AND(L46&lt;&gt;"",N(I46)&gt;0,N(J46)&gt;0),IF(J46=1,I46,ROUND(I46*(1+J46/30),1)),"")</f>
        <v/>
      </c>
      <c r="N46" s="41">
        <f>IF(M46="","",IF(M46&gt;=PRs!C7,"PR!",""))</f>
        <v/>
      </c>
      <c r="O46" s="7" t="n"/>
    </row>
    <row r="47">
      <c r="C47" t="inlineStr">
        <is>
          <t xml:space="preserve">      Set 3</t>
        </is>
      </c>
      <c r="E47" t="n">
        <v>3</v>
      </c>
      <c r="H47" s="39">
        <f>IF(H44="","",H44)</f>
        <v/>
      </c>
      <c r="I47" s="7">
        <f>IF(H44="","",H44)</f>
        <v/>
      </c>
      <c r="J47" s="7" t="n">
        <v>3</v>
      </c>
      <c r="K47" s="7" t="n"/>
      <c r="L47" s="40" t="n"/>
      <c r="M47">
        <f>IF(AND(L47&lt;&gt;"",N(I47)&gt;0,N(J47)&gt;0),IF(J47=1,I47,ROUND(I47*(1+J47/30),1)),"")</f>
        <v/>
      </c>
      <c r="N47" s="41">
        <f>IF(M47="","",IF(M47&gt;=PRs!C7,"PR!",""))</f>
        <v/>
      </c>
      <c r="O47" s="7" t="n"/>
    </row>
    <row r="48">
      <c r="C48" t="inlineStr">
        <is>
          <t xml:space="preserve">      Set 4</t>
        </is>
      </c>
      <c r="E48" t="n">
        <v>3</v>
      </c>
      <c r="H48" s="39">
        <f>IF(H44="","",H44)</f>
        <v/>
      </c>
      <c r="I48" s="7">
        <f>IF(H44="","",H44)</f>
        <v/>
      </c>
      <c r="J48" s="7" t="n">
        <v>3</v>
      </c>
      <c r="K48" s="7" t="n"/>
      <c r="L48" s="40" t="n"/>
      <c r="M48">
        <f>IF(AND(L48&lt;&gt;"",N(I48)&gt;0,N(J48)&gt;0),IF(J48=1,I48,ROUND(I48*(1+J48/30),1)),"")</f>
        <v/>
      </c>
      <c r="N48" s="41">
        <f>IF(M48="","",IF(M48&gt;=PRs!C7,"PR!",""))</f>
        <v/>
      </c>
      <c r="O48" s="7" t="n"/>
    </row>
    <row r="49">
      <c r="A49" s="34" t="n"/>
      <c r="B49" s="34" t="n"/>
      <c r="C49" s="42" t="inlineStr">
        <is>
          <t>Squat</t>
        </is>
      </c>
      <c r="D49" s="34" t="inlineStr">
        <is>
          <t>3 x 6</t>
        </is>
      </c>
      <c r="E49" s="34" t="n"/>
      <c r="F49" s="34" t="n">
        <v>65</v>
      </c>
      <c r="G49" s="36">
        <f>Maxes!F2</f>
        <v/>
      </c>
      <c r="H49" s="37">
        <f>IF(OR(G49="",F49=""),"",MROUND(G49*F49/100,'Start Here'!$B$7))</f>
        <v/>
      </c>
      <c r="I49" s="34" t="n"/>
      <c r="J49" s="34" t="n"/>
      <c r="K49" s="34" t="n"/>
      <c r="L49" s="34" t="n"/>
      <c r="M49" s="34" t="n"/>
      <c r="N49" s="34" t="n"/>
      <c r="O49" s="38" t="inlineStr"/>
    </row>
    <row r="50">
      <c r="C50" t="inlineStr">
        <is>
          <t xml:space="preserve">      Set 1</t>
        </is>
      </c>
      <c r="E50" t="n">
        <v>6</v>
      </c>
      <c r="H50" s="39">
        <f>IF(H49="","",H49)</f>
        <v/>
      </c>
      <c r="I50" s="7">
        <f>IF(H49="","",H49)</f>
        <v/>
      </c>
      <c r="J50" s="7" t="n">
        <v>6</v>
      </c>
      <c r="K50" s="7" t="n"/>
      <c r="L50" s="40" t="n"/>
      <c r="M50">
        <f>IF(AND(L50&lt;&gt;"",N(I50)&gt;0,N(J50)&gt;0),IF(J50=1,I50,ROUND(I50*(1+J50/30),1)),"")</f>
        <v/>
      </c>
      <c r="N50" s="41">
        <f>IF(M50="","",IF(M50&gt;=PRs!C2,"PR!",""))</f>
        <v/>
      </c>
      <c r="O50" s="7" t="n"/>
    </row>
    <row r="51">
      <c r="C51" t="inlineStr">
        <is>
          <t xml:space="preserve">      Set 2</t>
        </is>
      </c>
      <c r="E51" t="n">
        <v>6</v>
      </c>
      <c r="H51" s="39">
        <f>IF(H49="","",H49)</f>
        <v/>
      </c>
      <c r="I51" s="7">
        <f>IF(H49="","",H49)</f>
        <v/>
      </c>
      <c r="J51" s="7" t="n">
        <v>6</v>
      </c>
      <c r="K51" s="7" t="n"/>
      <c r="L51" s="40" t="n"/>
      <c r="M51">
        <f>IF(AND(L51&lt;&gt;"",N(I51)&gt;0,N(J51)&gt;0),IF(J51=1,I51,ROUND(I51*(1+J51/30),1)),"")</f>
        <v/>
      </c>
      <c r="N51" s="41">
        <f>IF(M51="","",IF(M51&gt;=PRs!C2,"PR!",""))</f>
        <v/>
      </c>
      <c r="O51" s="7" t="n"/>
    </row>
    <row r="52">
      <c r="C52" t="inlineStr">
        <is>
          <t xml:space="preserve">      Set 3</t>
        </is>
      </c>
      <c r="E52" t="n">
        <v>6</v>
      </c>
      <c r="H52" s="39">
        <f>IF(H49="","",H49)</f>
        <v/>
      </c>
      <c r="I52" s="7">
        <f>IF(H49="","",H49)</f>
        <v/>
      </c>
      <c r="J52" s="7" t="n">
        <v>6</v>
      </c>
      <c r="K52" s="7" t="n"/>
      <c r="L52" s="40" t="n"/>
      <c r="M52">
        <f>IF(AND(L52&lt;&gt;"",N(I52)&gt;0,N(J52)&gt;0),IF(J52=1,I52,ROUND(I52*(1+J52/30),1)),"")</f>
        <v/>
      </c>
      <c r="N52" s="41">
        <f>IF(M52="","",IF(M52&gt;=PRs!C2,"PR!",""))</f>
        <v/>
      </c>
      <c r="O52" s="7" t="n"/>
    </row>
    <row r="53">
      <c r="A53" s="34" t="n"/>
      <c r="B53" s="34" t="n"/>
      <c r="C53" s="42" t="inlineStr">
        <is>
          <t>Overhead Press</t>
        </is>
      </c>
      <c r="D53" s="34" t="inlineStr">
        <is>
          <t>3 x 6</t>
        </is>
      </c>
      <c r="E53" s="34" t="n"/>
      <c r="F53" s="34" t="n">
        <v>72.5</v>
      </c>
      <c r="G53" s="36">
        <f>Maxes!F5</f>
        <v/>
      </c>
      <c r="H53" s="37">
        <f>IF(OR(G53="",F53=""),"",MROUND(G53*F53/100,'Start Here'!$B$7))</f>
        <v/>
      </c>
      <c r="I53" s="34" t="n"/>
      <c r="J53" s="34" t="n"/>
      <c r="K53" s="34" t="n"/>
      <c r="L53" s="34" t="n"/>
      <c r="M53" s="34" t="n"/>
      <c r="N53" s="34" t="n"/>
      <c r="O53" s="38" t="inlineStr"/>
    </row>
    <row r="54">
      <c r="C54" t="inlineStr">
        <is>
          <t xml:space="preserve">      Set 1</t>
        </is>
      </c>
      <c r="E54" t="n">
        <v>6</v>
      </c>
      <c r="H54" s="39">
        <f>IF(H53="","",H53)</f>
        <v/>
      </c>
      <c r="I54" s="7">
        <f>IF(H53="","",H53)</f>
        <v/>
      </c>
      <c r="J54" s="7" t="n">
        <v>6</v>
      </c>
      <c r="K54" s="7" t="n"/>
      <c r="L54" s="40" t="n"/>
      <c r="M54">
        <f>IF(AND(L54&lt;&gt;"",N(I54)&gt;0,N(J54)&gt;0),IF(J54=1,I54,ROUND(I54*(1+J54/30),1)),"")</f>
        <v/>
      </c>
      <c r="N54" s="41">
        <f>IF(M54="","",IF(M54&gt;=PRs!C5,"PR!",""))</f>
        <v/>
      </c>
      <c r="O54" s="7" t="n"/>
    </row>
    <row r="55">
      <c r="C55" t="inlineStr">
        <is>
          <t xml:space="preserve">      Set 2</t>
        </is>
      </c>
      <c r="E55" t="n">
        <v>6</v>
      </c>
      <c r="H55" s="39">
        <f>IF(H53="","",H53)</f>
        <v/>
      </c>
      <c r="I55" s="7">
        <f>IF(H53="","",H53)</f>
        <v/>
      </c>
      <c r="J55" s="7" t="n">
        <v>6</v>
      </c>
      <c r="K55" s="7" t="n"/>
      <c r="L55" s="40" t="n"/>
      <c r="M55">
        <f>IF(AND(L55&lt;&gt;"",N(I55)&gt;0,N(J55)&gt;0),IF(J55=1,I55,ROUND(I55*(1+J55/30),1)),"")</f>
        <v/>
      </c>
      <c r="N55" s="41">
        <f>IF(M55="","",IF(M55&gt;=PRs!C5,"PR!",""))</f>
        <v/>
      </c>
      <c r="O55" s="7" t="n"/>
    </row>
    <row r="56">
      <c r="C56" t="inlineStr">
        <is>
          <t xml:space="preserve">      Set 3</t>
        </is>
      </c>
      <c r="E56" t="n">
        <v>6</v>
      </c>
      <c r="H56" s="39">
        <f>IF(H53="","",H53)</f>
        <v/>
      </c>
      <c r="I56" s="7">
        <f>IF(H53="","",H53)</f>
        <v/>
      </c>
      <c r="J56" s="7" t="n">
        <v>6</v>
      </c>
      <c r="K56" s="7" t="n"/>
      <c r="L56" s="40" t="n"/>
      <c r="M56">
        <f>IF(AND(L56&lt;&gt;"",N(I56)&gt;0,N(J56)&gt;0),IF(J56=1,I56,ROUND(I56*(1+J56/30),1)),"")</f>
        <v/>
      </c>
      <c r="N56" s="41">
        <f>IF(M56="","",IF(M56&gt;=PRs!C5,"PR!",""))</f>
        <v/>
      </c>
      <c r="O56" s="7" t="n"/>
    </row>
    <row r="57">
      <c r="A57" s="34" t="n"/>
      <c r="B57" s="34" t="n"/>
      <c r="C57" s="42" t="inlineStr">
        <is>
          <t>Deadlift</t>
        </is>
      </c>
      <c r="D57" s="34" t="inlineStr">
        <is>
          <t>3 x 6</t>
        </is>
      </c>
      <c r="E57" s="34" t="n"/>
      <c r="F57" s="34" t="n">
        <v>72.5</v>
      </c>
      <c r="G57" s="36">
        <f>Maxes!F4</f>
        <v/>
      </c>
      <c r="H57" s="37">
        <f>IF(OR(G57="",F57=""),"",MROUND(G57*F57/100,'Start Here'!$B$7))</f>
        <v/>
      </c>
      <c r="I57" s="34" t="n"/>
      <c r="J57" s="34" t="n"/>
      <c r="K57" s="34" t="n"/>
      <c r="L57" s="34" t="n"/>
      <c r="M57" s="34" t="n"/>
      <c r="N57" s="34" t="n"/>
      <c r="O57" s="38" t="inlineStr"/>
    </row>
    <row r="58">
      <c r="C58" t="inlineStr">
        <is>
          <t xml:space="preserve">      Set 1</t>
        </is>
      </c>
      <c r="E58" t="n">
        <v>6</v>
      </c>
      <c r="H58" s="39">
        <f>IF(H57="","",H57)</f>
        <v/>
      </c>
      <c r="I58" s="7">
        <f>IF(H57="","",H57)</f>
        <v/>
      </c>
      <c r="J58" s="7" t="n">
        <v>6</v>
      </c>
      <c r="K58" s="7" t="n"/>
      <c r="L58" s="40" t="n"/>
      <c r="M58">
        <f>IF(AND(L58&lt;&gt;"",N(I58)&gt;0,N(J58)&gt;0),IF(J58=1,I58,ROUND(I58*(1+J58/30),1)),"")</f>
        <v/>
      </c>
      <c r="N58" s="41">
        <f>IF(M58="","",IF(M58&gt;=PRs!C4,"PR!",""))</f>
        <v/>
      </c>
      <c r="O58" s="7" t="n"/>
    </row>
    <row r="59">
      <c r="C59" t="inlineStr">
        <is>
          <t xml:space="preserve">      Set 2</t>
        </is>
      </c>
      <c r="E59" t="n">
        <v>6</v>
      </c>
      <c r="H59" s="39">
        <f>IF(H57="","",H57)</f>
        <v/>
      </c>
      <c r="I59" s="7">
        <f>IF(H57="","",H57)</f>
        <v/>
      </c>
      <c r="J59" s="7" t="n">
        <v>6</v>
      </c>
      <c r="K59" s="7" t="n"/>
      <c r="L59" s="40" t="n"/>
      <c r="M59">
        <f>IF(AND(L59&lt;&gt;"",N(I59)&gt;0,N(J59)&gt;0),IF(J59=1,I59,ROUND(I59*(1+J59/30),1)),"")</f>
        <v/>
      </c>
      <c r="N59" s="41">
        <f>IF(M59="","",IF(M59&gt;=PRs!C4,"PR!",""))</f>
        <v/>
      </c>
      <c r="O59" s="7" t="n"/>
    </row>
    <row r="60">
      <c r="C60" t="inlineStr">
        <is>
          <t xml:space="preserve">      Set 3</t>
        </is>
      </c>
      <c r="E60" t="n">
        <v>6</v>
      </c>
      <c r="H60" s="39">
        <f>IF(H57="","",H57)</f>
        <v/>
      </c>
      <c r="I60" s="7">
        <f>IF(H57="","",H57)</f>
        <v/>
      </c>
      <c r="J60" s="7" t="n">
        <v>6</v>
      </c>
      <c r="K60" s="7" t="n"/>
      <c r="L60" s="40" t="n"/>
      <c r="M60">
        <f>IF(AND(L60&lt;&gt;"",N(I60)&gt;0,N(J60)&gt;0),IF(J60=1,I60,ROUND(I60*(1+J60/30),1)),"")</f>
        <v/>
      </c>
      <c r="N60" s="41">
        <f>IF(M60="","",IF(M60&gt;=PRs!C4,"PR!",""))</f>
        <v/>
      </c>
      <c r="O60" s="7" t="n"/>
    </row>
    <row r="61">
      <c r="A61" s="34" t="n"/>
      <c r="B61" s="34" t="n"/>
      <c r="C61" s="43" t="inlineStr">
        <is>
          <t>Chin-up</t>
        </is>
      </c>
      <c r="D61" s="34" t="inlineStr">
        <is>
          <t>3 x 6-10</t>
        </is>
      </c>
      <c r="E61" s="34" t="n"/>
      <c r="F61" s="34" t="n"/>
      <c r="G61" s="36" t="n"/>
      <c r="H61" s="37" t="n"/>
      <c r="I61" s="34" t="n"/>
      <c r="J61" s="34" t="n"/>
      <c r="K61" s="34" t="n"/>
      <c r="L61" s="34" t="n"/>
      <c r="M61" s="34" t="n"/>
      <c r="N61" s="34" t="n"/>
      <c r="O61" s="38" t="inlineStr">
        <is>
          <t>Leave 1-2 reps in the tank; add weight when you hit the top of the range</t>
        </is>
      </c>
    </row>
    <row r="62">
      <c r="C62" t="inlineStr">
        <is>
          <t xml:space="preserve">      Set 1</t>
        </is>
      </c>
      <c r="E62" t="n">
        <v>6</v>
      </c>
      <c r="H62" s="39">
        <f>IF(H61="","",H61)</f>
        <v/>
      </c>
      <c r="I62" s="7">
        <f>IF(H61="","",H61)</f>
        <v/>
      </c>
      <c r="J62" s="7" t="n">
        <v>6</v>
      </c>
      <c r="K62" s="7" t="n"/>
      <c r="L62" s="40" t="n"/>
      <c r="M62">
        <f>IF(AND(L62&lt;&gt;"",N(I62)&gt;0,N(J62)&gt;0),IF(J62=1,I62,ROUND(I62*(1+J62/30),1)),"")</f>
        <v/>
      </c>
      <c r="N62" s="41">
        <f>IF(M62="","",IF(M62&gt;=PRs!C53,"PR!",""))</f>
        <v/>
      </c>
      <c r="O62" s="7" t="n"/>
    </row>
    <row r="63">
      <c r="C63" t="inlineStr">
        <is>
          <t xml:space="preserve">      Set 2</t>
        </is>
      </c>
      <c r="E63" t="n">
        <v>6</v>
      </c>
      <c r="H63" s="39">
        <f>IF(H61="","",H61)</f>
        <v/>
      </c>
      <c r="I63" s="7">
        <f>IF(H61="","",H61)</f>
        <v/>
      </c>
      <c r="J63" s="7" t="n">
        <v>6</v>
      </c>
      <c r="K63" s="7" t="n"/>
      <c r="L63" s="40" t="n"/>
      <c r="M63">
        <f>IF(AND(L63&lt;&gt;"",N(I63)&gt;0,N(J63)&gt;0),IF(J63=1,I63,ROUND(I63*(1+J63/30),1)),"")</f>
        <v/>
      </c>
      <c r="N63" s="41">
        <f>IF(M63="","",IF(M63&gt;=PRs!C53,"PR!",""))</f>
        <v/>
      </c>
      <c r="O63" s="7" t="n"/>
    </row>
    <row r="64">
      <c r="C64" t="inlineStr">
        <is>
          <t xml:space="preserve">      Set 3</t>
        </is>
      </c>
      <c r="E64" t="n">
        <v>6</v>
      </c>
      <c r="H64" s="39">
        <f>IF(H61="","",H61)</f>
        <v/>
      </c>
      <c r="I64" s="7">
        <f>IF(H61="","",H61)</f>
        <v/>
      </c>
      <c r="J64" s="7" t="n">
        <v>6</v>
      </c>
      <c r="K64" s="7" t="n"/>
      <c r="L64" s="40" t="n"/>
      <c r="M64">
        <f>IF(AND(L64&lt;&gt;"",N(I64)&gt;0,N(J64)&gt;0),IF(J64=1,I64,ROUND(I64*(1+J64/30),1)),"")</f>
        <v/>
      </c>
      <c r="N64" s="41">
        <f>IF(M64="","",IF(M64&gt;=PRs!C53,"PR!",""))</f>
        <v/>
      </c>
      <c r="O64" s="7" t="n"/>
    </row>
    <row r="65">
      <c r="A65" s="34" t="n"/>
      <c r="B65" s="34" t="n"/>
      <c r="C65" s="43" t="inlineStr">
        <is>
          <t>Plank</t>
        </is>
      </c>
      <c r="D65" s="34" t="inlineStr">
        <is>
          <t>3 x 30-60s</t>
        </is>
      </c>
      <c r="E65" s="34" t="n"/>
      <c r="F65" s="34" t="n"/>
      <c r="G65" s="36" t="n"/>
      <c r="H65" s="37" t="n"/>
      <c r="I65" s="34" t="n"/>
      <c r="J65" s="34" t="n"/>
      <c r="K65" s="34" t="n"/>
      <c r="L65" s="34" t="n"/>
      <c r="M65" s="34" t="n"/>
      <c r="N65" s="34" t="n"/>
      <c r="O65" s="38" t="inlineStr">
        <is>
          <t>Leave 1-2 reps in the tank; add weight when you hit the top of the range</t>
        </is>
      </c>
    </row>
    <row r="66">
      <c r="C66" t="inlineStr">
        <is>
          <t xml:space="preserve">      Set 1</t>
        </is>
      </c>
      <c r="E66" t="n">
        <v>30</v>
      </c>
      <c r="H66" s="39">
        <f>IF(H65="","",H65)</f>
        <v/>
      </c>
      <c r="I66" s="7">
        <f>IF(H65="","",H65)</f>
        <v/>
      </c>
      <c r="J66" s="7" t="n">
        <v>30</v>
      </c>
      <c r="K66" s="7" t="n"/>
      <c r="L66" s="40" t="n"/>
      <c r="M66">
        <f>IF(AND(L66&lt;&gt;"",N(I66)&gt;0,N(J66)&gt;0),IF(J66=1,I66,ROUND(I66*(1+J66/30),1)),"")</f>
        <v/>
      </c>
      <c r="N66" s="41">
        <f>IF(M66="","",IF(M66&gt;=PRs!C56,"PR!",""))</f>
        <v/>
      </c>
      <c r="O66" s="7" t="n"/>
    </row>
    <row r="67">
      <c r="C67" t="inlineStr">
        <is>
          <t xml:space="preserve">      Set 2</t>
        </is>
      </c>
      <c r="E67" t="n">
        <v>30</v>
      </c>
      <c r="H67" s="39">
        <f>IF(H65="","",H65)</f>
        <v/>
      </c>
      <c r="I67" s="7">
        <f>IF(H65="","",H65)</f>
        <v/>
      </c>
      <c r="J67" s="7" t="n">
        <v>30</v>
      </c>
      <c r="K67" s="7" t="n"/>
      <c r="L67" s="40" t="n"/>
      <c r="M67">
        <f>IF(AND(L67&lt;&gt;"",N(I67)&gt;0,N(J67)&gt;0),IF(J67=1,I67,ROUND(I67*(1+J67/30),1)),"")</f>
        <v/>
      </c>
      <c r="N67" s="41">
        <f>IF(M67="","",IF(M67&gt;=PRs!C56,"PR!",""))</f>
        <v/>
      </c>
      <c r="O67" s="7" t="n"/>
    </row>
    <row r="68">
      <c r="C68" t="inlineStr">
        <is>
          <t xml:space="preserve">      Set 3</t>
        </is>
      </c>
      <c r="E68" t="n">
        <v>30</v>
      </c>
      <c r="H68" s="39">
        <f>IF(H65="","",H65)</f>
        <v/>
      </c>
      <c r="I68" s="7">
        <f>IF(H65="","",H65)</f>
        <v/>
      </c>
      <c r="J68" s="7" t="n">
        <v>30</v>
      </c>
      <c r="K68" s="7" t="n"/>
      <c r="L68" s="40" t="n"/>
      <c r="M68">
        <f>IF(AND(L68&lt;&gt;"",N(I68)&gt;0,N(J68)&gt;0),IF(J68=1,I68,ROUND(I68*(1+J68/30),1)),"")</f>
        <v/>
      </c>
      <c r="N68" s="41">
        <f>IF(M68="","",IF(M68&gt;=PRs!C56,"PR!",""))</f>
        <v/>
      </c>
      <c r="O68" s="7" t="n"/>
    </row>
    <row r="69">
      <c r="A69" s="31" t="inlineStr">
        <is>
          <t>Day 3 - Variations</t>
        </is>
      </c>
      <c r="B69" s="32">
        <f>'Start Here'!$B$8+116</f>
        <v/>
      </c>
      <c r="C69" s="33" t="n"/>
      <c r="D69" s="33" t="n"/>
      <c r="E69" s="33" t="n"/>
      <c r="F69" s="33" t="n"/>
      <c r="G69" s="33" t="n"/>
      <c r="H69" s="33" t="n"/>
      <c r="I69" s="33" t="n"/>
      <c r="J69" s="33" t="n"/>
      <c r="K69" s="33" t="n"/>
      <c r="L69" s="33" t="n"/>
      <c r="M69" s="33" t="n"/>
      <c r="N69" s="33" t="n"/>
      <c r="O69" s="33" t="n"/>
    </row>
    <row r="70">
      <c r="A70" s="34" t="n"/>
      <c r="B70" s="34" t="n"/>
      <c r="C70" s="35" t="inlineStr">
        <is>
          <t>Plyo Push-up</t>
        </is>
      </c>
      <c r="D70" s="34" t="inlineStr">
        <is>
          <t>4 x 3</t>
        </is>
      </c>
      <c r="E70" s="34" t="n"/>
      <c r="F70" s="34" t="n"/>
      <c r="G70" s="36" t="n"/>
      <c r="H70" s="37">
        <f>IF(N(Maxes!F75)&gt;0,Maxes!F75,"")</f>
        <v/>
      </c>
      <c r="I70" s="34" t="n"/>
      <c r="J70" s="34" t="n"/>
      <c r="K70" s="34" t="n"/>
      <c r="L70" s="34" t="n"/>
      <c r="M70" s="34" t="n"/>
      <c r="N70" s="34" t="n"/>
      <c r="O70" s="38" t="inlineStr">
        <is>
          <t>Explosive push-up so the hands leave the floor. Log reps (distance/height = 1).</t>
        </is>
      </c>
    </row>
    <row r="71">
      <c r="C71" t="inlineStr">
        <is>
          <t xml:space="preserve">      Set 1</t>
        </is>
      </c>
      <c r="E71" t="n">
        <v>3</v>
      </c>
      <c r="H71" s="39">
        <f>IF(H70="","",H70)</f>
        <v/>
      </c>
      <c r="I71" s="7">
        <f>IF(H70="","",H70)</f>
        <v/>
      </c>
      <c r="J71" s="7" t="n">
        <v>3</v>
      </c>
      <c r="K71" s="7" t="n"/>
      <c r="L71" s="40" t="n"/>
      <c r="N71" s="41">
        <f>IF(AND(L71&lt;&gt;"",N(I71)&gt;0),IF(I71&gt;=PRs!D75,"PR!",""),"")</f>
        <v/>
      </c>
      <c r="O71" s="7" t="n"/>
    </row>
    <row r="72">
      <c r="C72" t="inlineStr">
        <is>
          <t xml:space="preserve">      Set 2</t>
        </is>
      </c>
      <c r="E72" t="n">
        <v>3</v>
      </c>
      <c r="H72" s="39">
        <f>IF(H70="","",H70)</f>
        <v/>
      </c>
      <c r="I72" s="7">
        <f>IF(H70="","",H70)</f>
        <v/>
      </c>
      <c r="J72" s="7" t="n">
        <v>3</v>
      </c>
      <c r="K72" s="7" t="n"/>
      <c r="L72" s="40" t="n"/>
      <c r="N72" s="41">
        <f>IF(AND(L72&lt;&gt;"",N(I72)&gt;0),IF(I72&gt;=PRs!D75,"PR!",""),"")</f>
        <v/>
      </c>
      <c r="O72" s="7" t="n"/>
    </row>
    <row r="73">
      <c r="C73" t="inlineStr">
        <is>
          <t xml:space="preserve">      Set 3</t>
        </is>
      </c>
      <c r="E73" t="n">
        <v>3</v>
      </c>
      <c r="H73" s="39">
        <f>IF(H70="","",H70)</f>
        <v/>
      </c>
      <c r="I73" s="7">
        <f>IF(H70="","",H70)</f>
        <v/>
      </c>
      <c r="J73" s="7" t="n">
        <v>3</v>
      </c>
      <c r="K73" s="7" t="n"/>
      <c r="L73" s="40" t="n"/>
      <c r="N73" s="41">
        <f>IF(AND(L73&lt;&gt;"",N(I73)&gt;0),IF(I73&gt;=PRs!D75,"PR!",""),"")</f>
        <v/>
      </c>
      <c r="O73" s="7" t="n"/>
    </row>
    <row r="74">
      <c r="C74" t="inlineStr">
        <is>
          <t xml:space="preserve">      Set 4</t>
        </is>
      </c>
      <c r="E74" t="n">
        <v>3</v>
      </c>
      <c r="H74" s="39">
        <f>IF(H70="","",H70)</f>
        <v/>
      </c>
      <c r="I74" s="7">
        <f>IF(H70="","",H70)</f>
        <v/>
      </c>
      <c r="J74" s="7" t="n">
        <v>3</v>
      </c>
      <c r="K74" s="7" t="n"/>
      <c r="L74" s="40" t="n"/>
      <c r="N74" s="41">
        <f>IF(AND(L74&lt;&gt;"",N(I74)&gt;0),IF(I74&gt;=PRs!D75,"PR!",""),"")</f>
        <v/>
      </c>
      <c r="O74" s="7" t="n"/>
    </row>
    <row r="75">
      <c r="A75" s="34" t="n"/>
      <c r="B75" s="34" t="n"/>
      <c r="C75" s="42" t="inlineStr">
        <is>
          <t>Snatch Balance</t>
        </is>
      </c>
      <c r="D75" s="34" t="inlineStr">
        <is>
          <t>4 x 3</t>
        </is>
      </c>
      <c r="E75" s="34" t="n"/>
      <c r="F75" s="34" t="n">
        <v>72.5</v>
      </c>
      <c r="G75" s="36">
        <f>Maxes!F38</f>
        <v/>
      </c>
      <c r="H75" s="37">
        <f>IF(OR(G75="",F75=""),"",MROUND(G75*F75/100,'Start Here'!$B$7))</f>
        <v/>
      </c>
      <c r="I75" s="34" t="n"/>
      <c r="J75" s="34" t="n"/>
      <c r="K75" s="34" t="n"/>
      <c r="L75" s="34" t="n"/>
      <c r="M75" s="34" t="n"/>
      <c r="N75" s="34" t="n"/>
      <c r="O75" s="38" t="inlineStr"/>
    </row>
    <row r="76">
      <c r="C76" t="inlineStr">
        <is>
          <t xml:space="preserve">      Set 1</t>
        </is>
      </c>
      <c r="E76" t="n">
        <v>3</v>
      </c>
      <c r="H76" s="39">
        <f>IF(H75="","",H75)</f>
        <v/>
      </c>
      <c r="I76" s="7">
        <f>IF(H75="","",H75)</f>
        <v/>
      </c>
      <c r="J76" s="7" t="n">
        <v>3</v>
      </c>
      <c r="K76" s="7" t="n"/>
      <c r="L76" s="40" t="n"/>
      <c r="M76">
        <f>IF(AND(L76&lt;&gt;"",N(I76)&gt;0,N(J76)&gt;0),IF(J76=1,I76,ROUND(I76*(1+J76/30),1)),"")</f>
        <v/>
      </c>
      <c r="N76" s="41">
        <f>IF(M76="","",IF(M76&gt;=PRs!C38,"PR!",""))</f>
        <v/>
      </c>
      <c r="O76" s="7" t="n"/>
    </row>
    <row r="77">
      <c r="C77" t="inlineStr">
        <is>
          <t xml:space="preserve">      Set 2</t>
        </is>
      </c>
      <c r="E77" t="n">
        <v>3</v>
      </c>
      <c r="H77" s="39">
        <f>IF(H75="","",H75)</f>
        <v/>
      </c>
      <c r="I77" s="7">
        <f>IF(H75="","",H75)</f>
        <v/>
      </c>
      <c r="J77" s="7" t="n">
        <v>3</v>
      </c>
      <c r="K77" s="7" t="n"/>
      <c r="L77" s="40" t="n"/>
      <c r="M77">
        <f>IF(AND(L77&lt;&gt;"",N(I77)&gt;0,N(J77)&gt;0),IF(J77=1,I77,ROUND(I77*(1+J77/30),1)),"")</f>
        <v/>
      </c>
      <c r="N77" s="41">
        <f>IF(M77="","",IF(M77&gt;=PRs!C38,"PR!",""))</f>
        <v/>
      </c>
      <c r="O77" s="7" t="n"/>
    </row>
    <row r="78">
      <c r="C78" t="inlineStr">
        <is>
          <t xml:space="preserve">      Set 3</t>
        </is>
      </c>
      <c r="E78" t="n">
        <v>3</v>
      </c>
      <c r="H78" s="39">
        <f>IF(H75="","",H75)</f>
        <v/>
      </c>
      <c r="I78" s="7">
        <f>IF(H75="","",H75)</f>
        <v/>
      </c>
      <c r="J78" s="7" t="n">
        <v>3</v>
      </c>
      <c r="K78" s="7" t="n"/>
      <c r="L78" s="40" t="n"/>
      <c r="M78">
        <f>IF(AND(L78&lt;&gt;"",N(I78)&gt;0,N(J78)&gt;0),IF(J78=1,I78,ROUND(I78*(1+J78/30),1)),"")</f>
        <v/>
      </c>
      <c r="N78" s="41">
        <f>IF(M78="","",IF(M78&gt;=PRs!C38,"PR!",""))</f>
        <v/>
      </c>
      <c r="O78" s="7" t="n"/>
    </row>
    <row r="79">
      <c r="C79" t="inlineStr">
        <is>
          <t xml:space="preserve">      Set 4</t>
        </is>
      </c>
      <c r="E79" t="n">
        <v>3</v>
      </c>
      <c r="H79" s="39">
        <f>IF(H75="","",H75)</f>
        <v/>
      </c>
      <c r="I79" s="7">
        <f>IF(H75="","",H75)</f>
        <v/>
      </c>
      <c r="J79" s="7" t="n">
        <v>3</v>
      </c>
      <c r="K79" s="7" t="n"/>
      <c r="L79" s="40" t="n"/>
      <c r="M79">
        <f>IF(AND(L79&lt;&gt;"",N(I79)&gt;0,N(J79)&gt;0),IF(J79=1,I79,ROUND(I79*(1+J79/30),1)),"")</f>
        <v/>
      </c>
      <c r="N79" s="41">
        <f>IF(M79="","",IF(M79&gt;=PRs!C38,"PR!",""))</f>
        <v/>
      </c>
      <c r="O79" s="7" t="n"/>
    </row>
    <row r="80">
      <c r="A80" s="34" t="n"/>
      <c r="B80" s="34" t="n"/>
      <c r="C80" s="42" t="inlineStr">
        <is>
          <t>Pin Squat</t>
        </is>
      </c>
      <c r="D80" s="34" t="inlineStr">
        <is>
          <t>3 x 6</t>
        </is>
      </c>
      <c r="E80" s="34" t="n"/>
      <c r="F80" s="34" t="n">
        <v>72.5</v>
      </c>
      <c r="G80" s="36">
        <f>Maxes!F12</f>
        <v/>
      </c>
      <c r="H80" s="37">
        <f>IF(OR(G80="",F80=""),"",MROUND(G80*F80/100,'Start Here'!$B$7))</f>
        <v/>
      </c>
      <c r="I80" s="34" t="n"/>
      <c r="J80" s="34" t="n"/>
      <c r="K80" s="34" t="n"/>
      <c r="L80" s="34" t="n"/>
      <c r="M80" s="34" t="n"/>
      <c r="N80" s="34" t="n"/>
      <c r="O80" s="38" t="inlineStr"/>
    </row>
    <row r="81">
      <c r="C81" t="inlineStr">
        <is>
          <t xml:space="preserve">      Set 1</t>
        </is>
      </c>
      <c r="E81" t="n">
        <v>6</v>
      </c>
      <c r="H81" s="39">
        <f>IF(H80="","",H80)</f>
        <v/>
      </c>
      <c r="I81" s="7">
        <f>IF(H80="","",H80)</f>
        <v/>
      </c>
      <c r="J81" s="7" t="n">
        <v>6</v>
      </c>
      <c r="K81" s="7" t="n"/>
      <c r="L81" s="40" t="n"/>
      <c r="M81">
        <f>IF(AND(L81&lt;&gt;"",N(I81)&gt;0,N(J81)&gt;0),IF(J81=1,I81,ROUND(I81*(1+J81/30),1)),"")</f>
        <v/>
      </c>
      <c r="N81" s="41">
        <f>IF(M81="","",IF(M81&gt;=PRs!C12,"PR!",""))</f>
        <v/>
      </c>
      <c r="O81" s="7" t="n"/>
    </row>
    <row r="82">
      <c r="C82" t="inlineStr">
        <is>
          <t xml:space="preserve">      Set 2</t>
        </is>
      </c>
      <c r="E82" t="n">
        <v>6</v>
      </c>
      <c r="H82" s="39">
        <f>IF(H80="","",H80)</f>
        <v/>
      </c>
      <c r="I82" s="7">
        <f>IF(H80="","",H80)</f>
        <v/>
      </c>
      <c r="J82" s="7" t="n">
        <v>6</v>
      </c>
      <c r="K82" s="7" t="n"/>
      <c r="L82" s="40" t="n"/>
      <c r="M82">
        <f>IF(AND(L82&lt;&gt;"",N(I82)&gt;0,N(J82)&gt;0),IF(J82=1,I82,ROUND(I82*(1+J82/30),1)),"")</f>
        <v/>
      </c>
      <c r="N82" s="41">
        <f>IF(M82="","",IF(M82&gt;=PRs!C12,"PR!",""))</f>
        <v/>
      </c>
      <c r="O82" s="7" t="n"/>
    </row>
    <row r="83">
      <c r="C83" t="inlineStr">
        <is>
          <t xml:space="preserve">      Set 3</t>
        </is>
      </c>
      <c r="E83" t="n">
        <v>6</v>
      </c>
      <c r="H83" s="39">
        <f>IF(H80="","",H80)</f>
        <v/>
      </c>
      <c r="I83" s="7">
        <f>IF(H80="","",H80)</f>
        <v/>
      </c>
      <c r="J83" s="7" t="n">
        <v>6</v>
      </c>
      <c r="K83" s="7" t="n"/>
      <c r="L83" s="40" t="n"/>
      <c r="M83">
        <f>IF(AND(L83&lt;&gt;"",N(I83)&gt;0,N(J83)&gt;0),IF(J83=1,I83,ROUND(I83*(1+J83/30),1)),"")</f>
        <v/>
      </c>
      <c r="N83" s="41">
        <f>IF(M83="","",IF(M83&gt;=PRs!C12,"PR!",""))</f>
        <v/>
      </c>
      <c r="O83" s="7" t="n"/>
    </row>
    <row r="84">
      <c r="A84" s="34" t="n"/>
      <c r="B84" s="34" t="n"/>
      <c r="C84" s="42" t="inlineStr">
        <is>
          <t>Floor Press</t>
        </is>
      </c>
      <c r="D84" s="34" t="inlineStr">
        <is>
          <t>3 x 6</t>
        </is>
      </c>
      <c r="E84" s="34" t="n"/>
      <c r="F84" s="34" t="n">
        <v>72.5</v>
      </c>
      <c r="G84" s="36">
        <f>Maxes!F19</f>
        <v/>
      </c>
      <c r="H84" s="37">
        <f>IF(OR(G84="",F84=""),"",MROUND(G84*F84/100,'Start Here'!$B$7))</f>
        <v/>
      </c>
      <c r="I84" s="34" t="n"/>
      <c r="J84" s="34" t="n"/>
      <c r="K84" s="34" t="n"/>
      <c r="L84" s="34" t="n"/>
      <c r="M84" s="34" t="n"/>
      <c r="N84" s="34" t="n"/>
      <c r="O84" s="38" t="inlineStr"/>
    </row>
    <row r="85">
      <c r="C85" t="inlineStr">
        <is>
          <t xml:space="preserve">      Set 1</t>
        </is>
      </c>
      <c r="E85" t="n">
        <v>6</v>
      </c>
      <c r="H85" s="39">
        <f>IF(H84="","",H84)</f>
        <v/>
      </c>
      <c r="I85" s="7">
        <f>IF(H84="","",H84)</f>
        <v/>
      </c>
      <c r="J85" s="7" t="n">
        <v>6</v>
      </c>
      <c r="K85" s="7" t="n"/>
      <c r="L85" s="40" t="n"/>
      <c r="M85">
        <f>IF(AND(L85&lt;&gt;"",N(I85)&gt;0,N(J85)&gt;0),IF(J85=1,I85,ROUND(I85*(1+J85/30),1)),"")</f>
        <v/>
      </c>
      <c r="N85" s="41">
        <f>IF(M85="","",IF(M85&gt;=PRs!C19,"PR!",""))</f>
        <v/>
      </c>
      <c r="O85" s="7" t="n"/>
    </row>
    <row r="86">
      <c r="C86" t="inlineStr">
        <is>
          <t xml:space="preserve">      Set 2</t>
        </is>
      </c>
      <c r="E86" t="n">
        <v>6</v>
      </c>
      <c r="H86" s="39">
        <f>IF(H84="","",H84)</f>
        <v/>
      </c>
      <c r="I86" s="7">
        <f>IF(H84="","",H84)</f>
        <v/>
      </c>
      <c r="J86" s="7" t="n">
        <v>6</v>
      </c>
      <c r="K86" s="7" t="n"/>
      <c r="L86" s="40" t="n"/>
      <c r="M86">
        <f>IF(AND(L86&lt;&gt;"",N(I86)&gt;0,N(J86)&gt;0),IF(J86=1,I86,ROUND(I86*(1+J86/30),1)),"")</f>
        <v/>
      </c>
      <c r="N86" s="41">
        <f>IF(M86="","",IF(M86&gt;=PRs!C19,"PR!",""))</f>
        <v/>
      </c>
      <c r="O86" s="7" t="n"/>
    </row>
    <row r="87">
      <c r="C87" t="inlineStr">
        <is>
          <t xml:space="preserve">      Set 3</t>
        </is>
      </c>
      <c r="E87" t="n">
        <v>6</v>
      </c>
      <c r="H87" s="39">
        <f>IF(H84="","",H84)</f>
        <v/>
      </c>
      <c r="I87" s="7">
        <f>IF(H84="","",H84)</f>
        <v/>
      </c>
      <c r="J87" s="7" t="n">
        <v>6</v>
      </c>
      <c r="K87" s="7" t="n"/>
      <c r="L87" s="40" t="n"/>
      <c r="M87">
        <f>IF(AND(L87&lt;&gt;"",N(I87)&gt;0,N(J87)&gt;0),IF(J87=1,I87,ROUND(I87*(1+J87/30),1)),"")</f>
        <v/>
      </c>
      <c r="N87" s="41">
        <f>IF(M87="","",IF(M87&gt;=PRs!C19,"PR!",""))</f>
        <v/>
      </c>
      <c r="O87" s="7" t="n"/>
    </row>
    <row r="88">
      <c r="A88" s="34" t="n"/>
      <c r="B88" s="34" t="n"/>
      <c r="C88" s="42" t="inlineStr">
        <is>
          <t>Romanian Deadlift</t>
        </is>
      </c>
      <c r="D88" s="34" t="inlineStr">
        <is>
          <t>3 x 6</t>
        </is>
      </c>
      <c r="E88" s="34" t="n"/>
      <c r="F88" s="34" t="n">
        <v>65</v>
      </c>
      <c r="G88" s="36">
        <f>Maxes!F23</f>
        <v/>
      </c>
      <c r="H88" s="37">
        <f>IF(OR(G88="",F88=""),"",MROUND(G88*F88/100,'Start Here'!$B$7))</f>
        <v/>
      </c>
      <c r="I88" s="34" t="n"/>
      <c r="J88" s="34" t="n"/>
      <c r="K88" s="34" t="n"/>
      <c r="L88" s="34" t="n"/>
      <c r="M88" s="34" t="n"/>
      <c r="N88" s="34" t="n"/>
      <c r="O88" s="38" t="inlineStr"/>
    </row>
    <row r="89">
      <c r="C89" t="inlineStr">
        <is>
          <t xml:space="preserve">      Set 1</t>
        </is>
      </c>
      <c r="E89" t="n">
        <v>6</v>
      </c>
      <c r="H89" s="39">
        <f>IF(H88="","",H88)</f>
        <v/>
      </c>
      <c r="I89" s="7">
        <f>IF(H88="","",H88)</f>
        <v/>
      </c>
      <c r="J89" s="7" t="n">
        <v>6</v>
      </c>
      <c r="K89" s="7" t="n"/>
      <c r="L89" s="40" t="n"/>
      <c r="M89">
        <f>IF(AND(L89&lt;&gt;"",N(I89)&gt;0,N(J89)&gt;0),IF(J89=1,I89,ROUND(I89*(1+J89/30),1)),"")</f>
        <v/>
      </c>
      <c r="N89" s="41">
        <f>IF(M89="","",IF(M89&gt;=PRs!C23,"PR!",""))</f>
        <v/>
      </c>
      <c r="O89" s="7" t="n"/>
    </row>
    <row r="90">
      <c r="C90" t="inlineStr">
        <is>
          <t xml:space="preserve">      Set 2</t>
        </is>
      </c>
      <c r="E90" t="n">
        <v>6</v>
      </c>
      <c r="H90" s="39">
        <f>IF(H88="","",H88)</f>
        <v/>
      </c>
      <c r="I90" s="7">
        <f>IF(H88="","",H88)</f>
        <v/>
      </c>
      <c r="J90" s="7" t="n">
        <v>6</v>
      </c>
      <c r="K90" s="7" t="n"/>
      <c r="L90" s="40" t="n"/>
      <c r="M90">
        <f>IF(AND(L90&lt;&gt;"",N(I90)&gt;0,N(J90)&gt;0),IF(J90=1,I90,ROUND(I90*(1+J90/30),1)),"")</f>
        <v/>
      </c>
      <c r="N90" s="41">
        <f>IF(M90="","",IF(M90&gt;=PRs!C23,"PR!",""))</f>
        <v/>
      </c>
      <c r="O90" s="7" t="n"/>
    </row>
    <row r="91">
      <c r="C91" t="inlineStr">
        <is>
          <t xml:space="preserve">      Set 3</t>
        </is>
      </c>
      <c r="E91" t="n">
        <v>6</v>
      </c>
      <c r="H91" s="39">
        <f>IF(H88="","",H88)</f>
        <v/>
      </c>
      <c r="I91" s="7">
        <f>IF(H88="","",H88)</f>
        <v/>
      </c>
      <c r="J91" s="7" t="n">
        <v>6</v>
      </c>
      <c r="K91" s="7" t="n"/>
      <c r="L91" s="40" t="n"/>
      <c r="M91">
        <f>IF(AND(L91&lt;&gt;"",N(I91)&gt;0,N(J91)&gt;0),IF(J91=1,I91,ROUND(I91*(1+J91/30),1)),"")</f>
        <v/>
      </c>
      <c r="N91" s="41">
        <f>IF(M91="","",IF(M91&gt;=PRs!C23,"PR!",""))</f>
        <v/>
      </c>
      <c r="O91" s="7" t="n"/>
    </row>
    <row r="92">
      <c r="A92" s="34" t="n"/>
      <c r="B92" s="34" t="n"/>
      <c r="C92" s="43" t="inlineStr">
        <is>
          <t>Incline Dumbbell Press</t>
        </is>
      </c>
      <c r="D92" s="34" t="inlineStr">
        <is>
          <t>3 x 8-12</t>
        </is>
      </c>
      <c r="E92" s="34" t="n"/>
      <c r="F92" s="34" t="n"/>
      <c r="G92" s="36" t="n"/>
      <c r="H92" s="37" t="n"/>
      <c r="I92" s="34" t="n"/>
      <c r="J92" s="34" t="n"/>
      <c r="K92" s="34" t="n"/>
      <c r="L92" s="34" t="n"/>
      <c r="M92" s="34" t="n"/>
      <c r="N92" s="34" t="n"/>
      <c r="O92" s="38" t="inlineStr">
        <is>
          <t>Leave 1-2 reps in the tank; add weight when you hit the top of the range</t>
        </is>
      </c>
    </row>
    <row r="93">
      <c r="C93" t="inlineStr">
        <is>
          <t xml:space="preserve">      Set 1</t>
        </is>
      </c>
      <c r="E93" t="n">
        <v>8</v>
      </c>
      <c r="H93" s="39">
        <f>IF(H92="","",H92)</f>
        <v/>
      </c>
      <c r="I93" s="7">
        <f>IF(H92="","",H92)</f>
        <v/>
      </c>
      <c r="J93" s="7" t="n">
        <v>8</v>
      </c>
      <c r="K93" s="7" t="n"/>
      <c r="L93" s="40" t="n"/>
      <c r="M93">
        <f>IF(AND(L93&lt;&gt;"",N(I93)&gt;0,N(J93)&gt;0),IF(J93=1,I93,ROUND(I93*(1+J93/30),1)),"")</f>
        <v/>
      </c>
      <c r="N93" s="41">
        <f>IF(M93="","",IF(M93&gt;=PRs!C57,"PR!",""))</f>
        <v/>
      </c>
      <c r="O93" s="7" t="n"/>
    </row>
    <row r="94">
      <c r="C94" t="inlineStr">
        <is>
          <t xml:space="preserve">      Set 2</t>
        </is>
      </c>
      <c r="E94" t="n">
        <v>8</v>
      </c>
      <c r="H94" s="39">
        <f>IF(H92="","",H92)</f>
        <v/>
      </c>
      <c r="I94" s="7">
        <f>IF(H92="","",H92)</f>
        <v/>
      </c>
      <c r="J94" s="7" t="n">
        <v>8</v>
      </c>
      <c r="K94" s="7" t="n"/>
      <c r="L94" s="40" t="n"/>
      <c r="M94">
        <f>IF(AND(L94&lt;&gt;"",N(I94)&gt;0,N(J94)&gt;0),IF(J94=1,I94,ROUND(I94*(1+J94/30),1)),"")</f>
        <v/>
      </c>
      <c r="N94" s="41">
        <f>IF(M94="","",IF(M94&gt;=PRs!C57,"PR!",""))</f>
        <v/>
      </c>
      <c r="O94" s="7" t="n"/>
    </row>
    <row r="95">
      <c r="C95" t="inlineStr">
        <is>
          <t xml:space="preserve">      Set 3</t>
        </is>
      </c>
      <c r="E95" t="n">
        <v>8</v>
      </c>
      <c r="H95" s="39">
        <f>IF(H92="","",H92)</f>
        <v/>
      </c>
      <c r="I95" s="7">
        <f>IF(H92="","",H92)</f>
        <v/>
      </c>
      <c r="J95" s="7" t="n">
        <v>8</v>
      </c>
      <c r="K95" s="7" t="n"/>
      <c r="L95" s="40" t="n"/>
      <c r="M95">
        <f>IF(AND(L95&lt;&gt;"",N(I95)&gt;0,N(J95)&gt;0),IF(J95=1,I95,ROUND(I95*(1+J95/30),1)),"")</f>
        <v/>
      </c>
      <c r="N95" s="41">
        <f>IF(M95="","",IF(M95&gt;=PRs!C57,"PR!",""))</f>
        <v/>
      </c>
      <c r="O95" s="7" t="n"/>
    </row>
    <row r="96">
      <c r="A96" s="34" t="n"/>
      <c r="B96" s="34" t="n"/>
      <c r="C96" s="43" t="inlineStr">
        <is>
          <t>Triceps Pushdown</t>
        </is>
      </c>
      <c r="D96" s="34" t="inlineStr">
        <is>
          <t>3 x 10-15</t>
        </is>
      </c>
      <c r="E96" s="34" t="n"/>
      <c r="F96" s="34" t="n"/>
      <c r="G96" s="36" t="n"/>
      <c r="H96" s="37" t="n"/>
      <c r="I96" s="34" t="n"/>
      <c r="J96" s="34" t="n"/>
      <c r="K96" s="34" t="n"/>
      <c r="L96" s="34" t="n"/>
      <c r="M96" s="34" t="n"/>
      <c r="N96" s="34" t="n"/>
      <c r="O96" s="38" t="inlineStr">
        <is>
          <t>Leave 1-2 reps in the tank; add weight when you hit the top of the range</t>
        </is>
      </c>
    </row>
    <row r="97">
      <c r="C97" t="inlineStr">
        <is>
          <t xml:space="preserve">      Set 1</t>
        </is>
      </c>
      <c r="E97" t="n">
        <v>10</v>
      </c>
      <c r="H97" s="39">
        <f>IF(H96="","",H96)</f>
        <v/>
      </c>
      <c r="I97" s="7">
        <f>IF(H96="","",H96)</f>
        <v/>
      </c>
      <c r="J97" s="7" t="n">
        <v>10</v>
      </c>
      <c r="K97" s="7" t="n"/>
      <c r="L97" s="40" t="n"/>
      <c r="M97">
        <f>IF(AND(L97&lt;&gt;"",N(I97)&gt;0,N(J97)&gt;0),IF(J97=1,I97,ROUND(I97*(1+J97/30),1)),"")</f>
        <v/>
      </c>
      <c r="N97" s="41">
        <f>IF(M97="","",IF(M97&gt;=PRs!C59,"PR!",""))</f>
        <v/>
      </c>
      <c r="O97" s="7" t="n"/>
    </row>
    <row r="98">
      <c r="C98" t="inlineStr">
        <is>
          <t xml:space="preserve">      Set 2</t>
        </is>
      </c>
      <c r="E98" t="n">
        <v>10</v>
      </c>
      <c r="H98" s="39">
        <f>IF(H96="","",H96)</f>
        <v/>
      </c>
      <c r="I98" s="7">
        <f>IF(H96="","",H96)</f>
        <v/>
      </c>
      <c r="J98" s="7" t="n">
        <v>10</v>
      </c>
      <c r="K98" s="7" t="n"/>
      <c r="L98" s="40" t="n"/>
      <c r="M98">
        <f>IF(AND(L98&lt;&gt;"",N(I98)&gt;0,N(J98)&gt;0),IF(J98=1,I98,ROUND(I98*(1+J98/30),1)),"")</f>
        <v/>
      </c>
      <c r="N98" s="41">
        <f>IF(M98="","",IF(M98&gt;=PRs!C59,"PR!",""))</f>
        <v/>
      </c>
      <c r="O98" s="7" t="n"/>
    </row>
    <row r="99">
      <c r="C99" t="inlineStr">
        <is>
          <t xml:space="preserve">      Set 3</t>
        </is>
      </c>
      <c r="E99" t="n">
        <v>10</v>
      </c>
      <c r="H99" s="39">
        <f>IF(H96="","",H96)</f>
        <v/>
      </c>
      <c r="I99" s="7">
        <f>IF(H96="","",H96)</f>
        <v/>
      </c>
      <c r="J99" s="7" t="n">
        <v>10</v>
      </c>
      <c r="K99" s="7" t="n"/>
      <c r="L99" s="40" t="n"/>
      <c r="M99">
        <f>IF(AND(L99&lt;&gt;"",N(I99)&gt;0,N(J99)&gt;0),IF(J99=1,I99,ROUND(I99*(1+J99/30),1)),"")</f>
        <v/>
      </c>
      <c r="N99" s="41">
        <f>IF(M99="","",IF(M99&gt;=PRs!C59,"PR!",""))</f>
        <v/>
      </c>
      <c r="O99" s="7" t="n"/>
    </row>
    <row r="101">
      <c r="A101" s="51" t="inlineStr">
        <is>
          <t>WEEK 18 - CYCLE 2 - TRANSMUTATION</t>
        </is>
      </c>
      <c r="B101" s="52" t="n"/>
      <c r="C101" s="52" t="n"/>
      <c r="D101" s="52" t="n"/>
      <c r="E101" s="52" t="n"/>
      <c r="F101" s="52" t="n"/>
      <c r="G101" s="52" t="n"/>
      <c r="H101" s="53" t="inlineStr">
        <is>
          <t>Bodyweight:</t>
        </is>
      </c>
      <c r="I101" s="7" t="n"/>
      <c r="J101" s="52" t="n"/>
      <c r="K101" s="52" t="n"/>
      <c r="L101" s="52" t="n"/>
      <c r="M101" s="52" t="n"/>
      <c r="N101" s="52" t="n"/>
      <c r="O101" s="52" t="n"/>
    </row>
    <row r="102">
      <c r="A102" s="31" t="inlineStr">
        <is>
          <t>Day 1 - Heavy</t>
        </is>
      </c>
      <c r="B102" s="32">
        <f>'Start Here'!$B$8+119</f>
        <v/>
      </c>
      <c r="C102" s="33" t="n"/>
      <c r="D102" s="33" t="n"/>
      <c r="E102" s="33" t="n"/>
      <c r="F102" s="33" t="n"/>
      <c r="G102" s="33" t="n"/>
      <c r="H102" s="33" t="n"/>
      <c r="I102" s="33" t="n"/>
      <c r="J102" s="33" t="n"/>
      <c r="K102" s="33" t="n"/>
      <c r="L102" s="33" t="n"/>
      <c r="M102" s="33" t="n"/>
      <c r="N102" s="33" t="n"/>
      <c r="O102" s="33" t="n"/>
    </row>
    <row r="103">
      <c r="A103" s="34" t="n"/>
      <c r="B103" s="34" t="n"/>
      <c r="C103" s="35" t="inlineStr">
        <is>
          <t>Box Jump</t>
        </is>
      </c>
      <c r="D103" s="34" t="inlineStr">
        <is>
          <t>4 x 3</t>
        </is>
      </c>
      <c r="E103" s="34" t="n"/>
      <c r="F103" s="34" t="n"/>
      <c r="G103" s="36" t="n"/>
      <c r="H103" s="37">
        <f>IF(N(Maxes!F69)&gt;0,Maxes!F69,'Start Here'!$G$16)</f>
        <v/>
      </c>
      <c r="I103" s="34" t="n"/>
      <c r="J103" s="34" t="n"/>
      <c r="K103" s="34" t="n"/>
      <c r="L103" s="34" t="n"/>
      <c r="M103" s="34" t="n"/>
      <c r="N103" s="34" t="n"/>
      <c r="O103" s="38" t="inlineStr">
        <is>
          <t>Two-foot jump onto a box, land soft in a quarter squat, STEP down. Log the box height (floor to top of box).</t>
        </is>
      </c>
    </row>
    <row r="104">
      <c r="C104" t="inlineStr">
        <is>
          <t xml:space="preserve">      Set 1</t>
        </is>
      </c>
      <c r="E104" t="n">
        <v>3</v>
      </c>
      <c r="H104" s="39">
        <f>IF(H103="","",H103)</f>
        <v/>
      </c>
      <c r="I104" s="7">
        <f>IF(H103="","",H103)</f>
        <v/>
      </c>
      <c r="J104" s="7" t="n">
        <v>3</v>
      </c>
      <c r="K104" s="7" t="n"/>
      <c r="L104" s="40" t="n"/>
      <c r="N104" s="41">
        <f>IF(AND(L104&lt;&gt;"",N(I104)&gt;0),IF(I104&gt;=PRs!D69,"PR!",""),"")</f>
        <v/>
      </c>
      <c r="O104" s="7" t="n"/>
    </row>
    <row r="105">
      <c r="C105" t="inlineStr">
        <is>
          <t xml:space="preserve">      Set 2</t>
        </is>
      </c>
      <c r="E105" t="n">
        <v>3</v>
      </c>
      <c r="H105" s="39">
        <f>IF(H103="","",H103)</f>
        <v/>
      </c>
      <c r="I105" s="7">
        <f>IF(H103="","",H103)</f>
        <v/>
      </c>
      <c r="J105" s="7" t="n">
        <v>3</v>
      </c>
      <c r="K105" s="7" t="n"/>
      <c r="L105" s="40" t="n"/>
      <c r="N105" s="41">
        <f>IF(AND(L105&lt;&gt;"",N(I105)&gt;0),IF(I105&gt;=PRs!D69,"PR!",""),"")</f>
        <v/>
      </c>
      <c r="O105" s="7" t="n"/>
    </row>
    <row r="106">
      <c r="C106" t="inlineStr">
        <is>
          <t xml:space="preserve">      Set 3</t>
        </is>
      </c>
      <c r="E106" t="n">
        <v>3</v>
      </c>
      <c r="H106" s="39">
        <f>IF(H103="","",H103)</f>
        <v/>
      </c>
      <c r="I106" s="7">
        <f>IF(H103="","",H103)</f>
        <v/>
      </c>
      <c r="J106" s="7" t="n">
        <v>3</v>
      </c>
      <c r="K106" s="7" t="n"/>
      <c r="L106" s="40" t="n"/>
      <c r="N106" s="41">
        <f>IF(AND(L106&lt;&gt;"",N(I106)&gt;0),IF(I106&gt;=PRs!D69,"PR!",""),"")</f>
        <v/>
      </c>
      <c r="O106" s="7" t="n"/>
    </row>
    <row r="107">
      <c r="C107" t="inlineStr">
        <is>
          <t xml:space="preserve">      Set 4</t>
        </is>
      </c>
      <c r="E107" t="n">
        <v>3</v>
      </c>
      <c r="H107" s="39">
        <f>IF(H103="","",H103)</f>
        <v/>
      </c>
      <c r="I107" s="7">
        <f>IF(H103="","",H103)</f>
        <v/>
      </c>
      <c r="J107" s="7" t="n">
        <v>3</v>
      </c>
      <c r="K107" s="7" t="n"/>
      <c r="L107" s="40" t="n"/>
      <c r="N107" s="41">
        <f>IF(AND(L107&lt;&gt;"",N(I107)&gt;0),IF(I107&gt;=PRs!D69,"PR!",""),"")</f>
        <v/>
      </c>
      <c r="O107" s="7" t="n"/>
    </row>
    <row r="108">
      <c r="A108" s="34" t="n"/>
      <c r="B108" s="34" t="n"/>
      <c r="C108" s="42" t="inlineStr">
        <is>
          <t>Snatch</t>
        </is>
      </c>
      <c r="D108" s="34" t="inlineStr">
        <is>
          <t>5 x 2</t>
        </is>
      </c>
      <c r="E108" s="34" t="n"/>
      <c r="F108" s="34" t="n">
        <v>80</v>
      </c>
      <c r="G108" s="36">
        <f>Maxes!F6</f>
        <v/>
      </c>
      <c r="H108" s="37">
        <f>IF(OR(G108="",F108=""),"",MROUND(G108*F108/100,'Start Here'!$B$7))</f>
        <v/>
      </c>
      <c r="I108" s="34" t="n"/>
      <c r="J108" s="34" t="n"/>
      <c r="K108" s="34" t="n"/>
      <c r="L108" s="34" t="n"/>
      <c r="M108" s="34" t="n"/>
      <c r="N108" s="34" t="n"/>
      <c r="O108" s="38" t="inlineStr"/>
    </row>
    <row r="109">
      <c r="C109" t="inlineStr">
        <is>
          <t xml:space="preserve">      Set 1</t>
        </is>
      </c>
      <c r="E109" t="n">
        <v>2</v>
      </c>
      <c r="H109" s="39">
        <f>IF(H108="","",H108)</f>
        <v/>
      </c>
      <c r="I109" s="7">
        <f>IF(H108="","",H108)</f>
        <v/>
      </c>
      <c r="J109" s="7" t="n">
        <v>2</v>
      </c>
      <c r="K109" s="7" t="n"/>
      <c r="L109" s="40" t="n"/>
      <c r="M109">
        <f>IF(AND(L109&lt;&gt;"",N(I109)&gt;0,N(J109)&gt;0),IF(J109=1,I109,ROUND(I109*(1+J109/30),1)),"")</f>
        <v/>
      </c>
      <c r="N109" s="41">
        <f>IF(M109="","",IF(M109&gt;=PRs!C6,"PR!",""))</f>
        <v/>
      </c>
      <c r="O109" s="7" t="n"/>
    </row>
    <row r="110">
      <c r="C110" t="inlineStr">
        <is>
          <t xml:space="preserve">      Set 2</t>
        </is>
      </c>
      <c r="E110" t="n">
        <v>2</v>
      </c>
      <c r="H110" s="39">
        <f>IF(H108="","",H108)</f>
        <v/>
      </c>
      <c r="I110" s="7">
        <f>IF(H108="","",H108)</f>
        <v/>
      </c>
      <c r="J110" s="7" t="n">
        <v>2</v>
      </c>
      <c r="K110" s="7" t="n"/>
      <c r="L110" s="40" t="n"/>
      <c r="M110">
        <f>IF(AND(L110&lt;&gt;"",N(I110)&gt;0,N(J110)&gt;0),IF(J110=1,I110,ROUND(I110*(1+J110/30),1)),"")</f>
        <v/>
      </c>
      <c r="N110" s="41">
        <f>IF(M110="","",IF(M110&gt;=PRs!C6,"PR!",""))</f>
        <v/>
      </c>
      <c r="O110" s="7" t="n"/>
    </row>
    <row r="111">
      <c r="C111" t="inlineStr">
        <is>
          <t xml:space="preserve">      Set 3</t>
        </is>
      </c>
      <c r="E111" t="n">
        <v>2</v>
      </c>
      <c r="H111" s="39">
        <f>IF(H108="","",H108)</f>
        <v/>
      </c>
      <c r="I111" s="7">
        <f>IF(H108="","",H108)</f>
        <v/>
      </c>
      <c r="J111" s="7" t="n">
        <v>2</v>
      </c>
      <c r="K111" s="7" t="n"/>
      <c r="L111" s="40" t="n"/>
      <c r="M111">
        <f>IF(AND(L111&lt;&gt;"",N(I111)&gt;0,N(J111)&gt;0),IF(J111=1,I111,ROUND(I111*(1+J111/30),1)),"")</f>
        <v/>
      </c>
      <c r="N111" s="41">
        <f>IF(M111="","",IF(M111&gt;=PRs!C6,"PR!",""))</f>
        <v/>
      </c>
      <c r="O111" s="7" t="n"/>
    </row>
    <row r="112">
      <c r="C112" t="inlineStr">
        <is>
          <t xml:space="preserve">      Set 4</t>
        </is>
      </c>
      <c r="E112" t="n">
        <v>2</v>
      </c>
      <c r="H112" s="39">
        <f>IF(H108="","",H108)</f>
        <v/>
      </c>
      <c r="I112" s="7">
        <f>IF(H108="","",H108)</f>
        <v/>
      </c>
      <c r="J112" s="7" t="n">
        <v>2</v>
      </c>
      <c r="K112" s="7" t="n"/>
      <c r="L112" s="40" t="n"/>
      <c r="M112">
        <f>IF(AND(L112&lt;&gt;"",N(I112)&gt;0,N(J112)&gt;0),IF(J112=1,I112,ROUND(I112*(1+J112/30),1)),"")</f>
        <v/>
      </c>
      <c r="N112" s="41">
        <f>IF(M112="","",IF(M112&gt;=PRs!C6,"PR!",""))</f>
        <v/>
      </c>
      <c r="O112" s="7" t="n"/>
    </row>
    <row r="113">
      <c r="C113" t="inlineStr">
        <is>
          <t xml:space="preserve">      Set 5</t>
        </is>
      </c>
      <c r="E113" t="n">
        <v>2</v>
      </c>
      <c r="H113" s="39">
        <f>IF(H108="","",H108)</f>
        <v/>
      </c>
      <c r="I113" s="7">
        <f>IF(H108="","",H108)</f>
        <v/>
      </c>
      <c r="J113" s="7" t="n">
        <v>2</v>
      </c>
      <c r="K113" s="7" t="n"/>
      <c r="L113" s="40" t="n"/>
      <c r="M113">
        <f>IF(AND(L113&lt;&gt;"",N(I113)&gt;0,N(J113)&gt;0),IF(J113=1,I113,ROUND(I113*(1+J113/30),1)),"")</f>
        <v/>
      </c>
      <c r="N113" s="41">
        <f>IF(M113="","",IF(M113&gt;=PRs!C6,"PR!",""))</f>
        <v/>
      </c>
      <c r="O113" s="7" t="n"/>
    </row>
    <row r="114">
      <c r="A114" s="34" t="n"/>
      <c r="B114" s="34" t="n"/>
      <c r="C114" s="42" t="inlineStr">
        <is>
          <t>Squat</t>
        </is>
      </c>
      <c r="D114" s="34" t="inlineStr">
        <is>
          <t>4 x 4</t>
        </is>
      </c>
      <c r="E114" s="34" t="n"/>
      <c r="F114" s="34" t="n">
        <v>80</v>
      </c>
      <c r="G114" s="36">
        <f>Maxes!F2</f>
        <v/>
      </c>
      <c r="H114" s="37">
        <f>IF(OR(G114="",F114=""),"",MROUND(G114*F114/100,'Start Here'!$B$7))</f>
        <v/>
      </c>
      <c r="I114" s="34" t="n"/>
      <c r="J114" s="34" t="n"/>
      <c r="K114" s="34" t="n"/>
      <c r="L114" s="34" t="n"/>
      <c r="M114" s="34" t="n"/>
      <c r="N114" s="34" t="n"/>
      <c r="O114" s="38" t="inlineStr"/>
    </row>
    <row r="115">
      <c r="C115" t="inlineStr">
        <is>
          <t xml:space="preserve">      Set 1</t>
        </is>
      </c>
      <c r="E115" t="n">
        <v>4</v>
      </c>
      <c r="H115" s="39">
        <f>IF(H114="","",H114)</f>
        <v/>
      </c>
      <c r="I115" s="7">
        <f>IF(H114="","",H114)</f>
        <v/>
      </c>
      <c r="J115" s="7" t="n">
        <v>4</v>
      </c>
      <c r="K115" s="7" t="n"/>
      <c r="L115" s="40" t="n"/>
      <c r="M115">
        <f>IF(AND(L115&lt;&gt;"",N(I115)&gt;0,N(J115)&gt;0),IF(J115=1,I115,ROUND(I115*(1+J115/30),1)),"")</f>
        <v/>
      </c>
      <c r="N115" s="41">
        <f>IF(M115="","",IF(M115&gt;=PRs!C2,"PR!",""))</f>
        <v/>
      </c>
      <c r="O115" s="7" t="n"/>
    </row>
    <row r="116">
      <c r="C116" t="inlineStr">
        <is>
          <t xml:space="preserve">      Set 2</t>
        </is>
      </c>
      <c r="E116" t="n">
        <v>4</v>
      </c>
      <c r="H116" s="39">
        <f>IF(H114="","",H114)</f>
        <v/>
      </c>
      <c r="I116" s="7">
        <f>IF(H114="","",H114)</f>
        <v/>
      </c>
      <c r="J116" s="7" t="n">
        <v>4</v>
      </c>
      <c r="K116" s="7" t="n"/>
      <c r="L116" s="40" t="n"/>
      <c r="M116">
        <f>IF(AND(L116&lt;&gt;"",N(I116)&gt;0,N(J116)&gt;0),IF(J116=1,I116,ROUND(I116*(1+J116/30),1)),"")</f>
        <v/>
      </c>
      <c r="N116" s="41">
        <f>IF(M116="","",IF(M116&gt;=PRs!C2,"PR!",""))</f>
        <v/>
      </c>
      <c r="O116" s="7" t="n"/>
    </row>
    <row r="117">
      <c r="C117" t="inlineStr">
        <is>
          <t xml:space="preserve">      Set 3</t>
        </is>
      </c>
      <c r="E117" t="n">
        <v>4</v>
      </c>
      <c r="H117" s="39">
        <f>IF(H114="","",H114)</f>
        <v/>
      </c>
      <c r="I117" s="7">
        <f>IF(H114="","",H114)</f>
        <v/>
      </c>
      <c r="J117" s="7" t="n">
        <v>4</v>
      </c>
      <c r="K117" s="7" t="n"/>
      <c r="L117" s="40" t="n"/>
      <c r="M117">
        <f>IF(AND(L117&lt;&gt;"",N(I117)&gt;0,N(J117)&gt;0),IF(J117=1,I117,ROUND(I117*(1+J117/30),1)),"")</f>
        <v/>
      </c>
      <c r="N117" s="41">
        <f>IF(M117="","",IF(M117&gt;=PRs!C2,"PR!",""))</f>
        <v/>
      </c>
      <c r="O117" s="7" t="n"/>
    </row>
    <row r="118">
      <c r="C118" t="inlineStr">
        <is>
          <t xml:space="preserve">      Set 4</t>
        </is>
      </c>
      <c r="E118" t="n">
        <v>4</v>
      </c>
      <c r="H118" s="39">
        <f>IF(H114="","",H114)</f>
        <v/>
      </c>
      <c r="I118" s="7">
        <f>IF(H114="","",H114)</f>
        <v/>
      </c>
      <c r="J118" s="7" t="n">
        <v>4</v>
      </c>
      <c r="K118" s="7" t="n"/>
      <c r="L118" s="40" t="n"/>
      <c r="M118">
        <f>IF(AND(L118&lt;&gt;"",N(I118)&gt;0,N(J118)&gt;0),IF(J118=1,I118,ROUND(I118*(1+J118/30),1)),"")</f>
        <v/>
      </c>
      <c r="N118" s="41">
        <f>IF(M118="","",IF(M118&gt;=PRs!C2,"PR!",""))</f>
        <v/>
      </c>
      <c r="O118" s="7" t="n"/>
    </row>
    <row r="119">
      <c r="A119" s="34" t="n"/>
      <c r="B119" s="34" t="n"/>
      <c r="C119" s="42" t="inlineStr">
        <is>
          <t>Bench Press</t>
        </is>
      </c>
      <c r="D119" s="34" t="inlineStr">
        <is>
          <t>4 x 4</t>
        </is>
      </c>
      <c r="E119" s="34" t="n"/>
      <c r="F119" s="34" t="n">
        <v>80</v>
      </c>
      <c r="G119" s="36">
        <f>Maxes!F3</f>
        <v/>
      </c>
      <c r="H119" s="37">
        <f>IF(OR(G119="",F119=""),"",MROUND(G119*F119/100,'Start Here'!$B$7))</f>
        <v/>
      </c>
      <c r="I119" s="34" t="n"/>
      <c r="J119" s="34" t="n"/>
      <c r="K119" s="34" t="n"/>
      <c r="L119" s="34" t="n"/>
      <c r="M119" s="34" t="n"/>
      <c r="N119" s="34" t="n"/>
      <c r="O119" s="38" t="inlineStr"/>
    </row>
    <row r="120">
      <c r="C120" t="inlineStr">
        <is>
          <t xml:space="preserve">      Set 1</t>
        </is>
      </c>
      <c r="E120" t="n">
        <v>4</v>
      </c>
      <c r="H120" s="39">
        <f>IF(H119="","",H119)</f>
        <v/>
      </c>
      <c r="I120" s="7">
        <f>IF(H119="","",H119)</f>
        <v/>
      </c>
      <c r="J120" s="7" t="n">
        <v>4</v>
      </c>
      <c r="K120" s="7" t="n"/>
      <c r="L120" s="40" t="n"/>
      <c r="M120">
        <f>IF(AND(L120&lt;&gt;"",N(I120)&gt;0,N(J120)&gt;0),IF(J120=1,I120,ROUND(I120*(1+J120/30),1)),"")</f>
        <v/>
      </c>
      <c r="N120" s="41">
        <f>IF(M120="","",IF(M120&gt;=PRs!C3,"PR!",""))</f>
        <v/>
      </c>
      <c r="O120" s="7" t="n"/>
    </row>
    <row r="121">
      <c r="C121" t="inlineStr">
        <is>
          <t xml:space="preserve">      Set 2</t>
        </is>
      </c>
      <c r="E121" t="n">
        <v>4</v>
      </c>
      <c r="H121" s="39">
        <f>IF(H119="","",H119)</f>
        <v/>
      </c>
      <c r="I121" s="7">
        <f>IF(H119="","",H119)</f>
        <v/>
      </c>
      <c r="J121" s="7" t="n">
        <v>4</v>
      </c>
      <c r="K121" s="7" t="n"/>
      <c r="L121" s="40" t="n"/>
      <c r="M121">
        <f>IF(AND(L121&lt;&gt;"",N(I121)&gt;0,N(J121)&gt;0),IF(J121=1,I121,ROUND(I121*(1+J121/30),1)),"")</f>
        <v/>
      </c>
      <c r="N121" s="41">
        <f>IF(M121="","",IF(M121&gt;=PRs!C3,"PR!",""))</f>
        <v/>
      </c>
      <c r="O121" s="7" t="n"/>
    </row>
    <row r="122">
      <c r="C122" t="inlineStr">
        <is>
          <t xml:space="preserve">      Set 3</t>
        </is>
      </c>
      <c r="E122" t="n">
        <v>4</v>
      </c>
      <c r="H122" s="39">
        <f>IF(H119="","",H119)</f>
        <v/>
      </c>
      <c r="I122" s="7">
        <f>IF(H119="","",H119)</f>
        <v/>
      </c>
      <c r="J122" s="7" t="n">
        <v>4</v>
      </c>
      <c r="K122" s="7" t="n"/>
      <c r="L122" s="40" t="n"/>
      <c r="M122">
        <f>IF(AND(L122&lt;&gt;"",N(I122)&gt;0,N(J122)&gt;0),IF(J122=1,I122,ROUND(I122*(1+J122/30),1)),"")</f>
        <v/>
      </c>
      <c r="N122" s="41">
        <f>IF(M122="","",IF(M122&gt;=PRs!C3,"PR!",""))</f>
        <v/>
      </c>
      <c r="O122" s="7" t="n"/>
    </row>
    <row r="123">
      <c r="C123" t="inlineStr">
        <is>
          <t xml:space="preserve">      Set 4</t>
        </is>
      </c>
      <c r="E123" t="n">
        <v>4</v>
      </c>
      <c r="H123" s="39">
        <f>IF(H119="","",H119)</f>
        <v/>
      </c>
      <c r="I123" s="7">
        <f>IF(H119="","",H119)</f>
        <v/>
      </c>
      <c r="J123" s="7" t="n">
        <v>4</v>
      </c>
      <c r="K123" s="7" t="n"/>
      <c r="L123" s="40" t="n"/>
      <c r="M123">
        <f>IF(AND(L123&lt;&gt;"",N(I123)&gt;0,N(J123)&gt;0),IF(J123=1,I123,ROUND(I123*(1+J123/30),1)),"")</f>
        <v/>
      </c>
      <c r="N123" s="41">
        <f>IF(M123="","",IF(M123&gt;=PRs!C3,"PR!",""))</f>
        <v/>
      </c>
      <c r="O123" s="7" t="n"/>
    </row>
    <row r="124">
      <c r="A124" s="34" t="n"/>
      <c r="B124" s="34" t="n"/>
      <c r="C124" s="43" t="inlineStr">
        <is>
          <t>Barbell Row</t>
        </is>
      </c>
      <c r="D124" s="34" t="inlineStr">
        <is>
          <t>3 x 8-10</t>
        </is>
      </c>
      <c r="E124" s="34" t="n"/>
      <c r="F124" s="34" t="n"/>
      <c r="G124" s="36" t="n"/>
      <c r="H124" s="37" t="n"/>
      <c r="I124" s="34" t="n"/>
      <c r="J124" s="34" t="n"/>
      <c r="K124" s="34" t="n"/>
      <c r="L124" s="34" t="n"/>
      <c r="M124" s="34" t="n"/>
      <c r="N124" s="34" t="n"/>
      <c r="O124" s="38" t="inlineStr">
        <is>
          <t>Leave 1-2 reps in the tank; add weight when you hit the top of the range</t>
        </is>
      </c>
    </row>
    <row r="125">
      <c r="C125" t="inlineStr">
        <is>
          <t xml:space="preserve">      Set 1</t>
        </is>
      </c>
      <c r="E125" t="n">
        <v>8</v>
      </c>
      <c r="H125" s="39">
        <f>IF(H124="","",H124)</f>
        <v/>
      </c>
      <c r="I125" s="7">
        <f>IF(H124="","",H124)</f>
        <v/>
      </c>
      <c r="J125" s="7" t="n">
        <v>8</v>
      </c>
      <c r="K125" s="7" t="n"/>
      <c r="L125" s="40" t="n"/>
      <c r="M125">
        <f>IF(AND(L125&lt;&gt;"",N(I125)&gt;0,N(J125)&gt;0),IF(J125=1,I125,ROUND(I125*(1+J125/30),1)),"")</f>
        <v/>
      </c>
      <c r="N125" s="41">
        <f>IF(M125="","",IF(M125&gt;=PRs!C50,"PR!",""))</f>
        <v/>
      </c>
      <c r="O125" s="7" t="n"/>
    </row>
    <row r="126">
      <c r="C126" t="inlineStr">
        <is>
          <t xml:space="preserve">      Set 2</t>
        </is>
      </c>
      <c r="E126" t="n">
        <v>8</v>
      </c>
      <c r="H126" s="39">
        <f>IF(H124="","",H124)</f>
        <v/>
      </c>
      <c r="I126" s="7">
        <f>IF(H124="","",H124)</f>
        <v/>
      </c>
      <c r="J126" s="7" t="n">
        <v>8</v>
      </c>
      <c r="K126" s="7" t="n"/>
      <c r="L126" s="40" t="n"/>
      <c r="M126">
        <f>IF(AND(L126&lt;&gt;"",N(I126)&gt;0,N(J126)&gt;0),IF(J126=1,I126,ROUND(I126*(1+J126/30),1)),"")</f>
        <v/>
      </c>
      <c r="N126" s="41">
        <f>IF(M126="","",IF(M126&gt;=PRs!C50,"PR!",""))</f>
        <v/>
      </c>
      <c r="O126" s="7" t="n"/>
    </row>
    <row r="127">
      <c r="C127" t="inlineStr">
        <is>
          <t xml:space="preserve">      Set 3</t>
        </is>
      </c>
      <c r="E127" t="n">
        <v>8</v>
      </c>
      <c r="H127" s="39">
        <f>IF(H124="","",H124)</f>
        <v/>
      </c>
      <c r="I127" s="7">
        <f>IF(H124="","",H124)</f>
        <v/>
      </c>
      <c r="J127" s="7" t="n">
        <v>8</v>
      </c>
      <c r="K127" s="7" t="n"/>
      <c r="L127" s="40" t="n"/>
      <c r="M127">
        <f>IF(AND(L127&lt;&gt;"",N(I127)&gt;0,N(J127)&gt;0),IF(J127=1,I127,ROUND(I127*(1+J127/30),1)),"")</f>
        <v/>
      </c>
      <c r="N127" s="41">
        <f>IF(M127="","",IF(M127&gt;=PRs!C50,"PR!",""))</f>
        <v/>
      </c>
      <c r="O127" s="7" t="n"/>
    </row>
    <row r="128">
      <c r="A128" s="34" t="n"/>
      <c r="B128" s="34" t="n"/>
      <c r="C128" s="43" t="inlineStr">
        <is>
          <t>Face Pull</t>
        </is>
      </c>
      <c r="D128" s="34" t="inlineStr">
        <is>
          <t>3 x 12-15</t>
        </is>
      </c>
      <c r="E128" s="34" t="n"/>
      <c r="F128" s="34" t="n"/>
      <c r="G128" s="36" t="n"/>
      <c r="H128" s="37" t="n"/>
      <c r="I128" s="34" t="n"/>
      <c r="J128" s="34" t="n"/>
      <c r="K128" s="34" t="n"/>
      <c r="L128" s="34" t="n"/>
      <c r="M128" s="34" t="n"/>
      <c r="N128" s="34" t="n"/>
      <c r="O128" s="38" t="inlineStr">
        <is>
          <t>Leave 1-2 reps in the tank; add weight when you hit the top of the range</t>
        </is>
      </c>
    </row>
    <row r="129">
      <c r="C129" t="inlineStr">
        <is>
          <t xml:space="preserve">      Set 1</t>
        </is>
      </c>
      <c r="E129" t="n">
        <v>12</v>
      </c>
      <c r="H129" s="39">
        <f>IF(H128="","",H128)</f>
        <v/>
      </c>
      <c r="I129" s="7">
        <f>IF(H128="","",H128)</f>
        <v/>
      </c>
      <c r="J129" s="7" t="n">
        <v>12</v>
      </c>
      <c r="K129" s="7" t="n"/>
      <c r="L129" s="40" t="n"/>
      <c r="M129">
        <f>IF(AND(L129&lt;&gt;"",N(I129)&gt;0,N(J129)&gt;0),IF(J129=1,I129,ROUND(I129*(1+J129/30),1)),"")</f>
        <v/>
      </c>
      <c r="N129" s="41">
        <f>IF(M129="","",IF(M129&gt;=PRs!C51,"PR!",""))</f>
        <v/>
      </c>
      <c r="O129" s="7" t="n"/>
    </row>
    <row r="130">
      <c r="C130" t="inlineStr">
        <is>
          <t xml:space="preserve">      Set 2</t>
        </is>
      </c>
      <c r="E130" t="n">
        <v>12</v>
      </c>
      <c r="H130" s="39">
        <f>IF(H128="","",H128)</f>
        <v/>
      </c>
      <c r="I130" s="7">
        <f>IF(H128="","",H128)</f>
        <v/>
      </c>
      <c r="J130" s="7" t="n">
        <v>12</v>
      </c>
      <c r="K130" s="7" t="n"/>
      <c r="L130" s="40" t="n"/>
      <c r="M130">
        <f>IF(AND(L130&lt;&gt;"",N(I130)&gt;0,N(J130)&gt;0),IF(J130=1,I130,ROUND(I130*(1+J130/30),1)),"")</f>
        <v/>
      </c>
      <c r="N130" s="41">
        <f>IF(M130="","",IF(M130&gt;=PRs!C51,"PR!",""))</f>
        <v/>
      </c>
      <c r="O130" s="7" t="n"/>
    </row>
    <row r="131">
      <c r="C131" t="inlineStr">
        <is>
          <t xml:space="preserve">      Set 3</t>
        </is>
      </c>
      <c r="E131" t="n">
        <v>12</v>
      </c>
      <c r="H131" s="39">
        <f>IF(H128="","",H128)</f>
        <v/>
      </c>
      <c r="I131" s="7">
        <f>IF(H128="","",H128)</f>
        <v/>
      </c>
      <c r="J131" s="7" t="n">
        <v>12</v>
      </c>
      <c r="K131" s="7" t="n"/>
      <c r="L131" s="40" t="n"/>
      <c r="M131">
        <f>IF(AND(L131&lt;&gt;"",N(I131)&gt;0,N(J131)&gt;0),IF(J131=1,I131,ROUND(I131*(1+J131/30),1)),"")</f>
        <v/>
      </c>
      <c r="N131" s="41">
        <f>IF(M131="","",IF(M131&gt;=PRs!C51,"PR!",""))</f>
        <v/>
      </c>
      <c r="O131" s="7" t="n"/>
    </row>
    <row r="132">
      <c r="A132" s="31" t="inlineStr">
        <is>
          <t>Day 2 - Light</t>
        </is>
      </c>
      <c r="B132" s="32">
        <f>'Start Here'!$B$8+121</f>
        <v/>
      </c>
      <c r="C132" s="33" t="n"/>
      <c r="D132" s="33" t="n"/>
      <c r="E132" s="33" t="n"/>
      <c r="F132" s="33" t="n"/>
      <c r="G132" s="33" t="n"/>
      <c r="H132" s="33" t="n"/>
      <c r="I132" s="33" t="n"/>
      <c r="J132" s="33" t="n"/>
      <c r="K132" s="33" t="n"/>
      <c r="L132" s="33" t="n"/>
      <c r="M132" s="33" t="n"/>
      <c r="N132" s="33" t="n"/>
      <c r="O132" s="33" t="n"/>
    </row>
    <row r="133">
      <c r="A133" s="34" t="n"/>
      <c r="B133" s="34" t="n"/>
      <c r="C133" s="35" t="inlineStr">
        <is>
          <t>Broad Jump</t>
        </is>
      </c>
      <c r="D133" s="34" t="inlineStr">
        <is>
          <t>4 x 3</t>
        </is>
      </c>
      <c r="E133" s="34" t="n"/>
      <c r="F133" s="34" t="n"/>
      <c r="G133" s="36" t="n"/>
      <c r="H133" s="37">
        <f>IF(N(Maxes!F70)&gt;0,Maxes!F70,"")</f>
        <v/>
      </c>
      <c r="I133" s="34" t="n"/>
      <c r="J133" s="34" t="n"/>
      <c r="K133" s="34" t="n"/>
      <c r="L133" s="34" t="n"/>
      <c r="M133" s="34" t="n"/>
      <c r="N133" s="34" t="n"/>
      <c r="O133" s="38" t="inlineStr">
        <is>
          <t>Standing two-foot jump forward, stick the landing. Measure toe line to the back of the nearest heel.</t>
        </is>
      </c>
    </row>
    <row r="134">
      <c r="C134" t="inlineStr">
        <is>
          <t xml:space="preserve">      Set 1</t>
        </is>
      </c>
      <c r="E134" t="n">
        <v>3</v>
      </c>
      <c r="H134" s="39">
        <f>IF(H133="","",H133)</f>
        <v/>
      </c>
      <c r="I134" s="7">
        <f>IF(H133="","",H133)</f>
        <v/>
      </c>
      <c r="J134" s="7" t="n">
        <v>3</v>
      </c>
      <c r="K134" s="7" t="n"/>
      <c r="L134" s="40" t="n"/>
      <c r="N134" s="41">
        <f>IF(AND(L134&lt;&gt;"",N(I134)&gt;0),IF(I134&gt;=PRs!D70,"PR!",""),"")</f>
        <v/>
      </c>
      <c r="O134" s="7" t="n"/>
    </row>
    <row r="135">
      <c r="C135" t="inlineStr">
        <is>
          <t xml:space="preserve">      Set 2</t>
        </is>
      </c>
      <c r="E135" t="n">
        <v>3</v>
      </c>
      <c r="H135" s="39">
        <f>IF(H133="","",H133)</f>
        <v/>
      </c>
      <c r="I135" s="7">
        <f>IF(H133="","",H133)</f>
        <v/>
      </c>
      <c r="J135" s="7" t="n">
        <v>3</v>
      </c>
      <c r="K135" s="7" t="n"/>
      <c r="L135" s="40" t="n"/>
      <c r="N135" s="41">
        <f>IF(AND(L135&lt;&gt;"",N(I135)&gt;0),IF(I135&gt;=PRs!D70,"PR!",""),"")</f>
        <v/>
      </c>
      <c r="O135" s="7" t="n"/>
    </row>
    <row r="136">
      <c r="C136" t="inlineStr">
        <is>
          <t xml:space="preserve">      Set 3</t>
        </is>
      </c>
      <c r="E136" t="n">
        <v>3</v>
      </c>
      <c r="H136" s="39">
        <f>IF(H133="","",H133)</f>
        <v/>
      </c>
      <c r="I136" s="7">
        <f>IF(H133="","",H133)</f>
        <v/>
      </c>
      <c r="J136" s="7" t="n">
        <v>3</v>
      </c>
      <c r="K136" s="7" t="n"/>
      <c r="L136" s="40" t="n"/>
      <c r="N136" s="41">
        <f>IF(AND(L136&lt;&gt;"",N(I136)&gt;0),IF(I136&gt;=PRs!D70,"PR!",""),"")</f>
        <v/>
      </c>
      <c r="O136" s="7" t="n"/>
    </row>
    <row r="137">
      <c r="C137" t="inlineStr">
        <is>
          <t xml:space="preserve">      Set 4</t>
        </is>
      </c>
      <c r="E137" t="n">
        <v>3</v>
      </c>
      <c r="H137" s="39">
        <f>IF(H133="","",H133)</f>
        <v/>
      </c>
      <c r="I137" s="7">
        <f>IF(H133="","",H133)</f>
        <v/>
      </c>
      <c r="J137" s="7" t="n">
        <v>3</v>
      </c>
      <c r="K137" s="7" t="n"/>
      <c r="L137" s="40" t="n"/>
      <c r="N137" s="41">
        <f>IF(AND(L137&lt;&gt;"",N(I137)&gt;0),IF(I137&gt;=PRs!D70,"PR!",""),"")</f>
        <v/>
      </c>
      <c r="O137" s="7" t="n"/>
    </row>
    <row r="138">
      <c r="A138" s="34" t="n"/>
      <c r="B138" s="34" t="n"/>
      <c r="C138" s="35" t="inlineStr">
        <is>
          <t>Med Ball Chest Pass</t>
        </is>
      </c>
      <c r="D138" s="34" t="inlineStr">
        <is>
          <t>3 x 5</t>
        </is>
      </c>
      <c r="E138" s="34" t="n"/>
      <c r="F138" s="34" t="n"/>
      <c r="G138" s="36" t="n"/>
      <c r="H138" s="37">
        <f>IF(N(Maxes!F77)&gt;0,Maxes!F77,"")</f>
        <v/>
      </c>
      <c r="I138" s="34" t="n"/>
      <c r="J138" s="34" t="n"/>
      <c r="K138" s="34" t="n"/>
      <c r="L138" s="34" t="n"/>
      <c r="M138" s="34" t="n"/>
      <c r="N138" s="34" t="n"/>
      <c r="O138" s="38" t="inlineStr">
        <is>
          <t>Kneeling or standing chest pass for distance with a 6-10 lb / 3-5 kg ball. Log the distance.</t>
        </is>
      </c>
    </row>
    <row r="139">
      <c r="C139" t="inlineStr">
        <is>
          <t xml:space="preserve">      Set 1</t>
        </is>
      </c>
      <c r="E139" t="n">
        <v>5</v>
      </c>
      <c r="H139" s="39">
        <f>IF(H138="","",H138)</f>
        <v/>
      </c>
      <c r="I139" s="7">
        <f>IF(H138="","",H138)</f>
        <v/>
      </c>
      <c r="J139" s="7" t="n">
        <v>5</v>
      </c>
      <c r="K139" s="7" t="n"/>
      <c r="L139" s="40" t="n"/>
      <c r="N139" s="41">
        <f>IF(AND(L139&lt;&gt;"",N(I139)&gt;0),IF(I139&gt;=PRs!D77,"PR!",""),"")</f>
        <v/>
      </c>
      <c r="O139" s="7" t="n"/>
    </row>
    <row r="140">
      <c r="C140" t="inlineStr">
        <is>
          <t xml:space="preserve">      Set 2</t>
        </is>
      </c>
      <c r="E140" t="n">
        <v>5</v>
      </c>
      <c r="H140" s="39">
        <f>IF(H138="","",H138)</f>
        <v/>
      </c>
      <c r="I140" s="7">
        <f>IF(H138="","",H138)</f>
        <v/>
      </c>
      <c r="J140" s="7" t="n">
        <v>5</v>
      </c>
      <c r="K140" s="7" t="n"/>
      <c r="L140" s="40" t="n"/>
      <c r="N140" s="41">
        <f>IF(AND(L140&lt;&gt;"",N(I140)&gt;0),IF(I140&gt;=PRs!D77,"PR!",""),"")</f>
        <v/>
      </c>
      <c r="O140" s="7" t="n"/>
    </row>
    <row r="141">
      <c r="C141" t="inlineStr">
        <is>
          <t xml:space="preserve">      Set 3</t>
        </is>
      </c>
      <c r="E141" t="n">
        <v>5</v>
      </c>
      <c r="H141" s="39">
        <f>IF(H138="","",H138)</f>
        <v/>
      </c>
      <c r="I141" s="7">
        <f>IF(H138="","",H138)</f>
        <v/>
      </c>
      <c r="J141" s="7" t="n">
        <v>5</v>
      </c>
      <c r="K141" s="7" t="n"/>
      <c r="L141" s="40" t="n"/>
      <c r="N141" s="41">
        <f>IF(AND(L141&lt;&gt;"",N(I141)&gt;0),IF(I141&gt;=PRs!D77,"PR!",""),"")</f>
        <v/>
      </c>
      <c r="O141" s="7" t="n"/>
    </row>
    <row r="142">
      <c r="A142" s="34" t="n"/>
      <c r="B142" s="34" t="n"/>
      <c r="C142" s="42" t="inlineStr">
        <is>
          <t>Clean &amp; Jerk</t>
        </is>
      </c>
      <c r="D142" s="34" t="inlineStr">
        <is>
          <t>5 x 2</t>
        </is>
      </c>
      <c r="E142" s="34" t="n"/>
      <c r="F142" s="34" t="n">
        <v>80</v>
      </c>
      <c r="G142" s="36">
        <f>Maxes!F7</f>
        <v/>
      </c>
      <c r="H142" s="37">
        <f>IF(OR(G142="",F142=""),"",MROUND(G142*F142/100,'Start Here'!$B$7))</f>
        <v/>
      </c>
      <c r="I142" s="34" t="n"/>
      <c r="J142" s="34" t="n"/>
      <c r="K142" s="34" t="n"/>
      <c r="L142" s="34" t="n"/>
      <c r="M142" s="34" t="n"/>
      <c r="N142" s="34" t="n"/>
      <c r="O142" s="38" t="inlineStr"/>
    </row>
    <row r="143">
      <c r="C143" t="inlineStr">
        <is>
          <t xml:space="preserve">      Set 1</t>
        </is>
      </c>
      <c r="E143" t="n">
        <v>2</v>
      </c>
      <c r="H143" s="39">
        <f>IF(H142="","",H142)</f>
        <v/>
      </c>
      <c r="I143" s="7">
        <f>IF(H142="","",H142)</f>
        <v/>
      </c>
      <c r="J143" s="7" t="n">
        <v>2</v>
      </c>
      <c r="K143" s="7" t="n"/>
      <c r="L143" s="40" t="n"/>
      <c r="M143">
        <f>IF(AND(L143&lt;&gt;"",N(I143)&gt;0,N(J143)&gt;0),IF(J143=1,I143,ROUND(I143*(1+J143/30),1)),"")</f>
        <v/>
      </c>
      <c r="N143" s="41">
        <f>IF(M143="","",IF(M143&gt;=PRs!C7,"PR!",""))</f>
        <v/>
      </c>
      <c r="O143" s="7" t="n"/>
    </row>
    <row r="144">
      <c r="C144" t="inlineStr">
        <is>
          <t xml:space="preserve">      Set 2</t>
        </is>
      </c>
      <c r="E144" t="n">
        <v>2</v>
      </c>
      <c r="H144" s="39">
        <f>IF(H142="","",H142)</f>
        <v/>
      </c>
      <c r="I144" s="7">
        <f>IF(H142="","",H142)</f>
        <v/>
      </c>
      <c r="J144" s="7" t="n">
        <v>2</v>
      </c>
      <c r="K144" s="7" t="n"/>
      <c r="L144" s="40" t="n"/>
      <c r="M144">
        <f>IF(AND(L144&lt;&gt;"",N(I144)&gt;0,N(J144)&gt;0),IF(J144=1,I144,ROUND(I144*(1+J144/30),1)),"")</f>
        <v/>
      </c>
      <c r="N144" s="41">
        <f>IF(M144="","",IF(M144&gt;=PRs!C7,"PR!",""))</f>
        <v/>
      </c>
      <c r="O144" s="7" t="n"/>
    </row>
    <row r="145">
      <c r="C145" t="inlineStr">
        <is>
          <t xml:space="preserve">      Set 3</t>
        </is>
      </c>
      <c r="E145" t="n">
        <v>2</v>
      </c>
      <c r="H145" s="39">
        <f>IF(H142="","",H142)</f>
        <v/>
      </c>
      <c r="I145" s="7">
        <f>IF(H142="","",H142)</f>
        <v/>
      </c>
      <c r="J145" s="7" t="n">
        <v>2</v>
      </c>
      <c r="K145" s="7" t="n"/>
      <c r="L145" s="40" t="n"/>
      <c r="M145">
        <f>IF(AND(L145&lt;&gt;"",N(I145)&gt;0,N(J145)&gt;0),IF(J145=1,I145,ROUND(I145*(1+J145/30),1)),"")</f>
        <v/>
      </c>
      <c r="N145" s="41">
        <f>IF(M145="","",IF(M145&gt;=PRs!C7,"PR!",""))</f>
        <v/>
      </c>
      <c r="O145" s="7" t="n"/>
    </row>
    <row r="146">
      <c r="C146" t="inlineStr">
        <is>
          <t xml:space="preserve">      Set 4</t>
        </is>
      </c>
      <c r="E146" t="n">
        <v>2</v>
      </c>
      <c r="H146" s="39">
        <f>IF(H142="","",H142)</f>
        <v/>
      </c>
      <c r="I146" s="7">
        <f>IF(H142="","",H142)</f>
        <v/>
      </c>
      <c r="J146" s="7" t="n">
        <v>2</v>
      </c>
      <c r="K146" s="7" t="n"/>
      <c r="L146" s="40" t="n"/>
      <c r="M146">
        <f>IF(AND(L146&lt;&gt;"",N(I146)&gt;0,N(J146)&gt;0),IF(J146=1,I146,ROUND(I146*(1+J146/30),1)),"")</f>
        <v/>
      </c>
      <c r="N146" s="41">
        <f>IF(M146="","",IF(M146&gt;=PRs!C7,"PR!",""))</f>
        <v/>
      </c>
      <c r="O146" s="7" t="n"/>
    </row>
    <row r="147">
      <c r="C147" t="inlineStr">
        <is>
          <t xml:space="preserve">      Set 5</t>
        </is>
      </c>
      <c r="E147" t="n">
        <v>2</v>
      </c>
      <c r="H147" s="39">
        <f>IF(H142="","",H142)</f>
        <v/>
      </c>
      <c r="I147" s="7">
        <f>IF(H142="","",H142)</f>
        <v/>
      </c>
      <c r="J147" s="7" t="n">
        <v>2</v>
      </c>
      <c r="K147" s="7" t="n"/>
      <c r="L147" s="40" t="n"/>
      <c r="M147">
        <f>IF(AND(L147&lt;&gt;"",N(I147)&gt;0,N(J147)&gt;0),IF(J147=1,I147,ROUND(I147*(1+J147/30),1)),"")</f>
        <v/>
      </c>
      <c r="N147" s="41">
        <f>IF(M147="","",IF(M147&gt;=PRs!C7,"PR!",""))</f>
        <v/>
      </c>
      <c r="O147" s="7" t="n"/>
    </row>
    <row r="148">
      <c r="A148" s="34" t="n"/>
      <c r="B148" s="34" t="n"/>
      <c r="C148" s="42" t="inlineStr">
        <is>
          <t>Squat</t>
        </is>
      </c>
      <c r="D148" s="34" t="inlineStr">
        <is>
          <t>3 x 6</t>
        </is>
      </c>
      <c r="E148" s="34" t="n"/>
      <c r="F148" s="34" t="n">
        <v>67.5</v>
      </c>
      <c r="G148" s="36">
        <f>Maxes!F2</f>
        <v/>
      </c>
      <c r="H148" s="37">
        <f>IF(OR(G148="",F148=""),"",MROUND(G148*F148/100,'Start Here'!$B$7))</f>
        <v/>
      </c>
      <c r="I148" s="34" t="n"/>
      <c r="J148" s="34" t="n"/>
      <c r="K148" s="34" t="n"/>
      <c r="L148" s="34" t="n"/>
      <c r="M148" s="34" t="n"/>
      <c r="N148" s="34" t="n"/>
      <c r="O148" s="38" t="inlineStr"/>
    </row>
    <row r="149">
      <c r="C149" t="inlineStr">
        <is>
          <t xml:space="preserve">      Set 1</t>
        </is>
      </c>
      <c r="E149" t="n">
        <v>6</v>
      </c>
      <c r="H149" s="39">
        <f>IF(H148="","",H148)</f>
        <v/>
      </c>
      <c r="I149" s="7">
        <f>IF(H148="","",H148)</f>
        <v/>
      </c>
      <c r="J149" s="7" t="n">
        <v>6</v>
      </c>
      <c r="K149" s="7" t="n"/>
      <c r="L149" s="40" t="n"/>
      <c r="M149">
        <f>IF(AND(L149&lt;&gt;"",N(I149)&gt;0,N(J149)&gt;0),IF(J149=1,I149,ROUND(I149*(1+J149/30),1)),"")</f>
        <v/>
      </c>
      <c r="N149" s="41">
        <f>IF(M149="","",IF(M149&gt;=PRs!C2,"PR!",""))</f>
        <v/>
      </c>
      <c r="O149" s="7" t="n"/>
    </row>
    <row r="150">
      <c r="C150" t="inlineStr">
        <is>
          <t xml:space="preserve">      Set 2</t>
        </is>
      </c>
      <c r="E150" t="n">
        <v>6</v>
      </c>
      <c r="H150" s="39">
        <f>IF(H148="","",H148)</f>
        <v/>
      </c>
      <c r="I150" s="7">
        <f>IF(H148="","",H148)</f>
        <v/>
      </c>
      <c r="J150" s="7" t="n">
        <v>6</v>
      </c>
      <c r="K150" s="7" t="n"/>
      <c r="L150" s="40" t="n"/>
      <c r="M150">
        <f>IF(AND(L150&lt;&gt;"",N(I150)&gt;0,N(J150)&gt;0),IF(J150=1,I150,ROUND(I150*(1+J150/30),1)),"")</f>
        <v/>
      </c>
      <c r="N150" s="41">
        <f>IF(M150="","",IF(M150&gt;=PRs!C2,"PR!",""))</f>
        <v/>
      </c>
      <c r="O150" s="7" t="n"/>
    </row>
    <row r="151">
      <c r="C151" t="inlineStr">
        <is>
          <t xml:space="preserve">      Set 3</t>
        </is>
      </c>
      <c r="E151" t="n">
        <v>6</v>
      </c>
      <c r="H151" s="39">
        <f>IF(H148="","",H148)</f>
        <v/>
      </c>
      <c r="I151" s="7">
        <f>IF(H148="","",H148)</f>
        <v/>
      </c>
      <c r="J151" s="7" t="n">
        <v>6</v>
      </c>
      <c r="K151" s="7" t="n"/>
      <c r="L151" s="40" t="n"/>
      <c r="M151">
        <f>IF(AND(L151&lt;&gt;"",N(I151)&gt;0,N(J151)&gt;0),IF(J151=1,I151,ROUND(I151*(1+J151/30),1)),"")</f>
        <v/>
      </c>
      <c r="N151" s="41">
        <f>IF(M151="","",IF(M151&gt;=PRs!C2,"PR!",""))</f>
        <v/>
      </c>
      <c r="O151" s="7" t="n"/>
    </row>
    <row r="152">
      <c r="A152" s="34" t="n"/>
      <c r="B152" s="34" t="n"/>
      <c r="C152" s="42" t="inlineStr">
        <is>
          <t>Overhead Press</t>
        </is>
      </c>
      <c r="D152" s="34" t="inlineStr">
        <is>
          <t>3 x 6</t>
        </is>
      </c>
      <c r="E152" s="34" t="n"/>
      <c r="F152" s="34" t="n">
        <v>75</v>
      </c>
      <c r="G152" s="36">
        <f>Maxes!F5</f>
        <v/>
      </c>
      <c r="H152" s="37">
        <f>IF(OR(G152="",F152=""),"",MROUND(G152*F152/100,'Start Here'!$B$7))</f>
        <v/>
      </c>
      <c r="I152" s="34" t="n"/>
      <c r="J152" s="34" t="n"/>
      <c r="K152" s="34" t="n"/>
      <c r="L152" s="34" t="n"/>
      <c r="M152" s="34" t="n"/>
      <c r="N152" s="34" t="n"/>
      <c r="O152" s="38" t="inlineStr"/>
    </row>
    <row r="153">
      <c r="C153" t="inlineStr">
        <is>
          <t xml:space="preserve">      Set 1</t>
        </is>
      </c>
      <c r="E153" t="n">
        <v>6</v>
      </c>
      <c r="H153" s="39">
        <f>IF(H152="","",H152)</f>
        <v/>
      </c>
      <c r="I153" s="7">
        <f>IF(H152="","",H152)</f>
        <v/>
      </c>
      <c r="J153" s="7" t="n">
        <v>6</v>
      </c>
      <c r="K153" s="7" t="n"/>
      <c r="L153" s="40" t="n"/>
      <c r="M153">
        <f>IF(AND(L153&lt;&gt;"",N(I153)&gt;0,N(J153)&gt;0),IF(J153=1,I153,ROUND(I153*(1+J153/30),1)),"")</f>
        <v/>
      </c>
      <c r="N153" s="41">
        <f>IF(M153="","",IF(M153&gt;=PRs!C5,"PR!",""))</f>
        <v/>
      </c>
      <c r="O153" s="7" t="n"/>
    </row>
    <row r="154">
      <c r="C154" t="inlineStr">
        <is>
          <t xml:space="preserve">      Set 2</t>
        </is>
      </c>
      <c r="E154" t="n">
        <v>6</v>
      </c>
      <c r="H154" s="39">
        <f>IF(H152="","",H152)</f>
        <v/>
      </c>
      <c r="I154" s="7">
        <f>IF(H152="","",H152)</f>
        <v/>
      </c>
      <c r="J154" s="7" t="n">
        <v>6</v>
      </c>
      <c r="K154" s="7" t="n"/>
      <c r="L154" s="40" t="n"/>
      <c r="M154">
        <f>IF(AND(L154&lt;&gt;"",N(I154)&gt;0,N(J154)&gt;0),IF(J154=1,I154,ROUND(I154*(1+J154/30),1)),"")</f>
        <v/>
      </c>
      <c r="N154" s="41">
        <f>IF(M154="","",IF(M154&gt;=PRs!C5,"PR!",""))</f>
        <v/>
      </c>
      <c r="O154" s="7" t="n"/>
    </row>
    <row r="155">
      <c r="C155" t="inlineStr">
        <is>
          <t xml:space="preserve">      Set 3</t>
        </is>
      </c>
      <c r="E155" t="n">
        <v>6</v>
      </c>
      <c r="H155" s="39">
        <f>IF(H152="","",H152)</f>
        <v/>
      </c>
      <c r="I155" s="7">
        <f>IF(H152="","",H152)</f>
        <v/>
      </c>
      <c r="J155" s="7" t="n">
        <v>6</v>
      </c>
      <c r="K155" s="7" t="n"/>
      <c r="L155" s="40" t="n"/>
      <c r="M155">
        <f>IF(AND(L155&lt;&gt;"",N(I155)&gt;0,N(J155)&gt;0),IF(J155=1,I155,ROUND(I155*(1+J155/30),1)),"")</f>
        <v/>
      </c>
      <c r="N155" s="41">
        <f>IF(M155="","",IF(M155&gt;=PRs!C5,"PR!",""))</f>
        <v/>
      </c>
      <c r="O155" s="7" t="n"/>
    </row>
    <row r="156">
      <c r="A156" s="34" t="n"/>
      <c r="B156" s="34" t="n"/>
      <c r="C156" s="42" t="inlineStr">
        <is>
          <t>Deadlift</t>
        </is>
      </c>
      <c r="D156" s="34" t="inlineStr">
        <is>
          <t>3 x 6</t>
        </is>
      </c>
      <c r="E156" s="34" t="n"/>
      <c r="F156" s="34" t="n">
        <v>75</v>
      </c>
      <c r="G156" s="36">
        <f>Maxes!F4</f>
        <v/>
      </c>
      <c r="H156" s="37">
        <f>IF(OR(G156="",F156=""),"",MROUND(G156*F156/100,'Start Here'!$B$7))</f>
        <v/>
      </c>
      <c r="I156" s="34" t="n"/>
      <c r="J156" s="34" t="n"/>
      <c r="K156" s="34" t="n"/>
      <c r="L156" s="34" t="n"/>
      <c r="M156" s="34" t="n"/>
      <c r="N156" s="34" t="n"/>
      <c r="O156" s="38" t="inlineStr"/>
    </row>
    <row r="157">
      <c r="C157" t="inlineStr">
        <is>
          <t xml:space="preserve">      Set 1</t>
        </is>
      </c>
      <c r="E157" t="n">
        <v>6</v>
      </c>
      <c r="H157" s="39">
        <f>IF(H156="","",H156)</f>
        <v/>
      </c>
      <c r="I157" s="7">
        <f>IF(H156="","",H156)</f>
        <v/>
      </c>
      <c r="J157" s="7" t="n">
        <v>6</v>
      </c>
      <c r="K157" s="7" t="n"/>
      <c r="L157" s="40" t="n"/>
      <c r="M157">
        <f>IF(AND(L157&lt;&gt;"",N(I157)&gt;0,N(J157)&gt;0),IF(J157=1,I157,ROUND(I157*(1+J157/30),1)),"")</f>
        <v/>
      </c>
      <c r="N157" s="41">
        <f>IF(M157="","",IF(M157&gt;=PRs!C4,"PR!",""))</f>
        <v/>
      </c>
      <c r="O157" s="7" t="n"/>
    </row>
    <row r="158">
      <c r="C158" t="inlineStr">
        <is>
          <t xml:space="preserve">      Set 2</t>
        </is>
      </c>
      <c r="E158" t="n">
        <v>6</v>
      </c>
      <c r="H158" s="39">
        <f>IF(H156="","",H156)</f>
        <v/>
      </c>
      <c r="I158" s="7">
        <f>IF(H156="","",H156)</f>
        <v/>
      </c>
      <c r="J158" s="7" t="n">
        <v>6</v>
      </c>
      <c r="K158" s="7" t="n"/>
      <c r="L158" s="40" t="n"/>
      <c r="M158">
        <f>IF(AND(L158&lt;&gt;"",N(I158)&gt;0,N(J158)&gt;0),IF(J158=1,I158,ROUND(I158*(1+J158/30),1)),"")</f>
        <v/>
      </c>
      <c r="N158" s="41">
        <f>IF(M158="","",IF(M158&gt;=PRs!C4,"PR!",""))</f>
        <v/>
      </c>
      <c r="O158" s="7" t="n"/>
    </row>
    <row r="159">
      <c r="C159" t="inlineStr">
        <is>
          <t xml:space="preserve">      Set 3</t>
        </is>
      </c>
      <c r="E159" t="n">
        <v>6</v>
      </c>
      <c r="H159" s="39">
        <f>IF(H156="","",H156)</f>
        <v/>
      </c>
      <c r="I159" s="7">
        <f>IF(H156="","",H156)</f>
        <v/>
      </c>
      <c r="J159" s="7" t="n">
        <v>6</v>
      </c>
      <c r="K159" s="7" t="n"/>
      <c r="L159" s="40" t="n"/>
      <c r="M159">
        <f>IF(AND(L159&lt;&gt;"",N(I159)&gt;0,N(J159)&gt;0),IF(J159=1,I159,ROUND(I159*(1+J159/30),1)),"")</f>
        <v/>
      </c>
      <c r="N159" s="41">
        <f>IF(M159="","",IF(M159&gt;=PRs!C4,"PR!",""))</f>
        <v/>
      </c>
      <c r="O159" s="7" t="n"/>
    </row>
    <row r="160">
      <c r="A160" s="34" t="n"/>
      <c r="B160" s="34" t="n"/>
      <c r="C160" s="43" t="inlineStr">
        <is>
          <t>Chin-up</t>
        </is>
      </c>
      <c r="D160" s="34" t="inlineStr">
        <is>
          <t>3 x 6-10</t>
        </is>
      </c>
      <c r="E160" s="34" t="n"/>
      <c r="F160" s="34" t="n"/>
      <c r="G160" s="36" t="n"/>
      <c r="H160" s="37" t="n"/>
      <c r="I160" s="34" t="n"/>
      <c r="J160" s="34" t="n"/>
      <c r="K160" s="34" t="n"/>
      <c r="L160" s="34" t="n"/>
      <c r="M160" s="34" t="n"/>
      <c r="N160" s="34" t="n"/>
      <c r="O160" s="38" t="inlineStr">
        <is>
          <t>Leave 1-2 reps in the tank; add weight when you hit the top of the range</t>
        </is>
      </c>
    </row>
    <row r="161">
      <c r="C161" t="inlineStr">
        <is>
          <t xml:space="preserve">      Set 1</t>
        </is>
      </c>
      <c r="E161" t="n">
        <v>6</v>
      </c>
      <c r="H161" s="39">
        <f>IF(H160="","",H160)</f>
        <v/>
      </c>
      <c r="I161" s="7">
        <f>IF(H160="","",H160)</f>
        <v/>
      </c>
      <c r="J161" s="7" t="n">
        <v>6</v>
      </c>
      <c r="K161" s="7" t="n"/>
      <c r="L161" s="40" t="n"/>
      <c r="M161">
        <f>IF(AND(L161&lt;&gt;"",N(I161)&gt;0,N(J161)&gt;0),IF(J161=1,I161,ROUND(I161*(1+J161/30),1)),"")</f>
        <v/>
      </c>
      <c r="N161" s="41">
        <f>IF(M161="","",IF(M161&gt;=PRs!C53,"PR!",""))</f>
        <v/>
      </c>
      <c r="O161" s="7" t="n"/>
    </row>
    <row r="162">
      <c r="C162" t="inlineStr">
        <is>
          <t xml:space="preserve">      Set 2</t>
        </is>
      </c>
      <c r="E162" t="n">
        <v>6</v>
      </c>
      <c r="H162" s="39">
        <f>IF(H160="","",H160)</f>
        <v/>
      </c>
      <c r="I162" s="7">
        <f>IF(H160="","",H160)</f>
        <v/>
      </c>
      <c r="J162" s="7" t="n">
        <v>6</v>
      </c>
      <c r="K162" s="7" t="n"/>
      <c r="L162" s="40" t="n"/>
      <c r="M162">
        <f>IF(AND(L162&lt;&gt;"",N(I162)&gt;0,N(J162)&gt;0),IF(J162=1,I162,ROUND(I162*(1+J162/30),1)),"")</f>
        <v/>
      </c>
      <c r="N162" s="41">
        <f>IF(M162="","",IF(M162&gt;=PRs!C53,"PR!",""))</f>
        <v/>
      </c>
      <c r="O162" s="7" t="n"/>
    </row>
    <row r="163">
      <c r="C163" t="inlineStr">
        <is>
          <t xml:space="preserve">      Set 3</t>
        </is>
      </c>
      <c r="E163" t="n">
        <v>6</v>
      </c>
      <c r="H163" s="39">
        <f>IF(H160="","",H160)</f>
        <v/>
      </c>
      <c r="I163" s="7">
        <f>IF(H160="","",H160)</f>
        <v/>
      </c>
      <c r="J163" s="7" t="n">
        <v>6</v>
      </c>
      <c r="K163" s="7" t="n"/>
      <c r="L163" s="40" t="n"/>
      <c r="M163">
        <f>IF(AND(L163&lt;&gt;"",N(I163)&gt;0,N(J163)&gt;0),IF(J163=1,I163,ROUND(I163*(1+J163/30),1)),"")</f>
        <v/>
      </c>
      <c r="N163" s="41">
        <f>IF(M163="","",IF(M163&gt;=PRs!C53,"PR!",""))</f>
        <v/>
      </c>
      <c r="O163" s="7" t="n"/>
    </row>
    <row r="164">
      <c r="A164" s="34" t="n"/>
      <c r="B164" s="34" t="n"/>
      <c r="C164" s="43" t="inlineStr">
        <is>
          <t>Plank</t>
        </is>
      </c>
      <c r="D164" s="34" t="inlineStr">
        <is>
          <t>3 x 30-60s</t>
        </is>
      </c>
      <c r="E164" s="34" t="n"/>
      <c r="F164" s="34" t="n"/>
      <c r="G164" s="36" t="n"/>
      <c r="H164" s="37" t="n"/>
      <c r="I164" s="34" t="n"/>
      <c r="J164" s="34" t="n"/>
      <c r="K164" s="34" t="n"/>
      <c r="L164" s="34" t="n"/>
      <c r="M164" s="34" t="n"/>
      <c r="N164" s="34" t="n"/>
      <c r="O164" s="38" t="inlineStr">
        <is>
          <t>Leave 1-2 reps in the tank; add weight when you hit the top of the range</t>
        </is>
      </c>
    </row>
    <row r="165">
      <c r="C165" t="inlineStr">
        <is>
          <t xml:space="preserve">      Set 1</t>
        </is>
      </c>
      <c r="E165" t="n">
        <v>30</v>
      </c>
      <c r="H165" s="39">
        <f>IF(H164="","",H164)</f>
        <v/>
      </c>
      <c r="I165" s="7">
        <f>IF(H164="","",H164)</f>
        <v/>
      </c>
      <c r="J165" s="7" t="n">
        <v>30</v>
      </c>
      <c r="K165" s="7" t="n"/>
      <c r="L165" s="40" t="n"/>
      <c r="M165">
        <f>IF(AND(L165&lt;&gt;"",N(I165)&gt;0,N(J165)&gt;0),IF(J165=1,I165,ROUND(I165*(1+J165/30),1)),"")</f>
        <v/>
      </c>
      <c r="N165" s="41">
        <f>IF(M165="","",IF(M165&gt;=PRs!C56,"PR!",""))</f>
        <v/>
      </c>
      <c r="O165" s="7" t="n"/>
    </row>
    <row r="166">
      <c r="C166" t="inlineStr">
        <is>
          <t xml:space="preserve">      Set 2</t>
        </is>
      </c>
      <c r="E166" t="n">
        <v>30</v>
      </c>
      <c r="H166" s="39">
        <f>IF(H164="","",H164)</f>
        <v/>
      </c>
      <c r="I166" s="7">
        <f>IF(H164="","",H164)</f>
        <v/>
      </c>
      <c r="J166" s="7" t="n">
        <v>30</v>
      </c>
      <c r="K166" s="7" t="n"/>
      <c r="L166" s="40" t="n"/>
      <c r="M166">
        <f>IF(AND(L166&lt;&gt;"",N(I166)&gt;0,N(J166)&gt;0),IF(J166=1,I166,ROUND(I166*(1+J166/30),1)),"")</f>
        <v/>
      </c>
      <c r="N166" s="41">
        <f>IF(M166="","",IF(M166&gt;=PRs!C56,"PR!",""))</f>
        <v/>
      </c>
      <c r="O166" s="7" t="n"/>
    </row>
    <row r="167">
      <c r="C167" t="inlineStr">
        <is>
          <t xml:space="preserve">      Set 3</t>
        </is>
      </c>
      <c r="E167" t="n">
        <v>30</v>
      </c>
      <c r="H167" s="39">
        <f>IF(H164="","",H164)</f>
        <v/>
      </c>
      <c r="I167" s="7">
        <f>IF(H164="","",H164)</f>
        <v/>
      </c>
      <c r="J167" s="7" t="n">
        <v>30</v>
      </c>
      <c r="K167" s="7" t="n"/>
      <c r="L167" s="40" t="n"/>
      <c r="M167">
        <f>IF(AND(L167&lt;&gt;"",N(I167)&gt;0,N(J167)&gt;0),IF(J167=1,I167,ROUND(I167*(1+J167/30),1)),"")</f>
        <v/>
      </c>
      <c r="N167" s="41">
        <f>IF(M167="","",IF(M167&gt;=PRs!C56,"PR!",""))</f>
        <v/>
      </c>
      <c r="O167" s="7" t="n"/>
    </row>
    <row r="168">
      <c r="A168" s="31" t="inlineStr">
        <is>
          <t>Day 3 - Variations</t>
        </is>
      </c>
      <c r="B168" s="32">
        <f>'Start Here'!$B$8+123</f>
        <v/>
      </c>
      <c r="C168" s="33" t="n"/>
      <c r="D168" s="33" t="n"/>
      <c r="E168" s="33" t="n"/>
      <c r="F168" s="33" t="n"/>
      <c r="G168" s="33" t="n"/>
      <c r="H168" s="33" t="n"/>
      <c r="I168" s="33" t="n"/>
      <c r="J168" s="33" t="n"/>
      <c r="K168" s="33" t="n"/>
      <c r="L168" s="33" t="n"/>
      <c r="M168" s="33" t="n"/>
      <c r="N168" s="33" t="n"/>
      <c r="O168" s="33" t="n"/>
    </row>
    <row r="169">
      <c r="A169" s="34" t="n"/>
      <c r="B169" s="34" t="n"/>
      <c r="C169" s="35" t="inlineStr">
        <is>
          <t>Plyo Push-up</t>
        </is>
      </c>
      <c r="D169" s="34" t="inlineStr">
        <is>
          <t>4 x 3</t>
        </is>
      </c>
      <c r="E169" s="34" t="n"/>
      <c r="F169" s="34" t="n"/>
      <c r="G169" s="36" t="n"/>
      <c r="H169" s="37">
        <f>IF(N(Maxes!F75)&gt;0,Maxes!F75,"")</f>
        <v/>
      </c>
      <c r="I169" s="34" t="n"/>
      <c r="J169" s="34" t="n"/>
      <c r="K169" s="34" t="n"/>
      <c r="L169" s="34" t="n"/>
      <c r="M169" s="34" t="n"/>
      <c r="N169" s="34" t="n"/>
      <c r="O169" s="38" t="inlineStr">
        <is>
          <t>Explosive push-up so the hands leave the floor. Log reps (distance/height = 1).</t>
        </is>
      </c>
    </row>
    <row r="170">
      <c r="C170" t="inlineStr">
        <is>
          <t xml:space="preserve">      Set 1</t>
        </is>
      </c>
      <c r="E170" t="n">
        <v>3</v>
      </c>
      <c r="H170" s="39">
        <f>IF(H169="","",H169)</f>
        <v/>
      </c>
      <c r="I170" s="7">
        <f>IF(H169="","",H169)</f>
        <v/>
      </c>
      <c r="J170" s="7" t="n">
        <v>3</v>
      </c>
      <c r="K170" s="7" t="n"/>
      <c r="L170" s="40" t="n"/>
      <c r="N170" s="41">
        <f>IF(AND(L170&lt;&gt;"",N(I170)&gt;0),IF(I170&gt;=PRs!D75,"PR!",""),"")</f>
        <v/>
      </c>
      <c r="O170" s="7" t="n"/>
    </row>
    <row r="171">
      <c r="C171" t="inlineStr">
        <is>
          <t xml:space="preserve">      Set 2</t>
        </is>
      </c>
      <c r="E171" t="n">
        <v>3</v>
      </c>
      <c r="H171" s="39">
        <f>IF(H169="","",H169)</f>
        <v/>
      </c>
      <c r="I171" s="7">
        <f>IF(H169="","",H169)</f>
        <v/>
      </c>
      <c r="J171" s="7" t="n">
        <v>3</v>
      </c>
      <c r="K171" s="7" t="n"/>
      <c r="L171" s="40" t="n"/>
      <c r="N171" s="41">
        <f>IF(AND(L171&lt;&gt;"",N(I171)&gt;0),IF(I171&gt;=PRs!D75,"PR!",""),"")</f>
        <v/>
      </c>
      <c r="O171" s="7" t="n"/>
    </row>
    <row r="172">
      <c r="C172" t="inlineStr">
        <is>
          <t xml:space="preserve">      Set 3</t>
        </is>
      </c>
      <c r="E172" t="n">
        <v>3</v>
      </c>
      <c r="H172" s="39">
        <f>IF(H169="","",H169)</f>
        <v/>
      </c>
      <c r="I172" s="7">
        <f>IF(H169="","",H169)</f>
        <v/>
      </c>
      <c r="J172" s="7" t="n">
        <v>3</v>
      </c>
      <c r="K172" s="7" t="n"/>
      <c r="L172" s="40" t="n"/>
      <c r="N172" s="41">
        <f>IF(AND(L172&lt;&gt;"",N(I172)&gt;0),IF(I172&gt;=PRs!D75,"PR!",""),"")</f>
        <v/>
      </c>
      <c r="O172" s="7" t="n"/>
    </row>
    <row r="173">
      <c r="C173" t="inlineStr">
        <is>
          <t xml:space="preserve">      Set 4</t>
        </is>
      </c>
      <c r="E173" t="n">
        <v>3</v>
      </c>
      <c r="H173" s="39">
        <f>IF(H169="","",H169)</f>
        <v/>
      </c>
      <c r="I173" s="7">
        <f>IF(H169="","",H169)</f>
        <v/>
      </c>
      <c r="J173" s="7" t="n">
        <v>3</v>
      </c>
      <c r="K173" s="7" t="n"/>
      <c r="L173" s="40" t="n"/>
      <c r="N173" s="41">
        <f>IF(AND(L173&lt;&gt;"",N(I173)&gt;0),IF(I173&gt;=PRs!D75,"PR!",""),"")</f>
        <v/>
      </c>
      <c r="O173" s="7" t="n"/>
    </row>
    <row r="174">
      <c r="A174" s="34" t="n"/>
      <c r="B174" s="34" t="n"/>
      <c r="C174" s="42" t="inlineStr">
        <is>
          <t>Snatch Balance</t>
        </is>
      </c>
      <c r="D174" s="34" t="inlineStr">
        <is>
          <t>4 x 3</t>
        </is>
      </c>
      <c r="E174" s="34" t="n"/>
      <c r="F174" s="34" t="n">
        <v>75</v>
      </c>
      <c r="G174" s="36">
        <f>Maxes!F38</f>
        <v/>
      </c>
      <c r="H174" s="37">
        <f>IF(OR(G174="",F174=""),"",MROUND(G174*F174/100,'Start Here'!$B$7))</f>
        <v/>
      </c>
      <c r="I174" s="34" t="n"/>
      <c r="J174" s="34" t="n"/>
      <c r="K174" s="34" t="n"/>
      <c r="L174" s="34" t="n"/>
      <c r="M174" s="34" t="n"/>
      <c r="N174" s="34" t="n"/>
      <c r="O174" s="38" t="inlineStr"/>
    </row>
    <row r="175">
      <c r="C175" t="inlineStr">
        <is>
          <t xml:space="preserve">      Set 1</t>
        </is>
      </c>
      <c r="E175" t="n">
        <v>3</v>
      </c>
      <c r="H175" s="39">
        <f>IF(H174="","",H174)</f>
        <v/>
      </c>
      <c r="I175" s="7">
        <f>IF(H174="","",H174)</f>
        <v/>
      </c>
      <c r="J175" s="7" t="n">
        <v>3</v>
      </c>
      <c r="K175" s="7" t="n"/>
      <c r="L175" s="40" t="n"/>
      <c r="M175">
        <f>IF(AND(L175&lt;&gt;"",N(I175)&gt;0,N(J175)&gt;0),IF(J175=1,I175,ROUND(I175*(1+J175/30),1)),"")</f>
        <v/>
      </c>
      <c r="N175" s="41">
        <f>IF(M175="","",IF(M175&gt;=PRs!C38,"PR!",""))</f>
        <v/>
      </c>
      <c r="O175" s="7" t="n"/>
    </row>
    <row r="176">
      <c r="C176" t="inlineStr">
        <is>
          <t xml:space="preserve">      Set 2</t>
        </is>
      </c>
      <c r="E176" t="n">
        <v>3</v>
      </c>
      <c r="H176" s="39">
        <f>IF(H174="","",H174)</f>
        <v/>
      </c>
      <c r="I176" s="7">
        <f>IF(H174="","",H174)</f>
        <v/>
      </c>
      <c r="J176" s="7" t="n">
        <v>3</v>
      </c>
      <c r="K176" s="7" t="n"/>
      <c r="L176" s="40" t="n"/>
      <c r="M176">
        <f>IF(AND(L176&lt;&gt;"",N(I176)&gt;0,N(J176)&gt;0),IF(J176=1,I176,ROUND(I176*(1+J176/30),1)),"")</f>
        <v/>
      </c>
      <c r="N176" s="41">
        <f>IF(M176="","",IF(M176&gt;=PRs!C38,"PR!",""))</f>
        <v/>
      </c>
      <c r="O176" s="7" t="n"/>
    </row>
    <row r="177">
      <c r="C177" t="inlineStr">
        <is>
          <t xml:space="preserve">      Set 3</t>
        </is>
      </c>
      <c r="E177" t="n">
        <v>3</v>
      </c>
      <c r="H177" s="39">
        <f>IF(H174="","",H174)</f>
        <v/>
      </c>
      <c r="I177" s="7">
        <f>IF(H174="","",H174)</f>
        <v/>
      </c>
      <c r="J177" s="7" t="n">
        <v>3</v>
      </c>
      <c r="K177" s="7" t="n"/>
      <c r="L177" s="40" t="n"/>
      <c r="M177">
        <f>IF(AND(L177&lt;&gt;"",N(I177)&gt;0,N(J177)&gt;0),IF(J177=1,I177,ROUND(I177*(1+J177/30),1)),"")</f>
        <v/>
      </c>
      <c r="N177" s="41">
        <f>IF(M177="","",IF(M177&gt;=PRs!C38,"PR!",""))</f>
        <v/>
      </c>
      <c r="O177" s="7" t="n"/>
    </row>
    <row r="178">
      <c r="C178" t="inlineStr">
        <is>
          <t xml:space="preserve">      Set 4</t>
        </is>
      </c>
      <c r="E178" t="n">
        <v>3</v>
      </c>
      <c r="H178" s="39">
        <f>IF(H174="","",H174)</f>
        <v/>
      </c>
      <c r="I178" s="7">
        <f>IF(H174="","",H174)</f>
        <v/>
      </c>
      <c r="J178" s="7" t="n">
        <v>3</v>
      </c>
      <c r="K178" s="7" t="n"/>
      <c r="L178" s="40" t="n"/>
      <c r="M178">
        <f>IF(AND(L178&lt;&gt;"",N(I178)&gt;0,N(J178)&gt;0),IF(J178=1,I178,ROUND(I178*(1+J178/30),1)),"")</f>
        <v/>
      </c>
      <c r="N178" s="41">
        <f>IF(M178="","",IF(M178&gt;=PRs!C38,"PR!",""))</f>
        <v/>
      </c>
      <c r="O178" s="7" t="n"/>
    </row>
    <row r="179">
      <c r="A179" s="34" t="n"/>
      <c r="B179" s="34" t="n"/>
      <c r="C179" s="42" t="inlineStr">
        <is>
          <t>Pin Squat</t>
        </is>
      </c>
      <c r="D179" s="34" t="inlineStr">
        <is>
          <t>3 x 6</t>
        </is>
      </c>
      <c r="E179" s="34" t="n"/>
      <c r="F179" s="34" t="n">
        <v>75</v>
      </c>
      <c r="G179" s="36">
        <f>Maxes!F12</f>
        <v/>
      </c>
      <c r="H179" s="37">
        <f>IF(OR(G179="",F179=""),"",MROUND(G179*F179/100,'Start Here'!$B$7))</f>
        <v/>
      </c>
      <c r="I179" s="34" t="n"/>
      <c r="J179" s="34" t="n"/>
      <c r="K179" s="34" t="n"/>
      <c r="L179" s="34" t="n"/>
      <c r="M179" s="34" t="n"/>
      <c r="N179" s="34" t="n"/>
      <c r="O179" s="38" t="inlineStr"/>
    </row>
    <row r="180">
      <c r="C180" t="inlineStr">
        <is>
          <t xml:space="preserve">      Set 1</t>
        </is>
      </c>
      <c r="E180" t="n">
        <v>6</v>
      </c>
      <c r="H180" s="39">
        <f>IF(H179="","",H179)</f>
        <v/>
      </c>
      <c r="I180" s="7">
        <f>IF(H179="","",H179)</f>
        <v/>
      </c>
      <c r="J180" s="7" t="n">
        <v>6</v>
      </c>
      <c r="K180" s="7" t="n"/>
      <c r="L180" s="40" t="n"/>
      <c r="M180">
        <f>IF(AND(L180&lt;&gt;"",N(I180)&gt;0,N(J180)&gt;0),IF(J180=1,I180,ROUND(I180*(1+J180/30),1)),"")</f>
        <v/>
      </c>
      <c r="N180" s="41">
        <f>IF(M180="","",IF(M180&gt;=PRs!C12,"PR!",""))</f>
        <v/>
      </c>
      <c r="O180" s="7" t="n"/>
    </row>
    <row r="181">
      <c r="C181" t="inlineStr">
        <is>
          <t xml:space="preserve">      Set 2</t>
        </is>
      </c>
      <c r="E181" t="n">
        <v>6</v>
      </c>
      <c r="H181" s="39">
        <f>IF(H179="","",H179)</f>
        <v/>
      </c>
      <c r="I181" s="7">
        <f>IF(H179="","",H179)</f>
        <v/>
      </c>
      <c r="J181" s="7" t="n">
        <v>6</v>
      </c>
      <c r="K181" s="7" t="n"/>
      <c r="L181" s="40" t="n"/>
      <c r="M181">
        <f>IF(AND(L181&lt;&gt;"",N(I181)&gt;0,N(J181)&gt;0),IF(J181=1,I181,ROUND(I181*(1+J181/30),1)),"")</f>
        <v/>
      </c>
      <c r="N181" s="41">
        <f>IF(M181="","",IF(M181&gt;=PRs!C12,"PR!",""))</f>
        <v/>
      </c>
      <c r="O181" s="7" t="n"/>
    </row>
    <row r="182">
      <c r="C182" t="inlineStr">
        <is>
          <t xml:space="preserve">      Set 3</t>
        </is>
      </c>
      <c r="E182" t="n">
        <v>6</v>
      </c>
      <c r="H182" s="39">
        <f>IF(H179="","",H179)</f>
        <v/>
      </c>
      <c r="I182" s="7">
        <f>IF(H179="","",H179)</f>
        <v/>
      </c>
      <c r="J182" s="7" t="n">
        <v>6</v>
      </c>
      <c r="K182" s="7" t="n"/>
      <c r="L182" s="40" t="n"/>
      <c r="M182">
        <f>IF(AND(L182&lt;&gt;"",N(I182)&gt;0,N(J182)&gt;0),IF(J182=1,I182,ROUND(I182*(1+J182/30),1)),"")</f>
        <v/>
      </c>
      <c r="N182" s="41">
        <f>IF(M182="","",IF(M182&gt;=PRs!C12,"PR!",""))</f>
        <v/>
      </c>
      <c r="O182" s="7" t="n"/>
    </row>
    <row r="183">
      <c r="A183" s="34" t="n"/>
      <c r="B183" s="34" t="n"/>
      <c r="C183" s="42" t="inlineStr">
        <is>
          <t>Floor Press</t>
        </is>
      </c>
      <c r="D183" s="34" t="inlineStr">
        <is>
          <t>3 x 6</t>
        </is>
      </c>
      <c r="E183" s="34" t="n"/>
      <c r="F183" s="34" t="n">
        <v>75</v>
      </c>
      <c r="G183" s="36">
        <f>Maxes!F19</f>
        <v/>
      </c>
      <c r="H183" s="37">
        <f>IF(OR(G183="",F183=""),"",MROUND(G183*F183/100,'Start Here'!$B$7))</f>
        <v/>
      </c>
      <c r="I183" s="34" t="n"/>
      <c r="J183" s="34" t="n"/>
      <c r="K183" s="34" t="n"/>
      <c r="L183" s="34" t="n"/>
      <c r="M183" s="34" t="n"/>
      <c r="N183" s="34" t="n"/>
      <c r="O183" s="38" t="inlineStr"/>
    </row>
    <row r="184">
      <c r="C184" t="inlineStr">
        <is>
          <t xml:space="preserve">      Set 1</t>
        </is>
      </c>
      <c r="E184" t="n">
        <v>6</v>
      </c>
      <c r="H184" s="39">
        <f>IF(H183="","",H183)</f>
        <v/>
      </c>
      <c r="I184" s="7">
        <f>IF(H183="","",H183)</f>
        <v/>
      </c>
      <c r="J184" s="7" t="n">
        <v>6</v>
      </c>
      <c r="K184" s="7" t="n"/>
      <c r="L184" s="40" t="n"/>
      <c r="M184">
        <f>IF(AND(L184&lt;&gt;"",N(I184)&gt;0,N(J184)&gt;0),IF(J184=1,I184,ROUND(I184*(1+J184/30),1)),"")</f>
        <v/>
      </c>
      <c r="N184" s="41">
        <f>IF(M184="","",IF(M184&gt;=PRs!C19,"PR!",""))</f>
        <v/>
      </c>
      <c r="O184" s="7" t="n"/>
    </row>
    <row r="185">
      <c r="C185" t="inlineStr">
        <is>
          <t xml:space="preserve">      Set 2</t>
        </is>
      </c>
      <c r="E185" t="n">
        <v>6</v>
      </c>
      <c r="H185" s="39">
        <f>IF(H183="","",H183)</f>
        <v/>
      </c>
      <c r="I185" s="7">
        <f>IF(H183="","",H183)</f>
        <v/>
      </c>
      <c r="J185" s="7" t="n">
        <v>6</v>
      </c>
      <c r="K185" s="7" t="n"/>
      <c r="L185" s="40" t="n"/>
      <c r="M185">
        <f>IF(AND(L185&lt;&gt;"",N(I185)&gt;0,N(J185)&gt;0),IF(J185=1,I185,ROUND(I185*(1+J185/30),1)),"")</f>
        <v/>
      </c>
      <c r="N185" s="41">
        <f>IF(M185="","",IF(M185&gt;=PRs!C19,"PR!",""))</f>
        <v/>
      </c>
      <c r="O185" s="7" t="n"/>
    </row>
    <row r="186">
      <c r="C186" t="inlineStr">
        <is>
          <t xml:space="preserve">      Set 3</t>
        </is>
      </c>
      <c r="E186" t="n">
        <v>6</v>
      </c>
      <c r="H186" s="39">
        <f>IF(H183="","",H183)</f>
        <v/>
      </c>
      <c r="I186" s="7">
        <f>IF(H183="","",H183)</f>
        <v/>
      </c>
      <c r="J186" s="7" t="n">
        <v>6</v>
      </c>
      <c r="K186" s="7" t="n"/>
      <c r="L186" s="40" t="n"/>
      <c r="M186">
        <f>IF(AND(L186&lt;&gt;"",N(I186)&gt;0,N(J186)&gt;0),IF(J186=1,I186,ROUND(I186*(1+J186/30),1)),"")</f>
        <v/>
      </c>
      <c r="N186" s="41">
        <f>IF(M186="","",IF(M186&gt;=PRs!C19,"PR!",""))</f>
        <v/>
      </c>
      <c r="O186" s="7" t="n"/>
    </row>
    <row r="187">
      <c r="A187" s="34" t="n"/>
      <c r="B187" s="34" t="n"/>
      <c r="C187" s="42" t="inlineStr">
        <is>
          <t>Romanian Deadlift</t>
        </is>
      </c>
      <c r="D187" s="34" t="inlineStr">
        <is>
          <t>3 x 6</t>
        </is>
      </c>
      <c r="E187" s="34" t="n"/>
      <c r="F187" s="34" t="n">
        <v>67.5</v>
      </c>
      <c r="G187" s="36">
        <f>Maxes!F23</f>
        <v/>
      </c>
      <c r="H187" s="37">
        <f>IF(OR(G187="",F187=""),"",MROUND(G187*F187/100,'Start Here'!$B$7))</f>
        <v/>
      </c>
      <c r="I187" s="34" t="n"/>
      <c r="J187" s="34" t="n"/>
      <c r="K187" s="34" t="n"/>
      <c r="L187" s="34" t="n"/>
      <c r="M187" s="34" t="n"/>
      <c r="N187" s="34" t="n"/>
      <c r="O187" s="38" t="inlineStr"/>
    </row>
    <row r="188">
      <c r="C188" t="inlineStr">
        <is>
          <t xml:space="preserve">      Set 1</t>
        </is>
      </c>
      <c r="E188" t="n">
        <v>6</v>
      </c>
      <c r="H188" s="39">
        <f>IF(H187="","",H187)</f>
        <v/>
      </c>
      <c r="I188" s="7">
        <f>IF(H187="","",H187)</f>
        <v/>
      </c>
      <c r="J188" s="7" t="n">
        <v>6</v>
      </c>
      <c r="K188" s="7" t="n"/>
      <c r="L188" s="40" t="n"/>
      <c r="M188">
        <f>IF(AND(L188&lt;&gt;"",N(I188)&gt;0,N(J188)&gt;0),IF(J188=1,I188,ROUND(I188*(1+J188/30),1)),"")</f>
        <v/>
      </c>
      <c r="N188" s="41">
        <f>IF(M188="","",IF(M188&gt;=PRs!C23,"PR!",""))</f>
        <v/>
      </c>
      <c r="O188" s="7" t="n"/>
    </row>
    <row r="189">
      <c r="C189" t="inlineStr">
        <is>
          <t xml:space="preserve">      Set 2</t>
        </is>
      </c>
      <c r="E189" t="n">
        <v>6</v>
      </c>
      <c r="H189" s="39">
        <f>IF(H187="","",H187)</f>
        <v/>
      </c>
      <c r="I189" s="7">
        <f>IF(H187="","",H187)</f>
        <v/>
      </c>
      <c r="J189" s="7" t="n">
        <v>6</v>
      </c>
      <c r="K189" s="7" t="n"/>
      <c r="L189" s="40" t="n"/>
      <c r="M189">
        <f>IF(AND(L189&lt;&gt;"",N(I189)&gt;0,N(J189)&gt;0),IF(J189=1,I189,ROUND(I189*(1+J189/30),1)),"")</f>
        <v/>
      </c>
      <c r="N189" s="41">
        <f>IF(M189="","",IF(M189&gt;=PRs!C23,"PR!",""))</f>
        <v/>
      </c>
      <c r="O189" s="7" t="n"/>
    </row>
    <row r="190">
      <c r="C190" t="inlineStr">
        <is>
          <t xml:space="preserve">      Set 3</t>
        </is>
      </c>
      <c r="E190" t="n">
        <v>6</v>
      </c>
      <c r="H190" s="39">
        <f>IF(H187="","",H187)</f>
        <v/>
      </c>
      <c r="I190" s="7">
        <f>IF(H187="","",H187)</f>
        <v/>
      </c>
      <c r="J190" s="7" t="n">
        <v>6</v>
      </c>
      <c r="K190" s="7" t="n"/>
      <c r="L190" s="40" t="n"/>
      <c r="M190">
        <f>IF(AND(L190&lt;&gt;"",N(I190)&gt;0,N(J190)&gt;0),IF(J190=1,I190,ROUND(I190*(1+J190/30),1)),"")</f>
        <v/>
      </c>
      <c r="N190" s="41">
        <f>IF(M190="","",IF(M190&gt;=PRs!C23,"PR!",""))</f>
        <v/>
      </c>
      <c r="O190" s="7" t="n"/>
    </row>
    <row r="191">
      <c r="A191" s="34" t="n"/>
      <c r="B191" s="34" t="n"/>
      <c r="C191" s="43" t="inlineStr">
        <is>
          <t>Incline Dumbbell Press</t>
        </is>
      </c>
      <c r="D191" s="34" t="inlineStr">
        <is>
          <t>3 x 8-12</t>
        </is>
      </c>
      <c r="E191" s="34" t="n"/>
      <c r="F191" s="34" t="n"/>
      <c r="G191" s="36" t="n"/>
      <c r="H191" s="37" t="n"/>
      <c r="I191" s="34" t="n"/>
      <c r="J191" s="34" t="n"/>
      <c r="K191" s="34" t="n"/>
      <c r="L191" s="34" t="n"/>
      <c r="M191" s="34" t="n"/>
      <c r="N191" s="34" t="n"/>
      <c r="O191" s="38" t="inlineStr">
        <is>
          <t>Leave 1-2 reps in the tank; add weight when you hit the top of the range</t>
        </is>
      </c>
    </row>
    <row r="192">
      <c r="C192" t="inlineStr">
        <is>
          <t xml:space="preserve">      Set 1</t>
        </is>
      </c>
      <c r="E192" t="n">
        <v>8</v>
      </c>
      <c r="H192" s="39">
        <f>IF(H191="","",H191)</f>
        <v/>
      </c>
      <c r="I192" s="7">
        <f>IF(H191="","",H191)</f>
        <v/>
      </c>
      <c r="J192" s="7" t="n">
        <v>8</v>
      </c>
      <c r="K192" s="7" t="n"/>
      <c r="L192" s="40" t="n"/>
      <c r="M192">
        <f>IF(AND(L192&lt;&gt;"",N(I192)&gt;0,N(J192)&gt;0),IF(J192=1,I192,ROUND(I192*(1+J192/30),1)),"")</f>
        <v/>
      </c>
      <c r="N192" s="41">
        <f>IF(M192="","",IF(M192&gt;=PRs!C57,"PR!",""))</f>
        <v/>
      </c>
      <c r="O192" s="7" t="n"/>
    </row>
    <row r="193">
      <c r="C193" t="inlineStr">
        <is>
          <t xml:space="preserve">      Set 2</t>
        </is>
      </c>
      <c r="E193" t="n">
        <v>8</v>
      </c>
      <c r="H193" s="39">
        <f>IF(H191="","",H191)</f>
        <v/>
      </c>
      <c r="I193" s="7">
        <f>IF(H191="","",H191)</f>
        <v/>
      </c>
      <c r="J193" s="7" t="n">
        <v>8</v>
      </c>
      <c r="K193" s="7" t="n"/>
      <c r="L193" s="40" t="n"/>
      <c r="M193">
        <f>IF(AND(L193&lt;&gt;"",N(I193)&gt;0,N(J193)&gt;0),IF(J193=1,I193,ROUND(I193*(1+J193/30),1)),"")</f>
        <v/>
      </c>
      <c r="N193" s="41">
        <f>IF(M193="","",IF(M193&gt;=PRs!C57,"PR!",""))</f>
        <v/>
      </c>
      <c r="O193" s="7" t="n"/>
    </row>
    <row r="194">
      <c r="C194" t="inlineStr">
        <is>
          <t xml:space="preserve">      Set 3</t>
        </is>
      </c>
      <c r="E194" t="n">
        <v>8</v>
      </c>
      <c r="H194" s="39">
        <f>IF(H191="","",H191)</f>
        <v/>
      </c>
      <c r="I194" s="7">
        <f>IF(H191="","",H191)</f>
        <v/>
      </c>
      <c r="J194" s="7" t="n">
        <v>8</v>
      </c>
      <c r="K194" s="7" t="n"/>
      <c r="L194" s="40" t="n"/>
      <c r="M194">
        <f>IF(AND(L194&lt;&gt;"",N(I194)&gt;0,N(J194)&gt;0),IF(J194=1,I194,ROUND(I194*(1+J194/30),1)),"")</f>
        <v/>
      </c>
      <c r="N194" s="41">
        <f>IF(M194="","",IF(M194&gt;=PRs!C57,"PR!",""))</f>
        <v/>
      </c>
      <c r="O194" s="7" t="n"/>
    </row>
    <row r="195">
      <c r="A195" s="34" t="n"/>
      <c r="B195" s="34" t="n"/>
      <c r="C195" s="43" t="inlineStr">
        <is>
          <t>Triceps Pushdown</t>
        </is>
      </c>
      <c r="D195" s="34" t="inlineStr">
        <is>
          <t>3 x 10-15</t>
        </is>
      </c>
      <c r="E195" s="34" t="n"/>
      <c r="F195" s="34" t="n"/>
      <c r="G195" s="36" t="n"/>
      <c r="H195" s="37" t="n"/>
      <c r="I195" s="34" t="n"/>
      <c r="J195" s="34" t="n"/>
      <c r="K195" s="34" t="n"/>
      <c r="L195" s="34" t="n"/>
      <c r="M195" s="34" t="n"/>
      <c r="N195" s="34" t="n"/>
      <c r="O195" s="38" t="inlineStr">
        <is>
          <t>Leave 1-2 reps in the tank; add weight when you hit the top of the range</t>
        </is>
      </c>
    </row>
    <row r="196">
      <c r="C196" t="inlineStr">
        <is>
          <t xml:space="preserve">      Set 1</t>
        </is>
      </c>
      <c r="E196" t="n">
        <v>10</v>
      </c>
      <c r="H196" s="39">
        <f>IF(H195="","",H195)</f>
        <v/>
      </c>
      <c r="I196" s="7">
        <f>IF(H195="","",H195)</f>
        <v/>
      </c>
      <c r="J196" s="7" t="n">
        <v>10</v>
      </c>
      <c r="K196" s="7" t="n"/>
      <c r="L196" s="40" t="n"/>
      <c r="M196">
        <f>IF(AND(L196&lt;&gt;"",N(I196)&gt;0,N(J196)&gt;0),IF(J196=1,I196,ROUND(I196*(1+J196/30),1)),"")</f>
        <v/>
      </c>
      <c r="N196" s="41">
        <f>IF(M196="","",IF(M196&gt;=PRs!C59,"PR!",""))</f>
        <v/>
      </c>
      <c r="O196" s="7" t="n"/>
    </row>
    <row r="197">
      <c r="C197" t="inlineStr">
        <is>
          <t xml:space="preserve">      Set 2</t>
        </is>
      </c>
      <c r="E197" t="n">
        <v>10</v>
      </c>
      <c r="H197" s="39">
        <f>IF(H195="","",H195)</f>
        <v/>
      </c>
      <c r="I197" s="7">
        <f>IF(H195="","",H195)</f>
        <v/>
      </c>
      <c r="J197" s="7" t="n">
        <v>10</v>
      </c>
      <c r="K197" s="7" t="n"/>
      <c r="L197" s="40" t="n"/>
      <c r="M197">
        <f>IF(AND(L197&lt;&gt;"",N(I197)&gt;0,N(J197)&gt;0),IF(J197=1,I197,ROUND(I197*(1+J197/30),1)),"")</f>
        <v/>
      </c>
      <c r="N197" s="41">
        <f>IF(M197="","",IF(M197&gt;=PRs!C59,"PR!",""))</f>
        <v/>
      </c>
      <c r="O197" s="7" t="n"/>
    </row>
    <row r="198">
      <c r="C198" t="inlineStr">
        <is>
          <t xml:space="preserve">      Set 3</t>
        </is>
      </c>
      <c r="E198" t="n">
        <v>10</v>
      </c>
      <c r="H198" s="39">
        <f>IF(H195="","",H195)</f>
        <v/>
      </c>
      <c r="I198" s="7">
        <f>IF(H195="","",H195)</f>
        <v/>
      </c>
      <c r="J198" s="7" t="n">
        <v>10</v>
      </c>
      <c r="K198" s="7" t="n"/>
      <c r="L198" s="40" t="n"/>
      <c r="M198">
        <f>IF(AND(L198&lt;&gt;"",N(I198)&gt;0,N(J198)&gt;0),IF(J198=1,I198,ROUND(I198*(1+J198/30),1)),"")</f>
        <v/>
      </c>
      <c r="N198" s="41">
        <f>IF(M198="","",IF(M198&gt;=PRs!C59,"PR!",""))</f>
        <v/>
      </c>
      <c r="O198" s="7" t="n"/>
    </row>
    <row r="200">
      <c r="A200" s="51" t="inlineStr">
        <is>
          <t>WEEK 19 - CYCLE 2 - TRANSMUTATION</t>
        </is>
      </c>
      <c r="B200" s="52" t="n"/>
      <c r="C200" s="52" t="n"/>
      <c r="D200" s="52" t="n"/>
      <c r="E200" s="52" t="n"/>
      <c r="F200" s="52" t="n"/>
      <c r="G200" s="52" t="n"/>
      <c r="H200" s="53" t="inlineStr">
        <is>
          <t>Bodyweight:</t>
        </is>
      </c>
      <c r="I200" s="7" t="n"/>
      <c r="J200" s="52" t="n"/>
      <c r="K200" s="52" t="n"/>
      <c r="L200" s="52" t="n"/>
      <c r="M200" s="52" t="n"/>
      <c r="N200" s="52" t="n"/>
      <c r="O200" s="52" t="n"/>
    </row>
    <row r="201">
      <c r="A201" s="31" t="inlineStr">
        <is>
          <t>Day 1 - Heavy</t>
        </is>
      </c>
      <c r="B201" s="32">
        <f>'Start Here'!$B$8+126</f>
        <v/>
      </c>
      <c r="C201" s="33" t="n"/>
      <c r="D201" s="33" t="n"/>
      <c r="E201" s="33" t="n"/>
      <c r="F201" s="33" t="n"/>
      <c r="G201" s="33" t="n"/>
      <c r="H201" s="33" t="n"/>
      <c r="I201" s="33" t="n"/>
      <c r="J201" s="33" t="n"/>
      <c r="K201" s="33" t="n"/>
      <c r="L201" s="33" t="n"/>
      <c r="M201" s="33" t="n"/>
      <c r="N201" s="33" t="n"/>
      <c r="O201" s="33" t="n"/>
    </row>
    <row r="202">
      <c r="A202" s="34" t="n"/>
      <c r="B202" s="34" t="n"/>
      <c r="C202" s="35" t="inlineStr">
        <is>
          <t>Box Jump</t>
        </is>
      </c>
      <c r="D202" s="34" t="inlineStr">
        <is>
          <t>4 x 3</t>
        </is>
      </c>
      <c r="E202" s="34" t="n"/>
      <c r="F202" s="34" t="n"/>
      <c r="G202" s="36" t="n"/>
      <c r="H202" s="37">
        <f>IF(N(Maxes!F69)&gt;0,Maxes!F69,'Start Here'!$G$16)</f>
        <v/>
      </c>
      <c r="I202" s="34" t="n"/>
      <c r="J202" s="34" t="n"/>
      <c r="K202" s="34" t="n"/>
      <c r="L202" s="34" t="n"/>
      <c r="M202" s="34" t="n"/>
      <c r="N202" s="34" t="n"/>
      <c r="O202" s="38" t="inlineStr">
        <is>
          <t>Two-foot jump onto a box, land soft in a quarter squat, STEP down. Log the box height (floor to top of box).</t>
        </is>
      </c>
    </row>
    <row r="203">
      <c r="C203" t="inlineStr">
        <is>
          <t xml:space="preserve">      Set 1</t>
        </is>
      </c>
      <c r="E203" t="n">
        <v>3</v>
      </c>
      <c r="H203" s="39">
        <f>IF(H202="","",H202)</f>
        <v/>
      </c>
      <c r="I203" s="7">
        <f>IF(H202="","",H202)</f>
        <v/>
      </c>
      <c r="J203" s="7" t="n">
        <v>3</v>
      </c>
      <c r="K203" s="7" t="n"/>
      <c r="L203" s="40" t="n"/>
      <c r="N203" s="41">
        <f>IF(AND(L203&lt;&gt;"",N(I203)&gt;0),IF(I203&gt;=PRs!D69,"PR!",""),"")</f>
        <v/>
      </c>
      <c r="O203" s="7" t="n"/>
    </row>
    <row r="204">
      <c r="C204" t="inlineStr">
        <is>
          <t xml:space="preserve">      Set 2</t>
        </is>
      </c>
      <c r="E204" t="n">
        <v>3</v>
      </c>
      <c r="H204" s="39">
        <f>IF(H202="","",H202)</f>
        <v/>
      </c>
      <c r="I204" s="7">
        <f>IF(H202="","",H202)</f>
        <v/>
      </c>
      <c r="J204" s="7" t="n">
        <v>3</v>
      </c>
      <c r="K204" s="7" t="n"/>
      <c r="L204" s="40" t="n"/>
      <c r="N204" s="41">
        <f>IF(AND(L204&lt;&gt;"",N(I204)&gt;0),IF(I204&gt;=PRs!D69,"PR!",""),"")</f>
        <v/>
      </c>
      <c r="O204" s="7" t="n"/>
    </row>
    <row r="205">
      <c r="C205" t="inlineStr">
        <is>
          <t xml:space="preserve">      Set 3</t>
        </is>
      </c>
      <c r="E205" t="n">
        <v>3</v>
      </c>
      <c r="H205" s="39">
        <f>IF(H202="","",H202)</f>
        <v/>
      </c>
      <c r="I205" s="7">
        <f>IF(H202="","",H202)</f>
        <v/>
      </c>
      <c r="J205" s="7" t="n">
        <v>3</v>
      </c>
      <c r="K205" s="7" t="n"/>
      <c r="L205" s="40" t="n"/>
      <c r="N205" s="41">
        <f>IF(AND(L205&lt;&gt;"",N(I205)&gt;0),IF(I205&gt;=PRs!D69,"PR!",""),"")</f>
        <v/>
      </c>
      <c r="O205" s="7" t="n"/>
    </row>
    <row r="206">
      <c r="C206" t="inlineStr">
        <is>
          <t xml:space="preserve">      Set 4</t>
        </is>
      </c>
      <c r="E206" t="n">
        <v>3</v>
      </c>
      <c r="H206" s="39">
        <f>IF(H202="","",H202)</f>
        <v/>
      </c>
      <c r="I206" s="7">
        <f>IF(H202="","",H202)</f>
        <v/>
      </c>
      <c r="J206" s="7" t="n">
        <v>3</v>
      </c>
      <c r="K206" s="7" t="n"/>
      <c r="L206" s="40" t="n"/>
      <c r="N206" s="41">
        <f>IF(AND(L206&lt;&gt;"",N(I206)&gt;0),IF(I206&gt;=PRs!D69,"PR!",""),"")</f>
        <v/>
      </c>
      <c r="O206" s="7" t="n"/>
    </row>
    <row r="207">
      <c r="A207" s="34" t="n"/>
      <c r="B207" s="34" t="n"/>
      <c r="C207" s="42" t="inlineStr">
        <is>
          <t>Snatch</t>
        </is>
      </c>
      <c r="D207" s="34" t="inlineStr">
        <is>
          <t>5 x 2</t>
        </is>
      </c>
      <c r="E207" s="34" t="n"/>
      <c r="F207" s="34" t="n">
        <v>82.5</v>
      </c>
      <c r="G207" s="36">
        <f>Maxes!F6</f>
        <v/>
      </c>
      <c r="H207" s="37">
        <f>IF(OR(G207="",F207=""),"",MROUND(G207*F207/100,'Start Here'!$B$7))</f>
        <v/>
      </c>
      <c r="I207" s="34" t="n"/>
      <c r="J207" s="34" t="n"/>
      <c r="K207" s="34" t="n"/>
      <c r="L207" s="34" t="n"/>
      <c r="M207" s="34" t="n"/>
      <c r="N207" s="34" t="n"/>
      <c r="O207" s="38" t="inlineStr"/>
    </row>
    <row r="208">
      <c r="C208" t="inlineStr">
        <is>
          <t xml:space="preserve">      Set 1</t>
        </is>
      </c>
      <c r="E208" t="n">
        <v>2</v>
      </c>
      <c r="H208" s="39">
        <f>IF(H207="","",H207)</f>
        <v/>
      </c>
      <c r="I208" s="7">
        <f>IF(H207="","",H207)</f>
        <v/>
      </c>
      <c r="J208" s="7" t="n">
        <v>2</v>
      </c>
      <c r="K208" s="7" t="n"/>
      <c r="L208" s="40" t="n"/>
      <c r="M208">
        <f>IF(AND(L208&lt;&gt;"",N(I208)&gt;0,N(J208)&gt;0),IF(J208=1,I208,ROUND(I208*(1+J208/30),1)),"")</f>
        <v/>
      </c>
      <c r="N208" s="41">
        <f>IF(M208="","",IF(M208&gt;=PRs!C6,"PR!",""))</f>
        <v/>
      </c>
      <c r="O208" s="7" t="n"/>
    </row>
    <row r="209">
      <c r="C209" t="inlineStr">
        <is>
          <t xml:space="preserve">      Set 2</t>
        </is>
      </c>
      <c r="E209" t="n">
        <v>2</v>
      </c>
      <c r="H209" s="39">
        <f>IF(H207="","",H207)</f>
        <v/>
      </c>
      <c r="I209" s="7">
        <f>IF(H207="","",H207)</f>
        <v/>
      </c>
      <c r="J209" s="7" t="n">
        <v>2</v>
      </c>
      <c r="K209" s="7" t="n"/>
      <c r="L209" s="40" t="n"/>
      <c r="M209">
        <f>IF(AND(L209&lt;&gt;"",N(I209)&gt;0,N(J209)&gt;0),IF(J209=1,I209,ROUND(I209*(1+J209/30),1)),"")</f>
        <v/>
      </c>
      <c r="N209" s="41">
        <f>IF(M209="","",IF(M209&gt;=PRs!C6,"PR!",""))</f>
        <v/>
      </c>
      <c r="O209" s="7" t="n"/>
    </row>
    <row r="210">
      <c r="C210" t="inlineStr">
        <is>
          <t xml:space="preserve">      Set 3</t>
        </is>
      </c>
      <c r="E210" t="n">
        <v>2</v>
      </c>
      <c r="H210" s="39">
        <f>IF(H207="","",H207)</f>
        <v/>
      </c>
      <c r="I210" s="7">
        <f>IF(H207="","",H207)</f>
        <v/>
      </c>
      <c r="J210" s="7" t="n">
        <v>2</v>
      </c>
      <c r="K210" s="7" t="n"/>
      <c r="L210" s="40" t="n"/>
      <c r="M210">
        <f>IF(AND(L210&lt;&gt;"",N(I210)&gt;0,N(J210)&gt;0),IF(J210=1,I210,ROUND(I210*(1+J210/30),1)),"")</f>
        <v/>
      </c>
      <c r="N210" s="41">
        <f>IF(M210="","",IF(M210&gt;=PRs!C6,"PR!",""))</f>
        <v/>
      </c>
      <c r="O210" s="7" t="n"/>
    </row>
    <row r="211">
      <c r="C211" t="inlineStr">
        <is>
          <t xml:space="preserve">      Set 4</t>
        </is>
      </c>
      <c r="E211" t="n">
        <v>2</v>
      </c>
      <c r="H211" s="39">
        <f>IF(H207="","",H207)</f>
        <v/>
      </c>
      <c r="I211" s="7">
        <f>IF(H207="","",H207)</f>
        <v/>
      </c>
      <c r="J211" s="7" t="n">
        <v>2</v>
      </c>
      <c r="K211" s="7" t="n"/>
      <c r="L211" s="40" t="n"/>
      <c r="M211">
        <f>IF(AND(L211&lt;&gt;"",N(I211)&gt;0,N(J211)&gt;0),IF(J211=1,I211,ROUND(I211*(1+J211/30),1)),"")</f>
        <v/>
      </c>
      <c r="N211" s="41">
        <f>IF(M211="","",IF(M211&gt;=PRs!C6,"PR!",""))</f>
        <v/>
      </c>
      <c r="O211" s="7" t="n"/>
    </row>
    <row r="212">
      <c r="C212" t="inlineStr">
        <is>
          <t xml:space="preserve">      Set 5</t>
        </is>
      </c>
      <c r="E212" t="n">
        <v>2</v>
      </c>
      <c r="H212" s="39">
        <f>IF(H207="","",H207)</f>
        <v/>
      </c>
      <c r="I212" s="7">
        <f>IF(H207="","",H207)</f>
        <v/>
      </c>
      <c r="J212" s="7" t="n">
        <v>2</v>
      </c>
      <c r="K212" s="7" t="n"/>
      <c r="L212" s="40" t="n"/>
      <c r="M212">
        <f>IF(AND(L212&lt;&gt;"",N(I212)&gt;0,N(J212)&gt;0),IF(J212=1,I212,ROUND(I212*(1+J212/30),1)),"")</f>
        <v/>
      </c>
      <c r="N212" s="41">
        <f>IF(M212="","",IF(M212&gt;=PRs!C6,"PR!",""))</f>
        <v/>
      </c>
      <c r="O212" s="7" t="n"/>
    </row>
    <row r="213">
      <c r="A213" s="34" t="n"/>
      <c r="B213" s="34" t="n"/>
      <c r="C213" s="42" t="inlineStr">
        <is>
          <t>Squat</t>
        </is>
      </c>
      <c r="D213" s="34" t="inlineStr">
        <is>
          <t>4 x 4</t>
        </is>
      </c>
      <c r="E213" s="34" t="n"/>
      <c r="F213" s="34" t="n">
        <v>82.5</v>
      </c>
      <c r="G213" s="36">
        <f>Maxes!F2</f>
        <v/>
      </c>
      <c r="H213" s="37">
        <f>IF(OR(G213="",F213=""),"",MROUND(G213*F213/100,'Start Here'!$B$7))</f>
        <v/>
      </c>
      <c r="I213" s="34" t="n"/>
      <c r="J213" s="34" t="n"/>
      <c r="K213" s="34" t="n"/>
      <c r="L213" s="34" t="n"/>
      <c r="M213" s="34" t="n"/>
      <c r="N213" s="34" t="n"/>
      <c r="O213" s="38" t="inlineStr"/>
    </row>
    <row r="214">
      <c r="C214" t="inlineStr">
        <is>
          <t xml:space="preserve">      Set 1</t>
        </is>
      </c>
      <c r="E214" t="n">
        <v>4</v>
      </c>
      <c r="H214" s="39">
        <f>IF(H213="","",H213)</f>
        <v/>
      </c>
      <c r="I214" s="7">
        <f>IF(H213="","",H213)</f>
        <v/>
      </c>
      <c r="J214" s="7" t="n">
        <v>4</v>
      </c>
      <c r="K214" s="7" t="n"/>
      <c r="L214" s="40" t="n"/>
      <c r="M214">
        <f>IF(AND(L214&lt;&gt;"",N(I214)&gt;0,N(J214)&gt;0),IF(J214=1,I214,ROUND(I214*(1+J214/30),1)),"")</f>
        <v/>
      </c>
      <c r="N214" s="41">
        <f>IF(M214="","",IF(M214&gt;=PRs!C2,"PR!",""))</f>
        <v/>
      </c>
      <c r="O214" s="7" t="n"/>
    </row>
    <row r="215">
      <c r="C215" t="inlineStr">
        <is>
          <t xml:space="preserve">      Set 2</t>
        </is>
      </c>
      <c r="E215" t="n">
        <v>4</v>
      </c>
      <c r="H215" s="39">
        <f>IF(H213="","",H213)</f>
        <v/>
      </c>
      <c r="I215" s="7">
        <f>IF(H213="","",H213)</f>
        <v/>
      </c>
      <c r="J215" s="7" t="n">
        <v>4</v>
      </c>
      <c r="K215" s="7" t="n"/>
      <c r="L215" s="40" t="n"/>
      <c r="M215">
        <f>IF(AND(L215&lt;&gt;"",N(I215)&gt;0,N(J215)&gt;0),IF(J215=1,I215,ROUND(I215*(1+J215/30),1)),"")</f>
        <v/>
      </c>
      <c r="N215" s="41">
        <f>IF(M215="","",IF(M215&gt;=PRs!C2,"PR!",""))</f>
        <v/>
      </c>
      <c r="O215" s="7" t="n"/>
    </row>
    <row r="216">
      <c r="C216" t="inlineStr">
        <is>
          <t xml:space="preserve">      Set 3</t>
        </is>
      </c>
      <c r="E216" t="n">
        <v>4</v>
      </c>
      <c r="H216" s="39">
        <f>IF(H213="","",H213)</f>
        <v/>
      </c>
      <c r="I216" s="7">
        <f>IF(H213="","",H213)</f>
        <v/>
      </c>
      <c r="J216" s="7" t="n">
        <v>4</v>
      </c>
      <c r="K216" s="7" t="n"/>
      <c r="L216" s="40" t="n"/>
      <c r="M216">
        <f>IF(AND(L216&lt;&gt;"",N(I216)&gt;0,N(J216)&gt;0),IF(J216=1,I216,ROUND(I216*(1+J216/30),1)),"")</f>
        <v/>
      </c>
      <c r="N216" s="41">
        <f>IF(M216="","",IF(M216&gt;=PRs!C2,"PR!",""))</f>
        <v/>
      </c>
      <c r="O216" s="7" t="n"/>
    </row>
    <row r="217">
      <c r="C217" t="inlineStr">
        <is>
          <t xml:space="preserve">      Set 4</t>
        </is>
      </c>
      <c r="E217" t="n">
        <v>4</v>
      </c>
      <c r="H217" s="39">
        <f>IF(H213="","",H213)</f>
        <v/>
      </c>
      <c r="I217" s="7">
        <f>IF(H213="","",H213)</f>
        <v/>
      </c>
      <c r="J217" s="7" t="n">
        <v>4</v>
      </c>
      <c r="K217" s="7" t="n"/>
      <c r="L217" s="40" t="n"/>
      <c r="M217">
        <f>IF(AND(L217&lt;&gt;"",N(I217)&gt;0,N(J217)&gt;0),IF(J217=1,I217,ROUND(I217*(1+J217/30),1)),"")</f>
        <v/>
      </c>
      <c r="N217" s="41">
        <f>IF(M217="","",IF(M217&gt;=PRs!C2,"PR!",""))</f>
        <v/>
      </c>
      <c r="O217" s="7" t="n"/>
    </row>
    <row r="218">
      <c r="A218" s="34" t="n"/>
      <c r="B218" s="34" t="n"/>
      <c r="C218" s="42" t="inlineStr">
        <is>
          <t>Bench Press</t>
        </is>
      </c>
      <c r="D218" s="34" t="inlineStr">
        <is>
          <t>4 x 4</t>
        </is>
      </c>
      <c r="E218" s="34" t="n"/>
      <c r="F218" s="34" t="n">
        <v>82.5</v>
      </c>
      <c r="G218" s="36">
        <f>Maxes!F3</f>
        <v/>
      </c>
      <c r="H218" s="37">
        <f>IF(OR(G218="",F218=""),"",MROUND(G218*F218/100,'Start Here'!$B$7))</f>
        <v/>
      </c>
      <c r="I218" s="34" t="n"/>
      <c r="J218" s="34" t="n"/>
      <c r="K218" s="34" t="n"/>
      <c r="L218" s="34" t="n"/>
      <c r="M218" s="34" t="n"/>
      <c r="N218" s="34" t="n"/>
      <c r="O218" s="38" t="inlineStr"/>
    </row>
    <row r="219">
      <c r="C219" t="inlineStr">
        <is>
          <t xml:space="preserve">      Set 1</t>
        </is>
      </c>
      <c r="E219" t="n">
        <v>4</v>
      </c>
      <c r="H219" s="39">
        <f>IF(H218="","",H218)</f>
        <v/>
      </c>
      <c r="I219" s="7">
        <f>IF(H218="","",H218)</f>
        <v/>
      </c>
      <c r="J219" s="7" t="n">
        <v>4</v>
      </c>
      <c r="K219" s="7" t="n"/>
      <c r="L219" s="40" t="n"/>
      <c r="M219">
        <f>IF(AND(L219&lt;&gt;"",N(I219)&gt;0,N(J219)&gt;0),IF(J219=1,I219,ROUND(I219*(1+J219/30),1)),"")</f>
        <v/>
      </c>
      <c r="N219" s="41">
        <f>IF(M219="","",IF(M219&gt;=PRs!C3,"PR!",""))</f>
        <v/>
      </c>
      <c r="O219" s="7" t="n"/>
    </row>
    <row r="220">
      <c r="C220" t="inlineStr">
        <is>
          <t xml:space="preserve">      Set 2</t>
        </is>
      </c>
      <c r="E220" t="n">
        <v>4</v>
      </c>
      <c r="H220" s="39">
        <f>IF(H218="","",H218)</f>
        <v/>
      </c>
      <c r="I220" s="7">
        <f>IF(H218="","",H218)</f>
        <v/>
      </c>
      <c r="J220" s="7" t="n">
        <v>4</v>
      </c>
      <c r="K220" s="7" t="n"/>
      <c r="L220" s="40" t="n"/>
      <c r="M220">
        <f>IF(AND(L220&lt;&gt;"",N(I220)&gt;0,N(J220)&gt;0),IF(J220=1,I220,ROUND(I220*(1+J220/30),1)),"")</f>
        <v/>
      </c>
      <c r="N220" s="41">
        <f>IF(M220="","",IF(M220&gt;=PRs!C3,"PR!",""))</f>
        <v/>
      </c>
      <c r="O220" s="7" t="n"/>
    </row>
    <row r="221">
      <c r="C221" t="inlineStr">
        <is>
          <t xml:space="preserve">      Set 3</t>
        </is>
      </c>
      <c r="E221" t="n">
        <v>4</v>
      </c>
      <c r="H221" s="39">
        <f>IF(H218="","",H218)</f>
        <v/>
      </c>
      <c r="I221" s="7">
        <f>IF(H218="","",H218)</f>
        <v/>
      </c>
      <c r="J221" s="7" t="n">
        <v>4</v>
      </c>
      <c r="K221" s="7" t="n"/>
      <c r="L221" s="40" t="n"/>
      <c r="M221">
        <f>IF(AND(L221&lt;&gt;"",N(I221)&gt;0,N(J221)&gt;0),IF(J221=1,I221,ROUND(I221*(1+J221/30),1)),"")</f>
        <v/>
      </c>
      <c r="N221" s="41">
        <f>IF(M221="","",IF(M221&gt;=PRs!C3,"PR!",""))</f>
        <v/>
      </c>
      <c r="O221" s="7" t="n"/>
    </row>
    <row r="222">
      <c r="C222" t="inlineStr">
        <is>
          <t xml:space="preserve">      Set 4</t>
        </is>
      </c>
      <c r="E222" t="n">
        <v>4</v>
      </c>
      <c r="H222" s="39">
        <f>IF(H218="","",H218)</f>
        <v/>
      </c>
      <c r="I222" s="7">
        <f>IF(H218="","",H218)</f>
        <v/>
      </c>
      <c r="J222" s="7" t="n">
        <v>4</v>
      </c>
      <c r="K222" s="7" t="n"/>
      <c r="L222" s="40" t="n"/>
      <c r="M222">
        <f>IF(AND(L222&lt;&gt;"",N(I222)&gt;0,N(J222)&gt;0),IF(J222=1,I222,ROUND(I222*(1+J222/30),1)),"")</f>
        <v/>
      </c>
      <c r="N222" s="41">
        <f>IF(M222="","",IF(M222&gt;=PRs!C3,"PR!",""))</f>
        <v/>
      </c>
      <c r="O222" s="7" t="n"/>
    </row>
    <row r="223">
      <c r="A223" s="34" t="n"/>
      <c r="B223" s="34" t="n"/>
      <c r="C223" s="43" t="inlineStr">
        <is>
          <t>Barbell Row</t>
        </is>
      </c>
      <c r="D223" s="34" t="inlineStr">
        <is>
          <t>3 x 8-10</t>
        </is>
      </c>
      <c r="E223" s="34" t="n"/>
      <c r="F223" s="34" t="n"/>
      <c r="G223" s="36" t="n"/>
      <c r="H223" s="37" t="n"/>
      <c r="I223" s="34" t="n"/>
      <c r="J223" s="34" t="n"/>
      <c r="K223" s="34" t="n"/>
      <c r="L223" s="34" t="n"/>
      <c r="M223" s="34" t="n"/>
      <c r="N223" s="34" t="n"/>
      <c r="O223" s="38" t="inlineStr">
        <is>
          <t>Leave 1-2 reps in the tank; add weight when you hit the top of the range</t>
        </is>
      </c>
    </row>
    <row r="224">
      <c r="C224" t="inlineStr">
        <is>
          <t xml:space="preserve">      Set 1</t>
        </is>
      </c>
      <c r="E224" t="n">
        <v>8</v>
      </c>
      <c r="H224" s="39">
        <f>IF(H223="","",H223)</f>
        <v/>
      </c>
      <c r="I224" s="7">
        <f>IF(H223="","",H223)</f>
        <v/>
      </c>
      <c r="J224" s="7" t="n">
        <v>8</v>
      </c>
      <c r="K224" s="7" t="n"/>
      <c r="L224" s="40" t="n"/>
      <c r="M224">
        <f>IF(AND(L224&lt;&gt;"",N(I224)&gt;0,N(J224)&gt;0),IF(J224=1,I224,ROUND(I224*(1+J224/30),1)),"")</f>
        <v/>
      </c>
      <c r="N224" s="41">
        <f>IF(M224="","",IF(M224&gt;=PRs!C50,"PR!",""))</f>
        <v/>
      </c>
      <c r="O224" s="7" t="n"/>
    </row>
    <row r="225">
      <c r="C225" t="inlineStr">
        <is>
          <t xml:space="preserve">      Set 2</t>
        </is>
      </c>
      <c r="E225" t="n">
        <v>8</v>
      </c>
      <c r="H225" s="39">
        <f>IF(H223="","",H223)</f>
        <v/>
      </c>
      <c r="I225" s="7">
        <f>IF(H223="","",H223)</f>
        <v/>
      </c>
      <c r="J225" s="7" t="n">
        <v>8</v>
      </c>
      <c r="K225" s="7" t="n"/>
      <c r="L225" s="40" t="n"/>
      <c r="M225">
        <f>IF(AND(L225&lt;&gt;"",N(I225)&gt;0,N(J225)&gt;0),IF(J225=1,I225,ROUND(I225*(1+J225/30),1)),"")</f>
        <v/>
      </c>
      <c r="N225" s="41">
        <f>IF(M225="","",IF(M225&gt;=PRs!C50,"PR!",""))</f>
        <v/>
      </c>
      <c r="O225" s="7" t="n"/>
    </row>
    <row r="226">
      <c r="C226" t="inlineStr">
        <is>
          <t xml:space="preserve">      Set 3</t>
        </is>
      </c>
      <c r="E226" t="n">
        <v>8</v>
      </c>
      <c r="H226" s="39">
        <f>IF(H223="","",H223)</f>
        <v/>
      </c>
      <c r="I226" s="7">
        <f>IF(H223="","",H223)</f>
        <v/>
      </c>
      <c r="J226" s="7" t="n">
        <v>8</v>
      </c>
      <c r="K226" s="7" t="n"/>
      <c r="L226" s="40" t="n"/>
      <c r="M226">
        <f>IF(AND(L226&lt;&gt;"",N(I226)&gt;0,N(J226)&gt;0),IF(J226=1,I226,ROUND(I226*(1+J226/30),1)),"")</f>
        <v/>
      </c>
      <c r="N226" s="41">
        <f>IF(M226="","",IF(M226&gt;=PRs!C50,"PR!",""))</f>
        <v/>
      </c>
      <c r="O226" s="7" t="n"/>
    </row>
    <row r="227">
      <c r="A227" s="34" t="n"/>
      <c r="B227" s="34" t="n"/>
      <c r="C227" s="43" t="inlineStr">
        <is>
          <t>Face Pull</t>
        </is>
      </c>
      <c r="D227" s="34" t="inlineStr">
        <is>
          <t>3 x 12-15</t>
        </is>
      </c>
      <c r="E227" s="34" t="n"/>
      <c r="F227" s="34" t="n"/>
      <c r="G227" s="36" t="n"/>
      <c r="H227" s="37" t="n"/>
      <c r="I227" s="34" t="n"/>
      <c r="J227" s="34" t="n"/>
      <c r="K227" s="34" t="n"/>
      <c r="L227" s="34" t="n"/>
      <c r="M227" s="34" t="n"/>
      <c r="N227" s="34" t="n"/>
      <c r="O227" s="38" t="inlineStr">
        <is>
          <t>Leave 1-2 reps in the tank; add weight when you hit the top of the range</t>
        </is>
      </c>
    </row>
    <row r="228">
      <c r="C228" t="inlineStr">
        <is>
          <t xml:space="preserve">      Set 1</t>
        </is>
      </c>
      <c r="E228" t="n">
        <v>12</v>
      </c>
      <c r="H228" s="39">
        <f>IF(H227="","",H227)</f>
        <v/>
      </c>
      <c r="I228" s="7">
        <f>IF(H227="","",H227)</f>
        <v/>
      </c>
      <c r="J228" s="7" t="n">
        <v>12</v>
      </c>
      <c r="K228" s="7" t="n"/>
      <c r="L228" s="40" t="n"/>
      <c r="M228">
        <f>IF(AND(L228&lt;&gt;"",N(I228)&gt;0,N(J228)&gt;0),IF(J228=1,I228,ROUND(I228*(1+J228/30),1)),"")</f>
        <v/>
      </c>
      <c r="N228" s="41">
        <f>IF(M228="","",IF(M228&gt;=PRs!C51,"PR!",""))</f>
        <v/>
      </c>
      <c r="O228" s="7" t="n"/>
    </row>
    <row r="229">
      <c r="C229" t="inlineStr">
        <is>
          <t xml:space="preserve">      Set 2</t>
        </is>
      </c>
      <c r="E229" t="n">
        <v>12</v>
      </c>
      <c r="H229" s="39">
        <f>IF(H227="","",H227)</f>
        <v/>
      </c>
      <c r="I229" s="7">
        <f>IF(H227="","",H227)</f>
        <v/>
      </c>
      <c r="J229" s="7" t="n">
        <v>12</v>
      </c>
      <c r="K229" s="7" t="n"/>
      <c r="L229" s="40" t="n"/>
      <c r="M229">
        <f>IF(AND(L229&lt;&gt;"",N(I229)&gt;0,N(J229)&gt;0),IF(J229=1,I229,ROUND(I229*(1+J229/30),1)),"")</f>
        <v/>
      </c>
      <c r="N229" s="41">
        <f>IF(M229="","",IF(M229&gt;=PRs!C51,"PR!",""))</f>
        <v/>
      </c>
      <c r="O229" s="7" t="n"/>
    </row>
    <row r="230">
      <c r="C230" t="inlineStr">
        <is>
          <t xml:space="preserve">      Set 3</t>
        </is>
      </c>
      <c r="E230" t="n">
        <v>12</v>
      </c>
      <c r="H230" s="39">
        <f>IF(H227="","",H227)</f>
        <v/>
      </c>
      <c r="I230" s="7">
        <f>IF(H227="","",H227)</f>
        <v/>
      </c>
      <c r="J230" s="7" t="n">
        <v>12</v>
      </c>
      <c r="K230" s="7" t="n"/>
      <c r="L230" s="40" t="n"/>
      <c r="M230">
        <f>IF(AND(L230&lt;&gt;"",N(I230)&gt;0,N(J230)&gt;0),IF(J230=1,I230,ROUND(I230*(1+J230/30),1)),"")</f>
        <v/>
      </c>
      <c r="N230" s="41">
        <f>IF(M230="","",IF(M230&gt;=PRs!C51,"PR!",""))</f>
        <v/>
      </c>
      <c r="O230" s="7" t="n"/>
    </row>
    <row r="231">
      <c r="A231" s="31" t="inlineStr">
        <is>
          <t>Day 2 - Light</t>
        </is>
      </c>
      <c r="B231" s="32">
        <f>'Start Here'!$B$8+128</f>
        <v/>
      </c>
      <c r="C231" s="33" t="n"/>
      <c r="D231" s="33" t="n"/>
      <c r="E231" s="33" t="n"/>
      <c r="F231" s="33" t="n"/>
      <c r="G231" s="33" t="n"/>
      <c r="H231" s="33" t="n"/>
      <c r="I231" s="33" t="n"/>
      <c r="J231" s="33" t="n"/>
      <c r="K231" s="33" t="n"/>
      <c r="L231" s="33" t="n"/>
      <c r="M231" s="33" t="n"/>
      <c r="N231" s="33" t="n"/>
      <c r="O231" s="33" t="n"/>
    </row>
    <row r="232">
      <c r="A232" s="34" t="n"/>
      <c r="B232" s="34" t="n"/>
      <c r="C232" s="35" t="inlineStr">
        <is>
          <t>Broad Jump</t>
        </is>
      </c>
      <c r="D232" s="34" t="inlineStr">
        <is>
          <t>4 x 3</t>
        </is>
      </c>
      <c r="E232" s="34" t="n"/>
      <c r="F232" s="34" t="n"/>
      <c r="G232" s="36" t="n"/>
      <c r="H232" s="37">
        <f>IF(N(Maxes!F70)&gt;0,Maxes!F70,"")</f>
        <v/>
      </c>
      <c r="I232" s="34" t="n"/>
      <c r="J232" s="34" t="n"/>
      <c r="K232" s="34" t="n"/>
      <c r="L232" s="34" t="n"/>
      <c r="M232" s="34" t="n"/>
      <c r="N232" s="34" t="n"/>
      <c r="O232" s="38" t="inlineStr">
        <is>
          <t>Standing two-foot jump forward, stick the landing. Measure toe line to the back of the nearest heel.</t>
        </is>
      </c>
    </row>
    <row r="233">
      <c r="C233" t="inlineStr">
        <is>
          <t xml:space="preserve">      Set 1</t>
        </is>
      </c>
      <c r="E233" t="n">
        <v>3</v>
      </c>
      <c r="H233" s="39">
        <f>IF(H232="","",H232)</f>
        <v/>
      </c>
      <c r="I233" s="7">
        <f>IF(H232="","",H232)</f>
        <v/>
      </c>
      <c r="J233" s="7" t="n">
        <v>3</v>
      </c>
      <c r="K233" s="7" t="n"/>
      <c r="L233" s="40" t="n"/>
      <c r="N233" s="41">
        <f>IF(AND(L233&lt;&gt;"",N(I233)&gt;0),IF(I233&gt;=PRs!D70,"PR!",""),"")</f>
        <v/>
      </c>
      <c r="O233" s="7" t="n"/>
    </row>
    <row r="234">
      <c r="C234" t="inlineStr">
        <is>
          <t xml:space="preserve">      Set 2</t>
        </is>
      </c>
      <c r="E234" t="n">
        <v>3</v>
      </c>
      <c r="H234" s="39">
        <f>IF(H232="","",H232)</f>
        <v/>
      </c>
      <c r="I234" s="7">
        <f>IF(H232="","",H232)</f>
        <v/>
      </c>
      <c r="J234" s="7" t="n">
        <v>3</v>
      </c>
      <c r="K234" s="7" t="n"/>
      <c r="L234" s="40" t="n"/>
      <c r="N234" s="41">
        <f>IF(AND(L234&lt;&gt;"",N(I234)&gt;0),IF(I234&gt;=PRs!D70,"PR!",""),"")</f>
        <v/>
      </c>
      <c r="O234" s="7" t="n"/>
    </row>
    <row r="235">
      <c r="C235" t="inlineStr">
        <is>
          <t xml:space="preserve">      Set 3</t>
        </is>
      </c>
      <c r="E235" t="n">
        <v>3</v>
      </c>
      <c r="H235" s="39">
        <f>IF(H232="","",H232)</f>
        <v/>
      </c>
      <c r="I235" s="7">
        <f>IF(H232="","",H232)</f>
        <v/>
      </c>
      <c r="J235" s="7" t="n">
        <v>3</v>
      </c>
      <c r="K235" s="7" t="n"/>
      <c r="L235" s="40" t="n"/>
      <c r="N235" s="41">
        <f>IF(AND(L235&lt;&gt;"",N(I235)&gt;0),IF(I235&gt;=PRs!D70,"PR!",""),"")</f>
        <v/>
      </c>
      <c r="O235" s="7" t="n"/>
    </row>
    <row r="236">
      <c r="C236" t="inlineStr">
        <is>
          <t xml:space="preserve">      Set 4</t>
        </is>
      </c>
      <c r="E236" t="n">
        <v>3</v>
      </c>
      <c r="H236" s="39">
        <f>IF(H232="","",H232)</f>
        <v/>
      </c>
      <c r="I236" s="7">
        <f>IF(H232="","",H232)</f>
        <v/>
      </c>
      <c r="J236" s="7" t="n">
        <v>3</v>
      </c>
      <c r="K236" s="7" t="n"/>
      <c r="L236" s="40" t="n"/>
      <c r="N236" s="41">
        <f>IF(AND(L236&lt;&gt;"",N(I236)&gt;0),IF(I236&gt;=PRs!D70,"PR!",""),"")</f>
        <v/>
      </c>
      <c r="O236" s="7" t="n"/>
    </row>
    <row r="237">
      <c r="A237" s="34" t="n"/>
      <c r="B237" s="34" t="n"/>
      <c r="C237" s="35" t="inlineStr">
        <is>
          <t>Med Ball Chest Pass</t>
        </is>
      </c>
      <c r="D237" s="34" t="inlineStr">
        <is>
          <t>3 x 5</t>
        </is>
      </c>
      <c r="E237" s="34" t="n"/>
      <c r="F237" s="34" t="n"/>
      <c r="G237" s="36" t="n"/>
      <c r="H237" s="37">
        <f>IF(N(Maxes!F77)&gt;0,Maxes!F77,"")</f>
        <v/>
      </c>
      <c r="I237" s="34" t="n"/>
      <c r="J237" s="34" t="n"/>
      <c r="K237" s="34" t="n"/>
      <c r="L237" s="34" t="n"/>
      <c r="M237" s="34" t="n"/>
      <c r="N237" s="34" t="n"/>
      <c r="O237" s="38" t="inlineStr">
        <is>
          <t>Kneeling or standing chest pass for distance with a 6-10 lb / 3-5 kg ball. Log the distance.</t>
        </is>
      </c>
    </row>
    <row r="238">
      <c r="C238" t="inlineStr">
        <is>
          <t xml:space="preserve">      Set 1</t>
        </is>
      </c>
      <c r="E238" t="n">
        <v>5</v>
      </c>
      <c r="H238" s="39">
        <f>IF(H237="","",H237)</f>
        <v/>
      </c>
      <c r="I238" s="7">
        <f>IF(H237="","",H237)</f>
        <v/>
      </c>
      <c r="J238" s="7" t="n">
        <v>5</v>
      </c>
      <c r="K238" s="7" t="n"/>
      <c r="L238" s="40" t="n"/>
      <c r="N238" s="41">
        <f>IF(AND(L238&lt;&gt;"",N(I238)&gt;0),IF(I238&gt;=PRs!D77,"PR!",""),"")</f>
        <v/>
      </c>
      <c r="O238" s="7" t="n"/>
    </row>
    <row r="239">
      <c r="C239" t="inlineStr">
        <is>
          <t xml:space="preserve">      Set 2</t>
        </is>
      </c>
      <c r="E239" t="n">
        <v>5</v>
      </c>
      <c r="H239" s="39">
        <f>IF(H237="","",H237)</f>
        <v/>
      </c>
      <c r="I239" s="7">
        <f>IF(H237="","",H237)</f>
        <v/>
      </c>
      <c r="J239" s="7" t="n">
        <v>5</v>
      </c>
      <c r="K239" s="7" t="n"/>
      <c r="L239" s="40" t="n"/>
      <c r="N239" s="41">
        <f>IF(AND(L239&lt;&gt;"",N(I239)&gt;0),IF(I239&gt;=PRs!D77,"PR!",""),"")</f>
        <v/>
      </c>
      <c r="O239" s="7" t="n"/>
    </row>
    <row r="240">
      <c r="C240" t="inlineStr">
        <is>
          <t xml:space="preserve">      Set 3</t>
        </is>
      </c>
      <c r="E240" t="n">
        <v>5</v>
      </c>
      <c r="H240" s="39">
        <f>IF(H237="","",H237)</f>
        <v/>
      </c>
      <c r="I240" s="7">
        <f>IF(H237="","",H237)</f>
        <v/>
      </c>
      <c r="J240" s="7" t="n">
        <v>5</v>
      </c>
      <c r="K240" s="7" t="n"/>
      <c r="L240" s="40" t="n"/>
      <c r="N240" s="41">
        <f>IF(AND(L240&lt;&gt;"",N(I240)&gt;0),IF(I240&gt;=PRs!D77,"PR!",""),"")</f>
        <v/>
      </c>
      <c r="O240" s="7" t="n"/>
    </row>
    <row r="241">
      <c r="A241" s="34" t="n"/>
      <c r="B241" s="34" t="n"/>
      <c r="C241" s="42" t="inlineStr">
        <is>
          <t>Clean &amp; Jerk</t>
        </is>
      </c>
      <c r="D241" s="34" t="inlineStr">
        <is>
          <t>5 x 2</t>
        </is>
      </c>
      <c r="E241" s="34" t="n"/>
      <c r="F241" s="34" t="n">
        <v>82.5</v>
      </c>
      <c r="G241" s="36">
        <f>Maxes!F7</f>
        <v/>
      </c>
      <c r="H241" s="37">
        <f>IF(OR(G241="",F241=""),"",MROUND(G241*F241/100,'Start Here'!$B$7))</f>
        <v/>
      </c>
      <c r="I241" s="34" t="n"/>
      <c r="J241" s="34" t="n"/>
      <c r="K241" s="34" t="n"/>
      <c r="L241" s="34" t="n"/>
      <c r="M241" s="34" t="n"/>
      <c r="N241" s="34" t="n"/>
      <c r="O241" s="38" t="inlineStr"/>
    </row>
    <row r="242">
      <c r="C242" t="inlineStr">
        <is>
          <t xml:space="preserve">      Set 1</t>
        </is>
      </c>
      <c r="E242" t="n">
        <v>2</v>
      </c>
      <c r="H242" s="39">
        <f>IF(H241="","",H241)</f>
        <v/>
      </c>
      <c r="I242" s="7">
        <f>IF(H241="","",H241)</f>
        <v/>
      </c>
      <c r="J242" s="7" t="n">
        <v>2</v>
      </c>
      <c r="K242" s="7" t="n"/>
      <c r="L242" s="40" t="n"/>
      <c r="M242">
        <f>IF(AND(L242&lt;&gt;"",N(I242)&gt;0,N(J242)&gt;0),IF(J242=1,I242,ROUND(I242*(1+J242/30),1)),"")</f>
        <v/>
      </c>
      <c r="N242" s="41">
        <f>IF(M242="","",IF(M242&gt;=PRs!C7,"PR!",""))</f>
        <v/>
      </c>
      <c r="O242" s="7" t="n"/>
    </row>
    <row r="243">
      <c r="C243" t="inlineStr">
        <is>
          <t xml:space="preserve">      Set 2</t>
        </is>
      </c>
      <c r="E243" t="n">
        <v>2</v>
      </c>
      <c r="H243" s="39">
        <f>IF(H241="","",H241)</f>
        <v/>
      </c>
      <c r="I243" s="7">
        <f>IF(H241="","",H241)</f>
        <v/>
      </c>
      <c r="J243" s="7" t="n">
        <v>2</v>
      </c>
      <c r="K243" s="7" t="n"/>
      <c r="L243" s="40" t="n"/>
      <c r="M243">
        <f>IF(AND(L243&lt;&gt;"",N(I243)&gt;0,N(J243)&gt;0),IF(J243=1,I243,ROUND(I243*(1+J243/30),1)),"")</f>
        <v/>
      </c>
      <c r="N243" s="41">
        <f>IF(M243="","",IF(M243&gt;=PRs!C7,"PR!",""))</f>
        <v/>
      </c>
      <c r="O243" s="7" t="n"/>
    </row>
    <row r="244">
      <c r="C244" t="inlineStr">
        <is>
          <t xml:space="preserve">      Set 3</t>
        </is>
      </c>
      <c r="E244" t="n">
        <v>2</v>
      </c>
      <c r="H244" s="39">
        <f>IF(H241="","",H241)</f>
        <v/>
      </c>
      <c r="I244" s="7">
        <f>IF(H241="","",H241)</f>
        <v/>
      </c>
      <c r="J244" s="7" t="n">
        <v>2</v>
      </c>
      <c r="K244" s="7" t="n"/>
      <c r="L244" s="40" t="n"/>
      <c r="M244">
        <f>IF(AND(L244&lt;&gt;"",N(I244)&gt;0,N(J244)&gt;0),IF(J244=1,I244,ROUND(I244*(1+J244/30),1)),"")</f>
        <v/>
      </c>
      <c r="N244" s="41">
        <f>IF(M244="","",IF(M244&gt;=PRs!C7,"PR!",""))</f>
        <v/>
      </c>
      <c r="O244" s="7" t="n"/>
    </row>
    <row r="245">
      <c r="C245" t="inlineStr">
        <is>
          <t xml:space="preserve">      Set 4</t>
        </is>
      </c>
      <c r="E245" t="n">
        <v>2</v>
      </c>
      <c r="H245" s="39">
        <f>IF(H241="","",H241)</f>
        <v/>
      </c>
      <c r="I245" s="7">
        <f>IF(H241="","",H241)</f>
        <v/>
      </c>
      <c r="J245" s="7" t="n">
        <v>2</v>
      </c>
      <c r="K245" s="7" t="n"/>
      <c r="L245" s="40" t="n"/>
      <c r="M245">
        <f>IF(AND(L245&lt;&gt;"",N(I245)&gt;0,N(J245)&gt;0),IF(J245=1,I245,ROUND(I245*(1+J245/30),1)),"")</f>
        <v/>
      </c>
      <c r="N245" s="41">
        <f>IF(M245="","",IF(M245&gt;=PRs!C7,"PR!",""))</f>
        <v/>
      </c>
      <c r="O245" s="7" t="n"/>
    </row>
    <row r="246">
      <c r="C246" t="inlineStr">
        <is>
          <t xml:space="preserve">      Set 5</t>
        </is>
      </c>
      <c r="E246" t="n">
        <v>2</v>
      </c>
      <c r="H246" s="39">
        <f>IF(H241="","",H241)</f>
        <v/>
      </c>
      <c r="I246" s="7">
        <f>IF(H241="","",H241)</f>
        <v/>
      </c>
      <c r="J246" s="7" t="n">
        <v>2</v>
      </c>
      <c r="K246" s="7" t="n"/>
      <c r="L246" s="40" t="n"/>
      <c r="M246">
        <f>IF(AND(L246&lt;&gt;"",N(I246)&gt;0,N(J246)&gt;0),IF(J246=1,I246,ROUND(I246*(1+J246/30),1)),"")</f>
        <v/>
      </c>
      <c r="N246" s="41">
        <f>IF(M246="","",IF(M246&gt;=PRs!C7,"PR!",""))</f>
        <v/>
      </c>
      <c r="O246" s="7" t="n"/>
    </row>
    <row r="247">
      <c r="A247" s="34" t="n"/>
      <c r="B247" s="34" t="n"/>
      <c r="C247" s="42" t="inlineStr">
        <is>
          <t>Squat</t>
        </is>
      </c>
      <c r="D247" s="34" t="inlineStr">
        <is>
          <t>3 x 6</t>
        </is>
      </c>
      <c r="E247" s="34" t="n"/>
      <c r="F247" s="34" t="n">
        <v>70</v>
      </c>
      <c r="G247" s="36">
        <f>Maxes!F2</f>
        <v/>
      </c>
      <c r="H247" s="37">
        <f>IF(OR(G247="",F247=""),"",MROUND(G247*F247/100,'Start Here'!$B$7))</f>
        <v/>
      </c>
      <c r="I247" s="34" t="n"/>
      <c r="J247" s="34" t="n"/>
      <c r="K247" s="34" t="n"/>
      <c r="L247" s="34" t="n"/>
      <c r="M247" s="34" t="n"/>
      <c r="N247" s="34" t="n"/>
      <c r="O247" s="38" t="inlineStr"/>
    </row>
    <row r="248">
      <c r="C248" t="inlineStr">
        <is>
          <t xml:space="preserve">      Set 1</t>
        </is>
      </c>
      <c r="E248" t="n">
        <v>6</v>
      </c>
      <c r="H248" s="39">
        <f>IF(H247="","",H247)</f>
        <v/>
      </c>
      <c r="I248" s="7">
        <f>IF(H247="","",H247)</f>
        <v/>
      </c>
      <c r="J248" s="7" t="n">
        <v>6</v>
      </c>
      <c r="K248" s="7" t="n"/>
      <c r="L248" s="40" t="n"/>
      <c r="M248">
        <f>IF(AND(L248&lt;&gt;"",N(I248)&gt;0,N(J248)&gt;0),IF(J248=1,I248,ROUND(I248*(1+J248/30),1)),"")</f>
        <v/>
      </c>
      <c r="N248" s="41">
        <f>IF(M248="","",IF(M248&gt;=PRs!C2,"PR!",""))</f>
        <v/>
      </c>
      <c r="O248" s="7" t="n"/>
    </row>
    <row r="249">
      <c r="C249" t="inlineStr">
        <is>
          <t xml:space="preserve">      Set 2</t>
        </is>
      </c>
      <c r="E249" t="n">
        <v>6</v>
      </c>
      <c r="H249" s="39">
        <f>IF(H247="","",H247)</f>
        <v/>
      </c>
      <c r="I249" s="7">
        <f>IF(H247="","",H247)</f>
        <v/>
      </c>
      <c r="J249" s="7" t="n">
        <v>6</v>
      </c>
      <c r="K249" s="7" t="n"/>
      <c r="L249" s="40" t="n"/>
      <c r="M249">
        <f>IF(AND(L249&lt;&gt;"",N(I249)&gt;0,N(J249)&gt;0),IF(J249=1,I249,ROUND(I249*(1+J249/30),1)),"")</f>
        <v/>
      </c>
      <c r="N249" s="41">
        <f>IF(M249="","",IF(M249&gt;=PRs!C2,"PR!",""))</f>
        <v/>
      </c>
      <c r="O249" s="7" t="n"/>
    </row>
    <row r="250">
      <c r="C250" t="inlineStr">
        <is>
          <t xml:space="preserve">      Set 3</t>
        </is>
      </c>
      <c r="E250" t="n">
        <v>6</v>
      </c>
      <c r="H250" s="39">
        <f>IF(H247="","",H247)</f>
        <v/>
      </c>
      <c r="I250" s="7">
        <f>IF(H247="","",H247)</f>
        <v/>
      </c>
      <c r="J250" s="7" t="n">
        <v>6</v>
      </c>
      <c r="K250" s="7" t="n"/>
      <c r="L250" s="40" t="n"/>
      <c r="M250">
        <f>IF(AND(L250&lt;&gt;"",N(I250)&gt;0,N(J250)&gt;0),IF(J250=1,I250,ROUND(I250*(1+J250/30),1)),"")</f>
        <v/>
      </c>
      <c r="N250" s="41">
        <f>IF(M250="","",IF(M250&gt;=PRs!C2,"PR!",""))</f>
        <v/>
      </c>
      <c r="O250" s="7" t="n"/>
    </row>
    <row r="251">
      <c r="A251" s="34" t="n"/>
      <c r="B251" s="34" t="n"/>
      <c r="C251" s="42" t="inlineStr">
        <is>
          <t>Overhead Press</t>
        </is>
      </c>
      <c r="D251" s="34" t="inlineStr">
        <is>
          <t>3 x 6</t>
        </is>
      </c>
      <c r="E251" s="34" t="n"/>
      <c r="F251" s="34" t="n">
        <v>77.5</v>
      </c>
      <c r="G251" s="36">
        <f>Maxes!F5</f>
        <v/>
      </c>
      <c r="H251" s="37">
        <f>IF(OR(G251="",F251=""),"",MROUND(G251*F251/100,'Start Here'!$B$7))</f>
        <v/>
      </c>
      <c r="I251" s="34" t="n"/>
      <c r="J251" s="34" t="n"/>
      <c r="K251" s="34" t="n"/>
      <c r="L251" s="34" t="n"/>
      <c r="M251" s="34" t="n"/>
      <c r="N251" s="34" t="n"/>
      <c r="O251" s="38" t="inlineStr"/>
    </row>
    <row r="252">
      <c r="C252" t="inlineStr">
        <is>
          <t xml:space="preserve">      Set 1</t>
        </is>
      </c>
      <c r="E252" t="n">
        <v>6</v>
      </c>
      <c r="H252" s="39">
        <f>IF(H251="","",H251)</f>
        <v/>
      </c>
      <c r="I252" s="7">
        <f>IF(H251="","",H251)</f>
        <v/>
      </c>
      <c r="J252" s="7" t="n">
        <v>6</v>
      </c>
      <c r="K252" s="7" t="n"/>
      <c r="L252" s="40" t="n"/>
      <c r="M252">
        <f>IF(AND(L252&lt;&gt;"",N(I252)&gt;0,N(J252)&gt;0),IF(J252=1,I252,ROUND(I252*(1+J252/30),1)),"")</f>
        <v/>
      </c>
      <c r="N252" s="41">
        <f>IF(M252="","",IF(M252&gt;=PRs!C5,"PR!",""))</f>
        <v/>
      </c>
      <c r="O252" s="7" t="n"/>
    </row>
    <row r="253">
      <c r="C253" t="inlineStr">
        <is>
          <t xml:space="preserve">      Set 2</t>
        </is>
      </c>
      <c r="E253" t="n">
        <v>6</v>
      </c>
      <c r="H253" s="39">
        <f>IF(H251="","",H251)</f>
        <v/>
      </c>
      <c r="I253" s="7">
        <f>IF(H251="","",H251)</f>
        <v/>
      </c>
      <c r="J253" s="7" t="n">
        <v>6</v>
      </c>
      <c r="K253" s="7" t="n"/>
      <c r="L253" s="40" t="n"/>
      <c r="M253">
        <f>IF(AND(L253&lt;&gt;"",N(I253)&gt;0,N(J253)&gt;0),IF(J253=1,I253,ROUND(I253*(1+J253/30),1)),"")</f>
        <v/>
      </c>
      <c r="N253" s="41">
        <f>IF(M253="","",IF(M253&gt;=PRs!C5,"PR!",""))</f>
        <v/>
      </c>
      <c r="O253" s="7" t="n"/>
    </row>
    <row r="254">
      <c r="C254" t="inlineStr">
        <is>
          <t xml:space="preserve">      Set 3</t>
        </is>
      </c>
      <c r="E254" t="n">
        <v>6</v>
      </c>
      <c r="H254" s="39">
        <f>IF(H251="","",H251)</f>
        <v/>
      </c>
      <c r="I254" s="7">
        <f>IF(H251="","",H251)</f>
        <v/>
      </c>
      <c r="J254" s="7" t="n">
        <v>6</v>
      </c>
      <c r="K254" s="7" t="n"/>
      <c r="L254" s="40" t="n"/>
      <c r="M254">
        <f>IF(AND(L254&lt;&gt;"",N(I254)&gt;0,N(J254)&gt;0),IF(J254=1,I254,ROUND(I254*(1+J254/30),1)),"")</f>
        <v/>
      </c>
      <c r="N254" s="41">
        <f>IF(M254="","",IF(M254&gt;=PRs!C5,"PR!",""))</f>
        <v/>
      </c>
      <c r="O254" s="7" t="n"/>
    </row>
    <row r="255">
      <c r="A255" s="34" t="n"/>
      <c r="B255" s="34" t="n"/>
      <c r="C255" s="42" t="inlineStr">
        <is>
          <t>Deadlift</t>
        </is>
      </c>
      <c r="D255" s="34" t="inlineStr">
        <is>
          <t>3 x 6</t>
        </is>
      </c>
      <c r="E255" s="34" t="n"/>
      <c r="F255" s="34" t="n">
        <v>77.5</v>
      </c>
      <c r="G255" s="36">
        <f>Maxes!F4</f>
        <v/>
      </c>
      <c r="H255" s="37">
        <f>IF(OR(G255="",F255=""),"",MROUND(G255*F255/100,'Start Here'!$B$7))</f>
        <v/>
      </c>
      <c r="I255" s="34" t="n"/>
      <c r="J255" s="34" t="n"/>
      <c r="K255" s="34" t="n"/>
      <c r="L255" s="34" t="n"/>
      <c r="M255" s="34" t="n"/>
      <c r="N255" s="34" t="n"/>
      <c r="O255" s="38" t="inlineStr"/>
    </row>
    <row r="256">
      <c r="C256" t="inlineStr">
        <is>
          <t xml:space="preserve">      Set 1</t>
        </is>
      </c>
      <c r="E256" t="n">
        <v>6</v>
      </c>
      <c r="H256" s="39">
        <f>IF(H255="","",H255)</f>
        <v/>
      </c>
      <c r="I256" s="7">
        <f>IF(H255="","",H255)</f>
        <v/>
      </c>
      <c r="J256" s="7" t="n">
        <v>6</v>
      </c>
      <c r="K256" s="7" t="n"/>
      <c r="L256" s="40" t="n"/>
      <c r="M256">
        <f>IF(AND(L256&lt;&gt;"",N(I256)&gt;0,N(J256)&gt;0),IF(J256=1,I256,ROUND(I256*(1+J256/30),1)),"")</f>
        <v/>
      </c>
      <c r="N256" s="41">
        <f>IF(M256="","",IF(M256&gt;=PRs!C4,"PR!",""))</f>
        <v/>
      </c>
      <c r="O256" s="7" t="n"/>
    </row>
    <row r="257">
      <c r="C257" t="inlineStr">
        <is>
          <t xml:space="preserve">      Set 2</t>
        </is>
      </c>
      <c r="E257" t="n">
        <v>6</v>
      </c>
      <c r="H257" s="39">
        <f>IF(H255="","",H255)</f>
        <v/>
      </c>
      <c r="I257" s="7">
        <f>IF(H255="","",H255)</f>
        <v/>
      </c>
      <c r="J257" s="7" t="n">
        <v>6</v>
      </c>
      <c r="K257" s="7" t="n"/>
      <c r="L257" s="40" t="n"/>
      <c r="M257">
        <f>IF(AND(L257&lt;&gt;"",N(I257)&gt;0,N(J257)&gt;0),IF(J257=1,I257,ROUND(I257*(1+J257/30),1)),"")</f>
        <v/>
      </c>
      <c r="N257" s="41">
        <f>IF(M257="","",IF(M257&gt;=PRs!C4,"PR!",""))</f>
        <v/>
      </c>
      <c r="O257" s="7" t="n"/>
    </row>
    <row r="258">
      <c r="C258" t="inlineStr">
        <is>
          <t xml:space="preserve">      Set 3</t>
        </is>
      </c>
      <c r="E258" t="n">
        <v>6</v>
      </c>
      <c r="H258" s="39">
        <f>IF(H255="","",H255)</f>
        <v/>
      </c>
      <c r="I258" s="7">
        <f>IF(H255="","",H255)</f>
        <v/>
      </c>
      <c r="J258" s="7" t="n">
        <v>6</v>
      </c>
      <c r="K258" s="7" t="n"/>
      <c r="L258" s="40" t="n"/>
      <c r="M258">
        <f>IF(AND(L258&lt;&gt;"",N(I258)&gt;0,N(J258)&gt;0),IF(J258=1,I258,ROUND(I258*(1+J258/30),1)),"")</f>
        <v/>
      </c>
      <c r="N258" s="41">
        <f>IF(M258="","",IF(M258&gt;=PRs!C4,"PR!",""))</f>
        <v/>
      </c>
      <c r="O258" s="7" t="n"/>
    </row>
    <row r="259">
      <c r="A259" s="34" t="n"/>
      <c r="B259" s="34" t="n"/>
      <c r="C259" s="43" t="inlineStr">
        <is>
          <t>Chin-up</t>
        </is>
      </c>
      <c r="D259" s="34" t="inlineStr">
        <is>
          <t>3 x 6-10</t>
        </is>
      </c>
      <c r="E259" s="34" t="n"/>
      <c r="F259" s="34" t="n"/>
      <c r="G259" s="36" t="n"/>
      <c r="H259" s="37" t="n"/>
      <c r="I259" s="34" t="n"/>
      <c r="J259" s="34" t="n"/>
      <c r="K259" s="34" t="n"/>
      <c r="L259" s="34" t="n"/>
      <c r="M259" s="34" t="n"/>
      <c r="N259" s="34" t="n"/>
      <c r="O259" s="38" t="inlineStr">
        <is>
          <t>Leave 1-2 reps in the tank; add weight when you hit the top of the range</t>
        </is>
      </c>
    </row>
    <row r="260">
      <c r="C260" t="inlineStr">
        <is>
          <t xml:space="preserve">      Set 1</t>
        </is>
      </c>
      <c r="E260" t="n">
        <v>6</v>
      </c>
      <c r="H260" s="39">
        <f>IF(H259="","",H259)</f>
        <v/>
      </c>
      <c r="I260" s="7">
        <f>IF(H259="","",H259)</f>
        <v/>
      </c>
      <c r="J260" s="7" t="n">
        <v>6</v>
      </c>
      <c r="K260" s="7" t="n"/>
      <c r="L260" s="40" t="n"/>
      <c r="M260">
        <f>IF(AND(L260&lt;&gt;"",N(I260)&gt;0,N(J260)&gt;0),IF(J260=1,I260,ROUND(I260*(1+J260/30),1)),"")</f>
        <v/>
      </c>
      <c r="N260" s="41">
        <f>IF(M260="","",IF(M260&gt;=PRs!C53,"PR!",""))</f>
        <v/>
      </c>
      <c r="O260" s="7" t="n"/>
    </row>
    <row r="261">
      <c r="C261" t="inlineStr">
        <is>
          <t xml:space="preserve">      Set 2</t>
        </is>
      </c>
      <c r="E261" t="n">
        <v>6</v>
      </c>
      <c r="H261" s="39">
        <f>IF(H259="","",H259)</f>
        <v/>
      </c>
      <c r="I261" s="7">
        <f>IF(H259="","",H259)</f>
        <v/>
      </c>
      <c r="J261" s="7" t="n">
        <v>6</v>
      </c>
      <c r="K261" s="7" t="n"/>
      <c r="L261" s="40" t="n"/>
      <c r="M261">
        <f>IF(AND(L261&lt;&gt;"",N(I261)&gt;0,N(J261)&gt;0),IF(J261=1,I261,ROUND(I261*(1+J261/30),1)),"")</f>
        <v/>
      </c>
      <c r="N261" s="41">
        <f>IF(M261="","",IF(M261&gt;=PRs!C53,"PR!",""))</f>
        <v/>
      </c>
      <c r="O261" s="7" t="n"/>
    </row>
    <row r="262">
      <c r="C262" t="inlineStr">
        <is>
          <t xml:space="preserve">      Set 3</t>
        </is>
      </c>
      <c r="E262" t="n">
        <v>6</v>
      </c>
      <c r="H262" s="39">
        <f>IF(H259="","",H259)</f>
        <v/>
      </c>
      <c r="I262" s="7">
        <f>IF(H259="","",H259)</f>
        <v/>
      </c>
      <c r="J262" s="7" t="n">
        <v>6</v>
      </c>
      <c r="K262" s="7" t="n"/>
      <c r="L262" s="40" t="n"/>
      <c r="M262">
        <f>IF(AND(L262&lt;&gt;"",N(I262)&gt;0,N(J262)&gt;0),IF(J262=1,I262,ROUND(I262*(1+J262/30),1)),"")</f>
        <v/>
      </c>
      <c r="N262" s="41">
        <f>IF(M262="","",IF(M262&gt;=PRs!C53,"PR!",""))</f>
        <v/>
      </c>
      <c r="O262" s="7" t="n"/>
    </row>
    <row r="263">
      <c r="A263" s="34" t="n"/>
      <c r="B263" s="34" t="n"/>
      <c r="C263" s="43" t="inlineStr">
        <is>
          <t>Plank</t>
        </is>
      </c>
      <c r="D263" s="34" t="inlineStr">
        <is>
          <t>3 x 30-60s</t>
        </is>
      </c>
      <c r="E263" s="34" t="n"/>
      <c r="F263" s="34" t="n"/>
      <c r="G263" s="36" t="n"/>
      <c r="H263" s="37" t="n"/>
      <c r="I263" s="34" t="n"/>
      <c r="J263" s="34" t="n"/>
      <c r="K263" s="34" t="n"/>
      <c r="L263" s="34" t="n"/>
      <c r="M263" s="34" t="n"/>
      <c r="N263" s="34" t="n"/>
      <c r="O263" s="38" t="inlineStr">
        <is>
          <t>Leave 1-2 reps in the tank; add weight when you hit the top of the range</t>
        </is>
      </c>
    </row>
    <row r="264">
      <c r="C264" t="inlineStr">
        <is>
          <t xml:space="preserve">      Set 1</t>
        </is>
      </c>
      <c r="E264" t="n">
        <v>30</v>
      </c>
      <c r="H264" s="39">
        <f>IF(H263="","",H263)</f>
        <v/>
      </c>
      <c r="I264" s="7">
        <f>IF(H263="","",H263)</f>
        <v/>
      </c>
      <c r="J264" s="7" t="n">
        <v>30</v>
      </c>
      <c r="K264" s="7" t="n"/>
      <c r="L264" s="40" t="n"/>
      <c r="M264">
        <f>IF(AND(L264&lt;&gt;"",N(I264)&gt;0,N(J264)&gt;0),IF(J264=1,I264,ROUND(I264*(1+J264/30),1)),"")</f>
        <v/>
      </c>
      <c r="N264" s="41">
        <f>IF(M264="","",IF(M264&gt;=PRs!C56,"PR!",""))</f>
        <v/>
      </c>
      <c r="O264" s="7" t="n"/>
    </row>
    <row r="265">
      <c r="C265" t="inlineStr">
        <is>
          <t xml:space="preserve">      Set 2</t>
        </is>
      </c>
      <c r="E265" t="n">
        <v>30</v>
      </c>
      <c r="H265" s="39">
        <f>IF(H263="","",H263)</f>
        <v/>
      </c>
      <c r="I265" s="7">
        <f>IF(H263="","",H263)</f>
        <v/>
      </c>
      <c r="J265" s="7" t="n">
        <v>30</v>
      </c>
      <c r="K265" s="7" t="n"/>
      <c r="L265" s="40" t="n"/>
      <c r="M265">
        <f>IF(AND(L265&lt;&gt;"",N(I265)&gt;0,N(J265)&gt;0),IF(J265=1,I265,ROUND(I265*(1+J265/30),1)),"")</f>
        <v/>
      </c>
      <c r="N265" s="41">
        <f>IF(M265="","",IF(M265&gt;=PRs!C56,"PR!",""))</f>
        <v/>
      </c>
      <c r="O265" s="7" t="n"/>
    </row>
    <row r="266">
      <c r="C266" t="inlineStr">
        <is>
          <t xml:space="preserve">      Set 3</t>
        </is>
      </c>
      <c r="E266" t="n">
        <v>30</v>
      </c>
      <c r="H266" s="39">
        <f>IF(H263="","",H263)</f>
        <v/>
      </c>
      <c r="I266" s="7">
        <f>IF(H263="","",H263)</f>
        <v/>
      </c>
      <c r="J266" s="7" t="n">
        <v>30</v>
      </c>
      <c r="K266" s="7" t="n"/>
      <c r="L266" s="40" t="n"/>
      <c r="M266">
        <f>IF(AND(L266&lt;&gt;"",N(I266)&gt;0,N(J266)&gt;0),IF(J266=1,I266,ROUND(I266*(1+J266/30),1)),"")</f>
        <v/>
      </c>
      <c r="N266" s="41">
        <f>IF(M266="","",IF(M266&gt;=PRs!C56,"PR!",""))</f>
        <v/>
      </c>
      <c r="O266" s="7" t="n"/>
    </row>
    <row r="267">
      <c r="A267" s="31" t="inlineStr">
        <is>
          <t>Day 3 - Variations</t>
        </is>
      </c>
      <c r="B267" s="32">
        <f>'Start Here'!$B$8+130</f>
        <v/>
      </c>
      <c r="C267" s="33" t="n"/>
      <c r="D267" s="33" t="n"/>
      <c r="E267" s="33" t="n"/>
      <c r="F267" s="33" t="n"/>
      <c r="G267" s="33" t="n"/>
      <c r="H267" s="33" t="n"/>
      <c r="I267" s="33" t="n"/>
      <c r="J267" s="33" t="n"/>
      <c r="K267" s="33" t="n"/>
      <c r="L267" s="33" t="n"/>
      <c r="M267" s="33" t="n"/>
      <c r="N267" s="33" t="n"/>
      <c r="O267" s="33" t="n"/>
    </row>
    <row r="268">
      <c r="A268" s="34" t="n"/>
      <c r="B268" s="34" t="n"/>
      <c r="C268" s="35" t="inlineStr">
        <is>
          <t>Plyo Push-up</t>
        </is>
      </c>
      <c r="D268" s="34" t="inlineStr">
        <is>
          <t>4 x 3</t>
        </is>
      </c>
      <c r="E268" s="34" t="n"/>
      <c r="F268" s="34" t="n"/>
      <c r="G268" s="36" t="n"/>
      <c r="H268" s="37">
        <f>IF(N(Maxes!F75)&gt;0,Maxes!F75,"")</f>
        <v/>
      </c>
      <c r="I268" s="34" t="n"/>
      <c r="J268" s="34" t="n"/>
      <c r="K268" s="34" t="n"/>
      <c r="L268" s="34" t="n"/>
      <c r="M268" s="34" t="n"/>
      <c r="N268" s="34" t="n"/>
      <c r="O268" s="38" t="inlineStr">
        <is>
          <t>Explosive push-up so the hands leave the floor. Log reps (distance/height = 1).</t>
        </is>
      </c>
    </row>
    <row r="269">
      <c r="C269" t="inlineStr">
        <is>
          <t xml:space="preserve">      Set 1</t>
        </is>
      </c>
      <c r="E269" t="n">
        <v>3</v>
      </c>
      <c r="H269" s="39">
        <f>IF(H268="","",H268)</f>
        <v/>
      </c>
      <c r="I269" s="7">
        <f>IF(H268="","",H268)</f>
        <v/>
      </c>
      <c r="J269" s="7" t="n">
        <v>3</v>
      </c>
      <c r="K269" s="7" t="n"/>
      <c r="L269" s="40" t="n"/>
      <c r="N269" s="41">
        <f>IF(AND(L269&lt;&gt;"",N(I269)&gt;0),IF(I269&gt;=PRs!D75,"PR!",""),"")</f>
        <v/>
      </c>
      <c r="O269" s="7" t="n"/>
    </row>
    <row r="270">
      <c r="C270" t="inlineStr">
        <is>
          <t xml:space="preserve">      Set 2</t>
        </is>
      </c>
      <c r="E270" t="n">
        <v>3</v>
      </c>
      <c r="H270" s="39">
        <f>IF(H268="","",H268)</f>
        <v/>
      </c>
      <c r="I270" s="7">
        <f>IF(H268="","",H268)</f>
        <v/>
      </c>
      <c r="J270" s="7" t="n">
        <v>3</v>
      </c>
      <c r="K270" s="7" t="n"/>
      <c r="L270" s="40" t="n"/>
      <c r="N270" s="41">
        <f>IF(AND(L270&lt;&gt;"",N(I270)&gt;0),IF(I270&gt;=PRs!D75,"PR!",""),"")</f>
        <v/>
      </c>
      <c r="O270" s="7" t="n"/>
    </row>
    <row r="271">
      <c r="C271" t="inlineStr">
        <is>
          <t xml:space="preserve">      Set 3</t>
        </is>
      </c>
      <c r="E271" t="n">
        <v>3</v>
      </c>
      <c r="H271" s="39">
        <f>IF(H268="","",H268)</f>
        <v/>
      </c>
      <c r="I271" s="7">
        <f>IF(H268="","",H268)</f>
        <v/>
      </c>
      <c r="J271" s="7" t="n">
        <v>3</v>
      </c>
      <c r="K271" s="7" t="n"/>
      <c r="L271" s="40" t="n"/>
      <c r="N271" s="41">
        <f>IF(AND(L271&lt;&gt;"",N(I271)&gt;0),IF(I271&gt;=PRs!D75,"PR!",""),"")</f>
        <v/>
      </c>
      <c r="O271" s="7" t="n"/>
    </row>
    <row r="272">
      <c r="C272" t="inlineStr">
        <is>
          <t xml:space="preserve">      Set 4</t>
        </is>
      </c>
      <c r="E272" t="n">
        <v>3</v>
      </c>
      <c r="H272" s="39">
        <f>IF(H268="","",H268)</f>
        <v/>
      </c>
      <c r="I272" s="7">
        <f>IF(H268="","",H268)</f>
        <v/>
      </c>
      <c r="J272" s="7" t="n">
        <v>3</v>
      </c>
      <c r="K272" s="7" t="n"/>
      <c r="L272" s="40" t="n"/>
      <c r="N272" s="41">
        <f>IF(AND(L272&lt;&gt;"",N(I272)&gt;0),IF(I272&gt;=PRs!D75,"PR!",""),"")</f>
        <v/>
      </c>
      <c r="O272" s="7" t="n"/>
    </row>
    <row r="273">
      <c r="A273" s="34" t="n"/>
      <c r="B273" s="34" t="n"/>
      <c r="C273" s="42" t="inlineStr">
        <is>
          <t>Snatch Balance</t>
        </is>
      </c>
      <c r="D273" s="34" t="inlineStr">
        <is>
          <t>4 x 3</t>
        </is>
      </c>
      <c r="E273" s="34" t="n"/>
      <c r="F273" s="34" t="n">
        <v>77.5</v>
      </c>
      <c r="G273" s="36">
        <f>Maxes!F38</f>
        <v/>
      </c>
      <c r="H273" s="37">
        <f>IF(OR(G273="",F273=""),"",MROUND(G273*F273/100,'Start Here'!$B$7))</f>
        <v/>
      </c>
      <c r="I273" s="34" t="n"/>
      <c r="J273" s="34" t="n"/>
      <c r="K273" s="34" t="n"/>
      <c r="L273" s="34" t="n"/>
      <c r="M273" s="34" t="n"/>
      <c r="N273" s="34" t="n"/>
      <c r="O273" s="38" t="inlineStr"/>
    </row>
    <row r="274">
      <c r="C274" t="inlineStr">
        <is>
          <t xml:space="preserve">      Set 1</t>
        </is>
      </c>
      <c r="E274" t="n">
        <v>3</v>
      </c>
      <c r="H274" s="39">
        <f>IF(H273="","",H273)</f>
        <v/>
      </c>
      <c r="I274" s="7">
        <f>IF(H273="","",H273)</f>
        <v/>
      </c>
      <c r="J274" s="7" t="n">
        <v>3</v>
      </c>
      <c r="K274" s="7" t="n"/>
      <c r="L274" s="40" t="n"/>
      <c r="M274">
        <f>IF(AND(L274&lt;&gt;"",N(I274)&gt;0,N(J274)&gt;0),IF(J274=1,I274,ROUND(I274*(1+J274/30),1)),"")</f>
        <v/>
      </c>
      <c r="N274" s="41">
        <f>IF(M274="","",IF(M274&gt;=PRs!C38,"PR!",""))</f>
        <v/>
      </c>
      <c r="O274" s="7" t="n"/>
    </row>
    <row r="275">
      <c r="C275" t="inlineStr">
        <is>
          <t xml:space="preserve">      Set 2</t>
        </is>
      </c>
      <c r="E275" t="n">
        <v>3</v>
      </c>
      <c r="H275" s="39">
        <f>IF(H273="","",H273)</f>
        <v/>
      </c>
      <c r="I275" s="7">
        <f>IF(H273="","",H273)</f>
        <v/>
      </c>
      <c r="J275" s="7" t="n">
        <v>3</v>
      </c>
      <c r="K275" s="7" t="n"/>
      <c r="L275" s="40" t="n"/>
      <c r="M275">
        <f>IF(AND(L275&lt;&gt;"",N(I275)&gt;0,N(J275)&gt;0),IF(J275=1,I275,ROUND(I275*(1+J275/30),1)),"")</f>
        <v/>
      </c>
      <c r="N275" s="41">
        <f>IF(M275="","",IF(M275&gt;=PRs!C38,"PR!",""))</f>
        <v/>
      </c>
      <c r="O275" s="7" t="n"/>
    </row>
    <row r="276">
      <c r="C276" t="inlineStr">
        <is>
          <t xml:space="preserve">      Set 3</t>
        </is>
      </c>
      <c r="E276" t="n">
        <v>3</v>
      </c>
      <c r="H276" s="39">
        <f>IF(H273="","",H273)</f>
        <v/>
      </c>
      <c r="I276" s="7">
        <f>IF(H273="","",H273)</f>
        <v/>
      </c>
      <c r="J276" s="7" t="n">
        <v>3</v>
      </c>
      <c r="K276" s="7" t="n"/>
      <c r="L276" s="40" t="n"/>
      <c r="M276">
        <f>IF(AND(L276&lt;&gt;"",N(I276)&gt;0,N(J276)&gt;0),IF(J276=1,I276,ROUND(I276*(1+J276/30),1)),"")</f>
        <v/>
      </c>
      <c r="N276" s="41">
        <f>IF(M276="","",IF(M276&gt;=PRs!C38,"PR!",""))</f>
        <v/>
      </c>
      <c r="O276" s="7" t="n"/>
    </row>
    <row r="277">
      <c r="C277" t="inlineStr">
        <is>
          <t xml:space="preserve">      Set 4</t>
        </is>
      </c>
      <c r="E277" t="n">
        <v>3</v>
      </c>
      <c r="H277" s="39">
        <f>IF(H273="","",H273)</f>
        <v/>
      </c>
      <c r="I277" s="7">
        <f>IF(H273="","",H273)</f>
        <v/>
      </c>
      <c r="J277" s="7" t="n">
        <v>3</v>
      </c>
      <c r="K277" s="7" t="n"/>
      <c r="L277" s="40" t="n"/>
      <c r="M277">
        <f>IF(AND(L277&lt;&gt;"",N(I277)&gt;0,N(J277)&gt;0),IF(J277=1,I277,ROUND(I277*(1+J277/30),1)),"")</f>
        <v/>
      </c>
      <c r="N277" s="41">
        <f>IF(M277="","",IF(M277&gt;=PRs!C38,"PR!",""))</f>
        <v/>
      </c>
      <c r="O277" s="7" t="n"/>
    </row>
    <row r="278">
      <c r="A278" s="34" t="n"/>
      <c r="B278" s="34" t="n"/>
      <c r="C278" s="42" t="inlineStr">
        <is>
          <t>Pin Squat</t>
        </is>
      </c>
      <c r="D278" s="34" t="inlineStr">
        <is>
          <t>3 x 6</t>
        </is>
      </c>
      <c r="E278" s="34" t="n"/>
      <c r="F278" s="34" t="n">
        <v>77.5</v>
      </c>
      <c r="G278" s="36">
        <f>Maxes!F12</f>
        <v/>
      </c>
      <c r="H278" s="37">
        <f>IF(OR(G278="",F278=""),"",MROUND(G278*F278/100,'Start Here'!$B$7))</f>
        <v/>
      </c>
      <c r="I278" s="34" t="n"/>
      <c r="J278" s="34" t="n"/>
      <c r="K278" s="34" t="n"/>
      <c r="L278" s="34" t="n"/>
      <c r="M278" s="34" t="n"/>
      <c r="N278" s="34" t="n"/>
      <c r="O278" s="38" t="inlineStr"/>
    </row>
    <row r="279">
      <c r="C279" t="inlineStr">
        <is>
          <t xml:space="preserve">      Set 1</t>
        </is>
      </c>
      <c r="E279" t="n">
        <v>6</v>
      </c>
      <c r="H279" s="39">
        <f>IF(H278="","",H278)</f>
        <v/>
      </c>
      <c r="I279" s="7">
        <f>IF(H278="","",H278)</f>
        <v/>
      </c>
      <c r="J279" s="7" t="n">
        <v>6</v>
      </c>
      <c r="K279" s="7" t="n"/>
      <c r="L279" s="40" t="n"/>
      <c r="M279">
        <f>IF(AND(L279&lt;&gt;"",N(I279)&gt;0,N(J279)&gt;0),IF(J279=1,I279,ROUND(I279*(1+J279/30),1)),"")</f>
        <v/>
      </c>
      <c r="N279" s="41">
        <f>IF(M279="","",IF(M279&gt;=PRs!C12,"PR!",""))</f>
        <v/>
      </c>
      <c r="O279" s="7" t="n"/>
    </row>
    <row r="280">
      <c r="C280" t="inlineStr">
        <is>
          <t xml:space="preserve">      Set 2</t>
        </is>
      </c>
      <c r="E280" t="n">
        <v>6</v>
      </c>
      <c r="H280" s="39">
        <f>IF(H278="","",H278)</f>
        <v/>
      </c>
      <c r="I280" s="7">
        <f>IF(H278="","",H278)</f>
        <v/>
      </c>
      <c r="J280" s="7" t="n">
        <v>6</v>
      </c>
      <c r="K280" s="7" t="n"/>
      <c r="L280" s="40" t="n"/>
      <c r="M280">
        <f>IF(AND(L280&lt;&gt;"",N(I280)&gt;0,N(J280)&gt;0),IF(J280=1,I280,ROUND(I280*(1+J280/30),1)),"")</f>
        <v/>
      </c>
      <c r="N280" s="41">
        <f>IF(M280="","",IF(M280&gt;=PRs!C12,"PR!",""))</f>
        <v/>
      </c>
      <c r="O280" s="7" t="n"/>
    </row>
    <row r="281">
      <c r="C281" t="inlineStr">
        <is>
          <t xml:space="preserve">      Set 3</t>
        </is>
      </c>
      <c r="E281" t="n">
        <v>6</v>
      </c>
      <c r="H281" s="39">
        <f>IF(H278="","",H278)</f>
        <v/>
      </c>
      <c r="I281" s="7">
        <f>IF(H278="","",H278)</f>
        <v/>
      </c>
      <c r="J281" s="7" t="n">
        <v>6</v>
      </c>
      <c r="K281" s="7" t="n"/>
      <c r="L281" s="40" t="n"/>
      <c r="M281">
        <f>IF(AND(L281&lt;&gt;"",N(I281)&gt;0,N(J281)&gt;0),IF(J281=1,I281,ROUND(I281*(1+J281/30),1)),"")</f>
        <v/>
      </c>
      <c r="N281" s="41">
        <f>IF(M281="","",IF(M281&gt;=PRs!C12,"PR!",""))</f>
        <v/>
      </c>
      <c r="O281" s="7" t="n"/>
    </row>
    <row r="282">
      <c r="A282" s="34" t="n"/>
      <c r="B282" s="34" t="n"/>
      <c r="C282" s="42" t="inlineStr">
        <is>
          <t>Floor Press</t>
        </is>
      </c>
      <c r="D282" s="34" t="inlineStr">
        <is>
          <t>3 x 6</t>
        </is>
      </c>
      <c r="E282" s="34" t="n"/>
      <c r="F282" s="34" t="n">
        <v>77.5</v>
      </c>
      <c r="G282" s="36">
        <f>Maxes!F19</f>
        <v/>
      </c>
      <c r="H282" s="37">
        <f>IF(OR(G282="",F282=""),"",MROUND(G282*F282/100,'Start Here'!$B$7))</f>
        <v/>
      </c>
      <c r="I282" s="34" t="n"/>
      <c r="J282" s="34" t="n"/>
      <c r="K282" s="34" t="n"/>
      <c r="L282" s="34" t="n"/>
      <c r="M282" s="34" t="n"/>
      <c r="N282" s="34" t="n"/>
      <c r="O282" s="38" t="inlineStr"/>
    </row>
    <row r="283">
      <c r="C283" t="inlineStr">
        <is>
          <t xml:space="preserve">      Set 1</t>
        </is>
      </c>
      <c r="E283" t="n">
        <v>6</v>
      </c>
      <c r="H283" s="39">
        <f>IF(H282="","",H282)</f>
        <v/>
      </c>
      <c r="I283" s="7">
        <f>IF(H282="","",H282)</f>
        <v/>
      </c>
      <c r="J283" s="7" t="n">
        <v>6</v>
      </c>
      <c r="K283" s="7" t="n"/>
      <c r="L283" s="40" t="n"/>
      <c r="M283">
        <f>IF(AND(L283&lt;&gt;"",N(I283)&gt;0,N(J283)&gt;0),IF(J283=1,I283,ROUND(I283*(1+J283/30),1)),"")</f>
        <v/>
      </c>
      <c r="N283" s="41">
        <f>IF(M283="","",IF(M283&gt;=PRs!C19,"PR!",""))</f>
        <v/>
      </c>
      <c r="O283" s="7" t="n"/>
    </row>
    <row r="284">
      <c r="C284" t="inlineStr">
        <is>
          <t xml:space="preserve">      Set 2</t>
        </is>
      </c>
      <c r="E284" t="n">
        <v>6</v>
      </c>
      <c r="H284" s="39">
        <f>IF(H282="","",H282)</f>
        <v/>
      </c>
      <c r="I284" s="7">
        <f>IF(H282="","",H282)</f>
        <v/>
      </c>
      <c r="J284" s="7" t="n">
        <v>6</v>
      </c>
      <c r="K284" s="7" t="n"/>
      <c r="L284" s="40" t="n"/>
      <c r="M284">
        <f>IF(AND(L284&lt;&gt;"",N(I284)&gt;0,N(J284)&gt;0),IF(J284=1,I284,ROUND(I284*(1+J284/30),1)),"")</f>
        <v/>
      </c>
      <c r="N284" s="41">
        <f>IF(M284="","",IF(M284&gt;=PRs!C19,"PR!",""))</f>
        <v/>
      </c>
      <c r="O284" s="7" t="n"/>
    </row>
    <row r="285">
      <c r="C285" t="inlineStr">
        <is>
          <t xml:space="preserve">      Set 3</t>
        </is>
      </c>
      <c r="E285" t="n">
        <v>6</v>
      </c>
      <c r="H285" s="39">
        <f>IF(H282="","",H282)</f>
        <v/>
      </c>
      <c r="I285" s="7">
        <f>IF(H282="","",H282)</f>
        <v/>
      </c>
      <c r="J285" s="7" t="n">
        <v>6</v>
      </c>
      <c r="K285" s="7" t="n"/>
      <c r="L285" s="40" t="n"/>
      <c r="M285">
        <f>IF(AND(L285&lt;&gt;"",N(I285)&gt;0,N(J285)&gt;0),IF(J285=1,I285,ROUND(I285*(1+J285/30),1)),"")</f>
        <v/>
      </c>
      <c r="N285" s="41">
        <f>IF(M285="","",IF(M285&gt;=PRs!C19,"PR!",""))</f>
        <v/>
      </c>
      <c r="O285" s="7" t="n"/>
    </row>
    <row r="286">
      <c r="A286" s="34" t="n"/>
      <c r="B286" s="34" t="n"/>
      <c r="C286" s="42" t="inlineStr">
        <is>
          <t>Romanian Deadlift</t>
        </is>
      </c>
      <c r="D286" s="34" t="inlineStr">
        <is>
          <t>3 x 6</t>
        </is>
      </c>
      <c r="E286" s="34" t="n"/>
      <c r="F286" s="34" t="n">
        <v>70</v>
      </c>
      <c r="G286" s="36">
        <f>Maxes!F23</f>
        <v/>
      </c>
      <c r="H286" s="37">
        <f>IF(OR(G286="",F286=""),"",MROUND(G286*F286/100,'Start Here'!$B$7))</f>
        <v/>
      </c>
      <c r="I286" s="34" t="n"/>
      <c r="J286" s="34" t="n"/>
      <c r="K286" s="34" t="n"/>
      <c r="L286" s="34" t="n"/>
      <c r="M286" s="34" t="n"/>
      <c r="N286" s="34" t="n"/>
      <c r="O286" s="38" t="inlineStr"/>
    </row>
    <row r="287">
      <c r="C287" t="inlineStr">
        <is>
          <t xml:space="preserve">      Set 1</t>
        </is>
      </c>
      <c r="E287" t="n">
        <v>6</v>
      </c>
      <c r="H287" s="39">
        <f>IF(H286="","",H286)</f>
        <v/>
      </c>
      <c r="I287" s="7">
        <f>IF(H286="","",H286)</f>
        <v/>
      </c>
      <c r="J287" s="7" t="n">
        <v>6</v>
      </c>
      <c r="K287" s="7" t="n"/>
      <c r="L287" s="40" t="n"/>
      <c r="M287">
        <f>IF(AND(L287&lt;&gt;"",N(I287)&gt;0,N(J287)&gt;0),IF(J287=1,I287,ROUND(I287*(1+J287/30),1)),"")</f>
        <v/>
      </c>
      <c r="N287" s="41">
        <f>IF(M287="","",IF(M287&gt;=PRs!C23,"PR!",""))</f>
        <v/>
      </c>
      <c r="O287" s="7" t="n"/>
    </row>
    <row r="288">
      <c r="C288" t="inlineStr">
        <is>
          <t xml:space="preserve">      Set 2</t>
        </is>
      </c>
      <c r="E288" t="n">
        <v>6</v>
      </c>
      <c r="H288" s="39">
        <f>IF(H286="","",H286)</f>
        <v/>
      </c>
      <c r="I288" s="7">
        <f>IF(H286="","",H286)</f>
        <v/>
      </c>
      <c r="J288" s="7" t="n">
        <v>6</v>
      </c>
      <c r="K288" s="7" t="n"/>
      <c r="L288" s="40" t="n"/>
      <c r="M288">
        <f>IF(AND(L288&lt;&gt;"",N(I288)&gt;0,N(J288)&gt;0),IF(J288=1,I288,ROUND(I288*(1+J288/30),1)),"")</f>
        <v/>
      </c>
      <c r="N288" s="41">
        <f>IF(M288="","",IF(M288&gt;=PRs!C23,"PR!",""))</f>
        <v/>
      </c>
      <c r="O288" s="7" t="n"/>
    </row>
    <row r="289">
      <c r="C289" t="inlineStr">
        <is>
          <t xml:space="preserve">      Set 3</t>
        </is>
      </c>
      <c r="E289" t="n">
        <v>6</v>
      </c>
      <c r="H289" s="39">
        <f>IF(H286="","",H286)</f>
        <v/>
      </c>
      <c r="I289" s="7">
        <f>IF(H286="","",H286)</f>
        <v/>
      </c>
      <c r="J289" s="7" t="n">
        <v>6</v>
      </c>
      <c r="K289" s="7" t="n"/>
      <c r="L289" s="40" t="n"/>
      <c r="M289">
        <f>IF(AND(L289&lt;&gt;"",N(I289)&gt;0,N(J289)&gt;0),IF(J289=1,I289,ROUND(I289*(1+J289/30),1)),"")</f>
        <v/>
      </c>
      <c r="N289" s="41">
        <f>IF(M289="","",IF(M289&gt;=PRs!C23,"PR!",""))</f>
        <v/>
      </c>
      <c r="O289" s="7" t="n"/>
    </row>
    <row r="290">
      <c r="A290" s="34" t="n"/>
      <c r="B290" s="34" t="n"/>
      <c r="C290" s="43" t="inlineStr">
        <is>
          <t>Incline Dumbbell Press</t>
        </is>
      </c>
      <c r="D290" s="34" t="inlineStr">
        <is>
          <t>3 x 8-12</t>
        </is>
      </c>
      <c r="E290" s="34" t="n"/>
      <c r="F290" s="34" t="n"/>
      <c r="G290" s="36" t="n"/>
      <c r="H290" s="37" t="n"/>
      <c r="I290" s="34" t="n"/>
      <c r="J290" s="34" t="n"/>
      <c r="K290" s="34" t="n"/>
      <c r="L290" s="34" t="n"/>
      <c r="M290" s="34" t="n"/>
      <c r="N290" s="34" t="n"/>
      <c r="O290" s="38" t="inlineStr">
        <is>
          <t>Leave 1-2 reps in the tank; add weight when you hit the top of the range</t>
        </is>
      </c>
    </row>
    <row r="291">
      <c r="C291" t="inlineStr">
        <is>
          <t xml:space="preserve">      Set 1</t>
        </is>
      </c>
      <c r="E291" t="n">
        <v>8</v>
      </c>
      <c r="H291" s="39">
        <f>IF(H290="","",H290)</f>
        <v/>
      </c>
      <c r="I291" s="7">
        <f>IF(H290="","",H290)</f>
        <v/>
      </c>
      <c r="J291" s="7" t="n">
        <v>8</v>
      </c>
      <c r="K291" s="7" t="n"/>
      <c r="L291" s="40" t="n"/>
      <c r="M291">
        <f>IF(AND(L291&lt;&gt;"",N(I291)&gt;0,N(J291)&gt;0),IF(J291=1,I291,ROUND(I291*(1+J291/30),1)),"")</f>
        <v/>
      </c>
      <c r="N291" s="41">
        <f>IF(M291="","",IF(M291&gt;=PRs!C57,"PR!",""))</f>
        <v/>
      </c>
      <c r="O291" s="7" t="n"/>
    </row>
    <row r="292">
      <c r="C292" t="inlineStr">
        <is>
          <t xml:space="preserve">      Set 2</t>
        </is>
      </c>
      <c r="E292" t="n">
        <v>8</v>
      </c>
      <c r="H292" s="39">
        <f>IF(H290="","",H290)</f>
        <v/>
      </c>
      <c r="I292" s="7">
        <f>IF(H290="","",H290)</f>
        <v/>
      </c>
      <c r="J292" s="7" t="n">
        <v>8</v>
      </c>
      <c r="K292" s="7" t="n"/>
      <c r="L292" s="40" t="n"/>
      <c r="M292">
        <f>IF(AND(L292&lt;&gt;"",N(I292)&gt;0,N(J292)&gt;0),IF(J292=1,I292,ROUND(I292*(1+J292/30),1)),"")</f>
        <v/>
      </c>
      <c r="N292" s="41">
        <f>IF(M292="","",IF(M292&gt;=PRs!C57,"PR!",""))</f>
        <v/>
      </c>
      <c r="O292" s="7" t="n"/>
    </row>
    <row r="293">
      <c r="C293" t="inlineStr">
        <is>
          <t xml:space="preserve">      Set 3</t>
        </is>
      </c>
      <c r="E293" t="n">
        <v>8</v>
      </c>
      <c r="H293" s="39">
        <f>IF(H290="","",H290)</f>
        <v/>
      </c>
      <c r="I293" s="7">
        <f>IF(H290="","",H290)</f>
        <v/>
      </c>
      <c r="J293" s="7" t="n">
        <v>8</v>
      </c>
      <c r="K293" s="7" t="n"/>
      <c r="L293" s="40" t="n"/>
      <c r="M293">
        <f>IF(AND(L293&lt;&gt;"",N(I293)&gt;0,N(J293)&gt;0),IF(J293=1,I293,ROUND(I293*(1+J293/30),1)),"")</f>
        <v/>
      </c>
      <c r="N293" s="41">
        <f>IF(M293="","",IF(M293&gt;=PRs!C57,"PR!",""))</f>
        <v/>
      </c>
      <c r="O293" s="7" t="n"/>
    </row>
    <row r="294">
      <c r="A294" s="34" t="n"/>
      <c r="B294" s="34" t="n"/>
      <c r="C294" s="43" t="inlineStr">
        <is>
          <t>Triceps Pushdown</t>
        </is>
      </c>
      <c r="D294" s="34" t="inlineStr">
        <is>
          <t>3 x 10-15</t>
        </is>
      </c>
      <c r="E294" s="34" t="n"/>
      <c r="F294" s="34" t="n"/>
      <c r="G294" s="36" t="n"/>
      <c r="H294" s="37" t="n"/>
      <c r="I294" s="34" t="n"/>
      <c r="J294" s="34" t="n"/>
      <c r="K294" s="34" t="n"/>
      <c r="L294" s="34" t="n"/>
      <c r="M294" s="34" t="n"/>
      <c r="N294" s="34" t="n"/>
      <c r="O294" s="38" t="inlineStr">
        <is>
          <t>Leave 1-2 reps in the tank; add weight when you hit the top of the range</t>
        </is>
      </c>
    </row>
    <row r="295">
      <c r="C295" t="inlineStr">
        <is>
          <t xml:space="preserve">      Set 1</t>
        </is>
      </c>
      <c r="E295" t="n">
        <v>10</v>
      </c>
      <c r="H295" s="39">
        <f>IF(H294="","",H294)</f>
        <v/>
      </c>
      <c r="I295" s="7">
        <f>IF(H294="","",H294)</f>
        <v/>
      </c>
      <c r="J295" s="7" t="n">
        <v>10</v>
      </c>
      <c r="K295" s="7" t="n"/>
      <c r="L295" s="40" t="n"/>
      <c r="M295">
        <f>IF(AND(L295&lt;&gt;"",N(I295)&gt;0,N(J295)&gt;0),IF(J295=1,I295,ROUND(I295*(1+J295/30),1)),"")</f>
        <v/>
      </c>
      <c r="N295" s="41">
        <f>IF(M295="","",IF(M295&gt;=PRs!C59,"PR!",""))</f>
        <v/>
      </c>
      <c r="O295" s="7" t="n"/>
    </row>
    <row r="296">
      <c r="C296" t="inlineStr">
        <is>
          <t xml:space="preserve">      Set 2</t>
        </is>
      </c>
      <c r="E296" t="n">
        <v>10</v>
      </c>
      <c r="H296" s="39">
        <f>IF(H294="","",H294)</f>
        <v/>
      </c>
      <c r="I296" s="7">
        <f>IF(H294="","",H294)</f>
        <v/>
      </c>
      <c r="J296" s="7" t="n">
        <v>10</v>
      </c>
      <c r="K296" s="7" t="n"/>
      <c r="L296" s="40" t="n"/>
      <c r="M296">
        <f>IF(AND(L296&lt;&gt;"",N(I296)&gt;0,N(J296)&gt;0),IF(J296=1,I296,ROUND(I296*(1+J296/30),1)),"")</f>
        <v/>
      </c>
      <c r="N296" s="41">
        <f>IF(M296="","",IF(M296&gt;=PRs!C59,"PR!",""))</f>
        <v/>
      </c>
      <c r="O296" s="7" t="n"/>
    </row>
    <row r="297">
      <c r="C297" t="inlineStr">
        <is>
          <t xml:space="preserve">      Set 3</t>
        </is>
      </c>
      <c r="E297" t="n">
        <v>10</v>
      </c>
      <c r="H297" s="39">
        <f>IF(H294="","",H294)</f>
        <v/>
      </c>
      <c r="I297" s="7">
        <f>IF(H294="","",H294)</f>
        <v/>
      </c>
      <c r="J297" s="7" t="n">
        <v>10</v>
      </c>
      <c r="K297" s="7" t="n"/>
      <c r="L297" s="40" t="n"/>
      <c r="M297">
        <f>IF(AND(L297&lt;&gt;"",N(I297)&gt;0,N(J297)&gt;0),IF(J297=1,I297,ROUND(I297*(1+J297/30),1)),"")</f>
        <v/>
      </c>
      <c r="N297" s="41">
        <f>IF(M297="","",IF(M297&gt;=PRs!C59,"PR!",""))</f>
        <v/>
      </c>
      <c r="O297" s="7" t="n"/>
    </row>
    <row r="299">
      <c r="A299" s="48" t="inlineStr">
        <is>
          <t>WEEK 20 - CYCLE 2 - DELOAD</t>
        </is>
      </c>
      <c r="B299" s="49" t="n"/>
      <c r="C299" s="49" t="n"/>
      <c r="D299" s="49" t="n"/>
      <c r="E299" s="49" t="n"/>
      <c r="F299" s="49" t="n"/>
      <c r="G299" s="49" t="n"/>
      <c r="H299" s="50" t="inlineStr">
        <is>
          <t>Bodyweight:</t>
        </is>
      </c>
      <c r="I299" s="7" t="n"/>
      <c r="J299" s="49" t="n"/>
      <c r="K299" s="49" t="n"/>
      <c r="L299" s="49" t="n"/>
      <c r="M299" s="49" t="n"/>
      <c r="N299" s="49" t="n"/>
      <c r="O299" s="49" t="n"/>
    </row>
    <row r="300">
      <c r="A300" s="31" t="inlineStr">
        <is>
          <t>Day 1 - Heavy</t>
        </is>
      </c>
      <c r="B300" s="32">
        <f>'Start Here'!$B$8+133</f>
        <v/>
      </c>
      <c r="C300" s="33" t="n"/>
      <c r="D300" s="33" t="n"/>
      <c r="E300" s="33" t="n"/>
      <c r="F300" s="33" t="n"/>
      <c r="G300" s="33" t="n"/>
      <c r="H300" s="33" t="n"/>
      <c r="I300" s="33" t="n"/>
      <c r="J300" s="33" t="n"/>
      <c r="K300" s="33" t="n"/>
      <c r="L300" s="33" t="n"/>
      <c r="M300" s="33" t="n"/>
      <c r="N300" s="33" t="n"/>
      <c r="O300" s="33" t="n"/>
    </row>
    <row r="301">
      <c r="A301" s="34" t="n"/>
      <c r="B301" s="34" t="n"/>
      <c r="C301" s="35" t="inlineStr">
        <is>
          <t>Box Jump</t>
        </is>
      </c>
      <c r="D301" s="34" t="inlineStr">
        <is>
          <t>2 x 3</t>
        </is>
      </c>
      <c r="E301" s="34" t="n"/>
      <c r="F301" s="34" t="n"/>
      <c r="G301" s="36" t="n"/>
      <c r="H301" s="37">
        <f>IF(N(Maxes!F69)&gt;0,Maxes!F69,'Start Here'!$G$16)</f>
        <v/>
      </c>
      <c r="I301" s="34" t="n"/>
      <c r="J301" s="34" t="n"/>
      <c r="K301" s="34" t="n"/>
      <c r="L301" s="34" t="n"/>
      <c r="M301" s="34" t="n"/>
      <c r="N301" s="34" t="n"/>
      <c r="O301" s="38" t="inlineStr">
        <is>
          <t>Two-foot jump onto a box, land soft in a quarter squat, STEP down. Log the box height (floor to top of box).</t>
        </is>
      </c>
    </row>
    <row r="302">
      <c r="C302" t="inlineStr">
        <is>
          <t xml:space="preserve">      Set 1</t>
        </is>
      </c>
      <c r="E302" t="n">
        <v>3</v>
      </c>
      <c r="H302" s="39">
        <f>IF(H301="","",H301)</f>
        <v/>
      </c>
      <c r="I302" s="7">
        <f>IF(H301="","",H301)</f>
        <v/>
      </c>
      <c r="J302" s="7" t="n">
        <v>3</v>
      </c>
      <c r="K302" s="7" t="n"/>
      <c r="L302" s="40" t="n"/>
      <c r="N302" s="41">
        <f>IF(AND(L302&lt;&gt;"",N(I302)&gt;0),IF(I302&gt;=PRs!D69,"PR!",""),"")</f>
        <v/>
      </c>
      <c r="O302" s="7" t="n"/>
    </row>
    <row r="303">
      <c r="C303" t="inlineStr">
        <is>
          <t xml:space="preserve">      Set 2</t>
        </is>
      </c>
      <c r="E303" t="n">
        <v>3</v>
      </c>
      <c r="H303" s="39">
        <f>IF(H301="","",H301)</f>
        <v/>
      </c>
      <c r="I303" s="7">
        <f>IF(H301="","",H301)</f>
        <v/>
      </c>
      <c r="J303" s="7" t="n">
        <v>3</v>
      </c>
      <c r="K303" s="7" t="n"/>
      <c r="L303" s="40" t="n"/>
      <c r="N303" s="41">
        <f>IF(AND(L303&lt;&gt;"",N(I303)&gt;0),IF(I303&gt;=PRs!D69,"PR!",""),"")</f>
        <v/>
      </c>
      <c r="O303" s="7" t="n"/>
    </row>
    <row r="304">
      <c r="A304" s="34" t="n"/>
      <c r="B304" s="34" t="n"/>
      <c r="C304" s="42" t="inlineStr">
        <is>
          <t>Snatch</t>
        </is>
      </c>
      <c r="D304" s="34" t="inlineStr">
        <is>
          <t>2 x 2</t>
        </is>
      </c>
      <c r="E304" s="34" t="n"/>
      <c r="F304" s="34" t="n">
        <v>65</v>
      </c>
      <c r="G304" s="36">
        <f>Maxes!F6</f>
        <v/>
      </c>
      <c r="H304" s="37">
        <f>IF(OR(G304="",F304=""),"",MROUND(G304*F304/100,'Start Here'!$B$7))</f>
        <v/>
      </c>
      <c r="I304" s="34" t="n"/>
      <c r="J304" s="34" t="n"/>
      <c r="K304" s="34" t="n"/>
      <c r="L304" s="34" t="n"/>
      <c r="M304" s="34" t="n"/>
      <c r="N304" s="34" t="n"/>
      <c r="O304" s="38" t="inlineStr">
        <is>
          <t>Easy week - move fast, recover</t>
        </is>
      </c>
    </row>
    <row r="305">
      <c r="C305" t="inlineStr">
        <is>
          <t xml:space="preserve">      Set 1</t>
        </is>
      </c>
      <c r="E305" t="n">
        <v>2</v>
      </c>
      <c r="H305" s="39">
        <f>IF(H304="","",H304)</f>
        <v/>
      </c>
      <c r="I305" s="7">
        <f>IF(H304="","",H304)</f>
        <v/>
      </c>
      <c r="J305" s="7" t="n">
        <v>2</v>
      </c>
      <c r="K305" s="7" t="n"/>
      <c r="L305" s="40" t="n"/>
      <c r="M305">
        <f>IF(AND(L305&lt;&gt;"",N(I305)&gt;0,N(J305)&gt;0),IF(J305=1,I305,ROUND(I305*(1+J305/30),1)),"")</f>
        <v/>
      </c>
      <c r="N305" s="41">
        <f>IF(M305="","",IF(M305&gt;=PRs!C6,"PR!",""))</f>
        <v/>
      </c>
      <c r="O305" s="7" t="n"/>
    </row>
    <row r="306">
      <c r="C306" t="inlineStr">
        <is>
          <t xml:space="preserve">      Set 2</t>
        </is>
      </c>
      <c r="E306" t="n">
        <v>2</v>
      </c>
      <c r="H306" s="39">
        <f>IF(H304="","",H304)</f>
        <v/>
      </c>
      <c r="I306" s="7">
        <f>IF(H304="","",H304)</f>
        <v/>
      </c>
      <c r="J306" s="7" t="n">
        <v>2</v>
      </c>
      <c r="K306" s="7" t="n"/>
      <c r="L306" s="40" t="n"/>
      <c r="M306">
        <f>IF(AND(L306&lt;&gt;"",N(I306)&gt;0,N(J306)&gt;0),IF(J306=1,I306,ROUND(I306*(1+J306/30),1)),"")</f>
        <v/>
      </c>
      <c r="N306" s="41">
        <f>IF(M306="","",IF(M306&gt;=PRs!C6,"PR!",""))</f>
        <v/>
      </c>
      <c r="O306" s="7" t="n"/>
    </row>
    <row r="307">
      <c r="A307" s="34" t="n"/>
      <c r="B307" s="34" t="n"/>
      <c r="C307" s="42" t="inlineStr">
        <is>
          <t>Squat</t>
        </is>
      </c>
      <c r="D307" s="34" t="inlineStr">
        <is>
          <t>2 x 5</t>
        </is>
      </c>
      <c r="E307" s="34" t="n"/>
      <c r="F307" s="34" t="n">
        <v>65</v>
      </c>
      <c r="G307" s="36">
        <f>Maxes!F2</f>
        <v/>
      </c>
      <c r="H307" s="37">
        <f>IF(OR(G307="",F307=""),"",MROUND(G307*F307/100,'Start Here'!$B$7))</f>
        <v/>
      </c>
      <c r="I307" s="34" t="n"/>
      <c r="J307" s="34" t="n"/>
      <c r="K307" s="34" t="n"/>
      <c r="L307" s="34" t="n"/>
      <c r="M307" s="34" t="n"/>
      <c r="N307" s="34" t="n"/>
      <c r="O307" s="38" t="inlineStr">
        <is>
          <t>Easy week - move fast, recover</t>
        </is>
      </c>
    </row>
    <row r="308">
      <c r="C308" t="inlineStr">
        <is>
          <t xml:space="preserve">      Set 1</t>
        </is>
      </c>
      <c r="E308" t="n">
        <v>5</v>
      </c>
      <c r="H308" s="39">
        <f>IF(H307="","",H307)</f>
        <v/>
      </c>
      <c r="I308" s="7">
        <f>IF(H307="","",H307)</f>
        <v/>
      </c>
      <c r="J308" s="7" t="n">
        <v>5</v>
      </c>
      <c r="K308" s="7" t="n"/>
      <c r="L308" s="40" t="n"/>
      <c r="M308">
        <f>IF(AND(L308&lt;&gt;"",N(I308)&gt;0,N(J308)&gt;0),IF(J308=1,I308,ROUND(I308*(1+J308/30),1)),"")</f>
        <v/>
      </c>
      <c r="N308" s="41">
        <f>IF(M308="","",IF(M308&gt;=PRs!C2,"PR!",""))</f>
        <v/>
      </c>
      <c r="O308" s="7" t="n"/>
    </row>
    <row r="309">
      <c r="C309" t="inlineStr">
        <is>
          <t xml:space="preserve">      Set 2</t>
        </is>
      </c>
      <c r="E309" t="n">
        <v>5</v>
      </c>
      <c r="H309" s="39">
        <f>IF(H307="","",H307)</f>
        <v/>
      </c>
      <c r="I309" s="7">
        <f>IF(H307="","",H307)</f>
        <v/>
      </c>
      <c r="J309" s="7" t="n">
        <v>5</v>
      </c>
      <c r="K309" s="7" t="n"/>
      <c r="L309" s="40" t="n"/>
      <c r="M309">
        <f>IF(AND(L309&lt;&gt;"",N(I309)&gt;0,N(J309)&gt;0),IF(J309=1,I309,ROUND(I309*(1+J309/30),1)),"")</f>
        <v/>
      </c>
      <c r="N309" s="41">
        <f>IF(M309="","",IF(M309&gt;=PRs!C2,"PR!",""))</f>
        <v/>
      </c>
      <c r="O309" s="7" t="n"/>
    </row>
    <row r="310">
      <c r="A310" s="34" t="n"/>
      <c r="B310" s="34" t="n"/>
      <c r="C310" s="42" t="inlineStr">
        <is>
          <t>Bench Press</t>
        </is>
      </c>
      <c r="D310" s="34" t="inlineStr">
        <is>
          <t>2 x 5</t>
        </is>
      </c>
      <c r="E310" s="34" t="n"/>
      <c r="F310" s="34" t="n">
        <v>65</v>
      </c>
      <c r="G310" s="36">
        <f>Maxes!F3</f>
        <v/>
      </c>
      <c r="H310" s="37">
        <f>IF(OR(G310="",F310=""),"",MROUND(G310*F310/100,'Start Here'!$B$7))</f>
        <v/>
      </c>
      <c r="I310" s="34" t="n"/>
      <c r="J310" s="34" t="n"/>
      <c r="K310" s="34" t="n"/>
      <c r="L310" s="34" t="n"/>
      <c r="M310" s="34" t="n"/>
      <c r="N310" s="34" t="n"/>
      <c r="O310" s="38" t="inlineStr">
        <is>
          <t>Easy week - move fast, recover</t>
        </is>
      </c>
    </row>
    <row r="311">
      <c r="C311" t="inlineStr">
        <is>
          <t xml:space="preserve">      Set 1</t>
        </is>
      </c>
      <c r="E311" t="n">
        <v>5</v>
      </c>
      <c r="H311" s="39">
        <f>IF(H310="","",H310)</f>
        <v/>
      </c>
      <c r="I311" s="7">
        <f>IF(H310="","",H310)</f>
        <v/>
      </c>
      <c r="J311" s="7" t="n">
        <v>5</v>
      </c>
      <c r="K311" s="7" t="n"/>
      <c r="L311" s="40" t="n"/>
      <c r="M311">
        <f>IF(AND(L311&lt;&gt;"",N(I311)&gt;0,N(J311)&gt;0),IF(J311=1,I311,ROUND(I311*(1+J311/30),1)),"")</f>
        <v/>
      </c>
      <c r="N311" s="41">
        <f>IF(M311="","",IF(M311&gt;=PRs!C3,"PR!",""))</f>
        <v/>
      </c>
      <c r="O311" s="7" t="n"/>
    </row>
    <row r="312">
      <c r="C312" t="inlineStr">
        <is>
          <t xml:space="preserve">      Set 2</t>
        </is>
      </c>
      <c r="E312" t="n">
        <v>5</v>
      </c>
      <c r="H312" s="39">
        <f>IF(H310="","",H310)</f>
        <v/>
      </c>
      <c r="I312" s="7">
        <f>IF(H310="","",H310)</f>
        <v/>
      </c>
      <c r="J312" s="7" t="n">
        <v>5</v>
      </c>
      <c r="K312" s="7" t="n"/>
      <c r="L312" s="40" t="n"/>
      <c r="M312">
        <f>IF(AND(L312&lt;&gt;"",N(I312)&gt;0,N(J312)&gt;0),IF(J312=1,I312,ROUND(I312*(1+J312/30),1)),"")</f>
        <v/>
      </c>
      <c r="N312" s="41">
        <f>IF(M312="","",IF(M312&gt;=PRs!C3,"PR!",""))</f>
        <v/>
      </c>
      <c r="O312" s="7" t="n"/>
    </row>
    <row r="313">
      <c r="A313" s="34" t="n"/>
      <c r="B313" s="34" t="n"/>
      <c r="C313" s="43" t="inlineStr">
        <is>
          <t>Barbell Row</t>
        </is>
      </c>
      <c r="D313" s="34" t="inlineStr">
        <is>
          <t>2 x 8-10</t>
        </is>
      </c>
      <c r="E313" s="34" t="n"/>
      <c r="F313" s="34" t="n"/>
      <c r="G313" s="36" t="n"/>
      <c r="H313" s="37" t="n"/>
      <c r="I313" s="34" t="n"/>
      <c r="J313" s="34" t="n"/>
      <c r="K313" s="34" t="n"/>
      <c r="L313" s="34" t="n"/>
      <c r="M313" s="34" t="n"/>
      <c r="N313" s="34" t="n"/>
      <c r="O313" s="38" t="inlineStr">
        <is>
          <t>Easy - stop well short of failure</t>
        </is>
      </c>
    </row>
    <row r="314">
      <c r="C314" t="inlineStr">
        <is>
          <t xml:space="preserve">      Set 1</t>
        </is>
      </c>
      <c r="E314" t="n">
        <v>8</v>
      </c>
      <c r="H314" s="39">
        <f>IF(H313="","",H313)</f>
        <v/>
      </c>
      <c r="I314" s="7">
        <f>IF(H313="","",H313)</f>
        <v/>
      </c>
      <c r="J314" s="7" t="n">
        <v>8</v>
      </c>
      <c r="K314" s="7" t="n"/>
      <c r="L314" s="40" t="n"/>
      <c r="M314">
        <f>IF(AND(L314&lt;&gt;"",N(I314)&gt;0,N(J314)&gt;0),IF(J314=1,I314,ROUND(I314*(1+J314/30),1)),"")</f>
        <v/>
      </c>
      <c r="N314" s="41">
        <f>IF(M314="","",IF(M314&gt;=PRs!C50,"PR!",""))</f>
        <v/>
      </c>
      <c r="O314" s="7" t="n"/>
    </row>
    <row r="315">
      <c r="C315" t="inlineStr">
        <is>
          <t xml:space="preserve">      Set 2</t>
        </is>
      </c>
      <c r="E315" t="n">
        <v>8</v>
      </c>
      <c r="H315" s="39">
        <f>IF(H313="","",H313)</f>
        <v/>
      </c>
      <c r="I315" s="7">
        <f>IF(H313="","",H313)</f>
        <v/>
      </c>
      <c r="J315" s="7" t="n">
        <v>8</v>
      </c>
      <c r="K315" s="7" t="n"/>
      <c r="L315" s="40" t="n"/>
      <c r="M315">
        <f>IF(AND(L315&lt;&gt;"",N(I315)&gt;0,N(J315)&gt;0),IF(J315=1,I315,ROUND(I315*(1+J315/30),1)),"")</f>
        <v/>
      </c>
      <c r="N315" s="41">
        <f>IF(M315="","",IF(M315&gt;=PRs!C50,"PR!",""))</f>
        <v/>
      </c>
      <c r="O315" s="7" t="n"/>
    </row>
    <row r="316">
      <c r="A316" s="34" t="n"/>
      <c r="B316" s="34" t="n"/>
      <c r="C316" s="43" t="inlineStr">
        <is>
          <t>Face Pull</t>
        </is>
      </c>
      <c r="D316" s="34" t="inlineStr">
        <is>
          <t>2 x 12-15</t>
        </is>
      </c>
      <c r="E316" s="34" t="n"/>
      <c r="F316" s="34" t="n"/>
      <c r="G316" s="36" t="n"/>
      <c r="H316" s="37" t="n"/>
      <c r="I316" s="34" t="n"/>
      <c r="J316" s="34" t="n"/>
      <c r="K316" s="34" t="n"/>
      <c r="L316" s="34" t="n"/>
      <c r="M316" s="34" t="n"/>
      <c r="N316" s="34" t="n"/>
      <c r="O316" s="38" t="inlineStr">
        <is>
          <t>Easy - stop well short of failure</t>
        </is>
      </c>
    </row>
    <row r="317">
      <c r="C317" t="inlineStr">
        <is>
          <t xml:space="preserve">      Set 1</t>
        </is>
      </c>
      <c r="E317" t="n">
        <v>12</v>
      </c>
      <c r="H317" s="39">
        <f>IF(H316="","",H316)</f>
        <v/>
      </c>
      <c r="I317" s="7">
        <f>IF(H316="","",H316)</f>
        <v/>
      </c>
      <c r="J317" s="7" t="n">
        <v>12</v>
      </c>
      <c r="K317" s="7" t="n"/>
      <c r="L317" s="40" t="n"/>
      <c r="M317">
        <f>IF(AND(L317&lt;&gt;"",N(I317)&gt;0,N(J317)&gt;0),IF(J317=1,I317,ROUND(I317*(1+J317/30),1)),"")</f>
        <v/>
      </c>
      <c r="N317" s="41">
        <f>IF(M317="","",IF(M317&gt;=PRs!C51,"PR!",""))</f>
        <v/>
      </c>
      <c r="O317" s="7" t="n"/>
    </row>
    <row r="318">
      <c r="C318" t="inlineStr">
        <is>
          <t xml:space="preserve">      Set 2</t>
        </is>
      </c>
      <c r="E318" t="n">
        <v>12</v>
      </c>
      <c r="H318" s="39">
        <f>IF(H316="","",H316)</f>
        <v/>
      </c>
      <c r="I318" s="7">
        <f>IF(H316="","",H316)</f>
        <v/>
      </c>
      <c r="J318" s="7" t="n">
        <v>12</v>
      </c>
      <c r="K318" s="7" t="n"/>
      <c r="L318" s="40" t="n"/>
      <c r="M318">
        <f>IF(AND(L318&lt;&gt;"",N(I318)&gt;0,N(J318)&gt;0),IF(J318=1,I318,ROUND(I318*(1+J318/30),1)),"")</f>
        <v/>
      </c>
      <c r="N318" s="41">
        <f>IF(M318="","",IF(M318&gt;=PRs!C51,"PR!",""))</f>
        <v/>
      </c>
      <c r="O318" s="7" t="n"/>
    </row>
    <row r="319">
      <c r="A319" s="31" t="inlineStr">
        <is>
          <t>Day 2 - Light</t>
        </is>
      </c>
      <c r="B319" s="32">
        <f>'Start Here'!$B$8+135</f>
        <v/>
      </c>
      <c r="C319" s="33" t="n"/>
      <c r="D319" s="33" t="n"/>
      <c r="E319" s="33" t="n"/>
      <c r="F319" s="33" t="n"/>
      <c r="G319" s="33" t="n"/>
      <c r="H319" s="33" t="n"/>
      <c r="I319" s="33" t="n"/>
      <c r="J319" s="33" t="n"/>
      <c r="K319" s="33" t="n"/>
      <c r="L319" s="33" t="n"/>
      <c r="M319" s="33" t="n"/>
      <c r="N319" s="33" t="n"/>
      <c r="O319" s="33" t="n"/>
    </row>
    <row r="320">
      <c r="A320" s="34" t="n"/>
      <c r="B320" s="34" t="n"/>
      <c r="C320" s="35" t="inlineStr">
        <is>
          <t>Broad Jump</t>
        </is>
      </c>
      <c r="D320" s="34" t="inlineStr">
        <is>
          <t>2 x 3</t>
        </is>
      </c>
      <c r="E320" s="34" t="n"/>
      <c r="F320" s="34" t="n"/>
      <c r="G320" s="36" t="n"/>
      <c r="H320" s="37">
        <f>IF(N(Maxes!F70)&gt;0,Maxes!F70,"")</f>
        <v/>
      </c>
      <c r="I320" s="34" t="n"/>
      <c r="J320" s="34" t="n"/>
      <c r="K320" s="34" t="n"/>
      <c r="L320" s="34" t="n"/>
      <c r="M320" s="34" t="n"/>
      <c r="N320" s="34" t="n"/>
      <c r="O320" s="38" t="inlineStr">
        <is>
          <t>Standing two-foot jump forward, stick the landing. Measure toe line to the back of the nearest heel.</t>
        </is>
      </c>
    </row>
    <row r="321">
      <c r="C321" t="inlineStr">
        <is>
          <t xml:space="preserve">      Set 1</t>
        </is>
      </c>
      <c r="E321" t="n">
        <v>3</v>
      </c>
      <c r="H321" s="39">
        <f>IF(H320="","",H320)</f>
        <v/>
      </c>
      <c r="I321" s="7">
        <f>IF(H320="","",H320)</f>
        <v/>
      </c>
      <c r="J321" s="7" t="n">
        <v>3</v>
      </c>
      <c r="K321" s="7" t="n"/>
      <c r="L321" s="40" t="n"/>
      <c r="N321" s="41">
        <f>IF(AND(L321&lt;&gt;"",N(I321)&gt;0),IF(I321&gt;=PRs!D70,"PR!",""),"")</f>
        <v/>
      </c>
      <c r="O321" s="7" t="n"/>
    </row>
    <row r="322">
      <c r="C322" t="inlineStr">
        <is>
          <t xml:space="preserve">      Set 2</t>
        </is>
      </c>
      <c r="E322" t="n">
        <v>3</v>
      </c>
      <c r="H322" s="39">
        <f>IF(H320="","",H320)</f>
        <v/>
      </c>
      <c r="I322" s="7">
        <f>IF(H320="","",H320)</f>
        <v/>
      </c>
      <c r="J322" s="7" t="n">
        <v>3</v>
      </c>
      <c r="K322" s="7" t="n"/>
      <c r="L322" s="40" t="n"/>
      <c r="N322" s="41">
        <f>IF(AND(L322&lt;&gt;"",N(I322)&gt;0),IF(I322&gt;=PRs!D70,"PR!",""),"")</f>
        <v/>
      </c>
      <c r="O322" s="7" t="n"/>
    </row>
    <row r="323">
      <c r="A323" s="34" t="n"/>
      <c r="B323" s="34" t="n"/>
      <c r="C323" s="35" t="inlineStr">
        <is>
          <t>Med Ball Chest Pass</t>
        </is>
      </c>
      <c r="D323" s="34" t="inlineStr">
        <is>
          <t>2 x 3</t>
        </is>
      </c>
      <c r="E323" s="34" t="n"/>
      <c r="F323" s="34" t="n"/>
      <c r="G323" s="36" t="n"/>
      <c r="H323" s="37">
        <f>IF(N(Maxes!F77)&gt;0,Maxes!F77,"")</f>
        <v/>
      </c>
      <c r="I323" s="34" t="n"/>
      <c r="J323" s="34" t="n"/>
      <c r="K323" s="34" t="n"/>
      <c r="L323" s="34" t="n"/>
      <c r="M323" s="34" t="n"/>
      <c r="N323" s="34" t="n"/>
      <c r="O323" s="38" t="inlineStr">
        <is>
          <t>Kneeling or standing chest pass for distance with a 6-10 lb / 3-5 kg ball. Log the distance.</t>
        </is>
      </c>
    </row>
    <row r="324">
      <c r="C324" t="inlineStr">
        <is>
          <t xml:space="preserve">      Set 1</t>
        </is>
      </c>
      <c r="E324" t="n">
        <v>3</v>
      </c>
      <c r="H324" s="39">
        <f>IF(H323="","",H323)</f>
        <v/>
      </c>
      <c r="I324" s="7">
        <f>IF(H323="","",H323)</f>
        <v/>
      </c>
      <c r="J324" s="7" t="n">
        <v>3</v>
      </c>
      <c r="K324" s="7" t="n"/>
      <c r="L324" s="40" t="n"/>
      <c r="N324" s="41">
        <f>IF(AND(L324&lt;&gt;"",N(I324)&gt;0),IF(I324&gt;=PRs!D77,"PR!",""),"")</f>
        <v/>
      </c>
      <c r="O324" s="7" t="n"/>
    </row>
    <row r="325">
      <c r="C325" t="inlineStr">
        <is>
          <t xml:space="preserve">      Set 2</t>
        </is>
      </c>
      <c r="E325" t="n">
        <v>3</v>
      </c>
      <c r="H325" s="39">
        <f>IF(H323="","",H323)</f>
        <v/>
      </c>
      <c r="I325" s="7">
        <f>IF(H323="","",H323)</f>
        <v/>
      </c>
      <c r="J325" s="7" t="n">
        <v>3</v>
      </c>
      <c r="K325" s="7" t="n"/>
      <c r="L325" s="40" t="n"/>
      <c r="N325" s="41">
        <f>IF(AND(L325&lt;&gt;"",N(I325)&gt;0),IF(I325&gt;=PRs!D77,"PR!",""),"")</f>
        <v/>
      </c>
      <c r="O325" s="7" t="n"/>
    </row>
    <row r="326">
      <c r="A326" s="34" t="n"/>
      <c r="B326" s="34" t="n"/>
      <c r="C326" s="42" t="inlineStr">
        <is>
          <t>Clean &amp; Jerk</t>
        </is>
      </c>
      <c r="D326" s="34" t="inlineStr">
        <is>
          <t>2 x 2</t>
        </is>
      </c>
      <c r="E326" s="34" t="n"/>
      <c r="F326" s="34" t="n">
        <v>65</v>
      </c>
      <c r="G326" s="36">
        <f>Maxes!F7</f>
        <v/>
      </c>
      <c r="H326" s="37">
        <f>IF(OR(G326="",F326=""),"",MROUND(G326*F326/100,'Start Here'!$B$7))</f>
        <v/>
      </c>
      <c r="I326" s="34" t="n"/>
      <c r="J326" s="34" t="n"/>
      <c r="K326" s="34" t="n"/>
      <c r="L326" s="34" t="n"/>
      <c r="M326" s="34" t="n"/>
      <c r="N326" s="34" t="n"/>
      <c r="O326" s="38" t="inlineStr">
        <is>
          <t>Easy week - move fast, recover</t>
        </is>
      </c>
    </row>
    <row r="327">
      <c r="C327" t="inlineStr">
        <is>
          <t xml:space="preserve">      Set 1</t>
        </is>
      </c>
      <c r="E327" t="n">
        <v>2</v>
      </c>
      <c r="H327" s="39">
        <f>IF(H326="","",H326)</f>
        <v/>
      </c>
      <c r="I327" s="7">
        <f>IF(H326="","",H326)</f>
        <v/>
      </c>
      <c r="J327" s="7" t="n">
        <v>2</v>
      </c>
      <c r="K327" s="7" t="n"/>
      <c r="L327" s="40" t="n"/>
      <c r="M327">
        <f>IF(AND(L327&lt;&gt;"",N(I327)&gt;0,N(J327)&gt;0),IF(J327=1,I327,ROUND(I327*(1+J327/30),1)),"")</f>
        <v/>
      </c>
      <c r="N327" s="41">
        <f>IF(M327="","",IF(M327&gt;=PRs!C7,"PR!",""))</f>
        <v/>
      </c>
      <c r="O327" s="7" t="n"/>
    </row>
    <row r="328">
      <c r="C328" t="inlineStr">
        <is>
          <t xml:space="preserve">      Set 2</t>
        </is>
      </c>
      <c r="E328" t="n">
        <v>2</v>
      </c>
      <c r="H328" s="39">
        <f>IF(H326="","",H326)</f>
        <v/>
      </c>
      <c r="I328" s="7">
        <f>IF(H326="","",H326)</f>
        <v/>
      </c>
      <c r="J328" s="7" t="n">
        <v>2</v>
      </c>
      <c r="K328" s="7" t="n"/>
      <c r="L328" s="40" t="n"/>
      <c r="M328">
        <f>IF(AND(L328&lt;&gt;"",N(I328)&gt;0,N(J328)&gt;0),IF(J328=1,I328,ROUND(I328*(1+J328/30),1)),"")</f>
        <v/>
      </c>
      <c r="N328" s="41">
        <f>IF(M328="","",IF(M328&gt;=PRs!C7,"PR!",""))</f>
        <v/>
      </c>
      <c r="O328" s="7" t="n"/>
    </row>
    <row r="329">
      <c r="A329" s="34" t="n"/>
      <c r="B329" s="34" t="n"/>
      <c r="C329" s="42" t="inlineStr">
        <is>
          <t>Squat</t>
        </is>
      </c>
      <c r="D329" s="34" t="inlineStr">
        <is>
          <t>2 x 5</t>
        </is>
      </c>
      <c r="E329" s="34" t="n"/>
      <c r="F329" s="34" t="n">
        <v>65</v>
      </c>
      <c r="G329" s="36">
        <f>Maxes!F2</f>
        <v/>
      </c>
      <c r="H329" s="37">
        <f>IF(OR(G329="",F329=""),"",MROUND(G329*F329/100,'Start Here'!$B$7))</f>
        <v/>
      </c>
      <c r="I329" s="34" t="n"/>
      <c r="J329" s="34" t="n"/>
      <c r="K329" s="34" t="n"/>
      <c r="L329" s="34" t="n"/>
      <c r="M329" s="34" t="n"/>
      <c r="N329" s="34" t="n"/>
      <c r="O329" s="38" t="inlineStr">
        <is>
          <t>Easy week - move fast, recover</t>
        </is>
      </c>
    </row>
    <row r="330">
      <c r="C330" t="inlineStr">
        <is>
          <t xml:space="preserve">      Set 1</t>
        </is>
      </c>
      <c r="E330" t="n">
        <v>5</v>
      </c>
      <c r="H330" s="39">
        <f>IF(H329="","",H329)</f>
        <v/>
      </c>
      <c r="I330" s="7">
        <f>IF(H329="","",H329)</f>
        <v/>
      </c>
      <c r="J330" s="7" t="n">
        <v>5</v>
      </c>
      <c r="K330" s="7" t="n"/>
      <c r="L330" s="40" t="n"/>
      <c r="M330">
        <f>IF(AND(L330&lt;&gt;"",N(I330)&gt;0,N(J330)&gt;0),IF(J330=1,I330,ROUND(I330*(1+J330/30),1)),"")</f>
        <v/>
      </c>
      <c r="N330" s="41">
        <f>IF(M330="","",IF(M330&gt;=PRs!C2,"PR!",""))</f>
        <v/>
      </c>
      <c r="O330" s="7" t="n"/>
    </row>
    <row r="331">
      <c r="C331" t="inlineStr">
        <is>
          <t xml:space="preserve">      Set 2</t>
        </is>
      </c>
      <c r="E331" t="n">
        <v>5</v>
      </c>
      <c r="H331" s="39">
        <f>IF(H329="","",H329)</f>
        <v/>
      </c>
      <c r="I331" s="7">
        <f>IF(H329="","",H329)</f>
        <v/>
      </c>
      <c r="J331" s="7" t="n">
        <v>5</v>
      </c>
      <c r="K331" s="7" t="n"/>
      <c r="L331" s="40" t="n"/>
      <c r="M331">
        <f>IF(AND(L331&lt;&gt;"",N(I331)&gt;0,N(J331)&gt;0),IF(J331=1,I331,ROUND(I331*(1+J331/30),1)),"")</f>
        <v/>
      </c>
      <c r="N331" s="41">
        <f>IF(M331="","",IF(M331&gt;=PRs!C2,"PR!",""))</f>
        <v/>
      </c>
      <c r="O331" s="7" t="n"/>
    </row>
    <row r="332">
      <c r="A332" s="34" t="n"/>
      <c r="B332" s="34" t="n"/>
      <c r="C332" s="42" t="inlineStr">
        <is>
          <t>Overhead Press</t>
        </is>
      </c>
      <c r="D332" s="34" t="inlineStr">
        <is>
          <t>2 x 5</t>
        </is>
      </c>
      <c r="E332" s="34" t="n"/>
      <c r="F332" s="34" t="n">
        <v>65</v>
      </c>
      <c r="G332" s="36">
        <f>Maxes!F5</f>
        <v/>
      </c>
      <c r="H332" s="37">
        <f>IF(OR(G332="",F332=""),"",MROUND(G332*F332/100,'Start Here'!$B$7))</f>
        <v/>
      </c>
      <c r="I332" s="34" t="n"/>
      <c r="J332" s="34" t="n"/>
      <c r="K332" s="34" t="n"/>
      <c r="L332" s="34" t="n"/>
      <c r="M332" s="34" t="n"/>
      <c r="N332" s="34" t="n"/>
      <c r="O332" s="38" t="inlineStr">
        <is>
          <t>Easy week - move fast, recover</t>
        </is>
      </c>
    </row>
    <row r="333">
      <c r="C333" t="inlineStr">
        <is>
          <t xml:space="preserve">      Set 1</t>
        </is>
      </c>
      <c r="E333" t="n">
        <v>5</v>
      </c>
      <c r="H333" s="39">
        <f>IF(H332="","",H332)</f>
        <v/>
      </c>
      <c r="I333" s="7">
        <f>IF(H332="","",H332)</f>
        <v/>
      </c>
      <c r="J333" s="7" t="n">
        <v>5</v>
      </c>
      <c r="K333" s="7" t="n"/>
      <c r="L333" s="40" t="n"/>
      <c r="M333">
        <f>IF(AND(L333&lt;&gt;"",N(I333)&gt;0,N(J333)&gt;0),IF(J333=1,I333,ROUND(I333*(1+J333/30),1)),"")</f>
        <v/>
      </c>
      <c r="N333" s="41">
        <f>IF(M333="","",IF(M333&gt;=PRs!C5,"PR!",""))</f>
        <v/>
      </c>
      <c r="O333" s="7" t="n"/>
    </row>
    <row r="334">
      <c r="C334" t="inlineStr">
        <is>
          <t xml:space="preserve">      Set 2</t>
        </is>
      </c>
      <c r="E334" t="n">
        <v>5</v>
      </c>
      <c r="H334" s="39">
        <f>IF(H332="","",H332)</f>
        <v/>
      </c>
      <c r="I334" s="7">
        <f>IF(H332="","",H332)</f>
        <v/>
      </c>
      <c r="J334" s="7" t="n">
        <v>5</v>
      </c>
      <c r="K334" s="7" t="n"/>
      <c r="L334" s="40" t="n"/>
      <c r="M334">
        <f>IF(AND(L334&lt;&gt;"",N(I334)&gt;0,N(J334)&gt;0),IF(J334=1,I334,ROUND(I334*(1+J334/30),1)),"")</f>
        <v/>
      </c>
      <c r="N334" s="41">
        <f>IF(M334="","",IF(M334&gt;=PRs!C5,"PR!",""))</f>
        <v/>
      </c>
      <c r="O334" s="7" t="n"/>
    </row>
    <row r="335">
      <c r="A335" s="34" t="n"/>
      <c r="B335" s="34" t="n"/>
      <c r="C335" s="42" t="inlineStr">
        <is>
          <t>Deadlift</t>
        </is>
      </c>
      <c r="D335" s="34" t="inlineStr">
        <is>
          <t>2 x 5</t>
        </is>
      </c>
      <c r="E335" s="34" t="n"/>
      <c r="F335" s="34" t="n">
        <v>65</v>
      </c>
      <c r="G335" s="36">
        <f>Maxes!F4</f>
        <v/>
      </c>
      <c r="H335" s="37">
        <f>IF(OR(G335="",F335=""),"",MROUND(G335*F335/100,'Start Here'!$B$7))</f>
        <v/>
      </c>
      <c r="I335" s="34" t="n"/>
      <c r="J335" s="34" t="n"/>
      <c r="K335" s="34" t="n"/>
      <c r="L335" s="34" t="n"/>
      <c r="M335" s="34" t="n"/>
      <c r="N335" s="34" t="n"/>
      <c r="O335" s="38" t="inlineStr">
        <is>
          <t>Easy week - move fast, recover</t>
        </is>
      </c>
    </row>
    <row r="336">
      <c r="C336" t="inlineStr">
        <is>
          <t xml:space="preserve">      Set 1</t>
        </is>
      </c>
      <c r="E336" t="n">
        <v>5</v>
      </c>
      <c r="H336" s="39">
        <f>IF(H335="","",H335)</f>
        <v/>
      </c>
      <c r="I336" s="7">
        <f>IF(H335="","",H335)</f>
        <v/>
      </c>
      <c r="J336" s="7" t="n">
        <v>5</v>
      </c>
      <c r="K336" s="7" t="n"/>
      <c r="L336" s="40" t="n"/>
      <c r="M336">
        <f>IF(AND(L336&lt;&gt;"",N(I336)&gt;0,N(J336)&gt;0),IF(J336=1,I336,ROUND(I336*(1+J336/30),1)),"")</f>
        <v/>
      </c>
      <c r="N336" s="41">
        <f>IF(M336="","",IF(M336&gt;=PRs!C4,"PR!",""))</f>
        <v/>
      </c>
      <c r="O336" s="7" t="n"/>
    </row>
    <row r="337">
      <c r="C337" t="inlineStr">
        <is>
          <t xml:space="preserve">      Set 2</t>
        </is>
      </c>
      <c r="E337" t="n">
        <v>5</v>
      </c>
      <c r="H337" s="39">
        <f>IF(H335="","",H335)</f>
        <v/>
      </c>
      <c r="I337" s="7">
        <f>IF(H335="","",H335)</f>
        <v/>
      </c>
      <c r="J337" s="7" t="n">
        <v>5</v>
      </c>
      <c r="K337" s="7" t="n"/>
      <c r="L337" s="40" t="n"/>
      <c r="M337">
        <f>IF(AND(L337&lt;&gt;"",N(I337)&gt;0,N(J337)&gt;0),IF(J337=1,I337,ROUND(I337*(1+J337/30),1)),"")</f>
        <v/>
      </c>
      <c r="N337" s="41">
        <f>IF(M337="","",IF(M337&gt;=PRs!C4,"PR!",""))</f>
        <v/>
      </c>
      <c r="O337" s="7" t="n"/>
    </row>
    <row r="338">
      <c r="A338" s="34" t="n"/>
      <c r="B338" s="34" t="n"/>
      <c r="C338" s="43" t="inlineStr">
        <is>
          <t>Chin-up</t>
        </is>
      </c>
      <c r="D338" s="34" t="inlineStr">
        <is>
          <t>2 x 6-10</t>
        </is>
      </c>
      <c r="E338" s="34" t="n"/>
      <c r="F338" s="34" t="n"/>
      <c r="G338" s="36" t="n"/>
      <c r="H338" s="37" t="n"/>
      <c r="I338" s="34" t="n"/>
      <c r="J338" s="34" t="n"/>
      <c r="K338" s="34" t="n"/>
      <c r="L338" s="34" t="n"/>
      <c r="M338" s="34" t="n"/>
      <c r="N338" s="34" t="n"/>
      <c r="O338" s="38" t="inlineStr">
        <is>
          <t>Easy - stop well short of failure</t>
        </is>
      </c>
    </row>
    <row r="339">
      <c r="C339" t="inlineStr">
        <is>
          <t xml:space="preserve">      Set 1</t>
        </is>
      </c>
      <c r="E339" t="n">
        <v>6</v>
      </c>
      <c r="H339" s="39">
        <f>IF(H338="","",H338)</f>
        <v/>
      </c>
      <c r="I339" s="7">
        <f>IF(H338="","",H338)</f>
        <v/>
      </c>
      <c r="J339" s="7" t="n">
        <v>6</v>
      </c>
      <c r="K339" s="7" t="n"/>
      <c r="L339" s="40" t="n"/>
      <c r="M339">
        <f>IF(AND(L339&lt;&gt;"",N(I339)&gt;0,N(J339)&gt;0),IF(J339=1,I339,ROUND(I339*(1+J339/30),1)),"")</f>
        <v/>
      </c>
      <c r="N339" s="41">
        <f>IF(M339="","",IF(M339&gt;=PRs!C53,"PR!",""))</f>
        <v/>
      </c>
      <c r="O339" s="7" t="n"/>
    </row>
    <row r="340">
      <c r="C340" t="inlineStr">
        <is>
          <t xml:space="preserve">      Set 2</t>
        </is>
      </c>
      <c r="E340" t="n">
        <v>6</v>
      </c>
      <c r="H340" s="39">
        <f>IF(H338="","",H338)</f>
        <v/>
      </c>
      <c r="I340" s="7">
        <f>IF(H338="","",H338)</f>
        <v/>
      </c>
      <c r="J340" s="7" t="n">
        <v>6</v>
      </c>
      <c r="K340" s="7" t="n"/>
      <c r="L340" s="40" t="n"/>
      <c r="M340">
        <f>IF(AND(L340&lt;&gt;"",N(I340)&gt;0,N(J340)&gt;0),IF(J340=1,I340,ROUND(I340*(1+J340/30),1)),"")</f>
        <v/>
      </c>
      <c r="N340" s="41">
        <f>IF(M340="","",IF(M340&gt;=PRs!C53,"PR!",""))</f>
        <v/>
      </c>
      <c r="O340" s="7" t="n"/>
    </row>
    <row r="341">
      <c r="A341" s="34" t="n"/>
      <c r="B341" s="34" t="n"/>
      <c r="C341" s="43" t="inlineStr">
        <is>
          <t>Plank</t>
        </is>
      </c>
      <c r="D341" s="34" t="inlineStr">
        <is>
          <t>2 x 30-60s</t>
        </is>
      </c>
      <c r="E341" s="34" t="n"/>
      <c r="F341" s="34" t="n"/>
      <c r="G341" s="36" t="n"/>
      <c r="H341" s="37" t="n"/>
      <c r="I341" s="34" t="n"/>
      <c r="J341" s="34" t="n"/>
      <c r="K341" s="34" t="n"/>
      <c r="L341" s="34" t="n"/>
      <c r="M341" s="34" t="n"/>
      <c r="N341" s="34" t="n"/>
      <c r="O341" s="38" t="inlineStr">
        <is>
          <t>Easy - stop well short of failure</t>
        </is>
      </c>
    </row>
    <row r="342">
      <c r="C342" t="inlineStr">
        <is>
          <t xml:space="preserve">      Set 1</t>
        </is>
      </c>
      <c r="E342" t="n">
        <v>30</v>
      </c>
      <c r="H342" s="39">
        <f>IF(H341="","",H341)</f>
        <v/>
      </c>
      <c r="I342" s="7">
        <f>IF(H341="","",H341)</f>
        <v/>
      </c>
      <c r="J342" s="7" t="n">
        <v>30</v>
      </c>
      <c r="K342" s="7" t="n"/>
      <c r="L342" s="40" t="n"/>
      <c r="M342">
        <f>IF(AND(L342&lt;&gt;"",N(I342)&gt;0,N(J342)&gt;0),IF(J342=1,I342,ROUND(I342*(1+J342/30),1)),"")</f>
        <v/>
      </c>
      <c r="N342" s="41">
        <f>IF(M342="","",IF(M342&gt;=PRs!C56,"PR!",""))</f>
        <v/>
      </c>
      <c r="O342" s="7" t="n"/>
    </row>
    <row r="343">
      <c r="C343" t="inlineStr">
        <is>
          <t xml:space="preserve">      Set 2</t>
        </is>
      </c>
      <c r="E343" t="n">
        <v>30</v>
      </c>
      <c r="H343" s="39">
        <f>IF(H341="","",H341)</f>
        <v/>
      </c>
      <c r="I343" s="7">
        <f>IF(H341="","",H341)</f>
        <v/>
      </c>
      <c r="J343" s="7" t="n">
        <v>30</v>
      </c>
      <c r="K343" s="7" t="n"/>
      <c r="L343" s="40" t="n"/>
      <c r="M343">
        <f>IF(AND(L343&lt;&gt;"",N(I343)&gt;0,N(J343)&gt;0),IF(J343=1,I343,ROUND(I343*(1+J343/30),1)),"")</f>
        <v/>
      </c>
      <c r="N343" s="41">
        <f>IF(M343="","",IF(M343&gt;=PRs!C56,"PR!",""))</f>
        <v/>
      </c>
      <c r="O343" s="7" t="n"/>
    </row>
    <row r="344">
      <c r="A344" s="31" t="inlineStr">
        <is>
          <t>Day 3 - Variations</t>
        </is>
      </c>
      <c r="B344" s="32">
        <f>'Start Here'!$B$8+137</f>
        <v/>
      </c>
      <c r="C344" s="33" t="n"/>
      <c r="D344" s="33" t="n"/>
      <c r="E344" s="33" t="n"/>
      <c r="F344" s="33" t="n"/>
      <c r="G344" s="33" t="n"/>
      <c r="H344" s="33" t="n"/>
      <c r="I344" s="33" t="n"/>
      <c r="J344" s="33" t="n"/>
      <c r="K344" s="33" t="n"/>
      <c r="L344" s="33" t="n"/>
      <c r="M344" s="33" t="n"/>
      <c r="N344" s="33" t="n"/>
      <c r="O344" s="33" t="n"/>
    </row>
    <row r="345">
      <c r="A345" s="34" t="n"/>
      <c r="B345" s="34" t="n"/>
      <c r="C345" s="35" t="inlineStr">
        <is>
          <t>Plyo Push-up</t>
        </is>
      </c>
      <c r="D345" s="34" t="inlineStr">
        <is>
          <t>2 x 3</t>
        </is>
      </c>
      <c r="E345" s="34" t="n"/>
      <c r="F345" s="34" t="n"/>
      <c r="G345" s="36" t="n"/>
      <c r="H345" s="37">
        <f>IF(N(Maxes!F75)&gt;0,Maxes!F75,"")</f>
        <v/>
      </c>
      <c r="I345" s="34" t="n"/>
      <c r="J345" s="34" t="n"/>
      <c r="K345" s="34" t="n"/>
      <c r="L345" s="34" t="n"/>
      <c r="M345" s="34" t="n"/>
      <c r="N345" s="34" t="n"/>
      <c r="O345" s="38" t="inlineStr">
        <is>
          <t>Explosive push-up so the hands leave the floor. Log reps (distance/height = 1).</t>
        </is>
      </c>
    </row>
    <row r="346">
      <c r="C346" t="inlineStr">
        <is>
          <t xml:space="preserve">      Set 1</t>
        </is>
      </c>
      <c r="E346" t="n">
        <v>3</v>
      </c>
      <c r="H346" s="39">
        <f>IF(H345="","",H345)</f>
        <v/>
      </c>
      <c r="I346" s="7">
        <f>IF(H345="","",H345)</f>
        <v/>
      </c>
      <c r="J346" s="7" t="n">
        <v>3</v>
      </c>
      <c r="K346" s="7" t="n"/>
      <c r="L346" s="40" t="n"/>
      <c r="N346" s="41">
        <f>IF(AND(L346&lt;&gt;"",N(I346)&gt;0),IF(I346&gt;=PRs!D75,"PR!",""),"")</f>
        <v/>
      </c>
      <c r="O346" s="7" t="n"/>
    </row>
    <row r="347">
      <c r="C347" t="inlineStr">
        <is>
          <t xml:space="preserve">      Set 2</t>
        </is>
      </c>
      <c r="E347" t="n">
        <v>3</v>
      </c>
      <c r="H347" s="39">
        <f>IF(H345="","",H345)</f>
        <v/>
      </c>
      <c r="I347" s="7">
        <f>IF(H345="","",H345)</f>
        <v/>
      </c>
      <c r="J347" s="7" t="n">
        <v>3</v>
      </c>
      <c r="K347" s="7" t="n"/>
      <c r="L347" s="40" t="n"/>
      <c r="N347" s="41">
        <f>IF(AND(L347&lt;&gt;"",N(I347)&gt;0),IF(I347&gt;=PRs!D75,"PR!",""),"")</f>
        <v/>
      </c>
      <c r="O347" s="7" t="n"/>
    </row>
    <row r="348">
      <c r="A348" s="34" t="n"/>
      <c r="B348" s="34" t="n"/>
      <c r="C348" s="42" t="inlineStr">
        <is>
          <t>Snatch Balance</t>
        </is>
      </c>
      <c r="D348" s="34" t="inlineStr">
        <is>
          <t>2 x 2</t>
        </is>
      </c>
      <c r="E348" s="34" t="n"/>
      <c r="F348" s="34" t="n">
        <v>65</v>
      </c>
      <c r="G348" s="36">
        <f>Maxes!F38</f>
        <v/>
      </c>
      <c r="H348" s="37">
        <f>IF(OR(G348="",F348=""),"",MROUND(G348*F348/100,'Start Here'!$B$7))</f>
        <v/>
      </c>
      <c r="I348" s="34" t="n"/>
      <c r="J348" s="34" t="n"/>
      <c r="K348" s="34" t="n"/>
      <c r="L348" s="34" t="n"/>
      <c r="M348" s="34" t="n"/>
      <c r="N348" s="34" t="n"/>
      <c r="O348" s="38" t="inlineStr">
        <is>
          <t>Easy week - move fast, recover</t>
        </is>
      </c>
    </row>
    <row r="349">
      <c r="C349" t="inlineStr">
        <is>
          <t xml:space="preserve">      Set 1</t>
        </is>
      </c>
      <c r="E349" t="n">
        <v>2</v>
      </c>
      <c r="H349" s="39">
        <f>IF(H348="","",H348)</f>
        <v/>
      </c>
      <c r="I349" s="7">
        <f>IF(H348="","",H348)</f>
        <v/>
      </c>
      <c r="J349" s="7" t="n">
        <v>2</v>
      </c>
      <c r="K349" s="7" t="n"/>
      <c r="L349" s="40" t="n"/>
      <c r="M349">
        <f>IF(AND(L349&lt;&gt;"",N(I349)&gt;0,N(J349)&gt;0),IF(J349=1,I349,ROUND(I349*(1+J349/30),1)),"")</f>
        <v/>
      </c>
      <c r="N349" s="41">
        <f>IF(M349="","",IF(M349&gt;=PRs!C38,"PR!",""))</f>
        <v/>
      </c>
      <c r="O349" s="7" t="n"/>
    </row>
    <row r="350">
      <c r="C350" t="inlineStr">
        <is>
          <t xml:space="preserve">      Set 2</t>
        </is>
      </c>
      <c r="E350" t="n">
        <v>2</v>
      </c>
      <c r="H350" s="39">
        <f>IF(H348="","",H348)</f>
        <v/>
      </c>
      <c r="I350" s="7">
        <f>IF(H348="","",H348)</f>
        <v/>
      </c>
      <c r="J350" s="7" t="n">
        <v>2</v>
      </c>
      <c r="K350" s="7" t="n"/>
      <c r="L350" s="40" t="n"/>
      <c r="M350">
        <f>IF(AND(L350&lt;&gt;"",N(I350)&gt;0,N(J350)&gt;0),IF(J350=1,I350,ROUND(I350*(1+J350/30),1)),"")</f>
        <v/>
      </c>
      <c r="N350" s="41">
        <f>IF(M350="","",IF(M350&gt;=PRs!C38,"PR!",""))</f>
        <v/>
      </c>
      <c r="O350" s="7" t="n"/>
    </row>
    <row r="351">
      <c r="A351" s="34" t="n"/>
      <c r="B351" s="34" t="n"/>
      <c r="C351" s="42" t="inlineStr">
        <is>
          <t>Pin Squat</t>
        </is>
      </c>
      <c r="D351" s="34" t="inlineStr">
        <is>
          <t>2 x 5</t>
        </is>
      </c>
      <c r="E351" s="34" t="n"/>
      <c r="F351" s="34" t="n">
        <v>65</v>
      </c>
      <c r="G351" s="36">
        <f>Maxes!F12</f>
        <v/>
      </c>
      <c r="H351" s="37">
        <f>IF(OR(G351="",F351=""),"",MROUND(G351*F351/100,'Start Here'!$B$7))</f>
        <v/>
      </c>
      <c r="I351" s="34" t="n"/>
      <c r="J351" s="34" t="n"/>
      <c r="K351" s="34" t="n"/>
      <c r="L351" s="34" t="n"/>
      <c r="M351" s="34" t="n"/>
      <c r="N351" s="34" t="n"/>
      <c r="O351" s="38" t="inlineStr">
        <is>
          <t>Easy week - move fast, recover</t>
        </is>
      </c>
    </row>
    <row r="352">
      <c r="C352" t="inlineStr">
        <is>
          <t xml:space="preserve">      Set 1</t>
        </is>
      </c>
      <c r="E352" t="n">
        <v>5</v>
      </c>
      <c r="H352" s="39">
        <f>IF(H351="","",H351)</f>
        <v/>
      </c>
      <c r="I352" s="7">
        <f>IF(H351="","",H351)</f>
        <v/>
      </c>
      <c r="J352" s="7" t="n">
        <v>5</v>
      </c>
      <c r="K352" s="7" t="n"/>
      <c r="L352" s="40" t="n"/>
      <c r="M352">
        <f>IF(AND(L352&lt;&gt;"",N(I352)&gt;0,N(J352)&gt;0),IF(J352=1,I352,ROUND(I352*(1+J352/30),1)),"")</f>
        <v/>
      </c>
      <c r="N352" s="41">
        <f>IF(M352="","",IF(M352&gt;=PRs!C12,"PR!",""))</f>
        <v/>
      </c>
      <c r="O352" s="7" t="n"/>
    </row>
    <row r="353">
      <c r="C353" t="inlineStr">
        <is>
          <t xml:space="preserve">      Set 2</t>
        </is>
      </c>
      <c r="E353" t="n">
        <v>5</v>
      </c>
      <c r="H353" s="39">
        <f>IF(H351="","",H351)</f>
        <v/>
      </c>
      <c r="I353" s="7">
        <f>IF(H351="","",H351)</f>
        <v/>
      </c>
      <c r="J353" s="7" t="n">
        <v>5</v>
      </c>
      <c r="K353" s="7" t="n"/>
      <c r="L353" s="40" t="n"/>
      <c r="M353">
        <f>IF(AND(L353&lt;&gt;"",N(I353)&gt;0,N(J353)&gt;0),IF(J353=1,I353,ROUND(I353*(1+J353/30),1)),"")</f>
        <v/>
      </c>
      <c r="N353" s="41">
        <f>IF(M353="","",IF(M353&gt;=PRs!C12,"PR!",""))</f>
        <v/>
      </c>
      <c r="O353" s="7" t="n"/>
    </row>
    <row r="354">
      <c r="A354" s="34" t="n"/>
      <c r="B354" s="34" t="n"/>
      <c r="C354" s="42" t="inlineStr">
        <is>
          <t>Floor Press</t>
        </is>
      </c>
      <c r="D354" s="34" t="inlineStr">
        <is>
          <t>2 x 5</t>
        </is>
      </c>
      <c r="E354" s="34" t="n"/>
      <c r="F354" s="34" t="n">
        <v>65</v>
      </c>
      <c r="G354" s="36">
        <f>Maxes!F19</f>
        <v/>
      </c>
      <c r="H354" s="37">
        <f>IF(OR(G354="",F354=""),"",MROUND(G354*F354/100,'Start Here'!$B$7))</f>
        <v/>
      </c>
      <c r="I354" s="34" t="n"/>
      <c r="J354" s="34" t="n"/>
      <c r="K354" s="34" t="n"/>
      <c r="L354" s="34" t="n"/>
      <c r="M354" s="34" t="n"/>
      <c r="N354" s="34" t="n"/>
      <c r="O354" s="38" t="inlineStr">
        <is>
          <t>Easy week - move fast, recover</t>
        </is>
      </c>
    </row>
    <row r="355">
      <c r="C355" t="inlineStr">
        <is>
          <t xml:space="preserve">      Set 1</t>
        </is>
      </c>
      <c r="E355" t="n">
        <v>5</v>
      </c>
      <c r="H355" s="39">
        <f>IF(H354="","",H354)</f>
        <v/>
      </c>
      <c r="I355" s="7">
        <f>IF(H354="","",H354)</f>
        <v/>
      </c>
      <c r="J355" s="7" t="n">
        <v>5</v>
      </c>
      <c r="K355" s="7" t="n"/>
      <c r="L355" s="40" t="n"/>
      <c r="M355">
        <f>IF(AND(L355&lt;&gt;"",N(I355)&gt;0,N(J355)&gt;0),IF(J355=1,I355,ROUND(I355*(1+J355/30),1)),"")</f>
        <v/>
      </c>
      <c r="N355" s="41">
        <f>IF(M355="","",IF(M355&gt;=PRs!C19,"PR!",""))</f>
        <v/>
      </c>
      <c r="O355" s="7" t="n"/>
    </row>
    <row r="356">
      <c r="C356" t="inlineStr">
        <is>
          <t xml:space="preserve">      Set 2</t>
        </is>
      </c>
      <c r="E356" t="n">
        <v>5</v>
      </c>
      <c r="H356" s="39">
        <f>IF(H354="","",H354)</f>
        <v/>
      </c>
      <c r="I356" s="7">
        <f>IF(H354="","",H354)</f>
        <v/>
      </c>
      <c r="J356" s="7" t="n">
        <v>5</v>
      </c>
      <c r="K356" s="7" t="n"/>
      <c r="L356" s="40" t="n"/>
      <c r="M356">
        <f>IF(AND(L356&lt;&gt;"",N(I356)&gt;0,N(J356)&gt;0),IF(J356=1,I356,ROUND(I356*(1+J356/30),1)),"")</f>
        <v/>
      </c>
      <c r="N356" s="41">
        <f>IF(M356="","",IF(M356&gt;=PRs!C19,"PR!",""))</f>
        <v/>
      </c>
      <c r="O356" s="7" t="n"/>
    </row>
    <row r="357">
      <c r="A357" s="34" t="n"/>
      <c r="B357" s="34" t="n"/>
      <c r="C357" s="42" t="inlineStr">
        <is>
          <t>Romanian Deadlift</t>
        </is>
      </c>
      <c r="D357" s="34" t="inlineStr">
        <is>
          <t>2 x 5</t>
        </is>
      </c>
      <c r="E357" s="34" t="n"/>
      <c r="F357" s="34" t="n">
        <v>65</v>
      </c>
      <c r="G357" s="36">
        <f>Maxes!F23</f>
        <v/>
      </c>
      <c r="H357" s="37">
        <f>IF(OR(G357="",F357=""),"",MROUND(G357*F357/100,'Start Here'!$B$7))</f>
        <v/>
      </c>
      <c r="I357" s="34" t="n"/>
      <c r="J357" s="34" t="n"/>
      <c r="K357" s="34" t="n"/>
      <c r="L357" s="34" t="n"/>
      <c r="M357" s="34" t="n"/>
      <c r="N357" s="34" t="n"/>
      <c r="O357" s="38" t="inlineStr">
        <is>
          <t>Easy week - move fast, recover</t>
        </is>
      </c>
    </row>
    <row r="358">
      <c r="C358" t="inlineStr">
        <is>
          <t xml:space="preserve">      Set 1</t>
        </is>
      </c>
      <c r="E358" t="n">
        <v>5</v>
      </c>
      <c r="H358" s="39">
        <f>IF(H357="","",H357)</f>
        <v/>
      </c>
      <c r="I358" s="7">
        <f>IF(H357="","",H357)</f>
        <v/>
      </c>
      <c r="J358" s="7" t="n">
        <v>5</v>
      </c>
      <c r="K358" s="7" t="n"/>
      <c r="L358" s="40" t="n"/>
      <c r="M358">
        <f>IF(AND(L358&lt;&gt;"",N(I358)&gt;0,N(J358)&gt;0),IF(J358=1,I358,ROUND(I358*(1+J358/30),1)),"")</f>
        <v/>
      </c>
      <c r="N358" s="41">
        <f>IF(M358="","",IF(M358&gt;=PRs!C23,"PR!",""))</f>
        <v/>
      </c>
      <c r="O358" s="7" t="n"/>
    </row>
    <row r="359">
      <c r="C359" t="inlineStr">
        <is>
          <t xml:space="preserve">      Set 2</t>
        </is>
      </c>
      <c r="E359" t="n">
        <v>5</v>
      </c>
      <c r="H359" s="39">
        <f>IF(H357="","",H357)</f>
        <v/>
      </c>
      <c r="I359" s="7">
        <f>IF(H357="","",H357)</f>
        <v/>
      </c>
      <c r="J359" s="7" t="n">
        <v>5</v>
      </c>
      <c r="K359" s="7" t="n"/>
      <c r="L359" s="40" t="n"/>
      <c r="M359">
        <f>IF(AND(L359&lt;&gt;"",N(I359)&gt;0,N(J359)&gt;0),IF(J359=1,I359,ROUND(I359*(1+J359/30),1)),"")</f>
        <v/>
      </c>
      <c r="N359" s="41">
        <f>IF(M359="","",IF(M359&gt;=PRs!C23,"PR!",""))</f>
        <v/>
      </c>
      <c r="O359" s="7" t="n"/>
    </row>
    <row r="360">
      <c r="A360" s="34" t="n"/>
      <c r="B360" s="34" t="n"/>
      <c r="C360" s="43" t="inlineStr">
        <is>
          <t>Incline Dumbbell Press</t>
        </is>
      </c>
      <c r="D360" s="34" t="inlineStr">
        <is>
          <t>2 x 8-12</t>
        </is>
      </c>
      <c r="E360" s="34" t="n"/>
      <c r="F360" s="34" t="n"/>
      <c r="G360" s="36" t="n"/>
      <c r="H360" s="37" t="n"/>
      <c r="I360" s="34" t="n"/>
      <c r="J360" s="34" t="n"/>
      <c r="K360" s="34" t="n"/>
      <c r="L360" s="34" t="n"/>
      <c r="M360" s="34" t="n"/>
      <c r="N360" s="34" t="n"/>
      <c r="O360" s="38" t="inlineStr">
        <is>
          <t>Easy - stop well short of failure</t>
        </is>
      </c>
    </row>
    <row r="361">
      <c r="C361" t="inlineStr">
        <is>
          <t xml:space="preserve">      Set 1</t>
        </is>
      </c>
      <c r="E361" t="n">
        <v>8</v>
      </c>
      <c r="H361" s="39">
        <f>IF(H360="","",H360)</f>
        <v/>
      </c>
      <c r="I361" s="7">
        <f>IF(H360="","",H360)</f>
        <v/>
      </c>
      <c r="J361" s="7" t="n">
        <v>8</v>
      </c>
      <c r="K361" s="7" t="n"/>
      <c r="L361" s="40" t="n"/>
      <c r="M361">
        <f>IF(AND(L361&lt;&gt;"",N(I361)&gt;0,N(J361)&gt;0),IF(J361=1,I361,ROUND(I361*(1+J361/30),1)),"")</f>
        <v/>
      </c>
      <c r="N361" s="41">
        <f>IF(M361="","",IF(M361&gt;=PRs!C57,"PR!",""))</f>
        <v/>
      </c>
      <c r="O361" s="7" t="n"/>
    </row>
    <row r="362">
      <c r="C362" t="inlineStr">
        <is>
          <t xml:space="preserve">      Set 2</t>
        </is>
      </c>
      <c r="E362" t="n">
        <v>8</v>
      </c>
      <c r="H362" s="39">
        <f>IF(H360="","",H360)</f>
        <v/>
      </c>
      <c r="I362" s="7">
        <f>IF(H360="","",H360)</f>
        <v/>
      </c>
      <c r="J362" s="7" t="n">
        <v>8</v>
      </c>
      <c r="K362" s="7" t="n"/>
      <c r="L362" s="40" t="n"/>
      <c r="M362">
        <f>IF(AND(L362&lt;&gt;"",N(I362)&gt;0,N(J362)&gt;0),IF(J362=1,I362,ROUND(I362*(1+J362/30),1)),"")</f>
        <v/>
      </c>
      <c r="N362" s="41">
        <f>IF(M362="","",IF(M362&gt;=PRs!C57,"PR!",""))</f>
        <v/>
      </c>
      <c r="O362" s="7" t="n"/>
    </row>
    <row r="363">
      <c r="A363" s="34" t="n"/>
      <c r="B363" s="34" t="n"/>
      <c r="C363" s="43" t="inlineStr">
        <is>
          <t>Triceps Pushdown</t>
        </is>
      </c>
      <c r="D363" s="34" t="inlineStr">
        <is>
          <t>2 x 10-15</t>
        </is>
      </c>
      <c r="E363" s="34" t="n"/>
      <c r="F363" s="34" t="n"/>
      <c r="G363" s="36" t="n"/>
      <c r="H363" s="37" t="n"/>
      <c r="I363" s="34" t="n"/>
      <c r="J363" s="34" t="n"/>
      <c r="K363" s="34" t="n"/>
      <c r="L363" s="34" t="n"/>
      <c r="M363" s="34" t="n"/>
      <c r="N363" s="34" t="n"/>
      <c r="O363" s="38" t="inlineStr">
        <is>
          <t>Easy - stop well short of failure</t>
        </is>
      </c>
    </row>
    <row r="364">
      <c r="C364" t="inlineStr">
        <is>
          <t xml:space="preserve">      Set 1</t>
        </is>
      </c>
      <c r="E364" t="n">
        <v>10</v>
      </c>
      <c r="H364" s="39">
        <f>IF(H363="","",H363)</f>
        <v/>
      </c>
      <c r="I364" s="7">
        <f>IF(H363="","",H363)</f>
        <v/>
      </c>
      <c r="J364" s="7" t="n">
        <v>10</v>
      </c>
      <c r="K364" s="7" t="n"/>
      <c r="L364" s="40" t="n"/>
      <c r="M364">
        <f>IF(AND(L364&lt;&gt;"",N(I364)&gt;0,N(J364)&gt;0),IF(J364=1,I364,ROUND(I364*(1+J364/30),1)),"")</f>
        <v/>
      </c>
      <c r="N364" s="41">
        <f>IF(M364="","",IF(M364&gt;=PRs!C59,"PR!",""))</f>
        <v/>
      </c>
      <c r="O364" s="7" t="n"/>
    </row>
    <row r="365">
      <c r="C365" t="inlineStr">
        <is>
          <t xml:space="preserve">      Set 2</t>
        </is>
      </c>
      <c r="E365" t="n">
        <v>10</v>
      </c>
      <c r="H365" s="39">
        <f>IF(H363="","",H363)</f>
        <v/>
      </c>
      <c r="I365" s="7">
        <f>IF(H363="","",H363)</f>
        <v/>
      </c>
      <c r="J365" s="7" t="n">
        <v>10</v>
      </c>
      <c r="K365" s="7" t="n"/>
      <c r="L365" s="40" t="n"/>
      <c r="M365">
        <f>IF(AND(L365&lt;&gt;"",N(I365)&gt;0,N(J365)&gt;0),IF(J365=1,I365,ROUND(I365*(1+J365/30),1)),"")</f>
        <v/>
      </c>
      <c r="N365" s="41">
        <f>IF(M365="","",IF(M365&gt;=PRs!C59,"PR!",""))</f>
        <v/>
      </c>
      <c r="O365" s="7" t="n"/>
    </row>
  </sheetData>
  <dataValidations count="3">
    <dataValidation sqref="H3" showDropDown="0" showInputMessage="0" showErrorMessage="0" allowBlank="1" type="list">
      <formula1>Lists!$B$1:$B$6</formula1>
    </dataValidation>
    <dataValidation sqref="L9 L10 L11 L12 L14 L15 L16 L17 L19 L20 L21 L23 L24 L25 L27 L28 L29 L31 L32 L33 L36 L37 L38 L39 L41 L42 L43 L45 L46 L47 L48 L50 L51 L52 L54 L55 L56 L58 L59 L60 L62 L63 L64 L66 L67 L68 L71 L72 L73 L74 L76 L77 L78 L79 L81 L82 L83 L85 L86 L87 L89 L90 L91 L93 L94 L95 L97 L98 L99 L104 L105 L106 L107 L109 L110 L111 L112 L113 L115 L116 L117 L118 L120 L121 L122 L123 L125 L126 L127 L129 L130 L131 L134 L135 L136 L137 L139 L140 L141 L143 L144 L145 L146 L147 L149 L150 L151 L153 L154 L155 L157 L158 L159 L161 L162 L163 L165 L166 L167 L170 L171 L172 L173 L175 L176 L177 L178 L180 L181 L182 L184 L185 L186 L188 L189 L190 L192 L193 L194 L196 L197 L198 L203 L204 L205 L206 L208 L209 L210 L211 L212 L214 L215 L216 L217 L219 L220 L221 L222 L224 L225 L226 L228 L229 L230 L233 L234 L235 L236 L238 L239 L240 L242 L243 L244 L245 L246 L248 L249 L250 L252 L253 L254 L256 L257 L258 L260 L261 L262 L264 L265 L266 L269 L270 L271 L272 L274 L275 L276 L277 L279 L280 L281 L283 L284 L285 L287 L288 L289 L291 L292 L293 L295 L296 L297 L302 L303 L305 L306 L308 L309 L311 L312 L314 L315 L317 L318 L321 L322 L324 L325 L327 L328 L330 L331 L333 L334 L336 L337 L339 L340 L342 L343 L346 L347 L349 L350 L352 L353 L355 L356 L358 L359 L361 L362 L364 L365" showDropDown="0" showInputMessage="0" showErrorMessage="0" allowBlank="1" type="list">
      <formula1>"✓"</formula1>
    </dataValidation>
    <dataValidation sqref="K9 K10 K11 K12 K14 K15 K16 K17 K19 K20 K21 K23 K24 K25 K27 K28 K29 K31 K32 K33 K36 K37 K38 K39 K41 K42 K43 K45 K46 K47 K48 K50 K51 K52 K54 K55 K56 K58 K59 K60 K62 K63 K64 K66 K67 K68 K71 K72 K73 K74 K76 K77 K78 K79 K81 K82 K83 K85 K86 K87 K89 K90 K91 K93 K94 K95 K97 K98 K99 K104 K105 K106 K107 K109 K110 K111 K112 K113 K115 K116 K117 K118 K120 K121 K122 K123 K125 K126 K127 K129 K130 K131 K134 K135 K136 K137 K139 K140 K141 K143 K144 K145 K146 K147 K149 K150 K151 K153 K154 K155 K157 K158 K159 K161 K162 K163 K165 K166 K167 K170 K171 K172 K173 K175 K176 K177 K178 K180 K181 K182 K184 K185 K186 K188 K189 K190 K192 K193 K194 K196 K197 K198 K203 K204 K205 K206 K208 K209 K210 K211 K212 K214 K215 K216 K217 K219 K220 K221 K222 K224 K225 K226 K228 K229 K230 K233 K234 K235 K236 K238 K239 K240 K242 K243 K244 K245 K246 K248 K249 K250 K252 K253 K254 K256 K257 K258 K260 K261 K262 K264 K265 K266 K269 K270 K271 K272 K274 K275 K276 K277 K279 K280 K281 K283 K284 K285 K287 K288 K289 K291 K292 K293 K295 K296 K297 K302 K303 K305 K306 K308 K309 K311 K312 K314 K315 K317 K318 K321 K322 K324 K325 K327 K328 K330 K331 K333 K334 K336 K337 K339 K340 K342 K343 K346 K347 K349 K350 K352 K353 K355 K356 K358 K359 K361 K362 K364 K365" showDropDown="0" showInputMessage="0" showErrorMessage="0" allowBlank="1" type="list">
      <formula1>"6,6.5,7,7.5,8,8.5,9,9.5,10"</formula1>
    </dataValidation>
  </dataValidations>
  <hyperlinks>
    <hyperlink ref="A2" location="'Month 04'!A1" display="&lt; Month 04"/>
    <hyperlink ref="C2" location="'Start Here'!A1" display="Start Here"/>
    <hyperlink ref="E2" location="'Month 06'!A1" display="Month 06 &gt;"/>
    <hyperlink ref="L3" location="'Body'!A1" display="How to test"/>
  </hyperlinks>
  <pageMargins left="0.75" right="0.75" top="1" bottom="1" header="0.5" footer="0.5"/>
  <pageSetup orientation="landscape" fitToHeight="0" fitToWidth="1"/>
</worksheet>
</file>

<file path=xl/worksheets/sheet8.xml><?xml version="1.0" encoding="utf-8"?>
<worksheet xmlns="http://schemas.openxmlformats.org/spreadsheetml/2006/main">
  <sheetPr>
    <tabColor rgb="00F2D675"/>
    <outlinePr summaryBelow="1" summaryRight="1"/>
    <pageSetUpPr fitToPage="1"/>
  </sheetPr>
  <dimension ref="A1:O330"/>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26" customWidth="1" min="3" max="3"/>
    <col width="10" customWidth="1" min="4" max="4"/>
    <col width="7" customWidth="1" min="5" max="5"/>
    <col width="6" customWidth="1" min="6" max="6"/>
    <col width="9" customWidth="1" min="7" max="7"/>
    <col width="9" customWidth="1" min="8" max="8"/>
    <col width="12" customWidth="1" min="9" max="9"/>
    <col width="8" customWidth="1" min="10" max="10"/>
    <col width="6" customWidth="1" min="11" max="11"/>
    <col width="6" customWidth="1" min="12" max="12"/>
    <col width="9" customWidth="1" min="13" max="13"/>
    <col width="5" customWidth="1" min="14" max="14"/>
    <col width="60" customWidth="1" min="15" max="15"/>
  </cols>
  <sheetData>
    <row r="1">
      <c r="A1" s="25" t="inlineStr">
        <is>
          <t>MONTH 06  -  weeks 21-24  -  Cycle 2</t>
        </is>
      </c>
    </row>
    <row r="2">
      <c r="A2" s="26" t="inlineStr">
        <is>
          <t>&lt; Month 05</t>
        </is>
      </c>
      <c r="C2" s="26" t="inlineStr">
        <is>
          <t>Start Here</t>
        </is>
      </c>
      <c r="E2" s="26" t="inlineStr">
        <is>
          <t>Month 07 &gt;</t>
        </is>
      </c>
    </row>
    <row r="3">
      <c r="A3" s="41" t="inlineStr">
        <is>
          <t>BODY FAT (once this month)</t>
        </is>
      </c>
      <c r="C3" s="44" t="inlineStr">
        <is>
          <t>Date</t>
        </is>
      </c>
      <c r="D3" s="12" t="n"/>
      <c r="E3" s="44" t="inlineStr">
        <is>
          <t>Body fat %</t>
        </is>
      </c>
      <c r="F3" s="7" t="n"/>
      <c r="G3" s="44" t="inlineStr">
        <is>
          <t>Method</t>
        </is>
      </c>
      <c r="H3" s="7" t="n"/>
      <c r="I3" s="44" t="inlineStr">
        <is>
          <t>Weight at test</t>
        </is>
      </c>
      <c r="J3" s="7" t="n"/>
      <c r="L3" s="26" t="inlineStr">
        <is>
          <t>How to test</t>
        </is>
      </c>
    </row>
    <row r="4">
      <c r="A4" s="27" t="inlineStr">
        <is>
          <t>Every set is filled in with the plan. Change what was different, mark Done. Enter bodyweight once per week on the purple week rows.</t>
        </is>
      </c>
    </row>
    <row r="5">
      <c r="A5" s="8" t="inlineStr">
        <is>
          <t>Day</t>
        </is>
      </c>
      <c r="B5" s="8" t="inlineStr">
        <is>
          <t>Date</t>
        </is>
      </c>
      <c r="C5" s="8" t="inlineStr">
        <is>
          <t>Exercise / set</t>
        </is>
      </c>
      <c r="D5" s="8" t="inlineStr">
        <is>
          <t>Scheme</t>
        </is>
      </c>
      <c r="E5" s="8" t="inlineStr">
        <is>
          <t>Target reps</t>
        </is>
      </c>
      <c r="F5" s="8" t="inlineStr">
        <is>
          <t>% TM</t>
        </is>
      </c>
      <c r="G5" s="8" t="inlineStr">
        <is>
          <t>Training max</t>
        </is>
      </c>
      <c r="H5" s="8" t="inlineStr">
        <is>
          <t>Target</t>
        </is>
      </c>
      <c r="I5" s="8" t="inlineStr">
        <is>
          <t>Actual weight / height</t>
        </is>
      </c>
      <c r="J5" s="8" t="inlineStr">
        <is>
          <t>Actual reps</t>
        </is>
      </c>
      <c r="K5" s="8" t="inlineStr">
        <is>
          <t>RPE</t>
        </is>
      </c>
      <c r="L5" s="8" t="inlineStr">
        <is>
          <t>Done</t>
        </is>
      </c>
      <c r="M5" s="8" t="inlineStr">
        <is>
          <t>Est. 1RM</t>
        </is>
      </c>
      <c r="N5" s="8" t="inlineStr">
        <is>
          <t>PR</t>
        </is>
      </c>
      <c r="O5" s="8" t="inlineStr">
        <is>
          <t>Notes / guidance</t>
        </is>
      </c>
    </row>
    <row r="6">
      <c r="A6" s="54" t="inlineStr">
        <is>
          <t>WEEK 21 - CYCLE 2 - REALIZATION</t>
        </is>
      </c>
      <c r="B6" s="55" t="n"/>
      <c r="C6" s="55" t="n"/>
      <c r="D6" s="55" t="n"/>
      <c r="E6" s="55" t="n"/>
      <c r="F6" s="55" t="n"/>
      <c r="G6" s="55" t="n"/>
      <c r="H6" s="56" t="inlineStr">
        <is>
          <t>Bodyweight:</t>
        </is>
      </c>
      <c r="I6" s="7" t="n"/>
      <c r="J6" s="55" t="n"/>
      <c r="K6" s="55" t="n"/>
      <c r="L6" s="55" t="n"/>
      <c r="M6" s="55" t="n"/>
      <c r="N6" s="55" t="n"/>
      <c r="O6" s="55" t="n"/>
    </row>
    <row r="7">
      <c r="A7" s="31" t="inlineStr">
        <is>
          <t>Day 1 - Heavy</t>
        </is>
      </c>
      <c r="B7" s="32">
        <f>'Start Here'!$B$8+140</f>
        <v/>
      </c>
      <c r="C7" s="33" t="n"/>
      <c r="D7" s="33" t="n"/>
      <c r="E7" s="33" t="n"/>
      <c r="F7" s="33" t="n"/>
      <c r="G7" s="33" t="n"/>
      <c r="H7" s="33" t="n"/>
      <c r="I7" s="33" t="n"/>
      <c r="J7" s="33" t="n"/>
      <c r="K7" s="33" t="n"/>
      <c r="L7" s="33" t="n"/>
      <c r="M7" s="33" t="n"/>
      <c r="N7" s="33" t="n"/>
      <c r="O7" s="33" t="n"/>
    </row>
    <row r="8">
      <c r="A8" s="34" t="n"/>
      <c r="B8" s="34" t="n"/>
      <c r="C8" s="35" t="inlineStr">
        <is>
          <t>Box Jump</t>
        </is>
      </c>
      <c r="D8" s="34" t="inlineStr">
        <is>
          <t>3 x 2</t>
        </is>
      </c>
      <c r="E8" s="34" t="n"/>
      <c r="F8" s="34" t="n"/>
      <c r="G8" s="36" t="n"/>
      <c r="H8" s="37">
        <f>IF(N(Maxes!F69)&gt;0,Maxes!F69,'Start Here'!$G$16)</f>
        <v/>
      </c>
      <c r="I8" s="34" t="n"/>
      <c r="J8" s="34" t="n"/>
      <c r="K8" s="34" t="n"/>
      <c r="L8" s="34" t="n"/>
      <c r="M8" s="34" t="n"/>
      <c r="N8" s="34" t="n"/>
      <c r="O8" s="38" t="inlineStr">
        <is>
          <t>Two-foot jump onto a box, land soft in a quarter squat, STEP down. Log the box height (floor to top of box).</t>
        </is>
      </c>
    </row>
    <row r="9">
      <c r="C9" t="inlineStr">
        <is>
          <t xml:space="preserve">      Set 1</t>
        </is>
      </c>
      <c r="E9" t="n">
        <v>2</v>
      </c>
      <c r="H9" s="39">
        <f>IF(H8="","",H8)</f>
        <v/>
      </c>
      <c r="I9" s="7">
        <f>IF(H8="","",H8)</f>
        <v/>
      </c>
      <c r="J9" s="7" t="n">
        <v>2</v>
      </c>
      <c r="K9" s="7" t="n"/>
      <c r="L9" s="40" t="n"/>
      <c r="N9" s="41">
        <f>IF(AND(L9&lt;&gt;"",N(I9)&gt;0),IF(I9&gt;=PRs!D69,"PR!",""),"")</f>
        <v/>
      </c>
      <c r="O9" s="7" t="n"/>
    </row>
    <row r="10">
      <c r="C10" t="inlineStr">
        <is>
          <t xml:space="preserve">      Set 2</t>
        </is>
      </c>
      <c r="E10" t="n">
        <v>2</v>
      </c>
      <c r="H10" s="39">
        <f>IF(H8="","",H8)</f>
        <v/>
      </c>
      <c r="I10" s="7">
        <f>IF(H8="","",H8)</f>
        <v/>
      </c>
      <c r="J10" s="7" t="n">
        <v>2</v>
      </c>
      <c r="K10" s="7" t="n"/>
      <c r="L10" s="40" t="n"/>
      <c r="N10" s="41">
        <f>IF(AND(L10&lt;&gt;"",N(I10)&gt;0),IF(I10&gt;=PRs!D69,"PR!",""),"")</f>
        <v/>
      </c>
      <c r="O10" s="7" t="n"/>
    </row>
    <row r="11">
      <c r="C11" t="inlineStr">
        <is>
          <t xml:space="preserve">      Set 3</t>
        </is>
      </c>
      <c r="E11" t="n">
        <v>2</v>
      </c>
      <c r="H11" s="39">
        <f>IF(H8="","",H8)</f>
        <v/>
      </c>
      <c r="I11" s="7">
        <f>IF(H8="","",H8)</f>
        <v/>
      </c>
      <c r="J11" s="7" t="n">
        <v>2</v>
      </c>
      <c r="K11" s="7" t="n"/>
      <c r="L11" s="40" t="n"/>
      <c r="N11" s="41">
        <f>IF(AND(L11&lt;&gt;"",N(I11)&gt;0),IF(I11&gt;=PRs!D69,"PR!",""),"")</f>
        <v/>
      </c>
      <c r="O11" s="7" t="n"/>
    </row>
    <row r="12">
      <c r="A12" s="34" t="n"/>
      <c r="B12" s="34" t="n"/>
      <c r="C12" s="42" t="inlineStr">
        <is>
          <t>Snatch</t>
        </is>
      </c>
      <c r="D12" s="34" t="inlineStr">
        <is>
          <t>5 x 2</t>
        </is>
      </c>
      <c r="E12" s="34" t="n"/>
      <c r="F12" s="34" t="n">
        <v>85</v>
      </c>
      <c r="G12" s="36">
        <f>Maxes!F6</f>
        <v/>
      </c>
      <c r="H12" s="37">
        <f>IF(OR(G12="",F12=""),"",MROUND(G12*F12/100,'Start Here'!$B$7))</f>
        <v/>
      </c>
      <c r="I12" s="34" t="n"/>
      <c r="J12" s="34" t="n"/>
      <c r="K12" s="34" t="n"/>
      <c r="L12" s="34" t="n"/>
      <c r="M12" s="34" t="n"/>
      <c r="N12" s="34" t="n"/>
      <c r="O12" s="38" t="inlineStr"/>
    </row>
    <row r="13">
      <c r="C13" t="inlineStr">
        <is>
          <t xml:space="preserve">      Set 1</t>
        </is>
      </c>
      <c r="E13" t="n">
        <v>2</v>
      </c>
      <c r="H13" s="39">
        <f>IF(H12="","",H12)</f>
        <v/>
      </c>
      <c r="I13" s="7">
        <f>IF(H12="","",H12)</f>
        <v/>
      </c>
      <c r="J13" s="7" t="n">
        <v>2</v>
      </c>
      <c r="K13" s="7" t="n"/>
      <c r="L13" s="40" t="n"/>
      <c r="M13">
        <f>IF(AND(L13&lt;&gt;"",N(I13)&gt;0,N(J13)&gt;0),IF(J13=1,I13,ROUND(I13*(1+J13/30),1)),"")</f>
        <v/>
      </c>
      <c r="N13" s="41">
        <f>IF(M13="","",IF(M13&gt;=PRs!C6,"PR!",""))</f>
        <v/>
      </c>
      <c r="O13" s="7" t="n"/>
    </row>
    <row r="14">
      <c r="C14" t="inlineStr">
        <is>
          <t xml:space="preserve">      Set 2</t>
        </is>
      </c>
      <c r="E14" t="n">
        <v>2</v>
      </c>
      <c r="H14" s="39">
        <f>IF(H12="","",H12)</f>
        <v/>
      </c>
      <c r="I14" s="7">
        <f>IF(H12="","",H12)</f>
        <v/>
      </c>
      <c r="J14" s="7" t="n">
        <v>2</v>
      </c>
      <c r="K14" s="7" t="n"/>
      <c r="L14" s="40" t="n"/>
      <c r="M14">
        <f>IF(AND(L14&lt;&gt;"",N(I14)&gt;0,N(J14)&gt;0),IF(J14=1,I14,ROUND(I14*(1+J14/30),1)),"")</f>
        <v/>
      </c>
      <c r="N14" s="41">
        <f>IF(M14="","",IF(M14&gt;=PRs!C6,"PR!",""))</f>
        <v/>
      </c>
      <c r="O14" s="7" t="n"/>
    </row>
    <row r="15">
      <c r="C15" t="inlineStr">
        <is>
          <t xml:space="preserve">      Set 3</t>
        </is>
      </c>
      <c r="E15" t="n">
        <v>2</v>
      </c>
      <c r="H15" s="39">
        <f>IF(H12="","",H12)</f>
        <v/>
      </c>
      <c r="I15" s="7">
        <f>IF(H12="","",H12)</f>
        <v/>
      </c>
      <c r="J15" s="7" t="n">
        <v>2</v>
      </c>
      <c r="K15" s="7" t="n"/>
      <c r="L15" s="40" t="n"/>
      <c r="M15">
        <f>IF(AND(L15&lt;&gt;"",N(I15)&gt;0,N(J15)&gt;0),IF(J15=1,I15,ROUND(I15*(1+J15/30),1)),"")</f>
        <v/>
      </c>
      <c r="N15" s="41">
        <f>IF(M15="","",IF(M15&gt;=PRs!C6,"PR!",""))</f>
        <v/>
      </c>
      <c r="O15" s="7" t="n"/>
    </row>
    <row r="16">
      <c r="C16" t="inlineStr">
        <is>
          <t xml:space="preserve">      Set 4</t>
        </is>
      </c>
      <c r="E16" t="n">
        <v>2</v>
      </c>
      <c r="H16" s="39">
        <f>IF(H12="","",H12)</f>
        <v/>
      </c>
      <c r="I16" s="7">
        <f>IF(H12="","",H12)</f>
        <v/>
      </c>
      <c r="J16" s="7" t="n">
        <v>2</v>
      </c>
      <c r="K16" s="7" t="n"/>
      <c r="L16" s="40" t="n"/>
      <c r="M16">
        <f>IF(AND(L16&lt;&gt;"",N(I16)&gt;0,N(J16)&gt;0),IF(J16=1,I16,ROUND(I16*(1+J16/30),1)),"")</f>
        <v/>
      </c>
      <c r="N16" s="41">
        <f>IF(M16="","",IF(M16&gt;=PRs!C6,"PR!",""))</f>
        <v/>
      </c>
      <c r="O16" s="7" t="n"/>
    </row>
    <row r="17">
      <c r="C17" t="inlineStr">
        <is>
          <t xml:space="preserve">      Set 5</t>
        </is>
      </c>
      <c r="E17" t="n">
        <v>2</v>
      </c>
      <c r="H17" s="39">
        <f>IF(H12="","",H12)</f>
        <v/>
      </c>
      <c r="I17" s="7">
        <f>IF(H12="","",H12)</f>
        <v/>
      </c>
      <c r="J17" s="7" t="n">
        <v>2</v>
      </c>
      <c r="K17" s="7" t="n"/>
      <c r="L17" s="40" t="n"/>
      <c r="M17">
        <f>IF(AND(L17&lt;&gt;"",N(I17)&gt;0,N(J17)&gt;0),IF(J17=1,I17,ROUND(I17*(1+J17/30),1)),"")</f>
        <v/>
      </c>
      <c r="N17" s="41">
        <f>IF(M17="","",IF(M17&gt;=PRs!C6,"PR!",""))</f>
        <v/>
      </c>
      <c r="O17" s="7" t="n"/>
    </row>
    <row r="18">
      <c r="A18" s="34" t="n"/>
      <c r="B18" s="34" t="n"/>
      <c r="C18" s="42" t="inlineStr">
        <is>
          <t>Squat</t>
        </is>
      </c>
      <c r="D18" s="34" t="inlineStr">
        <is>
          <t>5 x 3</t>
        </is>
      </c>
      <c r="E18" s="34" t="n"/>
      <c r="F18" s="34" t="n">
        <v>85</v>
      </c>
      <c r="G18" s="36">
        <f>Maxes!F2</f>
        <v/>
      </c>
      <c r="H18" s="37">
        <f>IF(OR(G18="",F18=""),"",MROUND(G18*F18/100,'Start Here'!$B$7))</f>
        <v/>
      </c>
      <c r="I18" s="34" t="n"/>
      <c r="J18" s="34" t="n"/>
      <c r="K18" s="34" t="n"/>
      <c r="L18" s="34" t="n"/>
      <c r="M18" s="34" t="n"/>
      <c r="N18" s="34" t="n"/>
      <c r="O18" s="38" t="inlineStr"/>
    </row>
    <row r="19">
      <c r="C19" t="inlineStr">
        <is>
          <t xml:space="preserve">      Set 1</t>
        </is>
      </c>
      <c r="E19" t="n">
        <v>3</v>
      </c>
      <c r="H19" s="39">
        <f>IF(H18="","",H18)</f>
        <v/>
      </c>
      <c r="I19" s="7">
        <f>IF(H18="","",H18)</f>
        <v/>
      </c>
      <c r="J19" s="7" t="n">
        <v>3</v>
      </c>
      <c r="K19" s="7" t="n"/>
      <c r="L19" s="40" t="n"/>
      <c r="M19">
        <f>IF(AND(L19&lt;&gt;"",N(I19)&gt;0,N(J19)&gt;0),IF(J19=1,I19,ROUND(I19*(1+J19/30),1)),"")</f>
        <v/>
      </c>
      <c r="N19" s="41">
        <f>IF(M19="","",IF(M19&gt;=PRs!C2,"PR!",""))</f>
        <v/>
      </c>
      <c r="O19" s="7" t="n"/>
    </row>
    <row r="20">
      <c r="C20" t="inlineStr">
        <is>
          <t xml:space="preserve">      Set 2</t>
        </is>
      </c>
      <c r="E20" t="n">
        <v>3</v>
      </c>
      <c r="H20" s="39">
        <f>IF(H18="","",H18)</f>
        <v/>
      </c>
      <c r="I20" s="7">
        <f>IF(H18="","",H18)</f>
        <v/>
      </c>
      <c r="J20" s="7" t="n">
        <v>3</v>
      </c>
      <c r="K20" s="7" t="n"/>
      <c r="L20" s="40" t="n"/>
      <c r="M20">
        <f>IF(AND(L20&lt;&gt;"",N(I20)&gt;0,N(J20)&gt;0),IF(J20=1,I20,ROUND(I20*(1+J20/30),1)),"")</f>
        <v/>
      </c>
      <c r="N20" s="41">
        <f>IF(M20="","",IF(M20&gt;=PRs!C2,"PR!",""))</f>
        <v/>
      </c>
      <c r="O20" s="7" t="n"/>
    </row>
    <row r="21">
      <c r="C21" t="inlineStr">
        <is>
          <t xml:space="preserve">      Set 3</t>
        </is>
      </c>
      <c r="E21" t="n">
        <v>3</v>
      </c>
      <c r="H21" s="39">
        <f>IF(H18="","",H18)</f>
        <v/>
      </c>
      <c r="I21" s="7">
        <f>IF(H18="","",H18)</f>
        <v/>
      </c>
      <c r="J21" s="7" t="n">
        <v>3</v>
      </c>
      <c r="K21" s="7" t="n"/>
      <c r="L21" s="40" t="n"/>
      <c r="M21">
        <f>IF(AND(L21&lt;&gt;"",N(I21)&gt;0,N(J21)&gt;0),IF(J21=1,I21,ROUND(I21*(1+J21/30),1)),"")</f>
        <v/>
      </c>
      <c r="N21" s="41">
        <f>IF(M21="","",IF(M21&gt;=PRs!C2,"PR!",""))</f>
        <v/>
      </c>
      <c r="O21" s="7" t="n"/>
    </row>
    <row r="22">
      <c r="C22" t="inlineStr">
        <is>
          <t xml:space="preserve">      Set 4</t>
        </is>
      </c>
      <c r="E22" t="n">
        <v>3</v>
      </c>
      <c r="H22" s="39">
        <f>IF(H18="","",H18)</f>
        <v/>
      </c>
      <c r="I22" s="7">
        <f>IF(H18="","",H18)</f>
        <v/>
      </c>
      <c r="J22" s="7" t="n">
        <v>3</v>
      </c>
      <c r="K22" s="7" t="n"/>
      <c r="L22" s="40" t="n"/>
      <c r="M22">
        <f>IF(AND(L22&lt;&gt;"",N(I22)&gt;0,N(J22)&gt;0),IF(J22=1,I22,ROUND(I22*(1+J22/30),1)),"")</f>
        <v/>
      </c>
      <c r="N22" s="41">
        <f>IF(M22="","",IF(M22&gt;=PRs!C2,"PR!",""))</f>
        <v/>
      </c>
      <c r="O22" s="7" t="n"/>
    </row>
    <row r="23">
      <c r="C23" t="inlineStr">
        <is>
          <t xml:space="preserve">      Set 5</t>
        </is>
      </c>
      <c r="E23" t="n">
        <v>3</v>
      </c>
      <c r="H23" s="39">
        <f>IF(H18="","",H18)</f>
        <v/>
      </c>
      <c r="I23" s="7">
        <f>IF(H18="","",H18)</f>
        <v/>
      </c>
      <c r="J23" s="7" t="n">
        <v>3</v>
      </c>
      <c r="K23" s="7" t="n"/>
      <c r="L23" s="40" t="n"/>
      <c r="M23">
        <f>IF(AND(L23&lt;&gt;"",N(I23)&gt;0,N(J23)&gt;0),IF(J23=1,I23,ROUND(I23*(1+J23/30),1)),"")</f>
        <v/>
      </c>
      <c r="N23" s="41">
        <f>IF(M23="","",IF(M23&gt;=PRs!C2,"PR!",""))</f>
        <v/>
      </c>
      <c r="O23" s="7" t="n"/>
    </row>
    <row r="24">
      <c r="A24" s="34" t="n"/>
      <c r="B24" s="34" t="n"/>
      <c r="C24" s="42" t="inlineStr">
        <is>
          <t>Bench Press</t>
        </is>
      </c>
      <c r="D24" s="34" t="inlineStr">
        <is>
          <t>5 x 3</t>
        </is>
      </c>
      <c r="E24" s="34" t="n"/>
      <c r="F24" s="34" t="n">
        <v>85</v>
      </c>
      <c r="G24" s="36">
        <f>Maxes!F3</f>
        <v/>
      </c>
      <c r="H24" s="37">
        <f>IF(OR(G24="",F24=""),"",MROUND(G24*F24/100,'Start Here'!$B$7))</f>
        <v/>
      </c>
      <c r="I24" s="34" t="n"/>
      <c r="J24" s="34" t="n"/>
      <c r="K24" s="34" t="n"/>
      <c r="L24" s="34" t="n"/>
      <c r="M24" s="34" t="n"/>
      <c r="N24" s="34" t="n"/>
      <c r="O24" s="38" t="inlineStr"/>
    </row>
    <row r="25">
      <c r="C25" t="inlineStr">
        <is>
          <t xml:space="preserve">      Set 1</t>
        </is>
      </c>
      <c r="E25" t="n">
        <v>3</v>
      </c>
      <c r="H25" s="39">
        <f>IF(H24="","",H24)</f>
        <v/>
      </c>
      <c r="I25" s="7">
        <f>IF(H24="","",H24)</f>
        <v/>
      </c>
      <c r="J25" s="7" t="n">
        <v>3</v>
      </c>
      <c r="K25" s="7" t="n"/>
      <c r="L25" s="40" t="n"/>
      <c r="M25">
        <f>IF(AND(L25&lt;&gt;"",N(I25)&gt;0,N(J25)&gt;0),IF(J25=1,I25,ROUND(I25*(1+J25/30),1)),"")</f>
        <v/>
      </c>
      <c r="N25" s="41">
        <f>IF(M25="","",IF(M25&gt;=PRs!C3,"PR!",""))</f>
        <v/>
      </c>
      <c r="O25" s="7" t="n"/>
    </row>
    <row r="26">
      <c r="C26" t="inlineStr">
        <is>
          <t xml:space="preserve">      Set 2</t>
        </is>
      </c>
      <c r="E26" t="n">
        <v>3</v>
      </c>
      <c r="H26" s="39">
        <f>IF(H24="","",H24)</f>
        <v/>
      </c>
      <c r="I26" s="7">
        <f>IF(H24="","",H24)</f>
        <v/>
      </c>
      <c r="J26" s="7" t="n">
        <v>3</v>
      </c>
      <c r="K26" s="7" t="n"/>
      <c r="L26" s="40" t="n"/>
      <c r="M26">
        <f>IF(AND(L26&lt;&gt;"",N(I26)&gt;0,N(J26)&gt;0),IF(J26=1,I26,ROUND(I26*(1+J26/30),1)),"")</f>
        <v/>
      </c>
      <c r="N26" s="41">
        <f>IF(M26="","",IF(M26&gt;=PRs!C3,"PR!",""))</f>
        <v/>
      </c>
      <c r="O26" s="7" t="n"/>
    </row>
    <row r="27">
      <c r="C27" t="inlineStr">
        <is>
          <t xml:space="preserve">      Set 3</t>
        </is>
      </c>
      <c r="E27" t="n">
        <v>3</v>
      </c>
      <c r="H27" s="39">
        <f>IF(H24="","",H24)</f>
        <v/>
      </c>
      <c r="I27" s="7">
        <f>IF(H24="","",H24)</f>
        <v/>
      </c>
      <c r="J27" s="7" t="n">
        <v>3</v>
      </c>
      <c r="K27" s="7" t="n"/>
      <c r="L27" s="40" t="n"/>
      <c r="M27">
        <f>IF(AND(L27&lt;&gt;"",N(I27)&gt;0,N(J27)&gt;0),IF(J27=1,I27,ROUND(I27*(1+J27/30),1)),"")</f>
        <v/>
      </c>
      <c r="N27" s="41">
        <f>IF(M27="","",IF(M27&gt;=PRs!C3,"PR!",""))</f>
        <v/>
      </c>
      <c r="O27" s="7" t="n"/>
    </row>
    <row r="28">
      <c r="C28" t="inlineStr">
        <is>
          <t xml:space="preserve">      Set 4</t>
        </is>
      </c>
      <c r="E28" t="n">
        <v>3</v>
      </c>
      <c r="H28" s="39">
        <f>IF(H24="","",H24)</f>
        <v/>
      </c>
      <c r="I28" s="7">
        <f>IF(H24="","",H24)</f>
        <v/>
      </c>
      <c r="J28" s="7" t="n">
        <v>3</v>
      </c>
      <c r="K28" s="7" t="n"/>
      <c r="L28" s="40" t="n"/>
      <c r="M28">
        <f>IF(AND(L28&lt;&gt;"",N(I28)&gt;0,N(J28)&gt;0),IF(J28=1,I28,ROUND(I28*(1+J28/30),1)),"")</f>
        <v/>
      </c>
      <c r="N28" s="41">
        <f>IF(M28="","",IF(M28&gt;=PRs!C3,"PR!",""))</f>
        <v/>
      </c>
      <c r="O28" s="7" t="n"/>
    </row>
    <row r="29">
      <c r="C29" t="inlineStr">
        <is>
          <t xml:space="preserve">      Set 5</t>
        </is>
      </c>
      <c r="E29" t="n">
        <v>3</v>
      </c>
      <c r="H29" s="39">
        <f>IF(H24="","",H24)</f>
        <v/>
      </c>
      <c r="I29" s="7">
        <f>IF(H24="","",H24)</f>
        <v/>
      </c>
      <c r="J29" s="7" t="n">
        <v>3</v>
      </c>
      <c r="K29" s="7" t="n"/>
      <c r="L29" s="40" t="n"/>
      <c r="M29">
        <f>IF(AND(L29&lt;&gt;"",N(I29)&gt;0,N(J29)&gt;0),IF(J29=1,I29,ROUND(I29*(1+J29/30),1)),"")</f>
        <v/>
      </c>
      <c r="N29" s="41">
        <f>IF(M29="","",IF(M29&gt;=PRs!C3,"PR!",""))</f>
        <v/>
      </c>
      <c r="O29" s="7" t="n"/>
    </row>
    <row r="30">
      <c r="A30" s="34" t="n"/>
      <c r="B30" s="34" t="n"/>
      <c r="C30" s="43" t="inlineStr">
        <is>
          <t>Barbell Row</t>
        </is>
      </c>
      <c r="D30" s="34" t="inlineStr">
        <is>
          <t>3 x 8-10</t>
        </is>
      </c>
      <c r="E30" s="34" t="n"/>
      <c r="F30" s="34" t="n"/>
      <c r="G30" s="36" t="n"/>
      <c r="H30" s="37" t="n"/>
      <c r="I30" s="34" t="n"/>
      <c r="J30" s="34" t="n"/>
      <c r="K30" s="34" t="n"/>
      <c r="L30" s="34" t="n"/>
      <c r="M30" s="34" t="n"/>
      <c r="N30" s="34" t="n"/>
      <c r="O30" s="38" t="inlineStr">
        <is>
          <t>Leave 1-2 reps in the tank; add weight when you hit the top of the range</t>
        </is>
      </c>
    </row>
    <row r="31">
      <c r="C31" t="inlineStr">
        <is>
          <t xml:space="preserve">      Set 1</t>
        </is>
      </c>
      <c r="E31" t="n">
        <v>8</v>
      </c>
      <c r="H31" s="39">
        <f>IF(H30="","",H30)</f>
        <v/>
      </c>
      <c r="I31" s="7">
        <f>IF(H30="","",H30)</f>
        <v/>
      </c>
      <c r="J31" s="7" t="n">
        <v>8</v>
      </c>
      <c r="K31" s="7" t="n"/>
      <c r="L31" s="40" t="n"/>
      <c r="M31">
        <f>IF(AND(L31&lt;&gt;"",N(I31)&gt;0,N(J31)&gt;0),IF(J31=1,I31,ROUND(I31*(1+J31/30),1)),"")</f>
        <v/>
      </c>
      <c r="N31" s="41">
        <f>IF(M31="","",IF(M31&gt;=PRs!C50,"PR!",""))</f>
        <v/>
      </c>
      <c r="O31" s="7" t="n"/>
    </row>
    <row r="32">
      <c r="C32" t="inlineStr">
        <is>
          <t xml:space="preserve">      Set 2</t>
        </is>
      </c>
      <c r="E32" t="n">
        <v>8</v>
      </c>
      <c r="H32" s="39">
        <f>IF(H30="","",H30)</f>
        <v/>
      </c>
      <c r="I32" s="7">
        <f>IF(H30="","",H30)</f>
        <v/>
      </c>
      <c r="J32" s="7" t="n">
        <v>8</v>
      </c>
      <c r="K32" s="7" t="n"/>
      <c r="L32" s="40" t="n"/>
      <c r="M32">
        <f>IF(AND(L32&lt;&gt;"",N(I32)&gt;0,N(J32)&gt;0),IF(J32=1,I32,ROUND(I32*(1+J32/30),1)),"")</f>
        <v/>
      </c>
      <c r="N32" s="41">
        <f>IF(M32="","",IF(M32&gt;=PRs!C50,"PR!",""))</f>
        <v/>
      </c>
      <c r="O32" s="7" t="n"/>
    </row>
    <row r="33">
      <c r="C33" t="inlineStr">
        <is>
          <t xml:space="preserve">      Set 3</t>
        </is>
      </c>
      <c r="E33" t="n">
        <v>8</v>
      </c>
      <c r="H33" s="39">
        <f>IF(H30="","",H30)</f>
        <v/>
      </c>
      <c r="I33" s="7">
        <f>IF(H30="","",H30)</f>
        <v/>
      </c>
      <c r="J33" s="7" t="n">
        <v>8</v>
      </c>
      <c r="K33" s="7" t="n"/>
      <c r="L33" s="40" t="n"/>
      <c r="M33">
        <f>IF(AND(L33&lt;&gt;"",N(I33)&gt;0,N(J33)&gt;0),IF(J33=1,I33,ROUND(I33*(1+J33/30),1)),"")</f>
        <v/>
      </c>
      <c r="N33" s="41">
        <f>IF(M33="","",IF(M33&gt;=PRs!C50,"PR!",""))</f>
        <v/>
      </c>
      <c r="O33" s="7" t="n"/>
    </row>
    <row r="34">
      <c r="A34" s="34" t="n"/>
      <c r="B34" s="34" t="n"/>
      <c r="C34" s="43" t="inlineStr">
        <is>
          <t>Face Pull</t>
        </is>
      </c>
      <c r="D34" s="34" t="inlineStr">
        <is>
          <t>3 x 12-15</t>
        </is>
      </c>
      <c r="E34" s="34" t="n"/>
      <c r="F34" s="34" t="n"/>
      <c r="G34" s="36" t="n"/>
      <c r="H34" s="37" t="n"/>
      <c r="I34" s="34" t="n"/>
      <c r="J34" s="34" t="n"/>
      <c r="K34" s="34" t="n"/>
      <c r="L34" s="34" t="n"/>
      <c r="M34" s="34" t="n"/>
      <c r="N34" s="34" t="n"/>
      <c r="O34" s="38" t="inlineStr">
        <is>
          <t>Leave 1-2 reps in the tank; add weight when you hit the top of the range</t>
        </is>
      </c>
    </row>
    <row r="35">
      <c r="C35" t="inlineStr">
        <is>
          <t xml:space="preserve">      Set 1</t>
        </is>
      </c>
      <c r="E35" t="n">
        <v>12</v>
      </c>
      <c r="H35" s="39">
        <f>IF(H34="","",H34)</f>
        <v/>
      </c>
      <c r="I35" s="7">
        <f>IF(H34="","",H34)</f>
        <v/>
      </c>
      <c r="J35" s="7" t="n">
        <v>12</v>
      </c>
      <c r="K35" s="7" t="n"/>
      <c r="L35" s="40" t="n"/>
      <c r="M35">
        <f>IF(AND(L35&lt;&gt;"",N(I35)&gt;0,N(J35)&gt;0),IF(J35=1,I35,ROUND(I35*(1+J35/30),1)),"")</f>
        <v/>
      </c>
      <c r="N35" s="41">
        <f>IF(M35="","",IF(M35&gt;=PRs!C51,"PR!",""))</f>
        <v/>
      </c>
      <c r="O35" s="7" t="n"/>
    </row>
    <row r="36">
      <c r="C36" t="inlineStr">
        <is>
          <t xml:space="preserve">      Set 2</t>
        </is>
      </c>
      <c r="E36" t="n">
        <v>12</v>
      </c>
      <c r="H36" s="39">
        <f>IF(H34="","",H34)</f>
        <v/>
      </c>
      <c r="I36" s="7">
        <f>IF(H34="","",H34)</f>
        <v/>
      </c>
      <c r="J36" s="7" t="n">
        <v>12</v>
      </c>
      <c r="K36" s="7" t="n"/>
      <c r="L36" s="40" t="n"/>
      <c r="M36">
        <f>IF(AND(L36&lt;&gt;"",N(I36)&gt;0,N(J36)&gt;0),IF(J36=1,I36,ROUND(I36*(1+J36/30),1)),"")</f>
        <v/>
      </c>
      <c r="N36" s="41">
        <f>IF(M36="","",IF(M36&gt;=PRs!C51,"PR!",""))</f>
        <v/>
      </c>
      <c r="O36" s="7" t="n"/>
    </row>
    <row r="37">
      <c r="C37" t="inlineStr">
        <is>
          <t xml:space="preserve">      Set 3</t>
        </is>
      </c>
      <c r="E37" t="n">
        <v>12</v>
      </c>
      <c r="H37" s="39">
        <f>IF(H34="","",H34)</f>
        <v/>
      </c>
      <c r="I37" s="7">
        <f>IF(H34="","",H34)</f>
        <v/>
      </c>
      <c r="J37" s="7" t="n">
        <v>12</v>
      </c>
      <c r="K37" s="7" t="n"/>
      <c r="L37" s="40" t="n"/>
      <c r="M37">
        <f>IF(AND(L37&lt;&gt;"",N(I37)&gt;0,N(J37)&gt;0),IF(J37=1,I37,ROUND(I37*(1+J37/30),1)),"")</f>
        <v/>
      </c>
      <c r="N37" s="41">
        <f>IF(M37="","",IF(M37&gt;=PRs!C51,"PR!",""))</f>
        <v/>
      </c>
      <c r="O37" s="7" t="n"/>
    </row>
    <row r="38">
      <c r="A38" s="31" t="inlineStr">
        <is>
          <t>Day 2 - Light</t>
        </is>
      </c>
      <c r="B38" s="32">
        <f>'Start Here'!$B$8+142</f>
        <v/>
      </c>
      <c r="C38" s="33" t="n"/>
      <c r="D38" s="33" t="n"/>
      <c r="E38" s="33" t="n"/>
      <c r="F38" s="33" t="n"/>
      <c r="G38" s="33" t="n"/>
      <c r="H38" s="33" t="n"/>
      <c r="I38" s="33" t="n"/>
      <c r="J38" s="33" t="n"/>
      <c r="K38" s="33" t="n"/>
      <c r="L38" s="33" t="n"/>
      <c r="M38" s="33" t="n"/>
      <c r="N38" s="33" t="n"/>
      <c r="O38" s="33" t="n"/>
    </row>
    <row r="39">
      <c r="A39" s="34" t="n"/>
      <c r="B39" s="34" t="n"/>
      <c r="C39" s="35" t="inlineStr">
        <is>
          <t>Broad Jump</t>
        </is>
      </c>
      <c r="D39" s="34" t="inlineStr">
        <is>
          <t>3 x 2</t>
        </is>
      </c>
      <c r="E39" s="34" t="n"/>
      <c r="F39" s="34" t="n"/>
      <c r="G39" s="36" t="n"/>
      <c r="H39" s="37">
        <f>IF(N(Maxes!F70)&gt;0,Maxes!F70,"")</f>
        <v/>
      </c>
      <c r="I39" s="34" t="n"/>
      <c r="J39" s="34" t="n"/>
      <c r="K39" s="34" t="n"/>
      <c r="L39" s="34" t="n"/>
      <c r="M39" s="34" t="n"/>
      <c r="N39" s="34" t="n"/>
      <c r="O39" s="38" t="inlineStr">
        <is>
          <t>Standing two-foot jump forward, stick the landing. Measure toe line to the back of the nearest heel.</t>
        </is>
      </c>
    </row>
    <row r="40">
      <c r="C40" t="inlineStr">
        <is>
          <t xml:space="preserve">      Set 1</t>
        </is>
      </c>
      <c r="E40" t="n">
        <v>2</v>
      </c>
      <c r="H40" s="39">
        <f>IF(H39="","",H39)</f>
        <v/>
      </c>
      <c r="I40" s="7">
        <f>IF(H39="","",H39)</f>
        <v/>
      </c>
      <c r="J40" s="7" t="n">
        <v>2</v>
      </c>
      <c r="K40" s="7" t="n"/>
      <c r="L40" s="40" t="n"/>
      <c r="N40" s="41">
        <f>IF(AND(L40&lt;&gt;"",N(I40)&gt;0),IF(I40&gt;=PRs!D70,"PR!",""),"")</f>
        <v/>
      </c>
      <c r="O40" s="7" t="n"/>
    </row>
    <row r="41">
      <c r="C41" t="inlineStr">
        <is>
          <t xml:space="preserve">      Set 2</t>
        </is>
      </c>
      <c r="E41" t="n">
        <v>2</v>
      </c>
      <c r="H41" s="39">
        <f>IF(H39="","",H39)</f>
        <v/>
      </c>
      <c r="I41" s="7">
        <f>IF(H39="","",H39)</f>
        <v/>
      </c>
      <c r="J41" s="7" t="n">
        <v>2</v>
      </c>
      <c r="K41" s="7" t="n"/>
      <c r="L41" s="40" t="n"/>
      <c r="N41" s="41">
        <f>IF(AND(L41&lt;&gt;"",N(I41)&gt;0),IF(I41&gt;=PRs!D70,"PR!",""),"")</f>
        <v/>
      </c>
      <c r="O41" s="7" t="n"/>
    </row>
    <row r="42">
      <c r="C42" t="inlineStr">
        <is>
          <t xml:space="preserve">      Set 3</t>
        </is>
      </c>
      <c r="E42" t="n">
        <v>2</v>
      </c>
      <c r="H42" s="39">
        <f>IF(H39="","",H39)</f>
        <v/>
      </c>
      <c r="I42" s="7">
        <f>IF(H39="","",H39)</f>
        <v/>
      </c>
      <c r="J42" s="7" t="n">
        <v>2</v>
      </c>
      <c r="K42" s="7" t="n"/>
      <c r="L42" s="40" t="n"/>
      <c r="N42" s="41">
        <f>IF(AND(L42&lt;&gt;"",N(I42)&gt;0),IF(I42&gt;=PRs!D70,"PR!",""),"")</f>
        <v/>
      </c>
      <c r="O42" s="7" t="n"/>
    </row>
    <row r="43">
      <c r="A43" s="34" t="n"/>
      <c r="B43" s="34" t="n"/>
      <c r="C43" s="35" t="inlineStr">
        <is>
          <t>Med Ball Chest Pass</t>
        </is>
      </c>
      <c r="D43" s="34" t="inlineStr">
        <is>
          <t>2 x 5</t>
        </is>
      </c>
      <c r="E43" s="34" t="n"/>
      <c r="F43" s="34" t="n"/>
      <c r="G43" s="36" t="n"/>
      <c r="H43" s="37">
        <f>IF(N(Maxes!F77)&gt;0,Maxes!F77,"")</f>
        <v/>
      </c>
      <c r="I43" s="34" t="n"/>
      <c r="J43" s="34" t="n"/>
      <c r="K43" s="34" t="n"/>
      <c r="L43" s="34" t="n"/>
      <c r="M43" s="34" t="n"/>
      <c r="N43" s="34" t="n"/>
      <c r="O43" s="38" t="inlineStr">
        <is>
          <t>Kneeling or standing chest pass for distance with a 6-10 lb / 3-5 kg ball. Log the distance.</t>
        </is>
      </c>
    </row>
    <row r="44">
      <c r="C44" t="inlineStr">
        <is>
          <t xml:space="preserve">      Set 1</t>
        </is>
      </c>
      <c r="E44" t="n">
        <v>5</v>
      </c>
      <c r="H44" s="39">
        <f>IF(H43="","",H43)</f>
        <v/>
      </c>
      <c r="I44" s="7">
        <f>IF(H43="","",H43)</f>
        <v/>
      </c>
      <c r="J44" s="7" t="n">
        <v>5</v>
      </c>
      <c r="K44" s="7" t="n"/>
      <c r="L44" s="40" t="n"/>
      <c r="N44" s="41">
        <f>IF(AND(L44&lt;&gt;"",N(I44)&gt;0),IF(I44&gt;=PRs!D77,"PR!",""),"")</f>
        <v/>
      </c>
      <c r="O44" s="7" t="n"/>
    </row>
    <row r="45">
      <c r="C45" t="inlineStr">
        <is>
          <t xml:space="preserve">      Set 2</t>
        </is>
      </c>
      <c r="E45" t="n">
        <v>5</v>
      </c>
      <c r="H45" s="39">
        <f>IF(H43="","",H43)</f>
        <v/>
      </c>
      <c r="I45" s="7">
        <f>IF(H43="","",H43)</f>
        <v/>
      </c>
      <c r="J45" s="7" t="n">
        <v>5</v>
      </c>
      <c r="K45" s="7" t="n"/>
      <c r="L45" s="40" t="n"/>
      <c r="N45" s="41">
        <f>IF(AND(L45&lt;&gt;"",N(I45)&gt;0),IF(I45&gt;=PRs!D77,"PR!",""),"")</f>
        <v/>
      </c>
      <c r="O45" s="7" t="n"/>
    </row>
    <row r="46">
      <c r="A46" s="34" t="n"/>
      <c r="B46" s="34" t="n"/>
      <c r="C46" s="42" t="inlineStr">
        <is>
          <t>Clean &amp; Jerk</t>
        </is>
      </c>
      <c r="D46" s="34" t="inlineStr">
        <is>
          <t>5 x 2</t>
        </is>
      </c>
      <c r="E46" s="34" t="n"/>
      <c r="F46" s="34" t="n">
        <v>85</v>
      </c>
      <c r="G46" s="36">
        <f>Maxes!F7</f>
        <v/>
      </c>
      <c r="H46" s="37">
        <f>IF(OR(G46="",F46=""),"",MROUND(G46*F46/100,'Start Here'!$B$7))</f>
        <v/>
      </c>
      <c r="I46" s="34" t="n"/>
      <c r="J46" s="34" t="n"/>
      <c r="K46" s="34" t="n"/>
      <c r="L46" s="34" t="n"/>
      <c r="M46" s="34" t="n"/>
      <c r="N46" s="34" t="n"/>
      <c r="O46" s="38" t="inlineStr"/>
    </row>
    <row r="47">
      <c r="C47" t="inlineStr">
        <is>
          <t xml:space="preserve">      Set 1</t>
        </is>
      </c>
      <c r="E47" t="n">
        <v>2</v>
      </c>
      <c r="H47" s="39">
        <f>IF(H46="","",H46)</f>
        <v/>
      </c>
      <c r="I47" s="7">
        <f>IF(H46="","",H46)</f>
        <v/>
      </c>
      <c r="J47" s="7" t="n">
        <v>2</v>
      </c>
      <c r="K47" s="7" t="n"/>
      <c r="L47" s="40" t="n"/>
      <c r="M47">
        <f>IF(AND(L47&lt;&gt;"",N(I47)&gt;0,N(J47)&gt;0),IF(J47=1,I47,ROUND(I47*(1+J47/30),1)),"")</f>
        <v/>
      </c>
      <c r="N47" s="41">
        <f>IF(M47="","",IF(M47&gt;=PRs!C7,"PR!",""))</f>
        <v/>
      </c>
      <c r="O47" s="7" t="n"/>
    </row>
    <row r="48">
      <c r="C48" t="inlineStr">
        <is>
          <t xml:space="preserve">      Set 2</t>
        </is>
      </c>
      <c r="E48" t="n">
        <v>2</v>
      </c>
      <c r="H48" s="39">
        <f>IF(H46="","",H46)</f>
        <v/>
      </c>
      <c r="I48" s="7">
        <f>IF(H46="","",H46)</f>
        <v/>
      </c>
      <c r="J48" s="7" t="n">
        <v>2</v>
      </c>
      <c r="K48" s="7" t="n"/>
      <c r="L48" s="40" t="n"/>
      <c r="M48">
        <f>IF(AND(L48&lt;&gt;"",N(I48)&gt;0,N(J48)&gt;0),IF(J48=1,I48,ROUND(I48*(1+J48/30),1)),"")</f>
        <v/>
      </c>
      <c r="N48" s="41">
        <f>IF(M48="","",IF(M48&gt;=PRs!C7,"PR!",""))</f>
        <v/>
      </c>
      <c r="O48" s="7" t="n"/>
    </row>
    <row r="49">
      <c r="C49" t="inlineStr">
        <is>
          <t xml:space="preserve">      Set 3</t>
        </is>
      </c>
      <c r="E49" t="n">
        <v>2</v>
      </c>
      <c r="H49" s="39">
        <f>IF(H46="","",H46)</f>
        <v/>
      </c>
      <c r="I49" s="7">
        <f>IF(H46="","",H46)</f>
        <v/>
      </c>
      <c r="J49" s="7" t="n">
        <v>2</v>
      </c>
      <c r="K49" s="7" t="n"/>
      <c r="L49" s="40" t="n"/>
      <c r="M49">
        <f>IF(AND(L49&lt;&gt;"",N(I49)&gt;0,N(J49)&gt;0),IF(J49=1,I49,ROUND(I49*(1+J49/30),1)),"")</f>
        <v/>
      </c>
      <c r="N49" s="41">
        <f>IF(M49="","",IF(M49&gt;=PRs!C7,"PR!",""))</f>
        <v/>
      </c>
      <c r="O49" s="7" t="n"/>
    </row>
    <row r="50">
      <c r="C50" t="inlineStr">
        <is>
          <t xml:space="preserve">      Set 4</t>
        </is>
      </c>
      <c r="E50" t="n">
        <v>2</v>
      </c>
      <c r="H50" s="39">
        <f>IF(H46="","",H46)</f>
        <v/>
      </c>
      <c r="I50" s="7">
        <f>IF(H46="","",H46)</f>
        <v/>
      </c>
      <c r="J50" s="7" t="n">
        <v>2</v>
      </c>
      <c r="K50" s="7" t="n"/>
      <c r="L50" s="40" t="n"/>
      <c r="M50">
        <f>IF(AND(L50&lt;&gt;"",N(I50)&gt;0,N(J50)&gt;0),IF(J50=1,I50,ROUND(I50*(1+J50/30),1)),"")</f>
        <v/>
      </c>
      <c r="N50" s="41">
        <f>IF(M50="","",IF(M50&gt;=PRs!C7,"PR!",""))</f>
        <v/>
      </c>
      <c r="O50" s="7" t="n"/>
    </row>
    <row r="51">
      <c r="C51" t="inlineStr">
        <is>
          <t xml:space="preserve">      Set 5</t>
        </is>
      </c>
      <c r="E51" t="n">
        <v>2</v>
      </c>
      <c r="H51" s="39">
        <f>IF(H46="","",H46)</f>
        <v/>
      </c>
      <c r="I51" s="7">
        <f>IF(H46="","",H46)</f>
        <v/>
      </c>
      <c r="J51" s="7" t="n">
        <v>2</v>
      </c>
      <c r="K51" s="7" t="n"/>
      <c r="L51" s="40" t="n"/>
      <c r="M51">
        <f>IF(AND(L51&lt;&gt;"",N(I51)&gt;0,N(J51)&gt;0),IF(J51=1,I51,ROUND(I51*(1+J51/30),1)),"")</f>
        <v/>
      </c>
      <c r="N51" s="41">
        <f>IF(M51="","",IF(M51&gt;=PRs!C7,"PR!",""))</f>
        <v/>
      </c>
      <c r="O51" s="7" t="n"/>
    </row>
    <row r="52">
      <c r="A52" s="34" t="n"/>
      <c r="B52" s="34" t="n"/>
      <c r="C52" s="42" t="inlineStr">
        <is>
          <t>Squat</t>
        </is>
      </c>
      <c r="D52" s="34" t="inlineStr">
        <is>
          <t>4 x 5</t>
        </is>
      </c>
      <c r="E52" s="34" t="n"/>
      <c r="F52" s="34" t="n">
        <v>67.5</v>
      </c>
      <c r="G52" s="36">
        <f>Maxes!F2</f>
        <v/>
      </c>
      <c r="H52" s="37">
        <f>IF(OR(G52="",F52=""),"",MROUND(G52*F52/100,'Start Here'!$B$7))</f>
        <v/>
      </c>
      <c r="I52" s="34" t="n"/>
      <c r="J52" s="34" t="n"/>
      <c r="K52" s="34" t="n"/>
      <c r="L52" s="34" t="n"/>
      <c r="M52" s="34" t="n"/>
      <c r="N52" s="34" t="n"/>
      <c r="O52" s="38" t="inlineStr"/>
    </row>
    <row r="53">
      <c r="C53" t="inlineStr">
        <is>
          <t xml:space="preserve">      Set 1</t>
        </is>
      </c>
      <c r="E53" t="n">
        <v>5</v>
      </c>
      <c r="H53" s="39">
        <f>IF(H52="","",H52)</f>
        <v/>
      </c>
      <c r="I53" s="7">
        <f>IF(H52="","",H52)</f>
        <v/>
      </c>
      <c r="J53" s="7" t="n">
        <v>5</v>
      </c>
      <c r="K53" s="7" t="n"/>
      <c r="L53" s="40" t="n"/>
      <c r="M53">
        <f>IF(AND(L53&lt;&gt;"",N(I53)&gt;0,N(J53)&gt;0),IF(J53=1,I53,ROUND(I53*(1+J53/30),1)),"")</f>
        <v/>
      </c>
      <c r="N53" s="41">
        <f>IF(M53="","",IF(M53&gt;=PRs!C2,"PR!",""))</f>
        <v/>
      </c>
      <c r="O53" s="7" t="n"/>
    </row>
    <row r="54">
      <c r="C54" t="inlineStr">
        <is>
          <t xml:space="preserve">      Set 2</t>
        </is>
      </c>
      <c r="E54" t="n">
        <v>5</v>
      </c>
      <c r="H54" s="39">
        <f>IF(H52="","",H52)</f>
        <v/>
      </c>
      <c r="I54" s="7">
        <f>IF(H52="","",H52)</f>
        <v/>
      </c>
      <c r="J54" s="7" t="n">
        <v>5</v>
      </c>
      <c r="K54" s="7" t="n"/>
      <c r="L54" s="40" t="n"/>
      <c r="M54">
        <f>IF(AND(L54&lt;&gt;"",N(I54)&gt;0,N(J54)&gt;0),IF(J54=1,I54,ROUND(I54*(1+J54/30),1)),"")</f>
        <v/>
      </c>
      <c r="N54" s="41">
        <f>IF(M54="","",IF(M54&gt;=PRs!C2,"PR!",""))</f>
        <v/>
      </c>
      <c r="O54" s="7" t="n"/>
    </row>
    <row r="55">
      <c r="C55" t="inlineStr">
        <is>
          <t xml:space="preserve">      Set 3</t>
        </is>
      </c>
      <c r="E55" t="n">
        <v>5</v>
      </c>
      <c r="H55" s="39">
        <f>IF(H52="","",H52)</f>
        <v/>
      </c>
      <c r="I55" s="7">
        <f>IF(H52="","",H52)</f>
        <v/>
      </c>
      <c r="J55" s="7" t="n">
        <v>5</v>
      </c>
      <c r="K55" s="7" t="n"/>
      <c r="L55" s="40" t="n"/>
      <c r="M55">
        <f>IF(AND(L55&lt;&gt;"",N(I55)&gt;0,N(J55)&gt;0),IF(J55=1,I55,ROUND(I55*(1+J55/30),1)),"")</f>
        <v/>
      </c>
      <c r="N55" s="41">
        <f>IF(M55="","",IF(M55&gt;=PRs!C2,"PR!",""))</f>
        <v/>
      </c>
      <c r="O55" s="7" t="n"/>
    </row>
    <row r="56">
      <c r="C56" t="inlineStr">
        <is>
          <t xml:space="preserve">      Set 4</t>
        </is>
      </c>
      <c r="E56" t="n">
        <v>5</v>
      </c>
      <c r="H56" s="39">
        <f>IF(H52="","",H52)</f>
        <v/>
      </c>
      <c r="I56" s="7">
        <f>IF(H52="","",H52)</f>
        <v/>
      </c>
      <c r="J56" s="7" t="n">
        <v>5</v>
      </c>
      <c r="K56" s="7" t="n"/>
      <c r="L56" s="40" t="n"/>
      <c r="M56">
        <f>IF(AND(L56&lt;&gt;"",N(I56)&gt;0,N(J56)&gt;0),IF(J56=1,I56,ROUND(I56*(1+J56/30),1)),"")</f>
        <v/>
      </c>
      <c r="N56" s="41">
        <f>IF(M56="","",IF(M56&gt;=PRs!C2,"PR!",""))</f>
        <v/>
      </c>
      <c r="O56" s="7" t="n"/>
    </row>
    <row r="57">
      <c r="A57" s="34" t="n"/>
      <c r="B57" s="34" t="n"/>
      <c r="C57" s="42" t="inlineStr">
        <is>
          <t>Overhead Press</t>
        </is>
      </c>
      <c r="D57" s="34" t="inlineStr">
        <is>
          <t>4 x 5</t>
        </is>
      </c>
      <c r="E57" s="34" t="n"/>
      <c r="F57" s="34" t="n">
        <v>77.5</v>
      </c>
      <c r="G57" s="36">
        <f>Maxes!F5</f>
        <v/>
      </c>
      <c r="H57" s="37">
        <f>IF(OR(G57="",F57=""),"",MROUND(G57*F57/100,'Start Here'!$B$7))</f>
        <v/>
      </c>
      <c r="I57" s="34" t="n"/>
      <c r="J57" s="34" t="n"/>
      <c r="K57" s="34" t="n"/>
      <c r="L57" s="34" t="n"/>
      <c r="M57" s="34" t="n"/>
      <c r="N57" s="34" t="n"/>
      <c r="O57" s="38" t="inlineStr"/>
    </row>
    <row r="58">
      <c r="C58" t="inlineStr">
        <is>
          <t xml:space="preserve">      Set 1</t>
        </is>
      </c>
      <c r="E58" t="n">
        <v>5</v>
      </c>
      <c r="H58" s="39">
        <f>IF(H57="","",H57)</f>
        <v/>
      </c>
      <c r="I58" s="7">
        <f>IF(H57="","",H57)</f>
        <v/>
      </c>
      <c r="J58" s="7" t="n">
        <v>5</v>
      </c>
      <c r="K58" s="7" t="n"/>
      <c r="L58" s="40" t="n"/>
      <c r="M58">
        <f>IF(AND(L58&lt;&gt;"",N(I58)&gt;0,N(J58)&gt;0),IF(J58=1,I58,ROUND(I58*(1+J58/30),1)),"")</f>
        <v/>
      </c>
      <c r="N58" s="41">
        <f>IF(M58="","",IF(M58&gt;=PRs!C5,"PR!",""))</f>
        <v/>
      </c>
      <c r="O58" s="7" t="n"/>
    </row>
    <row r="59">
      <c r="C59" t="inlineStr">
        <is>
          <t xml:space="preserve">      Set 2</t>
        </is>
      </c>
      <c r="E59" t="n">
        <v>5</v>
      </c>
      <c r="H59" s="39">
        <f>IF(H57="","",H57)</f>
        <v/>
      </c>
      <c r="I59" s="7">
        <f>IF(H57="","",H57)</f>
        <v/>
      </c>
      <c r="J59" s="7" t="n">
        <v>5</v>
      </c>
      <c r="K59" s="7" t="n"/>
      <c r="L59" s="40" t="n"/>
      <c r="M59">
        <f>IF(AND(L59&lt;&gt;"",N(I59)&gt;0,N(J59)&gt;0),IF(J59=1,I59,ROUND(I59*(1+J59/30),1)),"")</f>
        <v/>
      </c>
      <c r="N59" s="41">
        <f>IF(M59="","",IF(M59&gt;=PRs!C5,"PR!",""))</f>
        <v/>
      </c>
      <c r="O59" s="7" t="n"/>
    </row>
    <row r="60">
      <c r="C60" t="inlineStr">
        <is>
          <t xml:space="preserve">      Set 3</t>
        </is>
      </c>
      <c r="E60" t="n">
        <v>5</v>
      </c>
      <c r="H60" s="39">
        <f>IF(H57="","",H57)</f>
        <v/>
      </c>
      <c r="I60" s="7">
        <f>IF(H57="","",H57)</f>
        <v/>
      </c>
      <c r="J60" s="7" t="n">
        <v>5</v>
      </c>
      <c r="K60" s="7" t="n"/>
      <c r="L60" s="40" t="n"/>
      <c r="M60">
        <f>IF(AND(L60&lt;&gt;"",N(I60)&gt;0,N(J60)&gt;0),IF(J60=1,I60,ROUND(I60*(1+J60/30),1)),"")</f>
        <v/>
      </c>
      <c r="N60" s="41">
        <f>IF(M60="","",IF(M60&gt;=PRs!C5,"PR!",""))</f>
        <v/>
      </c>
      <c r="O60" s="7" t="n"/>
    </row>
    <row r="61">
      <c r="C61" t="inlineStr">
        <is>
          <t xml:space="preserve">      Set 4</t>
        </is>
      </c>
      <c r="E61" t="n">
        <v>5</v>
      </c>
      <c r="H61" s="39">
        <f>IF(H57="","",H57)</f>
        <v/>
      </c>
      <c r="I61" s="7">
        <f>IF(H57="","",H57)</f>
        <v/>
      </c>
      <c r="J61" s="7" t="n">
        <v>5</v>
      </c>
      <c r="K61" s="7" t="n"/>
      <c r="L61" s="40" t="n"/>
      <c r="M61">
        <f>IF(AND(L61&lt;&gt;"",N(I61)&gt;0,N(J61)&gt;0),IF(J61=1,I61,ROUND(I61*(1+J61/30),1)),"")</f>
        <v/>
      </c>
      <c r="N61" s="41">
        <f>IF(M61="","",IF(M61&gt;=PRs!C5,"PR!",""))</f>
        <v/>
      </c>
      <c r="O61" s="7" t="n"/>
    </row>
    <row r="62">
      <c r="A62" s="34" t="n"/>
      <c r="B62" s="34" t="n"/>
      <c r="C62" s="42" t="inlineStr">
        <is>
          <t>Deadlift</t>
        </is>
      </c>
      <c r="D62" s="34" t="inlineStr">
        <is>
          <t>3 x 5</t>
        </is>
      </c>
      <c r="E62" s="34" t="n"/>
      <c r="F62" s="34" t="n">
        <v>77.5</v>
      </c>
      <c r="G62" s="36">
        <f>Maxes!F4</f>
        <v/>
      </c>
      <c r="H62" s="37">
        <f>IF(OR(G62="",F62=""),"",MROUND(G62*F62/100,'Start Here'!$B$7))</f>
        <v/>
      </c>
      <c r="I62" s="34" t="n"/>
      <c r="J62" s="34" t="n"/>
      <c r="K62" s="34" t="n"/>
      <c r="L62" s="34" t="n"/>
      <c r="M62" s="34" t="n"/>
      <c r="N62" s="34" t="n"/>
      <c r="O62" s="38" t="inlineStr"/>
    </row>
    <row r="63">
      <c r="C63" t="inlineStr">
        <is>
          <t xml:space="preserve">      Set 1</t>
        </is>
      </c>
      <c r="E63" t="n">
        <v>5</v>
      </c>
      <c r="H63" s="39">
        <f>IF(H62="","",H62)</f>
        <v/>
      </c>
      <c r="I63" s="7">
        <f>IF(H62="","",H62)</f>
        <v/>
      </c>
      <c r="J63" s="7" t="n">
        <v>5</v>
      </c>
      <c r="K63" s="7" t="n"/>
      <c r="L63" s="40" t="n"/>
      <c r="M63">
        <f>IF(AND(L63&lt;&gt;"",N(I63)&gt;0,N(J63)&gt;0),IF(J63=1,I63,ROUND(I63*(1+J63/30),1)),"")</f>
        <v/>
      </c>
      <c r="N63" s="41">
        <f>IF(M63="","",IF(M63&gt;=PRs!C4,"PR!",""))</f>
        <v/>
      </c>
      <c r="O63" s="7" t="n"/>
    </row>
    <row r="64">
      <c r="C64" t="inlineStr">
        <is>
          <t xml:space="preserve">      Set 2</t>
        </is>
      </c>
      <c r="E64" t="n">
        <v>5</v>
      </c>
      <c r="H64" s="39">
        <f>IF(H62="","",H62)</f>
        <v/>
      </c>
      <c r="I64" s="7">
        <f>IF(H62="","",H62)</f>
        <v/>
      </c>
      <c r="J64" s="7" t="n">
        <v>5</v>
      </c>
      <c r="K64" s="7" t="n"/>
      <c r="L64" s="40" t="n"/>
      <c r="M64">
        <f>IF(AND(L64&lt;&gt;"",N(I64)&gt;0,N(J64)&gt;0),IF(J64=1,I64,ROUND(I64*(1+J64/30),1)),"")</f>
        <v/>
      </c>
      <c r="N64" s="41">
        <f>IF(M64="","",IF(M64&gt;=PRs!C4,"PR!",""))</f>
        <v/>
      </c>
      <c r="O64" s="7" t="n"/>
    </row>
    <row r="65">
      <c r="C65" t="inlineStr">
        <is>
          <t xml:space="preserve">      Set 3</t>
        </is>
      </c>
      <c r="E65" t="n">
        <v>5</v>
      </c>
      <c r="H65" s="39">
        <f>IF(H62="","",H62)</f>
        <v/>
      </c>
      <c r="I65" s="7">
        <f>IF(H62="","",H62)</f>
        <v/>
      </c>
      <c r="J65" s="7" t="n">
        <v>5</v>
      </c>
      <c r="K65" s="7" t="n"/>
      <c r="L65" s="40" t="n"/>
      <c r="M65">
        <f>IF(AND(L65&lt;&gt;"",N(I65)&gt;0,N(J65)&gt;0),IF(J65=1,I65,ROUND(I65*(1+J65/30),1)),"")</f>
        <v/>
      </c>
      <c r="N65" s="41">
        <f>IF(M65="","",IF(M65&gt;=PRs!C4,"PR!",""))</f>
        <v/>
      </c>
      <c r="O65" s="7" t="n"/>
    </row>
    <row r="66">
      <c r="A66" s="34" t="n"/>
      <c r="B66" s="34" t="n"/>
      <c r="C66" s="43" t="inlineStr">
        <is>
          <t>Chin-up</t>
        </is>
      </c>
      <c r="D66" s="34" t="inlineStr">
        <is>
          <t>3 x 6-10</t>
        </is>
      </c>
      <c r="E66" s="34" t="n"/>
      <c r="F66" s="34" t="n"/>
      <c r="G66" s="36" t="n"/>
      <c r="H66" s="37" t="n"/>
      <c r="I66" s="34" t="n"/>
      <c r="J66" s="34" t="n"/>
      <c r="K66" s="34" t="n"/>
      <c r="L66" s="34" t="n"/>
      <c r="M66" s="34" t="n"/>
      <c r="N66" s="34" t="n"/>
      <c r="O66" s="38" t="inlineStr">
        <is>
          <t>Leave 1-2 reps in the tank; add weight when you hit the top of the range</t>
        </is>
      </c>
    </row>
    <row r="67">
      <c r="C67" t="inlineStr">
        <is>
          <t xml:space="preserve">      Set 1</t>
        </is>
      </c>
      <c r="E67" t="n">
        <v>6</v>
      </c>
      <c r="H67" s="39">
        <f>IF(H66="","",H66)</f>
        <v/>
      </c>
      <c r="I67" s="7">
        <f>IF(H66="","",H66)</f>
        <v/>
      </c>
      <c r="J67" s="7" t="n">
        <v>6</v>
      </c>
      <c r="K67" s="7" t="n"/>
      <c r="L67" s="40" t="n"/>
      <c r="M67">
        <f>IF(AND(L67&lt;&gt;"",N(I67)&gt;0,N(J67)&gt;0),IF(J67=1,I67,ROUND(I67*(1+J67/30),1)),"")</f>
        <v/>
      </c>
      <c r="N67" s="41">
        <f>IF(M67="","",IF(M67&gt;=PRs!C53,"PR!",""))</f>
        <v/>
      </c>
      <c r="O67" s="7" t="n"/>
    </row>
    <row r="68">
      <c r="C68" t="inlineStr">
        <is>
          <t xml:space="preserve">      Set 2</t>
        </is>
      </c>
      <c r="E68" t="n">
        <v>6</v>
      </c>
      <c r="H68" s="39">
        <f>IF(H66="","",H66)</f>
        <v/>
      </c>
      <c r="I68" s="7">
        <f>IF(H66="","",H66)</f>
        <v/>
      </c>
      <c r="J68" s="7" t="n">
        <v>6</v>
      </c>
      <c r="K68" s="7" t="n"/>
      <c r="L68" s="40" t="n"/>
      <c r="M68">
        <f>IF(AND(L68&lt;&gt;"",N(I68)&gt;0,N(J68)&gt;0),IF(J68=1,I68,ROUND(I68*(1+J68/30),1)),"")</f>
        <v/>
      </c>
      <c r="N68" s="41">
        <f>IF(M68="","",IF(M68&gt;=PRs!C53,"PR!",""))</f>
        <v/>
      </c>
      <c r="O68" s="7" t="n"/>
    </row>
    <row r="69">
      <c r="C69" t="inlineStr">
        <is>
          <t xml:space="preserve">      Set 3</t>
        </is>
      </c>
      <c r="E69" t="n">
        <v>6</v>
      </c>
      <c r="H69" s="39">
        <f>IF(H66="","",H66)</f>
        <v/>
      </c>
      <c r="I69" s="7">
        <f>IF(H66="","",H66)</f>
        <v/>
      </c>
      <c r="J69" s="7" t="n">
        <v>6</v>
      </c>
      <c r="K69" s="7" t="n"/>
      <c r="L69" s="40" t="n"/>
      <c r="M69">
        <f>IF(AND(L69&lt;&gt;"",N(I69)&gt;0,N(J69)&gt;0),IF(J69=1,I69,ROUND(I69*(1+J69/30),1)),"")</f>
        <v/>
      </c>
      <c r="N69" s="41">
        <f>IF(M69="","",IF(M69&gt;=PRs!C53,"PR!",""))</f>
        <v/>
      </c>
      <c r="O69" s="7" t="n"/>
    </row>
    <row r="70">
      <c r="A70" s="34" t="n"/>
      <c r="B70" s="34" t="n"/>
      <c r="C70" s="43" t="inlineStr">
        <is>
          <t>Plank</t>
        </is>
      </c>
      <c r="D70" s="34" t="inlineStr">
        <is>
          <t>3 x 30-60s</t>
        </is>
      </c>
      <c r="E70" s="34" t="n"/>
      <c r="F70" s="34" t="n"/>
      <c r="G70" s="36" t="n"/>
      <c r="H70" s="37" t="n"/>
      <c r="I70" s="34" t="n"/>
      <c r="J70" s="34" t="n"/>
      <c r="K70" s="34" t="n"/>
      <c r="L70" s="34" t="n"/>
      <c r="M70" s="34" t="n"/>
      <c r="N70" s="34" t="n"/>
      <c r="O70" s="38" t="inlineStr">
        <is>
          <t>Leave 1-2 reps in the tank; add weight when you hit the top of the range</t>
        </is>
      </c>
    </row>
    <row r="71">
      <c r="C71" t="inlineStr">
        <is>
          <t xml:space="preserve">      Set 1</t>
        </is>
      </c>
      <c r="E71" t="n">
        <v>30</v>
      </c>
      <c r="H71" s="39">
        <f>IF(H70="","",H70)</f>
        <v/>
      </c>
      <c r="I71" s="7">
        <f>IF(H70="","",H70)</f>
        <v/>
      </c>
      <c r="J71" s="7" t="n">
        <v>30</v>
      </c>
      <c r="K71" s="7" t="n"/>
      <c r="L71" s="40" t="n"/>
      <c r="M71">
        <f>IF(AND(L71&lt;&gt;"",N(I71)&gt;0,N(J71)&gt;0),IF(J71=1,I71,ROUND(I71*(1+J71/30),1)),"")</f>
        <v/>
      </c>
      <c r="N71" s="41">
        <f>IF(M71="","",IF(M71&gt;=PRs!C56,"PR!",""))</f>
        <v/>
      </c>
      <c r="O71" s="7" t="n"/>
    </row>
    <row r="72">
      <c r="C72" t="inlineStr">
        <is>
          <t xml:space="preserve">      Set 2</t>
        </is>
      </c>
      <c r="E72" t="n">
        <v>30</v>
      </c>
      <c r="H72" s="39">
        <f>IF(H70="","",H70)</f>
        <v/>
      </c>
      <c r="I72" s="7">
        <f>IF(H70="","",H70)</f>
        <v/>
      </c>
      <c r="J72" s="7" t="n">
        <v>30</v>
      </c>
      <c r="K72" s="7" t="n"/>
      <c r="L72" s="40" t="n"/>
      <c r="M72">
        <f>IF(AND(L72&lt;&gt;"",N(I72)&gt;0,N(J72)&gt;0),IF(J72=1,I72,ROUND(I72*(1+J72/30),1)),"")</f>
        <v/>
      </c>
      <c r="N72" s="41">
        <f>IF(M72="","",IF(M72&gt;=PRs!C56,"PR!",""))</f>
        <v/>
      </c>
      <c r="O72" s="7" t="n"/>
    </row>
    <row r="73">
      <c r="C73" t="inlineStr">
        <is>
          <t xml:space="preserve">      Set 3</t>
        </is>
      </c>
      <c r="E73" t="n">
        <v>30</v>
      </c>
      <c r="H73" s="39">
        <f>IF(H70="","",H70)</f>
        <v/>
      </c>
      <c r="I73" s="7">
        <f>IF(H70="","",H70)</f>
        <v/>
      </c>
      <c r="J73" s="7" t="n">
        <v>30</v>
      </c>
      <c r="K73" s="7" t="n"/>
      <c r="L73" s="40" t="n"/>
      <c r="M73">
        <f>IF(AND(L73&lt;&gt;"",N(I73)&gt;0,N(J73)&gt;0),IF(J73=1,I73,ROUND(I73*(1+J73/30),1)),"")</f>
        <v/>
      </c>
      <c r="N73" s="41">
        <f>IF(M73="","",IF(M73&gt;=PRs!C56,"PR!",""))</f>
        <v/>
      </c>
      <c r="O73" s="7" t="n"/>
    </row>
    <row r="74">
      <c r="A74" s="31" t="inlineStr">
        <is>
          <t>Day 3 - Variations</t>
        </is>
      </c>
      <c r="B74" s="32">
        <f>'Start Here'!$B$8+144</f>
        <v/>
      </c>
      <c r="C74" s="33" t="n"/>
      <c r="D74" s="33" t="n"/>
      <c r="E74" s="33" t="n"/>
      <c r="F74" s="33" t="n"/>
      <c r="G74" s="33" t="n"/>
      <c r="H74" s="33" t="n"/>
      <c r="I74" s="33" t="n"/>
      <c r="J74" s="33" t="n"/>
      <c r="K74" s="33" t="n"/>
      <c r="L74" s="33" t="n"/>
      <c r="M74" s="33" t="n"/>
      <c r="N74" s="33" t="n"/>
      <c r="O74" s="33" t="n"/>
    </row>
    <row r="75">
      <c r="A75" s="34" t="n"/>
      <c r="B75" s="34" t="n"/>
      <c r="C75" s="35" t="inlineStr">
        <is>
          <t>Seated Box Jump</t>
        </is>
      </c>
      <c r="D75" s="34" t="inlineStr">
        <is>
          <t>3 x 2</t>
        </is>
      </c>
      <c r="E75" s="34" t="n"/>
      <c r="F75" s="34" t="n"/>
      <c r="G75" s="36" t="n"/>
      <c r="H75" s="37">
        <f>IF(N(Maxes!F76)&gt;0,Maxes!F76,"")</f>
        <v/>
      </c>
      <c r="I75" s="34" t="n"/>
      <c r="J75" s="34" t="n"/>
      <c r="K75" s="34" t="n"/>
      <c r="L75" s="34" t="n"/>
      <c r="M75" s="34" t="n"/>
      <c r="N75" s="34" t="n"/>
      <c r="O75" s="38" t="inlineStr">
        <is>
          <t>Sit on a box, feet flat, then jump from seated onto a second box. Log the landing-box height.</t>
        </is>
      </c>
    </row>
    <row r="76">
      <c r="C76" t="inlineStr">
        <is>
          <t xml:space="preserve">      Set 1</t>
        </is>
      </c>
      <c r="E76" t="n">
        <v>2</v>
      </c>
      <c r="H76" s="39">
        <f>IF(H75="","",H75)</f>
        <v/>
      </c>
      <c r="I76" s="7">
        <f>IF(H75="","",H75)</f>
        <v/>
      </c>
      <c r="J76" s="7" t="n">
        <v>2</v>
      </c>
      <c r="K76" s="7" t="n"/>
      <c r="L76" s="40" t="n"/>
      <c r="N76" s="41">
        <f>IF(AND(L76&lt;&gt;"",N(I76)&gt;0),IF(I76&gt;=PRs!D76,"PR!",""),"")</f>
        <v/>
      </c>
      <c r="O76" s="7" t="n"/>
    </row>
    <row r="77">
      <c r="C77" t="inlineStr">
        <is>
          <t xml:space="preserve">      Set 2</t>
        </is>
      </c>
      <c r="E77" t="n">
        <v>2</v>
      </c>
      <c r="H77" s="39">
        <f>IF(H75="","",H75)</f>
        <v/>
      </c>
      <c r="I77" s="7">
        <f>IF(H75="","",H75)</f>
        <v/>
      </c>
      <c r="J77" s="7" t="n">
        <v>2</v>
      </c>
      <c r="K77" s="7" t="n"/>
      <c r="L77" s="40" t="n"/>
      <c r="N77" s="41">
        <f>IF(AND(L77&lt;&gt;"",N(I77)&gt;0),IF(I77&gt;=PRs!D76,"PR!",""),"")</f>
        <v/>
      </c>
      <c r="O77" s="7" t="n"/>
    </row>
    <row r="78">
      <c r="C78" t="inlineStr">
        <is>
          <t xml:space="preserve">      Set 3</t>
        </is>
      </c>
      <c r="E78" t="n">
        <v>2</v>
      </c>
      <c r="H78" s="39">
        <f>IF(H75="","",H75)</f>
        <v/>
      </c>
      <c r="I78" s="7">
        <f>IF(H75="","",H75)</f>
        <v/>
      </c>
      <c r="J78" s="7" t="n">
        <v>2</v>
      </c>
      <c r="K78" s="7" t="n"/>
      <c r="L78" s="40" t="n"/>
      <c r="N78" s="41">
        <f>IF(AND(L78&lt;&gt;"",N(I78)&gt;0),IF(I78&gt;=PRs!D76,"PR!",""),"")</f>
        <v/>
      </c>
      <c r="O78" s="7" t="n"/>
    </row>
    <row r="79">
      <c r="A79" s="34" t="n"/>
      <c r="B79" s="34" t="n"/>
      <c r="C79" s="42" t="inlineStr">
        <is>
          <t>Push Jerk</t>
        </is>
      </c>
      <c r="D79" s="34" t="inlineStr">
        <is>
          <t>4 x 3</t>
        </is>
      </c>
      <c r="E79" s="34" t="n"/>
      <c r="F79" s="34" t="n">
        <v>77.5</v>
      </c>
      <c r="G79" s="36">
        <f>Maxes!F45</f>
        <v/>
      </c>
      <c r="H79" s="37">
        <f>IF(OR(G79="",F79=""),"",MROUND(G79*F79/100,'Start Here'!$B$7))</f>
        <v/>
      </c>
      <c r="I79" s="34" t="n"/>
      <c r="J79" s="34" t="n"/>
      <c r="K79" s="34" t="n"/>
      <c r="L79" s="34" t="n"/>
      <c r="M79" s="34" t="n"/>
      <c r="N79" s="34" t="n"/>
      <c r="O79" s="38" t="inlineStr"/>
    </row>
    <row r="80">
      <c r="C80" t="inlineStr">
        <is>
          <t xml:space="preserve">      Set 1</t>
        </is>
      </c>
      <c r="E80" t="n">
        <v>3</v>
      </c>
      <c r="H80" s="39">
        <f>IF(H79="","",H79)</f>
        <v/>
      </c>
      <c r="I80" s="7">
        <f>IF(H79="","",H79)</f>
        <v/>
      </c>
      <c r="J80" s="7" t="n">
        <v>3</v>
      </c>
      <c r="K80" s="7" t="n"/>
      <c r="L80" s="40" t="n"/>
      <c r="M80">
        <f>IF(AND(L80&lt;&gt;"",N(I80)&gt;0,N(J80)&gt;0),IF(J80=1,I80,ROUND(I80*(1+J80/30),1)),"")</f>
        <v/>
      </c>
      <c r="N80" s="41">
        <f>IF(M80="","",IF(M80&gt;=PRs!C45,"PR!",""))</f>
        <v/>
      </c>
      <c r="O80" s="7" t="n"/>
    </row>
    <row r="81">
      <c r="C81" t="inlineStr">
        <is>
          <t xml:space="preserve">      Set 2</t>
        </is>
      </c>
      <c r="E81" t="n">
        <v>3</v>
      </c>
      <c r="H81" s="39">
        <f>IF(H79="","",H79)</f>
        <v/>
      </c>
      <c r="I81" s="7">
        <f>IF(H79="","",H79)</f>
        <v/>
      </c>
      <c r="J81" s="7" t="n">
        <v>3</v>
      </c>
      <c r="K81" s="7" t="n"/>
      <c r="L81" s="40" t="n"/>
      <c r="M81">
        <f>IF(AND(L81&lt;&gt;"",N(I81)&gt;0,N(J81)&gt;0),IF(J81=1,I81,ROUND(I81*(1+J81/30),1)),"")</f>
        <v/>
      </c>
      <c r="N81" s="41">
        <f>IF(M81="","",IF(M81&gt;=PRs!C45,"PR!",""))</f>
        <v/>
      </c>
      <c r="O81" s="7" t="n"/>
    </row>
    <row r="82">
      <c r="C82" t="inlineStr">
        <is>
          <t xml:space="preserve">      Set 3</t>
        </is>
      </c>
      <c r="E82" t="n">
        <v>3</v>
      </c>
      <c r="H82" s="39">
        <f>IF(H79="","",H79)</f>
        <v/>
      </c>
      <c r="I82" s="7">
        <f>IF(H79="","",H79)</f>
        <v/>
      </c>
      <c r="J82" s="7" t="n">
        <v>3</v>
      </c>
      <c r="K82" s="7" t="n"/>
      <c r="L82" s="40" t="n"/>
      <c r="M82">
        <f>IF(AND(L82&lt;&gt;"",N(I82)&gt;0,N(J82)&gt;0),IF(J82=1,I82,ROUND(I82*(1+J82/30),1)),"")</f>
        <v/>
      </c>
      <c r="N82" s="41">
        <f>IF(M82="","",IF(M82&gt;=PRs!C45,"PR!",""))</f>
        <v/>
      </c>
      <c r="O82" s="7" t="n"/>
    </row>
    <row r="83">
      <c r="C83" t="inlineStr">
        <is>
          <t xml:space="preserve">      Set 4</t>
        </is>
      </c>
      <c r="E83" t="n">
        <v>3</v>
      </c>
      <c r="H83" s="39">
        <f>IF(H79="","",H79)</f>
        <v/>
      </c>
      <c r="I83" s="7">
        <f>IF(H79="","",H79)</f>
        <v/>
      </c>
      <c r="J83" s="7" t="n">
        <v>3</v>
      </c>
      <c r="K83" s="7" t="n"/>
      <c r="L83" s="40" t="n"/>
      <c r="M83">
        <f>IF(AND(L83&lt;&gt;"",N(I83)&gt;0,N(J83)&gt;0),IF(J83=1,I83,ROUND(I83*(1+J83/30),1)),"")</f>
        <v/>
      </c>
      <c r="N83" s="41">
        <f>IF(M83="","",IF(M83&gt;=PRs!C45,"PR!",""))</f>
        <v/>
      </c>
      <c r="O83" s="7" t="n"/>
    </row>
    <row r="84">
      <c r="A84" s="34" t="n"/>
      <c r="B84" s="34" t="n"/>
      <c r="C84" s="42" t="inlineStr">
        <is>
          <t>Box Squat</t>
        </is>
      </c>
      <c r="D84" s="34" t="inlineStr">
        <is>
          <t>4 x 5</t>
        </is>
      </c>
      <c r="E84" s="34" t="n"/>
      <c r="F84" s="34" t="n">
        <v>77.5</v>
      </c>
      <c r="G84" s="36">
        <f>Maxes!F8</f>
        <v/>
      </c>
      <c r="H84" s="37">
        <f>IF(OR(G84="",F84=""),"",MROUND(G84*F84/100,'Start Here'!$B$7))</f>
        <v/>
      </c>
      <c r="I84" s="34" t="n"/>
      <c r="J84" s="34" t="n"/>
      <c r="K84" s="34" t="n"/>
      <c r="L84" s="34" t="n"/>
      <c r="M84" s="34" t="n"/>
      <c r="N84" s="34" t="n"/>
      <c r="O84" s="38" t="inlineStr"/>
    </row>
    <row r="85">
      <c r="C85" t="inlineStr">
        <is>
          <t xml:space="preserve">      Set 1</t>
        </is>
      </c>
      <c r="E85" t="n">
        <v>5</v>
      </c>
      <c r="H85" s="39">
        <f>IF(H84="","",H84)</f>
        <v/>
      </c>
      <c r="I85" s="7">
        <f>IF(H84="","",H84)</f>
        <v/>
      </c>
      <c r="J85" s="7" t="n">
        <v>5</v>
      </c>
      <c r="K85" s="7" t="n"/>
      <c r="L85" s="40" t="n"/>
      <c r="M85">
        <f>IF(AND(L85&lt;&gt;"",N(I85)&gt;0,N(J85)&gt;0),IF(J85=1,I85,ROUND(I85*(1+J85/30),1)),"")</f>
        <v/>
      </c>
      <c r="N85" s="41">
        <f>IF(M85="","",IF(M85&gt;=PRs!C8,"PR!",""))</f>
        <v/>
      </c>
      <c r="O85" s="7" t="n"/>
    </row>
    <row r="86">
      <c r="C86" t="inlineStr">
        <is>
          <t xml:space="preserve">      Set 2</t>
        </is>
      </c>
      <c r="E86" t="n">
        <v>5</v>
      </c>
      <c r="H86" s="39">
        <f>IF(H84="","",H84)</f>
        <v/>
      </c>
      <c r="I86" s="7">
        <f>IF(H84="","",H84)</f>
        <v/>
      </c>
      <c r="J86" s="7" t="n">
        <v>5</v>
      </c>
      <c r="K86" s="7" t="n"/>
      <c r="L86" s="40" t="n"/>
      <c r="M86">
        <f>IF(AND(L86&lt;&gt;"",N(I86)&gt;0,N(J86)&gt;0),IF(J86=1,I86,ROUND(I86*(1+J86/30),1)),"")</f>
        <v/>
      </c>
      <c r="N86" s="41">
        <f>IF(M86="","",IF(M86&gt;=PRs!C8,"PR!",""))</f>
        <v/>
      </c>
      <c r="O86" s="7" t="n"/>
    </row>
    <row r="87">
      <c r="C87" t="inlineStr">
        <is>
          <t xml:space="preserve">      Set 3</t>
        </is>
      </c>
      <c r="E87" t="n">
        <v>5</v>
      </c>
      <c r="H87" s="39">
        <f>IF(H84="","",H84)</f>
        <v/>
      </c>
      <c r="I87" s="7">
        <f>IF(H84="","",H84)</f>
        <v/>
      </c>
      <c r="J87" s="7" t="n">
        <v>5</v>
      </c>
      <c r="K87" s="7" t="n"/>
      <c r="L87" s="40" t="n"/>
      <c r="M87">
        <f>IF(AND(L87&lt;&gt;"",N(I87)&gt;0,N(J87)&gt;0),IF(J87=1,I87,ROUND(I87*(1+J87/30),1)),"")</f>
        <v/>
      </c>
      <c r="N87" s="41">
        <f>IF(M87="","",IF(M87&gt;=PRs!C8,"PR!",""))</f>
        <v/>
      </c>
      <c r="O87" s="7" t="n"/>
    </row>
    <row r="88">
      <c r="C88" t="inlineStr">
        <is>
          <t xml:space="preserve">      Set 4</t>
        </is>
      </c>
      <c r="E88" t="n">
        <v>5</v>
      </c>
      <c r="H88" s="39">
        <f>IF(H84="","",H84)</f>
        <v/>
      </c>
      <c r="I88" s="7">
        <f>IF(H84="","",H84)</f>
        <v/>
      </c>
      <c r="J88" s="7" t="n">
        <v>5</v>
      </c>
      <c r="K88" s="7" t="n"/>
      <c r="L88" s="40" t="n"/>
      <c r="M88">
        <f>IF(AND(L88&lt;&gt;"",N(I88)&gt;0,N(J88)&gt;0),IF(J88=1,I88,ROUND(I88*(1+J88/30),1)),"")</f>
        <v/>
      </c>
      <c r="N88" s="41">
        <f>IF(M88="","",IF(M88&gt;=PRs!C8,"PR!",""))</f>
        <v/>
      </c>
      <c r="O88" s="7" t="n"/>
    </row>
    <row r="89">
      <c r="A89" s="34" t="n"/>
      <c r="B89" s="34" t="n"/>
      <c r="C89" s="42" t="inlineStr">
        <is>
          <t>3-Board Press</t>
        </is>
      </c>
      <c r="D89" s="34" t="inlineStr">
        <is>
          <t>4 x 5</t>
        </is>
      </c>
      <c r="E89" s="34" t="n"/>
      <c r="F89" s="34" t="n">
        <v>77.5</v>
      </c>
      <c r="G89" s="36">
        <f>Maxes!F17</f>
        <v/>
      </c>
      <c r="H89" s="37">
        <f>IF(OR(G89="",F89=""),"",MROUND(G89*F89/100,'Start Here'!$B$7))</f>
        <v/>
      </c>
      <c r="I89" s="34" t="n"/>
      <c r="J89" s="34" t="n"/>
      <c r="K89" s="34" t="n"/>
      <c r="L89" s="34" t="n"/>
      <c r="M89" s="34" t="n"/>
      <c r="N89" s="34" t="n"/>
      <c r="O89" s="38" t="inlineStr"/>
    </row>
    <row r="90">
      <c r="C90" t="inlineStr">
        <is>
          <t xml:space="preserve">      Set 1</t>
        </is>
      </c>
      <c r="E90" t="n">
        <v>5</v>
      </c>
      <c r="H90" s="39">
        <f>IF(H89="","",H89)</f>
        <v/>
      </c>
      <c r="I90" s="7">
        <f>IF(H89="","",H89)</f>
        <v/>
      </c>
      <c r="J90" s="7" t="n">
        <v>5</v>
      </c>
      <c r="K90" s="7" t="n"/>
      <c r="L90" s="40" t="n"/>
      <c r="M90">
        <f>IF(AND(L90&lt;&gt;"",N(I90)&gt;0,N(J90)&gt;0),IF(J90=1,I90,ROUND(I90*(1+J90/30),1)),"")</f>
        <v/>
      </c>
      <c r="N90" s="41">
        <f>IF(M90="","",IF(M90&gt;=PRs!C17,"PR!",""))</f>
        <v/>
      </c>
      <c r="O90" s="7" t="n"/>
    </row>
    <row r="91">
      <c r="C91" t="inlineStr">
        <is>
          <t xml:space="preserve">      Set 2</t>
        </is>
      </c>
      <c r="E91" t="n">
        <v>5</v>
      </c>
      <c r="H91" s="39">
        <f>IF(H89="","",H89)</f>
        <v/>
      </c>
      <c r="I91" s="7">
        <f>IF(H89="","",H89)</f>
        <v/>
      </c>
      <c r="J91" s="7" t="n">
        <v>5</v>
      </c>
      <c r="K91" s="7" t="n"/>
      <c r="L91" s="40" t="n"/>
      <c r="M91">
        <f>IF(AND(L91&lt;&gt;"",N(I91)&gt;0,N(J91)&gt;0),IF(J91=1,I91,ROUND(I91*(1+J91/30),1)),"")</f>
        <v/>
      </c>
      <c r="N91" s="41">
        <f>IF(M91="","",IF(M91&gt;=PRs!C17,"PR!",""))</f>
        <v/>
      </c>
      <c r="O91" s="7" t="n"/>
    </row>
    <row r="92">
      <c r="C92" t="inlineStr">
        <is>
          <t xml:space="preserve">      Set 3</t>
        </is>
      </c>
      <c r="E92" t="n">
        <v>5</v>
      </c>
      <c r="H92" s="39">
        <f>IF(H89="","",H89)</f>
        <v/>
      </c>
      <c r="I92" s="7">
        <f>IF(H89="","",H89)</f>
        <v/>
      </c>
      <c r="J92" s="7" t="n">
        <v>5</v>
      </c>
      <c r="K92" s="7" t="n"/>
      <c r="L92" s="40" t="n"/>
      <c r="M92">
        <f>IF(AND(L92&lt;&gt;"",N(I92)&gt;0,N(J92)&gt;0),IF(J92=1,I92,ROUND(I92*(1+J92/30),1)),"")</f>
        <v/>
      </c>
      <c r="N92" s="41">
        <f>IF(M92="","",IF(M92&gt;=PRs!C17,"PR!",""))</f>
        <v/>
      </c>
      <c r="O92" s="7" t="n"/>
    </row>
    <row r="93">
      <c r="C93" t="inlineStr">
        <is>
          <t xml:space="preserve">      Set 4</t>
        </is>
      </c>
      <c r="E93" t="n">
        <v>5</v>
      </c>
      <c r="H93" s="39">
        <f>IF(H89="","",H89)</f>
        <v/>
      </c>
      <c r="I93" s="7">
        <f>IF(H89="","",H89)</f>
        <v/>
      </c>
      <c r="J93" s="7" t="n">
        <v>5</v>
      </c>
      <c r="K93" s="7" t="n"/>
      <c r="L93" s="40" t="n"/>
      <c r="M93">
        <f>IF(AND(L93&lt;&gt;"",N(I93)&gt;0,N(J93)&gt;0),IF(J93=1,I93,ROUND(I93*(1+J93/30),1)),"")</f>
        <v/>
      </c>
      <c r="N93" s="41">
        <f>IF(M93="","",IF(M93&gt;=PRs!C17,"PR!",""))</f>
        <v/>
      </c>
      <c r="O93" s="7" t="n"/>
    </row>
    <row r="94">
      <c r="A94" s="34" t="n"/>
      <c r="B94" s="34" t="n"/>
      <c r="C94" s="42" t="inlineStr">
        <is>
          <t>Deficit Deadlift</t>
        </is>
      </c>
      <c r="D94" s="34" t="inlineStr">
        <is>
          <t>4 x 5</t>
        </is>
      </c>
      <c r="E94" s="34" t="n"/>
      <c r="F94" s="34" t="n">
        <v>67.5</v>
      </c>
      <c r="G94" s="36">
        <f>Maxes!F24</f>
        <v/>
      </c>
      <c r="H94" s="37">
        <f>IF(OR(G94="",F94=""),"",MROUND(G94*F94/100,'Start Here'!$B$7))</f>
        <v/>
      </c>
      <c r="I94" s="34" t="n"/>
      <c r="J94" s="34" t="n"/>
      <c r="K94" s="34" t="n"/>
      <c r="L94" s="34" t="n"/>
      <c r="M94" s="34" t="n"/>
      <c r="N94" s="34" t="n"/>
      <c r="O94" s="38" t="inlineStr"/>
    </row>
    <row r="95">
      <c r="C95" t="inlineStr">
        <is>
          <t xml:space="preserve">      Set 1</t>
        </is>
      </c>
      <c r="E95" t="n">
        <v>5</v>
      </c>
      <c r="H95" s="39">
        <f>IF(H94="","",H94)</f>
        <v/>
      </c>
      <c r="I95" s="7">
        <f>IF(H94="","",H94)</f>
        <v/>
      </c>
      <c r="J95" s="7" t="n">
        <v>5</v>
      </c>
      <c r="K95" s="7" t="n"/>
      <c r="L95" s="40" t="n"/>
      <c r="M95">
        <f>IF(AND(L95&lt;&gt;"",N(I95)&gt;0,N(J95)&gt;0),IF(J95=1,I95,ROUND(I95*(1+J95/30),1)),"")</f>
        <v/>
      </c>
      <c r="N95" s="41">
        <f>IF(M95="","",IF(M95&gt;=PRs!C24,"PR!",""))</f>
        <v/>
      </c>
      <c r="O95" s="7" t="n"/>
    </row>
    <row r="96">
      <c r="C96" t="inlineStr">
        <is>
          <t xml:space="preserve">      Set 2</t>
        </is>
      </c>
      <c r="E96" t="n">
        <v>5</v>
      </c>
      <c r="H96" s="39">
        <f>IF(H94="","",H94)</f>
        <v/>
      </c>
      <c r="I96" s="7">
        <f>IF(H94="","",H94)</f>
        <v/>
      </c>
      <c r="J96" s="7" t="n">
        <v>5</v>
      </c>
      <c r="K96" s="7" t="n"/>
      <c r="L96" s="40" t="n"/>
      <c r="M96">
        <f>IF(AND(L96&lt;&gt;"",N(I96)&gt;0,N(J96)&gt;0),IF(J96=1,I96,ROUND(I96*(1+J96/30),1)),"")</f>
        <v/>
      </c>
      <c r="N96" s="41">
        <f>IF(M96="","",IF(M96&gt;=PRs!C24,"PR!",""))</f>
        <v/>
      </c>
      <c r="O96" s="7" t="n"/>
    </row>
    <row r="97">
      <c r="C97" t="inlineStr">
        <is>
          <t xml:space="preserve">      Set 3</t>
        </is>
      </c>
      <c r="E97" t="n">
        <v>5</v>
      </c>
      <c r="H97" s="39">
        <f>IF(H94="","",H94)</f>
        <v/>
      </c>
      <c r="I97" s="7">
        <f>IF(H94="","",H94)</f>
        <v/>
      </c>
      <c r="J97" s="7" t="n">
        <v>5</v>
      </c>
      <c r="K97" s="7" t="n"/>
      <c r="L97" s="40" t="n"/>
      <c r="M97">
        <f>IF(AND(L97&lt;&gt;"",N(I97)&gt;0,N(J97)&gt;0),IF(J97=1,I97,ROUND(I97*(1+J97/30),1)),"")</f>
        <v/>
      </c>
      <c r="N97" s="41">
        <f>IF(M97="","",IF(M97&gt;=PRs!C24,"PR!",""))</f>
        <v/>
      </c>
      <c r="O97" s="7" t="n"/>
    </row>
    <row r="98">
      <c r="C98" t="inlineStr">
        <is>
          <t xml:space="preserve">      Set 4</t>
        </is>
      </c>
      <c r="E98" t="n">
        <v>5</v>
      </c>
      <c r="H98" s="39">
        <f>IF(H94="","",H94)</f>
        <v/>
      </c>
      <c r="I98" s="7">
        <f>IF(H94="","",H94)</f>
        <v/>
      </c>
      <c r="J98" s="7" t="n">
        <v>5</v>
      </c>
      <c r="K98" s="7" t="n"/>
      <c r="L98" s="40" t="n"/>
      <c r="M98">
        <f>IF(AND(L98&lt;&gt;"",N(I98)&gt;0,N(J98)&gt;0),IF(J98=1,I98,ROUND(I98*(1+J98/30),1)),"")</f>
        <v/>
      </c>
      <c r="N98" s="41">
        <f>IF(M98="","",IF(M98&gt;=PRs!C24,"PR!",""))</f>
        <v/>
      </c>
      <c r="O98" s="7" t="n"/>
    </row>
    <row r="99">
      <c r="A99" s="34" t="n"/>
      <c r="B99" s="34" t="n"/>
      <c r="C99" s="43" t="inlineStr">
        <is>
          <t>Incline Dumbbell Press</t>
        </is>
      </c>
      <c r="D99" s="34" t="inlineStr">
        <is>
          <t>3 x 8-12</t>
        </is>
      </c>
      <c r="E99" s="34" t="n"/>
      <c r="F99" s="34" t="n"/>
      <c r="G99" s="36" t="n"/>
      <c r="H99" s="37" t="n"/>
      <c r="I99" s="34" t="n"/>
      <c r="J99" s="34" t="n"/>
      <c r="K99" s="34" t="n"/>
      <c r="L99" s="34" t="n"/>
      <c r="M99" s="34" t="n"/>
      <c r="N99" s="34" t="n"/>
      <c r="O99" s="38" t="inlineStr">
        <is>
          <t>Leave 1-2 reps in the tank; add weight when you hit the top of the range</t>
        </is>
      </c>
    </row>
    <row r="100">
      <c r="C100" t="inlineStr">
        <is>
          <t xml:space="preserve">      Set 1</t>
        </is>
      </c>
      <c r="E100" t="n">
        <v>8</v>
      </c>
      <c r="H100" s="39">
        <f>IF(H99="","",H99)</f>
        <v/>
      </c>
      <c r="I100" s="7">
        <f>IF(H99="","",H99)</f>
        <v/>
      </c>
      <c r="J100" s="7" t="n">
        <v>8</v>
      </c>
      <c r="K100" s="7" t="n"/>
      <c r="L100" s="40" t="n"/>
      <c r="M100">
        <f>IF(AND(L100&lt;&gt;"",N(I100)&gt;0,N(J100)&gt;0),IF(J100=1,I100,ROUND(I100*(1+J100/30),1)),"")</f>
        <v/>
      </c>
      <c r="N100" s="41">
        <f>IF(M100="","",IF(M100&gt;=PRs!C57,"PR!",""))</f>
        <v/>
      </c>
      <c r="O100" s="7" t="n"/>
    </row>
    <row r="101">
      <c r="C101" t="inlineStr">
        <is>
          <t xml:space="preserve">      Set 2</t>
        </is>
      </c>
      <c r="E101" t="n">
        <v>8</v>
      </c>
      <c r="H101" s="39">
        <f>IF(H99="","",H99)</f>
        <v/>
      </c>
      <c r="I101" s="7">
        <f>IF(H99="","",H99)</f>
        <v/>
      </c>
      <c r="J101" s="7" t="n">
        <v>8</v>
      </c>
      <c r="K101" s="7" t="n"/>
      <c r="L101" s="40" t="n"/>
      <c r="M101">
        <f>IF(AND(L101&lt;&gt;"",N(I101)&gt;0,N(J101)&gt;0),IF(J101=1,I101,ROUND(I101*(1+J101/30),1)),"")</f>
        <v/>
      </c>
      <c r="N101" s="41">
        <f>IF(M101="","",IF(M101&gt;=PRs!C57,"PR!",""))</f>
        <v/>
      </c>
      <c r="O101" s="7" t="n"/>
    </row>
    <row r="102">
      <c r="C102" t="inlineStr">
        <is>
          <t xml:space="preserve">      Set 3</t>
        </is>
      </c>
      <c r="E102" t="n">
        <v>8</v>
      </c>
      <c r="H102" s="39">
        <f>IF(H99="","",H99)</f>
        <v/>
      </c>
      <c r="I102" s="7">
        <f>IF(H99="","",H99)</f>
        <v/>
      </c>
      <c r="J102" s="7" t="n">
        <v>8</v>
      </c>
      <c r="K102" s="7" t="n"/>
      <c r="L102" s="40" t="n"/>
      <c r="M102">
        <f>IF(AND(L102&lt;&gt;"",N(I102)&gt;0,N(J102)&gt;0),IF(J102=1,I102,ROUND(I102*(1+J102/30),1)),"")</f>
        <v/>
      </c>
      <c r="N102" s="41">
        <f>IF(M102="","",IF(M102&gt;=PRs!C57,"PR!",""))</f>
        <v/>
      </c>
      <c r="O102" s="7" t="n"/>
    </row>
    <row r="103">
      <c r="A103" s="34" t="n"/>
      <c r="B103" s="34" t="n"/>
      <c r="C103" s="43" t="inlineStr">
        <is>
          <t>Triceps Pushdown</t>
        </is>
      </c>
      <c r="D103" s="34" t="inlineStr">
        <is>
          <t>3 x 10-15</t>
        </is>
      </c>
      <c r="E103" s="34" t="n"/>
      <c r="F103" s="34" t="n"/>
      <c r="G103" s="36" t="n"/>
      <c r="H103" s="37" t="n"/>
      <c r="I103" s="34" t="n"/>
      <c r="J103" s="34" t="n"/>
      <c r="K103" s="34" t="n"/>
      <c r="L103" s="34" t="n"/>
      <c r="M103" s="34" t="n"/>
      <c r="N103" s="34" t="n"/>
      <c r="O103" s="38" t="inlineStr">
        <is>
          <t>Leave 1-2 reps in the tank; add weight when you hit the top of the range</t>
        </is>
      </c>
    </row>
    <row r="104">
      <c r="C104" t="inlineStr">
        <is>
          <t xml:space="preserve">      Set 1</t>
        </is>
      </c>
      <c r="E104" t="n">
        <v>10</v>
      </c>
      <c r="H104" s="39">
        <f>IF(H103="","",H103)</f>
        <v/>
      </c>
      <c r="I104" s="7">
        <f>IF(H103="","",H103)</f>
        <v/>
      </c>
      <c r="J104" s="7" t="n">
        <v>10</v>
      </c>
      <c r="K104" s="7" t="n"/>
      <c r="L104" s="40" t="n"/>
      <c r="M104">
        <f>IF(AND(L104&lt;&gt;"",N(I104)&gt;0,N(J104)&gt;0),IF(J104=1,I104,ROUND(I104*(1+J104/30),1)),"")</f>
        <v/>
      </c>
      <c r="N104" s="41">
        <f>IF(M104="","",IF(M104&gt;=PRs!C59,"PR!",""))</f>
        <v/>
      </c>
      <c r="O104" s="7" t="n"/>
    </row>
    <row r="105">
      <c r="C105" t="inlineStr">
        <is>
          <t xml:space="preserve">      Set 2</t>
        </is>
      </c>
      <c r="E105" t="n">
        <v>10</v>
      </c>
      <c r="H105" s="39">
        <f>IF(H103="","",H103)</f>
        <v/>
      </c>
      <c r="I105" s="7">
        <f>IF(H103="","",H103)</f>
        <v/>
      </c>
      <c r="J105" s="7" t="n">
        <v>10</v>
      </c>
      <c r="K105" s="7" t="n"/>
      <c r="L105" s="40" t="n"/>
      <c r="M105">
        <f>IF(AND(L105&lt;&gt;"",N(I105)&gt;0,N(J105)&gt;0),IF(J105=1,I105,ROUND(I105*(1+J105/30),1)),"")</f>
        <v/>
      </c>
      <c r="N105" s="41">
        <f>IF(M105="","",IF(M105&gt;=PRs!C59,"PR!",""))</f>
        <v/>
      </c>
      <c r="O105" s="7" t="n"/>
    </row>
    <row r="106">
      <c r="C106" t="inlineStr">
        <is>
          <t xml:space="preserve">      Set 3</t>
        </is>
      </c>
      <c r="E106" t="n">
        <v>10</v>
      </c>
      <c r="H106" s="39">
        <f>IF(H103="","",H103)</f>
        <v/>
      </c>
      <c r="I106" s="7">
        <f>IF(H103="","",H103)</f>
        <v/>
      </c>
      <c r="J106" s="7" t="n">
        <v>10</v>
      </c>
      <c r="K106" s="7" t="n"/>
      <c r="L106" s="40" t="n"/>
      <c r="M106">
        <f>IF(AND(L106&lt;&gt;"",N(I106)&gt;0,N(J106)&gt;0),IF(J106=1,I106,ROUND(I106*(1+J106/30),1)),"")</f>
        <v/>
      </c>
      <c r="N106" s="41">
        <f>IF(M106="","",IF(M106&gt;=PRs!C59,"PR!",""))</f>
        <v/>
      </c>
      <c r="O106" s="7" t="n"/>
    </row>
    <row r="108">
      <c r="A108" s="54" t="inlineStr">
        <is>
          <t>WEEK 22 - CYCLE 2 - REALIZATION</t>
        </is>
      </c>
      <c r="B108" s="55" t="n"/>
      <c r="C108" s="55" t="n"/>
      <c r="D108" s="55" t="n"/>
      <c r="E108" s="55" t="n"/>
      <c r="F108" s="55" t="n"/>
      <c r="G108" s="55" t="n"/>
      <c r="H108" s="56" t="inlineStr">
        <is>
          <t>Bodyweight:</t>
        </is>
      </c>
      <c r="I108" s="7" t="n"/>
      <c r="J108" s="55" t="n"/>
      <c r="K108" s="55" t="n"/>
      <c r="L108" s="55" t="n"/>
      <c r="M108" s="55" t="n"/>
      <c r="N108" s="55" t="n"/>
      <c r="O108" s="55" t="n"/>
    </row>
    <row r="109">
      <c r="A109" s="31" t="inlineStr">
        <is>
          <t>Day 1 - Heavy</t>
        </is>
      </c>
      <c r="B109" s="32">
        <f>'Start Here'!$B$8+147</f>
        <v/>
      </c>
      <c r="C109" s="33" t="n"/>
      <c r="D109" s="33" t="n"/>
      <c r="E109" s="33" t="n"/>
      <c r="F109" s="33" t="n"/>
      <c r="G109" s="33" t="n"/>
      <c r="H109" s="33" t="n"/>
      <c r="I109" s="33" t="n"/>
      <c r="J109" s="33" t="n"/>
      <c r="K109" s="33" t="n"/>
      <c r="L109" s="33" t="n"/>
      <c r="M109" s="33" t="n"/>
      <c r="N109" s="33" t="n"/>
      <c r="O109" s="33" t="n"/>
    </row>
    <row r="110">
      <c r="A110" s="34" t="n"/>
      <c r="B110" s="34" t="n"/>
      <c r="C110" s="35" t="inlineStr">
        <is>
          <t>Box Jump</t>
        </is>
      </c>
      <c r="D110" s="34" t="inlineStr">
        <is>
          <t>3 x 2</t>
        </is>
      </c>
      <c r="E110" s="34" t="n"/>
      <c r="F110" s="34" t="n"/>
      <c r="G110" s="36" t="n"/>
      <c r="H110" s="37">
        <f>IF(N(Maxes!F69)&gt;0,Maxes!F69,'Start Here'!$G$16)</f>
        <v/>
      </c>
      <c r="I110" s="34" t="n"/>
      <c r="J110" s="34" t="n"/>
      <c r="K110" s="34" t="n"/>
      <c r="L110" s="34" t="n"/>
      <c r="M110" s="34" t="n"/>
      <c r="N110" s="34" t="n"/>
      <c r="O110" s="38" t="inlineStr">
        <is>
          <t>Two-foot jump onto a box, land soft in a quarter squat, STEP down. Log the box height (floor to top of box).</t>
        </is>
      </c>
    </row>
    <row r="111">
      <c r="C111" t="inlineStr">
        <is>
          <t xml:space="preserve">      Set 1</t>
        </is>
      </c>
      <c r="E111" t="n">
        <v>2</v>
      </c>
      <c r="H111" s="39">
        <f>IF(H110="","",H110)</f>
        <v/>
      </c>
      <c r="I111" s="7">
        <f>IF(H110="","",H110)</f>
        <v/>
      </c>
      <c r="J111" s="7" t="n">
        <v>2</v>
      </c>
      <c r="K111" s="7" t="n"/>
      <c r="L111" s="40" t="n"/>
      <c r="N111" s="41">
        <f>IF(AND(L111&lt;&gt;"",N(I111)&gt;0),IF(I111&gt;=PRs!D69,"PR!",""),"")</f>
        <v/>
      </c>
      <c r="O111" s="7" t="n"/>
    </row>
    <row r="112">
      <c r="C112" t="inlineStr">
        <is>
          <t xml:space="preserve">      Set 2</t>
        </is>
      </c>
      <c r="E112" t="n">
        <v>2</v>
      </c>
      <c r="H112" s="39">
        <f>IF(H110="","",H110)</f>
        <v/>
      </c>
      <c r="I112" s="7">
        <f>IF(H110="","",H110)</f>
        <v/>
      </c>
      <c r="J112" s="7" t="n">
        <v>2</v>
      </c>
      <c r="K112" s="7" t="n"/>
      <c r="L112" s="40" t="n"/>
      <c r="N112" s="41">
        <f>IF(AND(L112&lt;&gt;"",N(I112)&gt;0),IF(I112&gt;=PRs!D69,"PR!",""),"")</f>
        <v/>
      </c>
      <c r="O112" s="7" t="n"/>
    </row>
    <row r="113">
      <c r="C113" t="inlineStr">
        <is>
          <t xml:space="preserve">      Set 3</t>
        </is>
      </c>
      <c r="E113" t="n">
        <v>2</v>
      </c>
      <c r="H113" s="39">
        <f>IF(H110="","",H110)</f>
        <v/>
      </c>
      <c r="I113" s="7">
        <f>IF(H110="","",H110)</f>
        <v/>
      </c>
      <c r="J113" s="7" t="n">
        <v>2</v>
      </c>
      <c r="K113" s="7" t="n"/>
      <c r="L113" s="40" t="n"/>
      <c r="N113" s="41">
        <f>IF(AND(L113&lt;&gt;"",N(I113)&gt;0),IF(I113&gt;=PRs!D69,"PR!",""),"")</f>
        <v/>
      </c>
      <c r="O113" s="7" t="n"/>
    </row>
    <row r="114">
      <c r="A114" s="34" t="n"/>
      <c r="B114" s="34" t="n"/>
      <c r="C114" s="42" t="inlineStr">
        <is>
          <t>Snatch</t>
        </is>
      </c>
      <c r="D114" s="34" t="inlineStr">
        <is>
          <t>4 x 1</t>
        </is>
      </c>
      <c r="E114" s="34" t="n"/>
      <c r="F114" s="34" t="n">
        <v>90</v>
      </c>
      <c r="G114" s="36">
        <f>Maxes!F6</f>
        <v/>
      </c>
      <c r="H114" s="37">
        <f>IF(OR(G114="",F114=""),"",MROUND(G114*F114/100,'Start Here'!$B$7))</f>
        <v/>
      </c>
      <c r="I114" s="34" t="n"/>
      <c r="J114" s="34" t="n"/>
      <c r="K114" s="34" t="n"/>
      <c r="L114" s="34" t="n"/>
      <c r="M114" s="34" t="n"/>
      <c r="N114" s="34" t="n"/>
      <c r="O114" s="38" t="inlineStr"/>
    </row>
    <row r="115">
      <c r="C115" t="inlineStr">
        <is>
          <t xml:space="preserve">      Set 1</t>
        </is>
      </c>
      <c r="E115" t="n">
        <v>1</v>
      </c>
      <c r="H115" s="39">
        <f>IF(H114="","",H114)</f>
        <v/>
      </c>
      <c r="I115" s="7">
        <f>IF(H114="","",H114)</f>
        <v/>
      </c>
      <c r="J115" s="7" t="n">
        <v>1</v>
      </c>
      <c r="K115" s="7" t="n"/>
      <c r="L115" s="40" t="n"/>
      <c r="M115">
        <f>IF(AND(L115&lt;&gt;"",N(I115)&gt;0,N(J115)&gt;0),IF(J115=1,I115,ROUND(I115*(1+J115/30),1)),"")</f>
        <v/>
      </c>
      <c r="N115" s="41">
        <f>IF(M115="","",IF(M115&gt;=PRs!C6,"PR!",""))</f>
        <v/>
      </c>
      <c r="O115" s="7" t="n"/>
    </row>
    <row r="116">
      <c r="C116" t="inlineStr">
        <is>
          <t xml:space="preserve">      Set 2</t>
        </is>
      </c>
      <c r="E116" t="n">
        <v>1</v>
      </c>
      <c r="H116" s="39">
        <f>IF(H114="","",H114)</f>
        <v/>
      </c>
      <c r="I116" s="7">
        <f>IF(H114="","",H114)</f>
        <v/>
      </c>
      <c r="J116" s="7" t="n">
        <v>1</v>
      </c>
      <c r="K116" s="7" t="n"/>
      <c r="L116" s="40" t="n"/>
      <c r="M116">
        <f>IF(AND(L116&lt;&gt;"",N(I116)&gt;0,N(J116)&gt;0),IF(J116=1,I116,ROUND(I116*(1+J116/30),1)),"")</f>
        <v/>
      </c>
      <c r="N116" s="41">
        <f>IF(M116="","",IF(M116&gt;=PRs!C6,"PR!",""))</f>
        <v/>
      </c>
      <c r="O116" s="7" t="n"/>
    </row>
    <row r="117">
      <c r="C117" t="inlineStr">
        <is>
          <t xml:space="preserve">      Set 3</t>
        </is>
      </c>
      <c r="E117" t="n">
        <v>1</v>
      </c>
      <c r="H117" s="39">
        <f>IF(H114="","",H114)</f>
        <v/>
      </c>
      <c r="I117" s="7">
        <f>IF(H114="","",H114)</f>
        <v/>
      </c>
      <c r="J117" s="7" t="n">
        <v>1</v>
      </c>
      <c r="K117" s="7" t="n"/>
      <c r="L117" s="40" t="n"/>
      <c r="M117">
        <f>IF(AND(L117&lt;&gt;"",N(I117)&gt;0,N(J117)&gt;0),IF(J117=1,I117,ROUND(I117*(1+J117/30),1)),"")</f>
        <v/>
      </c>
      <c r="N117" s="41">
        <f>IF(M117="","",IF(M117&gt;=PRs!C6,"PR!",""))</f>
        <v/>
      </c>
      <c r="O117" s="7" t="n"/>
    </row>
    <row r="118">
      <c r="C118" t="inlineStr">
        <is>
          <t xml:space="preserve">      Set 4</t>
        </is>
      </c>
      <c r="E118" t="n">
        <v>1</v>
      </c>
      <c r="H118" s="39">
        <f>IF(H114="","",H114)</f>
        <v/>
      </c>
      <c r="I118" s="7">
        <f>IF(H114="","",H114)</f>
        <v/>
      </c>
      <c r="J118" s="7" t="n">
        <v>1</v>
      </c>
      <c r="K118" s="7" t="n"/>
      <c r="L118" s="40" t="n"/>
      <c r="M118">
        <f>IF(AND(L118&lt;&gt;"",N(I118)&gt;0,N(J118)&gt;0),IF(J118=1,I118,ROUND(I118*(1+J118/30),1)),"")</f>
        <v/>
      </c>
      <c r="N118" s="41">
        <f>IF(M118="","",IF(M118&gt;=PRs!C6,"PR!",""))</f>
        <v/>
      </c>
      <c r="O118" s="7" t="n"/>
    </row>
    <row r="119">
      <c r="A119" s="34" t="n"/>
      <c r="B119" s="34" t="n"/>
      <c r="C119" s="42" t="inlineStr">
        <is>
          <t>Squat</t>
        </is>
      </c>
      <c r="D119" s="34" t="inlineStr">
        <is>
          <t>4 x 2</t>
        </is>
      </c>
      <c r="E119" s="34" t="n"/>
      <c r="F119" s="34" t="n">
        <v>90</v>
      </c>
      <c r="G119" s="36">
        <f>Maxes!F2</f>
        <v/>
      </c>
      <c r="H119" s="37">
        <f>IF(OR(G119="",F119=""),"",MROUND(G119*F119/100,'Start Here'!$B$7))</f>
        <v/>
      </c>
      <c r="I119" s="34" t="n"/>
      <c r="J119" s="34" t="n"/>
      <c r="K119" s="34" t="n"/>
      <c r="L119" s="34" t="n"/>
      <c r="M119" s="34" t="n"/>
      <c r="N119" s="34" t="n"/>
      <c r="O119" s="38" t="inlineStr"/>
    </row>
    <row r="120">
      <c r="C120" t="inlineStr">
        <is>
          <t xml:space="preserve">      Set 1</t>
        </is>
      </c>
      <c r="E120" t="n">
        <v>2</v>
      </c>
      <c r="H120" s="39">
        <f>IF(H119="","",H119)</f>
        <v/>
      </c>
      <c r="I120" s="7">
        <f>IF(H119="","",H119)</f>
        <v/>
      </c>
      <c r="J120" s="7" t="n">
        <v>2</v>
      </c>
      <c r="K120" s="7" t="n"/>
      <c r="L120" s="40" t="n"/>
      <c r="M120">
        <f>IF(AND(L120&lt;&gt;"",N(I120)&gt;0,N(J120)&gt;0),IF(J120=1,I120,ROUND(I120*(1+J120/30),1)),"")</f>
        <v/>
      </c>
      <c r="N120" s="41">
        <f>IF(M120="","",IF(M120&gt;=PRs!C2,"PR!",""))</f>
        <v/>
      </c>
      <c r="O120" s="7" t="n"/>
    </row>
    <row r="121">
      <c r="C121" t="inlineStr">
        <is>
          <t xml:space="preserve">      Set 2</t>
        </is>
      </c>
      <c r="E121" t="n">
        <v>2</v>
      </c>
      <c r="H121" s="39">
        <f>IF(H119="","",H119)</f>
        <v/>
      </c>
      <c r="I121" s="7">
        <f>IF(H119="","",H119)</f>
        <v/>
      </c>
      <c r="J121" s="7" t="n">
        <v>2</v>
      </c>
      <c r="K121" s="7" t="n"/>
      <c r="L121" s="40" t="n"/>
      <c r="M121">
        <f>IF(AND(L121&lt;&gt;"",N(I121)&gt;0,N(J121)&gt;0),IF(J121=1,I121,ROUND(I121*(1+J121/30),1)),"")</f>
        <v/>
      </c>
      <c r="N121" s="41">
        <f>IF(M121="","",IF(M121&gt;=PRs!C2,"PR!",""))</f>
        <v/>
      </c>
      <c r="O121" s="7" t="n"/>
    </row>
    <row r="122">
      <c r="C122" t="inlineStr">
        <is>
          <t xml:space="preserve">      Set 3</t>
        </is>
      </c>
      <c r="E122" t="n">
        <v>2</v>
      </c>
      <c r="H122" s="39">
        <f>IF(H119="","",H119)</f>
        <v/>
      </c>
      <c r="I122" s="7">
        <f>IF(H119="","",H119)</f>
        <v/>
      </c>
      <c r="J122" s="7" t="n">
        <v>2</v>
      </c>
      <c r="K122" s="7" t="n"/>
      <c r="L122" s="40" t="n"/>
      <c r="M122">
        <f>IF(AND(L122&lt;&gt;"",N(I122)&gt;0,N(J122)&gt;0),IF(J122=1,I122,ROUND(I122*(1+J122/30),1)),"")</f>
        <v/>
      </c>
      <c r="N122" s="41">
        <f>IF(M122="","",IF(M122&gt;=PRs!C2,"PR!",""))</f>
        <v/>
      </c>
      <c r="O122" s="7" t="n"/>
    </row>
    <row r="123">
      <c r="C123" t="inlineStr">
        <is>
          <t xml:space="preserve">      Set 4</t>
        </is>
      </c>
      <c r="E123" t="n">
        <v>2</v>
      </c>
      <c r="H123" s="39">
        <f>IF(H119="","",H119)</f>
        <v/>
      </c>
      <c r="I123" s="7">
        <f>IF(H119="","",H119)</f>
        <v/>
      </c>
      <c r="J123" s="7" t="n">
        <v>2</v>
      </c>
      <c r="K123" s="7" t="n"/>
      <c r="L123" s="40" t="n"/>
      <c r="M123">
        <f>IF(AND(L123&lt;&gt;"",N(I123)&gt;0,N(J123)&gt;0),IF(J123=1,I123,ROUND(I123*(1+J123/30),1)),"")</f>
        <v/>
      </c>
      <c r="N123" s="41">
        <f>IF(M123="","",IF(M123&gt;=PRs!C2,"PR!",""))</f>
        <v/>
      </c>
      <c r="O123" s="7" t="n"/>
    </row>
    <row r="124">
      <c r="A124" s="34" t="n"/>
      <c r="B124" s="34" t="n"/>
      <c r="C124" s="42" t="inlineStr">
        <is>
          <t>Bench Press</t>
        </is>
      </c>
      <c r="D124" s="34" t="inlineStr">
        <is>
          <t>4 x 2</t>
        </is>
      </c>
      <c r="E124" s="34" t="n"/>
      <c r="F124" s="34" t="n">
        <v>90</v>
      </c>
      <c r="G124" s="36">
        <f>Maxes!F3</f>
        <v/>
      </c>
      <c r="H124" s="37">
        <f>IF(OR(G124="",F124=""),"",MROUND(G124*F124/100,'Start Here'!$B$7))</f>
        <v/>
      </c>
      <c r="I124" s="34" t="n"/>
      <c r="J124" s="34" t="n"/>
      <c r="K124" s="34" t="n"/>
      <c r="L124" s="34" t="n"/>
      <c r="M124" s="34" t="n"/>
      <c r="N124" s="34" t="n"/>
      <c r="O124" s="38" t="inlineStr"/>
    </row>
    <row r="125">
      <c r="C125" t="inlineStr">
        <is>
          <t xml:space="preserve">      Set 1</t>
        </is>
      </c>
      <c r="E125" t="n">
        <v>2</v>
      </c>
      <c r="H125" s="39">
        <f>IF(H124="","",H124)</f>
        <v/>
      </c>
      <c r="I125" s="7">
        <f>IF(H124="","",H124)</f>
        <v/>
      </c>
      <c r="J125" s="7" t="n">
        <v>2</v>
      </c>
      <c r="K125" s="7" t="n"/>
      <c r="L125" s="40" t="n"/>
      <c r="M125">
        <f>IF(AND(L125&lt;&gt;"",N(I125)&gt;0,N(J125)&gt;0),IF(J125=1,I125,ROUND(I125*(1+J125/30),1)),"")</f>
        <v/>
      </c>
      <c r="N125" s="41">
        <f>IF(M125="","",IF(M125&gt;=PRs!C3,"PR!",""))</f>
        <v/>
      </c>
      <c r="O125" s="7" t="n"/>
    </row>
    <row r="126">
      <c r="C126" t="inlineStr">
        <is>
          <t xml:space="preserve">      Set 2</t>
        </is>
      </c>
      <c r="E126" t="n">
        <v>2</v>
      </c>
      <c r="H126" s="39">
        <f>IF(H124="","",H124)</f>
        <v/>
      </c>
      <c r="I126" s="7">
        <f>IF(H124="","",H124)</f>
        <v/>
      </c>
      <c r="J126" s="7" t="n">
        <v>2</v>
      </c>
      <c r="K126" s="7" t="n"/>
      <c r="L126" s="40" t="n"/>
      <c r="M126">
        <f>IF(AND(L126&lt;&gt;"",N(I126)&gt;0,N(J126)&gt;0),IF(J126=1,I126,ROUND(I126*(1+J126/30),1)),"")</f>
        <v/>
      </c>
      <c r="N126" s="41">
        <f>IF(M126="","",IF(M126&gt;=PRs!C3,"PR!",""))</f>
        <v/>
      </c>
      <c r="O126" s="7" t="n"/>
    </row>
    <row r="127">
      <c r="C127" t="inlineStr">
        <is>
          <t xml:space="preserve">      Set 3</t>
        </is>
      </c>
      <c r="E127" t="n">
        <v>2</v>
      </c>
      <c r="H127" s="39">
        <f>IF(H124="","",H124)</f>
        <v/>
      </c>
      <c r="I127" s="7">
        <f>IF(H124="","",H124)</f>
        <v/>
      </c>
      <c r="J127" s="7" t="n">
        <v>2</v>
      </c>
      <c r="K127" s="7" t="n"/>
      <c r="L127" s="40" t="n"/>
      <c r="M127">
        <f>IF(AND(L127&lt;&gt;"",N(I127)&gt;0,N(J127)&gt;0),IF(J127=1,I127,ROUND(I127*(1+J127/30),1)),"")</f>
        <v/>
      </c>
      <c r="N127" s="41">
        <f>IF(M127="","",IF(M127&gt;=PRs!C3,"PR!",""))</f>
        <v/>
      </c>
      <c r="O127" s="7" t="n"/>
    </row>
    <row r="128">
      <c r="C128" t="inlineStr">
        <is>
          <t xml:space="preserve">      Set 4</t>
        </is>
      </c>
      <c r="E128" t="n">
        <v>2</v>
      </c>
      <c r="H128" s="39">
        <f>IF(H124="","",H124)</f>
        <v/>
      </c>
      <c r="I128" s="7">
        <f>IF(H124="","",H124)</f>
        <v/>
      </c>
      <c r="J128" s="7" t="n">
        <v>2</v>
      </c>
      <c r="K128" s="7" t="n"/>
      <c r="L128" s="40" t="n"/>
      <c r="M128">
        <f>IF(AND(L128&lt;&gt;"",N(I128)&gt;0,N(J128)&gt;0),IF(J128=1,I128,ROUND(I128*(1+J128/30),1)),"")</f>
        <v/>
      </c>
      <c r="N128" s="41">
        <f>IF(M128="","",IF(M128&gt;=PRs!C3,"PR!",""))</f>
        <v/>
      </c>
      <c r="O128" s="7" t="n"/>
    </row>
    <row r="129">
      <c r="A129" s="34" t="n"/>
      <c r="B129" s="34" t="n"/>
      <c r="C129" s="43" t="inlineStr">
        <is>
          <t>Barbell Row</t>
        </is>
      </c>
      <c r="D129" s="34" t="inlineStr">
        <is>
          <t>3 x 8-10</t>
        </is>
      </c>
      <c r="E129" s="34" t="n"/>
      <c r="F129" s="34" t="n"/>
      <c r="G129" s="36" t="n"/>
      <c r="H129" s="37" t="n"/>
      <c r="I129" s="34" t="n"/>
      <c r="J129" s="34" t="n"/>
      <c r="K129" s="34" t="n"/>
      <c r="L129" s="34" t="n"/>
      <c r="M129" s="34" t="n"/>
      <c r="N129" s="34" t="n"/>
      <c r="O129" s="38" t="inlineStr">
        <is>
          <t>Leave 1-2 reps in the tank; add weight when you hit the top of the range</t>
        </is>
      </c>
    </row>
    <row r="130">
      <c r="C130" t="inlineStr">
        <is>
          <t xml:space="preserve">      Set 1</t>
        </is>
      </c>
      <c r="E130" t="n">
        <v>8</v>
      </c>
      <c r="H130" s="39">
        <f>IF(H129="","",H129)</f>
        <v/>
      </c>
      <c r="I130" s="7">
        <f>IF(H129="","",H129)</f>
        <v/>
      </c>
      <c r="J130" s="7" t="n">
        <v>8</v>
      </c>
      <c r="K130" s="7" t="n"/>
      <c r="L130" s="40" t="n"/>
      <c r="M130">
        <f>IF(AND(L130&lt;&gt;"",N(I130)&gt;0,N(J130)&gt;0),IF(J130=1,I130,ROUND(I130*(1+J130/30),1)),"")</f>
        <v/>
      </c>
      <c r="N130" s="41">
        <f>IF(M130="","",IF(M130&gt;=PRs!C50,"PR!",""))</f>
        <v/>
      </c>
      <c r="O130" s="7" t="n"/>
    </row>
    <row r="131">
      <c r="C131" t="inlineStr">
        <is>
          <t xml:space="preserve">      Set 2</t>
        </is>
      </c>
      <c r="E131" t="n">
        <v>8</v>
      </c>
      <c r="H131" s="39">
        <f>IF(H129="","",H129)</f>
        <v/>
      </c>
      <c r="I131" s="7">
        <f>IF(H129="","",H129)</f>
        <v/>
      </c>
      <c r="J131" s="7" t="n">
        <v>8</v>
      </c>
      <c r="K131" s="7" t="n"/>
      <c r="L131" s="40" t="n"/>
      <c r="M131">
        <f>IF(AND(L131&lt;&gt;"",N(I131)&gt;0,N(J131)&gt;0),IF(J131=1,I131,ROUND(I131*(1+J131/30),1)),"")</f>
        <v/>
      </c>
      <c r="N131" s="41">
        <f>IF(M131="","",IF(M131&gt;=PRs!C50,"PR!",""))</f>
        <v/>
      </c>
      <c r="O131" s="7" t="n"/>
    </row>
    <row r="132">
      <c r="C132" t="inlineStr">
        <is>
          <t xml:space="preserve">      Set 3</t>
        </is>
      </c>
      <c r="E132" t="n">
        <v>8</v>
      </c>
      <c r="H132" s="39">
        <f>IF(H129="","",H129)</f>
        <v/>
      </c>
      <c r="I132" s="7">
        <f>IF(H129="","",H129)</f>
        <v/>
      </c>
      <c r="J132" s="7" t="n">
        <v>8</v>
      </c>
      <c r="K132" s="7" t="n"/>
      <c r="L132" s="40" t="n"/>
      <c r="M132">
        <f>IF(AND(L132&lt;&gt;"",N(I132)&gt;0,N(J132)&gt;0),IF(J132=1,I132,ROUND(I132*(1+J132/30),1)),"")</f>
        <v/>
      </c>
      <c r="N132" s="41">
        <f>IF(M132="","",IF(M132&gt;=PRs!C50,"PR!",""))</f>
        <v/>
      </c>
      <c r="O132" s="7" t="n"/>
    </row>
    <row r="133">
      <c r="A133" s="34" t="n"/>
      <c r="B133" s="34" t="n"/>
      <c r="C133" s="43" t="inlineStr">
        <is>
          <t>Face Pull</t>
        </is>
      </c>
      <c r="D133" s="34" t="inlineStr">
        <is>
          <t>3 x 12-15</t>
        </is>
      </c>
      <c r="E133" s="34" t="n"/>
      <c r="F133" s="34" t="n"/>
      <c r="G133" s="36" t="n"/>
      <c r="H133" s="37" t="n"/>
      <c r="I133" s="34" t="n"/>
      <c r="J133" s="34" t="n"/>
      <c r="K133" s="34" t="n"/>
      <c r="L133" s="34" t="n"/>
      <c r="M133" s="34" t="n"/>
      <c r="N133" s="34" t="n"/>
      <c r="O133" s="38" t="inlineStr">
        <is>
          <t>Leave 1-2 reps in the tank; add weight when you hit the top of the range</t>
        </is>
      </c>
    </row>
    <row r="134">
      <c r="C134" t="inlineStr">
        <is>
          <t xml:space="preserve">      Set 1</t>
        </is>
      </c>
      <c r="E134" t="n">
        <v>12</v>
      </c>
      <c r="H134" s="39">
        <f>IF(H133="","",H133)</f>
        <v/>
      </c>
      <c r="I134" s="7">
        <f>IF(H133="","",H133)</f>
        <v/>
      </c>
      <c r="J134" s="7" t="n">
        <v>12</v>
      </c>
      <c r="K134" s="7" t="n"/>
      <c r="L134" s="40" t="n"/>
      <c r="M134">
        <f>IF(AND(L134&lt;&gt;"",N(I134)&gt;0,N(J134)&gt;0),IF(J134=1,I134,ROUND(I134*(1+J134/30),1)),"")</f>
        <v/>
      </c>
      <c r="N134" s="41">
        <f>IF(M134="","",IF(M134&gt;=PRs!C51,"PR!",""))</f>
        <v/>
      </c>
      <c r="O134" s="7" t="n"/>
    </row>
    <row r="135">
      <c r="C135" t="inlineStr">
        <is>
          <t xml:space="preserve">      Set 2</t>
        </is>
      </c>
      <c r="E135" t="n">
        <v>12</v>
      </c>
      <c r="H135" s="39">
        <f>IF(H133="","",H133)</f>
        <v/>
      </c>
      <c r="I135" s="7">
        <f>IF(H133="","",H133)</f>
        <v/>
      </c>
      <c r="J135" s="7" t="n">
        <v>12</v>
      </c>
      <c r="K135" s="7" t="n"/>
      <c r="L135" s="40" t="n"/>
      <c r="M135">
        <f>IF(AND(L135&lt;&gt;"",N(I135)&gt;0,N(J135)&gt;0),IF(J135=1,I135,ROUND(I135*(1+J135/30),1)),"")</f>
        <v/>
      </c>
      <c r="N135" s="41">
        <f>IF(M135="","",IF(M135&gt;=PRs!C51,"PR!",""))</f>
        <v/>
      </c>
      <c r="O135" s="7" t="n"/>
    </row>
    <row r="136">
      <c r="C136" t="inlineStr">
        <is>
          <t xml:space="preserve">      Set 3</t>
        </is>
      </c>
      <c r="E136" t="n">
        <v>12</v>
      </c>
      <c r="H136" s="39">
        <f>IF(H133="","",H133)</f>
        <v/>
      </c>
      <c r="I136" s="7">
        <f>IF(H133="","",H133)</f>
        <v/>
      </c>
      <c r="J136" s="7" t="n">
        <v>12</v>
      </c>
      <c r="K136" s="7" t="n"/>
      <c r="L136" s="40" t="n"/>
      <c r="M136">
        <f>IF(AND(L136&lt;&gt;"",N(I136)&gt;0,N(J136)&gt;0),IF(J136=1,I136,ROUND(I136*(1+J136/30),1)),"")</f>
        <v/>
      </c>
      <c r="N136" s="41">
        <f>IF(M136="","",IF(M136&gt;=PRs!C51,"PR!",""))</f>
        <v/>
      </c>
      <c r="O136" s="7" t="n"/>
    </row>
    <row r="137">
      <c r="A137" s="31" t="inlineStr">
        <is>
          <t>Day 2 - Light</t>
        </is>
      </c>
      <c r="B137" s="32">
        <f>'Start Here'!$B$8+149</f>
        <v/>
      </c>
      <c r="C137" s="33" t="n"/>
      <c r="D137" s="33" t="n"/>
      <c r="E137" s="33" t="n"/>
      <c r="F137" s="33" t="n"/>
      <c r="G137" s="33" t="n"/>
      <c r="H137" s="33" t="n"/>
      <c r="I137" s="33" t="n"/>
      <c r="J137" s="33" t="n"/>
      <c r="K137" s="33" t="n"/>
      <c r="L137" s="33" t="n"/>
      <c r="M137" s="33" t="n"/>
      <c r="N137" s="33" t="n"/>
      <c r="O137" s="33" t="n"/>
    </row>
    <row r="138">
      <c r="A138" s="34" t="n"/>
      <c r="B138" s="34" t="n"/>
      <c r="C138" s="35" t="inlineStr">
        <is>
          <t>Broad Jump</t>
        </is>
      </c>
      <c r="D138" s="34" t="inlineStr">
        <is>
          <t>3 x 2</t>
        </is>
      </c>
      <c r="E138" s="34" t="n"/>
      <c r="F138" s="34" t="n"/>
      <c r="G138" s="36" t="n"/>
      <c r="H138" s="37">
        <f>IF(N(Maxes!F70)&gt;0,Maxes!F70,"")</f>
        <v/>
      </c>
      <c r="I138" s="34" t="n"/>
      <c r="J138" s="34" t="n"/>
      <c r="K138" s="34" t="n"/>
      <c r="L138" s="34" t="n"/>
      <c r="M138" s="34" t="n"/>
      <c r="N138" s="34" t="n"/>
      <c r="O138" s="38" t="inlineStr">
        <is>
          <t>Standing two-foot jump forward, stick the landing. Measure toe line to the back of the nearest heel.</t>
        </is>
      </c>
    </row>
    <row r="139">
      <c r="C139" t="inlineStr">
        <is>
          <t xml:space="preserve">      Set 1</t>
        </is>
      </c>
      <c r="E139" t="n">
        <v>2</v>
      </c>
      <c r="H139" s="39">
        <f>IF(H138="","",H138)</f>
        <v/>
      </c>
      <c r="I139" s="7">
        <f>IF(H138="","",H138)</f>
        <v/>
      </c>
      <c r="J139" s="7" t="n">
        <v>2</v>
      </c>
      <c r="K139" s="7" t="n"/>
      <c r="L139" s="40" t="n"/>
      <c r="N139" s="41">
        <f>IF(AND(L139&lt;&gt;"",N(I139)&gt;0),IF(I139&gt;=PRs!D70,"PR!",""),"")</f>
        <v/>
      </c>
      <c r="O139" s="7" t="n"/>
    </row>
    <row r="140">
      <c r="C140" t="inlineStr">
        <is>
          <t xml:space="preserve">      Set 2</t>
        </is>
      </c>
      <c r="E140" t="n">
        <v>2</v>
      </c>
      <c r="H140" s="39">
        <f>IF(H138="","",H138)</f>
        <v/>
      </c>
      <c r="I140" s="7">
        <f>IF(H138="","",H138)</f>
        <v/>
      </c>
      <c r="J140" s="7" t="n">
        <v>2</v>
      </c>
      <c r="K140" s="7" t="n"/>
      <c r="L140" s="40" t="n"/>
      <c r="N140" s="41">
        <f>IF(AND(L140&lt;&gt;"",N(I140)&gt;0),IF(I140&gt;=PRs!D70,"PR!",""),"")</f>
        <v/>
      </c>
      <c r="O140" s="7" t="n"/>
    </row>
    <row r="141">
      <c r="C141" t="inlineStr">
        <is>
          <t xml:space="preserve">      Set 3</t>
        </is>
      </c>
      <c r="E141" t="n">
        <v>2</v>
      </c>
      <c r="H141" s="39">
        <f>IF(H138="","",H138)</f>
        <v/>
      </c>
      <c r="I141" s="7">
        <f>IF(H138="","",H138)</f>
        <v/>
      </c>
      <c r="J141" s="7" t="n">
        <v>2</v>
      </c>
      <c r="K141" s="7" t="n"/>
      <c r="L141" s="40" t="n"/>
      <c r="N141" s="41">
        <f>IF(AND(L141&lt;&gt;"",N(I141)&gt;0),IF(I141&gt;=PRs!D70,"PR!",""),"")</f>
        <v/>
      </c>
      <c r="O141" s="7" t="n"/>
    </row>
    <row r="142">
      <c r="A142" s="34" t="n"/>
      <c r="B142" s="34" t="n"/>
      <c r="C142" s="35" t="inlineStr">
        <is>
          <t>Med Ball Chest Pass</t>
        </is>
      </c>
      <c r="D142" s="34" t="inlineStr">
        <is>
          <t>2 x 5</t>
        </is>
      </c>
      <c r="E142" s="34" t="n"/>
      <c r="F142" s="34" t="n"/>
      <c r="G142" s="36" t="n"/>
      <c r="H142" s="37">
        <f>IF(N(Maxes!F77)&gt;0,Maxes!F77,"")</f>
        <v/>
      </c>
      <c r="I142" s="34" t="n"/>
      <c r="J142" s="34" t="n"/>
      <c r="K142" s="34" t="n"/>
      <c r="L142" s="34" t="n"/>
      <c r="M142" s="34" t="n"/>
      <c r="N142" s="34" t="n"/>
      <c r="O142" s="38" t="inlineStr">
        <is>
          <t>Kneeling or standing chest pass for distance with a 6-10 lb / 3-5 kg ball. Log the distance.</t>
        </is>
      </c>
    </row>
    <row r="143">
      <c r="C143" t="inlineStr">
        <is>
          <t xml:space="preserve">      Set 1</t>
        </is>
      </c>
      <c r="E143" t="n">
        <v>5</v>
      </c>
      <c r="H143" s="39">
        <f>IF(H142="","",H142)</f>
        <v/>
      </c>
      <c r="I143" s="7">
        <f>IF(H142="","",H142)</f>
        <v/>
      </c>
      <c r="J143" s="7" t="n">
        <v>5</v>
      </c>
      <c r="K143" s="7" t="n"/>
      <c r="L143" s="40" t="n"/>
      <c r="N143" s="41">
        <f>IF(AND(L143&lt;&gt;"",N(I143)&gt;0),IF(I143&gt;=PRs!D77,"PR!",""),"")</f>
        <v/>
      </c>
      <c r="O143" s="7" t="n"/>
    </row>
    <row r="144">
      <c r="C144" t="inlineStr">
        <is>
          <t xml:space="preserve">      Set 2</t>
        </is>
      </c>
      <c r="E144" t="n">
        <v>5</v>
      </c>
      <c r="H144" s="39">
        <f>IF(H142="","",H142)</f>
        <v/>
      </c>
      <c r="I144" s="7">
        <f>IF(H142="","",H142)</f>
        <v/>
      </c>
      <c r="J144" s="7" t="n">
        <v>5</v>
      </c>
      <c r="K144" s="7" t="n"/>
      <c r="L144" s="40" t="n"/>
      <c r="N144" s="41">
        <f>IF(AND(L144&lt;&gt;"",N(I144)&gt;0),IF(I144&gt;=PRs!D77,"PR!",""),"")</f>
        <v/>
      </c>
      <c r="O144" s="7" t="n"/>
    </row>
    <row r="145">
      <c r="A145" s="34" t="n"/>
      <c r="B145" s="34" t="n"/>
      <c r="C145" s="42" t="inlineStr">
        <is>
          <t>Clean &amp; Jerk</t>
        </is>
      </c>
      <c r="D145" s="34" t="inlineStr">
        <is>
          <t>4 x 1</t>
        </is>
      </c>
      <c r="E145" s="34" t="n"/>
      <c r="F145" s="34" t="n">
        <v>90</v>
      </c>
      <c r="G145" s="36">
        <f>Maxes!F7</f>
        <v/>
      </c>
      <c r="H145" s="37">
        <f>IF(OR(G145="",F145=""),"",MROUND(G145*F145/100,'Start Here'!$B$7))</f>
        <v/>
      </c>
      <c r="I145" s="34" t="n"/>
      <c r="J145" s="34" t="n"/>
      <c r="K145" s="34" t="n"/>
      <c r="L145" s="34" t="n"/>
      <c r="M145" s="34" t="n"/>
      <c r="N145" s="34" t="n"/>
      <c r="O145" s="38" t="inlineStr"/>
    </row>
    <row r="146">
      <c r="C146" t="inlineStr">
        <is>
          <t xml:space="preserve">      Set 1</t>
        </is>
      </c>
      <c r="E146" t="n">
        <v>1</v>
      </c>
      <c r="H146" s="39">
        <f>IF(H145="","",H145)</f>
        <v/>
      </c>
      <c r="I146" s="7">
        <f>IF(H145="","",H145)</f>
        <v/>
      </c>
      <c r="J146" s="7" t="n">
        <v>1</v>
      </c>
      <c r="K146" s="7" t="n"/>
      <c r="L146" s="40" t="n"/>
      <c r="M146">
        <f>IF(AND(L146&lt;&gt;"",N(I146)&gt;0,N(J146)&gt;0),IF(J146=1,I146,ROUND(I146*(1+J146/30),1)),"")</f>
        <v/>
      </c>
      <c r="N146" s="41">
        <f>IF(M146="","",IF(M146&gt;=PRs!C7,"PR!",""))</f>
        <v/>
      </c>
      <c r="O146" s="7" t="n"/>
    </row>
    <row r="147">
      <c r="C147" t="inlineStr">
        <is>
          <t xml:space="preserve">      Set 2</t>
        </is>
      </c>
      <c r="E147" t="n">
        <v>1</v>
      </c>
      <c r="H147" s="39">
        <f>IF(H145="","",H145)</f>
        <v/>
      </c>
      <c r="I147" s="7">
        <f>IF(H145="","",H145)</f>
        <v/>
      </c>
      <c r="J147" s="7" t="n">
        <v>1</v>
      </c>
      <c r="K147" s="7" t="n"/>
      <c r="L147" s="40" t="n"/>
      <c r="M147">
        <f>IF(AND(L147&lt;&gt;"",N(I147)&gt;0,N(J147)&gt;0),IF(J147=1,I147,ROUND(I147*(1+J147/30),1)),"")</f>
        <v/>
      </c>
      <c r="N147" s="41">
        <f>IF(M147="","",IF(M147&gt;=PRs!C7,"PR!",""))</f>
        <v/>
      </c>
      <c r="O147" s="7" t="n"/>
    </row>
    <row r="148">
      <c r="C148" t="inlineStr">
        <is>
          <t xml:space="preserve">      Set 3</t>
        </is>
      </c>
      <c r="E148" t="n">
        <v>1</v>
      </c>
      <c r="H148" s="39">
        <f>IF(H145="","",H145)</f>
        <v/>
      </c>
      <c r="I148" s="7">
        <f>IF(H145="","",H145)</f>
        <v/>
      </c>
      <c r="J148" s="7" t="n">
        <v>1</v>
      </c>
      <c r="K148" s="7" t="n"/>
      <c r="L148" s="40" t="n"/>
      <c r="M148">
        <f>IF(AND(L148&lt;&gt;"",N(I148)&gt;0,N(J148)&gt;0),IF(J148=1,I148,ROUND(I148*(1+J148/30),1)),"")</f>
        <v/>
      </c>
      <c r="N148" s="41">
        <f>IF(M148="","",IF(M148&gt;=PRs!C7,"PR!",""))</f>
        <v/>
      </c>
      <c r="O148" s="7" t="n"/>
    </row>
    <row r="149">
      <c r="C149" t="inlineStr">
        <is>
          <t xml:space="preserve">      Set 4</t>
        </is>
      </c>
      <c r="E149" t="n">
        <v>1</v>
      </c>
      <c r="H149" s="39">
        <f>IF(H145="","",H145)</f>
        <v/>
      </c>
      <c r="I149" s="7">
        <f>IF(H145="","",H145)</f>
        <v/>
      </c>
      <c r="J149" s="7" t="n">
        <v>1</v>
      </c>
      <c r="K149" s="7" t="n"/>
      <c r="L149" s="40" t="n"/>
      <c r="M149">
        <f>IF(AND(L149&lt;&gt;"",N(I149)&gt;0,N(J149)&gt;0),IF(J149=1,I149,ROUND(I149*(1+J149/30),1)),"")</f>
        <v/>
      </c>
      <c r="N149" s="41">
        <f>IF(M149="","",IF(M149&gt;=PRs!C7,"PR!",""))</f>
        <v/>
      </c>
      <c r="O149" s="7" t="n"/>
    </row>
    <row r="150">
      <c r="A150" s="34" t="n"/>
      <c r="B150" s="34" t="n"/>
      <c r="C150" s="42" t="inlineStr">
        <is>
          <t>Squat</t>
        </is>
      </c>
      <c r="D150" s="34" t="inlineStr">
        <is>
          <t>3 x 5</t>
        </is>
      </c>
      <c r="E150" s="34" t="n"/>
      <c r="F150" s="34" t="n">
        <v>70</v>
      </c>
      <c r="G150" s="36">
        <f>Maxes!F2</f>
        <v/>
      </c>
      <c r="H150" s="37">
        <f>IF(OR(G150="",F150=""),"",MROUND(G150*F150/100,'Start Here'!$B$7))</f>
        <v/>
      </c>
      <c r="I150" s="34" t="n"/>
      <c r="J150" s="34" t="n"/>
      <c r="K150" s="34" t="n"/>
      <c r="L150" s="34" t="n"/>
      <c r="M150" s="34" t="n"/>
      <c r="N150" s="34" t="n"/>
      <c r="O150" s="38" t="inlineStr"/>
    </row>
    <row r="151">
      <c r="C151" t="inlineStr">
        <is>
          <t xml:space="preserve">      Set 1</t>
        </is>
      </c>
      <c r="E151" t="n">
        <v>5</v>
      </c>
      <c r="H151" s="39">
        <f>IF(H150="","",H150)</f>
        <v/>
      </c>
      <c r="I151" s="7">
        <f>IF(H150="","",H150)</f>
        <v/>
      </c>
      <c r="J151" s="7" t="n">
        <v>5</v>
      </c>
      <c r="K151" s="7" t="n"/>
      <c r="L151" s="40" t="n"/>
      <c r="M151">
        <f>IF(AND(L151&lt;&gt;"",N(I151)&gt;0,N(J151)&gt;0),IF(J151=1,I151,ROUND(I151*(1+J151/30),1)),"")</f>
        <v/>
      </c>
      <c r="N151" s="41">
        <f>IF(M151="","",IF(M151&gt;=PRs!C2,"PR!",""))</f>
        <v/>
      </c>
      <c r="O151" s="7" t="n"/>
    </row>
    <row r="152">
      <c r="C152" t="inlineStr">
        <is>
          <t xml:space="preserve">      Set 2</t>
        </is>
      </c>
      <c r="E152" t="n">
        <v>5</v>
      </c>
      <c r="H152" s="39">
        <f>IF(H150="","",H150)</f>
        <v/>
      </c>
      <c r="I152" s="7">
        <f>IF(H150="","",H150)</f>
        <v/>
      </c>
      <c r="J152" s="7" t="n">
        <v>5</v>
      </c>
      <c r="K152" s="7" t="n"/>
      <c r="L152" s="40" t="n"/>
      <c r="M152">
        <f>IF(AND(L152&lt;&gt;"",N(I152)&gt;0,N(J152)&gt;0),IF(J152=1,I152,ROUND(I152*(1+J152/30),1)),"")</f>
        <v/>
      </c>
      <c r="N152" s="41">
        <f>IF(M152="","",IF(M152&gt;=PRs!C2,"PR!",""))</f>
        <v/>
      </c>
      <c r="O152" s="7" t="n"/>
    </row>
    <row r="153">
      <c r="C153" t="inlineStr">
        <is>
          <t xml:space="preserve">      Set 3</t>
        </is>
      </c>
      <c r="E153" t="n">
        <v>5</v>
      </c>
      <c r="H153" s="39">
        <f>IF(H150="","",H150)</f>
        <v/>
      </c>
      <c r="I153" s="7">
        <f>IF(H150="","",H150)</f>
        <v/>
      </c>
      <c r="J153" s="7" t="n">
        <v>5</v>
      </c>
      <c r="K153" s="7" t="n"/>
      <c r="L153" s="40" t="n"/>
      <c r="M153">
        <f>IF(AND(L153&lt;&gt;"",N(I153)&gt;0,N(J153)&gt;0),IF(J153=1,I153,ROUND(I153*(1+J153/30),1)),"")</f>
        <v/>
      </c>
      <c r="N153" s="41">
        <f>IF(M153="","",IF(M153&gt;=PRs!C2,"PR!",""))</f>
        <v/>
      </c>
      <c r="O153" s="7" t="n"/>
    </row>
    <row r="154">
      <c r="A154" s="34" t="n"/>
      <c r="B154" s="34" t="n"/>
      <c r="C154" s="42" t="inlineStr">
        <is>
          <t>Overhead Press</t>
        </is>
      </c>
      <c r="D154" s="34" t="inlineStr">
        <is>
          <t>5 x 3</t>
        </is>
      </c>
      <c r="E154" s="34" t="n"/>
      <c r="F154" s="34" t="n">
        <v>80</v>
      </c>
      <c r="G154" s="36">
        <f>Maxes!F5</f>
        <v/>
      </c>
      <c r="H154" s="37">
        <f>IF(OR(G154="",F154=""),"",MROUND(G154*F154/100,'Start Here'!$B$7))</f>
        <v/>
      </c>
      <c r="I154" s="34" t="n"/>
      <c r="J154" s="34" t="n"/>
      <c r="K154" s="34" t="n"/>
      <c r="L154" s="34" t="n"/>
      <c r="M154" s="34" t="n"/>
      <c r="N154" s="34" t="n"/>
      <c r="O154" s="38" t="inlineStr"/>
    </row>
    <row r="155">
      <c r="C155" t="inlineStr">
        <is>
          <t xml:space="preserve">      Set 1</t>
        </is>
      </c>
      <c r="E155" t="n">
        <v>3</v>
      </c>
      <c r="H155" s="39">
        <f>IF(H154="","",H154)</f>
        <v/>
      </c>
      <c r="I155" s="7">
        <f>IF(H154="","",H154)</f>
        <v/>
      </c>
      <c r="J155" s="7" t="n">
        <v>3</v>
      </c>
      <c r="K155" s="7" t="n"/>
      <c r="L155" s="40" t="n"/>
      <c r="M155">
        <f>IF(AND(L155&lt;&gt;"",N(I155)&gt;0,N(J155)&gt;0),IF(J155=1,I155,ROUND(I155*(1+J155/30),1)),"")</f>
        <v/>
      </c>
      <c r="N155" s="41">
        <f>IF(M155="","",IF(M155&gt;=PRs!C5,"PR!",""))</f>
        <v/>
      </c>
      <c r="O155" s="7" t="n"/>
    </row>
    <row r="156">
      <c r="C156" t="inlineStr">
        <is>
          <t xml:space="preserve">      Set 2</t>
        </is>
      </c>
      <c r="E156" t="n">
        <v>3</v>
      </c>
      <c r="H156" s="39">
        <f>IF(H154="","",H154)</f>
        <v/>
      </c>
      <c r="I156" s="7">
        <f>IF(H154="","",H154)</f>
        <v/>
      </c>
      <c r="J156" s="7" t="n">
        <v>3</v>
      </c>
      <c r="K156" s="7" t="n"/>
      <c r="L156" s="40" t="n"/>
      <c r="M156">
        <f>IF(AND(L156&lt;&gt;"",N(I156)&gt;0,N(J156)&gt;0),IF(J156=1,I156,ROUND(I156*(1+J156/30),1)),"")</f>
        <v/>
      </c>
      <c r="N156" s="41">
        <f>IF(M156="","",IF(M156&gt;=PRs!C5,"PR!",""))</f>
        <v/>
      </c>
      <c r="O156" s="7" t="n"/>
    </row>
    <row r="157">
      <c r="C157" t="inlineStr">
        <is>
          <t xml:space="preserve">      Set 3</t>
        </is>
      </c>
      <c r="E157" t="n">
        <v>3</v>
      </c>
      <c r="H157" s="39">
        <f>IF(H154="","",H154)</f>
        <v/>
      </c>
      <c r="I157" s="7">
        <f>IF(H154="","",H154)</f>
        <v/>
      </c>
      <c r="J157" s="7" t="n">
        <v>3</v>
      </c>
      <c r="K157" s="7" t="n"/>
      <c r="L157" s="40" t="n"/>
      <c r="M157">
        <f>IF(AND(L157&lt;&gt;"",N(I157)&gt;0,N(J157)&gt;0),IF(J157=1,I157,ROUND(I157*(1+J157/30),1)),"")</f>
        <v/>
      </c>
      <c r="N157" s="41">
        <f>IF(M157="","",IF(M157&gt;=PRs!C5,"PR!",""))</f>
        <v/>
      </c>
      <c r="O157" s="7" t="n"/>
    </row>
    <row r="158">
      <c r="C158" t="inlineStr">
        <is>
          <t xml:space="preserve">      Set 4</t>
        </is>
      </c>
      <c r="E158" t="n">
        <v>3</v>
      </c>
      <c r="H158" s="39">
        <f>IF(H154="","",H154)</f>
        <v/>
      </c>
      <c r="I158" s="7">
        <f>IF(H154="","",H154)</f>
        <v/>
      </c>
      <c r="J158" s="7" t="n">
        <v>3</v>
      </c>
      <c r="K158" s="7" t="n"/>
      <c r="L158" s="40" t="n"/>
      <c r="M158">
        <f>IF(AND(L158&lt;&gt;"",N(I158)&gt;0,N(J158)&gt;0),IF(J158=1,I158,ROUND(I158*(1+J158/30),1)),"")</f>
        <v/>
      </c>
      <c r="N158" s="41">
        <f>IF(M158="","",IF(M158&gt;=PRs!C5,"PR!",""))</f>
        <v/>
      </c>
      <c r="O158" s="7" t="n"/>
    </row>
    <row r="159">
      <c r="C159" t="inlineStr">
        <is>
          <t xml:space="preserve">      Set 5</t>
        </is>
      </c>
      <c r="E159" t="n">
        <v>3</v>
      </c>
      <c r="H159" s="39">
        <f>IF(H154="","",H154)</f>
        <v/>
      </c>
      <c r="I159" s="7">
        <f>IF(H154="","",H154)</f>
        <v/>
      </c>
      <c r="J159" s="7" t="n">
        <v>3</v>
      </c>
      <c r="K159" s="7" t="n"/>
      <c r="L159" s="40" t="n"/>
      <c r="M159">
        <f>IF(AND(L159&lt;&gt;"",N(I159)&gt;0,N(J159)&gt;0),IF(J159=1,I159,ROUND(I159*(1+J159/30),1)),"")</f>
        <v/>
      </c>
      <c r="N159" s="41">
        <f>IF(M159="","",IF(M159&gt;=PRs!C5,"PR!",""))</f>
        <v/>
      </c>
      <c r="O159" s="7" t="n"/>
    </row>
    <row r="160">
      <c r="A160" s="34" t="n"/>
      <c r="B160" s="34" t="n"/>
      <c r="C160" s="42" t="inlineStr">
        <is>
          <t>Deadlift</t>
        </is>
      </c>
      <c r="D160" s="34" t="inlineStr">
        <is>
          <t>4 x 3</t>
        </is>
      </c>
      <c r="E160" s="34" t="n"/>
      <c r="F160" s="34" t="n">
        <v>80</v>
      </c>
      <c r="G160" s="36">
        <f>Maxes!F4</f>
        <v/>
      </c>
      <c r="H160" s="37">
        <f>IF(OR(G160="",F160=""),"",MROUND(G160*F160/100,'Start Here'!$B$7))</f>
        <v/>
      </c>
      <c r="I160" s="34" t="n"/>
      <c r="J160" s="34" t="n"/>
      <c r="K160" s="34" t="n"/>
      <c r="L160" s="34" t="n"/>
      <c r="M160" s="34" t="n"/>
      <c r="N160" s="34" t="n"/>
      <c r="O160" s="38" t="inlineStr"/>
    </row>
    <row r="161">
      <c r="C161" t="inlineStr">
        <is>
          <t xml:space="preserve">      Set 1</t>
        </is>
      </c>
      <c r="E161" t="n">
        <v>3</v>
      </c>
      <c r="H161" s="39">
        <f>IF(H160="","",H160)</f>
        <v/>
      </c>
      <c r="I161" s="7">
        <f>IF(H160="","",H160)</f>
        <v/>
      </c>
      <c r="J161" s="7" t="n">
        <v>3</v>
      </c>
      <c r="K161" s="7" t="n"/>
      <c r="L161" s="40" t="n"/>
      <c r="M161">
        <f>IF(AND(L161&lt;&gt;"",N(I161)&gt;0,N(J161)&gt;0),IF(J161=1,I161,ROUND(I161*(1+J161/30),1)),"")</f>
        <v/>
      </c>
      <c r="N161" s="41">
        <f>IF(M161="","",IF(M161&gt;=PRs!C4,"PR!",""))</f>
        <v/>
      </c>
      <c r="O161" s="7" t="n"/>
    </row>
    <row r="162">
      <c r="C162" t="inlineStr">
        <is>
          <t xml:space="preserve">      Set 2</t>
        </is>
      </c>
      <c r="E162" t="n">
        <v>3</v>
      </c>
      <c r="H162" s="39">
        <f>IF(H160="","",H160)</f>
        <v/>
      </c>
      <c r="I162" s="7">
        <f>IF(H160="","",H160)</f>
        <v/>
      </c>
      <c r="J162" s="7" t="n">
        <v>3</v>
      </c>
      <c r="K162" s="7" t="n"/>
      <c r="L162" s="40" t="n"/>
      <c r="M162">
        <f>IF(AND(L162&lt;&gt;"",N(I162)&gt;0,N(J162)&gt;0),IF(J162=1,I162,ROUND(I162*(1+J162/30),1)),"")</f>
        <v/>
      </c>
      <c r="N162" s="41">
        <f>IF(M162="","",IF(M162&gt;=PRs!C4,"PR!",""))</f>
        <v/>
      </c>
      <c r="O162" s="7" t="n"/>
    </row>
    <row r="163">
      <c r="C163" t="inlineStr">
        <is>
          <t xml:space="preserve">      Set 3</t>
        </is>
      </c>
      <c r="E163" t="n">
        <v>3</v>
      </c>
      <c r="H163" s="39">
        <f>IF(H160="","",H160)</f>
        <v/>
      </c>
      <c r="I163" s="7">
        <f>IF(H160="","",H160)</f>
        <v/>
      </c>
      <c r="J163" s="7" t="n">
        <v>3</v>
      </c>
      <c r="K163" s="7" t="n"/>
      <c r="L163" s="40" t="n"/>
      <c r="M163">
        <f>IF(AND(L163&lt;&gt;"",N(I163)&gt;0,N(J163)&gt;0),IF(J163=1,I163,ROUND(I163*(1+J163/30),1)),"")</f>
        <v/>
      </c>
      <c r="N163" s="41">
        <f>IF(M163="","",IF(M163&gt;=PRs!C4,"PR!",""))</f>
        <v/>
      </c>
      <c r="O163" s="7" t="n"/>
    </row>
    <row r="164">
      <c r="C164" t="inlineStr">
        <is>
          <t xml:space="preserve">      Set 4</t>
        </is>
      </c>
      <c r="E164" t="n">
        <v>3</v>
      </c>
      <c r="H164" s="39">
        <f>IF(H160="","",H160)</f>
        <v/>
      </c>
      <c r="I164" s="7">
        <f>IF(H160="","",H160)</f>
        <v/>
      </c>
      <c r="J164" s="7" t="n">
        <v>3</v>
      </c>
      <c r="K164" s="7" t="n"/>
      <c r="L164" s="40" t="n"/>
      <c r="M164">
        <f>IF(AND(L164&lt;&gt;"",N(I164)&gt;0,N(J164)&gt;0),IF(J164=1,I164,ROUND(I164*(1+J164/30),1)),"")</f>
        <v/>
      </c>
      <c r="N164" s="41">
        <f>IF(M164="","",IF(M164&gt;=PRs!C4,"PR!",""))</f>
        <v/>
      </c>
      <c r="O164" s="7" t="n"/>
    </row>
    <row r="165">
      <c r="A165" s="34" t="n"/>
      <c r="B165" s="34" t="n"/>
      <c r="C165" s="43" t="inlineStr">
        <is>
          <t>Chin-up</t>
        </is>
      </c>
      <c r="D165" s="34" t="inlineStr">
        <is>
          <t>3 x 6-10</t>
        </is>
      </c>
      <c r="E165" s="34" t="n"/>
      <c r="F165" s="34" t="n"/>
      <c r="G165" s="36" t="n"/>
      <c r="H165" s="37" t="n"/>
      <c r="I165" s="34" t="n"/>
      <c r="J165" s="34" t="n"/>
      <c r="K165" s="34" t="n"/>
      <c r="L165" s="34" t="n"/>
      <c r="M165" s="34" t="n"/>
      <c r="N165" s="34" t="n"/>
      <c r="O165" s="38" t="inlineStr">
        <is>
          <t>Leave 1-2 reps in the tank; add weight when you hit the top of the range</t>
        </is>
      </c>
    </row>
    <row r="166">
      <c r="C166" t="inlineStr">
        <is>
          <t xml:space="preserve">      Set 1</t>
        </is>
      </c>
      <c r="E166" t="n">
        <v>6</v>
      </c>
      <c r="H166" s="39">
        <f>IF(H165="","",H165)</f>
        <v/>
      </c>
      <c r="I166" s="7">
        <f>IF(H165="","",H165)</f>
        <v/>
      </c>
      <c r="J166" s="7" t="n">
        <v>6</v>
      </c>
      <c r="K166" s="7" t="n"/>
      <c r="L166" s="40" t="n"/>
      <c r="M166">
        <f>IF(AND(L166&lt;&gt;"",N(I166)&gt;0,N(J166)&gt;0),IF(J166=1,I166,ROUND(I166*(1+J166/30),1)),"")</f>
        <v/>
      </c>
      <c r="N166" s="41">
        <f>IF(M166="","",IF(M166&gt;=PRs!C53,"PR!",""))</f>
        <v/>
      </c>
      <c r="O166" s="7" t="n"/>
    </row>
    <row r="167">
      <c r="C167" t="inlineStr">
        <is>
          <t xml:space="preserve">      Set 2</t>
        </is>
      </c>
      <c r="E167" t="n">
        <v>6</v>
      </c>
      <c r="H167" s="39">
        <f>IF(H165="","",H165)</f>
        <v/>
      </c>
      <c r="I167" s="7">
        <f>IF(H165="","",H165)</f>
        <v/>
      </c>
      <c r="J167" s="7" t="n">
        <v>6</v>
      </c>
      <c r="K167" s="7" t="n"/>
      <c r="L167" s="40" t="n"/>
      <c r="M167">
        <f>IF(AND(L167&lt;&gt;"",N(I167)&gt;0,N(J167)&gt;0),IF(J167=1,I167,ROUND(I167*(1+J167/30),1)),"")</f>
        <v/>
      </c>
      <c r="N167" s="41">
        <f>IF(M167="","",IF(M167&gt;=PRs!C53,"PR!",""))</f>
        <v/>
      </c>
      <c r="O167" s="7" t="n"/>
    </row>
    <row r="168">
      <c r="C168" t="inlineStr">
        <is>
          <t xml:space="preserve">      Set 3</t>
        </is>
      </c>
      <c r="E168" t="n">
        <v>6</v>
      </c>
      <c r="H168" s="39">
        <f>IF(H165="","",H165)</f>
        <v/>
      </c>
      <c r="I168" s="7">
        <f>IF(H165="","",H165)</f>
        <v/>
      </c>
      <c r="J168" s="7" t="n">
        <v>6</v>
      </c>
      <c r="K168" s="7" t="n"/>
      <c r="L168" s="40" t="n"/>
      <c r="M168">
        <f>IF(AND(L168&lt;&gt;"",N(I168)&gt;0,N(J168)&gt;0),IF(J168=1,I168,ROUND(I168*(1+J168/30),1)),"")</f>
        <v/>
      </c>
      <c r="N168" s="41">
        <f>IF(M168="","",IF(M168&gt;=PRs!C53,"PR!",""))</f>
        <v/>
      </c>
      <c r="O168" s="7" t="n"/>
    </row>
    <row r="169">
      <c r="A169" s="34" t="n"/>
      <c r="B169" s="34" t="n"/>
      <c r="C169" s="43" t="inlineStr">
        <is>
          <t>Plank</t>
        </is>
      </c>
      <c r="D169" s="34" t="inlineStr">
        <is>
          <t>3 x 30-60s</t>
        </is>
      </c>
      <c r="E169" s="34" t="n"/>
      <c r="F169" s="34" t="n"/>
      <c r="G169" s="36" t="n"/>
      <c r="H169" s="37" t="n"/>
      <c r="I169" s="34" t="n"/>
      <c r="J169" s="34" t="n"/>
      <c r="K169" s="34" t="n"/>
      <c r="L169" s="34" t="n"/>
      <c r="M169" s="34" t="n"/>
      <c r="N169" s="34" t="n"/>
      <c r="O169" s="38" t="inlineStr">
        <is>
          <t>Leave 1-2 reps in the tank; add weight when you hit the top of the range</t>
        </is>
      </c>
    </row>
    <row r="170">
      <c r="C170" t="inlineStr">
        <is>
          <t xml:space="preserve">      Set 1</t>
        </is>
      </c>
      <c r="E170" t="n">
        <v>30</v>
      </c>
      <c r="H170" s="39">
        <f>IF(H169="","",H169)</f>
        <v/>
      </c>
      <c r="I170" s="7">
        <f>IF(H169="","",H169)</f>
        <v/>
      </c>
      <c r="J170" s="7" t="n">
        <v>30</v>
      </c>
      <c r="K170" s="7" t="n"/>
      <c r="L170" s="40" t="n"/>
      <c r="M170">
        <f>IF(AND(L170&lt;&gt;"",N(I170)&gt;0,N(J170)&gt;0),IF(J170=1,I170,ROUND(I170*(1+J170/30),1)),"")</f>
        <v/>
      </c>
      <c r="N170" s="41">
        <f>IF(M170="","",IF(M170&gt;=PRs!C56,"PR!",""))</f>
        <v/>
      </c>
      <c r="O170" s="7" t="n"/>
    </row>
    <row r="171">
      <c r="C171" t="inlineStr">
        <is>
          <t xml:space="preserve">      Set 2</t>
        </is>
      </c>
      <c r="E171" t="n">
        <v>30</v>
      </c>
      <c r="H171" s="39">
        <f>IF(H169="","",H169)</f>
        <v/>
      </c>
      <c r="I171" s="7">
        <f>IF(H169="","",H169)</f>
        <v/>
      </c>
      <c r="J171" s="7" t="n">
        <v>30</v>
      </c>
      <c r="K171" s="7" t="n"/>
      <c r="L171" s="40" t="n"/>
      <c r="M171">
        <f>IF(AND(L171&lt;&gt;"",N(I171)&gt;0,N(J171)&gt;0),IF(J171=1,I171,ROUND(I171*(1+J171/30),1)),"")</f>
        <v/>
      </c>
      <c r="N171" s="41">
        <f>IF(M171="","",IF(M171&gt;=PRs!C56,"PR!",""))</f>
        <v/>
      </c>
      <c r="O171" s="7" t="n"/>
    </row>
    <row r="172">
      <c r="C172" t="inlineStr">
        <is>
          <t xml:space="preserve">      Set 3</t>
        </is>
      </c>
      <c r="E172" t="n">
        <v>30</v>
      </c>
      <c r="H172" s="39">
        <f>IF(H169="","",H169)</f>
        <v/>
      </c>
      <c r="I172" s="7">
        <f>IF(H169="","",H169)</f>
        <v/>
      </c>
      <c r="J172" s="7" t="n">
        <v>30</v>
      </c>
      <c r="K172" s="7" t="n"/>
      <c r="L172" s="40" t="n"/>
      <c r="M172">
        <f>IF(AND(L172&lt;&gt;"",N(I172)&gt;0,N(J172)&gt;0),IF(J172=1,I172,ROUND(I172*(1+J172/30),1)),"")</f>
        <v/>
      </c>
      <c r="N172" s="41">
        <f>IF(M172="","",IF(M172&gt;=PRs!C56,"PR!",""))</f>
        <v/>
      </c>
      <c r="O172" s="7" t="n"/>
    </row>
    <row r="173">
      <c r="A173" s="31" t="inlineStr">
        <is>
          <t>Day 3 - Variations</t>
        </is>
      </c>
      <c r="B173" s="32">
        <f>'Start Here'!$B$8+151</f>
        <v/>
      </c>
      <c r="C173" s="33" t="n"/>
      <c r="D173" s="33" t="n"/>
      <c r="E173" s="33" t="n"/>
      <c r="F173" s="33" t="n"/>
      <c r="G173" s="33" t="n"/>
      <c r="H173" s="33" t="n"/>
      <c r="I173" s="33" t="n"/>
      <c r="J173" s="33" t="n"/>
      <c r="K173" s="33" t="n"/>
      <c r="L173" s="33" t="n"/>
      <c r="M173" s="33" t="n"/>
      <c r="N173" s="33" t="n"/>
      <c r="O173" s="33" t="n"/>
    </row>
    <row r="174">
      <c r="A174" s="34" t="n"/>
      <c r="B174" s="34" t="n"/>
      <c r="C174" s="35" t="inlineStr">
        <is>
          <t>Seated Box Jump</t>
        </is>
      </c>
      <c r="D174" s="34" t="inlineStr">
        <is>
          <t>3 x 2</t>
        </is>
      </c>
      <c r="E174" s="34" t="n"/>
      <c r="F174" s="34" t="n"/>
      <c r="G174" s="36" t="n"/>
      <c r="H174" s="37">
        <f>IF(N(Maxes!F76)&gt;0,Maxes!F76,"")</f>
        <v/>
      </c>
      <c r="I174" s="34" t="n"/>
      <c r="J174" s="34" t="n"/>
      <c r="K174" s="34" t="n"/>
      <c r="L174" s="34" t="n"/>
      <c r="M174" s="34" t="n"/>
      <c r="N174" s="34" t="n"/>
      <c r="O174" s="38" t="inlineStr">
        <is>
          <t>Sit on a box, feet flat, then jump from seated onto a second box. Log the landing-box height.</t>
        </is>
      </c>
    </row>
    <row r="175">
      <c r="C175" t="inlineStr">
        <is>
          <t xml:space="preserve">      Set 1</t>
        </is>
      </c>
      <c r="E175" t="n">
        <v>2</v>
      </c>
      <c r="H175" s="39">
        <f>IF(H174="","",H174)</f>
        <v/>
      </c>
      <c r="I175" s="7">
        <f>IF(H174="","",H174)</f>
        <v/>
      </c>
      <c r="J175" s="7" t="n">
        <v>2</v>
      </c>
      <c r="K175" s="7" t="n"/>
      <c r="L175" s="40" t="n"/>
      <c r="N175" s="41">
        <f>IF(AND(L175&lt;&gt;"",N(I175)&gt;0),IF(I175&gt;=PRs!D76,"PR!",""),"")</f>
        <v/>
      </c>
      <c r="O175" s="7" t="n"/>
    </row>
    <row r="176">
      <c r="C176" t="inlineStr">
        <is>
          <t xml:space="preserve">      Set 2</t>
        </is>
      </c>
      <c r="E176" t="n">
        <v>2</v>
      </c>
      <c r="H176" s="39">
        <f>IF(H174="","",H174)</f>
        <v/>
      </c>
      <c r="I176" s="7">
        <f>IF(H174="","",H174)</f>
        <v/>
      </c>
      <c r="J176" s="7" t="n">
        <v>2</v>
      </c>
      <c r="K176" s="7" t="n"/>
      <c r="L176" s="40" t="n"/>
      <c r="N176" s="41">
        <f>IF(AND(L176&lt;&gt;"",N(I176)&gt;0),IF(I176&gt;=PRs!D76,"PR!",""),"")</f>
        <v/>
      </c>
      <c r="O176" s="7" t="n"/>
    </row>
    <row r="177">
      <c r="C177" t="inlineStr">
        <is>
          <t xml:space="preserve">      Set 3</t>
        </is>
      </c>
      <c r="E177" t="n">
        <v>2</v>
      </c>
      <c r="H177" s="39">
        <f>IF(H174="","",H174)</f>
        <v/>
      </c>
      <c r="I177" s="7">
        <f>IF(H174="","",H174)</f>
        <v/>
      </c>
      <c r="J177" s="7" t="n">
        <v>2</v>
      </c>
      <c r="K177" s="7" t="n"/>
      <c r="L177" s="40" t="n"/>
      <c r="N177" s="41">
        <f>IF(AND(L177&lt;&gt;"",N(I177)&gt;0),IF(I177&gt;=PRs!D76,"PR!",""),"")</f>
        <v/>
      </c>
      <c r="O177" s="7" t="n"/>
    </row>
    <row r="178">
      <c r="A178" s="34" t="n"/>
      <c r="B178" s="34" t="n"/>
      <c r="C178" s="42" t="inlineStr">
        <is>
          <t>Push Jerk</t>
        </is>
      </c>
      <c r="D178" s="34" t="inlineStr">
        <is>
          <t>5 x 2</t>
        </is>
      </c>
      <c r="E178" s="34" t="n"/>
      <c r="F178" s="34" t="n">
        <v>80</v>
      </c>
      <c r="G178" s="36">
        <f>Maxes!F45</f>
        <v/>
      </c>
      <c r="H178" s="37">
        <f>IF(OR(G178="",F178=""),"",MROUND(G178*F178/100,'Start Here'!$B$7))</f>
        <v/>
      </c>
      <c r="I178" s="34" t="n"/>
      <c r="J178" s="34" t="n"/>
      <c r="K178" s="34" t="n"/>
      <c r="L178" s="34" t="n"/>
      <c r="M178" s="34" t="n"/>
      <c r="N178" s="34" t="n"/>
      <c r="O178" s="38" t="inlineStr"/>
    </row>
    <row r="179">
      <c r="C179" t="inlineStr">
        <is>
          <t xml:space="preserve">      Set 1</t>
        </is>
      </c>
      <c r="E179" t="n">
        <v>2</v>
      </c>
      <c r="H179" s="39">
        <f>IF(H178="","",H178)</f>
        <v/>
      </c>
      <c r="I179" s="7">
        <f>IF(H178="","",H178)</f>
        <v/>
      </c>
      <c r="J179" s="7" t="n">
        <v>2</v>
      </c>
      <c r="K179" s="7" t="n"/>
      <c r="L179" s="40" t="n"/>
      <c r="M179">
        <f>IF(AND(L179&lt;&gt;"",N(I179)&gt;0,N(J179)&gt;0),IF(J179=1,I179,ROUND(I179*(1+J179/30),1)),"")</f>
        <v/>
      </c>
      <c r="N179" s="41">
        <f>IF(M179="","",IF(M179&gt;=PRs!C45,"PR!",""))</f>
        <v/>
      </c>
      <c r="O179" s="7" t="n"/>
    </row>
    <row r="180">
      <c r="C180" t="inlineStr">
        <is>
          <t xml:space="preserve">      Set 2</t>
        </is>
      </c>
      <c r="E180" t="n">
        <v>2</v>
      </c>
      <c r="H180" s="39">
        <f>IF(H178="","",H178)</f>
        <v/>
      </c>
      <c r="I180" s="7">
        <f>IF(H178="","",H178)</f>
        <v/>
      </c>
      <c r="J180" s="7" t="n">
        <v>2</v>
      </c>
      <c r="K180" s="7" t="n"/>
      <c r="L180" s="40" t="n"/>
      <c r="M180">
        <f>IF(AND(L180&lt;&gt;"",N(I180)&gt;0,N(J180)&gt;0),IF(J180=1,I180,ROUND(I180*(1+J180/30),1)),"")</f>
        <v/>
      </c>
      <c r="N180" s="41">
        <f>IF(M180="","",IF(M180&gt;=PRs!C45,"PR!",""))</f>
        <v/>
      </c>
      <c r="O180" s="7" t="n"/>
    </row>
    <row r="181">
      <c r="C181" t="inlineStr">
        <is>
          <t xml:space="preserve">      Set 3</t>
        </is>
      </c>
      <c r="E181" t="n">
        <v>2</v>
      </c>
      <c r="H181" s="39">
        <f>IF(H178="","",H178)</f>
        <v/>
      </c>
      <c r="I181" s="7">
        <f>IF(H178="","",H178)</f>
        <v/>
      </c>
      <c r="J181" s="7" t="n">
        <v>2</v>
      </c>
      <c r="K181" s="7" t="n"/>
      <c r="L181" s="40" t="n"/>
      <c r="M181">
        <f>IF(AND(L181&lt;&gt;"",N(I181)&gt;0,N(J181)&gt;0),IF(J181=1,I181,ROUND(I181*(1+J181/30),1)),"")</f>
        <v/>
      </c>
      <c r="N181" s="41">
        <f>IF(M181="","",IF(M181&gt;=PRs!C45,"PR!",""))</f>
        <v/>
      </c>
      <c r="O181" s="7" t="n"/>
    </row>
    <row r="182">
      <c r="C182" t="inlineStr">
        <is>
          <t xml:space="preserve">      Set 4</t>
        </is>
      </c>
      <c r="E182" t="n">
        <v>2</v>
      </c>
      <c r="H182" s="39">
        <f>IF(H178="","",H178)</f>
        <v/>
      </c>
      <c r="I182" s="7">
        <f>IF(H178="","",H178)</f>
        <v/>
      </c>
      <c r="J182" s="7" t="n">
        <v>2</v>
      </c>
      <c r="K182" s="7" t="n"/>
      <c r="L182" s="40" t="n"/>
      <c r="M182">
        <f>IF(AND(L182&lt;&gt;"",N(I182)&gt;0,N(J182)&gt;0),IF(J182=1,I182,ROUND(I182*(1+J182/30),1)),"")</f>
        <v/>
      </c>
      <c r="N182" s="41">
        <f>IF(M182="","",IF(M182&gt;=PRs!C45,"PR!",""))</f>
        <v/>
      </c>
      <c r="O182" s="7" t="n"/>
    </row>
    <row r="183">
      <c r="C183" t="inlineStr">
        <is>
          <t xml:space="preserve">      Set 5</t>
        </is>
      </c>
      <c r="E183" t="n">
        <v>2</v>
      </c>
      <c r="H183" s="39">
        <f>IF(H178="","",H178)</f>
        <v/>
      </c>
      <c r="I183" s="7">
        <f>IF(H178="","",H178)</f>
        <v/>
      </c>
      <c r="J183" s="7" t="n">
        <v>2</v>
      </c>
      <c r="K183" s="7" t="n"/>
      <c r="L183" s="40" t="n"/>
      <c r="M183">
        <f>IF(AND(L183&lt;&gt;"",N(I183)&gt;0,N(J183)&gt;0),IF(J183=1,I183,ROUND(I183*(1+J183/30),1)),"")</f>
        <v/>
      </c>
      <c r="N183" s="41">
        <f>IF(M183="","",IF(M183&gt;=PRs!C45,"PR!",""))</f>
        <v/>
      </c>
      <c r="O183" s="7" t="n"/>
    </row>
    <row r="184">
      <c r="A184" s="34" t="n"/>
      <c r="B184" s="34" t="n"/>
      <c r="C184" s="42" t="inlineStr">
        <is>
          <t>Box Squat</t>
        </is>
      </c>
      <c r="D184" s="34" t="inlineStr">
        <is>
          <t>5 x 3</t>
        </is>
      </c>
      <c r="E184" s="34" t="n"/>
      <c r="F184" s="34" t="n">
        <v>80</v>
      </c>
      <c r="G184" s="36">
        <f>Maxes!F8</f>
        <v/>
      </c>
      <c r="H184" s="37">
        <f>IF(OR(G184="",F184=""),"",MROUND(G184*F184/100,'Start Here'!$B$7))</f>
        <v/>
      </c>
      <c r="I184" s="34" t="n"/>
      <c r="J184" s="34" t="n"/>
      <c r="K184" s="34" t="n"/>
      <c r="L184" s="34" t="n"/>
      <c r="M184" s="34" t="n"/>
      <c r="N184" s="34" t="n"/>
      <c r="O184" s="38" t="inlineStr"/>
    </row>
    <row r="185">
      <c r="C185" t="inlineStr">
        <is>
          <t xml:space="preserve">      Set 1</t>
        </is>
      </c>
      <c r="E185" t="n">
        <v>3</v>
      </c>
      <c r="H185" s="39">
        <f>IF(H184="","",H184)</f>
        <v/>
      </c>
      <c r="I185" s="7">
        <f>IF(H184="","",H184)</f>
        <v/>
      </c>
      <c r="J185" s="7" t="n">
        <v>3</v>
      </c>
      <c r="K185" s="7" t="n"/>
      <c r="L185" s="40" t="n"/>
      <c r="M185">
        <f>IF(AND(L185&lt;&gt;"",N(I185)&gt;0,N(J185)&gt;0),IF(J185=1,I185,ROUND(I185*(1+J185/30),1)),"")</f>
        <v/>
      </c>
      <c r="N185" s="41">
        <f>IF(M185="","",IF(M185&gt;=PRs!C8,"PR!",""))</f>
        <v/>
      </c>
      <c r="O185" s="7" t="n"/>
    </row>
    <row r="186">
      <c r="C186" t="inlineStr">
        <is>
          <t xml:space="preserve">      Set 2</t>
        </is>
      </c>
      <c r="E186" t="n">
        <v>3</v>
      </c>
      <c r="H186" s="39">
        <f>IF(H184="","",H184)</f>
        <v/>
      </c>
      <c r="I186" s="7">
        <f>IF(H184="","",H184)</f>
        <v/>
      </c>
      <c r="J186" s="7" t="n">
        <v>3</v>
      </c>
      <c r="K186" s="7" t="n"/>
      <c r="L186" s="40" t="n"/>
      <c r="M186">
        <f>IF(AND(L186&lt;&gt;"",N(I186)&gt;0,N(J186)&gt;0),IF(J186=1,I186,ROUND(I186*(1+J186/30),1)),"")</f>
        <v/>
      </c>
      <c r="N186" s="41">
        <f>IF(M186="","",IF(M186&gt;=PRs!C8,"PR!",""))</f>
        <v/>
      </c>
      <c r="O186" s="7" t="n"/>
    </row>
    <row r="187">
      <c r="C187" t="inlineStr">
        <is>
          <t xml:space="preserve">      Set 3</t>
        </is>
      </c>
      <c r="E187" t="n">
        <v>3</v>
      </c>
      <c r="H187" s="39">
        <f>IF(H184="","",H184)</f>
        <v/>
      </c>
      <c r="I187" s="7">
        <f>IF(H184="","",H184)</f>
        <v/>
      </c>
      <c r="J187" s="7" t="n">
        <v>3</v>
      </c>
      <c r="K187" s="7" t="n"/>
      <c r="L187" s="40" t="n"/>
      <c r="M187">
        <f>IF(AND(L187&lt;&gt;"",N(I187)&gt;0,N(J187)&gt;0),IF(J187=1,I187,ROUND(I187*(1+J187/30),1)),"")</f>
        <v/>
      </c>
      <c r="N187" s="41">
        <f>IF(M187="","",IF(M187&gt;=PRs!C8,"PR!",""))</f>
        <v/>
      </c>
      <c r="O187" s="7" t="n"/>
    </row>
    <row r="188">
      <c r="C188" t="inlineStr">
        <is>
          <t xml:space="preserve">      Set 4</t>
        </is>
      </c>
      <c r="E188" t="n">
        <v>3</v>
      </c>
      <c r="H188" s="39">
        <f>IF(H184="","",H184)</f>
        <v/>
      </c>
      <c r="I188" s="7">
        <f>IF(H184="","",H184)</f>
        <v/>
      </c>
      <c r="J188" s="7" t="n">
        <v>3</v>
      </c>
      <c r="K188" s="7" t="n"/>
      <c r="L188" s="40" t="n"/>
      <c r="M188">
        <f>IF(AND(L188&lt;&gt;"",N(I188)&gt;0,N(J188)&gt;0),IF(J188=1,I188,ROUND(I188*(1+J188/30),1)),"")</f>
        <v/>
      </c>
      <c r="N188" s="41">
        <f>IF(M188="","",IF(M188&gt;=PRs!C8,"PR!",""))</f>
        <v/>
      </c>
      <c r="O188" s="7" t="n"/>
    </row>
    <row r="189">
      <c r="C189" t="inlineStr">
        <is>
          <t xml:space="preserve">      Set 5</t>
        </is>
      </c>
      <c r="E189" t="n">
        <v>3</v>
      </c>
      <c r="H189" s="39">
        <f>IF(H184="","",H184)</f>
        <v/>
      </c>
      <c r="I189" s="7">
        <f>IF(H184="","",H184)</f>
        <v/>
      </c>
      <c r="J189" s="7" t="n">
        <v>3</v>
      </c>
      <c r="K189" s="7" t="n"/>
      <c r="L189" s="40" t="n"/>
      <c r="M189">
        <f>IF(AND(L189&lt;&gt;"",N(I189)&gt;0,N(J189)&gt;0),IF(J189=1,I189,ROUND(I189*(1+J189/30),1)),"")</f>
        <v/>
      </c>
      <c r="N189" s="41">
        <f>IF(M189="","",IF(M189&gt;=PRs!C8,"PR!",""))</f>
        <v/>
      </c>
      <c r="O189" s="7" t="n"/>
    </row>
    <row r="190">
      <c r="A190" s="34" t="n"/>
      <c r="B190" s="34" t="n"/>
      <c r="C190" s="42" t="inlineStr">
        <is>
          <t>3-Board Press</t>
        </is>
      </c>
      <c r="D190" s="34" t="inlineStr">
        <is>
          <t>5 x 3</t>
        </is>
      </c>
      <c r="E190" s="34" t="n"/>
      <c r="F190" s="34" t="n">
        <v>80</v>
      </c>
      <c r="G190" s="36">
        <f>Maxes!F17</f>
        <v/>
      </c>
      <c r="H190" s="37">
        <f>IF(OR(G190="",F190=""),"",MROUND(G190*F190/100,'Start Here'!$B$7))</f>
        <v/>
      </c>
      <c r="I190" s="34" t="n"/>
      <c r="J190" s="34" t="n"/>
      <c r="K190" s="34" t="n"/>
      <c r="L190" s="34" t="n"/>
      <c r="M190" s="34" t="n"/>
      <c r="N190" s="34" t="n"/>
      <c r="O190" s="38" t="inlineStr"/>
    </row>
    <row r="191">
      <c r="C191" t="inlineStr">
        <is>
          <t xml:space="preserve">      Set 1</t>
        </is>
      </c>
      <c r="E191" t="n">
        <v>3</v>
      </c>
      <c r="H191" s="39">
        <f>IF(H190="","",H190)</f>
        <v/>
      </c>
      <c r="I191" s="7">
        <f>IF(H190="","",H190)</f>
        <v/>
      </c>
      <c r="J191" s="7" t="n">
        <v>3</v>
      </c>
      <c r="K191" s="7" t="n"/>
      <c r="L191" s="40" t="n"/>
      <c r="M191">
        <f>IF(AND(L191&lt;&gt;"",N(I191)&gt;0,N(J191)&gt;0),IF(J191=1,I191,ROUND(I191*(1+J191/30),1)),"")</f>
        <v/>
      </c>
      <c r="N191" s="41">
        <f>IF(M191="","",IF(M191&gt;=PRs!C17,"PR!",""))</f>
        <v/>
      </c>
      <c r="O191" s="7" t="n"/>
    </row>
    <row r="192">
      <c r="C192" t="inlineStr">
        <is>
          <t xml:space="preserve">      Set 2</t>
        </is>
      </c>
      <c r="E192" t="n">
        <v>3</v>
      </c>
      <c r="H192" s="39">
        <f>IF(H190="","",H190)</f>
        <v/>
      </c>
      <c r="I192" s="7">
        <f>IF(H190="","",H190)</f>
        <v/>
      </c>
      <c r="J192" s="7" t="n">
        <v>3</v>
      </c>
      <c r="K192" s="7" t="n"/>
      <c r="L192" s="40" t="n"/>
      <c r="M192">
        <f>IF(AND(L192&lt;&gt;"",N(I192)&gt;0,N(J192)&gt;0),IF(J192=1,I192,ROUND(I192*(1+J192/30),1)),"")</f>
        <v/>
      </c>
      <c r="N192" s="41">
        <f>IF(M192="","",IF(M192&gt;=PRs!C17,"PR!",""))</f>
        <v/>
      </c>
      <c r="O192" s="7" t="n"/>
    </row>
    <row r="193">
      <c r="C193" t="inlineStr">
        <is>
          <t xml:space="preserve">      Set 3</t>
        </is>
      </c>
      <c r="E193" t="n">
        <v>3</v>
      </c>
      <c r="H193" s="39">
        <f>IF(H190="","",H190)</f>
        <v/>
      </c>
      <c r="I193" s="7">
        <f>IF(H190="","",H190)</f>
        <v/>
      </c>
      <c r="J193" s="7" t="n">
        <v>3</v>
      </c>
      <c r="K193" s="7" t="n"/>
      <c r="L193" s="40" t="n"/>
      <c r="M193">
        <f>IF(AND(L193&lt;&gt;"",N(I193)&gt;0,N(J193)&gt;0),IF(J193=1,I193,ROUND(I193*(1+J193/30),1)),"")</f>
        <v/>
      </c>
      <c r="N193" s="41">
        <f>IF(M193="","",IF(M193&gt;=PRs!C17,"PR!",""))</f>
        <v/>
      </c>
      <c r="O193" s="7" t="n"/>
    </row>
    <row r="194">
      <c r="C194" t="inlineStr">
        <is>
          <t xml:space="preserve">      Set 4</t>
        </is>
      </c>
      <c r="E194" t="n">
        <v>3</v>
      </c>
      <c r="H194" s="39">
        <f>IF(H190="","",H190)</f>
        <v/>
      </c>
      <c r="I194" s="7">
        <f>IF(H190="","",H190)</f>
        <v/>
      </c>
      <c r="J194" s="7" t="n">
        <v>3</v>
      </c>
      <c r="K194" s="7" t="n"/>
      <c r="L194" s="40" t="n"/>
      <c r="M194">
        <f>IF(AND(L194&lt;&gt;"",N(I194)&gt;0,N(J194)&gt;0),IF(J194=1,I194,ROUND(I194*(1+J194/30),1)),"")</f>
        <v/>
      </c>
      <c r="N194" s="41">
        <f>IF(M194="","",IF(M194&gt;=PRs!C17,"PR!",""))</f>
        <v/>
      </c>
      <c r="O194" s="7" t="n"/>
    </row>
    <row r="195">
      <c r="C195" t="inlineStr">
        <is>
          <t xml:space="preserve">      Set 5</t>
        </is>
      </c>
      <c r="E195" t="n">
        <v>3</v>
      </c>
      <c r="H195" s="39">
        <f>IF(H190="","",H190)</f>
        <v/>
      </c>
      <c r="I195" s="7">
        <f>IF(H190="","",H190)</f>
        <v/>
      </c>
      <c r="J195" s="7" t="n">
        <v>3</v>
      </c>
      <c r="K195" s="7" t="n"/>
      <c r="L195" s="40" t="n"/>
      <c r="M195">
        <f>IF(AND(L195&lt;&gt;"",N(I195)&gt;0,N(J195)&gt;0),IF(J195=1,I195,ROUND(I195*(1+J195/30),1)),"")</f>
        <v/>
      </c>
      <c r="N195" s="41">
        <f>IF(M195="","",IF(M195&gt;=PRs!C17,"PR!",""))</f>
        <v/>
      </c>
      <c r="O195" s="7" t="n"/>
    </row>
    <row r="196">
      <c r="A196" s="34" t="n"/>
      <c r="B196" s="34" t="n"/>
      <c r="C196" s="42" t="inlineStr">
        <is>
          <t>Deficit Deadlift</t>
        </is>
      </c>
      <c r="D196" s="34" t="inlineStr">
        <is>
          <t>3 x 5</t>
        </is>
      </c>
      <c r="E196" s="34" t="n"/>
      <c r="F196" s="34" t="n">
        <v>70</v>
      </c>
      <c r="G196" s="36">
        <f>Maxes!F24</f>
        <v/>
      </c>
      <c r="H196" s="37">
        <f>IF(OR(G196="",F196=""),"",MROUND(G196*F196/100,'Start Here'!$B$7))</f>
        <v/>
      </c>
      <c r="I196" s="34" t="n"/>
      <c r="J196" s="34" t="n"/>
      <c r="K196" s="34" t="n"/>
      <c r="L196" s="34" t="n"/>
      <c r="M196" s="34" t="n"/>
      <c r="N196" s="34" t="n"/>
      <c r="O196" s="38" t="inlineStr"/>
    </row>
    <row r="197">
      <c r="C197" t="inlineStr">
        <is>
          <t xml:space="preserve">      Set 1</t>
        </is>
      </c>
      <c r="E197" t="n">
        <v>5</v>
      </c>
      <c r="H197" s="39">
        <f>IF(H196="","",H196)</f>
        <v/>
      </c>
      <c r="I197" s="7">
        <f>IF(H196="","",H196)</f>
        <v/>
      </c>
      <c r="J197" s="7" t="n">
        <v>5</v>
      </c>
      <c r="K197" s="7" t="n"/>
      <c r="L197" s="40" t="n"/>
      <c r="M197">
        <f>IF(AND(L197&lt;&gt;"",N(I197)&gt;0,N(J197)&gt;0),IF(J197=1,I197,ROUND(I197*(1+J197/30),1)),"")</f>
        <v/>
      </c>
      <c r="N197" s="41">
        <f>IF(M197="","",IF(M197&gt;=PRs!C24,"PR!",""))</f>
        <v/>
      </c>
      <c r="O197" s="7" t="n"/>
    </row>
    <row r="198">
      <c r="C198" t="inlineStr">
        <is>
          <t xml:space="preserve">      Set 2</t>
        </is>
      </c>
      <c r="E198" t="n">
        <v>5</v>
      </c>
      <c r="H198" s="39">
        <f>IF(H196="","",H196)</f>
        <v/>
      </c>
      <c r="I198" s="7">
        <f>IF(H196="","",H196)</f>
        <v/>
      </c>
      <c r="J198" s="7" t="n">
        <v>5</v>
      </c>
      <c r="K198" s="7" t="n"/>
      <c r="L198" s="40" t="n"/>
      <c r="M198">
        <f>IF(AND(L198&lt;&gt;"",N(I198)&gt;0,N(J198)&gt;0),IF(J198=1,I198,ROUND(I198*(1+J198/30),1)),"")</f>
        <v/>
      </c>
      <c r="N198" s="41">
        <f>IF(M198="","",IF(M198&gt;=PRs!C24,"PR!",""))</f>
        <v/>
      </c>
      <c r="O198" s="7" t="n"/>
    </row>
    <row r="199">
      <c r="C199" t="inlineStr">
        <is>
          <t xml:space="preserve">      Set 3</t>
        </is>
      </c>
      <c r="E199" t="n">
        <v>5</v>
      </c>
      <c r="H199" s="39">
        <f>IF(H196="","",H196)</f>
        <v/>
      </c>
      <c r="I199" s="7">
        <f>IF(H196="","",H196)</f>
        <v/>
      </c>
      <c r="J199" s="7" t="n">
        <v>5</v>
      </c>
      <c r="K199" s="7" t="n"/>
      <c r="L199" s="40" t="n"/>
      <c r="M199">
        <f>IF(AND(L199&lt;&gt;"",N(I199)&gt;0,N(J199)&gt;0),IF(J199=1,I199,ROUND(I199*(1+J199/30),1)),"")</f>
        <v/>
      </c>
      <c r="N199" s="41">
        <f>IF(M199="","",IF(M199&gt;=PRs!C24,"PR!",""))</f>
        <v/>
      </c>
      <c r="O199" s="7" t="n"/>
    </row>
    <row r="200">
      <c r="A200" s="34" t="n"/>
      <c r="B200" s="34" t="n"/>
      <c r="C200" s="43" t="inlineStr">
        <is>
          <t>Incline Dumbbell Press</t>
        </is>
      </c>
      <c r="D200" s="34" t="inlineStr">
        <is>
          <t>3 x 8-12</t>
        </is>
      </c>
      <c r="E200" s="34" t="n"/>
      <c r="F200" s="34" t="n"/>
      <c r="G200" s="36" t="n"/>
      <c r="H200" s="37" t="n"/>
      <c r="I200" s="34" t="n"/>
      <c r="J200" s="34" t="n"/>
      <c r="K200" s="34" t="n"/>
      <c r="L200" s="34" t="n"/>
      <c r="M200" s="34" t="n"/>
      <c r="N200" s="34" t="n"/>
      <c r="O200" s="38" t="inlineStr">
        <is>
          <t>Leave 1-2 reps in the tank; add weight when you hit the top of the range</t>
        </is>
      </c>
    </row>
    <row r="201">
      <c r="C201" t="inlineStr">
        <is>
          <t xml:space="preserve">      Set 1</t>
        </is>
      </c>
      <c r="E201" t="n">
        <v>8</v>
      </c>
      <c r="H201" s="39">
        <f>IF(H200="","",H200)</f>
        <v/>
      </c>
      <c r="I201" s="7">
        <f>IF(H200="","",H200)</f>
        <v/>
      </c>
      <c r="J201" s="7" t="n">
        <v>8</v>
      </c>
      <c r="K201" s="7" t="n"/>
      <c r="L201" s="40" t="n"/>
      <c r="M201">
        <f>IF(AND(L201&lt;&gt;"",N(I201)&gt;0,N(J201)&gt;0),IF(J201=1,I201,ROUND(I201*(1+J201/30),1)),"")</f>
        <v/>
      </c>
      <c r="N201" s="41">
        <f>IF(M201="","",IF(M201&gt;=PRs!C57,"PR!",""))</f>
        <v/>
      </c>
      <c r="O201" s="7" t="n"/>
    </row>
    <row r="202">
      <c r="C202" t="inlineStr">
        <is>
          <t xml:space="preserve">      Set 2</t>
        </is>
      </c>
      <c r="E202" t="n">
        <v>8</v>
      </c>
      <c r="H202" s="39">
        <f>IF(H200="","",H200)</f>
        <v/>
      </c>
      <c r="I202" s="7">
        <f>IF(H200="","",H200)</f>
        <v/>
      </c>
      <c r="J202" s="7" t="n">
        <v>8</v>
      </c>
      <c r="K202" s="7" t="n"/>
      <c r="L202" s="40" t="n"/>
      <c r="M202">
        <f>IF(AND(L202&lt;&gt;"",N(I202)&gt;0,N(J202)&gt;0),IF(J202=1,I202,ROUND(I202*(1+J202/30),1)),"")</f>
        <v/>
      </c>
      <c r="N202" s="41">
        <f>IF(M202="","",IF(M202&gt;=PRs!C57,"PR!",""))</f>
        <v/>
      </c>
      <c r="O202" s="7" t="n"/>
    </row>
    <row r="203">
      <c r="C203" t="inlineStr">
        <is>
          <t xml:space="preserve">      Set 3</t>
        </is>
      </c>
      <c r="E203" t="n">
        <v>8</v>
      </c>
      <c r="H203" s="39">
        <f>IF(H200="","",H200)</f>
        <v/>
      </c>
      <c r="I203" s="7">
        <f>IF(H200="","",H200)</f>
        <v/>
      </c>
      <c r="J203" s="7" t="n">
        <v>8</v>
      </c>
      <c r="K203" s="7" t="n"/>
      <c r="L203" s="40" t="n"/>
      <c r="M203">
        <f>IF(AND(L203&lt;&gt;"",N(I203)&gt;0,N(J203)&gt;0),IF(J203=1,I203,ROUND(I203*(1+J203/30),1)),"")</f>
        <v/>
      </c>
      <c r="N203" s="41">
        <f>IF(M203="","",IF(M203&gt;=PRs!C57,"PR!",""))</f>
        <v/>
      </c>
      <c r="O203" s="7" t="n"/>
    </row>
    <row r="204">
      <c r="A204" s="34" t="n"/>
      <c r="B204" s="34" t="n"/>
      <c r="C204" s="43" t="inlineStr">
        <is>
          <t>Triceps Pushdown</t>
        </is>
      </c>
      <c r="D204" s="34" t="inlineStr">
        <is>
          <t>3 x 10-15</t>
        </is>
      </c>
      <c r="E204" s="34" t="n"/>
      <c r="F204" s="34" t="n"/>
      <c r="G204" s="36" t="n"/>
      <c r="H204" s="37" t="n"/>
      <c r="I204" s="34" t="n"/>
      <c r="J204" s="34" t="n"/>
      <c r="K204" s="34" t="n"/>
      <c r="L204" s="34" t="n"/>
      <c r="M204" s="34" t="n"/>
      <c r="N204" s="34" t="n"/>
      <c r="O204" s="38" t="inlineStr">
        <is>
          <t>Leave 1-2 reps in the tank; add weight when you hit the top of the range</t>
        </is>
      </c>
    </row>
    <row r="205">
      <c r="C205" t="inlineStr">
        <is>
          <t xml:space="preserve">      Set 1</t>
        </is>
      </c>
      <c r="E205" t="n">
        <v>10</v>
      </c>
      <c r="H205" s="39">
        <f>IF(H204="","",H204)</f>
        <v/>
      </c>
      <c r="I205" s="7">
        <f>IF(H204="","",H204)</f>
        <v/>
      </c>
      <c r="J205" s="7" t="n">
        <v>10</v>
      </c>
      <c r="K205" s="7" t="n"/>
      <c r="L205" s="40" t="n"/>
      <c r="M205">
        <f>IF(AND(L205&lt;&gt;"",N(I205)&gt;0,N(J205)&gt;0),IF(J205=1,I205,ROUND(I205*(1+J205/30),1)),"")</f>
        <v/>
      </c>
      <c r="N205" s="41">
        <f>IF(M205="","",IF(M205&gt;=PRs!C59,"PR!",""))</f>
        <v/>
      </c>
      <c r="O205" s="7" t="n"/>
    </row>
    <row r="206">
      <c r="C206" t="inlineStr">
        <is>
          <t xml:space="preserve">      Set 2</t>
        </is>
      </c>
      <c r="E206" t="n">
        <v>10</v>
      </c>
      <c r="H206" s="39">
        <f>IF(H204="","",H204)</f>
        <v/>
      </c>
      <c r="I206" s="7">
        <f>IF(H204="","",H204)</f>
        <v/>
      </c>
      <c r="J206" s="7" t="n">
        <v>10</v>
      </c>
      <c r="K206" s="7" t="n"/>
      <c r="L206" s="40" t="n"/>
      <c r="M206">
        <f>IF(AND(L206&lt;&gt;"",N(I206)&gt;0,N(J206)&gt;0),IF(J206=1,I206,ROUND(I206*(1+J206/30),1)),"")</f>
        <v/>
      </c>
      <c r="N206" s="41">
        <f>IF(M206="","",IF(M206&gt;=PRs!C59,"PR!",""))</f>
        <v/>
      </c>
      <c r="O206" s="7" t="n"/>
    </row>
    <row r="207">
      <c r="C207" t="inlineStr">
        <is>
          <t xml:space="preserve">      Set 3</t>
        </is>
      </c>
      <c r="E207" t="n">
        <v>10</v>
      </c>
      <c r="H207" s="39">
        <f>IF(H204="","",H204)</f>
        <v/>
      </c>
      <c r="I207" s="7">
        <f>IF(H204="","",H204)</f>
        <v/>
      </c>
      <c r="J207" s="7" t="n">
        <v>10</v>
      </c>
      <c r="K207" s="7" t="n"/>
      <c r="L207" s="40" t="n"/>
      <c r="M207">
        <f>IF(AND(L207&lt;&gt;"",N(I207)&gt;0,N(J207)&gt;0),IF(J207=1,I207,ROUND(I207*(1+J207/30),1)),"")</f>
        <v/>
      </c>
      <c r="N207" s="41">
        <f>IF(M207="","",IF(M207&gt;=PRs!C59,"PR!",""))</f>
        <v/>
      </c>
      <c r="O207" s="7" t="n"/>
    </row>
    <row r="209">
      <c r="A209" s="28" t="inlineStr">
        <is>
          <t>WEEK 23 - CYCLE 2 - TAPER</t>
        </is>
      </c>
      <c r="B209" s="29" t="n"/>
      <c r="C209" s="29" t="n"/>
      <c r="D209" s="29" t="n"/>
      <c r="E209" s="29" t="n"/>
      <c r="F209" s="29" t="n"/>
      <c r="G209" s="29" t="n"/>
      <c r="H209" s="30" t="inlineStr">
        <is>
          <t>Bodyweight:</t>
        </is>
      </c>
      <c r="I209" s="7" t="n"/>
      <c r="J209" s="29" t="n"/>
      <c r="K209" s="29" t="n"/>
      <c r="L209" s="29" t="n"/>
      <c r="M209" s="29" t="n"/>
      <c r="N209" s="29" t="n"/>
      <c r="O209" s="29" t="n"/>
    </row>
    <row r="210">
      <c r="A210" s="31" t="inlineStr">
        <is>
          <t>Day 1 - Heavy</t>
        </is>
      </c>
      <c r="B210" s="32">
        <f>'Start Here'!$B$8+154</f>
        <v/>
      </c>
      <c r="C210" s="33" t="n"/>
      <c r="D210" s="33" t="n"/>
      <c r="E210" s="33" t="n"/>
      <c r="F210" s="33" t="n"/>
      <c r="G210" s="33" t="n"/>
      <c r="H210" s="33" t="n"/>
      <c r="I210" s="33" t="n"/>
      <c r="J210" s="33" t="n"/>
      <c r="K210" s="33" t="n"/>
      <c r="L210" s="33" t="n"/>
      <c r="M210" s="33" t="n"/>
      <c r="N210" s="33" t="n"/>
      <c r="O210" s="33" t="n"/>
    </row>
    <row r="211">
      <c r="A211" s="34" t="n"/>
      <c r="B211" s="34" t="n"/>
      <c r="C211" s="35" t="inlineStr">
        <is>
          <t>Box Jump</t>
        </is>
      </c>
      <c r="D211" s="34" t="inlineStr">
        <is>
          <t>2 x 2</t>
        </is>
      </c>
      <c r="E211" s="34" t="n"/>
      <c r="F211" s="34" t="n"/>
      <c r="G211" s="36" t="n"/>
      <c r="H211" s="37">
        <f>IF(N(Maxes!F69)&gt;0,Maxes!F69,'Start Here'!$G$16)</f>
        <v/>
      </c>
      <c r="I211" s="34" t="n"/>
      <c r="J211" s="34" t="n"/>
      <c r="K211" s="34" t="n"/>
      <c r="L211" s="34" t="n"/>
      <c r="M211" s="34" t="n"/>
      <c r="N211" s="34" t="n"/>
      <c r="O211" s="38" t="inlineStr">
        <is>
          <t>Two-foot jump onto a box, land soft in a quarter squat, STEP down. Log the box height (floor to top of box).</t>
        </is>
      </c>
    </row>
    <row r="212">
      <c r="C212" t="inlineStr">
        <is>
          <t xml:space="preserve">      Set 1</t>
        </is>
      </c>
      <c r="E212" t="n">
        <v>2</v>
      </c>
      <c r="H212" s="39">
        <f>IF(H211="","",H211)</f>
        <v/>
      </c>
      <c r="I212" s="7">
        <f>IF(H211="","",H211)</f>
        <v/>
      </c>
      <c r="J212" s="7" t="n">
        <v>2</v>
      </c>
      <c r="K212" s="7" t="n"/>
      <c r="L212" s="40" t="n"/>
      <c r="N212" s="41">
        <f>IF(AND(L212&lt;&gt;"",N(I212)&gt;0),IF(I212&gt;=PRs!D69,"PR!",""),"")</f>
        <v/>
      </c>
      <c r="O212" s="7" t="n"/>
    </row>
    <row r="213">
      <c r="C213" t="inlineStr">
        <is>
          <t xml:space="preserve">      Set 2</t>
        </is>
      </c>
      <c r="E213" t="n">
        <v>2</v>
      </c>
      <c r="H213" s="39">
        <f>IF(H211="","",H211)</f>
        <v/>
      </c>
      <c r="I213" s="7">
        <f>IF(H211="","",H211)</f>
        <v/>
      </c>
      <c r="J213" s="7" t="n">
        <v>2</v>
      </c>
      <c r="K213" s="7" t="n"/>
      <c r="L213" s="40" t="n"/>
      <c r="N213" s="41">
        <f>IF(AND(L213&lt;&gt;"",N(I213)&gt;0),IF(I213&gt;=PRs!D69,"PR!",""),"")</f>
        <v/>
      </c>
      <c r="O213" s="7" t="n"/>
    </row>
    <row r="214">
      <c r="A214" s="34" t="n"/>
      <c r="B214" s="34" t="n"/>
      <c r="C214" s="42" t="inlineStr">
        <is>
          <t>Snatch</t>
        </is>
      </c>
      <c r="D214" s="34" t="inlineStr">
        <is>
          <t>3 x 1</t>
        </is>
      </c>
      <c r="E214" s="34" t="n"/>
      <c r="F214" s="34" t="n">
        <v>80</v>
      </c>
      <c r="G214" s="36">
        <f>Maxes!F6</f>
        <v/>
      </c>
      <c r="H214" s="37">
        <f>IF(OR(G214="",F214=""),"",MROUND(G214*F214/100,'Start Here'!$B$7))</f>
        <v/>
      </c>
      <c r="I214" s="34" t="n"/>
      <c r="J214" s="34" t="n"/>
      <c r="K214" s="34" t="n"/>
      <c r="L214" s="34" t="n"/>
      <c r="M214" s="34" t="n"/>
      <c r="N214" s="34" t="n"/>
      <c r="O214" s="38" t="inlineStr">
        <is>
          <t>Keep it heavy but short - no grinding</t>
        </is>
      </c>
    </row>
    <row r="215">
      <c r="C215" t="inlineStr">
        <is>
          <t xml:space="preserve">      Set 1</t>
        </is>
      </c>
      <c r="E215" t="n">
        <v>1</v>
      </c>
      <c r="H215" s="39">
        <f>IF(H214="","",H214)</f>
        <v/>
      </c>
      <c r="I215" s="7">
        <f>IF(H214="","",H214)</f>
        <v/>
      </c>
      <c r="J215" s="7" t="n">
        <v>1</v>
      </c>
      <c r="K215" s="7" t="n"/>
      <c r="L215" s="40" t="n"/>
      <c r="M215">
        <f>IF(AND(L215&lt;&gt;"",N(I215)&gt;0,N(J215)&gt;0),IF(J215=1,I215,ROUND(I215*(1+J215/30),1)),"")</f>
        <v/>
      </c>
      <c r="N215" s="41">
        <f>IF(M215="","",IF(M215&gt;=PRs!C6,"PR!",""))</f>
        <v/>
      </c>
      <c r="O215" s="7" t="n"/>
    </row>
    <row r="216">
      <c r="C216" t="inlineStr">
        <is>
          <t xml:space="preserve">      Set 2</t>
        </is>
      </c>
      <c r="E216" t="n">
        <v>1</v>
      </c>
      <c r="H216" s="39">
        <f>IF(H214="","",H214)</f>
        <v/>
      </c>
      <c r="I216" s="7">
        <f>IF(H214="","",H214)</f>
        <v/>
      </c>
      <c r="J216" s="7" t="n">
        <v>1</v>
      </c>
      <c r="K216" s="7" t="n"/>
      <c r="L216" s="40" t="n"/>
      <c r="M216">
        <f>IF(AND(L216&lt;&gt;"",N(I216)&gt;0,N(J216)&gt;0),IF(J216=1,I216,ROUND(I216*(1+J216/30),1)),"")</f>
        <v/>
      </c>
      <c r="N216" s="41">
        <f>IF(M216="","",IF(M216&gt;=PRs!C6,"PR!",""))</f>
        <v/>
      </c>
      <c r="O216" s="7" t="n"/>
    </row>
    <row r="217">
      <c r="C217" t="inlineStr">
        <is>
          <t xml:space="preserve">      Set 3</t>
        </is>
      </c>
      <c r="E217" t="n">
        <v>1</v>
      </c>
      <c r="H217" s="39">
        <f>IF(H214="","",H214)</f>
        <v/>
      </c>
      <c r="I217" s="7">
        <f>IF(H214="","",H214)</f>
        <v/>
      </c>
      <c r="J217" s="7" t="n">
        <v>1</v>
      </c>
      <c r="K217" s="7" t="n"/>
      <c r="L217" s="40" t="n"/>
      <c r="M217">
        <f>IF(AND(L217&lt;&gt;"",N(I217)&gt;0,N(J217)&gt;0),IF(J217=1,I217,ROUND(I217*(1+J217/30),1)),"")</f>
        <v/>
      </c>
      <c r="N217" s="41">
        <f>IF(M217="","",IF(M217&gt;=PRs!C6,"PR!",""))</f>
        <v/>
      </c>
      <c r="O217" s="7" t="n"/>
    </row>
    <row r="218">
      <c r="A218" s="34" t="n"/>
      <c r="B218" s="34" t="n"/>
      <c r="C218" s="42" t="inlineStr">
        <is>
          <t>Squat</t>
        </is>
      </c>
      <c r="D218" s="34" t="inlineStr">
        <is>
          <t>3 x 2</t>
        </is>
      </c>
      <c r="E218" s="34" t="n"/>
      <c r="F218" s="34" t="n">
        <v>80</v>
      </c>
      <c r="G218" s="36">
        <f>Maxes!F2</f>
        <v/>
      </c>
      <c r="H218" s="37">
        <f>IF(OR(G218="",F218=""),"",MROUND(G218*F218/100,'Start Here'!$B$7))</f>
        <v/>
      </c>
      <c r="I218" s="34" t="n"/>
      <c r="J218" s="34" t="n"/>
      <c r="K218" s="34" t="n"/>
      <c r="L218" s="34" t="n"/>
      <c r="M218" s="34" t="n"/>
      <c r="N218" s="34" t="n"/>
      <c r="O218" s="38" t="inlineStr">
        <is>
          <t>Keep it heavy but short - no grinding</t>
        </is>
      </c>
    </row>
    <row r="219">
      <c r="C219" t="inlineStr">
        <is>
          <t xml:space="preserve">      Set 1</t>
        </is>
      </c>
      <c r="E219" t="n">
        <v>2</v>
      </c>
      <c r="H219" s="39">
        <f>IF(H218="","",H218)</f>
        <v/>
      </c>
      <c r="I219" s="7">
        <f>IF(H218="","",H218)</f>
        <v/>
      </c>
      <c r="J219" s="7" t="n">
        <v>2</v>
      </c>
      <c r="K219" s="7" t="n"/>
      <c r="L219" s="40" t="n"/>
      <c r="M219">
        <f>IF(AND(L219&lt;&gt;"",N(I219)&gt;0,N(J219)&gt;0),IF(J219=1,I219,ROUND(I219*(1+J219/30),1)),"")</f>
        <v/>
      </c>
      <c r="N219" s="41">
        <f>IF(M219="","",IF(M219&gt;=PRs!C2,"PR!",""))</f>
        <v/>
      </c>
      <c r="O219" s="7" t="n"/>
    </row>
    <row r="220">
      <c r="C220" t="inlineStr">
        <is>
          <t xml:space="preserve">      Set 2</t>
        </is>
      </c>
      <c r="E220" t="n">
        <v>2</v>
      </c>
      <c r="H220" s="39">
        <f>IF(H218="","",H218)</f>
        <v/>
      </c>
      <c r="I220" s="7">
        <f>IF(H218="","",H218)</f>
        <v/>
      </c>
      <c r="J220" s="7" t="n">
        <v>2</v>
      </c>
      <c r="K220" s="7" t="n"/>
      <c r="L220" s="40" t="n"/>
      <c r="M220">
        <f>IF(AND(L220&lt;&gt;"",N(I220)&gt;0,N(J220)&gt;0),IF(J220=1,I220,ROUND(I220*(1+J220/30),1)),"")</f>
        <v/>
      </c>
      <c r="N220" s="41">
        <f>IF(M220="","",IF(M220&gt;=PRs!C2,"PR!",""))</f>
        <v/>
      </c>
      <c r="O220" s="7" t="n"/>
    </row>
    <row r="221">
      <c r="C221" t="inlineStr">
        <is>
          <t xml:space="preserve">      Set 3</t>
        </is>
      </c>
      <c r="E221" t="n">
        <v>2</v>
      </c>
      <c r="H221" s="39">
        <f>IF(H218="","",H218)</f>
        <v/>
      </c>
      <c r="I221" s="7">
        <f>IF(H218="","",H218)</f>
        <v/>
      </c>
      <c r="J221" s="7" t="n">
        <v>2</v>
      </c>
      <c r="K221" s="7" t="n"/>
      <c r="L221" s="40" t="n"/>
      <c r="M221">
        <f>IF(AND(L221&lt;&gt;"",N(I221)&gt;0,N(J221)&gt;0),IF(J221=1,I221,ROUND(I221*(1+J221/30),1)),"")</f>
        <v/>
      </c>
      <c r="N221" s="41">
        <f>IF(M221="","",IF(M221&gt;=PRs!C2,"PR!",""))</f>
        <v/>
      </c>
      <c r="O221" s="7" t="n"/>
    </row>
    <row r="222">
      <c r="A222" s="34" t="n"/>
      <c r="B222" s="34" t="n"/>
      <c r="C222" s="42" t="inlineStr">
        <is>
          <t>Bench Press</t>
        </is>
      </c>
      <c r="D222" s="34" t="inlineStr">
        <is>
          <t>3 x 2</t>
        </is>
      </c>
      <c r="E222" s="34" t="n"/>
      <c r="F222" s="34" t="n">
        <v>80</v>
      </c>
      <c r="G222" s="36">
        <f>Maxes!F3</f>
        <v/>
      </c>
      <c r="H222" s="37">
        <f>IF(OR(G222="",F222=""),"",MROUND(G222*F222/100,'Start Here'!$B$7))</f>
        <v/>
      </c>
      <c r="I222" s="34" t="n"/>
      <c r="J222" s="34" t="n"/>
      <c r="K222" s="34" t="n"/>
      <c r="L222" s="34" t="n"/>
      <c r="M222" s="34" t="n"/>
      <c r="N222" s="34" t="n"/>
      <c r="O222" s="38" t="inlineStr">
        <is>
          <t>Keep it heavy but short - no grinding</t>
        </is>
      </c>
    </row>
    <row r="223">
      <c r="C223" t="inlineStr">
        <is>
          <t xml:space="preserve">      Set 1</t>
        </is>
      </c>
      <c r="E223" t="n">
        <v>2</v>
      </c>
      <c r="H223" s="39">
        <f>IF(H222="","",H222)</f>
        <v/>
      </c>
      <c r="I223" s="7">
        <f>IF(H222="","",H222)</f>
        <v/>
      </c>
      <c r="J223" s="7" t="n">
        <v>2</v>
      </c>
      <c r="K223" s="7" t="n"/>
      <c r="L223" s="40" t="n"/>
      <c r="M223">
        <f>IF(AND(L223&lt;&gt;"",N(I223)&gt;0,N(J223)&gt;0),IF(J223=1,I223,ROUND(I223*(1+J223/30),1)),"")</f>
        <v/>
      </c>
      <c r="N223" s="41">
        <f>IF(M223="","",IF(M223&gt;=PRs!C3,"PR!",""))</f>
        <v/>
      </c>
      <c r="O223" s="7" t="n"/>
    </row>
    <row r="224">
      <c r="C224" t="inlineStr">
        <is>
          <t xml:space="preserve">      Set 2</t>
        </is>
      </c>
      <c r="E224" t="n">
        <v>2</v>
      </c>
      <c r="H224" s="39">
        <f>IF(H222="","",H222)</f>
        <v/>
      </c>
      <c r="I224" s="7">
        <f>IF(H222="","",H222)</f>
        <v/>
      </c>
      <c r="J224" s="7" t="n">
        <v>2</v>
      </c>
      <c r="K224" s="7" t="n"/>
      <c r="L224" s="40" t="n"/>
      <c r="M224">
        <f>IF(AND(L224&lt;&gt;"",N(I224)&gt;0,N(J224)&gt;0),IF(J224=1,I224,ROUND(I224*(1+J224/30),1)),"")</f>
        <v/>
      </c>
      <c r="N224" s="41">
        <f>IF(M224="","",IF(M224&gt;=PRs!C3,"PR!",""))</f>
        <v/>
      </c>
      <c r="O224" s="7" t="n"/>
    </row>
    <row r="225">
      <c r="C225" t="inlineStr">
        <is>
          <t xml:space="preserve">      Set 3</t>
        </is>
      </c>
      <c r="E225" t="n">
        <v>2</v>
      </c>
      <c r="H225" s="39">
        <f>IF(H222="","",H222)</f>
        <v/>
      </c>
      <c r="I225" s="7">
        <f>IF(H222="","",H222)</f>
        <v/>
      </c>
      <c r="J225" s="7" t="n">
        <v>2</v>
      </c>
      <c r="K225" s="7" t="n"/>
      <c r="L225" s="40" t="n"/>
      <c r="M225">
        <f>IF(AND(L225&lt;&gt;"",N(I225)&gt;0,N(J225)&gt;0),IF(J225=1,I225,ROUND(I225*(1+J225/30),1)),"")</f>
        <v/>
      </c>
      <c r="N225" s="41">
        <f>IF(M225="","",IF(M225&gt;=PRs!C3,"PR!",""))</f>
        <v/>
      </c>
      <c r="O225" s="7" t="n"/>
    </row>
    <row r="226">
      <c r="A226" s="34" t="n"/>
      <c r="B226" s="34" t="n"/>
      <c r="C226" s="43" t="inlineStr">
        <is>
          <t>Barbell Row</t>
        </is>
      </c>
      <c r="D226" s="34" t="inlineStr">
        <is>
          <t>2 x 8-10</t>
        </is>
      </c>
      <c r="E226" s="34" t="n"/>
      <c r="F226" s="34" t="n"/>
      <c r="G226" s="36" t="n"/>
      <c r="H226" s="37" t="n"/>
      <c r="I226" s="34" t="n"/>
      <c r="J226" s="34" t="n"/>
      <c r="K226" s="34" t="n"/>
      <c r="L226" s="34" t="n"/>
      <c r="M226" s="34" t="n"/>
      <c r="N226" s="34" t="n"/>
      <c r="O226" s="38" t="inlineStr">
        <is>
          <t>Light - save energy for test week</t>
        </is>
      </c>
    </row>
    <row r="227">
      <c r="C227" t="inlineStr">
        <is>
          <t xml:space="preserve">      Set 1</t>
        </is>
      </c>
      <c r="E227" t="n">
        <v>8</v>
      </c>
      <c r="H227" s="39">
        <f>IF(H226="","",H226)</f>
        <v/>
      </c>
      <c r="I227" s="7">
        <f>IF(H226="","",H226)</f>
        <v/>
      </c>
      <c r="J227" s="7" t="n">
        <v>8</v>
      </c>
      <c r="K227" s="7" t="n"/>
      <c r="L227" s="40" t="n"/>
      <c r="M227">
        <f>IF(AND(L227&lt;&gt;"",N(I227)&gt;0,N(J227)&gt;0),IF(J227=1,I227,ROUND(I227*(1+J227/30),1)),"")</f>
        <v/>
      </c>
      <c r="N227" s="41">
        <f>IF(M227="","",IF(M227&gt;=PRs!C50,"PR!",""))</f>
        <v/>
      </c>
      <c r="O227" s="7" t="n"/>
    </row>
    <row r="228">
      <c r="C228" t="inlineStr">
        <is>
          <t xml:space="preserve">      Set 2</t>
        </is>
      </c>
      <c r="E228" t="n">
        <v>8</v>
      </c>
      <c r="H228" s="39">
        <f>IF(H226="","",H226)</f>
        <v/>
      </c>
      <c r="I228" s="7">
        <f>IF(H226="","",H226)</f>
        <v/>
      </c>
      <c r="J228" s="7" t="n">
        <v>8</v>
      </c>
      <c r="K228" s="7" t="n"/>
      <c r="L228" s="40" t="n"/>
      <c r="M228">
        <f>IF(AND(L228&lt;&gt;"",N(I228)&gt;0,N(J228)&gt;0),IF(J228=1,I228,ROUND(I228*(1+J228/30),1)),"")</f>
        <v/>
      </c>
      <c r="N228" s="41">
        <f>IF(M228="","",IF(M228&gt;=PRs!C50,"PR!",""))</f>
        <v/>
      </c>
      <c r="O228" s="7" t="n"/>
    </row>
    <row r="229">
      <c r="A229" s="34" t="n"/>
      <c r="B229" s="34" t="n"/>
      <c r="C229" s="43" t="inlineStr">
        <is>
          <t>Face Pull</t>
        </is>
      </c>
      <c r="D229" s="34" t="inlineStr">
        <is>
          <t>2 x 12-15</t>
        </is>
      </c>
      <c r="E229" s="34" t="n"/>
      <c r="F229" s="34" t="n"/>
      <c r="G229" s="36" t="n"/>
      <c r="H229" s="37" t="n"/>
      <c r="I229" s="34" t="n"/>
      <c r="J229" s="34" t="n"/>
      <c r="K229" s="34" t="n"/>
      <c r="L229" s="34" t="n"/>
      <c r="M229" s="34" t="n"/>
      <c r="N229" s="34" t="n"/>
      <c r="O229" s="38" t="inlineStr">
        <is>
          <t>Light - save energy for test week</t>
        </is>
      </c>
    </row>
    <row r="230">
      <c r="C230" t="inlineStr">
        <is>
          <t xml:space="preserve">      Set 1</t>
        </is>
      </c>
      <c r="E230" t="n">
        <v>12</v>
      </c>
      <c r="H230" s="39">
        <f>IF(H229="","",H229)</f>
        <v/>
      </c>
      <c r="I230" s="7">
        <f>IF(H229="","",H229)</f>
        <v/>
      </c>
      <c r="J230" s="7" t="n">
        <v>12</v>
      </c>
      <c r="K230" s="7" t="n"/>
      <c r="L230" s="40" t="n"/>
      <c r="M230">
        <f>IF(AND(L230&lt;&gt;"",N(I230)&gt;0,N(J230)&gt;0),IF(J230=1,I230,ROUND(I230*(1+J230/30),1)),"")</f>
        <v/>
      </c>
      <c r="N230" s="41">
        <f>IF(M230="","",IF(M230&gt;=PRs!C51,"PR!",""))</f>
        <v/>
      </c>
      <c r="O230" s="7" t="n"/>
    </row>
    <row r="231">
      <c r="C231" t="inlineStr">
        <is>
          <t xml:space="preserve">      Set 2</t>
        </is>
      </c>
      <c r="E231" t="n">
        <v>12</v>
      </c>
      <c r="H231" s="39">
        <f>IF(H229="","",H229)</f>
        <v/>
      </c>
      <c r="I231" s="7">
        <f>IF(H229="","",H229)</f>
        <v/>
      </c>
      <c r="J231" s="7" t="n">
        <v>12</v>
      </c>
      <c r="K231" s="7" t="n"/>
      <c r="L231" s="40" t="n"/>
      <c r="M231">
        <f>IF(AND(L231&lt;&gt;"",N(I231)&gt;0,N(J231)&gt;0),IF(J231=1,I231,ROUND(I231*(1+J231/30),1)),"")</f>
        <v/>
      </c>
      <c r="N231" s="41">
        <f>IF(M231="","",IF(M231&gt;=PRs!C51,"PR!",""))</f>
        <v/>
      </c>
      <c r="O231" s="7" t="n"/>
    </row>
    <row r="232">
      <c r="A232" s="31" t="inlineStr">
        <is>
          <t>Day 2 - Light</t>
        </is>
      </c>
      <c r="B232" s="32">
        <f>'Start Here'!$B$8+156</f>
        <v/>
      </c>
      <c r="C232" s="33" t="n"/>
      <c r="D232" s="33" t="n"/>
      <c r="E232" s="33" t="n"/>
      <c r="F232" s="33" t="n"/>
      <c r="G232" s="33" t="n"/>
      <c r="H232" s="33" t="n"/>
      <c r="I232" s="33" t="n"/>
      <c r="J232" s="33" t="n"/>
      <c r="K232" s="33" t="n"/>
      <c r="L232" s="33" t="n"/>
      <c r="M232" s="33" t="n"/>
      <c r="N232" s="33" t="n"/>
      <c r="O232" s="33" t="n"/>
    </row>
    <row r="233">
      <c r="A233" s="34" t="n"/>
      <c r="B233" s="34" t="n"/>
      <c r="C233" s="35" t="inlineStr">
        <is>
          <t>Broad Jump</t>
        </is>
      </c>
      <c r="D233" s="34" t="inlineStr">
        <is>
          <t>2 x 2</t>
        </is>
      </c>
      <c r="E233" s="34" t="n"/>
      <c r="F233" s="34" t="n"/>
      <c r="G233" s="36" t="n"/>
      <c r="H233" s="37">
        <f>IF(N(Maxes!F70)&gt;0,Maxes!F70,"")</f>
        <v/>
      </c>
      <c r="I233" s="34" t="n"/>
      <c r="J233" s="34" t="n"/>
      <c r="K233" s="34" t="n"/>
      <c r="L233" s="34" t="n"/>
      <c r="M233" s="34" t="n"/>
      <c r="N233" s="34" t="n"/>
      <c r="O233" s="38" t="inlineStr">
        <is>
          <t>Standing two-foot jump forward, stick the landing. Measure toe line to the back of the nearest heel.</t>
        </is>
      </c>
    </row>
    <row r="234">
      <c r="C234" t="inlineStr">
        <is>
          <t xml:space="preserve">      Set 1</t>
        </is>
      </c>
      <c r="E234" t="n">
        <v>2</v>
      </c>
      <c r="H234" s="39">
        <f>IF(H233="","",H233)</f>
        <v/>
      </c>
      <c r="I234" s="7">
        <f>IF(H233="","",H233)</f>
        <v/>
      </c>
      <c r="J234" s="7" t="n">
        <v>2</v>
      </c>
      <c r="K234" s="7" t="n"/>
      <c r="L234" s="40" t="n"/>
      <c r="N234" s="41">
        <f>IF(AND(L234&lt;&gt;"",N(I234)&gt;0),IF(I234&gt;=PRs!D70,"PR!",""),"")</f>
        <v/>
      </c>
      <c r="O234" s="7" t="n"/>
    </row>
    <row r="235">
      <c r="C235" t="inlineStr">
        <is>
          <t xml:space="preserve">      Set 2</t>
        </is>
      </c>
      <c r="E235" t="n">
        <v>2</v>
      </c>
      <c r="H235" s="39">
        <f>IF(H233="","",H233)</f>
        <v/>
      </c>
      <c r="I235" s="7">
        <f>IF(H233="","",H233)</f>
        <v/>
      </c>
      <c r="J235" s="7" t="n">
        <v>2</v>
      </c>
      <c r="K235" s="7" t="n"/>
      <c r="L235" s="40" t="n"/>
      <c r="N235" s="41">
        <f>IF(AND(L235&lt;&gt;"",N(I235)&gt;0),IF(I235&gt;=PRs!D70,"PR!",""),"")</f>
        <v/>
      </c>
      <c r="O235" s="7" t="n"/>
    </row>
    <row r="236">
      <c r="A236" s="34" t="n"/>
      <c r="B236" s="34" t="n"/>
      <c r="C236" s="35" t="inlineStr">
        <is>
          <t>Med Ball Chest Pass</t>
        </is>
      </c>
      <c r="D236" s="34" t="inlineStr">
        <is>
          <t>2 x 3</t>
        </is>
      </c>
      <c r="E236" s="34" t="n"/>
      <c r="F236" s="34" t="n"/>
      <c r="G236" s="36" t="n"/>
      <c r="H236" s="37">
        <f>IF(N(Maxes!F77)&gt;0,Maxes!F77,"")</f>
        <v/>
      </c>
      <c r="I236" s="34" t="n"/>
      <c r="J236" s="34" t="n"/>
      <c r="K236" s="34" t="n"/>
      <c r="L236" s="34" t="n"/>
      <c r="M236" s="34" t="n"/>
      <c r="N236" s="34" t="n"/>
      <c r="O236" s="38" t="inlineStr">
        <is>
          <t>Kneeling or standing chest pass for distance with a 6-10 lb / 3-5 kg ball. Log the distance.</t>
        </is>
      </c>
    </row>
    <row r="237">
      <c r="C237" t="inlineStr">
        <is>
          <t xml:space="preserve">      Set 1</t>
        </is>
      </c>
      <c r="E237" t="n">
        <v>3</v>
      </c>
      <c r="H237" s="39">
        <f>IF(H236="","",H236)</f>
        <v/>
      </c>
      <c r="I237" s="7">
        <f>IF(H236="","",H236)</f>
        <v/>
      </c>
      <c r="J237" s="7" t="n">
        <v>3</v>
      </c>
      <c r="K237" s="7" t="n"/>
      <c r="L237" s="40" t="n"/>
      <c r="N237" s="41">
        <f>IF(AND(L237&lt;&gt;"",N(I237)&gt;0),IF(I237&gt;=PRs!D77,"PR!",""),"")</f>
        <v/>
      </c>
      <c r="O237" s="7" t="n"/>
    </row>
    <row r="238">
      <c r="C238" t="inlineStr">
        <is>
          <t xml:space="preserve">      Set 2</t>
        </is>
      </c>
      <c r="E238" t="n">
        <v>3</v>
      </c>
      <c r="H238" s="39">
        <f>IF(H236="","",H236)</f>
        <v/>
      </c>
      <c r="I238" s="7">
        <f>IF(H236="","",H236)</f>
        <v/>
      </c>
      <c r="J238" s="7" t="n">
        <v>3</v>
      </c>
      <c r="K238" s="7" t="n"/>
      <c r="L238" s="40" t="n"/>
      <c r="N238" s="41">
        <f>IF(AND(L238&lt;&gt;"",N(I238)&gt;0),IF(I238&gt;=PRs!D77,"PR!",""),"")</f>
        <v/>
      </c>
      <c r="O238" s="7" t="n"/>
    </row>
    <row r="239">
      <c r="A239" s="34" t="n"/>
      <c r="B239" s="34" t="n"/>
      <c r="C239" s="42" t="inlineStr">
        <is>
          <t>Clean &amp; Jerk</t>
        </is>
      </c>
      <c r="D239" s="34" t="inlineStr">
        <is>
          <t>2 x 1</t>
        </is>
      </c>
      <c r="E239" s="34" t="n"/>
      <c r="F239" s="34" t="n">
        <v>80</v>
      </c>
      <c r="G239" s="36">
        <f>Maxes!F7</f>
        <v/>
      </c>
      <c r="H239" s="37">
        <f>IF(OR(G239="",F239=""),"",MROUND(G239*F239/100,'Start Here'!$B$7))</f>
        <v/>
      </c>
      <c r="I239" s="34" t="n"/>
      <c r="J239" s="34" t="n"/>
      <c r="K239" s="34" t="n"/>
      <c r="L239" s="34" t="n"/>
      <c r="M239" s="34" t="n"/>
      <c r="N239" s="34" t="n"/>
      <c r="O239" s="38" t="inlineStr">
        <is>
          <t>Keep it heavy but short - no grinding</t>
        </is>
      </c>
    </row>
    <row r="240">
      <c r="C240" t="inlineStr">
        <is>
          <t xml:space="preserve">      Set 1</t>
        </is>
      </c>
      <c r="E240" t="n">
        <v>1</v>
      </c>
      <c r="H240" s="39">
        <f>IF(H239="","",H239)</f>
        <v/>
      </c>
      <c r="I240" s="7">
        <f>IF(H239="","",H239)</f>
        <v/>
      </c>
      <c r="J240" s="7" t="n">
        <v>1</v>
      </c>
      <c r="K240" s="7" t="n"/>
      <c r="L240" s="40" t="n"/>
      <c r="M240">
        <f>IF(AND(L240&lt;&gt;"",N(I240)&gt;0,N(J240)&gt;0),IF(J240=1,I240,ROUND(I240*(1+J240/30),1)),"")</f>
        <v/>
      </c>
      <c r="N240" s="41">
        <f>IF(M240="","",IF(M240&gt;=PRs!C7,"PR!",""))</f>
        <v/>
      </c>
      <c r="O240" s="7" t="n"/>
    </row>
    <row r="241">
      <c r="C241" t="inlineStr">
        <is>
          <t xml:space="preserve">      Set 2</t>
        </is>
      </c>
      <c r="E241" t="n">
        <v>1</v>
      </c>
      <c r="H241" s="39">
        <f>IF(H239="","",H239)</f>
        <v/>
      </c>
      <c r="I241" s="7">
        <f>IF(H239="","",H239)</f>
        <v/>
      </c>
      <c r="J241" s="7" t="n">
        <v>1</v>
      </c>
      <c r="K241" s="7" t="n"/>
      <c r="L241" s="40" t="n"/>
      <c r="M241">
        <f>IF(AND(L241&lt;&gt;"",N(I241)&gt;0,N(J241)&gt;0),IF(J241=1,I241,ROUND(I241*(1+J241/30),1)),"")</f>
        <v/>
      </c>
      <c r="N241" s="41">
        <f>IF(M241="","",IF(M241&gt;=PRs!C7,"PR!",""))</f>
        <v/>
      </c>
      <c r="O241" s="7" t="n"/>
    </row>
    <row r="242">
      <c r="A242" s="34" t="n"/>
      <c r="B242" s="34" t="n"/>
      <c r="C242" s="42" t="inlineStr">
        <is>
          <t>Squat</t>
        </is>
      </c>
      <c r="D242" s="34" t="inlineStr">
        <is>
          <t>2 x 3</t>
        </is>
      </c>
      <c r="E242" s="34" t="n"/>
      <c r="F242" s="34" t="n">
        <v>65</v>
      </c>
      <c r="G242" s="36">
        <f>Maxes!F2</f>
        <v/>
      </c>
      <c r="H242" s="37">
        <f>IF(OR(G242="",F242=""),"",MROUND(G242*F242/100,'Start Here'!$B$7))</f>
        <v/>
      </c>
      <c r="I242" s="34" t="n"/>
      <c r="J242" s="34" t="n"/>
      <c r="K242" s="34" t="n"/>
      <c r="L242" s="34" t="n"/>
      <c r="M242" s="34" t="n"/>
      <c r="N242" s="34" t="n"/>
      <c r="O242" s="38" t="inlineStr">
        <is>
          <t>Easy</t>
        </is>
      </c>
    </row>
    <row r="243">
      <c r="C243" t="inlineStr">
        <is>
          <t xml:space="preserve">      Set 1</t>
        </is>
      </c>
      <c r="E243" t="n">
        <v>3</v>
      </c>
      <c r="H243" s="39">
        <f>IF(H242="","",H242)</f>
        <v/>
      </c>
      <c r="I243" s="7">
        <f>IF(H242="","",H242)</f>
        <v/>
      </c>
      <c r="J243" s="7" t="n">
        <v>3</v>
      </c>
      <c r="K243" s="7" t="n"/>
      <c r="L243" s="40" t="n"/>
      <c r="M243">
        <f>IF(AND(L243&lt;&gt;"",N(I243)&gt;0,N(J243)&gt;0),IF(J243=1,I243,ROUND(I243*(1+J243/30),1)),"")</f>
        <v/>
      </c>
      <c r="N243" s="41">
        <f>IF(M243="","",IF(M243&gt;=PRs!C2,"PR!",""))</f>
        <v/>
      </c>
      <c r="O243" s="7" t="n"/>
    </row>
    <row r="244">
      <c r="C244" t="inlineStr">
        <is>
          <t xml:space="preserve">      Set 2</t>
        </is>
      </c>
      <c r="E244" t="n">
        <v>3</v>
      </c>
      <c r="H244" s="39">
        <f>IF(H242="","",H242)</f>
        <v/>
      </c>
      <c r="I244" s="7">
        <f>IF(H242="","",H242)</f>
        <v/>
      </c>
      <c r="J244" s="7" t="n">
        <v>3</v>
      </c>
      <c r="K244" s="7" t="n"/>
      <c r="L244" s="40" t="n"/>
      <c r="M244">
        <f>IF(AND(L244&lt;&gt;"",N(I244)&gt;0,N(J244)&gt;0),IF(J244=1,I244,ROUND(I244*(1+J244/30),1)),"")</f>
        <v/>
      </c>
      <c r="N244" s="41">
        <f>IF(M244="","",IF(M244&gt;=PRs!C2,"PR!",""))</f>
        <v/>
      </c>
      <c r="O244" s="7" t="n"/>
    </row>
    <row r="245">
      <c r="A245" s="34" t="n"/>
      <c r="B245" s="34" t="n"/>
      <c r="C245" s="42" t="inlineStr">
        <is>
          <t>Overhead Press</t>
        </is>
      </c>
      <c r="D245" s="34" t="inlineStr">
        <is>
          <t>2 x 2</t>
        </is>
      </c>
      <c r="E245" s="34" t="n"/>
      <c r="F245" s="34" t="n">
        <v>80</v>
      </c>
      <c r="G245" s="36">
        <f>Maxes!F5</f>
        <v/>
      </c>
      <c r="H245" s="37">
        <f>IF(OR(G245="",F245=""),"",MROUND(G245*F245/100,'Start Here'!$B$7))</f>
        <v/>
      </c>
      <c r="I245" s="34" t="n"/>
      <c r="J245" s="34" t="n"/>
      <c r="K245" s="34" t="n"/>
      <c r="L245" s="34" t="n"/>
      <c r="M245" s="34" t="n"/>
      <c r="N245" s="34" t="n"/>
      <c r="O245" s="38" t="inlineStr">
        <is>
          <t>Keep it heavy but short - no grinding</t>
        </is>
      </c>
    </row>
    <row r="246">
      <c r="C246" t="inlineStr">
        <is>
          <t xml:space="preserve">      Set 1</t>
        </is>
      </c>
      <c r="E246" t="n">
        <v>2</v>
      </c>
      <c r="H246" s="39">
        <f>IF(H245="","",H245)</f>
        <v/>
      </c>
      <c r="I246" s="7">
        <f>IF(H245="","",H245)</f>
        <v/>
      </c>
      <c r="J246" s="7" t="n">
        <v>2</v>
      </c>
      <c r="K246" s="7" t="n"/>
      <c r="L246" s="40" t="n"/>
      <c r="M246">
        <f>IF(AND(L246&lt;&gt;"",N(I246)&gt;0,N(J246)&gt;0),IF(J246=1,I246,ROUND(I246*(1+J246/30),1)),"")</f>
        <v/>
      </c>
      <c r="N246" s="41">
        <f>IF(M246="","",IF(M246&gt;=PRs!C5,"PR!",""))</f>
        <v/>
      </c>
      <c r="O246" s="7" t="n"/>
    </row>
    <row r="247">
      <c r="C247" t="inlineStr">
        <is>
          <t xml:space="preserve">      Set 2</t>
        </is>
      </c>
      <c r="E247" t="n">
        <v>2</v>
      </c>
      <c r="H247" s="39">
        <f>IF(H245="","",H245)</f>
        <v/>
      </c>
      <c r="I247" s="7">
        <f>IF(H245="","",H245)</f>
        <v/>
      </c>
      <c r="J247" s="7" t="n">
        <v>2</v>
      </c>
      <c r="K247" s="7" t="n"/>
      <c r="L247" s="40" t="n"/>
      <c r="M247">
        <f>IF(AND(L247&lt;&gt;"",N(I247)&gt;0,N(J247)&gt;0),IF(J247=1,I247,ROUND(I247*(1+J247/30),1)),"")</f>
        <v/>
      </c>
      <c r="N247" s="41">
        <f>IF(M247="","",IF(M247&gt;=PRs!C5,"PR!",""))</f>
        <v/>
      </c>
      <c r="O247" s="7" t="n"/>
    </row>
    <row r="248">
      <c r="A248" s="34" t="n"/>
      <c r="B248" s="34" t="n"/>
      <c r="C248" s="42" t="inlineStr">
        <is>
          <t>Deadlift</t>
        </is>
      </c>
      <c r="D248" s="34" t="inlineStr">
        <is>
          <t>2 x 2</t>
        </is>
      </c>
      <c r="E248" s="34" t="n"/>
      <c r="F248" s="34" t="n">
        <v>80</v>
      </c>
      <c r="G248" s="36">
        <f>Maxes!F4</f>
        <v/>
      </c>
      <c r="H248" s="37">
        <f>IF(OR(G248="",F248=""),"",MROUND(G248*F248/100,'Start Here'!$B$7))</f>
        <v/>
      </c>
      <c r="I248" s="34" t="n"/>
      <c r="J248" s="34" t="n"/>
      <c r="K248" s="34" t="n"/>
      <c r="L248" s="34" t="n"/>
      <c r="M248" s="34" t="n"/>
      <c r="N248" s="34" t="n"/>
      <c r="O248" s="38" t="inlineStr">
        <is>
          <t>Keep it heavy but short - no grinding</t>
        </is>
      </c>
    </row>
    <row r="249">
      <c r="C249" t="inlineStr">
        <is>
          <t xml:space="preserve">      Set 1</t>
        </is>
      </c>
      <c r="E249" t="n">
        <v>2</v>
      </c>
      <c r="H249" s="39">
        <f>IF(H248="","",H248)</f>
        <v/>
      </c>
      <c r="I249" s="7">
        <f>IF(H248="","",H248)</f>
        <v/>
      </c>
      <c r="J249" s="7" t="n">
        <v>2</v>
      </c>
      <c r="K249" s="7" t="n"/>
      <c r="L249" s="40" t="n"/>
      <c r="M249">
        <f>IF(AND(L249&lt;&gt;"",N(I249)&gt;0,N(J249)&gt;0),IF(J249=1,I249,ROUND(I249*(1+J249/30),1)),"")</f>
        <v/>
      </c>
      <c r="N249" s="41">
        <f>IF(M249="","",IF(M249&gt;=PRs!C4,"PR!",""))</f>
        <v/>
      </c>
      <c r="O249" s="7" t="n"/>
    </row>
    <row r="250">
      <c r="C250" t="inlineStr">
        <is>
          <t xml:space="preserve">      Set 2</t>
        </is>
      </c>
      <c r="E250" t="n">
        <v>2</v>
      </c>
      <c r="H250" s="39">
        <f>IF(H248="","",H248)</f>
        <v/>
      </c>
      <c r="I250" s="7">
        <f>IF(H248="","",H248)</f>
        <v/>
      </c>
      <c r="J250" s="7" t="n">
        <v>2</v>
      </c>
      <c r="K250" s="7" t="n"/>
      <c r="L250" s="40" t="n"/>
      <c r="M250">
        <f>IF(AND(L250&lt;&gt;"",N(I250)&gt;0,N(J250)&gt;0),IF(J250=1,I250,ROUND(I250*(1+J250/30),1)),"")</f>
        <v/>
      </c>
      <c r="N250" s="41">
        <f>IF(M250="","",IF(M250&gt;=PRs!C4,"PR!",""))</f>
        <v/>
      </c>
      <c r="O250" s="7" t="n"/>
    </row>
    <row r="251">
      <c r="A251" s="34" t="n"/>
      <c r="B251" s="34" t="n"/>
      <c r="C251" s="43" t="inlineStr">
        <is>
          <t>Chin-up</t>
        </is>
      </c>
      <c r="D251" s="34" t="inlineStr">
        <is>
          <t>2 x 6-10</t>
        </is>
      </c>
      <c r="E251" s="34" t="n"/>
      <c r="F251" s="34" t="n"/>
      <c r="G251" s="36" t="n"/>
      <c r="H251" s="37" t="n"/>
      <c r="I251" s="34" t="n"/>
      <c r="J251" s="34" t="n"/>
      <c r="K251" s="34" t="n"/>
      <c r="L251" s="34" t="n"/>
      <c r="M251" s="34" t="n"/>
      <c r="N251" s="34" t="n"/>
      <c r="O251" s="38" t="inlineStr">
        <is>
          <t>Light - save energy for test week</t>
        </is>
      </c>
    </row>
    <row r="252">
      <c r="C252" t="inlineStr">
        <is>
          <t xml:space="preserve">      Set 1</t>
        </is>
      </c>
      <c r="E252" t="n">
        <v>6</v>
      </c>
      <c r="H252" s="39">
        <f>IF(H251="","",H251)</f>
        <v/>
      </c>
      <c r="I252" s="7">
        <f>IF(H251="","",H251)</f>
        <v/>
      </c>
      <c r="J252" s="7" t="n">
        <v>6</v>
      </c>
      <c r="K252" s="7" t="n"/>
      <c r="L252" s="40" t="n"/>
      <c r="M252">
        <f>IF(AND(L252&lt;&gt;"",N(I252)&gt;0,N(J252)&gt;0),IF(J252=1,I252,ROUND(I252*(1+J252/30),1)),"")</f>
        <v/>
      </c>
      <c r="N252" s="41">
        <f>IF(M252="","",IF(M252&gt;=PRs!C53,"PR!",""))</f>
        <v/>
      </c>
      <c r="O252" s="7" t="n"/>
    </row>
    <row r="253">
      <c r="C253" t="inlineStr">
        <is>
          <t xml:space="preserve">      Set 2</t>
        </is>
      </c>
      <c r="E253" t="n">
        <v>6</v>
      </c>
      <c r="H253" s="39">
        <f>IF(H251="","",H251)</f>
        <v/>
      </c>
      <c r="I253" s="7">
        <f>IF(H251="","",H251)</f>
        <v/>
      </c>
      <c r="J253" s="7" t="n">
        <v>6</v>
      </c>
      <c r="K253" s="7" t="n"/>
      <c r="L253" s="40" t="n"/>
      <c r="M253">
        <f>IF(AND(L253&lt;&gt;"",N(I253)&gt;0,N(J253)&gt;0),IF(J253=1,I253,ROUND(I253*(1+J253/30),1)),"")</f>
        <v/>
      </c>
      <c r="N253" s="41">
        <f>IF(M253="","",IF(M253&gt;=PRs!C53,"PR!",""))</f>
        <v/>
      </c>
      <c r="O253" s="7" t="n"/>
    </row>
    <row r="254">
      <c r="A254" s="34" t="n"/>
      <c r="B254" s="34" t="n"/>
      <c r="C254" s="43" t="inlineStr">
        <is>
          <t>Plank</t>
        </is>
      </c>
      <c r="D254" s="34" t="inlineStr">
        <is>
          <t>2 x 30-60s</t>
        </is>
      </c>
      <c r="E254" s="34" t="n"/>
      <c r="F254" s="34" t="n"/>
      <c r="G254" s="36" t="n"/>
      <c r="H254" s="37" t="n"/>
      <c r="I254" s="34" t="n"/>
      <c r="J254" s="34" t="n"/>
      <c r="K254" s="34" t="n"/>
      <c r="L254" s="34" t="n"/>
      <c r="M254" s="34" t="n"/>
      <c r="N254" s="34" t="n"/>
      <c r="O254" s="38" t="inlineStr">
        <is>
          <t>Light - save energy for test week</t>
        </is>
      </c>
    </row>
    <row r="255">
      <c r="C255" t="inlineStr">
        <is>
          <t xml:space="preserve">      Set 1</t>
        </is>
      </c>
      <c r="E255" t="n">
        <v>30</v>
      </c>
      <c r="H255" s="39">
        <f>IF(H254="","",H254)</f>
        <v/>
      </c>
      <c r="I255" s="7">
        <f>IF(H254="","",H254)</f>
        <v/>
      </c>
      <c r="J255" s="7" t="n">
        <v>30</v>
      </c>
      <c r="K255" s="7" t="n"/>
      <c r="L255" s="40" t="n"/>
      <c r="M255">
        <f>IF(AND(L255&lt;&gt;"",N(I255)&gt;0,N(J255)&gt;0),IF(J255=1,I255,ROUND(I255*(1+J255/30),1)),"")</f>
        <v/>
      </c>
      <c r="N255" s="41">
        <f>IF(M255="","",IF(M255&gt;=PRs!C56,"PR!",""))</f>
        <v/>
      </c>
      <c r="O255" s="7" t="n"/>
    </row>
    <row r="256">
      <c r="C256" t="inlineStr">
        <is>
          <t xml:space="preserve">      Set 2</t>
        </is>
      </c>
      <c r="E256" t="n">
        <v>30</v>
      </c>
      <c r="H256" s="39">
        <f>IF(H254="","",H254)</f>
        <v/>
      </c>
      <c r="I256" s="7">
        <f>IF(H254="","",H254)</f>
        <v/>
      </c>
      <c r="J256" s="7" t="n">
        <v>30</v>
      </c>
      <c r="K256" s="7" t="n"/>
      <c r="L256" s="40" t="n"/>
      <c r="M256">
        <f>IF(AND(L256&lt;&gt;"",N(I256)&gt;0,N(J256)&gt;0),IF(J256=1,I256,ROUND(I256*(1+J256/30),1)),"")</f>
        <v/>
      </c>
      <c r="N256" s="41">
        <f>IF(M256="","",IF(M256&gt;=PRs!C56,"PR!",""))</f>
        <v/>
      </c>
      <c r="O256" s="7" t="n"/>
    </row>
    <row r="257">
      <c r="A257" s="31" t="inlineStr">
        <is>
          <t>Day 3 - Variations</t>
        </is>
      </c>
      <c r="B257" s="32">
        <f>'Start Here'!$B$8+158</f>
        <v/>
      </c>
      <c r="C257" s="33" t="n"/>
      <c r="D257" s="33" t="n"/>
      <c r="E257" s="33" t="n"/>
      <c r="F257" s="33" t="n"/>
      <c r="G257" s="33" t="n"/>
      <c r="H257" s="33" t="n"/>
      <c r="I257" s="33" t="n"/>
      <c r="J257" s="33" t="n"/>
      <c r="K257" s="33" t="n"/>
      <c r="L257" s="33" t="n"/>
      <c r="M257" s="33" t="n"/>
      <c r="N257" s="33" t="n"/>
      <c r="O257" s="33" t="n"/>
    </row>
    <row r="258">
      <c r="A258" s="34" t="n"/>
      <c r="B258" s="34" t="n"/>
      <c r="C258" s="35" t="inlineStr">
        <is>
          <t>Seated Box Jump</t>
        </is>
      </c>
      <c r="D258" s="34" t="inlineStr">
        <is>
          <t>2 x 2</t>
        </is>
      </c>
      <c r="E258" s="34" t="n"/>
      <c r="F258" s="34" t="n"/>
      <c r="G258" s="36" t="n"/>
      <c r="H258" s="37">
        <f>IF(N(Maxes!F76)&gt;0,Maxes!F76,"")</f>
        <v/>
      </c>
      <c r="I258" s="34" t="n"/>
      <c r="J258" s="34" t="n"/>
      <c r="K258" s="34" t="n"/>
      <c r="L258" s="34" t="n"/>
      <c r="M258" s="34" t="n"/>
      <c r="N258" s="34" t="n"/>
      <c r="O258" s="38" t="inlineStr">
        <is>
          <t>Sit on a box, feet flat, then jump from seated onto a second box. Log the landing-box height.</t>
        </is>
      </c>
    </row>
    <row r="259">
      <c r="C259" t="inlineStr">
        <is>
          <t xml:space="preserve">      Set 1</t>
        </is>
      </c>
      <c r="E259" t="n">
        <v>2</v>
      </c>
      <c r="H259" s="39">
        <f>IF(H258="","",H258)</f>
        <v/>
      </c>
      <c r="I259" s="7">
        <f>IF(H258="","",H258)</f>
        <v/>
      </c>
      <c r="J259" s="7" t="n">
        <v>2</v>
      </c>
      <c r="K259" s="7" t="n"/>
      <c r="L259" s="40" t="n"/>
      <c r="N259" s="41">
        <f>IF(AND(L259&lt;&gt;"",N(I259)&gt;0),IF(I259&gt;=PRs!D76,"PR!",""),"")</f>
        <v/>
      </c>
      <c r="O259" s="7" t="n"/>
    </row>
    <row r="260">
      <c r="C260" t="inlineStr">
        <is>
          <t xml:space="preserve">      Set 2</t>
        </is>
      </c>
      <c r="E260" t="n">
        <v>2</v>
      </c>
      <c r="H260" s="39">
        <f>IF(H258="","",H258)</f>
        <v/>
      </c>
      <c r="I260" s="7">
        <f>IF(H258="","",H258)</f>
        <v/>
      </c>
      <c r="J260" s="7" t="n">
        <v>2</v>
      </c>
      <c r="K260" s="7" t="n"/>
      <c r="L260" s="40" t="n"/>
      <c r="N260" s="41">
        <f>IF(AND(L260&lt;&gt;"",N(I260)&gt;0),IF(I260&gt;=PRs!D76,"PR!",""),"")</f>
        <v/>
      </c>
      <c r="O260" s="7" t="n"/>
    </row>
    <row r="261">
      <c r="A261" s="34" t="n"/>
      <c r="B261" s="34" t="n"/>
      <c r="C261" s="42" t="inlineStr">
        <is>
          <t>Push Jerk</t>
        </is>
      </c>
      <c r="D261" s="34" t="inlineStr">
        <is>
          <t>2 x 2</t>
        </is>
      </c>
      <c r="E261" s="34" t="n"/>
      <c r="F261" s="34" t="n">
        <v>75</v>
      </c>
      <c r="G261" s="36">
        <f>Maxes!F45</f>
        <v/>
      </c>
      <c r="H261" s="37">
        <f>IF(OR(G261="",F261=""),"",MROUND(G261*F261/100,'Start Here'!$B$7))</f>
        <v/>
      </c>
      <c r="I261" s="34" t="n"/>
      <c r="J261" s="34" t="n"/>
      <c r="K261" s="34" t="n"/>
      <c r="L261" s="34" t="n"/>
      <c r="M261" s="34" t="n"/>
      <c r="N261" s="34" t="n"/>
      <c r="O261" s="38" t="inlineStr">
        <is>
          <t>Crisp and fast</t>
        </is>
      </c>
    </row>
    <row r="262">
      <c r="C262" t="inlineStr">
        <is>
          <t xml:space="preserve">      Set 1</t>
        </is>
      </c>
      <c r="E262" t="n">
        <v>2</v>
      </c>
      <c r="H262" s="39">
        <f>IF(H261="","",H261)</f>
        <v/>
      </c>
      <c r="I262" s="7">
        <f>IF(H261="","",H261)</f>
        <v/>
      </c>
      <c r="J262" s="7" t="n">
        <v>2</v>
      </c>
      <c r="K262" s="7" t="n"/>
      <c r="L262" s="40" t="n"/>
      <c r="M262">
        <f>IF(AND(L262&lt;&gt;"",N(I262)&gt;0,N(J262)&gt;0),IF(J262=1,I262,ROUND(I262*(1+J262/30),1)),"")</f>
        <v/>
      </c>
      <c r="N262" s="41">
        <f>IF(M262="","",IF(M262&gt;=PRs!C45,"PR!",""))</f>
        <v/>
      </c>
      <c r="O262" s="7" t="n"/>
    </row>
    <row r="263">
      <c r="C263" t="inlineStr">
        <is>
          <t xml:space="preserve">      Set 2</t>
        </is>
      </c>
      <c r="E263" t="n">
        <v>2</v>
      </c>
      <c r="H263" s="39">
        <f>IF(H261="","",H261)</f>
        <v/>
      </c>
      <c r="I263" s="7">
        <f>IF(H261="","",H261)</f>
        <v/>
      </c>
      <c r="J263" s="7" t="n">
        <v>2</v>
      </c>
      <c r="K263" s="7" t="n"/>
      <c r="L263" s="40" t="n"/>
      <c r="M263">
        <f>IF(AND(L263&lt;&gt;"",N(I263)&gt;0,N(J263)&gt;0),IF(J263=1,I263,ROUND(I263*(1+J263/30),1)),"")</f>
        <v/>
      </c>
      <c r="N263" s="41">
        <f>IF(M263="","",IF(M263&gt;=PRs!C45,"PR!",""))</f>
        <v/>
      </c>
      <c r="O263" s="7" t="n"/>
    </row>
    <row r="264">
      <c r="A264" s="34" t="n"/>
      <c r="B264" s="34" t="n"/>
      <c r="C264" s="42" t="inlineStr">
        <is>
          <t>Box Squat</t>
        </is>
      </c>
      <c r="D264" s="34" t="inlineStr">
        <is>
          <t>2 x 3</t>
        </is>
      </c>
      <c r="E264" s="34" t="n"/>
      <c r="F264" s="34" t="n">
        <v>75</v>
      </c>
      <c r="G264" s="36">
        <f>Maxes!F8</f>
        <v/>
      </c>
      <c r="H264" s="37">
        <f>IF(OR(G264="",F264=""),"",MROUND(G264*F264/100,'Start Here'!$B$7))</f>
        <v/>
      </c>
      <c r="I264" s="34" t="n"/>
      <c r="J264" s="34" t="n"/>
      <c r="K264" s="34" t="n"/>
      <c r="L264" s="34" t="n"/>
      <c r="M264" s="34" t="n"/>
      <c r="N264" s="34" t="n"/>
      <c r="O264" s="38" t="inlineStr">
        <is>
          <t>Crisp and fast</t>
        </is>
      </c>
    </row>
    <row r="265">
      <c r="C265" t="inlineStr">
        <is>
          <t xml:space="preserve">      Set 1</t>
        </is>
      </c>
      <c r="E265" t="n">
        <v>3</v>
      </c>
      <c r="H265" s="39">
        <f>IF(H264="","",H264)</f>
        <v/>
      </c>
      <c r="I265" s="7">
        <f>IF(H264="","",H264)</f>
        <v/>
      </c>
      <c r="J265" s="7" t="n">
        <v>3</v>
      </c>
      <c r="K265" s="7" t="n"/>
      <c r="L265" s="40" t="n"/>
      <c r="M265">
        <f>IF(AND(L265&lt;&gt;"",N(I265)&gt;0,N(J265)&gt;0),IF(J265=1,I265,ROUND(I265*(1+J265/30),1)),"")</f>
        <v/>
      </c>
      <c r="N265" s="41">
        <f>IF(M265="","",IF(M265&gt;=PRs!C8,"PR!",""))</f>
        <v/>
      </c>
      <c r="O265" s="7" t="n"/>
    </row>
    <row r="266">
      <c r="C266" t="inlineStr">
        <is>
          <t xml:space="preserve">      Set 2</t>
        </is>
      </c>
      <c r="E266" t="n">
        <v>3</v>
      </c>
      <c r="H266" s="39">
        <f>IF(H264="","",H264)</f>
        <v/>
      </c>
      <c r="I266" s="7">
        <f>IF(H264="","",H264)</f>
        <v/>
      </c>
      <c r="J266" s="7" t="n">
        <v>3</v>
      </c>
      <c r="K266" s="7" t="n"/>
      <c r="L266" s="40" t="n"/>
      <c r="M266">
        <f>IF(AND(L266&lt;&gt;"",N(I266)&gt;0,N(J266)&gt;0),IF(J266=1,I266,ROUND(I266*(1+J266/30),1)),"")</f>
        <v/>
      </c>
      <c r="N266" s="41">
        <f>IF(M266="","",IF(M266&gt;=PRs!C8,"PR!",""))</f>
        <v/>
      </c>
      <c r="O266" s="7" t="n"/>
    </row>
    <row r="267">
      <c r="A267" s="34" t="n"/>
      <c r="B267" s="34" t="n"/>
      <c r="C267" s="42" t="inlineStr">
        <is>
          <t>3-Board Press</t>
        </is>
      </c>
      <c r="D267" s="34" t="inlineStr">
        <is>
          <t>2 x 3</t>
        </is>
      </c>
      <c r="E267" s="34" t="n"/>
      <c r="F267" s="34" t="n">
        <v>75</v>
      </c>
      <c r="G267" s="36">
        <f>Maxes!F17</f>
        <v/>
      </c>
      <c r="H267" s="37">
        <f>IF(OR(G267="",F267=""),"",MROUND(G267*F267/100,'Start Here'!$B$7))</f>
        <v/>
      </c>
      <c r="I267" s="34" t="n"/>
      <c r="J267" s="34" t="n"/>
      <c r="K267" s="34" t="n"/>
      <c r="L267" s="34" t="n"/>
      <c r="M267" s="34" t="n"/>
      <c r="N267" s="34" t="n"/>
      <c r="O267" s="38" t="inlineStr">
        <is>
          <t>Crisp and fast</t>
        </is>
      </c>
    </row>
    <row r="268">
      <c r="C268" t="inlineStr">
        <is>
          <t xml:space="preserve">      Set 1</t>
        </is>
      </c>
      <c r="E268" t="n">
        <v>3</v>
      </c>
      <c r="H268" s="39">
        <f>IF(H267="","",H267)</f>
        <v/>
      </c>
      <c r="I268" s="7">
        <f>IF(H267="","",H267)</f>
        <v/>
      </c>
      <c r="J268" s="7" t="n">
        <v>3</v>
      </c>
      <c r="K268" s="7" t="n"/>
      <c r="L268" s="40" t="n"/>
      <c r="M268">
        <f>IF(AND(L268&lt;&gt;"",N(I268)&gt;0,N(J268)&gt;0),IF(J268=1,I268,ROUND(I268*(1+J268/30),1)),"")</f>
        <v/>
      </c>
      <c r="N268" s="41">
        <f>IF(M268="","",IF(M268&gt;=PRs!C17,"PR!",""))</f>
        <v/>
      </c>
      <c r="O268" s="7" t="n"/>
    </row>
    <row r="269">
      <c r="C269" t="inlineStr">
        <is>
          <t xml:space="preserve">      Set 2</t>
        </is>
      </c>
      <c r="E269" t="n">
        <v>3</v>
      </c>
      <c r="H269" s="39">
        <f>IF(H267="","",H267)</f>
        <v/>
      </c>
      <c r="I269" s="7">
        <f>IF(H267="","",H267)</f>
        <v/>
      </c>
      <c r="J269" s="7" t="n">
        <v>3</v>
      </c>
      <c r="K269" s="7" t="n"/>
      <c r="L269" s="40" t="n"/>
      <c r="M269">
        <f>IF(AND(L269&lt;&gt;"",N(I269)&gt;0,N(J269)&gt;0),IF(J269=1,I269,ROUND(I269*(1+J269/30),1)),"")</f>
        <v/>
      </c>
      <c r="N269" s="41">
        <f>IF(M269="","",IF(M269&gt;=PRs!C17,"PR!",""))</f>
        <v/>
      </c>
      <c r="O269" s="7" t="n"/>
    </row>
    <row r="270">
      <c r="A270" s="34" t="n"/>
      <c r="B270" s="34" t="n"/>
      <c r="C270" s="42" t="inlineStr">
        <is>
          <t>Deficit Deadlift</t>
        </is>
      </c>
      <c r="D270" s="34" t="inlineStr">
        <is>
          <t>2 x 3</t>
        </is>
      </c>
      <c r="E270" s="34" t="n"/>
      <c r="F270" s="34" t="n">
        <v>75</v>
      </c>
      <c r="G270" s="36">
        <f>Maxes!F24</f>
        <v/>
      </c>
      <c r="H270" s="37">
        <f>IF(OR(G270="",F270=""),"",MROUND(G270*F270/100,'Start Here'!$B$7))</f>
        <v/>
      </c>
      <c r="I270" s="34" t="n"/>
      <c r="J270" s="34" t="n"/>
      <c r="K270" s="34" t="n"/>
      <c r="L270" s="34" t="n"/>
      <c r="M270" s="34" t="n"/>
      <c r="N270" s="34" t="n"/>
      <c r="O270" s="38" t="inlineStr">
        <is>
          <t>Crisp and fast</t>
        </is>
      </c>
    </row>
    <row r="271">
      <c r="C271" t="inlineStr">
        <is>
          <t xml:space="preserve">      Set 1</t>
        </is>
      </c>
      <c r="E271" t="n">
        <v>3</v>
      </c>
      <c r="H271" s="39">
        <f>IF(H270="","",H270)</f>
        <v/>
      </c>
      <c r="I271" s="7">
        <f>IF(H270="","",H270)</f>
        <v/>
      </c>
      <c r="J271" s="7" t="n">
        <v>3</v>
      </c>
      <c r="K271" s="7" t="n"/>
      <c r="L271" s="40" t="n"/>
      <c r="M271">
        <f>IF(AND(L271&lt;&gt;"",N(I271)&gt;0,N(J271)&gt;0),IF(J271=1,I271,ROUND(I271*(1+J271/30),1)),"")</f>
        <v/>
      </c>
      <c r="N271" s="41">
        <f>IF(M271="","",IF(M271&gt;=PRs!C24,"PR!",""))</f>
        <v/>
      </c>
      <c r="O271" s="7" t="n"/>
    </row>
    <row r="272">
      <c r="C272" t="inlineStr">
        <is>
          <t xml:space="preserve">      Set 2</t>
        </is>
      </c>
      <c r="E272" t="n">
        <v>3</v>
      </c>
      <c r="H272" s="39">
        <f>IF(H270="","",H270)</f>
        <v/>
      </c>
      <c r="I272" s="7">
        <f>IF(H270="","",H270)</f>
        <v/>
      </c>
      <c r="J272" s="7" t="n">
        <v>3</v>
      </c>
      <c r="K272" s="7" t="n"/>
      <c r="L272" s="40" t="n"/>
      <c r="M272">
        <f>IF(AND(L272&lt;&gt;"",N(I272)&gt;0,N(J272)&gt;0),IF(J272=1,I272,ROUND(I272*(1+J272/30),1)),"")</f>
        <v/>
      </c>
      <c r="N272" s="41">
        <f>IF(M272="","",IF(M272&gt;=PRs!C24,"PR!",""))</f>
        <v/>
      </c>
      <c r="O272" s="7" t="n"/>
    </row>
    <row r="273">
      <c r="A273" s="34" t="n"/>
      <c r="B273" s="34" t="n"/>
      <c r="C273" s="43" t="inlineStr">
        <is>
          <t>Incline Dumbbell Press</t>
        </is>
      </c>
      <c r="D273" s="34" t="inlineStr">
        <is>
          <t>2 x 8-12</t>
        </is>
      </c>
      <c r="E273" s="34" t="n"/>
      <c r="F273" s="34" t="n"/>
      <c r="G273" s="36" t="n"/>
      <c r="H273" s="37" t="n"/>
      <c r="I273" s="34" t="n"/>
      <c r="J273" s="34" t="n"/>
      <c r="K273" s="34" t="n"/>
      <c r="L273" s="34" t="n"/>
      <c r="M273" s="34" t="n"/>
      <c r="N273" s="34" t="n"/>
      <c r="O273" s="38" t="inlineStr">
        <is>
          <t>Light - save energy for test week</t>
        </is>
      </c>
    </row>
    <row r="274">
      <c r="C274" t="inlineStr">
        <is>
          <t xml:space="preserve">      Set 1</t>
        </is>
      </c>
      <c r="E274" t="n">
        <v>8</v>
      </c>
      <c r="H274" s="39">
        <f>IF(H273="","",H273)</f>
        <v/>
      </c>
      <c r="I274" s="7">
        <f>IF(H273="","",H273)</f>
        <v/>
      </c>
      <c r="J274" s="7" t="n">
        <v>8</v>
      </c>
      <c r="K274" s="7" t="n"/>
      <c r="L274" s="40" t="n"/>
      <c r="M274">
        <f>IF(AND(L274&lt;&gt;"",N(I274)&gt;0,N(J274)&gt;0),IF(J274=1,I274,ROUND(I274*(1+J274/30),1)),"")</f>
        <v/>
      </c>
      <c r="N274" s="41">
        <f>IF(M274="","",IF(M274&gt;=PRs!C57,"PR!",""))</f>
        <v/>
      </c>
      <c r="O274" s="7" t="n"/>
    </row>
    <row r="275">
      <c r="C275" t="inlineStr">
        <is>
          <t xml:space="preserve">      Set 2</t>
        </is>
      </c>
      <c r="E275" t="n">
        <v>8</v>
      </c>
      <c r="H275" s="39">
        <f>IF(H273="","",H273)</f>
        <v/>
      </c>
      <c r="I275" s="7">
        <f>IF(H273="","",H273)</f>
        <v/>
      </c>
      <c r="J275" s="7" t="n">
        <v>8</v>
      </c>
      <c r="K275" s="7" t="n"/>
      <c r="L275" s="40" t="n"/>
      <c r="M275">
        <f>IF(AND(L275&lt;&gt;"",N(I275)&gt;0,N(J275)&gt;0),IF(J275=1,I275,ROUND(I275*(1+J275/30),1)),"")</f>
        <v/>
      </c>
      <c r="N275" s="41">
        <f>IF(M275="","",IF(M275&gt;=PRs!C57,"PR!",""))</f>
        <v/>
      </c>
      <c r="O275" s="7" t="n"/>
    </row>
    <row r="276">
      <c r="A276" s="34" t="n"/>
      <c r="B276" s="34" t="n"/>
      <c r="C276" s="43" t="inlineStr">
        <is>
          <t>Triceps Pushdown</t>
        </is>
      </c>
      <c r="D276" s="34" t="inlineStr">
        <is>
          <t>2 x 10-15</t>
        </is>
      </c>
      <c r="E276" s="34" t="n"/>
      <c r="F276" s="34" t="n"/>
      <c r="G276" s="36" t="n"/>
      <c r="H276" s="37" t="n"/>
      <c r="I276" s="34" t="n"/>
      <c r="J276" s="34" t="n"/>
      <c r="K276" s="34" t="n"/>
      <c r="L276" s="34" t="n"/>
      <c r="M276" s="34" t="n"/>
      <c r="N276" s="34" t="n"/>
      <c r="O276" s="38" t="inlineStr">
        <is>
          <t>Light - save energy for test week</t>
        </is>
      </c>
    </row>
    <row r="277">
      <c r="C277" t="inlineStr">
        <is>
          <t xml:space="preserve">      Set 1</t>
        </is>
      </c>
      <c r="E277" t="n">
        <v>10</v>
      </c>
      <c r="H277" s="39">
        <f>IF(H276="","",H276)</f>
        <v/>
      </c>
      <c r="I277" s="7">
        <f>IF(H276="","",H276)</f>
        <v/>
      </c>
      <c r="J277" s="7" t="n">
        <v>10</v>
      </c>
      <c r="K277" s="7" t="n"/>
      <c r="L277" s="40" t="n"/>
      <c r="M277">
        <f>IF(AND(L277&lt;&gt;"",N(I277)&gt;0,N(J277)&gt;0),IF(J277=1,I277,ROUND(I277*(1+J277/30),1)),"")</f>
        <v/>
      </c>
      <c r="N277" s="41">
        <f>IF(M277="","",IF(M277&gt;=PRs!C59,"PR!",""))</f>
        <v/>
      </c>
      <c r="O277" s="7" t="n"/>
    </row>
    <row r="278">
      <c r="C278" t="inlineStr">
        <is>
          <t xml:space="preserve">      Set 2</t>
        </is>
      </c>
      <c r="E278" t="n">
        <v>10</v>
      </c>
      <c r="H278" s="39">
        <f>IF(H276="","",H276)</f>
        <v/>
      </c>
      <c r="I278" s="7">
        <f>IF(H276="","",H276)</f>
        <v/>
      </c>
      <c r="J278" s="7" t="n">
        <v>10</v>
      </c>
      <c r="K278" s="7" t="n"/>
      <c r="L278" s="40" t="n"/>
      <c r="M278">
        <f>IF(AND(L278&lt;&gt;"",N(I278)&gt;0,N(J278)&gt;0),IF(J278=1,I278,ROUND(I278*(1+J278/30),1)),"")</f>
        <v/>
      </c>
      <c r="N278" s="41">
        <f>IF(M278="","",IF(M278&gt;=PRs!C59,"PR!",""))</f>
        <v/>
      </c>
      <c r="O278" s="7" t="n"/>
    </row>
    <row r="280">
      <c r="A280" s="57" t="inlineStr">
        <is>
          <t>WEEK 24 - CYCLE 2 - TEST</t>
        </is>
      </c>
      <c r="B280" s="58" t="n"/>
      <c r="C280" s="58" t="n"/>
      <c r="D280" s="58" t="n"/>
      <c r="E280" s="58" t="n"/>
      <c r="F280" s="58" t="n"/>
      <c r="G280" s="58" t="n"/>
      <c r="H280" s="59" t="inlineStr">
        <is>
          <t>Bodyweight:</t>
        </is>
      </c>
      <c r="I280" s="7" t="n"/>
      <c r="J280" s="58" t="n"/>
      <c r="K280" s="58" t="n"/>
      <c r="L280" s="58" t="n"/>
      <c r="M280" s="58" t="n"/>
      <c r="N280" s="58" t="n"/>
      <c r="O280" s="58" t="n"/>
    </row>
    <row r="281">
      <c r="A281" s="31" t="inlineStr">
        <is>
          <t>Day 1 - Heavy</t>
        </is>
      </c>
      <c r="B281" s="32">
        <f>'Start Here'!$B$8+161</f>
        <v/>
      </c>
      <c r="C281" s="33" t="n"/>
      <c r="D281" s="33" t="n"/>
      <c r="E281" s="33" t="n"/>
      <c r="F281" s="33" t="n"/>
      <c r="G281" s="33" t="n"/>
      <c r="H281" s="33" t="n"/>
      <c r="I281" s="33" t="n"/>
      <c r="J281" s="33" t="n"/>
      <c r="K281" s="33" t="n"/>
      <c r="L281" s="33" t="n"/>
      <c r="M281" s="33" t="n"/>
      <c r="N281" s="33" t="n"/>
      <c r="O281" s="33" t="n"/>
    </row>
    <row r="282">
      <c r="A282" s="34" t="n"/>
      <c r="B282" s="34" t="n"/>
      <c r="C282" s="35" t="inlineStr">
        <is>
          <t>Box Jump</t>
        </is>
      </c>
      <c r="D282" s="34" t="inlineStr">
        <is>
          <t>1 x Max</t>
        </is>
      </c>
      <c r="E282" s="34" t="n"/>
      <c r="F282" s="34" t="n"/>
      <c r="G282" s="36" t="n"/>
      <c r="H282" s="37">
        <f>IF(N(Maxes!F69)&gt;0,Maxes!F69,'Start Here'!$G$16)</f>
        <v/>
      </c>
      <c r="I282" s="34" t="n"/>
      <c r="J282" s="34" t="n"/>
      <c r="K282" s="34" t="n"/>
      <c r="L282" s="34" t="n"/>
      <c r="M282" s="34" t="n"/>
      <c r="N282" s="34" t="n"/>
      <c r="O282" s="38" t="inlineStr">
        <is>
          <t>Test day: work up box by box to the highest box you land cleanly. Log it and check the standards on Start Here</t>
        </is>
      </c>
    </row>
    <row r="283">
      <c r="C283" t="inlineStr">
        <is>
          <t xml:space="preserve">      Set 1</t>
        </is>
      </c>
      <c r="E283" t="n">
        <v>1</v>
      </c>
      <c r="H283" s="39">
        <f>IF(H282="","",H282)</f>
        <v/>
      </c>
      <c r="I283" s="7">
        <f>IF(H282="","",H282)</f>
        <v/>
      </c>
      <c r="J283" s="7" t="n">
        <v>1</v>
      </c>
      <c r="K283" s="7" t="n"/>
      <c r="L283" s="40" t="n"/>
      <c r="N283" s="41">
        <f>IF(AND(L283&lt;&gt;"",N(I283)&gt;0),IF(I283&gt;=PRs!D69,"PR!",""),"")</f>
        <v/>
      </c>
      <c r="O283" s="7" t="n"/>
    </row>
    <row r="284">
      <c r="A284" s="34" t="n"/>
      <c r="B284" s="34" t="n"/>
      <c r="C284" s="42" t="inlineStr">
        <is>
          <t>Snatch</t>
        </is>
      </c>
      <c r="D284" s="34" t="inlineStr">
        <is>
          <t>1 x Max</t>
        </is>
      </c>
      <c r="E284" s="34" t="n"/>
      <c r="F284" s="34" t="n"/>
      <c r="G284" s="36">
        <f>Maxes!F6</f>
        <v/>
      </c>
      <c r="H284" s="37">
        <f>IF(G284="","",MROUND(G284/1,'Start Here'!$B$7))</f>
        <v/>
      </c>
      <c r="I284" s="34" t="n"/>
      <c r="J284" s="34" t="n"/>
      <c r="K284" s="34" t="n"/>
      <c r="L284" s="34" t="n"/>
      <c r="M284" s="34" t="n"/>
      <c r="N284" s="34" t="n"/>
      <c r="O284" s="38" t="inlineStr">
        <is>
          <t>Work up in small jumps to a new max (1RM, or a 3RM/5RM if you prefer). Log it - it sets next cycle's weights</t>
        </is>
      </c>
    </row>
    <row r="285">
      <c r="C285" t="inlineStr">
        <is>
          <t xml:space="preserve">      Set 1</t>
        </is>
      </c>
      <c r="E285" t="n">
        <v>1</v>
      </c>
      <c r="H285" s="39">
        <f>IF(H284="","",H284)</f>
        <v/>
      </c>
      <c r="I285" s="7">
        <f>IF(H284="","",H284)</f>
        <v/>
      </c>
      <c r="J285" s="7" t="n">
        <v>1</v>
      </c>
      <c r="K285" s="7" t="n"/>
      <c r="L285" s="40" t="n"/>
      <c r="M285">
        <f>IF(AND(L285&lt;&gt;"",N(I285)&gt;0,N(J285)&gt;0),IF(J285=1,I285,ROUND(I285*(1+J285/30),1)),"")</f>
        <v/>
      </c>
      <c r="N285" s="41">
        <f>IF(M285="","",IF(M285&gt;=PRs!C6,"PR!",""))</f>
        <v/>
      </c>
      <c r="O285" s="7" t="n"/>
    </row>
    <row r="286">
      <c r="A286" s="34" t="n"/>
      <c r="B286" s="34" t="n"/>
      <c r="C286" s="42" t="inlineStr">
        <is>
          <t>Squat</t>
        </is>
      </c>
      <c r="D286" s="34" t="inlineStr">
        <is>
          <t>1 x Max</t>
        </is>
      </c>
      <c r="E286" s="34" t="n"/>
      <c r="F286" s="34" t="n"/>
      <c r="G286" s="36">
        <f>Maxes!F2</f>
        <v/>
      </c>
      <c r="H286" s="37">
        <f>IF(G286="","",MROUND(G286/1,'Start Here'!$B$7))</f>
        <v/>
      </c>
      <c r="I286" s="34" t="n"/>
      <c r="J286" s="34" t="n"/>
      <c r="K286" s="34" t="n"/>
      <c r="L286" s="34" t="n"/>
      <c r="M286" s="34" t="n"/>
      <c r="N286" s="34" t="n"/>
      <c r="O286" s="38" t="inlineStr">
        <is>
          <t>Work up in small jumps to a new max (1RM, or a 3RM/5RM if you prefer). Log it - it sets next cycle's weights</t>
        </is>
      </c>
    </row>
    <row r="287">
      <c r="C287" t="inlineStr">
        <is>
          <t xml:space="preserve">      Set 1</t>
        </is>
      </c>
      <c r="E287" t="n">
        <v>1</v>
      </c>
      <c r="H287" s="39">
        <f>IF(H286="","",H286)</f>
        <v/>
      </c>
      <c r="I287" s="7">
        <f>IF(H286="","",H286)</f>
        <v/>
      </c>
      <c r="J287" s="7" t="n">
        <v>1</v>
      </c>
      <c r="K287" s="7" t="n"/>
      <c r="L287" s="40" t="n"/>
      <c r="M287">
        <f>IF(AND(L287&lt;&gt;"",N(I287)&gt;0,N(J287)&gt;0),IF(J287=1,I287,ROUND(I287*(1+J287/30),1)),"")</f>
        <v/>
      </c>
      <c r="N287" s="41">
        <f>IF(M287="","",IF(M287&gt;=PRs!C2,"PR!",""))</f>
        <v/>
      </c>
      <c r="O287" s="7" t="n"/>
    </row>
    <row r="288">
      <c r="A288" s="34" t="n"/>
      <c r="B288" s="34" t="n"/>
      <c r="C288" s="42" t="inlineStr">
        <is>
          <t>Bench Press</t>
        </is>
      </c>
      <c r="D288" s="34" t="inlineStr">
        <is>
          <t>1 x Max</t>
        </is>
      </c>
      <c r="E288" s="34" t="n"/>
      <c r="F288" s="34" t="n"/>
      <c r="G288" s="36">
        <f>Maxes!F3</f>
        <v/>
      </c>
      <c r="H288" s="37">
        <f>IF(G288="","",MROUND(G288/1,'Start Here'!$B$7))</f>
        <v/>
      </c>
      <c r="I288" s="34" t="n"/>
      <c r="J288" s="34" t="n"/>
      <c r="K288" s="34" t="n"/>
      <c r="L288" s="34" t="n"/>
      <c r="M288" s="34" t="n"/>
      <c r="N288" s="34" t="n"/>
      <c r="O288" s="38" t="inlineStr">
        <is>
          <t>Work up in small jumps to a new max (1RM, or a 3RM/5RM if you prefer). Log it - it sets next cycle's weights</t>
        </is>
      </c>
    </row>
    <row r="289">
      <c r="C289" t="inlineStr">
        <is>
          <t xml:space="preserve">      Set 1</t>
        </is>
      </c>
      <c r="E289" t="n">
        <v>1</v>
      </c>
      <c r="H289" s="39">
        <f>IF(H288="","",H288)</f>
        <v/>
      </c>
      <c r="I289" s="7">
        <f>IF(H288="","",H288)</f>
        <v/>
      </c>
      <c r="J289" s="7" t="n">
        <v>1</v>
      </c>
      <c r="K289" s="7" t="n"/>
      <c r="L289" s="40" t="n"/>
      <c r="M289">
        <f>IF(AND(L289&lt;&gt;"",N(I289)&gt;0,N(J289)&gt;0),IF(J289=1,I289,ROUND(I289*(1+J289/30),1)),"")</f>
        <v/>
      </c>
      <c r="N289" s="41">
        <f>IF(M289="","",IF(M289&gt;=PRs!C3,"PR!",""))</f>
        <v/>
      </c>
      <c r="O289" s="7" t="n"/>
    </row>
    <row r="290">
      <c r="A290" s="34" t="n"/>
      <c r="B290" s="34" t="n"/>
      <c r="C290" s="43" t="inlineStr">
        <is>
          <t>Barbell Row</t>
        </is>
      </c>
      <c r="D290" s="34" t="inlineStr">
        <is>
          <t>2 x 8-10</t>
        </is>
      </c>
      <c r="E290" s="34" t="n"/>
      <c r="F290" s="34" t="n"/>
      <c r="G290" s="36" t="n"/>
      <c r="H290" s="37" t="n"/>
      <c r="I290" s="34" t="n"/>
      <c r="J290" s="34" t="n"/>
      <c r="K290" s="34" t="n"/>
      <c r="L290" s="34" t="n"/>
      <c r="M290" s="34" t="n"/>
      <c r="N290" s="34" t="n"/>
      <c r="O290" s="38" t="inlineStr">
        <is>
          <t>Light</t>
        </is>
      </c>
    </row>
    <row r="291">
      <c r="C291" t="inlineStr">
        <is>
          <t xml:space="preserve">      Set 1</t>
        </is>
      </c>
      <c r="E291" t="n">
        <v>8</v>
      </c>
      <c r="H291" s="39">
        <f>IF(H290="","",H290)</f>
        <v/>
      </c>
      <c r="I291" s="7">
        <f>IF(H290="","",H290)</f>
        <v/>
      </c>
      <c r="J291" s="7" t="n">
        <v>8</v>
      </c>
      <c r="K291" s="7" t="n"/>
      <c r="L291" s="40" t="n"/>
      <c r="M291">
        <f>IF(AND(L291&lt;&gt;"",N(I291)&gt;0,N(J291)&gt;0),IF(J291=1,I291,ROUND(I291*(1+J291/30),1)),"")</f>
        <v/>
      </c>
      <c r="N291" s="41">
        <f>IF(M291="","",IF(M291&gt;=PRs!C50,"PR!",""))</f>
        <v/>
      </c>
      <c r="O291" s="7" t="n"/>
    </row>
    <row r="292">
      <c r="C292" t="inlineStr">
        <is>
          <t xml:space="preserve">      Set 2</t>
        </is>
      </c>
      <c r="E292" t="n">
        <v>8</v>
      </c>
      <c r="H292" s="39">
        <f>IF(H290="","",H290)</f>
        <v/>
      </c>
      <c r="I292" s="7">
        <f>IF(H290="","",H290)</f>
        <v/>
      </c>
      <c r="J292" s="7" t="n">
        <v>8</v>
      </c>
      <c r="K292" s="7" t="n"/>
      <c r="L292" s="40" t="n"/>
      <c r="M292">
        <f>IF(AND(L292&lt;&gt;"",N(I292)&gt;0,N(J292)&gt;0),IF(J292=1,I292,ROUND(I292*(1+J292/30),1)),"")</f>
        <v/>
      </c>
      <c r="N292" s="41">
        <f>IF(M292="","",IF(M292&gt;=PRs!C50,"PR!",""))</f>
        <v/>
      </c>
      <c r="O292" s="7" t="n"/>
    </row>
    <row r="293">
      <c r="A293" s="34" t="n"/>
      <c r="B293" s="34" t="n"/>
      <c r="C293" s="43" t="inlineStr">
        <is>
          <t>Face Pull</t>
        </is>
      </c>
      <c r="D293" s="34" t="inlineStr">
        <is>
          <t>2 x 12-15</t>
        </is>
      </c>
      <c r="E293" s="34" t="n"/>
      <c r="F293" s="34" t="n"/>
      <c r="G293" s="36" t="n"/>
      <c r="H293" s="37" t="n"/>
      <c r="I293" s="34" t="n"/>
      <c r="J293" s="34" t="n"/>
      <c r="K293" s="34" t="n"/>
      <c r="L293" s="34" t="n"/>
      <c r="M293" s="34" t="n"/>
      <c r="N293" s="34" t="n"/>
      <c r="O293" s="38" t="inlineStr">
        <is>
          <t>Light</t>
        </is>
      </c>
    </row>
    <row r="294">
      <c r="C294" t="inlineStr">
        <is>
          <t xml:space="preserve">      Set 1</t>
        </is>
      </c>
      <c r="E294" t="n">
        <v>12</v>
      </c>
      <c r="H294" s="39">
        <f>IF(H293="","",H293)</f>
        <v/>
      </c>
      <c r="I294" s="7">
        <f>IF(H293="","",H293)</f>
        <v/>
      </c>
      <c r="J294" s="7" t="n">
        <v>12</v>
      </c>
      <c r="K294" s="7" t="n"/>
      <c r="L294" s="40" t="n"/>
      <c r="M294">
        <f>IF(AND(L294&lt;&gt;"",N(I294)&gt;0,N(J294)&gt;0),IF(J294=1,I294,ROUND(I294*(1+J294/30),1)),"")</f>
        <v/>
      </c>
      <c r="N294" s="41">
        <f>IF(M294="","",IF(M294&gt;=PRs!C51,"PR!",""))</f>
        <v/>
      </c>
      <c r="O294" s="7" t="n"/>
    </row>
    <row r="295">
      <c r="C295" t="inlineStr">
        <is>
          <t xml:space="preserve">      Set 2</t>
        </is>
      </c>
      <c r="E295" t="n">
        <v>12</v>
      </c>
      <c r="H295" s="39">
        <f>IF(H293="","",H293)</f>
        <v/>
      </c>
      <c r="I295" s="7">
        <f>IF(H293="","",H293)</f>
        <v/>
      </c>
      <c r="J295" s="7" t="n">
        <v>12</v>
      </c>
      <c r="K295" s="7" t="n"/>
      <c r="L295" s="40" t="n"/>
      <c r="M295">
        <f>IF(AND(L295&lt;&gt;"",N(I295)&gt;0,N(J295)&gt;0),IF(J295=1,I295,ROUND(I295*(1+J295/30),1)),"")</f>
        <v/>
      </c>
      <c r="N295" s="41">
        <f>IF(M295="","",IF(M295&gt;=PRs!C51,"PR!",""))</f>
        <v/>
      </c>
      <c r="O295" s="7" t="n"/>
    </row>
    <row r="296">
      <c r="A296" s="31" t="inlineStr">
        <is>
          <t>Day 2 - Light</t>
        </is>
      </c>
      <c r="B296" s="32">
        <f>'Start Here'!$B$8+163</f>
        <v/>
      </c>
      <c r="C296" s="33" t="n"/>
      <c r="D296" s="33" t="n"/>
      <c r="E296" s="33" t="n"/>
      <c r="F296" s="33" t="n"/>
      <c r="G296" s="33" t="n"/>
      <c r="H296" s="33" t="n"/>
      <c r="I296" s="33" t="n"/>
      <c r="J296" s="33" t="n"/>
      <c r="K296" s="33" t="n"/>
      <c r="L296" s="33" t="n"/>
      <c r="M296" s="33" t="n"/>
      <c r="N296" s="33" t="n"/>
      <c r="O296" s="33" t="n"/>
    </row>
    <row r="297">
      <c r="A297" s="34" t="n"/>
      <c r="B297" s="34" t="n"/>
      <c r="C297" s="35" t="inlineStr">
        <is>
          <t>Broad Jump</t>
        </is>
      </c>
      <c r="D297" s="34" t="inlineStr">
        <is>
          <t>1 x Max</t>
        </is>
      </c>
      <c r="E297" s="34" t="n"/>
      <c r="F297" s="34" t="n"/>
      <c r="G297" s="36" t="n"/>
      <c r="H297" s="37">
        <f>IF(N(Maxes!F70)&gt;0,Maxes!F70,"")</f>
        <v/>
      </c>
      <c r="I297" s="34" t="n"/>
      <c r="J297" s="34" t="n"/>
      <c r="K297" s="34" t="n"/>
      <c r="L297" s="34" t="n"/>
      <c r="M297" s="34" t="n"/>
      <c r="N297" s="34" t="n"/>
      <c r="O297" s="38" t="inlineStr">
        <is>
          <t>Test day: best of 3-5 jumps for distance. Log it and check the standards on Start Here</t>
        </is>
      </c>
    </row>
    <row r="298">
      <c r="C298" t="inlineStr">
        <is>
          <t xml:space="preserve">      Set 1</t>
        </is>
      </c>
      <c r="E298" t="n">
        <v>1</v>
      </c>
      <c r="H298" s="39">
        <f>IF(H297="","",H297)</f>
        <v/>
      </c>
      <c r="I298" s="7">
        <f>IF(H297="","",H297)</f>
        <v/>
      </c>
      <c r="J298" s="7" t="n">
        <v>1</v>
      </c>
      <c r="K298" s="7" t="n"/>
      <c r="L298" s="40" t="n"/>
      <c r="N298" s="41">
        <f>IF(AND(L298&lt;&gt;"",N(I298)&gt;0),IF(I298&gt;=PRs!D70,"PR!",""),"")</f>
        <v/>
      </c>
      <c r="O298" s="7" t="n"/>
    </row>
    <row r="299">
      <c r="A299" s="34" t="n"/>
      <c r="B299" s="34" t="n"/>
      <c r="C299" s="42" t="inlineStr">
        <is>
          <t>Clean &amp; Jerk</t>
        </is>
      </c>
      <c r="D299" s="34" t="inlineStr">
        <is>
          <t>1 x Max</t>
        </is>
      </c>
      <c r="E299" s="34" t="n"/>
      <c r="F299" s="34" t="n"/>
      <c r="G299" s="36">
        <f>Maxes!F7</f>
        <v/>
      </c>
      <c r="H299" s="37">
        <f>IF(G299="","",MROUND(G299/1,'Start Here'!$B$7))</f>
        <v/>
      </c>
      <c r="I299" s="34" t="n"/>
      <c r="J299" s="34" t="n"/>
      <c r="K299" s="34" t="n"/>
      <c r="L299" s="34" t="n"/>
      <c r="M299" s="34" t="n"/>
      <c r="N299" s="34" t="n"/>
      <c r="O299" s="38" t="inlineStr">
        <is>
          <t>Work up in small jumps to a new max (1RM, or a 3RM/5RM if you prefer). Log it - it sets next cycle's weights</t>
        </is>
      </c>
    </row>
    <row r="300">
      <c r="C300" t="inlineStr">
        <is>
          <t xml:space="preserve">      Set 1</t>
        </is>
      </c>
      <c r="E300" t="n">
        <v>1</v>
      </c>
      <c r="H300" s="39">
        <f>IF(H299="","",H299)</f>
        <v/>
      </c>
      <c r="I300" s="7">
        <f>IF(H299="","",H299)</f>
        <v/>
      </c>
      <c r="J300" s="7" t="n">
        <v>1</v>
      </c>
      <c r="K300" s="7" t="n"/>
      <c r="L300" s="40" t="n"/>
      <c r="M300">
        <f>IF(AND(L300&lt;&gt;"",N(I300)&gt;0,N(J300)&gt;0),IF(J300=1,I300,ROUND(I300*(1+J300/30),1)),"")</f>
        <v/>
      </c>
      <c r="N300" s="41">
        <f>IF(M300="","",IF(M300&gt;=PRs!C7,"PR!",""))</f>
        <v/>
      </c>
      <c r="O300" s="7" t="n"/>
    </row>
    <row r="301">
      <c r="A301" s="34" t="n"/>
      <c r="B301" s="34" t="n"/>
      <c r="C301" s="42" t="inlineStr">
        <is>
          <t>Squat</t>
        </is>
      </c>
      <c r="D301" s="34" t="inlineStr">
        <is>
          <t>2 x 3</t>
        </is>
      </c>
      <c r="E301" s="34" t="n"/>
      <c r="F301" s="34" t="n">
        <v>60</v>
      </c>
      <c r="G301" s="36">
        <f>Maxes!F2</f>
        <v/>
      </c>
      <c r="H301" s="37">
        <f>IF(OR(G301="",F301=""),"",MROUND(G301*F301/100,'Start Here'!$B$7))</f>
        <v/>
      </c>
      <c r="I301" s="34" t="n"/>
      <c r="J301" s="34" t="n"/>
      <c r="K301" s="34" t="n"/>
      <c r="L301" s="34" t="n"/>
      <c r="M301" s="34" t="n"/>
      <c r="N301" s="34" t="n"/>
      <c r="O301" s="38" t="inlineStr">
        <is>
          <t>Light technique work</t>
        </is>
      </c>
    </row>
    <row r="302">
      <c r="C302" t="inlineStr">
        <is>
          <t xml:space="preserve">      Set 1</t>
        </is>
      </c>
      <c r="E302" t="n">
        <v>3</v>
      </c>
      <c r="H302" s="39">
        <f>IF(H301="","",H301)</f>
        <v/>
      </c>
      <c r="I302" s="7">
        <f>IF(H301="","",H301)</f>
        <v/>
      </c>
      <c r="J302" s="7" t="n">
        <v>3</v>
      </c>
      <c r="K302" s="7" t="n"/>
      <c r="L302" s="40" t="n"/>
      <c r="M302">
        <f>IF(AND(L302&lt;&gt;"",N(I302)&gt;0,N(J302)&gt;0),IF(J302=1,I302,ROUND(I302*(1+J302/30),1)),"")</f>
        <v/>
      </c>
      <c r="N302" s="41">
        <f>IF(M302="","",IF(M302&gt;=PRs!C2,"PR!",""))</f>
        <v/>
      </c>
      <c r="O302" s="7" t="n"/>
    </row>
    <row r="303">
      <c r="C303" t="inlineStr">
        <is>
          <t xml:space="preserve">      Set 2</t>
        </is>
      </c>
      <c r="E303" t="n">
        <v>3</v>
      </c>
      <c r="H303" s="39">
        <f>IF(H301="","",H301)</f>
        <v/>
      </c>
      <c r="I303" s="7">
        <f>IF(H301="","",H301)</f>
        <v/>
      </c>
      <c r="J303" s="7" t="n">
        <v>3</v>
      </c>
      <c r="K303" s="7" t="n"/>
      <c r="L303" s="40" t="n"/>
      <c r="M303">
        <f>IF(AND(L303&lt;&gt;"",N(I303)&gt;0,N(J303)&gt;0),IF(J303=1,I303,ROUND(I303*(1+J303/30),1)),"")</f>
        <v/>
      </c>
      <c r="N303" s="41">
        <f>IF(M303="","",IF(M303&gt;=PRs!C2,"PR!",""))</f>
        <v/>
      </c>
      <c r="O303" s="7" t="n"/>
    </row>
    <row r="304">
      <c r="A304" s="34" t="n"/>
      <c r="B304" s="34" t="n"/>
      <c r="C304" s="42" t="inlineStr">
        <is>
          <t>Overhead Press</t>
        </is>
      </c>
      <c r="D304" s="34" t="inlineStr">
        <is>
          <t>1 x Max</t>
        </is>
      </c>
      <c r="E304" s="34" t="n"/>
      <c r="F304" s="34" t="n"/>
      <c r="G304" s="36">
        <f>Maxes!F5</f>
        <v/>
      </c>
      <c r="H304" s="37">
        <f>IF(G304="","",MROUND(G304/1,'Start Here'!$B$7))</f>
        <v/>
      </c>
      <c r="I304" s="34" t="n"/>
      <c r="J304" s="34" t="n"/>
      <c r="K304" s="34" t="n"/>
      <c r="L304" s="34" t="n"/>
      <c r="M304" s="34" t="n"/>
      <c r="N304" s="34" t="n"/>
      <c r="O304" s="38" t="inlineStr">
        <is>
          <t>Work up in small jumps to a new max (1RM, or a 3RM/5RM if you prefer). Log it - it sets next cycle's weights</t>
        </is>
      </c>
    </row>
    <row r="305">
      <c r="C305" t="inlineStr">
        <is>
          <t xml:space="preserve">      Set 1</t>
        </is>
      </c>
      <c r="E305" t="n">
        <v>1</v>
      </c>
      <c r="H305" s="39">
        <f>IF(H304="","",H304)</f>
        <v/>
      </c>
      <c r="I305" s="7">
        <f>IF(H304="","",H304)</f>
        <v/>
      </c>
      <c r="J305" s="7" t="n">
        <v>1</v>
      </c>
      <c r="K305" s="7" t="n"/>
      <c r="L305" s="40" t="n"/>
      <c r="M305">
        <f>IF(AND(L305&lt;&gt;"",N(I305)&gt;0,N(J305)&gt;0),IF(J305=1,I305,ROUND(I305*(1+J305/30),1)),"")</f>
        <v/>
      </c>
      <c r="N305" s="41">
        <f>IF(M305="","",IF(M305&gt;=PRs!C5,"PR!",""))</f>
        <v/>
      </c>
      <c r="O305" s="7" t="n"/>
    </row>
    <row r="306">
      <c r="A306" s="34" t="n"/>
      <c r="B306" s="34" t="n"/>
      <c r="C306" s="42" t="inlineStr">
        <is>
          <t>Deadlift</t>
        </is>
      </c>
      <c r="D306" s="34" t="inlineStr">
        <is>
          <t>1 x Max</t>
        </is>
      </c>
      <c r="E306" s="34" t="n"/>
      <c r="F306" s="34" t="n"/>
      <c r="G306" s="36">
        <f>Maxes!F4</f>
        <v/>
      </c>
      <c r="H306" s="37">
        <f>IF(G306="","",MROUND(G306/1,'Start Here'!$B$7))</f>
        <v/>
      </c>
      <c r="I306" s="34" t="n"/>
      <c r="J306" s="34" t="n"/>
      <c r="K306" s="34" t="n"/>
      <c r="L306" s="34" t="n"/>
      <c r="M306" s="34" t="n"/>
      <c r="N306" s="34" t="n"/>
      <c r="O306" s="38" t="inlineStr">
        <is>
          <t>Work up in small jumps to a new max (1RM, or a 3RM/5RM if you prefer). Log it - it sets next cycle's weights</t>
        </is>
      </c>
    </row>
    <row r="307">
      <c r="C307" t="inlineStr">
        <is>
          <t xml:space="preserve">      Set 1</t>
        </is>
      </c>
      <c r="E307" t="n">
        <v>1</v>
      </c>
      <c r="H307" s="39">
        <f>IF(H306="","",H306)</f>
        <v/>
      </c>
      <c r="I307" s="7">
        <f>IF(H306="","",H306)</f>
        <v/>
      </c>
      <c r="J307" s="7" t="n">
        <v>1</v>
      </c>
      <c r="K307" s="7" t="n"/>
      <c r="L307" s="40" t="n"/>
      <c r="M307">
        <f>IF(AND(L307&lt;&gt;"",N(I307)&gt;0,N(J307)&gt;0),IF(J307=1,I307,ROUND(I307*(1+J307/30),1)),"")</f>
        <v/>
      </c>
      <c r="N307" s="41">
        <f>IF(M307="","",IF(M307&gt;=PRs!C4,"PR!",""))</f>
        <v/>
      </c>
      <c r="O307" s="7" t="n"/>
    </row>
    <row r="308">
      <c r="A308" s="34" t="n"/>
      <c r="B308" s="34" t="n"/>
      <c r="C308" s="43" t="inlineStr">
        <is>
          <t>Chin-up</t>
        </is>
      </c>
      <c r="D308" s="34" t="inlineStr">
        <is>
          <t>2 x 6-10</t>
        </is>
      </c>
      <c r="E308" s="34" t="n"/>
      <c r="F308" s="34" t="n"/>
      <c r="G308" s="36" t="n"/>
      <c r="H308" s="37" t="n"/>
      <c r="I308" s="34" t="n"/>
      <c r="J308" s="34" t="n"/>
      <c r="K308" s="34" t="n"/>
      <c r="L308" s="34" t="n"/>
      <c r="M308" s="34" t="n"/>
      <c r="N308" s="34" t="n"/>
      <c r="O308" s="38" t="inlineStr">
        <is>
          <t>Light</t>
        </is>
      </c>
    </row>
    <row r="309">
      <c r="C309" t="inlineStr">
        <is>
          <t xml:space="preserve">      Set 1</t>
        </is>
      </c>
      <c r="E309" t="n">
        <v>6</v>
      </c>
      <c r="H309" s="39">
        <f>IF(H308="","",H308)</f>
        <v/>
      </c>
      <c r="I309" s="7">
        <f>IF(H308="","",H308)</f>
        <v/>
      </c>
      <c r="J309" s="7" t="n">
        <v>6</v>
      </c>
      <c r="K309" s="7" t="n"/>
      <c r="L309" s="40" t="n"/>
      <c r="M309">
        <f>IF(AND(L309&lt;&gt;"",N(I309)&gt;0,N(J309)&gt;0),IF(J309=1,I309,ROUND(I309*(1+J309/30),1)),"")</f>
        <v/>
      </c>
      <c r="N309" s="41">
        <f>IF(M309="","",IF(M309&gt;=PRs!C53,"PR!",""))</f>
        <v/>
      </c>
      <c r="O309" s="7" t="n"/>
    </row>
    <row r="310">
      <c r="C310" t="inlineStr">
        <is>
          <t xml:space="preserve">      Set 2</t>
        </is>
      </c>
      <c r="E310" t="n">
        <v>6</v>
      </c>
      <c r="H310" s="39">
        <f>IF(H308="","",H308)</f>
        <v/>
      </c>
      <c r="I310" s="7">
        <f>IF(H308="","",H308)</f>
        <v/>
      </c>
      <c r="J310" s="7" t="n">
        <v>6</v>
      </c>
      <c r="K310" s="7" t="n"/>
      <c r="L310" s="40" t="n"/>
      <c r="M310">
        <f>IF(AND(L310&lt;&gt;"",N(I310)&gt;0,N(J310)&gt;0),IF(J310=1,I310,ROUND(I310*(1+J310/30),1)),"")</f>
        <v/>
      </c>
      <c r="N310" s="41">
        <f>IF(M310="","",IF(M310&gt;=PRs!C53,"PR!",""))</f>
        <v/>
      </c>
      <c r="O310" s="7" t="n"/>
    </row>
    <row r="311">
      <c r="A311" s="34" t="n"/>
      <c r="B311" s="34" t="n"/>
      <c r="C311" s="43" t="inlineStr">
        <is>
          <t>Plank</t>
        </is>
      </c>
      <c r="D311" s="34" t="inlineStr">
        <is>
          <t>2 x 30-60s</t>
        </is>
      </c>
      <c r="E311" s="34" t="n"/>
      <c r="F311" s="34" t="n"/>
      <c r="G311" s="36" t="n"/>
      <c r="H311" s="37" t="n"/>
      <c r="I311" s="34" t="n"/>
      <c r="J311" s="34" t="n"/>
      <c r="K311" s="34" t="n"/>
      <c r="L311" s="34" t="n"/>
      <c r="M311" s="34" t="n"/>
      <c r="N311" s="34" t="n"/>
      <c r="O311" s="38" t="inlineStr">
        <is>
          <t>Light</t>
        </is>
      </c>
    </row>
    <row r="312">
      <c r="C312" t="inlineStr">
        <is>
          <t xml:space="preserve">      Set 1</t>
        </is>
      </c>
      <c r="E312" t="n">
        <v>30</v>
      </c>
      <c r="H312" s="39">
        <f>IF(H311="","",H311)</f>
        <v/>
      </c>
      <c r="I312" s="7">
        <f>IF(H311="","",H311)</f>
        <v/>
      </c>
      <c r="J312" s="7" t="n">
        <v>30</v>
      </c>
      <c r="K312" s="7" t="n"/>
      <c r="L312" s="40" t="n"/>
      <c r="M312">
        <f>IF(AND(L312&lt;&gt;"",N(I312)&gt;0,N(J312)&gt;0),IF(J312=1,I312,ROUND(I312*(1+J312/30),1)),"")</f>
        <v/>
      </c>
      <c r="N312" s="41">
        <f>IF(M312="","",IF(M312&gt;=PRs!C56,"PR!",""))</f>
        <v/>
      </c>
      <c r="O312" s="7" t="n"/>
    </row>
    <row r="313">
      <c r="C313" t="inlineStr">
        <is>
          <t xml:space="preserve">      Set 2</t>
        </is>
      </c>
      <c r="E313" t="n">
        <v>30</v>
      </c>
      <c r="H313" s="39">
        <f>IF(H311="","",H311)</f>
        <v/>
      </c>
      <c r="I313" s="7">
        <f>IF(H311="","",H311)</f>
        <v/>
      </c>
      <c r="J313" s="7" t="n">
        <v>30</v>
      </c>
      <c r="K313" s="7" t="n"/>
      <c r="L313" s="40" t="n"/>
      <c r="M313">
        <f>IF(AND(L313&lt;&gt;"",N(I313)&gt;0,N(J313)&gt;0),IF(J313=1,I313,ROUND(I313*(1+J313/30),1)),"")</f>
        <v/>
      </c>
      <c r="N313" s="41">
        <f>IF(M313="","",IF(M313&gt;=PRs!C56,"PR!",""))</f>
        <v/>
      </c>
      <c r="O313" s="7" t="n"/>
    </row>
    <row r="314">
      <c r="A314" s="31" t="inlineStr">
        <is>
          <t>Day 3 - Variations</t>
        </is>
      </c>
      <c r="B314" s="32">
        <f>'Start Here'!$B$8+165</f>
        <v/>
      </c>
      <c r="C314" s="33" t="n"/>
      <c r="D314" s="33" t="n"/>
      <c r="E314" s="33" t="n"/>
      <c r="F314" s="33" t="n"/>
      <c r="G314" s="33" t="n"/>
      <c r="H314" s="33" t="n"/>
      <c r="I314" s="33" t="n"/>
      <c r="J314" s="33" t="n"/>
      <c r="K314" s="33" t="n"/>
      <c r="L314" s="33" t="n"/>
      <c r="M314" s="33" t="n"/>
      <c r="N314" s="33" t="n"/>
      <c r="O314" s="33" t="n"/>
    </row>
    <row r="315">
      <c r="A315" s="34" t="n"/>
      <c r="B315" s="34" t="n"/>
      <c r="C315" s="35" t="inlineStr">
        <is>
          <t>Vertical Jump</t>
        </is>
      </c>
      <c r="D315" s="34" t="inlineStr">
        <is>
          <t>1 x Max</t>
        </is>
      </c>
      <c r="E315" s="34" t="n"/>
      <c r="F315" s="34" t="n"/>
      <c r="G315" s="36" t="n"/>
      <c r="H315" s="37">
        <f>IF(N(Maxes!F71)&gt;0,Maxes!F71,"")</f>
        <v/>
      </c>
      <c r="I315" s="34" t="n"/>
      <c r="J315" s="34" t="n"/>
      <c r="K315" s="34" t="n"/>
      <c r="L315" s="34" t="n"/>
      <c r="M315" s="34" t="n"/>
      <c r="N315" s="34" t="n"/>
      <c r="O315" s="38" t="inlineStr">
        <is>
          <t>Test day: best of 3-5 jumps (jump mark minus standing reach). Log it and check the standards on Start Here</t>
        </is>
      </c>
    </row>
    <row r="316">
      <c r="C316" t="inlineStr">
        <is>
          <t xml:space="preserve">      Set 1</t>
        </is>
      </c>
      <c r="E316" t="n">
        <v>1</v>
      </c>
      <c r="H316" s="39">
        <f>IF(H315="","",H315)</f>
        <v/>
      </c>
      <c r="I316" s="7">
        <f>IF(H315="","",H315)</f>
        <v/>
      </c>
      <c r="J316" s="7" t="n">
        <v>1</v>
      </c>
      <c r="K316" s="7" t="n"/>
      <c r="L316" s="40" t="n"/>
      <c r="N316" s="41">
        <f>IF(AND(L316&lt;&gt;"",N(I316)&gt;0),IF(I316&gt;=PRs!D71,"PR!",""),"")</f>
        <v/>
      </c>
      <c r="O316" s="7" t="n"/>
    </row>
    <row r="317">
      <c r="A317" s="34" t="n"/>
      <c r="B317" s="34" t="n"/>
      <c r="C317" s="42" t="inlineStr">
        <is>
          <t>Push Jerk</t>
        </is>
      </c>
      <c r="D317" s="34" t="inlineStr">
        <is>
          <t>1 x 1RM</t>
        </is>
      </c>
      <c r="E317" s="34" t="n"/>
      <c r="F317" s="34" t="n"/>
      <c r="G317" s="36">
        <f>Maxes!F45</f>
        <v/>
      </c>
      <c r="H317" s="37">
        <f>IF(G317="","",MROUND(G317/1,'Start Here'!$B$7))</f>
        <v/>
      </c>
      <c r="I317" s="34" t="n"/>
      <c r="J317" s="34" t="n"/>
      <c r="K317" s="34" t="n"/>
      <c r="L317" s="34" t="n"/>
      <c r="M317" s="34" t="n"/>
      <c r="N317" s="34" t="n"/>
      <c r="O317" s="38" t="inlineStr">
        <is>
          <t>Work up to a 1RM - tracked as its own PR</t>
        </is>
      </c>
    </row>
    <row r="318">
      <c r="C318" t="inlineStr">
        <is>
          <t xml:space="preserve">      Set 1</t>
        </is>
      </c>
      <c r="E318" t="n">
        <v>1</v>
      </c>
      <c r="H318" s="39">
        <f>IF(H317="","",H317)</f>
        <v/>
      </c>
      <c r="I318" s="7">
        <f>IF(H317="","",H317)</f>
        <v/>
      </c>
      <c r="J318" s="7" t="n">
        <v>1</v>
      </c>
      <c r="K318" s="7" t="n"/>
      <c r="L318" s="40" t="n"/>
      <c r="M318">
        <f>IF(AND(L318&lt;&gt;"",N(I318)&gt;0,N(J318)&gt;0),IF(J318=1,I318,ROUND(I318*(1+J318/30),1)),"")</f>
        <v/>
      </c>
      <c r="N318" s="41">
        <f>IF(M318="","",IF(M318&gt;=PRs!C45,"PR!",""))</f>
        <v/>
      </c>
      <c r="O318" s="7" t="n"/>
    </row>
    <row r="319">
      <c r="A319" s="34" t="n"/>
      <c r="B319" s="34" t="n"/>
      <c r="C319" s="42" t="inlineStr">
        <is>
          <t>Box Squat</t>
        </is>
      </c>
      <c r="D319" s="34" t="inlineStr">
        <is>
          <t>1 x 3RM</t>
        </is>
      </c>
      <c r="E319" s="34" t="n"/>
      <c r="F319" s="34" t="n"/>
      <c r="G319" s="36">
        <f>Maxes!F8</f>
        <v/>
      </c>
      <c r="H319" s="37">
        <f>IF(G319="","",MROUND(G319/(1+3/30),'Start Here'!$B$7))</f>
        <v/>
      </c>
      <c r="I319" s="34" t="n"/>
      <c r="J319" s="34" t="n"/>
      <c r="K319" s="34" t="n"/>
      <c r="L319" s="34" t="n"/>
      <c r="M319" s="34" t="n"/>
      <c r="N319" s="34" t="n"/>
      <c r="O319" s="38" t="inlineStr">
        <is>
          <t>Work up to a 3RM - tracked as its own PR</t>
        </is>
      </c>
    </row>
    <row r="320">
      <c r="C320" t="inlineStr">
        <is>
          <t xml:space="preserve">      Set 1</t>
        </is>
      </c>
      <c r="E320" t="n">
        <v>3</v>
      </c>
      <c r="H320" s="39">
        <f>IF(H319="","",H319)</f>
        <v/>
      </c>
      <c r="I320" s="7">
        <f>IF(H319="","",H319)</f>
        <v/>
      </c>
      <c r="J320" s="7" t="n">
        <v>3</v>
      </c>
      <c r="K320" s="7" t="n"/>
      <c r="L320" s="40" t="n"/>
      <c r="M320">
        <f>IF(AND(L320&lt;&gt;"",N(I320)&gt;0,N(J320)&gt;0),IF(J320=1,I320,ROUND(I320*(1+J320/30),1)),"")</f>
        <v/>
      </c>
      <c r="N320" s="41">
        <f>IF(M320="","",IF(M320&gt;=PRs!C8,"PR!",""))</f>
        <v/>
      </c>
      <c r="O320" s="7" t="n"/>
    </row>
    <row r="321">
      <c r="A321" s="34" t="n"/>
      <c r="B321" s="34" t="n"/>
      <c r="C321" s="42" t="inlineStr">
        <is>
          <t>3-Board Press</t>
        </is>
      </c>
      <c r="D321" s="34" t="inlineStr">
        <is>
          <t>1 x 3RM</t>
        </is>
      </c>
      <c r="E321" s="34" t="n"/>
      <c r="F321" s="34" t="n"/>
      <c r="G321" s="36">
        <f>Maxes!F17</f>
        <v/>
      </c>
      <c r="H321" s="37">
        <f>IF(G321="","",MROUND(G321/(1+3/30),'Start Here'!$B$7))</f>
        <v/>
      </c>
      <c r="I321" s="34" t="n"/>
      <c r="J321" s="34" t="n"/>
      <c r="K321" s="34" t="n"/>
      <c r="L321" s="34" t="n"/>
      <c r="M321" s="34" t="n"/>
      <c r="N321" s="34" t="n"/>
      <c r="O321" s="38" t="inlineStr">
        <is>
          <t>Work up to a 3RM - tracked as its own PR</t>
        </is>
      </c>
    </row>
    <row r="322">
      <c r="C322" t="inlineStr">
        <is>
          <t xml:space="preserve">      Set 1</t>
        </is>
      </c>
      <c r="E322" t="n">
        <v>3</v>
      </c>
      <c r="H322" s="39">
        <f>IF(H321="","",H321)</f>
        <v/>
      </c>
      <c r="I322" s="7">
        <f>IF(H321="","",H321)</f>
        <v/>
      </c>
      <c r="J322" s="7" t="n">
        <v>3</v>
      </c>
      <c r="K322" s="7" t="n"/>
      <c r="L322" s="40" t="n"/>
      <c r="M322">
        <f>IF(AND(L322&lt;&gt;"",N(I322)&gt;0,N(J322)&gt;0),IF(J322=1,I322,ROUND(I322*(1+J322/30),1)),"")</f>
        <v/>
      </c>
      <c r="N322" s="41">
        <f>IF(M322="","",IF(M322&gt;=PRs!C17,"PR!",""))</f>
        <v/>
      </c>
      <c r="O322" s="7" t="n"/>
    </row>
    <row r="323">
      <c r="A323" s="34" t="n"/>
      <c r="B323" s="34" t="n"/>
      <c r="C323" s="42" t="inlineStr">
        <is>
          <t>Deficit Deadlift</t>
        </is>
      </c>
      <c r="D323" s="34" t="inlineStr">
        <is>
          <t>1 x 3RM</t>
        </is>
      </c>
      <c r="E323" s="34" t="n"/>
      <c r="F323" s="34" t="n"/>
      <c r="G323" s="36">
        <f>Maxes!F24</f>
        <v/>
      </c>
      <c r="H323" s="37">
        <f>IF(G323="","",MROUND(G323/(1+3/30),'Start Here'!$B$7))</f>
        <v/>
      </c>
      <c r="I323" s="34" t="n"/>
      <c r="J323" s="34" t="n"/>
      <c r="K323" s="34" t="n"/>
      <c r="L323" s="34" t="n"/>
      <c r="M323" s="34" t="n"/>
      <c r="N323" s="34" t="n"/>
      <c r="O323" s="38" t="inlineStr">
        <is>
          <t>Work up to a 3RM - tracked as its own PR</t>
        </is>
      </c>
    </row>
    <row r="324">
      <c r="C324" t="inlineStr">
        <is>
          <t xml:space="preserve">      Set 1</t>
        </is>
      </c>
      <c r="E324" t="n">
        <v>3</v>
      </c>
      <c r="H324" s="39">
        <f>IF(H323="","",H323)</f>
        <v/>
      </c>
      <c r="I324" s="7">
        <f>IF(H323="","",H323)</f>
        <v/>
      </c>
      <c r="J324" s="7" t="n">
        <v>3</v>
      </c>
      <c r="K324" s="7" t="n"/>
      <c r="L324" s="40" t="n"/>
      <c r="M324">
        <f>IF(AND(L324&lt;&gt;"",N(I324)&gt;0,N(J324)&gt;0),IF(J324=1,I324,ROUND(I324*(1+J324/30),1)),"")</f>
        <v/>
      </c>
      <c r="N324" s="41">
        <f>IF(M324="","",IF(M324&gt;=PRs!C24,"PR!",""))</f>
        <v/>
      </c>
      <c r="O324" s="7" t="n"/>
    </row>
    <row r="325">
      <c r="A325" s="34" t="n"/>
      <c r="B325" s="34" t="n"/>
      <c r="C325" s="43" t="inlineStr">
        <is>
          <t>Incline Dumbbell Press</t>
        </is>
      </c>
      <c r="D325" s="34" t="inlineStr">
        <is>
          <t>2 x 8-12</t>
        </is>
      </c>
      <c r="E325" s="34" t="n"/>
      <c r="F325" s="34" t="n"/>
      <c r="G325" s="36" t="n"/>
      <c r="H325" s="37" t="n"/>
      <c r="I325" s="34" t="n"/>
      <c r="J325" s="34" t="n"/>
      <c r="K325" s="34" t="n"/>
      <c r="L325" s="34" t="n"/>
      <c r="M325" s="34" t="n"/>
      <c r="N325" s="34" t="n"/>
      <c r="O325" s="38" t="inlineStr">
        <is>
          <t>Light</t>
        </is>
      </c>
    </row>
    <row r="326">
      <c r="C326" t="inlineStr">
        <is>
          <t xml:space="preserve">      Set 1</t>
        </is>
      </c>
      <c r="E326" t="n">
        <v>8</v>
      </c>
      <c r="H326" s="39">
        <f>IF(H325="","",H325)</f>
        <v/>
      </c>
      <c r="I326" s="7">
        <f>IF(H325="","",H325)</f>
        <v/>
      </c>
      <c r="J326" s="7" t="n">
        <v>8</v>
      </c>
      <c r="K326" s="7" t="n"/>
      <c r="L326" s="40" t="n"/>
      <c r="M326">
        <f>IF(AND(L326&lt;&gt;"",N(I326)&gt;0,N(J326)&gt;0),IF(J326=1,I326,ROUND(I326*(1+J326/30),1)),"")</f>
        <v/>
      </c>
      <c r="N326" s="41">
        <f>IF(M326="","",IF(M326&gt;=PRs!C57,"PR!",""))</f>
        <v/>
      </c>
      <c r="O326" s="7" t="n"/>
    </row>
    <row r="327">
      <c r="C327" t="inlineStr">
        <is>
          <t xml:space="preserve">      Set 2</t>
        </is>
      </c>
      <c r="E327" t="n">
        <v>8</v>
      </c>
      <c r="H327" s="39">
        <f>IF(H325="","",H325)</f>
        <v/>
      </c>
      <c r="I327" s="7">
        <f>IF(H325="","",H325)</f>
        <v/>
      </c>
      <c r="J327" s="7" t="n">
        <v>8</v>
      </c>
      <c r="K327" s="7" t="n"/>
      <c r="L327" s="40" t="n"/>
      <c r="M327">
        <f>IF(AND(L327&lt;&gt;"",N(I327)&gt;0,N(J327)&gt;0),IF(J327=1,I327,ROUND(I327*(1+J327/30),1)),"")</f>
        <v/>
      </c>
      <c r="N327" s="41">
        <f>IF(M327="","",IF(M327&gt;=PRs!C57,"PR!",""))</f>
        <v/>
      </c>
      <c r="O327" s="7" t="n"/>
    </row>
    <row r="328">
      <c r="A328" s="34" t="n"/>
      <c r="B328" s="34" t="n"/>
      <c r="C328" s="43" t="inlineStr">
        <is>
          <t>Triceps Pushdown</t>
        </is>
      </c>
      <c r="D328" s="34" t="inlineStr">
        <is>
          <t>2 x 10-15</t>
        </is>
      </c>
      <c r="E328" s="34" t="n"/>
      <c r="F328" s="34" t="n"/>
      <c r="G328" s="36" t="n"/>
      <c r="H328" s="37" t="n"/>
      <c r="I328" s="34" t="n"/>
      <c r="J328" s="34" t="n"/>
      <c r="K328" s="34" t="n"/>
      <c r="L328" s="34" t="n"/>
      <c r="M328" s="34" t="n"/>
      <c r="N328" s="34" t="n"/>
      <c r="O328" s="38" t="inlineStr">
        <is>
          <t>Light</t>
        </is>
      </c>
    </row>
    <row r="329">
      <c r="C329" t="inlineStr">
        <is>
          <t xml:space="preserve">      Set 1</t>
        </is>
      </c>
      <c r="E329" t="n">
        <v>10</v>
      </c>
      <c r="H329" s="39">
        <f>IF(H328="","",H328)</f>
        <v/>
      </c>
      <c r="I329" s="7">
        <f>IF(H328="","",H328)</f>
        <v/>
      </c>
      <c r="J329" s="7" t="n">
        <v>10</v>
      </c>
      <c r="K329" s="7" t="n"/>
      <c r="L329" s="40" t="n"/>
      <c r="M329">
        <f>IF(AND(L329&lt;&gt;"",N(I329)&gt;0,N(J329)&gt;0),IF(J329=1,I329,ROUND(I329*(1+J329/30),1)),"")</f>
        <v/>
      </c>
      <c r="N329" s="41">
        <f>IF(M329="","",IF(M329&gt;=PRs!C59,"PR!",""))</f>
        <v/>
      </c>
      <c r="O329" s="7" t="n"/>
    </row>
    <row r="330">
      <c r="C330" t="inlineStr">
        <is>
          <t xml:space="preserve">      Set 2</t>
        </is>
      </c>
      <c r="E330" t="n">
        <v>10</v>
      </c>
      <c r="H330" s="39">
        <f>IF(H328="","",H328)</f>
        <v/>
      </c>
      <c r="I330" s="7">
        <f>IF(H328="","",H328)</f>
        <v/>
      </c>
      <c r="J330" s="7" t="n">
        <v>10</v>
      </c>
      <c r="K330" s="7" t="n"/>
      <c r="L330" s="40" t="n"/>
      <c r="M330">
        <f>IF(AND(L330&lt;&gt;"",N(I330)&gt;0,N(J330)&gt;0),IF(J330=1,I330,ROUND(I330*(1+J330/30),1)),"")</f>
        <v/>
      </c>
      <c r="N330" s="41">
        <f>IF(M330="","",IF(M330&gt;=PRs!C59,"PR!",""))</f>
        <v/>
      </c>
      <c r="O330" s="7" t="n"/>
    </row>
  </sheetData>
  <dataValidations count="3">
    <dataValidation sqref="H3" showDropDown="0" showInputMessage="0" showErrorMessage="0" allowBlank="1" type="list">
      <formula1>Lists!$B$1:$B$6</formula1>
    </dataValidation>
    <dataValidation sqref="L9 L10 L11 L13 L14 L15 L16 L17 L19 L20 L21 L22 L23 L25 L26 L27 L28 L29 L31 L32 L33 L35 L36 L37 L40 L41 L42 L44 L45 L47 L48 L49 L50 L51 L53 L54 L55 L56 L58 L59 L60 L61 L63 L64 L65 L67 L68 L69 L71 L72 L73 L76 L77 L78 L80 L81 L82 L83 L85 L86 L87 L88 L90 L91 L92 L93 L95 L96 L97 L98 L100 L101 L102 L104 L105 L106 L111 L112 L113 L115 L116 L117 L118 L120 L121 L122 L123 L125 L126 L127 L128 L130 L131 L132 L134 L135 L136 L139 L140 L141 L143 L144 L146 L147 L148 L149 L151 L152 L153 L155 L156 L157 L158 L159 L161 L162 L163 L164 L166 L167 L168 L170 L171 L172 L175 L176 L177 L179 L180 L181 L182 L183 L185 L186 L187 L188 L189 L191 L192 L193 L194 L195 L197 L198 L199 L201 L202 L203 L205 L206 L207 L212 L213 L215 L216 L217 L219 L220 L221 L223 L224 L225 L227 L228 L230 L231 L234 L235 L237 L238 L240 L241 L243 L244 L246 L247 L249 L250 L252 L253 L255 L256 L259 L260 L262 L263 L265 L266 L268 L269 L271 L272 L274 L275 L277 L278 L283 L285 L287 L289 L291 L292 L294 L295 L298 L300 L302 L303 L305 L307 L309 L310 L312 L313 L316 L318 L320 L322 L324 L326 L327 L329 L330" showDropDown="0" showInputMessage="0" showErrorMessage="0" allowBlank="1" type="list">
      <formula1>"✓"</formula1>
    </dataValidation>
    <dataValidation sqref="K9 K10 K11 K13 K14 K15 K16 K17 K19 K20 K21 K22 K23 K25 K26 K27 K28 K29 K31 K32 K33 K35 K36 K37 K40 K41 K42 K44 K45 K47 K48 K49 K50 K51 K53 K54 K55 K56 K58 K59 K60 K61 K63 K64 K65 K67 K68 K69 K71 K72 K73 K76 K77 K78 K80 K81 K82 K83 K85 K86 K87 K88 K90 K91 K92 K93 K95 K96 K97 K98 K100 K101 K102 K104 K105 K106 K111 K112 K113 K115 K116 K117 K118 K120 K121 K122 K123 K125 K126 K127 K128 K130 K131 K132 K134 K135 K136 K139 K140 K141 K143 K144 K146 K147 K148 K149 K151 K152 K153 K155 K156 K157 K158 K159 K161 K162 K163 K164 K166 K167 K168 K170 K171 K172 K175 K176 K177 K179 K180 K181 K182 K183 K185 K186 K187 K188 K189 K191 K192 K193 K194 K195 K197 K198 K199 K201 K202 K203 K205 K206 K207 K212 K213 K215 K216 K217 K219 K220 K221 K223 K224 K225 K227 K228 K230 K231 K234 K235 K237 K238 K240 K241 K243 K244 K246 K247 K249 K250 K252 K253 K255 K256 K259 K260 K262 K263 K265 K266 K268 K269 K271 K272 K274 K275 K277 K278 K283 K285 K287 K289 K291 K292 K294 K295 K298 K300 K302 K303 K305 K307 K309 K310 K312 K313 K316 K318 K320 K322 K324 K326 K327 K329 K330" showDropDown="0" showInputMessage="0" showErrorMessage="0" allowBlank="1" type="list">
      <formula1>"6,6.5,7,7.5,8,8.5,9,9.5,10"</formula1>
    </dataValidation>
  </dataValidations>
  <hyperlinks>
    <hyperlink ref="A2" location="'Month 05'!A1" display="&lt; Month 05"/>
    <hyperlink ref="C2" location="'Start Here'!A1" display="Start Here"/>
    <hyperlink ref="E2" location="'Month 07'!A1" display="Month 07 &gt;"/>
    <hyperlink ref="L3" location="'Body'!A1" display="How to test"/>
  </hyperlinks>
  <pageMargins left="0.75" right="0.75" top="1" bottom="1" header="0.5" footer="0.5"/>
  <pageSetup orientation="landscape" fitToHeight="0" fitToWidth="1"/>
</worksheet>
</file>

<file path=xl/worksheets/sheet9.xml><?xml version="1.0" encoding="utf-8"?>
<worksheet xmlns="http://schemas.openxmlformats.org/spreadsheetml/2006/main">
  <sheetPr>
    <tabColor rgb="00E6E2DA"/>
    <outlinePr summaryBelow="1" summaryRight="1"/>
    <pageSetUpPr fitToPage="1"/>
  </sheetPr>
  <dimension ref="A1:O38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26" customWidth="1" min="3" max="3"/>
    <col width="10" customWidth="1" min="4" max="4"/>
    <col width="7" customWidth="1" min="5" max="5"/>
    <col width="6" customWidth="1" min="6" max="6"/>
    <col width="9" customWidth="1" min="7" max="7"/>
    <col width="9" customWidth="1" min="8" max="8"/>
    <col width="12" customWidth="1" min="9" max="9"/>
    <col width="8" customWidth="1" min="10" max="10"/>
    <col width="6" customWidth="1" min="11" max="11"/>
    <col width="6" customWidth="1" min="12" max="12"/>
    <col width="9" customWidth="1" min="13" max="13"/>
    <col width="5" customWidth="1" min="14" max="14"/>
    <col width="60" customWidth="1" min="15" max="15"/>
  </cols>
  <sheetData>
    <row r="1">
      <c r="A1" s="25" t="inlineStr">
        <is>
          <t>MONTH 07  -  weeks 25-28  -  Cycle 3</t>
        </is>
      </c>
    </row>
    <row r="2">
      <c r="A2" s="26" t="inlineStr">
        <is>
          <t>&lt; Month 06</t>
        </is>
      </c>
      <c r="C2" s="26" t="inlineStr">
        <is>
          <t>Start Here</t>
        </is>
      </c>
      <c r="E2" s="26" t="inlineStr">
        <is>
          <t>Month 08 &gt;</t>
        </is>
      </c>
    </row>
    <row r="3">
      <c r="A3" s="41" t="inlineStr">
        <is>
          <t>BODY FAT (once this month)</t>
        </is>
      </c>
      <c r="C3" s="44" t="inlineStr">
        <is>
          <t>Date</t>
        </is>
      </c>
      <c r="D3" s="12" t="n"/>
      <c r="E3" s="44" t="inlineStr">
        <is>
          <t>Body fat %</t>
        </is>
      </c>
      <c r="F3" s="7" t="n"/>
      <c r="G3" s="44" t="inlineStr">
        <is>
          <t>Method</t>
        </is>
      </c>
      <c r="H3" s="7" t="n"/>
      <c r="I3" s="44" t="inlineStr">
        <is>
          <t>Weight at test</t>
        </is>
      </c>
      <c r="J3" s="7" t="n"/>
      <c r="L3" s="26" t="inlineStr">
        <is>
          <t>How to test</t>
        </is>
      </c>
    </row>
    <row r="4">
      <c r="A4" s="27" t="inlineStr">
        <is>
          <t>Every set is filled in with the plan. Change what was different, mark Done. Enter bodyweight once per week on the purple week rows.</t>
        </is>
      </c>
    </row>
    <row r="5">
      <c r="A5" s="8" t="inlineStr">
        <is>
          <t>Day</t>
        </is>
      </c>
      <c r="B5" s="8" t="inlineStr">
        <is>
          <t>Date</t>
        </is>
      </c>
      <c r="C5" s="8" t="inlineStr">
        <is>
          <t>Exercise / set</t>
        </is>
      </c>
      <c r="D5" s="8" t="inlineStr">
        <is>
          <t>Scheme</t>
        </is>
      </c>
      <c r="E5" s="8" t="inlineStr">
        <is>
          <t>Target reps</t>
        </is>
      </c>
      <c r="F5" s="8" t="inlineStr">
        <is>
          <t>% TM</t>
        </is>
      </c>
      <c r="G5" s="8" t="inlineStr">
        <is>
          <t>Training max</t>
        </is>
      </c>
      <c r="H5" s="8" t="inlineStr">
        <is>
          <t>Target</t>
        </is>
      </c>
      <c r="I5" s="8" t="inlineStr">
        <is>
          <t>Actual weight / height</t>
        </is>
      </c>
      <c r="J5" s="8" t="inlineStr">
        <is>
          <t>Actual reps</t>
        </is>
      </c>
      <c r="K5" s="8" t="inlineStr">
        <is>
          <t>RPE</t>
        </is>
      </c>
      <c r="L5" s="8" t="inlineStr">
        <is>
          <t>Done</t>
        </is>
      </c>
      <c r="M5" s="8" t="inlineStr">
        <is>
          <t>Est. 1RM</t>
        </is>
      </c>
      <c r="N5" s="8" t="inlineStr">
        <is>
          <t>PR</t>
        </is>
      </c>
      <c r="O5" s="8" t="inlineStr">
        <is>
          <t>Notes / guidance</t>
        </is>
      </c>
    </row>
    <row r="6">
      <c r="A6" s="45" t="inlineStr">
        <is>
          <t>WEEK 25 - CYCLE 3 - ACCUMULATION</t>
        </is>
      </c>
      <c r="B6" s="46" t="n"/>
      <c r="C6" s="46" t="n"/>
      <c r="D6" s="46" t="n"/>
      <c r="E6" s="46" t="n"/>
      <c r="F6" s="46" t="n"/>
      <c r="G6" s="46" t="n"/>
      <c r="H6" s="47" t="inlineStr">
        <is>
          <t>Bodyweight:</t>
        </is>
      </c>
      <c r="I6" s="7" t="n"/>
      <c r="J6" s="46" t="n"/>
      <c r="K6" s="46" t="n"/>
      <c r="L6" s="46" t="n"/>
      <c r="M6" s="46" t="n"/>
      <c r="N6" s="46" t="n"/>
      <c r="O6" s="46" t="n"/>
    </row>
    <row r="7">
      <c r="A7" s="31" t="inlineStr">
        <is>
          <t>Day 1 - Heavy</t>
        </is>
      </c>
      <c r="B7" s="32">
        <f>'Start Here'!$B$8+168</f>
        <v/>
      </c>
      <c r="C7" s="33" t="n"/>
      <c r="D7" s="33" t="n"/>
      <c r="E7" s="33" t="n"/>
      <c r="F7" s="33" t="n"/>
      <c r="G7" s="33" t="n"/>
      <c r="H7" s="33" t="n"/>
      <c r="I7" s="33" t="n"/>
      <c r="J7" s="33" t="n"/>
      <c r="K7" s="33" t="n"/>
      <c r="L7" s="33" t="n"/>
      <c r="M7" s="33" t="n"/>
      <c r="N7" s="33" t="n"/>
      <c r="O7" s="33" t="n"/>
    </row>
    <row r="8">
      <c r="A8" s="34" t="n"/>
      <c r="B8" s="34" t="n"/>
      <c r="C8" s="35" t="inlineStr">
        <is>
          <t>Box Jump</t>
        </is>
      </c>
      <c r="D8" s="34" t="inlineStr">
        <is>
          <t>4 x 3</t>
        </is>
      </c>
      <c r="E8" s="34" t="n"/>
      <c r="F8" s="34" t="n"/>
      <c r="G8" s="36" t="n"/>
      <c r="H8" s="37">
        <f>IF(N(Maxes!G69)&gt;0,Maxes!G69,'Start Here'!$G$16)</f>
        <v/>
      </c>
      <c r="I8" s="34" t="n"/>
      <c r="J8" s="34" t="n"/>
      <c r="K8" s="34" t="n"/>
      <c r="L8" s="34" t="n"/>
      <c r="M8" s="34" t="n"/>
      <c r="N8" s="34" t="n"/>
      <c r="O8" s="38" t="inlineStr">
        <is>
          <t>Two-foot jump onto a box, land soft in a quarter squat, STEP down. Log the box height (floor to top of box).</t>
        </is>
      </c>
    </row>
    <row r="9">
      <c r="C9" t="inlineStr">
        <is>
          <t xml:space="preserve">      Set 1</t>
        </is>
      </c>
      <c r="E9" t="n">
        <v>3</v>
      </c>
      <c r="H9" s="39">
        <f>IF(H8="","",H8)</f>
        <v/>
      </c>
      <c r="I9" s="7">
        <f>IF(H8="","",H8)</f>
        <v/>
      </c>
      <c r="J9" s="7" t="n">
        <v>3</v>
      </c>
      <c r="K9" s="7" t="n"/>
      <c r="L9" s="40" t="n"/>
      <c r="N9" s="41">
        <f>IF(AND(L9&lt;&gt;"",N(I9)&gt;0),IF(I9&gt;=PRs!D69,"PR!",""),"")</f>
        <v/>
      </c>
      <c r="O9" s="7" t="n"/>
    </row>
    <row r="10">
      <c r="C10" t="inlineStr">
        <is>
          <t xml:space="preserve">      Set 2</t>
        </is>
      </c>
      <c r="E10" t="n">
        <v>3</v>
      </c>
      <c r="H10" s="39">
        <f>IF(H8="","",H8)</f>
        <v/>
      </c>
      <c r="I10" s="7">
        <f>IF(H8="","",H8)</f>
        <v/>
      </c>
      <c r="J10" s="7" t="n">
        <v>3</v>
      </c>
      <c r="K10" s="7" t="n"/>
      <c r="L10" s="40" t="n"/>
      <c r="N10" s="41">
        <f>IF(AND(L10&lt;&gt;"",N(I10)&gt;0),IF(I10&gt;=PRs!D69,"PR!",""),"")</f>
        <v/>
      </c>
      <c r="O10" s="7" t="n"/>
    </row>
    <row r="11">
      <c r="C11" t="inlineStr">
        <is>
          <t xml:space="preserve">      Set 3</t>
        </is>
      </c>
      <c r="E11" t="n">
        <v>3</v>
      </c>
      <c r="H11" s="39">
        <f>IF(H8="","",H8)</f>
        <v/>
      </c>
      <c r="I11" s="7">
        <f>IF(H8="","",H8)</f>
        <v/>
      </c>
      <c r="J11" s="7" t="n">
        <v>3</v>
      </c>
      <c r="K11" s="7" t="n"/>
      <c r="L11" s="40" t="n"/>
      <c r="N11" s="41">
        <f>IF(AND(L11&lt;&gt;"",N(I11)&gt;0),IF(I11&gt;=PRs!D69,"PR!",""),"")</f>
        <v/>
      </c>
      <c r="O11" s="7" t="n"/>
    </row>
    <row r="12">
      <c r="C12" t="inlineStr">
        <is>
          <t xml:space="preserve">      Set 4</t>
        </is>
      </c>
      <c r="E12" t="n">
        <v>3</v>
      </c>
      <c r="H12" s="39">
        <f>IF(H8="","",H8)</f>
        <v/>
      </c>
      <c r="I12" s="7">
        <f>IF(H8="","",H8)</f>
        <v/>
      </c>
      <c r="J12" s="7" t="n">
        <v>3</v>
      </c>
      <c r="K12" s="7" t="n"/>
      <c r="L12" s="40" t="n"/>
      <c r="N12" s="41">
        <f>IF(AND(L12&lt;&gt;"",N(I12)&gt;0),IF(I12&gt;=PRs!D69,"PR!",""),"")</f>
        <v/>
      </c>
      <c r="O12" s="7" t="n"/>
    </row>
    <row r="13">
      <c r="A13" s="34" t="n"/>
      <c r="B13" s="34" t="n"/>
      <c r="C13" s="42" t="inlineStr">
        <is>
          <t>Snatch</t>
        </is>
      </c>
      <c r="D13" s="34" t="inlineStr">
        <is>
          <t>4 x 3</t>
        </is>
      </c>
      <c r="E13" s="34" t="n"/>
      <c r="F13" s="34" t="n">
        <v>70</v>
      </c>
      <c r="G13" s="36">
        <f>Maxes!G6</f>
        <v/>
      </c>
      <c r="H13" s="37">
        <f>IF(OR(G13="",F13=""),"",MROUND(G13*F13/100,'Start Here'!$B$7))</f>
        <v/>
      </c>
      <c r="I13" s="34" t="n"/>
      <c r="J13" s="34" t="n"/>
      <c r="K13" s="34" t="n"/>
      <c r="L13" s="34" t="n"/>
      <c r="M13" s="34" t="n"/>
      <c r="N13" s="34" t="n"/>
      <c r="O13" s="38" t="inlineStr"/>
    </row>
    <row r="14">
      <c r="C14" t="inlineStr">
        <is>
          <t xml:space="preserve">      Set 1</t>
        </is>
      </c>
      <c r="E14" t="n">
        <v>3</v>
      </c>
      <c r="H14" s="39">
        <f>IF(H13="","",H13)</f>
        <v/>
      </c>
      <c r="I14" s="7">
        <f>IF(H13="","",H13)</f>
        <v/>
      </c>
      <c r="J14" s="7" t="n">
        <v>3</v>
      </c>
      <c r="K14" s="7" t="n"/>
      <c r="L14" s="40" t="n"/>
      <c r="M14">
        <f>IF(AND(L14&lt;&gt;"",N(I14)&gt;0,N(J14)&gt;0),IF(J14=1,I14,ROUND(I14*(1+J14/30),1)),"")</f>
        <v/>
      </c>
      <c r="N14" s="41">
        <f>IF(M14="","",IF(M14&gt;=PRs!C6,"PR!",""))</f>
        <v/>
      </c>
      <c r="O14" s="7" t="n"/>
    </row>
    <row r="15">
      <c r="C15" t="inlineStr">
        <is>
          <t xml:space="preserve">      Set 2</t>
        </is>
      </c>
      <c r="E15" t="n">
        <v>3</v>
      </c>
      <c r="H15" s="39">
        <f>IF(H13="","",H13)</f>
        <v/>
      </c>
      <c r="I15" s="7">
        <f>IF(H13="","",H13)</f>
        <v/>
      </c>
      <c r="J15" s="7" t="n">
        <v>3</v>
      </c>
      <c r="K15" s="7" t="n"/>
      <c r="L15" s="40" t="n"/>
      <c r="M15">
        <f>IF(AND(L15&lt;&gt;"",N(I15)&gt;0,N(J15)&gt;0),IF(J15=1,I15,ROUND(I15*(1+J15/30),1)),"")</f>
        <v/>
      </c>
      <c r="N15" s="41">
        <f>IF(M15="","",IF(M15&gt;=PRs!C6,"PR!",""))</f>
        <v/>
      </c>
      <c r="O15" s="7" t="n"/>
    </row>
    <row r="16">
      <c r="C16" t="inlineStr">
        <is>
          <t xml:space="preserve">      Set 3</t>
        </is>
      </c>
      <c r="E16" t="n">
        <v>3</v>
      </c>
      <c r="H16" s="39">
        <f>IF(H13="","",H13)</f>
        <v/>
      </c>
      <c r="I16" s="7">
        <f>IF(H13="","",H13)</f>
        <v/>
      </c>
      <c r="J16" s="7" t="n">
        <v>3</v>
      </c>
      <c r="K16" s="7" t="n"/>
      <c r="L16" s="40" t="n"/>
      <c r="M16">
        <f>IF(AND(L16&lt;&gt;"",N(I16)&gt;0,N(J16)&gt;0),IF(J16=1,I16,ROUND(I16*(1+J16/30),1)),"")</f>
        <v/>
      </c>
      <c r="N16" s="41">
        <f>IF(M16="","",IF(M16&gt;=PRs!C6,"PR!",""))</f>
        <v/>
      </c>
      <c r="O16" s="7" t="n"/>
    </row>
    <row r="17">
      <c r="C17" t="inlineStr">
        <is>
          <t xml:space="preserve">      Set 4</t>
        </is>
      </c>
      <c r="E17" t="n">
        <v>3</v>
      </c>
      <c r="H17" s="39">
        <f>IF(H13="","",H13)</f>
        <v/>
      </c>
      <c r="I17" s="7">
        <f>IF(H13="","",H13)</f>
        <v/>
      </c>
      <c r="J17" s="7" t="n">
        <v>3</v>
      </c>
      <c r="K17" s="7" t="n"/>
      <c r="L17" s="40" t="n"/>
      <c r="M17">
        <f>IF(AND(L17&lt;&gt;"",N(I17)&gt;0,N(J17)&gt;0),IF(J17=1,I17,ROUND(I17*(1+J17/30),1)),"")</f>
        <v/>
      </c>
      <c r="N17" s="41">
        <f>IF(M17="","",IF(M17&gt;=PRs!C6,"PR!",""))</f>
        <v/>
      </c>
      <c r="O17" s="7" t="n"/>
    </row>
    <row r="18">
      <c r="A18" s="34" t="n"/>
      <c r="B18" s="34" t="n"/>
      <c r="C18" s="42" t="inlineStr">
        <is>
          <t>Squat</t>
        </is>
      </c>
      <c r="D18" s="34" t="inlineStr">
        <is>
          <t>3 x 6</t>
        </is>
      </c>
      <c r="E18" s="34" t="n"/>
      <c r="F18" s="34" t="n">
        <v>70</v>
      </c>
      <c r="G18" s="36">
        <f>Maxes!G2</f>
        <v/>
      </c>
      <c r="H18" s="37">
        <f>IF(OR(G18="",F18=""),"",MROUND(G18*F18/100,'Start Here'!$B$7))</f>
        <v/>
      </c>
      <c r="I18" s="34" t="n"/>
      <c r="J18" s="34" t="n"/>
      <c r="K18" s="34" t="n"/>
      <c r="L18" s="34" t="n"/>
      <c r="M18" s="34" t="n"/>
      <c r="N18" s="34" t="n"/>
      <c r="O18" s="38" t="inlineStr"/>
    </row>
    <row r="19">
      <c r="C19" t="inlineStr">
        <is>
          <t xml:space="preserve">      Set 1</t>
        </is>
      </c>
      <c r="E19" t="n">
        <v>6</v>
      </c>
      <c r="H19" s="39">
        <f>IF(H18="","",H18)</f>
        <v/>
      </c>
      <c r="I19" s="7">
        <f>IF(H18="","",H18)</f>
        <v/>
      </c>
      <c r="J19" s="7" t="n">
        <v>6</v>
      </c>
      <c r="K19" s="7" t="n"/>
      <c r="L19" s="40" t="n"/>
      <c r="M19">
        <f>IF(AND(L19&lt;&gt;"",N(I19)&gt;0,N(J19)&gt;0),IF(J19=1,I19,ROUND(I19*(1+J19/30),1)),"")</f>
        <v/>
      </c>
      <c r="N19" s="41">
        <f>IF(M19="","",IF(M19&gt;=PRs!C2,"PR!",""))</f>
        <v/>
      </c>
      <c r="O19" s="7" t="n"/>
    </row>
    <row r="20">
      <c r="C20" t="inlineStr">
        <is>
          <t xml:space="preserve">      Set 2</t>
        </is>
      </c>
      <c r="E20" t="n">
        <v>6</v>
      </c>
      <c r="H20" s="39">
        <f>IF(H18="","",H18)</f>
        <v/>
      </c>
      <c r="I20" s="7">
        <f>IF(H18="","",H18)</f>
        <v/>
      </c>
      <c r="J20" s="7" t="n">
        <v>6</v>
      </c>
      <c r="K20" s="7" t="n"/>
      <c r="L20" s="40" t="n"/>
      <c r="M20">
        <f>IF(AND(L20&lt;&gt;"",N(I20)&gt;0,N(J20)&gt;0),IF(J20=1,I20,ROUND(I20*(1+J20/30),1)),"")</f>
        <v/>
      </c>
      <c r="N20" s="41">
        <f>IF(M20="","",IF(M20&gt;=PRs!C2,"PR!",""))</f>
        <v/>
      </c>
      <c r="O20" s="7" t="n"/>
    </row>
    <row r="21">
      <c r="C21" t="inlineStr">
        <is>
          <t xml:space="preserve">      Set 3</t>
        </is>
      </c>
      <c r="E21" t="n">
        <v>6</v>
      </c>
      <c r="H21" s="39">
        <f>IF(H18="","",H18)</f>
        <v/>
      </c>
      <c r="I21" s="7">
        <f>IF(H18="","",H18)</f>
        <v/>
      </c>
      <c r="J21" s="7" t="n">
        <v>6</v>
      </c>
      <c r="K21" s="7" t="n"/>
      <c r="L21" s="40" t="n"/>
      <c r="M21">
        <f>IF(AND(L21&lt;&gt;"",N(I21)&gt;0,N(J21)&gt;0),IF(J21=1,I21,ROUND(I21*(1+J21/30),1)),"")</f>
        <v/>
      </c>
      <c r="N21" s="41">
        <f>IF(M21="","",IF(M21&gt;=PRs!C2,"PR!",""))</f>
        <v/>
      </c>
      <c r="O21" s="7" t="n"/>
    </row>
    <row r="22">
      <c r="A22" s="34" t="n"/>
      <c r="B22" s="34" t="n"/>
      <c r="C22" s="42" t="inlineStr">
        <is>
          <t>Bench Press</t>
        </is>
      </c>
      <c r="D22" s="34" t="inlineStr">
        <is>
          <t>3 x 6</t>
        </is>
      </c>
      <c r="E22" s="34" t="n"/>
      <c r="F22" s="34" t="n">
        <v>70</v>
      </c>
      <c r="G22" s="36">
        <f>Maxes!G3</f>
        <v/>
      </c>
      <c r="H22" s="37">
        <f>IF(OR(G22="",F22=""),"",MROUND(G22*F22/100,'Start Here'!$B$7))</f>
        <v/>
      </c>
      <c r="I22" s="34" t="n"/>
      <c r="J22" s="34" t="n"/>
      <c r="K22" s="34" t="n"/>
      <c r="L22" s="34" t="n"/>
      <c r="M22" s="34" t="n"/>
      <c r="N22" s="34" t="n"/>
      <c r="O22" s="38" t="inlineStr"/>
    </row>
    <row r="23">
      <c r="C23" t="inlineStr">
        <is>
          <t xml:space="preserve">      Set 1</t>
        </is>
      </c>
      <c r="E23" t="n">
        <v>6</v>
      </c>
      <c r="H23" s="39">
        <f>IF(H22="","",H22)</f>
        <v/>
      </c>
      <c r="I23" s="7">
        <f>IF(H22="","",H22)</f>
        <v/>
      </c>
      <c r="J23" s="7" t="n">
        <v>6</v>
      </c>
      <c r="K23" s="7" t="n"/>
      <c r="L23" s="40" t="n"/>
      <c r="M23">
        <f>IF(AND(L23&lt;&gt;"",N(I23)&gt;0,N(J23)&gt;0),IF(J23=1,I23,ROUND(I23*(1+J23/30),1)),"")</f>
        <v/>
      </c>
      <c r="N23" s="41">
        <f>IF(M23="","",IF(M23&gt;=PRs!C3,"PR!",""))</f>
        <v/>
      </c>
      <c r="O23" s="7" t="n"/>
    </row>
    <row r="24">
      <c r="C24" t="inlineStr">
        <is>
          <t xml:space="preserve">      Set 2</t>
        </is>
      </c>
      <c r="E24" t="n">
        <v>6</v>
      </c>
      <c r="H24" s="39">
        <f>IF(H22="","",H22)</f>
        <v/>
      </c>
      <c r="I24" s="7">
        <f>IF(H22="","",H22)</f>
        <v/>
      </c>
      <c r="J24" s="7" t="n">
        <v>6</v>
      </c>
      <c r="K24" s="7" t="n"/>
      <c r="L24" s="40" t="n"/>
      <c r="M24">
        <f>IF(AND(L24&lt;&gt;"",N(I24)&gt;0,N(J24)&gt;0),IF(J24=1,I24,ROUND(I24*(1+J24/30),1)),"")</f>
        <v/>
      </c>
      <c r="N24" s="41">
        <f>IF(M24="","",IF(M24&gt;=PRs!C3,"PR!",""))</f>
        <v/>
      </c>
      <c r="O24" s="7" t="n"/>
    </row>
    <row r="25">
      <c r="C25" t="inlineStr">
        <is>
          <t xml:space="preserve">      Set 3</t>
        </is>
      </c>
      <c r="E25" t="n">
        <v>6</v>
      </c>
      <c r="H25" s="39">
        <f>IF(H22="","",H22)</f>
        <v/>
      </c>
      <c r="I25" s="7">
        <f>IF(H22="","",H22)</f>
        <v/>
      </c>
      <c r="J25" s="7" t="n">
        <v>6</v>
      </c>
      <c r="K25" s="7" t="n"/>
      <c r="L25" s="40" t="n"/>
      <c r="M25">
        <f>IF(AND(L25&lt;&gt;"",N(I25)&gt;0,N(J25)&gt;0),IF(J25=1,I25,ROUND(I25*(1+J25/30),1)),"")</f>
        <v/>
      </c>
      <c r="N25" s="41">
        <f>IF(M25="","",IF(M25&gt;=PRs!C3,"PR!",""))</f>
        <v/>
      </c>
      <c r="O25" s="7" t="n"/>
    </row>
    <row r="26">
      <c r="A26" s="34" t="n"/>
      <c r="B26" s="34" t="n"/>
      <c r="C26" s="43" t="inlineStr">
        <is>
          <t>Barbell Row</t>
        </is>
      </c>
      <c r="D26" s="34" t="inlineStr">
        <is>
          <t>4 x 8-10</t>
        </is>
      </c>
      <c r="E26" s="34" t="n"/>
      <c r="F26" s="34" t="n"/>
      <c r="G26" s="36" t="n"/>
      <c r="H26" s="37" t="n"/>
      <c r="I26" s="34" t="n"/>
      <c r="J26" s="34" t="n"/>
      <c r="K26" s="34" t="n"/>
      <c r="L26" s="34" t="n"/>
      <c r="M26" s="34" t="n"/>
      <c r="N26" s="34" t="n"/>
      <c r="O26" s="38" t="inlineStr">
        <is>
          <t>Leave 1-2 reps in the tank; add weight when you hit the top of the range</t>
        </is>
      </c>
    </row>
    <row r="27">
      <c r="C27" t="inlineStr">
        <is>
          <t xml:space="preserve">      Set 1</t>
        </is>
      </c>
      <c r="E27" t="n">
        <v>8</v>
      </c>
      <c r="H27" s="39">
        <f>IF(H26="","",H26)</f>
        <v/>
      </c>
      <c r="I27" s="7">
        <f>IF(H26="","",H26)</f>
        <v/>
      </c>
      <c r="J27" s="7" t="n">
        <v>8</v>
      </c>
      <c r="K27" s="7" t="n"/>
      <c r="L27" s="40" t="n"/>
      <c r="M27">
        <f>IF(AND(L27&lt;&gt;"",N(I27)&gt;0,N(J27)&gt;0),IF(J27=1,I27,ROUND(I27*(1+J27/30),1)),"")</f>
        <v/>
      </c>
      <c r="N27" s="41">
        <f>IF(M27="","",IF(M27&gt;=PRs!C50,"PR!",""))</f>
        <v/>
      </c>
      <c r="O27" s="7" t="n"/>
    </row>
    <row r="28">
      <c r="C28" t="inlineStr">
        <is>
          <t xml:space="preserve">      Set 2</t>
        </is>
      </c>
      <c r="E28" t="n">
        <v>8</v>
      </c>
      <c r="H28" s="39">
        <f>IF(H26="","",H26)</f>
        <v/>
      </c>
      <c r="I28" s="7">
        <f>IF(H26="","",H26)</f>
        <v/>
      </c>
      <c r="J28" s="7" t="n">
        <v>8</v>
      </c>
      <c r="K28" s="7" t="n"/>
      <c r="L28" s="40" t="n"/>
      <c r="M28">
        <f>IF(AND(L28&lt;&gt;"",N(I28)&gt;0,N(J28)&gt;0),IF(J28=1,I28,ROUND(I28*(1+J28/30),1)),"")</f>
        <v/>
      </c>
      <c r="N28" s="41">
        <f>IF(M28="","",IF(M28&gt;=PRs!C50,"PR!",""))</f>
        <v/>
      </c>
      <c r="O28" s="7" t="n"/>
    </row>
    <row r="29">
      <c r="C29" t="inlineStr">
        <is>
          <t xml:space="preserve">      Set 3</t>
        </is>
      </c>
      <c r="E29" t="n">
        <v>8</v>
      </c>
      <c r="H29" s="39">
        <f>IF(H26="","",H26)</f>
        <v/>
      </c>
      <c r="I29" s="7">
        <f>IF(H26="","",H26)</f>
        <v/>
      </c>
      <c r="J29" s="7" t="n">
        <v>8</v>
      </c>
      <c r="K29" s="7" t="n"/>
      <c r="L29" s="40" t="n"/>
      <c r="M29">
        <f>IF(AND(L29&lt;&gt;"",N(I29)&gt;0,N(J29)&gt;0),IF(J29=1,I29,ROUND(I29*(1+J29/30),1)),"")</f>
        <v/>
      </c>
      <c r="N29" s="41">
        <f>IF(M29="","",IF(M29&gt;=PRs!C50,"PR!",""))</f>
        <v/>
      </c>
      <c r="O29" s="7" t="n"/>
    </row>
    <row r="30">
      <c r="C30" t="inlineStr">
        <is>
          <t xml:space="preserve">      Set 4</t>
        </is>
      </c>
      <c r="E30" t="n">
        <v>8</v>
      </c>
      <c r="H30" s="39">
        <f>IF(H26="","",H26)</f>
        <v/>
      </c>
      <c r="I30" s="7">
        <f>IF(H26="","",H26)</f>
        <v/>
      </c>
      <c r="J30" s="7" t="n">
        <v>8</v>
      </c>
      <c r="K30" s="7" t="n"/>
      <c r="L30" s="40" t="n"/>
      <c r="M30">
        <f>IF(AND(L30&lt;&gt;"",N(I30)&gt;0,N(J30)&gt;0),IF(J30=1,I30,ROUND(I30*(1+J30/30),1)),"")</f>
        <v/>
      </c>
      <c r="N30" s="41">
        <f>IF(M30="","",IF(M30&gt;=PRs!C50,"PR!",""))</f>
        <v/>
      </c>
      <c r="O30" s="7" t="n"/>
    </row>
    <row r="31">
      <c r="A31" s="34" t="n"/>
      <c r="B31" s="34" t="n"/>
      <c r="C31" s="43" t="inlineStr">
        <is>
          <t>Face Pull</t>
        </is>
      </c>
      <c r="D31" s="34" t="inlineStr">
        <is>
          <t>4 x 12-15</t>
        </is>
      </c>
      <c r="E31" s="34" t="n"/>
      <c r="F31" s="34" t="n"/>
      <c r="G31" s="36" t="n"/>
      <c r="H31" s="37" t="n"/>
      <c r="I31" s="34" t="n"/>
      <c r="J31" s="34" t="n"/>
      <c r="K31" s="34" t="n"/>
      <c r="L31" s="34" t="n"/>
      <c r="M31" s="34" t="n"/>
      <c r="N31" s="34" t="n"/>
      <c r="O31" s="38" t="inlineStr">
        <is>
          <t>Leave 1-2 reps in the tank; add weight when you hit the top of the range</t>
        </is>
      </c>
    </row>
    <row r="32">
      <c r="C32" t="inlineStr">
        <is>
          <t xml:space="preserve">      Set 1</t>
        </is>
      </c>
      <c r="E32" t="n">
        <v>12</v>
      </c>
      <c r="H32" s="39">
        <f>IF(H31="","",H31)</f>
        <v/>
      </c>
      <c r="I32" s="7">
        <f>IF(H31="","",H31)</f>
        <v/>
      </c>
      <c r="J32" s="7" t="n">
        <v>12</v>
      </c>
      <c r="K32" s="7" t="n"/>
      <c r="L32" s="40" t="n"/>
      <c r="M32">
        <f>IF(AND(L32&lt;&gt;"",N(I32)&gt;0,N(J32)&gt;0),IF(J32=1,I32,ROUND(I32*(1+J32/30),1)),"")</f>
        <v/>
      </c>
      <c r="N32" s="41">
        <f>IF(M32="","",IF(M32&gt;=PRs!C51,"PR!",""))</f>
        <v/>
      </c>
      <c r="O32" s="7" t="n"/>
    </row>
    <row r="33">
      <c r="C33" t="inlineStr">
        <is>
          <t xml:space="preserve">      Set 2</t>
        </is>
      </c>
      <c r="E33" t="n">
        <v>12</v>
      </c>
      <c r="H33" s="39">
        <f>IF(H31="","",H31)</f>
        <v/>
      </c>
      <c r="I33" s="7">
        <f>IF(H31="","",H31)</f>
        <v/>
      </c>
      <c r="J33" s="7" t="n">
        <v>12</v>
      </c>
      <c r="K33" s="7" t="n"/>
      <c r="L33" s="40" t="n"/>
      <c r="M33">
        <f>IF(AND(L33&lt;&gt;"",N(I33)&gt;0,N(J33)&gt;0),IF(J33=1,I33,ROUND(I33*(1+J33/30),1)),"")</f>
        <v/>
      </c>
      <c r="N33" s="41">
        <f>IF(M33="","",IF(M33&gt;=PRs!C51,"PR!",""))</f>
        <v/>
      </c>
      <c r="O33" s="7" t="n"/>
    </row>
    <row r="34">
      <c r="C34" t="inlineStr">
        <is>
          <t xml:space="preserve">      Set 3</t>
        </is>
      </c>
      <c r="E34" t="n">
        <v>12</v>
      </c>
      <c r="H34" s="39">
        <f>IF(H31="","",H31)</f>
        <v/>
      </c>
      <c r="I34" s="7">
        <f>IF(H31="","",H31)</f>
        <v/>
      </c>
      <c r="J34" s="7" t="n">
        <v>12</v>
      </c>
      <c r="K34" s="7" t="n"/>
      <c r="L34" s="40" t="n"/>
      <c r="M34">
        <f>IF(AND(L34&lt;&gt;"",N(I34)&gt;0,N(J34)&gt;0),IF(J34=1,I34,ROUND(I34*(1+J34/30),1)),"")</f>
        <v/>
      </c>
      <c r="N34" s="41">
        <f>IF(M34="","",IF(M34&gt;=PRs!C51,"PR!",""))</f>
        <v/>
      </c>
      <c r="O34" s="7" t="n"/>
    </row>
    <row r="35">
      <c r="C35" t="inlineStr">
        <is>
          <t xml:space="preserve">      Set 4</t>
        </is>
      </c>
      <c r="E35" t="n">
        <v>12</v>
      </c>
      <c r="H35" s="39">
        <f>IF(H31="","",H31)</f>
        <v/>
      </c>
      <c r="I35" s="7">
        <f>IF(H31="","",H31)</f>
        <v/>
      </c>
      <c r="J35" s="7" t="n">
        <v>12</v>
      </c>
      <c r="K35" s="7" t="n"/>
      <c r="L35" s="40" t="n"/>
      <c r="M35">
        <f>IF(AND(L35&lt;&gt;"",N(I35)&gt;0,N(J35)&gt;0),IF(J35=1,I35,ROUND(I35*(1+J35/30),1)),"")</f>
        <v/>
      </c>
      <c r="N35" s="41">
        <f>IF(M35="","",IF(M35&gt;=PRs!C51,"PR!",""))</f>
        <v/>
      </c>
      <c r="O35" s="7" t="n"/>
    </row>
    <row r="36">
      <c r="A36" s="31" t="inlineStr">
        <is>
          <t>Day 2 - Light</t>
        </is>
      </c>
      <c r="B36" s="32">
        <f>'Start Here'!$B$8+170</f>
        <v/>
      </c>
      <c r="C36" s="33" t="n"/>
      <c r="D36" s="33" t="n"/>
      <c r="E36" s="33" t="n"/>
      <c r="F36" s="33" t="n"/>
      <c r="G36" s="33" t="n"/>
      <c r="H36" s="33" t="n"/>
      <c r="I36" s="33" t="n"/>
      <c r="J36" s="33" t="n"/>
      <c r="K36" s="33" t="n"/>
      <c r="L36" s="33" t="n"/>
      <c r="M36" s="33" t="n"/>
      <c r="N36" s="33" t="n"/>
      <c r="O36" s="33" t="n"/>
    </row>
    <row r="37">
      <c r="A37" s="34" t="n"/>
      <c r="B37" s="34" t="n"/>
      <c r="C37" s="35" t="inlineStr">
        <is>
          <t>Broad Jump</t>
        </is>
      </c>
      <c r="D37" s="34" t="inlineStr">
        <is>
          <t>4 x 3</t>
        </is>
      </c>
      <c r="E37" s="34" t="n"/>
      <c r="F37" s="34" t="n"/>
      <c r="G37" s="36" t="n"/>
      <c r="H37" s="37">
        <f>IF(N(Maxes!G70)&gt;0,Maxes!G70,"")</f>
        <v/>
      </c>
      <c r="I37" s="34" t="n"/>
      <c r="J37" s="34" t="n"/>
      <c r="K37" s="34" t="n"/>
      <c r="L37" s="34" t="n"/>
      <c r="M37" s="34" t="n"/>
      <c r="N37" s="34" t="n"/>
      <c r="O37" s="38" t="inlineStr">
        <is>
          <t>Standing two-foot jump forward, stick the landing. Measure toe line to the back of the nearest heel.</t>
        </is>
      </c>
    </row>
    <row r="38">
      <c r="C38" t="inlineStr">
        <is>
          <t xml:space="preserve">      Set 1</t>
        </is>
      </c>
      <c r="E38" t="n">
        <v>3</v>
      </c>
      <c r="H38" s="39">
        <f>IF(H37="","",H37)</f>
        <v/>
      </c>
      <c r="I38" s="7">
        <f>IF(H37="","",H37)</f>
        <v/>
      </c>
      <c r="J38" s="7" t="n">
        <v>3</v>
      </c>
      <c r="K38" s="7" t="n"/>
      <c r="L38" s="40" t="n"/>
      <c r="N38" s="41">
        <f>IF(AND(L38&lt;&gt;"",N(I38)&gt;0),IF(I38&gt;=PRs!D70,"PR!",""),"")</f>
        <v/>
      </c>
      <c r="O38" s="7" t="n"/>
    </row>
    <row r="39">
      <c r="C39" t="inlineStr">
        <is>
          <t xml:space="preserve">      Set 2</t>
        </is>
      </c>
      <c r="E39" t="n">
        <v>3</v>
      </c>
      <c r="H39" s="39">
        <f>IF(H37="","",H37)</f>
        <v/>
      </c>
      <c r="I39" s="7">
        <f>IF(H37="","",H37)</f>
        <v/>
      </c>
      <c r="J39" s="7" t="n">
        <v>3</v>
      </c>
      <c r="K39" s="7" t="n"/>
      <c r="L39" s="40" t="n"/>
      <c r="N39" s="41">
        <f>IF(AND(L39&lt;&gt;"",N(I39)&gt;0),IF(I39&gt;=PRs!D70,"PR!",""),"")</f>
        <v/>
      </c>
      <c r="O39" s="7" t="n"/>
    </row>
    <row r="40">
      <c r="C40" t="inlineStr">
        <is>
          <t xml:space="preserve">      Set 3</t>
        </is>
      </c>
      <c r="E40" t="n">
        <v>3</v>
      </c>
      <c r="H40" s="39">
        <f>IF(H37="","",H37)</f>
        <v/>
      </c>
      <c r="I40" s="7">
        <f>IF(H37="","",H37)</f>
        <v/>
      </c>
      <c r="J40" s="7" t="n">
        <v>3</v>
      </c>
      <c r="K40" s="7" t="n"/>
      <c r="L40" s="40" t="n"/>
      <c r="N40" s="41">
        <f>IF(AND(L40&lt;&gt;"",N(I40)&gt;0),IF(I40&gt;=PRs!D70,"PR!",""),"")</f>
        <v/>
      </c>
      <c r="O40" s="7" t="n"/>
    </row>
    <row r="41">
      <c r="C41" t="inlineStr">
        <is>
          <t xml:space="preserve">      Set 4</t>
        </is>
      </c>
      <c r="E41" t="n">
        <v>3</v>
      </c>
      <c r="H41" s="39">
        <f>IF(H37="","",H37)</f>
        <v/>
      </c>
      <c r="I41" s="7">
        <f>IF(H37="","",H37)</f>
        <v/>
      </c>
      <c r="J41" s="7" t="n">
        <v>3</v>
      </c>
      <c r="K41" s="7" t="n"/>
      <c r="L41" s="40" t="n"/>
      <c r="N41" s="41">
        <f>IF(AND(L41&lt;&gt;"",N(I41)&gt;0),IF(I41&gt;=PRs!D70,"PR!",""),"")</f>
        <v/>
      </c>
      <c r="O41" s="7" t="n"/>
    </row>
    <row r="42">
      <c r="A42" s="34" t="n"/>
      <c r="B42" s="34" t="n"/>
      <c r="C42" s="35" t="inlineStr">
        <is>
          <t>Med Ball Chest Pass</t>
        </is>
      </c>
      <c r="D42" s="34" t="inlineStr">
        <is>
          <t>3 x 5</t>
        </is>
      </c>
      <c r="E42" s="34" t="n"/>
      <c r="F42" s="34" t="n"/>
      <c r="G42" s="36" t="n"/>
      <c r="H42" s="37">
        <f>IF(N(Maxes!G77)&gt;0,Maxes!G77,"")</f>
        <v/>
      </c>
      <c r="I42" s="34" t="n"/>
      <c r="J42" s="34" t="n"/>
      <c r="K42" s="34" t="n"/>
      <c r="L42" s="34" t="n"/>
      <c r="M42" s="34" t="n"/>
      <c r="N42" s="34" t="n"/>
      <c r="O42" s="38" t="inlineStr">
        <is>
          <t>Kneeling or standing chest pass for distance with a 6-10 lb / 3-5 kg ball. Log the distance.</t>
        </is>
      </c>
    </row>
    <row r="43">
      <c r="C43" t="inlineStr">
        <is>
          <t xml:space="preserve">      Set 1</t>
        </is>
      </c>
      <c r="E43" t="n">
        <v>5</v>
      </c>
      <c r="H43" s="39">
        <f>IF(H42="","",H42)</f>
        <v/>
      </c>
      <c r="I43" s="7">
        <f>IF(H42="","",H42)</f>
        <v/>
      </c>
      <c r="J43" s="7" t="n">
        <v>5</v>
      </c>
      <c r="K43" s="7" t="n"/>
      <c r="L43" s="40" t="n"/>
      <c r="N43" s="41">
        <f>IF(AND(L43&lt;&gt;"",N(I43)&gt;0),IF(I43&gt;=PRs!D77,"PR!",""),"")</f>
        <v/>
      </c>
      <c r="O43" s="7" t="n"/>
    </row>
    <row r="44">
      <c r="C44" t="inlineStr">
        <is>
          <t xml:space="preserve">      Set 2</t>
        </is>
      </c>
      <c r="E44" t="n">
        <v>5</v>
      </c>
      <c r="H44" s="39">
        <f>IF(H42="","",H42)</f>
        <v/>
      </c>
      <c r="I44" s="7">
        <f>IF(H42="","",H42)</f>
        <v/>
      </c>
      <c r="J44" s="7" t="n">
        <v>5</v>
      </c>
      <c r="K44" s="7" t="n"/>
      <c r="L44" s="40" t="n"/>
      <c r="N44" s="41">
        <f>IF(AND(L44&lt;&gt;"",N(I44)&gt;0),IF(I44&gt;=PRs!D77,"PR!",""),"")</f>
        <v/>
      </c>
      <c r="O44" s="7" t="n"/>
    </row>
    <row r="45">
      <c r="C45" t="inlineStr">
        <is>
          <t xml:space="preserve">      Set 3</t>
        </is>
      </c>
      <c r="E45" t="n">
        <v>5</v>
      </c>
      <c r="H45" s="39">
        <f>IF(H42="","",H42)</f>
        <v/>
      </c>
      <c r="I45" s="7">
        <f>IF(H42="","",H42)</f>
        <v/>
      </c>
      <c r="J45" s="7" t="n">
        <v>5</v>
      </c>
      <c r="K45" s="7" t="n"/>
      <c r="L45" s="40" t="n"/>
      <c r="N45" s="41">
        <f>IF(AND(L45&lt;&gt;"",N(I45)&gt;0),IF(I45&gt;=PRs!D77,"PR!",""),"")</f>
        <v/>
      </c>
      <c r="O45" s="7" t="n"/>
    </row>
    <row r="46">
      <c r="A46" s="34" t="n"/>
      <c r="B46" s="34" t="n"/>
      <c r="C46" s="42" t="inlineStr">
        <is>
          <t>Clean &amp; Jerk</t>
        </is>
      </c>
      <c r="D46" s="34" t="inlineStr">
        <is>
          <t>4 x 3</t>
        </is>
      </c>
      <c r="E46" s="34" t="n"/>
      <c r="F46" s="34" t="n">
        <v>70</v>
      </c>
      <c r="G46" s="36">
        <f>Maxes!G7</f>
        <v/>
      </c>
      <c r="H46" s="37">
        <f>IF(OR(G46="",F46=""),"",MROUND(G46*F46/100,'Start Here'!$B$7))</f>
        <v/>
      </c>
      <c r="I46" s="34" t="n"/>
      <c r="J46" s="34" t="n"/>
      <c r="K46" s="34" t="n"/>
      <c r="L46" s="34" t="n"/>
      <c r="M46" s="34" t="n"/>
      <c r="N46" s="34" t="n"/>
      <c r="O46" s="38" t="inlineStr"/>
    </row>
    <row r="47">
      <c r="C47" t="inlineStr">
        <is>
          <t xml:space="preserve">      Set 1</t>
        </is>
      </c>
      <c r="E47" t="n">
        <v>3</v>
      </c>
      <c r="H47" s="39">
        <f>IF(H46="","",H46)</f>
        <v/>
      </c>
      <c r="I47" s="7">
        <f>IF(H46="","",H46)</f>
        <v/>
      </c>
      <c r="J47" s="7" t="n">
        <v>3</v>
      </c>
      <c r="K47" s="7" t="n"/>
      <c r="L47" s="40" t="n"/>
      <c r="M47">
        <f>IF(AND(L47&lt;&gt;"",N(I47)&gt;0,N(J47)&gt;0),IF(J47=1,I47,ROUND(I47*(1+J47/30),1)),"")</f>
        <v/>
      </c>
      <c r="N47" s="41">
        <f>IF(M47="","",IF(M47&gt;=PRs!C7,"PR!",""))</f>
        <v/>
      </c>
      <c r="O47" s="7" t="n"/>
    </row>
    <row r="48">
      <c r="C48" t="inlineStr">
        <is>
          <t xml:space="preserve">      Set 2</t>
        </is>
      </c>
      <c r="E48" t="n">
        <v>3</v>
      </c>
      <c r="H48" s="39">
        <f>IF(H46="","",H46)</f>
        <v/>
      </c>
      <c r="I48" s="7">
        <f>IF(H46="","",H46)</f>
        <v/>
      </c>
      <c r="J48" s="7" t="n">
        <v>3</v>
      </c>
      <c r="K48" s="7" t="n"/>
      <c r="L48" s="40" t="n"/>
      <c r="M48">
        <f>IF(AND(L48&lt;&gt;"",N(I48)&gt;0,N(J48)&gt;0),IF(J48=1,I48,ROUND(I48*(1+J48/30),1)),"")</f>
        <v/>
      </c>
      <c r="N48" s="41">
        <f>IF(M48="","",IF(M48&gt;=PRs!C7,"PR!",""))</f>
        <v/>
      </c>
      <c r="O48" s="7" t="n"/>
    </row>
    <row r="49">
      <c r="C49" t="inlineStr">
        <is>
          <t xml:space="preserve">      Set 3</t>
        </is>
      </c>
      <c r="E49" t="n">
        <v>3</v>
      </c>
      <c r="H49" s="39">
        <f>IF(H46="","",H46)</f>
        <v/>
      </c>
      <c r="I49" s="7">
        <f>IF(H46="","",H46)</f>
        <v/>
      </c>
      <c r="J49" s="7" t="n">
        <v>3</v>
      </c>
      <c r="K49" s="7" t="n"/>
      <c r="L49" s="40" t="n"/>
      <c r="M49">
        <f>IF(AND(L49&lt;&gt;"",N(I49)&gt;0,N(J49)&gt;0),IF(J49=1,I49,ROUND(I49*(1+J49/30),1)),"")</f>
        <v/>
      </c>
      <c r="N49" s="41">
        <f>IF(M49="","",IF(M49&gt;=PRs!C7,"PR!",""))</f>
        <v/>
      </c>
      <c r="O49" s="7" t="n"/>
    </row>
    <row r="50">
      <c r="C50" t="inlineStr">
        <is>
          <t xml:space="preserve">      Set 4</t>
        </is>
      </c>
      <c r="E50" t="n">
        <v>3</v>
      </c>
      <c r="H50" s="39">
        <f>IF(H46="","",H46)</f>
        <v/>
      </c>
      <c r="I50" s="7">
        <f>IF(H46="","",H46)</f>
        <v/>
      </c>
      <c r="J50" s="7" t="n">
        <v>3</v>
      </c>
      <c r="K50" s="7" t="n"/>
      <c r="L50" s="40" t="n"/>
      <c r="M50">
        <f>IF(AND(L50&lt;&gt;"",N(I50)&gt;0,N(J50)&gt;0),IF(J50=1,I50,ROUND(I50*(1+J50/30),1)),"")</f>
        <v/>
      </c>
      <c r="N50" s="41">
        <f>IF(M50="","",IF(M50&gt;=PRs!C7,"PR!",""))</f>
        <v/>
      </c>
      <c r="O50" s="7" t="n"/>
    </row>
    <row r="51">
      <c r="A51" s="34" t="n"/>
      <c r="B51" s="34" t="n"/>
      <c r="C51" s="42" t="inlineStr">
        <is>
          <t>Squat</t>
        </is>
      </c>
      <c r="D51" s="34" t="inlineStr">
        <is>
          <t>3 x 6</t>
        </is>
      </c>
      <c r="E51" s="34" t="n"/>
      <c r="F51" s="34" t="n">
        <v>60</v>
      </c>
      <c r="G51" s="36">
        <f>Maxes!G2</f>
        <v/>
      </c>
      <c r="H51" s="37">
        <f>IF(OR(G51="",F51=""),"",MROUND(G51*F51/100,'Start Here'!$B$7))</f>
        <v/>
      </c>
      <c r="I51" s="34" t="n"/>
      <c r="J51" s="34" t="n"/>
      <c r="K51" s="34" t="n"/>
      <c r="L51" s="34" t="n"/>
      <c r="M51" s="34" t="n"/>
      <c r="N51" s="34" t="n"/>
      <c r="O51" s="38" t="inlineStr"/>
    </row>
    <row r="52">
      <c r="C52" t="inlineStr">
        <is>
          <t xml:space="preserve">      Set 1</t>
        </is>
      </c>
      <c r="E52" t="n">
        <v>6</v>
      </c>
      <c r="H52" s="39">
        <f>IF(H51="","",H51)</f>
        <v/>
      </c>
      <c r="I52" s="7">
        <f>IF(H51="","",H51)</f>
        <v/>
      </c>
      <c r="J52" s="7" t="n">
        <v>6</v>
      </c>
      <c r="K52" s="7" t="n"/>
      <c r="L52" s="40" t="n"/>
      <c r="M52">
        <f>IF(AND(L52&lt;&gt;"",N(I52)&gt;0,N(J52)&gt;0),IF(J52=1,I52,ROUND(I52*(1+J52/30),1)),"")</f>
        <v/>
      </c>
      <c r="N52" s="41">
        <f>IF(M52="","",IF(M52&gt;=PRs!C2,"PR!",""))</f>
        <v/>
      </c>
      <c r="O52" s="7" t="n"/>
    </row>
    <row r="53">
      <c r="C53" t="inlineStr">
        <is>
          <t xml:space="preserve">      Set 2</t>
        </is>
      </c>
      <c r="E53" t="n">
        <v>6</v>
      </c>
      <c r="H53" s="39">
        <f>IF(H51="","",H51)</f>
        <v/>
      </c>
      <c r="I53" s="7">
        <f>IF(H51="","",H51)</f>
        <v/>
      </c>
      <c r="J53" s="7" t="n">
        <v>6</v>
      </c>
      <c r="K53" s="7" t="n"/>
      <c r="L53" s="40" t="n"/>
      <c r="M53">
        <f>IF(AND(L53&lt;&gt;"",N(I53)&gt;0,N(J53)&gt;0),IF(J53=1,I53,ROUND(I53*(1+J53/30),1)),"")</f>
        <v/>
      </c>
      <c r="N53" s="41">
        <f>IF(M53="","",IF(M53&gt;=PRs!C2,"PR!",""))</f>
        <v/>
      </c>
      <c r="O53" s="7" t="n"/>
    </row>
    <row r="54">
      <c r="C54" t="inlineStr">
        <is>
          <t xml:space="preserve">      Set 3</t>
        </is>
      </c>
      <c r="E54" t="n">
        <v>6</v>
      </c>
      <c r="H54" s="39">
        <f>IF(H51="","",H51)</f>
        <v/>
      </c>
      <c r="I54" s="7">
        <f>IF(H51="","",H51)</f>
        <v/>
      </c>
      <c r="J54" s="7" t="n">
        <v>6</v>
      </c>
      <c r="K54" s="7" t="n"/>
      <c r="L54" s="40" t="n"/>
      <c r="M54">
        <f>IF(AND(L54&lt;&gt;"",N(I54)&gt;0,N(J54)&gt;0),IF(J54=1,I54,ROUND(I54*(1+J54/30),1)),"")</f>
        <v/>
      </c>
      <c r="N54" s="41">
        <f>IF(M54="","",IF(M54&gt;=PRs!C2,"PR!",""))</f>
        <v/>
      </c>
      <c r="O54" s="7" t="n"/>
    </row>
    <row r="55">
      <c r="A55" s="34" t="n"/>
      <c r="B55" s="34" t="n"/>
      <c r="C55" s="42" t="inlineStr">
        <is>
          <t>Overhead Press</t>
        </is>
      </c>
      <c r="D55" s="34" t="inlineStr">
        <is>
          <t>4 x 6</t>
        </is>
      </c>
      <c r="E55" s="34" t="n"/>
      <c r="F55" s="34" t="n">
        <v>65</v>
      </c>
      <c r="G55" s="36">
        <f>Maxes!G5</f>
        <v/>
      </c>
      <c r="H55" s="37">
        <f>IF(OR(G55="",F55=""),"",MROUND(G55*F55/100,'Start Here'!$B$7))</f>
        <v/>
      </c>
      <c r="I55" s="34" t="n"/>
      <c r="J55" s="34" t="n"/>
      <c r="K55" s="34" t="n"/>
      <c r="L55" s="34" t="n"/>
      <c r="M55" s="34" t="n"/>
      <c r="N55" s="34" t="n"/>
      <c r="O55" s="38" t="inlineStr"/>
    </row>
    <row r="56">
      <c r="C56" t="inlineStr">
        <is>
          <t xml:space="preserve">      Set 1</t>
        </is>
      </c>
      <c r="E56" t="n">
        <v>6</v>
      </c>
      <c r="H56" s="39">
        <f>IF(H55="","",H55)</f>
        <v/>
      </c>
      <c r="I56" s="7">
        <f>IF(H55="","",H55)</f>
        <v/>
      </c>
      <c r="J56" s="7" t="n">
        <v>6</v>
      </c>
      <c r="K56" s="7" t="n"/>
      <c r="L56" s="40" t="n"/>
      <c r="M56">
        <f>IF(AND(L56&lt;&gt;"",N(I56)&gt;0,N(J56)&gt;0),IF(J56=1,I56,ROUND(I56*(1+J56/30),1)),"")</f>
        <v/>
      </c>
      <c r="N56" s="41">
        <f>IF(M56="","",IF(M56&gt;=PRs!C5,"PR!",""))</f>
        <v/>
      </c>
      <c r="O56" s="7" t="n"/>
    </row>
    <row r="57">
      <c r="C57" t="inlineStr">
        <is>
          <t xml:space="preserve">      Set 2</t>
        </is>
      </c>
      <c r="E57" t="n">
        <v>6</v>
      </c>
      <c r="H57" s="39">
        <f>IF(H55="","",H55)</f>
        <v/>
      </c>
      <c r="I57" s="7">
        <f>IF(H55="","",H55)</f>
        <v/>
      </c>
      <c r="J57" s="7" t="n">
        <v>6</v>
      </c>
      <c r="K57" s="7" t="n"/>
      <c r="L57" s="40" t="n"/>
      <c r="M57">
        <f>IF(AND(L57&lt;&gt;"",N(I57)&gt;0,N(J57)&gt;0),IF(J57=1,I57,ROUND(I57*(1+J57/30),1)),"")</f>
        <v/>
      </c>
      <c r="N57" s="41">
        <f>IF(M57="","",IF(M57&gt;=PRs!C5,"PR!",""))</f>
        <v/>
      </c>
      <c r="O57" s="7" t="n"/>
    </row>
    <row r="58">
      <c r="C58" t="inlineStr">
        <is>
          <t xml:space="preserve">      Set 3</t>
        </is>
      </c>
      <c r="E58" t="n">
        <v>6</v>
      </c>
      <c r="H58" s="39">
        <f>IF(H55="","",H55)</f>
        <v/>
      </c>
      <c r="I58" s="7">
        <f>IF(H55="","",H55)</f>
        <v/>
      </c>
      <c r="J58" s="7" t="n">
        <v>6</v>
      </c>
      <c r="K58" s="7" t="n"/>
      <c r="L58" s="40" t="n"/>
      <c r="M58">
        <f>IF(AND(L58&lt;&gt;"",N(I58)&gt;0,N(J58)&gt;0),IF(J58=1,I58,ROUND(I58*(1+J58/30),1)),"")</f>
        <v/>
      </c>
      <c r="N58" s="41">
        <f>IF(M58="","",IF(M58&gt;=PRs!C5,"PR!",""))</f>
        <v/>
      </c>
      <c r="O58" s="7" t="n"/>
    </row>
    <row r="59">
      <c r="C59" t="inlineStr">
        <is>
          <t xml:space="preserve">      Set 4</t>
        </is>
      </c>
      <c r="E59" t="n">
        <v>6</v>
      </c>
      <c r="H59" s="39">
        <f>IF(H55="","",H55)</f>
        <v/>
      </c>
      <c r="I59" s="7">
        <f>IF(H55="","",H55)</f>
        <v/>
      </c>
      <c r="J59" s="7" t="n">
        <v>6</v>
      </c>
      <c r="K59" s="7" t="n"/>
      <c r="L59" s="40" t="n"/>
      <c r="M59">
        <f>IF(AND(L59&lt;&gt;"",N(I59)&gt;0,N(J59)&gt;0),IF(J59=1,I59,ROUND(I59*(1+J59/30),1)),"")</f>
        <v/>
      </c>
      <c r="N59" s="41">
        <f>IF(M59="","",IF(M59&gt;=PRs!C5,"PR!",""))</f>
        <v/>
      </c>
      <c r="O59" s="7" t="n"/>
    </row>
    <row r="60">
      <c r="A60" s="34" t="n"/>
      <c r="B60" s="34" t="n"/>
      <c r="C60" s="42" t="inlineStr">
        <is>
          <t>Deadlift</t>
        </is>
      </c>
      <c r="D60" s="34" t="inlineStr">
        <is>
          <t>3 x 6</t>
        </is>
      </c>
      <c r="E60" s="34" t="n"/>
      <c r="F60" s="34" t="n">
        <v>65</v>
      </c>
      <c r="G60" s="36">
        <f>Maxes!G4</f>
        <v/>
      </c>
      <c r="H60" s="37">
        <f>IF(OR(G60="",F60=""),"",MROUND(G60*F60/100,'Start Here'!$B$7))</f>
        <v/>
      </c>
      <c r="I60" s="34" t="n"/>
      <c r="J60" s="34" t="n"/>
      <c r="K60" s="34" t="n"/>
      <c r="L60" s="34" t="n"/>
      <c r="M60" s="34" t="n"/>
      <c r="N60" s="34" t="n"/>
      <c r="O60" s="38" t="inlineStr"/>
    </row>
    <row r="61">
      <c r="C61" t="inlineStr">
        <is>
          <t xml:space="preserve">      Set 1</t>
        </is>
      </c>
      <c r="E61" t="n">
        <v>6</v>
      </c>
      <c r="H61" s="39">
        <f>IF(H60="","",H60)</f>
        <v/>
      </c>
      <c r="I61" s="7">
        <f>IF(H60="","",H60)</f>
        <v/>
      </c>
      <c r="J61" s="7" t="n">
        <v>6</v>
      </c>
      <c r="K61" s="7" t="n"/>
      <c r="L61" s="40" t="n"/>
      <c r="M61">
        <f>IF(AND(L61&lt;&gt;"",N(I61)&gt;0,N(J61)&gt;0),IF(J61=1,I61,ROUND(I61*(1+J61/30),1)),"")</f>
        <v/>
      </c>
      <c r="N61" s="41">
        <f>IF(M61="","",IF(M61&gt;=PRs!C4,"PR!",""))</f>
        <v/>
      </c>
      <c r="O61" s="7" t="n"/>
    </row>
    <row r="62">
      <c r="C62" t="inlineStr">
        <is>
          <t xml:space="preserve">      Set 2</t>
        </is>
      </c>
      <c r="E62" t="n">
        <v>6</v>
      </c>
      <c r="H62" s="39">
        <f>IF(H60="","",H60)</f>
        <v/>
      </c>
      <c r="I62" s="7">
        <f>IF(H60="","",H60)</f>
        <v/>
      </c>
      <c r="J62" s="7" t="n">
        <v>6</v>
      </c>
      <c r="K62" s="7" t="n"/>
      <c r="L62" s="40" t="n"/>
      <c r="M62">
        <f>IF(AND(L62&lt;&gt;"",N(I62)&gt;0,N(J62)&gt;0),IF(J62=1,I62,ROUND(I62*(1+J62/30),1)),"")</f>
        <v/>
      </c>
      <c r="N62" s="41">
        <f>IF(M62="","",IF(M62&gt;=PRs!C4,"PR!",""))</f>
        <v/>
      </c>
      <c r="O62" s="7" t="n"/>
    </row>
    <row r="63">
      <c r="C63" t="inlineStr">
        <is>
          <t xml:space="preserve">      Set 3</t>
        </is>
      </c>
      <c r="E63" t="n">
        <v>6</v>
      </c>
      <c r="H63" s="39">
        <f>IF(H60="","",H60)</f>
        <v/>
      </c>
      <c r="I63" s="7">
        <f>IF(H60="","",H60)</f>
        <v/>
      </c>
      <c r="J63" s="7" t="n">
        <v>6</v>
      </c>
      <c r="K63" s="7" t="n"/>
      <c r="L63" s="40" t="n"/>
      <c r="M63">
        <f>IF(AND(L63&lt;&gt;"",N(I63)&gt;0,N(J63)&gt;0),IF(J63=1,I63,ROUND(I63*(1+J63/30),1)),"")</f>
        <v/>
      </c>
      <c r="N63" s="41">
        <f>IF(M63="","",IF(M63&gt;=PRs!C4,"PR!",""))</f>
        <v/>
      </c>
      <c r="O63" s="7" t="n"/>
    </row>
    <row r="64">
      <c r="A64" s="34" t="n"/>
      <c r="B64" s="34" t="n"/>
      <c r="C64" s="43" t="inlineStr">
        <is>
          <t>Chin-up</t>
        </is>
      </c>
      <c r="D64" s="34" t="inlineStr">
        <is>
          <t>4 x 6-10</t>
        </is>
      </c>
      <c r="E64" s="34" t="n"/>
      <c r="F64" s="34" t="n"/>
      <c r="G64" s="36" t="n"/>
      <c r="H64" s="37" t="n"/>
      <c r="I64" s="34" t="n"/>
      <c r="J64" s="34" t="n"/>
      <c r="K64" s="34" t="n"/>
      <c r="L64" s="34" t="n"/>
      <c r="M64" s="34" t="n"/>
      <c r="N64" s="34" t="n"/>
      <c r="O64" s="38" t="inlineStr">
        <is>
          <t>Leave 1-2 reps in the tank; add weight when you hit the top of the range</t>
        </is>
      </c>
    </row>
    <row r="65">
      <c r="C65" t="inlineStr">
        <is>
          <t xml:space="preserve">      Set 1</t>
        </is>
      </c>
      <c r="E65" t="n">
        <v>6</v>
      </c>
      <c r="H65" s="39">
        <f>IF(H64="","",H64)</f>
        <v/>
      </c>
      <c r="I65" s="7">
        <f>IF(H64="","",H64)</f>
        <v/>
      </c>
      <c r="J65" s="7" t="n">
        <v>6</v>
      </c>
      <c r="K65" s="7" t="n"/>
      <c r="L65" s="40" t="n"/>
      <c r="M65">
        <f>IF(AND(L65&lt;&gt;"",N(I65)&gt;0,N(J65)&gt;0),IF(J65=1,I65,ROUND(I65*(1+J65/30),1)),"")</f>
        <v/>
      </c>
      <c r="N65" s="41">
        <f>IF(M65="","",IF(M65&gt;=PRs!C53,"PR!",""))</f>
        <v/>
      </c>
      <c r="O65" s="7" t="n"/>
    </row>
    <row r="66">
      <c r="C66" t="inlineStr">
        <is>
          <t xml:space="preserve">      Set 2</t>
        </is>
      </c>
      <c r="E66" t="n">
        <v>6</v>
      </c>
      <c r="H66" s="39">
        <f>IF(H64="","",H64)</f>
        <v/>
      </c>
      <c r="I66" s="7">
        <f>IF(H64="","",H64)</f>
        <v/>
      </c>
      <c r="J66" s="7" t="n">
        <v>6</v>
      </c>
      <c r="K66" s="7" t="n"/>
      <c r="L66" s="40" t="n"/>
      <c r="M66">
        <f>IF(AND(L66&lt;&gt;"",N(I66)&gt;0,N(J66)&gt;0),IF(J66=1,I66,ROUND(I66*(1+J66/30),1)),"")</f>
        <v/>
      </c>
      <c r="N66" s="41">
        <f>IF(M66="","",IF(M66&gt;=PRs!C53,"PR!",""))</f>
        <v/>
      </c>
      <c r="O66" s="7" t="n"/>
    </row>
    <row r="67">
      <c r="C67" t="inlineStr">
        <is>
          <t xml:space="preserve">      Set 3</t>
        </is>
      </c>
      <c r="E67" t="n">
        <v>6</v>
      </c>
      <c r="H67" s="39">
        <f>IF(H64="","",H64)</f>
        <v/>
      </c>
      <c r="I67" s="7">
        <f>IF(H64="","",H64)</f>
        <v/>
      </c>
      <c r="J67" s="7" t="n">
        <v>6</v>
      </c>
      <c r="K67" s="7" t="n"/>
      <c r="L67" s="40" t="n"/>
      <c r="M67">
        <f>IF(AND(L67&lt;&gt;"",N(I67)&gt;0,N(J67)&gt;0),IF(J67=1,I67,ROUND(I67*(1+J67/30),1)),"")</f>
        <v/>
      </c>
      <c r="N67" s="41">
        <f>IF(M67="","",IF(M67&gt;=PRs!C53,"PR!",""))</f>
        <v/>
      </c>
      <c r="O67" s="7" t="n"/>
    </row>
    <row r="68">
      <c r="C68" t="inlineStr">
        <is>
          <t xml:space="preserve">      Set 4</t>
        </is>
      </c>
      <c r="E68" t="n">
        <v>6</v>
      </c>
      <c r="H68" s="39">
        <f>IF(H64="","",H64)</f>
        <v/>
      </c>
      <c r="I68" s="7">
        <f>IF(H64="","",H64)</f>
        <v/>
      </c>
      <c r="J68" s="7" t="n">
        <v>6</v>
      </c>
      <c r="K68" s="7" t="n"/>
      <c r="L68" s="40" t="n"/>
      <c r="M68">
        <f>IF(AND(L68&lt;&gt;"",N(I68)&gt;0,N(J68)&gt;0),IF(J68=1,I68,ROUND(I68*(1+J68/30),1)),"")</f>
        <v/>
      </c>
      <c r="N68" s="41">
        <f>IF(M68="","",IF(M68&gt;=PRs!C53,"PR!",""))</f>
        <v/>
      </c>
      <c r="O68" s="7" t="n"/>
    </row>
    <row r="69">
      <c r="A69" s="34" t="n"/>
      <c r="B69" s="34" t="n"/>
      <c r="C69" s="43" t="inlineStr">
        <is>
          <t>Plank</t>
        </is>
      </c>
      <c r="D69" s="34" t="inlineStr">
        <is>
          <t>4 x 30-60s</t>
        </is>
      </c>
      <c r="E69" s="34" t="n"/>
      <c r="F69" s="34" t="n"/>
      <c r="G69" s="36" t="n"/>
      <c r="H69" s="37" t="n"/>
      <c r="I69" s="34" t="n"/>
      <c r="J69" s="34" t="n"/>
      <c r="K69" s="34" t="n"/>
      <c r="L69" s="34" t="n"/>
      <c r="M69" s="34" t="n"/>
      <c r="N69" s="34" t="n"/>
      <c r="O69" s="38" t="inlineStr">
        <is>
          <t>Leave 1-2 reps in the tank; add weight when you hit the top of the range</t>
        </is>
      </c>
    </row>
    <row r="70">
      <c r="C70" t="inlineStr">
        <is>
          <t xml:space="preserve">      Set 1</t>
        </is>
      </c>
      <c r="E70" t="n">
        <v>30</v>
      </c>
      <c r="H70" s="39">
        <f>IF(H69="","",H69)</f>
        <v/>
      </c>
      <c r="I70" s="7">
        <f>IF(H69="","",H69)</f>
        <v/>
      </c>
      <c r="J70" s="7" t="n">
        <v>30</v>
      </c>
      <c r="K70" s="7" t="n"/>
      <c r="L70" s="40" t="n"/>
      <c r="M70">
        <f>IF(AND(L70&lt;&gt;"",N(I70)&gt;0,N(J70)&gt;0),IF(J70=1,I70,ROUND(I70*(1+J70/30),1)),"")</f>
        <v/>
      </c>
      <c r="N70" s="41">
        <f>IF(M70="","",IF(M70&gt;=PRs!C56,"PR!",""))</f>
        <v/>
      </c>
      <c r="O70" s="7" t="n"/>
    </row>
    <row r="71">
      <c r="C71" t="inlineStr">
        <is>
          <t xml:space="preserve">      Set 2</t>
        </is>
      </c>
      <c r="E71" t="n">
        <v>30</v>
      </c>
      <c r="H71" s="39">
        <f>IF(H69="","",H69)</f>
        <v/>
      </c>
      <c r="I71" s="7">
        <f>IF(H69="","",H69)</f>
        <v/>
      </c>
      <c r="J71" s="7" t="n">
        <v>30</v>
      </c>
      <c r="K71" s="7" t="n"/>
      <c r="L71" s="40" t="n"/>
      <c r="M71">
        <f>IF(AND(L71&lt;&gt;"",N(I71)&gt;0,N(J71)&gt;0),IF(J71=1,I71,ROUND(I71*(1+J71/30),1)),"")</f>
        <v/>
      </c>
      <c r="N71" s="41">
        <f>IF(M71="","",IF(M71&gt;=PRs!C56,"PR!",""))</f>
        <v/>
      </c>
      <c r="O71" s="7" t="n"/>
    </row>
    <row r="72">
      <c r="C72" t="inlineStr">
        <is>
          <t xml:space="preserve">      Set 3</t>
        </is>
      </c>
      <c r="E72" t="n">
        <v>30</v>
      </c>
      <c r="H72" s="39">
        <f>IF(H69="","",H69)</f>
        <v/>
      </c>
      <c r="I72" s="7">
        <f>IF(H69="","",H69)</f>
        <v/>
      </c>
      <c r="J72" s="7" t="n">
        <v>30</v>
      </c>
      <c r="K72" s="7" t="n"/>
      <c r="L72" s="40" t="n"/>
      <c r="M72">
        <f>IF(AND(L72&lt;&gt;"",N(I72)&gt;0,N(J72)&gt;0),IF(J72=1,I72,ROUND(I72*(1+J72/30),1)),"")</f>
        <v/>
      </c>
      <c r="N72" s="41">
        <f>IF(M72="","",IF(M72&gt;=PRs!C56,"PR!",""))</f>
        <v/>
      </c>
      <c r="O72" s="7" t="n"/>
    </row>
    <row r="73">
      <c r="C73" t="inlineStr">
        <is>
          <t xml:space="preserve">      Set 4</t>
        </is>
      </c>
      <c r="E73" t="n">
        <v>30</v>
      </c>
      <c r="H73" s="39">
        <f>IF(H69="","",H69)</f>
        <v/>
      </c>
      <c r="I73" s="7">
        <f>IF(H69="","",H69)</f>
        <v/>
      </c>
      <c r="J73" s="7" t="n">
        <v>30</v>
      </c>
      <c r="K73" s="7" t="n"/>
      <c r="L73" s="40" t="n"/>
      <c r="M73">
        <f>IF(AND(L73&lt;&gt;"",N(I73)&gt;0,N(J73)&gt;0),IF(J73=1,I73,ROUND(I73*(1+J73/30),1)),"")</f>
        <v/>
      </c>
      <c r="N73" s="41">
        <f>IF(M73="","",IF(M73&gt;=PRs!C56,"PR!",""))</f>
        <v/>
      </c>
      <c r="O73" s="7" t="n"/>
    </row>
    <row r="74">
      <c r="A74" s="31" t="inlineStr">
        <is>
          <t>Day 3 - Variations</t>
        </is>
      </c>
      <c r="B74" s="32">
        <f>'Start Here'!$B$8+172</f>
        <v/>
      </c>
      <c r="C74" s="33" t="n"/>
      <c r="D74" s="33" t="n"/>
      <c r="E74" s="33" t="n"/>
      <c r="F74" s="33" t="n"/>
      <c r="G74" s="33" t="n"/>
      <c r="H74" s="33" t="n"/>
      <c r="I74" s="33" t="n"/>
      <c r="J74" s="33" t="n"/>
      <c r="K74" s="33" t="n"/>
      <c r="L74" s="33" t="n"/>
      <c r="M74" s="33" t="n"/>
      <c r="N74" s="33" t="n"/>
      <c r="O74" s="33" t="n"/>
    </row>
    <row r="75">
      <c r="A75" s="34" t="n"/>
      <c r="B75" s="34" t="n"/>
      <c r="C75" s="35" t="inlineStr">
        <is>
          <t>Depth Jump</t>
        </is>
      </c>
      <c r="D75" s="34" t="inlineStr">
        <is>
          <t>4 x 3</t>
        </is>
      </c>
      <c r="E75" s="34" t="n"/>
      <c r="F75" s="34" t="n"/>
      <c r="G75" s="36" t="n"/>
      <c r="H75" s="37">
        <f>IF(N(Maxes!G72)&gt;0,Maxes!G72,"")</f>
        <v/>
      </c>
      <c r="I75" s="34" t="n"/>
      <c r="J75" s="34" t="n"/>
      <c r="K75" s="34" t="n"/>
      <c r="L75" s="34" t="n"/>
      <c r="M75" s="34" t="n"/>
      <c r="N75" s="34" t="n"/>
      <c r="O75" s="38" t="inlineStr">
        <is>
          <t>Step off a low box (12-18 in / 30-45 cm), land and rebound straight up as fast as possible. Log the drop-box height.</t>
        </is>
      </c>
    </row>
    <row r="76">
      <c r="C76" t="inlineStr">
        <is>
          <t xml:space="preserve">      Set 1</t>
        </is>
      </c>
      <c r="E76" t="n">
        <v>3</v>
      </c>
      <c r="H76" s="39">
        <f>IF(H75="","",H75)</f>
        <v/>
      </c>
      <c r="I76" s="7">
        <f>IF(H75="","",H75)</f>
        <v/>
      </c>
      <c r="J76" s="7" t="n">
        <v>3</v>
      </c>
      <c r="K76" s="7" t="n"/>
      <c r="L76" s="40" t="n"/>
      <c r="N76" s="41">
        <f>IF(AND(L76&lt;&gt;"",N(I76)&gt;0),IF(I76&gt;=PRs!D72,"PR!",""),"")</f>
        <v/>
      </c>
      <c r="O76" s="7" t="n"/>
    </row>
    <row r="77">
      <c r="C77" t="inlineStr">
        <is>
          <t xml:space="preserve">      Set 2</t>
        </is>
      </c>
      <c r="E77" t="n">
        <v>3</v>
      </c>
      <c r="H77" s="39">
        <f>IF(H75="","",H75)</f>
        <v/>
      </c>
      <c r="I77" s="7">
        <f>IF(H75="","",H75)</f>
        <v/>
      </c>
      <c r="J77" s="7" t="n">
        <v>3</v>
      </c>
      <c r="K77" s="7" t="n"/>
      <c r="L77" s="40" t="n"/>
      <c r="N77" s="41">
        <f>IF(AND(L77&lt;&gt;"",N(I77)&gt;0),IF(I77&gt;=PRs!D72,"PR!",""),"")</f>
        <v/>
      </c>
      <c r="O77" s="7" t="n"/>
    </row>
    <row r="78">
      <c r="C78" t="inlineStr">
        <is>
          <t xml:space="preserve">      Set 3</t>
        </is>
      </c>
      <c r="E78" t="n">
        <v>3</v>
      </c>
      <c r="H78" s="39">
        <f>IF(H75="","",H75)</f>
        <v/>
      </c>
      <c r="I78" s="7">
        <f>IF(H75="","",H75)</f>
        <v/>
      </c>
      <c r="J78" s="7" t="n">
        <v>3</v>
      </c>
      <c r="K78" s="7" t="n"/>
      <c r="L78" s="40" t="n"/>
      <c r="N78" s="41">
        <f>IF(AND(L78&lt;&gt;"",N(I78)&gt;0),IF(I78&gt;=PRs!D72,"PR!",""),"")</f>
        <v/>
      </c>
      <c r="O78" s="7" t="n"/>
    </row>
    <row r="79">
      <c r="C79" t="inlineStr">
        <is>
          <t xml:space="preserve">      Set 4</t>
        </is>
      </c>
      <c r="E79" t="n">
        <v>3</v>
      </c>
      <c r="H79" s="39">
        <f>IF(H75="","",H75)</f>
        <v/>
      </c>
      <c r="I79" s="7">
        <f>IF(H75="","",H75)</f>
        <v/>
      </c>
      <c r="J79" s="7" t="n">
        <v>3</v>
      </c>
      <c r="K79" s="7" t="n"/>
      <c r="L79" s="40" t="n"/>
      <c r="N79" s="41">
        <f>IF(AND(L79&lt;&gt;"",N(I79)&gt;0),IF(I79&gt;=PRs!D72,"PR!",""),"")</f>
        <v/>
      </c>
      <c r="O79" s="7" t="n"/>
    </row>
    <row r="80">
      <c r="A80" s="34" t="n"/>
      <c r="B80" s="34" t="n"/>
      <c r="C80" s="42" t="inlineStr">
        <is>
          <t>Block Snatch</t>
        </is>
      </c>
      <c r="D80" s="34" t="inlineStr">
        <is>
          <t>6 x 3</t>
        </is>
      </c>
      <c r="E80" s="34" t="n"/>
      <c r="F80" s="34" t="n">
        <v>65</v>
      </c>
      <c r="G80" s="36">
        <f>Maxes!G40</f>
        <v/>
      </c>
      <c r="H80" s="37">
        <f>IF(OR(G80="",F80=""),"",MROUND(G80*F80/100,'Start Here'!$B$7))</f>
        <v/>
      </c>
      <c r="I80" s="34" t="n"/>
      <c r="J80" s="34" t="n"/>
      <c r="K80" s="34" t="n"/>
      <c r="L80" s="34" t="n"/>
      <c r="M80" s="34" t="n"/>
      <c r="N80" s="34" t="n"/>
      <c r="O80" s="38" t="inlineStr"/>
    </row>
    <row r="81">
      <c r="C81" t="inlineStr">
        <is>
          <t xml:space="preserve">      Set 1</t>
        </is>
      </c>
      <c r="E81" t="n">
        <v>3</v>
      </c>
      <c r="H81" s="39">
        <f>IF(H80="","",H80)</f>
        <v/>
      </c>
      <c r="I81" s="7">
        <f>IF(H80="","",H80)</f>
        <v/>
      </c>
      <c r="J81" s="7" t="n">
        <v>3</v>
      </c>
      <c r="K81" s="7" t="n"/>
      <c r="L81" s="40" t="n"/>
      <c r="M81">
        <f>IF(AND(L81&lt;&gt;"",N(I81)&gt;0,N(J81)&gt;0),IF(J81=1,I81,ROUND(I81*(1+J81/30),1)),"")</f>
        <v/>
      </c>
      <c r="N81" s="41">
        <f>IF(M81="","",IF(M81&gt;=PRs!C40,"PR!",""))</f>
        <v/>
      </c>
      <c r="O81" s="7" t="n"/>
    </row>
    <row r="82">
      <c r="C82" t="inlineStr">
        <is>
          <t xml:space="preserve">      Set 2</t>
        </is>
      </c>
      <c r="E82" t="n">
        <v>3</v>
      </c>
      <c r="H82" s="39">
        <f>IF(H80="","",H80)</f>
        <v/>
      </c>
      <c r="I82" s="7">
        <f>IF(H80="","",H80)</f>
        <v/>
      </c>
      <c r="J82" s="7" t="n">
        <v>3</v>
      </c>
      <c r="K82" s="7" t="n"/>
      <c r="L82" s="40" t="n"/>
      <c r="M82">
        <f>IF(AND(L82&lt;&gt;"",N(I82)&gt;0,N(J82)&gt;0),IF(J82=1,I82,ROUND(I82*(1+J82/30),1)),"")</f>
        <v/>
      </c>
      <c r="N82" s="41">
        <f>IF(M82="","",IF(M82&gt;=PRs!C40,"PR!",""))</f>
        <v/>
      </c>
      <c r="O82" s="7" t="n"/>
    </row>
    <row r="83">
      <c r="C83" t="inlineStr">
        <is>
          <t xml:space="preserve">      Set 3</t>
        </is>
      </c>
      <c r="E83" t="n">
        <v>3</v>
      </c>
      <c r="H83" s="39">
        <f>IF(H80="","",H80)</f>
        <v/>
      </c>
      <c r="I83" s="7">
        <f>IF(H80="","",H80)</f>
        <v/>
      </c>
      <c r="J83" s="7" t="n">
        <v>3</v>
      </c>
      <c r="K83" s="7" t="n"/>
      <c r="L83" s="40" t="n"/>
      <c r="M83">
        <f>IF(AND(L83&lt;&gt;"",N(I83)&gt;0,N(J83)&gt;0),IF(J83=1,I83,ROUND(I83*(1+J83/30),1)),"")</f>
        <v/>
      </c>
      <c r="N83" s="41">
        <f>IF(M83="","",IF(M83&gt;=PRs!C40,"PR!",""))</f>
        <v/>
      </c>
      <c r="O83" s="7" t="n"/>
    </row>
    <row r="84">
      <c r="C84" t="inlineStr">
        <is>
          <t xml:space="preserve">      Set 4</t>
        </is>
      </c>
      <c r="E84" t="n">
        <v>3</v>
      </c>
      <c r="H84" s="39">
        <f>IF(H80="","",H80)</f>
        <v/>
      </c>
      <c r="I84" s="7">
        <f>IF(H80="","",H80)</f>
        <v/>
      </c>
      <c r="J84" s="7" t="n">
        <v>3</v>
      </c>
      <c r="K84" s="7" t="n"/>
      <c r="L84" s="40" t="n"/>
      <c r="M84">
        <f>IF(AND(L84&lt;&gt;"",N(I84)&gt;0,N(J84)&gt;0),IF(J84=1,I84,ROUND(I84*(1+J84/30),1)),"")</f>
        <v/>
      </c>
      <c r="N84" s="41">
        <f>IF(M84="","",IF(M84&gt;=PRs!C40,"PR!",""))</f>
        <v/>
      </c>
      <c r="O84" s="7" t="n"/>
    </row>
    <row r="85">
      <c r="C85" t="inlineStr">
        <is>
          <t xml:space="preserve">      Set 5</t>
        </is>
      </c>
      <c r="E85" t="n">
        <v>3</v>
      </c>
      <c r="H85" s="39">
        <f>IF(H80="","",H80)</f>
        <v/>
      </c>
      <c r="I85" s="7">
        <f>IF(H80="","",H80)</f>
        <v/>
      </c>
      <c r="J85" s="7" t="n">
        <v>3</v>
      </c>
      <c r="K85" s="7" t="n"/>
      <c r="L85" s="40" t="n"/>
      <c r="M85">
        <f>IF(AND(L85&lt;&gt;"",N(I85)&gt;0,N(J85)&gt;0),IF(J85=1,I85,ROUND(I85*(1+J85/30),1)),"")</f>
        <v/>
      </c>
      <c r="N85" s="41">
        <f>IF(M85="","",IF(M85&gt;=PRs!C40,"PR!",""))</f>
        <v/>
      </c>
      <c r="O85" s="7" t="n"/>
    </row>
    <row r="86">
      <c r="C86" t="inlineStr">
        <is>
          <t xml:space="preserve">      Set 6</t>
        </is>
      </c>
      <c r="E86" t="n">
        <v>3</v>
      </c>
      <c r="H86" s="39">
        <f>IF(H80="","",H80)</f>
        <v/>
      </c>
      <c r="I86" s="7">
        <f>IF(H80="","",H80)</f>
        <v/>
      </c>
      <c r="J86" s="7" t="n">
        <v>3</v>
      </c>
      <c r="K86" s="7" t="n"/>
      <c r="L86" s="40" t="n"/>
      <c r="M86">
        <f>IF(AND(L86&lt;&gt;"",N(I86)&gt;0,N(J86)&gt;0),IF(J86=1,I86,ROUND(I86*(1+J86/30),1)),"")</f>
        <v/>
      </c>
      <c r="N86" s="41">
        <f>IF(M86="","",IF(M86&gt;=PRs!C40,"PR!",""))</f>
        <v/>
      </c>
      <c r="O86" s="7" t="n"/>
    </row>
    <row r="87">
      <c r="A87" s="34" t="n"/>
      <c r="B87" s="34" t="n"/>
      <c r="C87" s="42" t="inlineStr">
        <is>
          <t>Pause Squat</t>
        </is>
      </c>
      <c r="D87" s="34" t="inlineStr">
        <is>
          <t>4 x 6</t>
        </is>
      </c>
      <c r="E87" s="34" t="n"/>
      <c r="F87" s="34" t="n">
        <v>65</v>
      </c>
      <c r="G87" s="36">
        <f>Maxes!G9</f>
        <v/>
      </c>
      <c r="H87" s="37">
        <f>IF(OR(G87="",F87=""),"",MROUND(G87*F87/100,'Start Here'!$B$7))</f>
        <v/>
      </c>
      <c r="I87" s="34" t="n"/>
      <c r="J87" s="34" t="n"/>
      <c r="K87" s="34" t="n"/>
      <c r="L87" s="34" t="n"/>
      <c r="M87" s="34" t="n"/>
      <c r="N87" s="34" t="n"/>
      <c r="O87" s="38" t="inlineStr"/>
    </row>
    <row r="88">
      <c r="C88" t="inlineStr">
        <is>
          <t xml:space="preserve">      Set 1</t>
        </is>
      </c>
      <c r="E88" t="n">
        <v>6</v>
      </c>
      <c r="H88" s="39">
        <f>IF(H87="","",H87)</f>
        <v/>
      </c>
      <c r="I88" s="7">
        <f>IF(H87="","",H87)</f>
        <v/>
      </c>
      <c r="J88" s="7" t="n">
        <v>6</v>
      </c>
      <c r="K88" s="7" t="n"/>
      <c r="L88" s="40" t="n"/>
      <c r="M88">
        <f>IF(AND(L88&lt;&gt;"",N(I88)&gt;0,N(J88)&gt;0),IF(J88=1,I88,ROUND(I88*(1+J88/30),1)),"")</f>
        <v/>
      </c>
      <c r="N88" s="41">
        <f>IF(M88="","",IF(M88&gt;=PRs!C9,"PR!",""))</f>
        <v/>
      </c>
      <c r="O88" s="7" t="n"/>
    </row>
    <row r="89">
      <c r="C89" t="inlineStr">
        <is>
          <t xml:space="preserve">      Set 2</t>
        </is>
      </c>
      <c r="E89" t="n">
        <v>6</v>
      </c>
      <c r="H89" s="39">
        <f>IF(H87="","",H87)</f>
        <v/>
      </c>
      <c r="I89" s="7">
        <f>IF(H87="","",H87)</f>
        <v/>
      </c>
      <c r="J89" s="7" t="n">
        <v>6</v>
      </c>
      <c r="K89" s="7" t="n"/>
      <c r="L89" s="40" t="n"/>
      <c r="M89">
        <f>IF(AND(L89&lt;&gt;"",N(I89)&gt;0,N(J89)&gt;0),IF(J89=1,I89,ROUND(I89*(1+J89/30),1)),"")</f>
        <v/>
      </c>
      <c r="N89" s="41">
        <f>IF(M89="","",IF(M89&gt;=PRs!C9,"PR!",""))</f>
        <v/>
      </c>
      <c r="O89" s="7" t="n"/>
    </row>
    <row r="90">
      <c r="C90" t="inlineStr">
        <is>
          <t xml:space="preserve">      Set 3</t>
        </is>
      </c>
      <c r="E90" t="n">
        <v>6</v>
      </c>
      <c r="H90" s="39">
        <f>IF(H87="","",H87)</f>
        <v/>
      </c>
      <c r="I90" s="7">
        <f>IF(H87="","",H87)</f>
        <v/>
      </c>
      <c r="J90" s="7" t="n">
        <v>6</v>
      </c>
      <c r="K90" s="7" t="n"/>
      <c r="L90" s="40" t="n"/>
      <c r="M90">
        <f>IF(AND(L90&lt;&gt;"",N(I90)&gt;0,N(J90)&gt;0),IF(J90=1,I90,ROUND(I90*(1+J90/30),1)),"")</f>
        <v/>
      </c>
      <c r="N90" s="41">
        <f>IF(M90="","",IF(M90&gt;=PRs!C9,"PR!",""))</f>
        <v/>
      </c>
      <c r="O90" s="7" t="n"/>
    </row>
    <row r="91">
      <c r="C91" t="inlineStr">
        <is>
          <t xml:space="preserve">      Set 4</t>
        </is>
      </c>
      <c r="E91" t="n">
        <v>6</v>
      </c>
      <c r="H91" s="39">
        <f>IF(H87="","",H87)</f>
        <v/>
      </c>
      <c r="I91" s="7">
        <f>IF(H87="","",H87)</f>
        <v/>
      </c>
      <c r="J91" s="7" t="n">
        <v>6</v>
      </c>
      <c r="K91" s="7" t="n"/>
      <c r="L91" s="40" t="n"/>
      <c r="M91">
        <f>IF(AND(L91&lt;&gt;"",N(I91)&gt;0,N(J91)&gt;0),IF(J91=1,I91,ROUND(I91*(1+J91/30),1)),"")</f>
        <v/>
      </c>
      <c r="N91" s="41">
        <f>IF(M91="","",IF(M91&gt;=PRs!C9,"PR!",""))</f>
        <v/>
      </c>
      <c r="O91" s="7" t="n"/>
    </row>
    <row r="92">
      <c r="A92" s="34" t="n"/>
      <c r="B92" s="34" t="n"/>
      <c r="C92" s="42" t="inlineStr">
        <is>
          <t>Spoto Press</t>
        </is>
      </c>
      <c r="D92" s="34" t="inlineStr">
        <is>
          <t>4 x 6</t>
        </is>
      </c>
      <c r="E92" s="34" t="n"/>
      <c r="F92" s="34" t="n">
        <v>65</v>
      </c>
      <c r="G92" s="36">
        <f>Maxes!G21</f>
        <v/>
      </c>
      <c r="H92" s="37">
        <f>IF(OR(G92="",F92=""),"",MROUND(G92*F92/100,'Start Here'!$B$7))</f>
        <v/>
      </c>
      <c r="I92" s="34" t="n"/>
      <c r="J92" s="34" t="n"/>
      <c r="K92" s="34" t="n"/>
      <c r="L92" s="34" t="n"/>
      <c r="M92" s="34" t="n"/>
      <c r="N92" s="34" t="n"/>
      <c r="O92" s="38" t="inlineStr"/>
    </row>
    <row r="93">
      <c r="C93" t="inlineStr">
        <is>
          <t xml:space="preserve">      Set 1</t>
        </is>
      </c>
      <c r="E93" t="n">
        <v>6</v>
      </c>
      <c r="H93" s="39">
        <f>IF(H92="","",H92)</f>
        <v/>
      </c>
      <c r="I93" s="7">
        <f>IF(H92="","",H92)</f>
        <v/>
      </c>
      <c r="J93" s="7" t="n">
        <v>6</v>
      </c>
      <c r="K93" s="7" t="n"/>
      <c r="L93" s="40" t="n"/>
      <c r="M93">
        <f>IF(AND(L93&lt;&gt;"",N(I93)&gt;0,N(J93)&gt;0),IF(J93=1,I93,ROUND(I93*(1+J93/30),1)),"")</f>
        <v/>
      </c>
      <c r="N93" s="41">
        <f>IF(M93="","",IF(M93&gt;=PRs!C21,"PR!",""))</f>
        <v/>
      </c>
      <c r="O93" s="7" t="n"/>
    </row>
    <row r="94">
      <c r="C94" t="inlineStr">
        <is>
          <t xml:space="preserve">      Set 2</t>
        </is>
      </c>
      <c r="E94" t="n">
        <v>6</v>
      </c>
      <c r="H94" s="39">
        <f>IF(H92="","",H92)</f>
        <v/>
      </c>
      <c r="I94" s="7">
        <f>IF(H92="","",H92)</f>
        <v/>
      </c>
      <c r="J94" s="7" t="n">
        <v>6</v>
      </c>
      <c r="K94" s="7" t="n"/>
      <c r="L94" s="40" t="n"/>
      <c r="M94">
        <f>IF(AND(L94&lt;&gt;"",N(I94)&gt;0,N(J94)&gt;0),IF(J94=1,I94,ROUND(I94*(1+J94/30),1)),"")</f>
        <v/>
      </c>
      <c r="N94" s="41">
        <f>IF(M94="","",IF(M94&gt;=PRs!C21,"PR!",""))</f>
        <v/>
      </c>
      <c r="O94" s="7" t="n"/>
    </row>
    <row r="95">
      <c r="C95" t="inlineStr">
        <is>
          <t xml:space="preserve">      Set 3</t>
        </is>
      </c>
      <c r="E95" t="n">
        <v>6</v>
      </c>
      <c r="H95" s="39">
        <f>IF(H92="","",H92)</f>
        <v/>
      </c>
      <c r="I95" s="7">
        <f>IF(H92="","",H92)</f>
        <v/>
      </c>
      <c r="J95" s="7" t="n">
        <v>6</v>
      </c>
      <c r="K95" s="7" t="n"/>
      <c r="L95" s="40" t="n"/>
      <c r="M95">
        <f>IF(AND(L95&lt;&gt;"",N(I95)&gt;0,N(J95)&gt;0),IF(J95=1,I95,ROUND(I95*(1+J95/30),1)),"")</f>
        <v/>
      </c>
      <c r="N95" s="41">
        <f>IF(M95="","",IF(M95&gt;=PRs!C21,"PR!",""))</f>
        <v/>
      </c>
      <c r="O95" s="7" t="n"/>
    </row>
    <row r="96">
      <c r="C96" t="inlineStr">
        <is>
          <t xml:space="preserve">      Set 4</t>
        </is>
      </c>
      <c r="E96" t="n">
        <v>6</v>
      </c>
      <c r="H96" s="39">
        <f>IF(H92="","",H92)</f>
        <v/>
      </c>
      <c r="I96" s="7">
        <f>IF(H92="","",H92)</f>
        <v/>
      </c>
      <c r="J96" s="7" t="n">
        <v>6</v>
      </c>
      <c r="K96" s="7" t="n"/>
      <c r="L96" s="40" t="n"/>
      <c r="M96">
        <f>IF(AND(L96&lt;&gt;"",N(I96)&gt;0,N(J96)&gt;0),IF(J96=1,I96,ROUND(I96*(1+J96/30),1)),"")</f>
        <v/>
      </c>
      <c r="N96" s="41">
        <f>IF(M96="","",IF(M96&gt;=PRs!C21,"PR!",""))</f>
        <v/>
      </c>
      <c r="O96" s="7" t="n"/>
    </row>
    <row r="97">
      <c r="A97" s="34" t="n"/>
      <c r="B97" s="34" t="n"/>
      <c r="C97" s="42" t="inlineStr">
        <is>
          <t>Paused Deadlift</t>
        </is>
      </c>
      <c r="D97" s="34" t="inlineStr">
        <is>
          <t>3 x 6</t>
        </is>
      </c>
      <c r="E97" s="34" t="n"/>
      <c r="F97" s="34" t="n">
        <v>60</v>
      </c>
      <c r="G97" s="36">
        <f>Maxes!G25</f>
        <v/>
      </c>
      <c r="H97" s="37">
        <f>IF(OR(G97="",F97=""),"",MROUND(G97*F97/100,'Start Here'!$B$7))</f>
        <v/>
      </c>
      <c r="I97" s="34" t="n"/>
      <c r="J97" s="34" t="n"/>
      <c r="K97" s="34" t="n"/>
      <c r="L97" s="34" t="n"/>
      <c r="M97" s="34" t="n"/>
      <c r="N97" s="34" t="n"/>
      <c r="O97" s="38" t="inlineStr"/>
    </row>
    <row r="98">
      <c r="C98" t="inlineStr">
        <is>
          <t xml:space="preserve">      Set 1</t>
        </is>
      </c>
      <c r="E98" t="n">
        <v>6</v>
      </c>
      <c r="H98" s="39">
        <f>IF(H97="","",H97)</f>
        <v/>
      </c>
      <c r="I98" s="7">
        <f>IF(H97="","",H97)</f>
        <v/>
      </c>
      <c r="J98" s="7" t="n">
        <v>6</v>
      </c>
      <c r="K98" s="7" t="n"/>
      <c r="L98" s="40" t="n"/>
      <c r="M98">
        <f>IF(AND(L98&lt;&gt;"",N(I98)&gt;0,N(J98)&gt;0),IF(J98=1,I98,ROUND(I98*(1+J98/30),1)),"")</f>
        <v/>
      </c>
      <c r="N98" s="41">
        <f>IF(M98="","",IF(M98&gt;=PRs!C25,"PR!",""))</f>
        <v/>
      </c>
      <c r="O98" s="7" t="n"/>
    </row>
    <row r="99">
      <c r="C99" t="inlineStr">
        <is>
          <t xml:space="preserve">      Set 2</t>
        </is>
      </c>
      <c r="E99" t="n">
        <v>6</v>
      </c>
      <c r="H99" s="39">
        <f>IF(H97="","",H97)</f>
        <v/>
      </c>
      <c r="I99" s="7">
        <f>IF(H97="","",H97)</f>
        <v/>
      </c>
      <c r="J99" s="7" t="n">
        <v>6</v>
      </c>
      <c r="K99" s="7" t="n"/>
      <c r="L99" s="40" t="n"/>
      <c r="M99">
        <f>IF(AND(L99&lt;&gt;"",N(I99)&gt;0,N(J99)&gt;0),IF(J99=1,I99,ROUND(I99*(1+J99/30),1)),"")</f>
        <v/>
      </c>
      <c r="N99" s="41">
        <f>IF(M99="","",IF(M99&gt;=PRs!C25,"PR!",""))</f>
        <v/>
      </c>
      <c r="O99" s="7" t="n"/>
    </row>
    <row r="100">
      <c r="C100" t="inlineStr">
        <is>
          <t xml:space="preserve">      Set 3</t>
        </is>
      </c>
      <c r="E100" t="n">
        <v>6</v>
      </c>
      <c r="H100" s="39">
        <f>IF(H97="","",H97)</f>
        <v/>
      </c>
      <c r="I100" s="7">
        <f>IF(H97="","",H97)</f>
        <v/>
      </c>
      <c r="J100" s="7" t="n">
        <v>6</v>
      </c>
      <c r="K100" s="7" t="n"/>
      <c r="L100" s="40" t="n"/>
      <c r="M100">
        <f>IF(AND(L100&lt;&gt;"",N(I100)&gt;0,N(J100)&gt;0),IF(J100=1,I100,ROUND(I100*(1+J100/30),1)),"")</f>
        <v/>
      </c>
      <c r="N100" s="41">
        <f>IF(M100="","",IF(M100&gt;=PRs!C25,"PR!",""))</f>
        <v/>
      </c>
      <c r="O100" s="7" t="n"/>
    </row>
    <row r="101">
      <c r="A101" s="34" t="n"/>
      <c r="B101" s="34" t="n"/>
      <c r="C101" s="43" t="inlineStr">
        <is>
          <t>Incline Dumbbell Press</t>
        </is>
      </c>
      <c r="D101" s="34" t="inlineStr">
        <is>
          <t>4 x 8-12</t>
        </is>
      </c>
      <c r="E101" s="34" t="n"/>
      <c r="F101" s="34" t="n"/>
      <c r="G101" s="36" t="n"/>
      <c r="H101" s="37" t="n"/>
      <c r="I101" s="34" t="n"/>
      <c r="J101" s="34" t="n"/>
      <c r="K101" s="34" t="n"/>
      <c r="L101" s="34" t="n"/>
      <c r="M101" s="34" t="n"/>
      <c r="N101" s="34" t="n"/>
      <c r="O101" s="38" t="inlineStr">
        <is>
          <t>Leave 1-2 reps in the tank; add weight when you hit the top of the range</t>
        </is>
      </c>
    </row>
    <row r="102">
      <c r="C102" t="inlineStr">
        <is>
          <t xml:space="preserve">      Set 1</t>
        </is>
      </c>
      <c r="E102" t="n">
        <v>8</v>
      </c>
      <c r="H102" s="39">
        <f>IF(H101="","",H101)</f>
        <v/>
      </c>
      <c r="I102" s="7">
        <f>IF(H101="","",H101)</f>
        <v/>
      </c>
      <c r="J102" s="7" t="n">
        <v>8</v>
      </c>
      <c r="K102" s="7" t="n"/>
      <c r="L102" s="40" t="n"/>
      <c r="M102">
        <f>IF(AND(L102&lt;&gt;"",N(I102)&gt;0,N(J102)&gt;0),IF(J102=1,I102,ROUND(I102*(1+J102/30),1)),"")</f>
        <v/>
      </c>
      <c r="N102" s="41">
        <f>IF(M102="","",IF(M102&gt;=PRs!C57,"PR!",""))</f>
        <v/>
      </c>
      <c r="O102" s="7" t="n"/>
    </row>
    <row r="103">
      <c r="C103" t="inlineStr">
        <is>
          <t xml:space="preserve">      Set 2</t>
        </is>
      </c>
      <c r="E103" t="n">
        <v>8</v>
      </c>
      <c r="H103" s="39">
        <f>IF(H101="","",H101)</f>
        <v/>
      </c>
      <c r="I103" s="7">
        <f>IF(H101="","",H101)</f>
        <v/>
      </c>
      <c r="J103" s="7" t="n">
        <v>8</v>
      </c>
      <c r="K103" s="7" t="n"/>
      <c r="L103" s="40" t="n"/>
      <c r="M103">
        <f>IF(AND(L103&lt;&gt;"",N(I103)&gt;0,N(J103)&gt;0),IF(J103=1,I103,ROUND(I103*(1+J103/30),1)),"")</f>
        <v/>
      </c>
      <c r="N103" s="41">
        <f>IF(M103="","",IF(M103&gt;=PRs!C57,"PR!",""))</f>
        <v/>
      </c>
      <c r="O103" s="7" t="n"/>
    </row>
    <row r="104">
      <c r="C104" t="inlineStr">
        <is>
          <t xml:space="preserve">      Set 3</t>
        </is>
      </c>
      <c r="E104" t="n">
        <v>8</v>
      </c>
      <c r="H104" s="39">
        <f>IF(H101="","",H101)</f>
        <v/>
      </c>
      <c r="I104" s="7">
        <f>IF(H101="","",H101)</f>
        <v/>
      </c>
      <c r="J104" s="7" t="n">
        <v>8</v>
      </c>
      <c r="K104" s="7" t="n"/>
      <c r="L104" s="40" t="n"/>
      <c r="M104">
        <f>IF(AND(L104&lt;&gt;"",N(I104)&gt;0,N(J104)&gt;0),IF(J104=1,I104,ROUND(I104*(1+J104/30),1)),"")</f>
        <v/>
      </c>
      <c r="N104" s="41">
        <f>IF(M104="","",IF(M104&gt;=PRs!C57,"PR!",""))</f>
        <v/>
      </c>
      <c r="O104" s="7" t="n"/>
    </row>
    <row r="105">
      <c r="C105" t="inlineStr">
        <is>
          <t xml:space="preserve">      Set 4</t>
        </is>
      </c>
      <c r="E105" t="n">
        <v>8</v>
      </c>
      <c r="H105" s="39">
        <f>IF(H101="","",H101)</f>
        <v/>
      </c>
      <c r="I105" s="7">
        <f>IF(H101="","",H101)</f>
        <v/>
      </c>
      <c r="J105" s="7" t="n">
        <v>8</v>
      </c>
      <c r="K105" s="7" t="n"/>
      <c r="L105" s="40" t="n"/>
      <c r="M105">
        <f>IF(AND(L105&lt;&gt;"",N(I105)&gt;0,N(J105)&gt;0),IF(J105=1,I105,ROUND(I105*(1+J105/30),1)),"")</f>
        <v/>
      </c>
      <c r="N105" s="41">
        <f>IF(M105="","",IF(M105&gt;=PRs!C57,"PR!",""))</f>
        <v/>
      </c>
      <c r="O105" s="7" t="n"/>
    </row>
    <row r="106">
      <c r="A106" s="34" t="n"/>
      <c r="B106" s="34" t="n"/>
      <c r="C106" s="43" t="inlineStr">
        <is>
          <t>Triceps Pushdown</t>
        </is>
      </c>
      <c r="D106" s="34" t="inlineStr">
        <is>
          <t>4 x 10-15</t>
        </is>
      </c>
      <c r="E106" s="34" t="n"/>
      <c r="F106" s="34" t="n"/>
      <c r="G106" s="36" t="n"/>
      <c r="H106" s="37" t="n"/>
      <c r="I106" s="34" t="n"/>
      <c r="J106" s="34" t="n"/>
      <c r="K106" s="34" t="n"/>
      <c r="L106" s="34" t="n"/>
      <c r="M106" s="34" t="n"/>
      <c r="N106" s="34" t="n"/>
      <c r="O106" s="38" t="inlineStr">
        <is>
          <t>Leave 1-2 reps in the tank; add weight when you hit the top of the range</t>
        </is>
      </c>
    </row>
    <row r="107">
      <c r="C107" t="inlineStr">
        <is>
          <t xml:space="preserve">      Set 1</t>
        </is>
      </c>
      <c r="E107" t="n">
        <v>10</v>
      </c>
      <c r="H107" s="39">
        <f>IF(H106="","",H106)</f>
        <v/>
      </c>
      <c r="I107" s="7">
        <f>IF(H106="","",H106)</f>
        <v/>
      </c>
      <c r="J107" s="7" t="n">
        <v>10</v>
      </c>
      <c r="K107" s="7" t="n"/>
      <c r="L107" s="40" t="n"/>
      <c r="M107">
        <f>IF(AND(L107&lt;&gt;"",N(I107)&gt;0,N(J107)&gt;0),IF(J107=1,I107,ROUND(I107*(1+J107/30),1)),"")</f>
        <v/>
      </c>
      <c r="N107" s="41">
        <f>IF(M107="","",IF(M107&gt;=PRs!C59,"PR!",""))</f>
        <v/>
      </c>
      <c r="O107" s="7" t="n"/>
    </row>
    <row r="108">
      <c r="C108" t="inlineStr">
        <is>
          <t xml:space="preserve">      Set 2</t>
        </is>
      </c>
      <c r="E108" t="n">
        <v>10</v>
      </c>
      <c r="H108" s="39">
        <f>IF(H106="","",H106)</f>
        <v/>
      </c>
      <c r="I108" s="7">
        <f>IF(H106="","",H106)</f>
        <v/>
      </c>
      <c r="J108" s="7" t="n">
        <v>10</v>
      </c>
      <c r="K108" s="7" t="n"/>
      <c r="L108" s="40" t="n"/>
      <c r="M108">
        <f>IF(AND(L108&lt;&gt;"",N(I108)&gt;0,N(J108)&gt;0),IF(J108=1,I108,ROUND(I108*(1+J108/30),1)),"")</f>
        <v/>
      </c>
      <c r="N108" s="41">
        <f>IF(M108="","",IF(M108&gt;=PRs!C59,"PR!",""))</f>
        <v/>
      </c>
      <c r="O108" s="7" t="n"/>
    </row>
    <row r="109">
      <c r="C109" t="inlineStr">
        <is>
          <t xml:space="preserve">      Set 3</t>
        </is>
      </c>
      <c r="E109" t="n">
        <v>10</v>
      </c>
      <c r="H109" s="39">
        <f>IF(H106="","",H106)</f>
        <v/>
      </c>
      <c r="I109" s="7">
        <f>IF(H106="","",H106)</f>
        <v/>
      </c>
      <c r="J109" s="7" t="n">
        <v>10</v>
      </c>
      <c r="K109" s="7" t="n"/>
      <c r="L109" s="40" t="n"/>
      <c r="M109">
        <f>IF(AND(L109&lt;&gt;"",N(I109)&gt;0,N(J109)&gt;0),IF(J109=1,I109,ROUND(I109*(1+J109/30),1)),"")</f>
        <v/>
      </c>
      <c r="N109" s="41">
        <f>IF(M109="","",IF(M109&gt;=PRs!C59,"PR!",""))</f>
        <v/>
      </c>
      <c r="O109" s="7" t="n"/>
    </row>
    <row r="110">
      <c r="C110" t="inlineStr">
        <is>
          <t xml:space="preserve">      Set 4</t>
        </is>
      </c>
      <c r="E110" t="n">
        <v>10</v>
      </c>
      <c r="H110" s="39">
        <f>IF(H106="","",H106)</f>
        <v/>
      </c>
      <c r="I110" s="7">
        <f>IF(H106="","",H106)</f>
        <v/>
      </c>
      <c r="J110" s="7" t="n">
        <v>10</v>
      </c>
      <c r="K110" s="7" t="n"/>
      <c r="L110" s="40" t="n"/>
      <c r="M110">
        <f>IF(AND(L110&lt;&gt;"",N(I110)&gt;0,N(J110)&gt;0),IF(J110=1,I110,ROUND(I110*(1+J110/30),1)),"")</f>
        <v/>
      </c>
      <c r="N110" s="41">
        <f>IF(M110="","",IF(M110&gt;=PRs!C59,"PR!",""))</f>
        <v/>
      </c>
      <c r="O110" s="7" t="n"/>
    </row>
    <row r="112">
      <c r="A112" s="45" t="inlineStr">
        <is>
          <t>WEEK 26 - CYCLE 3 - ACCUMULATION</t>
        </is>
      </c>
      <c r="B112" s="46" t="n"/>
      <c r="C112" s="46" t="n"/>
      <c r="D112" s="46" t="n"/>
      <c r="E112" s="46" t="n"/>
      <c r="F112" s="46" t="n"/>
      <c r="G112" s="46" t="n"/>
      <c r="H112" s="47" t="inlineStr">
        <is>
          <t>Bodyweight:</t>
        </is>
      </c>
      <c r="I112" s="7" t="n"/>
      <c r="J112" s="46" t="n"/>
      <c r="K112" s="46" t="n"/>
      <c r="L112" s="46" t="n"/>
      <c r="M112" s="46" t="n"/>
      <c r="N112" s="46" t="n"/>
      <c r="O112" s="46" t="n"/>
    </row>
    <row r="113">
      <c r="A113" s="31" t="inlineStr">
        <is>
          <t>Day 1 - Heavy</t>
        </is>
      </c>
      <c r="B113" s="32">
        <f>'Start Here'!$B$8+175</f>
        <v/>
      </c>
      <c r="C113" s="33" t="n"/>
      <c r="D113" s="33" t="n"/>
      <c r="E113" s="33" t="n"/>
      <c r="F113" s="33" t="n"/>
      <c r="G113" s="33" t="n"/>
      <c r="H113" s="33" t="n"/>
      <c r="I113" s="33" t="n"/>
      <c r="J113" s="33" t="n"/>
      <c r="K113" s="33" t="n"/>
      <c r="L113" s="33" t="n"/>
      <c r="M113" s="33" t="n"/>
      <c r="N113" s="33" t="n"/>
      <c r="O113" s="33" t="n"/>
    </row>
    <row r="114">
      <c r="A114" s="34" t="n"/>
      <c r="B114" s="34" t="n"/>
      <c r="C114" s="35" t="inlineStr">
        <is>
          <t>Box Jump</t>
        </is>
      </c>
      <c r="D114" s="34" t="inlineStr">
        <is>
          <t>4 x 3</t>
        </is>
      </c>
      <c r="E114" s="34" t="n"/>
      <c r="F114" s="34" t="n"/>
      <c r="G114" s="36" t="n"/>
      <c r="H114" s="37">
        <f>IF(N(Maxes!G69)&gt;0,Maxes!G69,'Start Here'!$G$16)</f>
        <v/>
      </c>
      <c r="I114" s="34" t="n"/>
      <c r="J114" s="34" t="n"/>
      <c r="K114" s="34" t="n"/>
      <c r="L114" s="34" t="n"/>
      <c r="M114" s="34" t="n"/>
      <c r="N114" s="34" t="n"/>
      <c r="O114" s="38" t="inlineStr">
        <is>
          <t>Two-foot jump onto a box, land soft in a quarter squat, STEP down. Log the box height (floor to top of box).</t>
        </is>
      </c>
    </row>
    <row r="115">
      <c r="C115" t="inlineStr">
        <is>
          <t xml:space="preserve">      Set 1</t>
        </is>
      </c>
      <c r="E115" t="n">
        <v>3</v>
      </c>
      <c r="H115" s="39">
        <f>IF(H114="","",H114)</f>
        <v/>
      </c>
      <c r="I115" s="7">
        <f>IF(H114="","",H114)</f>
        <v/>
      </c>
      <c r="J115" s="7" t="n">
        <v>3</v>
      </c>
      <c r="K115" s="7" t="n"/>
      <c r="L115" s="40" t="n"/>
      <c r="N115" s="41">
        <f>IF(AND(L115&lt;&gt;"",N(I115)&gt;0),IF(I115&gt;=PRs!D69,"PR!",""),"")</f>
        <v/>
      </c>
      <c r="O115" s="7" t="n"/>
    </row>
    <row r="116">
      <c r="C116" t="inlineStr">
        <is>
          <t xml:space="preserve">      Set 2</t>
        </is>
      </c>
      <c r="E116" t="n">
        <v>3</v>
      </c>
      <c r="H116" s="39">
        <f>IF(H114="","",H114)</f>
        <v/>
      </c>
      <c r="I116" s="7">
        <f>IF(H114="","",H114)</f>
        <v/>
      </c>
      <c r="J116" s="7" t="n">
        <v>3</v>
      </c>
      <c r="K116" s="7" t="n"/>
      <c r="L116" s="40" t="n"/>
      <c r="N116" s="41">
        <f>IF(AND(L116&lt;&gt;"",N(I116)&gt;0),IF(I116&gt;=PRs!D69,"PR!",""),"")</f>
        <v/>
      </c>
      <c r="O116" s="7" t="n"/>
    </row>
    <row r="117">
      <c r="C117" t="inlineStr">
        <is>
          <t xml:space="preserve">      Set 3</t>
        </is>
      </c>
      <c r="E117" t="n">
        <v>3</v>
      </c>
      <c r="H117" s="39">
        <f>IF(H114="","",H114)</f>
        <v/>
      </c>
      <c r="I117" s="7">
        <f>IF(H114="","",H114)</f>
        <v/>
      </c>
      <c r="J117" s="7" t="n">
        <v>3</v>
      </c>
      <c r="K117" s="7" t="n"/>
      <c r="L117" s="40" t="n"/>
      <c r="N117" s="41">
        <f>IF(AND(L117&lt;&gt;"",N(I117)&gt;0),IF(I117&gt;=PRs!D69,"PR!",""),"")</f>
        <v/>
      </c>
      <c r="O117" s="7" t="n"/>
    </row>
    <row r="118">
      <c r="C118" t="inlineStr">
        <is>
          <t xml:space="preserve">      Set 4</t>
        </is>
      </c>
      <c r="E118" t="n">
        <v>3</v>
      </c>
      <c r="H118" s="39">
        <f>IF(H114="","",H114)</f>
        <v/>
      </c>
      <c r="I118" s="7">
        <f>IF(H114="","",H114)</f>
        <v/>
      </c>
      <c r="J118" s="7" t="n">
        <v>3</v>
      </c>
      <c r="K118" s="7" t="n"/>
      <c r="L118" s="40" t="n"/>
      <c r="N118" s="41">
        <f>IF(AND(L118&lt;&gt;"",N(I118)&gt;0),IF(I118&gt;=PRs!D69,"PR!",""),"")</f>
        <v/>
      </c>
      <c r="O118" s="7" t="n"/>
    </row>
    <row r="119">
      <c r="A119" s="34" t="n"/>
      <c r="B119" s="34" t="n"/>
      <c r="C119" s="42" t="inlineStr">
        <is>
          <t>Snatch</t>
        </is>
      </c>
      <c r="D119" s="34" t="inlineStr">
        <is>
          <t>4 x 3</t>
        </is>
      </c>
      <c r="E119" s="34" t="n"/>
      <c r="F119" s="34" t="n">
        <v>72.5</v>
      </c>
      <c r="G119" s="36">
        <f>Maxes!G6</f>
        <v/>
      </c>
      <c r="H119" s="37">
        <f>IF(OR(G119="",F119=""),"",MROUND(G119*F119/100,'Start Here'!$B$7))</f>
        <v/>
      </c>
      <c r="I119" s="34" t="n"/>
      <c r="J119" s="34" t="n"/>
      <c r="K119" s="34" t="n"/>
      <c r="L119" s="34" t="n"/>
      <c r="M119" s="34" t="n"/>
      <c r="N119" s="34" t="n"/>
      <c r="O119" s="38" t="inlineStr"/>
    </row>
    <row r="120">
      <c r="C120" t="inlineStr">
        <is>
          <t xml:space="preserve">      Set 1</t>
        </is>
      </c>
      <c r="E120" t="n">
        <v>3</v>
      </c>
      <c r="H120" s="39">
        <f>IF(H119="","",H119)</f>
        <v/>
      </c>
      <c r="I120" s="7">
        <f>IF(H119="","",H119)</f>
        <v/>
      </c>
      <c r="J120" s="7" t="n">
        <v>3</v>
      </c>
      <c r="K120" s="7" t="n"/>
      <c r="L120" s="40" t="n"/>
      <c r="M120">
        <f>IF(AND(L120&lt;&gt;"",N(I120)&gt;0,N(J120)&gt;0),IF(J120=1,I120,ROUND(I120*(1+J120/30),1)),"")</f>
        <v/>
      </c>
      <c r="N120" s="41">
        <f>IF(M120="","",IF(M120&gt;=PRs!C6,"PR!",""))</f>
        <v/>
      </c>
      <c r="O120" s="7" t="n"/>
    </row>
    <row r="121">
      <c r="C121" t="inlineStr">
        <is>
          <t xml:space="preserve">      Set 2</t>
        </is>
      </c>
      <c r="E121" t="n">
        <v>3</v>
      </c>
      <c r="H121" s="39">
        <f>IF(H119="","",H119)</f>
        <v/>
      </c>
      <c r="I121" s="7">
        <f>IF(H119="","",H119)</f>
        <v/>
      </c>
      <c r="J121" s="7" t="n">
        <v>3</v>
      </c>
      <c r="K121" s="7" t="n"/>
      <c r="L121" s="40" t="n"/>
      <c r="M121">
        <f>IF(AND(L121&lt;&gt;"",N(I121)&gt;0,N(J121)&gt;0),IF(J121=1,I121,ROUND(I121*(1+J121/30),1)),"")</f>
        <v/>
      </c>
      <c r="N121" s="41">
        <f>IF(M121="","",IF(M121&gt;=PRs!C6,"PR!",""))</f>
        <v/>
      </c>
      <c r="O121" s="7" t="n"/>
    </row>
    <row r="122">
      <c r="C122" t="inlineStr">
        <is>
          <t xml:space="preserve">      Set 3</t>
        </is>
      </c>
      <c r="E122" t="n">
        <v>3</v>
      </c>
      <c r="H122" s="39">
        <f>IF(H119="","",H119)</f>
        <v/>
      </c>
      <c r="I122" s="7">
        <f>IF(H119="","",H119)</f>
        <v/>
      </c>
      <c r="J122" s="7" t="n">
        <v>3</v>
      </c>
      <c r="K122" s="7" t="n"/>
      <c r="L122" s="40" t="n"/>
      <c r="M122">
        <f>IF(AND(L122&lt;&gt;"",N(I122)&gt;0,N(J122)&gt;0),IF(J122=1,I122,ROUND(I122*(1+J122/30),1)),"")</f>
        <v/>
      </c>
      <c r="N122" s="41">
        <f>IF(M122="","",IF(M122&gt;=PRs!C6,"PR!",""))</f>
        <v/>
      </c>
      <c r="O122" s="7" t="n"/>
    </row>
    <row r="123">
      <c r="C123" t="inlineStr">
        <is>
          <t xml:space="preserve">      Set 4</t>
        </is>
      </c>
      <c r="E123" t="n">
        <v>3</v>
      </c>
      <c r="H123" s="39">
        <f>IF(H119="","",H119)</f>
        <v/>
      </c>
      <c r="I123" s="7">
        <f>IF(H119="","",H119)</f>
        <v/>
      </c>
      <c r="J123" s="7" t="n">
        <v>3</v>
      </c>
      <c r="K123" s="7" t="n"/>
      <c r="L123" s="40" t="n"/>
      <c r="M123">
        <f>IF(AND(L123&lt;&gt;"",N(I123)&gt;0,N(J123)&gt;0),IF(J123=1,I123,ROUND(I123*(1+J123/30),1)),"")</f>
        <v/>
      </c>
      <c r="N123" s="41">
        <f>IF(M123="","",IF(M123&gt;=PRs!C6,"PR!",""))</f>
        <v/>
      </c>
      <c r="O123" s="7" t="n"/>
    </row>
    <row r="124">
      <c r="A124" s="34" t="n"/>
      <c r="B124" s="34" t="n"/>
      <c r="C124" s="42" t="inlineStr">
        <is>
          <t>Squat</t>
        </is>
      </c>
      <c r="D124" s="34" t="inlineStr">
        <is>
          <t>3 x 6</t>
        </is>
      </c>
      <c r="E124" s="34" t="n"/>
      <c r="F124" s="34" t="n">
        <v>72.5</v>
      </c>
      <c r="G124" s="36">
        <f>Maxes!G2</f>
        <v/>
      </c>
      <c r="H124" s="37">
        <f>IF(OR(G124="",F124=""),"",MROUND(G124*F124/100,'Start Here'!$B$7))</f>
        <v/>
      </c>
      <c r="I124" s="34" t="n"/>
      <c r="J124" s="34" t="n"/>
      <c r="K124" s="34" t="n"/>
      <c r="L124" s="34" t="n"/>
      <c r="M124" s="34" t="n"/>
      <c r="N124" s="34" t="n"/>
      <c r="O124" s="38" t="inlineStr"/>
    </row>
    <row r="125">
      <c r="C125" t="inlineStr">
        <is>
          <t xml:space="preserve">      Set 1</t>
        </is>
      </c>
      <c r="E125" t="n">
        <v>6</v>
      </c>
      <c r="H125" s="39">
        <f>IF(H124="","",H124)</f>
        <v/>
      </c>
      <c r="I125" s="7">
        <f>IF(H124="","",H124)</f>
        <v/>
      </c>
      <c r="J125" s="7" t="n">
        <v>6</v>
      </c>
      <c r="K125" s="7" t="n"/>
      <c r="L125" s="40" t="n"/>
      <c r="M125">
        <f>IF(AND(L125&lt;&gt;"",N(I125)&gt;0,N(J125)&gt;0),IF(J125=1,I125,ROUND(I125*(1+J125/30),1)),"")</f>
        <v/>
      </c>
      <c r="N125" s="41">
        <f>IF(M125="","",IF(M125&gt;=PRs!C2,"PR!",""))</f>
        <v/>
      </c>
      <c r="O125" s="7" t="n"/>
    </row>
    <row r="126">
      <c r="C126" t="inlineStr">
        <is>
          <t xml:space="preserve">      Set 2</t>
        </is>
      </c>
      <c r="E126" t="n">
        <v>6</v>
      </c>
      <c r="H126" s="39">
        <f>IF(H124="","",H124)</f>
        <v/>
      </c>
      <c r="I126" s="7">
        <f>IF(H124="","",H124)</f>
        <v/>
      </c>
      <c r="J126" s="7" t="n">
        <v>6</v>
      </c>
      <c r="K126" s="7" t="n"/>
      <c r="L126" s="40" t="n"/>
      <c r="M126">
        <f>IF(AND(L126&lt;&gt;"",N(I126)&gt;0,N(J126)&gt;0),IF(J126=1,I126,ROUND(I126*(1+J126/30),1)),"")</f>
        <v/>
      </c>
      <c r="N126" s="41">
        <f>IF(M126="","",IF(M126&gt;=PRs!C2,"PR!",""))</f>
        <v/>
      </c>
      <c r="O126" s="7" t="n"/>
    </row>
    <row r="127">
      <c r="C127" t="inlineStr">
        <is>
          <t xml:space="preserve">      Set 3</t>
        </is>
      </c>
      <c r="E127" t="n">
        <v>6</v>
      </c>
      <c r="H127" s="39">
        <f>IF(H124="","",H124)</f>
        <v/>
      </c>
      <c r="I127" s="7">
        <f>IF(H124="","",H124)</f>
        <v/>
      </c>
      <c r="J127" s="7" t="n">
        <v>6</v>
      </c>
      <c r="K127" s="7" t="n"/>
      <c r="L127" s="40" t="n"/>
      <c r="M127">
        <f>IF(AND(L127&lt;&gt;"",N(I127)&gt;0,N(J127)&gt;0),IF(J127=1,I127,ROUND(I127*(1+J127/30),1)),"")</f>
        <v/>
      </c>
      <c r="N127" s="41">
        <f>IF(M127="","",IF(M127&gt;=PRs!C2,"PR!",""))</f>
        <v/>
      </c>
      <c r="O127" s="7" t="n"/>
    </row>
    <row r="128">
      <c r="A128" s="34" t="n"/>
      <c r="B128" s="34" t="n"/>
      <c r="C128" s="42" t="inlineStr">
        <is>
          <t>Bench Press</t>
        </is>
      </c>
      <c r="D128" s="34" t="inlineStr">
        <is>
          <t>3 x 6</t>
        </is>
      </c>
      <c r="E128" s="34" t="n"/>
      <c r="F128" s="34" t="n">
        <v>72.5</v>
      </c>
      <c r="G128" s="36">
        <f>Maxes!G3</f>
        <v/>
      </c>
      <c r="H128" s="37">
        <f>IF(OR(G128="",F128=""),"",MROUND(G128*F128/100,'Start Here'!$B$7))</f>
        <v/>
      </c>
      <c r="I128" s="34" t="n"/>
      <c r="J128" s="34" t="n"/>
      <c r="K128" s="34" t="n"/>
      <c r="L128" s="34" t="n"/>
      <c r="M128" s="34" t="n"/>
      <c r="N128" s="34" t="n"/>
      <c r="O128" s="38" t="inlineStr"/>
    </row>
    <row r="129">
      <c r="C129" t="inlineStr">
        <is>
          <t xml:space="preserve">      Set 1</t>
        </is>
      </c>
      <c r="E129" t="n">
        <v>6</v>
      </c>
      <c r="H129" s="39">
        <f>IF(H128="","",H128)</f>
        <v/>
      </c>
      <c r="I129" s="7">
        <f>IF(H128="","",H128)</f>
        <v/>
      </c>
      <c r="J129" s="7" t="n">
        <v>6</v>
      </c>
      <c r="K129" s="7" t="n"/>
      <c r="L129" s="40" t="n"/>
      <c r="M129">
        <f>IF(AND(L129&lt;&gt;"",N(I129)&gt;0,N(J129)&gt;0),IF(J129=1,I129,ROUND(I129*(1+J129/30),1)),"")</f>
        <v/>
      </c>
      <c r="N129" s="41">
        <f>IF(M129="","",IF(M129&gt;=PRs!C3,"PR!",""))</f>
        <v/>
      </c>
      <c r="O129" s="7" t="n"/>
    </row>
    <row r="130">
      <c r="C130" t="inlineStr">
        <is>
          <t xml:space="preserve">      Set 2</t>
        </is>
      </c>
      <c r="E130" t="n">
        <v>6</v>
      </c>
      <c r="H130" s="39">
        <f>IF(H128="","",H128)</f>
        <v/>
      </c>
      <c r="I130" s="7">
        <f>IF(H128="","",H128)</f>
        <v/>
      </c>
      <c r="J130" s="7" t="n">
        <v>6</v>
      </c>
      <c r="K130" s="7" t="n"/>
      <c r="L130" s="40" t="n"/>
      <c r="M130">
        <f>IF(AND(L130&lt;&gt;"",N(I130)&gt;0,N(J130)&gt;0),IF(J130=1,I130,ROUND(I130*(1+J130/30),1)),"")</f>
        <v/>
      </c>
      <c r="N130" s="41">
        <f>IF(M130="","",IF(M130&gt;=PRs!C3,"PR!",""))</f>
        <v/>
      </c>
      <c r="O130" s="7" t="n"/>
    </row>
    <row r="131">
      <c r="C131" t="inlineStr">
        <is>
          <t xml:space="preserve">      Set 3</t>
        </is>
      </c>
      <c r="E131" t="n">
        <v>6</v>
      </c>
      <c r="H131" s="39">
        <f>IF(H128="","",H128)</f>
        <v/>
      </c>
      <c r="I131" s="7">
        <f>IF(H128="","",H128)</f>
        <v/>
      </c>
      <c r="J131" s="7" t="n">
        <v>6</v>
      </c>
      <c r="K131" s="7" t="n"/>
      <c r="L131" s="40" t="n"/>
      <c r="M131">
        <f>IF(AND(L131&lt;&gt;"",N(I131)&gt;0,N(J131)&gt;0),IF(J131=1,I131,ROUND(I131*(1+J131/30),1)),"")</f>
        <v/>
      </c>
      <c r="N131" s="41">
        <f>IF(M131="","",IF(M131&gt;=PRs!C3,"PR!",""))</f>
        <v/>
      </c>
      <c r="O131" s="7" t="n"/>
    </row>
    <row r="132">
      <c r="A132" s="34" t="n"/>
      <c r="B132" s="34" t="n"/>
      <c r="C132" s="43" t="inlineStr">
        <is>
          <t>Barbell Row</t>
        </is>
      </c>
      <c r="D132" s="34" t="inlineStr">
        <is>
          <t>4 x 8-10</t>
        </is>
      </c>
      <c r="E132" s="34" t="n"/>
      <c r="F132" s="34" t="n"/>
      <c r="G132" s="36" t="n"/>
      <c r="H132" s="37" t="n"/>
      <c r="I132" s="34" t="n"/>
      <c r="J132" s="34" t="n"/>
      <c r="K132" s="34" t="n"/>
      <c r="L132" s="34" t="n"/>
      <c r="M132" s="34" t="n"/>
      <c r="N132" s="34" t="n"/>
      <c r="O132" s="38" t="inlineStr">
        <is>
          <t>Leave 1-2 reps in the tank; add weight when you hit the top of the range</t>
        </is>
      </c>
    </row>
    <row r="133">
      <c r="C133" t="inlineStr">
        <is>
          <t xml:space="preserve">      Set 1</t>
        </is>
      </c>
      <c r="E133" t="n">
        <v>8</v>
      </c>
      <c r="H133" s="39">
        <f>IF(H132="","",H132)</f>
        <v/>
      </c>
      <c r="I133" s="7">
        <f>IF(H132="","",H132)</f>
        <v/>
      </c>
      <c r="J133" s="7" t="n">
        <v>8</v>
      </c>
      <c r="K133" s="7" t="n"/>
      <c r="L133" s="40" t="n"/>
      <c r="M133">
        <f>IF(AND(L133&lt;&gt;"",N(I133)&gt;0,N(J133)&gt;0),IF(J133=1,I133,ROUND(I133*(1+J133/30),1)),"")</f>
        <v/>
      </c>
      <c r="N133" s="41">
        <f>IF(M133="","",IF(M133&gt;=PRs!C50,"PR!",""))</f>
        <v/>
      </c>
      <c r="O133" s="7" t="n"/>
    </row>
    <row r="134">
      <c r="C134" t="inlineStr">
        <is>
          <t xml:space="preserve">      Set 2</t>
        </is>
      </c>
      <c r="E134" t="n">
        <v>8</v>
      </c>
      <c r="H134" s="39">
        <f>IF(H132="","",H132)</f>
        <v/>
      </c>
      <c r="I134" s="7">
        <f>IF(H132="","",H132)</f>
        <v/>
      </c>
      <c r="J134" s="7" t="n">
        <v>8</v>
      </c>
      <c r="K134" s="7" t="n"/>
      <c r="L134" s="40" t="n"/>
      <c r="M134">
        <f>IF(AND(L134&lt;&gt;"",N(I134)&gt;0,N(J134)&gt;0),IF(J134=1,I134,ROUND(I134*(1+J134/30),1)),"")</f>
        <v/>
      </c>
      <c r="N134" s="41">
        <f>IF(M134="","",IF(M134&gt;=PRs!C50,"PR!",""))</f>
        <v/>
      </c>
      <c r="O134" s="7" t="n"/>
    </row>
    <row r="135">
      <c r="C135" t="inlineStr">
        <is>
          <t xml:space="preserve">      Set 3</t>
        </is>
      </c>
      <c r="E135" t="n">
        <v>8</v>
      </c>
      <c r="H135" s="39">
        <f>IF(H132="","",H132)</f>
        <v/>
      </c>
      <c r="I135" s="7">
        <f>IF(H132="","",H132)</f>
        <v/>
      </c>
      <c r="J135" s="7" t="n">
        <v>8</v>
      </c>
      <c r="K135" s="7" t="n"/>
      <c r="L135" s="40" t="n"/>
      <c r="M135">
        <f>IF(AND(L135&lt;&gt;"",N(I135)&gt;0,N(J135)&gt;0),IF(J135=1,I135,ROUND(I135*(1+J135/30),1)),"")</f>
        <v/>
      </c>
      <c r="N135" s="41">
        <f>IF(M135="","",IF(M135&gt;=PRs!C50,"PR!",""))</f>
        <v/>
      </c>
      <c r="O135" s="7" t="n"/>
    </row>
    <row r="136">
      <c r="C136" t="inlineStr">
        <is>
          <t xml:space="preserve">      Set 4</t>
        </is>
      </c>
      <c r="E136" t="n">
        <v>8</v>
      </c>
      <c r="H136" s="39">
        <f>IF(H132="","",H132)</f>
        <v/>
      </c>
      <c r="I136" s="7">
        <f>IF(H132="","",H132)</f>
        <v/>
      </c>
      <c r="J136" s="7" t="n">
        <v>8</v>
      </c>
      <c r="K136" s="7" t="n"/>
      <c r="L136" s="40" t="n"/>
      <c r="M136">
        <f>IF(AND(L136&lt;&gt;"",N(I136)&gt;0,N(J136)&gt;0),IF(J136=1,I136,ROUND(I136*(1+J136/30),1)),"")</f>
        <v/>
      </c>
      <c r="N136" s="41">
        <f>IF(M136="","",IF(M136&gt;=PRs!C50,"PR!",""))</f>
        <v/>
      </c>
      <c r="O136" s="7" t="n"/>
    </row>
    <row r="137">
      <c r="A137" s="34" t="n"/>
      <c r="B137" s="34" t="n"/>
      <c r="C137" s="43" t="inlineStr">
        <is>
          <t>Face Pull</t>
        </is>
      </c>
      <c r="D137" s="34" t="inlineStr">
        <is>
          <t>4 x 12-15</t>
        </is>
      </c>
      <c r="E137" s="34" t="n"/>
      <c r="F137" s="34" t="n"/>
      <c r="G137" s="36" t="n"/>
      <c r="H137" s="37" t="n"/>
      <c r="I137" s="34" t="n"/>
      <c r="J137" s="34" t="n"/>
      <c r="K137" s="34" t="n"/>
      <c r="L137" s="34" t="n"/>
      <c r="M137" s="34" t="n"/>
      <c r="N137" s="34" t="n"/>
      <c r="O137" s="38" t="inlineStr">
        <is>
          <t>Leave 1-2 reps in the tank; add weight when you hit the top of the range</t>
        </is>
      </c>
    </row>
    <row r="138">
      <c r="C138" t="inlineStr">
        <is>
          <t xml:space="preserve">      Set 1</t>
        </is>
      </c>
      <c r="E138" t="n">
        <v>12</v>
      </c>
      <c r="H138" s="39">
        <f>IF(H137="","",H137)</f>
        <v/>
      </c>
      <c r="I138" s="7">
        <f>IF(H137="","",H137)</f>
        <v/>
      </c>
      <c r="J138" s="7" t="n">
        <v>12</v>
      </c>
      <c r="K138" s="7" t="n"/>
      <c r="L138" s="40" t="n"/>
      <c r="M138">
        <f>IF(AND(L138&lt;&gt;"",N(I138)&gt;0,N(J138)&gt;0),IF(J138=1,I138,ROUND(I138*(1+J138/30),1)),"")</f>
        <v/>
      </c>
      <c r="N138" s="41">
        <f>IF(M138="","",IF(M138&gt;=PRs!C51,"PR!",""))</f>
        <v/>
      </c>
      <c r="O138" s="7" t="n"/>
    </row>
    <row r="139">
      <c r="C139" t="inlineStr">
        <is>
          <t xml:space="preserve">      Set 2</t>
        </is>
      </c>
      <c r="E139" t="n">
        <v>12</v>
      </c>
      <c r="H139" s="39">
        <f>IF(H137="","",H137)</f>
        <v/>
      </c>
      <c r="I139" s="7">
        <f>IF(H137="","",H137)</f>
        <v/>
      </c>
      <c r="J139" s="7" t="n">
        <v>12</v>
      </c>
      <c r="K139" s="7" t="n"/>
      <c r="L139" s="40" t="n"/>
      <c r="M139">
        <f>IF(AND(L139&lt;&gt;"",N(I139)&gt;0,N(J139)&gt;0),IF(J139=1,I139,ROUND(I139*(1+J139/30),1)),"")</f>
        <v/>
      </c>
      <c r="N139" s="41">
        <f>IF(M139="","",IF(M139&gt;=PRs!C51,"PR!",""))</f>
        <v/>
      </c>
      <c r="O139" s="7" t="n"/>
    </row>
    <row r="140">
      <c r="C140" t="inlineStr">
        <is>
          <t xml:space="preserve">      Set 3</t>
        </is>
      </c>
      <c r="E140" t="n">
        <v>12</v>
      </c>
      <c r="H140" s="39">
        <f>IF(H137="","",H137)</f>
        <v/>
      </c>
      <c r="I140" s="7">
        <f>IF(H137="","",H137)</f>
        <v/>
      </c>
      <c r="J140" s="7" t="n">
        <v>12</v>
      </c>
      <c r="K140" s="7" t="n"/>
      <c r="L140" s="40" t="n"/>
      <c r="M140">
        <f>IF(AND(L140&lt;&gt;"",N(I140)&gt;0,N(J140)&gt;0),IF(J140=1,I140,ROUND(I140*(1+J140/30),1)),"")</f>
        <v/>
      </c>
      <c r="N140" s="41">
        <f>IF(M140="","",IF(M140&gt;=PRs!C51,"PR!",""))</f>
        <v/>
      </c>
      <c r="O140" s="7" t="n"/>
    </row>
    <row r="141">
      <c r="C141" t="inlineStr">
        <is>
          <t xml:space="preserve">      Set 4</t>
        </is>
      </c>
      <c r="E141" t="n">
        <v>12</v>
      </c>
      <c r="H141" s="39">
        <f>IF(H137="","",H137)</f>
        <v/>
      </c>
      <c r="I141" s="7">
        <f>IF(H137="","",H137)</f>
        <v/>
      </c>
      <c r="J141" s="7" t="n">
        <v>12</v>
      </c>
      <c r="K141" s="7" t="n"/>
      <c r="L141" s="40" t="n"/>
      <c r="M141">
        <f>IF(AND(L141&lt;&gt;"",N(I141)&gt;0,N(J141)&gt;0),IF(J141=1,I141,ROUND(I141*(1+J141/30),1)),"")</f>
        <v/>
      </c>
      <c r="N141" s="41">
        <f>IF(M141="","",IF(M141&gt;=PRs!C51,"PR!",""))</f>
        <v/>
      </c>
      <c r="O141" s="7" t="n"/>
    </row>
    <row r="142">
      <c r="A142" s="31" t="inlineStr">
        <is>
          <t>Day 2 - Light</t>
        </is>
      </c>
      <c r="B142" s="32">
        <f>'Start Here'!$B$8+177</f>
        <v/>
      </c>
      <c r="C142" s="33" t="n"/>
      <c r="D142" s="33" t="n"/>
      <c r="E142" s="33" t="n"/>
      <c r="F142" s="33" t="n"/>
      <c r="G142" s="33" t="n"/>
      <c r="H142" s="33" t="n"/>
      <c r="I142" s="33" t="n"/>
      <c r="J142" s="33" t="n"/>
      <c r="K142" s="33" t="n"/>
      <c r="L142" s="33" t="n"/>
      <c r="M142" s="33" t="n"/>
      <c r="N142" s="33" t="n"/>
      <c r="O142" s="33" t="n"/>
    </row>
    <row r="143">
      <c r="A143" s="34" t="n"/>
      <c r="B143" s="34" t="n"/>
      <c r="C143" s="35" t="inlineStr">
        <is>
          <t>Broad Jump</t>
        </is>
      </c>
      <c r="D143" s="34" t="inlineStr">
        <is>
          <t>4 x 3</t>
        </is>
      </c>
      <c r="E143" s="34" t="n"/>
      <c r="F143" s="34" t="n"/>
      <c r="G143" s="36" t="n"/>
      <c r="H143" s="37">
        <f>IF(N(Maxes!G70)&gt;0,Maxes!G70,"")</f>
        <v/>
      </c>
      <c r="I143" s="34" t="n"/>
      <c r="J143" s="34" t="n"/>
      <c r="K143" s="34" t="n"/>
      <c r="L143" s="34" t="n"/>
      <c r="M143" s="34" t="n"/>
      <c r="N143" s="34" t="n"/>
      <c r="O143" s="38" t="inlineStr">
        <is>
          <t>Standing two-foot jump forward, stick the landing. Measure toe line to the back of the nearest heel.</t>
        </is>
      </c>
    </row>
    <row r="144">
      <c r="C144" t="inlineStr">
        <is>
          <t xml:space="preserve">      Set 1</t>
        </is>
      </c>
      <c r="E144" t="n">
        <v>3</v>
      </c>
      <c r="H144" s="39">
        <f>IF(H143="","",H143)</f>
        <v/>
      </c>
      <c r="I144" s="7">
        <f>IF(H143="","",H143)</f>
        <v/>
      </c>
      <c r="J144" s="7" t="n">
        <v>3</v>
      </c>
      <c r="K144" s="7" t="n"/>
      <c r="L144" s="40" t="n"/>
      <c r="N144" s="41">
        <f>IF(AND(L144&lt;&gt;"",N(I144)&gt;0),IF(I144&gt;=PRs!D70,"PR!",""),"")</f>
        <v/>
      </c>
      <c r="O144" s="7" t="n"/>
    </row>
    <row r="145">
      <c r="C145" t="inlineStr">
        <is>
          <t xml:space="preserve">      Set 2</t>
        </is>
      </c>
      <c r="E145" t="n">
        <v>3</v>
      </c>
      <c r="H145" s="39">
        <f>IF(H143="","",H143)</f>
        <v/>
      </c>
      <c r="I145" s="7">
        <f>IF(H143="","",H143)</f>
        <v/>
      </c>
      <c r="J145" s="7" t="n">
        <v>3</v>
      </c>
      <c r="K145" s="7" t="n"/>
      <c r="L145" s="40" t="n"/>
      <c r="N145" s="41">
        <f>IF(AND(L145&lt;&gt;"",N(I145)&gt;0),IF(I145&gt;=PRs!D70,"PR!",""),"")</f>
        <v/>
      </c>
      <c r="O145" s="7" t="n"/>
    </row>
    <row r="146">
      <c r="C146" t="inlineStr">
        <is>
          <t xml:space="preserve">      Set 3</t>
        </is>
      </c>
      <c r="E146" t="n">
        <v>3</v>
      </c>
      <c r="H146" s="39">
        <f>IF(H143="","",H143)</f>
        <v/>
      </c>
      <c r="I146" s="7">
        <f>IF(H143="","",H143)</f>
        <v/>
      </c>
      <c r="J146" s="7" t="n">
        <v>3</v>
      </c>
      <c r="K146" s="7" t="n"/>
      <c r="L146" s="40" t="n"/>
      <c r="N146" s="41">
        <f>IF(AND(L146&lt;&gt;"",N(I146)&gt;0),IF(I146&gt;=PRs!D70,"PR!",""),"")</f>
        <v/>
      </c>
      <c r="O146" s="7" t="n"/>
    </row>
    <row r="147">
      <c r="C147" t="inlineStr">
        <is>
          <t xml:space="preserve">      Set 4</t>
        </is>
      </c>
      <c r="E147" t="n">
        <v>3</v>
      </c>
      <c r="H147" s="39">
        <f>IF(H143="","",H143)</f>
        <v/>
      </c>
      <c r="I147" s="7">
        <f>IF(H143="","",H143)</f>
        <v/>
      </c>
      <c r="J147" s="7" t="n">
        <v>3</v>
      </c>
      <c r="K147" s="7" t="n"/>
      <c r="L147" s="40" t="n"/>
      <c r="N147" s="41">
        <f>IF(AND(L147&lt;&gt;"",N(I147)&gt;0),IF(I147&gt;=PRs!D70,"PR!",""),"")</f>
        <v/>
      </c>
      <c r="O147" s="7" t="n"/>
    </row>
    <row r="148">
      <c r="A148" s="34" t="n"/>
      <c r="B148" s="34" t="n"/>
      <c r="C148" s="35" t="inlineStr">
        <is>
          <t>Med Ball Chest Pass</t>
        </is>
      </c>
      <c r="D148" s="34" t="inlineStr">
        <is>
          <t>3 x 5</t>
        </is>
      </c>
      <c r="E148" s="34" t="n"/>
      <c r="F148" s="34" t="n"/>
      <c r="G148" s="36" t="n"/>
      <c r="H148" s="37">
        <f>IF(N(Maxes!G77)&gt;0,Maxes!G77,"")</f>
        <v/>
      </c>
      <c r="I148" s="34" t="n"/>
      <c r="J148" s="34" t="n"/>
      <c r="K148" s="34" t="n"/>
      <c r="L148" s="34" t="n"/>
      <c r="M148" s="34" t="n"/>
      <c r="N148" s="34" t="n"/>
      <c r="O148" s="38" t="inlineStr">
        <is>
          <t>Kneeling or standing chest pass for distance with a 6-10 lb / 3-5 kg ball. Log the distance.</t>
        </is>
      </c>
    </row>
    <row r="149">
      <c r="C149" t="inlineStr">
        <is>
          <t xml:space="preserve">      Set 1</t>
        </is>
      </c>
      <c r="E149" t="n">
        <v>5</v>
      </c>
      <c r="H149" s="39">
        <f>IF(H148="","",H148)</f>
        <v/>
      </c>
      <c r="I149" s="7">
        <f>IF(H148="","",H148)</f>
        <v/>
      </c>
      <c r="J149" s="7" t="n">
        <v>5</v>
      </c>
      <c r="K149" s="7" t="n"/>
      <c r="L149" s="40" t="n"/>
      <c r="N149" s="41">
        <f>IF(AND(L149&lt;&gt;"",N(I149)&gt;0),IF(I149&gt;=PRs!D77,"PR!",""),"")</f>
        <v/>
      </c>
      <c r="O149" s="7" t="n"/>
    </row>
    <row r="150">
      <c r="C150" t="inlineStr">
        <is>
          <t xml:space="preserve">      Set 2</t>
        </is>
      </c>
      <c r="E150" t="n">
        <v>5</v>
      </c>
      <c r="H150" s="39">
        <f>IF(H148="","",H148)</f>
        <v/>
      </c>
      <c r="I150" s="7">
        <f>IF(H148="","",H148)</f>
        <v/>
      </c>
      <c r="J150" s="7" t="n">
        <v>5</v>
      </c>
      <c r="K150" s="7" t="n"/>
      <c r="L150" s="40" t="n"/>
      <c r="N150" s="41">
        <f>IF(AND(L150&lt;&gt;"",N(I150)&gt;0),IF(I150&gt;=PRs!D77,"PR!",""),"")</f>
        <v/>
      </c>
      <c r="O150" s="7" t="n"/>
    </row>
    <row r="151">
      <c r="C151" t="inlineStr">
        <is>
          <t xml:space="preserve">      Set 3</t>
        </is>
      </c>
      <c r="E151" t="n">
        <v>5</v>
      </c>
      <c r="H151" s="39">
        <f>IF(H148="","",H148)</f>
        <v/>
      </c>
      <c r="I151" s="7">
        <f>IF(H148="","",H148)</f>
        <v/>
      </c>
      <c r="J151" s="7" t="n">
        <v>5</v>
      </c>
      <c r="K151" s="7" t="n"/>
      <c r="L151" s="40" t="n"/>
      <c r="N151" s="41">
        <f>IF(AND(L151&lt;&gt;"",N(I151)&gt;0),IF(I151&gt;=PRs!D77,"PR!",""),"")</f>
        <v/>
      </c>
      <c r="O151" s="7" t="n"/>
    </row>
    <row r="152">
      <c r="A152" s="34" t="n"/>
      <c r="B152" s="34" t="n"/>
      <c r="C152" s="42" t="inlineStr">
        <is>
          <t>Clean &amp; Jerk</t>
        </is>
      </c>
      <c r="D152" s="34" t="inlineStr">
        <is>
          <t>4 x 3</t>
        </is>
      </c>
      <c r="E152" s="34" t="n"/>
      <c r="F152" s="34" t="n">
        <v>72.5</v>
      </c>
      <c r="G152" s="36">
        <f>Maxes!G7</f>
        <v/>
      </c>
      <c r="H152" s="37">
        <f>IF(OR(G152="",F152=""),"",MROUND(G152*F152/100,'Start Here'!$B$7))</f>
        <v/>
      </c>
      <c r="I152" s="34" t="n"/>
      <c r="J152" s="34" t="n"/>
      <c r="K152" s="34" t="n"/>
      <c r="L152" s="34" t="n"/>
      <c r="M152" s="34" t="n"/>
      <c r="N152" s="34" t="n"/>
      <c r="O152" s="38" t="inlineStr"/>
    </row>
    <row r="153">
      <c r="C153" t="inlineStr">
        <is>
          <t xml:space="preserve">      Set 1</t>
        </is>
      </c>
      <c r="E153" t="n">
        <v>3</v>
      </c>
      <c r="H153" s="39">
        <f>IF(H152="","",H152)</f>
        <v/>
      </c>
      <c r="I153" s="7">
        <f>IF(H152="","",H152)</f>
        <v/>
      </c>
      <c r="J153" s="7" t="n">
        <v>3</v>
      </c>
      <c r="K153" s="7" t="n"/>
      <c r="L153" s="40" t="n"/>
      <c r="M153">
        <f>IF(AND(L153&lt;&gt;"",N(I153)&gt;0,N(J153)&gt;0),IF(J153=1,I153,ROUND(I153*(1+J153/30),1)),"")</f>
        <v/>
      </c>
      <c r="N153" s="41">
        <f>IF(M153="","",IF(M153&gt;=PRs!C7,"PR!",""))</f>
        <v/>
      </c>
      <c r="O153" s="7" t="n"/>
    </row>
    <row r="154">
      <c r="C154" t="inlineStr">
        <is>
          <t xml:space="preserve">      Set 2</t>
        </is>
      </c>
      <c r="E154" t="n">
        <v>3</v>
      </c>
      <c r="H154" s="39">
        <f>IF(H152="","",H152)</f>
        <v/>
      </c>
      <c r="I154" s="7">
        <f>IF(H152="","",H152)</f>
        <v/>
      </c>
      <c r="J154" s="7" t="n">
        <v>3</v>
      </c>
      <c r="K154" s="7" t="n"/>
      <c r="L154" s="40" t="n"/>
      <c r="M154">
        <f>IF(AND(L154&lt;&gt;"",N(I154)&gt;0,N(J154)&gt;0),IF(J154=1,I154,ROUND(I154*(1+J154/30),1)),"")</f>
        <v/>
      </c>
      <c r="N154" s="41">
        <f>IF(M154="","",IF(M154&gt;=PRs!C7,"PR!",""))</f>
        <v/>
      </c>
      <c r="O154" s="7" t="n"/>
    </row>
    <row r="155">
      <c r="C155" t="inlineStr">
        <is>
          <t xml:space="preserve">      Set 3</t>
        </is>
      </c>
      <c r="E155" t="n">
        <v>3</v>
      </c>
      <c r="H155" s="39">
        <f>IF(H152="","",H152)</f>
        <v/>
      </c>
      <c r="I155" s="7">
        <f>IF(H152="","",H152)</f>
        <v/>
      </c>
      <c r="J155" s="7" t="n">
        <v>3</v>
      </c>
      <c r="K155" s="7" t="n"/>
      <c r="L155" s="40" t="n"/>
      <c r="M155">
        <f>IF(AND(L155&lt;&gt;"",N(I155)&gt;0,N(J155)&gt;0),IF(J155=1,I155,ROUND(I155*(1+J155/30),1)),"")</f>
        <v/>
      </c>
      <c r="N155" s="41">
        <f>IF(M155="","",IF(M155&gt;=PRs!C7,"PR!",""))</f>
        <v/>
      </c>
      <c r="O155" s="7" t="n"/>
    </row>
    <row r="156">
      <c r="C156" t="inlineStr">
        <is>
          <t xml:space="preserve">      Set 4</t>
        </is>
      </c>
      <c r="E156" t="n">
        <v>3</v>
      </c>
      <c r="H156" s="39">
        <f>IF(H152="","",H152)</f>
        <v/>
      </c>
      <c r="I156" s="7">
        <f>IF(H152="","",H152)</f>
        <v/>
      </c>
      <c r="J156" s="7" t="n">
        <v>3</v>
      </c>
      <c r="K156" s="7" t="n"/>
      <c r="L156" s="40" t="n"/>
      <c r="M156">
        <f>IF(AND(L156&lt;&gt;"",N(I156)&gt;0,N(J156)&gt;0),IF(J156=1,I156,ROUND(I156*(1+J156/30),1)),"")</f>
        <v/>
      </c>
      <c r="N156" s="41">
        <f>IF(M156="","",IF(M156&gt;=PRs!C7,"PR!",""))</f>
        <v/>
      </c>
      <c r="O156" s="7" t="n"/>
    </row>
    <row r="157">
      <c r="A157" s="34" t="n"/>
      <c r="B157" s="34" t="n"/>
      <c r="C157" s="42" t="inlineStr">
        <is>
          <t>Squat</t>
        </is>
      </c>
      <c r="D157" s="34" t="inlineStr">
        <is>
          <t>3 x 6</t>
        </is>
      </c>
      <c r="E157" s="34" t="n"/>
      <c r="F157" s="34" t="n">
        <v>62.5</v>
      </c>
      <c r="G157" s="36">
        <f>Maxes!G2</f>
        <v/>
      </c>
      <c r="H157" s="37">
        <f>IF(OR(G157="",F157=""),"",MROUND(G157*F157/100,'Start Here'!$B$7))</f>
        <v/>
      </c>
      <c r="I157" s="34" t="n"/>
      <c r="J157" s="34" t="n"/>
      <c r="K157" s="34" t="n"/>
      <c r="L157" s="34" t="n"/>
      <c r="M157" s="34" t="n"/>
      <c r="N157" s="34" t="n"/>
      <c r="O157" s="38" t="inlineStr"/>
    </row>
    <row r="158">
      <c r="C158" t="inlineStr">
        <is>
          <t xml:space="preserve">      Set 1</t>
        </is>
      </c>
      <c r="E158" t="n">
        <v>6</v>
      </c>
      <c r="H158" s="39">
        <f>IF(H157="","",H157)</f>
        <v/>
      </c>
      <c r="I158" s="7">
        <f>IF(H157="","",H157)</f>
        <v/>
      </c>
      <c r="J158" s="7" t="n">
        <v>6</v>
      </c>
      <c r="K158" s="7" t="n"/>
      <c r="L158" s="40" t="n"/>
      <c r="M158">
        <f>IF(AND(L158&lt;&gt;"",N(I158)&gt;0,N(J158)&gt;0),IF(J158=1,I158,ROUND(I158*(1+J158/30),1)),"")</f>
        <v/>
      </c>
      <c r="N158" s="41">
        <f>IF(M158="","",IF(M158&gt;=PRs!C2,"PR!",""))</f>
        <v/>
      </c>
      <c r="O158" s="7" t="n"/>
    </row>
    <row r="159">
      <c r="C159" t="inlineStr">
        <is>
          <t xml:space="preserve">      Set 2</t>
        </is>
      </c>
      <c r="E159" t="n">
        <v>6</v>
      </c>
      <c r="H159" s="39">
        <f>IF(H157="","",H157)</f>
        <v/>
      </c>
      <c r="I159" s="7">
        <f>IF(H157="","",H157)</f>
        <v/>
      </c>
      <c r="J159" s="7" t="n">
        <v>6</v>
      </c>
      <c r="K159" s="7" t="n"/>
      <c r="L159" s="40" t="n"/>
      <c r="M159">
        <f>IF(AND(L159&lt;&gt;"",N(I159)&gt;0,N(J159)&gt;0),IF(J159=1,I159,ROUND(I159*(1+J159/30),1)),"")</f>
        <v/>
      </c>
      <c r="N159" s="41">
        <f>IF(M159="","",IF(M159&gt;=PRs!C2,"PR!",""))</f>
        <v/>
      </c>
      <c r="O159" s="7" t="n"/>
    </row>
    <row r="160">
      <c r="C160" t="inlineStr">
        <is>
          <t xml:space="preserve">      Set 3</t>
        </is>
      </c>
      <c r="E160" t="n">
        <v>6</v>
      </c>
      <c r="H160" s="39">
        <f>IF(H157="","",H157)</f>
        <v/>
      </c>
      <c r="I160" s="7">
        <f>IF(H157="","",H157)</f>
        <v/>
      </c>
      <c r="J160" s="7" t="n">
        <v>6</v>
      </c>
      <c r="K160" s="7" t="n"/>
      <c r="L160" s="40" t="n"/>
      <c r="M160">
        <f>IF(AND(L160&lt;&gt;"",N(I160)&gt;0,N(J160)&gt;0),IF(J160=1,I160,ROUND(I160*(1+J160/30),1)),"")</f>
        <v/>
      </c>
      <c r="N160" s="41">
        <f>IF(M160="","",IF(M160&gt;=PRs!C2,"PR!",""))</f>
        <v/>
      </c>
      <c r="O160" s="7" t="n"/>
    </row>
    <row r="161">
      <c r="A161" s="34" t="n"/>
      <c r="B161" s="34" t="n"/>
      <c r="C161" s="42" t="inlineStr">
        <is>
          <t>Overhead Press</t>
        </is>
      </c>
      <c r="D161" s="34" t="inlineStr">
        <is>
          <t>4 x 6</t>
        </is>
      </c>
      <c r="E161" s="34" t="n"/>
      <c r="F161" s="34" t="n">
        <v>67.5</v>
      </c>
      <c r="G161" s="36">
        <f>Maxes!G5</f>
        <v/>
      </c>
      <c r="H161" s="37">
        <f>IF(OR(G161="",F161=""),"",MROUND(G161*F161/100,'Start Here'!$B$7))</f>
        <v/>
      </c>
      <c r="I161" s="34" t="n"/>
      <c r="J161" s="34" t="n"/>
      <c r="K161" s="34" t="n"/>
      <c r="L161" s="34" t="n"/>
      <c r="M161" s="34" t="n"/>
      <c r="N161" s="34" t="n"/>
      <c r="O161" s="38" t="inlineStr"/>
    </row>
    <row r="162">
      <c r="C162" t="inlineStr">
        <is>
          <t xml:space="preserve">      Set 1</t>
        </is>
      </c>
      <c r="E162" t="n">
        <v>6</v>
      </c>
      <c r="H162" s="39">
        <f>IF(H161="","",H161)</f>
        <v/>
      </c>
      <c r="I162" s="7">
        <f>IF(H161="","",H161)</f>
        <v/>
      </c>
      <c r="J162" s="7" t="n">
        <v>6</v>
      </c>
      <c r="K162" s="7" t="n"/>
      <c r="L162" s="40" t="n"/>
      <c r="M162">
        <f>IF(AND(L162&lt;&gt;"",N(I162)&gt;0,N(J162)&gt;0),IF(J162=1,I162,ROUND(I162*(1+J162/30),1)),"")</f>
        <v/>
      </c>
      <c r="N162" s="41">
        <f>IF(M162="","",IF(M162&gt;=PRs!C5,"PR!",""))</f>
        <v/>
      </c>
      <c r="O162" s="7" t="n"/>
    </row>
    <row r="163">
      <c r="C163" t="inlineStr">
        <is>
          <t xml:space="preserve">      Set 2</t>
        </is>
      </c>
      <c r="E163" t="n">
        <v>6</v>
      </c>
      <c r="H163" s="39">
        <f>IF(H161="","",H161)</f>
        <v/>
      </c>
      <c r="I163" s="7">
        <f>IF(H161="","",H161)</f>
        <v/>
      </c>
      <c r="J163" s="7" t="n">
        <v>6</v>
      </c>
      <c r="K163" s="7" t="n"/>
      <c r="L163" s="40" t="n"/>
      <c r="M163">
        <f>IF(AND(L163&lt;&gt;"",N(I163)&gt;0,N(J163)&gt;0),IF(J163=1,I163,ROUND(I163*(1+J163/30),1)),"")</f>
        <v/>
      </c>
      <c r="N163" s="41">
        <f>IF(M163="","",IF(M163&gt;=PRs!C5,"PR!",""))</f>
        <v/>
      </c>
      <c r="O163" s="7" t="n"/>
    </row>
    <row r="164">
      <c r="C164" t="inlineStr">
        <is>
          <t xml:space="preserve">      Set 3</t>
        </is>
      </c>
      <c r="E164" t="n">
        <v>6</v>
      </c>
      <c r="H164" s="39">
        <f>IF(H161="","",H161)</f>
        <v/>
      </c>
      <c r="I164" s="7">
        <f>IF(H161="","",H161)</f>
        <v/>
      </c>
      <c r="J164" s="7" t="n">
        <v>6</v>
      </c>
      <c r="K164" s="7" t="n"/>
      <c r="L164" s="40" t="n"/>
      <c r="M164">
        <f>IF(AND(L164&lt;&gt;"",N(I164)&gt;0,N(J164)&gt;0),IF(J164=1,I164,ROUND(I164*(1+J164/30),1)),"")</f>
        <v/>
      </c>
      <c r="N164" s="41">
        <f>IF(M164="","",IF(M164&gt;=PRs!C5,"PR!",""))</f>
        <v/>
      </c>
      <c r="O164" s="7" t="n"/>
    </row>
    <row r="165">
      <c r="C165" t="inlineStr">
        <is>
          <t xml:space="preserve">      Set 4</t>
        </is>
      </c>
      <c r="E165" t="n">
        <v>6</v>
      </c>
      <c r="H165" s="39">
        <f>IF(H161="","",H161)</f>
        <v/>
      </c>
      <c r="I165" s="7">
        <f>IF(H161="","",H161)</f>
        <v/>
      </c>
      <c r="J165" s="7" t="n">
        <v>6</v>
      </c>
      <c r="K165" s="7" t="n"/>
      <c r="L165" s="40" t="n"/>
      <c r="M165">
        <f>IF(AND(L165&lt;&gt;"",N(I165)&gt;0,N(J165)&gt;0),IF(J165=1,I165,ROUND(I165*(1+J165/30),1)),"")</f>
        <v/>
      </c>
      <c r="N165" s="41">
        <f>IF(M165="","",IF(M165&gt;=PRs!C5,"PR!",""))</f>
        <v/>
      </c>
      <c r="O165" s="7" t="n"/>
    </row>
    <row r="166">
      <c r="A166" s="34" t="n"/>
      <c r="B166" s="34" t="n"/>
      <c r="C166" s="42" t="inlineStr">
        <is>
          <t>Deadlift</t>
        </is>
      </c>
      <c r="D166" s="34" t="inlineStr">
        <is>
          <t>3 x 6</t>
        </is>
      </c>
      <c r="E166" s="34" t="n"/>
      <c r="F166" s="34" t="n">
        <v>67.5</v>
      </c>
      <c r="G166" s="36">
        <f>Maxes!G4</f>
        <v/>
      </c>
      <c r="H166" s="37">
        <f>IF(OR(G166="",F166=""),"",MROUND(G166*F166/100,'Start Here'!$B$7))</f>
        <v/>
      </c>
      <c r="I166" s="34" t="n"/>
      <c r="J166" s="34" t="n"/>
      <c r="K166" s="34" t="n"/>
      <c r="L166" s="34" t="n"/>
      <c r="M166" s="34" t="n"/>
      <c r="N166" s="34" t="n"/>
      <c r="O166" s="38" t="inlineStr"/>
    </row>
    <row r="167">
      <c r="C167" t="inlineStr">
        <is>
          <t xml:space="preserve">      Set 1</t>
        </is>
      </c>
      <c r="E167" t="n">
        <v>6</v>
      </c>
      <c r="H167" s="39">
        <f>IF(H166="","",H166)</f>
        <v/>
      </c>
      <c r="I167" s="7">
        <f>IF(H166="","",H166)</f>
        <v/>
      </c>
      <c r="J167" s="7" t="n">
        <v>6</v>
      </c>
      <c r="K167" s="7" t="n"/>
      <c r="L167" s="40" t="n"/>
      <c r="M167">
        <f>IF(AND(L167&lt;&gt;"",N(I167)&gt;0,N(J167)&gt;0),IF(J167=1,I167,ROUND(I167*(1+J167/30),1)),"")</f>
        <v/>
      </c>
      <c r="N167" s="41">
        <f>IF(M167="","",IF(M167&gt;=PRs!C4,"PR!",""))</f>
        <v/>
      </c>
      <c r="O167" s="7" t="n"/>
    </row>
    <row r="168">
      <c r="C168" t="inlineStr">
        <is>
          <t xml:space="preserve">      Set 2</t>
        </is>
      </c>
      <c r="E168" t="n">
        <v>6</v>
      </c>
      <c r="H168" s="39">
        <f>IF(H166="","",H166)</f>
        <v/>
      </c>
      <c r="I168" s="7">
        <f>IF(H166="","",H166)</f>
        <v/>
      </c>
      <c r="J168" s="7" t="n">
        <v>6</v>
      </c>
      <c r="K168" s="7" t="n"/>
      <c r="L168" s="40" t="n"/>
      <c r="M168">
        <f>IF(AND(L168&lt;&gt;"",N(I168)&gt;0,N(J168)&gt;0),IF(J168=1,I168,ROUND(I168*(1+J168/30),1)),"")</f>
        <v/>
      </c>
      <c r="N168" s="41">
        <f>IF(M168="","",IF(M168&gt;=PRs!C4,"PR!",""))</f>
        <v/>
      </c>
      <c r="O168" s="7" t="n"/>
    </row>
    <row r="169">
      <c r="C169" t="inlineStr">
        <is>
          <t xml:space="preserve">      Set 3</t>
        </is>
      </c>
      <c r="E169" t="n">
        <v>6</v>
      </c>
      <c r="H169" s="39">
        <f>IF(H166="","",H166)</f>
        <v/>
      </c>
      <c r="I169" s="7">
        <f>IF(H166="","",H166)</f>
        <v/>
      </c>
      <c r="J169" s="7" t="n">
        <v>6</v>
      </c>
      <c r="K169" s="7" t="n"/>
      <c r="L169" s="40" t="n"/>
      <c r="M169">
        <f>IF(AND(L169&lt;&gt;"",N(I169)&gt;0,N(J169)&gt;0),IF(J169=1,I169,ROUND(I169*(1+J169/30),1)),"")</f>
        <v/>
      </c>
      <c r="N169" s="41">
        <f>IF(M169="","",IF(M169&gt;=PRs!C4,"PR!",""))</f>
        <v/>
      </c>
      <c r="O169" s="7" t="n"/>
    </row>
    <row r="170">
      <c r="A170" s="34" t="n"/>
      <c r="B170" s="34" t="n"/>
      <c r="C170" s="43" t="inlineStr">
        <is>
          <t>Chin-up</t>
        </is>
      </c>
      <c r="D170" s="34" t="inlineStr">
        <is>
          <t>4 x 6-10</t>
        </is>
      </c>
      <c r="E170" s="34" t="n"/>
      <c r="F170" s="34" t="n"/>
      <c r="G170" s="36" t="n"/>
      <c r="H170" s="37" t="n"/>
      <c r="I170" s="34" t="n"/>
      <c r="J170" s="34" t="n"/>
      <c r="K170" s="34" t="n"/>
      <c r="L170" s="34" t="n"/>
      <c r="M170" s="34" t="n"/>
      <c r="N170" s="34" t="n"/>
      <c r="O170" s="38" t="inlineStr">
        <is>
          <t>Leave 1-2 reps in the tank; add weight when you hit the top of the range</t>
        </is>
      </c>
    </row>
    <row r="171">
      <c r="C171" t="inlineStr">
        <is>
          <t xml:space="preserve">      Set 1</t>
        </is>
      </c>
      <c r="E171" t="n">
        <v>6</v>
      </c>
      <c r="H171" s="39">
        <f>IF(H170="","",H170)</f>
        <v/>
      </c>
      <c r="I171" s="7">
        <f>IF(H170="","",H170)</f>
        <v/>
      </c>
      <c r="J171" s="7" t="n">
        <v>6</v>
      </c>
      <c r="K171" s="7" t="n"/>
      <c r="L171" s="40" t="n"/>
      <c r="M171">
        <f>IF(AND(L171&lt;&gt;"",N(I171)&gt;0,N(J171)&gt;0),IF(J171=1,I171,ROUND(I171*(1+J171/30),1)),"")</f>
        <v/>
      </c>
      <c r="N171" s="41">
        <f>IF(M171="","",IF(M171&gt;=PRs!C53,"PR!",""))</f>
        <v/>
      </c>
      <c r="O171" s="7" t="n"/>
    </row>
    <row r="172">
      <c r="C172" t="inlineStr">
        <is>
          <t xml:space="preserve">      Set 2</t>
        </is>
      </c>
      <c r="E172" t="n">
        <v>6</v>
      </c>
      <c r="H172" s="39">
        <f>IF(H170="","",H170)</f>
        <v/>
      </c>
      <c r="I172" s="7">
        <f>IF(H170="","",H170)</f>
        <v/>
      </c>
      <c r="J172" s="7" t="n">
        <v>6</v>
      </c>
      <c r="K172" s="7" t="n"/>
      <c r="L172" s="40" t="n"/>
      <c r="M172">
        <f>IF(AND(L172&lt;&gt;"",N(I172)&gt;0,N(J172)&gt;0),IF(J172=1,I172,ROUND(I172*(1+J172/30),1)),"")</f>
        <v/>
      </c>
      <c r="N172" s="41">
        <f>IF(M172="","",IF(M172&gt;=PRs!C53,"PR!",""))</f>
        <v/>
      </c>
      <c r="O172" s="7" t="n"/>
    </row>
    <row r="173">
      <c r="C173" t="inlineStr">
        <is>
          <t xml:space="preserve">      Set 3</t>
        </is>
      </c>
      <c r="E173" t="n">
        <v>6</v>
      </c>
      <c r="H173" s="39">
        <f>IF(H170="","",H170)</f>
        <v/>
      </c>
      <c r="I173" s="7">
        <f>IF(H170="","",H170)</f>
        <v/>
      </c>
      <c r="J173" s="7" t="n">
        <v>6</v>
      </c>
      <c r="K173" s="7" t="n"/>
      <c r="L173" s="40" t="n"/>
      <c r="M173">
        <f>IF(AND(L173&lt;&gt;"",N(I173)&gt;0,N(J173)&gt;0),IF(J173=1,I173,ROUND(I173*(1+J173/30),1)),"")</f>
        <v/>
      </c>
      <c r="N173" s="41">
        <f>IF(M173="","",IF(M173&gt;=PRs!C53,"PR!",""))</f>
        <v/>
      </c>
      <c r="O173" s="7" t="n"/>
    </row>
    <row r="174">
      <c r="C174" t="inlineStr">
        <is>
          <t xml:space="preserve">      Set 4</t>
        </is>
      </c>
      <c r="E174" t="n">
        <v>6</v>
      </c>
      <c r="H174" s="39">
        <f>IF(H170="","",H170)</f>
        <v/>
      </c>
      <c r="I174" s="7">
        <f>IF(H170="","",H170)</f>
        <v/>
      </c>
      <c r="J174" s="7" t="n">
        <v>6</v>
      </c>
      <c r="K174" s="7" t="n"/>
      <c r="L174" s="40" t="n"/>
      <c r="M174">
        <f>IF(AND(L174&lt;&gt;"",N(I174)&gt;0,N(J174)&gt;0),IF(J174=1,I174,ROUND(I174*(1+J174/30),1)),"")</f>
        <v/>
      </c>
      <c r="N174" s="41">
        <f>IF(M174="","",IF(M174&gt;=PRs!C53,"PR!",""))</f>
        <v/>
      </c>
      <c r="O174" s="7" t="n"/>
    </row>
    <row r="175">
      <c r="A175" s="34" t="n"/>
      <c r="B175" s="34" t="n"/>
      <c r="C175" s="43" t="inlineStr">
        <is>
          <t>Plank</t>
        </is>
      </c>
      <c r="D175" s="34" t="inlineStr">
        <is>
          <t>4 x 30-60s</t>
        </is>
      </c>
      <c r="E175" s="34" t="n"/>
      <c r="F175" s="34" t="n"/>
      <c r="G175" s="36" t="n"/>
      <c r="H175" s="37" t="n"/>
      <c r="I175" s="34" t="n"/>
      <c r="J175" s="34" t="n"/>
      <c r="K175" s="34" t="n"/>
      <c r="L175" s="34" t="n"/>
      <c r="M175" s="34" t="n"/>
      <c r="N175" s="34" t="n"/>
      <c r="O175" s="38" t="inlineStr">
        <is>
          <t>Leave 1-2 reps in the tank; add weight when you hit the top of the range</t>
        </is>
      </c>
    </row>
    <row r="176">
      <c r="C176" t="inlineStr">
        <is>
          <t xml:space="preserve">      Set 1</t>
        </is>
      </c>
      <c r="E176" t="n">
        <v>30</v>
      </c>
      <c r="H176" s="39">
        <f>IF(H175="","",H175)</f>
        <v/>
      </c>
      <c r="I176" s="7">
        <f>IF(H175="","",H175)</f>
        <v/>
      </c>
      <c r="J176" s="7" t="n">
        <v>30</v>
      </c>
      <c r="K176" s="7" t="n"/>
      <c r="L176" s="40" t="n"/>
      <c r="M176">
        <f>IF(AND(L176&lt;&gt;"",N(I176)&gt;0,N(J176)&gt;0),IF(J176=1,I176,ROUND(I176*(1+J176/30),1)),"")</f>
        <v/>
      </c>
      <c r="N176" s="41">
        <f>IF(M176="","",IF(M176&gt;=PRs!C56,"PR!",""))</f>
        <v/>
      </c>
      <c r="O176" s="7" t="n"/>
    </row>
    <row r="177">
      <c r="C177" t="inlineStr">
        <is>
          <t xml:space="preserve">      Set 2</t>
        </is>
      </c>
      <c r="E177" t="n">
        <v>30</v>
      </c>
      <c r="H177" s="39">
        <f>IF(H175="","",H175)</f>
        <v/>
      </c>
      <c r="I177" s="7">
        <f>IF(H175="","",H175)</f>
        <v/>
      </c>
      <c r="J177" s="7" t="n">
        <v>30</v>
      </c>
      <c r="K177" s="7" t="n"/>
      <c r="L177" s="40" t="n"/>
      <c r="M177">
        <f>IF(AND(L177&lt;&gt;"",N(I177)&gt;0,N(J177)&gt;0),IF(J177=1,I177,ROUND(I177*(1+J177/30),1)),"")</f>
        <v/>
      </c>
      <c r="N177" s="41">
        <f>IF(M177="","",IF(M177&gt;=PRs!C56,"PR!",""))</f>
        <v/>
      </c>
      <c r="O177" s="7" t="n"/>
    </row>
    <row r="178">
      <c r="C178" t="inlineStr">
        <is>
          <t xml:space="preserve">      Set 3</t>
        </is>
      </c>
      <c r="E178" t="n">
        <v>30</v>
      </c>
      <c r="H178" s="39">
        <f>IF(H175="","",H175)</f>
        <v/>
      </c>
      <c r="I178" s="7">
        <f>IF(H175="","",H175)</f>
        <v/>
      </c>
      <c r="J178" s="7" t="n">
        <v>30</v>
      </c>
      <c r="K178" s="7" t="n"/>
      <c r="L178" s="40" t="n"/>
      <c r="M178">
        <f>IF(AND(L178&lt;&gt;"",N(I178)&gt;0,N(J178)&gt;0),IF(J178=1,I178,ROUND(I178*(1+J178/30),1)),"")</f>
        <v/>
      </c>
      <c r="N178" s="41">
        <f>IF(M178="","",IF(M178&gt;=PRs!C56,"PR!",""))</f>
        <v/>
      </c>
      <c r="O178" s="7" t="n"/>
    </row>
    <row r="179">
      <c r="C179" t="inlineStr">
        <is>
          <t xml:space="preserve">      Set 4</t>
        </is>
      </c>
      <c r="E179" t="n">
        <v>30</v>
      </c>
      <c r="H179" s="39">
        <f>IF(H175="","",H175)</f>
        <v/>
      </c>
      <c r="I179" s="7">
        <f>IF(H175="","",H175)</f>
        <v/>
      </c>
      <c r="J179" s="7" t="n">
        <v>30</v>
      </c>
      <c r="K179" s="7" t="n"/>
      <c r="L179" s="40" t="n"/>
      <c r="M179">
        <f>IF(AND(L179&lt;&gt;"",N(I179)&gt;0,N(J179)&gt;0),IF(J179=1,I179,ROUND(I179*(1+J179/30),1)),"")</f>
        <v/>
      </c>
      <c r="N179" s="41">
        <f>IF(M179="","",IF(M179&gt;=PRs!C56,"PR!",""))</f>
        <v/>
      </c>
      <c r="O179" s="7" t="n"/>
    </row>
    <row r="180">
      <c r="A180" s="31" t="inlineStr">
        <is>
          <t>Day 3 - Variations</t>
        </is>
      </c>
      <c r="B180" s="32">
        <f>'Start Here'!$B$8+179</f>
        <v/>
      </c>
      <c r="C180" s="33" t="n"/>
      <c r="D180" s="33" t="n"/>
      <c r="E180" s="33" t="n"/>
      <c r="F180" s="33" t="n"/>
      <c r="G180" s="33" t="n"/>
      <c r="H180" s="33" t="n"/>
      <c r="I180" s="33" t="n"/>
      <c r="J180" s="33" t="n"/>
      <c r="K180" s="33" t="n"/>
      <c r="L180" s="33" t="n"/>
      <c r="M180" s="33" t="n"/>
      <c r="N180" s="33" t="n"/>
      <c r="O180" s="33" t="n"/>
    </row>
    <row r="181">
      <c r="A181" s="34" t="n"/>
      <c r="B181" s="34" t="n"/>
      <c r="C181" s="35" t="inlineStr">
        <is>
          <t>Depth Jump</t>
        </is>
      </c>
      <c r="D181" s="34" t="inlineStr">
        <is>
          <t>4 x 3</t>
        </is>
      </c>
      <c r="E181" s="34" t="n"/>
      <c r="F181" s="34" t="n"/>
      <c r="G181" s="36" t="n"/>
      <c r="H181" s="37">
        <f>IF(N(Maxes!G72)&gt;0,Maxes!G72,"")</f>
        <v/>
      </c>
      <c r="I181" s="34" t="n"/>
      <c r="J181" s="34" t="n"/>
      <c r="K181" s="34" t="n"/>
      <c r="L181" s="34" t="n"/>
      <c r="M181" s="34" t="n"/>
      <c r="N181" s="34" t="n"/>
      <c r="O181" s="38" t="inlineStr">
        <is>
          <t>Step off a low box (12-18 in / 30-45 cm), land and rebound straight up as fast as possible. Log the drop-box height.</t>
        </is>
      </c>
    </row>
    <row r="182">
      <c r="C182" t="inlineStr">
        <is>
          <t xml:space="preserve">      Set 1</t>
        </is>
      </c>
      <c r="E182" t="n">
        <v>3</v>
      </c>
      <c r="H182" s="39">
        <f>IF(H181="","",H181)</f>
        <v/>
      </c>
      <c r="I182" s="7">
        <f>IF(H181="","",H181)</f>
        <v/>
      </c>
      <c r="J182" s="7" t="n">
        <v>3</v>
      </c>
      <c r="K182" s="7" t="n"/>
      <c r="L182" s="40" t="n"/>
      <c r="N182" s="41">
        <f>IF(AND(L182&lt;&gt;"",N(I182)&gt;0),IF(I182&gt;=PRs!D72,"PR!",""),"")</f>
        <v/>
      </c>
      <c r="O182" s="7" t="n"/>
    </row>
    <row r="183">
      <c r="C183" t="inlineStr">
        <is>
          <t xml:space="preserve">      Set 2</t>
        </is>
      </c>
      <c r="E183" t="n">
        <v>3</v>
      </c>
      <c r="H183" s="39">
        <f>IF(H181="","",H181)</f>
        <v/>
      </c>
      <c r="I183" s="7">
        <f>IF(H181="","",H181)</f>
        <v/>
      </c>
      <c r="J183" s="7" t="n">
        <v>3</v>
      </c>
      <c r="K183" s="7" t="n"/>
      <c r="L183" s="40" t="n"/>
      <c r="N183" s="41">
        <f>IF(AND(L183&lt;&gt;"",N(I183)&gt;0),IF(I183&gt;=PRs!D72,"PR!",""),"")</f>
        <v/>
      </c>
      <c r="O183" s="7" t="n"/>
    </row>
    <row r="184">
      <c r="C184" t="inlineStr">
        <is>
          <t xml:space="preserve">      Set 3</t>
        </is>
      </c>
      <c r="E184" t="n">
        <v>3</v>
      </c>
      <c r="H184" s="39">
        <f>IF(H181="","",H181)</f>
        <v/>
      </c>
      <c r="I184" s="7">
        <f>IF(H181="","",H181)</f>
        <v/>
      </c>
      <c r="J184" s="7" t="n">
        <v>3</v>
      </c>
      <c r="K184" s="7" t="n"/>
      <c r="L184" s="40" t="n"/>
      <c r="N184" s="41">
        <f>IF(AND(L184&lt;&gt;"",N(I184)&gt;0),IF(I184&gt;=PRs!D72,"PR!",""),"")</f>
        <v/>
      </c>
      <c r="O184" s="7" t="n"/>
    </row>
    <row r="185">
      <c r="C185" t="inlineStr">
        <is>
          <t xml:space="preserve">      Set 4</t>
        </is>
      </c>
      <c r="E185" t="n">
        <v>3</v>
      </c>
      <c r="H185" s="39">
        <f>IF(H181="","",H181)</f>
        <v/>
      </c>
      <c r="I185" s="7">
        <f>IF(H181="","",H181)</f>
        <v/>
      </c>
      <c r="J185" s="7" t="n">
        <v>3</v>
      </c>
      <c r="K185" s="7" t="n"/>
      <c r="L185" s="40" t="n"/>
      <c r="N185" s="41">
        <f>IF(AND(L185&lt;&gt;"",N(I185)&gt;0),IF(I185&gt;=PRs!D72,"PR!",""),"")</f>
        <v/>
      </c>
      <c r="O185" s="7" t="n"/>
    </row>
    <row r="186">
      <c r="A186" s="34" t="n"/>
      <c r="B186" s="34" t="n"/>
      <c r="C186" s="42" t="inlineStr">
        <is>
          <t>Block Snatch</t>
        </is>
      </c>
      <c r="D186" s="34" t="inlineStr">
        <is>
          <t>6 x 3</t>
        </is>
      </c>
      <c r="E186" s="34" t="n"/>
      <c r="F186" s="34" t="n">
        <v>67.5</v>
      </c>
      <c r="G186" s="36">
        <f>Maxes!G40</f>
        <v/>
      </c>
      <c r="H186" s="37">
        <f>IF(OR(G186="",F186=""),"",MROUND(G186*F186/100,'Start Here'!$B$7))</f>
        <v/>
      </c>
      <c r="I186" s="34" t="n"/>
      <c r="J186" s="34" t="n"/>
      <c r="K186" s="34" t="n"/>
      <c r="L186" s="34" t="n"/>
      <c r="M186" s="34" t="n"/>
      <c r="N186" s="34" t="n"/>
      <c r="O186" s="38" t="inlineStr"/>
    </row>
    <row r="187">
      <c r="C187" t="inlineStr">
        <is>
          <t xml:space="preserve">      Set 1</t>
        </is>
      </c>
      <c r="E187" t="n">
        <v>3</v>
      </c>
      <c r="H187" s="39">
        <f>IF(H186="","",H186)</f>
        <v/>
      </c>
      <c r="I187" s="7">
        <f>IF(H186="","",H186)</f>
        <v/>
      </c>
      <c r="J187" s="7" t="n">
        <v>3</v>
      </c>
      <c r="K187" s="7" t="n"/>
      <c r="L187" s="40" t="n"/>
      <c r="M187">
        <f>IF(AND(L187&lt;&gt;"",N(I187)&gt;0,N(J187)&gt;0),IF(J187=1,I187,ROUND(I187*(1+J187/30),1)),"")</f>
        <v/>
      </c>
      <c r="N187" s="41">
        <f>IF(M187="","",IF(M187&gt;=PRs!C40,"PR!",""))</f>
        <v/>
      </c>
      <c r="O187" s="7" t="n"/>
    </row>
    <row r="188">
      <c r="C188" t="inlineStr">
        <is>
          <t xml:space="preserve">      Set 2</t>
        </is>
      </c>
      <c r="E188" t="n">
        <v>3</v>
      </c>
      <c r="H188" s="39">
        <f>IF(H186="","",H186)</f>
        <v/>
      </c>
      <c r="I188" s="7">
        <f>IF(H186="","",H186)</f>
        <v/>
      </c>
      <c r="J188" s="7" t="n">
        <v>3</v>
      </c>
      <c r="K188" s="7" t="n"/>
      <c r="L188" s="40" t="n"/>
      <c r="M188">
        <f>IF(AND(L188&lt;&gt;"",N(I188)&gt;0,N(J188)&gt;0),IF(J188=1,I188,ROUND(I188*(1+J188/30),1)),"")</f>
        <v/>
      </c>
      <c r="N188" s="41">
        <f>IF(M188="","",IF(M188&gt;=PRs!C40,"PR!",""))</f>
        <v/>
      </c>
      <c r="O188" s="7" t="n"/>
    </row>
    <row r="189">
      <c r="C189" t="inlineStr">
        <is>
          <t xml:space="preserve">      Set 3</t>
        </is>
      </c>
      <c r="E189" t="n">
        <v>3</v>
      </c>
      <c r="H189" s="39">
        <f>IF(H186="","",H186)</f>
        <v/>
      </c>
      <c r="I189" s="7">
        <f>IF(H186="","",H186)</f>
        <v/>
      </c>
      <c r="J189" s="7" t="n">
        <v>3</v>
      </c>
      <c r="K189" s="7" t="n"/>
      <c r="L189" s="40" t="n"/>
      <c r="M189">
        <f>IF(AND(L189&lt;&gt;"",N(I189)&gt;0,N(J189)&gt;0),IF(J189=1,I189,ROUND(I189*(1+J189/30),1)),"")</f>
        <v/>
      </c>
      <c r="N189" s="41">
        <f>IF(M189="","",IF(M189&gt;=PRs!C40,"PR!",""))</f>
        <v/>
      </c>
      <c r="O189" s="7" t="n"/>
    </row>
    <row r="190">
      <c r="C190" t="inlineStr">
        <is>
          <t xml:space="preserve">      Set 4</t>
        </is>
      </c>
      <c r="E190" t="n">
        <v>3</v>
      </c>
      <c r="H190" s="39">
        <f>IF(H186="","",H186)</f>
        <v/>
      </c>
      <c r="I190" s="7">
        <f>IF(H186="","",H186)</f>
        <v/>
      </c>
      <c r="J190" s="7" t="n">
        <v>3</v>
      </c>
      <c r="K190" s="7" t="n"/>
      <c r="L190" s="40" t="n"/>
      <c r="M190">
        <f>IF(AND(L190&lt;&gt;"",N(I190)&gt;0,N(J190)&gt;0),IF(J190=1,I190,ROUND(I190*(1+J190/30),1)),"")</f>
        <v/>
      </c>
      <c r="N190" s="41">
        <f>IF(M190="","",IF(M190&gt;=PRs!C40,"PR!",""))</f>
        <v/>
      </c>
      <c r="O190" s="7" t="n"/>
    </row>
    <row r="191">
      <c r="C191" t="inlineStr">
        <is>
          <t xml:space="preserve">      Set 5</t>
        </is>
      </c>
      <c r="E191" t="n">
        <v>3</v>
      </c>
      <c r="H191" s="39">
        <f>IF(H186="","",H186)</f>
        <v/>
      </c>
      <c r="I191" s="7">
        <f>IF(H186="","",H186)</f>
        <v/>
      </c>
      <c r="J191" s="7" t="n">
        <v>3</v>
      </c>
      <c r="K191" s="7" t="n"/>
      <c r="L191" s="40" t="n"/>
      <c r="M191">
        <f>IF(AND(L191&lt;&gt;"",N(I191)&gt;0,N(J191)&gt;0),IF(J191=1,I191,ROUND(I191*(1+J191/30),1)),"")</f>
        <v/>
      </c>
      <c r="N191" s="41">
        <f>IF(M191="","",IF(M191&gt;=PRs!C40,"PR!",""))</f>
        <v/>
      </c>
      <c r="O191" s="7" t="n"/>
    </row>
    <row r="192">
      <c r="C192" t="inlineStr">
        <is>
          <t xml:space="preserve">      Set 6</t>
        </is>
      </c>
      <c r="E192" t="n">
        <v>3</v>
      </c>
      <c r="H192" s="39">
        <f>IF(H186="","",H186)</f>
        <v/>
      </c>
      <c r="I192" s="7">
        <f>IF(H186="","",H186)</f>
        <v/>
      </c>
      <c r="J192" s="7" t="n">
        <v>3</v>
      </c>
      <c r="K192" s="7" t="n"/>
      <c r="L192" s="40" t="n"/>
      <c r="M192">
        <f>IF(AND(L192&lt;&gt;"",N(I192)&gt;0,N(J192)&gt;0),IF(J192=1,I192,ROUND(I192*(1+J192/30),1)),"")</f>
        <v/>
      </c>
      <c r="N192" s="41">
        <f>IF(M192="","",IF(M192&gt;=PRs!C40,"PR!",""))</f>
        <v/>
      </c>
      <c r="O192" s="7" t="n"/>
    </row>
    <row r="193">
      <c r="A193" s="34" t="n"/>
      <c r="B193" s="34" t="n"/>
      <c r="C193" s="42" t="inlineStr">
        <is>
          <t>Pause Squat</t>
        </is>
      </c>
      <c r="D193" s="34" t="inlineStr">
        <is>
          <t>4 x 6</t>
        </is>
      </c>
      <c r="E193" s="34" t="n"/>
      <c r="F193" s="34" t="n">
        <v>67.5</v>
      </c>
      <c r="G193" s="36">
        <f>Maxes!G9</f>
        <v/>
      </c>
      <c r="H193" s="37">
        <f>IF(OR(G193="",F193=""),"",MROUND(G193*F193/100,'Start Here'!$B$7))</f>
        <v/>
      </c>
      <c r="I193" s="34" t="n"/>
      <c r="J193" s="34" t="n"/>
      <c r="K193" s="34" t="n"/>
      <c r="L193" s="34" t="n"/>
      <c r="M193" s="34" t="n"/>
      <c r="N193" s="34" t="n"/>
      <c r="O193" s="38" t="inlineStr"/>
    </row>
    <row r="194">
      <c r="C194" t="inlineStr">
        <is>
          <t xml:space="preserve">      Set 1</t>
        </is>
      </c>
      <c r="E194" t="n">
        <v>6</v>
      </c>
      <c r="H194" s="39">
        <f>IF(H193="","",H193)</f>
        <v/>
      </c>
      <c r="I194" s="7">
        <f>IF(H193="","",H193)</f>
        <v/>
      </c>
      <c r="J194" s="7" t="n">
        <v>6</v>
      </c>
      <c r="K194" s="7" t="n"/>
      <c r="L194" s="40" t="n"/>
      <c r="M194">
        <f>IF(AND(L194&lt;&gt;"",N(I194)&gt;0,N(J194)&gt;0),IF(J194=1,I194,ROUND(I194*(1+J194/30),1)),"")</f>
        <v/>
      </c>
      <c r="N194" s="41">
        <f>IF(M194="","",IF(M194&gt;=PRs!C9,"PR!",""))</f>
        <v/>
      </c>
      <c r="O194" s="7" t="n"/>
    </row>
    <row r="195">
      <c r="C195" t="inlineStr">
        <is>
          <t xml:space="preserve">      Set 2</t>
        </is>
      </c>
      <c r="E195" t="n">
        <v>6</v>
      </c>
      <c r="H195" s="39">
        <f>IF(H193="","",H193)</f>
        <v/>
      </c>
      <c r="I195" s="7">
        <f>IF(H193="","",H193)</f>
        <v/>
      </c>
      <c r="J195" s="7" t="n">
        <v>6</v>
      </c>
      <c r="K195" s="7" t="n"/>
      <c r="L195" s="40" t="n"/>
      <c r="M195">
        <f>IF(AND(L195&lt;&gt;"",N(I195)&gt;0,N(J195)&gt;0),IF(J195=1,I195,ROUND(I195*(1+J195/30),1)),"")</f>
        <v/>
      </c>
      <c r="N195" s="41">
        <f>IF(M195="","",IF(M195&gt;=PRs!C9,"PR!",""))</f>
        <v/>
      </c>
      <c r="O195" s="7" t="n"/>
    </row>
    <row r="196">
      <c r="C196" t="inlineStr">
        <is>
          <t xml:space="preserve">      Set 3</t>
        </is>
      </c>
      <c r="E196" t="n">
        <v>6</v>
      </c>
      <c r="H196" s="39">
        <f>IF(H193="","",H193)</f>
        <v/>
      </c>
      <c r="I196" s="7">
        <f>IF(H193="","",H193)</f>
        <v/>
      </c>
      <c r="J196" s="7" t="n">
        <v>6</v>
      </c>
      <c r="K196" s="7" t="n"/>
      <c r="L196" s="40" t="n"/>
      <c r="M196">
        <f>IF(AND(L196&lt;&gt;"",N(I196)&gt;0,N(J196)&gt;0),IF(J196=1,I196,ROUND(I196*(1+J196/30),1)),"")</f>
        <v/>
      </c>
      <c r="N196" s="41">
        <f>IF(M196="","",IF(M196&gt;=PRs!C9,"PR!",""))</f>
        <v/>
      </c>
      <c r="O196" s="7" t="n"/>
    </row>
    <row r="197">
      <c r="C197" t="inlineStr">
        <is>
          <t xml:space="preserve">      Set 4</t>
        </is>
      </c>
      <c r="E197" t="n">
        <v>6</v>
      </c>
      <c r="H197" s="39">
        <f>IF(H193="","",H193)</f>
        <v/>
      </c>
      <c r="I197" s="7">
        <f>IF(H193="","",H193)</f>
        <v/>
      </c>
      <c r="J197" s="7" t="n">
        <v>6</v>
      </c>
      <c r="K197" s="7" t="n"/>
      <c r="L197" s="40" t="n"/>
      <c r="M197">
        <f>IF(AND(L197&lt;&gt;"",N(I197)&gt;0,N(J197)&gt;0),IF(J197=1,I197,ROUND(I197*(1+J197/30),1)),"")</f>
        <v/>
      </c>
      <c r="N197" s="41">
        <f>IF(M197="","",IF(M197&gt;=PRs!C9,"PR!",""))</f>
        <v/>
      </c>
      <c r="O197" s="7" t="n"/>
    </row>
    <row r="198">
      <c r="A198" s="34" t="n"/>
      <c r="B198" s="34" t="n"/>
      <c r="C198" s="42" t="inlineStr">
        <is>
          <t>Spoto Press</t>
        </is>
      </c>
      <c r="D198" s="34" t="inlineStr">
        <is>
          <t>4 x 6</t>
        </is>
      </c>
      <c r="E198" s="34" t="n"/>
      <c r="F198" s="34" t="n">
        <v>67.5</v>
      </c>
      <c r="G198" s="36">
        <f>Maxes!G21</f>
        <v/>
      </c>
      <c r="H198" s="37">
        <f>IF(OR(G198="",F198=""),"",MROUND(G198*F198/100,'Start Here'!$B$7))</f>
        <v/>
      </c>
      <c r="I198" s="34" t="n"/>
      <c r="J198" s="34" t="n"/>
      <c r="K198" s="34" t="n"/>
      <c r="L198" s="34" t="n"/>
      <c r="M198" s="34" t="n"/>
      <c r="N198" s="34" t="n"/>
      <c r="O198" s="38" t="inlineStr"/>
    </row>
    <row r="199">
      <c r="C199" t="inlineStr">
        <is>
          <t xml:space="preserve">      Set 1</t>
        </is>
      </c>
      <c r="E199" t="n">
        <v>6</v>
      </c>
      <c r="H199" s="39">
        <f>IF(H198="","",H198)</f>
        <v/>
      </c>
      <c r="I199" s="7">
        <f>IF(H198="","",H198)</f>
        <v/>
      </c>
      <c r="J199" s="7" t="n">
        <v>6</v>
      </c>
      <c r="K199" s="7" t="n"/>
      <c r="L199" s="40" t="n"/>
      <c r="M199">
        <f>IF(AND(L199&lt;&gt;"",N(I199)&gt;0,N(J199)&gt;0),IF(J199=1,I199,ROUND(I199*(1+J199/30),1)),"")</f>
        <v/>
      </c>
      <c r="N199" s="41">
        <f>IF(M199="","",IF(M199&gt;=PRs!C21,"PR!",""))</f>
        <v/>
      </c>
      <c r="O199" s="7" t="n"/>
    </row>
    <row r="200">
      <c r="C200" t="inlineStr">
        <is>
          <t xml:space="preserve">      Set 2</t>
        </is>
      </c>
      <c r="E200" t="n">
        <v>6</v>
      </c>
      <c r="H200" s="39">
        <f>IF(H198="","",H198)</f>
        <v/>
      </c>
      <c r="I200" s="7">
        <f>IF(H198="","",H198)</f>
        <v/>
      </c>
      <c r="J200" s="7" t="n">
        <v>6</v>
      </c>
      <c r="K200" s="7" t="n"/>
      <c r="L200" s="40" t="n"/>
      <c r="M200">
        <f>IF(AND(L200&lt;&gt;"",N(I200)&gt;0,N(J200)&gt;0),IF(J200=1,I200,ROUND(I200*(1+J200/30),1)),"")</f>
        <v/>
      </c>
      <c r="N200" s="41">
        <f>IF(M200="","",IF(M200&gt;=PRs!C21,"PR!",""))</f>
        <v/>
      </c>
      <c r="O200" s="7" t="n"/>
    </row>
    <row r="201">
      <c r="C201" t="inlineStr">
        <is>
          <t xml:space="preserve">      Set 3</t>
        </is>
      </c>
      <c r="E201" t="n">
        <v>6</v>
      </c>
      <c r="H201" s="39">
        <f>IF(H198="","",H198)</f>
        <v/>
      </c>
      <c r="I201" s="7">
        <f>IF(H198="","",H198)</f>
        <v/>
      </c>
      <c r="J201" s="7" t="n">
        <v>6</v>
      </c>
      <c r="K201" s="7" t="n"/>
      <c r="L201" s="40" t="n"/>
      <c r="M201">
        <f>IF(AND(L201&lt;&gt;"",N(I201)&gt;0,N(J201)&gt;0),IF(J201=1,I201,ROUND(I201*(1+J201/30),1)),"")</f>
        <v/>
      </c>
      <c r="N201" s="41">
        <f>IF(M201="","",IF(M201&gt;=PRs!C21,"PR!",""))</f>
        <v/>
      </c>
      <c r="O201" s="7" t="n"/>
    </row>
    <row r="202">
      <c r="C202" t="inlineStr">
        <is>
          <t xml:space="preserve">      Set 4</t>
        </is>
      </c>
      <c r="E202" t="n">
        <v>6</v>
      </c>
      <c r="H202" s="39">
        <f>IF(H198="","",H198)</f>
        <v/>
      </c>
      <c r="I202" s="7">
        <f>IF(H198="","",H198)</f>
        <v/>
      </c>
      <c r="J202" s="7" t="n">
        <v>6</v>
      </c>
      <c r="K202" s="7" t="n"/>
      <c r="L202" s="40" t="n"/>
      <c r="M202">
        <f>IF(AND(L202&lt;&gt;"",N(I202)&gt;0,N(J202)&gt;0),IF(J202=1,I202,ROUND(I202*(1+J202/30),1)),"")</f>
        <v/>
      </c>
      <c r="N202" s="41">
        <f>IF(M202="","",IF(M202&gt;=PRs!C21,"PR!",""))</f>
        <v/>
      </c>
      <c r="O202" s="7" t="n"/>
    </row>
    <row r="203">
      <c r="A203" s="34" t="n"/>
      <c r="B203" s="34" t="n"/>
      <c r="C203" s="42" t="inlineStr">
        <is>
          <t>Paused Deadlift</t>
        </is>
      </c>
      <c r="D203" s="34" t="inlineStr">
        <is>
          <t>3 x 6</t>
        </is>
      </c>
      <c r="E203" s="34" t="n"/>
      <c r="F203" s="34" t="n">
        <v>62.5</v>
      </c>
      <c r="G203" s="36">
        <f>Maxes!G25</f>
        <v/>
      </c>
      <c r="H203" s="37">
        <f>IF(OR(G203="",F203=""),"",MROUND(G203*F203/100,'Start Here'!$B$7))</f>
        <v/>
      </c>
      <c r="I203" s="34" t="n"/>
      <c r="J203" s="34" t="n"/>
      <c r="K203" s="34" t="n"/>
      <c r="L203" s="34" t="n"/>
      <c r="M203" s="34" t="n"/>
      <c r="N203" s="34" t="n"/>
      <c r="O203" s="38" t="inlineStr"/>
    </row>
    <row r="204">
      <c r="C204" t="inlineStr">
        <is>
          <t xml:space="preserve">      Set 1</t>
        </is>
      </c>
      <c r="E204" t="n">
        <v>6</v>
      </c>
      <c r="H204" s="39">
        <f>IF(H203="","",H203)</f>
        <v/>
      </c>
      <c r="I204" s="7">
        <f>IF(H203="","",H203)</f>
        <v/>
      </c>
      <c r="J204" s="7" t="n">
        <v>6</v>
      </c>
      <c r="K204" s="7" t="n"/>
      <c r="L204" s="40" t="n"/>
      <c r="M204">
        <f>IF(AND(L204&lt;&gt;"",N(I204)&gt;0,N(J204)&gt;0),IF(J204=1,I204,ROUND(I204*(1+J204/30),1)),"")</f>
        <v/>
      </c>
      <c r="N204" s="41">
        <f>IF(M204="","",IF(M204&gt;=PRs!C25,"PR!",""))</f>
        <v/>
      </c>
      <c r="O204" s="7" t="n"/>
    </row>
    <row r="205">
      <c r="C205" t="inlineStr">
        <is>
          <t xml:space="preserve">      Set 2</t>
        </is>
      </c>
      <c r="E205" t="n">
        <v>6</v>
      </c>
      <c r="H205" s="39">
        <f>IF(H203="","",H203)</f>
        <v/>
      </c>
      <c r="I205" s="7">
        <f>IF(H203="","",H203)</f>
        <v/>
      </c>
      <c r="J205" s="7" t="n">
        <v>6</v>
      </c>
      <c r="K205" s="7" t="n"/>
      <c r="L205" s="40" t="n"/>
      <c r="M205">
        <f>IF(AND(L205&lt;&gt;"",N(I205)&gt;0,N(J205)&gt;0),IF(J205=1,I205,ROUND(I205*(1+J205/30),1)),"")</f>
        <v/>
      </c>
      <c r="N205" s="41">
        <f>IF(M205="","",IF(M205&gt;=PRs!C25,"PR!",""))</f>
        <v/>
      </c>
      <c r="O205" s="7" t="n"/>
    </row>
    <row r="206">
      <c r="C206" t="inlineStr">
        <is>
          <t xml:space="preserve">      Set 3</t>
        </is>
      </c>
      <c r="E206" t="n">
        <v>6</v>
      </c>
      <c r="H206" s="39">
        <f>IF(H203="","",H203)</f>
        <v/>
      </c>
      <c r="I206" s="7">
        <f>IF(H203="","",H203)</f>
        <v/>
      </c>
      <c r="J206" s="7" t="n">
        <v>6</v>
      </c>
      <c r="K206" s="7" t="n"/>
      <c r="L206" s="40" t="n"/>
      <c r="M206">
        <f>IF(AND(L206&lt;&gt;"",N(I206)&gt;0,N(J206)&gt;0),IF(J206=1,I206,ROUND(I206*(1+J206/30),1)),"")</f>
        <v/>
      </c>
      <c r="N206" s="41">
        <f>IF(M206="","",IF(M206&gt;=PRs!C25,"PR!",""))</f>
        <v/>
      </c>
      <c r="O206" s="7" t="n"/>
    </row>
    <row r="207">
      <c r="A207" s="34" t="n"/>
      <c r="B207" s="34" t="n"/>
      <c r="C207" s="43" t="inlineStr">
        <is>
          <t>Incline Dumbbell Press</t>
        </is>
      </c>
      <c r="D207" s="34" t="inlineStr">
        <is>
          <t>4 x 8-12</t>
        </is>
      </c>
      <c r="E207" s="34" t="n"/>
      <c r="F207" s="34" t="n"/>
      <c r="G207" s="36" t="n"/>
      <c r="H207" s="37" t="n"/>
      <c r="I207" s="34" t="n"/>
      <c r="J207" s="34" t="n"/>
      <c r="K207" s="34" t="n"/>
      <c r="L207" s="34" t="n"/>
      <c r="M207" s="34" t="n"/>
      <c r="N207" s="34" t="n"/>
      <c r="O207" s="38" t="inlineStr">
        <is>
          <t>Leave 1-2 reps in the tank; add weight when you hit the top of the range</t>
        </is>
      </c>
    </row>
    <row r="208">
      <c r="C208" t="inlineStr">
        <is>
          <t xml:space="preserve">      Set 1</t>
        </is>
      </c>
      <c r="E208" t="n">
        <v>8</v>
      </c>
      <c r="H208" s="39">
        <f>IF(H207="","",H207)</f>
        <v/>
      </c>
      <c r="I208" s="7">
        <f>IF(H207="","",H207)</f>
        <v/>
      </c>
      <c r="J208" s="7" t="n">
        <v>8</v>
      </c>
      <c r="K208" s="7" t="n"/>
      <c r="L208" s="40" t="n"/>
      <c r="M208">
        <f>IF(AND(L208&lt;&gt;"",N(I208)&gt;0,N(J208)&gt;0),IF(J208=1,I208,ROUND(I208*(1+J208/30),1)),"")</f>
        <v/>
      </c>
      <c r="N208" s="41">
        <f>IF(M208="","",IF(M208&gt;=PRs!C57,"PR!",""))</f>
        <v/>
      </c>
      <c r="O208" s="7" t="n"/>
    </row>
    <row r="209">
      <c r="C209" t="inlineStr">
        <is>
          <t xml:space="preserve">      Set 2</t>
        </is>
      </c>
      <c r="E209" t="n">
        <v>8</v>
      </c>
      <c r="H209" s="39">
        <f>IF(H207="","",H207)</f>
        <v/>
      </c>
      <c r="I209" s="7">
        <f>IF(H207="","",H207)</f>
        <v/>
      </c>
      <c r="J209" s="7" t="n">
        <v>8</v>
      </c>
      <c r="K209" s="7" t="n"/>
      <c r="L209" s="40" t="n"/>
      <c r="M209">
        <f>IF(AND(L209&lt;&gt;"",N(I209)&gt;0,N(J209)&gt;0),IF(J209=1,I209,ROUND(I209*(1+J209/30),1)),"")</f>
        <v/>
      </c>
      <c r="N209" s="41">
        <f>IF(M209="","",IF(M209&gt;=PRs!C57,"PR!",""))</f>
        <v/>
      </c>
      <c r="O209" s="7" t="n"/>
    </row>
    <row r="210">
      <c r="C210" t="inlineStr">
        <is>
          <t xml:space="preserve">      Set 3</t>
        </is>
      </c>
      <c r="E210" t="n">
        <v>8</v>
      </c>
      <c r="H210" s="39">
        <f>IF(H207="","",H207)</f>
        <v/>
      </c>
      <c r="I210" s="7">
        <f>IF(H207="","",H207)</f>
        <v/>
      </c>
      <c r="J210" s="7" t="n">
        <v>8</v>
      </c>
      <c r="K210" s="7" t="n"/>
      <c r="L210" s="40" t="n"/>
      <c r="M210">
        <f>IF(AND(L210&lt;&gt;"",N(I210)&gt;0,N(J210)&gt;0),IF(J210=1,I210,ROUND(I210*(1+J210/30),1)),"")</f>
        <v/>
      </c>
      <c r="N210" s="41">
        <f>IF(M210="","",IF(M210&gt;=PRs!C57,"PR!",""))</f>
        <v/>
      </c>
      <c r="O210" s="7" t="n"/>
    </row>
    <row r="211">
      <c r="C211" t="inlineStr">
        <is>
          <t xml:space="preserve">      Set 4</t>
        </is>
      </c>
      <c r="E211" t="n">
        <v>8</v>
      </c>
      <c r="H211" s="39">
        <f>IF(H207="","",H207)</f>
        <v/>
      </c>
      <c r="I211" s="7">
        <f>IF(H207="","",H207)</f>
        <v/>
      </c>
      <c r="J211" s="7" t="n">
        <v>8</v>
      </c>
      <c r="K211" s="7" t="n"/>
      <c r="L211" s="40" t="n"/>
      <c r="M211">
        <f>IF(AND(L211&lt;&gt;"",N(I211)&gt;0,N(J211)&gt;0),IF(J211=1,I211,ROUND(I211*(1+J211/30),1)),"")</f>
        <v/>
      </c>
      <c r="N211" s="41">
        <f>IF(M211="","",IF(M211&gt;=PRs!C57,"PR!",""))</f>
        <v/>
      </c>
      <c r="O211" s="7" t="n"/>
    </row>
    <row r="212">
      <c r="A212" s="34" t="n"/>
      <c r="B212" s="34" t="n"/>
      <c r="C212" s="43" t="inlineStr">
        <is>
          <t>Triceps Pushdown</t>
        </is>
      </c>
      <c r="D212" s="34" t="inlineStr">
        <is>
          <t>4 x 10-15</t>
        </is>
      </c>
      <c r="E212" s="34" t="n"/>
      <c r="F212" s="34" t="n"/>
      <c r="G212" s="36" t="n"/>
      <c r="H212" s="37" t="n"/>
      <c r="I212" s="34" t="n"/>
      <c r="J212" s="34" t="n"/>
      <c r="K212" s="34" t="n"/>
      <c r="L212" s="34" t="n"/>
      <c r="M212" s="34" t="n"/>
      <c r="N212" s="34" t="n"/>
      <c r="O212" s="38" t="inlineStr">
        <is>
          <t>Leave 1-2 reps in the tank; add weight when you hit the top of the range</t>
        </is>
      </c>
    </row>
    <row r="213">
      <c r="C213" t="inlineStr">
        <is>
          <t xml:space="preserve">      Set 1</t>
        </is>
      </c>
      <c r="E213" t="n">
        <v>10</v>
      </c>
      <c r="H213" s="39">
        <f>IF(H212="","",H212)</f>
        <v/>
      </c>
      <c r="I213" s="7">
        <f>IF(H212="","",H212)</f>
        <v/>
      </c>
      <c r="J213" s="7" t="n">
        <v>10</v>
      </c>
      <c r="K213" s="7" t="n"/>
      <c r="L213" s="40" t="n"/>
      <c r="M213">
        <f>IF(AND(L213&lt;&gt;"",N(I213)&gt;0,N(J213)&gt;0),IF(J213=1,I213,ROUND(I213*(1+J213/30),1)),"")</f>
        <v/>
      </c>
      <c r="N213" s="41">
        <f>IF(M213="","",IF(M213&gt;=PRs!C59,"PR!",""))</f>
        <v/>
      </c>
      <c r="O213" s="7" t="n"/>
    </row>
    <row r="214">
      <c r="C214" t="inlineStr">
        <is>
          <t xml:space="preserve">      Set 2</t>
        </is>
      </c>
      <c r="E214" t="n">
        <v>10</v>
      </c>
      <c r="H214" s="39">
        <f>IF(H212="","",H212)</f>
        <v/>
      </c>
      <c r="I214" s="7">
        <f>IF(H212="","",H212)</f>
        <v/>
      </c>
      <c r="J214" s="7" t="n">
        <v>10</v>
      </c>
      <c r="K214" s="7" t="n"/>
      <c r="L214" s="40" t="n"/>
      <c r="M214">
        <f>IF(AND(L214&lt;&gt;"",N(I214)&gt;0,N(J214)&gt;0),IF(J214=1,I214,ROUND(I214*(1+J214/30),1)),"")</f>
        <v/>
      </c>
      <c r="N214" s="41">
        <f>IF(M214="","",IF(M214&gt;=PRs!C59,"PR!",""))</f>
        <v/>
      </c>
      <c r="O214" s="7" t="n"/>
    </row>
    <row r="215">
      <c r="C215" t="inlineStr">
        <is>
          <t xml:space="preserve">      Set 3</t>
        </is>
      </c>
      <c r="E215" t="n">
        <v>10</v>
      </c>
      <c r="H215" s="39">
        <f>IF(H212="","",H212)</f>
        <v/>
      </c>
      <c r="I215" s="7">
        <f>IF(H212="","",H212)</f>
        <v/>
      </c>
      <c r="J215" s="7" t="n">
        <v>10</v>
      </c>
      <c r="K215" s="7" t="n"/>
      <c r="L215" s="40" t="n"/>
      <c r="M215">
        <f>IF(AND(L215&lt;&gt;"",N(I215)&gt;0,N(J215)&gt;0),IF(J215=1,I215,ROUND(I215*(1+J215/30),1)),"")</f>
        <v/>
      </c>
      <c r="N215" s="41">
        <f>IF(M215="","",IF(M215&gt;=PRs!C59,"PR!",""))</f>
        <v/>
      </c>
      <c r="O215" s="7" t="n"/>
    </row>
    <row r="216">
      <c r="C216" t="inlineStr">
        <is>
          <t xml:space="preserve">      Set 4</t>
        </is>
      </c>
      <c r="E216" t="n">
        <v>10</v>
      </c>
      <c r="H216" s="39">
        <f>IF(H212="","",H212)</f>
        <v/>
      </c>
      <c r="I216" s="7">
        <f>IF(H212="","",H212)</f>
        <v/>
      </c>
      <c r="J216" s="7" t="n">
        <v>10</v>
      </c>
      <c r="K216" s="7" t="n"/>
      <c r="L216" s="40" t="n"/>
      <c r="M216">
        <f>IF(AND(L216&lt;&gt;"",N(I216)&gt;0,N(J216)&gt;0),IF(J216=1,I216,ROUND(I216*(1+J216/30),1)),"")</f>
        <v/>
      </c>
      <c r="N216" s="41">
        <f>IF(M216="","",IF(M216&gt;=PRs!C59,"PR!",""))</f>
        <v/>
      </c>
      <c r="O216" s="7" t="n"/>
    </row>
    <row r="218">
      <c r="A218" s="45" t="inlineStr">
        <is>
          <t>WEEK 27 - CYCLE 3 - ACCUMULATION</t>
        </is>
      </c>
      <c r="B218" s="46" t="n"/>
      <c r="C218" s="46" t="n"/>
      <c r="D218" s="46" t="n"/>
      <c r="E218" s="46" t="n"/>
      <c r="F218" s="46" t="n"/>
      <c r="G218" s="46" t="n"/>
      <c r="H218" s="47" t="inlineStr">
        <is>
          <t>Bodyweight:</t>
        </is>
      </c>
      <c r="I218" s="7" t="n"/>
      <c r="J218" s="46" t="n"/>
      <c r="K218" s="46" t="n"/>
      <c r="L218" s="46" t="n"/>
      <c r="M218" s="46" t="n"/>
      <c r="N218" s="46" t="n"/>
      <c r="O218" s="46" t="n"/>
    </row>
    <row r="219">
      <c r="A219" s="31" t="inlineStr">
        <is>
          <t>Day 1 - Heavy</t>
        </is>
      </c>
      <c r="B219" s="32">
        <f>'Start Here'!$B$8+182</f>
        <v/>
      </c>
      <c r="C219" s="33" t="n"/>
      <c r="D219" s="33" t="n"/>
      <c r="E219" s="33" t="n"/>
      <c r="F219" s="33" t="n"/>
      <c r="G219" s="33" t="n"/>
      <c r="H219" s="33" t="n"/>
      <c r="I219" s="33" t="n"/>
      <c r="J219" s="33" t="n"/>
      <c r="K219" s="33" t="n"/>
      <c r="L219" s="33" t="n"/>
      <c r="M219" s="33" t="n"/>
      <c r="N219" s="33" t="n"/>
      <c r="O219" s="33" t="n"/>
    </row>
    <row r="220">
      <c r="A220" s="34" t="n"/>
      <c r="B220" s="34" t="n"/>
      <c r="C220" s="35" t="inlineStr">
        <is>
          <t>Box Jump</t>
        </is>
      </c>
      <c r="D220" s="34" t="inlineStr">
        <is>
          <t>4 x 3</t>
        </is>
      </c>
      <c r="E220" s="34" t="n"/>
      <c r="F220" s="34" t="n"/>
      <c r="G220" s="36" t="n"/>
      <c r="H220" s="37">
        <f>IF(N(Maxes!G69)&gt;0,Maxes!G69,'Start Here'!$G$16)</f>
        <v/>
      </c>
      <c r="I220" s="34" t="n"/>
      <c r="J220" s="34" t="n"/>
      <c r="K220" s="34" t="n"/>
      <c r="L220" s="34" t="n"/>
      <c r="M220" s="34" t="n"/>
      <c r="N220" s="34" t="n"/>
      <c r="O220" s="38" t="inlineStr">
        <is>
          <t>Two-foot jump onto a box, land soft in a quarter squat, STEP down. Log the box height (floor to top of box).</t>
        </is>
      </c>
    </row>
    <row r="221">
      <c r="C221" t="inlineStr">
        <is>
          <t xml:space="preserve">      Set 1</t>
        </is>
      </c>
      <c r="E221" t="n">
        <v>3</v>
      </c>
      <c r="H221" s="39">
        <f>IF(H220="","",H220)</f>
        <v/>
      </c>
      <c r="I221" s="7">
        <f>IF(H220="","",H220)</f>
        <v/>
      </c>
      <c r="J221" s="7" t="n">
        <v>3</v>
      </c>
      <c r="K221" s="7" t="n"/>
      <c r="L221" s="40" t="n"/>
      <c r="N221" s="41">
        <f>IF(AND(L221&lt;&gt;"",N(I221)&gt;0),IF(I221&gt;=PRs!D69,"PR!",""),"")</f>
        <v/>
      </c>
      <c r="O221" s="7" t="n"/>
    </row>
    <row r="222">
      <c r="C222" t="inlineStr">
        <is>
          <t xml:space="preserve">      Set 2</t>
        </is>
      </c>
      <c r="E222" t="n">
        <v>3</v>
      </c>
      <c r="H222" s="39">
        <f>IF(H220="","",H220)</f>
        <v/>
      </c>
      <c r="I222" s="7">
        <f>IF(H220="","",H220)</f>
        <v/>
      </c>
      <c r="J222" s="7" t="n">
        <v>3</v>
      </c>
      <c r="K222" s="7" t="n"/>
      <c r="L222" s="40" t="n"/>
      <c r="N222" s="41">
        <f>IF(AND(L222&lt;&gt;"",N(I222)&gt;0),IF(I222&gt;=PRs!D69,"PR!",""),"")</f>
        <v/>
      </c>
      <c r="O222" s="7" t="n"/>
    </row>
    <row r="223">
      <c r="C223" t="inlineStr">
        <is>
          <t xml:space="preserve">      Set 3</t>
        </is>
      </c>
      <c r="E223" t="n">
        <v>3</v>
      </c>
      <c r="H223" s="39">
        <f>IF(H220="","",H220)</f>
        <v/>
      </c>
      <c r="I223" s="7">
        <f>IF(H220="","",H220)</f>
        <v/>
      </c>
      <c r="J223" s="7" t="n">
        <v>3</v>
      </c>
      <c r="K223" s="7" t="n"/>
      <c r="L223" s="40" t="n"/>
      <c r="N223" s="41">
        <f>IF(AND(L223&lt;&gt;"",N(I223)&gt;0),IF(I223&gt;=PRs!D69,"PR!",""),"")</f>
        <v/>
      </c>
      <c r="O223" s="7" t="n"/>
    </row>
    <row r="224">
      <c r="C224" t="inlineStr">
        <is>
          <t xml:space="preserve">      Set 4</t>
        </is>
      </c>
      <c r="E224" t="n">
        <v>3</v>
      </c>
      <c r="H224" s="39">
        <f>IF(H220="","",H220)</f>
        <v/>
      </c>
      <c r="I224" s="7">
        <f>IF(H220="","",H220)</f>
        <v/>
      </c>
      <c r="J224" s="7" t="n">
        <v>3</v>
      </c>
      <c r="K224" s="7" t="n"/>
      <c r="L224" s="40" t="n"/>
      <c r="N224" s="41">
        <f>IF(AND(L224&lt;&gt;"",N(I224)&gt;0),IF(I224&gt;=PRs!D69,"PR!",""),"")</f>
        <v/>
      </c>
      <c r="O224" s="7" t="n"/>
    </row>
    <row r="225">
      <c r="A225" s="34" t="n"/>
      <c r="B225" s="34" t="n"/>
      <c r="C225" s="42" t="inlineStr">
        <is>
          <t>Snatch</t>
        </is>
      </c>
      <c r="D225" s="34" t="inlineStr">
        <is>
          <t>4 x 3</t>
        </is>
      </c>
      <c r="E225" s="34" t="n"/>
      <c r="F225" s="34" t="n">
        <v>75</v>
      </c>
      <c r="G225" s="36">
        <f>Maxes!G6</f>
        <v/>
      </c>
      <c r="H225" s="37">
        <f>IF(OR(G225="",F225=""),"",MROUND(G225*F225/100,'Start Here'!$B$7))</f>
        <v/>
      </c>
      <c r="I225" s="34" t="n"/>
      <c r="J225" s="34" t="n"/>
      <c r="K225" s="34" t="n"/>
      <c r="L225" s="34" t="n"/>
      <c r="M225" s="34" t="n"/>
      <c r="N225" s="34" t="n"/>
      <c r="O225" s="38" t="inlineStr"/>
    </row>
    <row r="226">
      <c r="C226" t="inlineStr">
        <is>
          <t xml:space="preserve">      Set 1</t>
        </is>
      </c>
      <c r="E226" t="n">
        <v>3</v>
      </c>
      <c r="H226" s="39">
        <f>IF(H225="","",H225)</f>
        <v/>
      </c>
      <c r="I226" s="7">
        <f>IF(H225="","",H225)</f>
        <v/>
      </c>
      <c r="J226" s="7" t="n">
        <v>3</v>
      </c>
      <c r="K226" s="7" t="n"/>
      <c r="L226" s="40" t="n"/>
      <c r="M226">
        <f>IF(AND(L226&lt;&gt;"",N(I226)&gt;0,N(J226)&gt;0),IF(J226=1,I226,ROUND(I226*(1+J226/30),1)),"")</f>
        <v/>
      </c>
      <c r="N226" s="41">
        <f>IF(M226="","",IF(M226&gt;=PRs!C6,"PR!",""))</f>
        <v/>
      </c>
      <c r="O226" s="7" t="n"/>
    </row>
    <row r="227">
      <c r="C227" t="inlineStr">
        <is>
          <t xml:space="preserve">      Set 2</t>
        </is>
      </c>
      <c r="E227" t="n">
        <v>3</v>
      </c>
      <c r="H227" s="39">
        <f>IF(H225="","",H225)</f>
        <v/>
      </c>
      <c r="I227" s="7">
        <f>IF(H225="","",H225)</f>
        <v/>
      </c>
      <c r="J227" s="7" t="n">
        <v>3</v>
      </c>
      <c r="K227" s="7" t="n"/>
      <c r="L227" s="40" t="n"/>
      <c r="M227">
        <f>IF(AND(L227&lt;&gt;"",N(I227)&gt;0,N(J227)&gt;0),IF(J227=1,I227,ROUND(I227*(1+J227/30),1)),"")</f>
        <v/>
      </c>
      <c r="N227" s="41">
        <f>IF(M227="","",IF(M227&gt;=PRs!C6,"PR!",""))</f>
        <v/>
      </c>
      <c r="O227" s="7" t="n"/>
    </row>
    <row r="228">
      <c r="C228" t="inlineStr">
        <is>
          <t xml:space="preserve">      Set 3</t>
        </is>
      </c>
      <c r="E228" t="n">
        <v>3</v>
      </c>
      <c r="H228" s="39">
        <f>IF(H225="","",H225)</f>
        <v/>
      </c>
      <c r="I228" s="7">
        <f>IF(H225="","",H225)</f>
        <v/>
      </c>
      <c r="J228" s="7" t="n">
        <v>3</v>
      </c>
      <c r="K228" s="7" t="n"/>
      <c r="L228" s="40" t="n"/>
      <c r="M228">
        <f>IF(AND(L228&lt;&gt;"",N(I228)&gt;0,N(J228)&gt;0),IF(J228=1,I228,ROUND(I228*(1+J228/30),1)),"")</f>
        <v/>
      </c>
      <c r="N228" s="41">
        <f>IF(M228="","",IF(M228&gt;=PRs!C6,"PR!",""))</f>
        <v/>
      </c>
      <c r="O228" s="7" t="n"/>
    </row>
    <row r="229">
      <c r="C229" t="inlineStr">
        <is>
          <t xml:space="preserve">      Set 4</t>
        </is>
      </c>
      <c r="E229" t="n">
        <v>3</v>
      </c>
      <c r="H229" s="39">
        <f>IF(H225="","",H225)</f>
        <v/>
      </c>
      <c r="I229" s="7">
        <f>IF(H225="","",H225)</f>
        <v/>
      </c>
      <c r="J229" s="7" t="n">
        <v>3</v>
      </c>
      <c r="K229" s="7" t="n"/>
      <c r="L229" s="40" t="n"/>
      <c r="M229">
        <f>IF(AND(L229&lt;&gt;"",N(I229)&gt;0,N(J229)&gt;0),IF(J229=1,I229,ROUND(I229*(1+J229/30),1)),"")</f>
        <v/>
      </c>
      <c r="N229" s="41">
        <f>IF(M229="","",IF(M229&gt;=PRs!C6,"PR!",""))</f>
        <v/>
      </c>
      <c r="O229" s="7" t="n"/>
    </row>
    <row r="230">
      <c r="A230" s="34" t="n"/>
      <c r="B230" s="34" t="n"/>
      <c r="C230" s="42" t="inlineStr">
        <is>
          <t>Squat</t>
        </is>
      </c>
      <c r="D230" s="34" t="inlineStr">
        <is>
          <t>3 x 6</t>
        </is>
      </c>
      <c r="E230" s="34" t="n"/>
      <c r="F230" s="34" t="n">
        <v>75</v>
      </c>
      <c r="G230" s="36">
        <f>Maxes!G2</f>
        <v/>
      </c>
      <c r="H230" s="37">
        <f>IF(OR(G230="",F230=""),"",MROUND(G230*F230/100,'Start Here'!$B$7))</f>
        <v/>
      </c>
      <c r="I230" s="34" t="n"/>
      <c r="J230" s="34" t="n"/>
      <c r="K230" s="34" t="n"/>
      <c r="L230" s="34" t="n"/>
      <c r="M230" s="34" t="n"/>
      <c r="N230" s="34" t="n"/>
      <c r="O230" s="38" t="inlineStr"/>
    </row>
    <row r="231">
      <c r="C231" t="inlineStr">
        <is>
          <t xml:space="preserve">      Set 1</t>
        </is>
      </c>
      <c r="E231" t="n">
        <v>6</v>
      </c>
      <c r="H231" s="39">
        <f>IF(H230="","",H230)</f>
        <v/>
      </c>
      <c r="I231" s="7">
        <f>IF(H230="","",H230)</f>
        <v/>
      </c>
      <c r="J231" s="7" t="n">
        <v>6</v>
      </c>
      <c r="K231" s="7" t="n"/>
      <c r="L231" s="40" t="n"/>
      <c r="M231">
        <f>IF(AND(L231&lt;&gt;"",N(I231)&gt;0,N(J231)&gt;0),IF(J231=1,I231,ROUND(I231*(1+J231/30),1)),"")</f>
        <v/>
      </c>
      <c r="N231" s="41">
        <f>IF(M231="","",IF(M231&gt;=PRs!C2,"PR!",""))</f>
        <v/>
      </c>
      <c r="O231" s="7" t="n"/>
    </row>
    <row r="232">
      <c r="C232" t="inlineStr">
        <is>
          <t xml:space="preserve">      Set 2</t>
        </is>
      </c>
      <c r="E232" t="n">
        <v>6</v>
      </c>
      <c r="H232" s="39">
        <f>IF(H230="","",H230)</f>
        <v/>
      </c>
      <c r="I232" s="7">
        <f>IF(H230="","",H230)</f>
        <v/>
      </c>
      <c r="J232" s="7" t="n">
        <v>6</v>
      </c>
      <c r="K232" s="7" t="n"/>
      <c r="L232" s="40" t="n"/>
      <c r="M232">
        <f>IF(AND(L232&lt;&gt;"",N(I232)&gt;0,N(J232)&gt;0),IF(J232=1,I232,ROUND(I232*(1+J232/30),1)),"")</f>
        <v/>
      </c>
      <c r="N232" s="41">
        <f>IF(M232="","",IF(M232&gt;=PRs!C2,"PR!",""))</f>
        <v/>
      </c>
      <c r="O232" s="7" t="n"/>
    </row>
    <row r="233">
      <c r="C233" t="inlineStr">
        <is>
          <t xml:space="preserve">      Set 3</t>
        </is>
      </c>
      <c r="E233" t="n">
        <v>6</v>
      </c>
      <c r="H233" s="39">
        <f>IF(H230="","",H230)</f>
        <v/>
      </c>
      <c r="I233" s="7">
        <f>IF(H230="","",H230)</f>
        <v/>
      </c>
      <c r="J233" s="7" t="n">
        <v>6</v>
      </c>
      <c r="K233" s="7" t="n"/>
      <c r="L233" s="40" t="n"/>
      <c r="M233">
        <f>IF(AND(L233&lt;&gt;"",N(I233)&gt;0,N(J233)&gt;0),IF(J233=1,I233,ROUND(I233*(1+J233/30),1)),"")</f>
        <v/>
      </c>
      <c r="N233" s="41">
        <f>IF(M233="","",IF(M233&gt;=PRs!C2,"PR!",""))</f>
        <v/>
      </c>
      <c r="O233" s="7" t="n"/>
    </row>
    <row r="234">
      <c r="A234" s="34" t="n"/>
      <c r="B234" s="34" t="n"/>
      <c r="C234" s="42" t="inlineStr">
        <is>
          <t>Bench Press</t>
        </is>
      </c>
      <c r="D234" s="34" t="inlineStr">
        <is>
          <t>3 x 6</t>
        </is>
      </c>
      <c r="E234" s="34" t="n"/>
      <c r="F234" s="34" t="n">
        <v>75</v>
      </c>
      <c r="G234" s="36">
        <f>Maxes!G3</f>
        <v/>
      </c>
      <c r="H234" s="37">
        <f>IF(OR(G234="",F234=""),"",MROUND(G234*F234/100,'Start Here'!$B$7))</f>
        <v/>
      </c>
      <c r="I234" s="34" t="n"/>
      <c r="J234" s="34" t="n"/>
      <c r="K234" s="34" t="n"/>
      <c r="L234" s="34" t="n"/>
      <c r="M234" s="34" t="n"/>
      <c r="N234" s="34" t="n"/>
      <c r="O234" s="38" t="inlineStr"/>
    </row>
    <row r="235">
      <c r="C235" t="inlineStr">
        <is>
          <t xml:space="preserve">      Set 1</t>
        </is>
      </c>
      <c r="E235" t="n">
        <v>6</v>
      </c>
      <c r="H235" s="39">
        <f>IF(H234="","",H234)</f>
        <v/>
      </c>
      <c r="I235" s="7">
        <f>IF(H234="","",H234)</f>
        <v/>
      </c>
      <c r="J235" s="7" t="n">
        <v>6</v>
      </c>
      <c r="K235" s="7" t="n"/>
      <c r="L235" s="40" t="n"/>
      <c r="M235">
        <f>IF(AND(L235&lt;&gt;"",N(I235)&gt;0,N(J235)&gt;0),IF(J235=1,I235,ROUND(I235*(1+J235/30),1)),"")</f>
        <v/>
      </c>
      <c r="N235" s="41">
        <f>IF(M235="","",IF(M235&gt;=PRs!C3,"PR!",""))</f>
        <v/>
      </c>
      <c r="O235" s="7" t="n"/>
    </row>
    <row r="236">
      <c r="C236" t="inlineStr">
        <is>
          <t xml:space="preserve">      Set 2</t>
        </is>
      </c>
      <c r="E236" t="n">
        <v>6</v>
      </c>
      <c r="H236" s="39">
        <f>IF(H234="","",H234)</f>
        <v/>
      </c>
      <c r="I236" s="7">
        <f>IF(H234="","",H234)</f>
        <v/>
      </c>
      <c r="J236" s="7" t="n">
        <v>6</v>
      </c>
      <c r="K236" s="7" t="n"/>
      <c r="L236" s="40" t="n"/>
      <c r="M236">
        <f>IF(AND(L236&lt;&gt;"",N(I236)&gt;0,N(J236)&gt;0),IF(J236=1,I236,ROUND(I236*(1+J236/30),1)),"")</f>
        <v/>
      </c>
      <c r="N236" s="41">
        <f>IF(M236="","",IF(M236&gt;=PRs!C3,"PR!",""))</f>
        <v/>
      </c>
      <c r="O236" s="7" t="n"/>
    </row>
    <row r="237">
      <c r="C237" t="inlineStr">
        <is>
          <t xml:space="preserve">      Set 3</t>
        </is>
      </c>
      <c r="E237" t="n">
        <v>6</v>
      </c>
      <c r="H237" s="39">
        <f>IF(H234="","",H234)</f>
        <v/>
      </c>
      <c r="I237" s="7">
        <f>IF(H234="","",H234)</f>
        <v/>
      </c>
      <c r="J237" s="7" t="n">
        <v>6</v>
      </c>
      <c r="K237" s="7" t="n"/>
      <c r="L237" s="40" t="n"/>
      <c r="M237">
        <f>IF(AND(L237&lt;&gt;"",N(I237)&gt;0,N(J237)&gt;0),IF(J237=1,I237,ROUND(I237*(1+J237/30),1)),"")</f>
        <v/>
      </c>
      <c r="N237" s="41">
        <f>IF(M237="","",IF(M237&gt;=PRs!C3,"PR!",""))</f>
        <v/>
      </c>
      <c r="O237" s="7" t="n"/>
    </row>
    <row r="238">
      <c r="A238" s="34" t="n"/>
      <c r="B238" s="34" t="n"/>
      <c r="C238" s="43" t="inlineStr">
        <is>
          <t>Barbell Row</t>
        </is>
      </c>
      <c r="D238" s="34" t="inlineStr">
        <is>
          <t>4 x 8-10</t>
        </is>
      </c>
      <c r="E238" s="34" t="n"/>
      <c r="F238" s="34" t="n"/>
      <c r="G238" s="36" t="n"/>
      <c r="H238" s="37" t="n"/>
      <c r="I238" s="34" t="n"/>
      <c r="J238" s="34" t="n"/>
      <c r="K238" s="34" t="n"/>
      <c r="L238" s="34" t="n"/>
      <c r="M238" s="34" t="n"/>
      <c r="N238" s="34" t="n"/>
      <c r="O238" s="38" t="inlineStr">
        <is>
          <t>Leave 1-2 reps in the tank; add weight when you hit the top of the range</t>
        </is>
      </c>
    </row>
    <row r="239">
      <c r="C239" t="inlineStr">
        <is>
          <t xml:space="preserve">      Set 1</t>
        </is>
      </c>
      <c r="E239" t="n">
        <v>8</v>
      </c>
      <c r="H239" s="39">
        <f>IF(H238="","",H238)</f>
        <v/>
      </c>
      <c r="I239" s="7">
        <f>IF(H238="","",H238)</f>
        <v/>
      </c>
      <c r="J239" s="7" t="n">
        <v>8</v>
      </c>
      <c r="K239" s="7" t="n"/>
      <c r="L239" s="40" t="n"/>
      <c r="M239">
        <f>IF(AND(L239&lt;&gt;"",N(I239)&gt;0,N(J239)&gt;0),IF(J239=1,I239,ROUND(I239*(1+J239/30),1)),"")</f>
        <v/>
      </c>
      <c r="N239" s="41">
        <f>IF(M239="","",IF(M239&gt;=PRs!C50,"PR!",""))</f>
        <v/>
      </c>
      <c r="O239" s="7" t="n"/>
    </row>
    <row r="240">
      <c r="C240" t="inlineStr">
        <is>
          <t xml:space="preserve">      Set 2</t>
        </is>
      </c>
      <c r="E240" t="n">
        <v>8</v>
      </c>
      <c r="H240" s="39">
        <f>IF(H238="","",H238)</f>
        <v/>
      </c>
      <c r="I240" s="7">
        <f>IF(H238="","",H238)</f>
        <v/>
      </c>
      <c r="J240" s="7" t="n">
        <v>8</v>
      </c>
      <c r="K240" s="7" t="n"/>
      <c r="L240" s="40" t="n"/>
      <c r="M240">
        <f>IF(AND(L240&lt;&gt;"",N(I240)&gt;0,N(J240)&gt;0),IF(J240=1,I240,ROUND(I240*(1+J240/30),1)),"")</f>
        <v/>
      </c>
      <c r="N240" s="41">
        <f>IF(M240="","",IF(M240&gt;=PRs!C50,"PR!",""))</f>
        <v/>
      </c>
      <c r="O240" s="7" t="n"/>
    </row>
    <row r="241">
      <c r="C241" t="inlineStr">
        <is>
          <t xml:space="preserve">      Set 3</t>
        </is>
      </c>
      <c r="E241" t="n">
        <v>8</v>
      </c>
      <c r="H241" s="39">
        <f>IF(H238="","",H238)</f>
        <v/>
      </c>
      <c r="I241" s="7">
        <f>IF(H238="","",H238)</f>
        <v/>
      </c>
      <c r="J241" s="7" t="n">
        <v>8</v>
      </c>
      <c r="K241" s="7" t="n"/>
      <c r="L241" s="40" t="n"/>
      <c r="M241">
        <f>IF(AND(L241&lt;&gt;"",N(I241)&gt;0,N(J241)&gt;0),IF(J241=1,I241,ROUND(I241*(1+J241/30),1)),"")</f>
        <v/>
      </c>
      <c r="N241" s="41">
        <f>IF(M241="","",IF(M241&gt;=PRs!C50,"PR!",""))</f>
        <v/>
      </c>
      <c r="O241" s="7" t="n"/>
    </row>
    <row r="242">
      <c r="C242" t="inlineStr">
        <is>
          <t xml:space="preserve">      Set 4</t>
        </is>
      </c>
      <c r="E242" t="n">
        <v>8</v>
      </c>
      <c r="H242" s="39">
        <f>IF(H238="","",H238)</f>
        <v/>
      </c>
      <c r="I242" s="7">
        <f>IF(H238="","",H238)</f>
        <v/>
      </c>
      <c r="J242" s="7" t="n">
        <v>8</v>
      </c>
      <c r="K242" s="7" t="n"/>
      <c r="L242" s="40" t="n"/>
      <c r="M242">
        <f>IF(AND(L242&lt;&gt;"",N(I242)&gt;0,N(J242)&gt;0),IF(J242=1,I242,ROUND(I242*(1+J242/30),1)),"")</f>
        <v/>
      </c>
      <c r="N242" s="41">
        <f>IF(M242="","",IF(M242&gt;=PRs!C50,"PR!",""))</f>
        <v/>
      </c>
      <c r="O242" s="7" t="n"/>
    </row>
    <row r="243">
      <c r="A243" s="34" t="n"/>
      <c r="B243" s="34" t="n"/>
      <c r="C243" s="43" t="inlineStr">
        <is>
          <t>Face Pull</t>
        </is>
      </c>
      <c r="D243" s="34" t="inlineStr">
        <is>
          <t>4 x 12-15</t>
        </is>
      </c>
      <c r="E243" s="34" t="n"/>
      <c r="F243" s="34" t="n"/>
      <c r="G243" s="36" t="n"/>
      <c r="H243" s="37" t="n"/>
      <c r="I243" s="34" t="n"/>
      <c r="J243" s="34" t="n"/>
      <c r="K243" s="34" t="n"/>
      <c r="L243" s="34" t="n"/>
      <c r="M243" s="34" t="n"/>
      <c r="N243" s="34" t="n"/>
      <c r="O243" s="38" t="inlineStr">
        <is>
          <t>Leave 1-2 reps in the tank; add weight when you hit the top of the range</t>
        </is>
      </c>
    </row>
    <row r="244">
      <c r="C244" t="inlineStr">
        <is>
          <t xml:space="preserve">      Set 1</t>
        </is>
      </c>
      <c r="E244" t="n">
        <v>12</v>
      </c>
      <c r="H244" s="39">
        <f>IF(H243="","",H243)</f>
        <v/>
      </c>
      <c r="I244" s="7">
        <f>IF(H243="","",H243)</f>
        <v/>
      </c>
      <c r="J244" s="7" t="n">
        <v>12</v>
      </c>
      <c r="K244" s="7" t="n"/>
      <c r="L244" s="40" t="n"/>
      <c r="M244">
        <f>IF(AND(L244&lt;&gt;"",N(I244)&gt;0,N(J244)&gt;0),IF(J244=1,I244,ROUND(I244*(1+J244/30),1)),"")</f>
        <v/>
      </c>
      <c r="N244" s="41">
        <f>IF(M244="","",IF(M244&gt;=PRs!C51,"PR!",""))</f>
        <v/>
      </c>
      <c r="O244" s="7" t="n"/>
    </row>
    <row r="245">
      <c r="C245" t="inlineStr">
        <is>
          <t xml:space="preserve">      Set 2</t>
        </is>
      </c>
      <c r="E245" t="n">
        <v>12</v>
      </c>
      <c r="H245" s="39">
        <f>IF(H243="","",H243)</f>
        <v/>
      </c>
      <c r="I245" s="7">
        <f>IF(H243="","",H243)</f>
        <v/>
      </c>
      <c r="J245" s="7" t="n">
        <v>12</v>
      </c>
      <c r="K245" s="7" t="n"/>
      <c r="L245" s="40" t="n"/>
      <c r="M245">
        <f>IF(AND(L245&lt;&gt;"",N(I245)&gt;0,N(J245)&gt;0),IF(J245=1,I245,ROUND(I245*(1+J245/30),1)),"")</f>
        <v/>
      </c>
      <c r="N245" s="41">
        <f>IF(M245="","",IF(M245&gt;=PRs!C51,"PR!",""))</f>
        <v/>
      </c>
      <c r="O245" s="7" t="n"/>
    </row>
    <row r="246">
      <c r="C246" t="inlineStr">
        <is>
          <t xml:space="preserve">      Set 3</t>
        </is>
      </c>
      <c r="E246" t="n">
        <v>12</v>
      </c>
      <c r="H246" s="39">
        <f>IF(H243="","",H243)</f>
        <v/>
      </c>
      <c r="I246" s="7">
        <f>IF(H243="","",H243)</f>
        <v/>
      </c>
      <c r="J246" s="7" t="n">
        <v>12</v>
      </c>
      <c r="K246" s="7" t="n"/>
      <c r="L246" s="40" t="n"/>
      <c r="M246">
        <f>IF(AND(L246&lt;&gt;"",N(I246)&gt;0,N(J246)&gt;0),IF(J246=1,I246,ROUND(I246*(1+J246/30),1)),"")</f>
        <v/>
      </c>
      <c r="N246" s="41">
        <f>IF(M246="","",IF(M246&gt;=PRs!C51,"PR!",""))</f>
        <v/>
      </c>
      <c r="O246" s="7" t="n"/>
    </row>
    <row r="247">
      <c r="C247" t="inlineStr">
        <is>
          <t xml:space="preserve">      Set 4</t>
        </is>
      </c>
      <c r="E247" t="n">
        <v>12</v>
      </c>
      <c r="H247" s="39">
        <f>IF(H243="","",H243)</f>
        <v/>
      </c>
      <c r="I247" s="7">
        <f>IF(H243="","",H243)</f>
        <v/>
      </c>
      <c r="J247" s="7" t="n">
        <v>12</v>
      </c>
      <c r="K247" s="7" t="n"/>
      <c r="L247" s="40" t="n"/>
      <c r="M247">
        <f>IF(AND(L247&lt;&gt;"",N(I247)&gt;0,N(J247)&gt;0),IF(J247=1,I247,ROUND(I247*(1+J247/30),1)),"")</f>
        <v/>
      </c>
      <c r="N247" s="41">
        <f>IF(M247="","",IF(M247&gt;=PRs!C51,"PR!",""))</f>
        <v/>
      </c>
      <c r="O247" s="7" t="n"/>
    </row>
    <row r="248">
      <c r="A248" s="31" t="inlineStr">
        <is>
          <t>Day 2 - Light</t>
        </is>
      </c>
      <c r="B248" s="32">
        <f>'Start Here'!$B$8+184</f>
        <v/>
      </c>
      <c r="C248" s="33" t="n"/>
      <c r="D248" s="33" t="n"/>
      <c r="E248" s="33" t="n"/>
      <c r="F248" s="33" t="n"/>
      <c r="G248" s="33" t="n"/>
      <c r="H248" s="33" t="n"/>
      <c r="I248" s="33" t="n"/>
      <c r="J248" s="33" t="n"/>
      <c r="K248" s="33" t="n"/>
      <c r="L248" s="33" t="n"/>
      <c r="M248" s="33" t="n"/>
      <c r="N248" s="33" t="n"/>
      <c r="O248" s="33" t="n"/>
    </row>
    <row r="249">
      <c r="A249" s="34" t="n"/>
      <c r="B249" s="34" t="n"/>
      <c r="C249" s="35" t="inlineStr">
        <is>
          <t>Broad Jump</t>
        </is>
      </c>
      <c r="D249" s="34" t="inlineStr">
        <is>
          <t>4 x 3</t>
        </is>
      </c>
      <c r="E249" s="34" t="n"/>
      <c r="F249" s="34" t="n"/>
      <c r="G249" s="36" t="n"/>
      <c r="H249" s="37">
        <f>IF(N(Maxes!G70)&gt;0,Maxes!G70,"")</f>
        <v/>
      </c>
      <c r="I249" s="34" t="n"/>
      <c r="J249" s="34" t="n"/>
      <c r="K249" s="34" t="n"/>
      <c r="L249" s="34" t="n"/>
      <c r="M249" s="34" t="n"/>
      <c r="N249" s="34" t="n"/>
      <c r="O249" s="38" t="inlineStr">
        <is>
          <t>Standing two-foot jump forward, stick the landing. Measure toe line to the back of the nearest heel.</t>
        </is>
      </c>
    </row>
    <row r="250">
      <c r="C250" t="inlineStr">
        <is>
          <t xml:space="preserve">      Set 1</t>
        </is>
      </c>
      <c r="E250" t="n">
        <v>3</v>
      </c>
      <c r="H250" s="39">
        <f>IF(H249="","",H249)</f>
        <v/>
      </c>
      <c r="I250" s="7">
        <f>IF(H249="","",H249)</f>
        <v/>
      </c>
      <c r="J250" s="7" t="n">
        <v>3</v>
      </c>
      <c r="K250" s="7" t="n"/>
      <c r="L250" s="40" t="n"/>
      <c r="N250" s="41">
        <f>IF(AND(L250&lt;&gt;"",N(I250)&gt;0),IF(I250&gt;=PRs!D70,"PR!",""),"")</f>
        <v/>
      </c>
      <c r="O250" s="7" t="n"/>
    </row>
    <row r="251">
      <c r="C251" t="inlineStr">
        <is>
          <t xml:space="preserve">      Set 2</t>
        </is>
      </c>
      <c r="E251" t="n">
        <v>3</v>
      </c>
      <c r="H251" s="39">
        <f>IF(H249="","",H249)</f>
        <v/>
      </c>
      <c r="I251" s="7">
        <f>IF(H249="","",H249)</f>
        <v/>
      </c>
      <c r="J251" s="7" t="n">
        <v>3</v>
      </c>
      <c r="K251" s="7" t="n"/>
      <c r="L251" s="40" t="n"/>
      <c r="N251" s="41">
        <f>IF(AND(L251&lt;&gt;"",N(I251)&gt;0),IF(I251&gt;=PRs!D70,"PR!",""),"")</f>
        <v/>
      </c>
      <c r="O251" s="7" t="n"/>
    </row>
    <row r="252">
      <c r="C252" t="inlineStr">
        <is>
          <t xml:space="preserve">      Set 3</t>
        </is>
      </c>
      <c r="E252" t="n">
        <v>3</v>
      </c>
      <c r="H252" s="39">
        <f>IF(H249="","",H249)</f>
        <v/>
      </c>
      <c r="I252" s="7">
        <f>IF(H249="","",H249)</f>
        <v/>
      </c>
      <c r="J252" s="7" t="n">
        <v>3</v>
      </c>
      <c r="K252" s="7" t="n"/>
      <c r="L252" s="40" t="n"/>
      <c r="N252" s="41">
        <f>IF(AND(L252&lt;&gt;"",N(I252)&gt;0),IF(I252&gt;=PRs!D70,"PR!",""),"")</f>
        <v/>
      </c>
      <c r="O252" s="7" t="n"/>
    </row>
    <row r="253">
      <c r="C253" t="inlineStr">
        <is>
          <t xml:space="preserve">      Set 4</t>
        </is>
      </c>
      <c r="E253" t="n">
        <v>3</v>
      </c>
      <c r="H253" s="39">
        <f>IF(H249="","",H249)</f>
        <v/>
      </c>
      <c r="I253" s="7">
        <f>IF(H249="","",H249)</f>
        <v/>
      </c>
      <c r="J253" s="7" t="n">
        <v>3</v>
      </c>
      <c r="K253" s="7" t="n"/>
      <c r="L253" s="40" t="n"/>
      <c r="N253" s="41">
        <f>IF(AND(L253&lt;&gt;"",N(I253)&gt;0),IF(I253&gt;=PRs!D70,"PR!",""),"")</f>
        <v/>
      </c>
      <c r="O253" s="7" t="n"/>
    </row>
    <row r="254">
      <c r="A254" s="34" t="n"/>
      <c r="B254" s="34" t="n"/>
      <c r="C254" s="35" t="inlineStr">
        <is>
          <t>Med Ball Chest Pass</t>
        </is>
      </c>
      <c r="D254" s="34" t="inlineStr">
        <is>
          <t>3 x 5</t>
        </is>
      </c>
      <c r="E254" s="34" t="n"/>
      <c r="F254" s="34" t="n"/>
      <c r="G254" s="36" t="n"/>
      <c r="H254" s="37">
        <f>IF(N(Maxes!G77)&gt;0,Maxes!G77,"")</f>
        <v/>
      </c>
      <c r="I254" s="34" t="n"/>
      <c r="J254" s="34" t="n"/>
      <c r="K254" s="34" t="n"/>
      <c r="L254" s="34" t="n"/>
      <c r="M254" s="34" t="n"/>
      <c r="N254" s="34" t="n"/>
      <c r="O254" s="38" t="inlineStr">
        <is>
          <t>Kneeling or standing chest pass for distance with a 6-10 lb / 3-5 kg ball. Log the distance.</t>
        </is>
      </c>
    </row>
    <row r="255">
      <c r="C255" t="inlineStr">
        <is>
          <t xml:space="preserve">      Set 1</t>
        </is>
      </c>
      <c r="E255" t="n">
        <v>5</v>
      </c>
      <c r="H255" s="39">
        <f>IF(H254="","",H254)</f>
        <v/>
      </c>
      <c r="I255" s="7">
        <f>IF(H254="","",H254)</f>
        <v/>
      </c>
      <c r="J255" s="7" t="n">
        <v>5</v>
      </c>
      <c r="K255" s="7" t="n"/>
      <c r="L255" s="40" t="n"/>
      <c r="N255" s="41">
        <f>IF(AND(L255&lt;&gt;"",N(I255)&gt;0),IF(I255&gt;=PRs!D77,"PR!",""),"")</f>
        <v/>
      </c>
      <c r="O255" s="7" t="n"/>
    </row>
    <row r="256">
      <c r="C256" t="inlineStr">
        <is>
          <t xml:space="preserve">      Set 2</t>
        </is>
      </c>
      <c r="E256" t="n">
        <v>5</v>
      </c>
      <c r="H256" s="39">
        <f>IF(H254="","",H254)</f>
        <v/>
      </c>
      <c r="I256" s="7">
        <f>IF(H254="","",H254)</f>
        <v/>
      </c>
      <c r="J256" s="7" t="n">
        <v>5</v>
      </c>
      <c r="K256" s="7" t="n"/>
      <c r="L256" s="40" t="n"/>
      <c r="N256" s="41">
        <f>IF(AND(L256&lt;&gt;"",N(I256)&gt;0),IF(I256&gt;=PRs!D77,"PR!",""),"")</f>
        <v/>
      </c>
      <c r="O256" s="7" t="n"/>
    </row>
    <row r="257">
      <c r="C257" t="inlineStr">
        <is>
          <t xml:space="preserve">      Set 3</t>
        </is>
      </c>
      <c r="E257" t="n">
        <v>5</v>
      </c>
      <c r="H257" s="39">
        <f>IF(H254="","",H254)</f>
        <v/>
      </c>
      <c r="I257" s="7">
        <f>IF(H254="","",H254)</f>
        <v/>
      </c>
      <c r="J257" s="7" t="n">
        <v>5</v>
      </c>
      <c r="K257" s="7" t="n"/>
      <c r="L257" s="40" t="n"/>
      <c r="N257" s="41">
        <f>IF(AND(L257&lt;&gt;"",N(I257)&gt;0),IF(I257&gt;=PRs!D77,"PR!",""),"")</f>
        <v/>
      </c>
      <c r="O257" s="7" t="n"/>
    </row>
    <row r="258">
      <c r="A258" s="34" t="n"/>
      <c r="B258" s="34" t="n"/>
      <c r="C258" s="42" t="inlineStr">
        <is>
          <t>Clean &amp; Jerk</t>
        </is>
      </c>
      <c r="D258" s="34" t="inlineStr">
        <is>
          <t>4 x 3</t>
        </is>
      </c>
      <c r="E258" s="34" t="n"/>
      <c r="F258" s="34" t="n">
        <v>75</v>
      </c>
      <c r="G258" s="36">
        <f>Maxes!G7</f>
        <v/>
      </c>
      <c r="H258" s="37">
        <f>IF(OR(G258="",F258=""),"",MROUND(G258*F258/100,'Start Here'!$B$7))</f>
        <v/>
      </c>
      <c r="I258" s="34" t="n"/>
      <c r="J258" s="34" t="n"/>
      <c r="K258" s="34" t="n"/>
      <c r="L258" s="34" t="n"/>
      <c r="M258" s="34" t="n"/>
      <c r="N258" s="34" t="n"/>
      <c r="O258" s="38" t="inlineStr"/>
    </row>
    <row r="259">
      <c r="C259" t="inlineStr">
        <is>
          <t xml:space="preserve">      Set 1</t>
        </is>
      </c>
      <c r="E259" t="n">
        <v>3</v>
      </c>
      <c r="H259" s="39">
        <f>IF(H258="","",H258)</f>
        <v/>
      </c>
      <c r="I259" s="7">
        <f>IF(H258="","",H258)</f>
        <v/>
      </c>
      <c r="J259" s="7" t="n">
        <v>3</v>
      </c>
      <c r="K259" s="7" t="n"/>
      <c r="L259" s="40" t="n"/>
      <c r="M259">
        <f>IF(AND(L259&lt;&gt;"",N(I259)&gt;0,N(J259)&gt;0),IF(J259=1,I259,ROUND(I259*(1+J259/30),1)),"")</f>
        <v/>
      </c>
      <c r="N259" s="41">
        <f>IF(M259="","",IF(M259&gt;=PRs!C7,"PR!",""))</f>
        <v/>
      </c>
      <c r="O259" s="7" t="n"/>
    </row>
    <row r="260">
      <c r="C260" t="inlineStr">
        <is>
          <t xml:space="preserve">      Set 2</t>
        </is>
      </c>
      <c r="E260" t="n">
        <v>3</v>
      </c>
      <c r="H260" s="39">
        <f>IF(H258="","",H258)</f>
        <v/>
      </c>
      <c r="I260" s="7">
        <f>IF(H258="","",H258)</f>
        <v/>
      </c>
      <c r="J260" s="7" t="n">
        <v>3</v>
      </c>
      <c r="K260" s="7" t="n"/>
      <c r="L260" s="40" t="n"/>
      <c r="M260">
        <f>IF(AND(L260&lt;&gt;"",N(I260)&gt;0,N(J260)&gt;0),IF(J260=1,I260,ROUND(I260*(1+J260/30),1)),"")</f>
        <v/>
      </c>
      <c r="N260" s="41">
        <f>IF(M260="","",IF(M260&gt;=PRs!C7,"PR!",""))</f>
        <v/>
      </c>
      <c r="O260" s="7" t="n"/>
    </row>
    <row r="261">
      <c r="C261" t="inlineStr">
        <is>
          <t xml:space="preserve">      Set 3</t>
        </is>
      </c>
      <c r="E261" t="n">
        <v>3</v>
      </c>
      <c r="H261" s="39">
        <f>IF(H258="","",H258)</f>
        <v/>
      </c>
      <c r="I261" s="7">
        <f>IF(H258="","",H258)</f>
        <v/>
      </c>
      <c r="J261" s="7" t="n">
        <v>3</v>
      </c>
      <c r="K261" s="7" t="n"/>
      <c r="L261" s="40" t="n"/>
      <c r="M261">
        <f>IF(AND(L261&lt;&gt;"",N(I261)&gt;0,N(J261)&gt;0),IF(J261=1,I261,ROUND(I261*(1+J261/30),1)),"")</f>
        <v/>
      </c>
      <c r="N261" s="41">
        <f>IF(M261="","",IF(M261&gt;=PRs!C7,"PR!",""))</f>
        <v/>
      </c>
      <c r="O261" s="7" t="n"/>
    </row>
    <row r="262">
      <c r="C262" t="inlineStr">
        <is>
          <t xml:space="preserve">      Set 4</t>
        </is>
      </c>
      <c r="E262" t="n">
        <v>3</v>
      </c>
      <c r="H262" s="39">
        <f>IF(H258="","",H258)</f>
        <v/>
      </c>
      <c r="I262" s="7">
        <f>IF(H258="","",H258)</f>
        <v/>
      </c>
      <c r="J262" s="7" t="n">
        <v>3</v>
      </c>
      <c r="K262" s="7" t="n"/>
      <c r="L262" s="40" t="n"/>
      <c r="M262">
        <f>IF(AND(L262&lt;&gt;"",N(I262)&gt;0,N(J262)&gt;0),IF(J262=1,I262,ROUND(I262*(1+J262/30),1)),"")</f>
        <v/>
      </c>
      <c r="N262" s="41">
        <f>IF(M262="","",IF(M262&gt;=PRs!C7,"PR!",""))</f>
        <v/>
      </c>
      <c r="O262" s="7" t="n"/>
    </row>
    <row r="263">
      <c r="A263" s="34" t="n"/>
      <c r="B263" s="34" t="n"/>
      <c r="C263" s="42" t="inlineStr">
        <is>
          <t>Squat</t>
        </is>
      </c>
      <c r="D263" s="34" t="inlineStr">
        <is>
          <t>3 x 6</t>
        </is>
      </c>
      <c r="E263" s="34" t="n"/>
      <c r="F263" s="34" t="n">
        <v>65</v>
      </c>
      <c r="G263" s="36">
        <f>Maxes!G2</f>
        <v/>
      </c>
      <c r="H263" s="37">
        <f>IF(OR(G263="",F263=""),"",MROUND(G263*F263/100,'Start Here'!$B$7))</f>
        <v/>
      </c>
      <c r="I263" s="34" t="n"/>
      <c r="J263" s="34" t="n"/>
      <c r="K263" s="34" t="n"/>
      <c r="L263" s="34" t="n"/>
      <c r="M263" s="34" t="n"/>
      <c r="N263" s="34" t="n"/>
      <c r="O263" s="38" t="inlineStr"/>
    </row>
    <row r="264">
      <c r="C264" t="inlineStr">
        <is>
          <t xml:space="preserve">      Set 1</t>
        </is>
      </c>
      <c r="E264" t="n">
        <v>6</v>
      </c>
      <c r="H264" s="39">
        <f>IF(H263="","",H263)</f>
        <v/>
      </c>
      <c r="I264" s="7">
        <f>IF(H263="","",H263)</f>
        <v/>
      </c>
      <c r="J264" s="7" t="n">
        <v>6</v>
      </c>
      <c r="K264" s="7" t="n"/>
      <c r="L264" s="40" t="n"/>
      <c r="M264">
        <f>IF(AND(L264&lt;&gt;"",N(I264)&gt;0,N(J264)&gt;0),IF(J264=1,I264,ROUND(I264*(1+J264/30),1)),"")</f>
        <v/>
      </c>
      <c r="N264" s="41">
        <f>IF(M264="","",IF(M264&gt;=PRs!C2,"PR!",""))</f>
        <v/>
      </c>
      <c r="O264" s="7" t="n"/>
    </row>
    <row r="265">
      <c r="C265" t="inlineStr">
        <is>
          <t xml:space="preserve">      Set 2</t>
        </is>
      </c>
      <c r="E265" t="n">
        <v>6</v>
      </c>
      <c r="H265" s="39">
        <f>IF(H263="","",H263)</f>
        <v/>
      </c>
      <c r="I265" s="7">
        <f>IF(H263="","",H263)</f>
        <v/>
      </c>
      <c r="J265" s="7" t="n">
        <v>6</v>
      </c>
      <c r="K265" s="7" t="n"/>
      <c r="L265" s="40" t="n"/>
      <c r="M265">
        <f>IF(AND(L265&lt;&gt;"",N(I265)&gt;0,N(J265)&gt;0),IF(J265=1,I265,ROUND(I265*(1+J265/30),1)),"")</f>
        <v/>
      </c>
      <c r="N265" s="41">
        <f>IF(M265="","",IF(M265&gt;=PRs!C2,"PR!",""))</f>
        <v/>
      </c>
      <c r="O265" s="7" t="n"/>
    </row>
    <row r="266">
      <c r="C266" t="inlineStr">
        <is>
          <t xml:space="preserve">      Set 3</t>
        </is>
      </c>
      <c r="E266" t="n">
        <v>6</v>
      </c>
      <c r="H266" s="39">
        <f>IF(H263="","",H263)</f>
        <v/>
      </c>
      <c r="I266" s="7">
        <f>IF(H263="","",H263)</f>
        <v/>
      </c>
      <c r="J266" s="7" t="n">
        <v>6</v>
      </c>
      <c r="K266" s="7" t="n"/>
      <c r="L266" s="40" t="n"/>
      <c r="M266">
        <f>IF(AND(L266&lt;&gt;"",N(I266)&gt;0,N(J266)&gt;0),IF(J266=1,I266,ROUND(I266*(1+J266/30),1)),"")</f>
        <v/>
      </c>
      <c r="N266" s="41">
        <f>IF(M266="","",IF(M266&gt;=PRs!C2,"PR!",""))</f>
        <v/>
      </c>
      <c r="O266" s="7" t="n"/>
    </row>
    <row r="267">
      <c r="A267" s="34" t="n"/>
      <c r="B267" s="34" t="n"/>
      <c r="C267" s="42" t="inlineStr">
        <is>
          <t>Overhead Press</t>
        </is>
      </c>
      <c r="D267" s="34" t="inlineStr">
        <is>
          <t>3 x 6</t>
        </is>
      </c>
      <c r="E267" s="34" t="n"/>
      <c r="F267" s="34" t="n">
        <v>70</v>
      </c>
      <c r="G267" s="36">
        <f>Maxes!G5</f>
        <v/>
      </c>
      <c r="H267" s="37">
        <f>IF(OR(G267="",F267=""),"",MROUND(G267*F267/100,'Start Here'!$B$7))</f>
        <v/>
      </c>
      <c r="I267" s="34" t="n"/>
      <c r="J267" s="34" t="n"/>
      <c r="K267" s="34" t="n"/>
      <c r="L267" s="34" t="n"/>
      <c r="M267" s="34" t="n"/>
      <c r="N267" s="34" t="n"/>
      <c r="O267" s="38" t="inlineStr"/>
    </row>
    <row r="268">
      <c r="C268" t="inlineStr">
        <is>
          <t xml:space="preserve">      Set 1</t>
        </is>
      </c>
      <c r="E268" t="n">
        <v>6</v>
      </c>
      <c r="H268" s="39">
        <f>IF(H267="","",H267)</f>
        <v/>
      </c>
      <c r="I268" s="7">
        <f>IF(H267="","",H267)</f>
        <v/>
      </c>
      <c r="J268" s="7" t="n">
        <v>6</v>
      </c>
      <c r="K268" s="7" t="n"/>
      <c r="L268" s="40" t="n"/>
      <c r="M268">
        <f>IF(AND(L268&lt;&gt;"",N(I268)&gt;0,N(J268)&gt;0),IF(J268=1,I268,ROUND(I268*(1+J268/30),1)),"")</f>
        <v/>
      </c>
      <c r="N268" s="41">
        <f>IF(M268="","",IF(M268&gt;=PRs!C5,"PR!",""))</f>
        <v/>
      </c>
      <c r="O268" s="7" t="n"/>
    </row>
    <row r="269">
      <c r="C269" t="inlineStr">
        <is>
          <t xml:space="preserve">      Set 2</t>
        </is>
      </c>
      <c r="E269" t="n">
        <v>6</v>
      </c>
      <c r="H269" s="39">
        <f>IF(H267="","",H267)</f>
        <v/>
      </c>
      <c r="I269" s="7">
        <f>IF(H267="","",H267)</f>
        <v/>
      </c>
      <c r="J269" s="7" t="n">
        <v>6</v>
      </c>
      <c r="K269" s="7" t="n"/>
      <c r="L269" s="40" t="n"/>
      <c r="M269">
        <f>IF(AND(L269&lt;&gt;"",N(I269)&gt;0,N(J269)&gt;0),IF(J269=1,I269,ROUND(I269*(1+J269/30),1)),"")</f>
        <v/>
      </c>
      <c r="N269" s="41">
        <f>IF(M269="","",IF(M269&gt;=PRs!C5,"PR!",""))</f>
        <v/>
      </c>
      <c r="O269" s="7" t="n"/>
    </row>
    <row r="270">
      <c r="C270" t="inlineStr">
        <is>
          <t xml:space="preserve">      Set 3</t>
        </is>
      </c>
      <c r="E270" t="n">
        <v>6</v>
      </c>
      <c r="H270" s="39">
        <f>IF(H267="","",H267)</f>
        <v/>
      </c>
      <c r="I270" s="7">
        <f>IF(H267="","",H267)</f>
        <v/>
      </c>
      <c r="J270" s="7" t="n">
        <v>6</v>
      </c>
      <c r="K270" s="7" t="n"/>
      <c r="L270" s="40" t="n"/>
      <c r="M270">
        <f>IF(AND(L270&lt;&gt;"",N(I270)&gt;0,N(J270)&gt;0),IF(J270=1,I270,ROUND(I270*(1+J270/30),1)),"")</f>
        <v/>
      </c>
      <c r="N270" s="41">
        <f>IF(M270="","",IF(M270&gt;=PRs!C5,"PR!",""))</f>
        <v/>
      </c>
      <c r="O270" s="7" t="n"/>
    </row>
    <row r="271">
      <c r="A271" s="34" t="n"/>
      <c r="B271" s="34" t="n"/>
      <c r="C271" s="42" t="inlineStr">
        <is>
          <t>Deadlift</t>
        </is>
      </c>
      <c r="D271" s="34" t="inlineStr">
        <is>
          <t>3 x 6</t>
        </is>
      </c>
      <c r="E271" s="34" t="n"/>
      <c r="F271" s="34" t="n">
        <v>70</v>
      </c>
      <c r="G271" s="36">
        <f>Maxes!G4</f>
        <v/>
      </c>
      <c r="H271" s="37">
        <f>IF(OR(G271="",F271=""),"",MROUND(G271*F271/100,'Start Here'!$B$7))</f>
        <v/>
      </c>
      <c r="I271" s="34" t="n"/>
      <c r="J271" s="34" t="n"/>
      <c r="K271" s="34" t="n"/>
      <c r="L271" s="34" t="n"/>
      <c r="M271" s="34" t="n"/>
      <c r="N271" s="34" t="n"/>
      <c r="O271" s="38" t="inlineStr"/>
    </row>
    <row r="272">
      <c r="C272" t="inlineStr">
        <is>
          <t xml:space="preserve">      Set 1</t>
        </is>
      </c>
      <c r="E272" t="n">
        <v>6</v>
      </c>
      <c r="H272" s="39">
        <f>IF(H271="","",H271)</f>
        <v/>
      </c>
      <c r="I272" s="7">
        <f>IF(H271="","",H271)</f>
        <v/>
      </c>
      <c r="J272" s="7" t="n">
        <v>6</v>
      </c>
      <c r="K272" s="7" t="n"/>
      <c r="L272" s="40" t="n"/>
      <c r="M272">
        <f>IF(AND(L272&lt;&gt;"",N(I272)&gt;0,N(J272)&gt;0),IF(J272=1,I272,ROUND(I272*(1+J272/30),1)),"")</f>
        <v/>
      </c>
      <c r="N272" s="41">
        <f>IF(M272="","",IF(M272&gt;=PRs!C4,"PR!",""))</f>
        <v/>
      </c>
      <c r="O272" s="7" t="n"/>
    </row>
    <row r="273">
      <c r="C273" t="inlineStr">
        <is>
          <t xml:space="preserve">      Set 2</t>
        </is>
      </c>
      <c r="E273" t="n">
        <v>6</v>
      </c>
      <c r="H273" s="39">
        <f>IF(H271="","",H271)</f>
        <v/>
      </c>
      <c r="I273" s="7">
        <f>IF(H271="","",H271)</f>
        <v/>
      </c>
      <c r="J273" s="7" t="n">
        <v>6</v>
      </c>
      <c r="K273" s="7" t="n"/>
      <c r="L273" s="40" t="n"/>
      <c r="M273">
        <f>IF(AND(L273&lt;&gt;"",N(I273)&gt;0,N(J273)&gt;0),IF(J273=1,I273,ROUND(I273*(1+J273/30),1)),"")</f>
        <v/>
      </c>
      <c r="N273" s="41">
        <f>IF(M273="","",IF(M273&gt;=PRs!C4,"PR!",""))</f>
        <v/>
      </c>
      <c r="O273" s="7" t="n"/>
    </row>
    <row r="274">
      <c r="C274" t="inlineStr">
        <is>
          <t xml:space="preserve">      Set 3</t>
        </is>
      </c>
      <c r="E274" t="n">
        <v>6</v>
      </c>
      <c r="H274" s="39">
        <f>IF(H271="","",H271)</f>
        <v/>
      </c>
      <c r="I274" s="7">
        <f>IF(H271="","",H271)</f>
        <v/>
      </c>
      <c r="J274" s="7" t="n">
        <v>6</v>
      </c>
      <c r="K274" s="7" t="n"/>
      <c r="L274" s="40" t="n"/>
      <c r="M274">
        <f>IF(AND(L274&lt;&gt;"",N(I274)&gt;0,N(J274)&gt;0),IF(J274=1,I274,ROUND(I274*(1+J274/30),1)),"")</f>
        <v/>
      </c>
      <c r="N274" s="41">
        <f>IF(M274="","",IF(M274&gt;=PRs!C4,"PR!",""))</f>
        <v/>
      </c>
      <c r="O274" s="7" t="n"/>
    </row>
    <row r="275">
      <c r="A275" s="34" t="n"/>
      <c r="B275" s="34" t="n"/>
      <c r="C275" s="43" t="inlineStr">
        <is>
          <t>Chin-up</t>
        </is>
      </c>
      <c r="D275" s="34" t="inlineStr">
        <is>
          <t>4 x 6-10</t>
        </is>
      </c>
      <c r="E275" s="34" t="n"/>
      <c r="F275" s="34" t="n"/>
      <c r="G275" s="36" t="n"/>
      <c r="H275" s="37" t="n"/>
      <c r="I275" s="34" t="n"/>
      <c r="J275" s="34" t="n"/>
      <c r="K275" s="34" t="n"/>
      <c r="L275" s="34" t="n"/>
      <c r="M275" s="34" t="n"/>
      <c r="N275" s="34" t="n"/>
      <c r="O275" s="38" t="inlineStr">
        <is>
          <t>Leave 1-2 reps in the tank; add weight when you hit the top of the range</t>
        </is>
      </c>
    </row>
    <row r="276">
      <c r="C276" t="inlineStr">
        <is>
          <t xml:space="preserve">      Set 1</t>
        </is>
      </c>
      <c r="E276" t="n">
        <v>6</v>
      </c>
      <c r="H276" s="39">
        <f>IF(H275="","",H275)</f>
        <v/>
      </c>
      <c r="I276" s="7">
        <f>IF(H275="","",H275)</f>
        <v/>
      </c>
      <c r="J276" s="7" t="n">
        <v>6</v>
      </c>
      <c r="K276" s="7" t="n"/>
      <c r="L276" s="40" t="n"/>
      <c r="M276">
        <f>IF(AND(L276&lt;&gt;"",N(I276)&gt;0,N(J276)&gt;0),IF(J276=1,I276,ROUND(I276*(1+J276/30),1)),"")</f>
        <v/>
      </c>
      <c r="N276" s="41">
        <f>IF(M276="","",IF(M276&gt;=PRs!C53,"PR!",""))</f>
        <v/>
      </c>
      <c r="O276" s="7" t="n"/>
    </row>
    <row r="277">
      <c r="C277" t="inlineStr">
        <is>
          <t xml:space="preserve">      Set 2</t>
        </is>
      </c>
      <c r="E277" t="n">
        <v>6</v>
      </c>
      <c r="H277" s="39">
        <f>IF(H275="","",H275)</f>
        <v/>
      </c>
      <c r="I277" s="7">
        <f>IF(H275="","",H275)</f>
        <v/>
      </c>
      <c r="J277" s="7" t="n">
        <v>6</v>
      </c>
      <c r="K277" s="7" t="n"/>
      <c r="L277" s="40" t="n"/>
      <c r="M277">
        <f>IF(AND(L277&lt;&gt;"",N(I277)&gt;0,N(J277)&gt;0),IF(J277=1,I277,ROUND(I277*(1+J277/30),1)),"")</f>
        <v/>
      </c>
      <c r="N277" s="41">
        <f>IF(M277="","",IF(M277&gt;=PRs!C53,"PR!",""))</f>
        <v/>
      </c>
      <c r="O277" s="7" t="n"/>
    </row>
    <row r="278">
      <c r="C278" t="inlineStr">
        <is>
          <t xml:space="preserve">      Set 3</t>
        </is>
      </c>
      <c r="E278" t="n">
        <v>6</v>
      </c>
      <c r="H278" s="39">
        <f>IF(H275="","",H275)</f>
        <v/>
      </c>
      <c r="I278" s="7">
        <f>IF(H275="","",H275)</f>
        <v/>
      </c>
      <c r="J278" s="7" t="n">
        <v>6</v>
      </c>
      <c r="K278" s="7" t="n"/>
      <c r="L278" s="40" t="n"/>
      <c r="M278">
        <f>IF(AND(L278&lt;&gt;"",N(I278)&gt;0,N(J278)&gt;0),IF(J278=1,I278,ROUND(I278*(1+J278/30),1)),"")</f>
        <v/>
      </c>
      <c r="N278" s="41">
        <f>IF(M278="","",IF(M278&gt;=PRs!C53,"PR!",""))</f>
        <v/>
      </c>
      <c r="O278" s="7" t="n"/>
    </row>
    <row r="279">
      <c r="C279" t="inlineStr">
        <is>
          <t xml:space="preserve">      Set 4</t>
        </is>
      </c>
      <c r="E279" t="n">
        <v>6</v>
      </c>
      <c r="H279" s="39">
        <f>IF(H275="","",H275)</f>
        <v/>
      </c>
      <c r="I279" s="7">
        <f>IF(H275="","",H275)</f>
        <v/>
      </c>
      <c r="J279" s="7" t="n">
        <v>6</v>
      </c>
      <c r="K279" s="7" t="n"/>
      <c r="L279" s="40" t="n"/>
      <c r="M279">
        <f>IF(AND(L279&lt;&gt;"",N(I279)&gt;0,N(J279)&gt;0),IF(J279=1,I279,ROUND(I279*(1+J279/30),1)),"")</f>
        <v/>
      </c>
      <c r="N279" s="41">
        <f>IF(M279="","",IF(M279&gt;=PRs!C53,"PR!",""))</f>
        <v/>
      </c>
      <c r="O279" s="7" t="n"/>
    </row>
    <row r="280">
      <c r="A280" s="34" t="n"/>
      <c r="B280" s="34" t="n"/>
      <c r="C280" s="43" t="inlineStr">
        <is>
          <t>Plank</t>
        </is>
      </c>
      <c r="D280" s="34" t="inlineStr">
        <is>
          <t>4 x 30-60s</t>
        </is>
      </c>
      <c r="E280" s="34" t="n"/>
      <c r="F280" s="34" t="n"/>
      <c r="G280" s="36" t="n"/>
      <c r="H280" s="37" t="n"/>
      <c r="I280" s="34" t="n"/>
      <c r="J280" s="34" t="n"/>
      <c r="K280" s="34" t="n"/>
      <c r="L280" s="34" t="n"/>
      <c r="M280" s="34" t="n"/>
      <c r="N280" s="34" t="n"/>
      <c r="O280" s="38" t="inlineStr">
        <is>
          <t>Leave 1-2 reps in the tank; add weight when you hit the top of the range</t>
        </is>
      </c>
    </row>
    <row r="281">
      <c r="C281" t="inlineStr">
        <is>
          <t xml:space="preserve">      Set 1</t>
        </is>
      </c>
      <c r="E281" t="n">
        <v>30</v>
      </c>
      <c r="H281" s="39">
        <f>IF(H280="","",H280)</f>
        <v/>
      </c>
      <c r="I281" s="7">
        <f>IF(H280="","",H280)</f>
        <v/>
      </c>
      <c r="J281" s="7" t="n">
        <v>30</v>
      </c>
      <c r="K281" s="7" t="n"/>
      <c r="L281" s="40" t="n"/>
      <c r="M281">
        <f>IF(AND(L281&lt;&gt;"",N(I281)&gt;0,N(J281)&gt;0),IF(J281=1,I281,ROUND(I281*(1+J281/30),1)),"")</f>
        <v/>
      </c>
      <c r="N281" s="41">
        <f>IF(M281="","",IF(M281&gt;=PRs!C56,"PR!",""))</f>
        <v/>
      </c>
      <c r="O281" s="7" t="n"/>
    </row>
    <row r="282">
      <c r="C282" t="inlineStr">
        <is>
          <t xml:space="preserve">      Set 2</t>
        </is>
      </c>
      <c r="E282" t="n">
        <v>30</v>
      </c>
      <c r="H282" s="39">
        <f>IF(H280="","",H280)</f>
        <v/>
      </c>
      <c r="I282" s="7">
        <f>IF(H280="","",H280)</f>
        <v/>
      </c>
      <c r="J282" s="7" t="n">
        <v>30</v>
      </c>
      <c r="K282" s="7" t="n"/>
      <c r="L282" s="40" t="n"/>
      <c r="M282">
        <f>IF(AND(L282&lt;&gt;"",N(I282)&gt;0,N(J282)&gt;0),IF(J282=1,I282,ROUND(I282*(1+J282/30),1)),"")</f>
        <v/>
      </c>
      <c r="N282" s="41">
        <f>IF(M282="","",IF(M282&gt;=PRs!C56,"PR!",""))</f>
        <v/>
      </c>
      <c r="O282" s="7" t="n"/>
    </row>
    <row r="283">
      <c r="C283" t="inlineStr">
        <is>
          <t xml:space="preserve">      Set 3</t>
        </is>
      </c>
      <c r="E283" t="n">
        <v>30</v>
      </c>
      <c r="H283" s="39">
        <f>IF(H280="","",H280)</f>
        <v/>
      </c>
      <c r="I283" s="7">
        <f>IF(H280="","",H280)</f>
        <v/>
      </c>
      <c r="J283" s="7" t="n">
        <v>30</v>
      </c>
      <c r="K283" s="7" t="n"/>
      <c r="L283" s="40" t="n"/>
      <c r="M283">
        <f>IF(AND(L283&lt;&gt;"",N(I283)&gt;0,N(J283)&gt;0),IF(J283=1,I283,ROUND(I283*(1+J283/30),1)),"")</f>
        <v/>
      </c>
      <c r="N283" s="41">
        <f>IF(M283="","",IF(M283&gt;=PRs!C56,"PR!",""))</f>
        <v/>
      </c>
      <c r="O283" s="7" t="n"/>
    </row>
    <row r="284">
      <c r="C284" t="inlineStr">
        <is>
          <t xml:space="preserve">      Set 4</t>
        </is>
      </c>
      <c r="E284" t="n">
        <v>30</v>
      </c>
      <c r="H284" s="39">
        <f>IF(H280="","",H280)</f>
        <v/>
      </c>
      <c r="I284" s="7">
        <f>IF(H280="","",H280)</f>
        <v/>
      </c>
      <c r="J284" s="7" t="n">
        <v>30</v>
      </c>
      <c r="K284" s="7" t="n"/>
      <c r="L284" s="40" t="n"/>
      <c r="M284">
        <f>IF(AND(L284&lt;&gt;"",N(I284)&gt;0,N(J284)&gt;0),IF(J284=1,I284,ROUND(I284*(1+J284/30),1)),"")</f>
        <v/>
      </c>
      <c r="N284" s="41">
        <f>IF(M284="","",IF(M284&gt;=PRs!C56,"PR!",""))</f>
        <v/>
      </c>
      <c r="O284" s="7" t="n"/>
    </row>
    <row r="285">
      <c r="A285" s="31" t="inlineStr">
        <is>
          <t>Day 3 - Variations</t>
        </is>
      </c>
      <c r="B285" s="32">
        <f>'Start Here'!$B$8+186</f>
        <v/>
      </c>
      <c r="C285" s="33" t="n"/>
      <c r="D285" s="33" t="n"/>
      <c r="E285" s="33" t="n"/>
      <c r="F285" s="33" t="n"/>
      <c r="G285" s="33" t="n"/>
      <c r="H285" s="33" t="n"/>
      <c r="I285" s="33" t="n"/>
      <c r="J285" s="33" t="n"/>
      <c r="K285" s="33" t="n"/>
      <c r="L285" s="33" t="n"/>
      <c r="M285" s="33" t="n"/>
      <c r="N285" s="33" t="n"/>
      <c r="O285" s="33" t="n"/>
    </row>
    <row r="286">
      <c r="A286" s="34" t="n"/>
      <c r="B286" s="34" t="n"/>
      <c r="C286" s="35" t="inlineStr">
        <is>
          <t>Depth Jump</t>
        </is>
      </c>
      <c r="D286" s="34" t="inlineStr">
        <is>
          <t>4 x 3</t>
        </is>
      </c>
      <c r="E286" s="34" t="n"/>
      <c r="F286" s="34" t="n"/>
      <c r="G286" s="36" t="n"/>
      <c r="H286" s="37">
        <f>IF(N(Maxes!G72)&gt;0,Maxes!G72,"")</f>
        <v/>
      </c>
      <c r="I286" s="34" t="n"/>
      <c r="J286" s="34" t="n"/>
      <c r="K286" s="34" t="n"/>
      <c r="L286" s="34" t="n"/>
      <c r="M286" s="34" t="n"/>
      <c r="N286" s="34" t="n"/>
      <c r="O286" s="38" t="inlineStr">
        <is>
          <t>Step off a low box (12-18 in / 30-45 cm), land and rebound straight up as fast as possible. Log the drop-box height.</t>
        </is>
      </c>
    </row>
    <row r="287">
      <c r="C287" t="inlineStr">
        <is>
          <t xml:space="preserve">      Set 1</t>
        </is>
      </c>
      <c r="E287" t="n">
        <v>3</v>
      </c>
      <c r="H287" s="39">
        <f>IF(H286="","",H286)</f>
        <v/>
      </c>
      <c r="I287" s="7">
        <f>IF(H286="","",H286)</f>
        <v/>
      </c>
      <c r="J287" s="7" t="n">
        <v>3</v>
      </c>
      <c r="K287" s="7" t="n"/>
      <c r="L287" s="40" t="n"/>
      <c r="N287" s="41">
        <f>IF(AND(L287&lt;&gt;"",N(I287)&gt;0),IF(I287&gt;=PRs!D72,"PR!",""),"")</f>
        <v/>
      </c>
      <c r="O287" s="7" t="n"/>
    </row>
    <row r="288">
      <c r="C288" t="inlineStr">
        <is>
          <t xml:space="preserve">      Set 2</t>
        </is>
      </c>
      <c r="E288" t="n">
        <v>3</v>
      </c>
      <c r="H288" s="39">
        <f>IF(H286="","",H286)</f>
        <v/>
      </c>
      <c r="I288" s="7">
        <f>IF(H286="","",H286)</f>
        <v/>
      </c>
      <c r="J288" s="7" t="n">
        <v>3</v>
      </c>
      <c r="K288" s="7" t="n"/>
      <c r="L288" s="40" t="n"/>
      <c r="N288" s="41">
        <f>IF(AND(L288&lt;&gt;"",N(I288)&gt;0),IF(I288&gt;=PRs!D72,"PR!",""),"")</f>
        <v/>
      </c>
      <c r="O288" s="7" t="n"/>
    </row>
    <row r="289">
      <c r="C289" t="inlineStr">
        <is>
          <t xml:space="preserve">      Set 3</t>
        </is>
      </c>
      <c r="E289" t="n">
        <v>3</v>
      </c>
      <c r="H289" s="39">
        <f>IF(H286="","",H286)</f>
        <v/>
      </c>
      <c r="I289" s="7">
        <f>IF(H286="","",H286)</f>
        <v/>
      </c>
      <c r="J289" s="7" t="n">
        <v>3</v>
      </c>
      <c r="K289" s="7" t="n"/>
      <c r="L289" s="40" t="n"/>
      <c r="N289" s="41">
        <f>IF(AND(L289&lt;&gt;"",N(I289)&gt;0),IF(I289&gt;=PRs!D72,"PR!",""),"")</f>
        <v/>
      </c>
      <c r="O289" s="7" t="n"/>
    </row>
    <row r="290">
      <c r="C290" t="inlineStr">
        <is>
          <t xml:space="preserve">      Set 4</t>
        </is>
      </c>
      <c r="E290" t="n">
        <v>3</v>
      </c>
      <c r="H290" s="39">
        <f>IF(H286="","",H286)</f>
        <v/>
      </c>
      <c r="I290" s="7">
        <f>IF(H286="","",H286)</f>
        <v/>
      </c>
      <c r="J290" s="7" t="n">
        <v>3</v>
      </c>
      <c r="K290" s="7" t="n"/>
      <c r="L290" s="40" t="n"/>
      <c r="N290" s="41">
        <f>IF(AND(L290&lt;&gt;"",N(I290)&gt;0),IF(I290&gt;=PRs!D72,"PR!",""),"")</f>
        <v/>
      </c>
      <c r="O290" s="7" t="n"/>
    </row>
    <row r="291">
      <c r="A291" s="34" t="n"/>
      <c r="B291" s="34" t="n"/>
      <c r="C291" s="42" t="inlineStr">
        <is>
          <t>Block Snatch</t>
        </is>
      </c>
      <c r="D291" s="34" t="inlineStr">
        <is>
          <t>4 x 3</t>
        </is>
      </c>
      <c r="E291" s="34" t="n"/>
      <c r="F291" s="34" t="n">
        <v>70</v>
      </c>
      <c r="G291" s="36">
        <f>Maxes!G40</f>
        <v/>
      </c>
      <c r="H291" s="37">
        <f>IF(OR(G291="",F291=""),"",MROUND(G291*F291/100,'Start Here'!$B$7))</f>
        <v/>
      </c>
      <c r="I291" s="34" t="n"/>
      <c r="J291" s="34" t="n"/>
      <c r="K291" s="34" t="n"/>
      <c r="L291" s="34" t="n"/>
      <c r="M291" s="34" t="n"/>
      <c r="N291" s="34" t="n"/>
      <c r="O291" s="38" t="inlineStr"/>
    </row>
    <row r="292">
      <c r="C292" t="inlineStr">
        <is>
          <t xml:space="preserve">      Set 1</t>
        </is>
      </c>
      <c r="E292" t="n">
        <v>3</v>
      </c>
      <c r="H292" s="39">
        <f>IF(H291="","",H291)</f>
        <v/>
      </c>
      <c r="I292" s="7">
        <f>IF(H291="","",H291)</f>
        <v/>
      </c>
      <c r="J292" s="7" t="n">
        <v>3</v>
      </c>
      <c r="K292" s="7" t="n"/>
      <c r="L292" s="40" t="n"/>
      <c r="M292">
        <f>IF(AND(L292&lt;&gt;"",N(I292)&gt;0,N(J292)&gt;0),IF(J292=1,I292,ROUND(I292*(1+J292/30),1)),"")</f>
        <v/>
      </c>
      <c r="N292" s="41">
        <f>IF(M292="","",IF(M292&gt;=PRs!C40,"PR!",""))</f>
        <v/>
      </c>
      <c r="O292" s="7" t="n"/>
    </row>
    <row r="293">
      <c r="C293" t="inlineStr">
        <is>
          <t xml:space="preserve">      Set 2</t>
        </is>
      </c>
      <c r="E293" t="n">
        <v>3</v>
      </c>
      <c r="H293" s="39">
        <f>IF(H291="","",H291)</f>
        <v/>
      </c>
      <c r="I293" s="7">
        <f>IF(H291="","",H291)</f>
        <v/>
      </c>
      <c r="J293" s="7" t="n">
        <v>3</v>
      </c>
      <c r="K293" s="7" t="n"/>
      <c r="L293" s="40" t="n"/>
      <c r="M293">
        <f>IF(AND(L293&lt;&gt;"",N(I293)&gt;0,N(J293)&gt;0),IF(J293=1,I293,ROUND(I293*(1+J293/30),1)),"")</f>
        <v/>
      </c>
      <c r="N293" s="41">
        <f>IF(M293="","",IF(M293&gt;=PRs!C40,"PR!",""))</f>
        <v/>
      </c>
      <c r="O293" s="7" t="n"/>
    </row>
    <row r="294">
      <c r="C294" t="inlineStr">
        <is>
          <t xml:space="preserve">      Set 3</t>
        </is>
      </c>
      <c r="E294" t="n">
        <v>3</v>
      </c>
      <c r="H294" s="39">
        <f>IF(H291="","",H291)</f>
        <v/>
      </c>
      <c r="I294" s="7">
        <f>IF(H291="","",H291)</f>
        <v/>
      </c>
      <c r="J294" s="7" t="n">
        <v>3</v>
      </c>
      <c r="K294" s="7" t="n"/>
      <c r="L294" s="40" t="n"/>
      <c r="M294">
        <f>IF(AND(L294&lt;&gt;"",N(I294)&gt;0,N(J294)&gt;0),IF(J294=1,I294,ROUND(I294*(1+J294/30),1)),"")</f>
        <v/>
      </c>
      <c r="N294" s="41">
        <f>IF(M294="","",IF(M294&gt;=PRs!C40,"PR!",""))</f>
        <v/>
      </c>
      <c r="O294" s="7" t="n"/>
    </row>
    <row r="295">
      <c r="C295" t="inlineStr">
        <is>
          <t xml:space="preserve">      Set 4</t>
        </is>
      </c>
      <c r="E295" t="n">
        <v>3</v>
      </c>
      <c r="H295" s="39">
        <f>IF(H291="","",H291)</f>
        <v/>
      </c>
      <c r="I295" s="7">
        <f>IF(H291="","",H291)</f>
        <v/>
      </c>
      <c r="J295" s="7" t="n">
        <v>3</v>
      </c>
      <c r="K295" s="7" t="n"/>
      <c r="L295" s="40" t="n"/>
      <c r="M295">
        <f>IF(AND(L295&lt;&gt;"",N(I295)&gt;0,N(J295)&gt;0),IF(J295=1,I295,ROUND(I295*(1+J295/30),1)),"")</f>
        <v/>
      </c>
      <c r="N295" s="41">
        <f>IF(M295="","",IF(M295&gt;=PRs!C40,"PR!",""))</f>
        <v/>
      </c>
      <c r="O295" s="7" t="n"/>
    </row>
    <row r="296">
      <c r="A296" s="34" t="n"/>
      <c r="B296" s="34" t="n"/>
      <c r="C296" s="42" t="inlineStr">
        <is>
          <t>Pause Squat</t>
        </is>
      </c>
      <c r="D296" s="34" t="inlineStr">
        <is>
          <t>3 x 6</t>
        </is>
      </c>
      <c r="E296" s="34" t="n"/>
      <c r="F296" s="34" t="n">
        <v>70</v>
      </c>
      <c r="G296" s="36">
        <f>Maxes!G9</f>
        <v/>
      </c>
      <c r="H296" s="37">
        <f>IF(OR(G296="",F296=""),"",MROUND(G296*F296/100,'Start Here'!$B$7))</f>
        <v/>
      </c>
      <c r="I296" s="34" t="n"/>
      <c r="J296" s="34" t="n"/>
      <c r="K296" s="34" t="n"/>
      <c r="L296" s="34" t="n"/>
      <c r="M296" s="34" t="n"/>
      <c r="N296" s="34" t="n"/>
      <c r="O296" s="38" t="inlineStr"/>
    </row>
    <row r="297">
      <c r="C297" t="inlineStr">
        <is>
          <t xml:space="preserve">      Set 1</t>
        </is>
      </c>
      <c r="E297" t="n">
        <v>6</v>
      </c>
      <c r="H297" s="39">
        <f>IF(H296="","",H296)</f>
        <v/>
      </c>
      <c r="I297" s="7">
        <f>IF(H296="","",H296)</f>
        <v/>
      </c>
      <c r="J297" s="7" t="n">
        <v>6</v>
      </c>
      <c r="K297" s="7" t="n"/>
      <c r="L297" s="40" t="n"/>
      <c r="M297">
        <f>IF(AND(L297&lt;&gt;"",N(I297)&gt;0,N(J297)&gt;0),IF(J297=1,I297,ROUND(I297*(1+J297/30),1)),"")</f>
        <v/>
      </c>
      <c r="N297" s="41">
        <f>IF(M297="","",IF(M297&gt;=PRs!C9,"PR!",""))</f>
        <v/>
      </c>
      <c r="O297" s="7" t="n"/>
    </row>
    <row r="298">
      <c r="C298" t="inlineStr">
        <is>
          <t xml:space="preserve">      Set 2</t>
        </is>
      </c>
      <c r="E298" t="n">
        <v>6</v>
      </c>
      <c r="H298" s="39">
        <f>IF(H296="","",H296)</f>
        <v/>
      </c>
      <c r="I298" s="7">
        <f>IF(H296="","",H296)</f>
        <v/>
      </c>
      <c r="J298" s="7" t="n">
        <v>6</v>
      </c>
      <c r="K298" s="7" t="n"/>
      <c r="L298" s="40" t="n"/>
      <c r="M298">
        <f>IF(AND(L298&lt;&gt;"",N(I298)&gt;0,N(J298)&gt;0),IF(J298=1,I298,ROUND(I298*(1+J298/30),1)),"")</f>
        <v/>
      </c>
      <c r="N298" s="41">
        <f>IF(M298="","",IF(M298&gt;=PRs!C9,"PR!",""))</f>
        <v/>
      </c>
      <c r="O298" s="7" t="n"/>
    </row>
    <row r="299">
      <c r="C299" t="inlineStr">
        <is>
          <t xml:space="preserve">      Set 3</t>
        </is>
      </c>
      <c r="E299" t="n">
        <v>6</v>
      </c>
      <c r="H299" s="39">
        <f>IF(H296="","",H296)</f>
        <v/>
      </c>
      <c r="I299" s="7">
        <f>IF(H296="","",H296)</f>
        <v/>
      </c>
      <c r="J299" s="7" t="n">
        <v>6</v>
      </c>
      <c r="K299" s="7" t="n"/>
      <c r="L299" s="40" t="n"/>
      <c r="M299">
        <f>IF(AND(L299&lt;&gt;"",N(I299)&gt;0,N(J299)&gt;0),IF(J299=1,I299,ROUND(I299*(1+J299/30),1)),"")</f>
        <v/>
      </c>
      <c r="N299" s="41">
        <f>IF(M299="","",IF(M299&gt;=PRs!C9,"PR!",""))</f>
        <v/>
      </c>
      <c r="O299" s="7" t="n"/>
    </row>
    <row r="300">
      <c r="A300" s="34" t="n"/>
      <c r="B300" s="34" t="n"/>
      <c r="C300" s="42" t="inlineStr">
        <is>
          <t>Spoto Press</t>
        </is>
      </c>
      <c r="D300" s="34" t="inlineStr">
        <is>
          <t>3 x 6</t>
        </is>
      </c>
      <c r="E300" s="34" t="n"/>
      <c r="F300" s="34" t="n">
        <v>70</v>
      </c>
      <c r="G300" s="36">
        <f>Maxes!G21</f>
        <v/>
      </c>
      <c r="H300" s="37">
        <f>IF(OR(G300="",F300=""),"",MROUND(G300*F300/100,'Start Here'!$B$7))</f>
        <v/>
      </c>
      <c r="I300" s="34" t="n"/>
      <c r="J300" s="34" t="n"/>
      <c r="K300" s="34" t="n"/>
      <c r="L300" s="34" t="n"/>
      <c r="M300" s="34" t="n"/>
      <c r="N300" s="34" t="n"/>
      <c r="O300" s="38" t="inlineStr"/>
    </row>
    <row r="301">
      <c r="C301" t="inlineStr">
        <is>
          <t xml:space="preserve">      Set 1</t>
        </is>
      </c>
      <c r="E301" t="n">
        <v>6</v>
      </c>
      <c r="H301" s="39">
        <f>IF(H300="","",H300)</f>
        <v/>
      </c>
      <c r="I301" s="7">
        <f>IF(H300="","",H300)</f>
        <v/>
      </c>
      <c r="J301" s="7" t="n">
        <v>6</v>
      </c>
      <c r="K301" s="7" t="n"/>
      <c r="L301" s="40" t="n"/>
      <c r="M301">
        <f>IF(AND(L301&lt;&gt;"",N(I301)&gt;0,N(J301)&gt;0),IF(J301=1,I301,ROUND(I301*(1+J301/30),1)),"")</f>
        <v/>
      </c>
      <c r="N301" s="41">
        <f>IF(M301="","",IF(M301&gt;=PRs!C21,"PR!",""))</f>
        <v/>
      </c>
      <c r="O301" s="7" t="n"/>
    </row>
    <row r="302">
      <c r="C302" t="inlineStr">
        <is>
          <t xml:space="preserve">      Set 2</t>
        </is>
      </c>
      <c r="E302" t="n">
        <v>6</v>
      </c>
      <c r="H302" s="39">
        <f>IF(H300="","",H300)</f>
        <v/>
      </c>
      <c r="I302" s="7">
        <f>IF(H300="","",H300)</f>
        <v/>
      </c>
      <c r="J302" s="7" t="n">
        <v>6</v>
      </c>
      <c r="K302" s="7" t="n"/>
      <c r="L302" s="40" t="n"/>
      <c r="M302">
        <f>IF(AND(L302&lt;&gt;"",N(I302)&gt;0,N(J302)&gt;0),IF(J302=1,I302,ROUND(I302*(1+J302/30),1)),"")</f>
        <v/>
      </c>
      <c r="N302" s="41">
        <f>IF(M302="","",IF(M302&gt;=PRs!C21,"PR!",""))</f>
        <v/>
      </c>
      <c r="O302" s="7" t="n"/>
    </row>
    <row r="303">
      <c r="C303" t="inlineStr">
        <is>
          <t xml:space="preserve">      Set 3</t>
        </is>
      </c>
      <c r="E303" t="n">
        <v>6</v>
      </c>
      <c r="H303" s="39">
        <f>IF(H300="","",H300)</f>
        <v/>
      </c>
      <c r="I303" s="7">
        <f>IF(H300="","",H300)</f>
        <v/>
      </c>
      <c r="J303" s="7" t="n">
        <v>6</v>
      </c>
      <c r="K303" s="7" t="n"/>
      <c r="L303" s="40" t="n"/>
      <c r="M303">
        <f>IF(AND(L303&lt;&gt;"",N(I303)&gt;0,N(J303)&gt;0),IF(J303=1,I303,ROUND(I303*(1+J303/30),1)),"")</f>
        <v/>
      </c>
      <c r="N303" s="41">
        <f>IF(M303="","",IF(M303&gt;=PRs!C21,"PR!",""))</f>
        <v/>
      </c>
      <c r="O303" s="7" t="n"/>
    </row>
    <row r="304">
      <c r="A304" s="34" t="n"/>
      <c r="B304" s="34" t="n"/>
      <c r="C304" s="42" t="inlineStr">
        <is>
          <t>Paused Deadlift</t>
        </is>
      </c>
      <c r="D304" s="34" t="inlineStr">
        <is>
          <t>3 x 6</t>
        </is>
      </c>
      <c r="E304" s="34" t="n"/>
      <c r="F304" s="34" t="n">
        <v>65</v>
      </c>
      <c r="G304" s="36">
        <f>Maxes!G25</f>
        <v/>
      </c>
      <c r="H304" s="37">
        <f>IF(OR(G304="",F304=""),"",MROUND(G304*F304/100,'Start Here'!$B$7))</f>
        <v/>
      </c>
      <c r="I304" s="34" t="n"/>
      <c r="J304" s="34" t="n"/>
      <c r="K304" s="34" t="n"/>
      <c r="L304" s="34" t="n"/>
      <c r="M304" s="34" t="n"/>
      <c r="N304" s="34" t="n"/>
      <c r="O304" s="38" t="inlineStr"/>
    </row>
    <row r="305">
      <c r="C305" t="inlineStr">
        <is>
          <t xml:space="preserve">      Set 1</t>
        </is>
      </c>
      <c r="E305" t="n">
        <v>6</v>
      </c>
      <c r="H305" s="39">
        <f>IF(H304="","",H304)</f>
        <v/>
      </c>
      <c r="I305" s="7">
        <f>IF(H304="","",H304)</f>
        <v/>
      </c>
      <c r="J305" s="7" t="n">
        <v>6</v>
      </c>
      <c r="K305" s="7" t="n"/>
      <c r="L305" s="40" t="n"/>
      <c r="M305">
        <f>IF(AND(L305&lt;&gt;"",N(I305)&gt;0,N(J305)&gt;0),IF(J305=1,I305,ROUND(I305*(1+J305/30),1)),"")</f>
        <v/>
      </c>
      <c r="N305" s="41">
        <f>IF(M305="","",IF(M305&gt;=PRs!C25,"PR!",""))</f>
        <v/>
      </c>
      <c r="O305" s="7" t="n"/>
    </row>
    <row r="306">
      <c r="C306" t="inlineStr">
        <is>
          <t xml:space="preserve">      Set 2</t>
        </is>
      </c>
      <c r="E306" t="n">
        <v>6</v>
      </c>
      <c r="H306" s="39">
        <f>IF(H304="","",H304)</f>
        <v/>
      </c>
      <c r="I306" s="7">
        <f>IF(H304="","",H304)</f>
        <v/>
      </c>
      <c r="J306" s="7" t="n">
        <v>6</v>
      </c>
      <c r="K306" s="7" t="n"/>
      <c r="L306" s="40" t="n"/>
      <c r="M306">
        <f>IF(AND(L306&lt;&gt;"",N(I306)&gt;0,N(J306)&gt;0),IF(J306=1,I306,ROUND(I306*(1+J306/30),1)),"")</f>
        <v/>
      </c>
      <c r="N306" s="41">
        <f>IF(M306="","",IF(M306&gt;=PRs!C25,"PR!",""))</f>
        <v/>
      </c>
      <c r="O306" s="7" t="n"/>
    </row>
    <row r="307">
      <c r="C307" t="inlineStr">
        <is>
          <t xml:space="preserve">      Set 3</t>
        </is>
      </c>
      <c r="E307" t="n">
        <v>6</v>
      </c>
      <c r="H307" s="39">
        <f>IF(H304="","",H304)</f>
        <v/>
      </c>
      <c r="I307" s="7">
        <f>IF(H304="","",H304)</f>
        <v/>
      </c>
      <c r="J307" s="7" t="n">
        <v>6</v>
      </c>
      <c r="K307" s="7" t="n"/>
      <c r="L307" s="40" t="n"/>
      <c r="M307">
        <f>IF(AND(L307&lt;&gt;"",N(I307)&gt;0,N(J307)&gt;0),IF(J307=1,I307,ROUND(I307*(1+J307/30),1)),"")</f>
        <v/>
      </c>
      <c r="N307" s="41">
        <f>IF(M307="","",IF(M307&gt;=PRs!C25,"PR!",""))</f>
        <v/>
      </c>
      <c r="O307" s="7" t="n"/>
    </row>
    <row r="308">
      <c r="A308" s="34" t="n"/>
      <c r="B308" s="34" t="n"/>
      <c r="C308" s="43" t="inlineStr">
        <is>
          <t>Incline Dumbbell Press</t>
        </is>
      </c>
      <c r="D308" s="34" t="inlineStr">
        <is>
          <t>4 x 8-12</t>
        </is>
      </c>
      <c r="E308" s="34" t="n"/>
      <c r="F308" s="34" t="n"/>
      <c r="G308" s="36" t="n"/>
      <c r="H308" s="37" t="n"/>
      <c r="I308" s="34" t="n"/>
      <c r="J308" s="34" t="n"/>
      <c r="K308" s="34" t="n"/>
      <c r="L308" s="34" t="n"/>
      <c r="M308" s="34" t="n"/>
      <c r="N308" s="34" t="n"/>
      <c r="O308" s="38" t="inlineStr">
        <is>
          <t>Leave 1-2 reps in the tank; add weight when you hit the top of the range</t>
        </is>
      </c>
    </row>
    <row r="309">
      <c r="C309" t="inlineStr">
        <is>
          <t xml:space="preserve">      Set 1</t>
        </is>
      </c>
      <c r="E309" t="n">
        <v>8</v>
      </c>
      <c r="H309" s="39">
        <f>IF(H308="","",H308)</f>
        <v/>
      </c>
      <c r="I309" s="7">
        <f>IF(H308="","",H308)</f>
        <v/>
      </c>
      <c r="J309" s="7" t="n">
        <v>8</v>
      </c>
      <c r="K309" s="7" t="n"/>
      <c r="L309" s="40" t="n"/>
      <c r="M309">
        <f>IF(AND(L309&lt;&gt;"",N(I309)&gt;0,N(J309)&gt;0),IF(J309=1,I309,ROUND(I309*(1+J309/30),1)),"")</f>
        <v/>
      </c>
      <c r="N309" s="41">
        <f>IF(M309="","",IF(M309&gt;=PRs!C57,"PR!",""))</f>
        <v/>
      </c>
      <c r="O309" s="7" t="n"/>
    </row>
    <row r="310">
      <c r="C310" t="inlineStr">
        <is>
          <t xml:space="preserve">      Set 2</t>
        </is>
      </c>
      <c r="E310" t="n">
        <v>8</v>
      </c>
      <c r="H310" s="39">
        <f>IF(H308="","",H308)</f>
        <v/>
      </c>
      <c r="I310" s="7">
        <f>IF(H308="","",H308)</f>
        <v/>
      </c>
      <c r="J310" s="7" t="n">
        <v>8</v>
      </c>
      <c r="K310" s="7" t="n"/>
      <c r="L310" s="40" t="n"/>
      <c r="M310">
        <f>IF(AND(L310&lt;&gt;"",N(I310)&gt;0,N(J310)&gt;0),IF(J310=1,I310,ROUND(I310*(1+J310/30),1)),"")</f>
        <v/>
      </c>
      <c r="N310" s="41">
        <f>IF(M310="","",IF(M310&gt;=PRs!C57,"PR!",""))</f>
        <v/>
      </c>
      <c r="O310" s="7" t="n"/>
    </row>
    <row r="311">
      <c r="C311" t="inlineStr">
        <is>
          <t xml:space="preserve">      Set 3</t>
        </is>
      </c>
      <c r="E311" t="n">
        <v>8</v>
      </c>
      <c r="H311" s="39">
        <f>IF(H308="","",H308)</f>
        <v/>
      </c>
      <c r="I311" s="7">
        <f>IF(H308="","",H308)</f>
        <v/>
      </c>
      <c r="J311" s="7" t="n">
        <v>8</v>
      </c>
      <c r="K311" s="7" t="n"/>
      <c r="L311" s="40" t="n"/>
      <c r="M311">
        <f>IF(AND(L311&lt;&gt;"",N(I311)&gt;0,N(J311)&gt;0),IF(J311=1,I311,ROUND(I311*(1+J311/30),1)),"")</f>
        <v/>
      </c>
      <c r="N311" s="41">
        <f>IF(M311="","",IF(M311&gt;=PRs!C57,"PR!",""))</f>
        <v/>
      </c>
      <c r="O311" s="7" t="n"/>
    </row>
    <row r="312">
      <c r="C312" t="inlineStr">
        <is>
          <t xml:space="preserve">      Set 4</t>
        </is>
      </c>
      <c r="E312" t="n">
        <v>8</v>
      </c>
      <c r="H312" s="39">
        <f>IF(H308="","",H308)</f>
        <v/>
      </c>
      <c r="I312" s="7">
        <f>IF(H308="","",H308)</f>
        <v/>
      </c>
      <c r="J312" s="7" t="n">
        <v>8</v>
      </c>
      <c r="K312" s="7" t="n"/>
      <c r="L312" s="40" t="n"/>
      <c r="M312">
        <f>IF(AND(L312&lt;&gt;"",N(I312)&gt;0,N(J312)&gt;0),IF(J312=1,I312,ROUND(I312*(1+J312/30),1)),"")</f>
        <v/>
      </c>
      <c r="N312" s="41">
        <f>IF(M312="","",IF(M312&gt;=PRs!C57,"PR!",""))</f>
        <v/>
      </c>
      <c r="O312" s="7" t="n"/>
    </row>
    <row r="313">
      <c r="A313" s="34" t="n"/>
      <c r="B313" s="34" t="n"/>
      <c r="C313" s="43" t="inlineStr">
        <is>
          <t>Triceps Pushdown</t>
        </is>
      </c>
      <c r="D313" s="34" t="inlineStr">
        <is>
          <t>4 x 10-15</t>
        </is>
      </c>
      <c r="E313" s="34" t="n"/>
      <c r="F313" s="34" t="n"/>
      <c r="G313" s="36" t="n"/>
      <c r="H313" s="37" t="n"/>
      <c r="I313" s="34" t="n"/>
      <c r="J313" s="34" t="n"/>
      <c r="K313" s="34" t="n"/>
      <c r="L313" s="34" t="n"/>
      <c r="M313" s="34" t="n"/>
      <c r="N313" s="34" t="n"/>
      <c r="O313" s="38" t="inlineStr">
        <is>
          <t>Leave 1-2 reps in the tank; add weight when you hit the top of the range</t>
        </is>
      </c>
    </row>
    <row r="314">
      <c r="C314" t="inlineStr">
        <is>
          <t xml:space="preserve">      Set 1</t>
        </is>
      </c>
      <c r="E314" t="n">
        <v>10</v>
      </c>
      <c r="H314" s="39">
        <f>IF(H313="","",H313)</f>
        <v/>
      </c>
      <c r="I314" s="7">
        <f>IF(H313="","",H313)</f>
        <v/>
      </c>
      <c r="J314" s="7" t="n">
        <v>10</v>
      </c>
      <c r="K314" s="7" t="n"/>
      <c r="L314" s="40" t="n"/>
      <c r="M314">
        <f>IF(AND(L314&lt;&gt;"",N(I314)&gt;0,N(J314)&gt;0),IF(J314=1,I314,ROUND(I314*(1+J314/30),1)),"")</f>
        <v/>
      </c>
      <c r="N314" s="41">
        <f>IF(M314="","",IF(M314&gt;=PRs!C59,"PR!",""))</f>
        <v/>
      </c>
      <c r="O314" s="7" t="n"/>
    </row>
    <row r="315">
      <c r="C315" t="inlineStr">
        <is>
          <t xml:space="preserve">      Set 2</t>
        </is>
      </c>
      <c r="E315" t="n">
        <v>10</v>
      </c>
      <c r="H315" s="39">
        <f>IF(H313="","",H313)</f>
        <v/>
      </c>
      <c r="I315" s="7">
        <f>IF(H313="","",H313)</f>
        <v/>
      </c>
      <c r="J315" s="7" t="n">
        <v>10</v>
      </c>
      <c r="K315" s="7" t="n"/>
      <c r="L315" s="40" t="n"/>
      <c r="M315">
        <f>IF(AND(L315&lt;&gt;"",N(I315)&gt;0,N(J315)&gt;0),IF(J315=1,I315,ROUND(I315*(1+J315/30),1)),"")</f>
        <v/>
      </c>
      <c r="N315" s="41">
        <f>IF(M315="","",IF(M315&gt;=PRs!C59,"PR!",""))</f>
        <v/>
      </c>
      <c r="O315" s="7" t="n"/>
    </row>
    <row r="316">
      <c r="C316" t="inlineStr">
        <is>
          <t xml:space="preserve">      Set 3</t>
        </is>
      </c>
      <c r="E316" t="n">
        <v>10</v>
      </c>
      <c r="H316" s="39">
        <f>IF(H313="","",H313)</f>
        <v/>
      </c>
      <c r="I316" s="7">
        <f>IF(H313="","",H313)</f>
        <v/>
      </c>
      <c r="J316" s="7" t="n">
        <v>10</v>
      </c>
      <c r="K316" s="7" t="n"/>
      <c r="L316" s="40" t="n"/>
      <c r="M316">
        <f>IF(AND(L316&lt;&gt;"",N(I316)&gt;0,N(J316)&gt;0),IF(J316=1,I316,ROUND(I316*(1+J316/30),1)),"")</f>
        <v/>
      </c>
      <c r="N316" s="41">
        <f>IF(M316="","",IF(M316&gt;=PRs!C59,"PR!",""))</f>
        <v/>
      </c>
      <c r="O316" s="7" t="n"/>
    </row>
    <row r="317">
      <c r="C317" t="inlineStr">
        <is>
          <t xml:space="preserve">      Set 4</t>
        </is>
      </c>
      <c r="E317" t="n">
        <v>10</v>
      </c>
      <c r="H317" s="39">
        <f>IF(H313="","",H313)</f>
        <v/>
      </c>
      <c r="I317" s="7">
        <f>IF(H313="","",H313)</f>
        <v/>
      </c>
      <c r="J317" s="7" t="n">
        <v>10</v>
      </c>
      <c r="K317" s="7" t="n"/>
      <c r="L317" s="40" t="n"/>
      <c r="M317">
        <f>IF(AND(L317&lt;&gt;"",N(I317)&gt;0,N(J317)&gt;0),IF(J317=1,I317,ROUND(I317*(1+J317/30),1)),"")</f>
        <v/>
      </c>
      <c r="N317" s="41">
        <f>IF(M317="","",IF(M317&gt;=PRs!C59,"PR!",""))</f>
        <v/>
      </c>
      <c r="O317" s="7" t="n"/>
    </row>
    <row r="319">
      <c r="A319" s="48" t="inlineStr">
        <is>
          <t>WEEK 28 - CYCLE 3 - DELOAD</t>
        </is>
      </c>
      <c r="B319" s="49" t="n"/>
      <c r="C319" s="49" t="n"/>
      <c r="D319" s="49" t="n"/>
      <c r="E319" s="49" t="n"/>
      <c r="F319" s="49" t="n"/>
      <c r="G319" s="49" t="n"/>
      <c r="H319" s="50" t="inlineStr">
        <is>
          <t>Bodyweight:</t>
        </is>
      </c>
      <c r="I319" s="7" t="n"/>
      <c r="J319" s="49" t="n"/>
      <c r="K319" s="49" t="n"/>
      <c r="L319" s="49" t="n"/>
      <c r="M319" s="49" t="n"/>
      <c r="N319" s="49" t="n"/>
      <c r="O319" s="49" t="n"/>
    </row>
    <row r="320">
      <c r="A320" s="31" t="inlineStr">
        <is>
          <t>Day 1 - Heavy</t>
        </is>
      </c>
      <c r="B320" s="32">
        <f>'Start Here'!$B$8+189</f>
        <v/>
      </c>
      <c r="C320" s="33" t="n"/>
      <c r="D320" s="33" t="n"/>
      <c r="E320" s="33" t="n"/>
      <c r="F320" s="33" t="n"/>
      <c r="G320" s="33" t="n"/>
      <c r="H320" s="33" t="n"/>
      <c r="I320" s="33" t="n"/>
      <c r="J320" s="33" t="n"/>
      <c r="K320" s="33" t="n"/>
      <c r="L320" s="33" t="n"/>
      <c r="M320" s="33" t="n"/>
      <c r="N320" s="33" t="n"/>
      <c r="O320" s="33" t="n"/>
    </row>
    <row r="321">
      <c r="A321" s="34" t="n"/>
      <c r="B321" s="34" t="n"/>
      <c r="C321" s="35" t="inlineStr">
        <is>
          <t>Box Jump</t>
        </is>
      </c>
      <c r="D321" s="34" t="inlineStr">
        <is>
          <t>2 x 3</t>
        </is>
      </c>
      <c r="E321" s="34" t="n"/>
      <c r="F321" s="34" t="n"/>
      <c r="G321" s="36" t="n"/>
      <c r="H321" s="37">
        <f>IF(N(Maxes!G69)&gt;0,Maxes!G69,'Start Here'!$G$16)</f>
        <v/>
      </c>
      <c r="I321" s="34" t="n"/>
      <c r="J321" s="34" t="n"/>
      <c r="K321" s="34" t="n"/>
      <c r="L321" s="34" t="n"/>
      <c r="M321" s="34" t="n"/>
      <c r="N321" s="34" t="n"/>
      <c r="O321" s="38" t="inlineStr">
        <is>
          <t>Two-foot jump onto a box, land soft in a quarter squat, STEP down. Log the box height (floor to top of box).</t>
        </is>
      </c>
    </row>
    <row r="322">
      <c r="C322" t="inlineStr">
        <is>
          <t xml:space="preserve">      Set 1</t>
        </is>
      </c>
      <c r="E322" t="n">
        <v>3</v>
      </c>
      <c r="H322" s="39">
        <f>IF(H321="","",H321)</f>
        <v/>
      </c>
      <c r="I322" s="7">
        <f>IF(H321="","",H321)</f>
        <v/>
      </c>
      <c r="J322" s="7" t="n">
        <v>3</v>
      </c>
      <c r="K322" s="7" t="n"/>
      <c r="L322" s="40" t="n"/>
      <c r="N322" s="41">
        <f>IF(AND(L322&lt;&gt;"",N(I322)&gt;0),IF(I322&gt;=PRs!D69,"PR!",""),"")</f>
        <v/>
      </c>
      <c r="O322" s="7" t="n"/>
    </row>
    <row r="323">
      <c r="C323" t="inlineStr">
        <is>
          <t xml:space="preserve">      Set 2</t>
        </is>
      </c>
      <c r="E323" t="n">
        <v>3</v>
      </c>
      <c r="H323" s="39">
        <f>IF(H321="","",H321)</f>
        <v/>
      </c>
      <c r="I323" s="7">
        <f>IF(H321="","",H321)</f>
        <v/>
      </c>
      <c r="J323" s="7" t="n">
        <v>3</v>
      </c>
      <c r="K323" s="7" t="n"/>
      <c r="L323" s="40" t="n"/>
      <c r="N323" s="41">
        <f>IF(AND(L323&lt;&gt;"",N(I323)&gt;0),IF(I323&gt;=PRs!D69,"PR!",""),"")</f>
        <v/>
      </c>
      <c r="O323" s="7" t="n"/>
    </row>
    <row r="324">
      <c r="A324" s="34" t="n"/>
      <c r="B324" s="34" t="n"/>
      <c r="C324" s="42" t="inlineStr">
        <is>
          <t>Snatch</t>
        </is>
      </c>
      <c r="D324" s="34" t="inlineStr">
        <is>
          <t>2 x 2</t>
        </is>
      </c>
      <c r="E324" s="34" t="n"/>
      <c r="F324" s="34" t="n">
        <v>60</v>
      </c>
      <c r="G324" s="36">
        <f>Maxes!G6</f>
        <v/>
      </c>
      <c r="H324" s="37">
        <f>IF(OR(G324="",F324=""),"",MROUND(G324*F324/100,'Start Here'!$B$7))</f>
        <v/>
      </c>
      <c r="I324" s="34" t="n"/>
      <c r="J324" s="34" t="n"/>
      <c r="K324" s="34" t="n"/>
      <c r="L324" s="34" t="n"/>
      <c r="M324" s="34" t="n"/>
      <c r="N324" s="34" t="n"/>
      <c r="O324" s="38" t="inlineStr">
        <is>
          <t>Easy week - move fast, recover</t>
        </is>
      </c>
    </row>
    <row r="325">
      <c r="C325" t="inlineStr">
        <is>
          <t xml:space="preserve">      Set 1</t>
        </is>
      </c>
      <c r="E325" t="n">
        <v>2</v>
      </c>
      <c r="H325" s="39">
        <f>IF(H324="","",H324)</f>
        <v/>
      </c>
      <c r="I325" s="7">
        <f>IF(H324="","",H324)</f>
        <v/>
      </c>
      <c r="J325" s="7" t="n">
        <v>2</v>
      </c>
      <c r="K325" s="7" t="n"/>
      <c r="L325" s="40" t="n"/>
      <c r="M325">
        <f>IF(AND(L325&lt;&gt;"",N(I325)&gt;0,N(J325)&gt;0),IF(J325=1,I325,ROUND(I325*(1+J325/30),1)),"")</f>
        <v/>
      </c>
      <c r="N325" s="41">
        <f>IF(M325="","",IF(M325&gt;=PRs!C6,"PR!",""))</f>
        <v/>
      </c>
      <c r="O325" s="7" t="n"/>
    </row>
    <row r="326">
      <c r="C326" t="inlineStr">
        <is>
          <t xml:space="preserve">      Set 2</t>
        </is>
      </c>
      <c r="E326" t="n">
        <v>2</v>
      </c>
      <c r="H326" s="39">
        <f>IF(H324="","",H324)</f>
        <v/>
      </c>
      <c r="I326" s="7">
        <f>IF(H324="","",H324)</f>
        <v/>
      </c>
      <c r="J326" s="7" t="n">
        <v>2</v>
      </c>
      <c r="K326" s="7" t="n"/>
      <c r="L326" s="40" t="n"/>
      <c r="M326">
        <f>IF(AND(L326&lt;&gt;"",N(I326)&gt;0,N(J326)&gt;0),IF(J326=1,I326,ROUND(I326*(1+J326/30),1)),"")</f>
        <v/>
      </c>
      <c r="N326" s="41">
        <f>IF(M326="","",IF(M326&gt;=PRs!C6,"PR!",""))</f>
        <v/>
      </c>
      <c r="O326" s="7" t="n"/>
    </row>
    <row r="327">
      <c r="A327" s="34" t="n"/>
      <c r="B327" s="34" t="n"/>
      <c r="C327" s="42" t="inlineStr">
        <is>
          <t>Squat</t>
        </is>
      </c>
      <c r="D327" s="34" t="inlineStr">
        <is>
          <t>2 x 5</t>
        </is>
      </c>
      <c r="E327" s="34" t="n"/>
      <c r="F327" s="34" t="n">
        <v>60</v>
      </c>
      <c r="G327" s="36">
        <f>Maxes!G2</f>
        <v/>
      </c>
      <c r="H327" s="37">
        <f>IF(OR(G327="",F327=""),"",MROUND(G327*F327/100,'Start Here'!$B$7))</f>
        <v/>
      </c>
      <c r="I327" s="34" t="n"/>
      <c r="J327" s="34" t="n"/>
      <c r="K327" s="34" t="n"/>
      <c r="L327" s="34" t="n"/>
      <c r="M327" s="34" t="n"/>
      <c r="N327" s="34" t="n"/>
      <c r="O327" s="38" t="inlineStr">
        <is>
          <t>Easy week - move fast, recover</t>
        </is>
      </c>
    </row>
    <row r="328">
      <c r="C328" t="inlineStr">
        <is>
          <t xml:space="preserve">      Set 1</t>
        </is>
      </c>
      <c r="E328" t="n">
        <v>5</v>
      </c>
      <c r="H328" s="39">
        <f>IF(H327="","",H327)</f>
        <v/>
      </c>
      <c r="I328" s="7">
        <f>IF(H327="","",H327)</f>
        <v/>
      </c>
      <c r="J328" s="7" t="n">
        <v>5</v>
      </c>
      <c r="K328" s="7" t="n"/>
      <c r="L328" s="40" t="n"/>
      <c r="M328">
        <f>IF(AND(L328&lt;&gt;"",N(I328)&gt;0,N(J328)&gt;0),IF(J328=1,I328,ROUND(I328*(1+J328/30),1)),"")</f>
        <v/>
      </c>
      <c r="N328" s="41">
        <f>IF(M328="","",IF(M328&gt;=PRs!C2,"PR!",""))</f>
        <v/>
      </c>
      <c r="O328" s="7" t="n"/>
    </row>
    <row r="329">
      <c r="C329" t="inlineStr">
        <is>
          <t xml:space="preserve">      Set 2</t>
        </is>
      </c>
      <c r="E329" t="n">
        <v>5</v>
      </c>
      <c r="H329" s="39">
        <f>IF(H327="","",H327)</f>
        <v/>
      </c>
      <c r="I329" s="7">
        <f>IF(H327="","",H327)</f>
        <v/>
      </c>
      <c r="J329" s="7" t="n">
        <v>5</v>
      </c>
      <c r="K329" s="7" t="n"/>
      <c r="L329" s="40" t="n"/>
      <c r="M329">
        <f>IF(AND(L329&lt;&gt;"",N(I329)&gt;0,N(J329)&gt;0),IF(J329=1,I329,ROUND(I329*(1+J329/30),1)),"")</f>
        <v/>
      </c>
      <c r="N329" s="41">
        <f>IF(M329="","",IF(M329&gt;=PRs!C2,"PR!",""))</f>
        <v/>
      </c>
      <c r="O329" s="7" t="n"/>
    </row>
    <row r="330">
      <c r="A330" s="34" t="n"/>
      <c r="B330" s="34" t="n"/>
      <c r="C330" s="42" t="inlineStr">
        <is>
          <t>Bench Press</t>
        </is>
      </c>
      <c r="D330" s="34" t="inlineStr">
        <is>
          <t>2 x 5</t>
        </is>
      </c>
      <c r="E330" s="34" t="n"/>
      <c r="F330" s="34" t="n">
        <v>60</v>
      </c>
      <c r="G330" s="36">
        <f>Maxes!G3</f>
        <v/>
      </c>
      <c r="H330" s="37">
        <f>IF(OR(G330="",F330=""),"",MROUND(G330*F330/100,'Start Here'!$B$7))</f>
        <v/>
      </c>
      <c r="I330" s="34" t="n"/>
      <c r="J330" s="34" t="n"/>
      <c r="K330" s="34" t="n"/>
      <c r="L330" s="34" t="n"/>
      <c r="M330" s="34" t="n"/>
      <c r="N330" s="34" t="n"/>
      <c r="O330" s="38" t="inlineStr">
        <is>
          <t>Easy week - move fast, recover</t>
        </is>
      </c>
    </row>
    <row r="331">
      <c r="C331" t="inlineStr">
        <is>
          <t xml:space="preserve">      Set 1</t>
        </is>
      </c>
      <c r="E331" t="n">
        <v>5</v>
      </c>
      <c r="H331" s="39">
        <f>IF(H330="","",H330)</f>
        <v/>
      </c>
      <c r="I331" s="7">
        <f>IF(H330="","",H330)</f>
        <v/>
      </c>
      <c r="J331" s="7" t="n">
        <v>5</v>
      </c>
      <c r="K331" s="7" t="n"/>
      <c r="L331" s="40" t="n"/>
      <c r="M331">
        <f>IF(AND(L331&lt;&gt;"",N(I331)&gt;0,N(J331)&gt;0),IF(J331=1,I331,ROUND(I331*(1+J331/30),1)),"")</f>
        <v/>
      </c>
      <c r="N331" s="41">
        <f>IF(M331="","",IF(M331&gt;=PRs!C3,"PR!",""))</f>
        <v/>
      </c>
      <c r="O331" s="7" t="n"/>
    </row>
    <row r="332">
      <c r="C332" t="inlineStr">
        <is>
          <t xml:space="preserve">      Set 2</t>
        </is>
      </c>
      <c r="E332" t="n">
        <v>5</v>
      </c>
      <c r="H332" s="39">
        <f>IF(H330="","",H330)</f>
        <v/>
      </c>
      <c r="I332" s="7">
        <f>IF(H330="","",H330)</f>
        <v/>
      </c>
      <c r="J332" s="7" t="n">
        <v>5</v>
      </c>
      <c r="K332" s="7" t="n"/>
      <c r="L332" s="40" t="n"/>
      <c r="M332">
        <f>IF(AND(L332&lt;&gt;"",N(I332)&gt;0,N(J332)&gt;0),IF(J332=1,I332,ROUND(I332*(1+J332/30),1)),"")</f>
        <v/>
      </c>
      <c r="N332" s="41">
        <f>IF(M332="","",IF(M332&gt;=PRs!C3,"PR!",""))</f>
        <v/>
      </c>
      <c r="O332" s="7" t="n"/>
    </row>
    <row r="333">
      <c r="A333" s="34" t="n"/>
      <c r="B333" s="34" t="n"/>
      <c r="C333" s="43" t="inlineStr">
        <is>
          <t>Barbell Row</t>
        </is>
      </c>
      <c r="D333" s="34" t="inlineStr">
        <is>
          <t>2 x 8-10</t>
        </is>
      </c>
      <c r="E333" s="34" t="n"/>
      <c r="F333" s="34" t="n"/>
      <c r="G333" s="36" t="n"/>
      <c r="H333" s="37" t="n"/>
      <c r="I333" s="34" t="n"/>
      <c r="J333" s="34" t="n"/>
      <c r="K333" s="34" t="n"/>
      <c r="L333" s="34" t="n"/>
      <c r="M333" s="34" t="n"/>
      <c r="N333" s="34" t="n"/>
      <c r="O333" s="38" t="inlineStr">
        <is>
          <t>Easy - stop well short of failure</t>
        </is>
      </c>
    </row>
    <row r="334">
      <c r="C334" t="inlineStr">
        <is>
          <t xml:space="preserve">      Set 1</t>
        </is>
      </c>
      <c r="E334" t="n">
        <v>8</v>
      </c>
      <c r="H334" s="39">
        <f>IF(H333="","",H333)</f>
        <v/>
      </c>
      <c r="I334" s="7">
        <f>IF(H333="","",H333)</f>
        <v/>
      </c>
      <c r="J334" s="7" t="n">
        <v>8</v>
      </c>
      <c r="K334" s="7" t="n"/>
      <c r="L334" s="40" t="n"/>
      <c r="M334">
        <f>IF(AND(L334&lt;&gt;"",N(I334)&gt;0,N(J334)&gt;0),IF(J334=1,I334,ROUND(I334*(1+J334/30),1)),"")</f>
        <v/>
      </c>
      <c r="N334" s="41">
        <f>IF(M334="","",IF(M334&gt;=PRs!C50,"PR!",""))</f>
        <v/>
      </c>
      <c r="O334" s="7" t="n"/>
    </row>
    <row r="335">
      <c r="C335" t="inlineStr">
        <is>
          <t xml:space="preserve">      Set 2</t>
        </is>
      </c>
      <c r="E335" t="n">
        <v>8</v>
      </c>
      <c r="H335" s="39">
        <f>IF(H333="","",H333)</f>
        <v/>
      </c>
      <c r="I335" s="7">
        <f>IF(H333="","",H333)</f>
        <v/>
      </c>
      <c r="J335" s="7" t="n">
        <v>8</v>
      </c>
      <c r="K335" s="7" t="n"/>
      <c r="L335" s="40" t="n"/>
      <c r="M335">
        <f>IF(AND(L335&lt;&gt;"",N(I335)&gt;0,N(J335)&gt;0),IF(J335=1,I335,ROUND(I335*(1+J335/30),1)),"")</f>
        <v/>
      </c>
      <c r="N335" s="41">
        <f>IF(M335="","",IF(M335&gt;=PRs!C50,"PR!",""))</f>
        <v/>
      </c>
      <c r="O335" s="7" t="n"/>
    </row>
    <row r="336">
      <c r="A336" s="34" t="n"/>
      <c r="B336" s="34" t="n"/>
      <c r="C336" s="43" t="inlineStr">
        <is>
          <t>Face Pull</t>
        </is>
      </c>
      <c r="D336" s="34" t="inlineStr">
        <is>
          <t>2 x 12-15</t>
        </is>
      </c>
      <c r="E336" s="34" t="n"/>
      <c r="F336" s="34" t="n"/>
      <c r="G336" s="36" t="n"/>
      <c r="H336" s="37" t="n"/>
      <c r="I336" s="34" t="n"/>
      <c r="J336" s="34" t="n"/>
      <c r="K336" s="34" t="n"/>
      <c r="L336" s="34" t="n"/>
      <c r="M336" s="34" t="n"/>
      <c r="N336" s="34" t="n"/>
      <c r="O336" s="38" t="inlineStr">
        <is>
          <t>Easy - stop well short of failure</t>
        </is>
      </c>
    </row>
    <row r="337">
      <c r="C337" t="inlineStr">
        <is>
          <t xml:space="preserve">      Set 1</t>
        </is>
      </c>
      <c r="E337" t="n">
        <v>12</v>
      </c>
      <c r="H337" s="39">
        <f>IF(H336="","",H336)</f>
        <v/>
      </c>
      <c r="I337" s="7">
        <f>IF(H336="","",H336)</f>
        <v/>
      </c>
      <c r="J337" s="7" t="n">
        <v>12</v>
      </c>
      <c r="K337" s="7" t="n"/>
      <c r="L337" s="40" t="n"/>
      <c r="M337">
        <f>IF(AND(L337&lt;&gt;"",N(I337)&gt;0,N(J337)&gt;0),IF(J337=1,I337,ROUND(I337*(1+J337/30),1)),"")</f>
        <v/>
      </c>
      <c r="N337" s="41">
        <f>IF(M337="","",IF(M337&gt;=PRs!C51,"PR!",""))</f>
        <v/>
      </c>
      <c r="O337" s="7" t="n"/>
    </row>
    <row r="338">
      <c r="C338" t="inlineStr">
        <is>
          <t xml:space="preserve">      Set 2</t>
        </is>
      </c>
      <c r="E338" t="n">
        <v>12</v>
      </c>
      <c r="H338" s="39">
        <f>IF(H336="","",H336)</f>
        <v/>
      </c>
      <c r="I338" s="7">
        <f>IF(H336="","",H336)</f>
        <v/>
      </c>
      <c r="J338" s="7" t="n">
        <v>12</v>
      </c>
      <c r="K338" s="7" t="n"/>
      <c r="L338" s="40" t="n"/>
      <c r="M338">
        <f>IF(AND(L338&lt;&gt;"",N(I338)&gt;0,N(J338)&gt;0),IF(J338=1,I338,ROUND(I338*(1+J338/30),1)),"")</f>
        <v/>
      </c>
      <c r="N338" s="41">
        <f>IF(M338="","",IF(M338&gt;=PRs!C51,"PR!",""))</f>
        <v/>
      </c>
      <c r="O338" s="7" t="n"/>
    </row>
    <row r="339">
      <c r="A339" s="31" t="inlineStr">
        <is>
          <t>Day 2 - Light</t>
        </is>
      </c>
      <c r="B339" s="32">
        <f>'Start Here'!$B$8+191</f>
        <v/>
      </c>
      <c r="C339" s="33" t="n"/>
      <c r="D339" s="33" t="n"/>
      <c r="E339" s="33" t="n"/>
      <c r="F339" s="33" t="n"/>
      <c r="G339" s="33" t="n"/>
      <c r="H339" s="33" t="n"/>
      <c r="I339" s="33" t="n"/>
      <c r="J339" s="33" t="n"/>
      <c r="K339" s="33" t="n"/>
      <c r="L339" s="33" t="n"/>
      <c r="M339" s="33" t="n"/>
      <c r="N339" s="33" t="n"/>
      <c r="O339" s="33" t="n"/>
    </row>
    <row r="340">
      <c r="A340" s="34" t="n"/>
      <c r="B340" s="34" t="n"/>
      <c r="C340" s="35" t="inlineStr">
        <is>
          <t>Broad Jump</t>
        </is>
      </c>
      <c r="D340" s="34" t="inlineStr">
        <is>
          <t>2 x 3</t>
        </is>
      </c>
      <c r="E340" s="34" t="n"/>
      <c r="F340" s="34" t="n"/>
      <c r="G340" s="36" t="n"/>
      <c r="H340" s="37">
        <f>IF(N(Maxes!G70)&gt;0,Maxes!G70,"")</f>
        <v/>
      </c>
      <c r="I340" s="34" t="n"/>
      <c r="J340" s="34" t="n"/>
      <c r="K340" s="34" t="n"/>
      <c r="L340" s="34" t="n"/>
      <c r="M340" s="34" t="n"/>
      <c r="N340" s="34" t="n"/>
      <c r="O340" s="38" t="inlineStr">
        <is>
          <t>Standing two-foot jump forward, stick the landing. Measure toe line to the back of the nearest heel.</t>
        </is>
      </c>
    </row>
    <row r="341">
      <c r="C341" t="inlineStr">
        <is>
          <t xml:space="preserve">      Set 1</t>
        </is>
      </c>
      <c r="E341" t="n">
        <v>3</v>
      </c>
      <c r="H341" s="39">
        <f>IF(H340="","",H340)</f>
        <v/>
      </c>
      <c r="I341" s="7">
        <f>IF(H340="","",H340)</f>
        <v/>
      </c>
      <c r="J341" s="7" t="n">
        <v>3</v>
      </c>
      <c r="K341" s="7" t="n"/>
      <c r="L341" s="40" t="n"/>
      <c r="N341" s="41">
        <f>IF(AND(L341&lt;&gt;"",N(I341)&gt;0),IF(I341&gt;=PRs!D70,"PR!",""),"")</f>
        <v/>
      </c>
      <c r="O341" s="7" t="n"/>
    </row>
    <row r="342">
      <c r="C342" t="inlineStr">
        <is>
          <t xml:space="preserve">      Set 2</t>
        </is>
      </c>
      <c r="E342" t="n">
        <v>3</v>
      </c>
      <c r="H342" s="39">
        <f>IF(H340="","",H340)</f>
        <v/>
      </c>
      <c r="I342" s="7">
        <f>IF(H340="","",H340)</f>
        <v/>
      </c>
      <c r="J342" s="7" t="n">
        <v>3</v>
      </c>
      <c r="K342" s="7" t="n"/>
      <c r="L342" s="40" t="n"/>
      <c r="N342" s="41">
        <f>IF(AND(L342&lt;&gt;"",N(I342)&gt;0),IF(I342&gt;=PRs!D70,"PR!",""),"")</f>
        <v/>
      </c>
      <c r="O342" s="7" t="n"/>
    </row>
    <row r="343">
      <c r="A343" s="34" t="n"/>
      <c r="B343" s="34" t="n"/>
      <c r="C343" s="35" t="inlineStr">
        <is>
          <t>Med Ball Chest Pass</t>
        </is>
      </c>
      <c r="D343" s="34" t="inlineStr">
        <is>
          <t>2 x 3</t>
        </is>
      </c>
      <c r="E343" s="34" t="n"/>
      <c r="F343" s="34" t="n"/>
      <c r="G343" s="36" t="n"/>
      <c r="H343" s="37">
        <f>IF(N(Maxes!G77)&gt;0,Maxes!G77,"")</f>
        <v/>
      </c>
      <c r="I343" s="34" t="n"/>
      <c r="J343" s="34" t="n"/>
      <c r="K343" s="34" t="n"/>
      <c r="L343" s="34" t="n"/>
      <c r="M343" s="34" t="n"/>
      <c r="N343" s="34" t="n"/>
      <c r="O343" s="38" t="inlineStr">
        <is>
          <t>Kneeling or standing chest pass for distance with a 6-10 lb / 3-5 kg ball. Log the distance.</t>
        </is>
      </c>
    </row>
    <row r="344">
      <c r="C344" t="inlineStr">
        <is>
          <t xml:space="preserve">      Set 1</t>
        </is>
      </c>
      <c r="E344" t="n">
        <v>3</v>
      </c>
      <c r="H344" s="39">
        <f>IF(H343="","",H343)</f>
        <v/>
      </c>
      <c r="I344" s="7">
        <f>IF(H343="","",H343)</f>
        <v/>
      </c>
      <c r="J344" s="7" t="n">
        <v>3</v>
      </c>
      <c r="K344" s="7" t="n"/>
      <c r="L344" s="40" t="n"/>
      <c r="N344" s="41">
        <f>IF(AND(L344&lt;&gt;"",N(I344)&gt;0),IF(I344&gt;=PRs!D77,"PR!",""),"")</f>
        <v/>
      </c>
      <c r="O344" s="7" t="n"/>
    </row>
    <row r="345">
      <c r="C345" t="inlineStr">
        <is>
          <t xml:space="preserve">      Set 2</t>
        </is>
      </c>
      <c r="E345" t="n">
        <v>3</v>
      </c>
      <c r="H345" s="39">
        <f>IF(H343="","",H343)</f>
        <v/>
      </c>
      <c r="I345" s="7">
        <f>IF(H343="","",H343)</f>
        <v/>
      </c>
      <c r="J345" s="7" t="n">
        <v>3</v>
      </c>
      <c r="K345" s="7" t="n"/>
      <c r="L345" s="40" t="n"/>
      <c r="N345" s="41">
        <f>IF(AND(L345&lt;&gt;"",N(I345)&gt;0),IF(I345&gt;=PRs!D77,"PR!",""),"")</f>
        <v/>
      </c>
      <c r="O345" s="7" t="n"/>
    </row>
    <row r="346">
      <c r="A346" s="34" t="n"/>
      <c r="B346" s="34" t="n"/>
      <c r="C346" s="42" t="inlineStr">
        <is>
          <t>Clean &amp; Jerk</t>
        </is>
      </c>
      <c r="D346" s="34" t="inlineStr">
        <is>
          <t>2 x 2</t>
        </is>
      </c>
      <c r="E346" s="34" t="n"/>
      <c r="F346" s="34" t="n">
        <v>60</v>
      </c>
      <c r="G346" s="36">
        <f>Maxes!G7</f>
        <v/>
      </c>
      <c r="H346" s="37">
        <f>IF(OR(G346="",F346=""),"",MROUND(G346*F346/100,'Start Here'!$B$7))</f>
        <v/>
      </c>
      <c r="I346" s="34" t="n"/>
      <c r="J346" s="34" t="n"/>
      <c r="K346" s="34" t="n"/>
      <c r="L346" s="34" t="n"/>
      <c r="M346" s="34" t="n"/>
      <c r="N346" s="34" t="n"/>
      <c r="O346" s="38" t="inlineStr">
        <is>
          <t>Easy week - move fast, recover</t>
        </is>
      </c>
    </row>
    <row r="347">
      <c r="C347" t="inlineStr">
        <is>
          <t xml:space="preserve">      Set 1</t>
        </is>
      </c>
      <c r="E347" t="n">
        <v>2</v>
      </c>
      <c r="H347" s="39">
        <f>IF(H346="","",H346)</f>
        <v/>
      </c>
      <c r="I347" s="7">
        <f>IF(H346="","",H346)</f>
        <v/>
      </c>
      <c r="J347" s="7" t="n">
        <v>2</v>
      </c>
      <c r="K347" s="7" t="n"/>
      <c r="L347" s="40" t="n"/>
      <c r="M347">
        <f>IF(AND(L347&lt;&gt;"",N(I347)&gt;0,N(J347)&gt;0),IF(J347=1,I347,ROUND(I347*(1+J347/30),1)),"")</f>
        <v/>
      </c>
      <c r="N347" s="41">
        <f>IF(M347="","",IF(M347&gt;=PRs!C7,"PR!",""))</f>
        <v/>
      </c>
      <c r="O347" s="7" t="n"/>
    </row>
    <row r="348">
      <c r="C348" t="inlineStr">
        <is>
          <t xml:space="preserve">      Set 2</t>
        </is>
      </c>
      <c r="E348" t="n">
        <v>2</v>
      </c>
      <c r="H348" s="39">
        <f>IF(H346="","",H346)</f>
        <v/>
      </c>
      <c r="I348" s="7">
        <f>IF(H346="","",H346)</f>
        <v/>
      </c>
      <c r="J348" s="7" t="n">
        <v>2</v>
      </c>
      <c r="K348" s="7" t="n"/>
      <c r="L348" s="40" t="n"/>
      <c r="M348">
        <f>IF(AND(L348&lt;&gt;"",N(I348)&gt;0,N(J348)&gt;0),IF(J348=1,I348,ROUND(I348*(1+J348/30),1)),"")</f>
        <v/>
      </c>
      <c r="N348" s="41">
        <f>IF(M348="","",IF(M348&gt;=PRs!C7,"PR!",""))</f>
        <v/>
      </c>
      <c r="O348" s="7" t="n"/>
    </row>
    <row r="349">
      <c r="A349" s="34" t="n"/>
      <c r="B349" s="34" t="n"/>
      <c r="C349" s="42" t="inlineStr">
        <is>
          <t>Squat</t>
        </is>
      </c>
      <c r="D349" s="34" t="inlineStr">
        <is>
          <t>2 x 5</t>
        </is>
      </c>
      <c r="E349" s="34" t="n"/>
      <c r="F349" s="34" t="n">
        <v>60</v>
      </c>
      <c r="G349" s="36">
        <f>Maxes!G2</f>
        <v/>
      </c>
      <c r="H349" s="37">
        <f>IF(OR(G349="",F349=""),"",MROUND(G349*F349/100,'Start Here'!$B$7))</f>
        <v/>
      </c>
      <c r="I349" s="34" t="n"/>
      <c r="J349" s="34" t="n"/>
      <c r="K349" s="34" t="n"/>
      <c r="L349" s="34" t="n"/>
      <c r="M349" s="34" t="n"/>
      <c r="N349" s="34" t="n"/>
      <c r="O349" s="38" t="inlineStr">
        <is>
          <t>Easy week - move fast, recover</t>
        </is>
      </c>
    </row>
    <row r="350">
      <c r="C350" t="inlineStr">
        <is>
          <t xml:space="preserve">      Set 1</t>
        </is>
      </c>
      <c r="E350" t="n">
        <v>5</v>
      </c>
      <c r="H350" s="39">
        <f>IF(H349="","",H349)</f>
        <v/>
      </c>
      <c r="I350" s="7">
        <f>IF(H349="","",H349)</f>
        <v/>
      </c>
      <c r="J350" s="7" t="n">
        <v>5</v>
      </c>
      <c r="K350" s="7" t="n"/>
      <c r="L350" s="40" t="n"/>
      <c r="M350">
        <f>IF(AND(L350&lt;&gt;"",N(I350)&gt;0,N(J350)&gt;0),IF(J350=1,I350,ROUND(I350*(1+J350/30),1)),"")</f>
        <v/>
      </c>
      <c r="N350" s="41">
        <f>IF(M350="","",IF(M350&gt;=PRs!C2,"PR!",""))</f>
        <v/>
      </c>
      <c r="O350" s="7" t="n"/>
    </row>
    <row r="351">
      <c r="C351" t="inlineStr">
        <is>
          <t xml:space="preserve">      Set 2</t>
        </is>
      </c>
      <c r="E351" t="n">
        <v>5</v>
      </c>
      <c r="H351" s="39">
        <f>IF(H349="","",H349)</f>
        <v/>
      </c>
      <c r="I351" s="7">
        <f>IF(H349="","",H349)</f>
        <v/>
      </c>
      <c r="J351" s="7" t="n">
        <v>5</v>
      </c>
      <c r="K351" s="7" t="n"/>
      <c r="L351" s="40" t="n"/>
      <c r="M351">
        <f>IF(AND(L351&lt;&gt;"",N(I351)&gt;0,N(J351)&gt;0),IF(J351=1,I351,ROUND(I351*(1+J351/30),1)),"")</f>
        <v/>
      </c>
      <c r="N351" s="41">
        <f>IF(M351="","",IF(M351&gt;=PRs!C2,"PR!",""))</f>
        <v/>
      </c>
      <c r="O351" s="7" t="n"/>
    </row>
    <row r="352">
      <c r="A352" s="34" t="n"/>
      <c r="B352" s="34" t="n"/>
      <c r="C352" s="42" t="inlineStr">
        <is>
          <t>Overhead Press</t>
        </is>
      </c>
      <c r="D352" s="34" t="inlineStr">
        <is>
          <t>2 x 5</t>
        </is>
      </c>
      <c r="E352" s="34" t="n"/>
      <c r="F352" s="34" t="n">
        <v>60</v>
      </c>
      <c r="G352" s="36">
        <f>Maxes!G5</f>
        <v/>
      </c>
      <c r="H352" s="37">
        <f>IF(OR(G352="",F352=""),"",MROUND(G352*F352/100,'Start Here'!$B$7))</f>
        <v/>
      </c>
      <c r="I352" s="34" t="n"/>
      <c r="J352" s="34" t="n"/>
      <c r="K352" s="34" t="n"/>
      <c r="L352" s="34" t="n"/>
      <c r="M352" s="34" t="n"/>
      <c r="N352" s="34" t="n"/>
      <c r="O352" s="38" t="inlineStr">
        <is>
          <t>Easy week - move fast, recover</t>
        </is>
      </c>
    </row>
    <row r="353">
      <c r="C353" t="inlineStr">
        <is>
          <t xml:space="preserve">      Set 1</t>
        </is>
      </c>
      <c r="E353" t="n">
        <v>5</v>
      </c>
      <c r="H353" s="39">
        <f>IF(H352="","",H352)</f>
        <v/>
      </c>
      <c r="I353" s="7">
        <f>IF(H352="","",H352)</f>
        <v/>
      </c>
      <c r="J353" s="7" t="n">
        <v>5</v>
      </c>
      <c r="K353" s="7" t="n"/>
      <c r="L353" s="40" t="n"/>
      <c r="M353">
        <f>IF(AND(L353&lt;&gt;"",N(I353)&gt;0,N(J353)&gt;0),IF(J353=1,I353,ROUND(I353*(1+J353/30),1)),"")</f>
        <v/>
      </c>
      <c r="N353" s="41">
        <f>IF(M353="","",IF(M353&gt;=PRs!C5,"PR!",""))</f>
        <v/>
      </c>
      <c r="O353" s="7" t="n"/>
    </row>
    <row r="354">
      <c r="C354" t="inlineStr">
        <is>
          <t xml:space="preserve">      Set 2</t>
        </is>
      </c>
      <c r="E354" t="n">
        <v>5</v>
      </c>
      <c r="H354" s="39">
        <f>IF(H352="","",H352)</f>
        <v/>
      </c>
      <c r="I354" s="7">
        <f>IF(H352="","",H352)</f>
        <v/>
      </c>
      <c r="J354" s="7" t="n">
        <v>5</v>
      </c>
      <c r="K354" s="7" t="n"/>
      <c r="L354" s="40" t="n"/>
      <c r="M354">
        <f>IF(AND(L354&lt;&gt;"",N(I354)&gt;0,N(J354)&gt;0),IF(J354=1,I354,ROUND(I354*(1+J354/30),1)),"")</f>
        <v/>
      </c>
      <c r="N354" s="41">
        <f>IF(M354="","",IF(M354&gt;=PRs!C5,"PR!",""))</f>
        <v/>
      </c>
      <c r="O354" s="7" t="n"/>
    </row>
    <row r="355">
      <c r="A355" s="34" t="n"/>
      <c r="B355" s="34" t="n"/>
      <c r="C355" s="42" t="inlineStr">
        <is>
          <t>Deadlift</t>
        </is>
      </c>
      <c r="D355" s="34" t="inlineStr">
        <is>
          <t>2 x 5</t>
        </is>
      </c>
      <c r="E355" s="34" t="n"/>
      <c r="F355" s="34" t="n">
        <v>60</v>
      </c>
      <c r="G355" s="36">
        <f>Maxes!G4</f>
        <v/>
      </c>
      <c r="H355" s="37">
        <f>IF(OR(G355="",F355=""),"",MROUND(G355*F355/100,'Start Here'!$B$7))</f>
        <v/>
      </c>
      <c r="I355" s="34" t="n"/>
      <c r="J355" s="34" t="n"/>
      <c r="K355" s="34" t="n"/>
      <c r="L355" s="34" t="n"/>
      <c r="M355" s="34" t="n"/>
      <c r="N355" s="34" t="n"/>
      <c r="O355" s="38" t="inlineStr">
        <is>
          <t>Easy week - move fast, recover</t>
        </is>
      </c>
    </row>
    <row r="356">
      <c r="C356" t="inlineStr">
        <is>
          <t xml:space="preserve">      Set 1</t>
        </is>
      </c>
      <c r="E356" t="n">
        <v>5</v>
      </c>
      <c r="H356" s="39">
        <f>IF(H355="","",H355)</f>
        <v/>
      </c>
      <c r="I356" s="7">
        <f>IF(H355="","",H355)</f>
        <v/>
      </c>
      <c r="J356" s="7" t="n">
        <v>5</v>
      </c>
      <c r="K356" s="7" t="n"/>
      <c r="L356" s="40" t="n"/>
      <c r="M356">
        <f>IF(AND(L356&lt;&gt;"",N(I356)&gt;0,N(J356)&gt;0),IF(J356=1,I356,ROUND(I356*(1+J356/30),1)),"")</f>
        <v/>
      </c>
      <c r="N356" s="41">
        <f>IF(M356="","",IF(M356&gt;=PRs!C4,"PR!",""))</f>
        <v/>
      </c>
      <c r="O356" s="7" t="n"/>
    </row>
    <row r="357">
      <c r="C357" t="inlineStr">
        <is>
          <t xml:space="preserve">      Set 2</t>
        </is>
      </c>
      <c r="E357" t="n">
        <v>5</v>
      </c>
      <c r="H357" s="39">
        <f>IF(H355="","",H355)</f>
        <v/>
      </c>
      <c r="I357" s="7">
        <f>IF(H355="","",H355)</f>
        <v/>
      </c>
      <c r="J357" s="7" t="n">
        <v>5</v>
      </c>
      <c r="K357" s="7" t="n"/>
      <c r="L357" s="40" t="n"/>
      <c r="M357">
        <f>IF(AND(L357&lt;&gt;"",N(I357)&gt;0,N(J357)&gt;0),IF(J357=1,I357,ROUND(I357*(1+J357/30),1)),"")</f>
        <v/>
      </c>
      <c r="N357" s="41">
        <f>IF(M357="","",IF(M357&gt;=PRs!C4,"PR!",""))</f>
        <v/>
      </c>
      <c r="O357" s="7" t="n"/>
    </row>
    <row r="358">
      <c r="A358" s="34" t="n"/>
      <c r="B358" s="34" t="n"/>
      <c r="C358" s="43" t="inlineStr">
        <is>
          <t>Chin-up</t>
        </is>
      </c>
      <c r="D358" s="34" t="inlineStr">
        <is>
          <t>2 x 6-10</t>
        </is>
      </c>
      <c r="E358" s="34" t="n"/>
      <c r="F358" s="34" t="n"/>
      <c r="G358" s="36" t="n"/>
      <c r="H358" s="37" t="n"/>
      <c r="I358" s="34" t="n"/>
      <c r="J358" s="34" t="n"/>
      <c r="K358" s="34" t="n"/>
      <c r="L358" s="34" t="n"/>
      <c r="M358" s="34" t="n"/>
      <c r="N358" s="34" t="n"/>
      <c r="O358" s="38" t="inlineStr">
        <is>
          <t>Easy - stop well short of failure</t>
        </is>
      </c>
    </row>
    <row r="359">
      <c r="C359" t="inlineStr">
        <is>
          <t xml:space="preserve">      Set 1</t>
        </is>
      </c>
      <c r="E359" t="n">
        <v>6</v>
      </c>
      <c r="H359" s="39">
        <f>IF(H358="","",H358)</f>
        <v/>
      </c>
      <c r="I359" s="7">
        <f>IF(H358="","",H358)</f>
        <v/>
      </c>
      <c r="J359" s="7" t="n">
        <v>6</v>
      </c>
      <c r="K359" s="7" t="n"/>
      <c r="L359" s="40" t="n"/>
      <c r="M359">
        <f>IF(AND(L359&lt;&gt;"",N(I359)&gt;0,N(J359)&gt;0),IF(J359=1,I359,ROUND(I359*(1+J359/30),1)),"")</f>
        <v/>
      </c>
      <c r="N359" s="41">
        <f>IF(M359="","",IF(M359&gt;=PRs!C53,"PR!",""))</f>
        <v/>
      </c>
      <c r="O359" s="7" t="n"/>
    </row>
    <row r="360">
      <c r="C360" t="inlineStr">
        <is>
          <t xml:space="preserve">      Set 2</t>
        </is>
      </c>
      <c r="E360" t="n">
        <v>6</v>
      </c>
      <c r="H360" s="39">
        <f>IF(H358="","",H358)</f>
        <v/>
      </c>
      <c r="I360" s="7">
        <f>IF(H358="","",H358)</f>
        <v/>
      </c>
      <c r="J360" s="7" t="n">
        <v>6</v>
      </c>
      <c r="K360" s="7" t="n"/>
      <c r="L360" s="40" t="n"/>
      <c r="M360">
        <f>IF(AND(L360&lt;&gt;"",N(I360)&gt;0,N(J360)&gt;0),IF(J360=1,I360,ROUND(I360*(1+J360/30),1)),"")</f>
        <v/>
      </c>
      <c r="N360" s="41">
        <f>IF(M360="","",IF(M360&gt;=PRs!C53,"PR!",""))</f>
        <v/>
      </c>
      <c r="O360" s="7" t="n"/>
    </row>
    <row r="361">
      <c r="A361" s="34" t="n"/>
      <c r="B361" s="34" t="n"/>
      <c r="C361" s="43" t="inlineStr">
        <is>
          <t>Plank</t>
        </is>
      </c>
      <c r="D361" s="34" t="inlineStr">
        <is>
          <t>2 x 30-60s</t>
        </is>
      </c>
      <c r="E361" s="34" t="n"/>
      <c r="F361" s="34" t="n"/>
      <c r="G361" s="36" t="n"/>
      <c r="H361" s="37" t="n"/>
      <c r="I361" s="34" t="n"/>
      <c r="J361" s="34" t="n"/>
      <c r="K361" s="34" t="n"/>
      <c r="L361" s="34" t="n"/>
      <c r="M361" s="34" t="n"/>
      <c r="N361" s="34" t="n"/>
      <c r="O361" s="38" t="inlineStr">
        <is>
          <t>Easy - stop well short of failure</t>
        </is>
      </c>
    </row>
    <row r="362">
      <c r="C362" t="inlineStr">
        <is>
          <t xml:space="preserve">      Set 1</t>
        </is>
      </c>
      <c r="E362" t="n">
        <v>30</v>
      </c>
      <c r="H362" s="39">
        <f>IF(H361="","",H361)</f>
        <v/>
      </c>
      <c r="I362" s="7">
        <f>IF(H361="","",H361)</f>
        <v/>
      </c>
      <c r="J362" s="7" t="n">
        <v>30</v>
      </c>
      <c r="K362" s="7" t="n"/>
      <c r="L362" s="40" t="n"/>
      <c r="M362">
        <f>IF(AND(L362&lt;&gt;"",N(I362)&gt;0,N(J362)&gt;0),IF(J362=1,I362,ROUND(I362*(1+J362/30),1)),"")</f>
        <v/>
      </c>
      <c r="N362" s="41">
        <f>IF(M362="","",IF(M362&gt;=PRs!C56,"PR!",""))</f>
        <v/>
      </c>
      <c r="O362" s="7" t="n"/>
    </row>
    <row r="363">
      <c r="C363" t="inlineStr">
        <is>
          <t xml:space="preserve">      Set 2</t>
        </is>
      </c>
      <c r="E363" t="n">
        <v>30</v>
      </c>
      <c r="H363" s="39">
        <f>IF(H361="","",H361)</f>
        <v/>
      </c>
      <c r="I363" s="7">
        <f>IF(H361="","",H361)</f>
        <v/>
      </c>
      <c r="J363" s="7" t="n">
        <v>30</v>
      </c>
      <c r="K363" s="7" t="n"/>
      <c r="L363" s="40" t="n"/>
      <c r="M363">
        <f>IF(AND(L363&lt;&gt;"",N(I363)&gt;0,N(J363)&gt;0),IF(J363=1,I363,ROUND(I363*(1+J363/30),1)),"")</f>
        <v/>
      </c>
      <c r="N363" s="41">
        <f>IF(M363="","",IF(M363&gt;=PRs!C56,"PR!",""))</f>
        <v/>
      </c>
      <c r="O363" s="7" t="n"/>
    </row>
    <row r="364">
      <c r="A364" s="31" t="inlineStr">
        <is>
          <t>Day 3 - Variations</t>
        </is>
      </c>
      <c r="B364" s="32">
        <f>'Start Here'!$B$8+193</f>
        <v/>
      </c>
      <c r="C364" s="33" t="n"/>
      <c r="D364" s="33" t="n"/>
      <c r="E364" s="33" t="n"/>
      <c r="F364" s="33" t="n"/>
      <c r="G364" s="33" t="n"/>
      <c r="H364" s="33" t="n"/>
      <c r="I364" s="33" t="n"/>
      <c r="J364" s="33" t="n"/>
      <c r="K364" s="33" t="n"/>
      <c r="L364" s="33" t="n"/>
      <c r="M364" s="33" t="n"/>
      <c r="N364" s="33" t="n"/>
      <c r="O364" s="33" t="n"/>
    </row>
    <row r="365">
      <c r="A365" s="34" t="n"/>
      <c r="B365" s="34" t="n"/>
      <c r="C365" s="35" t="inlineStr">
        <is>
          <t>Depth Jump</t>
        </is>
      </c>
      <c r="D365" s="34" t="inlineStr">
        <is>
          <t>2 x 3</t>
        </is>
      </c>
      <c r="E365" s="34" t="n"/>
      <c r="F365" s="34" t="n"/>
      <c r="G365" s="36" t="n"/>
      <c r="H365" s="37">
        <f>IF(N(Maxes!G72)&gt;0,Maxes!G72,"")</f>
        <v/>
      </c>
      <c r="I365" s="34" t="n"/>
      <c r="J365" s="34" t="n"/>
      <c r="K365" s="34" t="n"/>
      <c r="L365" s="34" t="n"/>
      <c r="M365" s="34" t="n"/>
      <c r="N365" s="34" t="n"/>
      <c r="O365" s="38" t="inlineStr">
        <is>
          <t>Step off a low box (12-18 in / 30-45 cm), land and rebound straight up as fast as possible. Log the drop-box height.</t>
        </is>
      </c>
    </row>
    <row r="366">
      <c r="C366" t="inlineStr">
        <is>
          <t xml:space="preserve">      Set 1</t>
        </is>
      </c>
      <c r="E366" t="n">
        <v>3</v>
      </c>
      <c r="H366" s="39">
        <f>IF(H365="","",H365)</f>
        <v/>
      </c>
      <c r="I366" s="7">
        <f>IF(H365="","",H365)</f>
        <v/>
      </c>
      <c r="J366" s="7" t="n">
        <v>3</v>
      </c>
      <c r="K366" s="7" t="n"/>
      <c r="L366" s="40" t="n"/>
      <c r="N366" s="41">
        <f>IF(AND(L366&lt;&gt;"",N(I366)&gt;0),IF(I366&gt;=PRs!D72,"PR!",""),"")</f>
        <v/>
      </c>
      <c r="O366" s="7" t="n"/>
    </row>
    <row r="367">
      <c r="C367" t="inlineStr">
        <is>
          <t xml:space="preserve">      Set 2</t>
        </is>
      </c>
      <c r="E367" t="n">
        <v>3</v>
      </c>
      <c r="H367" s="39">
        <f>IF(H365="","",H365)</f>
        <v/>
      </c>
      <c r="I367" s="7">
        <f>IF(H365="","",H365)</f>
        <v/>
      </c>
      <c r="J367" s="7" t="n">
        <v>3</v>
      </c>
      <c r="K367" s="7" t="n"/>
      <c r="L367" s="40" t="n"/>
      <c r="N367" s="41">
        <f>IF(AND(L367&lt;&gt;"",N(I367)&gt;0),IF(I367&gt;=PRs!D72,"PR!",""),"")</f>
        <v/>
      </c>
      <c r="O367" s="7" t="n"/>
    </row>
    <row r="368">
      <c r="A368" s="34" t="n"/>
      <c r="B368" s="34" t="n"/>
      <c r="C368" s="42" t="inlineStr">
        <is>
          <t>Block Snatch</t>
        </is>
      </c>
      <c r="D368" s="34" t="inlineStr">
        <is>
          <t>2 x 2</t>
        </is>
      </c>
      <c r="E368" s="34" t="n"/>
      <c r="F368" s="34" t="n">
        <v>60</v>
      </c>
      <c r="G368" s="36">
        <f>Maxes!G40</f>
        <v/>
      </c>
      <c r="H368" s="37">
        <f>IF(OR(G368="",F368=""),"",MROUND(G368*F368/100,'Start Here'!$B$7))</f>
        <v/>
      </c>
      <c r="I368" s="34" t="n"/>
      <c r="J368" s="34" t="n"/>
      <c r="K368" s="34" t="n"/>
      <c r="L368" s="34" t="n"/>
      <c r="M368" s="34" t="n"/>
      <c r="N368" s="34" t="n"/>
      <c r="O368" s="38" t="inlineStr">
        <is>
          <t>Easy week - move fast, recover</t>
        </is>
      </c>
    </row>
    <row r="369">
      <c r="C369" t="inlineStr">
        <is>
          <t xml:space="preserve">      Set 1</t>
        </is>
      </c>
      <c r="E369" t="n">
        <v>2</v>
      </c>
      <c r="H369" s="39">
        <f>IF(H368="","",H368)</f>
        <v/>
      </c>
      <c r="I369" s="7">
        <f>IF(H368="","",H368)</f>
        <v/>
      </c>
      <c r="J369" s="7" t="n">
        <v>2</v>
      </c>
      <c r="K369" s="7" t="n"/>
      <c r="L369" s="40" t="n"/>
      <c r="M369">
        <f>IF(AND(L369&lt;&gt;"",N(I369)&gt;0,N(J369)&gt;0),IF(J369=1,I369,ROUND(I369*(1+J369/30),1)),"")</f>
        <v/>
      </c>
      <c r="N369" s="41">
        <f>IF(M369="","",IF(M369&gt;=PRs!C40,"PR!",""))</f>
        <v/>
      </c>
      <c r="O369" s="7" t="n"/>
    </row>
    <row r="370">
      <c r="C370" t="inlineStr">
        <is>
          <t xml:space="preserve">      Set 2</t>
        </is>
      </c>
      <c r="E370" t="n">
        <v>2</v>
      </c>
      <c r="H370" s="39">
        <f>IF(H368="","",H368)</f>
        <v/>
      </c>
      <c r="I370" s="7">
        <f>IF(H368="","",H368)</f>
        <v/>
      </c>
      <c r="J370" s="7" t="n">
        <v>2</v>
      </c>
      <c r="K370" s="7" t="n"/>
      <c r="L370" s="40" t="n"/>
      <c r="M370">
        <f>IF(AND(L370&lt;&gt;"",N(I370)&gt;0,N(J370)&gt;0),IF(J370=1,I370,ROUND(I370*(1+J370/30),1)),"")</f>
        <v/>
      </c>
      <c r="N370" s="41">
        <f>IF(M370="","",IF(M370&gt;=PRs!C40,"PR!",""))</f>
        <v/>
      </c>
      <c r="O370" s="7" t="n"/>
    </row>
    <row r="371">
      <c r="A371" s="34" t="n"/>
      <c r="B371" s="34" t="n"/>
      <c r="C371" s="42" t="inlineStr">
        <is>
          <t>Pause Squat</t>
        </is>
      </c>
      <c r="D371" s="34" t="inlineStr">
        <is>
          <t>2 x 5</t>
        </is>
      </c>
      <c r="E371" s="34" t="n"/>
      <c r="F371" s="34" t="n">
        <v>60</v>
      </c>
      <c r="G371" s="36">
        <f>Maxes!G9</f>
        <v/>
      </c>
      <c r="H371" s="37">
        <f>IF(OR(G371="",F371=""),"",MROUND(G371*F371/100,'Start Here'!$B$7))</f>
        <v/>
      </c>
      <c r="I371" s="34" t="n"/>
      <c r="J371" s="34" t="n"/>
      <c r="K371" s="34" t="n"/>
      <c r="L371" s="34" t="n"/>
      <c r="M371" s="34" t="n"/>
      <c r="N371" s="34" t="n"/>
      <c r="O371" s="38" t="inlineStr">
        <is>
          <t>Easy week - move fast, recover</t>
        </is>
      </c>
    </row>
    <row r="372">
      <c r="C372" t="inlineStr">
        <is>
          <t xml:space="preserve">      Set 1</t>
        </is>
      </c>
      <c r="E372" t="n">
        <v>5</v>
      </c>
      <c r="H372" s="39">
        <f>IF(H371="","",H371)</f>
        <v/>
      </c>
      <c r="I372" s="7">
        <f>IF(H371="","",H371)</f>
        <v/>
      </c>
      <c r="J372" s="7" t="n">
        <v>5</v>
      </c>
      <c r="K372" s="7" t="n"/>
      <c r="L372" s="40" t="n"/>
      <c r="M372">
        <f>IF(AND(L372&lt;&gt;"",N(I372)&gt;0,N(J372)&gt;0),IF(J372=1,I372,ROUND(I372*(1+J372/30),1)),"")</f>
        <v/>
      </c>
      <c r="N372" s="41">
        <f>IF(M372="","",IF(M372&gt;=PRs!C9,"PR!",""))</f>
        <v/>
      </c>
      <c r="O372" s="7" t="n"/>
    </row>
    <row r="373">
      <c r="C373" t="inlineStr">
        <is>
          <t xml:space="preserve">      Set 2</t>
        </is>
      </c>
      <c r="E373" t="n">
        <v>5</v>
      </c>
      <c r="H373" s="39">
        <f>IF(H371="","",H371)</f>
        <v/>
      </c>
      <c r="I373" s="7">
        <f>IF(H371="","",H371)</f>
        <v/>
      </c>
      <c r="J373" s="7" t="n">
        <v>5</v>
      </c>
      <c r="K373" s="7" t="n"/>
      <c r="L373" s="40" t="n"/>
      <c r="M373">
        <f>IF(AND(L373&lt;&gt;"",N(I373)&gt;0,N(J373)&gt;0),IF(J373=1,I373,ROUND(I373*(1+J373/30),1)),"")</f>
        <v/>
      </c>
      <c r="N373" s="41">
        <f>IF(M373="","",IF(M373&gt;=PRs!C9,"PR!",""))</f>
        <v/>
      </c>
      <c r="O373" s="7" t="n"/>
    </row>
    <row r="374">
      <c r="A374" s="34" t="n"/>
      <c r="B374" s="34" t="n"/>
      <c r="C374" s="42" t="inlineStr">
        <is>
          <t>Spoto Press</t>
        </is>
      </c>
      <c r="D374" s="34" t="inlineStr">
        <is>
          <t>2 x 5</t>
        </is>
      </c>
      <c r="E374" s="34" t="n"/>
      <c r="F374" s="34" t="n">
        <v>60</v>
      </c>
      <c r="G374" s="36">
        <f>Maxes!G21</f>
        <v/>
      </c>
      <c r="H374" s="37">
        <f>IF(OR(G374="",F374=""),"",MROUND(G374*F374/100,'Start Here'!$B$7))</f>
        <v/>
      </c>
      <c r="I374" s="34" t="n"/>
      <c r="J374" s="34" t="n"/>
      <c r="K374" s="34" t="n"/>
      <c r="L374" s="34" t="n"/>
      <c r="M374" s="34" t="n"/>
      <c r="N374" s="34" t="n"/>
      <c r="O374" s="38" t="inlineStr">
        <is>
          <t>Easy week - move fast, recover</t>
        </is>
      </c>
    </row>
    <row r="375">
      <c r="C375" t="inlineStr">
        <is>
          <t xml:space="preserve">      Set 1</t>
        </is>
      </c>
      <c r="E375" t="n">
        <v>5</v>
      </c>
      <c r="H375" s="39">
        <f>IF(H374="","",H374)</f>
        <v/>
      </c>
      <c r="I375" s="7">
        <f>IF(H374="","",H374)</f>
        <v/>
      </c>
      <c r="J375" s="7" t="n">
        <v>5</v>
      </c>
      <c r="K375" s="7" t="n"/>
      <c r="L375" s="40" t="n"/>
      <c r="M375">
        <f>IF(AND(L375&lt;&gt;"",N(I375)&gt;0,N(J375)&gt;0),IF(J375=1,I375,ROUND(I375*(1+J375/30),1)),"")</f>
        <v/>
      </c>
      <c r="N375" s="41">
        <f>IF(M375="","",IF(M375&gt;=PRs!C21,"PR!",""))</f>
        <v/>
      </c>
      <c r="O375" s="7" t="n"/>
    </row>
    <row r="376">
      <c r="C376" t="inlineStr">
        <is>
          <t xml:space="preserve">      Set 2</t>
        </is>
      </c>
      <c r="E376" t="n">
        <v>5</v>
      </c>
      <c r="H376" s="39">
        <f>IF(H374="","",H374)</f>
        <v/>
      </c>
      <c r="I376" s="7">
        <f>IF(H374="","",H374)</f>
        <v/>
      </c>
      <c r="J376" s="7" t="n">
        <v>5</v>
      </c>
      <c r="K376" s="7" t="n"/>
      <c r="L376" s="40" t="n"/>
      <c r="M376">
        <f>IF(AND(L376&lt;&gt;"",N(I376)&gt;0,N(J376)&gt;0),IF(J376=1,I376,ROUND(I376*(1+J376/30),1)),"")</f>
        <v/>
      </c>
      <c r="N376" s="41">
        <f>IF(M376="","",IF(M376&gt;=PRs!C21,"PR!",""))</f>
        <v/>
      </c>
      <c r="O376" s="7" t="n"/>
    </row>
    <row r="377">
      <c r="A377" s="34" t="n"/>
      <c r="B377" s="34" t="n"/>
      <c r="C377" s="42" t="inlineStr">
        <is>
          <t>Paused Deadlift</t>
        </is>
      </c>
      <c r="D377" s="34" t="inlineStr">
        <is>
          <t>2 x 5</t>
        </is>
      </c>
      <c r="E377" s="34" t="n"/>
      <c r="F377" s="34" t="n">
        <v>60</v>
      </c>
      <c r="G377" s="36">
        <f>Maxes!G25</f>
        <v/>
      </c>
      <c r="H377" s="37">
        <f>IF(OR(G377="",F377=""),"",MROUND(G377*F377/100,'Start Here'!$B$7))</f>
        <v/>
      </c>
      <c r="I377" s="34" t="n"/>
      <c r="J377" s="34" t="n"/>
      <c r="K377" s="34" t="n"/>
      <c r="L377" s="34" t="n"/>
      <c r="M377" s="34" t="n"/>
      <c r="N377" s="34" t="n"/>
      <c r="O377" s="38" t="inlineStr">
        <is>
          <t>Easy week - move fast, recover</t>
        </is>
      </c>
    </row>
    <row r="378">
      <c r="C378" t="inlineStr">
        <is>
          <t xml:space="preserve">      Set 1</t>
        </is>
      </c>
      <c r="E378" t="n">
        <v>5</v>
      </c>
      <c r="H378" s="39">
        <f>IF(H377="","",H377)</f>
        <v/>
      </c>
      <c r="I378" s="7">
        <f>IF(H377="","",H377)</f>
        <v/>
      </c>
      <c r="J378" s="7" t="n">
        <v>5</v>
      </c>
      <c r="K378" s="7" t="n"/>
      <c r="L378" s="40" t="n"/>
      <c r="M378">
        <f>IF(AND(L378&lt;&gt;"",N(I378)&gt;0,N(J378)&gt;0),IF(J378=1,I378,ROUND(I378*(1+J378/30),1)),"")</f>
        <v/>
      </c>
      <c r="N378" s="41">
        <f>IF(M378="","",IF(M378&gt;=PRs!C25,"PR!",""))</f>
        <v/>
      </c>
      <c r="O378" s="7" t="n"/>
    </row>
    <row r="379">
      <c r="C379" t="inlineStr">
        <is>
          <t xml:space="preserve">      Set 2</t>
        </is>
      </c>
      <c r="E379" t="n">
        <v>5</v>
      </c>
      <c r="H379" s="39">
        <f>IF(H377="","",H377)</f>
        <v/>
      </c>
      <c r="I379" s="7">
        <f>IF(H377="","",H377)</f>
        <v/>
      </c>
      <c r="J379" s="7" t="n">
        <v>5</v>
      </c>
      <c r="K379" s="7" t="n"/>
      <c r="L379" s="40" t="n"/>
      <c r="M379">
        <f>IF(AND(L379&lt;&gt;"",N(I379)&gt;0,N(J379)&gt;0),IF(J379=1,I379,ROUND(I379*(1+J379/30),1)),"")</f>
        <v/>
      </c>
      <c r="N379" s="41">
        <f>IF(M379="","",IF(M379&gt;=PRs!C25,"PR!",""))</f>
        <v/>
      </c>
      <c r="O379" s="7" t="n"/>
    </row>
    <row r="380">
      <c r="A380" s="34" t="n"/>
      <c r="B380" s="34" t="n"/>
      <c r="C380" s="43" t="inlineStr">
        <is>
          <t>Incline Dumbbell Press</t>
        </is>
      </c>
      <c r="D380" s="34" t="inlineStr">
        <is>
          <t>2 x 8-12</t>
        </is>
      </c>
      <c r="E380" s="34" t="n"/>
      <c r="F380" s="34" t="n"/>
      <c r="G380" s="36" t="n"/>
      <c r="H380" s="37" t="n"/>
      <c r="I380" s="34" t="n"/>
      <c r="J380" s="34" t="n"/>
      <c r="K380" s="34" t="n"/>
      <c r="L380" s="34" t="n"/>
      <c r="M380" s="34" t="n"/>
      <c r="N380" s="34" t="n"/>
      <c r="O380" s="38" t="inlineStr">
        <is>
          <t>Easy - stop well short of failure</t>
        </is>
      </c>
    </row>
    <row r="381">
      <c r="C381" t="inlineStr">
        <is>
          <t xml:space="preserve">      Set 1</t>
        </is>
      </c>
      <c r="E381" t="n">
        <v>8</v>
      </c>
      <c r="H381" s="39">
        <f>IF(H380="","",H380)</f>
        <v/>
      </c>
      <c r="I381" s="7">
        <f>IF(H380="","",H380)</f>
        <v/>
      </c>
      <c r="J381" s="7" t="n">
        <v>8</v>
      </c>
      <c r="K381" s="7" t="n"/>
      <c r="L381" s="40" t="n"/>
      <c r="M381">
        <f>IF(AND(L381&lt;&gt;"",N(I381)&gt;0,N(J381)&gt;0),IF(J381=1,I381,ROUND(I381*(1+J381/30),1)),"")</f>
        <v/>
      </c>
      <c r="N381" s="41">
        <f>IF(M381="","",IF(M381&gt;=PRs!C57,"PR!",""))</f>
        <v/>
      </c>
      <c r="O381" s="7" t="n"/>
    </row>
    <row r="382">
      <c r="C382" t="inlineStr">
        <is>
          <t xml:space="preserve">      Set 2</t>
        </is>
      </c>
      <c r="E382" t="n">
        <v>8</v>
      </c>
      <c r="H382" s="39">
        <f>IF(H380="","",H380)</f>
        <v/>
      </c>
      <c r="I382" s="7">
        <f>IF(H380="","",H380)</f>
        <v/>
      </c>
      <c r="J382" s="7" t="n">
        <v>8</v>
      </c>
      <c r="K382" s="7" t="n"/>
      <c r="L382" s="40" t="n"/>
      <c r="M382">
        <f>IF(AND(L382&lt;&gt;"",N(I382)&gt;0,N(J382)&gt;0),IF(J382=1,I382,ROUND(I382*(1+J382/30),1)),"")</f>
        <v/>
      </c>
      <c r="N382" s="41">
        <f>IF(M382="","",IF(M382&gt;=PRs!C57,"PR!",""))</f>
        <v/>
      </c>
      <c r="O382" s="7" t="n"/>
    </row>
    <row r="383">
      <c r="A383" s="34" t="n"/>
      <c r="B383" s="34" t="n"/>
      <c r="C383" s="43" t="inlineStr">
        <is>
          <t>Triceps Pushdown</t>
        </is>
      </c>
      <c r="D383" s="34" t="inlineStr">
        <is>
          <t>2 x 10-15</t>
        </is>
      </c>
      <c r="E383" s="34" t="n"/>
      <c r="F383" s="34" t="n"/>
      <c r="G383" s="36" t="n"/>
      <c r="H383" s="37" t="n"/>
      <c r="I383" s="34" t="n"/>
      <c r="J383" s="34" t="n"/>
      <c r="K383" s="34" t="n"/>
      <c r="L383" s="34" t="n"/>
      <c r="M383" s="34" t="n"/>
      <c r="N383" s="34" t="n"/>
      <c r="O383" s="38" t="inlineStr">
        <is>
          <t>Easy - stop well short of failure</t>
        </is>
      </c>
    </row>
    <row r="384">
      <c r="C384" t="inlineStr">
        <is>
          <t xml:space="preserve">      Set 1</t>
        </is>
      </c>
      <c r="E384" t="n">
        <v>10</v>
      </c>
      <c r="H384" s="39">
        <f>IF(H383="","",H383)</f>
        <v/>
      </c>
      <c r="I384" s="7">
        <f>IF(H383="","",H383)</f>
        <v/>
      </c>
      <c r="J384" s="7" t="n">
        <v>10</v>
      </c>
      <c r="K384" s="7" t="n"/>
      <c r="L384" s="40" t="n"/>
      <c r="M384">
        <f>IF(AND(L384&lt;&gt;"",N(I384)&gt;0,N(J384)&gt;0),IF(J384=1,I384,ROUND(I384*(1+J384/30),1)),"")</f>
        <v/>
      </c>
      <c r="N384" s="41">
        <f>IF(M384="","",IF(M384&gt;=PRs!C59,"PR!",""))</f>
        <v/>
      </c>
      <c r="O384" s="7" t="n"/>
    </row>
    <row r="385">
      <c r="C385" t="inlineStr">
        <is>
          <t xml:space="preserve">      Set 2</t>
        </is>
      </c>
      <c r="E385" t="n">
        <v>10</v>
      </c>
      <c r="H385" s="39">
        <f>IF(H383="","",H383)</f>
        <v/>
      </c>
      <c r="I385" s="7">
        <f>IF(H383="","",H383)</f>
        <v/>
      </c>
      <c r="J385" s="7" t="n">
        <v>10</v>
      </c>
      <c r="K385" s="7" t="n"/>
      <c r="L385" s="40" t="n"/>
      <c r="M385">
        <f>IF(AND(L385&lt;&gt;"",N(I385)&gt;0,N(J385)&gt;0),IF(J385=1,I385,ROUND(I385*(1+J385/30),1)),"")</f>
        <v/>
      </c>
      <c r="N385" s="41">
        <f>IF(M385="","",IF(M385&gt;=PRs!C59,"PR!",""))</f>
        <v/>
      </c>
      <c r="O385" s="7" t="n"/>
    </row>
  </sheetData>
  <dataValidations count="3">
    <dataValidation sqref="H3" showDropDown="0" showInputMessage="0" showErrorMessage="0" allowBlank="1" type="list">
      <formula1>Lists!$B$1:$B$6</formula1>
    </dataValidation>
    <dataValidation sqref="L9 L10 L11 L12 L14 L15 L16 L17 L19 L20 L21 L23 L24 L25 L27 L28 L29 L30 L32 L33 L34 L35 L38 L39 L40 L41 L43 L44 L45 L47 L48 L49 L50 L52 L53 L54 L56 L57 L58 L59 L61 L62 L63 L65 L66 L67 L68 L70 L71 L72 L73 L76 L77 L78 L79 L81 L82 L83 L84 L85 L86 L88 L89 L90 L91 L93 L94 L95 L96 L98 L99 L100 L102 L103 L104 L105 L107 L108 L109 L110 L115 L116 L117 L118 L120 L121 L122 L123 L125 L126 L127 L129 L130 L131 L133 L134 L135 L136 L138 L139 L140 L141 L144 L145 L146 L147 L149 L150 L151 L153 L154 L155 L156 L158 L159 L160 L162 L163 L164 L165 L167 L168 L169 L171 L172 L173 L174 L176 L177 L178 L179 L182 L183 L184 L185 L187 L188 L189 L190 L191 L192 L194 L195 L196 L197 L199 L200 L201 L202 L204 L205 L206 L208 L209 L210 L211 L213 L214 L215 L216 L221 L222 L223 L224 L226 L227 L228 L229 L231 L232 L233 L235 L236 L237 L239 L240 L241 L242 L244 L245 L246 L247 L250 L251 L252 L253 L255 L256 L257 L259 L260 L261 L262 L264 L265 L266 L268 L269 L270 L272 L273 L274 L276 L277 L278 L279 L281 L282 L283 L284 L287 L288 L289 L290 L292 L293 L294 L295 L297 L298 L299 L301 L302 L303 L305 L306 L307 L309 L310 L311 L312 L314 L315 L316 L317 L322 L323 L325 L326 L328 L329 L331 L332 L334 L335 L337 L338 L341 L342 L344 L345 L347 L348 L350 L351 L353 L354 L356 L357 L359 L360 L362 L363 L366 L367 L369 L370 L372 L373 L375 L376 L378 L379 L381 L382 L384 L385" showDropDown="0" showInputMessage="0" showErrorMessage="0" allowBlank="1" type="list">
      <formula1>"✓"</formula1>
    </dataValidation>
    <dataValidation sqref="K9 K10 K11 K12 K14 K15 K16 K17 K19 K20 K21 K23 K24 K25 K27 K28 K29 K30 K32 K33 K34 K35 K38 K39 K40 K41 K43 K44 K45 K47 K48 K49 K50 K52 K53 K54 K56 K57 K58 K59 K61 K62 K63 K65 K66 K67 K68 K70 K71 K72 K73 K76 K77 K78 K79 K81 K82 K83 K84 K85 K86 K88 K89 K90 K91 K93 K94 K95 K96 K98 K99 K100 K102 K103 K104 K105 K107 K108 K109 K110 K115 K116 K117 K118 K120 K121 K122 K123 K125 K126 K127 K129 K130 K131 K133 K134 K135 K136 K138 K139 K140 K141 K144 K145 K146 K147 K149 K150 K151 K153 K154 K155 K156 K158 K159 K160 K162 K163 K164 K165 K167 K168 K169 K171 K172 K173 K174 K176 K177 K178 K179 K182 K183 K184 K185 K187 K188 K189 K190 K191 K192 K194 K195 K196 K197 K199 K200 K201 K202 K204 K205 K206 K208 K209 K210 K211 K213 K214 K215 K216 K221 K222 K223 K224 K226 K227 K228 K229 K231 K232 K233 K235 K236 K237 K239 K240 K241 K242 K244 K245 K246 K247 K250 K251 K252 K253 K255 K256 K257 K259 K260 K261 K262 K264 K265 K266 K268 K269 K270 K272 K273 K274 K276 K277 K278 K279 K281 K282 K283 K284 K287 K288 K289 K290 K292 K293 K294 K295 K297 K298 K299 K301 K302 K303 K305 K306 K307 K309 K310 K311 K312 K314 K315 K316 K317 K322 K323 K325 K326 K328 K329 K331 K332 K334 K335 K337 K338 K341 K342 K344 K345 K347 K348 K350 K351 K353 K354 K356 K357 K359 K360 K362 K363 K366 K367 K369 K370 K372 K373 K375 K376 K378 K379 K381 K382 K384 K385" showDropDown="0" showInputMessage="0" showErrorMessage="0" allowBlank="1" type="list">
      <formula1>"6,6.5,7,7.5,8,8.5,9,9.5,10"</formula1>
    </dataValidation>
  </dataValidations>
  <hyperlinks>
    <hyperlink ref="A2" location="'Month 06'!A1" display="&lt; Month 06"/>
    <hyperlink ref="C2" location="'Start Here'!A1" display="Start Here"/>
    <hyperlink ref="E2" location="'Month 08'!A1" display="Month 08 &gt;"/>
    <hyperlink ref="L3" location="'Body'!A1" display="How to test"/>
  </hyperlinks>
  <pageMargins left="0.75" right="0.75" top="1" bottom="1" header="0.5" footer="0.5"/>
  <pageSetup orientation="landscape" fitToHeight="0" fitToWidth="1"/>
</worksheet>
</file>

<file path=xl/worksheets/sheet10.xml><?xml version="1.0" encoding="utf-8"?>
<worksheet xmlns="http://schemas.openxmlformats.org/spreadsheetml/2006/main">
  <sheetPr>
    <tabColor rgb="00E6E2DA"/>
    <outlinePr summaryBelow="1" summaryRight="1"/>
    <pageSetUpPr fitToPage="1"/>
  </sheetPr>
  <dimension ref="A1:O36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26" customWidth="1" min="3" max="3"/>
    <col width="10" customWidth="1" min="4" max="4"/>
    <col width="7" customWidth="1" min="5" max="5"/>
    <col width="6" customWidth="1" min="6" max="6"/>
    <col width="9" customWidth="1" min="7" max="7"/>
    <col width="9" customWidth="1" min="8" max="8"/>
    <col width="12" customWidth="1" min="9" max="9"/>
    <col width="8" customWidth="1" min="10" max="10"/>
    <col width="6" customWidth="1" min="11" max="11"/>
    <col width="6" customWidth="1" min="12" max="12"/>
    <col width="9" customWidth="1" min="13" max="13"/>
    <col width="5" customWidth="1" min="14" max="14"/>
    <col width="60" customWidth="1" min="15" max="15"/>
  </cols>
  <sheetData>
    <row r="1">
      <c r="A1" s="25" t="inlineStr">
        <is>
          <t>MONTH 08  -  weeks 29-32  -  Cycle 3</t>
        </is>
      </c>
    </row>
    <row r="2">
      <c r="A2" s="26" t="inlineStr">
        <is>
          <t>&lt; Month 07</t>
        </is>
      </c>
      <c r="C2" s="26" t="inlineStr">
        <is>
          <t>Start Here</t>
        </is>
      </c>
      <c r="E2" s="26" t="inlineStr">
        <is>
          <t>Month 09 &gt;</t>
        </is>
      </c>
    </row>
    <row r="3">
      <c r="A3" s="41" t="inlineStr">
        <is>
          <t>BODY FAT (once this month)</t>
        </is>
      </c>
      <c r="C3" s="44" t="inlineStr">
        <is>
          <t>Date</t>
        </is>
      </c>
      <c r="D3" s="12" t="n"/>
      <c r="E3" s="44" t="inlineStr">
        <is>
          <t>Body fat %</t>
        </is>
      </c>
      <c r="F3" s="7" t="n"/>
      <c r="G3" s="44" t="inlineStr">
        <is>
          <t>Method</t>
        </is>
      </c>
      <c r="H3" s="7" t="n"/>
      <c r="I3" s="44" t="inlineStr">
        <is>
          <t>Weight at test</t>
        </is>
      </c>
      <c r="J3" s="7" t="n"/>
      <c r="L3" s="26" t="inlineStr">
        <is>
          <t>How to test</t>
        </is>
      </c>
    </row>
    <row r="4">
      <c r="A4" s="27" t="inlineStr">
        <is>
          <t>Every set is filled in with the plan. Change what was different, mark Done. Enter bodyweight once per week on the purple week rows.</t>
        </is>
      </c>
    </row>
    <row r="5">
      <c r="A5" s="8" t="inlineStr">
        <is>
          <t>Day</t>
        </is>
      </c>
      <c r="B5" s="8" t="inlineStr">
        <is>
          <t>Date</t>
        </is>
      </c>
      <c r="C5" s="8" t="inlineStr">
        <is>
          <t>Exercise / set</t>
        </is>
      </c>
      <c r="D5" s="8" t="inlineStr">
        <is>
          <t>Scheme</t>
        </is>
      </c>
      <c r="E5" s="8" t="inlineStr">
        <is>
          <t>Target reps</t>
        </is>
      </c>
      <c r="F5" s="8" t="inlineStr">
        <is>
          <t>% TM</t>
        </is>
      </c>
      <c r="G5" s="8" t="inlineStr">
        <is>
          <t>Training max</t>
        </is>
      </c>
      <c r="H5" s="8" t="inlineStr">
        <is>
          <t>Target</t>
        </is>
      </c>
      <c r="I5" s="8" t="inlineStr">
        <is>
          <t>Actual weight / height</t>
        </is>
      </c>
      <c r="J5" s="8" t="inlineStr">
        <is>
          <t>Actual reps</t>
        </is>
      </c>
      <c r="K5" s="8" t="inlineStr">
        <is>
          <t>RPE</t>
        </is>
      </c>
      <c r="L5" s="8" t="inlineStr">
        <is>
          <t>Done</t>
        </is>
      </c>
      <c r="M5" s="8" t="inlineStr">
        <is>
          <t>Est. 1RM</t>
        </is>
      </c>
      <c r="N5" s="8" t="inlineStr">
        <is>
          <t>PR</t>
        </is>
      </c>
      <c r="O5" s="8" t="inlineStr">
        <is>
          <t>Notes / guidance</t>
        </is>
      </c>
    </row>
    <row r="6">
      <c r="A6" s="51" t="inlineStr">
        <is>
          <t>WEEK 29 - CYCLE 3 - TRANSMUTATION</t>
        </is>
      </c>
      <c r="B6" s="52" t="n"/>
      <c r="C6" s="52" t="n"/>
      <c r="D6" s="52" t="n"/>
      <c r="E6" s="52" t="n"/>
      <c r="F6" s="52" t="n"/>
      <c r="G6" s="52" t="n"/>
      <c r="H6" s="53" t="inlineStr">
        <is>
          <t>Bodyweight:</t>
        </is>
      </c>
      <c r="I6" s="7" t="n"/>
      <c r="J6" s="52" t="n"/>
      <c r="K6" s="52" t="n"/>
      <c r="L6" s="52" t="n"/>
      <c r="M6" s="52" t="n"/>
      <c r="N6" s="52" t="n"/>
      <c r="O6" s="52" t="n"/>
    </row>
    <row r="7">
      <c r="A7" s="31" t="inlineStr">
        <is>
          <t>Day 1 - Heavy</t>
        </is>
      </c>
      <c r="B7" s="32">
        <f>'Start Here'!$B$8+196</f>
        <v/>
      </c>
      <c r="C7" s="33" t="n"/>
      <c r="D7" s="33" t="n"/>
      <c r="E7" s="33" t="n"/>
      <c r="F7" s="33" t="n"/>
      <c r="G7" s="33" t="n"/>
      <c r="H7" s="33" t="n"/>
      <c r="I7" s="33" t="n"/>
      <c r="J7" s="33" t="n"/>
      <c r="K7" s="33" t="n"/>
      <c r="L7" s="33" t="n"/>
      <c r="M7" s="33" t="n"/>
      <c r="N7" s="33" t="n"/>
      <c r="O7" s="33" t="n"/>
    </row>
    <row r="8">
      <c r="A8" s="34" t="n"/>
      <c r="B8" s="34" t="n"/>
      <c r="C8" s="35" t="inlineStr">
        <is>
          <t>Box Jump</t>
        </is>
      </c>
      <c r="D8" s="34" t="inlineStr">
        <is>
          <t>4 x 3</t>
        </is>
      </c>
      <c r="E8" s="34" t="n"/>
      <c r="F8" s="34" t="n"/>
      <c r="G8" s="36" t="n"/>
      <c r="H8" s="37">
        <f>IF(N(Maxes!G69)&gt;0,Maxes!G69,'Start Here'!$G$16)</f>
        <v/>
      </c>
      <c r="I8" s="34" t="n"/>
      <c r="J8" s="34" t="n"/>
      <c r="K8" s="34" t="n"/>
      <c r="L8" s="34" t="n"/>
      <c r="M8" s="34" t="n"/>
      <c r="N8" s="34" t="n"/>
      <c r="O8" s="38" t="inlineStr">
        <is>
          <t>Two-foot jump onto a box, land soft in a quarter squat, STEP down. Log the box height (floor to top of box).</t>
        </is>
      </c>
    </row>
    <row r="9">
      <c r="C9" t="inlineStr">
        <is>
          <t xml:space="preserve">      Set 1</t>
        </is>
      </c>
      <c r="E9" t="n">
        <v>3</v>
      </c>
      <c r="H9" s="39">
        <f>IF(H8="","",H8)</f>
        <v/>
      </c>
      <c r="I9" s="7">
        <f>IF(H8="","",H8)</f>
        <v/>
      </c>
      <c r="J9" s="7" t="n">
        <v>3</v>
      </c>
      <c r="K9" s="7" t="n"/>
      <c r="L9" s="40" t="n"/>
      <c r="N9" s="41">
        <f>IF(AND(L9&lt;&gt;"",N(I9)&gt;0),IF(I9&gt;=PRs!D69,"PR!",""),"")</f>
        <v/>
      </c>
      <c r="O9" s="7" t="n"/>
    </row>
    <row r="10">
      <c r="C10" t="inlineStr">
        <is>
          <t xml:space="preserve">      Set 2</t>
        </is>
      </c>
      <c r="E10" t="n">
        <v>3</v>
      </c>
      <c r="H10" s="39">
        <f>IF(H8="","",H8)</f>
        <v/>
      </c>
      <c r="I10" s="7">
        <f>IF(H8="","",H8)</f>
        <v/>
      </c>
      <c r="J10" s="7" t="n">
        <v>3</v>
      </c>
      <c r="K10" s="7" t="n"/>
      <c r="L10" s="40" t="n"/>
      <c r="N10" s="41">
        <f>IF(AND(L10&lt;&gt;"",N(I10)&gt;0),IF(I10&gt;=PRs!D69,"PR!",""),"")</f>
        <v/>
      </c>
      <c r="O10" s="7" t="n"/>
    </row>
    <row r="11">
      <c r="C11" t="inlineStr">
        <is>
          <t xml:space="preserve">      Set 3</t>
        </is>
      </c>
      <c r="E11" t="n">
        <v>3</v>
      </c>
      <c r="H11" s="39">
        <f>IF(H8="","",H8)</f>
        <v/>
      </c>
      <c r="I11" s="7">
        <f>IF(H8="","",H8)</f>
        <v/>
      </c>
      <c r="J11" s="7" t="n">
        <v>3</v>
      </c>
      <c r="K11" s="7" t="n"/>
      <c r="L11" s="40" t="n"/>
      <c r="N11" s="41">
        <f>IF(AND(L11&lt;&gt;"",N(I11)&gt;0),IF(I11&gt;=PRs!D69,"PR!",""),"")</f>
        <v/>
      </c>
      <c r="O11" s="7" t="n"/>
    </row>
    <row r="12">
      <c r="C12" t="inlineStr">
        <is>
          <t xml:space="preserve">      Set 4</t>
        </is>
      </c>
      <c r="E12" t="n">
        <v>3</v>
      </c>
      <c r="H12" s="39">
        <f>IF(H8="","",H8)</f>
        <v/>
      </c>
      <c r="I12" s="7">
        <f>IF(H8="","",H8)</f>
        <v/>
      </c>
      <c r="J12" s="7" t="n">
        <v>3</v>
      </c>
      <c r="K12" s="7" t="n"/>
      <c r="L12" s="40" t="n"/>
      <c r="N12" s="41">
        <f>IF(AND(L12&lt;&gt;"",N(I12)&gt;0),IF(I12&gt;=PRs!D69,"PR!",""),"")</f>
        <v/>
      </c>
      <c r="O12" s="7" t="n"/>
    </row>
    <row r="13">
      <c r="A13" s="34" t="n"/>
      <c r="B13" s="34" t="n"/>
      <c r="C13" s="42" t="inlineStr">
        <is>
          <t>Snatch</t>
        </is>
      </c>
      <c r="D13" s="34" t="inlineStr">
        <is>
          <t>4 x 3</t>
        </is>
      </c>
      <c r="E13" s="34" t="n"/>
      <c r="F13" s="34" t="n">
        <v>77.5</v>
      </c>
      <c r="G13" s="36">
        <f>Maxes!G6</f>
        <v/>
      </c>
      <c r="H13" s="37">
        <f>IF(OR(G13="",F13=""),"",MROUND(G13*F13/100,'Start Here'!$B$7))</f>
        <v/>
      </c>
      <c r="I13" s="34" t="n"/>
      <c r="J13" s="34" t="n"/>
      <c r="K13" s="34" t="n"/>
      <c r="L13" s="34" t="n"/>
      <c r="M13" s="34" t="n"/>
      <c r="N13" s="34" t="n"/>
      <c r="O13" s="38" t="inlineStr"/>
    </row>
    <row r="14">
      <c r="C14" t="inlineStr">
        <is>
          <t xml:space="preserve">      Set 1</t>
        </is>
      </c>
      <c r="E14" t="n">
        <v>3</v>
      </c>
      <c r="H14" s="39">
        <f>IF(H13="","",H13)</f>
        <v/>
      </c>
      <c r="I14" s="7">
        <f>IF(H13="","",H13)</f>
        <v/>
      </c>
      <c r="J14" s="7" t="n">
        <v>3</v>
      </c>
      <c r="K14" s="7" t="n"/>
      <c r="L14" s="40" t="n"/>
      <c r="M14">
        <f>IF(AND(L14&lt;&gt;"",N(I14)&gt;0,N(J14)&gt;0),IF(J14=1,I14,ROUND(I14*(1+J14/30),1)),"")</f>
        <v/>
      </c>
      <c r="N14" s="41">
        <f>IF(M14="","",IF(M14&gt;=PRs!C6,"PR!",""))</f>
        <v/>
      </c>
      <c r="O14" s="7" t="n"/>
    </row>
    <row r="15">
      <c r="C15" t="inlineStr">
        <is>
          <t xml:space="preserve">      Set 2</t>
        </is>
      </c>
      <c r="E15" t="n">
        <v>3</v>
      </c>
      <c r="H15" s="39">
        <f>IF(H13="","",H13)</f>
        <v/>
      </c>
      <c r="I15" s="7">
        <f>IF(H13="","",H13)</f>
        <v/>
      </c>
      <c r="J15" s="7" t="n">
        <v>3</v>
      </c>
      <c r="K15" s="7" t="n"/>
      <c r="L15" s="40" t="n"/>
      <c r="M15">
        <f>IF(AND(L15&lt;&gt;"",N(I15)&gt;0,N(J15)&gt;0),IF(J15=1,I15,ROUND(I15*(1+J15/30),1)),"")</f>
        <v/>
      </c>
      <c r="N15" s="41">
        <f>IF(M15="","",IF(M15&gt;=PRs!C6,"PR!",""))</f>
        <v/>
      </c>
      <c r="O15" s="7" t="n"/>
    </row>
    <row r="16">
      <c r="C16" t="inlineStr">
        <is>
          <t xml:space="preserve">      Set 3</t>
        </is>
      </c>
      <c r="E16" t="n">
        <v>3</v>
      </c>
      <c r="H16" s="39">
        <f>IF(H13="","",H13)</f>
        <v/>
      </c>
      <c r="I16" s="7">
        <f>IF(H13="","",H13)</f>
        <v/>
      </c>
      <c r="J16" s="7" t="n">
        <v>3</v>
      </c>
      <c r="K16" s="7" t="n"/>
      <c r="L16" s="40" t="n"/>
      <c r="M16">
        <f>IF(AND(L16&lt;&gt;"",N(I16)&gt;0,N(J16)&gt;0),IF(J16=1,I16,ROUND(I16*(1+J16/30),1)),"")</f>
        <v/>
      </c>
      <c r="N16" s="41">
        <f>IF(M16="","",IF(M16&gt;=PRs!C6,"PR!",""))</f>
        <v/>
      </c>
      <c r="O16" s="7" t="n"/>
    </row>
    <row r="17">
      <c r="C17" t="inlineStr">
        <is>
          <t xml:space="preserve">      Set 4</t>
        </is>
      </c>
      <c r="E17" t="n">
        <v>3</v>
      </c>
      <c r="H17" s="39">
        <f>IF(H13="","",H13)</f>
        <v/>
      </c>
      <c r="I17" s="7">
        <f>IF(H13="","",H13)</f>
        <v/>
      </c>
      <c r="J17" s="7" t="n">
        <v>3</v>
      </c>
      <c r="K17" s="7" t="n"/>
      <c r="L17" s="40" t="n"/>
      <c r="M17">
        <f>IF(AND(L17&lt;&gt;"",N(I17)&gt;0,N(J17)&gt;0),IF(J17=1,I17,ROUND(I17*(1+J17/30),1)),"")</f>
        <v/>
      </c>
      <c r="N17" s="41">
        <f>IF(M17="","",IF(M17&gt;=PRs!C6,"PR!",""))</f>
        <v/>
      </c>
      <c r="O17" s="7" t="n"/>
    </row>
    <row r="18">
      <c r="A18" s="34" t="n"/>
      <c r="B18" s="34" t="n"/>
      <c r="C18" s="42" t="inlineStr">
        <is>
          <t>Squat</t>
        </is>
      </c>
      <c r="D18" s="34" t="inlineStr">
        <is>
          <t>3 x 6</t>
        </is>
      </c>
      <c r="E18" s="34" t="n"/>
      <c r="F18" s="34" t="n">
        <v>77.5</v>
      </c>
      <c r="G18" s="36">
        <f>Maxes!G2</f>
        <v/>
      </c>
      <c r="H18" s="37">
        <f>IF(OR(G18="",F18=""),"",MROUND(G18*F18/100,'Start Here'!$B$7))</f>
        <v/>
      </c>
      <c r="I18" s="34" t="n"/>
      <c r="J18" s="34" t="n"/>
      <c r="K18" s="34" t="n"/>
      <c r="L18" s="34" t="n"/>
      <c r="M18" s="34" t="n"/>
      <c r="N18" s="34" t="n"/>
      <c r="O18" s="38" t="inlineStr"/>
    </row>
    <row r="19">
      <c r="C19" t="inlineStr">
        <is>
          <t xml:space="preserve">      Set 1</t>
        </is>
      </c>
      <c r="E19" t="n">
        <v>6</v>
      </c>
      <c r="H19" s="39">
        <f>IF(H18="","",H18)</f>
        <v/>
      </c>
      <c r="I19" s="7">
        <f>IF(H18="","",H18)</f>
        <v/>
      </c>
      <c r="J19" s="7" t="n">
        <v>6</v>
      </c>
      <c r="K19" s="7" t="n"/>
      <c r="L19" s="40" t="n"/>
      <c r="M19">
        <f>IF(AND(L19&lt;&gt;"",N(I19)&gt;0,N(J19)&gt;0),IF(J19=1,I19,ROUND(I19*(1+J19/30),1)),"")</f>
        <v/>
      </c>
      <c r="N19" s="41">
        <f>IF(M19="","",IF(M19&gt;=PRs!C2,"PR!",""))</f>
        <v/>
      </c>
      <c r="O19" s="7" t="n"/>
    </row>
    <row r="20">
      <c r="C20" t="inlineStr">
        <is>
          <t xml:space="preserve">      Set 2</t>
        </is>
      </c>
      <c r="E20" t="n">
        <v>6</v>
      </c>
      <c r="H20" s="39">
        <f>IF(H18="","",H18)</f>
        <v/>
      </c>
      <c r="I20" s="7">
        <f>IF(H18="","",H18)</f>
        <v/>
      </c>
      <c r="J20" s="7" t="n">
        <v>6</v>
      </c>
      <c r="K20" s="7" t="n"/>
      <c r="L20" s="40" t="n"/>
      <c r="M20">
        <f>IF(AND(L20&lt;&gt;"",N(I20)&gt;0,N(J20)&gt;0),IF(J20=1,I20,ROUND(I20*(1+J20/30),1)),"")</f>
        <v/>
      </c>
      <c r="N20" s="41">
        <f>IF(M20="","",IF(M20&gt;=PRs!C2,"PR!",""))</f>
        <v/>
      </c>
      <c r="O20" s="7" t="n"/>
    </row>
    <row r="21">
      <c r="C21" t="inlineStr">
        <is>
          <t xml:space="preserve">      Set 3</t>
        </is>
      </c>
      <c r="E21" t="n">
        <v>6</v>
      </c>
      <c r="H21" s="39">
        <f>IF(H18="","",H18)</f>
        <v/>
      </c>
      <c r="I21" s="7">
        <f>IF(H18="","",H18)</f>
        <v/>
      </c>
      <c r="J21" s="7" t="n">
        <v>6</v>
      </c>
      <c r="K21" s="7" t="n"/>
      <c r="L21" s="40" t="n"/>
      <c r="M21">
        <f>IF(AND(L21&lt;&gt;"",N(I21)&gt;0,N(J21)&gt;0),IF(J21=1,I21,ROUND(I21*(1+J21/30),1)),"")</f>
        <v/>
      </c>
      <c r="N21" s="41">
        <f>IF(M21="","",IF(M21&gt;=PRs!C2,"PR!",""))</f>
        <v/>
      </c>
      <c r="O21" s="7" t="n"/>
    </row>
    <row r="22">
      <c r="A22" s="34" t="n"/>
      <c r="B22" s="34" t="n"/>
      <c r="C22" s="42" t="inlineStr">
        <is>
          <t>Bench Press</t>
        </is>
      </c>
      <c r="D22" s="34" t="inlineStr">
        <is>
          <t>3 x 6</t>
        </is>
      </c>
      <c r="E22" s="34" t="n"/>
      <c r="F22" s="34" t="n">
        <v>77.5</v>
      </c>
      <c r="G22" s="36">
        <f>Maxes!G3</f>
        <v/>
      </c>
      <c r="H22" s="37">
        <f>IF(OR(G22="",F22=""),"",MROUND(G22*F22/100,'Start Here'!$B$7))</f>
        <v/>
      </c>
      <c r="I22" s="34" t="n"/>
      <c r="J22" s="34" t="n"/>
      <c r="K22" s="34" t="n"/>
      <c r="L22" s="34" t="n"/>
      <c r="M22" s="34" t="n"/>
      <c r="N22" s="34" t="n"/>
      <c r="O22" s="38" t="inlineStr"/>
    </row>
    <row r="23">
      <c r="C23" t="inlineStr">
        <is>
          <t xml:space="preserve">      Set 1</t>
        </is>
      </c>
      <c r="E23" t="n">
        <v>6</v>
      </c>
      <c r="H23" s="39">
        <f>IF(H22="","",H22)</f>
        <v/>
      </c>
      <c r="I23" s="7">
        <f>IF(H22="","",H22)</f>
        <v/>
      </c>
      <c r="J23" s="7" t="n">
        <v>6</v>
      </c>
      <c r="K23" s="7" t="n"/>
      <c r="L23" s="40" t="n"/>
      <c r="M23">
        <f>IF(AND(L23&lt;&gt;"",N(I23)&gt;0,N(J23)&gt;0),IF(J23=1,I23,ROUND(I23*(1+J23/30),1)),"")</f>
        <v/>
      </c>
      <c r="N23" s="41">
        <f>IF(M23="","",IF(M23&gt;=PRs!C3,"PR!",""))</f>
        <v/>
      </c>
      <c r="O23" s="7" t="n"/>
    </row>
    <row r="24">
      <c r="C24" t="inlineStr">
        <is>
          <t xml:space="preserve">      Set 2</t>
        </is>
      </c>
      <c r="E24" t="n">
        <v>6</v>
      </c>
      <c r="H24" s="39">
        <f>IF(H22="","",H22)</f>
        <v/>
      </c>
      <c r="I24" s="7">
        <f>IF(H22="","",H22)</f>
        <v/>
      </c>
      <c r="J24" s="7" t="n">
        <v>6</v>
      </c>
      <c r="K24" s="7" t="n"/>
      <c r="L24" s="40" t="n"/>
      <c r="M24">
        <f>IF(AND(L24&lt;&gt;"",N(I24)&gt;0,N(J24)&gt;0),IF(J24=1,I24,ROUND(I24*(1+J24/30),1)),"")</f>
        <v/>
      </c>
      <c r="N24" s="41">
        <f>IF(M24="","",IF(M24&gt;=PRs!C3,"PR!",""))</f>
        <v/>
      </c>
      <c r="O24" s="7" t="n"/>
    </row>
    <row r="25">
      <c r="C25" t="inlineStr">
        <is>
          <t xml:space="preserve">      Set 3</t>
        </is>
      </c>
      <c r="E25" t="n">
        <v>6</v>
      </c>
      <c r="H25" s="39">
        <f>IF(H22="","",H22)</f>
        <v/>
      </c>
      <c r="I25" s="7">
        <f>IF(H22="","",H22)</f>
        <v/>
      </c>
      <c r="J25" s="7" t="n">
        <v>6</v>
      </c>
      <c r="K25" s="7" t="n"/>
      <c r="L25" s="40" t="n"/>
      <c r="M25">
        <f>IF(AND(L25&lt;&gt;"",N(I25)&gt;0,N(J25)&gt;0),IF(J25=1,I25,ROUND(I25*(1+J25/30),1)),"")</f>
        <v/>
      </c>
      <c r="N25" s="41">
        <f>IF(M25="","",IF(M25&gt;=PRs!C3,"PR!",""))</f>
        <v/>
      </c>
      <c r="O25" s="7" t="n"/>
    </row>
    <row r="26">
      <c r="A26" s="34" t="n"/>
      <c r="B26" s="34" t="n"/>
      <c r="C26" s="43" t="inlineStr">
        <is>
          <t>Barbell Row</t>
        </is>
      </c>
      <c r="D26" s="34" t="inlineStr">
        <is>
          <t>3 x 8-10</t>
        </is>
      </c>
      <c r="E26" s="34" t="n"/>
      <c r="F26" s="34" t="n"/>
      <c r="G26" s="36" t="n"/>
      <c r="H26" s="37" t="n"/>
      <c r="I26" s="34" t="n"/>
      <c r="J26" s="34" t="n"/>
      <c r="K26" s="34" t="n"/>
      <c r="L26" s="34" t="n"/>
      <c r="M26" s="34" t="n"/>
      <c r="N26" s="34" t="n"/>
      <c r="O26" s="38" t="inlineStr">
        <is>
          <t>Leave 1-2 reps in the tank; add weight when you hit the top of the range</t>
        </is>
      </c>
    </row>
    <row r="27">
      <c r="C27" t="inlineStr">
        <is>
          <t xml:space="preserve">      Set 1</t>
        </is>
      </c>
      <c r="E27" t="n">
        <v>8</v>
      </c>
      <c r="H27" s="39">
        <f>IF(H26="","",H26)</f>
        <v/>
      </c>
      <c r="I27" s="7">
        <f>IF(H26="","",H26)</f>
        <v/>
      </c>
      <c r="J27" s="7" t="n">
        <v>8</v>
      </c>
      <c r="K27" s="7" t="n"/>
      <c r="L27" s="40" t="n"/>
      <c r="M27">
        <f>IF(AND(L27&lt;&gt;"",N(I27)&gt;0,N(J27)&gt;0),IF(J27=1,I27,ROUND(I27*(1+J27/30),1)),"")</f>
        <v/>
      </c>
      <c r="N27" s="41">
        <f>IF(M27="","",IF(M27&gt;=PRs!C50,"PR!",""))</f>
        <v/>
      </c>
      <c r="O27" s="7" t="n"/>
    </row>
    <row r="28">
      <c r="C28" t="inlineStr">
        <is>
          <t xml:space="preserve">      Set 2</t>
        </is>
      </c>
      <c r="E28" t="n">
        <v>8</v>
      </c>
      <c r="H28" s="39">
        <f>IF(H26="","",H26)</f>
        <v/>
      </c>
      <c r="I28" s="7">
        <f>IF(H26="","",H26)</f>
        <v/>
      </c>
      <c r="J28" s="7" t="n">
        <v>8</v>
      </c>
      <c r="K28" s="7" t="n"/>
      <c r="L28" s="40" t="n"/>
      <c r="M28">
        <f>IF(AND(L28&lt;&gt;"",N(I28)&gt;0,N(J28)&gt;0),IF(J28=1,I28,ROUND(I28*(1+J28/30),1)),"")</f>
        <v/>
      </c>
      <c r="N28" s="41">
        <f>IF(M28="","",IF(M28&gt;=PRs!C50,"PR!",""))</f>
        <v/>
      </c>
      <c r="O28" s="7" t="n"/>
    </row>
    <row r="29">
      <c r="C29" t="inlineStr">
        <is>
          <t xml:space="preserve">      Set 3</t>
        </is>
      </c>
      <c r="E29" t="n">
        <v>8</v>
      </c>
      <c r="H29" s="39">
        <f>IF(H26="","",H26)</f>
        <v/>
      </c>
      <c r="I29" s="7">
        <f>IF(H26="","",H26)</f>
        <v/>
      </c>
      <c r="J29" s="7" t="n">
        <v>8</v>
      </c>
      <c r="K29" s="7" t="n"/>
      <c r="L29" s="40" t="n"/>
      <c r="M29">
        <f>IF(AND(L29&lt;&gt;"",N(I29)&gt;0,N(J29)&gt;0),IF(J29=1,I29,ROUND(I29*(1+J29/30),1)),"")</f>
        <v/>
      </c>
      <c r="N29" s="41">
        <f>IF(M29="","",IF(M29&gt;=PRs!C50,"PR!",""))</f>
        <v/>
      </c>
      <c r="O29" s="7" t="n"/>
    </row>
    <row r="30">
      <c r="A30" s="34" t="n"/>
      <c r="B30" s="34" t="n"/>
      <c r="C30" s="43" t="inlineStr">
        <is>
          <t>Face Pull</t>
        </is>
      </c>
      <c r="D30" s="34" t="inlineStr">
        <is>
          <t>3 x 12-15</t>
        </is>
      </c>
      <c r="E30" s="34" t="n"/>
      <c r="F30" s="34" t="n"/>
      <c r="G30" s="36" t="n"/>
      <c r="H30" s="37" t="n"/>
      <c r="I30" s="34" t="n"/>
      <c r="J30" s="34" t="n"/>
      <c r="K30" s="34" t="n"/>
      <c r="L30" s="34" t="n"/>
      <c r="M30" s="34" t="n"/>
      <c r="N30" s="34" t="n"/>
      <c r="O30" s="38" t="inlineStr">
        <is>
          <t>Leave 1-2 reps in the tank; add weight when you hit the top of the range</t>
        </is>
      </c>
    </row>
    <row r="31">
      <c r="C31" t="inlineStr">
        <is>
          <t xml:space="preserve">      Set 1</t>
        </is>
      </c>
      <c r="E31" t="n">
        <v>12</v>
      </c>
      <c r="H31" s="39">
        <f>IF(H30="","",H30)</f>
        <v/>
      </c>
      <c r="I31" s="7">
        <f>IF(H30="","",H30)</f>
        <v/>
      </c>
      <c r="J31" s="7" t="n">
        <v>12</v>
      </c>
      <c r="K31" s="7" t="n"/>
      <c r="L31" s="40" t="n"/>
      <c r="M31">
        <f>IF(AND(L31&lt;&gt;"",N(I31)&gt;0,N(J31)&gt;0),IF(J31=1,I31,ROUND(I31*(1+J31/30),1)),"")</f>
        <v/>
      </c>
      <c r="N31" s="41">
        <f>IF(M31="","",IF(M31&gt;=PRs!C51,"PR!",""))</f>
        <v/>
      </c>
      <c r="O31" s="7" t="n"/>
    </row>
    <row r="32">
      <c r="C32" t="inlineStr">
        <is>
          <t xml:space="preserve">      Set 2</t>
        </is>
      </c>
      <c r="E32" t="n">
        <v>12</v>
      </c>
      <c r="H32" s="39">
        <f>IF(H30="","",H30)</f>
        <v/>
      </c>
      <c r="I32" s="7">
        <f>IF(H30="","",H30)</f>
        <v/>
      </c>
      <c r="J32" s="7" t="n">
        <v>12</v>
      </c>
      <c r="K32" s="7" t="n"/>
      <c r="L32" s="40" t="n"/>
      <c r="M32">
        <f>IF(AND(L32&lt;&gt;"",N(I32)&gt;0,N(J32)&gt;0),IF(J32=1,I32,ROUND(I32*(1+J32/30),1)),"")</f>
        <v/>
      </c>
      <c r="N32" s="41">
        <f>IF(M32="","",IF(M32&gt;=PRs!C51,"PR!",""))</f>
        <v/>
      </c>
      <c r="O32" s="7" t="n"/>
    </row>
    <row r="33">
      <c r="C33" t="inlineStr">
        <is>
          <t xml:space="preserve">      Set 3</t>
        </is>
      </c>
      <c r="E33" t="n">
        <v>12</v>
      </c>
      <c r="H33" s="39">
        <f>IF(H30="","",H30)</f>
        <v/>
      </c>
      <c r="I33" s="7">
        <f>IF(H30="","",H30)</f>
        <v/>
      </c>
      <c r="J33" s="7" t="n">
        <v>12</v>
      </c>
      <c r="K33" s="7" t="n"/>
      <c r="L33" s="40" t="n"/>
      <c r="M33">
        <f>IF(AND(L33&lt;&gt;"",N(I33)&gt;0,N(J33)&gt;0),IF(J33=1,I33,ROUND(I33*(1+J33/30),1)),"")</f>
        <v/>
      </c>
      <c r="N33" s="41">
        <f>IF(M33="","",IF(M33&gt;=PRs!C51,"PR!",""))</f>
        <v/>
      </c>
      <c r="O33" s="7" t="n"/>
    </row>
    <row r="34">
      <c r="A34" s="31" t="inlineStr">
        <is>
          <t>Day 2 - Light</t>
        </is>
      </c>
      <c r="B34" s="32">
        <f>'Start Here'!$B$8+198</f>
        <v/>
      </c>
      <c r="C34" s="33" t="n"/>
      <c r="D34" s="33" t="n"/>
      <c r="E34" s="33" t="n"/>
      <c r="F34" s="33" t="n"/>
      <c r="G34" s="33" t="n"/>
      <c r="H34" s="33" t="n"/>
      <c r="I34" s="33" t="n"/>
      <c r="J34" s="33" t="n"/>
      <c r="K34" s="33" t="n"/>
      <c r="L34" s="33" t="n"/>
      <c r="M34" s="33" t="n"/>
      <c r="N34" s="33" t="n"/>
      <c r="O34" s="33" t="n"/>
    </row>
    <row r="35">
      <c r="A35" s="34" t="n"/>
      <c r="B35" s="34" t="n"/>
      <c r="C35" s="35" t="inlineStr">
        <is>
          <t>Broad Jump</t>
        </is>
      </c>
      <c r="D35" s="34" t="inlineStr">
        <is>
          <t>4 x 3</t>
        </is>
      </c>
      <c r="E35" s="34" t="n"/>
      <c r="F35" s="34" t="n"/>
      <c r="G35" s="36" t="n"/>
      <c r="H35" s="37">
        <f>IF(N(Maxes!G70)&gt;0,Maxes!G70,"")</f>
        <v/>
      </c>
      <c r="I35" s="34" t="n"/>
      <c r="J35" s="34" t="n"/>
      <c r="K35" s="34" t="n"/>
      <c r="L35" s="34" t="n"/>
      <c r="M35" s="34" t="n"/>
      <c r="N35" s="34" t="n"/>
      <c r="O35" s="38" t="inlineStr">
        <is>
          <t>Standing two-foot jump forward, stick the landing. Measure toe line to the back of the nearest heel.</t>
        </is>
      </c>
    </row>
    <row r="36">
      <c r="C36" t="inlineStr">
        <is>
          <t xml:space="preserve">      Set 1</t>
        </is>
      </c>
      <c r="E36" t="n">
        <v>3</v>
      </c>
      <c r="H36" s="39">
        <f>IF(H35="","",H35)</f>
        <v/>
      </c>
      <c r="I36" s="7">
        <f>IF(H35="","",H35)</f>
        <v/>
      </c>
      <c r="J36" s="7" t="n">
        <v>3</v>
      </c>
      <c r="K36" s="7" t="n"/>
      <c r="L36" s="40" t="n"/>
      <c r="N36" s="41">
        <f>IF(AND(L36&lt;&gt;"",N(I36)&gt;0),IF(I36&gt;=PRs!D70,"PR!",""),"")</f>
        <v/>
      </c>
      <c r="O36" s="7" t="n"/>
    </row>
    <row r="37">
      <c r="C37" t="inlineStr">
        <is>
          <t xml:space="preserve">      Set 2</t>
        </is>
      </c>
      <c r="E37" t="n">
        <v>3</v>
      </c>
      <c r="H37" s="39">
        <f>IF(H35="","",H35)</f>
        <v/>
      </c>
      <c r="I37" s="7">
        <f>IF(H35="","",H35)</f>
        <v/>
      </c>
      <c r="J37" s="7" t="n">
        <v>3</v>
      </c>
      <c r="K37" s="7" t="n"/>
      <c r="L37" s="40" t="n"/>
      <c r="N37" s="41">
        <f>IF(AND(L37&lt;&gt;"",N(I37)&gt;0),IF(I37&gt;=PRs!D70,"PR!",""),"")</f>
        <v/>
      </c>
      <c r="O37" s="7" t="n"/>
    </row>
    <row r="38">
      <c r="C38" t="inlineStr">
        <is>
          <t xml:space="preserve">      Set 3</t>
        </is>
      </c>
      <c r="E38" t="n">
        <v>3</v>
      </c>
      <c r="H38" s="39">
        <f>IF(H35="","",H35)</f>
        <v/>
      </c>
      <c r="I38" s="7">
        <f>IF(H35="","",H35)</f>
        <v/>
      </c>
      <c r="J38" s="7" t="n">
        <v>3</v>
      </c>
      <c r="K38" s="7" t="n"/>
      <c r="L38" s="40" t="n"/>
      <c r="N38" s="41">
        <f>IF(AND(L38&lt;&gt;"",N(I38)&gt;0),IF(I38&gt;=PRs!D70,"PR!",""),"")</f>
        <v/>
      </c>
      <c r="O38" s="7" t="n"/>
    </row>
    <row r="39">
      <c r="C39" t="inlineStr">
        <is>
          <t xml:space="preserve">      Set 4</t>
        </is>
      </c>
      <c r="E39" t="n">
        <v>3</v>
      </c>
      <c r="H39" s="39">
        <f>IF(H35="","",H35)</f>
        <v/>
      </c>
      <c r="I39" s="7">
        <f>IF(H35="","",H35)</f>
        <v/>
      </c>
      <c r="J39" s="7" t="n">
        <v>3</v>
      </c>
      <c r="K39" s="7" t="n"/>
      <c r="L39" s="40" t="n"/>
      <c r="N39" s="41">
        <f>IF(AND(L39&lt;&gt;"",N(I39)&gt;0),IF(I39&gt;=PRs!D70,"PR!",""),"")</f>
        <v/>
      </c>
      <c r="O39" s="7" t="n"/>
    </row>
    <row r="40">
      <c r="A40" s="34" t="n"/>
      <c r="B40" s="34" t="n"/>
      <c r="C40" s="35" t="inlineStr">
        <is>
          <t>Med Ball Chest Pass</t>
        </is>
      </c>
      <c r="D40" s="34" t="inlineStr">
        <is>
          <t>3 x 5</t>
        </is>
      </c>
      <c r="E40" s="34" t="n"/>
      <c r="F40" s="34" t="n"/>
      <c r="G40" s="36" t="n"/>
      <c r="H40" s="37">
        <f>IF(N(Maxes!G77)&gt;0,Maxes!G77,"")</f>
        <v/>
      </c>
      <c r="I40" s="34" t="n"/>
      <c r="J40" s="34" t="n"/>
      <c r="K40" s="34" t="n"/>
      <c r="L40" s="34" t="n"/>
      <c r="M40" s="34" t="n"/>
      <c r="N40" s="34" t="n"/>
      <c r="O40" s="38" t="inlineStr">
        <is>
          <t>Kneeling or standing chest pass for distance with a 6-10 lb / 3-5 kg ball. Log the distance.</t>
        </is>
      </c>
    </row>
    <row r="41">
      <c r="C41" t="inlineStr">
        <is>
          <t xml:space="preserve">      Set 1</t>
        </is>
      </c>
      <c r="E41" t="n">
        <v>5</v>
      </c>
      <c r="H41" s="39">
        <f>IF(H40="","",H40)</f>
        <v/>
      </c>
      <c r="I41" s="7">
        <f>IF(H40="","",H40)</f>
        <v/>
      </c>
      <c r="J41" s="7" t="n">
        <v>5</v>
      </c>
      <c r="K41" s="7" t="n"/>
      <c r="L41" s="40" t="n"/>
      <c r="N41" s="41">
        <f>IF(AND(L41&lt;&gt;"",N(I41)&gt;0),IF(I41&gt;=PRs!D77,"PR!",""),"")</f>
        <v/>
      </c>
      <c r="O41" s="7" t="n"/>
    </row>
    <row r="42">
      <c r="C42" t="inlineStr">
        <is>
          <t xml:space="preserve">      Set 2</t>
        </is>
      </c>
      <c r="E42" t="n">
        <v>5</v>
      </c>
      <c r="H42" s="39">
        <f>IF(H40="","",H40)</f>
        <v/>
      </c>
      <c r="I42" s="7">
        <f>IF(H40="","",H40)</f>
        <v/>
      </c>
      <c r="J42" s="7" t="n">
        <v>5</v>
      </c>
      <c r="K42" s="7" t="n"/>
      <c r="L42" s="40" t="n"/>
      <c r="N42" s="41">
        <f>IF(AND(L42&lt;&gt;"",N(I42)&gt;0),IF(I42&gt;=PRs!D77,"PR!",""),"")</f>
        <v/>
      </c>
      <c r="O42" s="7" t="n"/>
    </row>
    <row r="43">
      <c r="C43" t="inlineStr">
        <is>
          <t xml:space="preserve">      Set 3</t>
        </is>
      </c>
      <c r="E43" t="n">
        <v>5</v>
      </c>
      <c r="H43" s="39">
        <f>IF(H40="","",H40)</f>
        <v/>
      </c>
      <c r="I43" s="7">
        <f>IF(H40="","",H40)</f>
        <v/>
      </c>
      <c r="J43" s="7" t="n">
        <v>5</v>
      </c>
      <c r="K43" s="7" t="n"/>
      <c r="L43" s="40" t="n"/>
      <c r="N43" s="41">
        <f>IF(AND(L43&lt;&gt;"",N(I43)&gt;0),IF(I43&gt;=PRs!D77,"PR!",""),"")</f>
        <v/>
      </c>
      <c r="O43" s="7" t="n"/>
    </row>
    <row r="44">
      <c r="A44" s="34" t="n"/>
      <c r="B44" s="34" t="n"/>
      <c r="C44" s="42" t="inlineStr">
        <is>
          <t>Clean &amp; Jerk</t>
        </is>
      </c>
      <c r="D44" s="34" t="inlineStr">
        <is>
          <t>4 x 3</t>
        </is>
      </c>
      <c r="E44" s="34" t="n"/>
      <c r="F44" s="34" t="n">
        <v>77.5</v>
      </c>
      <c r="G44" s="36">
        <f>Maxes!G7</f>
        <v/>
      </c>
      <c r="H44" s="37">
        <f>IF(OR(G44="",F44=""),"",MROUND(G44*F44/100,'Start Here'!$B$7))</f>
        <v/>
      </c>
      <c r="I44" s="34" t="n"/>
      <c r="J44" s="34" t="n"/>
      <c r="K44" s="34" t="n"/>
      <c r="L44" s="34" t="n"/>
      <c r="M44" s="34" t="n"/>
      <c r="N44" s="34" t="n"/>
      <c r="O44" s="38" t="inlineStr"/>
    </row>
    <row r="45">
      <c r="C45" t="inlineStr">
        <is>
          <t xml:space="preserve">      Set 1</t>
        </is>
      </c>
      <c r="E45" t="n">
        <v>3</v>
      </c>
      <c r="H45" s="39">
        <f>IF(H44="","",H44)</f>
        <v/>
      </c>
      <c r="I45" s="7">
        <f>IF(H44="","",H44)</f>
        <v/>
      </c>
      <c r="J45" s="7" t="n">
        <v>3</v>
      </c>
      <c r="K45" s="7" t="n"/>
      <c r="L45" s="40" t="n"/>
      <c r="M45">
        <f>IF(AND(L45&lt;&gt;"",N(I45)&gt;0,N(J45)&gt;0),IF(J45=1,I45,ROUND(I45*(1+J45/30),1)),"")</f>
        <v/>
      </c>
      <c r="N45" s="41">
        <f>IF(M45="","",IF(M45&gt;=PRs!C7,"PR!",""))</f>
        <v/>
      </c>
      <c r="O45" s="7" t="n"/>
    </row>
    <row r="46">
      <c r="C46" t="inlineStr">
        <is>
          <t xml:space="preserve">      Set 2</t>
        </is>
      </c>
      <c r="E46" t="n">
        <v>3</v>
      </c>
      <c r="H46" s="39">
        <f>IF(H44="","",H44)</f>
        <v/>
      </c>
      <c r="I46" s="7">
        <f>IF(H44="","",H44)</f>
        <v/>
      </c>
      <c r="J46" s="7" t="n">
        <v>3</v>
      </c>
      <c r="K46" s="7" t="n"/>
      <c r="L46" s="40" t="n"/>
      <c r="M46">
        <f>IF(AND(L46&lt;&gt;"",N(I46)&gt;0,N(J46)&gt;0),IF(J46=1,I46,ROUND(I46*(1+J46/30),1)),"")</f>
        <v/>
      </c>
      <c r="N46" s="41">
        <f>IF(M46="","",IF(M46&gt;=PRs!C7,"PR!",""))</f>
        <v/>
      </c>
      <c r="O46" s="7" t="n"/>
    </row>
    <row r="47">
      <c r="C47" t="inlineStr">
        <is>
          <t xml:space="preserve">      Set 3</t>
        </is>
      </c>
      <c r="E47" t="n">
        <v>3</v>
      </c>
      <c r="H47" s="39">
        <f>IF(H44="","",H44)</f>
        <v/>
      </c>
      <c r="I47" s="7">
        <f>IF(H44="","",H44)</f>
        <v/>
      </c>
      <c r="J47" s="7" t="n">
        <v>3</v>
      </c>
      <c r="K47" s="7" t="n"/>
      <c r="L47" s="40" t="n"/>
      <c r="M47">
        <f>IF(AND(L47&lt;&gt;"",N(I47)&gt;0,N(J47)&gt;0),IF(J47=1,I47,ROUND(I47*(1+J47/30),1)),"")</f>
        <v/>
      </c>
      <c r="N47" s="41">
        <f>IF(M47="","",IF(M47&gt;=PRs!C7,"PR!",""))</f>
        <v/>
      </c>
      <c r="O47" s="7" t="n"/>
    </row>
    <row r="48">
      <c r="C48" t="inlineStr">
        <is>
          <t xml:space="preserve">      Set 4</t>
        </is>
      </c>
      <c r="E48" t="n">
        <v>3</v>
      </c>
      <c r="H48" s="39">
        <f>IF(H44="","",H44)</f>
        <v/>
      </c>
      <c r="I48" s="7">
        <f>IF(H44="","",H44)</f>
        <v/>
      </c>
      <c r="J48" s="7" t="n">
        <v>3</v>
      </c>
      <c r="K48" s="7" t="n"/>
      <c r="L48" s="40" t="n"/>
      <c r="M48">
        <f>IF(AND(L48&lt;&gt;"",N(I48)&gt;0,N(J48)&gt;0),IF(J48=1,I48,ROUND(I48*(1+J48/30),1)),"")</f>
        <v/>
      </c>
      <c r="N48" s="41">
        <f>IF(M48="","",IF(M48&gt;=PRs!C7,"PR!",""))</f>
        <v/>
      </c>
      <c r="O48" s="7" t="n"/>
    </row>
    <row r="49">
      <c r="A49" s="34" t="n"/>
      <c r="B49" s="34" t="n"/>
      <c r="C49" s="42" t="inlineStr">
        <is>
          <t>Squat</t>
        </is>
      </c>
      <c r="D49" s="34" t="inlineStr">
        <is>
          <t>3 x 6</t>
        </is>
      </c>
      <c r="E49" s="34" t="n"/>
      <c r="F49" s="34" t="n">
        <v>65</v>
      </c>
      <c r="G49" s="36">
        <f>Maxes!G2</f>
        <v/>
      </c>
      <c r="H49" s="37">
        <f>IF(OR(G49="",F49=""),"",MROUND(G49*F49/100,'Start Here'!$B$7))</f>
        <v/>
      </c>
      <c r="I49" s="34" t="n"/>
      <c r="J49" s="34" t="n"/>
      <c r="K49" s="34" t="n"/>
      <c r="L49" s="34" t="n"/>
      <c r="M49" s="34" t="n"/>
      <c r="N49" s="34" t="n"/>
      <c r="O49" s="38" t="inlineStr"/>
    </row>
    <row r="50">
      <c r="C50" t="inlineStr">
        <is>
          <t xml:space="preserve">      Set 1</t>
        </is>
      </c>
      <c r="E50" t="n">
        <v>6</v>
      </c>
      <c r="H50" s="39">
        <f>IF(H49="","",H49)</f>
        <v/>
      </c>
      <c r="I50" s="7">
        <f>IF(H49="","",H49)</f>
        <v/>
      </c>
      <c r="J50" s="7" t="n">
        <v>6</v>
      </c>
      <c r="K50" s="7" t="n"/>
      <c r="L50" s="40" t="n"/>
      <c r="M50">
        <f>IF(AND(L50&lt;&gt;"",N(I50)&gt;0,N(J50)&gt;0),IF(J50=1,I50,ROUND(I50*(1+J50/30),1)),"")</f>
        <v/>
      </c>
      <c r="N50" s="41">
        <f>IF(M50="","",IF(M50&gt;=PRs!C2,"PR!",""))</f>
        <v/>
      </c>
      <c r="O50" s="7" t="n"/>
    </row>
    <row r="51">
      <c r="C51" t="inlineStr">
        <is>
          <t xml:space="preserve">      Set 2</t>
        </is>
      </c>
      <c r="E51" t="n">
        <v>6</v>
      </c>
      <c r="H51" s="39">
        <f>IF(H49="","",H49)</f>
        <v/>
      </c>
      <c r="I51" s="7">
        <f>IF(H49="","",H49)</f>
        <v/>
      </c>
      <c r="J51" s="7" t="n">
        <v>6</v>
      </c>
      <c r="K51" s="7" t="n"/>
      <c r="L51" s="40" t="n"/>
      <c r="M51">
        <f>IF(AND(L51&lt;&gt;"",N(I51)&gt;0,N(J51)&gt;0),IF(J51=1,I51,ROUND(I51*(1+J51/30),1)),"")</f>
        <v/>
      </c>
      <c r="N51" s="41">
        <f>IF(M51="","",IF(M51&gt;=PRs!C2,"PR!",""))</f>
        <v/>
      </c>
      <c r="O51" s="7" t="n"/>
    </row>
    <row r="52">
      <c r="C52" t="inlineStr">
        <is>
          <t xml:space="preserve">      Set 3</t>
        </is>
      </c>
      <c r="E52" t="n">
        <v>6</v>
      </c>
      <c r="H52" s="39">
        <f>IF(H49="","",H49)</f>
        <v/>
      </c>
      <c r="I52" s="7">
        <f>IF(H49="","",H49)</f>
        <v/>
      </c>
      <c r="J52" s="7" t="n">
        <v>6</v>
      </c>
      <c r="K52" s="7" t="n"/>
      <c r="L52" s="40" t="n"/>
      <c r="M52">
        <f>IF(AND(L52&lt;&gt;"",N(I52)&gt;0,N(J52)&gt;0),IF(J52=1,I52,ROUND(I52*(1+J52/30),1)),"")</f>
        <v/>
      </c>
      <c r="N52" s="41">
        <f>IF(M52="","",IF(M52&gt;=PRs!C2,"PR!",""))</f>
        <v/>
      </c>
      <c r="O52" s="7" t="n"/>
    </row>
    <row r="53">
      <c r="A53" s="34" t="n"/>
      <c r="B53" s="34" t="n"/>
      <c r="C53" s="42" t="inlineStr">
        <is>
          <t>Overhead Press</t>
        </is>
      </c>
      <c r="D53" s="34" t="inlineStr">
        <is>
          <t>3 x 6</t>
        </is>
      </c>
      <c r="E53" s="34" t="n"/>
      <c r="F53" s="34" t="n">
        <v>72.5</v>
      </c>
      <c r="G53" s="36">
        <f>Maxes!G5</f>
        <v/>
      </c>
      <c r="H53" s="37">
        <f>IF(OR(G53="",F53=""),"",MROUND(G53*F53/100,'Start Here'!$B$7))</f>
        <v/>
      </c>
      <c r="I53" s="34" t="n"/>
      <c r="J53" s="34" t="n"/>
      <c r="K53" s="34" t="n"/>
      <c r="L53" s="34" t="n"/>
      <c r="M53" s="34" t="n"/>
      <c r="N53" s="34" t="n"/>
      <c r="O53" s="38" t="inlineStr"/>
    </row>
    <row r="54">
      <c r="C54" t="inlineStr">
        <is>
          <t xml:space="preserve">      Set 1</t>
        </is>
      </c>
      <c r="E54" t="n">
        <v>6</v>
      </c>
      <c r="H54" s="39">
        <f>IF(H53="","",H53)</f>
        <v/>
      </c>
      <c r="I54" s="7">
        <f>IF(H53="","",H53)</f>
        <v/>
      </c>
      <c r="J54" s="7" t="n">
        <v>6</v>
      </c>
      <c r="K54" s="7" t="n"/>
      <c r="L54" s="40" t="n"/>
      <c r="M54">
        <f>IF(AND(L54&lt;&gt;"",N(I54)&gt;0,N(J54)&gt;0),IF(J54=1,I54,ROUND(I54*(1+J54/30),1)),"")</f>
        <v/>
      </c>
      <c r="N54" s="41">
        <f>IF(M54="","",IF(M54&gt;=PRs!C5,"PR!",""))</f>
        <v/>
      </c>
      <c r="O54" s="7" t="n"/>
    </row>
    <row r="55">
      <c r="C55" t="inlineStr">
        <is>
          <t xml:space="preserve">      Set 2</t>
        </is>
      </c>
      <c r="E55" t="n">
        <v>6</v>
      </c>
      <c r="H55" s="39">
        <f>IF(H53="","",H53)</f>
        <v/>
      </c>
      <c r="I55" s="7">
        <f>IF(H53="","",H53)</f>
        <v/>
      </c>
      <c r="J55" s="7" t="n">
        <v>6</v>
      </c>
      <c r="K55" s="7" t="n"/>
      <c r="L55" s="40" t="n"/>
      <c r="M55">
        <f>IF(AND(L55&lt;&gt;"",N(I55)&gt;0,N(J55)&gt;0),IF(J55=1,I55,ROUND(I55*(1+J55/30),1)),"")</f>
        <v/>
      </c>
      <c r="N55" s="41">
        <f>IF(M55="","",IF(M55&gt;=PRs!C5,"PR!",""))</f>
        <v/>
      </c>
      <c r="O55" s="7" t="n"/>
    </row>
    <row r="56">
      <c r="C56" t="inlineStr">
        <is>
          <t xml:space="preserve">      Set 3</t>
        </is>
      </c>
      <c r="E56" t="n">
        <v>6</v>
      </c>
      <c r="H56" s="39">
        <f>IF(H53="","",H53)</f>
        <v/>
      </c>
      <c r="I56" s="7">
        <f>IF(H53="","",H53)</f>
        <v/>
      </c>
      <c r="J56" s="7" t="n">
        <v>6</v>
      </c>
      <c r="K56" s="7" t="n"/>
      <c r="L56" s="40" t="n"/>
      <c r="M56">
        <f>IF(AND(L56&lt;&gt;"",N(I56)&gt;0,N(J56)&gt;0),IF(J56=1,I56,ROUND(I56*(1+J56/30),1)),"")</f>
        <v/>
      </c>
      <c r="N56" s="41">
        <f>IF(M56="","",IF(M56&gt;=PRs!C5,"PR!",""))</f>
        <v/>
      </c>
      <c r="O56" s="7" t="n"/>
    </row>
    <row r="57">
      <c r="A57" s="34" t="n"/>
      <c r="B57" s="34" t="n"/>
      <c r="C57" s="42" t="inlineStr">
        <is>
          <t>Deadlift</t>
        </is>
      </c>
      <c r="D57" s="34" t="inlineStr">
        <is>
          <t>3 x 6</t>
        </is>
      </c>
      <c r="E57" s="34" t="n"/>
      <c r="F57" s="34" t="n">
        <v>72.5</v>
      </c>
      <c r="G57" s="36">
        <f>Maxes!G4</f>
        <v/>
      </c>
      <c r="H57" s="37">
        <f>IF(OR(G57="",F57=""),"",MROUND(G57*F57/100,'Start Here'!$B$7))</f>
        <v/>
      </c>
      <c r="I57" s="34" t="n"/>
      <c r="J57" s="34" t="n"/>
      <c r="K57" s="34" t="n"/>
      <c r="L57" s="34" t="n"/>
      <c r="M57" s="34" t="n"/>
      <c r="N57" s="34" t="n"/>
      <c r="O57" s="38" t="inlineStr"/>
    </row>
    <row r="58">
      <c r="C58" t="inlineStr">
        <is>
          <t xml:space="preserve">      Set 1</t>
        </is>
      </c>
      <c r="E58" t="n">
        <v>6</v>
      </c>
      <c r="H58" s="39">
        <f>IF(H57="","",H57)</f>
        <v/>
      </c>
      <c r="I58" s="7">
        <f>IF(H57="","",H57)</f>
        <v/>
      </c>
      <c r="J58" s="7" t="n">
        <v>6</v>
      </c>
      <c r="K58" s="7" t="n"/>
      <c r="L58" s="40" t="n"/>
      <c r="M58">
        <f>IF(AND(L58&lt;&gt;"",N(I58)&gt;0,N(J58)&gt;0),IF(J58=1,I58,ROUND(I58*(1+J58/30),1)),"")</f>
        <v/>
      </c>
      <c r="N58" s="41">
        <f>IF(M58="","",IF(M58&gt;=PRs!C4,"PR!",""))</f>
        <v/>
      </c>
      <c r="O58" s="7" t="n"/>
    </row>
    <row r="59">
      <c r="C59" t="inlineStr">
        <is>
          <t xml:space="preserve">      Set 2</t>
        </is>
      </c>
      <c r="E59" t="n">
        <v>6</v>
      </c>
      <c r="H59" s="39">
        <f>IF(H57="","",H57)</f>
        <v/>
      </c>
      <c r="I59" s="7">
        <f>IF(H57="","",H57)</f>
        <v/>
      </c>
      <c r="J59" s="7" t="n">
        <v>6</v>
      </c>
      <c r="K59" s="7" t="n"/>
      <c r="L59" s="40" t="n"/>
      <c r="M59">
        <f>IF(AND(L59&lt;&gt;"",N(I59)&gt;0,N(J59)&gt;0),IF(J59=1,I59,ROUND(I59*(1+J59/30),1)),"")</f>
        <v/>
      </c>
      <c r="N59" s="41">
        <f>IF(M59="","",IF(M59&gt;=PRs!C4,"PR!",""))</f>
        <v/>
      </c>
      <c r="O59" s="7" t="n"/>
    </row>
    <row r="60">
      <c r="C60" t="inlineStr">
        <is>
          <t xml:space="preserve">      Set 3</t>
        </is>
      </c>
      <c r="E60" t="n">
        <v>6</v>
      </c>
      <c r="H60" s="39">
        <f>IF(H57="","",H57)</f>
        <v/>
      </c>
      <c r="I60" s="7">
        <f>IF(H57="","",H57)</f>
        <v/>
      </c>
      <c r="J60" s="7" t="n">
        <v>6</v>
      </c>
      <c r="K60" s="7" t="n"/>
      <c r="L60" s="40" t="n"/>
      <c r="M60">
        <f>IF(AND(L60&lt;&gt;"",N(I60)&gt;0,N(J60)&gt;0),IF(J60=1,I60,ROUND(I60*(1+J60/30),1)),"")</f>
        <v/>
      </c>
      <c r="N60" s="41">
        <f>IF(M60="","",IF(M60&gt;=PRs!C4,"PR!",""))</f>
        <v/>
      </c>
      <c r="O60" s="7" t="n"/>
    </row>
    <row r="61">
      <c r="A61" s="34" t="n"/>
      <c r="B61" s="34" t="n"/>
      <c r="C61" s="43" t="inlineStr">
        <is>
          <t>Chin-up</t>
        </is>
      </c>
      <c r="D61" s="34" t="inlineStr">
        <is>
          <t>3 x 6-10</t>
        </is>
      </c>
      <c r="E61" s="34" t="n"/>
      <c r="F61" s="34" t="n"/>
      <c r="G61" s="36" t="n"/>
      <c r="H61" s="37" t="n"/>
      <c r="I61" s="34" t="n"/>
      <c r="J61" s="34" t="n"/>
      <c r="K61" s="34" t="n"/>
      <c r="L61" s="34" t="n"/>
      <c r="M61" s="34" t="n"/>
      <c r="N61" s="34" t="n"/>
      <c r="O61" s="38" t="inlineStr">
        <is>
          <t>Leave 1-2 reps in the tank; add weight when you hit the top of the range</t>
        </is>
      </c>
    </row>
    <row r="62">
      <c r="C62" t="inlineStr">
        <is>
          <t xml:space="preserve">      Set 1</t>
        </is>
      </c>
      <c r="E62" t="n">
        <v>6</v>
      </c>
      <c r="H62" s="39">
        <f>IF(H61="","",H61)</f>
        <v/>
      </c>
      <c r="I62" s="7">
        <f>IF(H61="","",H61)</f>
        <v/>
      </c>
      <c r="J62" s="7" t="n">
        <v>6</v>
      </c>
      <c r="K62" s="7" t="n"/>
      <c r="L62" s="40" t="n"/>
      <c r="M62">
        <f>IF(AND(L62&lt;&gt;"",N(I62)&gt;0,N(J62)&gt;0),IF(J62=1,I62,ROUND(I62*(1+J62/30),1)),"")</f>
        <v/>
      </c>
      <c r="N62" s="41">
        <f>IF(M62="","",IF(M62&gt;=PRs!C53,"PR!",""))</f>
        <v/>
      </c>
      <c r="O62" s="7" t="n"/>
    </row>
    <row r="63">
      <c r="C63" t="inlineStr">
        <is>
          <t xml:space="preserve">      Set 2</t>
        </is>
      </c>
      <c r="E63" t="n">
        <v>6</v>
      </c>
      <c r="H63" s="39">
        <f>IF(H61="","",H61)</f>
        <v/>
      </c>
      <c r="I63" s="7">
        <f>IF(H61="","",H61)</f>
        <v/>
      </c>
      <c r="J63" s="7" t="n">
        <v>6</v>
      </c>
      <c r="K63" s="7" t="n"/>
      <c r="L63" s="40" t="n"/>
      <c r="M63">
        <f>IF(AND(L63&lt;&gt;"",N(I63)&gt;0,N(J63)&gt;0),IF(J63=1,I63,ROUND(I63*(1+J63/30),1)),"")</f>
        <v/>
      </c>
      <c r="N63" s="41">
        <f>IF(M63="","",IF(M63&gt;=PRs!C53,"PR!",""))</f>
        <v/>
      </c>
      <c r="O63" s="7" t="n"/>
    </row>
    <row r="64">
      <c r="C64" t="inlineStr">
        <is>
          <t xml:space="preserve">      Set 3</t>
        </is>
      </c>
      <c r="E64" t="n">
        <v>6</v>
      </c>
      <c r="H64" s="39">
        <f>IF(H61="","",H61)</f>
        <v/>
      </c>
      <c r="I64" s="7">
        <f>IF(H61="","",H61)</f>
        <v/>
      </c>
      <c r="J64" s="7" t="n">
        <v>6</v>
      </c>
      <c r="K64" s="7" t="n"/>
      <c r="L64" s="40" t="n"/>
      <c r="M64">
        <f>IF(AND(L64&lt;&gt;"",N(I64)&gt;0,N(J64)&gt;0),IF(J64=1,I64,ROUND(I64*(1+J64/30),1)),"")</f>
        <v/>
      </c>
      <c r="N64" s="41">
        <f>IF(M64="","",IF(M64&gt;=PRs!C53,"PR!",""))</f>
        <v/>
      </c>
      <c r="O64" s="7" t="n"/>
    </row>
    <row r="65">
      <c r="A65" s="34" t="n"/>
      <c r="B65" s="34" t="n"/>
      <c r="C65" s="43" t="inlineStr">
        <is>
          <t>Plank</t>
        </is>
      </c>
      <c r="D65" s="34" t="inlineStr">
        <is>
          <t>3 x 30-60s</t>
        </is>
      </c>
      <c r="E65" s="34" t="n"/>
      <c r="F65" s="34" t="n"/>
      <c r="G65" s="36" t="n"/>
      <c r="H65" s="37" t="n"/>
      <c r="I65" s="34" t="n"/>
      <c r="J65" s="34" t="n"/>
      <c r="K65" s="34" t="n"/>
      <c r="L65" s="34" t="n"/>
      <c r="M65" s="34" t="n"/>
      <c r="N65" s="34" t="n"/>
      <c r="O65" s="38" t="inlineStr">
        <is>
          <t>Leave 1-2 reps in the tank; add weight when you hit the top of the range</t>
        </is>
      </c>
    </row>
    <row r="66">
      <c r="C66" t="inlineStr">
        <is>
          <t xml:space="preserve">      Set 1</t>
        </is>
      </c>
      <c r="E66" t="n">
        <v>30</v>
      </c>
      <c r="H66" s="39">
        <f>IF(H65="","",H65)</f>
        <v/>
      </c>
      <c r="I66" s="7">
        <f>IF(H65="","",H65)</f>
        <v/>
      </c>
      <c r="J66" s="7" t="n">
        <v>30</v>
      </c>
      <c r="K66" s="7" t="n"/>
      <c r="L66" s="40" t="n"/>
      <c r="M66">
        <f>IF(AND(L66&lt;&gt;"",N(I66)&gt;0,N(J66)&gt;0),IF(J66=1,I66,ROUND(I66*(1+J66/30),1)),"")</f>
        <v/>
      </c>
      <c r="N66" s="41">
        <f>IF(M66="","",IF(M66&gt;=PRs!C56,"PR!",""))</f>
        <v/>
      </c>
      <c r="O66" s="7" t="n"/>
    </row>
    <row r="67">
      <c r="C67" t="inlineStr">
        <is>
          <t xml:space="preserve">      Set 2</t>
        </is>
      </c>
      <c r="E67" t="n">
        <v>30</v>
      </c>
      <c r="H67" s="39">
        <f>IF(H65="","",H65)</f>
        <v/>
      </c>
      <c r="I67" s="7">
        <f>IF(H65="","",H65)</f>
        <v/>
      </c>
      <c r="J67" s="7" t="n">
        <v>30</v>
      </c>
      <c r="K67" s="7" t="n"/>
      <c r="L67" s="40" t="n"/>
      <c r="M67">
        <f>IF(AND(L67&lt;&gt;"",N(I67)&gt;0,N(J67)&gt;0),IF(J67=1,I67,ROUND(I67*(1+J67/30),1)),"")</f>
        <v/>
      </c>
      <c r="N67" s="41">
        <f>IF(M67="","",IF(M67&gt;=PRs!C56,"PR!",""))</f>
        <v/>
      </c>
      <c r="O67" s="7" t="n"/>
    </row>
    <row r="68">
      <c r="C68" t="inlineStr">
        <is>
          <t xml:space="preserve">      Set 3</t>
        </is>
      </c>
      <c r="E68" t="n">
        <v>30</v>
      </c>
      <c r="H68" s="39">
        <f>IF(H65="","",H65)</f>
        <v/>
      </c>
      <c r="I68" s="7">
        <f>IF(H65="","",H65)</f>
        <v/>
      </c>
      <c r="J68" s="7" t="n">
        <v>30</v>
      </c>
      <c r="K68" s="7" t="n"/>
      <c r="L68" s="40" t="n"/>
      <c r="M68">
        <f>IF(AND(L68&lt;&gt;"",N(I68)&gt;0,N(J68)&gt;0),IF(J68=1,I68,ROUND(I68*(1+J68/30),1)),"")</f>
        <v/>
      </c>
      <c r="N68" s="41">
        <f>IF(M68="","",IF(M68&gt;=PRs!C56,"PR!",""))</f>
        <v/>
      </c>
      <c r="O68" s="7" t="n"/>
    </row>
    <row r="69">
      <c r="A69" s="31" t="inlineStr">
        <is>
          <t>Day 3 - Variations</t>
        </is>
      </c>
      <c r="B69" s="32">
        <f>'Start Here'!$B$8+200</f>
        <v/>
      </c>
      <c r="C69" s="33" t="n"/>
      <c r="D69" s="33" t="n"/>
      <c r="E69" s="33" t="n"/>
      <c r="F69" s="33" t="n"/>
      <c r="G69" s="33" t="n"/>
      <c r="H69" s="33" t="n"/>
      <c r="I69" s="33" t="n"/>
      <c r="J69" s="33" t="n"/>
      <c r="K69" s="33" t="n"/>
      <c r="L69" s="33" t="n"/>
      <c r="M69" s="33" t="n"/>
      <c r="N69" s="33" t="n"/>
      <c r="O69" s="33" t="n"/>
    </row>
    <row r="70">
      <c r="A70" s="34" t="n"/>
      <c r="B70" s="34" t="n"/>
      <c r="C70" s="35" t="inlineStr">
        <is>
          <t>Hurdle Hop</t>
        </is>
      </c>
      <c r="D70" s="34" t="inlineStr">
        <is>
          <t>4 x 3</t>
        </is>
      </c>
      <c r="E70" s="34" t="n"/>
      <c r="F70" s="34" t="n"/>
      <c r="G70" s="36" t="n"/>
      <c r="H70" s="37">
        <f>IF(N(Maxes!G73)&gt;0,Maxes!G73,"")</f>
        <v/>
      </c>
      <c r="I70" s="34" t="n"/>
      <c r="J70" s="34" t="n"/>
      <c r="K70" s="34" t="n"/>
      <c r="L70" s="34" t="n"/>
      <c r="M70" s="34" t="n"/>
      <c r="N70" s="34" t="n"/>
      <c r="O70" s="38" t="inlineStr">
        <is>
          <t>Continuous two-foot hops over a row of 4-6 low hurdles or cones, minimal ground contact. Log the hurdle height.</t>
        </is>
      </c>
    </row>
    <row r="71">
      <c r="C71" t="inlineStr">
        <is>
          <t xml:space="preserve">      Set 1</t>
        </is>
      </c>
      <c r="E71" t="n">
        <v>3</v>
      </c>
      <c r="H71" s="39">
        <f>IF(H70="","",H70)</f>
        <v/>
      </c>
      <c r="I71" s="7">
        <f>IF(H70="","",H70)</f>
        <v/>
      </c>
      <c r="J71" s="7" t="n">
        <v>3</v>
      </c>
      <c r="K71" s="7" t="n"/>
      <c r="L71" s="40" t="n"/>
      <c r="N71" s="41">
        <f>IF(AND(L71&lt;&gt;"",N(I71)&gt;0),IF(I71&gt;=PRs!D73,"PR!",""),"")</f>
        <v/>
      </c>
      <c r="O71" s="7" t="n"/>
    </row>
    <row r="72">
      <c r="C72" t="inlineStr">
        <is>
          <t xml:space="preserve">      Set 2</t>
        </is>
      </c>
      <c r="E72" t="n">
        <v>3</v>
      </c>
      <c r="H72" s="39">
        <f>IF(H70="","",H70)</f>
        <v/>
      </c>
      <c r="I72" s="7">
        <f>IF(H70="","",H70)</f>
        <v/>
      </c>
      <c r="J72" s="7" t="n">
        <v>3</v>
      </c>
      <c r="K72" s="7" t="n"/>
      <c r="L72" s="40" t="n"/>
      <c r="N72" s="41">
        <f>IF(AND(L72&lt;&gt;"",N(I72)&gt;0),IF(I72&gt;=PRs!D73,"PR!",""),"")</f>
        <v/>
      </c>
      <c r="O72" s="7" t="n"/>
    </row>
    <row r="73">
      <c r="C73" t="inlineStr">
        <is>
          <t xml:space="preserve">      Set 3</t>
        </is>
      </c>
      <c r="E73" t="n">
        <v>3</v>
      </c>
      <c r="H73" s="39">
        <f>IF(H70="","",H70)</f>
        <v/>
      </c>
      <c r="I73" s="7">
        <f>IF(H70="","",H70)</f>
        <v/>
      </c>
      <c r="J73" s="7" t="n">
        <v>3</v>
      </c>
      <c r="K73" s="7" t="n"/>
      <c r="L73" s="40" t="n"/>
      <c r="N73" s="41">
        <f>IF(AND(L73&lt;&gt;"",N(I73)&gt;0),IF(I73&gt;=PRs!D73,"PR!",""),"")</f>
        <v/>
      </c>
      <c r="O73" s="7" t="n"/>
    </row>
    <row r="74">
      <c r="C74" t="inlineStr">
        <is>
          <t xml:space="preserve">      Set 4</t>
        </is>
      </c>
      <c r="E74" t="n">
        <v>3</v>
      </c>
      <c r="H74" s="39">
        <f>IF(H70="","",H70)</f>
        <v/>
      </c>
      <c r="I74" s="7">
        <f>IF(H70="","",H70)</f>
        <v/>
      </c>
      <c r="J74" s="7" t="n">
        <v>3</v>
      </c>
      <c r="K74" s="7" t="n"/>
      <c r="L74" s="40" t="n"/>
      <c r="N74" s="41">
        <f>IF(AND(L74&lt;&gt;"",N(I74)&gt;0),IF(I74&gt;=PRs!D73,"PR!",""),"")</f>
        <v/>
      </c>
      <c r="O74" s="7" t="n"/>
    </row>
    <row r="75">
      <c r="A75" s="34" t="n"/>
      <c r="B75" s="34" t="n"/>
      <c r="C75" s="42" t="inlineStr">
        <is>
          <t>Split Jerk</t>
        </is>
      </c>
      <c r="D75" s="34" t="inlineStr">
        <is>
          <t>4 x 3</t>
        </is>
      </c>
      <c r="E75" s="34" t="n"/>
      <c r="F75" s="34" t="n">
        <v>72.5</v>
      </c>
      <c r="G75" s="36">
        <f>Maxes!G46</f>
        <v/>
      </c>
      <c r="H75" s="37">
        <f>IF(OR(G75="",F75=""),"",MROUND(G75*F75/100,'Start Here'!$B$7))</f>
        <v/>
      </c>
      <c r="I75" s="34" t="n"/>
      <c r="J75" s="34" t="n"/>
      <c r="K75" s="34" t="n"/>
      <c r="L75" s="34" t="n"/>
      <c r="M75" s="34" t="n"/>
      <c r="N75" s="34" t="n"/>
      <c r="O75" s="38" t="inlineStr"/>
    </row>
    <row r="76">
      <c r="C76" t="inlineStr">
        <is>
          <t xml:space="preserve">      Set 1</t>
        </is>
      </c>
      <c r="E76" t="n">
        <v>3</v>
      </c>
      <c r="H76" s="39">
        <f>IF(H75="","",H75)</f>
        <v/>
      </c>
      <c r="I76" s="7">
        <f>IF(H75="","",H75)</f>
        <v/>
      </c>
      <c r="J76" s="7" t="n">
        <v>3</v>
      </c>
      <c r="K76" s="7" t="n"/>
      <c r="L76" s="40" t="n"/>
      <c r="M76">
        <f>IF(AND(L76&lt;&gt;"",N(I76)&gt;0,N(J76)&gt;0),IF(J76=1,I76,ROUND(I76*(1+J76/30),1)),"")</f>
        <v/>
      </c>
      <c r="N76" s="41">
        <f>IF(M76="","",IF(M76&gt;=PRs!C46,"PR!",""))</f>
        <v/>
      </c>
      <c r="O76" s="7" t="n"/>
    </row>
    <row r="77">
      <c r="C77" t="inlineStr">
        <is>
          <t xml:space="preserve">      Set 2</t>
        </is>
      </c>
      <c r="E77" t="n">
        <v>3</v>
      </c>
      <c r="H77" s="39">
        <f>IF(H75="","",H75)</f>
        <v/>
      </c>
      <c r="I77" s="7">
        <f>IF(H75="","",H75)</f>
        <v/>
      </c>
      <c r="J77" s="7" t="n">
        <v>3</v>
      </c>
      <c r="K77" s="7" t="n"/>
      <c r="L77" s="40" t="n"/>
      <c r="M77">
        <f>IF(AND(L77&lt;&gt;"",N(I77)&gt;0,N(J77)&gt;0),IF(J77=1,I77,ROUND(I77*(1+J77/30),1)),"")</f>
        <v/>
      </c>
      <c r="N77" s="41">
        <f>IF(M77="","",IF(M77&gt;=PRs!C46,"PR!",""))</f>
        <v/>
      </c>
      <c r="O77" s="7" t="n"/>
    </row>
    <row r="78">
      <c r="C78" t="inlineStr">
        <is>
          <t xml:space="preserve">      Set 3</t>
        </is>
      </c>
      <c r="E78" t="n">
        <v>3</v>
      </c>
      <c r="H78" s="39">
        <f>IF(H75="","",H75)</f>
        <v/>
      </c>
      <c r="I78" s="7">
        <f>IF(H75="","",H75)</f>
        <v/>
      </c>
      <c r="J78" s="7" t="n">
        <v>3</v>
      </c>
      <c r="K78" s="7" t="n"/>
      <c r="L78" s="40" t="n"/>
      <c r="M78">
        <f>IF(AND(L78&lt;&gt;"",N(I78)&gt;0,N(J78)&gt;0),IF(J78=1,I78,ROUND(I78*(1+J78/30),1)),"")</f>
        <v/>
      </c>
      <c r="N78" s="41">
        <f>IF(M78="","",IF(M78&gt;=PRs!C46,"PR!",""))</f>
        <v/>
      </c>
      <c r="O78" s="7" t="n"/>
    </row>
    <row r="79">
      <c r="C79" t="inlineStr">
        <is>
          <t xml:space="preserve">      Set 4</t>
        </is>
      </c>
      <c r="E79" t="n">
        <v>3</v>
      </c>
      <c r="H79" s="39">
        <f>IF(H75="","",H75)</f>
        <v/>
      </c>
      <c r="I79" s="7">
        <f>IF(H75="","",H75)</f>
        <v/>
      </c>
      <c r="J79" s="7" t="n">
        <v>3</v>
      </c>
      <c r="K79" s="7" t="n"/>
      <c r="L79" s="40" t="n"/>
      <c r="M79">
        <f>IF(AND(L79&lt;&gt;"",N(I79)&gt;0,N(J79)&gt;0),IF(J79=1,I79,ROUND(I79*(1+J79/30),1)),"")</f>
        <v/>
      </c>
      <c r="N79" s="41">
        <f>IF(M79="","",IF(M79&gt;=PRs!C46,"PR!",""))</f>
        <v/>
      </c>
      <c r="O79" s="7" t="n"/>
    </row>
    <row r="80">
      <c r="A80" s="34" t="n"/>
      <c r="B80" s="34" t="n"/>
      <c r="C80" s="42" t="inlineStr">
        <is>
          <t>Front Squat</t>
        </is>
      </c>
      <c r="D80" s="34" t="inlineStr">
        <is>
          <t>3 x 6</t>
        </is>
      </c>
      <c r="E80" s="34" t="n"/>
      <c r="F80" s="34" t="n">
        <v>72.5</v>
      </c>
      <c r="G80" s="36">
        <f>Maxes!G10</f>
        <v/>
      </c>
      <c r="H80" s="37">
        <f>IF(OR(G80="",F80=""),"",MROUND(G80*F80/100,'Start Here'!$B$7))</f>
        <v/>
      </c>
      <c r="I80" s="34" t="n"/>
      <c r="J80" s="34" t="n"/>
      <c r="K80" s="34" t="n"/>
      <c r="L80" s="34" t="n"/>
      <c r="M80" s="34" t="n"/>
      <c r="N80" s="34" t="n"/>
      <c r="O80" s="38" t="inlineStr"/>
    </row>
    <row r="81">
      <c r="C81" t="inlineStr">
        <is>
          <t xml:space="preserve">      Set 1</t>
        </is>
      </c>
      <c r="E81" t="n">
        <v>6</v>
      </c>
      <c r="H81" s="39">
        <f>IF(H80="","",H80)</f>
        <v/>
      </c>
      <c r="I81" s="7">
        <f>IF(H80="","",H80)</f>
        <v/>
      </c>
      <c r="J81" s="7" t="n">
        <v>6</v>
      </c>
      <c r="K81" s="7" t="n"/>
      <c r="L81" s="40" t="n"/>
      <c r="M81">
        <f>IF(AND(L81&lt;&gt;"",N(I81)&gt;0,N(J81)&gt;0),IF(J81=1,I81,ROUND(I81*(1+J81/30),1)),"")</f>
        <v/>
      </c>
      <c r="N81" s="41">
        <f>IF(M81="","",IF(M81&gt;=PRs!C10,"PR!",""))</f>
        <v/>
      </c>
      <c r="O81" s="7" t="n"/>
    </row>
    <row r="82">
      <c r="C82" t="inlineStr">
        <is>
          <t xml:space="preserve">      Set 2</t>
        </is>
      </c>
      <c r="E82" t="n">
        <v>6</v>
      </c>
      <c r="H82" s="39">
        <f>IF(H80="","",H80)</f>
        <v/>
      </c>
      <c r="I82" s="7">
        <f>IF(H80="","",H80)</f>
        <v/>
      </c>
      <c r="J82" s="7" t="n">
        <v>6</v>
      </c>
      <c r="K82" s="7" t="n"/>
      <c r="L82" s="40" t="n"/>
      <c r="M82">
        <f>IF(AND(L82&lt;&gt;"",N(I82)&gt;0,N(J82)&gt;0),IF(J82=1,I82,ROUND(I82*(1+J82/30),1)),"")</f>
        <v/>
      </c>
      <c r="N82" s="41">
        <f>IF(M82="","",IF(M82&gt;=PRs!C10,"PR!",""))</f>
        <v/>
      </c>
      <c r="O82" s="7" t="n"/>
    </row>
    <row r="83">
      <c r="C83" t="inlineStr">
        <is>
          <t xml:space="preserve">      Set 3</t>
        </is>
      </c>
      <c r="E83" t="n">
        <v>6</v>
      </c>
      <c r="H83" s="39">
        <f>IF(H80="","",H80)</f>
        <v/>
      </c>
      <c r="I83" s="7">
        <f>IF(H80="","",H80)</f>
        <v/>
      </c>
      <c r="J83" s="7" t="n">
        <v>6</v>
      </c>
      <c r="K83" s="7" t="n"/>
      <c r="L83" s="40" t="n"/>
      <c r="M83">
        <f>IF(AND(L83&lt;&gt;"",N(I83)&gt;0,N(J83)&gt;0),IF(J83=1,I83,ROUND(I83*(1+J83/30),1)),"")</f>
        <v/>
      </c>
      <c r="N83" s="41">
        <f>IF(M83="","",IF(M83&gt;=PRs!C10,"PR!",""))</f>
        <v/>
      </c>
      <c r="O83" s="7" t="n"/>
    </row>
    <row r="84">
      <c r="A84" s="34" t="n"/>
      <c r="B84" s="34" t="n"/>
      <c r="C84" s="42" t="inlineStr">
        <is>
          <t>Close-Grip Bench Press</t>
        </is>
      </c>
      <c r="D84" s="34" t="inlineStr">
        <is>
          <t>3 x 6</t>
        </is>
      </c>
      <c r="E84" s="34" t="n"/>
      <c r="F84" s="34" t="n">
        <v>72.5</v>
      </c>
      <c r="G84" s="36">
        <f>Maxes!G14</f>
        <v/>
      </c>
      <c r="H84" s="37">
        <f>IF(OR(G84="",F84=""),"",MROUND(G84*F84/100,'Start Here'!$B$7))</f>
        <v/>
      </c>
      <c r="I84" s="34" t="n"/>
      <c r="J84" s="34" t="n"/>
      <c r="K84" s="34" t="n"/>
      <c r="L84" s="34" t="n"/>
      <c r="M84" s="34" t="n"/>
      <c r="N84" s="34" t="n"/>
      <c r="O84" s="38" t="inlineStr"/>
    </row>
    <row r="85">
      <c r="C85" t="inlineStr">
        <is>
          <t xml:space="preserve">      Set 1</t>
        </is>
      </c>
      <c r="E85" t="n">
        <v>6</v>
      </c>
      <c r="H85" s="39">
        <f>IF(H84="","",H84)</f>
        <v/>
      </c>
      <c r="I85" s="7">
        <f>IF(H84="","",H84)</f>
        <v/>
      </c>
      <c r="J85" s="7" t="n">
        <v>6</v>
      </c>
      <c r="K85" s="7" t="n"/>
      <c r="L85" s="40" t="n"/>
      <c r="M85">
        <f>IF(AND(L85&lt;&gt;"",N(I85)&gt;0,N(J85)&gt;0),IF(J85=1,I85,ROUND(I85*(1+J85/30),1)),"")</f>
        <v/>
      </c>
      <c r="N85" s="41">
        <f>IF(M85="","",IF(M85&gt;=PRs!C14,"PR!",""))</f>
        <v/>
      </c>
      <c r="O85" s="7" t="n"/>
    </row>
    <row r="86">
      <c r="C86" t="inlineStr">
        <is>
          <t xml:space="preserve">      Set 2</t>
        </is>
      </c>
      <c r="E86" t="n">
        <v>6</v>
      </c>
      <c r="H86" s="39">
        <f>IF(H84="","",H84)</f>
        <v/>
      </c>
      <c r="I86" s="7">
        <f>IF(H84="","",H84)</f>
        <v/>
      </c>
      <c r="J86" s="7" t="n">
        <v>6</v>
      </c>
      <c r="K86" s="7" t="n"/>
      <c r="L86" s="40" t="n"/>
      <c r="M86">
        <f>IF(AND(L86&lt;&gt;"",N(I86)&gt;0,N(J86)&gt;0),IF(J86=1,I86,ROUND(I86*(1+J86/30),1)),"")</f>
        <v/>
      </c>
      <c r="N86" s="41">
        <f>IF(M86="","",IF(M86&gt;=PRs!C14,"PR!",""))</f>
        <v/>
      </c>
      <c r="O86" s="7" t="n"/>
    </row>
    <row r="87">
      <c r="C87" t="inlineStr">
        <is>
          <t xml:space="preserve">      Set 3</t>
        </is>
      </c>
      <c r="E87" t="n">
        <v>6</v>
      </c>
      <c r="H87" s="39">
        <f>IF(H84="","",H84)</f>
        <v/>
      </c>
      <c r="I87" s="7">
        <f>IF(H84="","",H84)</f>
        <v/>
      </c>
      <c r="J87" s="7" t="n">
        <v>6</v>
      </c>
      <c r="K87" s="7" t="n"/>
      <c r="L87" s="40" t="n"/>
      <c r="M87">
        <f>IF(AND(L87&lt;&gt;"",N(I87)&gt;0,N(J87)&gt;0),IF(J87=1,I87,ROUND(I87*(1+J87/30),1)),"")</f>
        <v/>
      </c>
      <c r="N87" s="41">
        <f>IF(M87="","",IF(M87&gt;=PRs!C14,"PR!",""))</f>
        <v/>
      </c>
      <c r="O87" s="7" t="n"/>
    </row>
    <row r="88">
      <c r="A88" s="34" t="n"/>
      <c r="B88" s="34" t="n"/>
      <c r="C88" s="42" t="inlineStr">
        <is>
          <t>Block Pull</t>
        </is>
      </c>
      <c r="D88" s="34" t="inlineStr">
        <is>
          <t>3 x 6</t>
        </is>
      </c>
      <c r="E88" s="34" t="n"/>
      <c r="F88" s="34" t="n">
        <v>65</v>
      </c>
      <c r="G88" s="36">
        <f>Maxes!G26</f>
        <v/>
      </c>
      <c r="H88" s="37">
        <f>IF(OR(G88="",F88=""),"",MROUND(G88*F88/100,'Start Here'!$B$7))</f>
        <v/>
      </c>
      <c r="I88" s="34" t="n"/>
      <c r="J88" s="34" t="n"/>
      <c r="K88" s="34" t="n"/>
      <c r="L88" s="34" t="n"/>
      <c r="M88" s="34" t="n"/>
      <c r="N88" s="34" t="n"/>
      <c r="O88" s="38" t="inlineStr"/>
    </row>
    <row r="89">
      <c r="C89" t="inlineStr">
        <is>
          <t xml:space="preserve">      Set 1</t>
        </is>
      </c>
      <c r="E89" t="n">
        <v>6</v>
      </c>
      <c r="H89" s="39">
        <f>IF(H88="","",H88)</f>
        <v/>
      </c>
      <c r="I89" s="7">
        <f>IF(H88="","",H88)</f>
        <v/>
      </c>
      <c r="J89" s="7" t="n">
        <v>6</v>
      </c>
      <c r="K89" s="7" t="n"/>
      <c r="L89" s="40" t="n"/>
      <c r="M89">
        <f>IF(AND(L89&lt;&gt;"",N(I89)&gt;0,N(J89)&gt;0),IF(J89=1,I89,ROUND(I89*(1+J89/30),1)),"")</f>
        <v/>
      </c>
      <c r="N89" s="41">
        <f>IF(M89="","",IF(M89&gt;=PRs!C26,"PR!",""))</f>
        <v/>
      </c>
      <c r="O89" s="7" t="n"/>
    </row>
    <row r="90">
      <c r="C90" t="inlineStr">
        <is>
          <t xml:space="preserve">      Set 2</t>
        </is>
      </c>
      <c r="E90" t="n">
        <v>6</v>
      </c>
      <c r="H90" s="39">
        <f>IF(H88="","",H88)</f>
        <v/>
      </c>
      <c r="I90" s="7">
        <f>IF(H88="","",H88)</f>
        <v/>
      </c>
      <c r="J90" s="7" t="n">
        <v>6</v>
      </c>
      <c r="K90" s="7" t="n"/>
      <c r="L90" s="40" t="n"/>
      <c r="M90">
        <f>IF(AND(L90&lt;&gt;"",N(I90)&gt;0,N(J90)&gt;0),IF(J90=1,I90,ROUND(I90*(1+J90/30),1)),"")</f>
        <v/>
      </c>
      <c r="N90" s="41">
        <f>IF(M90="","",IF(M90&gt;=PRs!C26,"PR!",""))</f>
        <v/>
      </c>
      <c r="O90" s="7" t="n"/>
    </row>
    <row r="91">
      <c r="C91" t="inlineStr">
        <is>
          <t xml:space="preserve">      Set 3</t>
        </is>
      </c>
      <c r="E91" t="n">
        <v>6</v>
      </c>
      <c r="H91" s="39">
        <f>IF(H88="","",H88)</f>
        <v/>
      </c>
      <c r="I91" s="7">
        <f>IF(H88="","",H88)</f>
        <v/>
      </c>
      <c r="J91" s="7" t="n">
        <v>6</v>
      </c>
      <c r="K91" s="7" t="n"/>
      <c r="L91" s="40" t="n"/>
      <c r="M91">
        <f>IF(AND(L91&lt;&gt;"",N(I91)&gt;0,N(J91)&gt;0),IF(J91=1,I91,ROUND(I91*(1+J91/30),1)),"")</f>
        <v/>
      </c>
      <c r="N91" s="41">
        <f>IF(M91="","",IF(M91&gt;=PRs!C26,"PR!",""))</f>
        <v/>
      </c>
      <c r="O91" s="7" t="n"/>
    </row>
    <row r="92">
      <c r="A92" s="34" t="n"/>
      <c r="B92" s="34" t="n"/>
      <c r="C92" s="43" t="inlineStr">
        <is>
          <t>Incline Dumbbell Press</t>
        </is>
      </c>
      <c r="D92" s="34" t="inlineStr">
        <is>
          <t>3 x 8-12</t>
        </is>
      </c>
      <c r="E92" s="34" t="n"/>
      <c r="F92" s="34" t="n"/>
      <c r="G92" s="36" t="n"/>
      <c r="H92" s="37" t="n"/>
      <c r="I92" s="34" t="n"/>
      <c r="J92" s="34" t="n"/>
      <c r="K92" s="34" t="n"/>
      <c r="L92" s="34" t="n"/>
      <c r="M92" s="34" t="n"/>
      <c r="N92" s="34" t="n"/>
      <c r="O92" s="38" t="inlineStr">
        <is>
          <t>Leave 1-2 reps in the tank; add weight when you hit the top of the range</t>
        </is>
      </c>
    </row>
    <row r="93">
      <c r="C93" t="inlineStr">
        <is>
          <t xml:space="preserve">      Set 1</t>
        </is>
      </c>
      <c r="E93" t="n">
        <v>8</v>
      </c>
      <c r="H93" s="39">
        <f>IF(H92="","",H92)</f>
        <v/>
      </c>
      <c r="I93" s="7">
        <f>IF(H92="","",H92)</f>
        <v/>
      </c>
      <c r="J93" s="7" t="n">
        <v>8</v>
      </c>
      <c r="K93" s="7" t="n"/>
      <c r="L93" s="40" t="n"/>
      <c r="M93">
        <f>IF(AND(L93&lt;&gt;"",N(I93)&gt;0,N(J93)&gt;0),IF(J93=1,I93,ROUND(I93*(1+J93/30),1)),"")</f>
        <v/>
      </c>
      <c r="N93" s="41">
        <f>IF(M93="","",IF(M93&gt;=PRs!C57,"PR!",""))</f>
        <v/>
      </c>
      <c r="O93" s="7" t="n"/>
    </row>
    <row r="94">
      <c r="C94" t="inlineStr">
        <is>
          <t xml:space="preserve">      Set 2</t>
        </is>
      </c>
      <c r="E94" t="n">
        <v>8</v>
      </c>
      <c r="H94" s="39">
        <f>IF(H92="","",H92)</f>
        <v/>
      </c>
      <c r="I94" s="7">
        <f>IF(H92="","",H92)</f>
        <v/>
      </c>
      <c r="J94" s="7" t="n">
        <v>8</v>
      </c>
      <c r="K94" s="7" t="n"/>
      <c r="L94" s="40" t="n"/>
      <c r="M94">
        <f>IF(AND(L94&lt;&gt;"",N(I94)&gt;0,N(J94)&gt;0),IF(J94=1,I94,ROUND(I94*(1+J94/30),1)),"")</f>
        <v/>
      </c>
      <c r="N94" s="41">
        <f>IF(M94="","",IF(M94&gt;=PRs!C57,"PR!",""))</f>
        <v/>
      </c>
      <c r="O94" s="7" t="n"/>
    </row>
    <row r="95">
      <c r="C95" t="inlineStr">
        <is>
          <t xml:space="preserve">      Set 3</t>
        </is>
      </c>
      <c r="E95" t="n">
        <v>8</v>
      </c>
      <c r="H95" s="39">
        <f>IF(H92="","",H92)</f>
        <v/>
      </c>
      <c r="I95" s="7">
        <f>IF(H92="","",H92)</f>
        <v/>
      </c>
      <c r="J95" s="7" t="n">
        <v>8</v>
      </c>
      <c r="K95" s="7" t="n"/>
      <c r="L95" s="40" t="n"/>
      <c r="M95">
        <f>IF(AND(L95&lt;&gt;"",N(I95)&gt;0,N(J95)&gt;0),IF(J95=1,I95,ROUND(I95*(1+J95/30),1)),"")</f>
        <v/>
      </c>
      <c r="N95" s="41">
        <f>IF(M95="","",IF(M95&gt;=PRs!C57,"PR!",""))</f>
        <v/>
      </c>
      <c r="O95" s="7" t="n"/>
    </row>
    <row r="96">
      <c r="A96" s="34" t="n"/>
      <c r="B96" s="34" t="n"/>
      <c r="C96" s="43" t="inlineStr">
        <is>
          <t>Triceps Pushdown</t>
        </is>
      </c>
      <c r="D96" s="34" t="inlineStr">
        <is>
          <t>3 x 10-15</t>
        </is>
      </c>
      <c r="E96" s="34" t="n"/>
      <c r="F96" s="34" t="n"/>
      <c r="G96" s="36" t="n"/>
      <c r="H96" s="37" t="n"/>
      <c r="I96" s="34" t="n"/>
      <c r="J96" s="34" t="n"/>
      <c r="K96" s="34" t="n"/>
      <c r="L96" s="34" t="n"/>
      <c r="M96" s="34" t="n"/>
      <c r="N96" s="34" t="n"/>
      <c r="O96" s="38" t="inlineStr">
        <is>
          <t>Leave 1-2 reps in the tank; add weight when you hit the top of the range</t>
        </is>
      </c>
    </row>
    <row r="97">
      <c r="C97" t="inlineStr">
        <is>
          <t xml:space="preserve">      Set 1</t>
        </is>
      </c>
      <c r="E97" t="n">
        <v>10</v>
      </c>
      <c r="H97" s="39">
        <f>IF(H96="","",H96)</f>
        <v/>
      </c>
      <c r="I97" s="7">
        <f>IF(H96="","",H96)</f>
        <v/>
      </c>
      <c r="J97" s="7" t="n">
        <v>10</v>
      </c>
      <c r="K97" s="7" t="n"/>
      <c r="L97" s="40" t="n"/>
      <c r="M97">
        <f>IF(AND(L97&lt;&gt;"",N(I97)&gt;0,N(J97)&gt;0),IF(J97=1,I97,ROUND(I97*(1+J97/30),1)),"")</f>
        <v/>
      </c>
      <c r="N97" s="41">
        <f>IF(M97="","",IF(M97&gt;=PRs!C59,"PR!",""))</f>
        <v/>
      </c>
      <c r="O97" s="7" t="n"/>
    </row>
    <row r="98">
      <c r="C98" t="inlineStr">
        <is>
          <t xml:space="preserve">      Set 2</t>
        </is>
      </c>
      <c r="E98" t="n">
        <v>10</v>
      </c>
      <c r="H98" s="39">
        <f>IF(H96="","",H96)</f>
        <v/>
      </c>
      <c r="I98" s="7">
        <f>IF(H96="","",H96)</f>
        <v/>
      </c>
      <c r="J98" s="7" t="n">
        <v>10</v>
      </c>
      <c r="K98" s="7" t="n"/>
      <c r="L98" s="40" t="n"/>
      <c r="M98">
        <f>IF(AND(L98&lt;&gt;"",N(I98)&gt;0,N(J98)&gt;0),IF(J98=1,I98,ROUND(I98*(1+J98/30),1)),"")</f>
        <v/>
      </c>
      <c r="N98" s="41">
        <f>IF(M98="","",IF(M98&gt;=PRs!C59,"PR!",""))</f>
        <v/>
      </c>
      <c r="O98" s="7" t="n"/>
    </row>
    <row r="99">
      <c r="C99" t="inlineStr">
        <is>
          <t xml:space="preserve">      Set 3</t>
        </is>
      </c>
      <c r="E99" t="n">
        <v>10</v>
      </c>
      <c r="H99" s="39">
        <f>IF(H96="","",H96)</f>
        <v/>
      </c>
      <c r="I99" s="7">
        <f>IF(H96="","",H96)</f>
        <v/>
      </c>
      <c r="J99" s="7" t="n">
        <v>10</v>
      </c>
      <c r="K99" s="7" t="n"/>
      <c r="L99" s="40" t="n"/>
      <c r="M99">
        <f>IF(AND(L99&lt;&gt;"",N(I99)&gt;0,N(J99)&gt;0),IF(J99=1,I99,ROUND(I99*(1+J99/30),1)),"")</f>
        <v/>
      </c>
      <c r="N99" s="41">
        <f>IF(M99="","",IF(M99&gt;=PRs!C59,"PR!",""))</f>
        <v/>
      </c>
      <c r="O99" s="7" t="n"/>
    </row>
    <row r="101">
      <c r="A101" s="51" t="inlineStr">
        <is>
          <t>WEEK 30 - CYCLE 3 - TRANSMUTATION</t>
        </is>
      </c>
      <c r="B101" s="52" t="n"/>
      <c r="C101" s="52" t="n"/>
      <c r="D101" s="52" t="n"/>
      <c r="E101" s="52" t="n"/>
      <c r="F101" s="52" t="n"/>
      <c r="G101" s="52" t="n"/>
      <c r="H101" s="53" t="inlineStr">
        <is>
          <t>Bodyweight:</t>
        </is>
      </c>
      <c r="I101" s="7" t="n"/>
      <c r="J101" s="52" t="n"/>
      <c r="K101" s="52" t="n"/>
      <c r="L101" s="52" t="n"/>
      <c r="M101" s="52" t="n"/>
      <c r="N101" s="52" t="n"/>
      <c r="O101" s="52" t="n"/>
    </row>
    <row r="102">
      <c r="A102" s="31" t="inlineStr">
        <is>
          <t>Day 1 - Heavy</t>
        </is>
      </c>
      <c r="B102" s="32">
        <f>'Start Here'!$B$8+203</f>
        <v/>
      </c>
      <c r="C102" s="33" t="n"/>
      <c r="D102" s="33" t="n"/>
      <c r="E102" s="33" t="n"/>
      <c r="F102" s="33" t="n"/>
      <c r="G102" s="33" t="n"/>
      <c r="H102" s="33" t="n"/>
      <c r="I102" s="33" t="n"/>
      <c r="J102" s="33" t="n"/>
      <c r="K102" s="33" t="n"/>
      <c r="L102" s="33" t="n"/>
      <c r="M102" s="33" t="n"/>
      <c r="N102" s="33" t="n"/>
      <c r="O102" s="33" t="n"/>
    </row>
    <row r="103">
      <c r="A103" s="34" t="n"/>
      <c r="B103" s="34" t="n"/>
      <c r="C103" s="35" t="inlineStr">
        <is>
          <t>Box Jump</t>
        </is>
      </c>
      <c r="D103" s="34" t="inlineStr">
        <is>
          <t>4 x 3</t>
        </is>
      </c>
      <c r="E103" s="34" t="n"/>
      <c r="F103" s="34" t="n"/>
      <c r="G103" s="36" t="n"/>
      <c r="H103" s="37">
        <f>IF(N(Maxes!G69)&gt;0,Maxes!G69,'Start Here'!$G$16)</f>
        <v/>
      </c>
      <c r="I103" s="34" t="n"/>
      <c r="J103" s="34" t="n"/>
      <c r="K103" s="34" t="n"/>
      <c r="L103" s="34" t="n"/>
      <c r="M103" s="34" t="n"/>
      <c r="N103" s="34" t="n"/>
      <c r="O103" s="38" t="inlineStr">
        <is>
          <t>Two-foot jump onto a box, land soft in a quarter squat, STEP down. Log the box height (floor to top of box).</t>
        </is>
      </c>
    </row>
    <row r="104">
      <c r="C104" t="inlineStr">
        <is>
          <t xml:space="preserve">      Set 1</t>
        </is>
      </c>
      <c r="E104" t="n">
        <v>3</v>
      </c>
      <c r="H104" s="39">
        <f>IF(H103="","",H103)</f>
        <v/>
      </c>
      <c r="I104" s="7">
        <f>IF(H103="","",H103)</f>
        <v/>
      </c>
      <c r="J104" s="7" t="n">
        <v>3</v>
      </c>
      <c r="K104" s="7" t="n"/>
      <c r="L104" s="40" t="n"/>
      <c r="N104" s="41">
        <f>IF(AND(L104&lt;&gt;"",N(I104)&gt;0),IF(I104&gt;=PRs!D69,"PR!",""),"")</f>
        <v/>
      </c>
      <c r="O104" s="7" t="n"/>
    </row>
    <row r="105">
      <c r="C105" t="inlineStr">
        <is>
          <t xml:space="preserve">      Set 2</t>
        </is>
      </c>
      <c r="E105" t="n">
        <v>3</v>
      </c>
      <c r="H105" s="39">
        <f>IF(H103="","",H103)</f>
        <v/>
      </c>
      <c r="I105" s="7">
        <f>IF(H103="","",H103)</f>
        <v/>
      </c>
      <c r="J105" s="7" t="n">
        <v>3</v>
      </c>
      <c r="K105" s="7" t="n"/>
      <c r="L105" s="40" t="n"/>
      <c r="N105" s="41">
        <f>IF(AND(L105&lt;&gt;"",N(I105)&gt;0),IF(I105&gt;=PRs!D69,"PR!",""),"")</f>
        <v/>
      </c>
      <c r="O105" s="7" t="n"/>
    </row>
    <row r="106">
      <c r="C106" t="inlineStr">
        <is>
          <t xml:space="preserve">      Set 3</t>
        </is>
      </c>
      <c r="E106" t="n">
        <v>3</v>
      </c>
      <c r="H106" s="39">
        <f>IF(H103="","",H103)</f>
        <v/>
      </c>
      <c r="I106" s="7">
        <f>IF(H103="","",H103)</f>
        <v/>
      </c>
      <c r="J106" s="7" t="n">
        <v>3</v>
      </c>
      <c r="K106" s="7" t="n"/>
      <c r="L106" s="40" t="n"/>
      <c r="N106" s="41">
        <f>IF(AND(L106&lt;&gt;"",N(I106)&gt;0),IF(I106&gt;=PRs!D69,"PR!",""),"")</f>
        <v/>
      </c>
      <c r="O106" s="7" t="n"/>
    </row>
    <row r="107">
      <c r="C107" t="inlineStr">
        <is>
          <t xml:space="preserve">      Set 4</t>
        </is>
      </c>
      <c r="E107" t="n">
        <v>3</v>
      </c>
      <c r="H107" s="39">
        <f>IF(H103="","",H103)</f>
        <v/>
      </c>
      <c r="I107" s="7">
        <f>IF(H103="","",H103)</f>
        <v/>
      </c>
      <c r="J107" s="7" t="n">
        <v>3</v>
      </c>
      <c r="K107" s="7" t="n"/>
      <c r="L107" s="40" t="n"/>
      <c r="N107" s="41">
        <f>IF(AND(L107&lt;&gt;"",N(I107)&gt;0),IF(I107&gt;=PRs!D69,"PR!",""),"")</f>
        <v/>
      </c>
      <c r="O107" s="7" t="n"/>
    </row>
    <row r="108">
      <c r="A108" s="34" t="n"/>
      <c r="B108" s="34" t="n"/>
      <c r="C108" s="42" t="inlineStr">
        <is>
          <t>Snatch</t>
        </is>
      </c>
      <c r="D108" s="34" t="inlineStr">
        <is>
          <t>5 x 2</t>
        </is>
      </c>
      <c r="E108" s="34" t="n"/>
      <c r="F108" s="34" t="n">
        <v>80</v>
      </c>
      <c r="G108" s="36">
        <f>Maxes!G6</f>
        <v/>
      </c>
      <c r="H108" s="37">
        <f>IF(OR(G108="",F108=""),"",MROUND(G108*F108/100,'Start Here'!$B$7))</f>
        <v/>
      </c>
      <c r="I108" s="34" t="n"/>
      <c r="J108" s="34" t="n"/>
      <c r="K108" s="34" t="n"/>
      <c r="L108" s="34" t="n"/>
      <c r="M108" s="34" t="n"/>
      <c r="N108" s="34" t="n"/>
      <c r="O108" s="38" t="inlineStr"/>
    </row>
    <row r="109">
      <c r="C109" t="inlineStr">
        <is>
          <t xml:space="preserve">      Set 1</t>
        </is>
      </c>
      <c r="E109" t="n">
        <v>2</v>
      </c>
      <c r="H109" s="39">
        <f>IF(H108="","",H108)</f>
        <v/>
      </c>
      <c r="I109" s="7">
        <f>IF(H108="","",H108)</f>
        <v/>
      </c>
      <c r="J109" s="7" t="n">
        <v>2</v>
      </c>
      <c r="K109" s="7" t="n"/>
      <c r="L109" s="40" t="n"/>
      <c r="M109">
        <f>IF(AND(L109&lt;&gt;"",N(I109)&gt;0,N(J109)&gt;0),IF(J109=1,I109,ROUND(I109*(1+J109/30),1)),"")</f>
        <v/>
      </c>
      <c r="N109" s="41">
        <f>IF(M109="","",IF(M109&gt;=PRs!C6,"PR!",""))</f>
        <v/>
      </c>
      <c r="O109" s="7" t="n"/>
    </row>
    <row r="110">
      <c r="C110" t="inlineStr">
        <is>
          <t xml:space="preserve">      Set 2</t>
        </is>
      </c>
      <c r="E110" t="n">
        <v>2</v>
      </c>
      <c r="H110" s="39">
        <f>IF(H108="","",H108)</f>
        <v/>
      </c>
      <c r="I110" s="7">
        <f>IF(H108="","",H108)</f>
        <v/>
      </c>
      <c r="J110" s="7" t="n">
        <v>2</v>
      </c>
      <c r="K110" s="7" t="n"/>
      <c r="L110" s="40" t="n"/>
      <c r="M110">
        <f>IF(AND(L110&lt;&gt;"",N(I110)&gt;0,N(J110)&gt;0),IF(J110=1,I110,ROUND(I110*(1+J110/30),1)),"")</f>
        <v/>
      </c>
      <c r="N110" s="41">
        <f>IF(M110="","",IF(M110&gt;=PRs!C6,"PR!",""))</f>
        <v/>
      </c>
      <c r="O110" s="7" t="n"/>
    </row>
    <row r="111">
      <c r="C111" t="inlineStr">
        <is>
          <t xml:space="preserve">      Set 3</t>
        </is>
      </c>
      <c r="E111" t="n">
        <v>2</v>
      </c>
      <c r="H111" s="39">
        <f>IF(H108="","",H108)</f>
        <v/>
      </c>
      <c r="I111" s="7">
        <f>IF(H108="","",H108)</f>
        <v/>
      </c>
      <c r="J111" s="7" t="n">
        <v>2</v>
      </c>
      <c r="K111" s="7" t="n"/>
      <c r="L111" s="40" t="n"/>
      <c r="M111">
        <f>IF(AND(L111&lt;&gt;"",N(I111)&gt;0,N(J111)&gt;0),IF(J111=1,I111,ROUND(I111*(1+J111/30),1)),"")</f>
        <v/>
      </c>
      <c r="N111" s="41">
        <f>IF(M111="","",IF(M111&gt;=PRs!C6,"PR!",""))</f>
        <v/>
      </c>
      <c r="O111" s="7" t="n"/>
    </row>
    <row r="112">
      <c r="C112" t="inlineStr">
        <is>
          <t xml:space="preserve">      Set 4</t>
        </is>
      </c>
      <c r="E112" t="n">
        <v>2</v>
      </c>
      <c r="H112" s="39">
        <f>IF(H108="","",H108)</f>
        <v/>
      </c>
      <c r="I112" s="7">
        <f>IF(H108="","",H108)</f>
        <v/>
      </c>
      <c r="J112" s="7" t="n">
        <v>2</v>
      </c>
      <c r="K112" s="7" t="n"/>
      <c r="L112" s="40" t="n"/>
      <c r="M112">
        <f>IF(AND(L112&lt;&gt;"",N(I112)&gt;0,N(J112)&gt;0),IF(J112=1,I112,ROUND(I112*(1+J112/30),1)),"")</f>
        <v/>
      </c>
      <c r="N112" s="41">
        <f>IF(M112="","",IF(M112&gt;=PRs!C6,"PR!",""))</f>
        <v/>
      </c>
      <c r="O112" s="7" t="n"/>
    </row>
    <row r="113">
      <c r="C113" t="inlineStr">
        <is>
          <t xml:space="preserve">      Set 5</t>
        </is>
      </c>
      <c r="E113" t="n">
        <v>2</v>
      </c>
      <c r="H113" s="39">
        <f>IF(H108="","",H108)</f>
        <v/>
      </c>
      <c r="I113" s="7">
        <f>IF(H108="","",H108)</f>
        <v/>
      </c>
      <c r="J113" s="7" t="n">
        <v>2</v>
      </c>
      <c r="K113" s="7" t="n"/>
      <c r="L113" s="40" t="n"/>
      <c r="M113">
        <f>IF(AND(L113&lt;&gt;"",N(I113)&gt;0,N(J113)&gt;0),IF(J113=1,I113,ROUND(I113*(1+J113/30),1)),"")</f>
        <v/>
      </c>
      <c r="N113" s="41">
        <f>IF(M113="","",IF(M113&gt;=PRs!C6,"PR!",""))</f>
        <v/>
      </c>
      <c r="O113" s="7" t="n"/>
    </row>
    <row r="114">
      <c r="A114" s="34" t="n"/>
      <c r="B114" s="34" t="n"/>
      <c r="C114" s="42" t="inlineStr">
        <is>
          <t>Squat</t>
        </is>
      </c>
      <c r="D114" s="34" t="inlineStr">
        <is>
          <t>4 x 4</t>
        </is>
      </c>
      <c r="E114" s="34" t="n"/>
      <c r="F114" s="34" t="n">
        <v>80</v>
      </c>
      <c r="G114" s="36">
        <f>Maxes!G2</f>
        <v/>
      </c>
      <c r="H114" s="37">
        <f>IF(OR(G114="",F114=""),"",MROUND(G114*F114/100,'Start Here'!$B$7))</f>
        <v/>
      </c>
      <c r="I114" s="34" t="n"/>
      <c r="J114" s="34" t="n"/>
      <c r="K114" s="34" t="n"/>
      <c r="L114" s="34" t="n"/>
      <c r="M114" s="34" t="n"/>
      <c r="N114" s="34" t="n"/>
      <c r="O114" s="38" t="inlineStr"/>
    </row>
    <row r="115">
      <c r="C115" t="inlineStr">
        <is>
          <t xml:space="preserve">      Set 1</t>
        </is>
      </c>
      <c r="E115" t="n">
        <v>4</v>
      </c>
      <c r="H115" s="39">
        <f>IF(H114="","",H114)</f>
        <v/>
      </c>
      <c r="I115" s="7">
        <f>IF(H114="","",H114)</f>
        <v/>
      </c>
      <c r="J115" s="7" t="n">
        <v>4</v>
      </c>
      <c r="K115" s="7" t="n"/>
      <c r="L115" s="40" t="n"/>
      <c r="M115">
        <f>IF(AND(L115&lt;&gt;"",N(I115)&gt;0,N(J115)&gt;0),IF(J115=1,I115,ROUND(I115*(1+J115/30),1)),"")</f>
        <v/>
      </c>
      <c r="N115" s="41">
        <f>IF(M115="","",IF(M115&gt;=PRs!C2,"PR!",""))</f>
        <v/>
      </c>
      <c r="O115" s="7" t="n"/>
    </row>
    <row r="116">
      <c r="C116" t="inlineStr">
        <is>
          <t xml:space="preserve">      Set 2</t>
        </is>
      </c>
      <c r="E116" t="n">
        <v>4</v>
      </c>
      <c r="H116" s="39">
        <f>IF(H114="","",H114)</f>
        <v/>
      </c>
      <c r="I116" s="7">
        <f>IF(H114="","",H114)</f>
        <v/>
      </c>
      <c r="J116" s="7" t="n">
        <v>4</v>
      </c>
      <c r="K116" s="7" t="n"/>
      <c r="L116" s="40" t="n"/>
      <c r="M116">
        <f>IF(AND(L116&lt;&gt;"",N(I116)&gt;0,N(J116)&gt;0),IF(J116=1,I116,ROUND(I116*(1+J116/30),1)),"")</f>
        <v/>
      </c>
      <c r="N116" s="41">
        <f>IF(M116="","",IF(M116&gt;=PRs!C2,"PR!",""))</f>
        <v/>
      </c>
      <c r="O116" s="7" t="n"/>
    </row>
    <row r="117">
      <c r="C117" t="inlineStr">
        <is>
          <t xml:space="preserve">      Set 3</t>
        </is>
      </c>
      <c r="E117" t="n">
        <v>4</v>
      </c>
      <c r="H117" s="39">
        <f>IF(H114="","",H114)</f>
        <v/>
      </c>
      <c r="I117" s="7">
        <f>IF(H114="","",H114)</f>
        <v/>
      </c>
      <c r="J117" s="7" t="n">
        <v>4</v>
      </c>
      <c r="K117" s="7" t="n"/>
      <c r="L117" s="40" t="n"/>
      <c r="M117">
        <f>IF(AND(L117&lt;&gt;"",N(I117)&gt;0,N(J117)&gt;0),IF(J117=1,I117,ROUND(I117*(1+J117/30),1)),"")</f>
        <v/>
      </c>
      <c r="N117" s="41">
        <f>IF(M117="","",IF(M117&gt;=PRs!C2,"PR!",""))</f>
        <v/>
      </c>
      <c r="O117" s="7" t="n"/>
    </row>
    <row r="118">
      <c r="C118" t="inlineStr">
        <is>
          <t xml:space="preserve">      Set 4</t>
        </is>
      </c>
      <c r="E118" t="n">
        <v>4</v>
      </c>
      <c r="H118" s="39">
        <f>IF(H114="","",H114)</f>
        <v/>
      </c>
      <c r="I118" s="7">
        <f>IF(H114="","",H114)</f>
        <v/>
      </c>
      <c r="J118" s="7" t="n">
        <v>4</v>
      </c>
      <c r="K118" s="7" t="n"/>
      <c r="L118" s="40" t="n"/>
      <c r="M118">
        <f>IF(AND(L118&lt;&gt;"",N(I118)&gt;0,N(J118)&gt;0),IF(J118=1,I118,ROUND(I118*(1+J118/30),1)),"")</f>
        <v/>
      </c>
      <c r="N118" s="41">
        <f>IF(M118="","",IF(M118&gt;=PRs!C2,"PR!",""))</f>
        <v/>
      </c>
      <c r="O118" s="7" t="n"/>
    </row>
    <row r="119">
      <c r="A119" s="34" t="n"/>
      <c r="B119" s="34" t="n"/>
      <c r="C119" s="42" t="inlineStr">
        <is>
          <t>Bench Press</t>
        </is>
      </c>
      <c r="D119" s="34" t="inlineStr">
        <is>
          <t>4 x 4</t>
        </is>
      </c>
      <c r="E119" s="34" t="n"/>
      <c r="F119" s="34" t="n">
        <v>80</v>
      </c>
      <c r="G119" s="36">
        <f>Maxes!G3</f>
        <v/>
      </c>
      <c r="H119" s="37">
        <f>IF(OR(G119="",F119=""),"",MROUND(G119*F119/100,'Start Here'!$B$7))</f>
        <v/>
      </c>
      <c r="I119" s="34" t="n"/>
      <c r="J119" s="34" t="n"/>
      <c r="K119" s="34" t="n"/>
      <c r="L119" s="34" t="n"/>
      <c r="M119" s="34" t="n"/>
      <c r="N119" s="34" t="n"/>
      <c r="O119" s="38" t="inlineStr"/>
    </row>
    <row r="120">
      <c r="C120" t="inlineStr">
        <is>
          <t xml:space="preserve">      Set 1</t>
        </is>
      </c>
      <c r="E120" t="n">
        <v>4</v>
      </c>
      <c r="H120" s="39">
        <f>IF(H119="","",H119)</f>
        <v/>
      </c>
      <c r="I120" s="7">
        <f>IF(H119="","",H119)</f>
        <v/>
      </c>
      <c r="J120" s="7" t="n">
        <v>4</v>
      </c>
      <c r="K120" s="7" t="n"/>
      <c r="L120" s="40" t="n"/>
      <c r="M120">
        <f>IF(AND(L120&lt;&gt;"",N(I120)&gt;0,N(J120)&gt;0),IF(J120=1,I120,ROUND(I120*(1+J120/30),1)),"")</f>
        <v/>
      </c>
      <c r="N120" s="41">
        <f>IF(M120="","",IF(M120&gt;=PRs!C3,"PR!",""))</f>
        <v/>
      </c>
      <c r="O120" s="7" t="n"/>
    </row>
    <row r="121">
      <c r="C121" t="inlineStr">
        <is>
          <t xml:space="preserve">      Set 2</t>
        </is>
      </c>
      <c r="E121" t="n">
        <v>4</v>
      </c>
      <c r="H121" s="39">
        <f>IF(H119="","",H119)</f>
        <v/>
      </c>
      <c r="I121" s="7">
        <f>IF(H119="","",H119)</f>
        <v/>
      </c>
      <c r="J121" s="7" t="n">
        <v>4</v>
      </c>
      <c r="K121" s="7" t="n"/>
      <c r="L121" s="40" t="n"/>
      <c r="M121">
        <f>IF(AND(L121&lt;&gt;"",N(I121)&gt;0,N(J121)&gt;0),IF(J121=1,I121,ROUND(I121*(1+J121/30),1)),"")</f>
        <v/>
      </c>
      <c r="N121" s="41">
        <f>IF(M121="","",IF(M121&gt;=PRs!C3,"PR!",""))</f>
        <v/>
      </c>
      <c r="O121" s="7" t="n"/>
    </row>
    <row r="122">
      <c r="C122" t="inlineStr">
        <is>
          <t xml:space="preserve">      Set 3</t>
        </is>
      </c>
      <c r="E122" t="n">
        <v>4</v>
      </c>
      <c r="H122" s="39">
        <f>IF(H119="","",H119)</f>
        <v/>
      </c>
      <c r="I122" s="7">
        <f>IF(H119="","",H119)</f>
        <v/>
      </c>
      <c r="J122" s="7" t="n">
        <v>4</v>
      </c>
      <c r="K122" s="7" t="n"/>
      <c r="L122" s="40" t="n"/>
      <c r="M122">
        <f>IF(AND(L122&lt;&gt;"",N(I122)&gt;0,N(J122)&gt;0),IF(J122=1,I122,ROUND(I122*(1+J122/30),1)),"")</f>
        <v/>
      </c>
      <c r="N122" s="41">
        <f>IF(M122="","",IF(M122&gt;=PRs!C3,"PR!",""))</f>
        <v/>
      </c>
      <c r="O122" s="7" t="n"/>
    </row>
    <row r="123">
      <c r="C123" t="inlineStr">
        <is>
          <t xml:space="preserve">      Set 4</t>
        </is>
      </c>
      <c r="E123" t="n">
        <v>4</v>
      </c>
      <c r="H123" s="39">
        <f>IF(H119="","",H119)</f>
        <v/>
      </c>
      <c r="I123" s="7">
        <f>IF(H119="","",H119)</f>
        <v/>
      </c>
      <c r="J123" s="7" t="n">
        <v>4</v>
      </c>
      <c r="K123" s="7" t="n"/>
      <c r="L123" s="40" t="n"/>
      <c r="M123">
        <f>IF(AND(L123&lt;&gt;"",N(I123)&gt;0,N(J123)&gt;0),IF(J123=1,I123,ROUND(I123*(1+J123/30),1)),"")</f>
        <v/>
      </c>
      <c r="N123" s="41">
        <f>IF(M123="","",IF(M123&gt;=PRs!C3,"PR!",""))</f>
        <v/>
      </c>
      <c r="O123" s="7" t="n"/>
    </row>
    <row r="124">
      <c r="A124" s="34" t="n"/>
      <c r="B124" s="34" t="n"/>
      <c r="C124" s="43" t="inlineStr">
        <is>
          <t>Barbell Row</t>
        </is>
      </c>
      <c r="D124" s="34" t="inlineStr">
        <is>
          <t>3 x 8-10</t>
        </is>
      </c>
      <c r="E124" s="34" t="n"/>
      <c r="F124" s="34" t="n"/>
      <c r="G124" s="36" t="n"/>
      <c r="H124" s="37" t="n"/>
      <c r="I124" s="34" t="n"/>
      <c r="J124" s="34" t="n"/>
      <c r="K124" s="34" t="n"/>
      <c r="L124" s="34" t="n"/>
      <c r="M124" s="34" t="n"/>
      <c r="N124" s="34" t="n"/>
      <c r="O124" s="38" t="inlineStr">
        <is>
          <t>Leave 1-2 reps in the tank; add weight when you hit the top of the range</t>
        </is>
      </c>
    </row>
    <row r="125">
      <c r="C125" t="inlineStr">
        <is>
          <t xml:space="preserve">      Set 1</t>
        </is>
      </c>
      <c r="E125" t="n">
        <v>8</v>
      </c>
      <c r="H125" s="39">
        <f>IF(H124="","",H124)</f>
        <v/>
      </c>
      <c r="I125" s="7">
        <f>IF(H124="","",H124)</f>
        <v/>
      </c>
      <c r="J125" s="7" t="n">
        <v>8</v>
      </c>
      <c r="K125" s="7" t="n"/>
      <c r="L125" s="40" t="n"/>
      <c r="M125">
        <f>IF(AND(L125&lt;&gt;"",N(I125)&gt;0,N(J125)&gt;0),IF(J125=1,I125,ROUND(I125*(1+J125/30),1)),"")</f>
        <v/>
      </c>
      <c r="N125" s="41">
        <f>IF(M125="","",IF(M125&gt;=PRs!C50,"PR!",""))</f>
        <v/>
      </c>
      <c r="O125" s="7" t="n"/>
    </row>
    <row r="126">
      <c r="C126" t="inlineStr">
        <is>
          <t xml:space="preserve">      Set 2</t>
        </is>
      </c>
      <c r="E126" t="n">
        <v>8</v>
      </c>
      <c r="H126" s="39">
        <f>IF(H124="","",H124)</f>
        <v/>
      </c>
      <c r="I126" s="7">
        <f>IF(H124="","",H124)</f>
        <v/>
      </c>
      <c r="J126" s="7" t="n">
        <v>8</v>
      </c>
      <c r="K126" s="7" t="n"/>
      <c r="L126" s="40" t="n"/>
      <c r="M126">
        <f>IF(AND(L126&lt;&gt;"",N(I126)&gt;0,N(J126)&gt;0),IF(J126=1,I126,ROUND(I126*(1+J126/30),1)),"")</f>
        <v/>
      </c>
      <c r="N126" s="41">
        <f>IF(M126="","",IF(M126&gt;=PRs!C50,"PR!",""))</f>
        <v/>
      </c>
      <c r="O126" s="7" t="n"/>
    </row>
    <row r="127">
      <c r="C127" t="inlineStr">
        <is>
          <t xml:space="preserve">      Set 3</t>
        </is>
      </c>
      <c r="E127" t="n">
        <v>8</v>
      </c>
      <c r="H127" s="39">
        <f>IF(H124="","",H124)</f>
        <v/>
      </c>
      <c r="I127" s="7">
        <f>IF(H124="","",H124)</f>
        <v/>
      </c>
      <c r="J127" s="7" t="n">
        <v>8</v>
      </c>
      <c r="K127" s="7" t="n"/>
      <c r="L127" s="40" t="n"/>
      <c r="M127">
        <f>IF(AND(L127&lt;&gt;"",N(I127)&gt;0,N(J127)&gt;0),IF(J127=1,I127,ROUND(I127*(1+J127/30),1)),"")</f>
        <v/>
      </c>
      <c r="N127" s="41">
        <f>IF(M127="","",IF(M127&gt;=PRs!C50,"PR!",""))</f>
        <v/>
      </c>
      <c r="O127" s="7" t="n"/>
    </row>
    <row r="128">
      <c r="A128" s="34" t="n"/>
      <c r="B128" s="34" t="n"/>
      <c r="C128" s="43" t="inlineStr">
        <is>
          <t>Face Pull</t>
        </is>
      </c>
      <c r="D128" s="34" t="inlineStr">
        <is>
          <t>3 x 12-15</t>
        </is>
      </c>
      <c r="E128" s="34" t="n"/>
      <c r="F128" s="34" t="n"/>
      <c r="G128" s="36" t="n"/>
      <c r="H128" s="37" t="n"/>
      <c r="I128" s="34" t="n"/>
      <c r="J128" s="34" t="n"/>
      <c r="K128" s="34" t="n"/>
      <c r="L128" s="34" t="n"/>
      <c r="M128" s="34" t="n"/>
      <c r="N128" s="34" t="n"/>
      <c r="O128" s="38" t="inlineStr">
        <is>
          <t>Leave 1-2 reps in the tank; add weight when you hit the top of the range</t>
        </is>
      </c>
    </row>
    <row r="129">
      <c r="C129" t="inlineStr">
        <is>
          <t xml:space="preserve">      Set 1</t>
        </is>
      </c>
      <c r="E129" t="n">
        <v>12</v>
      </c>
      <c r="H129" s="39">
        <f>IF(H128="","",H128)</f>
        <v/>
      </c>
      <c r="I129" s="7">
        <f>IF(H128="","",H128)</f>
        <v/>
      </c>
      <c r="J129" s="7" t="n">
        <v>12</v>
      </c>
      <c r="K129" s="7" t="n"/>
      <c r="L129" s="40" t="n"/>
      <c r="M129">
        <f>IF(AND(L129&lt;&gt;"",N(I129)&gt;0,N(J129)&gt;0),IF(J129=1,I129,ROUND(I129*(1+J129/30),1)),"")</f>
        <v/>
      </c>
      <c r="N129" s="41">
        <f>IF(M129="","",IF(M129&gt;=PRs!C51,"PR!",""))</f>
        <v/>
      </c>
      <c r="O129" s="7" t="n"/>
    </row>
    <row r="130">
      <c r="C130" t="inlineStr">
        <is>
          <t xml:space="preserve">      Set 2</t>
        </is>
      </c>
      <c r="E130" t="n">
        <v>12</v>
      </c>
      <c r="H130" s="39">
        <f>IF(H128="","",H128)</f>
        <v/>
      </c>
      <c r="I130" s="7">
        <f>IF(H128="","",H128)</f>
        <v/>
      </c>
      <c r="J130" s="7" t="n">
        <v>12</v>
      </c>
      <c r="K130" s="7" t="n"/>
      <c r="L130" s="40" t="n"/>
      <c r="M130">
        <f>IF(AND(L130&lt;&gt;"",N(I130)&gt;0,N(J130)&gt;0),IF(J130=1,I130,ROUND(I130*(1+J130/30),1)),"")</f>
        <v/>
      </c>
      <c r="N130" s="41">
        <f>IF(M130="","",IF(M130&gt;=PRs!C51,"PR!",""))</f>
        <v/>
      </c>
      <c r="O130" s="7" t="n"/>
    </row>
    <row r="131">
      <c r="C131" t="inlineStr">
        <is>
          <t xml:space="preserve">      Set 3</t>
        </is>
      </c>
      <c r="E131" t="n">
        <v>12</v>
      </c>
      <c r="H131" s="39">
        <f>IF(H128="","",H128)</f>
        <v/>
      </c>
      <c r="I131" s="7">
        <f>IF(H128="","",H128)</f>
        <v/>
      </c>
      <c r="J131" s="7" t="n">
        <v>12</v>
      </c>
      <c r="K131" s="7" t="n"/>
      <c r="L131" s="40" t="n"/>
      <c r="M131">
        <f>IF(AND(L131&lt;&gt;"",N(I131)&gt;0,N(J131)&gt;0),IF(J131=1,I131,ROUND(I131*(1+J131/30),1)),"")</f>
        <v/>
      </c>
      <c r="N131" s="41">
        <f>IF(M131="","",IF(M131&gt;=PRs!C51,"PR!",""))</f>
        <v/>
      </c>
      <c r="O131" s="7" t="n"/>
    </row>
    <row r="132">
      <c r="A132" s="31" t="inlineStr">
        <is>
          <t>Day 2 - Light</t>
        </is>
      </c>
      <c r="B132" s="32">
        <f>'Start Here'!$B$8+205</f>
        <v/>
      </c>
      <c r="C132" s="33" t="n"/>
      <c r="D132" s="33" t="n"/>
      <c r="E132" s="33" t="n"/>
      <c r="F132" s="33" t="n"/>
      <c r="G132" s="33" t="n"/>
      <c r="H132" s="33" t="n"/>
      <c r="I132" s="33" t="n"/>
      <c r="J132" s="33" t="n"/>
      <c r="K132" s="33" t="n"/>
      <c r="L132" s="33" t="n"/>
      <c r="M132" s="33" t="n"/>
      <c r="N132" s="33" t="n"/>
      <c r="O132" s="33" t="n"/>
    </row>
    <row r="133">
      <c r="A133" s="34" t="n"/>
      <c r="B133" s="34" t="n"/>
      <c r="C133" s="35" t="inlineStr">
        <is>
          <t>Broad Jump</t>
        </is>
      </c>
      <c r="D133" s="34" t="inlineStr">
        <is>
          <t>4 x 3</t>
        </is>
      </c>
      <c r="E133" s="34" t="n"/>
      <c r="F133" s="34" t="n"/>
      <c r="G133" s="36" t="n"/>
      <c r="H133" s="37">
        <f>IF(N(Maxes!G70)&gt;0,Maxes!G70,"")</f>
        <v/>
      </c>
      <c r="I133" s="34" t="n"/>
      <c r="J133" s="34" t="n"/>
      <c r="K133" s="34" t="n"/>
      <c r="L133" s="34" t="n"/>
      <c r="M133" s="34" t="n"/>
      <c r="N133" s="34" t="n"/>
      <c r="O133" s="38" t="inlineStr">
        <is>
          <t>Standing two-foot jump forward, stick the landing. Measure toe line to the back of the nearest heel.</t>
        </is>
      </c>
    </row>
    <row r="134">
      <c r="C134" t="inlineStr">
        <is>
          <t xml:space="preserve">      Set 1</t>
        </is>
      </c>
      <c r="E134" t="n">
        <v>3</v>
      </c>
      <c r="H134" s="39">
        <f>IF(H133="","",H133)</f>
        <v/>
      </c>
      <c r="I134" s="7">
        <f>IF(H133="","",H133)</f>
        <v/>
      </c>
      <c r="J134" s="7" t="n">
        <v>3</v>
      </c>
      <c r="K134" s="7" t="n"/>
      <c r="L134" s="40" t="n"/>
      <c r="N134" s="41">
        <f>IF(AND(L134&lt;&gt;"",N(I134)&gt;0),IF(I134&gt;=PRs!D70,"PR!",""),"")</f>
        <v/>
      </c>
      <c r="O134" s="7" t="n"/>
    </row>
    <row r="135">
      <c r="C135" t="inlineStr">
        <is>
          <t xml:space="preserve">      Set 2</t>
        </is>
      </c>
      <c r="E135" t="n">
        <v>3</v>
      </c>
      <c r="H135" s="39">
        <f>IF(H133="","",H133)</f>
        <v/>
      </c>
      <c r="I135" s="7">
        <f>IF(H133="","",H133)</f>
        <v/>
      </c>
      <c r="J135" s="7" t="n">
        <v>3</v>
      </c>
      <c r="K135" s="7" t="n"/>
      <c r="L135" s="40" t="n"/>
      <c r="N135" s="41">
        <f>IF(AND(L135&lt;&gt;"",N(I135)&gt;0),IF(I135&gt;=PRs!D70,"PR!",""),"")</f>
        <v/>
      </c>
      <c r="O135" s="7" t="n"/>
    </row>
    <row r="136">
      <c r="C136" t="inlineStr">
        <is>
          <t xml:space="preserve">      Set 3</t>
        </is>
      </c>
      <c r="E136" t="n">
        <v>3</v>
      </c>
      <c r="H136" s="39">
        <f>IF(H133="","",H133)</f>
        <v/>
      </c>
      <c r="I136" s="7">
        <f>IF(H133="","",H133)</f>
        <v/>
      </c>
      <c r="J136" s="7" t="n">
        <v>3</v>
      </c>
      <c r="K136" s="7" t="n"/>
      <c r="L136" s="40" t="n"/>
      <c r="N136" s="41">
        <f>IF(AND(L136&lt;&gt;"",N(I136)&gt;0),IF(I136&gt;=PRs!D70,"PR!",""),"")</f>
        <v/>
      </c>
      <c r="O136" s="7" t="n"/>
    </row>
    <row r="137">
      <c r="C137" t="inlineStr">
        <is>
          <t xml:space="preserve">      Set 4</t>
        </is>
      </c>
      <c r="E137" t="n">
        <v>3</v>
      </c>
      <c r="H137" s="39">
        <f>IF(H133="","",H133)</f>
        <v/>
      </c>
      <c r="I137" s="7">
        <f>IF(H133="","",H133)</f>
        <v/>
      </c>
      <c r="J137" s="7" t="n">
        <v>3</v>
      </c>
      <c r="K137" s="7" t="n"/>
      <c r="L137" s="40" t="n"/>
      <c r="N137" s="41">
        <f>IF(AND(L137&lt;&gt;"",N(I137)&gt;0),IF(I137&gt;=PRs!D70,"PR!",""),"")</f>
        <v/>
      </c>
      <c r="O137" s="7" t="n"/>
    </row>
    <row r="138">
      <c r="A138" s="34" t="n"/>
      <c r="B138" s="34" t="n"/>
      <c r="C138" s="35" t="inlineStr">
        <is>
          <t>Med Ball Chest Pass</t>
        </is>
      </c>
      <c r="D138" s="34" t="inlineStr">
        <is>
          <t>3 x 5</t>
        </is>
      </c>
      <c r="E138" s="34" t="n"/>
      <c r="F138" s="34" t="n"/>
      <c r="G138" s="36" t="n"/>
      <c r="H138" s="37">
        <f>IF(N(Maxes!G77)&gt;0,Maxes!G77,"")</f>
        <v/>
      </c>
      <c r="I138" s="34" t="n"/>
      <c r="J138" s="34" t="n"/>
      <c r="K138" s="34" t="n"/>
      <c r="L138" s="34" t="n"/>
      <c r="M138" s="34" t="n"/>
      <c r="N138" s="34" t="n"/>
      <c r="O138" s="38" t="inlineStr">
        <is>
          <t>Kneeling or standing chest pass for distance with a 6-10 lb / 3-5 kg ball. Log the distance.</t>
        </is>
      </c>
    </row>
    <row r="139">
      <c r="C139" t="inlineStr">
        <is>
          <t xml:space="preserve">      Set 1</t>
        </is>
      </c>
      <c r="E139" t="n">
        <v>5</v>
      </c>
      <c r="H139" s="39">
        <f>IF(H138="","",H138)</f>
        <v/>
      </c>
      <c r="I139" s="7">
        <f>IF(H138="","",H138)</f>
        <v/>
      </c>
      <c r="J139" s="7" t="n">
        <v>5</v>
      </c>
      <c r="K139" s="7" t="n"/>
      <c r="L139" s="40" t="n"/>
      <c r="N139" s="41">
        <f>IF(AND(L139&lt;&gt;"",N(I139)&gt;0),IF(I139&gt;=PRs!D77,"PR!",""),"")</f>
        <v/>
      </c>
      <c r="O139" s="7" t="n"/>
    </row>
    <row r="140">
      <c r="C140" t="inlineStr">
        <is>
          <t xml:space="preserve">      Set 2</t>
        </is>
      </c>
      <c r="E140" t="n">
        <v>5</v>
      </c>
      <c r="H140" s="39">
        <f>IF(H138="","",H138)</f>
        <v/>
      </c>
      <c r="I140" s="7">
        <f>IF(H138="","",H138)</f>
        <v/>
      </c>
      <c r="J140" s="7" t="n">
        <v>5</v>
      </c>
      <c r="K140" s="7" t="n"/>
      <c r="L140" s="40" t="n"/>
      <c r="N140" s="41">
        <f>IF(AND(L140&lt;&gt;"",N(I140)&gt;0),IF(I140&gt;=PRs!D77,"PR!",""),"")</f>
        <v/>
      </c>
      <c r="O140" s="7" t="n"/>
    </row>
    <row r="141">
      <c r="C141" t="inlineStr">
        <is>
          <t xml:space="preserve">      Set 3</t>
        </is>
      </c>
      <c r="E141" t="n">
        <v>5</v>
      </c>
      <c r="H141" s="39">
        <f>IF(H138="","",H138)</f>
        <v/>
      </c>
      <c r="I141" s="7">
        <f>IF(H138="","",H138)</f>
        <v/>
      </c>
      <c r="J141" s="7" t="n">
        <v>5</v>
      </c>
      <c r="K141" s="7" t="n"/>
      <c r="L141" s="40" t="n"/>
      <c r="N141" s="41">
        <f>IF(AND(L141&lt;&gt;"",N(I141)&gt;0),IF(I141&gt;=PRs!D77,"PR!",""),"")</f>
        <v/>
      </c>
      <c r="O141" s="7" t="n"/>
    </row>
    <row r="142">
      <c r="A142" s="34" t="n"/>
      <c r="B142" s="34" t="n"/>
      <c r="C142" s="42" t="inlineStr">
        <is>
          <t>Clean &amp; Jerk</t>
        </is>
      </c>
      <c r="D142" s="34" t="inlineStr">
        <is>
          <t>5 x 2</t>
        </is>
      </c>
      <c r="E142" s="34" t="n"/>
      <c r="F142" s="34" t="n">
        <v>80</v>
      </c>
      <c r="G142" s="36">
        <f>Maxes!G7</f>
        <v/>
      </c>
      <c r="H142" s="37">
        <f>IF(OR(G142="",F142=""),"",MROUND(G142*F142/100,'Start Here'!$B$7))</f>
        <v/>
      </c>
      <c r="I142" s="34" t="n"/>
      <c r="J142" s="34" t="n"/>
      <c r="K142" s="34" t="n"/>
      <c r="L142" s="34" t="n"/>
      <c r="M142" s="34" t="n"/>
      <c r="N142" s="34" t="n"/>
      <c r="O142" s="38" t="inlineStr"/>
    </row>
    <row r="143">
      <c r="C143" t="inlineStr">
        <is>
          <t xml:space="preserve">      Set 1</t>
        </is>
      </c>
      <c r="E143" t="n">
        <v>2</v>
      </c>
      <c r="H143" s="39">
        <f>IF(H142="","",H142)</f>
        <v/>
      </c>
      <c r="I143" s="7">
        <f>IF(H142="","",H142)</f>
        <v/>
      </c>
      <c r="J143" s="7" t="n">
        <v>2</v>
      </c>
      <c r="K143" s="7" t="n"/>
      <c r="L143" s="40" t="n"/>
      <c r="M143">
        <f>IF(AND(L143&lt;&gt;"",N(I143)&gt;0,N(J143)&gt;0),IF(J143=1,I143,ROUND(I143*(1+J143/30),1)),"")</f>
        <v/>
      </c>
      <c r="N143" s="41">
        <f>IF(M143="","",IF(M143&gt;=PRs!C7,"PR!",""))</f>
        <v/>
      </c>
      <c r="O143" s="7" t="n"/>
    </row>
    <row r="144">
      <c r="C144" t="inlineStr">
        <is>
          <t xml:space="preserve">      Set 2</t>
        </is>
      </c>
      <c r="E144" t="n">
        <v>2</v>
      </c>
      <c r="H144" s="39">
        <f>IF(H142="","",H142)</f>
        <v/>
      </c>
      <c r="I144" s="7">
        <f>IF(H142="","",H142)</f>
        <v/>
      </c>
      <c r="J144" s="7" t="n">
        <v>2</v>
      </c>
      <c r="K144" s="7" t="n"/>
      <c r="L144" s="40" t="n"/>
      <c r="M144">
        <f>IF(AND(L144&lt;&gt;"",N(I144)&gt;0,N(J144)&gt;0),IF(J144=1,I144,ROUND(I144*(1+J144/30),1)),"")</f>
        <v/>
      </c>
      <c r="N144" s="41">
        <f>IF(M144="","",IF(M144&gt;=PRs!C7,"PR!",""))</f>
        <v/>
      </c>
      <c r="O144" s="7" t="n"/>
    </row>
    <row r="145">
      <c r="C145" t="inlineStr">
        <is>
          <t xml:space="preserve">      Set 3</t>
        </is>
      </c>
      <c r="E145" t="n">
        <v>2</v>
      </c>
      <c r="H145" s="39">
        <f>IF(H142="","",H142)</f>
        <v/>
      </c>
      <c r="I145" s="7">
        <f>IF(H142="","",H142)</f>
        <v/>
      </c>
      <c r="J145" s="7" t="n">
        <v>2</v>
      </c>
      <c r="K145" s="7" t="n"/>
      <c r="L145" s="40" t="n"/>
      <c r="M145">
        <f>IF(AND(L145&lt;&gt;"",N(I145)&gt;0,N(J145)&gt;0),IF(J145=1,I145,ROUND(I145*(1+J145/30),1)),"")</f>
        <v/>
      </c>
      <c r="N145" s="41">
        <f>IF(M145="","",IF(M145&gt;=PRs!C7,"PR!",""))</f>
        <v/>
      </c>
      <c r="O145" s="7" t="n"/>
    </row>
    <row r="146">
      <c r="C146" t="inlineStr">
        <is>
          <t xml:space="preserve">      Set 4</t>
        </is>
      </c>
      <c r="E146" t="n">
        <v>2</v>
      </c>
      <c r="H146" s="39">
        <f>IF(H142="","",H142)</f>
        <v/>
      </c>
      <c r="I146" s="7">
        <f>IF(H142="","",H142)</f>
        <v/>
      </c>
      <c r="J146" s="7" t="n">
        <v>2</v>
      </c>
      <c r="K146" s="7" t="n"/>
      <c r="L146" s="40" t="n"/>
      <c r="M146">
        <f>IF(AND(L146&lt;&gt;"",N(I146)&gt;0,N(J146)&gt;0),IF(J146=1,I146,ROUND(I146*(1+J146/30),1)),"")</f>
        <v/>
      </c>
      <c r="N146" s="41">
        <f>IF(M146="","",IF(M146&gt;=PRs!C7,"PR!",""))</f>
        <v/>
      </c>
      <c r="O146" s="7" t="n"/>
    </row>
    <row r="147">
      <c r="C147" t="inlineStr">
        <is>
          <t xml:space="preserve">      Set 5</t>
        </is>
      </c>
      <c r="E147" t="n">
        <v>2</v>
      </c>
      <c r="H147" s="39">
        <f>IF(H142="","",H142)</f>
        <v/>
      </c>
      <c r="I147" s="7">
        <f>IF(H142="","",H142)</f>
        <v/>
      </c>
      <c r="J147" s="7" t="n">
        <v>2</v>
      </c>
      <c r="K147" s="7" t="n"/>
      <c r="L147" s="40" t="n"/>
      <c r="M147">
        <f>IF(AND(L147&lt;&gt;"",N(I147)&gt;0,N(J147)&gt;0),IF(J147=1,I147,ROUND(I147*(1+J147/30),1)),"")</f>
        <v/>
      </c>
      <c r="N147" s="41">
        <f>IF(M147="","",IF(M147&gt;=PRs!C7,"PR!",""))</f>
        <v/>
      </c>
      <c r="O147" s="7" t="n"/>
    </row>
    <row r="148">
      <c r="A148" s="34" t="n"/>
      <c r="B148" s="34" t="n"/>
      <c r="C148" s="42" t="inlineStr">
        <is>
          <t>Squat</t>
        </is>
      </c>
      <c r="D148" s="34" t="inlineStr">
        <is>
          <t>3 x 6</t>
        </is>
      </c>
      <c r="E148" s="34" t="n"/>
      <c r="F148" s="34" t="n">
        <v>67.5</v>
      </c>
      <c r="G148" s="36">
        <f>Maxes!G2</f>
        <v/>
      </c>
      <c r="H148" s="37">
        <f>IF(OR(G148="",F148=""),"",MROUND(G148*F148/100,'Start Here'!$B$7))</f>
        <v/>
      </c>
      <c r="I148" s="34" t="n"/>
      <c r="J148" s="34" t="n"/>
      <c r="K148" s="34" t="n"/>
      <c r="L148" s="34" t="n"/>
      <c r="M148" s="34" t="n"/>
      <c r="N148" s="34" t="n"/>
      <c r="O148" s="38" t="inlineStr"/>
    </row>
    <row r="149">
      <c r="C149" t="inlineStr">
        <is>
          <t xml:space="preserve">      Set 1</t>
        </is>
      </c>
      <c r="E149" t="n">
        <v>6</v>
      </c>
      <c r="H149" s="39">
        <f>IF(H148="","",H148)</f>
        <v/>
      </c>
      <c r="I149" s="7">
        <f>IF(H148="","",H148)</f>
        <v/>
      </c>
      <c r="J149" s="7" t="n">
        <v>6</v>
      </c>
      <c r="K149" s="7" t="n"/>
      <c r="L149" s="40" t="n"/>
      <c r="M149">
        <f>IF(AND(L149&lt;&gt;"",N(I149)&gt;0,N(J149)&gt;0),IF(J149=1,I149,ROUND(I149*(1+J149/30),1)),"")</f>
        <v/>
      </c>
      <c r="N149" s="41">
        <f>IF(M149="","",IF(M149&gt;=PRs!C2,"PR!",""))</f>
        <v/>
      </c>
      <c r="O149" s="7" t="n"/>
    </row>
    <row r="150">
      <c r="C150" t="inlineStr">
        <is>
          <t xml:space="preserve">      Set 2</t>
        </is>
      </c>
      <c r="E150" t="n">
        <v>6</v>
      </c>
      <c r="H150" s="39">
        <f>IF(H148="","",H148)</f>
        <v/>
      </c>
      <c r="I150" s="7">
        <f>IF(H148="","",H148)</f>
        <v/>
      </c>
      <c r="J150" s="7" t="n">
        <v>6</v>
      </c>
      <c r="K150" s="7" t="n"/>
      <c r="L150" s="40" t="n"/>
      <c r="M150">
        <f>IF(AND(L150&lt;&gt;"",N(I150)&gt;0,N(J150)&gt;0),IF(J150=1,I150,ROUND(I150*(1+J150/30),1)),"")</f>
        <v/>
      </c>
      <c r="N150" s="41">
        <f>IF(M150="","",IF(M150&gt;=PRs!C2,"PR!",""))</f>
        <v/>
      </c>
      <c r="O150" s="7" t="n"/>
    </row>
    <row r="151">
      <c r="C151" t="inlineStr">
        <is>
          <t xml:space="preserve">      Set 3</t>
        </is>
      </c>
      <c r="E151" t="n">
        <v>6</v>
      </c>
      <c r="H151" s="39">
        <f>IF(H148="","",H148)</f>
        <v/>
      </c>
      <c r="I151" s="7">
        <f>IF(H148="","",H148)</f>
        <v/>
      </c>
      <c r="J151" s="7" t="n">
        <v>6</v>
      </c>
      <c r="K151" s="7" t="n"/>
      <c r="L151" s="40" t="n"/>
      <c r="M151">
        <f>IF(AND(L151&lt;&gt;"",N(I151)&gt;0,N(J151)&gt;0),IF(J151=1,I151,ROUND(I151*(1+J151/30),1)),"")</f>
        <v/>
      </c>
      <c r="N151" s="41">
        <f>IF(M151="","",IF(M151&gt;=PRs!C2,"PR!",""))</f>
        <v/>
      </c>
      <c r="O151" s="7" t="n"/>
    </row>
    <row r="152">
      <c r="A152" s="34" t="n"/>
      <c r="B152" s="34" t="n"/>
      <c r="C152" s="42" t="inlineStr">
        <is>
          <t>Overhead Press</t>
        </is>
      </c>
      <c r="D152" s="34" t="inlineStr">
        <is>
          <t>3 x 6</t>
        </is>
      </c>
      <c r="E152" s="34" t="n"/>
      <c r="F152" s="34" t="n">
        <v>75</v>
      </c>
      <c r="G152" s="36">
        <f>Maxes!G5</f>
        <v/>
      </c>
      <c r="H152" s="37">
        <f>IF(OR(G152="",F152=""),"",MROUND(G152*F152/100,'Start Here'!$B$7))</f>
        <v/>
      </c>
      <c r="I152" s="34" t="n"/>
      <c r="J152" s="34" t="n"/>
      <c r="K152" s="34" t="n"/>
      <c r="L152" s="34" t="n"/>
      <c r="M152" s="34" t="n"/>
      <c r="N152" s="34" t="n"/>
      <c r="O152" s="38" t="inlineStr"/>
    </row>
    <row r="153">
      <c r="C153" t="inlineStr">
        <is>
          <t xml:space="preserve">      Set 1</t>
        </is>
      </c>
      <c r="E153" t="n">
        <v>6</v>
      </c>
      <c r="H153" s="39">
        <f>IF(H152="","",H152)</f>
        <v/>
      </c>
      <c r="I153" s="7">
        <f>IF(H152="","",H152)</f>
        <v/>
      </c>
      <c r="J153" s="7" t="n">
        <v>6</v>
      </c>
      <c r="K153" s="7" t="n"/>
      <c r="L153" s="40" t="n"/>
      <c r="M153">
        <f>IF(AND(L153&lt;&gt;"",N(I153)&gt;0,N(J153)&gt;0),IF(J153=1,I153,ROUND(I153*(1+J153/30),1)),"")</f>
        <v/>
      </c>
      <c r="N153" s="41">
        <f>IF(M153="","",IF(M153&gt;=PRs!C5,"PR!",""))</f>
        <v/>
      </c>
      <c r="O153" s="7" t="n"/>
    </row>
    <row r="154">
      <c r="C154" t="inlineStr">
        <is>
          <t xml:space="preserve">      Set 2</t>
        </is>
      </c>
      <c r="E154" t="n">
        <v>6</v>
      </c>
      <c r="H154" s="39">
        <f>IF(H152="","",H152)</f>
        <v/>
      </c>
      <c r="I154" s="7">
        <f>IF(H152="","",H152)</f>
        <v/>
      </c>
      <c r="J154" s="7" t="n">
        <v>6</v>
      </c>
      <c r="K154" s="7" t="n"/>
      <c r="L154" s="40" t="n"/>
      <c r="M154">
        <f>IF(AND(L154&lt;&gt;"",N(I154)&gt;0,N(J154)&gt;0),IF(J154=1,I154,ROUND(I154*(1+J154/30),1)),"")</f>
        <v/>
      </c>
      <c r="N154" s="41">
        <f>IF(M154="","",IF(M154&gt;=PRs!C5,"PR!",""))</f>
        <v/>
      </c>
      <c r="O154" s="7" t="n"/>
    </row>
    <row r="155">
      <c r="C155" t="inlineStr">
        <is>
          <t xml:space="preserve">      Set 3</t>
        </is>
      </c>
      <c r="E155" t="n">
        <v>6</v>
      </c>
      <c r="H155" s="39">
        <f>IF(H152="","",H152)</f>
        <v/>
      </c>
      <c r="I155" s="7">
        <f>IF(H152="","",H152)</f>
        <v/>
      </c>
      <c r="J155" s="7" t="n">
        <v>6</v>
      </c>
      <c r="K155" s="7" t="n"/>
      <c r="L155" s="40" t="n"/>
      <c r="M155">
        <f>IF(AND(L155&lt;&gt;"",N(I155)&gt;0,N(J155)&gt;0),IF(J155=1,I155,ROUND(I155*(1+J155/30),1)),"")</f>
        <v/>
      </c>
      <c r="N155" s="41">
        <f>IF(M155="","",IF(M155&gt;=PRs!C5,"PR!",""))</f>
        <v/>
      </c>
      <c r="O155" s="7" t="n"/>
    </row>
    <row r="156">
      <c r="A156" s="34" t="n"/>
      <c r="B156" s="34" t="n"/>
      <c r="C156" s="42" t="inlineStr">
        <is>
          <t>Deadlift</t>
        </is>
      </c>
      <c r="D156" s="34" t="inlineStr">
        <is>
          <t>3 x 6</t>
        </is>
      </c>
      <c r="E156" s="34" t="n"/>
      <c r="F156" s="34" t="n">
        <v>75</v>
      </c>
      <c r="G156" s="36">
        <f>Maxes!G4</f>
        <v/>
      </c>
      <c r="H156" s="37">
        <f>IF(OR(G156="",F156=""),"",MROUND(G156*F156/100,'Start Here'!$B$7))</f>
        <v/>
      </c>
      <c r="I156" s="34" t="n"/>
      <c r="J156" s="34" t="n"/>
      <c r="K156" s="34" t="n"/>
      <c r="L156" s="34" t="n"/>
      <c r="M156" s="34" t="n"/>
      <c r="N156" s="34" t="n"/>
      <c r="O156" s="38" t="inlineStr"/>
    </row>
    <row r="157">
      <c r="C157" t="inlineStr">
        <is>
          <t xml:space="preserve">      Set 1</t>
        </is>
      </c>
      <c r="E157" t="n">
        <v>6</v>
      </c>
      <c r="H157" s="39">
        <f>IF(H156="","",H156)</f>
        <v/>
      </c>
      <c r="I157" s="7">
        <f>IF(H156="","",H156)</f>
        <v/>
      </c>
      <c r="J157" s="7" t="n">
        <v>6</v>
      </c>
      <c r="K157" s="7" t="n"/>
      <c r="L157" s="40" t="n"/>
      <c r="M157">
        <f>IF(AND(L157&lt;&gt;"",N(I157)&gt;0,N(J157)&gt;0),IF(J157=1,I157,ROUND(I157*(1+J157/30),1)),"")</f>
        <v/>
      </c>
      <c r="N157" s="41">
        <f>IF(M157="","",IF(M157&gt;=PRs!C4,"PR!",""))</f>
        <v/>
      </c>
      <c r="O157" s="7" t="n"/>
    </row>
    <row r="158">
      <c r="C158" t="inlineStr">
        <is>
          <t xml:space="preserve">      Set 2</t>
        </is>
      </c>
      <c r="E158" t="n">
        <v>6</v>
      </c>
      <c r="H158" s="39">
        <f>IF(H156="","",H156)</f>
        <v/>
      </c>
      <c r="I158" s="7">
        <f>IF(H156="","",H156)</f>
        <v/>
      </c>
      <c r="J158" s="7" t="n">
        <v>6</v>
      </c>
      <c r="K158" s="7" t="n"/>
      <c r="L158" s="40" t="n"/>
      <c r="M158">
        <f>IF(AND(L158&lt;&gt;"",N(I158)&gt;0,N(J158)&gt;0),IF(J158=1,I158,ROUND(I158*(1+J158/30),1)),"")</f>
        <v/>
      </c>
      <c r="N158" s="41">
        <f>IF(M158="","",IF(M158&gt;=PRs!C4,"PR!",""))</f>
        <v/>
      </c>
      <c r="O158" s="7" t="n"/>
    </row>
    <row r="159">
      <c r="C159" t="inlineStr">
        <is>
          <t xml:space="preserve">      Set 3</t>
        </is>
      </c>
      <c r="E159" t="n">
        <v>6</v>
      </c>
      <c r="H159" s="39">
        <f>IF(H156="","",H156)</f>
        <v/>
      </c>
      <c r="I159" s="7">
        <f>IF(H156="","",H156)</f>
        <v/>
      </c>
      <c r="J159" s="7" t="n">
        <v>6</v>
      </c>
      <c r="K159" s="7" t="n"/>
      <c r="L159" s="40" t="n"/>
      <c r="M159">
        <f>IF(AND(L159&lt;&gt;"",N(I159)&gt;0,N(J159)&gt;0),IF(J159=1,I159,ROUND(I159*(1+J159/30),1)),"")</f>
        <v/>
      </c>
      <c r="N159" s="41">
        <f>IF(M159="","",IF(M159&gt;=PRs!C4,"PR!",""))</f>
        <v/>
      </c>
      <c r="O159" s="7" t="n"/>
    </row>
    <row r="160">
      <c r="A160" s="34" t="n"/>
      <c r="B160" s="34" t="n"/>
      <c r="C160" s="43" t="inlineStr">
        <is>
          <t>Chin-up</t>
        </is>
      </c>
      <c r="D160" s="34" t="inlineStr">
        <is>
          <t>3 x 6-10</t>
        </is>
      </c>
      <c r="E160" s="34" t="n"/>
      <c r="F160" s="34" t="n"/>
      <c r="G160" s="36" t="n"/>
      <c r="H160" s="37" t="n"/>
      <c r="I160" s="34" t="n"/>
      <c r="J160" s="34" t="n"/>
      <c r="K160" s="34" t="n"/>
      <c r="L160" s="34" t="n"/>
      <c r="M160" s="34" t="n"/>
      <c r="N160" s="34" t="n"/>
      <c r="O160" s="38" t="inlineStr">
        <is>
          <t>Leave 1-2 reps in the tank; add weight when you hit the top of the range</t>
        </is>
      </c>
    </row>
    <row r="161">
      <c r="C161" t="inlineStr">
        <is>
          <t xml:space="preserve">      Set 1</t>
        </is>
      </c>
      <c r="E161" t="n">
        <v>6</v>
      </c>
      <c r="H161" s="39">
        <f>IF(H160="","",H160)</f>
        <v/>
      </c>
      <c r="I161" s="7">
        <f>IF(H160="","",H160)</f>
        <v/>
      </c>
      <c r="J161" s="7" t="n">
        <v>6</v>
      </c>
      <c r="K161" s="7" t="n"/>
      <c r="L161" s="40" t="n"/>
      <c r="M161">
        <f>IF(AND(L161&lt;&gt;"",N(I161)&gt;0,N(J161)&gt;0),IF(J161=1,I161,ROUND(I161*(1+J161/30),1)),"")</f>
        <v/>
      </c>
      <c r="N161" s="41">
        <f>IF(M161="","",IF(M161&gt;=PRs!C53,"PR!",""))</f>
        <v/>
      </c>
      <c r="O161" s="7" t="n"/>
    </row>
    <row r="162">
      <c r="C162" t="inlineStr">
        <is>
          <t xml:space="preserve">      Set 2</t>
        </is>
      </c>
      <c r="E162" t="n">
        <v>6</v>
      </c>
      <c r="H162" s="39">
        <f>IF(H160="","",H160)</f>
        <v/>
      </c>
      <c r="I162" s="7">
        <f>IF(H160="","",H160)</f>
        <v/>
      </c>
      <c r="J162" s="7" t="n">
        <v>6</v>
      </c>
      <c r="K162" s="7" t="n"/>
      <c r="L162" s="40" t="n"/>
      <c r="M162">
        <f>IF(AND(L162&lt;&gt;"",N(I162)&gt;0,N(J162)&gt;0),IF(J162=1,I162,ROUND(I162*(1+J162/30),1)),"")</f>
        <v/>
      </c>
      <c r="N162" s="41">
        <f>IF(M162="","",IF(M162&gt;=PRs!C53,"PR!",""))</f>
        <v/>
      </c>
      <c r="O162" s="7" t="n"/>
    </row>
    <row r="163">
      <c r="C163" t="inlineStr">
        <is>
          <t xml:space="preserve">      Set 3</t>
        </is>
      </c>
      <c r="E163" t="n">
        <v>6</v>
      </c>
      <c r="H163" s="39">
        <f>IF(H160="","",H160)</f>
        <v/>
      </c>
      <c r="I163" s="7">
        <f>IF(H160="","",H160)</f>
        <v/>
      </c>
      <c r="J163" s="7" t="n">
        <v>6</v>
      </c>
      <c r="K163" s="7" t="n"/>
      <c r="L163" s="40" t="n"/>
      <c r="M163">
        <f>IF(AND(L163&lt;&gt;"",N(I163)&gt;0,N(J163)&gt;0),IF(J163=1,I163,ROUND(I163*(1+J163/30),1)),"")</f>
        <v/>
      </c>
      <c r="N163" s="41">
        <f>IF(M163="","",IF(M163&gt;=PRs!C53,"PR!",""))</f>
        <v/>
      </c>
      <c r="O163" s="7" t="n"/>
    </row>
    <row r="164">
      <c r="A164" s="34" t="n"/>
      <c r="B164" s="34" t="n"/>
      <c r="C164" s="43" t="inlineStr">
        <is>
          <t>Plank</t>
        </is>
      </c>
      <c r="D164" s="34" t="inlineStr">
        <is>
          <t>3 x 30-60s</t>
        </is>
      </c>
      <c r="E164" s="34" t="n"/>
      <c r="F164" s="34" t="n"/>
      <c r="G164" s="36" t="n"/>
      <c r="H164" s="37" t="n"/>
      <c r="I164" s="34" t="n"/>
      <c r="J164" s="34" t="n"/>
      <c r="K164" s="34" t="n"/>
      <c r="L164" s="34" t="n"/>
      <c r="M164" s="34" t="n"/>
      <c r="N164" s="34" t="n"/>
      <c r="O164" s="38" t="inlineStr">
        <is>
          <t>Leave 1-2 reps in the tank; add weight when you hit the top of the range</t>
        </is>
      </c>
    </row>
    <row r="165">
      <c r="C165" t="inlineStr">
        <is>
          <t xml:space="preserve">      Set 1</t>
        </is>
      </c>
      <c r="E165" t="n">
        <v>30</v>
      </c>
      <c r="H165" s="39">
        <f>IF(H164="","",H164)</f>
        <v/>
      </c>
      <c r="I165" s="7">
        <f>IF(H164="","",H164)</f>
        <v/>
      </c>
      <c r="J165" s="7" t="n">
        <v>30</v>
      </c>
      <c r="K165" s="7" t="n"/>
      <c r="L165" s="40" t="n"/>
      <c r="M165">
        <f>IF(AND(L165&lt;&gt;"",N(I165)&gt;0,N(J165)&gt;0),IF(J165=1,I165,ROUND(I165*(1+J165/30),1)),"")</f>
        <v/>
      </c>
      <c r="N165" s="41">
        <f>IF(M165="","",IF(M165&gt;=PRs!C56,"PR!",""))</f>
        <v/>
      </c>
      <c r="O165" s="7" t="n"/>
    </row>
    <row r="166">
      <c r="C166" t="inlineStr">
        <is>
          <t xml:space="preserve">      Set 2</t>
        </is>
      </c>
      <c r="E166" t="n">
        <v>30</v>
      </c>
      <c r="H166" s="39">
        <f>IF(H164="","",H164)</f>
        <v/>
      </c>
      <c r="I166" s="7">
        <f>IF(H164="","",H164)</f>
        <v/>
      </c>
      <c r="J166" s="7" t="n">
        <v>30</v>
      </c>
      <c r="K166" s="7" t="n"/>
      <c r="L166" s="40" t="n"/>
      <c r="M166">
        <f>IF(AND(L166&lt;&gt;"",N(I166)&gt;0,N(J166)&gt;0),IF(J166=1,I166,ROUND(I166*(1+J166/30),1)),"")</f>
        <v/>
      </c>
      <c r="N166" s="41">
        <f>IF(M166="","",IF(M166&gt;=PRs!C56,"PR!",""))</f>
        <v/>
      </c>
      <c r="O166" s="7" t="n"/>
    </row>
    <row r="167">
      <c r="C167" t="inlineStr">
        <is>
          <t xml:space="preserve">      Set 3</t>
        </is>
      </c>
      <c r="E167" t="n">
        <v>30</v>
      </c>
      <c r="H167" s="39">
        <f>IF(H164="","",H164)</f>
        <v/>
      </c>
      <c r="I167" s="7">
        <f>IF(H164="","",H164)</f>
        <v/>
      </c>
      <c r="J167" s="7" t="n">
        <v>30</v>
      </c>
      <c r="K167" s="7" t="n"/>
      <c r="L167" s="40" t="n"/>
      <c r="M167">
        <f>IF(AND(L167&lt;&gt;"",N(I167)&gt;0,N(J167)&gt;0),IF(J167=1,I167,ROUND(I167*(1+J167/30),1)),"")</f>
        <v/>
      </c>
      <c r="N167" s="41">
        <f>IF(M167="","",IF(M167&gt;=PRs!C56,"PR!",""))</f>
        <v/>
      </c>
      <c r="O167" s="7" t="n"/>
    </row>
    <row r="168">
      <c r="A168" s="31" t="inlineStr">
        <is>
          <t>Day 3 - Variations</t>
        </is>
      </c>
      <c r="B168" s="32">
        <f>'Start Here'!$B$8+207</f>
        <v/>
      </c>
      <c r="C168" s="33" t="n"/>
      <c r="D168" s="33" t="n"/>
      <c r="E168" s="33" t="n"/>
      <c r="F168" s="33" t="n"/>
      <c r="G168" s="33" t="n"/>
      <c r="H168" s="33" t="n"/>
      <c r="I168" s="33" t="n"/>
      <c r="J168" s="33" t="n"/>
      <c r="K168" s="33" t="n"/>
      <c r="L168" s="33" t="n"/>
      <c r="M168" s="33" t="n"/>
      <c r="N168" s="33" t="n"/>
      <c r="O168" s="33" t="n"/>
    </row>
    <row r="169">
      <c r="A169" s="34" t="n"/>
      <c r="B169" s="34" t="n"/>
      <c r="C169" s="35" t="inlineStr">
        <is>
          <t>Hurdle Hop</t>
        </is>
      </c>
      <c r="D169" s="34" t="inlineStr">
        <is>
          <t>4 x 3</t>
        </is>
      </c>
      <c r="E169" s="34" t="n"/>
      <c r="F169" s="34" t="n"/>
      <c r="G169" s="36" t="n"/>
      <c r="H169" s="37">
        <f>IF(N(Maxes!G73)&gt;0,Maxes!G73,"")</f>
        <v/>
      </c>
      <c r="I169" s="34" t="n"/>
      <c r="J169" s="34" t="n"/>
      <c r="K169" s="34" t="n"/>
      <c r="L169" s="34" t="n"/>
      <c r="M169" s="34" t="n"/>
      <c r="N169" s="34" t="n"/>
      <c r="O169" s="38" t="inlineStr">
        <is>
          <t>Continuous two-foot hops over a row of 4-6 low hurdles or cones, minimal ground contact. Log the hurdle height.</t>
        </is>
      </c>
    </row>
    <row r="170">
      <c r="C170" t="inlineStr">
        <is>
          <t xml:space="preserve">      Set 1</t>
        </is>
      </c>
      <c r="E170" t="n">
        <v>3</v>
      </c>
      <c r="H170" s="39">
        <f>IF(H169="","",H169)</f>
        <v/>
      </c>
      <c r="I170" s="7">
        <f>IF(H169="","",H169)</f>
        <v/>
      </c>
      <c r="J170" s="7" t="n">
        <v>3</v>
      </c>
      <c r="K170" s="7" t="n"/>
      <c r="L170" s="40" t="n"/>
      <c r="N170" s="41">
        <f>IF(AND(L170&lt;&gt;"",N(I170)&gt;0),IF(I170&gt;=PRs!D73,"PR!",""),"")</f>
        <v/>
      </c>
      <c r="O170" s="7" t="n"/>
    </row>
    <row r="171">
      <c r="C171" t="inlineStr">
        <is>
          <t xml:space="preserve">      Set 2</t>
        </is>
      </c>
      <c r="E171" t="n">
        <v>3</v>
      </c>
      <c r="H171" s="39">
        <f>IF(H169="","",H169)</f>
        <v/>
      </c>
      <c r="I171" s="7">
        <f>IF(H169="","",H169)</f>
        <v/>
      </c>
      <c r="J171" s="7" t="n">
        <v>3</v>
      </c>
      <c r="K171" s="7" t="n"/>
      <c r="L171" s="40" t="n"/>
      <c r="N171" s="41">
        <f>IF(AND(L171&lt;&gt;"",N(I171)&gt;0),IF(I171&gt;=PRs!D73,"PR!",""),"")</f>
        <v/>
      </c>
      <c r="O171" s="7" t="n"/>
    </row>
    <row r="172">
      <c r="C172" t="inlineStr">
        <is>
          <t xml:space="preserve">      Set 3</t>
        </is>
      </c>
      <c r="E172" t="n">
        <v>3</v>
      </c>
      <c r="H172" s="39">
        <f>IF(H169="","",H169)</f>
        <v/>
      </c>
      <c r="I172" s="7">
        <f>IF(H169="","",H169)</f>
        <v/>
      </c>
      <c r="J172" s="7" t="n">
        <v>3</v>
      </c>
      <c r="K172" s="7" t="n"/>
      <c r="L172" s="40" t="n"/>
      <c r="N172" s="41">
        <f>IF(AND(L172&lt;&gt;"",N(I172)&gt;0),IF(I172&gt;=PRs!D73,"PR!",""),"")</f>
        <v/>
      </c>
      <c r="O172" s="7" t="n"/>
    </row>
    <row r="173">
      <c r="C173" t="inlineStr">
        <is>
          <t xml:space="preserve">      Set 4</t>
        </is>
      </c>
      <c r="E173" t="n">
        <v>3</v>
      </c>
      <c r="H173" s="39">
        <f>IF(H169="","",H169)</f>
        <v/>
      </c>
      <c r="I173" s="7">
        <f>IF(H169="","",H169)</f>
        <v/>
      </c>
      <c r="J173" s="7" t="n">
        <v>3</v>
      </c>
      <c r="K173" s="7" t="n"/>
      <c r="L173" s="40" t="n"/>
      <c r="N173" s="41">
        <f>IF(AND(L173&lt;&gt;"",N(I173)&gt;0),IF(I173&gt;=PRs!D73,"PR!",""),"")</f>
        <v/>
      </c>
      <c r="O173" s="7" t="n"/>
    </row>
    <row r="174">
      <c r="A174" s="34" t="n"/>
      <c r="B174" s="34" t="n"/>
      <c r="C174" s="42" t="inlineStr">
        <is>
          <t>Split Jerk</t>
        </is>
      </c>
      <c r="D174" s="34" t="inlineStr">
        <is>
          <t>4 x 3</t>
        </is>
      </c>
      <c r="E174" s="34" t="n"/>
      <c r="F174" s="34" t="n">
        <v>75</v>
      </c>
      <c r="G174" s="36">
        <f>Maxes!G46</f>
        <v/>
      </c>
      <c r="H174" s="37">
        <f>IF(OR(G174="",F174=""),"",MROUND(G174*F174/100,'Start Here'!$B$7))</f>
        <v/>
      </c>
      <c r="I174" s="34" t="n"/>
      <c r="J174" s="34" t="n"/>
      <c r="K174" s="34" t="n"/>
      <c r="L174" s="34" t="n"/>
      <c r="M174" s="34" t="n"/>
      <c r="N174" s="34" t="n"/>
      <c r="O174" s="38" t="inlineStr"/>
    </row>
    <row r="175">
      <c r="C175" t="inlineStr">
        <is>
          <t xml:space="preserve">      Set 1</t>
        </is>
      </c>
      <c r="E175" t="n">
        <v>3</v>
      </c>
      <c r="H175" s="39">
        <f>IF(H174="","",H174)</f>
        <v/>
      </c>
      <c r="I175" s="7">
        <f>IF(H174="","",H174)</f>
        <v/>
      </c>
      <c r="J175" s="7" t="n">
        <v>3</v>
      </c>
      <c r="K175" s="7" t="n"/>
      <c r="L175" s="40" t="n"/>
      <c r="M175">
        <f>IF(AND(L175&lt;&gt;"",N(I175)&gt;0,N(J175)&gt;0),IF(J175=1,I175,ROUND(I175*(1+J175/30),1)),"")</f>
        <v/>
      </c>
      <c r="N175" s="41">
        <f>IF(M175="","",IF(M175&gt;=PRs!C46,"PR!",""))</f>
        <v/>
      </c>
      <c r="O175" s="7" t="n"/>
    </row>
    <row r="176">
      <c r="C176" t="inlineStr">
        <is>
          <t xml:space="preserve">      Set 2</t>
        </is>
      </c>
      <c r="E176" t="n">
        <v>3</v>
      </c>
      <c r="H176" s="39">
        <f>IF(H174="","",H174)</f>
        <v/>
      </c>
      <c r="I176" s="7">
        <f>IF(H174="","",H174)</f>
        <v/>
      </c>
      <c r="J176" s="7" t="n">
        <v>3</v>
      </c>
      <c r="K176" s="7" t="n"/>
      <c r="L176" s="40" t="n"/>
      <c r="M176">
        <f>IF(AND(L176&lt;&gt;"",N(I176)&gt;0,N(J176)&gt;0),IF(J176=1,I176,ROUND(I176*(1+J176/30),1)),"")</f>
        <v/>
      </c>
      <c r="N176" s="41">
        <f>IF(M176="","",IF(M176&gt;=PRs!C46,"PR!",""))</f>
        <v/>
      </c>
      <c r="O176" s="7" t="n"/>
    </row>
    <row r="177">
      <c r="C177" t="inlineStr">
        <is>
          <t xml:space="preserve">      Set 3</t>
        </is>
      </c>
      <c r="E177" t="n">
        <v>3</v>
      </c>
      <c r="H177" s="39">
        <f>IF(H174="","",H174)</f>
        <v/>
      </c>
      <c r="I177" s="7">
        <f>IF(H174="","",H174)</f>
        <v/>
      </c>
      <c r="J177" s="7" t="n">
        <v>3</v>
      </c>
      <c r="K177" s="7" t="n"/>
      <c r="L177" s="40" t="n"/>
      <c r="M177">
        <f>IF(AND(L177&lt;&gt;"",N(I177)&gt;0,N(J177)&gt;0),IF(J177=1,I177,ROUND(I177*(1+J177/30),1)),"")</f>
        <v/>
      </c>
      <c r="N177" s="41">
        <f>IF(M177="","",IF(M177&gt;=PRs!C46,"PR!",""))</f>
        <v/>
      </c>
      <c r="O177" s="7" t="n"/>
    </row>
    <row r="178">
      <c r="C178" t="inlineStr">
        <is>
          <t xml:space="preserve">      Set 4</t>
        </is>
      </c>
      <c r="E178" t="n">
        <v>3</v>
      </c>
      <c r="H178" s="39">
        <f>IF(H174="","",H174)</f>
        <v/>
      </c>
      <c r="I178" s="7">
        <f>IF(H174="","",H174)</f>
        <v/>
      </c>
      <c r="J178" s="7" t="n">
        <v>3</v>
      </c>
      <c r="K178" s="7" t="n"/>
      <c r="L178" s="40" t="n"/>
      <c r="M178">
        <f>IF(AND(L178&lt;&gt;"",N(I178)&gt;0,N(J178)&gt;0),IF(J178=1,I178,ROUND(I178*(1+J178/30),1)),"")</f>
        <v/>
      </c>
      <c r="N178" s="41">
        <f>IF(M178="","",IF(M178&gt;=PRs!C46,"PR!",""))</f>
        <v/>
      </c>
      <c r="O178" s="7" t="n"/>
    </row>
    <row r="179">
      <c r="A179" s="34" t="n"/>
      <c r="B179" s="34" t="n"/>
      <c r="C179" s="42" t="inlineStr">
        <is>
          <t>Front Squat</t>
        </is>
      </c>
      <c r="D179" s="34" t="inlineStr">
        <is>
          <t>3 x 6</t>
        </is>
      </c>
      <c r="E179" s="34" t="n"/>
      <c r="F179" s="34" t="n">
        <v>75</v>
      </c>
      <c r="G179" s="36">
        <f>Maxes!G10</f>
        <v/>
      </c>
      <c r="H179" s="37">
        <f>IF(OR(G179="",F179=""),"",MROUND(G179*F179/100,'Start Here'!$B$7))</f>
        <v/>
      </c>
      <c r="I179" s="34" t="n"/>
      <c r="J179" s="34" t="n"/>
      <c r="K179" s="34" t="n"/>
      <c r="L179" s="34" t="n"/>
      <c r="M179" s="34" t="n"/>
      <c r="N179" s="34" t="n"/>
      <c r="O179" s="38" t="inlineStr"/>
    </row>
    <row r="180">
      <c r="C180" t="inlineStr">
        <is>
          <t xml:space="preserve">      Set 1</t>
        </is>
      </c>
      <c r="E180" t="n">
        <v>6</v>
      </c>
      <c r="H180" s="39">
        <f>IF(H179="","",H179)</f>
        <v/>
      </c>
      <c r="I180" s="7">
        <f>IF(H179="","",H179)</f>
        <v/>
      </c>
      <c r="J180" s="7" t="n">
        <v>6</v>
      </c>
      <c r="K180" s="7" t="n"/>
      <c r="L180" s="40" t="n"/>
      <c r="M180">
        <f>IF(AND(L180&lt;&gt;"",N(I180)&gt;0,N(J180)&gt;0),IF(J180=1,I180,ROUND(I180*(1+J180/30),1)),"")</f>
        <v/>
      </c>
      <c r="N180" s="41">
        <f>IF(M180="","",IF(M180&gt;=PRs!C10,"PR!",""))</f>
        <v/>
      </c>
      <c r="O180" s="7" t="n"/>
    </row>
    <row r="181">
      <c r="C181" t="inlineStr">
        <is>
          <t xml:space="preserve">      Set 2</t>
        </is>
      </c>
      <c r="E181" t="n">
        <v>6</v>
      </c>
      <c r="H181" s="39">
        <f>IF(H179="","",H179)</f>
        <v/>
      </c>
      <c r="I181" s="7">
        <f>IF(H179="","",H179)</f>
        <v/>
      </c>
      <c r="J181" s="7" t="n">
        <v>6</v>
      </c>
      <c r="K181" s="7" t="n"/>
      <c r="L181" s="40" t="n"/>
      <c r="M181">
        <f>IF(AND(L181&lt;&gt;"",N(I181)&gt;0,N(J181)&gt;0),IF(J181=1,I181,ROUND(I181*(1+J181/30),1)),"")</f>
        <v/>
      </c>
      <c r="N181" s="41">
        <f>IF(M181="","",IF(M181&gt;=PRs!C10,"PR!",""))</f>
        <v/>
      </c>
      <c r="O181" s="7" t="n"/>
    </row>
    <row r="182">
      <c r="C182" t="inlineStr">
        <is>
          <t xml:space="preserve">      Set 3</t>
        </is>
      </c>
      <c r="E182" t="n">
        <v>6</v>
      </c>
      <c r="H182" s="39">
        <f>IF(H179="","",H179)</f>
        <v/>
      </c>
      <c r="I182" s="7">
        <f>IF(H179="","",H179)</f>
        <v/>
      </c>
      <c r="J182" s="7" t="n">
        <v>6</v>
      </c>
      <c r="K182" s="7" t="n"/>
      <c r="L182" s="40" t="n"/>
      <c r="M182">
        <f>IF(AND(L182&lt;&gt;"",N(I182)&gt;0,N(J182)&gt;0),IF(J182=1,I182,ROUND(I182*(1+J182/30),1)),"")</f>
        <v/>
      </c>
      <c r="N182" s="41">
        <f>IF(M182="","",IF(M182&gt;=PRs!C10,"PR!",""))</f>
        <v/>
      </c>
      <c r="O182" s="7" t="n"/>
    </row>
    <row r="183">
      <c r="A183" s="34" t="n"/>
      <c r="B183" s="34" t="n"/>
      <c r="C183" s="42" t="inlineStr">
        <is>
          <t>Close-Grip Bench Press</t>
        </is>
      </c>
      <c r="D183" s="34" t="inlineStr">
        <is>
          <t>3 x 6</t>
        </is>
      </c>
      <c r="E183" s="34" t="n"/>
      <c r="F183" s="34" t="n">
        <v>75</v>
      </c>
      <c r="G183" s="36">
        <f>Maxes!G14</f>
        <v/>
      </c>
      <c r="H183" s="37">
        <f>IF(OR(G183="",F183=""),"",MROUND(G183*F183/100,'Start Here'!$B$7))</f>
        <v/>
      </c>
      <c r="I183" s="34" t="n"/>
      <c r="J183" s="34" t="n"/>
      <c r="K183" s="34" t="n"/>
      <c r="L183" s="34" t="n"/>
      <c r="M183" s="34" t="n"/>
      <c r="N183" s="34" t="n"/>
      <c r="O183" s="38" t="inlineStr"/>
    </row>
    <row r="184">
      <c r="C184" t="inlineStr">
        <is>
          <t xml:space="preserve">      Set 1</t>
        </is>
      </c>
      <c r="E184" t="n">
        <v>6</v>
      </c>
      <c r="H184" s="39">
        <f>IF(H183="","",H183)</f>
        <v/>
      </c>
      <c r="I184" s="7">
        <f>IF(H183="","",H183)</f>
        <v/>
      </c>
      <c r="J184" s="7" t="n">
        <v>6</v>
      </c>
      <c r="K184" s="7" t="n"/>
      <c r="L184" s="40" t="n"/>
      <c r="M184">
        <f>IF(AND(L184&lt;&gt;"",N(I184)&gt;0,N(J184)&gt;0),IF(J184=1,I184,ROUND(I184*(1+J184/30),1)),"")</f>
        <v/>
      </c>
      <c r="N184" s="41">
        <f>IF(M184="","",IF(M184&gt;=PRs!C14,"PR!",""))</f>
        <v/>
      </c>
      <c r="O184" s="7" t="n"/>
    </row>
    <row r="185">
      <c r="C185" t="inlineStr">
        <is>
          <t xml:space="preserve">      Set 2</t>
        </is>
      </c>
      <c r="E185" t="n">
        <v>6</v>
      </c>
      <c r="H185" s="39">
        <f>IF(H183="","",H183)</f>
        <v/>
      </c>
      <c r="I185" s="7">
        <f>IF(H183="","",H183)</f>
        <v/>
      </c>
      <c r="J185" s="7" t="n">
        <v>6</v>
      </c>
      <c r="K185" s="7" t="n"/>
      <c r="L185" s="40" t="n"/>
      <c r="M185">
        <f>IF(AND(L185&lt;&gt;"",N(I185)&gt;0,N(J185)&gt;0),IF(J185=1,I185,ROUND(I185*(1+J185/30),1)),"")</f>
        <v/>
      </c>
      <c r="N185" s="41">
        <f>IF(M185="","",IF(M185&gt;=PRs!C14,"PR!",""))</f>
        <v/>
      </c>
      <c r="O185" s="7" t="n"/>
    </row>
    <row r="186">
      <c r="C186" t="inlineStr">
        <is>
          <t xml:space="preserve">      Set 3</t>
        </is>
      </c>
      <c r="E186" t="n">
        <v>6</v>
      </c>
      <c r="H186" s="39">
        <f>IF(H183="","",H183)</f>
        <v/>
      </c>
      <c r="I186" s="7">
        <f>IF(H183="","",H183)</f>
        <v/>
      </c>
      <c r="J186" s="7" t="n">
        <v>6</v>
      </c>
      <c r="K186" s="7" t="n"/>
      <c r="L186" s="40" t="n"/>
      <c r="M186">
        <f>IF(AND(L186&lt;&gt;"",N(I186)&gt;0,N(J186)&gt;0),IF(J186=1,I186,ROUND(I186*(1+J186/30),1)),"")</f>
        <v/>
      </c>
      <c r="N186" s="41">
        <f>IF(M186="","",IF(M186&gt;=PRs!C14,"PR!",""))</f>
        <v/>
      </c>
      <c r="O186" s="7" t="n"/>
    </row>
    <row r="187">
      <c r="A187" s="34" t="n"/>
      <c r="B187" s="34" t="n"/>
      <c r="C187" s="42" t="inlineStr">
        <is>
          <t>Block Pull</t>
        </is>
      </c>
      <c r="D187" s="34" t="inlineStr">
        <is>
          <t>3 x 6</t>
        </is>
      </c>
      <c r="E187" s="34" t="n"/>
      <c r="F187" s="34" t="n">
        <v>67.5</v>
      </c>
      <c r="G187" s="36">
        <f>Maxes!G26</f>
        <v/>
      </c>
      <c r="H187" s="37">
        <f>IF(OR(G187="",F187=""),"",MROUND(G187*F187/100,'Start Here'!$B$7))</f>
        <v/>
      </c>
      <c r="I187" s="34" t="n"/>
      <c r="J187" s="34" t="n"/>
      <c r="K187" s="34" t="n"/>
      <c r="L187" s="34" t="n"/>
      <c r="M187" s="34" t="n"/>
      <c r="N187" s="34" t="n"/>
      <c r="O187" s="38" t="inlineStr"/>
    </row>
    <row r="188">
      <c r="C188" t="inlineStr">
        <is>
          <t xml:space="preserve">      Set 1</t>
        </is>
      </c>
      <c r="E188" t="n">
        <v>6</v>
      </c>
      <c r="H188" s="39">
        <f>IF(H187="","",H187)</f>
        <v/>
      </c>
      <c r="I188" s="7">
        <f>IF(H187="","",H187)</f>
        <v/>
      </c>
      <c r="J188" s="7" t="n">
        <v>6</v>
      </c>
      <c r="K188" s="7" t="n"/>
      <c r="L188" s="40" t="n"/>
      <c r="M188">
        <f>IF(AND(L188&lt;&gt;"",N(I188)&gt;0,N(J188)&gt;0),IF(J188=1,I188,ROUND(I188*(1+J188/30),1)),"")</f>
        <v/>
      </c>
      <c r="N188" s="41">
        <f>IF(M188="","",IF(M188&gt;=PRs!C26,"PR!",""))</f>
        <v/>
      </c>
      <c r="O188" s="7" t="n"/>
    </row>
    <row r="189">
      <c r="C189" t="inlineStr">
        <is>
          <t xml:space="preserve">      Set 2</t>
        </is>
      </c>
      <c r="E189" t="n">
        <v>6</v>
      </c>
      <c r="H189" s="39">
        <f>IF(H187="","",H187)</f>
        <v/>
      </c>
      <c r="I189" s="7">
        <f>IF(H187="","",H187)</f>
        <v/>
      </c>
      <c r="J189" s="7" t="n">
        <v>6</v>
      </c>
      <c r="K189" s="7" t="n"/>
      <c r="L189" s="40" t="n"/>
      <c r="M189">
        <f>IF(AND(L189&lt;&gt;"",N(I189)&gt;0,N(J189)&gt;0),IF(J189=1,I189,ROUND(I189*(1+J189/30),1)),"")</f>
        <v/>
      </c>
      <c r="N189" s="41">
        <f>IF(M189="","",IF(M189&gt;=PRs!C26,"PR!",""))</f>
        <v/>
      </c>
      <c r="O189" s="7" t="n"/>
    </row>
    <row r="190">
      <c r="C190" t="inlineStr">
        <is>
          <t xml:space="preserve">      Set 3</t>
        </is>
      </c>
      <c r="E190" t="n">
        <v>6</v>
      </c>
      <c r="H190" s="39">
        <f>IF(H187="","",H187)</f>
        <v/>
      </c>
      <c r="I190" s="7">
        <f>IF(H187="","",H187)</f>
        <v/>
      </c>
      <c r="J190" s="7" t="n">
        <v>6</v>
      </c>
      <c r="K190" s="7" t="n"/>
      <c r="L190" s="40" t="n"/>
      <c r="M190">
        <f>IF(AND(L190&lt;&gt;"",N(I190)&gt;0,N(J190)&gt;0),IF(J190=1,I190,ROUND(I190*(1+J190/30),1)),"")</f>
        <v/>
      </c>
      <c r="N190" s="41">
        <f>IF(M190="","",IF(M190&gt;=PRs!C26,"PR!",""))</f>
        <v/>
      </c>
      <c r="O190" s="7" t="n"/>
    </row>
    <row r="191">
      <c r="A191" s="34" t="n"/>
      <c r="B191" s="34" t="n"/>
      <c r="C191" s="43" t="inlineStr">
        <is>
          <t>Incline Dumbbell Press</t>
        </is>
      </c>
      <c r="D191" s="34" t="inlineStr">
        <is>
          <t>3 x 8-12</t>
        </is>
      </c>
      <c r="E191" s="34" t="n"/>
      <c r="F191" s="34" t="n"/>
      <c r="G191" s="36" t="n"/>
      <c r="H191" s="37" t="n"/>
      <c r="I191" s="34" t="n"/>
      <c r="J191" s="34" t="n"/>
      <c r="K191" s="34" t="n"/>
      <c r="L191" s="34" t="n"/>
      <c r="M191" s="34" t="n"/>
      <c r="N191" s="34" t="n"/>
      <c r="O191" s="38" t="inlineStr">
        <is>
          <t>Leave 1-2 reps in the tank; add weight when you hit the top of the range</t>
        </is>
      </c>
    </row>
    <row r="192">
      <c r="C192" t="inlineStr">
        <is>
          <t xml:space="preserve">      Set 1</t>
        </is>
      </c>
      <c r="E192" t="n">
        <v>8</v>
      </c>
      <c r="H192" s="39">
        <f>IF(H191="","",H191)</f>
        <v/>
      </c>
      <c r="I192" s="7">
        <f>IF(H191="","",H191)</f>
        <v/>
      </c>
      <c r="J192" s="7" t="n">
        <v>8</v>
      </c>
      <c r="K192" s="7" t="n"/>
      <c r="L192" s="40" t="n"/>
      <c r="M192">
        <f>IF(AND(L192&lt;&gt;"",N(I192)&gt;0,N(J192)&gt;0),IF(J192=1,I192,ROUND(I192*(1+J192/30),1)),"")</f>
        <v/>
      </c>
      <c r="N192" s="41">
        <f>IF(M192="","",IF(M192&gt;=PRs!C57,"PR!",""))</f>
        <v/>
      </c>
      <c r="O192" s="7" t="n"/>
    </row>
    <row r="193">
      <c r="C193" t="inlineStr">
        <is>
          <t xml:space="preserve">      Set 2</t>
        </is>
      </c>
      <c r="E193" t="n">
        <v>8</v>
      </c>
      <c r="H193" s="39">
        <f>IF(H191="","",H191)</f>
        <v/>
      </c>
      <c r="I193" s="7">
        <f>IF(H191="","",H191)</f>
        <v/>
      </c>
      <c r="J193" s="7" t="n">
        <v>8</v>
      </c>
      <c r="K193" s="7" t="n"/>
      <c r="L193" s="40" t="n"/>
      <c r="M193">
        <f>IF(AND(L193&lt;&gt;"",N(I193)&gt;0,N(J193)&gt;0),IF(J193=1,I193,ROUND(I193*(1+J193/30),1)),"")</f>
        <v/>
      </c>
      <c r="N193" s="41">
        <f>IF(M193="","",IF(M193&gt;=PRs!C57,"PR!",""))</f>
        <v/>
      </c>
      <c r="O193" s="7" t="n"/>
    </row>
    <row r="194">
      <c r="C194" t="inlineStr">
        <is>
          <t xml:space="preserve">      Set 3</t>
        </is>
      </c>
      <c r="E194" t="n">
        <v>8</v>
      </c>
      <c r="H194" s="39">
        <f>IF(H191="","",H191)</f>
        <v/>
      </c>
      <c r="I194" s="7">
        <f>IF(H191="","",H191)</f>
        <v/>
      </c>
      <c r="J194" s="7" t="n">
        <v>8</v>
      </c>
      <c r="K194" s="7" t="n"/>
      <c r="L194" s="40" t="n"/>
      <c r="M194">
        <f>IF(AND(L194&lt;&gt;"",N(I194)&gt;0,N(J194)&gt;0),IF(J194=1,I194,ROUND(I194*(1+J194/30),1)),"")</f>
        <v/>
      </c>
      <c r="N194" s="41">
        <f>IF(M194="","",IF(M194&gt;=PRs!C57,"PR!",""))</f>
        <v/>
      </c>
      <c r="O194" s="7" t="n"/>
    </row>
    <row r="195">
      <c r="A195" s="34" t="n"/>
      <c r="B195" s="34" t="n"/>
      <c r="C195" s="43" t="inlineStr">
        <is>
          <t>Triceps Pushdown</t>
        </is>
      </c>
      <c r="D195" s="34" t="inlineStr">
        <is>
          <t>3 x 10-15</t>
        </is>
      </c>
      <c r="E195" s="34" t="n"/>
      <c r="F195" s="34" t="n"/>
      <c r="G195" s="36" t="n"/>
      <c r="H195" s="37" t="n"/>
      <c r="I195" s="34" t="n"/>
      <c r="J195" s="34" t="n"/>
      <c r="K195" s="34" t="n"/>
      <c r="L195" s="34" t="n"/>
      <c r="M195" s="34" t="n"/>
      <c r="N195" s="34" t="n"/>
      <c r="O195" s="38" t="inlineStr">
        <is>
          <t>Leave 1-2 reps in the tank; add weight when you hit the top of the range</t>
        </is>
      </c>
    </row>
    <row r="196">
      <c r="C196" t="inlineStr">
        <is>
          <t xml:space="preserve">      Set 1</t>
        </is>
      </c>
      <c r="E196" t="n">
        <v>10</v>
      </c>
      <c r="H196" s="39">
        <f>IF(H195="","",H195)</f>
        <v/>
      </c>
      <c r="I196" s="7">
        <f>IF(H195="","",H195)</f>
        <v/>
      </c>
      <c r="J196" s="7" t="n">
        <v>10</v>
      </c>
      <c r="K196" s="7" t="n"/>
      <c r="L196" s="40" t="n"/>
      <c r="M196">
        <f>IF(AND(L196&lt;&gt;"",N(I196)&gt;0,N(J196)&gt;0),IF(J196=1,I196,ROUND(I196*(1+J196/30),1)),"")</f>
        <v/>
      </c>
      <c r="N196" s="41">
        <f>IF(M196="","",IF(M196&gt;=PRs!C59,"PR!",""))</f>
        <v/>
      </c>
      <c r="O196" s="7" t="n"/>
    </row>
    <row r="197">
      <c r="C197" t="inlineStr">
        <is>
          <t xml:space="preserve">      Set 2</t>
        </is>
      </c>
      <c r="E197" t="n">
        <v>10</v>
      </c>
      <c r="H197" s="39">
        <f>IF(H195="","",H195)</f>
        <v/>
      </c>
      <c r="I197" s="7">
        <f>IF(H195="","",H195)</f>
        <v/>
      </c>
      <c r="J197" s="7" t="n">
        <v>10</v>
      </c>
      <c r="K197" s="7" t="n"/>
      <c r="L197" s="40" t="n"/>
      <c r="M197">
        <f>IF(AND(L197&lt;&gt;"",N(I197)&gt;0,N(J197)&gt;0),IF(J197=1,I197,ROUND(I197*(1+J197/30),1)),"")</f>
        <v/>
      </c>
      <c r="N197" s="41">
        <f>IF(M197="","",IF(M197&gt;=PRs!C59,"PR!",""))</f>
        <v/>
      </c>
      <c r="O197" s="7" t="n"/>
    </row>
    <row r="198">
      <c r="C198" t="inlineStr">
        <is>
          <t xml:space="preserve">      Set 3</t>
        </is>
      </c>
      <c r="E198" t="n">
        <v>10</v>
      </c>
      <c r="H198" s="39">
        <f>IF(H195="","",H195)</f>
        <v/>
      </c>
      <c r="I198" s="7">
        <f>IF(H195="","",H195)</f>
        <v/>
      </c>
      <c r="J198" s="7" t="n">
        <v>10</v>
      </c>
      <c r="K198" s="7" t="n"/>
      <c r="L198" s="40" t="n"/>
      <c r="M198">
        <f>IF(AND(L198&lt;&gt;"",N(I198)&gt;0,N(J198)&gt;0),IF(J198=1,I198,ROUND(I198*(1+J198/30),1)),"")</f>
        <v/>
      </c>
      <c r="N198" s="41">
        <f>IF(M198="","",IF(M198&gt;=PRs!C59,"PR!",""))</f>
        <v/>
      </c>
      <c r="O198" s="7" t="n"/>
    </row>
    <row r="200">
      <c r="A200" s="51" t="inlineStr">
        <is>
          <t>WEEK 31 - CYCLE 3 - TRANSMUTATION</t>
        </is>
      </c>
      <c r="B200" s="52" t="n"/>
      <c r="C200" s="52" t="n"/>
      <c r="D200" s="52" t="n"/>
      <c r="E200" s="52" t="n"/>
      <c r="F200" s="52" t="n"/>
      <c r="G200" s="52" t="n"/>
      <c r="H200" s="53" t="inlineStr">
        <is>
          <t>Bodyweight:</t>
        </is>
      </c>
      <c r="I200" s="7" t="n"/>
      <c r="J200" s="52" t="n"/>
      <c r="K200" s="52" t="n"/>
      <c r="L200" s="52" t="n"/>
      <c r="M200" s="52" t="n"/>
      <c r="N200" s="52" t="n"/>
      <c r="O200" s="52" t="n"/>
    </row>
    <row r="201">
      <c r="A201" s="31" t="inlineStr">
        <is>
          <t>Day 1 - Heavy</t>
        </is>
      </c>
      <c r="B201" s="32">
        <f>'Start Here'!$B$8+210</f>
        <v/>
      </c>
      <c r="C201" s="33" t="n"/>
      <c r="D201" s="33" t="n"/>
      <c r="E201" s="33" t="n"/>
      <c r="F201" s="33" t="n"/>
      <c r="G201" s="33" t="n"/>
      <c r="H201" s="33" t="n"/>
      <c r="I201" s="33" t="n"/>
      <c r="J201" s="33" t="n"/>
      <c r="K201" s="33" t="n"/>
      <c r="L201" s="33" t="n"/>
      <c r="M201" s="33" t="n"/>
      <c r="N201" s="33" t="n"/>
      <c r="O201" s="33" t="n"/>
    </row>
    <row r="202">
      <c r="A202" s="34" t="n"/>
      <c r="B202" s="34" t="n"/>
      <c r="C202" s="35" t="inlineStr">
        <is>
          <t>Box Jump</t>
        </is>
      </c>
      <c r="D202" s="34" t="inlineStr">
        <is>
          <t>4 x 3</t>
        </is>
      </c>
      <c r="E202" s="34" t="n"/>
      <c r="F202" s="34" t="n"/>
      <c r="G202" s="36" t="n"/>
      <c r="H202" s="37">
        <f>IF(N(Maxes!G69)&gt;0,Maxes!G69,'Start Here'!$G$16)</f>
        <v/>
      </c>
      <c r="I202" s="34" t="n"/>
      <c r="J202" s="34" t="n"/>
      <c r="K202" s="34" t="n"/>
      <c r="L202" s="34" t="n"/>
      <c r="M202" s="34" t="n"/>
      <c r="N202" s="34" t="n"/>
      <c r="O202" s="38" t="inlineStr">
        <is>
          <t>Two-foot jump onto a box, land soft in a quarter squat, STEP down. Log the box height (floor to top of box).</t>
        </is>
      </c>
    </row>
    <row r="203">
      <c r="C203" t="inlineStr">
        <is>
          <t xml:space="preserve">      Set 1</t>
        </is>
      </c>
      <c r="E203" t="n">
        <v>3</v>
      </c>
      <c r="H203" s="39">
        <f>IF(H202="","",H202)</f>
        <v/>
      </c>
      <c r="I203" s="7">
        <f>IF(H202="","",H202)</f>
        <v/>
      </c>
      <c r="J203" s="7" t="n">
        <v>3</v>
      </c>
      <c r="K203" s="7" t="n"/>
      <c r="L203" s="40" t="n"/>
      <c r="N203" s="41">
        <f>IF(AND(L203&lt;&gt;"",N(I203)&gt;0),IF(I203&gt;=PRs!D69,"PR!",""),"")</f>
        <v/>
      </c>
      <c r="O203" s="7" t="n"/>
    </row>
    <row r="204">
      <c r="C204" t="inlineStr">
        <is>
          <t xml:space="preserve">      Set 2</t>
        </is>
      </c>
      <c r="E204" t="n">
        <v>3</v>
      </c>
      <c r="H204" s="39">
        <f>IF(H202="","",H202)</f>
        <v/>
      </c>
      <c r="I204" s="7">
        <f>IF(H202="","",H202)</f>
        <v/>
      </c>
      <c r="J204" s="7" t="n">
        <v>3</v>
      </c>
      <c r="K204" s="7" t="n"/>
      <c r="L204" s="40" t="n"/>
      <c r="N204" s="41">
        <f>IF(AND(L204&lt;&gt;"",N(I204)&gt;0),IF(I204&gt;=PRs!D69,"PR!",""),"")</f>
        <v/>
      </c>
      <c r="O204" s="7" t="n"/>
    </row>
    <row r="205">
      <c r="C205" t="inlineStr">
        <is>
          <t xml:space="preserve">      Set 3</t>
        </is>
      </c>
      <c r="E205" t="n">
        <v>3</v>
      </c>
      <c r="H205" s="39">
        <f>IF(H202="","",H202)</f>
        <v/>
      </c>
      <c r="I205" s="7">
        <f>IF(H202="","",H202)</f>
        <v/>
      </c>
      <c r="J205" s="7" t="n">
        <v>3</v>
      </c>
      <c r="K205" s="7" t="n"/>
      <c r="L205" s="40" t="n"/>
      <c r="N205" s="41">
        <f>IF(AND(L205&lt;&gt;"",N(I205)&gt;0),IF(I205&gt;=PRs!D69,"PR!",""),"")</f>
        <v/>
      </c>
      <c r="O205" s="7" t="n"/>
    </row>
    <row r="206">
      <c r="C206" t="inlineStr">
        <is>
          <t xml:space="preserve">      Set 4</t>
        </is>
      </c>
      <c r="E206" t="n">
        <v>3</v>
      </c>
      <c r="H206" s="39">
        <f>IF(H202="","",H202)</f>
        <v/>
      </c>
      <c r="I206" s="7">
        <f>IF(H202="","",H202)</f>
        <v/>
      </c>
      <c r="J206" s="7" t="n">
        <v>3</v>
      </c>
      <c r="K206" s="7" t="n"/>
      <c r="L206" s="40" t="n"/>
      <c r="N206" s="41">
        <f>IF(AND(L206&lt;&gt;"",N(I206)&gt;0),IF(I206&gt;=PRs!D69,"PR!",""),"")</f>
        <v/>
      </c>
      <c r="O206" s="7" t="n"/>
    </row>
    <row r="207">
      <c r="A207" s="34" t="n"/>
      <c r="B207" s="34" t="n"/>
      <c r="C207" s="42" t="inlineStr">
        <is>
          <t>Snatch</t>
        </is>
      </c>
      <c r="D207" s="34" t="inlineStr">
        <is>
          <t>5 x 2</t>
        </is>
      </c>
      <c r="E207" s="34" t="n"/>
      <c r="F207" s="34" t="n">
        <v>82.5</v>
      </c>
      <c r="G207" s="36">
        <f>Maxes!G6</f>
        <v/>
      </c>
      <c r="H207" s="37">
        <f>IF(OR(G207="",F207=""),"",MROUND(G207*F207/100,'Start Here'!$B$7))</f>
        <v/>
      </c>
      <c r="I207" s="34" t="n"/>
      <c r="J207" s="34" t="n"/>
      <c r="K207" s="34" t="n"/>
      <c r="L207" s="34" t="n"/>
      <c r="M207" s="34" t="n"/>
      <c r="N207" s="34" t="n"/>
      <c r="O207" s="38" t="inlineStr"/>
    </row>
    <row r="208">
      <c r="C208" t="inlineStr">
        <is>
          <t xml:space="preserve">      Set 1</t>
        </is>
      </c>
      <c r="E208" t="n">
        <v>2</v>
      </c>
      <c r="H208" s="39">
        <f>IF(H207="","",H207)</f>
        <v/>
      </c>
      <c r="I208" s="7">
        <f>IF(H207="","",H207)</f>
        <v/>
      </c>
      <c r="J208" s="7" t="n">
        <v>2</v>
      </c>
      <c r="K208" s="7" t="n"/>
      <c r="L208" s="40" t="n"/>
      <c r="M208">
        <f>IF(AND(L208&lt;&gt;"",N(I208)&gt;0,N(J208)&gt;0),IF(J208=1,I208,ROUND(I208*(1+J208/30),1)),"")</f>
        <v/>
      </c>
      <c r="N208" s="41">
        <f>IF(M208="","",IF(M208&gt;=PRs!C6,"PR!",""))</f>
        <v/>
      </c>
      <c r="O208" s="7" t="n"/>
    </row>
    <row r="209">
      <c r="C209" t="inlineStr">
        <is>
          <t xml:space="preserve">      Set 2</t>
        </is>
      </c>
      <c r="E209" t="n">
        <v>2</v>
      </c>
      <c r="H209" s="39">
        <f>IF(H207="","",H207)</f>
        <v/>
      </c>
      <c r="I209" s="7">
        <f>IF(H207="","",H207)</f>
        <v/>
      </c>
      <c r="J209" s="7" t="n">
        <v>2</v>
      </c>
      <c r="K209" s="7" t="n"/>
      <c r="L209" s="40" t="n"/>
      <c r="M209">
        <f>IF(AND(L209&lt;&gt;"",N(I209)&gt;0,N(J209)&gt;0),IF(J209=1,I209,ROUND(I209*(1+J209/30),1)),"")</f>
        <v/>
      </c>
      <c r="N209" s="41">
        <f>IF(M209="","",IF(M209&gt;=PRs!C6,"PR!",""))</f>
        <v/>
      </c>
      <c r="O209" s="7" t="n"/>
    </row>
    <row r="210">
      <c r="C210" t="inlineStr">
        <is>
          <t xml:space="preserve">      Set 3</t>
        </is>
      </c>
      <c r="E210" t="n">
        <v>2</v>
      </c>
      <c r="H210" s="39">
        <f>IF(H207="","",H207)</f>
        <v/>
      </c>
      <c r="I210" s="7">
        <f>IF(H207="","",H207)</f>
        <v/>
      </c>
      <c r="J210" s="7" t="n">
        <v>2</v>
      </c>
      <c r="K210" s="7" t="n"/>
      <c r="L210" s="40" t="n"/>
      <c r="M210">
        <f>IF(AND(L210&lt;&gt;"",N(I210)&gt;0,N(J210)&gt;0),IF(J210=1,I210,ROUND(I210*(1+J210/30),1)),"")</f>
        <v/>
      </c>
      <c r="N210" s="41">
        <f>IF(M210="","",IF(M210&gt;=PRs!C6,"PR!",""))</f>
        <v/>
      </c>
      <c r="O210" s="7" t="n"/>
    </row>
    <row r="211">
      <c r="C211" t="inlineStr">
        <is>
          <t xml:space="preserve">      Set 4</t>
        </is>
      </c>
      <c r="E211" t="n">
        <v>2</v>
      </c>
      <c r="H211" s="39">
        <f>IF(H207="","",H207)</f>
        <v/>
      </c>
      <c r="I211" s="7">
        <f>IF(H207="","",H207)</f>
        <v/>
      </c>
      <c r="J211" s="7" t="n">
        <v>2</v>
      </c>
      <c r="K211" s="7" t="n"/>
      <c r="L211" s="40" t="n"/>
      <c r="M211">
        <f>IF(AND(L211&lt;&gt;"",N(I211)&gt;0,N(J211)&gt;0),IF(J211=1,I211,ROUND(I211*(1+J211/30),1)),"")</f>
        <v/>
      </c>
      <c r="N211" s="41">
        <f>IF(M211="","",IF(M211&gt;=PRs!C6,"PR!",""))</f>
        <v/>
      </c>
      <c r="O211" s="7" t="n"/>
    </row>
    <row r="212">
      <c r="C212" t="inlineStr">
        <is>
          <t xml:space="preserve">      Set 5</t>
        </is>
      </c>
      <c r="E212" t="n">
        <v>2</v>
      </c>
      <c r="H212" s="39">
        <f>IF(H207="","",H207)</f>
        <v/>
      </c>
      <c r="I212" s="7">
        <f>IF(H207="","",H207)</f>
        <v/>
      </c>
      <c r="J212" s="7" t="n">
        <v>2</v>
      </c>
      <c r="K212" s="7" t="n"/>
      <c r="L212" s="40" t="n"/>
      <c r="M212">
        <f>IF(AND(L212&lt;&gt;"",N(I212)&gt;0,N(J212)&gt;0),IF(J212=1,I212,ROUND(I212*(1+J212/30),1)),"")</f>
        <v/>
      </c>
      <c r="N212" s="41">
        <f>IF(M212="","",IF(M212&gt;=PRs!C6,"PR!",""))</f>
        <v/>
      </c>
      <c r="O212" s="7" t="n"/>
    </row>
    <row r="213">
      <c r="A213" s="34" t="n"/>
      <c r="B213" s="34" t="n"/>
      <c r="C213" s="42" t="inlineStr">
        <is>
          <t>Squat</t>
        </is>
      </c>
      <c r="D213" s="34" t="inlineStr">
        <is>
          <t>4 x 4</t>
        </is>
      </c>
      <c r="E213" s="34" t="n"/>
      <c r="F213" s="34" t="n">
        <v>82.5</v>
      </c>
      <c r="G213" s="36">
        <f>Maxes!G2</f>
        <v/>
      </c>
      <c r="H213" s="37">
        <f>IF(OR(G213="",F213=""),"",MROUND(G213*F213/100,'Start Here'!$B$7))</f>
        <v/>
      </c>
      <c r="I213" s="34" t="n"/>
      <c r="J213" s="34" t="n"/>
      <c r="K213" s="34" t="n"/>
      <c r="L213" s="34" t="n"/>
      <c r="M213" s="34" t="n"/>
      <c r="N213" s="34" t="n"/>
      <c r="O213" s="38" t="inlineStr"/>
    </row>
    <row r="214">
      <c r="C214" t="inlineStr">
        <is>
          <t xml:space="preserve">      Set 1</t>
        </is>
      </c>
      <c r="E214" t="n">
        <v>4</v>
      </c>
      <c r="H214" s="39">
        <f>IF(H213="","",H213)</f>
        <v/>
      </c>
      <c r="I214" s="7">
        <f>IF(H213="","",H213)</f>
        <v/>
      </c>
      <c r="J214" s="7" t="n">
        <v>4</v>
      </c>
      <c r="K214" s="7" t="n"/>
      <c r="L214" s="40" t="n"/>
      <c r="M214">
        <f>IF(AND(L214&lt;&gt;"",N(I214)&gt;0,N(J214)&gt;0),IF(J214=1,I214,ROUND(I214*(1+J214/30),1)),"")</f>
        <v/>
      </c>
      <c r="N214" s="41">
        <f>IF(M214="","",IF(M214&gt;=PRs!C2,"PR!",""))</f>
        <v/>
      </c>
      <c r="O214" s="7" t="n"/>
    </row>
    <row r="215">
      <c r="C215" t="inlineStr">
        <is>
          <t xml:space="preserve">      Set 2</t>
        </is>
      </c>
      <c r="E215" t="n">
        <v>4</v>
      </c>
      <c r="H215" s="39">
        <f>IF(H213="","",H213)</f>
        <v/>
      </c>
      <c r="I215" s="7">
        <f>IF(H213="","",H213)</f>
        <v/>
      </c>
      <c r="J215" s="7" t="n">
        <v>4</v>
      </c>
      <c r="K215" s="7" t="n"/>
      <c r="L215" s="40" t="n"/>
      <c r="M215">
        <f>IF(AND(L215&lt;&gt;"",N(I215)&gt;0,N(J215)&gt;0),IF(J215=1,I215,ROUND(I215*(1+J215/30),1)),"")</f>
        <v/>
      </c>
      <c r="N215" s="41">
        <f>IF(M215="","",IF(M215&gt;=PRs!C2,"PR!",""))</f>
        <v/>
      </c>
      <c r="O215" s="7" t="n"/>
    </row>
    <row r="216">
      <c r="C216" t="inlineStr">
        <is>
          <t xml:space="preserve">      Set 3</t>
        </is>
      </c>
      <c r="E216" t="n">
        <v>4</v>
      </c>
      <c r="H216" s="39">
        <f>IF(H213="","",H213)</f>
        <v/>
      </c>
      <c r="I216" s="7">
        <f>IF(H213="","",H213)</f>
        <v/>
      </c>
      <c r="J216" s="7" t="n">
        <v>4</v>
      </c>
      <c r="K216" s="7" t="n"/>
      <c r="L216" s="40" t="n"/>
      <c r="M216">
        <f>IF(AND(L216&lt;&gt;"",N(I216)&gt;0,N(J216)&gt;0),IF(J216=1,I216,ROUND(I216*(1+J216/30),1)),"")</f>
        <v/>
      </c>
      <c r="N216" s="41">
        <f>IF(M216="","",IF(M216&gt;=PRs!C2,"PR!",""))</f>
        <v/>
      </c>
      <c r="O216" s="7" t="n"/>
    </row>
    <row r="217">
      <c r="C217" t="inlineStr">
        <is>
          <t xml:space="preserve">      Set 4</t>
        </is>
      </c>
      <c r="E217" t="n">
        <v>4</v>
      </c>
      <c r="H217" s="39">
        <f>IF(H213="","",H213)</f>
        <v/>
      </c>
      <c r="I217" s="7">
        <f>IF(H213="","",H213)</f>
        <v/>
      </c>
      <c r="J217" s="7" t="n">
        <v>4</v>
      </c>
      <c r="K217" s="7" t="n"/>
      <c r="L217" s="40" t="n"/>
      <c r="M217">
        <f>IF(AND(L217&lt;&gt;"",N(I217)&gt;0,N(J217)&gt;0),IF(J217=1,I217,ROUND(I217*(1+J217/30),1)),"")</f>
        <v/>
      </c>
      <c r="N217" s="41">
        <f>IF(M217="","",IF(M217&gt;=PRs!C2,"PR!",""))</f>
        <v/>
      </c>
      <c r="O217" s="7" t="n"/>
    </row>
    <row r="218">
      <c r="A218" s="34" t="n"/>
      <c r="B218" s="34" t="n"/>
      <c r="C218" s="42" t="inlineStr">
        <is>
          <t>Bench Press</t>
        </is>
      </c>
      <c r="D218" s="34" t="inlineStr">
        <is>
          <t>4 x 4</t>
        </is>
      </c>
      <c r="E218" s="34" t="n"/>
      <c r="F218" s="34" t="n">
        <v>82.5</v>
      </c>
      <c r="G218" s="36">
        <f>Maxes!G3</f>
        <v/>
      </c>
      <c r="H218" s="37">
        <f>IF(OR(G218="",F218=""),"",MROUND(G218*F218/100,'Start Here'!$B$7))</f>
        <v/>
      </c>
      <c r="I218" s="34" t="n"/>
      <c r="J218" s="34" t="n"/>
      <c r="K218" s="34" t="n"/>
      <c r="L218" s="34" t="n"/>
      <c r="M218" s="34" t="n"/>
      <c r="N218" s="34" t="n"/>
      <c r="O218" s="38" t="inlineStr"/>
    </row>
    <row r="219">
      <c r="C219" t="inlineStr">
        <is>
          <t xml:space="preserve">      Set 1</t>
        </is>
      </c>
      <c r="E219" t="n">
        <v>4</v>
      </c>
      <c r="H219" s="39">
        <f>IF(H218="","",H218)</f>
        <v/>
      </c>
      <c r="I219" s="7">
        <f>IF(H218="","",H218)</f>
        <v/>
      </c>
      <c r="J219" s="7" t="n">
        <v>4</v>
      </c>
      <c r="K219" s="7" t="n"/>
      <c r="L219" s="40" t="n"/>
      <c r="M219">
        <f>IF(AND(L219&lt;&gt;"",N(I219)&gt;0,N(J219)&gt;0),IF(J219=1,I219,ROUND(I219*(1+J219/30),1)),"")</f>
        <v/>
      </c>
      <c r="N219" s="41">
        <f>IF(M219="","",IF(M219&gt;=PRs!C3,"PR!",""))</f>
        <v/>
      </c>
      <c r="O219" s="7" t="n"/>
    </row>
    <row r="220">
      <c r="C220" t="inlineStr">
        <is>
          <t xml:space="preserve">      Set 2</t>
        </is>
      </c>
      <c r="E220" t="n">
        <v>4</v>
      </c>
      <c r="H220" s="39">
        <f>IF(H218="","",H218)</f>
        <v/>
      </c>
      <c r="I220" s="7">
        <f>IF(H218="","",H218)</f>
        <v/>
      </c>
      <c r="J220" s="7" t="n">
        <v>4</v>
      </c>
      <c r="K220" s="7" t="n"/>
      <c r="L220" s="40" t="n"/>
      <c r="M220">
        <f>IF(AND(L220&lt;&gt;"",N(I220)&gt;0,N(J220)&gt;0),IF(J220=1,I220,ROUND(I220*(1+J220/30),1)),"")</f>
        <v/>
      </c>
      <c r="N220" s="41">
        <f>IF(M220="","",IF(M220&gt;=PRs!C3,"PR!",""))</f>
        <v/>
      </c>
      <c r="O220" s="7" t="n"/>
    </row>
    <row r="221">
      <c r="C221" t="inlineStr">
        <is>
          <t xml:space="preserve">      Set 3</t>
        </is>
      </c>
      <c r="E221" t="n">
        <v>4</v>
      </c>
      <c r="H221" s="39">
        <f>IF(H218="","",H218)</f>
        <v/>
      </c>
      <c r="I221" s="7">
        <f>IF(H218="","",H218)</f>
        <v/>
      </c>
      <c r="J221" s="7" t="n">
        <v>4</v>
      </c>
      <c r="K221" s="7" t="n"/>
      <c r="L221" s="40" t="n"/>
      <c r="M221">
        <f>IF(AND(L221&lt;&gt;"",N(I221)&gt;0,N(J221)&gt;0),IF(J221=1,I221,ROUND(I221*(1+J221/30),1)),"")</f>
        <v/>
      </c>
      <c r="N221" s="41">
        <f>IF(M221="","",IF(M221&gt;=PRs!C3,"PR!",""))</f>
        <v/>
      </c>
      <c r="O221" s="7" t="n"/>
    </row>
    <row r="222">
      <c r="C222" t="inlineStr">
        <is>
          <t xml:space="preserve">      Set 4</t>
        </is>
      </c>
      <c r="E222" t="n">
        <v>4</v>
      </c>
      <c r="H222" s="39">
        <f>IF(H218="","",H218)</f>
        <v/>
      </c>
      <c r="I222" s="7">
        <f>IF(H218="","",H218)</f>
        <v/>
      </c>
      <c r="J222" s="7" t="n">
        <v>4</v>
      </c>
      <c r="K222" s="7" t="n"/>
      <c r="L222" s="40" t="n"/>
      <c r="M222">
        <f>IF(AND(L222&lt;&gt;"",N(I222)&gt;0,N(J222)&gt;0),IF(J222=1,I222,ROUND(I222*(1+J222/30),1)),"")</f>
        <v/>
      </c>
      <c r="N222" s="41">
        <f>IF(M222="","",IF(M222&gt;=PRs!C3,"PR!",""))</f>
        <v/>
      </c>
      <c r="O222" s="7" t="n"/>
    </row>
    <row r="223">
      <c r="A223" s="34" t="n"/>
      <c r="B223" s="34" t="n"/>
      <c r="C223" s="43" t="inlineStr">
        <is>
          <t>Barbell Row</t>
        </is>
      </c>
      <c r="D223" s="34" t="inlineStr">
        <is>
          <t>3 x 8-10</t>
        </is>
      </c>
      <c r="E223" s="34" t="n"/>
      <c r="F223" s="34" t="n"/>
      <c r="G223" s="36" t="n"/>
      <c r="H223" s="37" t="n"/>
      <c r="I223" s="34" t="n"/>
      <c r="J223" s="34" t="n"/>
      <c r="K223" s="34" t="n"/>
      <c r="L223" s="34" t="n"/>
      <c r="M223" s="34" t="n"/>
      <c r="N223" s="34" t="n"/>
      <c r="O223" s="38" t="inlineStr">
        <is>
          <t>Leave 1-2 reps in the tank; add weight when you hit the top of the range</t>
        </is>
      </c>
    </row>
    <row r="224">
      <c r="C224" t="inlineStr">
        <is>
          <t xml:space="preserve">      Set 1</t>
        </is>
      </c>
      <c r="E224" t="n">
        <v>8</v>
      </c>
      <c r="H224" s="39">
        <f>IF(H223="","",H223)</f>
        <v/>
      </c>
      <c r="I224" s="7">
        <f>IF(H223="","",H223)</f>
        <v/>
      </c>
      <c r="J224" s="7" t="n">
        <v>8</v>
      </c>
      <c r="K224" s="7" t="n"/>
      <c r="L224" s="40" t="n"/>
      <c r="M224">
        <f>IF(AND(L224&lt;&gt;"",N(I224)&gt;0,N(J224)&gt;0),IF(J224=1,I224,ROUND(I224*(1+J224/30),1)),"")</f>
        <v/>
      </c>
      <c r="N224" s="41">
        <f>IF(M224="","",IF(M224&gt;=PRs!C50,"PR!",""))</f>
        <v/>
      </c>
      <c r="O224" s="7" t="n"/>
    </row>
    <row r="225">
      <c r="C225" t="inlineStr">
        <is>
          <t xml:space="preserve">      Set 2</t>
        </is>
      </c>
      <c r="E225" t="n">
        <v>8</v>
      </c>
      <c r="H225" s="39">
        <f>IF(H223="","",H223)</f>
        <v/>
      </c>
      <c r="I225" s="7">
        <f>IF(H223="","",H223)</f>
        <v/>
      </c>
      <c r="J225" s="7" t="n">
        <v>8</v>
      </c>
      <c r="K225" s="7" t="n"/>
      <c r="L225" s="40" t="n"/>
      <c r="M225">
        <f>IF(AND(L225&lt;&gt;"",N(I225)&gt;0,N(J225)&gt;0),IF(J225=1,I225,ROUND(I225*(1+J225/30),1)),"")</f>
        <v/>
      </c>
      <c r="N225" s="41">
        <f>IF(M225="","",IF(M225&gt;=PRs!C50,"PR!",""))</f>
        <v/>
      </c>
      <c r="O225" s="7" t="n"/>
    </row>
    <row r="226">
      <c r="C226" t="inlineStr">
        <is>
          <t xml:space="preserve">      Set 3</t>
        </is>
      </c>
      <c r="E226" t="n">
        <v>8</v>
      </c>
      <c r="H226" s="39">
        <f>IF(H223="","",H223)</f>
        <v/>
      </c>
      <c r="I226" s="7">
        <f>IF(H223="","",H223)</f>
        <v/>
      </c>
      <c r="J226" s="7" t="n">
        <v>8</v>
      </c>
      <c r="K226" s="7" t="n"/>
      <c r="L226" s="40" t="n"/>
      <c r="M226">
        <f>IF(AND(L226&lt;&gt;"",N(I226)&gt;0,N(J226)&gt;0),IF(J226=1,I226,ROUND(I226*(1+J226/30),1)),"")</f>
        <v/>
      </c>
      <c r="N226" s="41">
        <f>IF(M226="","",IF(M226&gt;=PRs!C50,"PR!",""))</f>
        <v/>
      </c>
      <c r="O226" s="7" t="n"/>
    </row>
    <row r="227">
      <c r="A227" s="34" t="n"/>
      <c r="B227" s="34" t="n"/>
      <c r="C227" s="43" t="inlineStr">
        <is>
          <t>Face Pull</t>
        </is>
      </c>
      <c r="D227" s="34" t="inlineStr">
        <is>
          <t>3 x 12-15</t>
        </is>
      </c>
      <c r="E227" s="34" t="n"/>
      <c r="F227" s="34" t="n"/>
      <c r="G227" s="36" t="n"/>
      <c r="H227" s="37" t="n"/>
      <c r="I227" s="34" t="n"/>
      <c r="J227" s="34" t="n"/>
      <c r="K227" s="34" t="n"/>
      <c r="L227" s="34" t="n"/>
      <c r="M227" s="34" t="n"/>
      <c r="N227" s="34" t="n"/>
      <c r="O227" s="38" t="inlineStr">
        <is>
          <t>Leave 1-2 reps in the tank; add weight when you hit the top of the range</t>
        </is>
      </c>
    </row>
    <row r="228">
      <c r="C228" t="inlineStr">
        <is>
          <t xml:space="preserve">      Set 1</t>
        </is>
      </c>
      <c r="E228" t="n">
        <v>12</v>
      </c>
      <c r="H228" s="39">
        <f>IF(H227="","",H227)</f>
        <v/>
      </c>
      <c r="I228" s="7">
        <f>IF(H227="","",H227)</f>
        <v/>
      </c>
      <c r="J228" s="7" t="n">
        <v>12</v>
      </c>
      <c r="K228" s="7" t="n"/>
      <c r="L228" s="40" t="n"/>
      <c r="M228">
        <f>IF(AND(L228&lt;&gt;"",N(I228)&gt;0,N(J228)&gt;0),IF(J228=1,I228,ROUND(I228*(1+J228/30),1)),"")</f>
        <v/>
      </c>
      <c r="N228" s="41">
        <f>IF(M228="","",IF(M228&gt;=PRs!C51,"PR!",""))</f>
        <v/>
      </c>
      <c r="O228" s="7" t="n"/>
    </row>
    <row r="229">
      <c r="C229" t="inlineStr">
        <is>
          <t xml:space="preserve">      Set 2</t>
        </is>
      </c>
      <c r="E229" t="n">
        <v>12</v>
      </c>
      <c r="H229" s="39">
        <f>IF(H227="","",H227)</f>
        <v/>
      </c>
      <c r="I229" s="7">
        <f>IF(H227="","",H227)</f>
        <v/>
      </c>
      <c r="J229" s="7" t="n">
        <v>12</v>
      </c>
      <c r="K229" s="7" t="n"/>
      <c r="L229" s="40" t="n"/>
      <c r="M229">
        <f>IF(AND(L229&lt;&gt;"",N(I229)&gt;0,N(J229)&gt;0),IF(J229=1,I229,ROUND(I229*(1+J229/30),1)),"")</f>
        <v/>
      </c>
      <c r="N229" s="41">
        <f>IF(M229="","",IF(M229&gt;=PRs!C51,"PR!",""))</f>
        <v/>
      </c>
      <c r="O229" s="7" t="n"/>
    </row>
    <row r="230">
      <c r="C230" t="inlineStr">
        <is>
          <t xml:space="preserve">      Set 3</t>
        </is>
      </c>
      <c r="E230" t="n">
        <v>12</v>
      </c>
      <c r="H230" s="39">
        <f>IF(H227="","",H227)</f>
        <v/>
      </c>
      <c r="I230" s="7">
        <f>IF(H227="","",H227)</f>
        <v/>
      </c>
      <c r="J230" s="7" t="n">
        <v>12</v>
      </c>
      <c r="K230" s="7" t="n"/>
      <c r="L230" s="40" t="n"/>
      <c r="M230">
        <f>IF(AND(L230&lt;&gt;"",N(I230)&gt;0,N(J230)&gt;0),IF(J230=1,I230,ROUND(I230*(1+J230/30),1)),"")</f>
        <v/>
      </c>
      <c r="N230" s="41">
        <f>IF(M230="","",IF(M230&gt;=PRs!C51,"PR!",""))</f>
        <v/>
      </c>
      <c r="O230" s="7" t="n"/>
    </row>
    <row r="231">
      <c r="A231" s="31" t="inlineStr">
        <is>
          <t>Day 2 - Light</t>
        </is>
      </c>
      <c r="B231" s="32">
        <f>'Start Here'!$B$8+212</f>
        <v/>
      </c>
      <c r="C231" s="33" t="n"/>
      <c r="D231" s="33" t="n"/>
      <c r="E231" s="33" t="n"/>
      <c r="F231" s="33" t="n"/>
      <c r="G231" s="33" t="n"/>
      <c r="H231" s="33" t="n"/>
      <c r="I231" s="33" t="n"/>
      <c r="J231" s="33" t="n"/>
      <c r="K231" s="33" t="n"/>
      <c r="L231" s="33" t="n"/>
      <c r="M231" s="33" t="n"/>
      <c r="N231" s="33" t="n"/>
      <c r="O231" s="33" t="n"/>
    </row>
    <row r="232">
      <c r="A232" s="34" t="n"/>
      <c r="B232" s="34" t="n"/>
      <c r="C232" s="35" t="inlineStr">
        <is>
          <t>Broad Jump</t>
        </is>
      </c>
      <c r="D232" s="34" t="inlineStr">
        <is>
          <t>4 x 3</t>
        </is>
      </c>
      <c r="E232" s="34" t="n"/>
      <c r="F232" s="34" t="n"/>
      <c r="G232" s="36" t="n"/>
      <c r="H232" s="37">
        <f>IF(N(Maxes!G70)&gt;0,Maxes!G70,"")</f>
        <v/>
      </c>
      <c r="I232" s="34" t="n"/>
      <c r="J232" s="34" t="n"/>
      <c r="K232" s="34" t="n"/>
      <c r="L232" s="34" t="n"/>
      <c r="M232" s="34" t="n"/>
      <c r="N232" s="34" t="n"/>
      <c r="O232" s="38" t="inlineStr">
        <is>
          <t>Standing two-foot jump forward, stick the landing. Measure toe line to the back of the nearest heel.</t>
        </is>
      </c>
    </row>
    <row r="233">
      <c r="C233" t="inlineStr">
        <is>
          <t xml:space="preserve">      Set 1</t>
        </is>
      </c>
      <c r="E233" t="n">
        <v>3</v>
      </c>
      <c r="H233" s="39">
        <f>IF(H232="","",H232)</f>
        <v/>
      </c>
      <c r="I233" s="7">
        <f>IF(H232="","",H232)</f>
        <v/>
      </c>
      <c r="J233" s="7" t="n">
        <v>3</v>
      </c>
      <c r="K233" s="7" t="n"/>
      <c r="L233" s="40" t="n"/>
      <c r="N233" s="41">
        <f>IF(AND(L233&lt;&gt;"",N(I233)&gt;0),IF(I233&gt;=PRs!D70,"PR!",""),"")</f>
        <v/>
      </c>
      <c r="O233" s="7" t="n"/>
    </row>
    <row r="234">
      <c r="C234" t="inlineStr">
        <is>
          <t xml:space="preserve">      Set 2</t>
        </is>
      </c>
      <c r="E234" t="n">
        <v>3</v>
      </c>
      <c r="H234" s="39">
        <f>IF(H232="","",H232)</f>
        <v/>
      </c>
      <c r="I234" s="7">
        <f>IF(H232="","",H232)</f>
        <v/>
      </c>
      <c r="J234" s="7" t="n">
        <v>3</v>
      </c>
      <c r="K234" s="7" t="n"/>
      <c r="L234" s="40" t="n"/>
      <c r="N234" s="41">
        <f>IF(AND(L234&lt;&gt;"",N(I234)&gt;0),IF(I234&gt;=PRs!D70,"PR!",""),"")</f>
        <v/>
      </c>
      <c r="O234" s="7" t="n"/>
    </row>
    <row r="235">
      <c r="C235" t="inlineStr">
        <is>
          <t xml:space="preserve">      Set 3</t>
        </is>
      </c>
      <c r="E235" t="n">
        <v>3</v>
      </c>
      <c r="H235" s="39">
        <f>IF(H232="","",H232)</f>
        <v/>
      </c>
      <c r="I235" s="7">
        <f>IF(H232="","",H232)</f>
        <v/>
      </c>
      <c r="J235" s="7" t="n">
        <v>3</v>
      </c>
      <c r="K235" s="7" t="n"/>
      <c r="L235" s="40" t="n"/>
      <c r="N235" s="41">
        <f>IF(AND(L235&lt;&gt;"",N(I235)&gt;0),IF(I235&gt;=PRs!D70,"PR!",""),"")</f>
        <v/>
      </c>
      <c r="O235" s="7" t="n"/>
    </row>
    <row r="236">
      <c r="C236" t="inlineStr">
        <is>
          <t xml:space="preserve">      Set 4</t>
        </is>
      </c>
      <c r="E236" t="n">
        <v>3</v>
      </c>
      <c r="H236" s="39">
        <f>IF(H232="","",H232)</f>
        <v/>
      </c>
      <c r="I236" s="7">
        <f>IF(H232="","",H232)</f>
        <v/>
      </c>
      <c r="J236" s="7" t="n">
        <v>3</v>
      </c>
      <c r="K236" s="7" t="n"/>
      <c r="L236" s="40" t="n"/>
      <c r="N236" s="41">
        <f>IF(AND(L236&lt;&gt;"",N(I236)&gt;0),IF(I236&gt;=PRs!D70,"PR!",""),"")</f>
        <v/>
      </c>
      <c r="O236" s="7" t="n"/>
    </row>
    <row r="237">
      <c r="A237" s="34" t="n"/>
      <c r="B237" s="34" t="n"/>
      <c r="C237" s="35" t="inlineStr">
        <is>
          <t>Med Ball Chest Pass</t>
        </is>
      </c>
      <c r="D237" s="34" t="inlineStr">
        <is>
          <t>3 x 5</t>
        </is>
      </c>
      <c r="E237" s="34" t="n"/>
      <c r="F237" s="34" t="n"/>
      <c r="G237" s="36" t="n"/>
      <c r="H237" s="37">
        <f>IF(N(Maxes!G77)&gt;0,Maxes!G77,"")</f>
        <v/>
      </c>
      <c r="I237" s="34" t="n"/>
      <c r="J237" s="34" t="n"/>
      <c r="K237" s="34" t="n"/>
      <c r="L237" s="34" t="n"/>
      <c r="M237" s="34" t="n"/>
      <c r="N237" s="34" t="n"/>
      <c r="O237" s="38" t="inlineStr">
        <is>
          <t>Kneeling or standing chest pass for distance with a 6-10 lb / 3-5 kg ball. Log the distance.</t>
        </is>
      </c>
    </row>
    <row r="238">
      <c r="C238" t="inlineStr">
        <is>
          <t xml:space="preserve">      Set 1</t>
        </is>
      </c>
      <c r="E238" t="n">
        <v>5</v>
      </c>
      <c r="H238" s="39">
        <f>IF(H237="","",H237)</f>
        <v/>
      </c>
      <c r="I238" s="7">
        <f>IF(H237="","",H237)</f>
        <v/>
      </c>
      <c r="J238" s="7" t="n">
        <v>5</v>
      </c>
      <c r="K238" s="7" t="n"/>
      <c r="L238" s="40" t="n"/>
      <c r="N238" s="41">
        <f>IF(AND(L238&lt;&gt;"",N(I238)&gt;0),IF(I238&gt;=PRs!D77,"PR!",""),"")</f>
        <v/>
      </c>
      <c r="O238" s="7" t="n"/>
    </row>
    <row r="239">
      <c r="C239" t="inlineStr">
        <is>
          <t xml:space="preserve">      Set 2</t>
        </is>
      </c>
      <c r="E239" t="n">
        <v>5</v>
      </c>
      <c r="H239" s="39">
        <f>IF(H237="","",H237)</f>
        <v/>
      </c>
      <c r="I239" s="7">
        <f>IF(H237="","",H237)</f>
        <v/>
      </c>
      <c r="J239" s="7" t="n">
        <v>5</v>
      </c>
      <c r="K239" s="7" t="n"/>
      <c r="L239" s="40" t="n"/>
      <c r="N239" s="41">
        <f>IF(AND(L239&lt;&gt;"",N(I239)&gt;0),IF(I239&gt;=PRs!D77,"PR!",""),"")</f>
        <v/>
      </c>
      <c r="O239" s="7" t="n"/>
    </row>
    <row r="240">
      <c r="C240" t="inlineStr">
        <is>
          <t xml:space="preserve">      Set 3</t>
        </is>
      </c>
      <c r="E240" t="n">
        <v>5</v>
      </c>
      <c r="H240" s="39">
        <f>IF(H237="","",H237)</f>
        <v/>
      </c>
      <c r="I240" s="7">
        <f>IF(H237="","",H237)</f>
        <v/>
      </c>
      <c r="J240" s="7" t="n">
        <v>5</v>
      </c>
      <c r="K240" s="7" t="n"/>
      <c r="L240" s="40" t="n"/>
      <c r="N240" s="41">
        <f>IF(AND(L240&lt;&gt;"",N(I240)&gt;0),IF(I240&gt;=PRs!D77,"PR!",""),"")</f>
        <v/>
      </c>
      <c r="O240" s="7" t="n"/>
    </row>
    <row r="241">
      <c r="A241" s="34" t="n"/>
      <c r="B241" s="34" t="n"/>
      <c r="C241" s="42" t="inlineStr">
        <is>
          <t>Clean &amp; Jerk</t>
        </is>
      </c>
      <c r="D241" s="34" t="inlineStr">
        <is>
          <t>5 x 2</t>
        </is>
      </c>
      <c r="E241" s="34" t="n"/>
      <c r="F241" s="34" t="n">
        <v>82.5</v>
      </c>
      <c r="G241" s="36">
        <f>Maxes!G7</f>
        <v/>
      </c>
      <c r="H241" s="37">
        <f>IF(OR(G241="",F241=""),"",MROUND(G241*F241/100,'Start Here'!$B$7))</f>
        <v/>
      </c>
      <c r="I241" s="34" t="n"/>
      <c r="J241" s="34" t="n"/>
      <c r="K241" s="34" t="n"/>
      <c r="L241" s="34" t="n"/>
      <c r="M241" s="34" t="n"/>
      <c r="N241" s="34" t="n"/>
      <c r="O241" s="38" t="inlineStr"/>
    </row>
    <row r="242">
      <c r="C242" t="inlineStr">
        <is>
          <t xml:space="preserve">      Set 1</t>
        </is>
      </c>
      <c r="E242" t="n">
        <v>2</v>
      </c>
      <c r="H242" s="39">
        <f>IF(H241="","",H241)</f>
        <v/>
      </c>
      <c r="I242" s="7">
        <f>IF(H241="","",H241)</f>
        <v/>
      </c>
      <c r="J242" s="7" t="n">
        <v>2</v>
      </c>
      <c r="K242" s="7" t="n"/>
      <c r="L242" s="40" t="n"/>
      <c r="M242">
        <f>IF(AND(L242&lt;&gt;"",N(I242)&gt;0,N(J242)&gt;0),IF(J242=1,I242,ROUND(I242*(1+J242/30),1)),"")</f>
        <v/>
      </c>
      <c r="N242" s="41">
        <f>IF(M242="","",IF(M242&gt;=PRs!C7,"PR!",""))</f>
        <v/>
      </c>
      <c r="O242" s="7" t="n"/>
    </row>
    <row r="243">
      <c r="C243" t="inlineStr">
        <is>
          <t xml:space="preserve">      Set 2</t>
        </is>
      </c>
      <c r="E243" t="n">
        <v>2</v>
      </c>
      <c r="H243" s="39">
        <f>IF(H241="","",H241)</f>
        <v/>
      </c>
      <c r="I243" s="7">
        <f>IF(H241="","",H241)</f>
        <v/>
      </c>
      <c r="J243" s="7" t="n">
        <v>2</v>
      </c>
      <c r="K243" s="7" t="n"/>
      <c r="L243" s="40" t="n"/>
      <c r="M243">
        <f>IF(AND(L243&lt;&gt;"",N(I243)&gt;0,N(J243)&gt;0),IF(J243=1,I243,ROUND(I243*(1+J243/30),1)),"")</f>
        <v/>
      </c>
      <c r="N243" s="41">
        <f>IF(M243="","",IF(M243&gt;=PRs!C7,"PR!",""))</f>
        <v/>
      </c>
      <c r="O243" s="7" t="n"/>
    </row>
    <row r="244">
      <c r="C244" t="inlineStr">
        <is>
          <t xml:space="preserve">      Set 3</t>
        </is>
      </c>
      <c r="E244" t="n">
        <v>2</v>
      </c>
      <c r="H244" s="39">
        <f>IF(H241="","",H241)</f>
        <v/>
      </c>
      <c r="I244" s="7">
        <f>IF(H241="","",H241)</f>
        <v/>
      </c>
      <c r="J244" s="7" t="n">
        <v>2</v>
      </c>
      <c r="K244" s="7" t="n"/>
      <c r="L244" s="40" t="n"/>
      <c r="M244">
        <f>IF(AND(L244&lt;&gt;"",N(I244)&gt;0,N(J244)&gt;0),IF(J244=1,I244,ROUND(I244*(1+J244/30),1)),"")</f>
        <v/>
      </c>
      <c r="N244" s="41">
        <f>IF(M244="","",IF(M244&gt;=PRs!C7,"PR!",""))</f>
        <v/>
      </c>
      <c r="O244" s="7" t="n"/>
    </row>
    <row r="245">
      <c r="C245" t="inlineStr">
        <is>
          <t xml:space="preserve">      Set 4</t>
        </is>
      </c>
      <c r="E245" t="n">
        <v>2</v>
      </c>
      <c r="H245" s="39">
        <f>IF(H241="","",H241)</f>
        <v/>
      </c>
      <c r="I245" s="7">
        <f>IF(H241="","",H241)</f>
        <v/>
      </c>
      <c r="J245" s="7" t="n">
        <v>2</v>
      </c>
      <c r="K245" s="7" t="n"/>
      <c r="L245" s="40" t="n"/>
      <c r="M245">
        <f>IF(AND(L245&lt;&gt;"",N(I245)&gt;0,N(J245)&gt;0),IF(J245=1,I245,ROUND(I245*(1+J245/30),1)),"")</f>
        <v/>
      </c>
      <c r="N245" s="41">
        <f>IF(M245="","",IF(M245&gt;=PRs!C7,"PR!",""))</f>
        <v/>
      </c>
      <c r="O245" s="7" t="n"/>
    </row>
    <row r="246">
      <c r="C246" t="inlineStr">
        <is>
          <t xml:space="preserve">      Set 5</t>
        </is>
      </c>
      <c r="E246" t="n">
        <v>2</v>
      </c>
      <c r="H246" s="39">
        <f>IF(H241="","",H241)</f>
        <v/>
      </c>
      <c r="I246" s="7">
        <f>IF(H241="","",H241)</f>
        <v/>
      </c>
      <c r="J246" s="7" t="n">
        <v>2</v>
      </c>
      <c r="K246" s="7" t="n"/>
      <c r="L246" s="40" t="n"/>
      <c r="M246">
        <f>IF(AND(L246&lt;&gt;"",N(I246)&gt;0,N(J246)&gt;0),IF(J246=1,I246,ROUND(I246*(1+J246/30),1)),"")</f>
        <v/>
      </c>
      <c r="N246" s="41">
        <f>IF(M246="","",IF(M246&gt;=PRs!C7,"PR!",""))</f>
        <v/>
      </c>
      <c r="O246" s="7" t="n"/>
    </row>
    <row r="247">
      <c r="A247" s="34" t="n"/>
      <c r="B247" s="34" t="n"/>
      <c r="C247" s="42" t="inlineStr">
        <is>
          <t>Squat</t>
        </is>
      </c>
      <c r="D247" s="34" t="inlineStr">
        <is>
          <t>3 x 6</t>
        </is>
      </c>
      <c r="E247" s="34" t="n"/>
      <c r="F247" s="34" t="n">
        <v>70</v>
      </c>
      <c r="G247" s="36">
        <f>Maxes!G2</f>
        <v/>
      </c>
      <c r="H247" s="37">
        <f>IF(OR(G247="",F247=""),"",MROUND(G247*F247/100,'Start Here'!$B$7))</f>
        <v/>
      </c>
      <c r="I247" s="34" t="n"/>
      <c r="J247" s="34" t="n"/>
      <c r="K247" s="34" t="n"/>
      <c r="L247" s="34" t="n"/>
      <c r="M247" s="34" t="n"/>
      <c r="N247" s="34" t="n"/>
      <c r="O247" s="38" t="inlineStr"/>
    </row>
    <row r="248">
      <c r="C248" t="inlineStr">
        <is>
          <t xml:space="preserve">      Set 1</t>
        </is>
      </c>
      <c r="E248" t="n">
        <v>6</v>
      </c>
      <c r="H248" s="39">
        <f>IF(H247="","",H247)</f>
        <v/>
      </c>
      <c r="I248" s="7">
        <f>IF(H247="","",H247)</f>
        <v/>
      </c>
      <c r="J248" s="7" t="n">
        <v>6</v>
      </c>
      <c r="K248" s="7" t="n"/>
      <c r="L248" s="40" t="n"/>
      <c r="M248">
        <f>IF(AND(L248&lt;&gt;"",N(I248)&gt;0,N(J248)&gt;0),IF(J248=1,I248,ROUND(I248*(1+J248/30),1)),"")</f>
        <v/>
      </c>
      <c r="N248" s="41">
        <f>IF(M248="","",IF(M248&gt;=PRs!C2,"PR!",""))</f>
        <v/>
      </c>
      <c r="O248" s="7" t="n"/>
    </row>
    <row r="249">
      <c r="C249" t="inlineStr">
        <is>
          <t xml:space="preserve">      Set 2</t>
        </is>
      </c>
      <c r="E249" t="n">
        <v>6</v>
      </c>
      <c r="H249" s="39">
        <f>IF(H247="","",H247)</f>
        <v/>
      </c>
      <c r="I249" s="7">
        <f>IF(H247="","",H247)</f>
        <v/>
      </c>
      <c r="J249" s="7" t="n">
        <v>6</v>
      </c>
      <c r="K249" s="7" t="n"/>
      <c r="L249" s="40" t="n"/>
      <c r="M249">
        <f>IF(AND(L249&lt;&gt;"",N(I249)&gt;0,N(J249)&gt;0),IF(J249=1,I249,ROUND(I249*(1+J249/30),1)),"")</f>
        <v/>
      </c>
      <c r="N249" s="41">
        <f>IF(M249="","",IF(M249&gt;=PRs!C2,"PR!",""))</f>
        <v/>
      </c>
      <c r="O249" s="7" t="n"/>
    </row>
    <row r="250">
      <c r="C250" t="inlineStr">
        <is>
          <t xml:space="preserve">      Set 3</t>
        </is>
      </c>
      <c r="E250" t="n">
        <v>6</v>
      </c>
      <c r="H250" s="39">
        <f>IF(H247="","",H247)</f>
        <v/>
      </c>
      <c r="I250" s="7">
        <f>IF(H247="","",H247)</f>
        <v/>
      </c>
      <c r="J250" s="7" t="n">
        <v>6</v>
      </c>
      <c r="K250" s="7" t="n"/>
      <c r="L250" s="40" t="n"/>
      <c r="M250">
        <f>IF(AND(L250&lt;&gt;"",N(I250)&gt;0,N(J250)&gt;0),IF(J250=1,I250,ROUND(I250*(1+J250/30),1)),"")</f>
        <v/>
      </c>
      <c r="N250" s="41">
        <f>IF(M250="","",IF(M250&gt;=PRs!C2,"PR!",""))</f>
        <v/>
      </c>
      <c r="O250" s="7" t="n"/>
    </row>
    <row r="251">
      <c r="A251" s="34" t="n"/>
      <c r="B251" s="34" t="n"/>
      <c r="C251" s="42" t="inlineStr">
        <is>
          <t>Overhead Press</t>
        </is>
      </c>
      <c r="D251" s="34" t="inlineStr">
        <is>
          <t>3 x 6</t>
        </is>
      </c>
      <c r="E251" s="34" t="n"/>
      <c r="F251" s="34" t="n">
        <v>77.5</v>
      </c>
      <c r="G251" s="36">
        <f>Maxes!G5</f>
        <v/>
      </c>
      <c r="H251" s="37">
        <f>IF(OR(G251="",F251=""),"",MROUND(G251*F251/100,'Start Here'!$B$7))</f>
        <v/>
      </c>
      <c r="I251" s="34" t="n"/>
      <c r="J251" s="34" t="n"/>
      <c r="K251" s="34" t="n"/>
      <c r="L251" s="34" t="n"/>
      <c r="M251" s="34" t="n"/>
      <c r="N251" s="34" t="n"/>
      <c r="O251" s="38" t="inlineStr"/>
    </row>
    <row r="252">
      <c r="C252" t="inlineStr">
        <is>
          <t xml:space="preserve">      Set 1</t>
        </is>
      </c>
      <c r="E252" t="n">
        <v>6</v>
      </c>
      <c r="H252" s="39">
        <f>IF(H251="","",H251)</f>
        <v/>
      </c>
      <c r="I252" s="7">
        <f>IF(H251="","",H251)</f>
        <v/>
      </c>
      <c r="J252" s="7" t="n">
        <v>6</v>
      </c>
      <c r="K252" s="7" t="n"/>
      <c r="L252" s="40" t="n"/>
      <c r="M252">
        <f>IF(AND(L252&lt;&gt;"",N(I252)&gt;0,N(J252)&gt;0),IF(J252=1,I252,ROUND(I252*(1+J252/30),1)),"")</f>
        <v/>
      </c>
      <c r="N252" s="41">
        <f>IF(M252="","",IF(M252&gt;=PRs!C5,"PR!",""))</f>
        <v/>
      </c>
      <c r="O252" s="7" t="n"/>
    </row>
    <row r="253">
      <c r="C253" t="inlineStr">
        <is>
          <t xml:space="preserve">      Set 2</t>
        </is>
      </c>
      <c r="E253" t="n">
        <v>6</v>
      </c>
      <c r="H253" s="39">
        <f>IF(H251="","",H251)</f>
        <v/>
      </c>
      <c r="I253" s="7">
        <f>IF(H251="","",H251)</f>
        <v/>
      </c>
      <c r="J253" s="7" t="n">
        <v>6</v>
      </c>
      <c r="K253" s="7" t="n"/>
      <c r="L253" s="40" t="n"/>
      <c r="M253">
        <f>IF(AND(L253&lt;&gt;"",N(I253)&gt;0,N(J253)&gt;0),IF(J253=1,I253,ROUND(I253*(1+J253/30),1)),"")</f>
        <v/>
      </c>
      <c r="N253" s="41">
        <f>IF(M253="","",IF(M253&gt;=PRs!C5,"PR!",""))</f>
        <v/>
      </c>
      <c r="O253" s="7" t="n"/>
    </row>
    <row r="254">
      <c r="C254" t="inlineStr">
        <is>
          <t xml:space="preserve">      Set 3</t>
        </is>
      </c>
      <c r="E254" t="n">
        <v>6</v>
      </c>
      <c r="H254" s="39">
        <f>IF(H251="","",H251)</f>
        <v/>
      </c>
      <c r="I254" s="7">
        <f>IF(H251="","",H251)</f>
        <v/>
      </c>
      <c r="J254" s="7" t="n">
        <v>6</v>
      </c>
      <c r="K254" s="7" t="n"/>
      <c r="L254" s="40" t="n"/>
      <c r="M254">
        <f>IF(AND(L254&lt;&gt;"",N(I254)&gt;0,N(J254)&gt;0),IF(J254=1,I254,ROUND(I254*(1+J254/30),1)),"")</f>
        <v/>
      </c>
      <c r="N254" s="41">
        <f>IF(M254="","",IF(M254&gt;=PRs!C5,"PR!",""))</f>
        <v/>
      </c>
      <c r="O254" s="7" t="n"/>
    </row>
    <row r="255">
      <c r="A255" s="34" t="n"/>
      <c r="B255" s="34" t="n"/>
      <c r="C255" s="42" t="inlineStr">
        <is>
          <t>Deadlift</t>
        </is>
      </c>
      <c r="D255" s="34" t="inlineStr">
        <is>
          <t>3 x 6</t>
        </is>
      </c>
      <c r="E255" s="34" t="n"/>
      <c r="F255" s="34" t="n">
        <v>77.5</v>
      </c>
      <c r="G255" s="36">
        <f>Maxes!G4</f>
        <v/>
      </c>
      <c r="H255" s="37">
        <f>IF(OR(G255="",F255=""),"",MROUND(G255*F255/100,'Start Here'!$B$7))</f>
        <v/>
      </c>
      <c r="I255" s="34" t="n"/>
      <c r="J255" s="34" t="n"/>
      <c r="K255" s="34" t="n"/>
      <c r="L255" s="34" t="n"/>
      <c r="M255" s="34" t="n"/>
      <c r="N255" s="34" t="n"/>
      <c r="O255" s="38" t="inlineStr"/>
    </row>
    <row r="256">
      <c r="C256" t="inlineStr">
        <is>
          <t xml:space="preserve">      Set 1</t>
        </is>
      </c>
      <c r="E256" t="n">
        <v>6</v>
      </c>
      <c r="H256" s="39">
        <f>IF(H255="","",H255)</f>
        <v/>
      </c>
      <c r="I256" s="7">
        <f>IF(H255="","",H255)</f>
        <v/>
      </c>
      <c r="J256" s="7" t="n">
        <v>6</v>
      </c>
      <c r="K256" s="7" t="n"/>
      <c r="L256" s="40" t="n"/>
      <c r="M256">
        <f>IF(AND(L256&lt;&gt;"",N(I256)&gt;0,N(J256)&gt;0),IF(J256=1,I256,ROUND(I256*(1+J256/30),1)),"")</f>
        <v/>
      </c>
      <c r="N256" s="41">
        <f>IF(M256="","",IF(M256&gt;=PRs!C4,"PR!",""))</f>
        <v/>
      </c>
      <c r="O256" s="7" t="n"/>
    </row>
    <row r="257">
      <c r="C257" t="inlineStr">
        <is>
          <t xml:space="preserve">      Set 2</t>
        </is>
      </c>
      <c r="E257" t="n">
        <v>6</v>
      </c>
      <c r="H257" s="39">
        <f>IF(H255="","",H255)</f>
        <v/>
      </c>
      <c r="I257" s="7">
        <f>IF(H255="","",H255)</f>
        <v/>
      </c>
      <c r="J257" s="7" t="n">
        <v>6</v>
      </c>
      <c r="K257" s="7" t="n"/>
      <c r="L257" s="40" t="n"/>
      <c r="M257">
        <f>IF(AND(L257&lt;&gt;"",N(I257)&gt;0,N(J257)&gt;0),IF(J257=1,I257,ROUND(I257*(1+J257/30),1)),"")</f>
        <v/>
      </c>
      <c r="N257" s="41">
        <f>IF(M257="","",IF(M257&gt;=PRs!C4,"PR!",""))</f>
        <v/>
      </c>
      <c r="O257" s="7" t="n"/>
    </row>
    <row r="258">
      <c r="C258" t="inlineStr">
        <is>
          <t xml:space="preserve">      Set 3</t>
        </is>
      </c>
      <c r="E258" t="n">
        <v>6</v>
      </c>
      <c r="H258" s="39">
        <f>IF(H255="","",H255)</f>
        <v/>
      </c>
      <c r="I258" s="7">
        <f>IF(H255="","",H255)</f>
        <v/>
      </c>
      <c r="J258" s="7" t="n">
        <v>6</v>
      </c>
      <c r="K258" s="7" t="n"/>
      <c r="L258" s="40" t="n"/>
      <c r="M258">
        <f>IF(AND(L258&lt;&gt;"",N(I258)&gt;0,N(J258)&gt;0),IF(J258=1,I258,ROUND(I258*(1+J258/30),1)),"")</f>
        <v/>
      </c>
      <c r="N258" s="41">
        <f>IF(M258="","",IF(M258&gt;=PRs!C4,"PR!",""))</f>
        <v/>
      </c>
      <c r="O258" s="7" t="n"/>
    </row>
    <row r="259">
      <c r="A259" s="34" t="n"/>
      <c r="B259" s="34" t="n"/>
      <c r="C259" s="43" t="inlineStr">
        <is>
          <t>Chin-up</t>
        </is>
      </c>
      <c r="D259" s="34" t="inlineStr">
        <is>
          <t>3 x 6-10</t>
        </is>
      </c>
      <c r="E259" s="34" t="n"/>
      <c r="F259" s="34" t="n"/>
      <c r="G259" s="36" t="n"/>
      <c r="H259" s="37" t="n"/>
      <c r="I259" s="34" t="n"/>
      <c r="J259" s="34" t="n"/>
      <c r="K259" s="34" t="n"/>
      <c r="L259" s="34" t="n"/>
      <c r="M259" s="34" t="n"/>
      <c r="N259" s="34" t="n"/>
      <c r="O259" s="38" t="inlineStr">
        <is>
          <t>Leave 1-2 reps in the tank; add weight when you hit the top of the range</t>
        </is>
      </c>
    </row>
    <row r="260">
      <c r="C260" t="inlineStr">
        <is>
          <t xml:space="preserve">      Set 1</t>
        </is>
      </c>
      <c r="E260" t="n">
        <v>6</v>
      </c>
      <c r="H260" s="39">
        <f>IF(H259="","",H259)</f>
        <v/>
      </c>
      <c r="I260" s="7">
        <f>IF(H259="","",H259)</f>
        <v/>
      </c>
      <c r="J260" s="7" t="n">
        <v>6</v>
      </c>
      <c r="K260" s="7" t="n"/>
      <c r="L260" s="40" t="n"/>
      <c r="M260">
        <f>IF(AND(L260&lt;&gt;"",N(I260)&gt;0,N(J260)&gt;0),IF(J260=1,I260,ROUND(I260*(1+J260/30),1)),"")</f>
        <v/>
      </c>
      <c r="N260" s="41">
        <f>IF(M260="","",IF(M260&gt;=PRs!C53,"PR!",""))</f>
        <v/>
      </c>
      <c r="O260" s="7" t="n"/>
    </row>
    <row r="261">
      <c r="C261" t="inlineStr">
        <is>
          <t xml:space="preserve">      Set 2</t>
        </is>
      </c>
      <c r="E261" t="n">
        <v>6</v>
      </c>
      <c r="H261" s="39">
        <f>IF(H259="","",H259)</f>
        <v/>
      </c>
      <c r="I261" s="7">
        <f>IF(H259="","",H259)</f>
        <v/>
      </c>
      <c r="J261" s="7" t="n">
        <v>6</v>
      </c>
      <c r="K261" s="7" t="n"/>
      <c r="L261" s="40" t="n"/>
      <c r="M261">
        <f>IF(AND(L261&lt;&gt;"",N(I261)&gt;0,N(J261)&gt;0),IF(J261=1,I261,ROUND(I261*(1+J261/30),1)),"")</f>
        <v/>
      </c>
      <c r="N261" s="41">
        <f>IF(M261="","",IF(M261&gt;=PRs!C53,"PR!",""))</f>
        <v/>
      </c>
      <c r="O261" s="7" t="n"/>
    </row>
    <row r="262">
      <c r="C262" t="inlineStr">
        <is>
          <t xml:space="preserve">      Set 3</t>
        </is>
      </c>
      <c r="E262" t="n">
        <v>6</v>
      </c>
      <c r="H262" s="39">
        <f>IF(H259="","",H259)</f>
        <v/>
      </c>
      <c r="I262" s="7">
        <f>IF(H259="","",H259)</f>
        <v/>
      </c>
      <c r="J262" s="7" t="n">
        <v>6</v>
      </c>
      <c r="K262" s="7" t="n"/>
      <c r="L262" s="40" t="n"/>
      <c r="M262">
        <f>IF(AND(L262&lt;&gt;"",N(I262)&gt;0,N(J262)&gt;0),IF(J262=1,I262,ROUND(I262*(1+J262/30),1)),"")</f>
        <v/>
      </c>
      <c r="N262" s="41">
        <f>IF(M262="","",IF(M262&gt;=PRs!C53,"PR!",""))</f>
        <v/>
      </c>
      <c r="O262" s="7" t="n"/>
    </row>
    <row r="263">
      <c r="A263" s="34" t="n"/>
      <c r="B263" s="34" t="n"/>
      <c r="C263" s="43" t="inlineStr">
        <is>
          <t>Plank</t>
        </is>
      </c>
      <c r="D263" s="34" t="inlineStr">
        <is>
          <t>3 x 30-60s</t>
        </is>
      </c>
      <c r="E263" s="34" t="n"/>
      <c r="F263" s="34" t="n"/>
      <c r="G263" s="36" t="n"/>
      <c r="H263" s="37" t="n"/>
      <c r="I263" s="34" t="n"/>
      <c r="J263" s="34" t="n"/>
      <c r="K263" s="34" t="n"/>
      <c r="L263" s="34" t="n"/>
      <c r="M263" s="34" t="n"/>
      <c r="N263" s="34" t="n"/>
      <c r="O263" s="38" t="inlineStr">
        <is>
          <t>Leave 1-2 reps in the tank; add weight when you hit the top of the range</t>
        </is>
      </c>
    </row>
    <row r="264">
      <c r="C264" t="inlineStr">
        <is>
          <t xml:space="preserve">      Set 1</t>
        </is>
      </c>
      <c r="E264" t="n">
        <v>30</v>
      </c>
      <c r="H264" s="39">
        <f>IF(H263="","",H263)</f>
        <v/>
      </c>
      <c r="I264" s="7">
        <f>IF(H263="","",H263)</f>
        <v/>
      </c>
      <c r="J264" s="7" t="n">
        <v>30</v>
      </c>
      <c r="K264" s="7" t="n"/>
      <c r="L264" s="40" t="n"/>
      <c r="M264">
        <f>IF(AND(L264&lt;&gt;"",N(I264)&gt;0,N(J264)&gt;0),IF(J264=1,I264,ROUND(I264*(1+J264/30),1)),"")</f>
        <v/>
      </c>
      <c r="N264" s="41">
        <f>IF(M264="","",IF(M264&gt;=PRs!C56,"PR!",""))</f>
        <v/>
      </c>
      <c r="O264" s="7" t="n"/>
    </row>
    <row r="265">
      <c r="C265" t="inlineStr">
        <is>
          <t xml:space="preserve">      Set 2</t>
        </is>
      </c>
      <c r="E265" t="n">
        <v>30</v>
      </c>
      <c r="H265" s="39">
        <f>IF(H263="","",H263)</f>
        <v/>
      </c>
      <c r="I265" s="7">
        <f>IF(H263="","",H263)</f>
        <v/>
      </c>
      <c r="J265" s="7" t="n">
        <v>30</v>
      </c>
      <c r="K265" s="7" t="n"/>
      <c r="L265" s="40" t="n"/>
      <c r="M265">
        <f>IF(AND(L265&lt;&gt;"",N(I265)&gt;0,N(J265)&gt;0),IF(J265=1,I265,ROUND(I265*(1+J265/30),1)),"")</f>
        <v/>
      </c>
      <c r="N265" s="41">
        <f>IF(M265="","",IF(M265&gt;=PRs!C56,"PR!",""))</f>
        <v/>
      </c>
      <c r="O265" s="7" t="n"/>
    </row>
    <row r="266">
      <c r="C266" t="inlineStr">
        <is>
          <t xml:space="preserve">      Set 3</t>
        </is>
      </c>
      <c r="E266" t="n">
        <v>30</v>
      </c>
      <c r="H266" s="39">
        <f>IF(H263="","",H263)</f>
        <v/>
      </c>
      <c r="I266" s="7">
        <f>IF(H263="","",H263)</f>
        <v/>
      </c>
      <c r="J266" s="7" t="n">
        <v>30</v>
      </c>
      <c r="K266" s="7" t="n"/>
      <c r="L266" s="40" t="n"/>
      <c r="M266">
        <f>IF(AND(L266&lt;&gt;"",N(I266)&gt;0,N(J266)&gt;0),IF(J266=1,I266,ROUND(I266*(1+J266/30),1)),"")</f>
        <v/>
      </c>
      <c r="N266" s="41">
        <f>IF(M266="","",IF(M266&gt;=PRs!C56,"PR!",""))</f>
        <v/>
      </c>
      <c r="O266" s="7" t="n"/>
    </row>
    <row r="267">
      <c r="A267" s="31" t="inlineStr">
        <is>
          <t>Day 3 - Variations</t>
        </is>
      </c>
      <c r="B267" s="32">
        <f>'Start Here'!$B$8+214</f>
        <v/>
      </c>
      <c r="C267" s="33" t="n"/>
      <c r="D267" s="33" t="n"/>
      <c r="E267" s="33" t="n"/>
      <c r="F267" s="33" t="n"/>
      <c r="G267" s="33" t="n"/>
      <c r="H267" s="33" t="n"/>
      <c r="I267" s="33" t="n"/>
      <c r="J267" s="33" t="n"/>
      <c r="K267" s="33" t="n"/>
      <c r="L267" s="33" t="n"/>
      <c r="M267" s="33" t="n"/>
      <c r="N267" s="33" t="n"/>
      <c r="O267" s="33" t="n"/>
    </row>
    <row r="268">
      <c r="A268" s="34" t="n"/>
      <c r="B268" s="34" t="n"/>
      <c r="C268" s="35" t="inlineStr">
        <is>
          <t>Hurdle Hop</t>
        </is>
      </c>
      <c r="D268" s="34" t="inlineStr">
        <is>
          <t>4 x 3</t>
        </is>
      </c>
      <c r="E268" s="34" t="n"/>
      <c r="F268" s="34" t="n"/>
      <c r="G268" s="36" t="n"/>
      <c r="H268" s="37">
        <f>IF(N(Maxes!G73)&gt;0,Maxes!G73,"")</f>
        <v/>
      </c>
      <c r="I268" s="34" t="n"/>
      <c r="J268" s="34" t="n"/>
      <c r="K268" s="34" t="n"/>
      <c r="L268" s="34" t="n"/>
      <c r="M268" s="34" t="n"/>
      <c r="N268" s="34" t="n"/>
      <c r="O268" s="38" t="inlineStr">
        <is>
          <t>Continuous two-foot hops over a row of 4-6 low hurdles or cones, minimal ground contact. Log the hurdle height.</t>
        </is>
      </c>
    </row>
    <row r="269">
      <c r="C269" t="inlineStr">
        <is>
          <t xml:space="preserve">      Set 1</t>
        </is>
      </c>
      <c r="E269" t="n">
        <v>3</v>
      </c>
      <c r="H269" s="39">
        <f>IF(H268="","",H268)</f>
        <v/>
      </c>
      <c r="I269" s="7">
        <f>IF(H268="","",H268)</f>
        <v/>
      </c>
      <c r="J269" s="7" t="n">
        <v>3</v>
      </c>
      <c r="K269" s="7" t="n"/>
      <c r="L269" s="40" t="n"/>
      <c r="N269" s="41">
        <f>IF(AND(L269&lt;&gt;"",N(I269)&gt;0),IF(I269&gt;=PRs!D73,"PR!",""),"")</f>
        <v/>
      </c>
      <c r="O269" s="7" t="n"/>
    </row>
    <row r="270">
      <c r="C270" t="inlineStr">
        <is>
          <t xml:space="preserve">      Set 2</t>
        </is>
      </c>
      <c r="E270" t="n">
        <v>3</v>
      </c>
      <c r="H270" s="39">
        <f>IF(H268="","",H268)</f>
        <v/>
      </c>
      <c r="I270" s="7">
        <f>IF(H268="","",H268)</f>
        <v/>
      </c>
      <c r="J270" s="7" t="n">
        <v>3</v>
      </c>
      <c r="K270" s="7" t="n"/>
      <c r="L270" s="40" t="n"/>
      <c r="N270" s="41">
        <f>IF(AND(L270&lt;&gt;"",N(I270)&gt;0),IF(I270&gt;=PRs!D73,"PR!",""),"")</f>
        <v/>
      </c>
      <c r="O270" s="7" t="n"/>
    </row>
    <row r="271">
      <c r="C271" t="inlineStr">
        <is>
          <t xml:space="preserve">      Set 3</t>
        </is>
      </c>
      <c r="E271" t="n">
        <v>3</v>
      </c>
      <c r="H271" s="39">
        <f>IF(H268="","",H268)</f>
        <v/>
      </c>
      <c r="I271" s="7">
        <f>IF(H268="","",H268)</f>
        <v/>
      </c>
      <c r="J271" s="7" t="n">
        <v>3</v>
      </c>
      <c r="K271" s="7" t="n"/>
      <c r="L271" s="40" t="n"/>
      <c r="N271" s="41">
        <f>IF(AND(L271&lt;&gt;"",N(I271)&gt;0),IF(I271&gt;=PRs!D73,"PR!",""),"")</f>
        <v/>
      </c>
      <c r="O271" s="7" t="n"/>
    </row>
    <row r="272">
      <c r="C272" t="inlineStr">
        <is>
          <t xml:space="preserve">      Set 4</t>
        </is>
      </c>
      <c r="E272" t="n">
        <v>3</v>
      </c>
      <c r="H272" s="39">
        <f>IF(H268="","",H268)</f>
        <v/>
      </c>
      <c r="I272" s="7">
        <f>IF(H268="","",H268)</f>
        <v/>
      </c>
      <c r="J272" s="7" t="n">
        <v>3</v>
      </c>
      <c r="K272" s="7" t="n"/>
      <c r="L272" s="40" t="n"/>
      <c r="N272" s="41">
        <f>IF(AND(L272&lt;&gt;"",N(I272)&gt;0),IF(I272&gt;=PRs!D73,"PR!",""),"")</f>
        <v/>
      </c>
      <c r="O272" s="7" t="n"/>
    </row>
    <row r="273">
      <c r="A273" s="34" t="n"/>
      <c r="B273" s="34" t="n"/>
      <c r="C273" s="42" t="inlineStr">
        <is>
          <t>Split Jerk</t>
        </is>
      </c>
      <c r="D273" s="34" t="inlineStr">
        <is>
          <t>4 x 3</t>
        </is>
      </c>
      <c r="E273" s="34" t="n"/>
      <c r="F273" s="34" t="n">
        <v>77.5</v>
      </c>
      <c r="G273" s="36">
        <f>Maxes!G46</f>
        <v/>
      </c>
      <c r="H273" s="37">
        <f>IF(OR(G273="",F273=""),"",MROUND(G273*F273/100,'Start Here'!$B$7))</f>
        <v/>
      </c>
      <c r="I273" s="34" t="n"/>
      <c r="J273" s="34" t="n"/>
      <c r="K273" s="34" t="n"/>
      <c r="L273" s="34" t="n"/>
      <c r="M273" s="34" t="n"/>
      <c r="N273" s="34" t="n"/>
      <c r="O273" s="38" t="inlineStr"/>
    </row>
    <row r="274">
      <c r="C274" t="inlineStr">
        <is>
          <t xml:space="preserve">      Set 1</t>
        </is>
      </c>
      <c r="E274" t="n">
        <v>3</v>
      </c>
      <c r="H274" s="39">
        <f>IF(H273="","",H273)</f>
        <v/>
      </c>
      <c r="I274" s="7">
        <f>IF(H273="","",H273)</f>
        <v/>
      </c>
      <c r="J274" s="7" t="n">
        <v>3</v>
      </c>
      <c r="K274" s="7" t="n"/>
      <c r="L274" s="40" t="n"/>
      <c r="M274">
        <f>IF(AND(L274&lt;&gt;"",N(I274)&gt;0,N(J274)&gt;0),IF(J274=1,I274,ROUND(I274*(1+J274/30),1)),"")</f>
        <v/>
      </c>
      <c r="N274" s="41">
        <f>IF(M274="","",IF(M274&gt;=PRs!C46,"PR!",""))</f>
        <v/>
      </c>
      <c r="O274" s="7" t="n"/>
    </row>
    <row r="275">
      <c r="C275" t="inlineStr">
        <is>
          <t xml:space="preserve">      Set 2</t>
        </is>
      </c>
      <c r="E275" t="n">
        <v>3</v>
      </c>
      <c r="H275" s="39">
        <f>IF(H273="","",H273)</f>
        <v/>
      </c>
      <c r="I275" s="7">
        <f>IF(H273="","",H273)</f>
        <v/>
      </c>
      <c r="J275" s="7" t="n">
        <v>3</v>
      </c>
      <c r="K275" s="7" t="n"/>
      <c r="L275" s="40" t="n"/>
      <c r="M275">
        <f>IF(AND(L275&lt;&gt;"",N(I275)&gt;0,N(J275)&gt;0),IF(J275=1,I275,ROUND(I275*(1+J275/30),1)),"")</f>
        <v/>
      </c>
      <c r="N275" s="41">
        <f>IF(M275="","",IF(M275&gt;=PRs!C46,"PR!",""))</f>
        <v/>
      </c>
      <c r="O275" s="7" t="n"/>
    </row>
    <row r="276">
      <c r="C276" t="inlineStr">
        <is>
          <t xml:space="preserve">      Set 3</t>
        </is>
      </c>
      <c r="E276" t="n">
        <v>3</v>
      </c>
      <c r="H276" s="39">
        <f>IF(H273="","",H273)</f>
        <v/>
      </c>
      <c r="I276" s="7">
        <f>IF(H273="","",H273)</f>
        <v/>
      </c>
      <c r="J276" s="7" t="n">
        <v>3</v>
      </c>
      <c r="K276" s="7" t="n"/>
      <c r="L276" s="40" t="n"/>
      <c r="M276">
        <f>IF(AND(L276&lt;&gt;"",N(I276)&gt;0,N(J276)&gt;0),IF(J276=1,I276,ROUND(I276*(1+J276/30),1)),"")</f>
        <v/>
      </c>
      <c r="N276" s="41">
        <f>IF(M276="","",IF(M276&gt;=PRs!C46,"PR!",""))</f>
        <v/>
      </c>
      <c r="O276" s="7" t="n"/>
    </row>
    <row r="277">
      <c r="C277" t="inlineStr">
        <is>
          <t xml:space="preserve">      Set 4</t>
        </is>
      </c>
      <c r="E277" t="n">
        <v>3</v>
      </c>
      <c r="H277" s="39">
        <f>IF(H273="","",H273)</f>
        <v/>
      </c>
      <c r="I277" s="7">
        <f>IF(H273="","",H273)</f>
        <v/>
      </c>
      <c r="J277" s="7" t="n">
        <v>3</v>
      </c>
      <c r="K277" s="7" t="n"/>
      <c r="L277" s="40" t="n"/>
      <c r="M277">
        <f>IF(AND(L277&lt;&gt;"",N(I277)&gt;0,N(J277)&gt;0),IF(J277=1,I277,ROUND(I277*(1+J277/30),1)),"")</f>
        <v/>
      </c>
      <c r="N277" s="41">
        <f>IF(M277="","",IF(M277&gt;=PRs!C46,"PR!",""))</f>
        <v/>
      </c>
      <c r="O277" s="7" t="n"/>
    </row>
    <row r="278">
      <c r="A278" s="34" t="n"/>
      <c r="B278" s="34" t="n"/>
      <c r="C278" s="42" t="inlineStr">
        <is>
          <t>Front Squat</t>
        </is>
      </c>
      <c r="D278" s="34" t="inlineStr">
        <is>
          <t>3 x 6</t>
        </is>
      </c>
      <c r="E278" s="34" t="n"/>
      <c r="F278" s="34" t="n">
        <v>77.5</v>
      </c>
      <c r="G278" s="36">
        <f>Maxes!G10</f>
        <v/>
      </c>
      <c r="H278" s="37">
        <f>IF(OR(G278="",F278=""),"",MROUND(G278*F278/100,'Start Here'!$B$7))</f>
        <v/>
      </c>
      <c r="I278" s="34" t="n"/>
      <c r="J278" s="34" t="n"/>
      <c r="K278" s="34" t="n"/>
      <c r="L278" s="34" t="n"/>
      <c r="M278" s="34" t="n"/>
      <c r="N278" s="34" t="n"/>
      <c r="O278" s="38" t="inlineStr"/>
    </row>
    <row r="279">
      <c r="C279" t="inlineStr">
        <is>
          <t xml:space="preserve">      Set 1</t>
        </is>
      </c>
      <c r="E279" t="n">
        <v>6</v>
      </c>
      <c r="H279" s="39">
        <f>IF(H278="","",H278)</f>
        <v/>
      </c>
      <c r="I279" s="7">
        <f>IF(H278="","",H278)</f>
        <v/>
      </c>
      <c r="J279" s="7" t="n">
        <v>6</v>
      </c>
      <c r="K279" s="7" t="n"/>
      <c r="L279" s="40" t="n"/>
      <c r="M279">
        <f>IF(AND(L279&lt;&gt;"",N(I279)&gt;0,N(J279)&gt;0),IF(J279=1,I279,ROUND(I279*(1+J279/30),1)),"")</f>
        <v/>
      </c>
      <c r="N279" s="41">
        <f>IF(M279="","",IF(M279&gt;=PRs!C10,"PR!",""))</f>
        <v/>
      </c>
      <c r="O279" s="7" t="n"/>
    </row>
    <row r="280">
      <c r="C280" t="inlineStr">
        <is>
          <t xml:space="preserve">      Set 2</t>
        </is>
      </c>
      <c r="E280" t="n">
        <v>6</v>
      </c>
      <c r="H280" s="39">
        <f>IF(H278="","",H278)</f>
        <v/>
      </c>
      <c r="I280" s="7">
        <f>IF(H278="","",H278)</f>
        <v/>
      </c>
      <c r="J280" s="7" t="n">
        <v>6</v>
      </c>
      <c r="K280" s="7" t="n"/>
      <c r="L280" s="40" t="n"/>
      <c r="M280">
        <f>IF(AND(L280&lt;&gt;"",N(I280)&gt;0,N(J280)&gt;0),IF(J280=1,I280,ROUND(I280*(1+J280/30),1)),"")</f>
        <v/>
      </c>
      <c r="N280" s="41">
        <f>IF(M280="","",IF(M280&gt;=PRs!C10,"PR!",""))</f>
        <v/>
      </c>
      <c r="O280" s="7" t="n"/>
    </row>
    <row r="281">
      <c r="C281" t="inlineStr">
        <is>
          <t xml:space="preserve">      Set 3</t>
        </is>
      </c>
      <c r="E281" t="n">
        <v>6</v>
      </c>
      <c r="H281" s="39">
        <f>IF(H278="","",H278)</f>
        <v/>
      </c>
      <c r="I281" s="7">
        <f>IF(H278="","",H278)</f>
        <v/>
      </c>
      <c r="J281" s="7" t="n">
        <v>6</v>
      </c>
      <c r="K281" s="7" t="n"/>
      <c r="L281" s="40" t="n"/>
      <c r="M281">
        <f>IF(AND(L281&lt;&gt;"",N(I281)&gt;0,N(J281)&gt;0),IF(J281=1,I281,ROUND(I281*(1+J281/30),1)),"")</f>
        <v/>
      </c>
      <c r="N281" s="41">
        <f>IF(M281="","",IF(M281&gt;=PRs!C10,"PR!",""))</f>
        <v/>
      </c>
      <c r="O281" s="7" t="n"/>
    </row>
    <row r="282">
      <c r="A282" s="34" t="n"/>
      <c r="B282" s="34" t="n"/>
      <c r="C282" s="42" t="inlineStr">
        <is>
          <t>Close-Grip Bench Press</t>
        </is>
      </c>
      <c r="D282" s="34" t="inlineStr">
        <is>
          <t>3 x 6</t>
        </is>
      </c>
      <c r="E282" s="34" t="n"/>
      <c r="F282" s="34" t="n">
        <v>77.5</v>
      </c>
      <c r="G282" s="36">
        <f>Maxes!G14</f>
        <v/>
      </c>
      <c r="H282" s="37">
        <f>IF(OR(G282="",F282=""),"",MROUND(G282*F282/100,'Start Here'!$B$7))</f>
        <v/>
      </c>
      <c r="I282" s="34" t="n"/>
      <c r="J282" s="34" t="n"/>
      <c r="K282" s="34" t="n"/>
      <c r="L282" s="34" t="n"/>
      <c r="M282" s="34" t="n"/>
      <c r="N282" s="34" t="n"/>
      <c r="O282" s="38" t="inlineStr"/>
    </row>
    <row r="283">
      <c r="C283" t="inlineStr">
        <is>
          <t xml:space="preserve">      Set 1</t>
        </is>
      </c>
      <c r="E283" t="n">
        <v>6</v>
      </c>
      <c r="H283" s="39">
        <f>IF(H282="","",H282)</f>
        <v/>
      </c>
      <c r="I283" s="7">
        <f>IF(H282="","",H282)</f>
        <v/>
      </c>
      <c r="J283" s="7" t="n">
        <v>6</v>
      </c>
      <c r="K283" s="7" t="n"/>
      <c r="L283" s="40" t="n"/>
      <c r="M283">
        <f>IF(AND(L283&lt;&gt;"",N(I283)&gt;0,N(J283)&gt;0),IF(J283=1,I283,ROUND(I283*(1+J283/30),1)),"")</f>
        <v/>
      </c>
      <c r="N283" s="41">
        <f>IF(M283="","",IF(M283&gt;=PRs!C14,"PR!",""))</f>
        <v/>
      </c>
      <c r="O283" s="7" t="n"/>
    </row>
    <row r="284">
      <c r="C284" t="inlineStr">
        <is>
          <t xml:space="preserve">      Set 2</t>
        </is>
      </c>
      <c r="E284" t="n">
        <v>6</v>
      </c>
      <c r="H284" s="39">
        <f>IF(H282="","",H282)</f>
        <v/>
      </c>
      <c r="I284" s="7">
        <f>IF(H282="","",H282)</f>
        <v/>
      </c>
      <c r="J284" s="7" t="n">
        <v>6</v>
      </c>
      <c r="K284" s="7" t="n"/>
      <c r="L284" s="40" t="n"/>
      <c r="M284">
        <f>IF(AND(L284&lt;&gt;"",N(I284)&gt;0,N(J284)&gt;0),IF(J284=1,I284,ROUND(I284*(1+J284/30),1)),"")</f>
        <v/>
      </c>
      <c r="N284" s="41">
        <f>IF(M284="","",IF(M284&gt;=PRs!C14,"PR!",""))</f>
        <v/>
      </c>
      <c r="O284" s="7" t="n"/>
    </row>
    <row r="285">
      <c r="C285" t="inlineStr">
        <is>
          <t xml:space="preserve">      Set 3</t>
        </is>
      </c>
      <c r="E285" t="n">
        <v>6</v>
      </c>
      <c r="H285" s="39">
        <f>IF(H282="","",H282)</f>
        <v/>
      </c>
      <c r="I285" s="7">
        <f>IF(H282="","",H282)</f>
        <v/>
      </c>
      <c r="J285" s="7" t="n">
        <v>6</v>
      </c>
      <c r="K285" s="7" t="n"/>
      <c r="L285" s="40" t="n"/>
      <c r="M285">
        <f>IF(AND(L285&lt;&gt;"",N(I285)&gt;0,N(J285)&gt;0),IF(J285=1,I285,ROUND(I285*(1+J285/30),1)),"")</f>
        <v/>
      </c>
      <c r="N285" s="41">
        <f>IF(M285="","",IF(M285&gt;=PRs!C14,"PR!",""))</f>
        <v/>
      </c>
      <c r="O285" s="7" t="n"/>
    </row>
    <row r="286">
      <c r="A286" s="34" t="n"/>
      <c r="B286" s="34" t="n"/>
      <c r="C286" s="42" t="inlineStr">
        <is>
          <t>Block Pull</t>
        </is>
      </c>
      <c r="D286" s="34" t="inlineStr">
        <is>
          <t>3 x 6</t>
        </is>
      </c>
      <c r="E286" s="34" t="n"/>
      <c r="F286" s="34" t="n">
        <v>70</v>
      </c>
      <c r="G286" s="36">
        <f>Maxes!G26</f>
        <v/>
      </c>
      <c r="H286" s="37">
        <f>IF(OR(G286="",F286=""),"",MROUND(G286*F286/100,'Start Here'!$B$7))</f>
        <v/>
      </c>
      <c r="I286" s="34" t="n"/>
      <c r="J286" s="34" t="n"/>
      <c r="K286" s="34" t="n"/>
      <c r="L286" s="34" t="n"/>
      <c r="M286" s="34" t="n"/>
      <c r="N286" s="34" t="n"/>
      <c r="O286" s="38" t="inlineStr"/>
    </row>
    <row r="287">
      <c r="C287" t="inlineStr">
        <is>
          <t xml:space="preserve">      Set 1</t>
        </is>
      </c>
      <c r="E287" t="n">
        <v>6</v>
      </c>
      <c r="H287" s="39">
        <f>IF(H286="","",H286)</f>
        <v/>
      </c>
      <c r="I287" s="7">
        <f>IF(H286="","",H286)</f>
        <v/>
      </c>
      <c r="J287" s="7" t="n">
        <v>6</v>
      </c>
      <c r="K287" s="7" t="n"/>
      <c r="L287" s="40" t="n"/>
      <c r="M287">
        <f>IF(AND(L287&lt;&gt;"",N(I287)&gt;0,N(J287)&gt;0),IF(J287=1,I287,ROUND(I287*(1+J287/30),1)),"")</f>
        <v/>
      </c>
      <c r="N287" s="41">
        <f>IF(M287="","",IF(M287&gt;=PRs!C26,"PR!",""))</f>
        <v/>
      </c>
      <c r="O287" s="7" t="n"/>
    </row>
    <row r="288">
      <c r="C288" t="inlineStr">
        <is>
          <t xml:space="preserve">      Set 2</t>
        </is>
      </c>
      <c r="E288" t="n">
        <v>6</v>
      </c>
      <c r="H288" s="39">
        <f>IF(H286="","",H286)</f>
        <v/>
      </c>
      <c r="I288" s="7">
        <f>IF(H286="","",H286)</f>
        <v/>
      </c>
      <c r="J288" s="7" t="n">
        <v>6</v>
      </c>
      <c r="K288" s="7" t="n"/>
      <c r="L288" s="40" t="n"/>
      <c r="M288">
        <f>IF(AND(L288&lt;&gt;"",N(I288)&gt;0,N(J288)&gt;0),IF(J288=1,I288,ROUND(I288*(1+J288/30),1)),"")</f>
        <v/>
      </c>
      <c r="N288" s="41">
        <f>IF(M288="","",IF(M288&gt;=PRs!C26,"PR!",""))</f>
        <v/>
      </c>
      <c r="O288" s="7" t="n"/>
    </row>
    <row r="289">
      <c r="C289" t="inlineStr">
        <is>
          <t xml:space="preserve">      Set 3</t>
        </is>
      </c>
      <c r="E289" t="n">
        <v>6</v>
      </c>
      <c r="H289" s="39">
        <f>IF(H286="","",H286)</f>
        <v/>
      </c>
      <c r="I289" s="7">
        <f>IF(H286="","",H286)</f>
        <v/>
      </c>
      <c r="J289" s="7" t="n">
        <v>6</v>
      </c>
      <c r="K289" s="7" t="n"/>
      <c r="L289" s="40" t="n"/>
      <c r="M289">
        <f>IF(AND(L289&lt;&gt;"",N(I289)&gt;0,N(J289)&gt;0),IF(J289=1,I289,ROUND(I289*(1+J289/30),1)),"")</f>
        <v/>
      </c>
      <c r="N289" s="41">
        <f>IF(M289="","",IF(M289&gt;=PRs!C26,"PR!",""))</f>
        <v/>
      </c>
      <c r="O289" s="7" t="n"/>
    </row>
    <row r="290">
      <c r="A290" s="34" t="n"/>
      <c r="B290" s="34" t="n"/>
      <c r="C290" s="43" t="inlineStr">
        <is>
          <t>Incline Dumbbell Press</t>
        </is>
      </c>
      <c r="D290" s="34" t="inlineStr">
        <is>
          <t>3 x 8-12</t>
        </is>
      </c>
      <c r="E290" s="34" t="n"/>
      <c r="F290" s="34" t="n"/>
      <c r="G290" s="36" t="n"/>
      <c r="H290" s="37" t="n"/>
      <c r="I290" s="34" t="n"/>
      <c r="J290" s="34" t="n"/>
      <c r="K290" s="34" t="n"/>
      <c r="L290" s="34" t="n"/>
      <c r="M290" s="34" t="n"/>
      <c r="N290" s="34" t="n"/>
      <c r="O290" s="38" t="inlineStr">
        <is>
          <t>Leave 1-2 reps in the tank; add weight when you hit the top of the range</t>
        </is>
      </c>
    </row>
    <row r="291">
      <c r="C291" t="inlineStr">
        <is>
          <t xml:space="preserve">      Set 1</t>
        </is>
      </c>
      <c r="E291" t="n">
        <v>8</v>
      </c>
      <c r="H291" s="39">
        <f>IF(H290="","",H290)</f>
        <v/>
      </c>
      <c r="I291" s="7">
        <f>IF(H290="","",H290)</f>
        <v/>
      </c>
      <c r="J291" s="7" t="n">
        <v>8</v>
      </c>
      <c r="K291" s="7" t="n"/>
      <c r="L291" s="40" t="n"/>
      <c r="M291">
        <f>IF(AND(L291&lt;&gt;"",N(I291)&gt;0,N(J291)&gt;0),IF(J291=1,I291,ROUND(I291*(1+J291/30),1)),"")</f>
        <v/>
      </c>
      <c r="N291" s="41">
        <f>IF(M291="","",IF(M291&gt;=PRs!C57,"PR!",""))</f>
        <v/>
      </c>
      <c r="O291" s="7" t="n"/>
    </row>
    <row r="292">
      <c r="C292" t="inlineStr">
        <is>
          <t xml:space="preserve">      Set 2</t>
        </is>
      </c>
      <c r="E292" t="n">
        <v>8</v>
      </c>
      <c r="H292" s="39">
        <f>IF(H290="","",H290)</f>
        <v/>
      </c>
      <c r="I292" s="7">
        <f>IF(H290="","",H290)</f>
        <v/>
      </c>
      <c r="J292" s="7" t="n">
        <v>8</v>
      </c>
      <c r="K292" s="7" t="n"/>
      <c r="L292" s="40" t="n"/>
      <c r="M292">
        <f>IF(AND(L292&lt;&gt;"",N(I292)&gt;0,N(J292)&gt;0),IF(J292=1,I292,ROUND(I292*(1+J292/30),1)),"")</f>
        <v/>
      </c>
      <c r="N292" s="41">
        <f>IF(M292="","",IF(M292&gt;=PRs!C57,"PR!",""))</f>
        <v/>
      </c>
      <c r="O292" s="7" t="n"/>
    </row>
    <row r="293">
      <c r="C293" t="inlineStr">
        <is>
          <t xml:space="preserve">      Set 3</t>
        </is>
      </c>
      <c r="E293" t="n">
        <v>8</v>
      </c>
      <c r="H293" s="39">
        <f>IF(H290="","",H290)</f>
        <v/>
      </c>
      <c r="I293" s="7">
        <f>IF(H290="","",H290)</f>
        <v/>
      </c>
      <c r="J293" s="7" t="n">
        <v>8</v>
      </c>
      <c r="K293" s="7" t="n"/>
      <c r="L293" s="40" t="n"/>
      <c r="M293">
        <f>IF(AND(L293&lt;&gt;"",N(I293)&gt;0,N(J293)&gt;0),IF(J293=1,I293,ROUND(I293*(1+J293/30),1)),"")</f>
        <v/>
      </c>
      <c r="N293" s="41">
        <f>IF(M293="","",IF(M293&gt;=PRs!C57,"PR!",""))</f>
        <v/>
      </c>
      <c r="O293" s="7" t="n"/>
    </row>
    <row r="294">
      <c r="A294" s="34" t="n"/>
      <c r="B294" s="34" t="n"/>
      <c r="C294" s="43" t="inlineStr">
        <is>
          <t>Triceps Pushdown</t>
        </is>
      </c>
      <c r="D294" s="34" t="inlineStr">
        <is>
          <t>3 x 10-15</t>
        </is>
      </c>
      <c r="E294" s="34" t="n"/>
      <c r="F294" s="34" t="n"/>
      <c r="G294" s="36" t="n"/>
      <c r="H294" s="37" t="n"/>
      <c r="I294" s="34" t="n"/>
      <c r="J294" s="34" t="n"/>
      <c r="K294" s="34" t="n"/>
      <c r="L294" s="34" t="n"/>
      <c r="M294" s="34" t="n"/>
      <c r="N294" s="34" t="n"/>
      <c r="O294" s="38" t="inlineStr">
        <is>
          <t>Leave 1-2 reps in the tank; add weight when you hit the top of the range</t>
        </is>
      </c>
    </row>
    <row r="295">
      <c r="C295" t="inlineStr">
        <is>
          <t xml:space="preserve">      Set 1</t>
        </is>
      </c>
      <c r="E295" t="n">
        <v>10</v>
      </c>
      <c r="H295" s="39">
        <f>IF(H294="","",H294)</f>
        <v/>
      </c>
      <c r="I295" s="7">
        <f>IF(H294="","",H294)</f>
        <v/>
      </c>
      <c r="J295" s="7" t="n">
        <v>10</v>
      </c>
      <c r="K295" s="7" t="n"/>
      <c r="L295" s="40" t="n"/>
      <c r="M295">
        <f>IF(AND(L295&lt;&gt;"",N(I295)&gt;0,N(J295)&gt;0),IF(J295=1,I295,ROUND(I295*(1+J295/30),1)),"")</f>
        <v/>
      </c>
      <c r="N295" s="41">
        <f>IF(M295="","",IF(M295&gt;=PRs!C59,"PR!",""))</f>
        <v/>
      </c>
      <c r="O295" s="7" t="n"/>
    </row>
    <row r="296">
      <c r="C296" t="inlineStr">
        <is>
          <t xml:space="preserve">      Set 2</t>
        </is>
      </c>
      <c r="E296" t="n">
        <v>10</v>
      </c>
      <c r="H296" s="39">
        <f>IF(H294="","",H294)</f>
        <v/>
      </c>
      <c r="I296" s="7">
        <f>IF(H294="","",H294)</f>
        <v/>
      </c>
      <c r="J296" s="7" t="n">
        <v>10</v>
      </c>
      <c r="K296" s="7" t="n"/>
      <c r="L296" s="40" t="n"/>
      <c r="M296">
        <f>IF(AND(L296&lt;&gt;"",N(I296)&gt;0,N(J296)&gt;0),IF(J296=1,I296,ROUND(I296*(1+J296/30),1)),"")</f>
        <v/>
      </c>
      <c r="N296" s="41">
        <f>IF(M296="","",IF(M296&gt;=PRs!C59,"PR!",""))</f>
        <v/>
      </c>
      <c r="O296" s="7" t="n"/>
    </row>
    <row r="297">
      <c r="C297" t="inlineStr">
        <is>
          <t xml:space="preserve">      Set 3</t>
        </is>
      </c>
      <c r="E297" t="n">
        <v>10</v>
      </c>
      <c r="H297" s="39">
        <f>IF(H294="","",H294)</f>
        <v/>
      </c>
      <c r="I297" s="7">
        <f>IF(H294="","",H294)</f>
        <v/>
      </c>
      <c r="J297" s="7" t="n">
        <v>10</v>
      </c>
      <c r="K297" s="7" t="n"/>
      <c r="L297" s="40" t="n"/>
      <c r="M297">
        <f>IF(AND(L297&lt;&gt;"",N(I297)&gt;0,N(J297)&gt;0),IF(J297=1,I297,ROUND(I297*(1+J297/30),1)),"")</f>
        <v/>
      </c>
      <c r="N297" s="41">
        <f>IF(M297="","",IF(M297&gt;=PRs!C59,"PR!",""))</f>
        <v/>
      </c>
      <c r="O297" s="7" t="n"/>
    </row>
    <row r="299">
      <c r="A299" s="48" t="inlineStr">
        <is>
          <t>WEEK 32 - CYCLE 3 - DELOAD</t>
        </is>
      </c>
      <c r="B299" s="49" t="n"/>
      <c r="C299" s="49" t="n"/>
      <c r="D299" s="49" t="n"/>
      <c r="E299" s="49" t="n"/>
      <c r="F299" s="49" t="n"/>
      <c r="G299" s="49" t="n"/>
      <c r="H299" s="50" t="inlineStr">
        <is>
          <t>Bodyweight:</t>
        </is>
      </c>
      <c r="I299" s="7" t="n"/>
      <c r="J299" s="49" t="n"/>
      <c r="K299" s="49" t="n"/>
      <c r="L299" s="49" t="n"/>
      <c r="M299" s="49" t="n"/>
      <c r="N299" s="49" t="n"/>
      <c r="O299" s="49" t="n"/>
    </row>
    <row r="300">
      <c r="A300" s="31" t="inlineStr">
        <is>
          <t>Day 1 - Heavy</t>
        </is>
      </c>
      <c r="B300" s="32">
        <f>'Start Here'!$B$8+217</f>
        <v/>
      </c>
      <c r="C300" s="33" t="n"/>
      <c r="D300" s="33" t="n"/>
      <c r="E300" s="33" t="n"/>
      <c r="F300" s="33" t="n"/>
      <c r="G300" s="33" t="n"/>
      <c r="H300" s="33" t="n"/>
      <c r="I300" s="33" t="n"/>
      <c r="J300" s="33" t="n"/>
      <c r="K300" s="33" t="n"/>
      <c r="L300" s="33" t="n"/>
      <c r="M300" s="33" t="n"/>
      <c r="N300" s="33" t="n"/>
      <c r="O300" s="33" t="n"/>
    </row>
    <row r="301">
      <c r="A301" s="34" t="n"/>
      <c r="B301" s="34" t="n"/>
      <c r="C301" s="35" t="inlineStr">
        <is>
          <t>Box Jump</t>
        </is>
      </c>
      <c r="D301" s="34" t="inlineStr">
        <is>
          <t>2 x 3</t>
        </is>
      </c>
      <c r="E301" s="34" t="n"/>
      <c r="F301" s="34" t="n"/>
      <c r="G301" s="36" t="n"/>
      <c r="H301" s="37">
        <f>IF(N(Maxes!G69)&gt;0,Maxes!G69,'Start Here'!$G$16)</f>
        <v/>
      </c>
      <c r="I301" s="34" t="n"/>
      <c r="J301" s="34" t="n"/>
      <c r="K301" s="34" t="n"/>
      <c r="L301" s="34" t="n"/>
      <c r="M301" s="34" t="n"/>
      <c r="N301" s="34" t="n"/>
      <c r="O301" s="38" t="inlineStr">
        <is>
          <t>Two-foot jump onto a box, land soft in a quarter squat, STEP down. Log the box height (floor to top of box).</t>
        </is>
      </c>
    </row>
    <row r="302">
      <c r="C302" t="inlineStr">
        <is>
          <t xml:space="preserve">      Set 1</t>
        </is>
      </c>
      <c r="E302" t="n">
        <v>3</v>
      </c>
      <c r="H302" s="39">
        <f>IF(H301="","",H301)</f>
        <v/>
      </c>
      <c r="I302" s="7">
        <f>IF(H301="","",H301)</f>
        <v/>
      </c>
      <c r="J302" s="7" t="n">
        <v>3</v>
      </c>
      <c r="K302" s="7" t="n"/>
      <c r="L302" s="40" t="n"/>
      <c r="N302" s="41">
        <f>IF(AND(L302&lt;&gt;"",N(I302)&gt;0),IF(I302&gt;=PRs!D69,"PR!",""),"")</f>
        <v/>
      </c>
      <c r="O302" s="7" t="n"/>
    </row>
    <row r="303">
      <c r="C303" t="inlineStr">
        <is>
          <t xml:space="preserve">      Set 2</t>
        </is>
      </c>
      <c r="E303" t="n">
        <v>3</v>
      </c>
      <c r="H303" s="39">
        <f>IF(H301="","",H301)</f>
        <v/>
      </c>
      <c r="I303" s="7">
        <f>IF(H301="","",H301)</f>
        <v/>
      </c>
      <c r="J303" s="7" t="n">
        <v>3</v>
      </c>
      <c r="K303" s="7" t="n"/>
      <c r="L303" s="40" t="n"/>
      <c r="N303" s="41">
        <f>IF(AND(L303&lt;&gt;"",N(I303)&gt;0),IF(I303&gt;=PRs!D69,"PR!",""),"")</f>
        <v/>
      </c>
      <c r="O303" s="7" t="n"/>
    </row>
    <row r="304">
      <c r="A304" s="34" t="n"/>
      <c r="B304" s="34" t="n"/>
      <c r="C304" s="42" t="inlineStr">
        <is>
          <t>Snatch</t>
        </is>
      </c>
      <c r="D304" s="34" t="inlineStr">
        <is>
          <t>2 x 2</t>
        </is>
      </c>
      <c r="E304" s="34" t="n"/>
      <c r="F304" s="34" t="n">
        <v>65</v>
      </c>
      <c r="G304" s="36">
        <f>Maxes!G6</f>
        <v/>
      </c>
      <c r="H304" s="37">
        <f>IF(OR(G304="",F304=""),"",MROUND(G304*F304/100,'Start Here'!$B$7))</f>
        <v/>
      </c>
      <c r="I304" s="34" t="n"/>
      <c r="J304" s="34" t="n"/>
      <c r="K304" s="34" t="n"/>
      <c r="L304" s="34" t="n"/>
      <c r="M304" s="34" t="n"/>
      <c r="N304" s="34" t="n"/>
      <c r="O304" s="38" t="inlineStr">
        <is>
          <t>Easy week - move fast, recover</t>
        </is>
      </c>
    </row>
    <row r="305">
      <c r="C305" t="inlineStr">
        <is>
          <t xml:space="preserve">      Set 1</t>
        </is>
      </c>
      <c r="E305" t="n">
        <v>2</v>
      </c>
      <c r="H305" s="39">
        <f>IF(H304="","",H304)</f>
        <v/>
      </c>
      <c r="I305" s="7">
        <f>IF(H304="","",H304)</f>
        <v/>
      </c>
      <c r="J305" s="7" t="n">
        <v>2</v>
      </c>
      <c r="K305" s="7" t="n"/>
      <c r="L305" s="40" t="n"/>
      <c r="M305">
        <f>IF(AND(L305&lt;&gt;"",N(I305)&gt;0,N(J305)&gt;0),IF(J305=1,I305,ROUND(I305*(1+J305/30),1)),"")</f>
        <v/>
      </c>
      <c r="N305" s="41">
        <f>IF(M305="","",IF(M305&gt;=PRs!C6,"PR!",""))</f>
        <v/>
      </c>
      <c r="O305" s="7" t="n"/>
    </row>
    <row r="306">
      <c r="C306" t="inlineStr">
        <is>
          <t xml:space="preserve">      Set 2</t>
        </is>
      </c>
      <c r="E306" t="n">
        <v>2</v>
      </c>
      <c r="H306" s="39">
        <f>IF(H304="","",H304)</f>
        <v/>
      </c>
      <c r="I306" s="7">
        <f>IF(H304="","",H304)</f>
        <v/>
      </c>
      <c r="J306" s="7" t="n">
        <v>2</v>
      </c>
      <c r="K306" s="7" t="n"/>
      <c r="L306" s="40" t="n"/>
      <c r="M306">
        <f>IF(AND(L306&lt;&gt;"",N(I306)&gt;0,N(J306)&gt;0),IF(J306=1,I306,ROUND(I306*(1+J306/30),1)),"")</f>
        <v/>
      </c>
      <c r="N306" s="41">
        <f>IF(M306="","",IF(M306&gt;=PRs!C6,"PR!",""))</f>
        <v/>
      </c>
      <c r="O306" s="7" t="n"/>
    </row>
    <row r="307">
      <c r="A307" s="34" t="n"/>
      <c r="B307" s="34" t="n"/>
      <c r="C307" s="42" t="inlineStr">
        <is>
          <t>Squat</t>
        </is>
      </c>
      <c r="D307" s="34" t="inlineStr">
        <is>
          <t>2 x 5</t>
        </is>
      </c>
      <c r="E307" s="34" t="n"/>
      <c r="F307" s="34" t="n">
        <v>65</v>
      </c>
      <c r="G307" s="36">
        <f>Maxes!G2</f>
        <v/>
      </c>
      <c r="H307" s="37">
        <f>IF(OR(G307="",F307=""),"",MROUND(G307*F307/100,'Start Here'!$B$7))</f>
        <v/>
      </c>
      <c r="I307" s="34" t="n"/>
      <c r="J307" s="34" t="n"/>
      <c r="K307" s="34" t="n"/>
      <c r="L307" s="34" t="n"/>
      <c r="M307" s="34" t="n"/>
      <c r="N307" s="34" t="n"/>
      <c r="O307" s="38" t="inlineStr">
        <is>
          <t>Easy week - move fast, recover</t>
        </is>
      </c>
    </row>
    <row r="308">
      <c r="C308" t="inlineStr">
        <is>
          <t xml:space="preserve">      Set 1</t>
        </is>
      </c>
      <c r="E308" t="n">
        <v>5</v>
      </c>
      <c r="H308" s="39">
        <f>IF(H307="","",H307)</f>
        <v/>
      </c>
      <c r="I308" s="7">
        <f>IF(H307="","",H307)</f>
        <v/>
      </c>
      <c r="J308" s="7" t="n">
        <v>5</v>
      </c>
      <c r="K308" s="7" t="n"/>
      <c r="L308" s="40" t="n"/>
      <c r="M308">
        <f>IF(AND(L308&lt;&gt;"",N(I308)&gt;0,N(J308)&gt;0),IF(J308=1,I308,ROUND(I308*(1+J308/30),1)),"")</f>
        <v/>
      </c>
      <c r="N308" s="41">
        <f>IF(M308="","",IF(M308&gt;=PRs!C2,"PR!",""))</f>
        <v/>
      </c>
      <c r="O308" s="7" t="n"/>
    </row>
    <row r="309">
      <c r="C309" t="inlineStr">
        <is>
          <t xml:space="preserve">      Set 2</t>
        </is>
      </c>
      <c r="E309" t="n">
        <v>5</v>
      </c>
      <c r="H309" s="39">
        <f>IF(H307="","",H307)</f>
        <v/>
      </c>
      <c r="I309" s="7">
        <f>IF(H307="","",H307)</f>
        <v/>
      </c>
      <c r="J309" s="7" t="n">
        <v>5</v>
      </c>
      <c r="K309" s="7" t="n"/>
      <c r="L309" s="40" t="n"/>
      <c r="M309">
        <f>IF(AND(L309&lt;&gt;"",N(I309)&gt;0,N(J309)&gt;0),IF(J309=1,I309,ROUND(I309*(1+J309/30),1)),"")</f>
        <v/>
      </c>
      <c r="N309" s="41">
        <f>IF(M309="","",IF(M309&gt;=PRs!C2,"PR!",""))</f>
        <v/>
      </c>
      <c r="O309" s="7" t="n"/>
    </row>
    <row r="310">
      <c r="A310" s="34" t="n"/>
      <c r="B310" s="34" t="n"/>
      <c r="C310" s="42" t="inlineStr">
        <is>
          <t>Bench Press</t>
        </is>
      </c>
      <c r="D310" s="34" t="inlineStr">
        <is>
          <t>2 x 5</t>
        </is>
      </c>
      <c r="E310" s="34" t="n"/>
      <c r="F310" s="34" t="n">
        <v>65</v>
      </c>
      <c r="G310" s="36">
        <f>Maxes!G3</f>
        <v/>
      </c>
      <c r="H310" s="37">
        <f>IF(OR(G310="",F310=""),"",MROUND(G310*F310/100,'Start Here'!$B$7))</f>
        <v/>
      </c>
      <c r="I310" s="34" t="n"/>
      <c r="J310" s="34" t="n"/>
      <c r="K310" s="34" t="n"/>
      <c r="L310" s="34" t="n"/>
      <c r="M310" s="34" t="n"/>
      <c r="N310" s="34" t="n"/>
      <c r="O310" s="38" t="inlineStr">
        <is>
          <t>Easy week - move fast, recover</t>
        </is>
      </c>
    </row>
    <row r="311">
      <c r="C311" t="inlineStr">
        <is>
          <t xml:space="preserve">      Set 1</t>
        </is>
      </c>
      <c r="E311" t="n">
        <v>5</v>
      </c>
      <c r="H311" s="39">
        <f>IF(H310="","",H310)</f>
        <v/>
      </c>
      <c r="I311" s="7">
        <f>IF(H310="","",H310)</f>
        <v/>
      </c>
      <c r="J311" s="7" t="n">
        <v>5</v>
      </c>
      <c r="K311" s="7" t="n"/>
      <c r="L311" s="40" t="n"/>
      <c r="M311">
        <f>IF(AND(L311&lt;&gt;"",N(I311)&gt;0,N(J311)&gt;0),IF(J311=1,I311,ROUND(I311*(1+J311/30),1)),"")</f>
        <v/>
      </c>
      <c r="N311" s="41">
        <f>IF(M311="","",IF(M311&gt;=PRs!C3,"PR!",""))</f>
        <v/>
      </c>
      <c r="O311" s="7" t="n"/>
    </row>
    <row r="312">
      <c r="C312" t="inlineStr">
        <is>
          <t xml:space="preserve">      Set 2</t>
        </is>
      </c>
      <c r="E312" t="n">
        <v>5</v>
      </c>
      <c r="H312" s="39">
        <f>IF(H310="","",H310)</f>
        <v/>
      </c>
      <c r="I312" s="7">
        <f>IF(H310="","",H310)</f>
        <v/>
      </c>
      <c r="J312" s="7" t="n">
        <v>5</v>
      </c>
      <c r="K312" s="7" t="n"/>
      <c r="L312" s="40" t="n"/>
      <c r="M312">
        <f>IF(AND(L312&lt;&gt;"",N(I312)&gt;0,N(J312)&gt;0),IF(J312=1,I312,ROUND(I312*(1+J312/30),1)),"")</f>
        <v/>
      </c>
      <c r="N312" s="41">
        <f>IF(M312="","",IF(M312&gt;=PRs!C3,"PR!",""))</f>
        <v/>
      </c>
      <c r="O312" s="7" t="n"/>
    </row>
    <row r="313">
      <c r="A313" s="34" t="n"/>
      <c r="B313" s="34" t="n"/>
      <c r="C313" s="43" t="inlineStr">
        <is>
          <t>Barbell Row</t>
        </is>
      </c>
      <c r="D313" s="34" t="inlineStr">
        <is>
          <t>2 x 8-10</t>
        </is>
      </c>
      <c r="E313" s="34" t="n"/>
      <c r="F313" s="34" t="n"/>
      <c r="G313" s="36" t="n"/>
      <c r="H313" s="37" t="n"/>
      <c r="I313" s="34" t="n"/>
      <c r="J313" s="34" t="n"/>
      <c r="K313" s="34" t="n"/>
      <c r="L313" s="34" t="n"/>
      <c r="M313" s="34" t="n"/>
      <c r="N313" s="34" t="n"/>
      <c r="O313" s="38" t="inlineStr">
        <is>
          <t>Easy - stop well short of failure</t>
        </is>
      </c>
    </row>
    <row r="314">
      <c r="C314" t="inlineStr">
        <is>
          <t xml:space="preserve">      Set 1</t>
        </is>
      </c>
      <c r="E314" t="n">
        <v>8</v>
      </c>
      <c r="H314" s="39">
        <f>IF(H313="","",H313)</f>
        <v/>
      </c>
      <c r="I314" s="7">
        <f>IF(H313="","",H313)</f>
        <v/>
      </c>
      <c r="J314" s="7" t="n">
        <v>8</v>
      </c>
      <c r="K314" s="7" t="n"/>
      <c r="L314" s="40" t="n"/>
      <c r="M314">
        <f>IF(AND(L314&lt;&gt;"",N(I314)&gt;0,N(J314)&gt;0),IF(J314=1,I314,ROUND(I314*(1+J314/30),1)),"")</f>
        <v/>
      </c>
      <c r="N314" s="41">
        <f>IF(M314="","",IF(M314&gt;=PRs!C50,"PR!",""))</f>
        <v/>
      </c>
      <c r="O314" s="7" t="n"/>
    </row>
    <row r="315">
      <c r="C315" t="inlineStr">
        <is>
          <t xml:space="preserve">      Set 2</t>
        </is>
      </c>
      <c r="E315" t="n">
        <v>8</v>
      </c>
      <c r="H315" s="39">
        <f>IF(H313="","",H313)</f>
        <v/>
      </c>
      <c r="I315" s="7">
        <f>IF(H313="","",H313)</f>
        <v/>
      </c>
      <c r="J315" s="7" t="n">
        <v>8</v>
      </c>
      <c r="K315" s="7" t="n"/>
      <c r="L315" s="40" t="n"/>
      <c r="M315">
        <f>IF(AND(L315&lt;&gt;"",N(I315)&gt;0,N(J315)&gt;0),IF(J315=1,I315,ROUND(I315*(1+J315/30),1)),"")</f>
        <v/>
      </c>
      <c r="N315" s="41">
        <f>IF(M315="","",IF(M315&gt;=PRs!C50,"PR!",""))</f>
        <v/>
      </c>
      <c r="O315" s="7" t="n"/>
    </row>
    <row r="316">
      <c r="A316" s="34" t="n"/>
      <c r="B316" s="34" t="n"/>
      <c r="C316" s="43" t="inlineStr">
        <is>
          <t>Face Pull</t>
        </is>
      </c>
      <c r="D316" s="34" t="inlineStr">
        <is>
          <t>2 x 12-15</t>
        </is>
      </c>
      <c r="E316" s="34" t="n"/>
      <c r="F316" s="34" t="n"/>
      <c r="G316" s="36" t="n"/>
      <c r="H316" s="37" t="n"/>
      <c r="I316" s="34" t="n"/>
      <c r="J316" s="34" t="n"/>
      <c r="K316" s="34" t="n"/>
      <c r="L316" s="34" t="n"/>
      <c r="M316" s="34" t="n"/>
      <c r="N316" s="34" t="n"/>
      <c r="O316" s="38" t="inlineStr">
        <is>
          <t>Easy - stop well short of failure</t>
        </is>
      </c>
    </row>
    <row r="317">
      <c r="C317" t="inlineStr">
        <is>
          <t xml:space="preserve">      Set 1</t>
        </is>
      </c>
      <c r="E317" t="n">
        <v>12</v>
      </c>
      <c r="H317" s="39">
        <f>IF(H316="","",H316)</f>
        <v/>
      </c>
      <c r="I317" s="7">
        <f>IF(H316="","",H316)</f>
        <v/>
      </c>
      <c r="J317" s="7" t="n">
        <v>12</v>
      </c>
      <c r="K317" s="7" t="n"/>
      <c r="L317" s="40" t="n"/>
      <c r="M317">
        <f>IF(AND(L317&lt;&gt;"",N(I317)&gt;0,N(J317)&gt;0),IF(J317=1,I317,ROUND(I317*(1+J317/30),1)),"")</f>
        <v/>
      </c>
      <c r="N317" s="41">
        <f>IF(M317="","",IF(M317&gt;=PRs!C51,"PR!",""))</f>
        <v/>
      </c>
      <c r="O317" s="7" t="n"/>
    </row>
    <row r="318">
      <c r="C318" t="inlineStr">
        <is>
          <t xml:space="preserve">      Set 2</t>
        </is>
      </c>
      <c r="E318" t="n">
        <v>12</v>
      </c>
      <c r="H318" s="39">
        <f>IF(H316="","",H316)</f>
        <v/>
      </c>
      <c r="I318" s="7">
        <f>IF(H316="","",H316)</f>
        <v/>
      </c>
      <c r="J318" s="7" t="n">
        <v>12</v>
      </c>
      <c r="K318" s="7" t="n"/>
      <c r="L318" s="40" t="n"/>
      <c r="M318">
        <f>IF(AND(L318&lt;&gt;"",N(I318)&gt;0,N(J318)&gt;0),IF(J318=1,I318,ROUND(I318*(1+J318/30),1)),"")</f>
        <v/>
      </c>
      <c r="N318" s="41">
        <f>IF(M318="","",IF(M318&gt;=PRs!C51,"PR!",""))</f>
        <v/>
      </c>
      <c r="O318" s="7" t="n"/>
    </row>
    <row r="319">
      <c r="A319" s="31" t="inlineStr">
        <is>
          <t>Day 2 - Light</t>
        </is>
      </c>
      <c r="B319" s="32">
        <f>'Start Here'!$B$8+219</f>
        <v/>
      </c>
      <c r="C319" s="33" t="n"/>
      <c r="D319" s="33" t="n"/>
      <c r="E319" s="33" t="n"/>
      <c r="F319" s="33" t="n"/>
      <c r="G319" s="33" t="n"/>
      <c r="H319" s="33" t="n"/>
      <c r="I319" s="33" t="n"/>
      <c r="J319" s="33" t="n"/>
      <c r="K319" s="33" t="n"/>
      <c r="L319" s="33" t="n"/>
      <c r="M319" s="33" t="n"/>
      <c r="N319" s="33" t="n"/>
      <c r="O319" s="33" t="n"/>
    </row>
    <row r="320">
      <c r="A320" s="34" t="n"/>
      <c r="B320" s="34" t="n"/>
      <c r="C320" s="35" t="inlineStr">
        <is>
          <t>Broad Jump</t>
        </is>
      </c>
      <c r="D320" s="34" t="inlineStr">
        <is>
          <t>2 x 3</t>
        </is>
      </c>
      <c r="E320" s="34" t="n"/>
      <c r="F320" s="34" t="n"/>
      <c r="G320" s="36" t="n"/>
      <c r="H320" s="37">
        <f>IF(N(Maxes!G70)&gt;0,Maxes!G70,"")</f>
        <v/>
      </c>
      <c r="I320" s="34" t="n"/>
      <c r="J320" s="34" t="n"/>
      <c r="K320" s="34" t="n"/>
      <c r="L320" s="34" t="n"/>
      <c r="M320" s="34" t="n"/>
      <c r="N320" s="34" t="n"/>
      <c r="O320" s="38" t="inlineStr">
        <is>
          <t>Standing two-foot jump forward, stick the landing. Measure toe line to the back of the nearest heel.</t>
        </is>
      </c>
    </row>
    <row r="321">
      <c r="C321" t="inlineStr">
        <is>
          <t xml:space="preserve">      Set 1</t>
        </is>
      </c>
      <c r="E321" t="n">
        <v>3</v>
      </c>
      <c r="H321" s="39">
        <f>IF(H320="","",H320)</f>
        <v/>
      </c>
      <c r="I321" s="7">
        <f>IF(H320="","",H320)</f>
        <v/>
      </c>
      <c r="J321" s="7" t="n">
        <v>3</v>
      </c>
      <c r="K321" s="7" t="n"/>
      <c r="L321" s="40" t="n"/>
      <c r="N321" s="41">
        <f>IF(AND(L321&lt;&gt;"",N(I321)&gt;0),IF(I321&gt;=PRs!D70,"PR!",""),"")</f>
        <v/>
      </c>
      <c r="O321" s="7" t="n"/>
    </row>
    <row r="322">
      <c r="C322" t="inlineStr">
        <is>
          <t xml:space="preserve">      Set 2</t>
        </is>
      </c>
      <c r="E322" t="n">
        <v>3</v>
      </c>
      <c r="H322" s="39">
        <f>IF(H320="","",H320)</f>
        <v/>
      </c>
      <c r="I322" s="7">
        <f>IF(H320="","",H320)</f>
        <v/>
      </c>
      <c r="J322" s="7" t="n">
        <v>3</v>
      </c>
      <c r="K322" s="7" t="n"/>
      <c r="L322" s="40" t="n"/>
      <c r="N322" s="41">
        <f>IF(AND(L322&lt;&gt;"",N(I322)&gt;0),IF(I322&gt;=PRs!D70,"PR!",""),"")</f>
        <v/>
      </c>
      <c r="O322" s="7" t="n"/>
    </row>
    <row r="323">
      <c r="A323" s="34" t="n"/>
      <c r="B323" s="34" t="n"/>
      <c r="C323" s="35" t="inlineStr">
        <is>
          <t>Med Ball Chest Pass</t>
        </is>
      </c>
      <c r="D323" s="34" t="inlineStr">
        <is>
          <t>2 x 3</t>
        </is>
      </c>
      <c r="E323" s="34" t="n"/>
      <c r="F323" s="34" t="n"/>
      <c r="G323" s="36" t="n"/>
      <c r="H323" s="37">
        <f>IF(N(Maxes!G77)&gt;0,Maxes!G77,"")</f>
        <v/>
      </c>
      <c r="I323" s="34" t="n"/>
      <c r="J323" s="34" t="n"/>
      <c r="K323" s="34" t="n"/>
      <c r="L323" s="34" t="n"/>
      <c r="M323" s="34" t="n"/>
      <c r="N323" s="34" t="n"/>
      <c r="O323" s="38" t="inlineStr">
        <is>
          <t>Kneeling or standing chest pass for distance with a 6-10 lb / 3-5 kg ball. Log the distance.</t>
        </is>
      </c>
    </row>
    <row r="324">
      <c r="C324" t="inlineStr">
        <is>
          <t xml:space="preserve">      Set 1</t>
        </is>
      </c>
      <c r="E324" t="n">
        <v>3</v>
      </c>
      <c r="H324" s="39">
        <f>IF(H323="","",H323)</f>
        <v/>
      </c>
      <c r="I324" s="7">
        <f>IF(H323="","",H323)</f>
        <v/>
      </c>
      <c r="J324" s="7" t="n">
        <v>3</v>
      </c>
      <c r="K324" s="7" t="n"/>
      <c r="L324" s="40" t="n"/>
      <c r="N324" s="41">
        <f>IF(AND(L324&lt;&gt;"",N(I324)&gt;0),IF(I324&gt;=PRs!D77,"PR!",""),"")</f>
        <v/>
      </c>
      <c r="O324" s="7" t="n"/>
    </row>
    <row r="325">
      <c r="C325" t="inlineStr">
        <is>
          <t xml:space="preserve">      Set 2</t>
        </is>
      </c>
      <c r="E325" t="n">
        <v>3</v>
      </c>
      <c r="H325" s="39">
        <f>IF(H323="","",H323)</f>
        <v/>
      </c>
      <c r="I325" s="7">
        <f>IF(H323="","",H323)</f>
        <v/>
      </c>
      <c r="J325" s="7" t="n">
        <v>3</v>
      </c>
      <c r="K325" s="7" t="n"/>
      <c r="L325" s="40" t="n"/>
      <c r="N325" s="41">
        <f>IF(AND(L325&lt;&gt;"",N(I325)&gt;0),IF(I325&gt;=PRs!D77,"PR!",""),"")</f>
        <v/>
      </c>
      <c r="O325" s="7" t="n"/>
    </row>
    <row r="326">
      <c r="A326" s="34" t="n"/>
      <c r="B326" s="34" t="n"/>
      <c r="C326" s="42" t="inlineStr">
        <is>
          <t>Clean &amp; Jerk</t>
        </is>
      </c>
      <c r="D326" s="34" t="inlineStr">
        <is>
          <t>2 x 2</t>
        </is>
      </c>
      <c r="E326" s="34" t="n"/>
      <c r="F326" s="34" t="n">
        <v>65</v>
      </c>
      <c r="G326" s="36">
        <f>Maxes!G7</f>
        <v/>
      </c>
      <c r="H326" s="37">
        <f>IF(OR(G326="",F326=""),"",MROUND(G326*F326/100,'Start Here'!$B$7))</f>
        <v/>
      </c>
      <c r="I326" s="34" t="n"/>
      <c r="J326" s="34" t="n"/>
      <c r="K326" s="34" t="n"/>
      <c r="L326" s="34" t="n"/>
      <c r="M326" s="34" t="n"/>
      <c r="N326" s="34" t="n"/>
      <c r="O326" s="38" t="inlineStr">
        <is>
          <t>Easy week - move fast, recover</t>
        </is>
      </c>
    </row>
    <row r="327">
      <c r="C327" t="inlineStr">
        <is>
          <t xml:space="preserve">      Set 1</t>
        </is>
      </c>
      <c r="E327" t="n">
        <v>2</v>
      </c>
      <c r="H327" s="39">
        <f>IF(H326="","",H326)</f>
        <v/>
      </c>
      <c r="I327" s="7">
        <f>IF(H326="","",H326)</f>
        <v/>
      </c>
      <c r="J327" s="7" t="n">
        <v>2</v>
      </c>
      <c r="K327" s="7" t="n"/>
      <c r="L327" s="40" t="n"/>
      <c r="M327">
        <f>IF(AND(L327&lt;&gt;"",N(I327)&gt;0,N(J327)&gt;0),IF(J327=1,I327,ROUND(I327*(1+J327/30),1)),"")</f>
        <v/>
      </c>
      <c r="N327" s="41">
        <f>IF(M327="","",IF(M327&gt;=PRs!C7,"PR!",""))</f>
        <v/>
      </c>
      <c r="O327" s="7" t="n"/>
    </row>
    <row r="328">
      <c r="C328" t="inlineStr">
        <is>
          <t xml:space="preserve">      Set 2</t>
        </is>
      </c>
      <c r="E328" t="n">
        <v>2</v>
      </c>
      <c r="H328" s="39">
        <f>IF(H326="","",H326)</f>
        <v/>
      </c>
      <c r="I328" s="7">
        <f>IF(H326="","",H326)</f>
        <v/>
      </c>
      <c r="J328" s="7" t="n">
        <v>2</v>
      </c>
      <c r="K328" s="7" t="n"/>
      <c r="L328" s="40" t="n"/>
      <c r="M328">
        <f>IF(AND(L328&lt;&gt;"",N(I328)&gt;0,N(J328)&gt;0),IF(J328=1,I328,ROUND(I328*(1+J328/30),1)),"")</f>
        <v/>
      </c>
      <c r="N328" s="41">
        <f>IF(M328="","",IF(M328&gt;=PRs!C7,"PR!",""))</f>
        <v/>
      </c>
      <c r="O328" s="7" t="n"/>
    </row>
    <row r="329">
      <c r="A329" s="34" t="n"/>
      <c r="B329" s="34" t="n"/>
      <c r="C329" s="42" t="inlineStr">
        <is>
          <t>Squat</t>
        </is>
      </c>
      <c r="D329" s="34" t="inlineStr">
        <is>
          <t>2 x 5</t>
        </is>
      </c>
      <c r="E329" s="34" t="n"/>
      <c r="F329" s="34" t="n">
        <v>65</v>
      </c>
      <c r="G329" s="36">
        <f>Maxes!G2</f>
        <v/>
      </c>
      <c r="H329" s="37">
        <f>IF(OR(G329="",F329=""),"",MROUND(G329*F329/100,'Start Here'!$B$7))</f>
        <v/>
      </c>
      <c r="I329" s="34" t="n"/>
      <c r="J329" s="34" t="n"/>
      <c r="K329" s="34" t="n"/>
      <c r="L329" s="34" t="n"/>
      <c r="M329" s="34" t="n"/>
      <c r="N329" s="34" t="n"/>
      <c r="O329" s="38" t="inlineStr">
        <is>
          <t>Easy week - move fast, recover</t>
        </is>
      </c>
    </row>
    <row r="330">
      <c r="C330" t="inlineStr">
        <is>
          <t xml:space="preserve">      Set 1</t>
        </is>
      </c>
      <c r="E330" t="n">
        <v>5</v>
      </c>
      <c r="H330" s="39">
        <f>IF(H329="","",H329)</f>
        <v/>
      </c>
      <c r="I330" s="7">
        <f>IF(H329="","",H329)</f>
        <v/>
      </c>
      <c r="J330" s="7" t="n">
        <v>5</v>
      </c>
      <c r="K330" s="7" t="n"/>
      <c r="L330" s="40" t="n"/>
      <c r="M330">
        <f>IF(AND(L330&lt;&gt;"",N(I330)&gt;0,N(J330)&gt;0),IF(J330=1,I330,ROUND(I330*(1+J330/30),1)),"")</f>
        <v/>
      </c>
      <c r="N330" s="41">
        <f>IF(M330="","",IF(M330&gt;=PRs!C2,"PR!",""))</f>
        <v/>
      </c>
      <c r="O330" s="7" t="n"/>
    </row>
    <row r="331">
      <c r="C331" t="inlineStr">
        <is>
          <t xml:space="preserve">      Set 2</t>
        </is>
      </c>
      <c r="E331" t="n">
        <v>5</v>
      </c>
      <c r="H331" s="39">
        <f>IF(H329="","",H329)</f>
        <v/>
      </c>
      <c r="I331" s="7">
        <f>IF(H329="","",H329)</f>
        <v/>
      </c>
      <c r="J331" s="7" t="n">
        <v>5</v>
      </c>
      <c r="K331" s="7" t="n"/>
      <c r="L331" s="40" t="n"/>
      <c r="M331">
        <f>IF(AND(L331&lt;&gt;"",N(I331)&gt;0,N(J331)&gt;0),IF(J331=1,I331,ROUND(I331*(1+J331/30),1)),"")</f>
        <v/>
      </c>
      <c r="N331" s="41">
        <f>IF(M331="","",IF(M331&gt;=PRs!C2,"PR!",""))</f>
        <v/>
      </c>
      <c r="O331" s="7" t="n"/>
    </row>
    <row r="332">
      <c r="A332" s="34" t="n"/>
      <c r="B332" s="34" t="n"/>
      <c r="C332" s="42" t="inlineStr">
        <is>
          <t>Overhead Press</t>
        </is>
      </c>
      <c r="D332" s="34" t="inlineStr">
        <is>
          <t>2 x 5</t>
        </is>
      </c>
      <c r="E332" s="34" t="n"/>
      <c r="F332" s="34" t="n">
        <v>65</v>
      </c>
      <c r="G332" s="36">
        <f>Maxes!G5</f>
        <v/>
      </c>
      <c r="H332" s="37">
        <f>IF(OR(G332="",F332=""),"",MROUND(G332*F332/100,'Start Here'!$B$7))</f>
        <v/>
      </c>
      <c r="I332" s="34" t="n"/>
      <c r="J332" s="34" t="n"/>
      <c r="K332" s="34" t="n"/>
      <c r="L332" s="34" t="n"/>
      <c r="M332" s="34" t="n"/>
      <c r="N332" s="34" t="n"/>
      <c r="O332" s="38" t="inlineStr">
        <is>
          <t>Easy week - move fast, recover</t>
        </is>
      </c>
    </row>
    <row r="333">
      <c r="C333" t="inlineStr">
        <is>
          <t xml:space="preserve">      Set 1</t>
        </is>
      </c>
      <c r="E333" t="n">
        <v>5</v>
      </c>
      <c r="H333" s="39">
        <f>IF(H332="","",H332)</f>
        <v/>
      </c>
      <c r="I333" s="7">
        <f>IF(H332="","",H332)</f>
        <v/>
      </c>
      <c r="J333" s="7" t="n">
        <v>5</v>
      </c>
      <c r="K333" s="7" t="n"/>
      <c r="L333" s="40" t="n"/>
      <c r="M333">
        <f>IF(AND(L333&lt;&gt;"",N(I333)&gt;0,N(J333)&gt;0),IF(J333=1,I333,ROUND(I333*(1+J333/30),1)),"")</f>
        <v/>
      </c>
      <c r="N333" s="41">
        <f>IF(M333="","",IF(M333&gt;=PRs!C5,"PR!",""))</f>
        <v/>
      </c>
      <c r="O333" s="7" t="n"/>
    </row>
    <row r="334">
      <c r="C334" t="inlineStr">
        <is>
          <t xml:space="preserve">      Set 2</t>
        </is>
      </c>
      <c r="E334" t="n">
        <v>5</v>
      </c>
      <c r="H334" s="39">
        <f>IF(H332="","",H332)</f>
        <v/>
      </c>
      <c r="I334" s="7">
        <f>IF(H332="","",H332)</f>
        <v/>
      </c>
      <c r="J334" s="7" t="n">
        <v>5</v>
      </c>
      <c r="K334" s="7" t="n"/>
      <c r="L334" s="40" t="n"/>
      <c r="M334">
        <f>IF(AND(L334&lt;&gt;"",N(I334)&gt;0,N(J334)&gt;0),IF(J334=1,I334,ROUND(I334*(1+J334/30),1)),"")</f>
        <v/>
      </c>
      <c r="N334" s="41">
        <f>IF(M334="","",IF(M334&gt;=PRs!C5,"PR!",""))</f>
        <v/>
      </c>
      <c r="O334" s="7" t="n"/>
    </row>
    <row r="335">
      <c r="A335" s="34" t="n"/>
      <c r="B335" s="34" t="n"/>
      <c r="C335" s="42" t="inlineStr">
        <is>
          <t>Deadlift</t>
        </is>
      </c>
      <c r="D335" s="34" t="inlineStr">
        <is>
          <t>2 x 5</t>
        </is>
      </c>
      <c r="E335" s="34" t="n"/>
      <c r="F335" s="34" t="n">
        <v>65</v>
      </c>
      <c r="G335" s="36">
        <f>Maxes!G4</f>
        <v/>
      </c>
      <c r="H335" s="37">
        <f>IF(OR(G335="",F335=""),"",MROUND(G335*F335/100,'Start Here'!$B$7))</f>
        <v/>
      </c>
      <c r="I335" s="34" t="n"/>
      <c r="J335" s="34" t="n"/>
      <c r="K335" s="34" t="n"/>
      <c r="L335" s="34" t="n"/>
      <c r="M335" s="34" t="n"/>
      <c r="N335" s="34" t="n"/>
      <c r="O335" s="38" t="inlineStr">
        <is>
          <t>Easy week - move fast, recover</t>
        </is>
      </c>
    </row>
    <row r="336">
      <c r="C336" t="inlineStr">
        <is>
          <t xml:space="preserve">      Set 1</t>
        </is>
      </c>
      <c r="E336" t="n">
        <v>5</v>
      </c>
      <c r="H336" s="39">
        <f>IF(H335="","",H335)</f>
        <v/>
      </c>
      <c r="I336" s="7">
        <f>IF(H335="","",H335)</f>
        <v/>
      </c>
      <c r="J336" s="7" t="n">
        <v>5</v>
      </c>
      <c r="K336" s="7" t="n"/>
      <c r="L336" s="40" t="n"/>
      <c r="M336">
        <f>IF(AND(L336&lt;&gt;"",N(I336)&gt;0,N(J336)&gt;0),IF(J336=1,I336,ROUND(I336*(1+J336/30),1)),"")</f>
        <v/>
      </c>
      <c r="N336" s="41">
        <f>IF(M336="","",IF(M336&gt;=PRs!C4,"PR!",""))</f>
        <v/>
      </c>
      <c r="O336" s="7" t="n"/>
    </row>
    <row r="337">
      <c r="C337" t="inlineStr">
        <is>
          <t xml:space="preserve">      Set 2</t>
        </is>
      </c>
      <c r="E337" t="n">
        <v>5</v>
      </c>
      <c r="H337" s="39">
        <f>IF(H335="","",H335)</f>
        <v/>
      </c>
      <c r="I337" s="7">
        <f>IF(H335="","",H335)</f>
        <v/>
      </c>
      <c r="J337" s="7" t="n">
        <v>5</v>
      </c>
      <c r="K337" s="7" t="n"/>
      <c r="L337" s="40" t="n"/>
      <c r="M337">
        <f>IF(AND(L337&lt;&gt;"",N(I337)&gt;0,N(J337)&gt;0),IF(J337=1,I337,ROUND(I337*(1+J337/30),1)),"")</f>
        <v/>
      </c>
      <c r="N337" s="41">
        <f>IF(M337="","",IF(M337&gt;=PRs!C4,"PR!",""))</f>
        <v/>
      </c>
      <c r="O337" s="7" t="n"/>
    </row>
    <row r="338">
      <c r="A338" s="34" t="n"/>
      <c r="B338" s="34" t="n"/>
      <c r="C338" s="43" t="inlineStr">
        <is>
          <t>Chin-up</t>
        </is>
      </c>
      <c r="D338" s="34" t="inlineStr">
        <is>
          <t>2 x 6-10</t>
        </is>
      </c>
      <c r="E338" s="34" t="n"/>
      <c r="F338" s="34" t="n"/>
      <c r="G338" s="36" t="n"/>
      <c r="H338" s="37" t="n"/>
      <c r="I338" s="34" t="n"/>
      <c r="J338" s="34" t="n"/>
      <c r="K338" s="34" t="n"/>
      <c r="L338" s="34" t="n"/>
      <c r="M338" s="34" t="n"/>
      <c r="N338" s="34" t="n"/>
      <c r="O338" s="38" t="inlineStr">
        <is>
          <t>Easy - stop well short of failure</t>
        </is>
      </c>
    </row>
    <row r="339">
      <c r="C339" t="inlineStr">
        <is>
          <t xml:space="preserve">      Set 1</t>
        </is>
      </c>
      <c r="E339" t="n">
        <v>6</v>
      </c>
      <c r="H339" s="39">
        <f>IF(H338="","",H338)</f>
        <v/>
      </c>
      <c r="I339" s="7">
        <f>IF(H338="","",H338)</f>
        <v/>
      </c>
      <c r="J339" s="7" t="n">
        <v>6</v>
      </c>
      <c r="K339" s="7" t="n"/>
      <c r="L339" s="40" t="n"/>
      <c r="M339">
        <f>IF(AND(L339&lt;&gt;"",N(I339)&gt;0,N(J339)&gt;0),IF(J339=1,I339,ROUND(I339*(1+J339/30),1)),"")</f>
        <v/>
      </c>
      <c r="N339" s="41">
        <f>IF(M339="","",IF(M339&gt;=PRs!C53,"PR!",""))</f>
        <v/>
      </c>
      <c r="O339" s="7" t="n"/>
    </row>
    <row r="340">
      <c r="C340" t="inlineStr">
        <is>
          <t xml:space="preserve">      Set 2</t>
        </is>
      </c>
      <c r="E340" t="n">
        <v>6</v>
      </c>
      <c r="H340" s="39">
        <f>IF(H338="","",H338)</f>
        <v/>
      </c>
      <c r="I340" s="7">
        <f>IF(H338="","",H338)</f>
        <v/>
      </c>
      <c r="J340" s="7" t="n">
        <v>6</v>
      </c>
      <c r="K340" s="7" t="n"/>
      <c r="L340" s="40" t="n"/>
      <c r="M340">
        <f>IF(AND(L340&lt;&gt;"",N(I340)&gt;0,N(J340)&gt;0),IF(J340=1,I340,ROUND(I340*(1+J340/30),1)),"")</f>
        <v/>
      </c>
      <c r="N340" s="41">
        <f>IF(M340="","",IF(M340&gt;=PRs!C53,"PR!",""))</f>
        <v/>
      </c>
      <c r="O340" s="7" t="n"/>
    </row>
    <row r="341">
      <c r="A341" s="34" t="n"/>
      <c r="B341" s="34" t="n"/>
      <c r="C341" s="43" t="inlineStr">
        <is>
          <t>Plank</t>
        </is>
      </c>
      <c r="D341" s="34" t="inlineStr">
        <is>
          <t>2 x 30-60s</t>
        </is>
      </c>
      <c r="E341" s="34" t="n"/>
      <c r="F341" s="34" t="n"/>
      <c r="G341" s="36" t="n"/>
      <c r="H341" s="37" t="n"/>
      <c r="I341" s="34" t="n"/>
      <c r="J341" s="34" t="n"/>
      <c r="K341" s="34" t="n"/>
      <c r="L341" s="34" t="n"/>
      <c r="M341" s="34" t="n"/>
      <c r="N341" s="34" t="n"/>
      <c r="O341" s="38" t="inlineStr">
        <is>
          <t>Easy - stop well short of failure</t>
        </is>
      </c>
    </row>
    <row r="342">
      <c r="C342" t="inlineStr">
        <is>
          <t xml:space="preserve">      Set 1</t>
        </is>
      </c>
      <c r="E342" t="n">
        <v>30</v>
      </c>
      <c r="H342" s="39">
        <f>IF(H341="","",H341)</f>
        <v/>
      </c>
      <c r="I342" s="7">
        <f>IF(H341="","",H341)</f>
        <v/>
      </c>
      <c r="J342" s="7" t="n">
        <v>30</v>
      </c>
      <c r="K342" s="7" t="n"/>
      <c r="L342" s="40" t="n"/>
      <c r="M342">
        <f>IF(AND(L342&lt;&gt;"",N(I342)&gt;0,N(J342)&gt;0),IF(J342=1,I342,ROUND(I342*(1+J342/30),1)),"")</f>
        <v/>
      </c>
      <c r="N342" s="41">
        <f>IF(M342="","",IF(M342&gt;=PRs!C56,"PR!",""))</f>
        <v/>
      </c>
      <c r="O342" s="7" t="n"/>
    </row>
    <row r="343">
      <c r="C343" t="inlineStr">
        <is>
          <t xml:space="preserve">      Set 2</t>
        </is>
      </c>
      <c r="E343" t="n">
        <v>30</v>
      </c>
      <c r="H343" s="39">
        <f>IF(H341="","",H341)</f>
        <v/>
      </c>
      <c r="I343" s="7">
        <f>IF(H341="","",H341)</f>
        <v/>
      </c>
      <c r="J343" s="7" t="n">
        <v>30</v>
      </c>
      <c r="K343" s="7" t="n"/>
      <c r="L343" s="40" t="n"/>
      <c r="M343">
        <f>IF(AND(L343&lt;&gt;"",N(I343)&gt;0,N(J343)&gt;0),IF(J343=1,I343,ROUND(I343*(1+J343/30),1)),"")</f>
        <v/>
      </c>
      <c r="N343" s="41">
        <f>IF(M343="","",IF(M343&gt;=PRs!C56,"PR!",""))</f>
        <v/>
      </c>
      <c r="O343" s="7" t="n"/>
    </row>
    <row r="344">
      <c r="A344" s="31" t="inlineStr">
        <is>
          <t>Day 3 - Variations</t>
        </is>
      </c>
      <c r="B344" s="32">
        <f>'Start Here'!$B$8+221</f>
        <v/>
      </c>
      <c r="C344" s="33" t="n"/>
      <c r="D344" s="33" t="n"/>
      <c r="E344" s="33" t="n"/>
      <c r="F344" s="33" t="n"/>
      <c r="G344" s="33" t="n"/>
      <c r="H344" s="33" t="n"/>
      <c r="I344" s="33" t="n"/>
      <c r="J344" s="33" t="n"/>
      <c r="K344" s="33" t="n"/>
      <c r="L344" s="33" t="n"/>
      <c r="M344" s="33" t="n"/>
      <c r="N344" s="33" t="n"/>
      <c r="O344" s="33" t="n"/>
    </row>
    <row r="345">
      <c r="A345" s="34" t="n"/>
      <c r="B345" s="34" t="n"/>
      <c r="C345" s="35" t="inlineStr">
        <is>
          <t>Hurdle Hop</t>
        </is>
      </c>
      <c r="D345" s="34" t="inlineStr">
        <is>
          <t>2 x 3</t>
        </is>
      </c>
      <c r="E345" s="34" t="n"/>
      <c r="F345" s="34" t="n"/>
      <c r="G345" s="36" t="n"/>
      <c r="H345" s="37">
        <f>IF(N(Maxes!G73)&gt;0,Maxes!G73,"")</f>
        <v/>
      </c>
      <c r="I345" s="34" t="n"/>
      <c r="J345" s="34" t="n"/>
      <c r="K345" s="34" t="n"/>
      <c r="L345" s="34" t="n"/>
      <c r="M345" s="34" t="n"/>
      <c r="N345" s="34" t="n"/>
      <c r="O345" s="38" t="inlineStr">
        <is>
          <t>Continuous two-foot hops over a row of 4-6 low hurdles or cones, minimal ground contact. Log the hurdle height.</t>
        </is>
      </c>
    </row>
    <row r="346">
      <c r="C346" t="inlineStr">
        <is>
          <t xml:space="preserve">      Set 1</t>
        </is>
      </c>
      <c r="E346" t="n">
        <v>3</v>
      </c>
      <c r="H346" s="39">
        <f>IF(H345="","",H345)</f>
        <v/>
      </c>
      <c r="I346" s="7">
        <f>IF(H345="","",H345)</f>
        <v/>
      </c>
      <c r="J346" s="7" t="n">
        <v>3</v>
      </c>
      <c r="K346" s="7" t="n"/>
      <c r="L346" s="40" t="n"/>
      <c r="N346" s="41">
        <f>IF(AND(L346&lt;&gt;"",N(I346)&gt;0),IF(I346&gt;=PRs!D73,"PR!",""),"")</f>
        <v/>
      </c>
      <c r="O346" s="7" t="n"/>
    </row>
    <row r="347">
      <c r="C347" t="inlineStr">
        <is>
          <t xml:space="preserve">      Set 2</t>
        </is>
      </c>
      <c r="E347" t="n">
        <v>3</v>
      </c>
      <c r="H347" s="39">
        <f>IF(H345="","",H345)</f>
        <v/>
      </c>
      <c r="I347" s="7">
        <f>IF(H345="","",H345)</f>
        <v/>
      </c>
      <c r="J347" s="7" t="n">
        <v>3</v>
      </c>
      <c r="K347" s="7" t="n"/>
      <c r="L347" s="40" t="n"/>
      <c r="N347" s="41">
        <f>IF(AND(L347&lt;&gt;"",N(I347)&gt;0),IF(I347&gt;=PRs!D73,"PR!",""),"")</f>
        <v/>
      </c>
      <c r="O347" s="7" t="n"/>
    </row>
    <row r="348">
      <c r="A348" s="34" t="n"/>
      <c r="B348" s="34" t="n"/>
      <c r="C348" s="42" t="inlineStr">
        <is>
          <t>Split Jerk</t>
        </is>
      </c>
      <c r="D348" s="34" t="inlineStr">
        <is>
          <t>2 x 2</t>
        </is>
      </c>
      <c r="E348" s="34" t="n"/>
      <c r="F348" s="34" t="n">
        <v>65</v>
      </c>
      <c r="G348" s="36">
        <f>Maxes!G46</f>
        <v/>
      </c>
      <c r="H348" s="37">
        <f>IF(OR(G348="",F348=""),"",MROUND(G348*F348/100,'Start Here'!$B$7))</f>
        <v/>
      </c>
      <c r="I348" s="34" t="n"/>
      <c r="J348" s="34" t="n"/>
      <c r="K348" s="34" t="n"/>
      <c r="L348" s="34" t="n"/>
      <c r="M348" s="34" t="n"/>
      <c r="N348" s="34" t="n"/>
      <c r="O348" s="38" t="inlineStr">
        <is>
          <t>Easy week - move fast, recover</t>
        </is>
      </c>
    </row>
    <row r="349">
      <c r="C349" t="inlineStr">
        <is>
          <t xml:space="preserve">      Set 1</t>
        </is>
      </c>
      <c r="E349" t="n">
        <v>2</v>
      </c>
      <c r="H349" s="39">
        <f>IF(H348="","",H348)</f>
        <v/>
      </c>
      <c r="I349" s="7">
        <f>IF(H348="","",H348)</f>
        <v/>
      </c>
      <c r="J349" s="7" t="n">
        <v>2</v>
      </c>
      <c r="K349" s="7" t="n"/>
      <c r="L349" s="40" t="n"/>
      <c r="M349">
        <f>IF(AND(L349&lt;&gt;"",N(I349)&gt;0,N(J349)&gt;0),IF(J349=1,I349,ROUND(I349*(1+J349/30),1)),"")</f>
        <v/>
      </c>
      <c r="N349" s="41">
        <f>IF(M349="","",IF(M349&gt;=PRs!C46,"PR!",""))</f>
        <v/>
      </c>
      <c r="O349" s="7" t="n"/>
    </row>
    <row r="350">
      <c r="C350" t="inlineStr">
        <is>
          <t xml:space="preserve">      Set 2</t>
        </is>
      </c>
      <c r="E350" t="n">
        <v>2</v>
      </c>
      <c r="H350" s="39">
        <f>IF(H348="","",H348)</f>
        <v/>
      </c>
      <c r="I350" s="7">
        <f>IF(H348="","",H348)</f>
        <v/>
      </c>
      <c r="J350" s="7" t="n">
        <v>2</v>
      </c>
      <c r="K350" s="7" t="n"/>
      <c r="L350" s="40" t="n"/>
      <c r="M350">
        <f>IF(AND(L350&lt;&gt;"",N(I350)&gt;0,N(J350)&gt;0),IF(J350=1,I350,ROUND(I350*(1+J350/30),1)),"")</f>
        <v/>
      </c>
      <c r="N350" s="41">
        <f>IF(M350="","",IF(M350&gt;=PRs!C46,"PR!",""))</f>
        <v/>
      </c>
      <c r="O350" s="7" t="n"/>
    </row>
    <row r="351">
      <c r="A351" s="34" t="n"/>
      <c r="B351" s="34" t="n"/>
      <c r="C351" s="42" t="inlineStr">
        <is>
          <t>Front Squat</t>
        </is>
      </c>
      <c r="D351" s="34" t="inlineStr">
        <is>
          <t>2 x 5</t>
        </is>
      </c>
      <c r="E351" s="34" t="n"/>
      <c r="F351" s="34" t="n">
        <v>65</v>
      </c>
      <c r="G351" s="36">
        <f>Maxes!G10</f>
        <v/>
      </c>
      <c r="H351" s="37">
        <f>IF(OR(G351="",F351=""),"",MROUND(G351*F351/100,'Start Here'!$B$7))</f>
        <v/>
      </c>
      <c r="I351" s="34" t="n"/>
      <c r="J351" s="34" t="n"/>
      <c r="K351" s="34" t="n"/>
      <c r="L351" s="34" t="n"/>
      <c r="M351" s="34" t="n"/>
      <c r="N351" s="34" t="n"/>
      <c r="O351" s="38" t="inlineStr">
        <is>
          <t>Easy week - move fast, recover</t>
        </is>
      </c>
    </row>
    <row r="352">
      <c r="C352" t="inlineStr">
        <is>
          <t xml:space="preserve">      Set 1</t>
        </is>
      </c>
      <c r="E352" t="n">
        <v>5</v>
      </c>
      <c r="H352" s="39">
        <f>IF(H351="","",H351)</f>
        <v/>
      </c>
      <c r="I352" s="7">
        <f>IF(H351="","",H351)</f>
        <v/>
      </c>
      <c r="J352" s="7" t="n">
        <v>5</v>
      </c>
      <c r="K352" s="7" t="n"/>
      <c r="L352" s="40" t="n"/>
      <c r="M352">
        <f>IF(AND(L352&lt;&gt;"",N(I352)&gt;0,N(J352)&gt;0),IF(J352=1,I352,ROUND(I352*(1+J352/30),1)),"")</f>
        <v/>
      </c>
      <c r="N352" s="41">
        <f>IF(M352="","",IF(M352&gt;=PRs!C10,"PR!",""))</f>
        <v/>
      </c>
      <c r="O352" s="7" t="n"/>
    </row>
    <row r="353">
      <c r="C353" t="inlineStr">
        <is>
          <t xml:space="preserve">      Set 2</t>
        </is>
      </c>
      <c r="E353" t="n">
        <v>5</v>
      </c>
      <c r="H353" s="39">
        <f>IF(H351="","",H351)</f>
        <v/>
      </c>
      <c r="I353" s="7">
        <f>IF(H351="","",H351)</f>
        <v/>
      </c>
      <c r="J353" s="7" t="n">
        <v>5</v>
      </c>
      <c r="K353" s="7" t="n"/>
      <c r="L353" s="40" t="n"/>
      <c r="M353">
        <f>IF(AND(L353&lt;&gt;"",N(I353)&gt;0,N(J353)&gt;0),IF(J353=1,I353,ROUND(I353*(1+J353/30),1)),"")</f>
        <v/>
      </c>
      <c r="N353" s="41">
        <f>IF(M353="","",IF(M353&gt;=PRs!C10,"PR!",""))</f>
        <v/>
      </c>
      <c r="O353" s="7" t="n"/>
    </row>
    <row r="354">
      <c r="A354" s="34" t="n"/>
      <c r="B354" s="34" t="n"/>
      <c r="C354" s="42" t="inlineStr">
        <is>
          <t>Close-Grip Bench Press</t>
        </is>
      </c>
      <c r="D354" s="34" t="inlineStr">
        <is>
          <t>2 x 5</t>
        </is>
      </c>
      <c r="E354" s="34" t="n"/>
      <c r="F354" s="34" t="n">
        <v>65</v>
      </c>
      <c r="G354" s="36">
        <f>Maxes!G14</f>
        <v/>
      </c>
      <c r="H354" s="37">
        <f>IF(OR(G354="",F354=""),"",MROUND(G354*F354/100,'Start Here'!$B$7))</f>
        <v/>
      </c>
      <c r="I354" s="34" t="n"/>
      <c r="J354" s="34" t="n"/>
      <c r="K354" s="34" t="n"/>
      <c r="L354" s="34" t="n"/>
      <c r="M354" s="34" t="n"/>
      <c r="N354" s="34" t="n"/>
      <c r="O354" s="38" t="inlineStr">
        <is>
          <t>Easy week - move fast, recover</t>
        </is>
      </c>
    </row>
    <row r="355">
      <c r="C355" t="inlineStr">
        <is>
          <t xml:space="preserve">      Set 1</t>
        </is>
      </c>
      <c r="E355" t="n">
        <v>5</v>
      </c>
      <c r="H355" s="39">
        <f>IF(H354="","",H354)</f>
        <v/>
      </c>
      <c r="I355" s="7">
        <f>IF(H354="","",H354)</f>
        <v/>
      </c>
      <c r="J355" s="7" t="n">
        <v>5</v>
      </c>
      <c r="K355" s="7" t="n"/>
      <c r="L355" s="40" t="n"/>
      <c r="M355">
        <f>IF(AND(L355&lt;&gt;"",N(I355)&gt;0,N(J355)&gt;0),IF(J355=1,I355,ROUND(I355*(1+J355/30),1)),"")</f>
        <v/>
      </c>
      <c r="N355" s="41">
        <f>IF(M355="","",IF(M355&gt;=PRs!C14,"PR!",""))</f>
        <v/>
      </c>
      <c r="O355" s="7" t="n"/>
    </row>
    <row r="356">
      <c r="C356" t="inlineStr">
        <is>
          <t xml:space="preserve">      Set 2</t>
        </is>
      </c>
      <c r="E356" t="n">
        <v>5</v>
      </c>
      <c r="H356" s="39">
        <f>IF(H354="","",H354)</f>
        <v/>
      </c>
      <c r="I356" s="7">
        <f>IF(H354="","",H354)</f>
        <v/>
      </c>
      <c r="J356" s="7" t="n">
        <v>5</v>
      </c>
      <c r="K356" s="7" t="n"/>
      <c r="L356" s="40" t="n"/>
      <c r="M356">
        <f>IF(AND(L356&lt;&gt;"",N(I356)&gt;0,N(J356)&gt;0),IF(J356=1,I356,ROUND(I356*(1+J356/30),1)),"")</f>
        <v/>
      </c>
      <c r="N356" s="41">
        <f>IF(M356="","",IF(M356&gt;=PRs!C14,"PR!",""))</f>
        <v/>
      </c>
      <c r="O356" s="7" t="n"/>
    </row>
    <row r="357">
      <c r="A357" s="34" t="n"/>
      <c r="B357" s="34" t="n"/>
      <c r="C357" s="42" t="inlineStr">
        <is>
          <t>Block Pull</t>
        </is>
      </c>
      <c r="D357" s="34" t="inlineStr">
        <is>
          <t>2 x 5</t>
        </is>
      </c>
      <c r="E357" s="34" t="n"/>
      <c r="F357" s="34" t="n">
        <v>65</v>
      </c>
      <c r="G357" s="36">
        <f>Maxes!G26</f>
        <v/>
      </c>
      <c r="H357" s="37">
        <f>IF(OR(G357="",F357=""),"",MROUND(G357*F357/100,'Start Here'!$B$7))</f>
        <v/>
      </c>
      <c r="I357" s="34" t="n"/>
      <c r="J357" s="34" t="n"/>
      <c r="K357" s="34" t="n"/>
      <c r="L357" s="34" t="n"/>
      <c r="M357" s="34" t="n"/>
      <c r="N357" s="34" t="n"/>
      <c r="O357" s="38" t="inlineStr">
        <is>
          <t>Easy week - move fast, recover</t>
        </is>
      </c>
    </row>
    <row r="358">
      <c r="C358" t="inlineStr">
        <is>
          <t xml:space="preserve">      Set 1</t>
        </is>
      </c>
      <c r="E358" t="n">
        <v>5</v>
      </c>
      <c r="H358" s="39">
        <f>IF(H357="","",H357)</f>
        <v/>
      </c>
      <c r="I358" s="7">
        <f>IF(H357="","",H357)</f>
        <v/>
      </c>
      <c r="J358" s="7" t="n">
        <v>5</v>
      </c>
      <c r="K358" s="7" t="n"/>
      <c r="L358" s="40" t="n"/>
      <c r="M358">
        <f>IF(AND(L358&lt;&gt;"",N(I358)&gt;0,N(J358)&gt;0),IF(J358=1,I358,ROUND(I358*(1+J358/30),1)),"")</f>
        <v/>
      </c>
      <c r="N358" s="41">
        <f>IF(M358="","",IF(M358&gt;=PRs!C26,"PR!",""))</f>
        <v/>
      </c>
      <c r="O358" s="7" t="n"/>
    </row>
    <row r="359">
      <c r="C359" t="inlineStr">
        <is>
          <t xml:space="preserve">      Set 2</t>
        </is>
      </c>
      <c r="E359" t="n">
        <v>5</v>
      </c>
      <c r="H359" s="39">
        <f>IF(H357="","",H357)</f>
        <v/>
      </c>
      <c r="I359" s="7">
        <f>IF(H357="","",H357)</f>
        <v/>
      </c>
      <c r="J359" s="7" t="n">
        <v>5</v>
      </c>
      <c r="K359" s="7" t="n"/>
      <c r="L359" s="40" t="n"/>
      <c r="M359">
        <f>IF(AND(L359&lt;&gt;"",N(I359)&gt;0,N(J359)&gt;0),IF(J359=1,I359,ROUND(I359*(1+J359/30),1)),"")</f>
        <v/>
      </c>
      <c r="N359" s="41">
        <f>IF(M359="","",IF(M359&gt;=PRs!C26,"PR!",""))</f>
        <v/>
      </c>
      <c r="O359" s="7" t="n"/>
    </row>
    <row r="360">
      <c r="A360" s="34" t="n"/>
      <c r="B360" s="34" t="n"/>
      <c r="C360" s="43" t="inlineStr">
        <is>
          <t>Incline Dumbbell Press</t>
        </is>
      </c>
      <c r="D360" s="34" t="inlineStr">
        <is>
          <t>2 x 8-12</t>
        </is>
      </c>
      <c r="E360" s="34" t="n"/>
      <c r="F360" s="34" t="n"/>
      <c r="G360" s="36" t="n"/>
      <c r="H360" s="37" t="n"/>
      <c r="I360" s="34" t="n"/>
      <c r="J360" s="34" t="n"/>
      <c r="K360" s="34" t="n"/>
      <c r="L360" s="34" t="n"/>
      <c r="M360" s="34" t="n"/>
      <c r="N360" s="34" t="n"/>
      <c r="O360" s="38" t="inlineStr">
        <is>
          <t>Easy - stop well short of failure</t>
        </is>
      </c>
    </row>
    <row r="361">
      <c r="C361" t="inlineStr">
        <is>
          <t xml:space="preserve">      Set 1</t>
        </is>
      </c>
      <c r="E361" t="n">
        <v>8</v>
      </c>
      <c r="H361" s="39">
        <f>IF(H360="","",H360)</f>
        <v/>
      </c>
      <c r="I361" s="7">
        <f>IF(H360="","",H360)</f>
        <v/>
      </c>
      <c r="J361" s="7" t="n">
        <v>8</v>
      </c>
      <c r="K361" s="7" t="n"/>
      <c r="L361" s="40" t="n"/>
      <c r="M361">
        <f>IF(AND(L361&lt;&gt;"",N(I361)&gt;0,N(J361)&gt;0),IF(J361=1,I361,ROUND(I361*(1+J361/30),1)),"")</f>
        <v/>
      </c>
      <c r="N361" s="41">
        <f>IF(M361="","",IF(M361&gt;=PRs!C57,"PR!",""))</f>
        <v/>
      </c>
      <c r="O361" s="7" t="n"/>
    </row>
    <row r="362">
      <c r="C362" t="inlineStr">
        <is>
          <t xml:space="preserve">      Set 2</t>
        </is>
      </c>
      <c r="E362" t="n">
        <v>8</v>
      </c>
      <c r="H362" s="39">
        <f>IF(H360="","",H360)</f>
        <v/>
      </c>
      <c r="I362" s="7">
        <f>IF(H360="","",H360)</f>
        <v/>
      </c>
      <c r="J362" s="7" t="n">
        <v>8</v>
      </c>
      <c r="K362" s="7" t="n"/>
      <c r="L362" s="40" t="n"/>
      <c r="M362">
        <f>IF(AND(L362&lt;&gt;"",N(I362)&gt;0,N(J362)&gt;0),IF(J362=1,I362,ROUND(I362*(1+J362/30),1)),"")</f>
        <v/>
      </c>
      <c r="N362" s="41">
        <f>IF(M362="","",IF(M362&gt;=PRs!C57,"PR!",""))</f>
        <v/>
      </c>
      <c r="O362" s="7" t="n"/>
    </row>
    <row r="363">
      <c r="A363" s="34" t="n"/>
      <c r="B363" s="34" t="n"/>
      <c r="C363" s="43" t="inlineStr">
        <is>
          <t>Triceps Pushdown</t>
        </is>
      </c>
      <c r="D363" s="34" t="inlineStr">
        <is>
          <t>2 x 10-15</t>
        </is>
      </c>
      <c r="E363" s="34" t="n"/>
      <c r="F363" s="34" t="n"/>
      <c r="G363" s="36" t="n"/>
      <c r="H363" s="37" t="n"/>
      <c r="I363" s="34" t="n"/>
      <c r="J363" s="34" t="n"/>
      <c r="K363" s="34" t="n"/>
      <c r="L363" s="34" t="n"/>
      <c r="M363" s="34" t="n"/>
      <c r="N363" s="34" t="n"/>
      <c r="O363" s="38" t="inlineStr">
        <is>
          <t>Easy - stop well short of failure</t>
        </is>
      </c>
    </row>
    <row r="364">
      <c r="C364" t="inlineStr">
        <is>
          <t xml:space="preserve">      Set 1</t>
        </is>
      </c>
      <c r="E364" t="n">
        <v>10</v>
      </c>
      <c r="H364" s="39">
        <f>IF(H363="","",H363)</f>
        <v/>
      </c>
      <c r="I364" s="7">
        <f>IF(H363="","",H363)</f>
        <v/>
      </c>
      <c r="J364" s="7" t="n">
        <v>10</v>
      </c>
      <c r="K364" s="7" t="n"/>
      <c r="L364" s="40" t="n"/>
      <c r="M364">
        <f>IF(AND(L364&lt;&gt;"",N(I364)&gt;0,N(J364)&gt;0),IF(J364=1,I364,ROUND(I364*(1+J364/30),1)),"")</f>
        <v/>
      </c>
      <c r="N364" s="41">
        <f>IF(M364="","",IF(M364&gt;=PRs!C59,"PR!",""))</f>
        <v/>
      </c>
      <c r="O364" s="7" t="n"/>
    </row>
    <row r="365">
      <c r="C365" t="inlineStr">
        <is>
          <t xml:space="preserve">      Set 2</t>
        </is>
      </c>
      <c r="E365" t="n">
        <v>10</v>
      </c>
      <c r="H365" s="39">
        <f>IF(H363="","",H363)</f>
        <v/>
      </c>
      <c r="I365" s="7">
        <f>IF(H363="","",H363)</f>
        <v/>
      </c>
      <c r="J365" s="7" t="n">
        <v>10</v>
      </c>
      <c r="K365" s="7" t="n"/>
      <c r="L365" s="40" t="n"/>
      <c r="M365">
        <f>IF(AND(L365&lt;&gt;"",N(I365)&gt;0,N(J365)&gt;0),IF(J365=1,I365,ROUND(I365*(1+J365/30),1)),"")</f>
        <v/>
      </c>
      <c r="N365" s="41">
        <f>IF(M365="","",IF(M365&gt;=PRs!C59,"PR!",""))</f>
        <v/>
      </c>
      <c r="O365" s="7" t="n"/>
    </row>
  </sheetData>
  <dataValidations count="3">
    <dataValidation sqref="H3" showDropDown="0" showInputMessage="0" showErrorMessage="0" allowBlank="1" type="list">
      <formula1>Lists!$B$1:$B$6</formula1>
    </dataValidation>
    <dataValidation sqref="L9 L10 L11 L12 L14 L15 L16 L17 L19 L20 L21 L23 L24 L25 L27 L28 L29 L31 L32 L33 L36 L37 L38 L39 L41 L42 L43 L45 L46 L47 L48 L50 L51 L52 L54 L55 L56 L58 L59 L60 L62 L63 L64 L66 L67 L68 L71 L72 L73 L74 L76 L77 L78 L79 L81 L82 L83 L85 L86 L87 L89 L90 L91 L93 L94 L95 L97 L98 L99 L104 L105 L106 L107 L109 L110 L111 L112 L113 L115 L116 L117 L118 L120 L121 L122 L123 L125 L126 L127 L129 L130 L131 L134 L135 L136 L137 L139 L140 L141 L143 L144 L145 L146 L147 L149 L150 L151 L153 L154 L155 L157 L158 L159 L161 L162 L163 L165 L166 L167 L170 L171 L172 L173 L175 L176 L177 L178 L180 L181 L182 L184 L185 L186 L188 L189 L190 L192 L193 L194 L196 L197 L198 L203 L204 L205 L206 L208 L209 L210 L211 L212 L214 L215 L216 L217 L219 L220 L221 L222 L224 L225 L226 L228 L229 L230 L233 L234 L235 L236 L238 L239 L240 L242 L243 L244 L245 L246 L248 L249 L250 L252 L253 L254 L256 L257 L258 L260 L261 L262 L264 L265 L266 L269 L270 L271 L272 L274 L275 L276 L277 L279 L280 L281 L283 L284 L285 L287 L288 L289 L291 L292 L293 L295 L296 L297 L302 L303 L305 L306 L308 L309 L311 L312 L314 L315 L317 L318 L321 L322 L324 L325 L327 L328 L330 L331 L333 L334 L336 L337 L339 L340 L342 L343 L346 L347 L349 L350 L352 L353 L355 L356 L358 L359 L361 L362 L364 L365" showDropDown="0" showInputMessage="0" showErrorMessage="0" allowBlank="1" type="list">
      <formula1>"✓"</formula1>
    </dataValidation>
    <dataValidation sqref="K9 K10 K11 K12 K14 K15 K16 K17 K19 K20 K21 K23 K24 K25 K27 K28 K29 K31 K32 K33 K36 K37 K38 K39 K41 K42 K43 K45 K46 K47 K48 K50 K51 K52 K54 K55 K56 K58 K59 K60 K62 K63 K64 K66 K67 K68 K71 K72 K73 K74 K76 K77 K78 K79 K81 K82 K83 K85 K86 K87 K89 K90 K91 K93 K94 K95 K97 K98 K99 K104 K105 K106 K107 K109 K110 K111 K112 K113 K115 K116 K117 K118 K120 K121 K122 K123 K125 K126 K127 K129 K130 K131 K134 K135 K136 K137 K139 K140 K141 K143 K144 K145 K146 K147 K149 K150 K151 K153 K154 K155 K157 K158 K159 K161 K162 K163 K165 K166 K167 K170 K171 K172 K173 K175 K176 K177 K178 K180 K181 K182 K184 K185 K186 K188 K189 K190 K192 K193 K194 K196 K197 K198 K203 K204 K205 K206 K208 K209 K210 K211 K212 K214 K215 K216 K217 K219 K220 K221 K222 K224 K225 K226 K228 K229 K230 K233 K234 K235 K236 K238 K239 K240 K242 K243 K244 K245 K246 K248 K249 K250 K252 K253 K254 K256 K257 K258 K260 K261 K262 K264 K265 K266 K269 K270 K271 K272 K274 K275 K276 K277 K279 K280 K281 K283 K284 K285 K287 K288 K289 K291 K292 K293 K295 K296 K297 K302 K303 K305 K306 K308 K309 K311 K312 K314 K315 K317 K318 K321 K322 K324 K325 K327 K328 K330 K331 K333 K334 K336 K337 K339 K340 K342 K343 K346 K347 K349 K350 K352 K353 K355 K356 K358 K359 K361 K362 K364 K365" showDropDown="0" showInputMessage="0" showErrorMessage="0" allowBlank="1" type="list">
      <formula1>"6,6.5,7,7.5,8,8.5,9,9.5,10"</formula1>
    </dataValidation>
  </dataValidations>
  <hyperlinks>
    <hyperlink ref="A2" location="'Month 07'!A1" display="&lt; Month 07"/>
    <hyperlink ref="C2" location="'Start Here'!A1" display="Start Here"/>
    <hyperlink ref="E2" location="'Month 09'!A1" display="Month 09 &gt;"/>
    <hyperlink ref="L3" location="'Body'!A1" display="How to test"/>
  </hyperlinks>
  <pageMargins left="0.75" right="0.75" top="1" bottom="1" header="0.5" footer="0.5"/>
  <pageSetup orientation="landscape" fitToHeight="0" fitToWidth="1"/>
</worksheet>
</file>

<file path=xl/worksheets/sheet11.xml><?xml version="1.0" encoding="utf-8"?>
<worksheet xmlns="http://schemas.openxmlformats.org/spreadsheetml/2006/main">
  <sheetPr>
    <tabColor rgb="00F2D675"/>
    <outlinePr summaryBelow="1" summaryRight="1"/>
    <pageSetUpPr fitToPage="1"/>
  </sheetPr>
  <dimension ref="A1:O330"/>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26" customWidth="1" min="3" max="3"/>
    <col width="10" customWidth="1" min="4" max="4"/>
    <col width="7" customWidth="1" min="5" max="5"/>
    <col width="6" customWidth="1" min="6" max="6"/>
    <col width="9" customWidth="1" min="7" max="7"/>
    <col width="9" customWidth="1" min="8" max="8"/>
    <col width="12" customWidth="1" min="9" max="9"/>
    <col width="8" customWidth="1" min="10" max="10"/>
    <col width="6" customWidth="1" min="11" max="11"/>
    <col width="6" customWidth="1" min="12" max="12"/>
    <col width="9" customWidth="1" min="13" max="13"/>
    <col width="5" customWidth="1" min="14" max="14"/>
    <col width="60" customWidth="1" min="15" max="15"/>
  </cols>
  <sheetData>
    <row r="1">
      <c r="A1" s="25" t="inlineStr">
        <is>
          <t>MONTH 09  -  weeks 33-36  -  Cycle 3</t>
        </is>
      </c>
    </row>
    <row r="2">
      <c r="A2" s="26" t="inlineStr">
        <is>
          <t>&lt; Month 08</t>
        </is>
      </c>
      <c r="C2" s="26" t="inlineStr">
        <is>
          <t>Start Here</t>
        </is>
      </c>
      <c r="E2" s="26" t="inlineStr">
        <is>
          <t>Month 10 &gt;</t>
        </is>
      </c>
    </row>
    <row r="3">
      <c r="A3" s="41" t="inlineStr">
        <is>
          <t>BODY FAT (once this month)</t>
        </is>
      </c>
      <c r="C3" s="44" t="inlineStr">
        <is>
          <t>Date</t>
        </is>
      </c>
      <c r="D3" s="12" t="n"/>
      <c r="E3" s="44" t="inlineStr">
        <is>
          <t>Body fat %</t>
        </is>
      </c>
      <c r="F3" s="7" t="n"/>
      <c r="G3" s="44" t="inlineStr">
        <is>
          <t>Method</t>
        </is>
      </c>
      <c r="H3" s="7" t="n"/>
      <c r="I3" s="44" t="inlineStr">
        <is>
          <t>Weight at test</t>
        </is>
      </c>
      <c r="J3" s="7" t="n"/>
      <c r="L3" s="26" t="inlineStr">
        <is>
          <t>How to test</t>
        </is>
      </c>
    </row>
    <row r="4">
      <c r="A4" s="27" t="inlineStr">
        <is>
          <t>Every set is filled in with the plan. Change what was different, mark Done. Enter bodyweight once per week on the purple week rows.</t>
        </is>
      </c>
    </row>
    <row r="5">
      <c r="A5" s="8" t="inlineStr">
        <is>
          <t>Day</t>
        </is>
      </c>
      <c r="B5" s="8" t="inlineStr">
        <is>
          <t>Date</t>
        </is>
      </c>
      <c r="C5" s="8" t="inlineStr">
        <is>
          <t>Exercise / set</t>
        </is>
      </c>
      <c r="D5" s="8" t="inlineStr">
        <is>
          <t>Scheme</t>
        </is>
      </c>
      <c r="E5" s="8" t="inlineStr">
        <is>
          <t>Target reps</t>
        </is>
      </c>
      <c r="F5" s="8" t="inlineStr">
        <is>
          <t>% TM</t>
        </is>
      </c>
      <c r="G5" s="8" t="inlineStr">
        <is>
          <t>Training max</t>
        </is>
      </c>
      <c r="H5" s="8" t="inlineStr">
        <is>
          <t>Target</t>
        </is>
      </c>
      <c r="I5" s="8" t="inlineStr">
        <is>
          <t>Actual weight / height</t>
        </is>
      </c>
      <c r="J5" s="8" t="inlineStr">
        <is>
          <t>Actual reps</t>
        </is>
      </c>
      <c r="K5" s="8" t="inlineStr">
        <is>
          <t>RPE</t>
        </is>
      </c>
      <c r="L5" s="8" t="inlineStr">
        <is>
          <t>Done</t>
        </is>
      </c>
      <c r="M5" s="8" t="inlineStr">
        <is>
          <t>Est. 1RM</t>
        </is>
      </c>
      <c r="N5" s="8" t="inlineStr">
        <is>
          <t>PR</t>
        </is>
      </c>
      <c r="O5" s="8" t="inlineStr">
        <is>
          <t>Notes / guidance</t>
        </is>
      </c>
    </row>
    <row r="6">
      <c r="A6" s="54" t="inlineStr">
        <is>
          <t>WEEK 33 - CYCLE 3 - REALIZATION</t>
        </is>
      </c>
      <c r="B6" s="55" t="n"/>
      <c r="C6" s="55" t="n"/>
      <c r="D6" s="55" t="n"/>
      <c r="E6" s="55" t="n"/>
      <c r="F6" s="55" t="n"/>
      <c r="G6" s="55" t="n"/>
      <c r="H6" s="56" t="inlineStr">
        <is>
          <t>Bodyweight:</t>
        </is>
      </c>
      <c r="I6" s="7" t="n"/>
      <c r="J6" s="55" t="n"/>
      <c r="K6" s="55" t="n"/>
      <c r="L6" s="55" t="n"/>
      <c r="M6" s="55" t="n"/>
      <c r="N6" s="55" t="n"/>
      <c r="O6" s="55" t="n"/>
    </row>
    <row r="7">
      <c r="A7" s="31" t="inlineStr">
        <is>
          <t>Day 1 - Heavy</t>
        </is>
      </c>
      <c r="B7" s="32">
        <f>'Start Here'!$B$8+224</f>
        <v/>
      </c>
      <c r="C7" s="33" t="n"/>
      <c r="D7" s="33" t="n"/>
      <c r="E7" s="33" t="n"/>
      <c r="F7" s="33" t="n"/>
      <c r="G7" s="33" t="n"/>
      <c r="H7" s="33" t="n"/>
      <c r="I7" s="33" t="n"/>
      <c r="J7" s="33" t="n"/>
      <c r="K7" s="33" t="n"/>
      <c r="L7" s="33" t="n"/>
      <c r="M7" s="33" t="n"/>
      <c r="N7" s="33" t="n"/>
      <c r="O7" s="33" t="n"/>
    </row>
    <row r="8">
      <c r="A8" s="34" t="n"/>
      <c r="B8" s="34" t="n"/>
      <c r="C8" s="35" t="inlineStr">
        <is>
          <t>Box Jump</t>
        </is>
      </c>
      <c r="D8" s="34" t="inlineStr">
        <is>
          <t>3 x 2</t>
        </is>
      </c>
      <c r="E8" s="34" t="n"/>
      <c r="F8" s="34" t="n"/>
      <c r="G8" s="36" t="n"/>
      <c r="H8" s="37">
        <f>IF(N(Maxes!G69)&gt;0,Maxes!G69,'Start Here'!$G$16)</f>
        <v/>
      </c>
      <c r="I8" s="34" t="n"/>
      <c r="J8" s="34" t="n"/>
      <c r="K8" s="34" t="n"/>
      <c r="L8" s="34" t="n"/>
      <c r="M8" s="34" t="n"/>
      <c r="N8" s="34" t="n"/>
      <c r="O8" s="38" t="inlineStr">
        <is>
          <t>Two-foot jump onto a box, land soft in a quarter squat, STEP down. Log the box height (floor to top of box).</t>
        </is>
      </c>
    </row>
    <row r="9">
      <c r="C9" t="inlineStr">
        <is>
          <t xml:space="preserve">      Set 1</t>
        </is>
      </c>
      <c r="E9" t="n">
        <v>2</v>
      </c>
      <c r="H9" s="39">
        <f>IF(H8="","",H8)</f>
        <v/>
      </c>
      <c r="I9" s="7">
        <f>IF(H8="","",H8)</f>
        <v/>
      </c>
      <c r="J9" s="7" t="n">
        <v>2</v>
      </c>
      <c r="K9" s="7" t="n"/>
      <c r="L9" s="40" t="n"/>
      <c r="N9" s="41">
        <f>IF(AND(L9&lt;&gt;"",N(I9)&gt;0),IF(I9&gt;=PRs!D69,"PR!",""),"")</f>
        <v/>
      </c>
      <c r="O9" s="7" t="n"/>
    </row>
    <row r="10">
      <c r="C10" t="inlineStr">
        <is>
          <t xml:space="preserve">      Set 2</t>
        </is>
      </c>
      <c r="E10" t="n">
        <v>2</v>
      </c>
      <c r="H10" s="39">
        <f>IF(H8="","",H8)</f>
        <v/>
      </c>
      <c r="I10" s="7">
        <f>IF(H8="","",H8)</f>
        <v/>
      </c>
      <c r="J10" s="7" t="n">
        <v>2</v>
      </c>
      <c r="K10" s="7" t="n"/>
      <c r="L10" s="40" t="n"/>
      <c r="N10" s="41">
        <f>IF(AND(L10&lt;&gt;"",N(I10)&gt;0),IF(I10&gt;=PRs!D69,"PR!",""),"")</f>
        <v/>
      </c>
      <c r="O10" s="7" t="n"/>
    </row>
    <row r="11">
      <c r="C11" t="inlineStr">
        <is>
          <t xml:space="preserve">      Set 3</t>
        </is>
      </c>
      <c r="E11" t="n">
        <v>2</v>
      </c>
      <c r="H11" s="39">
        <f>IF(H8="","",H8)</f>
        <v/>
      </c>
      <c r="I11" s="7">
        <f>IF(H8="","",H8)</f>
        <v/>
      </c>
      <c r="J11" s="7" t="n">
        <v>2</v>
      </c>
      <c r="K11" s="7" t="n"/>
      <c r="L11" s="40" t="n"/>
      <c r="N11" s="41">
        <f>IF(AND(L11&lt;&gt;"",N(I11)&gt;0),IF(I11&gt;=PRs!D69,"PR!",""),"")</f>
        <v/>
      </c>
      <c r="O11" s="7" t="n"/>
    </row>
    <row r="12">
      <c r="A12" s="34" t="n"/>
      <c r="B12" s="34" t="n"/>
      <c r="C12" s="42" t="inlineStr">
        <is>
          <t>Snatch</t>
        </is>
      </c>
      <c r="D12" s="34" t="inlineStr">
        <is>
          <t>5 x 2</t>
        </is>
      </c>
      <c r="E12" s="34" t="n"/>
      <c r="F12" s="34" t="n">
        <v>85</v>
      </c>
      <c r="G12" s="36">
        <f>Maxes!G6</f>
        <v/>
      </c>
      <c r="H12" s="37">
        <f>IF(OR(G12="",F12=""),"",MROUND(G12*F12/100,'Start Here'!$B$7))</f>
        <v/>
      </c>
      <c r="I12" s="34" t="n"/>
      <c r="J12" s="34" t="n"/>
      <c r="K12" s="34" t="n"/>
      <c r="L12" s="34" t="n"/>
      <c r="M12" s="34" t="n"/>
      <c r="N12" s="34" t="n"/>
      <c r="O12" s="38" t="inlineStr"/>
    </row>
    <row r="13">
      <c r="C13" t="inlineStr">
        <is>
          <t xml:space="preserve">      Set 1</t>
        </is>
      </c>
      <c r="E13" t="n">
        <v>2</v>
      </c>
      <c r="H13" s="39">
        <f>IF(H12="","",H12)</f>
        <v/>
      </c>
      <c r="I13" s="7">
        <f>IF(H12="","",H12)</f>
        <v/>
      </c>
      <c r="J13" s="7" t="n">
        <v>2</v>
      </c>
      <c r="K13" s="7" t="n"/>
      <c r="L13" s="40" t="n"/>
      <c r="M13">
        <f>IF(AND(L13&lt;&gt;"",N(I13)&gt;0,N(J13)&gt;0),IF(J13=1,I13,ROUND(I13*(1+J13/30),1)),"")</f>
        <v/>
      </c>
      <c r="N13" s="41">
        <f>IF(M13="","",IF(M13&gt;=PRs!C6,"PR!",""))</f>
        <v/>
      </c>
      <c r="O13" s="7" t="n"/>
    </row>
    <row r="14">
      <c r="C14" t="inlineStr">
        <is>
          <t xml:space="preserve">      Set 2</t>
        </is>
      </c>
      <c r="E14" t="n">
        <v>2</v>
      </c>
      <c r="H14" s="39">
        <f>IF(H12="","",H12)</f>
        <v/>
      </c>
      <c r="I14" s="7">
        <f>IF(H12="","",H12)</f>
        <v/>
      </c>
      <c r="J14" s="7" t="n">
        <v>2</v>
      </c>
      <c r="K14" s="7" t="n"/>
      <c r="L14" s="40" t="n"/>
      <c r="M14">
        <f>IF(AND(L14&lt;&gt;"",N(I14)&gt;0,N(J14)&gt;0),IF(J14=1,I14,ROUND(I14*(1+J14/30),1)),"")</f>
        <v/>
      </c>
      <c r="N14" s="41">
        <f>IF(M14="","",IF(M14&gt;=PRs!C6,"PR!",""))</f>
        <v/>
      </c>
      <c r="O14" s="7" t="n"/>
    </row>
    <row r="15">
      <c r="C15" t="inlineStr">
        <is>
          <t xml:space="preserve">      Set 3</t>
        </is>
      </c>
      <c r="E15" t="n">
        <v>2</v>
      </c>
      <c r="H15" s="39">
        <f>IF(H12="","",H12)</f>
        <v/>
      </c>
      <c r="I15" s="7">
        <f>IF(H12="","",H12)</f>
        <v/>
      </c>
      <c r="J15" s="7" t="n">
        <v>2</v>
      </c>
      <c r="K15" s="7" t="n"/>
      <c r="L15" s="40" t="n"/>
      <c r="M15">
        <f>IF(AND(L15&lt;&gt;"",N(I15)&gt;0,N(J15)&gt;0),IF(J15=1,I15,ROUND(I15*(1+J15/30),1)),"")</f>
        <v/>
      </c>
      <c r="N15" s="41">
        <f>IF(M15="","",IF(M15&gt;=PRs!C6,"PR!",""))</f>
        <v/>
      </c>
      <c r="O15" s="7" t="n"/>
    </row>
    <row r="16">
      <c r="C16" t="inlineStr">
        <is>
          <t xml:space="preserve">      Set 4</t>
        </is>
      </c>
      <c r="E16" t="n">
        <v>2</v>
      </c>
      <c r="H16" s="39">
        <f>IF(H12="","",H12)</f>
        <v/>
      </c>
      <c r="I16" s="7">
        <f>IF(H12="","",H12)</f>
        <v/>
      </c>
      <c r="J16" s="7" t="n">
        <v>2</v>
      </c>
      <c r="K16" s="7" t="n"/>
      <c r="L16" s="40" t="n"/>
      <c r="M16">
        <f>IF(AND(L16&lt;&gt;"",N(I16)&gt;0,N(J16)&gt;0),IF(J16=1,I16,ROUND(I16*(1+J16/30),1)),"")</f>
        <v/>
      </c>
      <c r="N16" s="41">
        <f>IF(M16="","",IF(M16&gt;=PRs!C6,"PR!",""))</f>
        <v/>
      </c>
      <c r="O16" s="7" t="n"/>
    </row>
    <row r="17">
      <c r="C17" t="inlineStr">
        <is>
          <t xml:space="preserve">      Set 5</t>
        </is>
      </c>
      <c r="E17" t="n">
        <v>2</v>
      </c>
      <c r="H17" s="39">
        <f>IF(H12="","",H12)</f>
        <v/>
      </c>
      <c r="I17" s="7">
        <f>IF(H12="","",H12)</f>
        <v/>
      </c>
      <c r="J17" s="7" t="n">
        <v>2</v>
      </c>
      <c r="K17" s="7" t="n"/>
      <c r="L17" s="40" t="n"/>
      <c r="M17">
        <f>IF(AND(L17&lt;&gt;"",N(I17)&gt;0,N(J17)&gt;0),IF(J17=1,I17,ROUND(I17*(1+J17/30),1)),"")</f>
        <v/>
      </c>
      <c r="N17" s="41">
        <f>IF(M17="","",IF(M17&gt;=PRs!C6,"PR!",""))</f>
        <v/>
      </c>
      <c r="O17" s="7" t="n"/>
    </row>
    <row r="18">
      <c r="A18" s="34" t="n"/>
      <c r="B18" s="34" t="n"/>
      <c r="C18" s="42" t="inlineStr">
        <is>
          <t>Squat</t>
        </is>
      </c>
      <c r="D18" s="34" t="inlineStr">
        <is>
          <t>5 x 3</t>
        </is>
      </c>
      <c r="E18" s="34" t="n"/>
      <c r="F18" s="34" t="n">
        <v>85</v>
      </c>
      <c r="G18" s="36">
        <f>Maxes!G2</f>
        <v/>
      </c>
      <c r="H18" s="37">
        <f>IF(OR(G18="",F18=""),"",MROUND(G18*F18/100,'Start Here'!$B$7))</f>
        <v/>
      </c>
      <c r="I18" s="34" t="n"/>
      <c r="J18" s="34" t="n"/>
      <c r="K18" s="34" t="n"/>
      <c r="L18" s="34" t="n"/>
      <c r="M18" s="34" t="n"/>
      <c r="N18" s="34" t="n"/>
      <c r="O18" s="38" t="inlineStr"/>
    </row>
    <row r="19">
      <c r="C19" t="inlineStr">
        <is>
          <t xml:space="preserve">      Set 1</t>
        </is>
      </c>
      <c r="E19" t="n">
        <v>3</v>
      </c>
      <c r="H19" s="39">
        <f>IF(H18="","",H18)</f>
        <v/>
      </c>
      <c r="I19" s="7">
        <f>IF(H18="","",H18)</f>
        <v/>
      </c>
      <c r="J19" s="7" t="n">
        <v>3</v>
      </c>
      <c r="K19" s="7" t="n"/>
      <c r="L19" s="40" t="n"/>
      <c r="M19">
        <f>IF(AND(L19&lt;&gt;"",N(I19)&gt;0,N(J19)&gt;0),IF(J19=1,I19,ROUND(I19*(1+J19/30),1)),"")</f>
        <v/>
      </c>
      <c r="N19" s="41">
        <f>IF(M19="","",IF(M19&gt;=PRs!C2,"PR!",""))</f>
        <v/>
      </c>
      <c r="O19" s="7" t="n"/>
    </row>
    <row r="20">
      <c r="C20" t="inlineStr">
        <is>
          <t xml:space="preserve">      Set 2</t>
        </is>
      </c>
      <c r="E20" t="n">
        <v>3</v>
      </c>
      <c r="H20" s="39">
        <f>IF(H18="","",H18)</f>
        <v/>
      </c>
      <c r="I20" s="7">
        <f>IF(H18="","",H18)</f>
        <v/>
      </c>
      <c r="J20" s="7" t="n">
        <v>3</v>
      </c>
      <c r="K20" s="7" t="n"/>
      <c r="L20" s="40" t="n"/>
      <c r="M20">
        <f>IF(AND(L20&lt;&gt;"",N(I20)&gt;0,N(J20)&gt;0),IF(J20=1,I20,ROUND(I20*(1+J20/30),1)),"")</f>
        <v/>
      </c>
      <c r="N20" s="41">
        <f>IF(M20="","",IF(M20&gt;=PRs!C2,"PR!",""))</f>
        <v/>
      </c>
      <c r="O20" s="7" t="n"/>
    </row>
    <row r="21">
      <c r="C21" t="inlineStr">
        <is>
          <t xml:space="preserve">      Set 3</t>
        </is>
      </c>
      <c r="E21" t="n">
        <v>3</v>
      </c>
      <c r="H21" s="39">
        <f>IF(H18="","",H18)</f>
        <v/>
      </c>
      <c r="I21" s="7">
        <f>IF(H18="","",H18)</f>
        <v/>
      </c>
      <c r="J21" s="7" t="n">
        <v>3</v>
      </c>
      <c r="K21" s="7" t="n"/>
      <c r="L21" s="40" t="n"/>
      <c r="M21">
        <f>IF(AND(L21&lt;&gt;"",N(I21)&gt;0,N(J21)&gt;0),IF(J21=1,I21,ROUND(I21*(1+J21/30),1)),"")</f>
        <v/>
      </c>
      <c r="N21" s="41">
        <f>IF(M21="","",IF(M21&gt;=PRs!C2,"PR!",""))</f>
        <v/>
      </c>
      <c r="O21" s="7" t="n"/>
    </row>
    <row r="22">
      <c r="C22" t="inlineStr">
        <is>
          <t xml:space="preserve">      Set 4</t>
        </is>
      </c>
      <c r="E22" t="n">
        <v>3</v>
      </c>
      <c r="H22" s="39">
        <f>IF(H18="","",H18)</f>
        <v/>
      </c>
      <c r="I22" s="7">
        <f>IF(H18="","",H18)</f>
        <v/>
      </c>
      <c r="J22" s="7" t="n">
        <v>3</v>
      </c>
      <c r="K22" s="7" t="n"/>
      <c r="L22" s="40" t="n"/>
      <c r="M22">
        <f>IF(AND(L22&lt;&gt;"",N(I22)&gt;0,N(J22)&gt;0),IF(J22=1,I22,ROUND(I22*(1+J22/30),1)),"")</f>
        <v/>
      </c>
      <c r="N22" s="41">
        <f>IF(M22="","",IF(M22&gt;=PRs!C2,"PR!",""))</f>
        <v/>
      </c>
      <c r="O22" s="7" t="n"/>
    </row>
    <row r="23">
      <c r="C23" t="inlineStr">
        <is>
          <t xml:space="preserve">      Set 5</t>
        </is>
      </c>
      <c r="E23" t="n">
        <v>3</v>
      </c>
      <c r="H23" s="39">
        <f>IF(H18="","",H18)</f>
        <v/>
      </c>
      <c r="I23" s="7">
        <f>IF(H18="","",H18)</f>
        <v/>
      </c>
      <c r="J23" s="7" t="n">
        <v>3</v>
      </c>
      <c r="K23" s="7" t="n"/>
      <c r="L23" s="40" t="n"/>
      <c r="M23">
        <f>IF(AND(L23&lt;&gt;"",N(I23)&gt;0,N(J23)&gt;0),IF(J23=1,I23,ROUND(I23*(1+J23/30),1)),"")</f>
        <v/>
      </c>
      <c r="N23" s="41">
        <f>IF(M23="","",IF(M23&gt;=PRs!C2,"PR!",""))</f>
        <v/>
      </c>
      <c r="O23" s="7" t="n"/>
    </row>
    <row r="24">
      <c r="A24" s="34" t="n"/>
      <c r="B24" s="34" t="n"/>
      <c r="C24" s="42" t="inlineStr">
        <is>
          <t>Bench Press</t>
        </is>
      </c>
      <c r="D24" s="34" t="inlineStr">
        <is>
          <t>5 x 3</t>
        </is>
      </c>
      <c r="E24" s="34" t="n"/>
      <c r="F24" s="34" t="n">
        <v>85</v>
      </c>
      <c r="G24" s="36">
        <f>Maxes!G3</f>
        <v/>
      </c>
      <c r="H24" s="37">
        <f>IF(OR(G24="",F24=""),"",MROUND(G24*F24/100,'Start Here'!$B$7))</f>
        <v/>
      </c>
      <c r="I24" s="34" t="n"/>
      <c r="J24" s="34" t="n"/>
      <c r="K24" s="34" t="n"/>
      <c r="L24" s="34" t="n"/>
      <c r="M24" s="34" t="n"/>
      <c r="N24" s="34" t="n"/>
      <c r="O24" s="38" t="inlineStr"/>
    </row>
    <row r="25">
      <c r="C25" t="inlineStr">
        <is>
          <t xml:space="preserve">      Set 1</t>
        </is>
      </c>
      <c r="E25" t="n">
        <v>3</v>
      </c>
      <c r="H25" s="39">
        <f>IF(H24="","",H24)</f>
        <v/>
      </c>
      <c r="I25" s="7">
        <f>IF(H24="","",H24)</f>
        <v/>
      </c>
      <c r="J25" s="7" t="n">
        <v>3</v>
      </c>
      <c r="K25" s="7" t="n"/>
      <c r="L25" s="40" t="n"/>
      <c r="M25">
        <f>IF(AND(L25&lt;&gt;"",N(I25)&gt;0,N(J25)&gt;0),IF(J25=1,I25,ROUND(I25*(1+J25/30),1)),"")</f>
        <v/>
      </c>
      <c r="N25" s="41">
        <f>IF(M25="","",IF(M25&gt;=PRs!C3,"PR!",""))</f>
        <v/>
      </c>
      <c r="O25" s="7" t="n"/>
    </row>
    <row r="26">
      <c r="C26" t="inlineStr">
        <is>
          <t xml:space="preserve">      Set 2</t>
        </is>
      </c>
      <c r="E26" t="n">
        <v>3</v>
      </c>
      <c r="H26" s="39">
        <f>IF(H24="","",H24)</f>
        <v/>
      </c>
      <c r="I26" s="7">
        <f>IF(H24="","",H24)</f>
        <v/>
      </c>
      <c r="J26" s="7" t="n">
        <v>3</v>
      </c>
      <c r="K26" s="7" t="n"/>
      <c r="L26" s="40" t="n"/>
      <c r="M26">
        <f>IF(AND(L26&lt;&gt;"",N(I26)&gt;0,N(J26)&gt;0),IF(J26=1,I26,ROUND(I26*(1+J26/30),1)),"")</f>
        <v/>
      </c>
      <c r="N26" s="41">
        <f>IF(M26="","",IF(M26&gt;=PRs!C3,"PR!",""))</f>
        <v/>
      </c>
      <c r="O26" s="7" t="n"/>
    </row>
    <row r="27">
      <c r="C27" t="inlineStr">
        <is>
          <t xml:space="preserve">      Set 3</t>
        </is>
      </c>
      <c r="E27" t="n">
        <v>3</v>
      </c>
      <c r="H27" s="39">
        <f>IF(H24="","",H24)</f>
        <v/>
      </c>
      <c r="I27" s="7">
        <f>IF(H24="","",H24)</f>
        <v/>
      </c>
      <c r="J27" s="7" t="n">
        <v>3</v>
      </c>
      <c r="K27" s="7" t="n"/>
      <c r="L27" s="40" t="n"/>
      <c r="M27">
        <f>IF(AND(L27&lt;&gt;"",N(I27)&gt;0,N(J27)&gt;0),IF(J27=1,I27,ROUND(I27*(1+J27/30),1)),"")</f>
        <v/>
      </c>
      <c r="N27" s="41">
        <f>IF(M27="","",IF(M27&gt;=PRs!C3,"PR!",""))</f>
        <v/>
      </c>
      <c r="O27" s="7" t="n"/>
    </row>
    <row r="28">
      <c r="C28" t="inlineStr">
        <is>
          <t xml:space="preserve">      Set 4</t>
        </is>
      </c>
      <c r="E28" t="n">
        <v>3</v>
      </c>
      <c r="H28" s="39">
        <f>IF(H24="","",H24)</f>
        <v/>
      </c>
      <c r="I28" s="7">
        <f>IF(H24="","",H24)</f>
        <v/>
      </c>
      <c r="J28" s="7" t="n">
        <v>3</v>
      </c>
      <c r="K28" s="7" t="n"/>
      <c r="L28" s="40" t="n"/>
      <c r="M28">
        <f>IF(AND(L28&lt;&gt;"",N(I28)&gt;0,N(J28)&gt;0),IF(J28=1,I28,ROUND(I28*(1+J28/30),1)),"")</f>
        <v/>
      </c>
      <c r="N28" s="41">
        <f>IF(M28="","",IF(M28&gt;=PRs!C3,"PR!",""))</f>
        <v/>
      </c>
      <c r="O28" s="7" t="n"/>
    </row>
    <row r="29">
      <c r="C29" t="inlineStr">
        <is>
          <t xml:space="preserve">      Set 5</t>
        </is>
      </c>
      <c r="E29" t="n">
        <v>3</v>
      </c>
      <c r="H29" s="39">
        <f>IF(H24="","",H24)</f>
        <v/>
      </c>
      <c r="I29" s="7">
        <f>IF(H24="","",H24)</f>
        <v/>
      </c>
      <c r="J29" s="7" t="n">
        <v>3</v>
      </c>
      <c r="K29" s="7" t="n"/>
      <c r="L29" s="40" t="n"/>
      <c r="M29">
        <f>IF(AND(L29&lt;&gt;"",N(I29)&gt;0,N(J29)&gt;0),IF(J29=1,I29,ROUND(I29*(1+J29/30),1)),"")</f>
        <v/>
      </c>
      <c r="N29" s="41">
        <f>IF(M29="","",IF(M29&gt;=PRs!C3,"PR!",""))</f>
        <v/>
      </c>
      <c r="O29" s="7" t="n"/>
    </row>
    <row r="30">
      <c r="A30" s="34" t="n"/>
      <c r="B30" s="34" t="n"/>
      <c r="C30" s="43" t="inlineStr">
        <is>
          <t>Barbell Row</t>
        </is>
      </c>
      <c r="D30" s="34" t="inlineStr">
        <is>
          <t>3 x 8-10</t>
        </is>
      </c>
      <c r="E30" s="34" t="n"/>
      <c r="F30" s="34" t="n"/>
      <c r="G30" s="36" t="n"/>
      <c r="H30" s="37" t="n"/>
      <c r="I30" s="34" t="n"/>
      <c r="J30" s="34" t="n"/>
      <c r="K30" s="34" t="n"/>
      <c r="L30" s="34" t="n"/>
      <c r="M30" s="34" t="n"/>
      <c r="N30" s="34" t="n"/>
      <c r="O30" s="38" t="inlineStr">
        <is>
          <t>Leave 1-2 reps in the tank; add weight when you hit the top of the range</t>
        </is>
      </c>
    </row>
    <row r="31">
      <c r="C31" t="inlineStr">
        <is>
          <t xml:space="preserve">      Set 1</t>
        </is>
      </c>
      <c r="E31" t="n">
        <v>8</v>
      </c>
      <c r="H31" s="39">
        <f>IF(H30="","",H30)</f>
        <v/>
      </c>
      <c r="I31" s="7">
        <f>IF(H30="","",H30)</f>
        <v/>
      </c>
      <c r="J31" s="7" t="n">
        <v>8</v>
      </c>
      <c r="K31" s="7" t="n"/>
      <c r="L31" s="40" t="n"/>
      <c r="M31">
        <f>IF(AND(L31&lt;&gt;"",N(I31)&gt;0,N(J31)&gt;0),IF(J31=1,I31,ROUND(I31*(1+J31/30),1)),"")</f>
        <v/>
      </c>
      <c r="N31" s="41">
        <f>IF(M31="","",IF(M31&gt;=PRs!C50,"PR!",""))</f>
        <v/>
      </c>
      <c r="O31" s="7" t="n"/>
    </row>
    <row r="32">
      <c r="C32" t="inlineStr">
        <is>
          <t xml:space="preserve">      Set 2</t>
        </is>
      </c>
      <c r="E32" t="n">
        <v>8</v>
      </c>
      <c r="H32" s="39">
        <f>IF(H30="","",H30)</f>
        <v/>
      </c>
      <c r="I32" s="7">
        <f>IF(H30="","",H30)</f>
        <v/>
      </c>
      <c r="J32" s="7" t="n">
        <v>8</v>
      </c>
      <c r="K32" s="7" t="n"/>
      <c r="L32" s="40" t="n"/>
      <c r="M32">
        <f>IF(AND(L32&lt;&gt;"",N(I32)&gt;0,N(J32)&gt;0),IF(J32=1,I32,ROUND(I32*(1+J32/30),1)),"")</f>
        <v/>
      </c>
      <c r="N32" s="41">
        <f>IF(M32="","",IF(M32&gt;=PRs!C50,"PR!",""))</f>
        <v/>
      </c>
      <c r="O32" s="7" t="n"/>
    </row>
    <row r="33">
      <c r="C33" t="inlineStr">
        <is>
          <t xml:space="preserve">      Set 3</t>
        </is>
      </c>
      <c r="E33" t="n">
        <v>8</v>
      </c>
      <c r="H33" s="39">
        <f>IF(H30="","",H30)</f>
        <v/>
      </c>
      <c r="I33" s="7">
        <f>IF(H30="","",H30)</f>
        <v/>
      </c>
      <c r="J33" s="7" t="n">
        <v>8</v>
      </c>
      <c r="K33" s="7" t="n"/>
      <c r="L33" s="40" t="n"/>
      <c r="M33">
        <f>IF(AND(L33&lt;&gt;"",N(I33)&gt;0,N(J33)&gt;0),IF(J33=1,I33,ROUND(I33*(1+J33/30),1)),"")</f>
        <v/>
      </c>
      <c r="N33" s="41">
        <f>IF(M33="","",IF(M33&gt;=PRs!C50,"PR!",""))</f>
        <v/>
      </c>
      <c r="O33" s="7" t="n"/>
    </row>
    <row r="34">
      <c r="A34" s="34" t="n"/>
      <c r="B34" s="34" t="n"/>
      <c r="C34" s="43" t="inlineStr">
        <is>
          <t>Face Pull</t>
        </is>
      </c>
      <c r="D34" s="34" t="inlineStr">
        <is>
          <t>3 x 12-15</t>
        </is>
      </c>
      <c r="E34" s="34" t="n"/>
      <c r="F34" s="34" t="n"/>
      <c r="G34" s="36" t="n"/>
      <c r="H34" s="37" t="n"/>
      <c r="I34" s="34" t="n"/>
      <c r="J34" s="34" t="n"/>
      <c r="K34" s="34" t="n"/>
      <c r="L34" s="34" t="n"/>
      <c r="M34" s="34" t="n"/>
      <c r="N34" s="34" t="n"/>
      <c r="O34" s="38" t="inlineStr">
        <is>
          <t>Leave 1-2 reps in the tank; add weight when you hit the top of the range</t>
        </is>
      </c>
    </row>
    <row r="35">
      <c r="C35" t="inlineStr">
        <is>
          <t xml:space="preserve">      Set 1</t>
        </is>
      </c>
      <c r="E35" t="n">
        <v>12</v>
      </c>
      <c r="H35" s="39">
        <f>IF(H34="","",H34)</f>
        <v/>
      </c>
      <c r="I35" s="7">
        <f>IF(H34="","",H34)</f>
        <v/>
      </c>
      <c r="J35" s="7" t="n">
        <v>12</v>
      </c>
      <c r="K35" s="7" t="n"/>
      <c r="L35" s="40" t="n"/>
      <c r="M35">
        <f>IF(AND(L35&lt;&gt;"",N(I35)&gt;0,N(J35)&gt;0),IF(J35=1,I35,ROUND(I35*(1+J35/30),1)),"")</f>
        <v/>
      </c>
      <c r="N35" s="41">
        <f>IF(M35="","",IF(M35&gt;=PRs!C51,"PR!",""))</f>
        <v/>
      </c>
      <c r="O35" s="7" t="n"/>
    </row>
    <row r="36">
      <c r="C36" t="inlineStr">
        <is>
          <t xml:space="preserve">      Set 2</t>
        </is>
      </c>
      <c r="E36" t="n">
        <v>12</v>
      </c>
      <c r="H36" s="39">
        <f>IF(H34="","",H34)</f>
        <v/>
      </c>
      <c r="I36" s="7">
        <f>IF(H34="","",H34)</f>
        <v/>
      </c>
      <c r="J36" s="7" t="n">
        <v>12</v>
      </c>
      <c r="K36" s="7" t="n"/>
      <c r="L36" s="40" t="n"/>
      <c r="M36">
        <f>IF(AND(L36&lt;&gt;"",N(I36)&gt;0,N(J36)&gt;0),IF(J36=1,I36,ROUND(I36*(1+J36/30),1)),"")</f>
        <v/>
      </c>
      <c r="N36" s="41">
        <f>IF(M36="","",IF(M36&gt;=PRs!C51,"PR!",""))</f>
        <v/>
      </c>
      <c r="O36" s="7" t="n"/>
    </row>
    <row r="37">
      <c r="C37" t="inlineStr">
        <is>
          <t xml:space="preserve">      Set 3</t>
        </is>
      </c>
      <c r="E37" t="n">
        <v>12</v>
      </c>
      <c r="H37" s="39">
        <f>IF(H34="","",H34)</f>
        <v/>
      </c>
      <c r="I37" s="7">
        <f>IF(H34="","",H34)</f>
        <v/>
      </c>
      <c r="J37" s="7" t="n">
        <v>12</v>
      </c>
      <c r="K37" s="7" t="n"/>
      <c r="L37" s="40" t="n"/>
      <c r="M37">
        <f>IF(AND(L37&lt;&gt;"",N(I37)&gt;0,N(J37)&gt;0),IF(J37=1,I37,ROUND(I37*(1+J37/30),1)),"")</f>
        <v/>
      </c>
      <c r="N37" s="41">
        <f>IF(M37="","",IF(M37&gt;=PRs!C51,"PR!",""))</f>
        <v/>
      </c>
      <c r="O37" s="7" t="n"/>
    </row>
    <row r="38">
      <c r="A38" s="31" t="inlineStr">
        <is>
          <t>Day 2 - Light</t>
        </is>
      </c>
      <c r="B38" s="32">
        <f>'Start Here'!$B$8+226</f>
        <v/>
      </c>
      <c r="C38" s="33" t="n"/>
      <c r="D38" s="33" t="n"/>
      <c r="E38" s="33" t="n"/>
      <c r="F38" s="33" t="n"/>
      <c r="G38" s="33" t="n"/>
      <c r="H38" s="33" t="n"/>
      <c r="I38" s="33" t="n"/>
      <c r="J38" s="33" t="n"/>
      <c r="K38" s="33" t="n"/>
      <c r="L38" s="33" t="n"/>
      <c r="M38" s="33" t="n"/>
      <c r="N38" s="33" t="n"/>
      <c r="O38" s="33" t="n"/>
    </row>
    <row r="39">
      <c r="A39" s="34" t="n"/>
      <c r="B39" s="34" t="n"/>
      <c r="C39" s="35" t="inlineStr">
        <is>
          <t>Broad Jump</t>
        </is>
      </c>
      <c r="D39" s="34" t="inlineStr">
        <is>
          <t>3 x 2</t>
        </is>
      </c>
      <c r="E39" s="34" t="n"/>
      <c r="F39" s="34" t="n"/>
      <c r="G39" s="36" t="n"/>
      <c r="H39" s="37">
        <f>IF(N(Maxes!G70)&gt;0,Maxes!G70,"")</f>
        <v/>
      </c>
      <c r="I39" s="34" t="n"/>
      <c r="J39" s="34" t="n"/>
      <c r="K39" s="34" t="n"/>
      <c r="L39" s="34" t="n"/>
      <c r="M39" s="34" t="n"/>
      <c r="N39" s="34" t="n"/>
      <c r="O39" s="38" t="inlineStr">
        <is>
          <t>Standing two-foot jump forward, stick the landing. Measure toe line to the back of the nearest heel.</t>
        </is>
      </c>
    </row>
    <row r="40">
      <c r="C40" t="inlineStr">
        <is>
          <t xml:space="preserve">      Set 1</t>
        </is>
      </c>
      <c r="E40" t="n">
        <v>2</v>
      </c>
      <c r="H40" s="39">
        <f>IF(H39="","",H39)</f>
        <v/>
      </c>
      <c r="I40" s="7">
        <f>IF(H39="","",H39)</f>
        <v/>
      </c>
      <c r="J40" s="7" t="n">
        <v>2</v>
      </c>
      <c r="K40" s="7" t="n"/>
      <c r="L40" s="40" t="n"/>
      <c r="N40" s="41">
        <f>IF(AND(L40&lt;&gt;"",N(I40)&gt;0),IF(I40&gt;=PRs!D70,"PR!",""),"")</f>
        <v/>
      </c>
      <c r="O40" s="7" t="n"/>
    </row>
    <row r="41">
      <c r="C41" t="inlineStr">
        <is>
          <t xml:space="preserve">      Set 2</t>
        </is>
      </c>
      <c r="E41" t="n">
        <v>2</v>
      </c>
      <c r="H41" s="39">
        <f>IF(H39="","",H39)</f>
        <v/>
      </c>
      <c r="I41" s="7">
        <f>IF(H39="","",H39)</f>
        <v/>
      </c>
      <c r="J41" s="7" t="n">
        <v>2</v>
      </c>
      <c r="K41" s="7" t="n"/>
      <c r="L41" s="40" t="n"/>
      <c r="N41" s="41">
        <f>IF(AND(L41&lt;&gt;"",N(I41)&gt;0),IF(I41&gt;=PRs!D70,"PR!",""),"")</f>
        <v/>
      </c>
      <c r="O41" s="7" t="n"/>
    </row>
    <row r="42">
      <c r="C42" t="inlineStr">
        <is>
          <t xml:space="preserve">      Set 3</t>
        </is>
      </c>
      <c r="E42" t="n">
        <v>2</v>
      </c>
      <c r="H42" s="39">
        <f>IF(H39="","",H39)</f>
        <v/>
      </c>
      <c r="I42" s="7">
        <f>IF(H39="","",H39)</f>
        <v/>
      </c>
      <c r="J42" s="7" t="n">
        <v>2</v>
      </c>
      <c r="K42" s="7" t="n"/>
      <c r="L42" s="40" t="n"/>
      <c r="N42" s="41">
        <f>IF(AND(L42&lt;&gt;"",N(I42)&gt;0),IF(I42&gt;=PRs!D70,"PR!",""),"")</f>
        <v/>
      </c>
      <c r="O42" s="7" t="n"/>
    </row>
    <row r="43">
      <c r="A43" s="34" t="n"/>
      <c r="B43" s="34" t="n"/>
      <c r="C43" s="35" t="inlineStr">
        <is>
          <t>Med Ball Chest Pass</t>
        </is>
      </c>
      <c r="D43" s="34" t="inlineStr">
        <is>
          <t>2 x 5</t>
        </is>
      </c>
      <c r="E43" s="34" t="n"/>
      <c r="F43" s="34" t="n"/>
      <c r="G43" s="36" t="n"/>
      <c r="H43" s="37">
        <f>IF(N(Maxes!G77)&gt;0,Maxes!G77,"")</f>
        <v/>
      </c>
      <c r="I43" s="34" t="n"/>
      <c r="J43" s="34" t="n"/>
      <c r="K43" s="34" t="n"/>
      <c r="L43" s="34" t="n"/>
      <c r="M43" s="34" t="n"/>
      <c r="N43" s="34" t="n"/>
      <c r="O43" s="38" t="inlineStr">
        <is>
          <t>Kneeling or standing chest pass for distance with a 6-10 lb / 3-5 kg ball. Log the distance.</t>
        </is>
      </c>
    </row>
    <row r="44">
      <c r="C44" t="inlineStr">
        <is>
          <t xml:space="preserve">      Set 1</t>
        </is>
      </c>
      <c r="E44" t="n">
        <v>5</v>
      </c>
      <c r="H44" s="39">
        <f>IF(H43="","",H43)</f>
        <v/>
      </c>
      <c r="I44" s="7">
        <f>IF(H43="","",H43)</f>
        <v/>
      </c>
      <c r="J44" s="7" t="n">
        <v>5</v>
      </c>
      <c r="K44" s="7" t="n"/>
      <c r="L44" s="40" t="n"/>
      <c r="N44" s="41">
        <f>IF(AND(L44&lt;&gt;"",N(I44)&gt;0),IF(I44&gt;=PRs!D77,"PR!",""),"")</f>
        <v/>
      </c>
      <c r="O44" s="7" t="n"/>
    </row>
    <row r="45">
      <c r="C45" t="inlineStr">
        <is>
          <t xml:space="preserve">      Set 2</t>
        </is>
      </c>
      <c r="E45" t="n">
        <v>5</v>
      </c>
      <c r="H45" s="39">
        <f>IF(H43="","",H43)</f>
        <v/>
      </c>
      <c r="I45" s="7">
        <f>IF(H43="","",H43)</f>
        <v/>
      </c>
      <c r="J45" s="7" t="n">
        <v>5</v>
      </c>
      <c r="K45" s="7" t="n"/>
      <c r="L45" s="40" t="n"/>
      <c r="N45" s="41">
        <f>IF(AND(L45&lt;&gt;"",N(I45)&gt;0),IF(I45&gt;=PRs!D77,"PR!",""),"")</f>
        <v/>
      </c>
      <c r="O45" s="7" t="n"/>
    </row>
    <row r="46">
      <c r="A46" s="34" t="n"/>
      <c r="B46" s="34" t="n"/>
      <c r="C46" s="42" t="inlineStr">
        <is>
          <t>Clean &amp; Jerk</t>
        </is>
      </c>
      <c r="D46" s="34" t="inlineStr">
        <is>
          <t>5 x 2</t>
        </is>
      </c>
      <c r="E46" s="34" t="n"/>
      <c r="F46" s="34" t="n">
        <v>85</v>
      </c>
      <c r="G46" s="36">
        <f>Maxes!G7</f>
        <v/>
      </c>
      <c r="H46" s="37">
        <f>IF(OR(G46="",F46=""),"",MROUND(G46*F46/100,'Start Here'!$B$7))</f>
        <v/>
      </c>
      <c r="I46" s="34" t="n"/>
      <c r="J46" s="34" t="n"/>
      <c r="K46" s="34" t="n"/>
      <c r="L46" s="34" t="n"/>
      <c r="M46" s="34" t="n"/>
      <c r="N46" s="34" t="n"/>
      <c r="O46" s="38" t="inlineStr"/>
    </row>
    <row r="47">
      <c r="C47" t="inlineStr">
        <is>
          <t xml:space="preserve">      Set 1</t>
        </is>
      </c>
      <c r="E47" t="n">
        <v>2</v>
      </c>
      <c r="H47" s="39">
        <f>IF(H46="","",H46)</f>
        <v/>
      </c>
      <c r="I47" s="7">
        <f>IF(H46="","",H46)</f>
        <v/>
      </c>
      <c r="J47" s="7" t="n">
        <v>2</v>
      </c>
      <c r="K47" s="7" t="n"/>
      <c r="L47" s="40" t="n"/>
      <c r="M47">
        <f>IF(AND(L47&lt;&gt;"",N(I47)&gt;0,N(J47)&gt;0),IF(J47=1,I47,ROUND(I47*(1+J47/30),1)),"")</f>
        <v/>
      </c>
      <c r="N47" s="41">
        <f>IF(M47="","",IF(M47&gt;=PRs!C7,"PR!",""))</f>
        <v/>
      </c>
      <c r="O47" s="7" t="n"/>
    </row>
    <row r="48">
      <c r="C48" t="inlineStr">
        <is>
          <t xml:space="preserve">      Set 2</t>
        </is>
      </c>
      <c r="E48" t="n">
        <v>2</v>
      </c>
      <c r="H48" s="39">
        <f>IF(H46="","",H46)</f>
        <v/>
      </c>
      <c r="I48" s="7">
        <f>IF(H46="","",H46)</f>
        <v/>
      </c>
      <c r="J48" s="7" t="n">
        <v>2</v>
      </c>
      <c r="K48" s="7" t="n"/>
      <c r="L48" s="40" t="n"/>
      <c r="M48">
        <f>IF(AND(L48&lt;&gt;"",N(I48)&gt;0,N(J48)&gt;0),IF(J48=1,I48,ROUND(I48*(1+J48/30),1)),"")</f>
        <v/>
      </c>
      <c r="N48" s="41">
        <f>IF(M48="","",IF(M48&gt;=PRs!C7,"PR!",""))</f>
        <v/>
      </c>
      <c r="O48" s="7" t="n"/>
    </row>
    <row r="49">
      <c r="C49" t="inlineStr">
        <is>
          <t xml:space="preserve">      Set 3</t>
        </is>
      </c>
      <c r="E49" t="n">
        <v>2</v>
      </c>
      <c r="H49" s="39">
        <f>IF(H46="","",H46)</f>
        <v/>
      </c>
      <c r="I49" s="7">
        <f>IF(H46="","",H46)</f>
        <v/>
      </c>
      <c r="J49" s="7" t="n">
        <v>2</v>
      </c>
      <c r="K49" s="7" t="n"/>
      <c r="L49" s="40" t="n"/>
      <c r="M49">
        <f>IF(AND(L49&lt;&gt;"",N(I49)&gt;0,N(J49)&gt;0),IF(J49=1,I49,ROUND(I49*(1+J49/30),1)),"")</f>
        <v/>
      </c>
      <c r="N49" s="41">
        <f>IF(M49="","",IF(M49&gt;=PRs!C7,"PR!",""))</f>
        <v/>
      </c>
      <c r="O49" s="7" t="n"/>
    </row>
    <row r="50">
      <c r="C50" t="inlineStr">
        <is>
          <t xml:space="preserve">      Set 4</t>
        </is>
      </c>
      <c r="E50" t="n">
        <v>2</v>
      </c>
      <c r="H50" s="39">
        <f>IF(H46="","",H46)</f>
        <v/>
      </c>
      <c r="I50" s="7">
        <f>IF(H46="","",H46)</f>
        <v/>
      </c>
      <c r="J50" s="7" t="n">
        <v>2</v>
      </c>
      <c r="K50" s="7" t="n"/>
      <c r="L50" s="40" t="n"/>
      <c r="M50">
        <f>IF(AND(L50&lt;&gt;"",N(I50)&gt;0,N(J50)&gt;0),IF(J50=1,I50,ROUND(I50*(1+J50/30),1)),"")</f>
        <v/>
      </c>
      <c r="N50" s="41">
        <f>IF(M50="","",IF(M50&gt;=PRs!C7,"PR!",""))</f>
        <v/>
      </c>
      <c r="O50" s="7" t="n"/>
    </row>
    <row r="51">
      <c r="C51" t="inlineStr">
        <is>
          <t xml:space="preserve">      Set 5</t>
        </is>
      </c>
      <c r="E51" t="n">
        <v>2</v>
      </c>
      <c r="H51" s="39">
        <f>IF(H46="","",H46)</f>
        <v/>
      </c>
      <c r="I51" s="7">
        <f>IF(H46="","",H46)</f>
        <v/>
      </c>
      <c r="J51" s="7" t="n">
        <v>2</v>
      </c>
      <c r="K51" s="7" t="n"/>
      <c r="L51" s="40" t="n"/>
      <c r="M51">
        <f>IF(AND(L51&lt;&gt;"",N(I51)&gt;0,N(J51)&gt;0),IF(J51=1,I51,ROUND(I51*(1+J51/30),1)),"")</f>
        <v/>
      </c>
      <c r="N51" s="41">
        <f>IF(M51="","",IF(M51&gt;=PRs!C7,"PR!",""))</f>
        <v/>
      </c>
      <c r="O51" s="7" t="n"/>
    </row>
    <row r="52">
      <c r="A52" s="34" t="n"/>
      <c r="B52" s="34" t="n"/>
      <c r="C52" s="42" t="inlineStr">
        <is>
          <t>Squat</t>
        </is>
      </c>
      <c r="D52" s="34" t="inlineStr">
        <is>
          <t>4 x 5</t>
        </is>
      </c>
      <c r="E52" s="34" t="n"/>
      <c r="F52" s="34" t="n">
        <v>67.5</v>
      </c>
      <c r="G52" s="36">
        <f>Maxes!G2</f>
        <v/>
      </c>
      <c r="H52" s="37">
        <f>IF(OR(G52="",F52=""),"",MROUND(G52*F52/100,'Start Here'!$B$7))</f>
        <v/>
      </c>
      <c r="I52" s="34" t="n"/>
      <c r="J52" s="34" t="n"/>
      <c r="K52" s="34" t="n"/>
      <c r="L52" s="34" t="n"/>
      <c r="M52" s="34" t="n"/>
      <c r="N52" s="34" t="n"/>
      <c r="O52" s="38" t="inlineStr"/>
    </row>
    <row r="53">
      <c r="C53" t="inlineStr">
        <is>
          <t xml:space="preserve">      Set 1</t>
        </is>
      </c>
      <c r="E53" t="n">
        <v>5</v>
      </c>
      <c r="H53" s="39">
        <f>IF(H52="","",H52)</f>
        <v/>
      </c>
      <c r="I53" s="7">
        <f>IF(H52="","",H52)</f>
        <v/>
      </c>
      <c r="J53" s="7" t="n">
        <v>5</v>
      </c>
      <c r="K53" s="7" t="n"/>
      <c r="L53" s="40" t="n"/>
      <c r="M53">
        <f>IF(AND(L53&lt;&gt;"",N(I53)&gt;0,N(J53)&gt;0),IF(J53=1,I53,ROUND(I53*(1+J53/30),1)),"")</f>
        <v/>
      </c>
      <c r="N53" s="41">
        <f>IF(M53="","",IF(M53&gt;=PRs!C2,"PR!",""))</f>
        <v/>
      </c>
      <c r="O53" s="7" t="n"/>
    </row>
    <row r="54">
      <c r="C54" t="inlineStr">
        <is>
          <t xml:space="preserve">      Set 2</t>
        </is>
      </c>
      <c r="E54" t="n">
        <v>5</v>
      </c>
      <c r="H54" s="39">
        <f>IF(H52="","",H52)</f>
        <v/>
      </c>
      <c r="I54" s="7">
        <f>IF(H52="","",H52)</f>
        <v/>
      </c>
      <c r="J54" s="7" t="n">
        <v>5</v>
      </c>
      <c r="K54" s="7" t="n"/>
      <c r="L54" s="40" t="n"/>
      <c r="M54">
        <f>IF(AND(L54&lt;&gt;"",N(I54)&gt;0,N(J54)&gt;0),IF(J54=1,I54,ROUND(I54*(1+J54/30),1)),"")</f>
        <v/>
      </c>
      <c r="N54" s="41">
        <f>IF(M54="","",IF(M54&gt;=PRs!C2,"PR!",""))</f>
        <v/>
      </c>
      <c r="O54" s="7" t="n"/>
    </row>
    <row r="55">
      <c r="C55" t="inlineStr">
        <is>
          <t xml:space="preserve">      Set 3</t>
        </is>
      </c>
      <c r="E55" t="n">
        <v>5</v>
      </c>
      <c r="H55" s="39">
        <f>IF(H52="","",H52)</f>
        <v/>
      </c>
      <c r="I55" s="7">
        <f>IF(H52="","",H52)</f>
        <v/>
      </c>
      <c r="J55" s="7" t="n">
        <v>5</v>
      </c>
      <c r="K55" s="7" t="n"/>
      <c r="L55" s="40" t="n"/>
      <c r="M55">
        <f>IF(AND(L55&lt;&gt;"",N(I55)&gt;0,N(J55)&gt;0),IF(J55=1,I55,ROUND(I55*(1+J55/30),1)),"")</f>
        <v/>
      </c>
      <c r="N55" s="41">
        <f>IF(M55="","",IF(M55&gt;=PRs!C2,"PR!",""))</f>
        <v/>
      </c>
      <c r="O55" s="7" t="n"/>
    </row>
    <row r="56">
      <c r="C56" t="inlineStr">
        <is>
          <t xml:space="preserve">      Set 4</t>
        </is>
      </c>
      <c r="E56" t="n">
        <v>5</v>
      </c>
      <c r="H56" s="39">
        <f>IF(H52="","",H52)</f>
        <v/>
      </c>
      <c r="I56" s="7">
        <f>IF(H52="","",H52)</f>
        <v/>
      </c>
      <c r="J56" s="7" t="n">
        <v>5</v>
      </c>
      <c r="K56" s="7" t="n"/>
      <c r="L56" s="40" t="n"/>
      <c r="M56">
        <f>IF(AND(L56&lt;&gt;"",N(I56)&gt;0,N(J56)&gt;0),IF(J56=1,I56,ROUND(I56*(1+J56/30),1)),"")</f>
        <v/>
      </c>
      <c r="N56" s="41">
        <f>IF(M56="","",IF(M56&gt;=PRs!C2,"PR!",""))</f>
        <v/>
      </c>
      <c r="O56" s="7" t="n"/>
    </row>
    <row r="57">
      <c r="A57" s="34" t="n"/>
      <c r="B57" s="34" t="n"/>
      <c r="C57" s="42" t="inlineStr">
        <is>
          <t>Overhead Press</t>
        </is>
      </c>
      <c r="D57" s="34" t="inlineStr">
        <is>
          <t>4 x 5</t>
        </is>
      </c>
      <c r="E57" s="34" t="n"/>
      <c r="F57" s="34" t="n">
        <v>77.5</v>
      </c>
      <c r="G57" s="36">
        <f>Maxes!G5</f>
        <v/>
      </c>
      <c r="H57" s="37">
        <f>IF(OR(G57="",F57=""),"",MROUND(G57*F57/100,'Start Here'!$B$7))</f>
        <v/>
      </c>
      <c r="I57" s="34" t="n"/>
      <c r="J57" s="34" t="n"/>
      <c r="K57" s="34" t="n"/>
      <c r="L57" s="34" t="n"/>
      <c r="M57" s="34" t="n"/>
      <c r="N57" s="34" t="n"/>
      <c r="O57" s="38" t="inlineStr"/>
    </row>
    <row r="58">
      <c r="C58" t="inlineStr">
        <is>
          <t xml:space="preserve">      Set 1</t>
        </is>
      </c>
      <c r="E58" t="n">
        <v>5</v>
      </c>
      <c r="H58" s="39">
        <f>IF(H57="","",H57)</f>
        <v/>
      </c>
      <c r="I58" s="7">
        <f>IF(H57="","",H57)</f>
        <v/>
      </c>
      <c r="J58" s="7" t="n">
        <v>5</v>
      </c>
      <c r="K58" s="7" t="n"/>
      <c r="L58" s="40" t="n"/>
      <c r="M58">
        <f>IF(AND(L58&lt;&gt;"",N(I58)&gt;0,N(J58)&gt;0),IF(J58=1,I58,ROUND(I58*(1+J58/30),1)),"")</f>
        <v/>
      </c>
      <c r="N58" s="41">
        <f>IF(M58="","",IF(M58&gt;=PRs!C5,"PR!",""))</f>
        <v/>
      </c>
      <c r="O58" s="7" t="n"/>
    </row>
    <row r="59">
      <c r="C59" t="inlineStr">
        <is>
          <t xml:space="preserve">      Set 2</t>
        </is>
      </c>
      <c r="E59" t="n">
        <v>5</v>
      </c>
      <c r="H59" s="39">
        <f>IF(H57="","",H57)</f>
        <v/>
      </c>
      <c r="I59" s="7">
        <f>IF(H57="","",H57)</f>
        <v/>
      </c>
      <c r="J59" s="7" t="n">
        <v>5</v>
      </c>
      <c r="K59" s="7" t="n"/>
      <c r="L59" s="40" t="n"/>
      <c r="M59">
        <f>IF(AND(L59&lt;&gt;"",N(I59)&gt;0,N(J59)&gt;0),IF(J59=1,I59,ROUND(I59*(1+J59/30),1)),"")</f>
        <v/>
      </c>
      <c r="N59" s="41">
        <f>IF(M59="","",IF(M59&gt;=PRs!C5,"PR!",""))</f>
        <v/>
      </c>
      <c r="O59" s="7" t="n"/>
    </row>
    <row r="60">
      <c r="C60" t="inlineStr">
        <is>
          <t xml:space="preserve">      Set 3</t>
        </is>
      </c>
      <c r="E60" t="n">
        <v>5</v>
      </c>
      <c r="H60" s="39">
        <f>IF(H57="","",H57)</f>
        <v/>
      </c>
      <c r="I60" s="7">
        <f>IF(H57="","",H57)</f>
        <v/>
      </c>
      <c r="J60" s="7" t="n">
        <v>5</v>
      </c>
      <c r="K60" s="7" t="n"/>
      <c r="L60" s="40" t="n"/>
      <c r="M60">
        <f>IF(AND(L60&lt;&gt;"",N(I60)&gt;0,N(J60)&gt;0),IF(J60=1,I60,ROUND(I60*(1+J60/30),1)),"")</f>
        <v/>
      </c>
      <c r="N60" s="41">
        <f>IF(M60="","",IF(M60&gt;=PRs!C5,"PR!",""))</f>
        <v/>
      </c>
      <c r="O60" s="7" t="n"/>
    </row>
    <row r="61">
      <c r="C61" t="inlineStr">
        <is>
          <t xml:space="preserve">      Set 4</t>
        </is>
      </c>
      <c r="E61" t="n">
        <v>5</v>
      </c>
      <c r="H61" s="39">
        <f>IF(H57="","",H57)</f>
        <v/>
      </c>
      <c r="I61" s="7">
        <f>IF(H57="","",H57)</f>
        <v/>
      </c>
      <c r="J61" s="7" t="n">
        <v>5</v>
      </c>
      <c r="K61" s="7" t="n"/>
      <c r="L61" s="40" t="n"/>
      <c r="M61">
        <f>IF(AND(L61&lt;&gt;"",N(I61)&gt;0,N(J61)&gt;0),IF(J61=1,I61,ROUND(I61*(1+J61/30),1)),"")</f>
        <v/>
      </c>
      <c r="N61" s="41">
        <f>IF(M61="","",IF(M61&gt;=PRs!C5,"PR!",""))</f>
        <v/>
      </c>
      <c r="O61" s="7" t="n"/>
    </row>
    <row r="62">
      <c r="A62" s="34" t="n"/>
      <c r="B62" s="34" t="n"/>
      <c r="C62" s="42" t="inlineStr">
        <is>
          <t>Deadlift</t>
        </is>
      </c>
      <c r="D62" s="34" t="inlineStr">
        <is>
          <t>3 x 5</t>
        </is>
      </c>
      <c r="E62" s="34" t="n"/>
      <c r="F62" s="34" t="n">
        <v>77.5</v>
      </c>
      <c r="G62" s="36">
        <f>Maxes!G4</f>
        <v/>
      </c>
      <c r="H62" s="37">
        <f>IF(OR(G62="",F62=""),"",MROUND(G62*F62/100,'Start Here'!$B$7))</f>
        <v/>
      </c>
      <c r="I62" s="34" t="n"/>
      <c r="J62" s="34" t="n"/>
      <c r="K62" s="34" t="n"/>
      <c r="L62" s="34" t="n"/>
      <c r="M62" s="34" t="n"/>
      <c r="N62" s="34" t="n"/>
      <c r="O62" s="38" t="inlineStr"/>
    </row>
    <row r="63">
      <c r="C63" t="inlineStr">
        <is>
          <t xml:space="preserve">      Set 1</t>
        </is>
      </c>
      <c r="E63" t="n">
        <v>5</v>
      </c>
      <c r="H63" s="39">
        <f>IF(H62="","",H62)</f>
        <v/>
      </c>
      <c r="I63" s="7">
        <f>IF(H62="","",H62)</f>
        <v/>
      </c>
      <c r="J63" s="7" t="n">
        <v>5</v>
      </c>
      <c r="K63" s="7" t="n"/>
      <c r="L63" s="40" t="n"/>
      <c r="M63">
        <f>IF(AND(L63&lt;&gt;"",N(I63)&gt;0,N(J63)&gt;0),IF(J63=1,I63,ROUND(I63*(1+J63/30),1)),"")</f>
        <v/>
      </c>
      <c r="N63" s="41">
        <f>IF(M63="","",IF(M63&gt;=PRs!C4,"PR!",""))</f>
        <v/>
      </c>
      <c r="O63" s="7" t="n"/>
    </row>
    <row r="64">
      <c r="C64" t="inlineStr">
        <is>
          <t xml:space="preserve">      Set 2</t>
        </is>
      </c>
      <c r="E64" t="n">
        <v>5</v>
      </c>
      <c r="H64" s="39">
        <f>IF(H62="","",H62)</f>
        <v/>
      </c>
      <c r="I64" s="7">
        <f>IF(H62="","",H62)</f>
        <v/>
      </c>
      <c r="J64" s="7" t="n">
        <v>5</v>
      </c>
      <c r="K64" s="7" t="n"/>
      <c r="L64" s="40" t="n"/>
      <c r="M64">
        <f>IF(AND(L64&lt;&gt;"",N(I64)&gt;0,N(J64)&gt;0),IF(J64=1,I64,ROUND(I64*(1+J64/30),1)),"")</f>
        <v/>
      </c>
      <c r="N64" s="41">
        <f>IF(M64="","",IF(M64&gt;=PRs!C4,"PR!",""))</f>
        <v/>
      </c>
      <c r="O64" s="7" t="n"/>
    </row>
    <row r="65">
      <c r="C65" t="inlineStr">
        <is>
          <t xml:space="preserve">      Set 3</t>
        </is>
      </c>
      <c r="E65" t="n">
        <v>5</v>
      </c>
      <c r="H65" s="39">
        <f>IF(H62="","",H62)</f>
        <v/>
      </c>
      <c r="I65" s="7">
        <f>IF(H62="","",H62)</f>
        <v/>
      </c>
      <c r="J65" s="7" t="n">
        <v>5</v>
      </c>
      <c r="K65" s="7" t="n"/>
      <c r="L65" s="40" t="n"/>
      <c r="M65">
        <f>IF(AND(L65&lt;&gt;"",N(I65)&gt;0,N(J65)&gt;0),IF(J65=1,I65,ROUND(I65*(1+J65/30),1)),"")</f>
        <v/>
      </c>
      <c r="N65" s="41">
        <f>IF(M65="","",IF(M65&gt;=PRs!C4,"PR!",""))</f>
        <v/>
      </c>
      <c r="O65" s="7" t="n"/>
    </row>
    <row r="66">
      <c r="A66" s="34" t="n"/>
      <c r="B66" s="34" t="n"/>
      <c r="C66" s="43" t="inlineStr">
        <is>
          <t>Chin-up</t>
        </is>
      </c>
      <c r="D66" s="34" t="inlineStr">
        <is>
          <t>3 x 6-10</t>
        </is>
      </c>
      <c r="E66" s="34" t="n"/>
      <c r="F66" s="34" t="n"/>
      <c r="G66" s="36" t="n"/>
      <c r="H66" s="37" t="n"/>
      <c r="I66" s="34" t="n"/>
      <c r="J66" s="34" t="n"/>
      <c r="K66" s="34" t="n"/>
      <c r="L66" s="34" t="n"/>
      <c r="M66" s="34" t="n"/>
      <c r="N66" s="34" t="n"/>
      <c r="O66" s="38" t="inlineStr">
        <is>
          <t>Leave 1-2 reps in the tank; add weight when you hit the top of the range</t>
        </is>
      </c>
    </row>
    <row r="67">
      <c r="C67" t="inlineStr">
        <is>
          <t xml:space="preserve">      Set 1</t>
        </is>
      </c>
      <c r="E67" t="n">
        <v>6</v>
      </c>
      <c r="H67" s="39">
        <f>IF(H66="","",H66)</f>
        <v/>
      </c>
      <c r="I67" s="7">
        <f>IF(H66="","",H66)</f>
        <v/>
      </c>
      <c r="J67" s="7" t="n">
        <v>6</v>
      </c>
      <c r="K67" s="7" t="n"/>
      <c r="L67" s="40" t="n"/>
      <c r="M67">
        <f>IF(AND(L67&lt;&gt;"",N(I67)&gt;0,N(J67)&gt;0),IF(J67=1,I67,ROUND(I67*(1+J67/30),1)),"")</f>
        <v/>
      </c>
      <c r="N67" s="41">
        <f>IF(M67="","",IF(M67&gt;=PRs!C53,"PR!",""))</f>
        <v/>
      </c>
      <c r="O67" s="7" t="n"/>
    </row>
    <row r="68">
      <c r="C68" t="inlineStr">
        <is>
          <t xml:space="preserve">      Set 2</t>
        </is>
      </c>
      <c r="E68" t="n">
        <v>6</v>
      </c>
      <c r="H68" s="39">
        <f>IF(H66="","",H66)</f>
        <v/>
      </c>
      <c r="I68" s="7">
        <f>IF(H66="","",H66)</f>
        <v/>
      </c>
      <c r="J68" s="7" t="n">
        <v>6</v>
      </c>
      <c r="K68" s="7" t="n"/>
      <c r="L68" s="40" t="n"/>
      <c r="M68">
        <f>IF(AND(L68&lt;&gt;"",N(I68)&gt;0,N(J68)&gt;0),IF(J68=1,I68,ROUND(I68*(1+J68/30),1)),"")</f>
        <v/>
      </c>
      <c r="N68" s="41">
        <f>IF(M68="","",IF(M68&gt;=PRs!C53,"PR!",""))</f>
        <v/>
      </c>
      <c r="O68" s="7" t="n"/>
    </row>
    <row r="69">
      <c r="C69" t="inlineStr">
        <is>
          <t xml:space="preserve">      Set 3</t>
        </is>
      </c>
      <c r="E69" t="n">
        <v>6</v>
      </c>
      <c r="H69" s="39">
        <f>IF(H66="","",H66)</f>
        <v/>
      </c>
      <c r="I69" s="7">
        <f>IF(H66="","",H66)</f>
        <v/>
      </c>
      <c r="J69" s="7" t="n">
        <v>6</v>
      </c>
      <c r="K69" s="7" t="n"/>
      <c r="L69" s="40" t="n"/>
      <c r="M69">
        <f>IF(AND(L69&lt;&gt;"",N(I69)&gt;0,N(J69)&gt;0),IF(J69=1,I69,ROUND(I69*(1+J69/30),1)),"")</f>
        <v/>
      </c>
      <c r="N69" s="41">
        <f>IF(M69="","",IF(M69&gt;=PRs!C53,"PR!",""))</f>
        <v/>
      </c>
      <c r="O69" s="7" t="n"/>
    </row>
    <row r="70">
      <c r="A70" s="34" t="n"/>
      <c r="B70" s="34" t="n"/>
      <c r="C70" s="43" t="inlineStr">
        <is>
          <t>Plank</t>
        </is>
      </c>
      <c r="D70" s="34" t="inlineStr">
        <is>
          <t>3 x 30-60s</t>
        </is>
      </c>
      <c r="E70" s="34" t="n"/>
      <c r="F70" s="34" t="n"/>
      <c r="G70" s="36" t="n"/>
      <c r="H70" s="37" t="n"/>
      <c r="I70" s="34" t="n"/>
      <c r="J70" s="34" t="n"/>
      <c r="K70" s="34" t="n"/>
      <c r="L70" s="34" t="n"/>
      <c r="M70" s="34" t="n"/>
      <c r="N70" s="34" t="n"/>
      <c r="O70" s="38" t="inlineStr">
        <is>
          <t>Leave 1-2 reps in the tank; add weight when you hit the top of the range</t>
        </is>
      </c>
    </row>
    <row r="71">
      <c r="C71" t="inlineStr">
        <is>
          <t xml:space="preserve">      Set 1</t>
        </is>
      </c>
      <c r="E71" t="n">
        <v>30</v>
      </c>
      <c r="H71" s="39">
        <f>IF(H70="","",H70)</f>
        <v/>
      </c>
      <c r="I71" s="7">
        <f>IF(H70="","",H70)</f>
        <v/>
      </c>
      <c r="J71" s="7" t="n">
        <v>30</v>
      </c>
      <c r="K71" s="7" t="n"/>
      <c r="L71" s="40" t="n"/>
      <c r="M71">
        <f>IF(AND(L71&lt;&gt;"",N(I71)&gt;0,N(J71)&gt;0),IF(J71=1,I71,ROUND(I71*(1+J71/30),1)),"")</f>
        <v/>
      </c>
      <c r="N71" s="41">
        <f>IF(M71="","",IF(M71&gt;=PRs!C56,"PR!",""))</f>
        <v/>
      </c>
      <c r="O71" s="7" t="n"/>
    </row>
    <row r="72">
      <c r="C72" t="inlineStr">
        <is>
          <t xml:space="preserve">      Set 2</t>
        </is>
      </c>
      <c r="E72" t="n">
        <v>30</v>
      </c>
      <c r="H72" s="39">
        <f>IF(H70="","",H70)</f>
        <v/>
      </c>
      <c r="I72" s="7">
        <f>IF(H70="","",H70)</f>
        <v/>
      </c>
      <c r="J72" s="7" t="n">
        <v>30</v>
      </c>
      <c r="K72" s="7" t="n"/>
      <c r="L72" s="40" t="n"/>
      <c r="M72">
        <f>IF(AND(L72&lt;&gt;"",N(I72)&gt;0,N(J72)&gt;0),IF(J72=1,I72,ROUND(I72*(1+J72/30),1)),"")</f>
        <v/>
      </c>
      <c r="N72" s="41">
        <f>IF(M72="","",IF(M72&gt;=PRs!C56,"PR!",""))</f>
        <v/>
      </c>
      <c r="O72" s="7" t="n"/>
    </row>
    <row r="73">
      <c r="C73" t="inlineStr">
        <is>
          <t xml:space="preserve">      Set 3</t>
        </is>
      </c>
      <c r="E73" t="n">
        <v>30</v>
      </c>
      <c r="H73" s="39">
        <f>IF(H70="","",H70)</f>
        <v/>
      </c>
      <c r="I73" s="7">
        <f>IF(H70="","",H70)</f>
        <v/>
      </c>
      <c r="J73" s="7" t="n">
        <v>30</v>
      </c>
      <c r="K73" s="7" t="n"/>
      <c r="L73" s="40" t="n"/>
      <c r="M73">
        <f>IF(AND(L73&lt;&gt;"",N(I73)&gt;0,N(J73)&gt;0),IF(J73=1,I73,ROUND(I73*(1+J73/30),1)),"")</f>
        <v/>
      </c>
      <c r="N73" s="41">
        <f>IF(M73="","",IF(M73&gt;=PRs!C56,"PR!",""))</f>
        <v/>
      </c>
      <c r="O73" s="7" t="n"/>
    </row>
    <row r="74">
      <c r="A74" s="31" t="inlineStr">
        <is>
          <t>Day 3 - Variations</t>
        </is>
      </c>
      <c r="B74" s="32">
        <f>'Start Here'!$B$8+228</f>
        <v/>
      </c>
      <c r="C74" s="33" t="n"/>
      <c r="D74" s="33" t="n"/>
      <c r="E74" s="33" t="n"/>
      <c r="F74" s="33" t="n"/>
      <c r="G74" s="33" t="n"/>
      <c r="H74" s="33" t="n"/>
      <c r="I74" s="33" t="n"/>
      <c r="J74" s="33" t="n"/>
      <c r="K74" s="33" t="n"/>
      <c r="L74" s="33" t="n"/>
      <c r="M74" s="33" t="n"/>
      <c r="N74" s="33" t="n"/>
      <c r="O74" s="33" t="n"/>
    </row>
    <row r="75">
      <c r="A75" s="34" t="n"/>
      <c r="B75" s="34" t="n"/>
      <c r="C75" s="35" t="inlineStr">
        <is>
          <t>Vertical Jump</t>
        </is>
      </c>
      <c r="D75" s="34" t="inlineStr">
        <is>
          <t>3 x 2</t>
        </is>
      </c>
      <c r="E75" s="34" t="n"/>
      <c r="F75" s="34" t="n"/>
      <c r="G75" s="36" t="n"/>
      <c r="H75" s="37">
        <f>IF(N(Maxes!G71)&gt;0,Maxes!G71,"")</f>
        <v/>
      </c>
      <c r="I75" s="34" t="n"/>
      <c r="J75" s="34" t="n"/>
      <c r="K75" s="34" t="n"/>
      <c r="L75" s="34" t="n"/>
      <c r="M75" s="34" t="n"/>
      <c r="N75" s="34" t="n"/>
      <c r="O75" s="38" t="inlineStr">
        <is>
          <t>Stand side-on to a wall, reach up and mark it; jump and touch as high as you can. Log jump mark minus standing reach.</t>
        </is>
      </c>
    </row>
    <row r="76">
      <c r="C76" t="inlineStr">
        <is>
          <t xml:space="preserve">      Set 1</t>
        </is>
      </c>
      <c r="E76" t="n">
        <v>2</v>
      </c>
      <c r="H76" s="39">
        <f>IF(H75="","",H75)</f>
        <v/>
      </c>
      <c r="I76" s="7">
        <f>IF(H75="","",H75)</f>
        <v/>
      </c>
      <c r="J76" s="7" t="n">
        <v>2</v>
      </c>
      <c r="K76" s="7" t="n"/>
      <c r="L76" s="40" t="n"/>
      <c r="N76" s="41">
        <f>IF(AND(L76&lt;&gt;"",N(I76)&gt;0),IF(I76&gt;=PRs!D71,"PR!",""),"")</f>
        <v/>
      </c>
      <c r="O76" s="7" t="n"/>
    </row>
    <row r="77">
      <c r="C77" t="inlineStr">
        <is>
          <t xml:space="preserve">      Set 2</t>
        </is>
      </c>
      <c r="E77" t="n">
        <v>2</v>
      </c>
      <c r="H77" s="39">
        <f>IF(H75="","",H75)</f>
        <v/>
      </c>
      <c r="I77" s="7">
        <f>IF(H75="","",H75)</f>
        <v/>
      </c>
      <c r="J77" s="7" t="n">
        <v>2</v>
      </c>
      <c r="K77" s="7" t="n"/>
      <c r="L77" s="40" t="n"/>
      <c r="N77" s="41">
        <f>IF(AND(L77&lt;&gt;"",N(I77)&gt;0),IF(I77&gt;=PRs!D71,"PR!",""),"")</f>
        <v/>
      </c>
      <c r="O77" s="7" t="n"/>
    </row>
    <row r="78">
      <c r="C78" t="inlineStr">
        <is>
          <t xml:space="preserve">      Set 3</t>
        </is>
      </c>
      <c r="E78" t="n">
        <v>2</v>
      </c>
      <c r="H78" s="39">
        <f>IF(H75="","",H75)</f>
        <v/>
      </c>
      <c r="I78" s="7">
        <f>IF(H75="","",H75)</f>
        <v/>
      </c>
      <c r="J78" s="7" t="n">
        <v>2</v>
      </c>
      <c r="K78" s="7" t="n"/>
      <c r="L78" s="40" t="n"/>
      <c r="N78" s="41">
        <f>IF(AND(L78&lt;&gt;"",N(I78)&gt;0),IF(I78&gt;=PRs!D71,"PR!",""),"")</f>
        <v/>
      </c>
      <c r="O78" s="7" t="n"/>
    </row>
    <row r="79">
      <c r="A79" s="34" t="n"/>
      <c r="B79" s="34" t="n"/>
      <c r="C79" s="42" t="inlineStr">
        <is>
          <t>Power Snatch</t>
        </is>
      </c>
      <c r="D79" s="34" t="inlineStr">
        <is>
          <t>4 x 3</t>
        </is>
      </c>
      <c r="E79" s="34" t="n"/>
      <c r="F79" s="34" t="n">
        <v>77.5</v>
      </c>
      <c r="G79" s="36">
        <f>Maxes!G34</f>
        <v/>
      </c>
      <c r="H79" s="37">
        <f>IF(OR(G79="",F79=""),"",MROUND(G79*F79/100,'Start Here'!$B$7))</f>
        <v/>
      </c>
      <c r="I79" s="34" t="n"/>
      <c r="J79" s="34" t="n"/>
      <c r="K79" s="34" t="n"/>
      <c r="L79" s="34" t="n"/>
      <c r="M79" s="34" t="n"/>
      <c r="N79" s="34" t="n"/>
      <c r="O79" s="38" t="inlineStr"/>
    </row>
    <row r="80">
      <c r="C80" t="inlineStr">
        <is>
          <t xml:space="preserve">      Set 1</t>
        </is>
      </c>
      <c r="E80" t="n">
        <v>3</v>
      </c>
      <c r="H80" s="39">
        <f>IF(H79="","",H79)</f>
        <v/>
      </c>
      <c r="I80" s="7">
        <f>IF(H79="","",H79)</f>
        <v/>
      </c>
      <c r="J80" s="7" t="n">
        <v>3</v>
      </c>
      <c r="K80" s="7" t="n"/>
      <c r="L80" s="40" t="n"/>
      <c r="M80">
        <f>IF(AND(L80&lt;&gt;"",N(I80)&gt;0,N(J80)&gt;0),IF(J80=1,I80,ROUND(I80*(1+J80/30),1)),"")</f>
        <v/>
      </c>
      <c r="N80" s="41">
        <f>IF(M80="","",IF(M80&gt;=PRs!C34,"PR!",""))</f>
        <v/>
      </c>
      <c r="O80" s="7" t="n"/>
    </row>
    <row r="81">
      <c r="C81" t="inlineStr">
        <is>
          <t xml:space="preserve">      Set 2</t>
        </is>
      </c>
      <c r="E81" t="n">
        <v>3</v>
      </c>
      <c r="H81" s="39">
        <f>IF(H79="","",H79)</f>
        <v/>
      </c>
      <c r="I81" s="7">
        <f>IF(H79="","",H79)</f>
        <v/>
      </c>
      <c r="J81" s="7" t="n">
        <v>3</v>
      </c>
      <c r="K81" s="7" t="n"/>
      <c r="L81" s="40" t="n"/>
      <c r="M81">
        <f>IF(AND(L81&lt;&gt;"",N(I81)&gt;0,N(J81)&gt;0),IF(J81=1,I81,ROUND(I81*(1+J81/30),1)),"")</f>
        <v/>
      </c>
      <c r="N81" s="41">
        <f>IF(M81="","",IF(M81&gt;=PRs!C34,"PR!",""))</f>
        <v/>
      </c>
      <c r="O81" s="7" t="n"/>
    </row>
    <row r="82">
      <c r="C82" t="inlineStr">
        <is>
          <t xml:space="preserve">      Set 3</t>
        </is>
      </c>
      <c r="E82" t="n">
        <v>3</v>
      </c>
      <c r="H82" s="39">
        <f>IF(H79="","",H79)</f>
        <v/>
      </c>
      <c r="I82" s="7">
        <f>IF(H79="","",H79)</f>
        <v/>
      </c>
      <c r="J82" s="7" t="n">
        <v>3</v>
      </c>
      <c r="K82" s="7" t="n"/>
      <c r="L82" s="40" t="n"/>
      <c r="M82">
        <f>IF(AND(L82&lt;&gt;"",N(I82)&gt;0,N(J82)&gt;0),IF(J82=1,I82,ROUND(I82*(1+J82/30),1)),"")</f>
        <v/>
      </c>
      <c r="N82" s="41">
        <f>IF(M82="","",IF(M82&gt;=PRs!C34,"PR!",""))</f>
        <v/>
      </c>
      <c r="O82" s="7" t="n"/>
    </row>
    <row r="83">
      <c r="C83" t="inlineStr">
        <is>
          <t xml:space="preserve">      Set 4</t>
        </is>
      </c>
      <c r="E83" t="n">
        <v>3</v>
      </c>
      <c r="H83" s="39">
        <f>IF(H79="","",H79)</f>
        <v/>
      </c>
      <c r="I83" s="7">
        <f>IF(H79="","",H79)</f>
        <v/>
      </c>
      <c r="J83" s="7" t="n">
        <v>3</v>
      </c>
      <c r="K83" s="7" t="n"/>
      <c r="L83" s="40" t="n"/>
      <c r="M83">
        <f>IF(AND(L83&lt;&gt;"",N(I83)&gt;0,N(J83)&gt;0),IF(J83=1,I83,ROUND(I83*(1+J83/30),1)),"")</f>
        <v/>
      </c>
      <c r="N83" s="41">
        <f>IF(M83="","",IF(M83&gt;=PRs!C34,"PR!",""))</f>
        <v/>
      </c>
      <c r="O83" s="7" t="n"/>
    </row>
    <row r="84">
      <c r="A84" s="34" t="n"/>
      <c r="B84" s="34" t="n"/>
      <c r="C84" s="42" t="inlineStr">
        <is>
          <t>Safety Bar Squat</t>
        </is>
      </c>
      <c r="D84" s="34" t="inlineStr">
        <is>
          <t>4 x 5</t>
        </is>
      </c>
      <c r="E84" s="34" t="n"/>
      <c r="F84" s="34" t="n">
        <v>77.5</v>
      </c>
      <c r="G84" s="36">
        <f>Maxes!G11</f>
        <v/>
      </c>
      <c r="H84" s="37">
        <f>IF(OR(G84="",F84=""),"",MROUND(G84*F84/100,'Start Here'!$B$7))</f>
        <v/>
      </c>
      <c r="I84" s="34" t="n"/>
      <c r="J84" s="34" t="n"/>
      <c r="K84" s="34" t="n"/>
      <c r="L84" s="34" t="n"/>
      <c r="M84" s="34" t="n"/>
      <c r="N84" s="34" t="n"/>
      <c r="O84" s="38" t="inlineStr"/>
    </row>
    <row r="85">
      <c r="C85" t="inlineStr">
        <is>
          <t xml:space="preserve">      Set 1</t>
        </is>
      </c>
      <c r="E85" t="n">
        <v>5</v>
      </c>
      <c r="H85" s="39">
        <f>IF(H84="","",H84)</f>
        <v/>
      </c>
      <c r="I85" s="7">
        <f>IF(H84="","",H84)</f>
        <v/>
      </c>
      <c r="J85" s="7" t="n">
        <v>5</v>
      </c>
      <c r="K85" s="7" t="n"/>
      <c r="L85" s="40" t="n"/>
      <c r="M85">
        <f>IF(AND(L85&lt;&gt;"",N(I85)&gt;0,N(J85)&gt;0),IF(J85=1,I85,ROUND(I85*(1+J85/30),1)),"")</f>
        <v/>
      </c>
      <c r="N85" s="41">
        <f>IF(M85="","",IF(M85&gt;=PRs!C11,"PR!",""))</f>
        <v/>
      </c>
      <c r="O85" s="7" t="n"/>
    </row>
    <row r="86">
      <c r="C86" t="inlineStr">
        <is>
          <t xml:space="preserve">      Set 2</t>
        </is>
      </c>
      <c r="E86" t="n">
        <v>5</v>
      </c>
      <c r="H86" s="39">
        <f>IF(H84="","",H84)</f>
        <v/>
      </c>
      <c r="I86" s="7">
        <f>IF(H84="","",H84)</f>
        <v/>
      </c>
      <c r="J86" s="7" t="n">
        <v>5</v>
      </c>
      <c r="K86" s="7" t="n"/>
      <c r="L86" s="40" t="n"/>
      <c r="M86">
        <f>IF(AND(L86&lt;&gt;"",N(I86)&gt;0,N(J86)&gt;0),IF(J86=1,I86,ROUND(I86*(1+J86/30),1)),"")</f>
        <v/>
      </c>
      <c r="N86" s="41">
        <f>IF(M86="","",IF(M86&gt;=PRs!C11,"PR!",""))</f>
        <v/>
      </c>
      <c r="O86" s="7" t="n"/>
    </row>
    <row r="87">
      <c r="C87" t="inlineStr">
        <is>
          <t xml:space="preserve">      Set 3</t>
        </is>
      </c>
      <c r="E87" t="n">
        <v>5</v>
      </c>
      <c r="H87" s="39">
        <f>IF(H84="","",H84)</f>
        <v/>
      </c>
      <c r="I87" s="7">
        <f>IF(H84="","",H84)</f>
        <v/>
      </c>
      <c r="J87" s="7" t="n">
        <v>5</v>
      </c>
      <c r="K87" s="7" t="n"/>
      <c r="L87" s="40" t="n"/>
      <c r="M87">
        <f>IF(AND(L87&lt;&gt;"",N(I87)&gt;0,N(J87)&gt;0),IF(J87=1,I87,ROUND(I87*(1+J87/30),1)),"")</f>
        <v/>
      </c>
      <c r="N87" s="41">
        <f>IF(M87="","",IF(M87&gt;=PRs!C11,"PR!",""))</f>
        <v/>
      </c>
      <c r="O87" s="7" t="n"/>
    </row>
    <row r="88">
      <c r="C88" t="inlineStr">
        <is>
          <t xml:space="preserve">      Set 4</t>
        </is>
      </c>
      <c r="E88" t="n">
        <v>5</v>
      </c>
      <c r="H88" s="39">
        <f>IF(H84="","",H84)</f>
        <v/>
      </c>
      <c r="I88" s="7">
        <f>IF(H84="","",H84)</f>
        <v/>
      </c>
      <c r="J88" s="7" t="n">
        <v>5</v>
      </c>
      <c r="K88" s="7" t="n"/>
      <c r="L88" s="40" t="n"/>
      <c r="M88">
        <f>IF(AND(L88&lt;&gt;"",N(I88)&gt;0,N(J88)&gt;0),IF(J88=1,I88,ROUND(I88*(1+J88/30),1)),"")</f>
        <v/>
      </c>
      <c r="N88" s="41">
        <f>IF(M88="","",IF(M88&gt;=PRs!C11,"PR!",""))</f>
        <v/>
      </c>
      <c r="O88" s="7" t="n"/>
    </row>
    <row r="89">
      <c r="A89" s="34" t="n"/>
      <c r="B89" s="34" t="n"/>
      <c r="C89" s="42" t="inlineStr">
        <is>
          <t>2-Board Press</t>
        </is>
      </c>
      <c r="D89" s="34" t="inlineStr">
        <is>
          <t>4 x 5</t>
        </is>
      </c>
      <c r="E89" s="34" t="n"/>
      <c r="F89" s="34" t="n">
        <v>77.5</v>
      </c>
      <c r="G89" s="36">
        <f>Maxes!G16</f>
        <v/>
      </c>
      <c r="H89" s="37">
        <f>IF(OR(G89="",F89=""),"",MROUND(G89*F89/100,'Start Here'!$B$7))</f>
        <v/>
      </c>
      <c r="I89" s="34" t="n"/>
      <c r="J89" s="34" t="n"/>
      <c r="K89" s="34" t="n"/>
      <c r="L89" s="34" t="n"/>
      <c r="M89" s="34" t="n"/>
      <c r="N89" s="34" t="n"/>
      <c r="O89" s="38" t="inlineStr"/>
    </row>
    <row r="90">
      <c r="C90" t="inlineStr">
        <is>
          <t xml:space="preserve">      Set 1</t>
        </is>
      </c>
      <c r="E90" t="n">
        <v>5</v>
      </c>
      <c r="H90" s="39">
        <f>IF(H89="","",H89)</f>
        <v/>
      </c>
      <c r="I90" s="7">
        <f>IF(H89="","",H89)</f>
        <v/>
      </c>
      <c r="J90" s="7" t="n">
        <v>5</v>
      </c>
      <c r="K90" s="7" t="n"/>
      <c r="L90" s="40" t="n"/>
      <c r="M90">
        <f>IF(AND(L90&lt;&gt;"",N(I90)&gt;0,N(J90)&gt;0),IF(J90=1,I90,ROUND(I90*(1+J90/30),1)),"")</f>
        <v/>
      </c>
      <c r="N90" s="41">
        <f>IF(M90="","",IF(M90&gt;=PRs!C16,"PR!",""))</f>
        <v/>
      </c>
      <c r="O90" s="7" t="n"/>
    </row>
    <row r="91">
      <c r="C91" t="inlineStr">
        <is>
          <t xml:space="preserve">      Set 2</t>
        </is>
      </c>
      <c r="E91" t="n">
        <v>5</v>
      </c>
      <c r="H91" s="39">
        <f>IF(H89="","",H89)</f>
        <v/>
      </c>
      <c r="I91" s="7">
        <f>IF(H89="","",H89)</f>
        <v/>
      </c>
      <c r="J91" s="7" t="n">
        <v>5</v>
      </c>
      <c r="K91" s="7" t="n"/>
      <c r="L91" s="40" t="n"/>
      <c r="M91">
        <f>IF(AND(L91&lt;&gt;"",N(I91)&gt;0,N(J91)&gt;0),IF(J91=1,I91,ROUND(I91*(1+J91/30),1)),"")</f>
        <v/>
      </c>
      <c r="N91" s="41">
        <f>IF(M91="","",IF(M91&gt;=PRs!C16,"PR!",""))</f>
        <v/>
      </c>
      <c r="O91" s="7" t="n"/>
    </row>
    <row r="92">
      <c r="C92" t="inlineStr">
        <is>
          <t xml:space="preserve">      Set 3</t>
        </is>
      </c>
      <c r="E92" t="n">
        <v>5</v>
      </c>
      <c r="H92" s="39">
        <f>IF(H89="","",H89)</f>
        <v/>
      </c>
      <c r="I92" s="7">
        <f>IF(H89="","",H89)</f>
        <v/>
      </c>
      <c r="J92" s="7" t="n">
        <v>5</v>
      </c>
      <c r="K92" s="7" t="n"/>
      <c r="L92" s="40" t="n"/>
      <c r="M92">
        <f>IF(AND(L92&lt;&gt;"",N(I92)&gt;0,N(J92)&gt;0),IF(J92=1,I92,ROUND(I92*(1+J92/30),1)),"")</f>
        <v/>
      </c>
      <c r="N92" s="41">
        <f>IF(M92="","",IF(M92&gt;=PRs!C16,"PR!",""))</f>
        <v/>
      </c>
      <c r="O92" s="7" t="n"/>
    </row>
    <row r="93">
      <c r="C93" t="inlineStr">
        <is>
          <t xml:space="preserve">      Set 4</t>
        </is>
      </c>
      <c r="E93" t="n">
        <v>5</v>
      </c>
      <c r="H93" s="39">
        <f>IF(H89="","",H89)</f>
        <v/>
      </c>
      <c r="I93" s="7">
        <f>IF(H89="","",H89)</f>
        <v/>
      </c>
      <c r="J93" s="7" t="n">
        <v>5</v>
      </c>
      <c r="K93" s="7" t="n"/>
      <c r="L93" s="40" t="n"/>
      <c r="M93">
        <f>IF(AND(L93&lt;&gt;"",N(I93)&gt;0,N(J93)&gt;0),IF(J93=1,I93,ROUND(I93*(1+J93/30),1)),"")</f>
        <v/>
      </c>
      <c r="N93" s="41">
        <f>IF(M93="","",IF(M93&gt;=PRs!C16,"PR!",""))</f>
        <v/>
      </c>
      <c r="O93" s="7" t="n"/>
    </row>
    <row r="94">
      <c r="A94" s="34" t="n"/>
      <c r="B94" s="34" t="n"/>
      <c r="C94" s="42" t="inlineStr">
        <is>
          <t>Romanian Deadlift</t>
        </is>
      </c>
      <c r="D94" s="34" t="inlineStr">
        <is>
          <t>4 x 5</t>
        </is>
      </c>
      <c r="E94" s="34" t="n"/>
      <c r="F94" s="34" t="n">
        <v>67.5</v>
      </c>
      <c r="G94" s="36">
        <f>Maxes!G23</f>
        <v/>
      </c>
      <c r="H94" s="37">
        <f>IF(OR(G94="",F94=""),"",MROUND(G94*F94/100,'Start Here'!$B$7))</f>
        <v/>
      </c>
      <c r="I94" s="34" t="n"/>
      <c r="J94" s="34" t="n"/>
      <c r="K94" s="34" t="n"/>
      <c r="L94" s="34" t="n"/>
      <c r="M94" s="34" t="n"/>
      <c r="N94" s="34" t="n"/>
      <c r="O94" s="38" t="inlineStr"/>
    </row>
    <row r="95">
      <c r="C95" t="inlineStr">
        <is>
          <t xml:space="preserve">      Set 1</t>
        </is>
      </c>
      <c r="E95" t="n">
        <v>5</v>
      </c>
      <c r="H95" s="39">
        <f>IF(H94="","",H94)</f>
        <v/>
      </c>
      <c r="I95" s="7">
        <f>IF(H94="","",H94)</f>
        <v/>
      </c>
      <c r="J95" s="7" t="n">
        <v>5</v>
      </c>
      <c r="K95" s="7" t="n"/>
      <c r="L95" s="40" t="n"/>
      <c r="M95">
        <f>IF(AND(L95&lt;&gt;"",N(I95)&gt;0,N(J95)&gt;0),IF(J95=1,I95,ROUND(I95*(1+J95/30),1)),"")</f>
        <v/>
      </c>
      <c r="N95" s="41">
        <f>IF(M95="","",IF(M95&gt;=PRs!C23,"PR!",""))</f>
        <v/>
      </c>
      <c r="O95" s="7" t="n"/>
    </row>
    <row r="96">
      <c r="C96" t="inlineStr">
        <is>
          <t xml:space="preserve">      Set 2</t>
        </is>
      </c>
      <c r="E96" t="n">
        <v>5</v>
      </c>
      <c r="H96" s="39">
        <f>IF(H94="","",H94)</f>
        <v/>
      </c>
      <c r="I96" s="7">
        <f>IF(H94="","",H94)</f>
        <v/>
      </c>
      <c r="J96" s="7" t="n">
        <v>5</v>
      </c>
      <c r="K96" s="7" t="n"/>
      <c r="L96" s="40" t="n"/>
      <c r="M96">
        <f>IF(AND(L96&lt;&gt;"",N(I96)&gt;0,N(J96)&gt;0),IF(J96=1,I96,ROUND(I96*(1+J96/30),1)),"")</f>
        <v/>
      </c>
      <c r="N96" s="41">
        <f>IF(M96="","",IF(M96&gt;=PRs!C23,"PR!",""))</f>
        <v/>
      </c>
      <c r="O96" s="7" t="n"/>
    </row>
    <row r="97">
      <c r="C97" t="inlineStr">
        <is>
          <t xml:space="preserve">      Set 3</t>
        </is>
      </c>
      <c r="E97" t="n">
        <v>5</v>
      </c>
      <c r="H97" s="39">
        <f>IF(H94="","",H94)</f>
        <v/>
      </c>
      <c r="I97" s="7">
        <f>IF(H94="","",H94)</f>
        <v/>
      </c>
      <c r="J97" s="7" t="n">
        <v>5</v>
      </c>
      <c r="K97" s="7" t="n"/>
      <c r="L97" s="40" t="n"/>
      <c r="M97">
        <f>IF(AND(L97&lt;&gt;"",N(I97)&gt;0,N(J97)&gt;0),IF(J97=1,I97,ROUND(I97*(1+J97/30),1)),"")</f>
        <v/>
      </c>
      <c r="N97" s="41">
        <f>IF(M97="","",IF(M97&gt;=PRs!C23,"PR!",""))</f>
        <v/>
      </c>
      <c r="O97" s="7" t="n"/>
    </row>
    <row r="98">
      <c r="C98" t="inlineStr">
        <is>
          <t xml:space="preserve">      Set 4</t>
        </is>
      </c>
      <c r="E98" t="n">
        <v>5</v>
      </c>
      <c r="H98" s="39">
        <f>IF(H94="","",H94)</f>
        <v/>
      </c>
      <c r="I98" s="7">
        <f>IF(H94="","",H94)</f>
        <v/>
      </c>
      <c r="J98" s="7" t="n">
        <v>5</v>
      </c>
      <c r="K98" s="7" t="n"/>
      <c r="L98" s="40" t="n"/>
      <c r="M98">
        <f>IF(AND(L98&lt;&gt;"",N(I98)&gt;0,N(J98)&gt;0),IF(J98=1,I98,ROUND(I98*(1+J98/30),1)),"")</f>
        <v/>
      </c>
      <c r="N98" s="41">
        <f>IF(M98="","",IF(M98&gt;=PRs!C23,"PR!",""))</f>
        <v/>
      </c>
      <c r="O98" s="7" t="n"/>
    </row>
    <row r="99">
      <c r="A99" s="34" t="n"/>
      <c r="B99" s="34" t="n"/>
      <c r="C99" s="43" t="inlineStr">
        <is>
          <t>Incline Dumbbell Press</t>
        </is>
      </c>
      <c r="D99" s="34" t="inlineStr">
        <is>
          <t>3 x 8-12</t>
        </is>
      </c>
      <c r="E99" s="34" t="n"/>
      <c r="F99" s="34" t="n"/>
      <c r="G99" s="36" t="n"/>
      <c r="H99" s="37" t="n"/>
      <c r="I99" s="34" t="n"/>
      <c r="J99" s="34" t="n"/>
      <c r="K99" s="34" t="n"/>
      <c r="L99" s="34" t="n"/>
      <c r="M99" s="34" t="n"/>
      <c r="N99" s="34" t="n"/>
      <c r="O99" s="38" t="inlineStr">
        <is>
          <t>Leave 1-2 reps in the tank; add weight when you hit the top of the range</t>
        </is>
      </c>
    </row>
    <row r="100">
      <c r="C100" t="inlineStr">
        <is>
          <t xml:space="preserve">      Set 1</t>
        </is>
      </c>
      <c r="E100" t="n">
        <v>8</v>
      </c>
      <c r="H100" s="39">
        <f>IF(H99="","",H99)</f>
        <v/>
      </c>
      <c r="I100" s="7">
        <f>IF(H99="","",H99)</f>
        <v/>
      </c>
      <c r="J100" s="7" t="n">
        <v>8</v>
      </c>
      <c r="K100" s="7" t="n"/>
      <c r="L100" s="40" t="n"/>
      <c r="M100">
        <f>IF(AND(L100&lt;&gt;"",N(I100)&gt;0,N(J100)&gt;0),IF(J100=1,I100,ROUND(I100*(1+J100/30),1)),"")</f>
        <v/>
      </c>
      <c r="N100" s="41">
        <f>IF(M100="","",IF(M100&gt;=PRs!C57,"PR!",""))</f>
        <v/>
      </c>
      <c r="O100" s="7" t="n"/>
    </row>
    <row r="101">
      <c r="C101" t="inlineStr">
        <is>
          <t xml:space="preserve">      Set 2</t>
        </is>
      </c>
      <c r="E101" t="n">
        <v>8</v>
      </c>
      <c r="H101" s="39">
        <f>IF(H99="","",H99)</f>
        <v/>
      </c>
      <c r="I101" s="7">
        <f>IF(H99="","",H99)</f>
        <v/>
      </c>
      <c r="J101" s="7" t="n">
        <v>8</v>
      </c>
      <c r="K101" s="7" t="n"/>
      <c r="L101" s="40" t="n"/>
      <c r="M101">
        <f>IF(AND(L101&lt;&gt;"",N(I101)&gt;0,N(J101)&gt;0),IF(J101=1,I101,ROUND(I101*(1+J101/30),1)),"")</f>
        <v/>
      </c>
      <c r="N101" s="41">
        <f>IF(M101="","",IF(M101&gt;=PRs!C57,"PR!",""))</f>
        <v/>
      </c>
      <c r="O101" s="7" t="n"/>
    </row>
    <row r="102">
      <c r="C102" t="inlineStr">
        <is>
          <t xml:space="preserve">      Set 3</t>
        </is>
      </c>
      <c r="E102" t="n">
        <v>8</v>
      </c>
      <c r="H102" s="39">
        <f>IF(H99="","",H99)</f>
        <v/>
      </c>
      <c r="I102" s="7">
        <f>IF(H99="","",H99)</f>
        <v/>
      </c>
      <c r="J102" s="7" t="n">
        <v>8</v>
      </c>
      <c r="K102" s="7" t="n"/>
      <c r="L102" s="40" t="n"/>
      <c r="M102">
        <f>IF(AND(L102&lt;&gt;"",N(I102)&gt;0,N(J102)&gt;0),IF(J102=1,I102,ROUND(I102*(1+J102/30),1)),"")</f>
        <v/>
      </c>
      <c r="N102" s="41">
        <f>IF(M102="","",IF(M102&gt;=PRs!C57,"PR!",""))</f>
        <v/>
      </c>
      <c r="O102" s="7" t="n"/>
    </row>
    <row r="103">
      <c r="A103" s="34" t="n"/>
      <c r="B103" s="34" t="n"/>
      <c r="C103" s="43" t="inlineStr">
        <is>
          <t>Triceps Pushdown</t>
        </is>
      </c>
      <c r="D103" s="34" t="inlineStr">
        <is>
          <t>3 x 10-15</t>
        </is>
      </c>
      <c r="E103" s="34" t="n"/>
      <c r="F103" s="34" t="n"/>
      <c r="G103" s="36" t="n"/>
      <c r="H103" s="37" t="n"/>
      <c r="I103" s="34" t="n"/>
      <c r="J103" s="34" t="n"/>
      <c r="K103" s="34" t="n"/>
      <c r="L103" s="34" t="n"/>
      <c r="M103" s="34" t="n"/>
      <c r="N103" s="34" t="n"/>
      <c r="O103" s="38" t="inlineStr">
        <is>
          <t>Leave 1-2 reps in the tank; add weight when you hit the top of the range</t>
        </is>
      </c>
    </row>
    <row r="104">
      <c r="C104" t="inlineStr">
        <is>
          <t xml:space="preserve">      Set 1</t>
        </is>
      </c>
      <c r="E104" t="n">
        <v>10</v>
      </c>
      <c r="H104" s="39">
        <f>IF(H103="","",H103)</f>
        <v/>
      </c>
      <c r="I104" s="7">
        <f>IF(H103="","",H103)</f>
        <v/>
      </c>
      <c r="J104" s="7" t="n">
        <v>10</v>
      </c>
      <c r="K104" s="7" t="n"/>
      <c r="L104" s="40" t="n"/>
      <c r="M104">
        <f>IF(AND(L104&lt;&gt;"",N(I104)&gt;0,N(J104)&gt;0),IF(J104=1,I104,ROUND(I104*(1+J104/30),1)),"")</f>
        <v/>
      </c>
      <c r="N104" s="41">
        <f>IF(M104="","",IF(M104&gt;=PRs!C59,"PR!",""))</f>
        <v/>
      </c>
      <c r="O104" s="7" t="n"/>
    </row>
    <row r="105">
      <c r="C105" t="inlineStr">
        <is>
          <t xml:space="preserve">      Set 2</t>
        </is>
      </c>
      <c r="E105" t="n">
        <v>10</v>
      </c>
      <c r="H105" s="39">
        <f>IF(H103="","",H103)</f>
        <v/>
      </c>
      <c r="I105" s="7">
        <f>IF(H103="","",H103)</f>
        <v/>
      </c>
      <c r="J105" s="7" t="n">
        <v>10</v>
      </c>
      <c r="K105" s="7" t="n"/>
      <c r="L105" s="40" t="n"/>
      <c r="M105">
        <f>IF(AND(L105&lt;&gt;"",N(I105)&gt;0,N(J105)&gt;0),IF(J105=1,I105,ROUND(I105*(1+J105/30),1)),"")</f>
        <v/>
      </c>
      <c r="N105" s="41">
        <f>IF(M105="","",IF(M105&gt;=PRs!C59,"PR!",""))</f>
        <v/>
      </c>
      <c r="O105" s="7" t="n"/>
    </row>
    <row r="106">
      <c r="C106" t="inlineStr">
        <is>
          <t xml:space="preserve">      Set 3</t>
        </is>
      </c>
      <c r="E106" t="n">
        <v>10</v>
      </c>
      <c r="H106" s="39">
        <f>IF(H103="","",H103)</f>
        <v/>
      </c>
      <c r="I106" s="7">
        <f>IF(H103="","",H103)</f>
        <v/>
      </c>
      <c r="J106" s="7" t="n">
        <v>10</v>
      </c>
      <c r="K106" s="7" t="n"/>
      <c r="L106" s="40" t="n"/>
      <c r="M106">
        <f>IF(AND(L106&lt;&gt;"",N(I106)&gt;0,N(J106)&gt;0),IF(J106=1,I106,ROUND(I106*(1+J106/30),1)),"")</f>
        <v/>
      </c>
      <c r="N106" s="41">
        <f>IF(M106="","",IF(M106&gt;=PRs!C59,"PR!",""))</f>
        <v/>
      </c>
      <c r="O106" s="7" t="n"/>
    </row>
    <row r="108">
      <c r="A108" s="54" t="inlineStr">
        <is>
          <t>WEEK 34 - CYCLE 3 - REALIZATION</t>
        </is>
      </c>
      <c r="B108" s="55" t="n"/>
      <c r="C108" s="55" t="n"/>
      <c r="D108" s="55" t="n"/>
      <c r="E108" s="55" t="n"/>
      <c r="F108" s="55" t="n"/>
      <c r="G108" s="55" t="n"/>
      <c r="H108" s="56" t="inlineStr">
        <is>
          <t>Bodyweight:</t>
        </is>
      </c>
      <c r="I108" s="7" t="n"/>
      <c r="J108" s="55" t="n"/>
      <c r="K108" s="55" t="n"/>
      <c r="L108" s="55" t="n"/>
      <c r="M108" s="55" t="n"/>
      <c r="N108" s="55" t="n"/>
      <c r="O108" s="55" t="n"/>
    </row>
    <row r="109">
      <c r="A109" s="31" t="inlineStr">
        <is>
          <t>Day 1 - Heavy</t>
        </is>
      </c>
      <c r="B109" s="32">
        <f>'Start Here'!$B$8+231</f>
        <v/>
      </c>
      <c r="C109" s="33" t="n"/>
      <c r="D109" s="33" t="n"/>
      <c r="E109" s="33" t="n"/>
      <c r="F109" s="33" t="n"/>
      <c r="G109" s="33" t="n"/>
      <c r="H109" s="33" t="n"/>
      <c r="I109" s="33" t="n"/>
      <c r="J109" s="33" t="n"/>
      <c r="K109" s="33" t="n"/>
      <c r="L109" s="33" t="n"/>
      <c r="M109" s="33" t="n"/>
      <c r="N109" s="33" t="n"/>
      <c r="O109" s="33" t="n"/>
    </row>
    <row r="110">
      <c r="A110" s="34" t="n"/>
      <c r="B110" s="34" t="n"/>
      <c r="C110" s="35" t="inlineStr">
        <is>
          <t>Box Jump</t>
        </is>
      </c>
      <c r="D110" s="34" t="inlineStr">
        <is>
          <t>3 x 2</t>
        </is>
      </c>
      <c r="E110" s="34" t="n"/>
      <c r="F110" s="34" t="n"/>
      <c r="G110" s="36" t="n"/>
      <c r="H110" s="37">
        <f>IF(N(Maxes!G69)&gt;0,Maxes!G69,'Start Here'!$G$16)</f>
        <v/>
      </c>
      <c r="I110" s="34" t="n"/>
      <c r="J110" s="34" t="n"/>
      <c r="K110" s="34" t="n"/>
      <c r="L110" s="34" t="n"/>
      <c r="M110" s="34" t="n"/>
      <c r="N110" s="34" t="n"/>
      <c r="O110" s="38" t="inlineStr">
        <is>
          <t>Two-foot jump onto a box, land soft in a quarter squat, STEP down. Log the box height (floor to top of box).</t>
        </is>
      </c>
    </row>
    <row r="111">
      <c r="C111" t="inlineStr">
        <is>
          <t xml:space="preserve">      Set 1</t>
        </is>
      </c>
      <c r="E111" t="n">
        <v>2</v>
      </c>
      <c r="H111" s="39">
        <f>IF(H110="","",H110)</f>
        <v/>
      </c>
      <c r="I111" s="7">
        <f>IF(H110="","",H110)</f>
        <v/>
      </c>
      <c r="J111" s="7" t="n">
        <v>2</v>
      </c>
      <c r="K111" s="7" t="n"/>
      <c r="L111" s="40" t="n"/>
      <c r="N111" s="41">
        <f>IF(AND(L111&lt;&gt;"",N(I111)&gt;0),IF(I111&gt;=PRs!D69,"PR!",""),"")</f>
        <v/>
      </c>
      <c r="O111" s="7" t="n"/>
    </row>
    <row r="112">
      <c r="C112" t="inlineStr">
        <is>
          <t xml:space="preserve">      Set 2</t>
        </is>
      </c>
      <c r="E112" t="n">
        <v>2</v>
      </c>
      <c r="H112" s="39">
        <f>IF(H110="","",H110)</f>
        <v/>
      </c>
      <c r="I112" s="7">
        <f>IF(H110="","",H110)</f>
        <v/>
      </c>
      <c r="J112" s="7" t="n">
        <v>2</v>
      </c>
      <c r="K112" s="7" t="n"/>
      <c r="L112" s="40" t="n"/>
      <c r="N112" s="41">
        <f>IF(AND(L112&lt;&gt;"",N(I112)&gt;0),IF(I112&gt;=PRs!D69,"PR!",""),"")</f>
        <v/>
      </c>
      <c r="O112" s="7" t="n"/>
    </row>
    <row r="113">
      <c r="C113" t="inlineStr">
        <is>
          <t xml:space="preserve">      Set 3</t>
        </is>
      </c>
      <c r="E113" t="n">
        <v>2</v>
      </c>
      <c r="H113" s="39">
        <f>IF(H110="","",H110)</f>
        <v/>
      </c>
      <c r="I113" s="7">
        <f>IF(H110="","",H110)</f>
        <v/>
      </c>
      <c r="J113" s="7" t="n">
        <v>2</v>
      </c>
      <c r="K113" s="7" t="n"/>
      <c r="L113" s="40" t="n"/>
      <c r="N113" s="41">
        <f>IF(AND(L113&lt;&gt;"",N(I113)&gt;0),IF(I113&gt;=PRs!D69,"PR!",""),"")</f>
        <v/>
      </c>
      <c r="O113" s="7" t="n"/>
    </row>
    <row r="114">
      <c r="A114" s="34" t="n"/>
      <c r="B114" s="34" t="n"/>
      <c r="C114" s="42" t="inlineStr">
        <is>
          <t>Snatch</t>
        </is>
      </c>
      <c r="D114" s="34" t="inlineStr">
        <is>
          <t>4 x 1</t>
        </is>
      </c>
      <c r="E114" s="34" t="n"/>
      <c r="F114" s="34" t="n">
        <v>90</v>
      </c>
      <c r="G114" s="36">
        <f>Maxes!G6</f>
        <v/>
      </c>
      <c r="H114" s="37">
        <f>IF(OR(G114="",F114=""),"",MROUND(G114*F114/100,'Start Here'!$B$7))</f>
        <v/>
      </c>
      <c r="I114" s="34" t="n"/>
      <c r="J114" s="34" t="n"/>
      <c r="K114" s="34" t="n"/>
      <c r="L114" s="34" t="n"/>
      <c r="M114" s="34" t="n"/>
      <c r="N114" s="34" t="n"/>
      <c r="O114" s="38" t="inlineStr"/>
    </row>
    <row r="115">
      <c r="C115" t="inlineStr">
        <is>
          <t xml:space="preserve">      Set 1</t>
        </is>
      </c>
      <c r="E115" t="n">
        <v>1</v>
      </c>
      <c r="H115" s="39">
        <f>IF(H114="","",H114)</f>
        <v/>
      </c>
      <c r="I115" s="7">
        <f>IF(H114="","",H114)</f>
        <v/>
      </c>
      <c r="J115" s="7" t="n">
        <v>1</v>
      </c>
      <c r="K115" s="7" t="n"/>
      <c r="L115" s="40" t="n"/>
      <c r="M115">
        <f>IF(AND(L115&lt;&gt;"",N(I115)&gt;0,N(J115)&gt;0),IF(J115=1,I115,ROUND(I115*(1+J115/30),1)),"")</f>
        <v/>
      </c>
      <c r="N115" s="41">
        <f>IF(M115="","",IF(M115&gt;=PRs!C6,"PR!",""))</f>
        <v/>
      </c>
      <c r="O115" s="7" t="n"/>
    </row>
    <row r="116">
      <c r="C116" t="inlineStr">
        <is>
          <t xml:space="preserve">      Set 2</t>
        </is>
      </c>
      <c r="E116" t="n">
        <v>1</v>
      </c>
      <c r="H116" s="39">
        <f>IF(H114="","",H114)</f>
        <v/>
      </c>
      <c r="I116" s="7">
        <f>IF(H114="","",H114)</f>
        <v/>
      </c>
      <c r="J116" s="7" t="n">
        <v>1</v>
      </c>
      <c r="K116" s="7" t="n"/>
      <c r="L116" s="40" t="n"/>
      <c r="M116">
        <f>IF(AND(L116&lt;&gt;"",N(I116)&gt;0,N(J116)&gt;0),IF(J116=1,I116,ROUND(I116*(1+J116/30),1)),"")</f>
        <v/>
      </c>
      <c r="N116" s="41">
        <f>IF(M116="","",IF(M116&gt;=PRs!C6,"PR!",""))</f>
        <v/>
      </c>
      <c r="O116" s="7" t="n"/>
    </row>
    <row r="117">
      <c r="C117" t="inlineStr">
        <is>
          <t xml:space="preserve">      Set 3</t>
        </is>
      </c>
      <c r="E117" t="n">
        <v>1</v>
      </c>
      <c r="H117" s="39">
        <f>IF(H114="","",H114)</f>
        <v/>
      </c>
      <c r="I117" s="7">
        <f>IF(H114="","",H114)</f>
        <v/>
      </c>
      <c r="J117" s="7" t="n">
        <v>1</v>
      </c>
      <c r="K117" s="7" t="n"/>
      <c r="L117" s="40" t="n"/>
      <c r="M117">
        <f>IF(AND(L117&lt;&gt;"",N(I117)&gt;0,N(J117)&gt;0),IF(J117=1,I117,ROUND(I117*(1+J117/30),1)),"")</f>
        <v/>
      </c>
      <c r="N117" s="41">
        <f>IF(M117="","",IF(M117&gt;=PRs!C6,"PR!",""))</f>
        <v/>
      </c>
      <c r="O117" s="7" t="n"/>
    </row>
    <row r="118">
      <c r="C118" t="inlineStr">
        <is>
          <t xml:space="preserve">      Set 4</t>
        </is>
      </c>
      <c r="E118" t="n">
        <v>1</v>
      </c>
      <c r="H118" s="39">
        <f>IF(H114="","",H114)</f>
        <v/>
      </c>
      <c r="I118" s="7">
        <f>IF(H114="","",H114)</f>
        <v/>
      </c>
      <c r="J118" s="7" t="n">
        <v>1</v>
      </c>
      <c r="K118" s="7" t="n"/>
      <c r="L118" s="40" t="n"/>
      <c r="M118">
        <f>IF(AND(L118&lt;&gt;"",N(I118)&gt;0,N(J118)&gt;0),IF(J118=1,I118,ROUND(I118*(1+J118/30),1)),"")</f>
        <v/>
      </c>
      <c r="N118" s="41">
        <f>IF(M118="","",IF(M118&gt;=PRs!C6,"PR!",""))</f>
        <v/>
      </c>
      <c r="O118" s="7" t="n"/>
    </row>
    <row r="119">
      <c r="A119" s="34" t="n"/>
      <c r="B119" s="34" t="n"/>
      <c r="C119" s="42" t="inlineStr">
        <is>
          <t>Squat</t>
        </is>
      </c>
      <c r="D119" s="34" t="inlineStr">
        <is>
          <t>4 x 2</t>
        </is>
      </c>
      <c r="E119" s="34" t="n"/>
      <c r="F119" s="34" t="n">
        <v>90</v>
      </c>
      <c r="G119" s="36">
        <f>Maxes!G2</f>
        <v/>
      </c>
      <c r="H119" s="37">
        <f>IF(OR(G119="",F119=""),"",MROUND(G119*F119/100,'Start Here'!$B$7))</f>
        <v/>
      </c>
      <c r="I119" s="34" t="n"/>
      <c r="J119" s="34" t="n"/>
      <c r="K119" s="34" t="n"/>
      <c r="L119" s="34" t="n"/>
      <c r="M119" s="34" t="n"/>
      <c r="N119" s="34" t="n"/>
      <c r="O119" s="38" t="inlineStr"/>
    </row>
    <row r="120">
      <c r="C120" t="inlineStr">
        <is>
          <t xml:space="preserve">      Set 1</t>
        </is>
      </c>
      <c r="E120" t="n">
        <v>2</v>
      </c>
      <c r="H120" s="39">
        <f>IF(H119="","",H119)</f>
        <v/>
      </c>
      <c r="I120" s="7">
        <f>IF(H119="","",H119)</f>
        <v/>
      </c>
      <c r="J120" s="7" t="n">
        <v>2</v>
      </c>
      <c r="K120" s="7" t="n"/>
      <c r="L120" s="40" t="n"/>
      <c r="M120">
        <f>IF(AND(L120&lt;&gt;"",N(I120)&gt;0,N(J120)&gt;0),IF(J120=1,I120,ROUND(I120*(1+J120/30),1)),"")</f>
        <v/>
      </c>
      <c r="N120" s="41">
        <f>IF(M120="","",IF(M120&gt;=PRs!C2,"PR!",""))</f>
        <v/>
      </c>
      <c r="O120" s="7" t="n"/>
    </row>
    <row r="121">
      <c r="C121" t="inlineStr">
        <is>
          <t xml:space="preserve">      Set 2</t>
        </is>
      </c>
      <c r="E121" t="n">
        <v>2</v>
      </c>
      <c r="H121" s="39">
        <f>IF(H119="","",H119)</f>
        <v/>
      </c>
      <c r="I121" s="7">
        <f>IF(H119="","",H119)</f>
        <v/>
      </c>
      <c r="J121" s="7" t="n">
        <v>2</v>
      </c>
      <c r="K121" s="7" t="n"/>
      <c r="L121" s="40" t="n"/>
      <c r="M121">
        <f>IF(AND(L121&lt;&gt;"",N(I121)&gt;0,N(J121)&gt;0),IF(J121=1,I121,ROUND(I121*(1+J121/30),1)),"")</f>
        <v/>
      </c>
      <c r="N121" s="41">
        <f>IF(M121="","",IF(M121&gt;=PRs!C2,"PR!",""))</f>
        <v/>
      </c>
      <c r="O121" s="7" t="n"/>
    </row>
    <row r="122">
      <c r="C122" t="inlineStr">
        <is>
          <t xml:space="preserve">      Set 3</t>
        </is>
      </c>
      <c r="E122" t="n">
        <v>2</v>
      </c>
      <c r="H122" s="39">
        <f>IF(H119="","",H119)</f>
        <v/>
      </c>
      <c r="I122" s="7">
        <f>IF(H119="","",H119)</f>
        <v/>
      </c>
      <c r="J122" s="7" t="n">
        <v>2</v>
      </c>
      <c r="K122" s="7" t="n"/>
      <c r="L122" s="40" t="n"/>
      <c r="M122">
        <f>IF(AND(L122&lt;&gt;"",N(I122)&gt;0,N(J122)&gt;0),IF(J122=1,I122,ROUND(I122*(1+J122/30),1)),"")</f>
        <v/>
      </c>
      <c r="N122" s="41">
        <f>IF(M122="","",IF(M122&gt;=PRs!C2,"PR!",""))</f>
        <v/>
      </c>
      <c r="O122" s="7" t="n"/>
    </row>
    <row r="123">
      <c r="C123" t="inlineStr">
        <is>
          <t xml:space="preserve">      Set 4</t>
        </is>
      </c>
      <c r="E123" t="n">
        <v>2</v>
      </c>
      <c r="H123" s="39">
        <f>IF(H119="","",H119)</f>
        <v/>
      </c>
      <c r="I123" s="7">
        <f>IF(H119="","",H119)</f>
        <v/>
      </c>
      <c r="J123" s="7" t="n">
        <v>2</v>
      </c>
      <c r="K123" s="7" t="n"/>
      <c r="L123" s="40" t="n"/>
      <c r="M123">
        <f>IF(AND(L123&lt;&gt;"",N(I123)&gt;0,N(J123)&gt;0),IF(J123=1,I123,ROUND(I123*(1+J123/30),1)),"")</f>
        <v/>
      </c>
      <c r="N123" s="41">
        <f>IF(M123="","",IF(M123&gt;=PRs!C2,"PR!",""))</f>
        <v/>
      </c>
      <c r="O123" s="7" t="n"/>
    </row>
    <row r="124">
      <c r="A124" s="34" t="n"/>
      <c r="B124" s="34" t="n"/>
      <c r="C124" s="42" t="inlineStr">
        <is>
          <t>Bench Press</t>
        </is>
      </c>
      <c r="D124" s="34" t="inlineStr">
        <is>
          <t>4 x 2</t>
        </is>
      </c>
      <c r="E124" s="34" t="n"/>
      <c r="F124" s="34" t="n">
        <v>90</v>
      </c>
      <c r="G124" s="36">
        <f>Maxes!G3</f>
        <v/>
      </c>
      <c r="H124" s="37">
        <f>IF(OR(G124="",F124=""),"",MROUND(G124*F124/100,'Start Here'!$B$7))</f>
        <v/>
      </c>
      <c r="I124" s="34" t="n"/>
      <c r="J124" s="34" t="n"/>
      <c r="K124" s="34" t="n"/>
      <c r="L124" s="34" t="n"/>
      <c r="M124" s="34" t="n"/>
      <c r="N124" s="34" t="n"/>
      <c r="O124" s="38" t="inlineStr"/>
    </row>
    <row r="125">
      <c r="C125" t="inlineStr">
        <is>
          <t xml:space="preserve">      Set 1</t>
        </is>
      </c>
      <c r="E125" t="n">
        <v>2</v>
      </c>
      <c r="H125" s="39">
        <f>IF(H124="","",H124)</f>
        <v/>
      </c>
      <c r="I125" s="7">
        <f>IF(H124="","",H124)</f>
        <v/>
      </c>
      <c r="J125" s="7" t="n">
        <v>2</v>
      </c>
      <c r="K125" s="7" t="n"/>
      <c r="L125" s="40" t="n"/>
      <c r="M125">
        <f>IF(AND(L125&lt;&gt;"",N(I125)&gt;0,N(J125)&gt;0),IF(J125=1,I125,ROUND(I125*(1+J125/30),1)),"")</f>
        <v/>
      </c>
      <c r="N125" s="41">
        <f>IF(M125="","",IF(M125&gt;=PRs!C3,"PR!",""))</f>
        <v/>
      </c>
      <c r="O125" s="7" t="n"/>
    </row>
    <row r="126">
      <c r="C126" t="inlineStr">
        <is>
          <t xml:space="preserve">      Set 2</t>
        </is>
      </c>
      <c r="E126" t="n">
        <v>2</v>
      </c>
      <c r="H126" s="39">
        <f>IF(H124="","",H124)</f>
        <v/>
      </c>
      <c r="I126" s="7">
        <f>IF(H124="","",H124)</f>
        <v/>
      </c>
      <c r="J126" s="7" t="n">
        <v>2</v>
      </c>
      <c r="K126" s="7" t="n"/>
      <c r="L126" s="40" t="n"/>
      <c r="M126">
        <f>IF(AND(L126&lt;&gt;"",N(I126)&gt;0,N(J126)&gt;0),IF(J126=1,I126,ROUND(I126*(1+J126/30),1)),"")</f>
        <v/>
      </c>
      <c r="N126" s="41">
        <f>IF(M126="","",IF(M126&gt;=PRs!C3,"PR!",""))</f>
        <v/>
      </c>
      <c r="O126" s="7" t="n"/>
    </row>
    <row r="127">
      <c r="C127" t="inlineStr">
        <is>
          <t xml:space="preserve">      Set 3</t>
        </is>
      </c>
      <c r="E127" t="n">
        <v>2</v>
      </c>
      <c r="H127" s="39">
        <f>IF(H124="","",H124)</f>
        <v/>
      </c>
      <c r="I127" s="7">
        <f>IF(H124="","",H124)</f>
        <v/>
      </c>
      <c r="J127" s="7" t="n">
        <v>2</v>
      </c>
      <c r="K127" s="7" t="n"/>
      <c r="L127" s="40" t="n"/>
      <c r="M127">
        <f>IF(AND(L127&lt;&gt;"",N(I127)&gt;0,N(J127)&gt;0),IF(J127=1,I127,ROUND(I127*(1+J127/30),1)),"")</f>
        <v/>
      </c>
      <c r="N127" s="41">
        <f>IF(M127="","",IF(M127&gt;=PRs!C3,"PR!",""))</f>
        <v/>
      </c>
      <c r="O127" s="7" t="n"/>
    </row>
    <row r="128">
      <c r="C128" t="inlineStr">
        <is>
          <t xml:space="preserve">      Set 4</t>
        </is>
      </c>
      <c r="E128" t="n">
        <v>2</v>
      </c>
      <c r="H128" s="39">
        <f>IF(H124="","",H124)</f>
        <v/>
      </c>
      <c r="I128" s="7">
        <f>IF(H124="","",H124)</f>
        <v/>
      </c>
      <c r="J128" s="7" t="n">
        <v>2</v>
      </c>
      <c r="K128" s="7" t="n"/>
      <c r="L128" s="40" t="n"/>
      <c r="M128">
        <f>IF(AND(L128&lt;&gt;"",N(I128)&gt;0,N(J128)&gt;0),IF(J128=1,I128,ROUND(I128*(1+J128/30),1)),"")</f>
        <v/>
      </c>
      <c r="N128" s="41">
        <f>IF(M128="","",IF(M128&gt;=PRs!C3,"PR!",""))</f>
        <v/>
      </c>
      <c r="O128" s="7" t="n"/>
    </row>
    <row r="129">
      <c r="A129" s="34" t="n"/>
      <c r="B129" s="34" t="n"/>
      <c r="C129" s="43" t="inlineStr">
        <is>
          <t>Barbell Row</t>
        </is>
      </c>
      <c r="D129" s="34" t="inlineStr">
        <is>
          <t>3 x 8-10</t>
        </is>
      </c>
      <c r="E129" s="34" t="n"/>
      <c r="F129" s="34" t="n"/>
      <c r="G129" s="36" t="n"/>
      <c r="H129" s="37" t="n"/>
      <c r="I129" s="34" t="n"/>
      <c r="J129" s="34" t="n"/>
      <c r="K129" s="34" t="n"/>
      <c r="L129" s="34" t="n"/>
      <c r="M129" s="34" t="n"/>
      <c r="N129" s="34" t="n"/>
      <c r="O129" s="38" t="inlineStr">
        <is>
          <t>Leave 1-2 reps in the tank; add weight when you hit the top of the range</t>
        </is>
      </c>
    </row>
    <row r="130">
      <c r="C130" t="inlineStr">
        <is>
          <t xml:space="preserve">      Set 1</t>
        </is>
      </c>
      <c r="E130" t="n">
        <v>8</v>
      </c>
      <c r="H130" s="39">
        <f>IF(H129="","",H129)</f>
        <v/>
      </c>
      <c r="I130" s="7">
        <f>IF(H129="","",H129)</f>
        <v/>
      </c>
      <c r="J130" s="7" t="n">
        <v>8</v>
      </c>
      <c r="K130" s="7" t="n"/>
      <c r="L130" s="40" t="n"/>
      <c r="M130">
        <f>IF(AND(L130&lt;&gt;"",N(I130)&gt;0,N(J130)&gt;0),IF(J130=1,I130,ROUND(I130*(1+J130/30),1)),"")</f>
        <v/>
      </c>
      <c r="N130" s="41">
        <f>IF(M130="","",IF(M130&gt;=PRs!C50,"PR!",""))</f>
        <v/>
      </c>
      <c r="O130" s="7" t="n"/>
    </row>
    <row r="131">
      <c r="C131" t="inlineStr">
        <is>
          <t xml:space="preserve">      Set 2</t>
        </is>
      </c>
      <c r="E131" t="n">
        <v>8</v>
      </c>
      <c r="H131" s="39">
        <f>IF(H129="","",H129)</f>
        <v/>
      </c>
      <c r="I131" s="7">
        <f>IF(H129="","",H129)</f>
        <v/>
      </c>
      <c r="J131" s="7" t="n">
        <v>8</v>
      </c>
      <c r="K131" s="7" t="n"/>
      <c r="L131" s="40" t="n"/>
      <c r="M131">
        <f>IF(AND(L131&lt;&gt;"",N(I131)&gt;0,N(J131)&gt;0),IF(J131=1,I131,ROUND(I131*(1+J131/30),1)),"")</f>
        <v/>
      </c>
      <c r="N131" s="41">
        <f>IF(M131="","",IF(M131&gt;=PRs!C50,"PR!",""))</f>
        <v/>
      </c>
      <c r="O131" s="7" t="n"/>
    </row>
    <row r="132">
      <c r="C132" t="inlineStr">
        <is>
          <t xml:space="preserve">      Set 3</t>
        </is>
      </c>
      <c r="E132" t="n">
        <v>8</v>
      </c>
      <c r="H132" s="39">
        <f>IF(H129="","",H129)</f>
        <v/>
      </c>
      <c r="I132" s="7">
        <f>IF(H129="","",H129)</f>
        <v/>
      </c>
      <c r="J132" s="7" t="n">
        <v>8</v>
      </c>
      <c r="K132" s="7" t="n"/>
      <c r="L132" s="40" t="n"/>
      <c r="M132">
        <f>IF(AND(L132&lt;&gt;"",N(I132)&gt;0,N(J132)&gt;0),IF(J132=1,I132,ROUND(I132*(1+J132/30),1)),"")</f>
        <v/>
      </c>
      <c r="N132" s="41">
        <f>IF(M132="","",IF(M132&gt;=PRs!C50,"PR!",""))</f>
        <v/>
      </c>
      <c r="O132" s="7" t="n"/>
    </row>
    <row r="133">
      <c r="A133" s="34" t="n"/>
      <c r="B133" s="34" t="n"/>
      <c r="C133" s="43" t="inlineStr">
        <is>
          <t>Face Pull</t>
        </is>
      </c>
      <c r="D133" s="34" t="inlineStr">
        <is>
          <t>3 x 12-15</t>
        </is>
      </c>
      <c r="E133" s="34" t="n"/>
      <c r="F133" s="34" t="n"/>
      <c r="G133" s="36" t="n"/>
      <c r="H133" s="37" t="n"/>
      <c r="I133" s="34" t="n"/>
      <c r="J133" s="34" t="n"/>
      <c r="K133" s="34" t="n"/>
      <c r="L133" s="34" t="n"/>
      <c r="M133" s="34" t="n"/>
      <c r="N133" s="34" t="n"/>
      <c r="O133" s="38" t="inlineStr">
        <is>
          <t>Leave 1-2 reps in the tank; add weight when you hit the top of the range</t>
        </is>
      </c>
    </row>
    <row r="134">
      <c r="C134" t="inlineStr">
        <is>
          <t xml:space="preserve">      Set 1</t>
        </is>
      </c>
      <c r="E134" t="n">
        <v>12</v>
      </c>
      <c r="H134" s="39">
        <f>IF(H133="","",H133)</f>
        <v/>
      </c>
      <c r="I134" s="7">
        <f>IF(H133="","",H133)</f>
        <v/>
      </c>
      <c r="J134" s="7" t="n">
        <v>12</v>
      </c>
      <c r="K134" s="7" t="n"/>
      <c r="L134" s="40" t="n"/>
      <c r="M134">
        <f>IF(AND(L134&lt;&gt;"",N(I134)&gt;0,N(J134)&gt;0),IF(J134=1,I134,ROUND(I134*(1+J134/30),1)),"")</f>
        <v/>
      </c>
      <c r="N134" s="41">
        <f>IF(M134="","",IF(M134&gt;=PRs!C51,"PR!",""))</f>
        <v/>
      </c>
      <c r="O134" s="7" t="n"/>
    </row>
    <row r="135">
      <c r="C135" t="inlineStr">
        <is>
          <t xml:space="preserve">      Set 2</t>
        </is>
      </c>
      <c r="E135" t="n">
        <v>12</v>
      </c>
      <c r="H135" s="39">
        <f>IF(H133="","",H133)</f>
        <v/>
      </c>
      <c r="I135" s="7">
        <f>IF(H133="","",H133)</f>
        <v/>
      </c>
      <c r="J135" s="7" t="n">
        <v>12</v>
      </c>
      <c r="K135" s="7" t="n"/>
      <c r="L135" s="40" t="n"/>
      <c r="M135">
        <f>IF(AND(L135&lt;&gt;"",N(I135)&gt;0,N(J135)&gt;0),IF(J135=1,I135,ROUND(I135*(1+J135/30),1)),"")</f>
        <v/>
      </c>
      <c r="N135" s="41">
        <f>IF(M135="","",IF(M135&gt;=PRs!C51,"PR!",""))</f>
        <v/>
      </c>
      <c r="O135" s="7" t="n"/>
    </row>
    <row r="136">
      <c r="C136" t="inlineStr">
        <is>
          <t xml:space="preserve">      Set 3</t>
        </is>
      </c>
      <c r="E136" t="n">
        <v>12</v>
      </c>
      <c r="H136" s="39">
        <f>IF(H133="","",H133)</f>
        <v/>
      </c>
      <c r="I136" s="7">
        <f>IF(H133="","",H133)</f>
        <v/>
      </c>
      <c r="J136" s="7" t="n">
        <v>12</v>
      </c>
      <c r="K136" s="7" t="n"/>
      <c r="L136" s="40" t="n"/>
      <c r="M136">
        <f>IF(AND(L136&lt;&gt;"",N(I136)&gt;0,N(J136)&gt;0),IF(J136=1,I136,ROUND(I136*(1+J136/30),1)),"")</f>
        <v/>
      </c>
      <c r="N136" s="41">
        <f>IF(M136="","",IF(M136&gt;=PRs!C51,"PR!",""))</f>
        <v/>
      </c>
      <c r="O136" s="7" t="n"/>
    </row>
    <row r="137">
      <c r="A137" s="31" t="inlineStr">
        <is>
          <t>Day 2 - Light</t>
        </is>
      </c>
      <c r="B137" s="32">
        <f>'Start Here'!$B$8+233</f>
        <v/>
      </c>
      <c r="C137" s="33" t="n"/>
      <c r="D137" s="33" t="n"/>
      <c r="E137" s="33" t="n"/>
      <c r="F137" s="33" t="n"/>
      <c r="G137" s="33" t="n"/>
      <c r="H137" s="33" t="n"/>
      <c r="I137" s="33" t="n"/>
      <c r="J137" s="33" t="n"/>
      <c r="K137" s="33" t="n"/>
      <c r="L137" s="33" t="n"/>
      <c r="M137" s="33" t="n"/>
      <c r="N137" s="33" t="n"/>
      <c r="O137" s="33" t="n"/>
    </row>
    <row r="138">
      <c r="A138" s="34" t="n"/>
      <c r="B138" s="34" t="n"/>
      <c r="C138" s="35" t="inlineStr">
        <is>
          <t>Broad Jump</t>
        </is>
      </c>
      <c r="D138" s="34" t="inlineStr">
        <is>
          <t>3 x 2</t>
        </is>
      </c>
      <c r="E138" s="34" t="n"/>
      <c r="F138" s="34" t="n"/>
      <c r="G138" s="36" t="n"/>
      <c r="H138" s="37">
        <f>IF(N(Maxes!G70)&gt;0,Maxes!G70,"")</f>
        <v/>
      </c>
      <c r="I138" s="34" t="n"/>
      <c r="J138" s="34" t="n"/>
      <c r="K138" s="34" t="n"/>
      <c r="L138" s="34" t="n"/>
      <c r="M138" s="34" t="n"/>
      <c r="N138" s="34" t="n"/>
      <c r="O138" s="38" t="inlineStr">
        <is>
          <t>Standing two-foot jump forward, stick the landing. Measure toe line to the back of the nearest heel.</t>
        </is>
      </c>
    </row>
    <row r="139">
      <c r="C139" t="inlineStr">
        <is>
          <t xml:space="preserve">      Set 1</t>
        </is>
      </c>
      <c r="E139" t="n">
        <v>2</v>
      </c>
      <c r="H139" s="39">
        <f>IF(H138="","",H138)</f>
        <v/>
      </c>
      <c r="I139" s="7">
        <f>IF(H138="","",H138)</f>
        <v/>
      </c>
      <c r="J139" s="7" t="n">
        <v>2</v>
      </c>
      <c r="K139" s="7" t="n"/>
      <c r="L139" s="40" t="n"/>
      <c r="N139" s="41">
        <f>IF(AND(L139&lt;&gt;"",N(I139)&gt;0),IF(I139&gt;=PRs!D70,"PR!",""),"")</f>
        <v/>
      </c>
      <c r="O139" s="7" t="n"/>
    </row>
    <row r="140">
      <c r="C140" t="inlineStr">
        <is>
          <t xml:space="preserve">      Set 2</t>
        </is>
      </c>
      <c r="E140" t="n">
        <v>2</v>
      </c>
      <c r="H140" s="39">
        <f>IF(H138="","",H138)</f>
        <v/>
      </c>
      <c r="I140" s="7">
        <f>IF(H138="","",H138)</f>
        <v/>
      </c>
      <c r="J140" s="7" t="n">
        <v>2</v>
      </c>
      <c r="K140" s="7" t="n"/>
      <c r="L140" s="40" t="n"/>
      <c r="N140" s="41">
        <f>IF(AND(L140&lt;&gt;"",N(I140)&gt;0),IF(I140&gt;=PRs!D70,"PR!",""),"")</f>
        <v/>
      </c>
      <c r="O140" s="7" t="n"/>
    </row>
    <row r="141">
      <c r="C141" t="inlineStr">
        <is>
          <t xml:space="preserve">      Set 3</t>
        </is>
      </c>
      <c r="E141" t="n">
        <v>2</v>
      </c>
      <c r="H141" s="39">
        <f>IF(H138="","",H138)</f>
        <v/>
      </c>
      <c r="I141" s="7">
        <f>IF(H138="","",H138)</f>
        <v/>
      </c>
      <c r="J141" s="7" t="n">
        <v>2</v>
      </c>
      <c r="K141" s="7" t="n"/>
      <c r="L141" s="40" t="n"/>
      <c r="N141" s="41">
        <f>IF(AND(L141&lt;&gt;"",N(I141)&gt;0),IF(I141&gt;=PRs!D70,"PR!",""),"")</f>
        <v/>
      </c>
      <c r="O141" s="7" t="n"/>
    </row>
    <row r="142">
      <c r="A142" s="34" t="n"/>
      <c r="B142" s="34" t="n"/>
      <c r="C142" s="35" t="inlineStr">
        <is>
          <t>Med Ball Chest Pass</t>
        </is>
      </c>
      <c r="D142" s="34" t="inlineStr">
        <is>
          <t>2 x 5</t>
        </is>
      </c>
      <c r="E142" s="34" t="n"/>
      <c r="F142" s="34" t="n"/>
      <c r="G142" s="36" t="n"/>
      <c r="H142" s="37">
        <f>IF(N(Maxes!G77)&gt;0,Maxes!G77,"")</f>
        <v/>
      </c>
      <c r="I142" s="34" t="n"/>
      <c r="J142" s="34" t="n"/>
      <c r="K142" s="34" t="n"/>
      <c r="L142" s="34" t="n"/>
      <c r="M142" s="34" t="n"/>
      <c r="N142" s="34" t="n"/>
      <c r="O142" s="38" t="inlineStr">
        <is>
          <t>Kneeling or standing chest pass for distance with a 6-10 lb / 3-5 kg ball. Log the distance.</t>
        </is>
      </c>
    </row>
    <row r="143">
      <c r="C143" t="inlineStr">
        <is>
          <t xml:space="preserve">      Set 1</t>
        </is>
      </c>
      <c r="E143" t="n">
        <v>5</v>
      </c>
      <c r="H143" s="39">
        <f>IF(H142="","",H142)</f>
        <v/>
      </c>
      <c r="I143" s="7">
        <f>IF(H142="","",H142)</f>
        <v/>
      </c>
      <c r="J143" s="7" t="n">
        <v>5</v>
      </c>
      <c r="K143" s="7" t="n"/>
      <c r="L143" s="40" t="n"/>
      <c r="N143" s="41">
        <f>IF(AND(L143&lt;&gt;"",N(I143)&gt;0),IF(I143&gt;=PRs!D77,"PR!",""),"")</f>
        <v/>
      </c>
      <c r="O143" s="7" t="n"/>
    </row>
    <row r="144">
      <c r="C144" t="inlineStr">
        <is>
          <t xml:space="preserve">      Set 2</t>
        </is>
      </c>
      <c r="E144" t="n">
        <v>5</v>
      </c>
      <c r="H144" s="39">
        <f>IF(H142="","",H142)</f>
        <v/>
      </c>
      <c r="I144" s="7">
        <f>IF(H142="","",H142)</f>
        <v/>
      </c>
      <c r="J144" s="7" t="n">
        <v>5</v>
      </c>
      <c r="K144" s="7" t="n"/>
      <c r="L144" s="40" t="n"/>
      <c r="N144" s="41">
        <f>IF(AND(L144&lt;&gt;"",N(I144)&gt;0),IF(I144&gt;=PRs!D77,"PR!",""),"")</f>
        <v/>
      </c>
      <c r="O144" s="7" t="n"/>
    </row>
    <row r="145">
      <c r="A145" s="34" t="n"/>
      <c r="B145" s="34" t="n"/>
      <c r="C145" s="42" t="inlineStr">
        <is>
          <t>Clean &amp; Jerk</t>
        </is>
      </c>
      <c r="D145" s="34" t="inlineStr">
        <is>
          <t>4 x 1</t>
        </is>
      </c>
      <c r="E145" s="34" t="n"/>
      <c r="F145" s="34" t="n">
        <v>90</v>
      </c>
      <c r="G145" s="36">
        <f>Maxes!G7</f>
        <v/>
      </c>
      <c r="H145" s="37">
        <f>IF(OR(G145="",F145=""),"",MROUND(G145*F145/100,'Start Here'!$B$7))</f>
        <v/>
      </c>
      <c r="I145" s="34" t="n"/>
      <c r="J145" s="34" t="n"/>
      <c r="K145" s="34" t="n"/>
      <c r="L145" s="34" t="n"/>
      <c r="M145" s="34" t="n"/>
      <c r="N145" s="34" t="n"/>
      <c r="O145" s="38" t="inlineStr"/>
    </row>
    <row r="146">
      <c r="C146" t="inlineStr">
        <is>
          <t xml:space="preserve">      Set 1</t>
        </is>
      </c>
      <c r="E146" t="n">
        <v>1</v>
      </c>
      <c r="H146" s="39">
        <f>IF(H145="","",H145)</f>
        <v/>
      </c>
      <c r="I146" s="7">
        <f>IF(H145="","",H145)</f>
        <v/>
      </c>
      <c r="J146" s="7" t="n">
        <v>1</v>
      </c>
      <c r="K146" s="7" t="n"/>
      <c r="L146" s="40" t="n"/>
      <c r="M146">
        <f>IF(AND(L146&lt;&gt;"",N(I146)&gt;0,N(J146)&gt;0),IF(J146=1,I146,ROUND(I146*(1+J146/30),1)),"")</f>
        <v/>
      </c>
      <c r="N146" s="41">
        <f>IF(M146="","",IF(M146&gt;=PRs!C7,"PR!",""))</f>
        <v/>
      </c>
      <c r="O146" s="7" t="n"/>
    </row>
    <row r="147">
      <c r="C147" t="inlineStr">
        <is>
          <t xml:space="preserve">      Set 2</t>
        </is>
      </c>
      <c r="E147" t="n">
        <v>1</v>
      </c>
      <c r="H147" s="39">
        <f>IF(H145="","",H145)</f>
        <v/>
      </c>
      <c r="I147" s="7">
        <f>IF(H145="","",H145)</f>
        <v/>
      </c>
      <c r="J147" s="7" t="n">
        <v>1</v>
      </c>
      <c r="K147" s="7" t="n"/>
      <c r="L147" s="40" t="n"/>
      <c r="M147">
        <f>IF(AND(L147&lt;&gt;"",N(I147)&gt;0,N(J147)&gt;0),IF(J147=1,I147,ROUND(I147*(1+J147/30),1)),"")</f>
        <v/>
      </c>
      <c r="N147" s="41">
        <f>IF(M147="","",IF(M147&gt;=PRs!C7,"PR!",""))</f>
        <v/>
      </c>
      <c r="O147" s="7" t="n"/>
    </row>
    <row r="148">
      <c r="C148" t="inlineStr">
        <is>
          <t xml:space="preserve">      Set 3</t>
        </is>
      </c>
      <c r="E148" t="n">
        <v>1</v>
      </c>
      <c r="H148" s="39">
        <f>IF(H145="","",H145)</f>
        <v/>
      </c>
      <c r="I148" s="7">
        <f>IF(H145="","",H145)</f>
        <v/>
      </c>
      <c r="J148" s="7" t="n">
        <v>1</v>
      </c>
      <c r="K148" s="7" t="n"/>
      <c r="L148" s="40" t="n"/>
      <c r="M148">
        <f>IF(AND(L148&lt;&gt;"",N(I148)&gt;0,N(J148)&gt;0),IF(J148=1,I148,ROUND(I148*(1+J148/30),1)),"")</f>
        <v/>
      </c>
      <c r="N148" s="41">
        <f>IF(M148="","",IF(M148&gt;=PRs!C7,"PR!",""))</f>
        <v/>
      </c>
      <c r="O148" s="7" t="n"/>
    </row>
    <row r="149">
      <c r="C149" t="inlineStr">
        <is>
          <t xml:space="preserve">      Set 4</t>
        </is>
      </c>
      <c r="E149" t="n">
        <v>1</v>
      </c>
      <c r="H149" s="39">
        <f>IF(H145="","",H145)</f>
        <v/>
      </c>
      <c r="I149" s="7">
        <f>IF(H145="","",H145)</f>
        <v/>
      </c>
      <c r="J149" s="7" t="n">
        <v>1</v>
      </c>
      <c r="K149" s="7" t="n"/>
      <c r="L149" s="40" t="n"/>
      <c r="M149">
        <f>IF(AND(L149&lt;&gt;"",N(I149)&gt;0,N(J149)&gt;0),IF(J149=1,I149,ROUND(I149*(1+J149/30),1)),"")</f>
        <v/>
      </c>
      <c r="N149" s="41">
        <f>IF(M149="","",IF(M149&gt;=PRs!C7,"PR!",""))</f>
        <v/>
      </c>
      <c r="O149" s="7" t="n"/>
    </row>
    <row r="150">
      <c r="A150" s="34" t="n"/>
      <c r="B150" s="34" t="n"/>
      <c r="C150" s="42" t="inlineStr">
        <is>
          <t>Squat</t>
        </is>
      </c>
      <c r="D150" s="34" t="inlineStr">
        <is>
          <t>3 x 5</t>
        </is>
      </c>
      <c r="E150" s="34" t="n"/>
      <c r="F150" s="34" t="n">
        <v>70</v>
      </c>
      <c r="G150" s="36">
        <f>Maxes!G2</f>
        <v/>
      </c>
      <c r="H150" s="37">
        <f>IF(OR(G150="",F150=""),"",MROUND(G150*F150/100,'Start Here'!$B$7))</f>
        <v/>
      </c>
      <c r="I150" s="34" t="n"/>
      <c r="J150" s="34" t="n"/>
      <c r="K150" s="34" t="n"/>
      <c r="L150" s="34" t="n"/>
      <c r="M150" s="34" t="n"/>
      <c r="N150" s="34" t="n"/>
      <c r="O150" s="38" t="inlineStr"/>
    </row>
    <row r="151">
      <c r="C151" t="inlineStr">
        <is>
          <t xml:space="preserve">      Set 1</t>
        </is>
      </c>
      <c r="E151" t="n">
        <v>5</v>
      </c>
      <c r="H151" s="39">
        <f>IF(H150="","",H150)</f>
        <v/>
      </c>
      <c r="I151" s="7">
        <f>IF(H150="","",H150)</f>
        <v/>
      </c>
      <c r="J151" s="7" t="n">
        <v>5</v>
      </c>
      <c r="K151" s="7" t="n"/>
      <c r="L151" s="40" t="n"/>
      <c r="M151">
        <f>IF(AND(L151&lt;&gt;"",N(I151)&gt;0,N(J151)&gt;0),IF(J151=1,I151,ROUND(I151*(1+J151/30),1)),"")</f>
        <v/>
      </c>
      <c r="N151" s="41">
        <f>IF(M151="","",IF(M151&gt;=PRs!C2,"PR!",""))</f>
        <v/>
      </c>
      <c r="O151" s="7" t="n"/>
    </row>
    <row r="152">
      <c r="C152" t="inlineStr">
        <is>
          <t xml:space="preserve">      Set 2</t>
        </is>
      </c>
      <c r="E152" t="n">
        <v>5</v>
      </c>
      <c r="H152" s="39">
        <f>IF(H150="","",H150)</f>
        <v/>
      </c>
      <c r="I152" s="7">
        <f>IF(H150="","",H150)</f>
        <v/>
      </c>
      <c r="J152" s="7" t="n">
        <v>5</v>
      </c>
      <c r="K152" s="7" t="n"/>
      <c r="L152" s="40" t="n"/>
      <c r="M152">
        <f>IF(AND(L152&lt;&gt;"",N(I152)&gt;0,N(J152)&gt;0),IF(J152=1,I152,ROUND(I152*(1+J152/30),1)),"")</f>
        <v/>
      </c>
      <c r="N152" s="41">
        <f>IF(M152="","",IF(M152&gt;=PRs!C2,"PR!",""))</f>
        <v/>
      </c>
      <c r="O152" s="7" t="n"/>
    </row>
    <row r="153">
      <c r="C153" t="inlineStr">
        <is>
          <t xml:space="preserve">      Set 3</t>
        </is>
      </c>
      <c r="E153" t="n">
        <v>5</v>
      </c>
      <c r="H153" s="39">
        <f>IF(H150="","",H150)</f>
        <v/>
      </c>
      <c r="I153" s="7">
        <f>IF(H150="","",H150)</f>
        <v/>
      </c>
      <c r="J153" s="7" t="n">
        <v>5</v>
      </c>
      <c r="K153" s="7" t="n"/>
      <c r="L153" s="40" t="n"/>
      <c r="M153">
        <f>IF(AND(L153&lt;&gt;"",N(I153)&gt;0,N(J153)&gt;0),IF(J153=1,I153,ROUND(I153*(1+J153/30),1)),"")</f>
        <v/>
      </c>
      <c r="N153" s="41">
        <f>IF(M153="","",IF(M153&gt;=PRs!C2,"PR!",""))</f>
        <v/>
      </c>
      <c r="O153" s="7" t="n"/>
    </row>
    <row r="154">
      <c r="A154" s="34" t="n"/>
      <c r="B154" s="34" t="n"/>
      <c r="C154" s="42" t="inlineStr">
        <is>
          <t>Overhead Press</t>
        </is>
      </c>
      <c r="D154" s="34" t="inlineStr">
        <is>
          <t>5 x 3</t>
        </is>
      </c>
      <c r="E154" s="34" t="n"/>
      <c r="F154" s="34" t="n">
        <v>80</v>
      </c>
      <c r="G154" s="36">
        <f>Maxes!G5</f>
        <v/>
      </c>
      <c r="H154" s="37">
        <f>IF(OR(G154="",F154=""),"",MROUND(G154*F154/100,'Start Here'!$B$7))</f>
        <v/>
      </c>
      <c r="I154" s="34" t="n"/>
      <c r="J154" s="34" t="n"/>
      <c r="K154" s="34" t="n"/>
      <c r="L154" s="34" t="n"/>
      <c r="M154" s="34" t="n"/>
      <c r="N154" s="34" t="n"/>
      <c r="O154" s="38" t="inlineStr"/>
    </row>
    <row r="155">
      <c r="C155" t="inlineStr">
        <is>
          <t xml:space="preserve">      Set 1</t>
        </is>
      </c>
      <c r="E155" t="n">
        <v>3</v>
      </c>
      <c r="H155" s="39">
        <f>IF(H154="","",H154)</f>
        <v/>
      </c>
      <c r="I155" s="7">
        <f>IF(H154="","",H154)</f>
        <v/>
      </c>
      <c r="J155" s="7" t="n">
        <v>3</v>
      </c>
      <c r="K155" s="7" t="n"/>
      <c r="L155" s="40" t="n"/>
      <c r="M155">
        <f>IF(AND(L155&lt;&gt;"",N(I155)&gt;0,N(J155)&gt;0),IF(J155=1,I155,ROUND(I155*(1+J155/30),1)),"")</f>
        <v/>
      </c>
      <c r="N155" s="41">
        <f>IF(M155="","",IF(M155&gt;=PRs!C5,"PR!",""))</f>
        <v/>
      </c>
      <c r="O155" s="7" t="n"/>
    </row>
    <row r="156">
      <c r="C156" t="inlineStr">
        <is>
          <t xml:space="preserve">      Set 2</t>
        </is>
      </c>
      <c r="E156" t="n">
        <v>3</v>
      </c>
      <c r="H156" s="39">
        <f>IF(H154="","",H154)</f>
        <v/>
      </c>
      <c r="I156" s="7">
        <f>IF(H154="","",H154)</f>
        <v/>
      </c>
      <c r="J156" s="7" t="n">
        <v>3</v>
      </c>
      <c r="K156" s="7" t="n"/>
      <c r="L156" s="40" t="n"/>
      <c r="M156">
        <f>IF(AND(L156&lt;&gt;"",N(I156)&gt;0,N(J156)&gt;0),IF(J156=1,I156,ROUND(I156*(1+J156/30),1)),"")</f>
        <v/>
      </c>
      <c r="N156" s="41">
        <f>IF(M156="","",IF(M156&gt;=PRs!C5,"PR!",""))</f>
        <v/>
      </c>
      <c r="O156" s="7" t="n"/>
    </row>
    <row r="157">
      <c r="C157" t="inlineStr">
        <is>
          <t xml:space="preserve">      Set 3</t>
        </is>
      </c>
      <c r="E157" t="n">
        <v>3</v>
      </c>
      <c r="H157" s="39">
        <f>IF(H154="","",H154)</f>
        <v/>
      </c>
      <c r="I157" s="7">
        <f>IF(H154="","",H154)</f>
        <v/>
      </c>
      <c r="J157" s="7" t="n">
        <v>3</v>
      </c>
      <c r="K157" s="7" t="n"/>
      <c r="L157" s="40" t="n"/>
      <c r="M157">
        <f>IF(AND(L157&lt;&gt;"",N(I157)&gt;0,N(J157)&gt;0),IF(J157=1,I157,ROUND(I157*(1+J157/30),1)),"")</f>
        <v/>
      </c>
      <c r="N157" s="41">
        <f>IF(M157="","",IF(M157&gt;=PRs!C5,"PR!",""))</f>
        <v/>
      </c>
      <c r="O157" s="7" t="n"/>
    </row>
    <row r="158">
      <c r="C158" t="inlineStr">
        <is>
          <t xml:space="preserve">      Set 4</t>
        </is>
      </c>
      <c r="E158" t="n">
        <v>3</v>
      </c>
      <c r="H158" s="39">
        <f>IF(H154="","",H154)</f>
        <v/>
      </c>
      <c r="I158" s="7">
        <f>IF(H154="","",H154)</f>
        <v/>
      </c>
      <c r="J158" s="7" t="n">
        <v>3</v>
      </c>
      <c r="K158" s="7" t="n"/>
      <c r="L158" s="40" t="n"/>
      <c r="M158">
        <f>IF(AND(L158&lt;&gt;"",N(I158)&gt;0,N(J158)&gt;0),IF(J158=1,I158,ROUND(I158*(1+J158/30),1)),"")</f>
        <v/>
      </c>
      <c r="N158" s="41">
        <f>IF(M158="","",IF(M158&gt;=PRs!C5,"PR!",""))</f>
        <v/>
      </c>
      <c r="O158" s="7" t="n"/>
    </row>
    <row r="159">
      <c r="C159" t="inlineStr">
        <is>
          <t xml:space="preserve">      Set 5</t>
        </is>
      </c>
      <c r="E159" t="n">
        <v>3</v>
      </c>
      <c r="H159" s="39">
        <f>IF(H154="","",H154)</f>
        <v/>
      </c>
      <c r="I159" s="7">
        <f>IF(H154="","",H154)</f>
        <v/>
      </c>
      <c r="J159" s="7" t="n">
        <v>3</v>
      </c>
      <c r="K159" s="7" t="n"/>
      <c r="L159" s="40" t="n"/>
      <c r="M159">
        <f>IF(AND(L159&lt;&gt;"",N(I159)&gt;0,N(J159)&gt;0),IF(J159=1,I159,ROUND(I159*(1+J159/30),1)),"")</f>
        <v/>
      </c>
      <c r="N159" s="41">
        <f>IF(M159="","",IF(M159&gt;=PRs!C5,"PR!",""))</f>
        <v/>
      </c>
      <c r="O159" s="7" t="n"/>
    </row>
    <row r="160">
      <c r="A160" s="34" t="n"/>
      <c r="B160" s="34" t="n"/>
      <c r="C160" s="42" t="inlineStr">
        <is>
          <t>Deadlift</t>
        </is>
      </c>
      <c r="D160" s="34" t="inlineStr">
        <is>
          <t>4 x 3</t>
        </is>
      </c>
      <c r="E160" s="34" t="n"/>
      <c r="F160" s="34" t="n">
        <v>80</v>
      </c>
      <c r="G160" s="36">
        <f>Maxes!G4</f>
        <v/>
      </c>
      <c r="H160" s="37">
        <f>IF(OR(G160="",F160=""),"",MROUND(G160*F160/100,'Start Here'!$B$7))</f>
        <v/>
      </c>
      <c r="I160" s="34" t="n"/>
      <c r="J160" s="34" t="n"/>
      <c r="K160" s="34" t="n"/>
      <c r="L160" s="34" t="n"/>
      <c r="M160" s="34" t="n"/>
      <c r="N160" s="34" t="n"/>
      <c r="O160" s="38" t="inlineStr"/>
    </row>
    <row r="161">
      <c r="C161" t="inlineStr">
        <is>
          <t xml:space="preserve">      Set 1</t>
        </is>
      </c>
      <c r="E161" t="n">
        <v>3</v>
      </c>
      <c r="H161" s="39">
        <f>IF(H160="","",H160)</f>
        <v/>
      </c>
      <c r="I161" s="7">
        <f>IF(H160="","",H160)</f>
        <v/>
      </c>
      <c r="J161" s="7" t="n">
        <v>3</v>
      </c>
      <c r="K161" s="7" t="n"/>
      <c r="L161" s="40" t="n"/>
      <c r="M161">
        <f>IF(AND(L161&lt;&gt;"",N(I161)&gt;0,N(J161)&gt;0),IF(J161=1,I161,ROUND(I161*(1+J161/30),1)),"")</f>
        <v/>
      </c>
      <c r="N161" s="41">
        <f>IF(M161="","",IF(M161&gt;=PRs!C4,"PR!",""))</f>
        <v/>
      </c>
      <c r="O161" s="7" t="n"/>
    </row>
    <row r="162">
      <c r="C162" t="inlineStr">
        <is>
          <t xml:space="preserve">      Set 2</t>
        </is>
      </c>
      <c r="E162" t="n">
        <v>3</v>
      </c>
      <c r="H162" s="39">
        <f>IF(H160="","",H160)</f>
        <v/>
      </c>
      <c r="I162" s="7">
        <f>IF(H160="","",H160)</f>
        <v/>
      </c>
      <c r="J162" s="7" t="n">
        <v>3</v>
      </c>
      <c r="K162" s="7" t="n"/>
      <c r="L162" s="40" t="n"/>
      <c r="M162">
        <f>IF(AND(L162&lt;&gt;"",N(I162)&gt;0,N(J162)&gt;0),IF(J162=1,I162,ROUND(I162*(1+J162/30),1)),"")</f>
        <v/>
      </c>
      <c r="N162" s="41">
        <f>IF(M162="","",IF(M162&gt;=PRs!C4,"PR!",""))</f>
        <v/>
      </c>
      <c r="O162" s="7" t="n"/>
    </row>
    <row r="163">
      <c r="C163" t="inlineStr">
        <is>
          <t xml:space="preserve">      Set 3</t>
        </is>
      </c>
      <c r="E163" t="n">
        <v>3</v>
      </c>
      <c r="H163" s="39">
        <f>IF(H160="","",H160)</f>
        <v/>
      </c>
      <c r="I163" s="7">
        <f>IF(H160="","",H160)</f>
        <v/>
      </c>
      <c r="J163" s="7" t="n">
        <v>3</v>
      </c>
      <c r="K163" s="7" t="n"/>
      <c r="L163" s="40" t="n"/>
      <c r="M163">
        <f>IF(AND(L163&lt;&gt;"",N(I163)&gt;0,N(J163)&gt;0),IF(J163=1,I163,ROUND(I163*(1+J163/30),1)),"")</f>
        <v/>
      </c>
      <c r="N163" s="41">
        <f>IF(M163="","",IF(M163&gt;=PRs!C4,"PR!",""))</f>
        <v/>
      </c>
      <c r="O163" s="7" t="n"/>
    </row>
    <row r="164">
      <c r="C164" t="inlineStr">
        <is>
          <t xml:space="preserve">      Set 4</t>
        </is>
      </c>
      <c r="E164" t="n">
        <v>3</v>
      </c>
      <c r="H164" s="39">
        <f>IF(H160="","",H160)</f>
        <v/>
      </c>
      <c r="I164" s="7">
        <f>IF(H160="","",H160)</f>
        <v/>
      </c>
      <c r="J164" s="7" t="n">
        <v>3</v>
      </c>
      <c r="K164" s="7" t="n"/>
      <c r="L164" s="40" t="n"/>
      <c r="M164">
        <f>IF(AND(L164&lt;&gt;"",N(I164)&gt;0,N(J164)&gt;0),IF(J164=1,I164,ROUND(I164*(1+J164/30),1)),"")</f>
        <v/>
      </c>
      <c r="N164" s="41">
        <f>IF(M164="","",IF(M164&gt;=PRs!C4,"PR!",""))</f>
        <v/>
      </c>
      <c r="O164" s="7" t="n"/>
    </row>
    <row r="165">
      <c r="A165" s="34" t="n"/>
      <c r="B165" s="34" t="n"/>
      <c r="C165" s="43" t="inlineStr">
        <is>
          <t>Chin-up</t>
        </is>
      </c>
      <c r="D165" s="34" t="inlineStr">
        <is>
          <t>3 x 6-10</t>
        </is>
      </c>
      <c r="E165" s="34" t="n"/>
      <c r="F165" s="34" t="n"/>
      <c r="G165" s="36" t="n"/>
      <c r="H165" s="37" t="n"/>
      <c r="I165" s="34" t="n"/>
      <c r="J165" s="34" t="n"/>
      <c r="K165" s="34" t="n"/>
      <c r="L165" s="34" t="n"/>
      <c r="M165" s="34" t="n"/>
      <c r="N165" s="34" t="n"/>
      <c r="O165" s="38" t="inlineStr">
        <is>
          <t>Leave 1-2 reps in the tank; add weight when you hit the top of the range</t>
        </is>
      </c>
    </row>
    <row r="166">
      <c r="C166" t="inlineStr">
        <is>
          <t xml:space="preserve">      Set 1</t>
        </is>
      </c>
      <c r="E166" t="n">
        <v>6</v>
      </c>
      <c r="H166" s="39">
        <f>IF(H165="","",H165)</f>
        <v/>
      </c>
      <c r="I166" s="7">
        <f>IF(H165="","",H165)</f>
        <v/>
      </c>
      <c r="J166" s="7" t="n">
        <v>6</v>
      </c>
      <c r="K166" s="7" t="n"/>
      <c r="L166" s="40" t="n"/>
      <c r="M166">
        <f>IF(AND(L166&lt;&gt;"",N(I166)&gt;0,N(J166)&gt;0),IF(J166=1,I166,ROUND(I166*(1+J166/30),1)),"")</f>
        <v/>
      </c>
      <c r="N166" s="41">
        <f>IF(M166="","",IF(M166&gt;=PRs!C53,"PR!",""))</f>
        <v/>
      </c>
      <c r="O166" s="7" t="n"/>
    </row>
    <row r="167">
      <c r="C167" t="inlineStr">
        <is>
          <t xml:space="preserve">      Set 2</t>
        </is>
      </c>
      <c r="E167" t="n">
        <v>6</v>
      </c>
      <c r="H167" s="39">
        <f>IF(H165="","",H165)</f>
        <v/>
      </c>
      <c r="I167" s="7">
        <f>IF(H165="","",H165)</f>
        <v/>
      </c>
      <c r="J167" s="7" t="n">
        <v>6</v>
      </c>
      <c r="K167" s="7" t="n"/>
      <c r="L167" s="40" t="n"/>
      <c r="M167">
        <f>IF(AND(L167&lt;&gt;"",N(I167)&gt;0,N(J167)&gt;0),IF(J167=1,I167,ROUND(I167*(1+J167/30),1)),"")</f>
        <v/>
      </c>
      <c r="N167" s="41">
        <f>IF(M167="","",IF(M167&gt;=PRs!C53,"PR!",""))</f>
        <v/>
      </c>
      <c r="O167" s="7" t="n"/>
    </row>
    <row r="168">
      <c r="C168" t="inlineStr">
        <is>
          <t xml:space="preserve">      Set 3</t>
        </is>
      </c>
      <c r="E168" t="n">
        <v>6</v>
      </c>
      <c r="H168" s="39">
        <f>IF(H165="","",H165)</f>
        <v/>
      </c>
      <c r="I168" s="7">
        <f>IF(H165="","",H165)</f>
        <v/>
      </c>
      <c r="J168" s="7" t="n">
        <v>6</v>
      </c>
      <c r="K168" s="7" t="n"/>
      <c r="L168" s="40" t="n"/>
      <c r="M168">
        <f>IF(AND(L168&lt;&gt;"",N(I168)&gt;0,N(J168)&gt;0),IF(J168=1,I168,ROUND(I168*(1+J168/30),1)),"")</f>
        <v/>
      </c>
      <c r="N168" s="41">
        <f>IF(M168="","",IF(M168&gt;=PRs!C53,"PR!",""))</f>
        <v/>
      </c>
      <c r="O168" s="7" t="n"/>
    </row>
    <row r="169">
      <c r="A169" s="34" t="n"/>
      <c r="B169" s="34" t="n"/>
      <c r="C169" s="43" t="inlineStr">
        <is>
          <t>Plank</t>
        </is>
      </c>
      <c r="D169" s="34" t="inlineStr">
        <is>
          <t>3 x 30-60s</t>
        </is>
      </c>
      <c r="E169" s="34" t="n"/>
      <c r="F169" s="34" t="n"/>
      <c r="G169" s="36" t="n"/>
      <c r="H169" s="37" t="n"/>
      <c r="I169" s="34" t="n"/>
      <c r="J169" s="34" t="n"/>
      <c r="K169" s="34" t="n"/>
      <c r="L169" s="34" t="n"/>
      <c r="M169" s="34" t="n"/>
      <c r="N169" s="34" t="n"/>
      <c r="O169" s="38" t="inlineStr">
        <is>
          <t>Leave 1-2 reps in the tank; add weight when you hit the top of the range</t>
        </is>
      </c>
    </row>
    <row r="170">
      <c r="C170" t="inlineStr">
        <is>
          <t xml:space="preserve">      Set 1</t>
        </is>
      </c>
      <c r="E170" t="n">
        <v>30</v>
      </c>
      <c r="H170" s="39">
        <f>IF(H169="","",H169)</f>
        <v/>
      </c>
      <c r="I170" s="7">
        <f>IF(H169="","",H169)</f>
        <v/>
      </c>
      <c r="J170" s="7" t="n">
        <v>30</v>
      </c>
      <c r="K170" s="7" t="n"/>
      <c r="L170" s="40" t="n"/>
      <c r="M170">
        <f>IF(AND(L170&lt;&gt;"",N(I170)&gt;0,N(J170)&gt;0),IF(J170=1,I170,ROUND(I170*(1+J170/30),1)),"")</f>
        <v/>
      </c>
      <c r="N170" s="41">
        <f>IF(M170="","",IF(M170&gt;=PRs!C56,"PR!",""))</f>
        <v/>
      </c>
      <c r="O170" s="7" t="n"/>
    </row>
    <row r="171">
      <c r="C171" t="inlineStr">
        <is>
          <t xml:space="preserve">      Set 2</t>
        </is>
      </c>
      <c r="E171" t="n">
        <v>30</v>
      </c>
      <c r="H171" s="39">
        <f>IF(H169="","",H169)</f>
        <v/>
      </c>
      <c r="I171" s="7">
        <f>IF(H169="","",H169)</f>
        <v/>
      </c>
      <c r="J171" s="7" t="n">
        <v>30</v>
      </c>
      <c r="K171" s="7" t="n"/>
      <c r="L171" s="40" t="n"/>
      <c r="M171">
        <f>IF(AND(L171&lt;&gt;"",N(I171)&gt;0,N(J171)&gt;0),IF(J171=1,I171,ROUND(I171*(1+J171/30),1)),"")</f>
        <v/>
      </c>
      <c r="N171" s="41">
        <f>IF(M171="","",IF(M171&gt;=PRs!C56,"PR!",""))</f>
        <v/>
      </c>
      <c r="O171" s="7" t="n"/>
    </row>
    <row r="172">
      <c r="C172" t="inlineStr">
        <is>
          <t xml:space="preserve">      Set 3</t>
        </is>
      </c>
      <c r="E172" t="n">
        <v>30</v>
      </c>
      <c r="H172" s="39">
        <f>IF(H169="","",H169)</f>
        <v/>
      </c>
      <c r="I172" s="7">
        <f>IF(H169="","",H169)</f>
        <v/>
      </c>
      <c r="J172" s="7" t="n">
        <v>30</v>
      </c>
      <c r="K172" s="7" t="n"/>
      <c r="L172" s="40" t="n"/>
      <c r="M172">
        <f>IF(AND(L172&lt;&gt;"",N(I172)&gt;0,N(J172)&gt;0),IF(J172=1,I172,ROUND(I172*(1+J172/30),1)),"")</f>
        <v/>
      </c>
      <c r="N172" s="41">
        <f>IF(M172="","",IF(M172&gt;=PRs!C56,"PR!",""))</f>
        <v/>
      </c>
      <c r="O172" s="7" t="n"/>
    </row>
    <row r="173">
      <c r="A173" s="31" t="inlineStr">
        <is>
          <t>Day 3 - Variations</t>
        </is>
      </c>
      <c r="B173" s="32">
        <f>'Start Here'!$B$8+235</f>
        <v/>
      </c>
      <c r="C173" s="33" t="n"/>
      <c r="D173" s="33" t="n"/>
      <c r="E173" s="33" t="n"/>
      <c r="F173" s="33" t="n"/>
      <c r="G173" s="33" t="n"/>
      <c r="H173" s="33" t="n"/>
      <c r="I173" s="33" t="n"/>
      <c r="J173" s="33" t="n"/>
      <c r="K173" s="33" t="n"/>
      <c r="L173" s="33" t="n"/>
      <c r="M173" s="33" t="n"/>
      <c r="N173" s="33" t="n"/>
      <c r="O173" s="33" t="n"/>
    </row>
    <row r="174">
      <c r="A174" s="34" t="n"/>
      <c r="B174" s="34" t="n"/>
      <c r="C174" s="35" t="inlineStr">
        <is>
          <t>Vertical Jump</t>
        </is>
      </c>
      <c r="D174" s="34" t="inlineStr">
        <is>
          <t>3 x 2</t>
        </is>
      </c>
      <c r="E174" s="34" t="n"/>
      <c r="F174" s="34" t="n"/>
      <c r="G174" s="36" t="n"/>
      <c r="H174" s="37">
        <f>IF(N(Maxes!G71)&gt;0,Maxes!G71,"")</f>
        <v/>
      </c>
      <c r="I174" s="34" t="n"/>
      <c r="J174" s="34" t="n"/>
      <c r="K174" s="34" t="n"/>
      <c r="L174" s="34" t="n"/>
      <c r="M174" s="34" t="n"/>
      <c r="N174" s="34" t="n"/>
      <c r="O174" s="38" t="inlineStr">
        <is>
          <t>Stand side-on to a wall, reach up and mark it; jump and touch as high as you can. Log jump mark minus standing reach.</t>
        </is>
      </c>
    </row>
    <row r="175">
      <c r="C175" t="inlineStr">
        <is>
          <t xml:space="preserve">      Set 1</t>
        </is>
      </c>
      <c r="E175" t="n">
        <v>2</v>
      </c>
      <c r="H175" s="39">
        <f>IF(H174="","",H174)</f>
        <v/>
      </c>
      <c r="I175" s="7">
        <f>IF(H174="","",H174)</f>
        <v/>
      </c>
      <c r="J175" s="7" t="n">
        <v>2</v>
      </c>
      <c r="K175" s="7" t="n"/>
      <c r="L175" s="40" t="n"/>
      <c r="N175" s="41">
        <f>IF(AND(L175&lt;&gt;"",N(I175)&gt;0),IF(I175&gt;=PRs!D71,"PR!",""),"")</f>
        <v/>
      </c>
      <c r="O175" s="7" t="n"/>
    </row>
    <row r="176">
      <c r="C176" t="inlineStr">
        <is>
          <t xml:space="preserve">      Set 2</t>
        </is>
      </c>
      <c r="E176" t="n">
        <v>2</v>
      </c>
      <c r="H176" s="39">
        <f>IF(H174="","",H174)</f>
        <v/>
      </c>
      <c r="I176" s="7">
        <f>IF(H174="","",H174)</f>
        <v/>
      </c>
      <c r="J176" s="7" t="n">
        <v>2</v>
      </c>
      <c r="K176" s="7" t="n"/>
      <c r="L176" s="40" t="n"/>
      <c r="N176" s="41">
        <f>IF(AND(L176&lt;&gt;"",N(I176)&gt;0),IF(I176&gt;=PRs!D71,"PR!",""),"")</f>
        <v/>
      </c>
      <c r="O176" s="7" t="n"/>
    </row>
    <row r="177">
      <c r="C177" t="inlineStr">
        <is>
          <t xml:space="preserve">      Set 3</t>
        </is>
      </c>
      <c r="E177" t="n">
        <v>2</v>
      </c>
      <c r="H177" s="39">
        <f>IF(H174="","",H174)</f>
        <v/>
      </c>
      <c r="I177" s="7">
        <f>IF(H174="","",H174)</f>
        <v/>
      </c>
      <c r="J177" s="7" t="n">
        <v>2</v>
      </c>
      <c r="K177" s="7" t="n"/>
      <c r="L177" s="40" t="n"/>
      <c r="N177" s="41">
        <f>IF(AND(L177&lt;&gt;"",N(I177)&gt;0),IF(I177&gt;=PRs!D71,"PR!",""),"")</f>
        <v/>
      </c>
      <c r="O177" s="7" t="n"/>
    </row>
    <row r="178">
      <c r="A178" s="34" t="n"/>
      <c r="B178" s="34" t="n"/>
      <c r="C178" s="42" t="inlineStr">
        <is>
          <t>Power Snatch</t>
        </is>
      </c>
      <c r="D178" s="34" t="inlineStr">
        <is>
          <t>5 x 2</t>
        </is>
      </c>
      <c r="E178" s="34" t="n"/>
      <c r="F178" s="34" t="n">
        <v>80</v>
      </c>
      <c r="G178" s="36">
        <f>Maxes!G34</f>
        <v/>
      </c>
      <c r="H178" s="37">
        <f>IF(OR(G178="",F178=""),"",MROUND(G178*F178/100,'Start Here'!$B$7))</f>
        <v/>
      </c>
      <c r="I178" s="34" t="n"/>
      <c r="J178" s="34" t="n"/>
      <c r="K178" s="34" t="n"/>
      <c r="L178" s="34" t="n"/>
      <c r="M178" s="34" t="n"/>
      <c r="N178" s="34" t="n"/>
      <c r="O178" s="38" t="inlineStr"/>
    </row>
    <row r="179">
      <c r="C179" t="inlineStr">
        <is>
          <t xml:space="preserve">      Set 1</t>
        </is>
      </c>
      <c r="E179" t="n">
        <v>2</v>
      </c>
      <c r="H179" s="39">
        <f>IF(H178="","",H178)</f>
        <v/>
      </c>
      <c r="I179" s="7">
        <f>IF(H178="","",H178)</f>
        <v/>
      </c>
      <c r="J179" s="7" t="n">
        <v>2</v>
      </c>
      <c r="K179" s="7" t="n"/>
      <c r="L179" s="40" t="n"/>
      <c r="M179">
        <f>IF(AND(L179&lt;&gt;"",N(I179)&gt;0,N(J179)&gt;0),IF(J179=1,I179,ROUND(I179*(1+J179/30),1)),"")</f>
        <v/>
      </c>
      <c r="N179" s="41">
        <f>IF(M179="","",IF(M179&gt;=PRs!C34,"PR!",""))</f>
        <v/>
      </c>
      <c r="O179" s="7" t="n"/>
    </row>
    <row r="180">
      <c r="C180" t="inlineStr">
        <is>
          <t xml:space="preserve">      Set 2</t>
        </is>
      </c>
      <c r="E180" t="n">
        <v>2</v>
      </c>
      <c r="H180" s="39">
        <f>IF(H178="","",H178)</f>
        <v/>
      </c>
      <c r="I180" s="7">
        <f>IF(H178="","",H178)</f>
        <v/>
      </c>
      <c r="J180" s="7" t="n">
        <v>2</v>
      </c>
      <c r="K180" s="7" t="n"/>
      <c r="L180" s="40" t="n"/>
      <c r="M180">
        <f>IF(AND(L180&lt;&gt;"",N(I180)&gt;0,N(J180)&gt;0),IF(J180=1,I180,ROUND(I180*(1+J180/30),1)),"")</f>
        <v/>
      </c>
      <c r="N180" s="41">
        <f>IF(M180="","",IF(M180&gt;=PRs!C34,"PR!",""))</f>
        <v/>
      </c>
      <c r="O180" s="7" t="n"/>
    </row>
    <row r="181">
      <c r="C181" t="inlineStr">
        <is>
          <t xml:space="preserve">      Set 3</t>
        </is>
      </c>
      <c r="E181" t="n">
        <v>2</v>
      </c>
      <c r="H181" s="39">
        <f>IF(H178="","",H178)</f>
        <v/>
      </c>
      <c r="I181" s="7">
        <f>IF(H178="","",H178)</f>
        <v/>
      </c>
      <c r="J181" s="7" t="n">
        <v>2</v>
      </c>
      <c r="K181" s="7" t="n"/>
      <c r="L181" s="40" t="n"/>
      <c r="M181">
        <f>IF(AND(L181&lt;&gt;"",N(I181)&gt;0,N(J181)&gt;0),IF(J181=1,I181,ROUND(I181*(1+J181/30),1)),"")</f>
        <v/>
      </c>
      <c r="N181" s="41">
        <f>IF(M181="","",IF(M181&gt;=PRs!C34,"PR!",""))</f>
        <v/>
      </c>
      <c r="O181" s="7" t="n"/>
    </row>
    <row r="182">
      <c r="C182" t="inlineStr">
        <is>
          <t xml:space="preserve">      Set 4</t>
        </is>
      </c>
      <c r="E182" t="n">
        <v>2</v>
      </c>
      <c r="H182" s="39">
        <f>IF(H178="","",H178)</f>
        <v/>
      </c>
      <c r="I182" s="7">
        <f>IF(H178="","",H178)</f>
        <v/>
      </c>
      <c r="J182" s="7" t="n">
        <v>2</v>
      </c>
      <c r="K182" s="7" t="n"/>
      <c r="L182" s="40" t="n"/>
      <c r="M182">
        <f>IF(AND(L182&lt;&gt;"",N(I182)&gt;0,N(J182)&gt;0),IF(J182=1,I182,ROUND(I182*(1+J182/30),1)),"")</f>
        <v/>
      </c>
      <c r="N182" s="41">
        <f>IF(M182="","",IF(M182&gt;=PRs!C34,"PR!",""))</f>
        <v/>
      </c>
      <c r="O182" s="7" t="n"/>
    </row>
    <row r="183">
      <c r="C183" t="inlineStr">
        <is>
          <t xml:space="preserve">      Set 5</t>
        </is>
      </c>
      <c r="E183" t="n">
        <v>2</v>
      </c>
      <c r="H183" s="39">
        <f>IF(H178="","",H178)</f>
        <v/>
      </c>
      <c r="I183" s="7">
        <f>IF(H178="","",H178)</f>
        <v/>
      </c>
      <c r="J183" s="7" t="n">
        <v>2</v>
      </c>
      <c r="K183" s="7" t="n"/>
      <c r="L183" s="40" t="n"/>
      <c r="M183">
        <f>IF(AND(L183&lt;&gt;"",N(I183)&gt;0,N(J183)&gt;0),IF(J183=1,I183,ROUND(I183*(1+J183/30),1)),"")</f>
        <v/>
      </c>
      <c r="N183" s="41">
        <f>IF(M183="","",IF(M183&gt;=PRs!C34,"PR!",""))</f>
        <v/>
      </c>
      <c r="O183" s="7" t="n"/>
    </row>
    <row r="184">
      <c r="A184" s="34" t="n"/>
      <c r="B184" s="34" t="n"/>
      <c r="C184" s="42" t="inlineStr">
        <is>
          <t>Safety Bar Squat</t>
        </is>
      </c>
      <c r="D184" s="34" t="inlineStr">
        <is>
          <t>5 x 3</t>
        </is>
      </c>
      <c r="E184" s="34" t="n"/>
      <c r="F184" s="34" t="n">
        <v>80</v>
      </c>
      <c r="G184" s="36">
        <f>Maxes!G11</f>
        <v/>
      </c>
      <c r="H184" s="37">
        <f>IF(OR(G184="",F184=""),"",MROUND(G184*F184/100,'Start Here'!$B$7))</f>
        <v/>
      </c>
      <c r="I184" s="34" t="n"/>
      <c r="J184" s="34" t="n"/>
      <c r="K184" s="34" t="n"/>
      <c r="L184" s="34" t="n"/>
      <c r="M184" s="34" t="n"/>
      <c r="N184" s="34" t="n"/>
      <c r="O184" s="38" t="inlineStr"/>
    </row>
    <row r="185">
      <c r="C185" t="inlineStr">
        <is>
          <t xml:space="preserve">      Set 1</t>
        </is>
      </c>
      <c r="E185" t="n">
        <v>3</v>
      </c>
      <c r="H185" s="39">
        <f>IF(H184="","",H184)</f>
        <v/>
      </c>
      <c r="I185" s="7">
        <f>IF(H184="","",H184)</f>
        <v/>
      </c>
      <c r="J185" s="7" t="n">
        <v>3</v>
      </c>
      <c r="K185" s="7" t="n"/>
      <c r="L185" s="40" t="n"/>
      <c r="M185">
        <f>IF(AND(L185&lt;&gt;"",N(I185)&gt;0,N(J185)&gt;0),IF(J185=1,I185,ROUND(I185*(1+J185/30),1)),"")</f>
        <v/>
      </c>
      <c r="N185" s="41">
        <f>IF(M185="","",IF(M185&gt;=PRs!C11,"PR!",""))</f>
        <v/>
      </c>
      <c r="O185" s="7" t="n"/>
    </row>
    <row r="186">
      <c r="C186" t="inlineStr">
        <is>
          <t xml:space="preserve">      Set 2</t>
        </is>
      </c>
      <c r="E186" t="n">
        <v>3</v>
      </c>
      <c r="H186" s="39">
        <f>IF(H184="","",H184)</f>
        <v/>
      </c>
      <c r="I186" s="7">
        <f>IF(H184="","",H184)</f>
        <v/>
      </c>
      <c r="J186" s="7" t="n">
        <v>3</v>
      </c>
      <c r="K186" s="7" t="n"/>
      <c r="L186" s="40" t="n"/>
      <c r="M186">
        <f>IF(AND(L186&lt;&gt;"",N(I186)&gt;0,N(J186)&gt;0),IF(J186=1,I186,ROUND(I186*(1+J186/30),1)),"")</f>
        <v/>
      </c>
      <c r="N186" s="41">
        <f>IF(M186="","",IF(M186&gt;=PRs!C11,"PR!",""))</f>
        <v/>
      </c>
      <c r="O186" s="7" t="n"/>
    </row>
    <row r="187">
      <c r="C187" t="inlineStr">
        <is>
          <t xml:space="preserve">      Set 3</t>
        </is>
      </c>
      <c r="E187" t="n">
        <v>3</v>
      </c>
      <c r="H187" s="39">
        <f>IF(H184="","",H184)</f>
        <v/>
      </c>
      <c r="I187" s="7">
        <f>IF(H184="","",H184)</f>
        <v/>
      </c>
      <c r="J187" s="7" t="n">
        <v>3</v>
      </c>
      <c r="K187" s="7" t="n"/>
      <c r="L187" s="40" t="n"/>
      <c r="M187">
        <f>IF(AND(L187&lt;&gt;"",N(I187)&gt;0,N(J187)&gt;0),IF(J187=1,I187,ROUND(I187*(1+J187/30),1)),"")</f>
        <v/>
      </c>
      <c r="N187" s="41">
        <f>IF(M187="","",IF(M187&gt;=PRs!C11,"PR!",""))</f>
        <v/>
      </c>
      <c r="O187" s="7" t="n"/>
    </row>
    <row r="188">
      <c r="C188" t="inlineStr">
        <is>
          <t xml:space="preserve">      Set 4</t>
        </is>
      </c>
      <c r="E188" t="n">
        <v>3</v>
      </c>
      <c r="H188" s="39">
        <f>IF(H184="","",H184)</f>
        <v/>
      </c>
      <c r="I188" s="7">
        <f>IF(H184="","",H184)</f>
        <v/>
      </c>
      <c r="J188" s="7" t="n">
        <v>3</v>
      </c>
      <c r="K188" s="7" t="n"/>
      <c r="L188" s="40" t="n"/>
      <c r="M188">
        <f>IF(AND(L188&lt;&gt;"",N(I188)&gt;0,N(J188)&gt;0),IF(J188=1,I188,ROUND(I188*(1+J188/30),1)),"")</f>
        <v/>
      </c>
      <c r="N188" s="41">
        <f>IF(M188="","",IF(M188&gt;=PRs!C11,"PR!",""))</f>
        <v/>
      </c>
      <c r="O188" s="7" t="n"/>
    </row>
    <row r="189">
      <c r="C189" t="inlineStr">
        <is>
          <t xml:space="preserve">      Set 5</t>
        </is>
      </c>
      <c r="E189" t="n">
        <v>3</v>
      </c>
      <c r="H189" s="39">
        <f>IF(H184="","",H184)</f>
        <v/>
      </c>
      <c r="I189" s="7">
        <f>IF(H184="","",H184)</f>
        <v/>
      </c>
      <c r="J189" s="7" t="n">
        <v>3</v>
      </c>
      <c r="K189" s="7" t="n"/>
      <c r="L189" s="40" t="n"/>
      <c r="M189">
        <f>IF(AND(L189&lt;&gt;"",N(I189)&gt;0,N(J189)&gt;0),IF(J189=1,I189,ROUND(I189*(1+J189/30),1)),"")</f>
        <v/>
      </c>
      <c r="N189" s="41">
        <f>IF(M189="","",IF(M189&gt;=PRs!C11,"PR!",""))</f>
        <v/>
      </c>
      <c r="O189" s="7" t="n"/>
    </row>
    <row r="190">
      <c r="A190" s="34" t="n"/>
      <c r="B190" s="34" t="n"/>
      <c r="C190" s="42" t="inlineStr">
        <is>
          <t>2-Board Press</t>
        </is>
      </c>
      <c r="D190" s="34" t="inlineStr">
        <is>
          <t>5 x 3</t>
        </is>
      </c>
      <c r="E190" s="34" t="n"/>
      <c r="F190" s="34" t="n">
        <v>80</v>
      </c>
      <c r="G190" s="36">
        <f>Maxes!G16</f>
        <v/>
      </c>
      <c r="H190" s="37">
        <f>IF(OR(G190="",F190=""),"",MROUND(G190*F190/100,'Start Here'!$B$7))</f>
        <v/>
      </c>
      <c r="I190" s="34" t="n"/>
      <c r="J190" s="34" t="n"/>
      <c r="K190" s="34" t="n"/>
      <c r="L190" s="34" t="n"/>
      <c r="M190" s="34" t="n"/>
      <c r="N190" s="34" t="n"/>
      <c r="O190" s="38" t="inlineStr"/>
    </row>
    <row r="191">
      <c r="C191" t="inlineStr">
        <is>
          <t xml:space="preserve">      Set 1</t>
        </is>
      </c>
      <c r="E191" t="n">
        <v>3</v>
      </c>
      <c r="H191" s="39">
        <f>IF(H190="","",H190)</f>
        <v/>
      </c>
      <c r="I191" s="7">
        <f>IF(H190="","",H190)</f>
        <v/>
      </c>
      <c r="J191" s="7" t="n">
        <v>3</v>
      </c>
      <c r="K191" s="7" t="n"/>
      <c r="L191" s="40" t="n"/>
      <c r="M191">
        <f>IF(AND(L191&lt;&gt;"",N(I191)&gt;0,N(J191)&gt;0),IF(J191=1,I191,ROUND(I191*(1+J191/30),1)),"")</f>
        <v/>
      </c>
      <c r="N191" s="41">
        <f>IF(M191="","",IF(M191&gt;=PRs!C16,"PR!",""))</f>
        <v/>
      </c>
      <c r="O191" s="7" t="n"/>
    </row>
    <row r="192">
      <c r="C192" t="inlineStr">
        <is>
          <t xml:space="preserve">      Set 2</t>
        </is>
      </c>
      <c r="E192" t="n">
        <v>3</v>
      </c>
      <c r="H192" s="39">
        <f>IF(H190="","",H190)</f>
        <v/>
      </c>
      <c r="I192" s="7">
        <f>IF(H190="","",H190)</f>
        <v/>
      </c>
      <c r="J192" s="7" t="n">
        <v>3</v>
      </c>
      <c r="K192" s="7" t="n"/>
      <c r="L192" s="40" t="n"/>
      <c r="M192">
        <f>IF(AND(L192&lt;&gt;"",N(I192)&gt;0,N(J192)&gt;0),IF(J192=1,I192,ROUND(I192*(1+J192/30),1)),"")</f>
        <v/>
      </c>
      <c r="N192" s="41">
        <f>IF(M192="","",IF(M192&gt;=PRs!C16,"PR!",""))</f>
        <v/>
      </c>
      <c r="O192" s="7" t="n"/>
    </row>
    <row r="193">
      <c r="C193" t="inlineStr">
        <is>
          <t xml:space="preserve">      Set 3</t>
        </is>
      </c>
      <c r="E193" t="n">
        <v>3</v>
      </c>
      <c r="H193" s="39">
        <f>IF(H190="","",H190)</f>
        <v/>
      </c>
      <c r="I193" s="7">
        <f>IF(H190="","",H190)</f>
        <v/>
      </c>
      <c r="J193" s="7" t="n">
        <v>3</v>
      </c>
      <c r="K193" s="7" t="n"/>
      <c r="L193" s="40" t="n"/>
      <c r="M193">
        <f>IF(AND(L193&lt;&gt;"",N(I193)&gt;0,N(J193)&gt;0),IF(J193=1,I193,ROUND(I193*(1+J193/30),1)),"")</f>
        <v/>
      </c>
      <c r="N193" s="41">
        <f>IF(M193="","",IF(M193&gt;=PRs!C16,"PR!",""))</f>
        <v/>
      </c>
      <c r="O193" s="7" t="n"/>
    </row>
    <row r="194">
      <c r="C194" t="inlineStr">
        <is>
          <t xml:space="preserve">      Set 4</t>
        </is>
      </c>
      <c r="E194" t="n">
        <v>3</v>
      </c>
      <c r="H194" s="39">
        <f>IF(H190="","",H190)</f>
        <v/>
      </c>
      <c r="I194" s="7">
        <f>IF(H190="","",H190)</f>
        <v/>
      </c>
      <c r="J194" s="7" t="n">
        <v>3</v>
      </c>
      <c r="K194" s="7" t="n"/>
      <c r="L194" s="40" t="n"/>
      <c r="M194">
        <f>IF(AND(L194&lt;&gt;"",N(I194)&gt;0,N(J194)&gt;0),IF(J194=1,I194,ROUND(I194*(1+J194/30),1)),"")</f>
        <v/>
      </c>
      <c r="N194" s="41">
        <f>IF(M194="","",IF(M194&gt;=PRs!C16,"PR!",""))</f>
        <v/>
      </c>
      <c r="O194" s="7" t="n"/>
    </row>
    <row r="195">
      <c r="C195" t="inlineStr">
        <is>
          <t xml:space="preserve">      Set 5</t>
        </is>
      </c>
      <c r="E195" t="n">
        <v>3</v>
      </c>
      <c r="H195" s="39">
        <f>IF(H190="","",H190)</f>
        <v/>
      </c>
      <c r="I195" s="7">
        <f>IF(H190="","",H190)</f>
        <v/>
      </c>
      <c r="J195" s="7" t="n">
        <v>3</v>
      </c>
      <c r="K195" s="7" t="n"/>
      <c r="L195" s="40" t="n"/>
      <c r="M195">
        <f>IF(AND(L195&lt;&gt;"",N(I195)&gt;0,N(J195)&gt;0),IF(J195=1,I195,ROUND(I195*(1+J195/30),1)),"")</f>
        <v/>
      </c>
      <c r="N195" s="41">
        <f>IF(M195="","",IF(M195&gt;=PRs!C16,"PR!",""))</f>
        <v/>
      </c>
      <c r="O195" s="7" t="n"/>
    </row>
    <row r="196">
      <c r="A196" s="34" t="n"/>
      <c r="B196" s="34" t="n"/>
      <c r="C196" s="42" t="inlineStr">
        <is>
          <t>Romanian Deadlift</t>
        </is>
      </c>
      <c r="D196" s="34" t="inlineStr">
        <is>
          <t>3 x 5</t>
        </is>
      </c>
      <c r="E196" s="34" t="n"/>
      <c r="F196" s="34" t="n">
        <v>70</v>
      </c>
      <c r="G196" s="36">
        <f>Maxes!G23</f>
        <v/>
      </c>
      <c r="H196" s="37">
        <f>IF(OR(G196="",F196=""),"",MROUND(G196*F196/100,'Start Here'!$B$7))</f>
        <v/>
      </c>
      <c r="I196" s="34" t="n"/>
      <c r="J196" s="34" t="n"/>
      <c r="K196" s="34" t="n"/>
      <c r="L196" s="34" t="n"/>
      <c r="M196" s="34" t="n"/>
      <c r="N196" s="34" t="n"/>
      <c r="O196" s="38" t="inlineStr"/>
    </row>
    <row r="197">
      <c r="C197" t="inlineStr">
        <is>
          <t xml:space="preserve">      Set 1</t>
        </is>
      </c>
      <c r="E197" t="n">
        <v>5</v>
      </c>
      <c r="H197" s="39">
        <f>IF(H196="","",H196)</f>
        <v/>
      </c>
      <c r="I197" s="7">
        <f>IF(H196="","",H196)</f>
        <v/>
      </c>
      <c r="J197" s="7" t="n">
        <v>5</v>
      </c>
      <c r="K197" s="7" t="n"/>
      <c r="L197" s="40" t="n"/>
      <c r="M197">
        <f>IF(AND(L197&lt;&gt;"",N(I197)&gt;0,N(J197)&gt;0),IF(J197=1,I197,ROUND(I197*(1+J197/30),1)),"")</f>
        <v/>
      </c>
      <c r="N197" s="41">
        <f>IF(M197="","",IF(M197&gt;=PRs!C23,"PR!",""))</f>
        <v/>
      </c>
      <c r="O197" s="7" t="n"/>
    </row>
    <row r="198">
      <c r="C198" t="inlineStr">
        <is>
          <t xml:space="preserve">      Set 2</t>
        </is>
      </c>
      <c r="E198" t="n">
        <v>5</v>
      </c>
      <c r="H198" s="39">
        <f>IF(H196="","",H196)</f>
        <v/>
      </c>
      <c r="I198" s="7">
        <f>IF(H196="","",H196)</f>
        <v/>
      </c>
      <c r="J198" s="7" t="n">
        <v>5</v>
      </c>
      <c r="K198" s="7" t="n"/>
      <c r="L198" s="40" t="n"/>
      <c r="M198">
        <f>IF(AND(L198&lt;&gt;"",N(I198)&gt;0,N(J198)&gt;0),IF(J198=1,I198,ROUND(I198*(1+J198/30),1)),"")</f>
        <v/>
      </c>
      <c r="N198" s="41">
        <f>IF(M198="","",IF(M198&gt;=PRs!C23,"PR!",""))</f>
        <v/>
      </c>
      <c r="O198" s="7" t="n"/>
    </row>
    <row r="199">
      <c r="C199" t="inlineStr">
        <is>
          <t xml:space="preserve">      Set 3</t>
        </is>
      </c>
      <c r="E199" t="n">
        <v>5</v>
      </c>
      <c r="H199" s="39">
        <f>IF(H196="","",H196)</f>
        <v/>
      </c>
      <c r="I199" s="7">
        <f>IF(H196="","",H196)</f>
        <v/>
      </c>
      <c r="J199" s="7" t="n">
        <v>5</v>
      </c>
      <c r="K199" s="7" t="n"/>
      <c r="L199" s="40" t="n"/>
      <c r="M199">
        <f>IF(AND(L199&lt;&gt;"",N(I199)&gt;0,N(J199)&gt;0),IF(J199=1,I199,ROUND(I199*(1+J199/30),1)),"")</f>
        <v/>
      </c>
      <c r="N199" s="41">
        <f>IF(M199="","",IF(M199&gt;=PRs!C23,"PR!",""))</f>
        <v/>
      </c>
      <c r="O199" s="7" t="n"/>
    </row>
    <row r="200">
      <c r="A200" s="34" t="n"/>
      <c r="B200" s="34" t="n"/>
      <c r="C200" s="43" t="inlineStr">
        <is>
          <t>Incline Dumbbell Press</t>
        </is>
      </c>
      <c r="D200" s="34" t="inlineStr">
        <is>
          <t>3 x 8-12</t>
        </is>
      </c>
      <c r="E200" s="34" t="n"/>
      <c r="F200" s="34" t="n"/>
      <c r="G200" s="36" t="n"/>
      <c r="H200" s="37" t="n"/>
      <c r="I200" s="34" t="n"/>
      <c r="J200" s="34" t="n"/>
      <c r="K200" s="34" t="n"/>
      <c r="L200" s="34" t="n"/>
      <c r="M200" s="34" t="n"/>
      <c r="N200" s="34" t="n"/>
      <c r="O200" s="38" t="inlineStr">
        <is>
          <t>Leave 1-2 reps in the tank; add weight when you hit the top of the range</t>
        </is>
      </c>
    </row>
    <row r="201">
      <c r="C201" t="inlineStr">
        <is>
          <t xml:space="preserve">      Set 1</t>
        </is>
      </c>
      <c r="E201" t="n">
        <v>8</v>
      </c>
      <c r="H201" s="39">
        <f>IF(H200="","",H200)</f>
        <v/>
      </c>
      <c r="I201" s="7">
        <f>IF(H200="","",H200)</f>
        <v/>
      </c>
      <c r="J201" s="7" t="n">
        <v>8</v>
      </c>
      <c r="K201" s="7" t="n"/>
      <c r="L201" s="40" t="n"/>
      <c r="M201">
        <f>IF(AND(L201&lt;&gt;"",N(I201)&gt;0,N(J201)&gt;0),IF(J201=1,I201,ROUND(I201*(1+J201/30),1)),"")</f>
        <v/>
      </c>
      <c r="N201" s="41">
        <f>IF(M201="","",IF(M201&gt;=PRs!C57,"PR!",""))</f>
        <v/>
      </c>
      <c r="O201" s="7" t="n"/>
    </row>
    <row r="202">
      <c r="C202" t="inlineStr">
        <is>
          <t xml:space="preserve">      Set 2</t>
        </is>
      </c>
      <c r="E202" t="n">
        <v>8</v>
      </c>
      <c r="H202" s="39">
        <f>IF(H200="","",H200)</f>
        <v/>
      </c>
      <c r="I202" s="7">
        <f>IF(H200="","",H200)</f>
        <v/>
      </c>
      <c r="J202" s="7" t="n">
        <v>8</v>
      </c>
      <c r="K202" s="7" t="n"/>
      <c r="L202" s="40" t="n"/>
      <c r="M202">
        <f>IF(AND(L202&lt;&gt;"",N(I202)&gt;0,N(J202)&gt;0),IF(J202=1,I202,ROUND(I202*(1+J202/30),1)),"")</f>
        <v/>
      </c>
      <c r="N202" s="41">
        <f>IF(M202="","",IF(M202&gt;=PRs!C57,"PR!",""))</f>
        <v/>
      </c>
      <c r="O202" s="7" t="n"/>
    </row>
    <row r="203">
      <c r="C203" t="inlineStr">
        <is>
          <t xml:space="preserve">      Set 3</t>
        </is>
      </c>
      <c r="E203" t="n">
        <v>8</v>
      </c>
      <c r="H203" s="39">
        <f>IF(H200="","",H200)</f>
        <v/>
      </c>
      <c r="I203" s="7">
        <f>IF(H200="","",H200)</f>
        <v/>
      </c>
      <c r="J203" s="7" t="n">
        <v>8</v>
      </c>
      <c r="K203" s="7" t="n"/>
      <c r="L203" s="40" t="n"/>
      <c r="M203">
        <f>IF(AND(L203&lt;&gt;"",N(I203)&gt;0,N(J203)&gt;0),IF(J203=1,I203,ROUND(I203*(1+J203/30),1)),"")</f>
        <v/>
      </c>
      <c r="N203" s="41">
        <f>IF(M203="","",IF(M203&gt;=PRs!C57,"PR!",""))</f>
        <v/>
      </c>
      <c r="O203" s="7" t="n"/>
    </row>
    <row r="204">
      <c r="A204" s="34" t="n"/>
      <c r="B204" s="34" t="n"/>
      <c r="C204" s="43" t="inlineStr">
        <is>
          <t>Triceps Pushdown</t>
        </is>
      </c>
      <c r="D204" s="34" t="inlineStr">
        <is>
          <t>3 x 10-15</t>
        </is>
      </c>
      <c r="E204" s="34" t="n"/>
      <c r="F204" s="34" t="n"/>
      <c r="G204" s="36" t="n"/>
      <c r="H204" s="37" t="n"/>
      <c r="I204" s="34" t="n"/>
      <c r="J204" s="34" t="n"/>
      <c r="K204" s="34" t="n"/>
      <c r="L204" s="34" t="n"/>
      <c r="M204" s="34" t="n"/>
      <c r="N204" s="34" t="n"/>
      <c r="O204" s="38" t="inlineStr">
        <is>
          <t>Leave 1-2 reps in the tank; add weight when you hit the top of the range</t>
        </is>
      </c>
    </row>
    <row r="205">
      <c r="C205" t="inlineStr">
        <is>
          <t xml:space="preserve">      Set 1</t>
        </is>
      </c>
      <c r="E205" t="n">
        <v>10</v>
      </c>
      <c r="H205" s="39">
        <f>IF(H204="","",H204)</f>
        <v/>
      </c>
      <c r="I205" s="7">
        <f>IF(H204="","",H204)</f>
        <v/>
      </c>
      <c r="J205" s="7" t="n">
        <v>10</v>
      </c>
      <c r="K205" s="7" t="n"/>
      <c r="L205" s="40" t="n"/>
      <c r="M205">
        <f>IF(AND(L205&lt;&gt;"",N(I205)&gt;0,N(J205)&gt;0),IF(J205=1,I205,ROUND(I205*(1+J205/30),1)),"")</f>
        <v/>
      </c>
      <c r="N205" s="41">
        <f>IF(M205="","",IF(M205&gt;=PRs!C59,"PR!",""))</f>
        <v/>
      </c>
      <c r="O205" s="7" t="n"/>
    </row>
    <row r="206">
      <c r="C206" t="inlineStr">
        <is>
          <t xml:space="preserve">      Set 2</t>
        </is>
      </c>
      <c r="E206" t="n">
        <v>10</v>
      </c>
      <c r="H206" s="39">
        <f>IF(H204="","",H204)</f>
        <v/>
      </c>
      <c r="I206" s="7">
        <f>IF(H204="","",H204)</f>
        <v/>
      </c>
      <c r="J206" s="7" t="n">
        <v>10</v>
      </c>
      <c r="K206" s="7" t="n"/>
      <c r="L206" s="40" t="n"/>
      <c r="M206">
        <f>IF(AND(L206&lt;&gt;"",N(I206)&gt;0,N(J206)&gt;0),IF(J206=1,I206,ROUND(I206*(1+J206/30),1)),"")</f>
        <v/>
      </c>
      <c r="N206" s="41">
        <f>IF(M206="","",IF(M206&gt;=PRs!C59,"PR!",""))</f>
        <v/>
      </c>
      <c r="O206" s="7" t="n"/>
    </row>
    <row r="207">
      <c r="C207" t="inlineStr">
        <is>
          <t xml:space="preserve">      Set 3</t>
        </is>
      </c>
      <c r="E207" t="n">
        <v>10</v>
      </c>
      <c r="H207" s="39">
        <f>IF(H204="","",H204)</f>
        <v/>
      </c>
      <c r="I207" s="7">
        <f>IF(H204="","",H204)</f>
        <v/>
      </c>
      <c r="J207" s="7" t="n">
        <v>10</v>
      </c>
      <c r="K207" s="7" t="n"/>
      <c r="L207" s="40" t="n"/>
      <c r="M207">
        <f>IF(AND(L207&lt;&gt;"",N(I207)&gt;0,N(J207)&gt;0),IF(J207=1,I207,ROUND(I207*(1+J207/30),1)),"")</f>
        <v/>
      </c>
      <c r="N207" s="41">
        <f>IF(M207="","",IF(M207&gt;=PRs!C59,"PR!",""))</f>
        <v/>
      </c>
      <c r="O207" s="7" t="n"/>
    </row>
    <row r="209">
      <c r="A209" s="28" t="inlineStr">
        <is>
          <t>WEEK 35 - CYCLE 3 - TAPER</t>
        </is>
      </c>
      <c r="B209" s="29" t="n"/>
      <c r="C209" s="29" t="n"/>
      <c r="D209" s="29" t="n"/>
      <c r="E209" s="29" t="n"/>
      <c r="F209" s="29" t="n"/>
      <c r="G209" s="29" t="n"/>
      <c r="H209" s="30" t="inlineStr">
        <is>
          <t>Bodyweight:</t>
        </is>
      </c>
      <c r="I209" s="7" t="n"/>
      <c r="J209" s="29" t="n"/>
      <c r="K209" s="29" t="n"/>
      <c r="L209" s="29" t="n"/>
      <c r="M209" s="29" t="n"/>
      <c r="N209" s="29" t="n"/>
      <c r="O209" s="29" t="n"/>
    </row>
    <row r="210">
      <c r="A210" s="31" t="inlineStr">
        <is>
          <t>Day 1 - Heavy</t>
        </is>
      </c>
      <c r="B210" s="32">
        <f>'Start Here'!$B$8+238</f>
        <v/>
      </c>
      <c r="C210" s="33" t="n"/>
      <c r="D210" s="33" t="n"/>
      <c r="E210" s="33" t="n"/>
      <c r="F210" s="33" t="n"/>
      <c r="G210" s="33" t="n"/>
      <c r="H210" s="33" t="n"/>
      <c r="I210" s="33" t="n"/>
      <c r="J210" s="33" t="n"/>
      <c r="K210" s="33" t="n"/>
      <c r="L210" s="33" t="n"/>
      <c r="M210" s="33" t="n"/>
      <c r="N210" s="33" t="n"/>
      <c r="O210" s="33" t="n"/>
    </row>
    <row r="211">
      <c r="A211" s="34" t="n"/>
      <c r="B211" s="34" t="n"/>
      <c r="C211" s="35" t="inlineStr">
        <is>
          <t>Box Jump</t>
        </is>
      </c>
      <c r="D211" s="34" t="inlineStr">
        <is>
          <t>2 x 2</t>
        </is>
      </c>
      <c r="E211" s="34" t="n"/>
      <c r="F211" s="34" t="n"/>
      <c r="G211" s="36" t="n"/>
      <c r="H211" s="37">
        <f>IF(N(Maxes!G69)&gt;0,Maxes!G69,'Start Here'!$G$16)</f>
        <v/>
      </c>
      <c r="I211" s="34" t="n"/>
      <c r="J211" s="34" t="n"/>
      <c r="K211" s="34" t="n"/>
      <c r="L211" s="34" t="n"/>
      <c r="M211" s="34" t="n"/>
      <c r="N211" s="34" t="n"/>
      <c r="O211" s="38" t="inlineStr">
        <is>
          <t>Two-foot jump onto a box, land soft in a quarter squat, STEP down. Log the box height (floor to top of box).</t>
        </is>
      </c>
    </row>
    <row r="212">
      <c r="C212" t="inlineStr">
        <is>
          <t xml:space="preserve">      Set 1</t>
        </is>
      </c>
      <c r="E212" t="n">
        <v>2</v>
      </c>
      <c r="H212" s="39">
        <f>IF(H211="","",H211)</f>
        <v/>
      </c>
      <c r="I212" s="7">
        <f>IF(H211="","",H211)</f>
        <v/>
      </c>
      <c r="J212" s="7" t="n">
        <v>2</v>
      </c>
      <c r="K212" s="7" t="n"/>
      <c r="L212" s="40" t="n"/>
      <c r="N212" s="41">
        <f>IF(AND(L212&lt;&gt;"",N(I212)&gt;0),IF(I212&gt;=PRs!D69,"PR!",""),"")</f>
        <v/>
      </c>
      <c r="O212" s="7" t="n"/>
    </row>
    <row r="213">
      <c r="C213" t="inlineStr">
        <is>
          <t xml:space="preserve">      Set 2</t>
        </is>
      </c>
      <c r="E213" t="n">
        <v>2</v>
      </c>
      <c r="H213" s="39">
        <f>IF(H211="","",H211)</f>
        <v/>
      </c>
      <c r="I213" s="7">
        <f>IF(H211="","",H211)</f>
        <v/>
      </c>
      <c r="J213" s="7" t="n">
        <v>2</v>
      </c>
      <c r="K213" s="7" t="n"/>
      <c r="L213" s="40" t="n"/>
      <c r="N213" s="41">
        <f>IF(AND(L213&lt;&gt;"",N(I213)&gt;0),IF(I213&gt;=PRs!D69,"PR!",""),"")</f>
        <v/>
      </c>
      <c r="O213" s="7" t="n"/>
    </row>
    <row r="214">
      <c r="A214" s="34" t="n"/>
      <c r="B214" s="34" t="n"/>
      <c r="C214" s="42" t="inlineStr">
        <is>
          <t>Snatch</t>
        </is>
      </c>
      <c r="D214" s="34" t="inlineStr">
        <is>
          <t>3 x 1</t>
        </is>
      </c>
      <c r="E214" s="34" t="n"/>
      <c r="F214" s="34" t="n">
        <v>80</v>
      </c>
      <c r="G214" s="36">
        <f>Maxes!G6</f>
        <v/>
      </c>
      <c r="H214" s="37">
        <f>IF(OR(G214="",F214=""),"",MROUND(G214*F214/100,'Start Here'!$B$7))</f>
        <v/>
      </c>
      <c r="I214" s="34" t="n"/>
      <c r="J214" s="34" t="n"/>
      <c r="K214" s="34" t="n"/>
      <c r="L214" s="34" t="n"/>
      <c r="M214" s="34" t="n"/>
      <c r="N214" s="34" t="n"/>
      <c r="O214" s="38" t="inlineStr">
        <is>
          <t>Keep it heavy but short - no grinding</t>
        </is>
      </c>
    </row>
    <row r="215">
      <c r="C215" t="inlineStr">
        <is>
          <t xml:space="preserve">      Set 1</t>
        </is>
      </c>
      <c r="E215" t="n">
        <v>1</v>
      </c>
      <c r="H215" s="39">
        <f>IF(H214="","",H214)</f>
        <v/>
      </c>
      <c r="I215" s="7">
        <f>IF(H214="","",H214)</f>
        <v/>
      </c>
      <c r="J215" s="7" t="n">
        <v>1</v>
      </c>
      <c r="K215" s="7" t="n"/>
      <c r="L215" s="40" t="n"/>
      <c r="M215">
        <f>IF(AND(L215&lt;&gt;"",N(I215)&gt;0,N(J215)&gt;0),IF(J215=1,I215,ROUND(I215*(1+J215/30),1)),"")</f>
        <v/>
      </c>
      <c r="N215" s="41">
        <f>IF(M215="","",IF(M215&gt;=PRs!C6,"PR!",""))</f>
        <v/>
      </c>
      <c r="O215" s="7" t="n"/>
    </row>
    <row r="216">
      <c r="C216" t="inlineStr">
        <is>
          <t xml:space="preserve">      Set 2</t>
        </is>
      </c>
      <c r="E216" t="n">
        <v>1</v>
      </c>
      <c r="H216" s="39">
        <f>IF(H214="","",H214)</f>
        <v/>
      </c>
      <c r="I216" s="7">
        <f>IF(H214="","",H214)</f>
        <v/>
      </c>
      <c r="J216" s="7" t="n">
        <v>1</v>
      </c>
      <c r="K216" s="7" t="n"/>
      <c r="L216" s="40" t="n"/>
      <c r="M216">
        <f>IF(AND(L216&lt;&gt;"",N(I216)&gt;0,N(J216)&gt;0),IF(J216=1,I216,ROUND(I216*(1+J216/30),1)),"")</f>
        <v/>
      </c>
      <c r="N216" s="41">
        <f>IF(M216="","",IF(M216&gt;=PRs!C6,"PR!",""))</f>
        <v/>
      </c>
      <c r="O216" s="7" t="n"/>
    </row>
    <row r="217">
      <c r="C217" t="inlineStr">
        <is>
          <t xml:space="preserve">      Set 3</t>
        </is>
      </c>
      <c r="E217" t="n">
        <v>1</v>
      </c>
      <c r="H217" s="39">
        <f>IF(H214="","",H214)</f>
        <v/>
      </c>
      <c r="I217" s="7">
        <f>IF(H214="","",H214)</f>
        <v/>
      </c>
      <c r="J217" s="7" t="n">
        <v>1</v>
      </c>
      <c r="K217" s="7" t="n"/>
      <c r="L217" s="40" t="n"/>
      <c r="M217">
        <f>IF(AND(L217&lt;&gt;"",N(I217)&gt;0,N(J217)&gt;0),IF(J217=1,I217,ROUND(I217*(1+J217/30),1)),"")</f>
        <v/>
      </c>
      <c r="N217" s="41">
        <f>IF(M217="","",IF(M217&gt;=PRs!C6,"PR!",""))</f>
        <v/>
      </c>
      <c r="O217" s="7" t="n"/>
    </row>
    <row r="218">
      <c r="A218" s="34" t="n"/>
      <c r="B218" s="34" t="n"/>
      <c r="C218" s="42" t="inlineStr">
        <is>
          <t>Squat</t>
        </is>
      </c>
      <c r="D218" s="34" t="inlineStr">
        <is>
          <t>3 x 2</t>
        </is>
      </c>
      <c r="E218" s="34" t="n"/>
      <c r="F218" s="34" t="n">
        <v>80</v>
      </c>
      <c r="G218" s="36">
        <f>Maxes!G2</f>
        <v/>
      </c>
      <c r="H218" s="37">
        <f>IF(OR(G218="",F218=""),"",MROUND(G218*F218/100,'Start Here'!$B$7))</f>
        <v/>
      </c>
      <c r="I218" s="34" t="n"/>
      <c r="J218" s="34" t="n"/>
      <c r="K218" s="34" t="n"/>
      <c r="L218" s="34" t="n"/>
      <c r="M218" s="34" t="n"/>
      <c r="N218" s="34" t="n"/>
      <c r="O218" s="38" t="inlineStr">
        <is>
          <t>Keep it heavy but short - no grinding</t>
        </is>
      </c>
    </row>
    <row r="219">
      <c r="C219" t="inlineStr">
        <is>
          <t xml:space="preserve">      Set 1</t>
        </is>
      </c>
      <c r="E219" t="n">
        <v>2</v>
      </c>
      <c r="H219" s="39">
        <f>IF(H218="","",H218)</f>
        <v/>
      </c>
      <c r="I219" s="7">
        <f>IF(H218="","",H218)</f>
        <v/>
      </c>
      <c r="J219" s="7" t="n">
        <v>2</v>
      </c>
      <c r="K219" s="7" t="n"/>
      <c r="L219" s="40" t="n"/>
      <c r="M219">
        <f>IF(AND(L219&lt;&gt;"",N(I219)&gt;0,N(J219)&gt;0),IF(J219=1,I219,ROUND(I219*(1+J219/30),1)),"")</f>
        <v/>
      </c>
      <c r="N219" s="41">
        <f>IF(M219="","",IF(M219&gt;=PRs!C2,"PR!",""))</f>
        <v/>
      </c>
      <c r="O219" s="7" t="n"/>
    </row>
    <row r="220">
      <c r="C220" t="inlineStr">
        <is>
          <t xml:space="preserve">      Set 2</t>
        </is>
      </c>
      <c r="E220" t="n">
        <v>2</v>
      </c>
      <c r="H220" s="39">
        <f>IF(H218="","",H218)</f>
        <v/>
      </c>
      <c r="I220" s="7">
        <f>IF(H218="","",H218)</f>
        <v/>
      </c>
      <c r="J220" s="7" t="n">
        <v>2</v>
      </c>
      <c r="K220" s="7" t="n"/>
      <c r="L220" s="40" t="n"/>
      <c r="M220">
        <f>IF(AND(L220&lt;&gt;"",N(I220)&gt;0,N(J220)&gt;0),IF(J220=1,I220,ROUND(I220*(1+J220/30),1)),"")</f>
        <v/>
      </c>
      <c r="N220" s="41">
        <f>IF(M220="","",IF(M220&gt;=PRs!C2,"PR!",""))</f>
        <v/>
      </c>
      <c r="O220" s="7" t="n"/>
    </row>
    <row r="221">
      <c r="C221" t="inlineStr">
        <is>
          <t xml:space="preserve">      Set 3</t>
        </is>
      </c>
      <c r="E221" t="n">
        <v>2</v>
      </c>
      <c r="H221" s="39">
        <f>IF(H218="","",H218)</f>
        <v/>
      </c>
      <c r="I221" s="7">
        <f>IF(H218="","",H218)</f>
        <v/>
      </c>
      <c r="J221" s="7" t="n">
        <v>2</v>
      </c>
      <c r="K221" s="7" t="n"/>
      <c r="L221" s="40" t="n"/>
      <c r="M221">
        <f>IF(AND(L221&lt;&gt;"",N(I221)&gt;0,N(J221)&gt;0),IF(J221=1,I221,ROUND(I221*(1+J221/30),1)),"")</f>
        <v/>
      </c>
      <c r="N221" s="41">
        <f>IF(M221="","",IF(M221&gt;=PRs!C2,"PR!",""))</f>
        <v/>
      </c>
      <c r="O221" s="7" t="n"/>
    </row>
    <row r="222">
      <c r="A222" s="34" t="n"/>
      <c r="B222" s="34" t="n"/>
      <c r="C222" s="42" t="inlineStr">
        <is>
          <t>Bench Press</t>
        </is>
      </c>
      <c r="D222" s="34" t="inlineStr">
        <is>
          <t>3 x 2</t>
        </is>
      </c>
      <c r="E222" s="34" t="n"/>
      <c r="F222" s="34" t="n">
        <v>80</v>
      </c>
      <c r="G222" s="36">
        <f>Maxes!G3</f>
        <v/>
      </c>
      <c r="H222" s="37">
        <f>IF(OR(G222="",F222=""),"",MROUND(G222*F222/100,'Start Here'!$B$7))</f>
        <v/>
      </c>
      <c r="I222" s="34" t="n"/>
      <c r="J222" s="34" t="n"/>
      <c r="K222" s="34" t="n"/>
      <c r="L222" s="34" t="n"/>
      <c r="M222" s="34" t="n"/>
      <c r="N222" s="34" t="n"/>
      <c r="O222" s="38" t="inlineStr">
        <is>
          <t>Keep it heavy but short - no grinding</t>
        </is>
      </c>
    </row>
    <row r="223">
      <c r="C223" t="inlineStr">
        <is>
          <t xml:space="preserve">      Set 1</t>
        </is>
      </c>
      <c r="E223" t="n">
        <v>2</v>
      </c>
      <c r="H223" s="39">
        <f>IF(H222="","",H222)</f>
        <v/>
      </c>
      <c r="I223" s="7">
        <f>IF(H222="","",H222)</f>
        <v/>
      </c>
      <c r="J223" s="7" t="n">
        <v>2</v>
      </c>
      <c r="K223" s="7" t="n"/>
      <c r="L223" s="40" t="n"/>
      <c r="M223">
        <f>IF(AND(L223&lt;&gt;"",N(I223)&gt;0,N(J223)&gt;0),IF(J223=1,I223,ROUND(I223*(1+J223/30),1)),"")</f>
        <v/>
      </c>
      <c r="N223" s="41">
        <f>IF(M223="","",IF(M223&gt;=PRs!C3,"PR!",""))</f>
        <v/>
      </c>
      <c r="O223" s="7" t="n"/>
    </row>
    <row r="224">
      <c r="C224" t="inlineStr">
        <is>
          <t xml:space="preserve">      Set 2</t>
        </is>
      </c>
      <c r="E224" t="n">
        <v>2</v>
      </c>
      <c r="H224" s="39">
        <f>IF(H222="","",H222)</f>
        <v/>
      </c>
      <c r="I224" s="7">
        <f>IF(H222="","",H222)</f>
        <v/>
      </c>
      <c r="J224" s="7" t="n">
        <v>2</v>
      </c>
      <c r="K224" s="7" t="n"/>
      <c r="L224" s="40" t="n"/>
      <c r="M224">
        <f>IF(AND(L224&lt;&gt;"",N(I224)&gt;0,N(J224)&gt;0),IF(J224=1,I224,ROUND(I224*(1+J224/30),1)),"")</f>
        <v/>
      </c>
      <c r="N224" s="41">
        <f>IF(M224="","",IF(M224&gt;=PRs!C3,"PR!",""))</f>
        <v/>
      </c>
      <c r="O224" s="7" t="n"/>
    </row>
    <row r="225">
      <c r="C225" t="inlineStr">
        <is>
          <t xml:space="preserve">      Set 3</t>
        </is>
      </c>
      <c r="E225" t="n">
        <v>2</v>
      </c>
      <c r="H225" s="39">
        <f>IF(H222="","",H222)</f>
        <v/>
      </c>
      <c r="I225" s="7">
        <f>IF(H222="","",H222)</f>
        <v/>
      </c>
      <c r="J225" s="7" t="n">
        <v>2</v>
      </c>
      <c r="K225" s="7" t="n"/>
      <c r="L225" s="40" t="n"/>
      <c r="M225">
        <f>IF(AND(L225&lt;&gt;"",N(I225)&gt;0,N(J225)&gt;0),IF(J225=1,I225,ROUND(I225*(1+J225/30),1)),"")</f>
        <v/>
      </c>
      <c r="N225" s="41">
        <f>IF(M225="","",IF(M225&gt;=PRs!C3,"PR!",""))</f>
        <v/>
      </c>
      <c r="O225" s="7" t="n"/>
    </row>
    <row r="226">
      <c r="A226" s="34" t="n"/>
      <c r="B226" s="34" t="n"/>
      <c r="C226" s="43" t="inlineStr">
        <is>
          <t>Barbell Row</t>
        </is>
      </c>
      <c r="D226" s="34" t="inlineStr">
        <is>
          <t>2 x 8-10</t>
        </is>
      </c>
      <c r="E226" s="34" t="n"/>
      <c r="F226" s="34" t="n"/>
      <c r="G226" s="36" t="n"/>
      <c r="H226" s="37" t="n"/>
      <c r="I226" s="34" t="n"/>
      <c r="J226" s="34" t="n"/>
      <c r="K226" s="34" t="n"/>
      <c r="L226" s="34" t="n"/>
      <c r="M226" s="34" t="n"/>
      <c r="N226" s="34" t="n"/>
      <c r="O226" s="38" t="inlineStr">
        <is>
          <t>Light - save energy for test week</t>
        </is>
      </c>
    </row>
    <row r="227">
      <c r="C227" t="inlineStr">
        <is>
          <t xml:space="preserve">      Set 1</t>
        </is>
      </c>
      <c r="E227" t="n">
        <v>8</v>
      </c>
      <c r="H227" s="39">
        <f>IF(H226="","",H226)</f>
        <v/>
      </c>
      <c r="I227" s="7">
        <f>IF(H226="","",H226)</f>
        <v/>
      </c>
      <c r="J227" s="7" t="n">
        <v>8</v>
      </c>
      <c r="K227" s="7" t="n"/>
      <c r="L227" s="40" t="n"/>
      <c r="M227">
        <f>IF(AND(L227&lt;&gt;"",N(I227)&gt;0,N(J227)&gt;0),IF(J227=1,I227,ROUND(I227*(1+J227/30),1)),"")</f>
        <v/>
      </c>
      <c r="N227" s="41">
        <f>IF(M227="","",IF(M227&gt;=PRs!C50,"PR!",""))</f>
        <v/>
      </c>
      <c r="O227" s="7" t="n"/>
    </row>
    <row r="228">
      <c r="C228" t="inlineStr">
        <is>
          <t xml:space="preserve">      Set 2</t>
        </is>
      </c>
      <c r="E228" t="n">
        <v>8</v>
      </c>
      <c r="H228" s="39">
        <f>IF(H226="","",H226)</f>
        <v/>
      </c>
      <c r="I228" s="7">
        <f>IF(H226="","",H226)</f>
        <v/>
      </c>
      <c r="J228" s="7" t="n">
        <v>8</v>
      </c>
      <c r="K228" s="7" t="n"/>
      <c r="L228" s="40" t="n"/>
      <c r="M228">
        <f>IF(AND(L228&lt;&gt;"",N(I228)&gt;0,N(J228)&gt;0),IF(J228=1,I228,ROUND(I228*(1+J228/30),1)),"")</f>
        <v/>
      </c>
      <c r="N228" s="41">
        <f>IF(M228="","",IF(M228&gt;=PRs!C50,"PR!",""))</f>
        <v/>
      </c>
      <c r="O228" s="7" t="n"/>
    </row>
    <row r="229">
      <c r="A229" s="34" t="n"/>
      <c r="B229" s="34" t="n"/>
      <c r="C229" s="43" t="inlineStr">
        <is>
          <t>Face Pull</t>
        </is>
      </c>
      <c r="D229" s="34" t="inlineStr">
        <is>
          <t>2 x 12-15</t>
        </is>
      </c>
      <c r="E229" s="34" t="n"/>
      <c r="F229" s="34" t="n"/>
      <c r="G229" s="36" t="n"/>
      <c r="H229" s="37" t="n"/>
      <c r="I229" s="34" t="n"/>
      <c r="J229" s="34" t="n"/>
      <c r="K229" s="34" t="n"/>
      <c r="L229" s="34" t="n"/>
      <c r="M229" s="34" t="n"/>
      <c r="N229" s="34" t="n"/>
      <c r="O229" s="38" t="inlineStr">
        <is>
          <t>Light - save energy for test week</t>
        </is>
      </c>
    </row>
    <row r="230">
      <c r="C230" t="inlineStr">
        <is>
          <t xml:space="preserve">      Set 1</t>
        </is>
      </c>
      <c r="E230" t="n">
        <v>12</v>
      </c>
      <c r="H230" s="39">
        <f>IF(H229="","",H229)</f>
        <v/>
      </c>
      <c r="I230" s="7">
        <f>IF(H229="","",H229)</f>
        <v/>
      </c>
      <c r="J230" s="7" t="n">
        <v>12</v>
      </c>
      <c r="K230" s="7" t="n"/>
      <c r="L230" s="40" t="n"/>
      <c r="M230">
        <f>IF(AND(L230&lt;&gt;"",N(I230)&gt;0,N(J230)&gt;0),IF(J230=1,I230,ROUND(I230*(1+J230/30),1)),"")</f>
        <v/>
      </c>
      <c r="N230" s="41">
        <f>IF(M230="","",IF(M230&gt;=PRs!C51,"PR!",""))</f>
        <v/>
      </c>
      <c r="O230" s="7" t="n"/>
    </row>
    <row r="231">
      <c r="C231" t="inlineStr">
        <is>
          <t xml:space="preserve">      Set 2</t>
        </is>
      </c>
      <c r="E231" t="n">
        <v>12</v>
      </c>
      <c r="H231" s="39">
        <f>IF(H229="","",H229)</f>
        <v/>
      </c>
      <c r="I231" s="7">
        <f>IF(H229="","",H229)</f>
        <v/>
      </c>
      <c r="J231" s="7" t="n">
        <v>12</v>
      </c>
      <c r="K231" s="7" t="n"/>
      <c r="L231" s="40" t="n"/>
      <c r="M231">
        <f>IF(AND(L231&lt;&gt;"",N(I231)&gt;0,N(J231)&gt;0),IF(J231=1,I231,ROUND(I231*(1+J231/30),1)),"")</f>
        <v/>
      </c>
      <c r="N231" s="41">
        <f>IF(M231="","",IF(M231&gt;=PRs!C51,"PR!",""))</f>
        <v/>
      </c>
      <c r="O231" s="7" t="n"/>
    </row>
    <row r="232">
      <c r="A232" s="31" t="inlineStr">
        <is>
          <t>Day 2 - Light</t>
        </is>
      </c>
      <c r="B232" s="32">
        <f>'Start Here'!$B$8+240</f>
        <v/>
      </c>
      <c r="C232" s="33" t="n"/>
      <c r="D232" s="33" t="n"/>
      <c r="E232" s="33" t="n"/>
      <c r="F232" s="33" t="n"/>
      <c r="G232" s="33" t="n"/>
      <c r="H232" s="33" t="n"/>
      <c r="I232" s="33" t="n"/>
      <c r="J232" s="33" t="n"/>
      <c r="K232" s="33" t="n"/>
      <c r="L232" s="33" t="n"/>
      <c r="M232" s="33" t="n"/>
      <c r="N232" s="33" t="n"/>
      <c r="O232" s="33" t="n"/>
    </row>
    <row r="233">
      <c r="A233" s="34" t="n"/>
      <c r="B233" s="34" t="n"/>
      <c r="C233" s="35" t="inlineStr">
        <is>
          <t>Broad Jump</t>
        </is>
      </c>
      <c r="D233" s="34" t="inlineStr">
        <is>
          <t>2 x 2</t>
        </is>
      </c>
      <c r="E233" s="34" t="n"/>
      <c r="F233" s="34" t="n"/>
      <c r="G233" s="36" t="n"/>
      <c r="H233" s="37">
        <f>IF(N(Maxes!G70)&gt;0,Maxes!G70,"")</f>
        <v/>
      </c>
      <c r="I233" s="34" t="n"/>
      <c r="J233" s="34" t="n"/>
      <c r="K233" s="34" t="n"/>
      <c r="L233" s="34" t="n"/>
      <c r="M233" s="34" t="n"/>
      <c r="N233" s="34" t="n"/>
      <c r="O233" s="38" t="inlineStr">
        <is>
          <t>Standing two-foot jump forward, stick the landing. Measure toe line to the back of the nearest heel.</t>
        </is>
      </c>
    </row>
    <row r="234">
      <c r="C234" t="inlineStr">
        <is>
          <t xml:space="preserve">      Set 1</t>
        </is>
      </c>
      <c r="E234" t="n">
        <v>2</v>
      </c>
      <c r="H234" s="39">
        <f>IF(H233="","",H233)</f>
        <v/>
      </c>
      <c r="I234" s="7">
        <f>IF(H233="","",H233)</f>
        <v/>
      </c>
      <c r="J234" s="7" t="n">
        <v>2</v>
      </c>
      <c r="K234" s="7" t="n"/>
      <c r="L234" s="40" t="n"/>
      <c r="N234" s="41">
        <f>IF(AND(L234&lt;&gt;"",N(I234)&gt;0),IF(I234&gt;=PRs!D70,"PR!",""),"")</f>
        <v/>
      </c>
      <c r="O234" s="7" t="n"/>
    </row>
    <row r="235">
      <c r="C235" t="inlineStr">
        <is>
          <t xml:space="preserve">      Set 2</t>
        </is>
      </c>
      <c r="E235" t="n">
        <v>2</v>
      </c>
      <c r="H235" s="39">
        <f>IF(H233="","",H233)</f>
        <v/>
      </c>
      <c r="I235" s="7">
        <f>IF(H233="","",H233)</f>
        <v/>
      </c>
      <c r="J235" s="7" t="n">
        <v>2</v>
      </c>
      <c r="K235" s="7" t="n"/>
      <c r="L235" s="40" t="n"/>
      <c r="N235" s="41">
        <f>IF(AND(L235&lt;&gt;"",N(I235)&gt;0),IF(I235&gt;=PRs!D70,"PR!",""),"")</f>
        <v/>
      </c>
      <c r="O235" s="7" t="n"/>
    </row>
    <row r="236">
      <c r="A236" s="34" t="n"/>
      <c r="B236" s="34" t="n"/>
      <c r="C236" s="35" t="inlineStr">
        <is>
          <t>Med Ball Chest Pass</t>
        </is>
      </c>
      <c r="D236" s="34" t="inlineStr">
        <is>
          <t>2 x 3</t>
        </is>
      </c>
      <c r="E236" s="34" t="n"/>
      <c r="F236" s="34" t="n"/>
      <c r="G236" s="36" t="n"/>
      <c r="H236" s="37">
        <f>IF(N(Maxes!G77)&gt;0,Maxes!G77,"")</f>
        <v/>
      </c>
      <c r="I236" s="34" t="n"/>
      <c r="J236" s="34" t="n"/>
      <c r="K236" s="34" t="n"/>
      <c r="L236" s="34" t="n"/>
      <c r="M236" s="34" t="n"/>
      <c r="N236" s="34" t="n"/>
      <c r="O236" s="38" t="inlineStr">
        <is>
          <t>Kneeling or standing chest pass for distance with a 6-10 lb / 3-5 kg ball. Log the distance.</t>
        </is>
      </c>
    </row>
    <row r="237">
      <c r="C237" t="inlineStr">
        <is>
          <t xml:space="preserve">      Set 1</t>
        </is>
      </c>
      <c r="E237" t="n">
        <v>3</v>
      </c>
      <c r="H237" s="39">
        <f>IF(H236="","",H236)</f>
        <v/>
      </c>
      <c r="I237" s="7">
        <f>IF(H236="","",H236)</f>
        <v/>
      </c>
      <c r="J237" s="7" t="n">
        <v>3</v>
      </c>
      <c r="K237" s="7" t="n"/>
      <c r="L237" s="40" t="n"/>
      <c r="N237" s="41">
        <f>IF(AND(L237&lt;&gt;"",N(I237)&gt;0),IF(I237&gt;=PRs!D77,"PR!",""),"")</f>
        <v/>
      </c>
      <c r="O237" s="7" t="n"/>
    </row>
    <row r="238">
      <c r="C238" t="inlineStr">
        <is>
          <t xml:space="preserve">      Set 2</t>
        </is>
      </c>
      <c r="E238" t="n">
        <v>3</v>
      </c>
      <c r="H238" s="39">
        <f>IF(H236="","",H236)</f>
        <v/>
      </c>
      <c r="I238" s="7">
        <f>IF(H236="","",H236)</f>
        <v/>
      </c>
      <c r="J238" s="7" t="n">
        <v>3</v>
      </c>
      <c r="K238" s="7" t="n"/>
      <c r="L238" s="40" t="n"/>
      <c r="N238" s="41">
        <f>IF(AND(L238&lt;&gt;"",N(I238)&gt;0),IF(I238&gt;=PRs!D77,"PR!",""),"")</f>
        <v/>
      </c>
      <c r="O238" s="7" t="n"/>
    </row>
    <row r="239">
      <c r="A239" s="34" t="n"/>
      <c r="B239" s="34" t="n"/>
      <c r="C239" s="42" t="inlineStr">
        <is>
          <t>Clean &amp; Jerk</t>
        </is>
      </c>
      <c r="D239" s="34" t="inlineStr">
        <is>
          <t>2 x 1</t>
        </is>
      </c>
      <c r="E239" s="34" t="n"/>
      <c r="F239" s="34" t="n">
        <v>80</v>
      </c>
      <c r="G239" s="36">
        <f>Maxes!G7</f>
        <v/>
      </c>
      <c r="H239" s="37">
        <f>IF(OR(G239="",F239=""),"",MROUND(G239*F239/100,'Start Here'!$B$7))</f>
        <v/>
      </c>
      <c r="I239" s="34" t="n"/>
      <c r="J239" s="34" t="n"/>
      <c r="K239" s="34" t="n"/>
      <c r="L239" s="34" t="n"/>
      <c r="M239" s="34" t="n"/>
      <c r="N239" s="34" t="n"/>
      <c r="O239" s="38" t="inlineStr">
        <is>
          <t>Keep it heavy but short - no grinding</t>
        </is>
      </c>
    </row>
    <row r="240">
      <c r="C240" t="inlineStr">
        <is>
          <t xml:space="preserve">      Set 1</t>
        </is>
      </c>
      <c r="E240" t="n">
        <v>1</v>
      </c>
      <c r="H240" s="39">
        <f>IF(H239="","",H239)</f>
        <v/>
      </c>
      <c r="I240" s="7">
        <f>IF(H239="","",H239)</f>
        <v/>
      </c>
      <c r="J240" s="7" t="n">
        <v>1</v>
      </c>
      <c r="K240" s="7" t="n"/>
      <c r="L240" s="40" t="n"/>
      <c r="M240">
        <f>IF(AND(L240&lt;&gt;"",N(I240)&gt;0,N(J240)&gt;0),IF(J240=1,I240,ROUND(I240*(1+J240/30),1)),"")</f>
        <v/>
      </c>
      <c r="N240" s="41">
        <f>IF(M240="","",IF(M240&gt;=PRs!C7,"PR!",""))</f>
        <v/>
      </c>
      <c r="O240" s="7" t="n"/>
    </row>
    <row r="241">
      <c r="C241" t="inlineStr">
        <is>
          <t xml:space="preserve">      Set 2</t>
        </is>
      </c>
      <c r="E241" t="n">
        <v>1</v>
      </c>
      <c r="H241" s="39">
        <f>IF(H239="","",H239)</f>
        <v/>
      </c>
      <c r="I241" s="7">
        <f>IF(H239="","",H239)</f>
        <v/>
      </c>
      <c r="J241" s="7" t="n">
        <v>1</v>
      </c>
      <c r="K241" s="7" t="n"/>
      <c r="L241" s="40" t="n"/>
      <c r="M241">
        <f>IF(AND(L241&lt;&gt;"",N(I241)&gt;0,N(J241)&gt;0),IF(J241=1,I241,ROUND(I241*(1+J241/30),1)),"")</f>
        <v/>
      </c>
      <c r="N241" s="41">
        <f>IF(M241="","",IF(M241&gt;=PRs!C7,"PR!",""))</f>
        <v/>
      </c>
      <c r="O241" s="7" t="n"/>
    </row>
    <row r="242">
      <c r="A242" s="34" t="n"/>
      <c r="B242" s="34" t="n"/>
      <c r="C242" s="42" t="inlineStr">
        <is>
          <t>Squat</t>
        </is>
      </c>
      <c r="D242" s="34" t="inlineStr">
        <is>
          <t>2 x 3</t>
        </is>
      </c>
      <c r="E242" s="34" t="n"/>
      <c r="F242" s="34" t="n">
        <v>65</v>
      </c>
      <c r="G242" s="36">
        <f>Maxes!G2</f>
        <v/>
      </c>
      <c r="H242" s="37">
        <f>IF(OR(G242="",F242=""),"",MROUND(G242*F242/100,'Start Here'!$B$7))</f>
        <v/>
      </c>
      <c r="I242" s="34" t="n"/>
      <c r="J242" s="34" t="n"/>
      <c r="K242" s="34" t="n"/>
      <c r="L242" s="34" t="n"/>
      <c r="M242" s="34" t="n"/>
      <c r="N242" s="34" t="n"/>
      <c r="O242" s="38" t="inlineStr">
        <is>
          <t>Easy</t>
        </is>
      </c>
    </row>
    <row r="243">
      <c r="C243" t="inlineStr">
        <is>
          <t xml:space="preserve">      Set 1</t>
        </is>
      </c>
      <c r="E243" t="n">
        <v>3</v>
      </c>
      <c r="H243" s="39">
        <f>IF(H242="","",H242)</f>
        <v/>
      </c>
      <c r="I243" s="7">
        <f>IF(H242="","",H242)</f>
        <v/>
      </c>
      <c r="J243" s="7" t="n">
        <v>3</v>
      </c>
      <c r="K243" s="7" t="n"/>
      <c r="L243" s="40" t="n"/>
      <c r="M243">
        <f>IF(AND(L243&lt;&gt;"",N(I243)&gt;0,N(J243)&gt;0),IF(J243=1,I243,ROUND(I243*(1+J243/30),1)),"")</f>
        <v/>
      </c>
      <c r="N243" s="41">
        <f>IF(M243="","",IF(M243&gt;=PRs!C2,"PR!",""))</f>
        <v/>
      </c>
      <c r="O243" s="7" t="n"/>
    </row>
    <row r="244">
      <c r="C244" t="inlineStr">
        <is>
          <t xml:space="preserve">      Set 2</t>
        </is>
      </c>
      <c r="E244" t="n">
        <v>3</v>
      </c>
      <c r="H244" s="39">
        <f>IF(H242="","",H242)</f>
        <v/>
      </c>
      <c r="I244" s="7">
        <f>IF(H242="","",H242)</f>
        <v/>
      </c>
      <c r="J244" s="7" t="n">
        <v>3</v>
      </c>
      <c r="K244" s="7" t="n"/>
      <c r="L244" s="40" t="n"/>
      <c r="M244">
        <f>IF(AND(L244&lt;&gt;"",N(I244)&gt;0,N(J244)&gt;0),IF(J244=1,I244,ROUND(I244*(1+J244/30),1)),"")</f>
        <v/>
      </c>
      <c r="N244" s="41">
        <f>IF(M244="","",IF(M244&gt;=PRs!C2,"PR!",""))</f>
        <v/>
      </c>
      <c r="O244" s="7" t="n"/>
    </row>
    <row r="245">
      <c r="A245" s="34" t="n"/>
      <c r="B245" s="34" t="n"/>
      <c r="C245" s="42" t="inlineStr">
        <is>
          <t>Overhead Press</t>
        </is>
      </c>
      <c r="D245" s="34" t="inlineStr">
        <is>
          <t>2 x 2</t>
        </is>
      </c>
      <c r="E245" s="34" t="n"/>
      <c r="F245" s="34" t="n">
        <v>80</v>
      </c>
      <c r="G245" s="36">
        <f>Maxes!G5</f>
        <v/>
      </c>
      <c r="H245" s="37">
        <f>IF(OR(G245="",F245=""),"",MROUND(G245*F245/100,'Start Here'!$B$7))</f>
        <v/>
      </c>
      <c r="I245" s="34" t="n"/>
      <c r="J245" s="34" t="n"/>
      <c r="K245" s="34" t="n"/>
      <c r="L245" s="34" t="n"/>
      <c r="M245" s="34" t="n"/>
      <c r="N245" s="34" t="n"/>
      <c r="O245" s="38" t="inlineStr">
        <is>
          <t>Keep it heavy but short - no grinding</t>
        </is>
      </c>
    </row>
    <row r="246">
      <c r="C246" t="inlineStr">
        <is>
          <t xml:space="preserve">      Set 1</t>
        </is>
      </c>
      <c r="E246" t="n">
        <v>2</v>
      </c>
      <c r="H246" s="39">
        <f>IF(H245="","",H245)</f>
        <v/>
      </c>
      <c r="I246" s="7">
        <f>IF(H245="","",H245)</f>
        <v/>
      </c>
      <c r="J246" s="7" t="n">
        <v>2</v>
      </c>
      <c r="K246" s="7" t="n"/>
      <c r="L246" s="40" t="n"/>
      <c r="M246">
        <f>IF(AND(L246&lt;&gt;"",N(I246)&gt;0,N(J246)&gt;0),IF(J246=1,I246,ROUND(I246*(1+J246/30),1)),"")</f>
        <v/>
      </c>
      <c r="N246" s="41">
        <f>IF(M246="","",IF(M246&gt;=PRs!C5,"PR!",""))</f>
        <v/>
      </c>
      <c r="O246" s="7" t="n"/>
    </row>
    <row r="247">
      <c r="C247" t="inlineStr">
        <is>
          <t xml:space="preserve">      Set 2</t>
        </is>
      </c>
      <c r="E247" t="n">
        <v>2</v>
      </c>
      <c r="H247" s="39">
        <f>IF(H245="","",H245)</f>
        <v/>
      </c>
      <c r="I247" s="7">
        <f>IF(H245="","",H245)</f>
        <v/>
      </c>
      <c r="J247" s="7" t="n">
        <v>2</v>
      </c>
      <c r="K247" s="7" t="n"/>
      <c r="L247" s="40" t="n"/>
      <c r="M247">
        <f>IF(AND(L247&lt;&gt;"",N(I247)&gt;0,N(J247)&gt;0),IF(J247=1,I247,ROUND(I247*(1+J247/30),1)),"")</f>
        <v/>
      </c>
      <c r="N247" s="41">
        <f>IF(M247="","",IF(M247&gt;=PRs!C5,"PR!",""))</f>
        <v/>
      </c>
      <c r="O247" s="7" t="n"/>
    </row>
    <row r="248">
      <c r="A248" s="34" t="n"/>
      <c r="B248" s="34" t="n"/>
      <c r="C248" s="42" t="inlineStr">
        <is>
          <t>Deadlift</t>
        </is>
      </c>
      <c r="D248" s="34" t="inlineStr">
        <is>
          <t>2 x 2</t>
        </is>
      </c>
      <c r="E248" s="34" t="n"/>
      <c r="F248" s="34" t="n">
        <v>80</v>
      </c>
      <c r="G248" s="36">
        <f>Maxes!G4</f>
        <v/>
      </c>
      <c r="H248" s="37">
        <f>IF(OR(G248="",F248=""),"",MROUND(G248*F248/100,'Start Here'!$B$7))</f>
        <v/>
      </c>
      <c r="I248" s="34" t="n"/>
      <c r="J248" s="34" t="n"/>
      <c r="K248" s="34" t="n"/>
      <c r="L248" s="34" t="n"/>
      <c r="M248" s="34" t="n"/>
      <c r="N248" s="34" t="n"/>
      <c r="O248" s="38" t="inlineStr">
        <is>
          <t>Keep it heavy but short - no grinding</t>
        </is>
      </c>
    </row>
    <row r="249">
      <c r="C249" t="inlineStr">
        <is>
          <t xml:space="preserve">      Set 1</t>
        </is>
      </c>
      <c r="E249" t="n">
        <v>2</v>
      </c>
      <c r="H249" s="39">
        <f>IF(H248="","",H248)</f>
        <v/>
      </c>
      <c r="I249" s="7">
        <f>IF(H248="","",H248)</f>
        <v/>
      </c>
      <c r="J249" s="7" t="n">
        <v>2</v>
      </c>
      <c r="K249" s="7" t="n"/>
      <c r="L249" s="40" t="n"/>
      <c r="M249">
        <f>IF(AND(L249&lt;&gt;"",N(I249)&gt;0,N(J249)&gt;0),IF(J249=1,I249,ROUND(I249*(1+J249/30),1)),"")</f>
        <v/>
      </c>
      <c r="N249" s="41">
        <f>IF(M249="","",IF(M249&gt;=PRs!C4,"PR!",""))</f>
        <v/>
      </c>
      <c r="O249" s="7" t="n"/>
    </row>
    <row r="250">
      <c r="C250" t="inlineStr">
        <is>
          <t xml:space="preserve">      Set 2</t>
        </is>
      </c>
      <c r="E250" t="n">
        <v>2</v>
      </c>
      <c r="H250" s="39">
        <f>IF(H248="","",H248)</f>
        <v/>
      </c>
      <c r="I250" s="7">
        <f>IF(H248="","",H248)</f>
        <v/>
      </c>
      <c r="J250" s="7" t="n">
        <v>2</v>
      </c>
      <c r="K250" s="7" t="n"/>
      <c r="L250" s="40" t="n"/>
      <c r="M250">
        <f>IF(AND(L250&lt;&gt;"",N(I250)&gt;0,N(J250)&gt;0),IF(J250=1,I250,ROUND(I250*(1+J250/30),1)),"")</f>
        <v/>
      </c>
      <c r="N250" s="41">
        <f>IF(M250="","",IF(M250&gt;=PRs!C4,"PR!",""))</f>
        <v/>
      </c>
      <c r="O250" s="7" t="n"/>
    </row>
    <row r="251">
      <c r="A251" s="34" t="n"/>
      <c r="B251" s="34" t="n"/>
      <c r="C251" s="43" t="inlineStr">
        <is>
          <t>Chin-up</t>
        </is>
      </c>
      <c r="D251" s="34" t="inlineStr">
        <is>
          <t>2 x 6-10</t>
        </is>
      </c>
      <c r="E251" s="34" t="n"/>
      <c r="F251" s="34" t="n"/>
      <c r="G251" s="36" t="n"/>
      <c r="H251" s="37" t="n"/>
      <c r="I251" s="34" t="n"/>
      <c r="J251" s="34" t="n"/>
      <c r="K251" s="34" t="n"/>
      <c r="L251" s="34" t="n"/>
      <c r="M251" s="34" t="n"/>
      <c r="N251" s="34" t="n"/>
      <c r="O251" s="38" t="inlineStr">
        <is>
          <t>Light - save energy for test week</t>
        </is>
      </c>
    </row>
    <row r="252">
      <c r="C252" t="inlineStr">
        <is>
          <t xml:space="preserve">      Set 1</t>
        </is>
      </c>
      <c r="E252" t="n">
        <v>6</v>
      </c>
      <c r="H252" s="39">
        <f>IF(H251="","",H251)</f>
        <v/>
      </c>
      <c r="I252" s="7">
        <f>IF(H251="","",H251)</f>
        <v/>
      </c>
      <c r="J252" s="7" t="n">
        <v>6</v>
      </c>
      <c r="K252" s="7" t="n"/>
      <c r="L252" s="40" t="n"/>
      <c r="M252">
        <f>IF(AND(L252&lt;&gt;"",N(I252)&gt;0,N(J252)&gt;0),IF(J252=1,I252,ROUND(I252*(1+J252/30),1)),"")</f>
        <v/>
      </c>
      <c r="N252" s="41">
        <f>IF(M252="","",IF(M252&gt;=PRs!C53,"PR!",""))</f>
        <v/>
      </c>
      <c r="O252" s="7" t="n"/>
    </row>
    <row r="253">
      <c r="C253" t="inlineStr">
        <is>
          <t xml:space="preserve">      Set 2</t>
        </is>
      </c>
      <c r="E253" t="n">
        <v>6</v>
      </c>
      <c r="H253" s="39">
        <f>IF(H251="","",H251)</f>
        <v/>
      </c>
      <c r="I253" s="7">
        <f>IF(H251="","",H251)</f>
        <v/>
      </c>
      <c r="J253" s="7" t="n">
        <v>6</v>
      </c>
      <c r="K253" s="7" t="n"/>
      <c r="L253" s="40" t="n"/>
      <c r="M253">
        <f>IF(AND(L253&lt;&gt;"",N(I253)&gt;0,N(J253)&gt;0),IF(J253=1,I253,ROUND(I253*(1+J253/30),1)),"")</f>
        <v/>
      </c>
      <c r="N253" s="41">
        <f>IF(M253="","",IF(M253&gt;=PRs!C53,"PR!",""))</f>
        <v/>
      </c>
      <c r="O253" s="7" t="n"/>
    </row>
    <row r="254">
      <c r="A254" s="34" t="n"/>
      <c r="B254" s="34" t="n"/>
      <c r="C254" s="43" t="inlineStr">
        <is>
          <t>Plank</t>
        </is>
      </c>
      <c r="D254" s="34" t="inlineStr">
        <is>
          <t>2 x 30-60s</t>
        </is>
      </c>
      <c r="E254" s="34" t="n"/>
      <c r="F254" s="34" t="n"/>
      <c r="G254" s="36" t="n"/>
      <c r="H254" s="37" t="n"/>
      <c r="I254" s="34" t="n"/>
      <c r="J254" s="34" t="n"/>
      <c r="K254" s="34" t="n"/>
      <c r="L254" s="34" t="n"/>
      <c r="M254" s="34" t="n"/>
      <c r="N254" s="34" t="n"/>
      <c r="O254" s="38" t="inlineStr">
        <is>
          <t>Light - save energy for test week</t>
        </is>
      </c>
    </row>
    <row r="255">
      <c r="C255" t="inlineStr">
        <is>
          <t xml:space="preserve">      Set 1</t>
        </is>
      </c>
      <c r="E255" t="n">
        <v>30</v>
      </c>
      <c r="H255" s="39">
        <f>IF(H254="","",H254)</f>
        <v/>
      </c>
      <c r="I255" s="7">
        <f>IF(H254="","",H254)</f>
        <v/>
      </c>
      <c r="J255" s="7" t="n">
        <v>30</v>
      </c>
      <c r="K255" s="7" t="n"/>
      <c r="L255" s="40" t="n"/>
      <c r="M255">
        <f>IF(AND(L255&lt;&gt;"",N(I255)&gt;0,N(J255)&gt;0),IF(J255=1,I255,ROUND(I255*(1+J255/30),1)),"")</f>
        <v/>
      </c>
      <c r="N255" s="41">
        <f>IF(M255="","",IF(M255&gt;=PRs!C56,"PR!",""))</f>
        <v/>
      </c>
      <c r="O255" s="7" t="n"/>
    </row>
    <row r="256">
      <c r="C256" t="inlineStr">
        <is>
          <t xml:space="preserve">      Set 2</t>
        </is>
      </c>
      <c r="E256" t="n">
        <v>30</v>
      </c>
      <c r="H256" s="39">
        <f>IF(H254="","",H254)</f>
        <v/>
      </c>
      <c r="I256" s="7">
        <f>IF(H254="","",H254)</f>
        <v/>
      </c>
      <c r="J256" s="7" t="n">
        <v>30</v>
      </c>
      <c r="K256" s="7" t="n"/>
      <c r="L256" s="40" t="n"/>
      <c r="M256">
        <f>IF(AND(L256&lt;&gt;"",N(I256)&gt;0,N(J256)&gt;0),IF(J256=1,I256,ROUND(I256*(1+J256/30),1)),"")</f>
        <v/>
      </c>
      <c r="N256" s="41">
        <f>IF(M256="","",IF(M256&gt;=PRs!C56,"PR!",""))</f>
        <v/>
      </c>
      <c r="O256" s="7" t="n"/>
    </row>
    <row r="257">
      <c r="A257" s="31" t="inlineStr">
        <is>
          <t>Day 3 - Variations</t>
        </is>
      </c>
      <c r="B257" s="32">
        <f>'Start Here'!$B$8+242</f>
        <v/>
      </c>
      <c r="C257" s="33" t="n"/>
      <c r="D257" s="33" t="n"/>
      <c r="E257" s="33" t="n"/>
      <c r="F257" s="33" t="n"/>
      <c r="G257" s="33" t="n"/>
      <c r="H257" s="33" t="n"/>
      <c r="I257" s="33" t="n"/>
      <c r="J257" s="33" t="n"/>
      <c r="K257" s="33" t="n"/>
      <c r="L257" s="33" t="n"/>
      <c r="M257" s="33" t="n"/>
      <c r="N257" s="33" t="n"/>
      <c r="O257" s="33" t="n"/>
    </row>
    <row r="258">
      <c r="A258" s="34" t="n"/>
      <c r="B258" s="34" t="n"/>
      <c r="C258" s="35" t="inlineStr">
        <is>
          <t>Vertical Jump</t>
        </is>
      </c>
      <c r="D258" s="34" t="inlineStr">
        <is>
          <t>2 x 2</t>
        </is>
      </c>
      <c r="E258" s="34" t="n"/>
      <c r="F258" s="34" t="n"/>
      <c r="G258" s="36" t="n"/>
      <c r="H258" s="37">
        <f>IF(N(Maxes!G71)&gt;0,Maxes!G71,"")</f>
        <v/>
      </c>
      <c r="I258" s="34" t="n"/>
      <c r="J258" s="34" t="n"/>
      <c r="K258" s="34" t="n"/>
      <c r="L258" s="34" t="n"/>
      <c r="M258" s="34" t="n"/>
      <c r="N258" s="34" t="n"/>
      <c r="O258" s="38" t="inlineStr">
        <is>
          <t>Stand side-on to a wall, reach up and mark it; jump and touch as high as you can. Log jump mark minus standing reach.</t>
        </is>
      </c>
    </row>
    <row r="259">
      <c r="C259" t="inlineStr">
        <is>
          <t xml:space="preserve">      Set 1</t>
        </is>
      </c>
      <c r="E259" t="n">
        <v>2</v>
      </c>
      <c r="H259" s="39">
        <f>IF(H258="","",H258)</f>
        <v/>
      </c>
      <c r="I259" s="7">
        <f>IF(H258="","",H258)</f>
        <v/>
      </c>
      <c r="J259" s="7" t="n">
        <v>2</v>
      </c>
      <c r="K259" s="7" t="n"/>
      <c r="L259" s="40" t="n"/>
      <c r="N259" s="41">
        <f>IF(AND(L259&lt;&gt;"",N(I259)&gt;0),IF(I259&gt;=PRs!D71,"PR!",""),"")</f>
        <v/>
      </c>
      <c r="O259" s="7" t="n"/>
    </row>
    <row r="260">
      <c r="C260" t="inlineStr">
        <is>
          <t xml:space="preserve">      Set 2</t>
        </is>
      </c>
      <c r="E260" t="n">
        <v>2</v>
      </c>
      <c r="H260" s="39">
        <f>IF(H258="","",H258)</f>
        <v/>
      </c>
      <c r="I260" s="7">
        <f>IF(H258="","",H258)</f>
        <v/>
      </c>
      <c r="J260" s="7" t="n">
        <v>2</v>
      </c>
      <c r="K260" s="7" t="n"/>
      <c r="L260" s="40" t="n"/>
      <c r="N260" s="41">
        <f>IF(AND(L260&lt;&gt;"",N(I260)&gt;0),IF(I260&gt;=PRs!D71,"PR!",""),"")</f>
        <v/>
      </c>
      <c r="O260" s="7" t="n"/>
    </row>
    <row r="261">
      <c r="A261" s="34" t="n"/>
      <c r="B261" s="34" t="n"/>
      <c r="C261" s="42" t="inlineStr">
        <is>
          <t>Power Snatch</t>
        </is>
      </c>
      <c r="D261" s="34" t="inlineStr">
        <is>
          <t>2 x 2</t>
        </is>
      </c>
      <c r="E261" s="34" t="n"/>
      <c r="F261" s="34" t="n">
        <v>75</v>
      </c>
      <c r="G261" s="36">
        <f>Maxes!G34</f>
        <v/>
      </c>
      <c r="H261" s="37">
        <f>IF(OR(G261="",F261=""),"",MROUND(G261*F261/100,'Start Here'!$B$7))</f>
        <v/>
      </c>
      <c r="I261" s="34" t="n"/>
      <c r="J261" s="34" t="n"/>
      <c r="K261" s="34" t="n"/>
      <c r="L261" s="34" t="n"/>
      <c r="M261" s="34" t="n"/>
      <c r="N261" s="34" t="n"/>
      <c r="O261" s="38" t="inlineStr">
        <is>
          <t>Crisp and fast</t>
        </is>
      </c>
    </row>
    <row r="262">
      <c r="C262" t="inlineStr">
        <is>
          <t xml:space="preserve">      Set 1</t>
        </is>
      </c>
      <c r="E262" t="n">
        <v>2</v>
      </c>
      <c r="H262" s="39">
        <f>IF(H261="","",H261)</f>
        <v/>
      </c>
      <c r="I262" s="7">
        <f>IF(H261="","",H261)</f>
        <v/>
      </c>
      <c r="J262" s="7" t="n">
        <v>2</v>
      </c>
      <c r="K262" s="7" t="n"/>
      <c r="L262" s="40" t="n"/>
      <c r="M262">
        <f>IF(AND(L262&lt;&gt;"",N(I262)&gt;0,N(J262)&gt;0),IF(J262=1,I262,ROUND(I262*(1+J262/30),1)),"")</f>
        <v/>
      </c>
      <c r="N262" s="41">
        <f>IF(M262="","",IF(M262&gt;=PRs!C34,"PR!",""))</f>
        <v/>
      </c>
      <c r="O262" s="7" t="n"/>
    </row>
    <row r="263">
      <c r="C263" t="inlineStr">
        <is>
          <t xml:space="preserve">      Set 2</t>
        </is>
      </c>
      <c r="E263" t="n">
        <v>2</v>
      </c>
      <c r="H263" s="39">
        <f>IF(H261="","",H261)</f>
        <v/>
      </c>
      <c r="I263" s="7">
        <f>IF(H261="","",H261)</f>
        <v/>
      </c>
      <c r="J263" s="7" t="n">
        <v>2</v>
      </c>
      <c r="K263" s="7" t="n"/>
      <c r="L263" s="40" t="n"/>
      <c r="M263">
        <f>IF(AND(L263&lt;&gt;"",N(I263)&gt;0,N(J263)&gt;0),IF(J263=1,I263,ROUND(I263*(1+J263/30),1)),"")</f>
        <v/>
      </c>
      <c r="N263" s="41">
        <f>IF(M263="","",IF(M263&gt;=PRs!C34,"PR!",""))</f>
        <v/>
      </c>
      <c r="O263" s="7" t="n"/>
    </row>
    <row r="264">
      <c r="A264" s="34" t="n"/>
      <c r="B264" s="34" t="n"/>
      <c r="C264" s="42" t="inlineStr">
        <is>
          <t>Safety Bar Squat</t>
        </is>
      </c>
      <c r="D264" s="34" t="inlineStr">
        <is>
          <t>2 x 3</t>
        </is>
      </c>
      <c r="E264" s="34" t="n"/>
      <c r="F264" s="34" t="n">
        <v>75</v>
      </c>
      <c r="G264" s="36">
        <f>Maxes!G11</f>
        <v/>
      </c>
      <c r="H264" s="37">
        <f>IF(OR(G264="",F264=""),"",MROUND(G264*F264/100,'Start Here'!$B$7))</f>
        <v/>
      </c>
      <c r="I264" s="34" t="n"/>
      <c r="J264" s="34" t="n"/>
      <c r="K264" s="34" t="n"/>
      <c r="L264" s="34" t="n"/>
      <c r="M264" s="34" t="n"/>
      <c r="N264" s="34" t="n"/>
      <c r="O264" s="38" t="inlineStr">
        <is>
          <t>Crisp and fast</t>
        </is>
      </c>
    </row>
    <row r="265">
      <c r="C265" t="inlineStr">
        <is>
          <t xml:space="preserve">      Set 1</t>
        </is>
      </c>
      <c r="E265" t="n">
        <v>3</v>
      </c>
      <c r="H265" s="39">
        <f>IF(H264="","",H264)</f>
        <v/>
      </c>
      <c r="I265" s="7">
        <f>IF(H264="","",H264)</f>
        <v/>
      </c>
      <c r="J265" s="7" t="n">
        <v>3</v>
      </c>
      <c r="K265" s="7" t="n"/>
      <c r="L265" s="40" t="n"/>
      <c r="M265">
        <f>IF(AND(L265&lt;&gt;"",N(I265)&gt;0,N(J265)&gt;0),IF(J265=1,I265,ROUND(I265*(1+J265/30),1)),"")</f>
        <v/>
      </c>
      <c r="N265" s="41">
        <f>IF(M265="","",IF(M265&gt;=PRs!C11,"PR!",""))</f>
        <v/>
      </c>
      <c r="O265" s="7" t="n"/>
    </row>
    <row r="266">
      <c r="C266" t="inlineStr">
        <is>
          <t xml:space="preserve">      Set 2</t>
        </is>
      </c>
      <c r="E266" t="n">
        <v>3</v>
      </c>
      <c r="H266" s="39">
        <f>IF(H264="","",H264)</f>
        <v/>
      </c>
      <c r="I266" s="7">
        <f>IF(H264="","",H264)</f>
        <v/>
      </c>
      <c r="J266" s="7" t="n">
        <v>3</v>
      </c>
      <c r="K266" s="7" t="n"/>
      <c r="L266" s="40" t="n"/>
      <c r="M266">
        <f>IF(AND(L266&lt;&gt;"",N(I266)&gt;0,N(J266)&gt;0),IF(J266=1,I266,ROUND(I266*(1+J266/30),1)),"")</f>
        <v/>
      </c>
      <c r="N266" s="41">
        <f>IF(M266="","",IF(M266&gt;=PRs!C11,"PR!",""))</f>
        <v/>
      </c>
      <c r="O266" s="7" t="n"/>
    </row>
    <row r="267">
      <c r="A267" s="34" t="n"/>
      <c r="B267" s="34" t="n"/>
      <c r="C267" s="42" t="inlineStr">
        <is>
          <t>2-Board Press</t>
        </is>
      </c>
      <c r="D267" s="34" t="inlineStr">
        <is>
          <t>2 x 3</t>
        </is>
      </c>
      <c r="E267" s="34" t="n"/>
      <c r="F267" s="34" t="n">
        <v>75</v>
      </c>
      <c r="G267" s="36">
        <f>Maxes!G16</f>
        <v/>
      </c>
      <c r="H267" s="37">
        <f>IF(OR(G267="",F267=""),"",MROUND(G267*F267/100,'Start Here'!$B$7))</f>
        <v/>
      </c>
      <c r="I267" s="34" t="n"/>
      <c r="J267" s="34" t="n"/>
      <c r="K267" s="34" t="n"/>
      <c r="L267" s="34" t="n"/>
      <c r="M267" s="34" t="n"/>
      <c r="N267" s="34" t="n"/>
      <c r="O267" s="38" t="inlineStr">
        <is>
          <t>Crisp and fast</t>
        </is>
      </c>
    </row>
    <row r="268">
      <c r="C268" t="inlineStr">
        <is>
          <t xml:space="preserve">      Set 1</t>
        </is>
      </c>
      <c r="E268" t="n">
        <v>3</v>
      </c>
      <c r="H268" s="39">
        <f>IF(H267="","",H267)</f>
        <v/>
      </c>
      <c r="I268" s="7">
        <f>IF(H267="","",H267)</f>
        <v/>
      </c>
      <c r="J268" s="7" t="n">
        <v>3</v>
      </c>
      <c r="K268" s="7" t="n"/>
      <c r="L268" s="40" t="n"/>
      <c r="M268">
        <f>IF(AND(L268&lt;&gt;"",N(I268)&gt;0,N(J268)&gt;0),IF(J268=1,I268,ROUND(I268*(1+J268/30),1)),"")</f>
        <v/>
      </c>
      <c r="N268" s="41">
        <f>IF(M268="","",IF(M268&gt;=PRs!C16,"PR!",""))</f>
        <v/>
      </c>
      <c r="O268" s="7" t="n"/>
    </row>
    <row r="269">
      <c r="C269" t="inlineStr">
        <is>
          <t xml:space="preserve">      Set 2</t>
        </is>
      </c>
      <c r="E269" t="n">
        <v>3</v>
      </c>
      <c r="H269" s="39">
        <f>IF(H267="","",H267)</f>
        <v/>
      </c>
      <c r="I269" s="7">
        <f>IF(H267="","",H267)</f>
        <v/>
      </c>
      <c r="J269" s="7" t="n">
        <v>3</v>
      </c>
      <c r="K269" s="7" t="n"/>
      <c r="L269" s="40" t="n"/>
      <c r="M269">
        <f>IF(AND(L269&lt;&gt;"",N(I269)&gt;0,N(J269)&gt;0),IF(J269=1,I269,ROUND(I269*(1+J269/30),1)),"")</f>
        <v/>
      </c>
      <c r="N269" s="41">
        <f>IF(M269="","",IF(M269&gt;=PRs!C16,"PR!",""))</f>
        <v/>
      </c>
      <c r="O269" s="7" t="n"/>
    </row>
    <row r="270">
      <c r="A270" s="34" t="n"/>
      <c r="B270" s="34" t="n"/>
      <c r="C270" s="42" t="inlineStr">
        <is>
          <t>Romanian Deadlift</t>
        </is>
      </c>
      <c r="D270" s="34" t="inlineStr">
        <is>
          <t>2 x 3</t>
        </is>
      </c>
      <c r="E270" s="34" t="n"/>
      <c r="F270" s="34" t="n">
        <v>75</v>
      </c>
      <c r="G270" s="36">
        <f>Maxes!G23</f>
        <v/>
      </c>
      <c r="H270" s="37">
        <f>IF(OR(G270="",F270=""),"",MROUND(G270*F270/100,'Start Here'!$B$7))</f>
        <v/>
      </c>
      <c r="I270" s="34" t="n"/>
      <c r="J270" s="34" t="n"/>
      <c r="K270" s="34" t="n"/>
      <c r="L270" s="34" t="n"/>
      <c r="M270" s="34" t="n"/>
      <c r="N270" s="34" t="n"/>
      <c r="O270" s="38" t="inlineStr">
        <is>
          <t>Crisp and fast</t>
        </is>
      </c>
    </row>
    <row r="271">
      <c r="C271" t="inlineStr">
        <is>
          <t xml:space="preserve">      Set 1</t>
        </is>
      </c>
      <c r="E271" t="n">
        <v>3</v>
      </c>
      <c r="H271" s="39">
        <f>IF(H270="","",H270)</f>
        <v/>
      </c>
      <c r="I271" s="7">
        <f>IF(H270="","",H270)</f>
        <v/>
      </c>
      <c r="J271" s="7" t="n">
        <v>3</v>
      </c>
      <c r="K271" s="7" t="n"/>
      <c r="L271" s="40" t="n"/>
      <c r="M271">
        <f>IF(AND(L271&lt;&gt;"",N(I271)&gt;0,N(J271)&gt;0),IF(J271=1,I271,ROUND(I271*(1+J271/30),1)),"")</f>
        <v/>
      </c>
      <c r="N271" s="41">
        <f>IF(M271="","",IF(M271&gt;=PRs!C23,"PR!",""))</f>
        <v/>
      </c>
      <c r="O271" s="7" t="n"/>
    </row>
    <row r="272">
      <c r="C272" t="inlineStr">
        <is>
          <t xml:space="preserve">      Set 2</t>
        </is>
      </c>
      <c r="E272" t="n">
        <v>3</v>
      </c>
      <c r="H272" s="39">
        <f>IF(H270="","",H270)</f>
        <v/>
      </c>
      <c r="I272" s="7">
        <f>IF(H270="","",H270)</f>
        <v/>
      </c>
      <c r="J272" s="7" t="n">
        <v>3</v>
      </c>
      <c r="K272" s="7" t="n"/>
      <c r="L272" s="40" t="n"/>
      <c r="M272">
        <f>IF(AND(L272&lt;&gt;"",N(I272)&gt;0,N(J272)&gt;0),IF(J272=1,I272,ROUND(I272*(1+J272/30),1)),"")</f>
        <v/>
      </c>
      <c r="N272" s="41">
        <f>IF(M272="","",IF(M272&gt;=PRs!C23,"PR!",""))</f>
        <v/>
      </c>
      <c r="O272" s="7" t="n"/>
    </row>
    <row r="273">
      <c r="A273" s="34" t="n"/>
      <c r="B273" s="34" t="n"/>
      <c r="C273" s="43" t="inlineStr">
        <is>
          <t>Incline Dumbbell Press</t>
        </is>
      </c>
      <c r="D273" s="34" t="inlineStr">
        <is>
          <t>2 x 8-12</t>
        </is>
      </c>
      <c r="E273" s="34" t="n"/>
      <c r="F273" s="34" t="n"/>
      <c r="G273" s="36" t="n"/>
      <c r="H273" s="37" t="n"/>
      <c r="I273" s="34" t="n"/>
      <c r="J273" s="34" t="n"/>
      <c r="K273" s="34" t="n"/>
      <c r="L273" s="34" t="n"/>
      <c r="M273" s="34" t="n"/>
      <c r="N273" s="34" t="n"/>
      <c r="O273" s="38" t="inlineStr">
        <is>
          <t>Light - save energy for test week</t>
        </is>
      </c>
    </row>
    <row r="274">
      <c r="C274" t="inlineStr">
        <is>
          <t xml:space="preserve">      Set 1</t>
        </is>
      </c>
      <c r="E274" t="n">
        <v>8</v>
      </c>
      <c r="H274" s="39">
        <f>IF(H273="","",H273)</f>
        <v/>
      </c>
      <c r="I274" s="7">
        <f>IF(H273="","",H273)</f>
        <v/>
      </c>
      <c r="J274" s="7" t="n">
        <v>8</v>
      </c>
      <c r="K274" s="7" t="n"/>
      <c r="L274" s="40" t="n"/>
      <c r="M274">
        <f>IF(AND(L274&lt;&gt;"",N(I274)&gt;0,N(J274)&gt;0),IF(J274=1,I274,ROUND(I274*(1+J274/30),1)),"")</f>
        <v/>
      </c>
      <c r="N274" s="41">
        <f>IF(M274="","",IF(M274&gt;=PRs!C57,"PR!",""))</f>
        <v/>
      </c>
      <c r="O274" s="7" t="n"/>
    </row>
    <row r="275">
      <c r="C275" t="inlineStr">
        <is>
          <t xml:space="preserve">      Set 2</t>
        </is>
      </c>
      <c r="E275" t="n">
        <v>8</v>
      </c>
      <c r="H275" s="39">
        <f>IF(H273="","",H273)</f>
        <v/>
      </c>
      <c r="I275" s="7">
        <f>IF(H273="","",H273)</f>
        <v/>
      </c>
      <c r="J275" s="7" t="n">
        <v>8</v>
      </c>
      <c r="K275" s="7" t="n"/>
      <c r="L275" s="40" t="n"/>
      <c r="M275">
        <f>IF(AND(L275&lt;&gt;"",N(I275)&gt;0,N(J275)&gt;0),IF(J275=1,I275,ROUND(I275*(1+J275/30),1)),"")</f>
        <v/>
      </c>
      <c r="N275" s="41">
        <f>IF(M275="","",IF(M275&gt;=PRs!C57,"PR!",""))</f>
        <v/>
      </c>
      <c r="O275" s="7" t="n"/>
    </row>
    <row r="276">
      <c r="A276" s="34" t="n"/>
      <c r="B276" s="34" t="n"/>
      <c r="C276" s="43" t="inlineStr">
        <is>
          <t>Triceps Pushdown</t>
        </is>
      </c>
      <c r="D276" s="34" t="inlineStr">
        <is>
          <t>2 x 10-15</t>
        </is>
      </c>
      <c r="E276" s="34" t="n"/>
      <c r="F276" s="34" t="n"/>
      <c r="G276" s="36" t="n"/>
      <c r="H276" s="37" t="n"/>
      <c r="I276" s="34" t="n"/>
      <c r="J276" s="34" t="n"/>
      <c r="K276" s="34" t="n"/>
      <c r="L276" s="34" t="n"/>
      <c r="M276" s="34" t="n"/>
      <c r="N276" s="34" t="n"/>
      <c r="O276" s="38" t="inlineStr">
        <is>
          <t>Light - save energy for test week</t>
        </is>
      </c>
    </row>
    <row r="277">
      <c r="C277" t="inlineStr">
        <is>
          <t xml:space="preserve">      Set 1</t>
        </is>
      </c>
      <c r="E277" t="n">
        <v>10</v>
      </c>
      <c r="H277" s="39">
        <f>IF(H276="","",H276)</f>
        <v/>
      </c>
      <c r="I277" s="7">
        <f>IF(H276="","",H276)</f>
        <v/>
      </c>
      <c r="J277" s="7" t="n">
        <v>10</v>
      </c>
      <c r="K277" s="7" t="n"/>
      <c r="L277" s="40" t="n"/>
      <c r="M277">
        <f>IF(AND(L277&lt;&gt;"",N(I277)&gt;0,N(J277)&gt;0),IF(J277=1,I277,ROUND(I277*(1+J277/30),1)),"")</f>
        <v/>
      </c>
      <c r="N277" s="41">
        <f>IF(M277="","",IF(M277&gt;=PRs!C59,"PR!",""))</f>
        <v/>
      </c>
      <c r="O277" s="7" t="n"/>
    </row>
    <row r="278">
      <c r="C278" t="inlineStr">
        <is>
          <t xml:space="preserve">      Set 2</t>
        </is>
      </c>
      <c r="E278" t="n">
        <v>10</v>
      </c>
      <c r="H278" s="39">
        <f>IF(H276="","",H276)</f>
        <v/>
      </c>
      <c r="I278" s="7">
        <f>IF(H276="","",H276)</f>
        <v/>
      </c>
      <c r="J278" s="7" t="n">
        <v>10</v>
      </c>
      <c r="K278" s="7" t="n"/>
      <c r="L278" s="40" t="n"/>
      <c r="M278">
        <f>IF(AND(L278&lt;&gt;"",N(I278)&gt;0,N(J278)&gt;0),IF(J278=1,I278,ROUND(I278*(1+J278/30),1)),"")</f>
        <v/>
      </c>
      <c r="N278" s="41">
        <f>IF(M278="","",IF(M278&gt;=PRs!C59,"PR!",""))</f>
        <v/>
      </c>
      <c r="O278" s="7" t="n"/>
    </row>
    <row r="280">
      <c r="A280" s="57" t="inlineStr">
        <is>
          <t>WEEK 36 - CYCLE 3 - TEST</t>
        </is>
      </c>
      <c r="B280" s="58" t="n"/>
      <c r="C280" s="58" t="n"/>
      <c r="D280" s="58" t="n"/>
      <c r="E280" s="58" t="n"/>
      <c r="F280" s="58" t="n"/>
      <c r="G280" s="58" t="n"/>
      <c r="H280" s="59" t="inlineStr">
        <is>
          <t>Bodyweight:</t>
        </is>
      </c>
      <c r="I280" s="7" t="n"/>
      <c r="J280" s="58" t="n"/>
      <c r="K280" s="58" t="n"/>
      <c r="L280" s="58" t="n"/>
      <c r="M280" s="58" t="n"/>
      <c r="N280" s="58" t="n"/>
      <c r="O280" s="58" t="n"/>
    </row>
    <row r="281">
      <c r="A281" s="31" t="inlineStr">
        <is>
          <t>Day 1 - Heavy</t>
        </is>
      </c>
      <c r="B281" s="32">
        <f>'Start Here'!$B$8+245</f>
        <v/>
      </c>
      <c r="C281" s="33" t="n"/>
      <c r="D281" s="33" t="n"/>
      <c r="E281" s="33" t="n"/>
      <c r="F281" s="33" t="n"/>
      <c r="G281" s="33" t="n"/>
      <c r="H281" s="33" t="n"/>
      <c r="I281" s="33" t="n"/>
      <c r="J281" s="33" t="n"/>
      <c r="K281" s="33" t="n"/>
      <c r="L281" s="33" t="n"/>
      <c r="M281" s="33" t="n"/>
      <c r="N281" s="33" t="n"/>
      <c r="O281" s="33" t="n"/>
    </row>
    <row r="282">
      <c r="A282" s="34" t="n"/>
      <c r="B282" s="34" t="n"/>
      <c r="C282" s="35" t="inlineStr">
        <is>
          <t>Box Jump</t>
        </is>
      </c>
      <c r="D282" s="34" t="inlineStr">
        <is>
          <t>1 x Max</t>
        </is>
      </c>
      <c r="E282" s="34" t="n"/>
      <c r="F282" s="34" t="n"/>
      <c r="G282" s="36" t="n"/>
      <c r="H282" s="37">
        <f>IF(N(Maxes!G69)&gt;0,Maxes!G69,'Start Here'!$G$16)</f>
        <v/>
      </c>
      <c r="I282" s="34" t="n"/>
      <c r="J282" s="34" t="n"/>
      <c r="K282" s="34" t="n"/>
      <c r="L282" s="34" t="n"/>
      <c r="M282" s="34" t="n"/>
      <c r="N282" s="34" t="n"/>
      <c r="O282" s="38" t="inlineStr">
        <is>
          <t>Test day: work up box by box to the highest box you land cleanly. Log it and check the standards on Start Here</t>
        </is>
      </c>
    </row>
    <row r="283">
      <c r="C283" t="inlineStr">
        <is>
          <t xml:space="preserve">      Set 1</t>
        </is>
      </c>
      <c r="E283" t="n">
        <v>1</v>
      </c>
      <c r="H283" s="39">
        <f>IF(H282="","",H282)</f>
        <v/>
      </c>
      <c r="I283" s="7">
        <f>IF(H282="","",H282)</f>
        <v/>
      </c>
      <c r="J283" s="7" t="n">
        <v>1</v>
      </c>
      <c r="K283" s="7" t="n"/>
      <c r="L283" s="40" t="n"/>
      <c r="N283" s="41">
        <f>IF(AND(L283&lt;&gt;"",N(I283)&gt;0),IF(I283&gt;=PRs!D69,"PR!",""),"")</f>
        <v/>
      </c>
      <c r="O283" s="7" t="n"/>
    </row>
    <row r="284">
      <c r="A284" s="34" t="n"/>
      <c r="B284" s="34" t="n"/>
      <c r="C284" s="42" t="inlineStr">
        <is>
          <t>Snatch</t>
        </is>
      </c>
      <c r="D284" s="34" t="inlineStr">
        <is>
          <t>1 x Max</t>
        </is>
      </c>
      <c r="E284" s="34" t="n"/>
      <c r="F284" s="34" t="n"/>
      <c r="G284" s="36">
        <f>Maxes!G6</f>
        <v/>
      </c>
      <c r="H284" s="37">
        <f>IF(G284="","",MROUND(G284/1,'Start Here'!$B$7))</f>
        <v/>
      </c>
      <c r="I284" s="34" t="n"/>
      <c r="J284" s="34" t="n"/>
      <c r="K284" s="34" t="n"/>
      <c r="L284" s="34" t="n"/>
      <c r="M284" s="34" t="n"/>
      <c r="N284" s="34" t="n"/>
      <c r="O284" s="38" t="inlineStr">
        <is>
          <t>Work up in small jumps to a new max (1RM, or a 3RM/5RM if you prefer). Log it - it sets next cycle's weights</t>
        </is>
      </c>
    </row>
    <row r="285">
      <c r="C285" t="inlineStr">
        <is>
          <t xml:space="preserve">      Set 1</t>
        </is>
      </c>
      <c r="E285" t="n">
        <v>1</v>
      </c>
      <c r="H285" s="39">
        <f>IF(H284="","",H284)</f>
        <v/>
      </c>
      <c r="I285" s="7">
        <f>IF(H284="","",H284)</f>
        <v/>
      </c>
      <c r="J285" s="7" t="n">
        <v>1</v>
      </c>
      <c r="K285" s="7" t="n"/>
      <c r="L285" s="40" t="n"/>
      <c r="M285">
        <f>IF(AND(L285&lt;&gt;"",N(I285)&gt;0,N(J285)&gt;0),IF(J285=1,I285,ROUND(I285*(1+J285/30),1)),"")</f>
        <v/>
      </c>
      <c r="N285" s="41">
        <f>IF(M285="","",IF(M285&gt;=PRs!C6,"PR!",""))</f>
        <v/>
      </c>
      <c r="O285" s="7" t="n"/>
    </row>
    <row r="286">
      <c r="A286" s="34" t="n"/>
      <c r="B286" s="34" t="n"/>
      <c r="C286" s="42" t="inlineStr">
        <is>
          <t>Squat</t>
        </is>
      </c>
      <c r="D286" s="34" t="inlineStr">
        <is>
          <t>1 x Max</t>
        </is>
      </c>
      <c r="E286" s="34" t="n"/>
      <c r="F286" s="34" t="n"/>
      <c r="G286" s="36">
        <f>Maxes!G2</f>
        <v/>
      </c>
      <c r="H286" s="37">
        <f>IF(G286="","",MROUND(G286/1,'Start Here'!$B$7))</f>
        <v/>
      </c>
      <c r="I286" s="34" t="n"/>
      <c r="J286" s="34" t="n"/>
      <c r="K286" s="34" t="n"/>
      <c r="L286" s="34" t="n"/>
      <c r="M286" s="34" t="n"/>
      <c r="N286" s="34" t="n"/>
      <c r="O286" s="38" t="inlineStr">
        <is>
          <t>Work up in small jumps to a new max (1RM, or a 3RM/5RM if you prefer). Log it - it sets next cycle's weights</t>
        </is>
      </c>
    </row>
    <row r="287">
      <c r="C287" t="inlineStr">
        <is>
          <t xml:space="preserve">      Set 1</t>
        </is>
      </c>
      <c r="E287" t="n">
        <v>1</v>
      </c>
      <c r="H287" s="39">
        <f>IF(H286="","",H286)</f>
        <v/>
      </c>
      <c r="I287" s="7">
        <f>IF(H286="","",H286)</f>
        <v/>
      </c>
      <c r="J287" s="7" t="n">
        <v>1</v>
      </c>
      <c r="K287" s="7" t="n"/>
      <c r="L287" s="40" t="n"/>
      <c r="M287">
        <f>IF(AND(L287&lt;&gt;"",N(I287)&gt;0,N(J287)&gt;0),IF(J287=1,I287,ROUND(I287*(1+J287/30),1)),"")</f>
        <v/>
      </c>
      <c r="N287" s="41">
        <f>IF(M287="","",IF(M287&gt;=PRs!C2,"PR!",""))</f>
        <v/>
      </c>
      <c r="O287" s="7" t="n"/>
    </row>
    <row r="288">
      <c r="A288" s="34" t="n"/>
      <c r="B288" s="34" t="n"/>
      <c r="C288" s="42" t="inlineStr">
        <is>
          <t>Bench Press</t>
        </is>
      </c>
      <c r="D288" s="34" t="inlineStr">
        <is>
          <t>1 x Max</t>
        </is>
      </c>
      <c r="E288" s="34" t="n"/>
      <c r="F288" s="34" t="n"/>
      <c r="G288" s="36">
        <f>Maxes!G3</f>
        <v/>
      </c>
      <c r="H288" s="37">
        <f>IF(G288="","",MROUND(G288/1,'Start Here'!$B$7))</f>
        <v/>
      </c>
      <c r="I288" s="34" t="n"/>
      <c r="J288" s="34" t="n"/>
      <c r="K288" s="34" t="n"/>
      <c r="L288" s="34" t="n"/>
      <c r="M288" s="34" t="n"/>
      <c r="N288" s="34" t="n"/>
      <c r="O288" s="38" t="inlineStr">
        <is>
          <t>Work up in small jumps to a new max (1RM, or a 3RM/5RM if you prefer). Log it - it sets next cycle's weights</t>
        </is>
      </c>
    </row>
    <row r="289">
      <c r="C289" t="inlineStr">
        <is>
          <t xml:space="preserve">      Set 1</t>
        </is>
      </c>
      <c r="E289" t="n">
        <v>1</v>
      </c>
      <c r="H289" s="39">
        <f>IF(H288="","",H288)</f>
        <v/>
      </c>
      <c r="I289" s="7">
        <f>IF(H288="","",H288)</f>
        <v/>
      </c>
      <c r="J289" s="7" t="n">
        <v>1</v>
      </c>
      <c r="K289" s="7" t="n"/>
      <c r="L289" s="40" t="n"/>
      <c r="M289">
        <f>IF(AND(L289&lt;&gt;"",N(I289)&gt;0,N(J289)&gt;0),IF(J289=1,I289,ROUND(I289*(1+J289/30),1)),"")</f>
        <v/>
      </c>
      <c r="N289" s="41">
        <f>IF(M289="","",IF(M289&gt;=PRs!C3,"PR!",""))</f>
        <v/>
      </c>
      <c r="O289" s="7" t="n"/>
    </row>
    <row r="290">
      <c r="A290" s="34" t="n"/>
      <c r="B290" s="34" t="n"/>
      <c r="C290" s="43" t="inlineStr">
        <is>
          <t>Barbell Row</t>
        </is>
      </c>
      <c r="D290" s="34" t="inlineStr">
        <is>
          <t>2 x 8-10</t>
        </is>
      </c>
      <c r="E290" s="34" t="n"/>
      <c r="F290" s="34" t="n"/>
      <c r="G290" s="36" t="n"/>
      <c r="H290" s="37" t="n"/>
      <c r="I290" s="34" t="n"/>
      <c r="J290" s="34" t="n"/>
      <c r="K290" s="34" t="n"/>
      <c r="L290" s="34" t="n"/>
      <c r="M290" s="34" t="n"/>
      <c r="N290" s="34" t="n"/>
      <c r="O290" s="38" t="inlineStr">
        <is>
          <t>Light</t>
        </is>
      </c>
    </row>
    <row r="291">
      <c r="C291" t="inlineStr">
        <is>
          <t xml:space="preserve">      Set 1</t>
        </is>
      </c>
      <c r="E291" t="n">
        <v>8</v>
      </c>
      <c r="H291" s="39">
        <f>IF(H290="","",H290)</f>
        <v/>
      </c>
      <c r="I291" s="7">
        <f>IF(H290="","",H290)</f>
        <v/>
      </c>
      <c r="J291" s="7" t="n">
        <v>8</v>
      </c>
      <c r="K291" s="7" t="n"/>
      <c r="L291" s="40" t="n"/>
      <c r="M291">
        <f>IF(AND(L291&lt;&gt;"",N(I291)&gt;0,N(J291)&gt;0),IF(J291=1,I291,ROUND(I291*(1+J291/30),1)),"")</f>
        <v/>
      </c>
      <c r="N291" s="41">
        <f>IF(M291="","",IF(M291&gt;=PRs!C50,"PR!",""))</f>
        <v/>
      </c>
      <c r="O291" s="7" t="n"/>
    </row>
    <row r="292">
      <c r="C292" t="inlineStr">
        <is>
          <t xml:space="preserve">      Set 2</t>
        </is>
      </c>
      <c r="E292" t="n">
        <v>8</v>
      </c>
      <c r="H292" s="39">
        <f>IF(H290="","",H290)</f>
        <v/>
      </c>
      <c r="I292" s="7">
        <f>IF(H290="","",H290)</f>
        <v/>
      </c>
      <c r="J292" s="7" t="n">
        <v>8</v>
      </c>
      <c r="K292" s="7" t="n"/>
      <c r="L292" s="40" t="n"/>
      <c r="M292">
        <f>IF(AND(L292&lt;&gt;"",N(I292)&gt;0,N(J292)&gt;0),IF(J292=1,I292,ROUND(I292*(1+J292/30),1)),"")</f>
        <v/>
      </c>
      <c r="N292" s="41">
        <f>IF(M292="","",IF(M292&gt;=PRs!C50,"PR!",""))</f>
        <v/>
      </c>
      <c r="O292" s="7" t="n"/>
    </row>
    <row r="293">
      <c r="A293" s="34" t="n"/>
      <c r="B293" s="34" t="n"/>
      <c r="C293" s="43" t="inlineStr">
        <is>
          <t>Face Pull</t>
        </is>
      </c>
      <c r="D293" s="34" t="inlineStr">
        <is>
          <t>2 x 12-15</t>
        </is>
      </c>
      <c r="E293" s="34" t="n"/>
      <c r="F293" s="34" t="n"/>
      <c r="G293" s="36" t="n"/>
      <c r="H293" s="37" t="n"/>
      <c r="I293" s="34" t="n"/>
      <c r="J293" s="34" t="n"/>
      <c r="K293" s="34" t="n"/>
      <c r="L293" s="34" t="n"/>
      <c r="M293" s="34" t="n"/>
      <c r="N293" s="34" t="n"/>
      <c r="O293" s="38" t="inlineStr">
        <is>
          <t>Light</t>
        </is>
      </c>
    </row>
    <row r="294">
      <c r="C294" t="inlineStr">
        <is>
          <t xml:space="preserve">      Set 1</t>
        </is>
      </c>
      <c r="E294" t="n">
        <v>12</v>
      </c>
      <c r="H294" s="39">
        <f>IF(H293="","",H293)</f>
        <v/>
      </c>
      <c r="I294" s="7">
        <f>IF(H293="","",H293)</f>
        <v/>
      </c>
      <c r="J294" s="7" t="n">
        <v>12</v>
      </c>
      <c r="K294" s="7" t="n"/>
      <c r="L294" s="40" t="n"/>
      <c r="M294">
        <f>IF(AND(L294&lt;&gt;"",N(I294)&gt;0,N(J294)&gt;0),IF(J294=1,I294,ROUND(I294*(1+J294/30),1)),"")</f>
        <v/>
      </c>
      <c r="N294" s="41">
        <f>IF(M294="","",IF(M294&gt;=PRs!C51,"PR!",""))</f>
        <v/>
      </c>
      <c r="O294" s="7" t="n"/>
    </row>
    <row r="295">
      <c r="C295" t="inlineStr">
        <is>
          <t xml:space="preserve">      Set 2</t>
        </is>
      </c>
      <c r="E295" t="n">
        <v>12</v>
      </c>
      <c r="H295" s="39">
        <f>IF(H293="","",H293)</f>
        <v/>
      </c>
      <c r="I295" s="7">
        <f>IF(H293="","",H293)</f>
        <v/>
      </c>
      <c r="J295" s="7" t="n">
        <v>12</v>
      </c>
      <c r="K295" s="7" t="n"/>
      <c r="L295" s="40" t="n"/>
      <c r="M295">
        <f>IF(AND(L295&lt;&gt;"",N(I295)&gt;0,N(J295)&gt;0),IF(J295=1,I295,ROUND(I295*(1+J295/30),1)),"")</f>
        <v/>
      </c>
      <c r="N295" s="41">
        <f>IF(M295="","",IF(M295&gt;=PRs!C51,"PR!",""))</f>
        <v/>
      </c>
      <c r="O295" s="7" t="n"/>
    </row>
    <row r="296">
      <c r="A296" s="31" t="inlineStr">
        <is>
          <t>Day 2 - Light</t>
        </is>
      </c>
      <c r="B296" s="32">
        <f>'Start Here'!$B$8+247</f>
        <v/>
      </c>
      <c r="C296" s="33" t="n"/>
      <c r="D296" s="33" t="n"/>
      <c r="E296" s="33" t="n"/>
      <c r="F296" s="33" t="n"/>
      <c r="G296" s="33" t="n"/>
      <c r="H296" s="33" t="n"/>
      <c r="I296" s="33" t="n"/>
      <c r="J296" s="33" t="n"/>
      <c r="K296" s="33" t="n"/>
      <c r="L296" s="33" t="n"/>
      <c r="M296" s="33" t="n"/>
      <c r="N296" s="33" t="n"/>
      <c r="O296" s="33" t="n"/>
    </row>
    <row r="297">
      <c r="A297" s="34" t="n"/>
      <c r="B297" s="34" t="n"/>
      <c r="C297" s="35" t="inlineStr">
        <is>
          <t>Broad Jump</t>
        </is>
      </c>
      <c r="D297" s="34" t="inlineStr">
        <is>
          <t>1 x Max</t>
        </is>
      </c>
      <c r="E297" s="34" t="n"/>
      <c r="F297" s="34" t="n"/>
      <c r="G297" s="36" t="n"/>
      <c r="H297" s="37">
        <f>IF(N(Maxes!G70)&gt;0,Maxes!G70,"")</f>
        <v/>
      </c>
      <c r="I297" s="34" t="n"/>
      <c r="J297" s="34" t="n"/>
      <c r="K297" s="34" t="n"/>
      <c r="L297" s="34" t="n"/>
      <c r="M297" s="34" t="n"/>
      <c r="N297" s="34" t="n"/>
      <c r="O297" s="38" t="inlineStr">
        <is>
          <t>Test day: best of 3-5 jumps for distance. Log it and check the standards on Start Here</t>
        </is>
      </c>
    </row>
    <row r="298">
      <c r="C298" t="inlineStr">
        <is>
          <t xml:space="preserve">      Set 1</t>
        </is>
      </c>
      <c r="E298" t="n">
        <v>1</v>
      </c>
      <c r="H298" s="39">
        <f>IF(H297="","",H297)</f>
        <v/>
      </c>
      <c r="I298" s="7">
        <f>IF(H297="","",H297)</f>
        <v/>
      </c>
      <c r="J298" s="7" t="n">
        <v>1</v>
      </c>
      <c r="K298" s="7" t="n"/>
      <c r="L298" s="40" t="n"/>
      <c r="N298" s="41">
        <f>IF(AND(L298&lt;&gt;"",N(I298)&gt;0),IF(I298&gt;=PRs!D70,"PR!",""),"")</f>
        <v/>
      </c>
      <c r="O298" s="7" t="n"/>
    </row>
    <row r="299">
      <c r="A299" s="34" t="n"/>
      <c r="B299" s="34" t="n"/>
      <c r="C299" s="42" t="inlineStr">
        <is>
          <t>Clean &amp; Jerk</t>
        </is>
      </c>
      <c r="D299" s="34" t="inlineStr">
        <is>
          <t>1 x Max</t>
        </is>
      </c>
      <c r="E299" s="34" t="n"/>
      <c r="F299" s="34" t="n"/>
      <c r="G299" s="36">
        <f>Maxes!G7</f>
        <v/>
      </c>
      <c r="H299" s="37">
        <f>IF(G299="","",MROUND(G299/1,'Start Here'!$B$7))</f>
        <v/>
      </c>
      <c r="I299" s="34" t="n"/>
      <c r="J299" s="34" t="n"/>
      <c r="K299" s="34" t="n"/>
      <c r="L299" s="34" t="n"/>
      <c r="M299" s="34" t="n"/>
      <c r="N299" s="34" t="n"/>
      <c r="O299" s="38" t="inlineStr">
        <is>
          <t>Work up in small jumps to a new max (1RM, or a 3RM/5RM if you prefer). Log it - it sets next cycle's weights</t>
        </is>
      </c>
    </row>
    <row r="300">
      <c r="C300" t="inlineStr">
        <is>
          <t xml:space="preserve">      Set 1</t>
        </is>
      </c>
      <c r="E300" t="n">
        <v>1</v>
      </c>
      <c r="H300" s="39">
        <f>IF(H299="","",H299)</f>
        <v/>
      </c>
      <c r="I300" s="7">
        <f>IF(H299="","",H299)</f>
        <v/>
      </c>
      <c r="J300" s="7" t="n">
        <v>1</v>
      </c>
      <c r="K300" s="7" t="n"/>
      <c r="L300" s="40" t="n"/>
      <c r="M300">
        <f>IF(AND(L300&lt;&gt;"",N(I300)&gt;0,N(J300)&gt;0),IF(J300=1,I300,ROUND(I300*(1+J300/30),1)),"")</f>
        <v/>
      </c>
      <c r="N300" s="41">
        <f>IF(M300="","",IF(M300&gt;=PRs!C7,"PR!",""))</f>
        <v/>
      </c>
      <c r="O300" s="7" t="n"/>
    </row>
    <row r="301">
      <c r="A301" s="34" t="n"/>
      <c r="B301" s="34" t="n"/>
      <c r="C301" s="42" t="inlineStr">
        <is>
          <t>Squat</t>
        </is>
      </c>
      <c r="D301" s="34" t="inlineStr">
        <is>
          <t>2 x 3</t>
        </is>
      </c>
      <c r="E301" s="34" t="n"/>
      <c r="F301" s="34" t="n">
        <v>60</v>
      </c>
      <c r="G301" s="36">
        <f>Maxes!G2</f>
        <v/>
      </c>
      <c r="H301" s="37">
        <f>IF(OR(G301="",F301=""),"",MROUND(G301*F301/100,'Start Here'!$B$7))</f>
        <v/>
      </c>
      <c r="I301" s="34" t="n"/>
      <c r="J301" s="34" t="n"/>
      <c r="K301" s="34" t="n"/>
      <c r="L301" s="34" t="n"/>
      <c r="M301" s="34" t="n"/>
      <c r="N301" s="34" t="n"/>
      <c r="O301" s="38" t="inlineStr">
        <is>
          <t>Light technique work</t>
        </is>
      </c>
    </row>
    <row r="302">
      <c r="C302" t="inlineStr">
        <is>
          <t xml:space="preserve">      Set 1</t>
        </is>
      </c>
      <c r="E302" t="n">
        <v>3</v>
      </c>
      <c r="H302" s="39">
        <f>IF(H301="","",H301)</f>
        <v/>
      </c>
      <c r="I302" s="7">
        <f>IF(H301="","",H301)</f>
        <v/>
      </c>
      <c r="J302" s="7" t="n">
        <v>3</v>
      </c>
      <c r="K302" s="7" t="n"/>
      <c r="L302" s="40" t="n"/>
      <c r="M302">
        <f>IF(AND(L302&lt;&gt;"",N(I302)&gt;0,N(J302)&gt;0),IF(J302=1,I302,ROUND(I302*(1+J302/30),1)),"")</f>
        <v/>
      </c>
      <c r="N302" s="41">
        <f>IF(M302="","",IF(M302&gt;=PRs!C2,"PR!",""))</f>
        <v/>
      </c>
      <c r="O302" s="7" t="n"/>
    </row>
    <row r="303">
      <c r="C303" t="inlineStr">
        <is>
          <t xml:space="preserve">      Set 2</t>
        </is>
      </c>
      <c r="E303" t="n">
        <v>3</v>
      </c>
      <c r="H303" s="39">
        <f>IF(H301="","",H301)</f>
        <v/>
      </c>
      <c r="I303" s="7">
        <f>IF(H301="","",H301)</f>
        <v/>
      </c>
      <c r="J303" s="7" t="n">
        <v>3</v>
      </c>
      <c r="K303" s="7" t="n"/>
      <c r="L303" s="40" t="n"/>
      <c r="M303">
        <f>IF(AND(L303&lt;&gt;"",N(I303)&gt;0,N(J303)&gt;0),IF(J303=1,I303,ROUND(I303*(1+J303/30),1)),"")</f>
        <v/>
      </c>
      <c r="N303" s="41">
        <f>IF(M303="","",IF(M303&gt;=PRs!C2,"PR!",""))</f>
        <v/>
      </c>
      <c r="O303" s="7" t="n"/>
    </row>
    <row r="304">
      <c r="A304" s="34" t="n"/>
      <c r="B304" s="34" t="n"/>
      <c r="C304" s="42" t="inlineStr">
        <is>
          <t>Overhead Press</t>
        </is>
      </c>
      <c r="D304" s="34" t="inlineStr">
        <is>
          <t>1 x Max</t>
        </is>
      </c>
      <c r="E304" s="34" t="n"/>
      <c r="F304" s="34" t="n"/>
      <c r="G304" s="36">
        <f>Maxes!G5</f>
        <v/>
      </c>
      <c r="H304" s="37">
        <f>IF(G304="","",MROUND(G304/1,'Start Here'!$B$7))</f>
        <v/>
      </c>
      <c r="I304" s="34" t="n"/>
      <c r="J304" s="34" t="n"/>
      <c r="K304" s="34" t="n"/>
      <c r="L304" s="34" t="n"/>
      <c r="M304" s="34" t="n"/>
      <c r="N304" s="34" t="n"/>
      <c r="O304" s="38" t="inlineStr">
        <is>
          <t>Work up in small jumps to a new max (1RM, or a 3RM/5RM if you prefer). Log it - it sets next cycle's weights</t>
        </is>
      </c>
    </row>
    <row r="305">
      <c r="C305" t="inlineStr">
        <is>
          <t xml:space="preserve">      Set 1</t>
        </is>
      </c>
      <c r="E305" t="n">
        <v>1</v>
      </c>
      <c r="H305" s="39">
        <f>IF(H304="","",H304)</f>
        <v/>
      </c>
      <c r="I305" s="7">
        <f>IF(H304="","",H304)</f>
        <v/>
      </c>
      <c r="J305" s="7" t="n">
        <v>1</v>
      </c>
      <c r="K305" s="7" t="n"/>
      <c r="L305" s="40" t="n"/>
      <c r="M305">
        <f>IF(AND(L305&lt;&gt;"",N(I305)&gt;0,N(J305)&gt;0),IF(J305=1,I305,ROUND(I305*(1+J305/30),1)),"")</f>
        <v/>
      </c>
      <c r="N305" s="41">
        <f>IF(M305="","",IF(M305&gt;=PRs!C5,"PR!",""))</f>
        <v/>
      </c>
      <c r="O305" s="7" t="n"/>
    </row>
    <row r="306">
      <c r="A306" s="34" t="n"/>
      <c r="B306" s="34" t="n"/>
      <c r="C306" s="42" t="inlineStr">
        <is>
          <t>Deadlift</t>
        </is>
      </c>
      <c r="D306" s="34" t="inlineStr">
        <is>
          <t>1 x Max</t>
        </is>
      </c>
      <c r="E306" s="34" t="n"/>
      <c r="F306" s="34" t="n"/>
      <c r="G306" s="36">
        <f>Maxes!G4</f>
        <v/>
      </c>
      <c r="H306" s="37">
        <f>IF(G306="","",MROUND(G306/1,'Start Here'!$B$7))</f>
        <v/>
      </c>
      <c r="I306" s="34" t="n"/>
      <c r="J306" s="34" t="n"/>
      <c r="K306" s="34" t="n"/>
      <c r="L306" s="34" t="n"/>
      <c r="M306" s="34" t="n"/>
      <c r="N306" s="34" t="n"/>
      <c r="O306" s="38" t="inlineStr">
        <is>
          <t>Work up in small jumps to a new max (1RM, or a 3RM/5RM if you prefer). Log it - it sets next cycle's weights</t>
        </is>
      </c>
    </row>
    <row r="307">
      <c r="C307" t="inlineStr">
        <is>
          <t xml:space="preserve">      Set 1</t>
        </is>
      </c>
      <c r="E307" t="n">
        <v>1</v>
      </c>
      <c r="H307" s="39">
        <f>IF(H306="","",H306)</f>
        <v/>
      </c>
      <c r="I307" s="7">
        <f>IF(H306="","",H306)</f>
        <v/>
      </c>
      <c r="J307" s="7" t="n">
        <v>1</v>
      </c>
      <c r="K307" s="7" t="n"/>
      <c r="L307" s="40" t="n"/>
      <c r="M307">
        <f>IF(AND(L307&lt;&gt;"",N(I307)&gt;0,N(J307)&gt;0),IF(J307=1,I307,ROUND(I307*(1+J307/30),1)),"")</f>
        <v/>
      </c>
      <c r="N307" s="41">
        <f>IF(M307="","",IF(M307&gt;=PRs!C4,"PR!",""))</f>
        <v/>
      </c>
      <c r="O307" s="7" t="n"/>
    </row>
    <row r="308">
      <c r="A308" s="34" t="n"/>
      <c r="B308" s="34" t="n"/>
      <c r="C308" s="43" t="inlineStr">
        <is>
          <t>Chin-up</t>
        </is>
      </c>
      <c r="D308" s="34" t="inlineStr">
        <is>
          <t>2 x 6-10</t>
        </is>
      </c>
      <c r="E308" s="34" t="n"/>
      <c r="F308" s="34" t="n"/>
      <c r="G308" s="36" t="n"/>
      <c r="H308" s="37" t="n"/>
      <c r="I308" s="34" t="n"/>
      <c r="J308" s="34" t="n"/>
      <c r="K308" s="34" t="n"/>
      <c r="L308" s="34" t="n"/>
      <c r="M308" s="34" t="n"/>
      <c r="N308" s="34" t="n"/>
      <c r="O308" s="38" t="inlineStr">
        <is>
          <t>Light</t>
        </is>
      </c>
    </row>
    <row r="309">
      <c r="C309" t="inlineStr">
        <is>
          <t xml:space="preserve">      Set 1</t>
        </is>
      </c>
      <c r="E309" t="n">
        <v>6</v>
      </c>
      <c r="H309" s="39">
        <f>IF(H308="","",H308)</f>
        <v/>
      </c>
      <c r="I309" s="7">
        <f>IF(H308="","",H308)</f>
        <v/>
      </c>
      <c r="J309" s="7" t="n">
        <v>6</v>
      </c>
      <c r="K309" s="7" t="n"/>
      <c r="L309" s="40" t="n"/>
      <c r="M309">
        <f>IF(AND(L309&lt;&gt;"",N(I309)&gt;0,N(J309)&gt;0),IF(J309=1,I309,ROUND(I309*(1+J309/30),1)),"")</f>
        <v/>
      </c>
      <c r="N309" s="41">
        <f>IF(M309="","",IF(M309&gt;=PRs!C53,"PR!",""))</f>
        <v/>
      </c>
      <c r="O309" s="7" t="n"/>
    </row>
    <row r="310">
      <c r="C310" t="inlineStr">
        <is>
          <t xml:space="preserve">      Set 2</t>
        </is>
      </c>
      <c r="E310" t="n">
        <v>6</v>
      </c>
      <c r="H310" s="39">
        <f>IF(H308="","",H308)</f>
        <v/>
      </c>
      <c r="I310" s="7">
        <f>IF(H308="","",H308)</f>
        <v/>
      </c>
      <c r="J310" s="7" t="n">
        <v>6</v>
      </c>
      <c r="K310" s="7" t="n"/>
      <c r="L310" s="40" t="n"/>
      <c r="M310">
        <f>IF(AND(L310&lt;&gt;"",N(I310)&gt;0,N(J310)&gt;0),IF(J310=1,I310,ROUND(I310*(1+J310/30),1)),"")</f>
        <v/>
      </c>
      <c r="N310" s="41">
        <f>IF(M310="","",IF(M310&gt;=PRs!C53,"PR!",""))</f>
        <v/>
      </c>
      <c r="O310" s="7" t="n"/>
    </row>
    <row r="311">
      <c r="A311" s="34" t="n"/>
      <c r="B311" s="34" t="n"/>
      <c r="C311" s="43" t="inlineStr">
        <is>
          <t>Plank</t>
        </is>
      </c>
      <c r="D311" s="34" t="inlineStr">
        <is>
          <t>2 x 30-60s</t>
        </is>
      </c>
      <c r="E311" s="34" t="n"/>
      <c r="F311" s="34" t="n"/>
      <c r="G311" s="36" t="n"/>
      <c r="H311" s="37" t="n"/>
      <c r="I311" s="34" t="n"/>
      <c r="J311" s="34" t="n"/>
      <c r="K311" s="34" t="n"/>
      <c r="L311" s="34" t="n"/>
      <c r="M311" s="34" t="n"/>
      <c r="N311" s="34" t="n"/>
      <c r="O311" s="38" t="inlineStr">
        <is>
          <t>Light</t>
        </is>
      </c>
    </row>
    <row r="312">
      <c r="C312" t="inlineStr">
        <is>
          <t xml:space="preserve">      Set 1</t>
        </is>
      </c>
      <c r="E312" t="n">
        <v>30</v>
      </c>
      <c r="H312" s="39">
        <f>IF(H311="","",H311)</f>
        <v/>
      </c>
      <c r="I312" s="7">
        <f>IF(H311="","",H311)</f>
        <v/>
      </c>
      <c r="J312" s="7" t="n">
        <v>30</v>
      </c>
      <c r="K312" s="7" t="n"/>
      <c r="L312" s="40" t="n"/>
      <c r="M312">
        <f>IF(AND(L312&lt;&gt;"",N(I312)&gt;0,N(J312)&gt;0),IF(J312=1,I312,ROUND(I312*(1+J312/30),1)),"")</f>
        <v/>
      </c>
      <c r="N312" s="41">
        <f>IF(M312="","",IF(M312&gt;=PRs!C56,"PR!",""))</f>
        <v/>
      </c>
      <c r="O312" s="7" t="n"/>
    </row>
    <row r="313">
      <c r="C313" t="inlineStr">
        <is>
          <t xml:space="preserve">      Set 2</t>
        </is>
      </c>
      <c r="E313" t="n">
        <v>30</v>
      </c>
      <c r="H313" s="39">
        <f>IF(H311="","",H311)</f>
        <v/>
      </c>
      <c r="I313" s="7">
        <f>IF(H311="","",H311)</f>
        <v/>
      </c>
      <c r="J313" s="7" t="n">
        <v>30</v>
      </c>
      <c r="K313" s="7" t="n"/>
      <c r="L313" s="40" t="n"/>
      <c r="M313">
        <f>IF(AND(L313&lt;&gt;"",N(I313)&gt;0,N(J313)&gt;0),IF(J313=1,I313,ROUND(I313*(1+J313/30),1)),"")</f>
        <v/>
      </c>
      <c r="N313" s="41">
        <f>IF(M313="","",IF(M313&gt;=PRs!C56,"PR!",""))</f>
        <v/>
      </c>
      <c r="O313" s="7" t="n"/>
    </row>
    <row r="314">
      <c r="A314" s="31" t="inlineStr">
        <is>
          <t>Day 3 - Variations</t>
        </is>
      </c>
      <c r="B314" s="32">
        <f>'Start Here'!$B$8+249</f>
        <v/>
      </c>
      <c r="C314" s="33" t="n"/>
      <c r="D314" s="33" t="n"/>
      <c r="E314" s="33" t="n"/>
      <c r="F314" s="33" t="n"/>
      <c r="G314" s="33" t="n"/>
      <c r="H314" s="33" t="n"/>
      <c r="I314" s="33" t="n"/>
      <c r="J314" s="33" t="n"/>
      <c r="K314" s="33" t="n"/>
      <c r="L314" s="33" t="n"/>
      <c r="M314" s="33" t="n"/>
      <c r="N314" s="33" t="n"/>
      <c r="O314" s="33" t="n"/>
    </row>
    <row r="315">
      <c r="A315" s="34" t="n"/>
      <c r="B315" s="34" t="n"/>
      <c r="C315" s="35" t="inlineStr">
        <is>
          <t>Vertical Jump</t>
        </is>
      </c>
      <c r="D315" s="34" t="inlineStr">
        <is>
          <t>1 x Max</t>
        </is>
      </c>
      <c r="E315" s="34" t="n"/>
      <c r="F315" s="34" t="n"/>
      <c r="G315" s="36" t="n"/>
      <c r="H315" s="37">
        <f>IF(N(Maxes!G71)&gt;0,Maxes!G71,"")</f>
        <v/>
      </c>
      <c r="I315" s="34" t="n"/>
      <c r="J315" s="34" t="n"/>
      <c r="K315" s="34" t="n"/>
      <c r="L315" s="34" t="n"/>
      <c r="M315" s="34" t="n"/>
      <c r="N315" s="34" t="n"/>
      <c r="O315" s="38" t="inlineStr">
        <is>
          <t>Test day: best of 3-5 jumps (jump mark minus standing reach). Log it and check the standards on Start Here</t>
        </is>
      </c>
    </row>
    <row r="316">
      <c r="C316" t="inlineStr">
        <is>
          <t xml:space="preserve">      Set 1</t>
        </is>
      </c>
      <c r="E316" t="n">
        <v>1</v>
      </c>
      <c r="H316" s="39">
        <f>IF(H315="","",H315)</f>
        <v/>
      </c>
      <c r="I316" s="7">
        <f>IF(H315="","",H315)</f>
        <v/>
      </c>
      <c r="J316" s="7" t="n">
        <v>1</v>
      </c>
      <c r="K316" s="7" t="n"/>
      <c r="L316" s="40" t="n"/>
      <c r="N316" s="41">
        <f>IF(AND(L316&lt;&gt;"",N(I316)&gt;0),IF(I316&gt;=PRs!D71,"PR!",""),"")</f>
        <v/>
      </c>
      <c r="O316" s="7" t="n"/>
    </row>
    <row r="317">
      <c r="A317" s="34" t="n"/>
      <c r="B317" s="34" t="n"/>
      <c r="C317" s="42" t="inlineStr">
        <is>
          <t>Power Snatch</t>
        </is>
      </c>
      <c r="D317" s="34" t="inlineStr">
        <is>
          <t>1 x 1RM</t>
        </is>
      </c>
      <c r="E317" s="34" t="n"/>
      <c r="F317" s="34" t="n"/>
      <c r="G317" s="36">
        <f>Maxes!G34</f>
        <v/>
      </c>
      <c r="H317" s="37">
        <f>IF(G317="","",MROUND(G317/1,'Start Here'!$B$7))</f>
        <v/>
      </c>
      <c r="I317" s="34" t="n"/>
      <c r="J317" s="34" t="n"/>
      <c r="K317" s="34" t="n"/>
      <c r="L317" s="34" t="n"/>
      <c r="M317" s="34" t="n"/>
      <c r="N317" s="34" t="n"/>
      <c r="O317" s="38" t="inlineStr">
        <is>
          <t>Work up to a 1RM - tracked as its own PR</t>
        </is>
      </c>
    </row>
    <row r="318">
      <c r="C318" t="inlineStr">
        <is>
          <t xml:space="preserve">      Set 1</t>
        </is>
      </c>
      <c r="E318" t="n">
        <v>1</v>
      </c>
      <c r="H318" s="39">
        <f>IF(H317="","",H317)</f>
        <v/>
      </c>
      <c r="I318" s="7">
        <f>IF(H317="","",H317)</f>
        <v/>
      </c>
      <c r="J318" s="7" t="n">
        <v>1</v>
      </c>
      <c r="K318" s="7" t="n"/>
      <c r="L318" s="40" t="n"/>
      <c r="M318">
        <f>IF(AND(L318&lt;&gt;"",N(I318)&gt;0,N(J318)&gt;0),IF(J318=1,I318,ROUND(I318*(1+J318/30),1)),"")</f>
        <v/>
      </c>
      <c r="N318" s="41">
        <f>IF(M318="","",IF(M318&gt;=PRs!C34,"PR!",""))</f>
        <v/>
      </c>
      <c r="O318" s="7" t="n"/>
    </row>
    <row r="319">
      <c r="A319" s="34" t="n"/>
      <c r="B319" s="34" t="n"/>
      <c r="C319" s="42" t="inlineStr">
        <is>
          <t>Safety Bar Squat</t>
        </is>
      </c>
      <c r="D319" s="34" t="inlineStr">
        <is>
          <t>1 x 3RM</t>
        </is>
      </c>
      <c r="E319" s="34" t="n"/>
      <c r="F319" s="34" t="n"/>
      <c r="G319" s="36">
        <f>Maxes!G11</f>
        <v/>
      </c>
      <c r="H319" s="37">
        <f>IF(G319="","",MROUND(G319/(1+3/30),'Start Here'!$B$7))</f>
        <v/>
      </c>
      <c r="I319" s="34" t="n"/>
      <c r="J319" s="34" t="n"/>
      <c r="K319" s="34" t="n"/>
      <c r="L319" s="34" t="n"/>
      <c r="M319" s="34" t="n"/>
      <c r="N319" s="34" t="n"/>
      <c r="O319" s="38" t="inlineStr">
        <is>
          <t>Work up to a 3RM - tracked as its own PR</t>
        </is>
      </c>
    </row>
    <row r="320">
      <c r="C320" t="inlineStr">
        <is>
          <t xml:space="preserve">      Set 1</t>
        </is>
      </c>
      <c r="E320" t="n">
        <v>3</v>
      </c>
      <c r="H320" s="39">
        <f>IF(H319="","",H319)</f>
        <v/>
      </c>
      <c r="I320" s="7">
        <f>IF(H319="","",H319)</f>
        <v/>
      </c>
      <c r="J320" s="7" t="n">
        <v>3</v>
      </c>
      <c r="K320" s="7" t="n"/>
      <c r="L320" s="40" t="n"/>
      <c r="M320">
        <f>IF(AND(L320&lt;&gt;"",N(I320)&gt;0,N(J320)&gt;0),IF(J320=1,I320,ROUND(I320*(1+J320/30),1)),"")</f>
        <v/>
      </c>
      <c r="N320" s="41">
        <f>IF(M320="","",IF(M320&gt;=PRs!C11,"PR!",""))</f>
        <v/>
      </c>
      <c r="O320" s="7" t="n"/>
    </row>
    <row r="321">
      <c r="A321" s="34" t="n"/>
      <c r="B321" s="34" t="n"/>
      <c r="C321" s="42" t="inlineStr">
        <is>
          <t>2-Board Press</t>
        </is>
      </c>
      <c r="D321" s="34" t="inlineStr">
        <is>
          <t>1 x 3RM</t>
        </is>
      </c>
      <c r="E321" s="34" t="n"/>
      <c r="F321" s="34" t="n"/>
      <c r="G321" s="36">
        <f>Maxes!G16</f>
        <v/>
      </c>
      <c r="H321" s="37">
        <f>IF(G321="","",MROUND(G321/(1+3/30),'Start Here'!$B$7))</f>
        <v/>
      </c>
      <c r="I321" s="34" t="n"/>
      <c r="J321" s="34" t="n"/>
      <c r="K321" s="34" t="n"/>
      <c r="L321" s="34" t="n"/>
      <c r="M321" s="34" t="n"/>
      <c r="N321" s="34" t="n"/>
      <c r="O321" s="38" t="inlineStr">
        <is>
          <t>Work up to a 3RM - tracked as its own PR</t>
        </is>
      </c>
    </row>
    <row r="322">
      <c r="C322" t="inlineStr">
        <is>
          <t xml:space="preserve">      Set 1</t>
        </is>
      </c>
      <c r="E322" t="n">
        <v>3</v>
      </c>
      <c r="H322" s="39">
        <f>IF(H321="","",H321)</f>
        <v/>
      </c>
      <c r="I322" s="7">
        <f>IF(H321="","",H321)</f>
        <v/>
      </c>
      <c r="J322" s="7" t="n">
        <v>3</v>
      </c>
      <c r="K322" s="7" t="n"/>
      <c r="L322" s="40" t="n"/>
      <c r="M322">
        <f>IF(AND(L322&lt;&gt;"",N(I322)&gt;0,N(J322)&gt;0),IF(J322=1,I322,ROUND(I322*(1+J322/30),1)),"")</f>
        <v/>
      </c>
      <c r="N322" s="41">
        <f>IF(M322="","",IF(M322&gt;=PRs!C16,"PR!",""))</f>
        <v/>
      </c>
      <c r="O322" s="7" t="n"/>
    </row>
    <row r="323">
      <c r="A323" s="34" t="n"/>
      <c r="B323" s="34" t="n"/>
      <c r="C323" s="42" t="inlineStr">
        <is>
          <t>Romanian Deadlift</t>
        </is>
      </c>
      <c r="D323" s="34" t="inlineStr">
        <is>
          <t>1 x 3RM</t>
        </is>
      </c>
      <c r="E323" s="34" t="n"/>
      <c r="F323" s="34" t="n"/>
      <c r="G323" s="36">
        <f>Maxes!G23</f>
        <v/>
      </c>
      <c r="H323" s="37">
        <f>IF(G323="","",MROUND(G323/(1+3/30),'Start Here'!$B$7))</f>
        <v/>
      </c>
      <c r="I323" s="34" t="n"/>
      <c r="J323" s="34" t="n"/>
      <c r="K323" s="34" t="n"/>
      <c r="L323" s="34" t="n"/>
      <c r="M323" s="34" t="n"/>
      <c r="N323" s="34" t="n"/>
      <c r="O323" s="38" t="inlineStr">
        <is>
          <t>Work up to a 3RM - tracked as its own PR</t>
        </is>
      </c>
    </row>
    <row r="324">
      <c r="C324" t="inlineStr">
        <is>
          <t xml:space="preserve">      Set 1</t>
        </is>
      </c>
      <c r="E324" t="n">
        <v>3</v>
      </c>
      <c r="H324" s="39">
        <f>IF(H323="","",H323)</f>
        <v/>
      </c>
      <c r="I324" s="7">
        <f>IF(H323="","",H323)</f>
        <v/>
      </c>
      <c r="J324" s="7" t="n">
        <v>3</v>
      </c>
      <c r="K324" s="7" t="n"/>
      <c r="L324" s="40" t="n"/>
      <c r="M324">
        <f>IF(AND(L324&lt;&gt;"",N(I324)&gt;0,N(J324)&gt;0),IF(J324=1,I324,ROUND(I324*(1+J324/30),1)),"")</f>
        <v/>
      </c>
      <c r="N324" s="41">
        <f>IF(M324="","",IF(M324&gt;=PRs!C23,"PR!",""))</f>
        <v/>
      </c>
      <c r="O324" s="7" t="n"/>
    </row>
    <row r="325">
      <c r="A325" s="34" t="n"/>
      <c r="B325" s="34" t="n"/>
      <c r="C325" s="43" t="inlineStr">
        <is>
          <t>Incline Dumbbell Press</t>
        </is>
      </c>
      <c r="D325" s="34" t="inlineStr">
        <is>
          <t>2 x 8-12</t>
        </is>
      </c>
      <c r="E325" s="34" t="n"/>
      <c r="F325" s="34" t="n"/>
      <c r="G325" s="36" t="n"/>
      <c r="H325" s="37" t="n"/>
      <c r="I325" s="34" t="n"/>
      <c r="J325" s="34" t="n"/>
      <c r="K325" s="34" t="n"/>
      <c r="L325" s="34" t="n"/>
      <c r="M325" s="34" t="n"/>
      <c r="N325" s="34" t="n"/>
      <c r="O325" s="38" t="inlineStr">
        <is>
          <t>Light</t>
        </is>
      </c>
    </row>
    <row r="326">
      <c r="C326" t="inlineStr">
        <is>
          <t xml:space="preserve">      Set 1</t>
        </is>
      </c>
      <c r="E326" t="n">
        <v>8</v>
      </c>
      <c r="H326" s="39">
        <f>IF(H325="","",H325)</f>
        <v/>
      </c>
      <c r="I326" s="7">
        <f>IF(H325="","",H325)</f>
        <v/>
      </c>
      <c r="J326" s="7" t="n">
        <v>8</v>
      </c>
      <c r="K326" s="7" t="n"/>
      <c r="L326" s="40" t="n"/>
      <c r="M326">
        <f>IF(AND(L326&lt;&gt;"",N(I326)&gt;0,N(J326)&gt;0),IF(J326=1,I326,ROUND(I326*(1+J326/30),1)),"")</f>
        <v/>
      </c>
      <c r="N326" s="41">
        <f>IF(M326="","",IF(M326&gt;=PRs!C57,"PR!",""))</f>
        <v/>
      </c>
      <c r="O326" s="7" t="n"/>
    </row>
    <row r="327">
      <c r="C327" t="inlineStr">
        <is>
          <t xml:space="preserve">      Set 2</t>
        </is>
      </c>
      <c r="E327" t="n">
        <v>8</v>
      </c>
      <c r="H327" s="39">
        <f>IF(H325="","",H325)</f>
        <v/>
      </c>
      <c r="I327" s="7">
        <f>IF(H325="","",H325)</f>
        <v/>
      </c>
      <c r="J327" s="7" t="n">
        <v>8</v>
      </c>
      <c r="K327" s="7" t="n"/>
      <c r="L327" s="40" t="n"/>
      <c r="M327">
        <f>IF(AND(L327&lt;&gt;"",N(I327)&gt;0,N(J327)&gt;0),IF(J327=1,I327,ROUND(I327*(1+J327/30),1)),"")</f>
        <v/>
      </c>
      <c r="N327" s="41">
        <f>IF(M327="","",IF(M327&gt;=PRs!C57,"PR!",""))</f>
        <v/>
      </c>
      <c r="O327" s="7" t="n"/>
    </row>
    <row r="328">
      <c r="A328" s="34" t="n"/>
      <c r="B328" s="34" t="n"/>
      <c r="C328" s="43" t="inlineStr">
        <is>
          <t>Triceps Pushdown</t>
        </is>
      </c>
      <c r="D328" s="34" t="inlineStr">
        <is>
          <t>2 x 10-15</t>
        </is>
      </c>
      <c r="E328" s="34" t="n"/>
      <c r="F328" s="34" t="n"/>
      <c r="G328" s="36" t="n"/>
      <c r="H328" s="37" t="n"/>
      <c r="I328" s="34" t="n"/>
      <c r="J328" s="34" t="n"/>
      <c r="K328" s="34" t="n"/>
      <c r="L328" s="34" t="n"/>
      <c r="M328" s="34" t="n"/>
      <c r="N328" s="34" t="n"/>
      <c r="O328" s="38" t="inlineStr">
        <is>
          <t>Light</t>
        </is>
      </c>
    </row>
    <row r="329">
      <c r="C329" t="inlineStr">
        <is>
          <t xml:space="preserve">      Set 1</t>
        </is>
      </c>
      <c r="E329" t="n">
        <v>10</v>
      </c>
      <c r="H329" s="39">
        <f>IF(H328="","",H328)</f>
        <v/>
      </c>
      <c r="I329" s="7">
        <f>IF(H328="","",H328)</f>
        <v/>
      </c>
      <c r="J329" s="7" t="n">
        <v>10</v>
      </c>
      <c r="K329" s="7" t="n"/>
      <c r="L329" s="40" t="n"/>
      <c r="M329">
        <f>IF(AND(L329&lt;&gt;"",N(I329)&gt;0,N(J329)&gt;0),IF(J329=1,I329,ROUND(I329*(1+J329/30),1)),"")</f>
        <v/>
      </c>
      <c r="N329" s="41">
        <f>IF(M329="","",IF(M329&gt;=PRs!C59,"PR!",""))</f>
        <v/>
      </c>
      <c r="O329" s="7" t="n"/>
    </row>
    <row r="330">
      <c r="C330" t="inlineStr">
        <is>
          <t xml:space="preserve">      Set 2</t>
        </is>
      </c>
      <c r="E330" t="n">
        <v>10</v>
      </c>
      <c r="H330" s="39">
        <f>IF(H328="","",H328)</f>
        <v/>
      </c>
      <c r="I330" s="7">
        <f>IF(H328="","",H328)</f>
        <v/>
      </c>
      <c r="J330" s="7" t="n">
        <v>10</v>
      </c>
      <c r="K330" s="7" t="n"/>
      <c r="L330" s="40" t="n"/>
      <c r="M330">
        <f>IF(AND(L330&lt;&gt;"",N(I330)&gt;0,N(J330)&gt;0),IF(J330=1,I330,ROUND(I330*(1+J330/30),1)),"")</f>
        <v/>
      </c>
      <c r="N330" s="41">
        <f>IF(M330="","",IF(M330&gt;=PRs!C59,"PR!",""))</f>
        <v/>
      </c>
      <c r="O330" s="7" t="n"/>
    </row>
  </sheetData>
  <dataValidations count="3">
    <dataValidation sqref="H3" showDropDown="0" showInputMessage="0" showErrorMessage="0" allowBlank="1" type="list">
      <formula1>Lists!$B$1:$B$6</formula1>
    </dataValidation>
    <dataValidation sqref="L9 L10 L11 L13 L14 L15 L16 L17 L19 L20 L21 L22 L23 L25 L26 L27 L28 L29 L31 L32 L33 L35 L36 L37 L40 L41 L42 L44 L45 L47 L48 L49 L50 L51 L53 L54 L55 L56 L58 L59 L60 L61 L63 L64 L65 L67 L68 L69 L71 L72 L73 L76 L77 L78 L80 L81 L82 L83 L85 L86 L87 L88 L90 L91 L92 L93 L95 L96 L97 L98 L100 L101 L102 L104 L105 L106 L111 L112 L113 L115 L116 L117 L118 L120 L121 L122 L123 L125 L126 L127 L128 L130 L131 L132 L134 L135 L136 L139 L140 L141 L143 L144 L146 L147 L148 L149 L151 L152 L153 L155 L156 L157 L158 L159 L161 L162 L163 L164 L166 L167 L168 L170 L171 L172 L175 L176 L177 L179 L180 L181 L182 L183 L185 L186 L187 L188 L189 L191 L192 L193 L194 L195 L197 L198 L199 L201 L202 L203 L205 L206 L207 L212 L213 L215 L216 L217 L219 L220 L221 L223 L224 L225 L227 L228 L230 L231 L234 L235 L237 L238 L240 L241 L243 L244 L246 L247 L249 L250 L252 L253 L255 L256 L259 L260 L262 L263 L265 L266 L268 L269 L271 L272 L274 L275 L277 L278 L283 L285 L287 L289 L291 L292 L294 L295 L298 L300 L302 L303 L305 L307 L309 L310 L312 L313 L316 L318 L320 L322 L324 L326 L327 L329 L330" showDropDown="0" showInputMessage="0" showErrorMessage="0" allowBlank="1" type="list">
      <formula1>"✓"</formula1>
    </dataValidation>
    <dataValidation sqref="K9 K10 K11 K13 K14 K15 K16 K17 K19 K20 K21 K22 K23 K25 K26 K27 K28 K29 K31 K32 K33 K35 K36 K37 K40 K41 K42 K44 K45 K47 K48 K49 K50 K51 K53 K54 K55 K56 K58 K59 K60 K61 K63 K64 K65 K67 K68 K69 K71 K72 K73 K76 K77 K78 K80 K81 K82 K83 K85 K86 K87 K88 K90 K91 K92 K93 K95 K96 K97 K98 K100 K101 K102 K104 K105 K106 K111 K112 K113 K115 K116 K117 K118 K120 K121 K122 K123 K125 K126 K127 K128 K130 K131 K132 K134 K135 K136 K139 K140 K141 K143 K144 K146 K147 K148 K149 K151 K152 K153 K155 K156 K157 K158 K159 K161 K162 K163 K164 K166 K167 K168 K170 K171 K172 K175 K176 K177 K179 K180 K181 K182 K183 K185 K186 K187 K188 K189 K191 K192 K193 K194 K195 K197 K198 K199 K201 K202 K203 K205 K206 K207 K212 K213 K215 K216 K217 K219 K220 K221 K223 K224 K225 K227 K228 K230 K231 K234 K235 K237 K238 K240 K241 K243 K244 K246 K247 K249 K250 K252 K253 K255 K256 K259 K260 K262 K263 K265 K266 K268 K269 K271 K272 K274 K275 K277 K278 K283 K285 K287 K289 K291 K292 K294 K295 K298 K300 K302 K303 K305 K307 K309 K310 K312 K313 K316 K318 K320 K322 K324 K326 K327 K329 K330" showDropDown="0" showInputMessage="0" showErrorMessage="0" allowBlank="1" type="list">
      <formula1>"6,6.5,7,7.5,8,8.5,9,9.5,10"</formula1>
    </dataValidation>
  </dataValidations>
  <hyperlinks>
    <hyperlink ref="A2" location="'Month 08'!A1" display="&lt; Month 08"/>
    <hyperlink ref="C2" location="'Start Here'!A1" display="Start Here"/>
    <hyperlink ref="E2" location="'Month 10'!A1" display="Month 10 &gt;"/>
    <hyperlink ref="L3" location="'Body'!A1" display="How to test"/>
  </hyperlinks>
  <pageMargins left="0.75" right="0.75" top="1" bottom="1" header="0.5" footer="0.5"/>
  <pageSetup orientation="landscape" fitToHeight="0" fitToWidth="1"/>
</worksheet>
</file>

<file path=xl/worksheets/sheet12.xml><?xml version="1.0" encoding="utf-8"?>
<worksheet xmlns="http://schemas.openxmlformats.org/spreadsheetml/2006/main">
  <sheetPr>
    <tabColor rgb="00E6E2DA"/>
    <outlinePr summaryBelow="1" summaryRight="1"/>
    <pageSetUpPr fitToPage="1"/>
  </sheetPr>
  <dimension ref="A1:O38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26" customWidth="1" min="3" max="3"/>
    <col width="10" customWidth="1" min="4" max="4"/>
    <col width="7" customWidth="1" min="5" max="5"/>
    <col width="6" customWidth="1" min="6" max="6"/>
    <col width="9" customWidth="1" min="7" max="7"/>
    <col width="9" customWidth="1" min="8" max="8"/>
    <col width="12" customWidth="1" min="9" max="9"/>
    <col width="8" customWidth="1" min="10" max="10"/>
    <col width="6" customWidth="1" min="11" max="11"/>
    <col width="6" customWidth="1" min="12" max="12"/>
    <col width="9" customWidth="1" min="13" max="13"/>
    <col width="5" customWidth="1" min="14" max="14"/>
    <col width="60" customWidth="1" min="15" max="15"/>
  </cols>
  <sheetData>
    <row r="1">
      <c r="A1" s="25" t="inlineStr">
        <is>
          <t>MONTH 10  -  weeks 37-40  -  Cycle 4</t>
        </is>
      </c>
    </row>
    <row r="2">
      <c r="A2" s="26" t="inlineStr">
        <is>
          <t>&lt; Month 09</t>
        </is>
      </c>
      <c r="C2" s="26" t="inlineStr">
        <is>
          <t>Start Here</t>
        </is>
      </c>
      <c r="E2" s="26" t="inlineStr">
        <is>
          <t>Month 11 &gt;</t>
        </is>
      </c>
    </row>
    <row r="3">
      <c r="A3" s="41" t="inlineStr">
        <is>
          <t>BODY FAT (once this month)</t>
        </is>
      </c>
      <c r="C3" s="44" t="inlineStr">
        <is>
          <t>Date</t>
        </is>
      </c>
      <c r="D3" s="12" t="n"/>
      <c r="E3" s="44" t="inlineStr">
        <is>
          <t>Body fat %</t>
        </is>
      </c>
      <c r="F3" s="7" t="n"/>
      <c r="G3" s="44" t="inlineStr">
        <is>
          <t>Method</t>
        </is>
      </c>
      <c r="H3" s="7" t="n"/>
      <c r="I3" s="44" t="inlineStr">
        <is>
          <t>Weight at test</t>
        </is>
      </c>
      <c r="J3" s="7" t="n"/>
      <c r="L3" s="26" t="inlineStr">
        <is>
          <t>How to test</t>
        </is>
      </c>
    </row>
    <row r="4">
      <c r="A4" s="27" t="inlineStr">
        <is>
          <t>Every set is filled in with the plan. Change what was different, mark Done. Enter bodyweight once per week on the purple week rows.</t>
        </is>
      </c>
    </row>
    <row r="5">
      <c r="A5" s="8" t="inlineStr">
        <is>
          <t>Day</t>
        </is>
      </c>
      <c r="B5" s="8" t="inlineStr">
        <is>
          <t>Date</t>
        </is>
      </c>
      <c r="C5" s="8" t="inlineStr">
        <is>
          <t>Exercise / set</t>
        </is>
      </c>
      <c r="D5" s="8" t="inlineStr">
        <is>
          <t>Scheme</t>
        </is>
      </c>
      <c r="E5" s="8" t="inlineStr">
        <is>
          <t>Target reps</t>
        </is>
      </c>
      <c r="F5" s="8" t="inlineStr">
        <is>
          <t>% TM</t>
        </is>
      </c>
      <c r="G5" s="8" t="inlineStr">
        <is>
          <t>Training max</t>
        </is>
      </c>
      <c r="H5" s="8" t="inlineStr">
        <is>
          <t>Target</t>
        </is>
      </c>
      <c r="I5" s="8" t="inlineStr">
        <is>
          <t>Actual weight / height</t>
        </is>
      </c>
      <c r="J5" s="8" t="inlineStr">
        <is>
          <t>Actual reps</t>
        </is>
      </c>
      <c r="K5" s="8" t="inlineStr">
        <is>
          <t>RPE</t>
        </is>
      </c>
      <c r="L5" s="8" t="inlineStr">
        <is>
          <t>Done</t>
        </is>
      </c>
      <c r="M5" s="8" t="inlineStr">
        <is>
          <t>Est. 1RM</t>
        </is>
      </c>
      <c r="N5" s="8" t="inlineStr">
        <is>
          <t>PR</t>
        </is>
      </c>
      <c r="O5" s="8" t="inlineStr">
        <is>
          <t>Notes / guidance</t>
        </is>
      </c>
    </row>
    <row r="6">
      <c r="A6" s="45" t="inlineStr">
        <is>
          <t>WEEK 37 - CYCLE 4 - ACCUMULATION</t>
        </is>
      </c>
      <c r="B6" s="46" t="n"/>
      <c r="C6" s="46" t="n"/>
      <c r="D6" s="46" t="n"/>
      <c r="E6" s="46" t="n"/>
      <c r="F6" s="46" t="n"/>
      <c r="G6" s="46" t="n"/>
      <c r="H6" s="47" t="inlineStr">
        <is>
          <t>Bodyweight:</t>
        </is>
      </c>
      <c r="I6" s="7" t="n"/>
      <c r="J6" s="46" t="n"/>
      <c r="K6" s="46" t="n"/>
      <c r="L6" s="46" t="n"/>
      <c r="M6" s="46" t="n"/>
      <c r="N6" s="46" t="n"/>
      <c r="O6" s="46" t="n"/>
    </row>
    <row r="7">
      <c r="A7" s="31" t="inlineStr">
        <is>
          <t>Day 1 - Heavy</t>
        </is>
      </c>
      <c r="B7" s="32">
        <f>'Start Here'!$B$8+252</f>
        <v/>
      </c>
      <c r="C7" s="33" t="n"/>
      <c r="D7" s="33" t="n"/>
      <c r="E7" s="33" t="n"/>
      <c r="F7" s="33" t="n"/>
      <c r="G7" s="33" t="n"/>
      <c r="H7" s="33" t="n"/>
      <c r="I7" s="33" t="n"/>
      <c r="J7" s="33" t="n"/>
      <c r="K7" s="33" t="n"/>
      <c r="L7" s="33" t="n"/>
      <c r="M7" s="33" t="n"/>
      <c r="N7" s="33" t="n"/>
      <c r="O7" s="33" t="n"/>
    </row>
    <row r="8">
      <c r="A8" s="34" t="n"/>
      <c r="B8" s="34" t="n"/>
      <c r="C8" s="35" t="inlineStr">
        <is>
          <t>Box Jump</t>
        </is>
      </c>
      <c r="D8" s="34" t="inlineStr">
        <is>
          <t>4 x 3</t>
        </is>
      </c>
      <c r="E8" s="34" t="n"/>
      <c r="F8" s="34" t="n"/>
      <c r="G8" s="36" t="n"/>
      <c r="H8" s="37">
        <f>IF(N(Maxes!H69)&gt;0,Maxes!H69,'Start Here'!$G$16)</f>
        <v/>
      </c>
      <c r="I8" s="34" t="n"/>
      <c r="J8" s="34" t="n"/>
      <c r="K8" s="34" t="n"/>
      <c r="L8" s="34" t="n"/>
      <c r="M8" s="34" t="n"/>
      <c r="N8" s="34" t="n"/>
      <c r="O8" s="38" t="inlineStr">
        <is>
          <t>Two-foot jump onto a box, land soft in a quarter squat, STEP down. Log the box height (floor to top of box).</t>
        </is>
      </c>
    </row>
    <row r="9">
      <c r="C9" t="inlineStr">
        <is>
          <t xml:space="preserve">      Set 1</t>
        </is>
      </c>
      <c r="E9" t="n">
        <v>3</v>
      </c>
      <c r="H9" s="39">
        <f>IF(H8="","",H8)</f>
        <v/>
      </c>
      <c r="I9" s="7">
        <f>IF(H8="","",H8)</f>
        <v/>
      </c>
      <c r="J9" s="7" t="n">
        <v>3</v>
      </c>
      <c r="K9" s="7" t="n"/>
      <c r="L9" s="40" t="n"/>
      <c r="N9" s="41">
        <f>IF(AND(L9&lt;&gt;"",N(I9)&gt;0),IF(I9&gt;=PRs!D69,"PR!",""),"")</f>
        <v/>
      </c>
      <c r="O9" s="7" t="n"/>
    </row>
    <row r="10">
      <c r="C10" t="inlineStr">
        <is>
          <t xml:space="preserve">      Set 2</t>
        </is>
      </c>
      <c r="E10" t="n">
        <v>3</v>
      </c>
      <c r="H10" s="39">
        <f>IF(H8="","",H8)</f>
        <v/>
      </c>
      <c r="I10" s="7">
        <f>IF(H8="","",H8)</f>
        <v/>
      </c>
      <c r="J10" s="7" t="n">
        <v>3</v>
      </c>
      <c r="K10" s="7" t="n"/>
      <c r="L10" s="40" t="n"/>
      <c r="N10" s="41">
        <f>IF(AND(L10&lt;&gt;"",N(I10)&gt;0),IF(I10&gt;=PRs!D69,"PR!",""),"")</f>
        <v/>
      </c>
      <c r="O10" s="7" t="n"/>
    </row>
    <row r="11">
      <c r="C11" t="inlineStr">
        <is>
          <t xml:space="preserve">      Set 3</t>
        </is>
      </c>
      <c r="E11" t="n">
        <v>3</v>
      </c>
      <c r="H11" s="39">
        <f>IF(H8="","",H8)</f>
        <v/>
      </c>
      <c r="I11" s="7">
        <f>IF(H8="","",H8)</f>
        <v/>
      </c>
      <c r="J11" s="7" t="n">
        <v>3</v>
      </c>
      <c r="K11" s="7" t="n"/>
      <c r="L11" s="40" t="n"/>
      <c r="N11" s="41">
        <f>IF(AND(L11&lt;&gt;"",N(I11)&gt;0),IF(I11&gt;=PRs!D69,"PR!",""),"")</f>
        <v/>
      </c>
      <c r="O11" s="7" t="n"/>
    </row>
    <row r="12">
      <c r="C12" t="inlineStr">
        <is>
          <t xml:space="preserve">      Set 4</t>
        </is>
      </c>
      <c r="E12" t="n">
        <v>3</v>
      </c>
      <c r="H12" s="39">
        <f>IF(H8="","",H8)</f>
        <v/>
      </c>
      <c r="I12" s="7">
        <f>IF(H8="","",H8)</f>
        <v/>
      </c>
      <c r="J12" s="7" t="n">
        <v>3</v>
      </c>
      <c r="K12" s="7" t="n"/>
      <c r="L12" s="40" t="n"/>
      <c r="N12" s="41">
        <f>IF(AND(L12&lt;&gt;"",N(I12)&gt;0),IF(I12&gt;=PRs!D69,"PR!",""),"")</f>
        <v/>
      </c>
      <c r="O12" s="7" t="n"/>
    </row>
    <row r="13">
      <c r="A13" s="34" t="n"/>
      <c r="B13" s="34" t="n"/>
      <c r="C13" s="42" t="inlineStr">
        <is>
          <t>Snatch</t>
        </is>
      </c>
      <c r="D13" s="34" t="inlineStr">
        <is>
          <t>4 x 3</t>
        </is>
      </c>
      <c r="E13" s="34" t="n"/>
      <c r="F13" s="34" t="n">
        <v>70</v>
      </c>
      <c r="G13" s="36">
        <f>Maxes!H6</f>
        <v/>
      </c>
      <c r="H13" s="37">
        <f>IF(OR(G13="",F13=""),"",MROUND(G13*F13/100,'Start Here'!$B$7))</f>
        <v/>
      </c>
      <c r="I13" s="34" t="n"/>
      <c r="J13" s="34" t="n"/>
      <c r="K13" s="34" t="n"/>
      <c r="L13" s="34" t="n"/>
      <c r="M13" s="34" t="n"/>
      <c r="N13" s="34" t="n"/>
      <c r="O13" s="38" t="inlineStr"/>
    </row>
    <row r="14">
      <c r="C14" t="inlineStr">
        <is>
          <t xml:space="preserve">      Set 1</t>
        </is>
      </c>
      <c r="E14" t="n">
        <v>3</v>
      </c>
      <c r="H14" s="39">
        <f>IF(H13="","",H13)</f>
        <v/>
      </c>
      <c r="I14" s="7">
        <f>IF(H13="","",H13)</f>
        <v/>
      </c>
      <c r="J14" s="7" t="n">
        <v>3</v>
      </c>
      <c r="K14" s="7" t="n"/>
      <c r="L14" s="40" t="n"/>
      <c r="M14">
        <f>IF(AND(L14&lt;&gt;"",N(I14)&gt;0,N(J14)&gt;0),IF(J14=1,I14,ROUND(I14*(1+J14/30),1)),"")</f>
        <v/>
      </c>
      <c r="N14" s="41">
        <f>IF(M14="","",IF(M14&gt;=PRs!C6,"PR!",""))</f>
        <v/>
      </c>
      <c r="O14" s="7" t="n"/>
    </row>
    <row r="15">
      <c r="C15" t="inlineStr">
        <is>
          <t xml:space="preserve">      Set 2</t>
        </is>
      </c>
      <c r="E15" t="n">
        <v>3</v>
      </c>
      <c r="H15" s="39">
        <f>IF(H13="","",H13)</f>
        <v/>
      </c>
      <c r="I15" s="7">
        <f>IF(H13="","",H13)</f>
        <v/>
      </c>
      <c r="J15" s="7" t="n">
        <v>3</v>
      </c>
      <c r="K15" s="7" t="n"/>
      <c r="L15" s="40" t="n"/>
      <c r="M15">
        <f>IF(AND(L15&lt;&gt;"",N(I15)&gt;0,N(J15)&gt;0),IF(J15=1,I15,ROUND(I15*(1+J15/30),1)),"")</f>
        <v/>
      </c>
      <c r="N15" s="41">
        <f>IF(M15="","",IF(M15&gt;=PRs!C6,"PR!",""))</f>
        <v/>
      </c>
      <c r="O15" s="7" t="n"/>
    </row>
    <row r="16">
      <c r="C16" t="inlineStr">
        <is>
          <t xml:space="preserve">      Set 3</t>
        </is>
      </c>
      <c r="E16" t="n">
        <v>3</v>
      </c>
      <c r="H16" s="39">
        <f>IF(H13="","",H13)</f>
        <v/>
      </c>
      <c r="I16" s="7">
        <f>IF(H13="","",H13)</f>
        <v/>
      </c>
      <c r="J16" s="7" t="n">
        <v>3</v>
      </c>
      <c r="K16" s="7" t="n"/>
      <c r="L16" s="40" t="n"/>
      <c r="M16">
        <f>IF(AND(L16&lt;&gt;"",N(I16)&gt;0,N(J16)&gt;0),IF(J16=1,I16,ROUND(I16*(1+J16/30),1)),"")</f>
        <v/>
      </c>
      <c r="N16" s="41">
        <f>IF(M16="","",IF(M16&gt;=PRs!C6,"PR!",""))</f>
        <v/>
      </c>
      <c r="O16" s="7" t="n"/>
    </row>
    <row r="17">
      <c r="C17" t="inlineStr">
        <is>
          <t xml:space="preserve">      Set 4</t>
        </is>
      </c>
      <c r="E17" t="n">
        <v>3</v>
      </c>
      <c r="H17" s="39">
        <f>IF(H13="","",H13)</f>
        <v/>
      </c>
      <c r="I17" s="7">
        <f>IF(H13="","",H13)</f>
        <v/>
      </c>
      <c r="J17" s="7" t="n">
        <v>3</v>
      </c>
      <c r="K17" s="7" t="n"/>
      <c r="L17" s="40" t="n"/>
      <c r="M17">
        <f>IF(AND(L17&lt;&gt;"",N(I17)&gt;0,N(J17)&gt;0),IF(J17=1,I17,ROUND(I17*(1+J17/30),1)),"")</f>
        <v/>
      </c>
      <c r="N17" s="41">
        <f>IF(M17="","",IF(M17&gt;=PRs!C6,"PR!",""))</f>
        <v/>
      </c>
      <c r="O17" s="7" t="n"/>
    </row>
    <row r="18">
      <c r="A18" s="34" t="n"/>
      <c r="B18" s="34" t="n"/>
      <c r="C18" s="42" t="inlineStr">
        <is>
          <t>Squat</t>
        </is>
      </c>
      <c r="D18" s="34" t="inlineStr">
        <is>
          <t>3 x 6</t>
        </is>
      </c>
      <c r="E18" s="34" t="n"/>
      <c r="F18" s="34" t="n">
        <v>70</v>
      </c>
      <c r="G18" s="36">
        <f>Maxes!H2</f>
        <v/>
      </c>
      <c r="H18" s="37">
        <f>IF(OR(G18="",F18=""),"",MROUND(G18*F18/100,'Start Here'!$B$7))</f>
        <v/>
      </c>
      <c r="I18" s="34" t="n"/>
      <c r="J18" s="34" t="n"/>
      <c r="K18" s="34" t="n"/>
      <c r="L18" s="34" t="n"/>
      <c r="M18" s="34" t="n"/>
      <c r="N18" s="34" t="n"/>
      <c r="O18" s="38" t="inlineStr"/>
    </row>
    <row r="19">
      <c r="C19" t="inlineStr">
        <is>
          <t xml:space="preserve">      Set 1</t>
        </is>
      </c>
      <c r="E19" t="n">
        <v>6</v>
      </c>
      <c r="H19" s="39">
        <f>IF(H18="","",H18)</f>
        <v/>
      </c>
      <c r="I19" s="7">
        <f>IF(H18="","",H18)</f>
        <v/>
      </c>
      <c r="J19" s="7" t="n">
        <v>6</v>
      </c>
      <c r="K19" s="7" t="n"/>
      <c r="L19" s="40" t="n"/>
      <c r="M19">
        <f>IF(AND(L19&lt;&gt;"",N(I19)&gt;0,N(J19)&gt;0),IF(J19=1,I19,ROUND(I19*(1+J19/30),1)),"")</f>
        <v/>
      </c>
      <c r="N19" s="41">
        <f>IF(M19="","",IF(M19&gt;=PRs!C2,"PR!",""))</f>
        <v/>
      </c>
      <c r="O19" s="7" t="n"/>
    </row>
    <row r="20">
      <c r="C20" t="inlineStr">
        <is>
          <t xml:space="preserve">      Set 2</t>
        </is>
      </c>
      <c r="E20" t="n">
        <v>6</v>
      </c>
      <c r="H20" s="39">
        <f>IF(H18="","",H18)</f>
        <v/>
      </c>
      <c r="I20" s="7">
        <f>IF(H18="","",H18)</f>
        <v/>
      </c>
      <c r="J20" s="7" t="n">
        <v>6</v>
      </c>
      <c r="K20" s="7" t="n"/>
      <c r="L20" s="40" t="n"/>
      <c r="M20">
        <f>IF(AND(L20&lt;&gt;"",N(I20)&gt;0,N(J20)&gt;0),IF(J20=1,I20,ROUND(I20*(1+J20/30),1)),"")</f>
        <v/>
      </c>
      <c r="N20" s="41">
        <f>IF(M20="","",IF(M20&gt;=PRs!C2,"PR!",""))</f>
        <v/>
      </c>
      <c r="O20" s="7" t="n"/>
    </row>
    <row r="21">
      <c r="C21" t="inlineStr">
        <is>
          <t xml:space="preserve">      Set 3</t>
        </is>
      </c>
      <c r="E21" t="n">
        <v>6</v>
      </c>
      <c r="H21" s="39">
        <f>IF(H18="","",H18)</f>
        <v/>
      </c>
      <c r="I21" s="7">
        <f>IF(H18="","",H18)</f>
        <v/>
      </c>
      <c r="J21" s="7" t="n">
        <v>6</v>
      </c>
      <c r="K21" s="7" t="n"/>
      <c r="L21" s="40" t="n"/>
      <c r="M21">
        <f>IF(AND(L21&lt;&gt;"",N(I21)&gt;0,N(J21)&gt;0),IF(J21=1,I21,ROUND(I21*(1+J21/30),1)),"")</f>
        <v/>
      </c>
      <c r="N21" s="41">
        <f>IF(M21="","",IF(M21&gt;=PRs!C2,"PR!",""))</f>
        <v/>
      </c>
      <c r="O21" s="7" t="n"/>
    </row>
    <row r="22">
      <c r="A22" s="34" t="n"/>
      <c r="B22" s="34" t="n"/>
      <c r="C22" s="42" t="inlineStr">
        <is>
          <t>Bench Press</t>
        </is>
      </c>
      <c r="D22" s="34" t="inlineStr">
        <is>
          <t>3 x 6</t>
        </is>
      </c>
      <c r="E22" s="34" t="n"/>
      <c r="F22" s="34" t="n">
        <v>70</v>
      </c>
      <c r="G22" s="36">
        <f>Maxes!H3</f>
        <v/>
      </c>
      <c r="H22" s="37">
        <f>IF(OR(G22="",F22=""),"",MROUND(G22*F22/100,'Start Here'!$B$7))</f>
        <v/>
      </c>
      <c r="I22" s="34" t="n"/>
      <c r="J22" s="34" t="n"/>
      <c r="K22" s="34" t="n"/>
      <c r="L22" s="34" t="n"/>
      <c r="M22" s="34" t="n"/>
      <c r="N22" s="34" t="n"/>
      <c r="O22" s="38" t="inlineStr"/>
    </row>
    <row r="23">
      <c r="C23" t="inlineStr">
        <is>
          <t xml:space="preserve">      Set 1</t>
        </is>
      </c>
      <c r="E23" t="n">
        <v>6</v>
      </c>
      <c r="H23" s="39">
        <f>IF(H22="","",H22)</f>
        <v/>
      </c>
      <c r="I23" s="7">
        <f>IF(H22="","",H22)</f>
        <v/>
      </c>
      <c r="J23" s="7" t="n">
        <v>6</v>
      </c>
      <c r="K23" s="7" t="n"/>
      <c r="L23" s="40" t="n"/>
      <c r="M23">
        <f>IF(AND(L23&lt;&gt;"",N(I23)&gt;0,N(J23)&gt;0),IF(J23=1,I23,ROUND(I23*(1+J23/30),1)),"")</f>
        <v/>
      </c>
      <c r="N23" s="41">
        <f>IF(M23="","",IF(M23&gt;=PRs!C3,"PR!",""))</f>
        <v/>
      </c>
      <c r="O23" s="7" t="n"/>
    </row>
    <row r="24">
      <c r="C24" t="inlineStr">
        <is>
          <t xml:space="preserve">      Set 2</t>
        </is>
      </c>
      <c r="E24" t="n">
        <v>6</v>
      </c>
      <c r="H24" s="39">
        <f>IF(H22="","",H22)</f>
        <v/>
      </c>
      <c r="I24" s="7">
        <f>IF(H22="","",H22)</f>
        <v/>
      </c>
      <c r="J24" s="7" t="n">
        <v>6</v>
      </c>
      <c r="K24" s="7" t="n"/>
      <c r="L24" s="40" t="n"/>
      <c r="M24">
        <f>IF(AND(L24&lt;&gt;"",N(I24)&gt;0,N(J24)&gt;0),IF(J24=1,I24,ROUND(I24*(1+J24/30),1)),"")</f>
        <v/>
      </c>
      <c r="N24" s="41">
        <f>IF(M24="","",IF(M24&gt;=PRs!C3,"PR!",""))</f>
        <v/>
      </c>
      <c r="O24" s="7" t="n"/>
    </row>
    <row r="25">
      <c r="C25" t="inlineStr">
        <is>
          <t xml:space="preserve">      Set 3</t>
        </is>
      </c>
      <c r="E25" t="n">
        <v>6</v>
      </c>
      <c r="H25" s="39">
        <f>IF(H22="","",H22)</f>
        <v/>
      </c>
      <c r="I25" s="7">
        <f>IF(H22="","",H22)</f>
        <v/>
      </c>
      <c r="J25" s="7" t="n">
        <v>6</v>
      </c>
      <c r="K25" s="7" t="n"/>
      <c r="L25" s="40" t="n"/>
      <c r="M25">
        <f>IF(AND(L25&lt;&gt;"",N(I25)&gt;0,N(J25)&gt;0),IF(J25=1,I25,ROUND(I25*(1+J25/30),1)),"")</f>
        <v/>
      </c>
      <c r="N25" s="41">
        <f>IF(M25="","",IF(M25&gt;=PRs!C3,"PR!",""))</f>
        <v/>
      </c>
      <c r="O25" s="7" t="n"/>
    </row>
    <row r="26">
      <c r="A26" s="34" t="n"/>
      <c r="B26" s="34" t="n"/>
      <c r="C26" s="43" t="inlineStr">
        <is>
          <t>Barbell Row</t>
        </is>
      </c>
      <c r="D26" s="34" t="inlineStr">
        <is>
          <t>4 x 8-10</t>
        </is>
      </c>
      <c r="E26" s="34" t="n"/>
      <c r="F26" s="34" t="n"/>
      <c r="G26" s="36" t="n"/>
      <c r="H26" s="37" t="n"/>
      <c r="I26" s="34" t="n"/>
      <c r="J26" s="34" t="n"/>
      <c r="K26" s="34" t="n"/>
      <c r="L26" s="34" t="n"/>
      <c r="M26" s="34" t="n"/>
      <c r="N26" s="34" t="n"/>
      <c r="O26" s="38" t="inlineStr">
        <is>
          <t>Leave 1-2 reps in the tank; add weight when you hit the top of the range</t>
        </is>
      </c>
    </row>
    <row r="27">
      <c r="C27" t="inlineStr">
        <is>
          <t xml:space="preserve">      Set 1</t>
        </is>
      </c>
      <c r="E27" t="n">
        <v>8</v>
      </c>
      <c r="H27" s="39">
        <f>IF(H26="","",H26)</f>
        <v/>
      </c>
      <c r="I27" s="7">
        <f>IF(H26="","",H26)</f>
        <v/>
      </c>
      <c r="J27" s="7" t="n">
        <v>8</v>
      </c>
      <c r="K27" s="7" t="n"/>
      <c r="L27" s="40" t="n"/>
      <c r="M27">
        <f>IF(AND(L27&lt;&gt;"",N(I27)&gt;0,N(J27)&gt;0),IF(J27=1,I27,ROUND(I27*(1+J27/30),1)),"")</f>
        <v/>
      </c>
      <c r="N27" s="41">
        <f>IF(M27="","",IF(M27&gt;=PRs!C50,"PR!",""))</f>
        <v/>
      </c>
      <c r="O27" s="7" t="n"/>
    </row>
    <row r="28">
      <c r="C28" t="inlineStr">
        <is>
          <t xml:space="preserve">      Set 2</t>
        </is>
      </c>
      <c r="E28" t="n">
        <v>8</v>
      </c>
      <c r="H28" s="39">
        <f>IF(H26="","",H26)</f>
        <v/>
      </c>
      <c r="I28" s="7">
        <f>IF(H26="","",H26)</f>
        <v/>
      </c>
      <c r="J28" s="7" t="n">
        <v>8</v>
      </c>
      <c r="K28" s="7" t="n"/>
      <c r="L28" s="40" t="n"/>
      <c r="M28">
        <f>IF(AND(L28&lt;&gt;"",N(I28)&gt;0,N(J28)&gt;0),IF(J28=1,I28,ROUND(I28*(1+J28/30),1)),"")</f>
        <v/>
      </c>
      <c r="N28" s="41">
        <f>IF(M28="","",IF(M28&gt;=PRs!C50,"PR!",""))</f>
        <v/>
      </c>
      <c r="O28" s="7" t="n"/>
    </row>
    <row r="29">
      <c r="C29" t="inlineStr">
        <is>
          <t xml:space="preserve">      Set 3</t>
        </is>
      </c>
      <c r="E29" t="n">
        <v>8</v>
      </c>
      <c r="H29" s="39">
        <f>IF(H26="","",H26)</f>
        <v/>
      </c>
      <c r="I29" s="7">
        <f>IF(H26="","",H26)</f>
        <v/>
      </c>
      <c r="J29" s="7" t="n">
        <v>8</v>
      </c>
      <c r="K29" s="7" t="n"/>
      <c r="L29" s="40" t="n"/>
      <c r="M29">
        <f>IF(AND(L29&lt;&gt;"",N(I29)&gt;0,N(J29)&gt;0),IF(J29=1,I29,ROUND(I29*(1+J29/30),1)),"")</f>
        <v/>
      </c>
      <c r="N29" s="41">
        <f>IF(M29="","",IF(M29&gt;=PRs!C50,"PR!",""))</f>
        <v/>
      </c>
      <c r="O29" s="7" t="n"/>
    </row>
    <row r="30">
      <c r="C30" t="inlineStr">
        <is>
          <t xml:space="preserve">      Set 4</t>
        </is>
      </c>
      <c r="E30" t="n">
        <v>8</v>
      </c>
      <c r="H30" s="39">
        <f>IF(H26="","",H26)</f>
        <v/>
      </c>
      <c r="I30" s="7">
        <f>IF(H26="","",H26)</f>
        <v/>
      </c>
      <c r="J30" s="7" t="n">
        <v>8</v>
      </c>
      <c r="K30" s="7" t="n"/>
      <c r="L30" s="40" t="n"/>
      <c r="M30">
        <f>IF(AND(L30&lt;&gt;"",N(I30)&gt;0,N(J30)&gt;0),IF(J30=1,I30,ROUND(I30*(1+J30/30),1)),"")</f>
        <v/>
      </c>
      <c r="N30" s="41">
        <f>IF(M30="","",IF(M30&gt;=PRs!C50,"PR!",""))</f>
        <v/>
      </c>
      <c r="O30" s="7" t="n"/>
    </row>
    <row r="31">
      <c r="A31" s="34" t="n"/>
      <c r="B31" s="34" t="n"/>
      <c r="C31" s="43" t="inlineStr">
        <is>
          <t>Face Pull</t>
        </is>
      </c>
      <c r="D31" s="34" t="inlineStr">
        <is>
          <t>4 x 12-15</t>
        </is>
      </c>
      <c r="E31" s="34" t="n"/>
      <c r="F31" s="34" t="n"/>
      <c r="G31" s="36" t="n"/>
      <c r="H31" s="37" t="n"/>
      <c r="I31" s="34" t="n"/>
      <c r="J31" s="34" t="n"/>
      <c r="K31" s="34" t="n"/>
      <c r="L31" s="34" t="n"/>
      <c r="M31" s="34" t="n"/>
      <c r="N31" s="34" t="n"/>
      <c r="O31" s="38" t="inlineStr">
        <is>
          <t>Leave 1-2 reps in the tank; add weight when you hit the top of the range</t>
        </is>
      </c>
    </row>
    <row r="32">
      <c r="C32" t="inlineStr">
        <is>
          <t xml:space="preserve">      Set 1</t>
        </is>
      </c>
      <c r="E32" t="n">
        <v>12</v>
      </c>
      <c r="H32" s="39">
        <f>IF(H31="","",H31)</f>
        <v/>
      </c>
      <c r="I32" s="7">
        <f>IF(H31="","",H31)</f>
        <v/>
      </c>
      <c r="J32" s="7" t="n">
        <v>12</v>
      </c>
      <c r="K32" s="7" t="n"/>
      <c r="L32" s="40" t="n"/>
      <c r="M32">
        <f>IF(AND(L32&lt;&gt;"",N(I32)&gt;0,N(J32)&gt;0),IF(J32=1,I32,ROUND(I32*(1+J32/30),1)),"")</f>
        <v/>
      </c>
      <c r="N32" s="41">
        <f>IF(M32="","",IF(M32&gt;=PRs!C51,"PR!",""))</f>
        <v/>
      </c>
      <c r="O32" s="7" t="n"/>
    </row>
    <row r="33">
      <c r="C33" t="inlineStr">
        <is>
          <t xml:space="preserve">      Set 2</t>
        </is>
      </c>
      <c r="E33" t="n">
        <v>12</v>
      </c>
      <c r="H33" s="39">
        <f>IF(H31="","",H31)</f>
        <v/>
      </c>
      <c r="I33" s="7">
        <f>IF(H31="","",H31)</f>
        <v/>
      </c>
      <c r="J33" s="7" t="n">
        <v>12</v>
      </c>
      <c r="K33" s="7" t="n"/>
      <c r="L33" s="40" t="n"/>
      <c r="M33">
        <f>IF(AND(L33&lt;&gt;"",N(I33)&gt;0,N(J33)&gt;0),IF(J33=1,I33,ROUND(I33*(1+J33/30),1)),"")</f>
        <v/>
      </c>
      <c r="N33" s="41">
        <f>IF(M33="","",IF(M33&gt;=PRs!C51,"PR!",""))</f>
        <v/>
      </c>
      <c r="O33" s="7" t="n"/>
    </row>
    <row r="34">
      <c r="C34" t="inlineStr">
        <is>
          <t xml:space="preserve">      Set 3</t>
        </is>
      </c>
      <c r="E34" t="n">
        <v>12</v>
      </c>
      <c r="H34" s="39">
        <f>IF(H31="","",H31)</f>
        <v/>
      </c>
      <c r="I34" s="7">
        <f>IF(H31="","",H31)</f>
        <v/>
      </c>
      <c r="J34" s="7" t="n">
        <v>12</v>
      </c>
      <c r="K34" s="7" t="n"/>
      <c r="L34" s="40" t="n"/>
      <c r="M34">
        <f>IF(AND(L34&lt;&gt;"",N(I34)&gt;0,N(J34)&gt;0),IF(J34=1,I34,ROUND(I34*(1+J34/30),1)),"")</f>
        <v/>
      </c>
      <c r="N34" s="41">
        <f>IF(M34="","",IF(M34&gt;=PRs!C51,"PR!",""))</f>
        <v/>
      </c>
      <c r="O34" s="7" t="n"/>
    </row>
    <row r="35">
      <c r="C35" t="inlineStr">
        <is>
          <t xml:space="preserve">      Set 4</t>
        </is>
      </c>
      <c r="E35" t="n">
        <v>12</v>
      </c>
      <c r="H35" s="39">
        <f>IF(H31="","",H31)</f>
        <v/>
      </c>
      <c r="I35" s="7">
        <f>IF(H31="","",H31)</f>
        <v/>
      </c>
      <c r="J35" s="7" t="n">
        <v>12</v>
      </c>
      <c r="K35" s="7" t="n"/>
      <c r="L35" s="40" t="n"/>
      <c r="M35">
        <f>IF(AND(L35&lt;&gt;"",N(I35)&gt;0,N(J35)&gt;0),IF(J35=1,I35,ROUND(I35*(1+J35/30),1)),"")</f>
        <v/>
      </c>
      <c r="N35" s="41">
        <f>IF(M35="","",IF(M35&gt;=PRs!C51,"PR!",""))</f>
        <v/>
      </c>
      <c r="O35" s="7" t="n"/>
    </row>
    <row r="36">
      <c r="A36" s="31" t="inlineStr">
        <is>
          <t>Day 2 - Light</t>
        </is>
      </c>
      <c r="B36" s="32">
        <f>'Start Here'!$B$8+254</f>
        <v/>
      </c>
      <c r="C36" s="33" t="n"/>
      <c r="D36" s="33" t="n"/>
      <c r="E36" s="33" t="n"/>
      <c r="F36" s="33" t="n"/>
      <c r="G36" s="33" t="n"/>
      <c r="H36" s="33" t="n"/>
      <c r="I36" s="33" t="n"/>
      <c r="J36" s="33" t="n"/>
      <c r="K36" s="33" t="n"/>
      <c r="L36" s="33" t="n"/>
      <c r="M36" s="33" t="n"/>
      <c r="N36" s="33" t="n"/>
      <c r="O36" s="33" t="n"/>
    </row>
    <row r="37">
      <c r="A37" s="34" t="n"/>
      <c r="B37" s="34" t="n"/>
      <c r="C37" s="35" t="inlineStr">
        <is>
          <t>Broad Jump</t>
        </is>
      </c>
      <c r="D37" s="34" t="inlineStr">
        <is>
          <t>4 x 3</t>
        </is>
      </c>
      <c r="E37" s="34" t="n"/>
      <c r="F37" s="34" t="n"/>
      <c r="G37" s="36" t="n"/>
      <c r="H37" s="37">
        <f>IF(N(Maxes!H70)&gt;0,Maxes!H70,"")</f>
        <v/>
      </c>
      <c r="I37" s="34" t="n"/>
      <c r="J37" s="34" t="n"/>
      <c r="K37" s="34" t="n"/>
      <c r="L37" s="34" t="n"/>
      <c r="M37" s="34" t="n"/>
      <c r="N37" s="34" t="n"/>
      <c r="O37" s="38" t="inlineStr">
        <is>
          <t>Standing two-foot jump forward, stick the landing. Measure toe line to the back of the nearest heel.</t>
        </is>
      </c>
    </row>
    <row r="38">
      <c r="C38" t="inlineStr">
        <is>
          <t xml:space="preserve">      Set 1</t>
        </is>
      </c>
      <c r="E38" t="n">
        <v>3</v>
      </c>
      <c r="H38" s="39">
        <f>IF(H37="","",H37)</f>
        <v/>
      </c>
      <c r="I38" s="7">
        <f>IF(H37="","",H37)</f>
        <v/>
      </c>
      <c r="J38" s="7" t="n">
        <v>3</v>
      </c>
      <c r="K38" s="7" t="n"/>
      <c r="L38" s="40" t="n"/>
      <c r="N38" s="41">
        <f>IF(AND(L38&lt;&gt;"",N(I38)&gt;0),IF(I38&gt;=PRs!D70,"PR!",""),"")</f>
        <v/>
      </c>
      <c r="O38" s="7" t="n"/>
    </row>
    <row r="39">
      <c r="C39" t="inlineStr">
        <is>
          <t xml:space="preserve">      Set 2</t>
        </is>
      </c>
      <c r="E39" t="n">
        <v>3</v>
      </c>
      <c r="H39" s="39">
        <f>IF(H37="","",H37)</f>
        <v/>
      </c>
      <c r="I39" s="7">
        <f>IF(H37="","",H37)</f>
        <v/>
      </c>
      <c r="J39" s="7" t="n">
        <v>3</v>
      </c>
      <c r="K39" s="7" t="n"/>
      <c r="L39" s="40" t="n"/>
      <c r="N39" s="41">
        <f>IF(AND(L39&lt;&gt;"",N(I39)&gt;0),IF(I39&gt;=PRs!D70,"PR!",""),"")</f>
        <v/>
      </c>
      <c r="O39" s="7" t="n"/>
    </row>
    <row r="40">
      <c r="C40" t="inlineStr">
        <is>
          <t xml:space="preserve">      Set 3</t>
        </is>
      </c>
      <c r="E40" t="n">
        <v>3</v>
      </c>
      <c r="H40" s="39">
        <f>IF(H37="","",H37)</f>
        <v/>
      </c>
      <c r="I40" s="7">
        <f>IF(H37="","",H37)</f>
        <v/>
      </c>
      <c r="J40" s="7" t="n">
        <v>3</v>
      </c>
      <c r="K40" s="7" t="n"/>
      <c r="L40" s="40" t="n"/>
      <c r="N40" s="41">
        <f>IF(AND(L40&lt;&gt;"",N(I40)&gt;0),IF(I40&gt;=PRs!D70,"PR!",""),"")</f>
        <v/>
      </c>
      <c r="O40" s="7" t="n"/>
    </row>
    <row r="41">
      <c r="C41" t="inlineStr">
        <is>
          <t xml:space="preserve">      Set 4</t>
        </is>
      </c>
      <c r="E41" t="n">
        <v>3</v>
      </c>
      <c r="H41" s="39">
        <f>IF(H37="","",H37)</f>
        <v/>
      </c>
      <c r="I41" s="7">
        <f>IF(H37="","",H37)</f>
        <v/>
      </c>
      <c r="J41" s="7" t="n">
        <v>3</v>
      </c>
      <c r="K41" s="7" t="n"/>
      <c r="L41" s="40" t="n"/>
      <c r="N41" s="41">
        <f>IF(AND(L41&lt;&gt;"",N(I41)&gt;0),IF(I41&gt;=PRs!D70,"PR!",""),"")</f>
        <v/>
      </c>
      <c r="O41" s="7" t="n"/>
    </row>
    <row r="42">
      <c r="A42" s="34" t="n"/>
      <c r="B42" s="34" t="n"/>
      <c r="C42" s="35" t="inlineStr">
        <is>
          <t>Med Ball Chest Pass</t>
        </is>
      </c>
      <c r="D42" s="34" t="inlineStr">
        <is>
          <t>3 x 5</t>
        </is>
      </c>
      <c r="E42" s="34" t="n"/>
      <c r="F42" s="34" t="n"/>
      <c r="G42" s="36" t="n"/>
      <c r="H42" s="37">
        <f>IF(N(Maxes!H77)&gt;0,Maxes!H77,"")</f>
        <v/>
      </c>
      <c r="I42" s="34" t="n"/>
      <c r="J42" s="34" t="n"/>
      <c r="K42" s="34" t="n"/>
      <c r="L42" s="34" t="n"/>
      <c r="M42" s="34" t="n"/>
      <c r="N42" s="34" t="n"/>
      <c r="O42" s="38" t="inlineStr">
        <is>
          <t>Kneeling or standing chest pass for distance with a 6-10 lb / 3-5 kg ball. Log the distance.</t>
        </is>
      </c>
    </row>
    <row r="43">
      <c r="C43" t="inlineStr">
        <is>
          <t xml:space="preserve">      Set 1</t>
        </is>
      </c>
      <c r="E43" t="n">
        <v>5</v>
      </c>
      <c r="H43" s="39">
        <f>IF(H42="","",H42)</f>
        <v/>
      </c>
      <c r="I43" s="7">
        <f>IF(H42="","",H42)</f>
        <v/>
      </c>
      <c r="J43" s="7" t="n">
        <v>5</v>
      </c>
      <c r="K43" s="7" t="n"/>
      <c r="L43" s="40" t="n"/>
      <c r="N43" s="41">
        <f>IF(AND(L43&lt;&gt;"",N(I43)&gt;0),IF(I43&gt;=PRs!D77,"PR!",""),"")</f>
        <v/>
      </c>
      <c r="O43" s="7" t="n"/>
    </row>
    <row r="44">
      <c r="C44" t="inlineStr">
        <is>
          <t xml:space="preserve">      Set 2</t>
        </is>
      </c>
      <c r="E44" t="n">
        <v>5</v>
      </c>
      <c r="H44" s="39">
        <f>IF(H42="","",H42)</f>
        <v/>
      </c>
      <c r="I44" s="7">
        <f>IF(H42="","",H42)</f>
        <v/>
      </c>
      <c r="J44" s="7" t="n">
        <v>5</v>
      </c>
      <c r="K44" s="7" t="n"/>
      <c r="L44" s="40" t="n"/>
      <c r="N44" s="41">
        <f>IF(AND(L44&lt;&gt;"",N(I44)&gt;0),IF(I44&gt;=PRs!D77,"PR!",""),"")</f>
        <v/>
      </c>
      <c r="O44" s="7" t="n"/>
    </row>
    <row r="45">
      <c r="C45" t="inlineStr">
        <is>
          <t xml:space="preserve">      Set 3</t>
        </is>
      </c>
      <c r="E45" t="n">
        <v>5</v>
      </c>
      <c r="H45" s="39">
        <f>IF(H42="","",H42)</f>
        <v/>
      </c>
      <c r="I45" s="7">
        <f>IF(H42="","",H42)</f>
        <v/>
      </c>
      <c r="J45" s="7" t="n">
        <v>5</v>
      </c>
      <c r="K45" s="7" t="n"/>
      <c r="L45" s="40" t="n"/>
      <c r="N45" s="41">
        <f>IF(AND(L45&lt;&gt;"",N(I45)&gt;0),IF(I45&gt;=PRs!D77,"PR!",""),"")</f>
        <v/>
      </c>
      <c r="O45" s="7" t="n"/>
    </row>
    <row r="46">
      <c r="A46" s="34" t="n"/>
      <c r="B46" s="34" t="n"/>
      <c r="C46" s="42" t="inlineStr">
        <is>
          <t>Clean &amp; Jerk</t>
        </is>
      </c>
      <c r="D46" s="34" t="inlineStr">
        <is>
          <t>4 x 3</t>
        </is>
      </c>
      <c r="E46" s="34" t="n"/>
      <c r="F46" s="34" t="n">
        <v>70</v>
      </c>
      <c r="G46" s="36">
        <f>Maxes!H7</f>
        <v/>
      </c>
      <c r="H46" s="37">
        <f>IF(OR(G46="",F46=""),"",MROUND(G46*F46/100,'Start Here'!$B$7))</f>
        <v/>
      </c>
      <c r="I46" s="34" t="n"/>
      <c r="J46" s="34" t="n"/>
      <c r="K46" s="34" t="n"/>
      <c r="L46" s="34" t="n"/>
      <c r="M46" s="34" t="n"/>
      <c r="N46" s="34" t="n"/>
      <c r="O46" s="38" t="inlineStr"/>
    </row>
    <row r="47">
      <c r="C47" t="inlineStr">
        <is>
          <t xml:space="preserve">      Set 1</t>
        </is>
      </c>
      <c r="E47" t="n">
        <v>3</v>
      </c>
      <c r="H47" s="39">
        <f>IF(H46="","",H46)</f>
        <v/>
      </c>
      <c r="I47" s="7">
        <f>IF(H46="","",H46)</f>
        <v/>
      </c>
      <c r="J47" s="7" t="n">
        <v>3</v>
      </c>
      <c r="K47" s="7" t="n"/>
      <c r="L47" s="40" t="n"/>
      <c r="M47">
        <f>IF(AND(L47&lt;&gt;"",N(I47)&gt;0,N(J47)&gt;0),IF(J47=1,I47,ROUND(I47*(1+J47/30),1)),"")</f>
        <v/>
      </c>
      <c r="N47" s="41">
        <f>IF(M47="","",IF(M47&gt;=PRs!C7,"PR!",""))</f>
        <v/>
      </c>
      <c r="O47" s="7" t="n"/>
    </row>
    <row r="48">
      <c r="C48" t="inlineStr">
        <is>
          <t xml:space="preserve">      Set 2</t>
        </is>
      </c>
      <c r="E48" t="n">
        <v>3</v>
      </c>
      <c r="H48" s="39">
        <f>IF(H46="","",H46)</f>
        <v/>
      </c>
      <c r="I48" s="7">
        <f>IF(H46="","",H46)</f>
        <v/>
      </c>
      <c r="J48" s="7" t="n">
        <v>3</v>
      </c>
      <c r="K48" s="7" t="n"/>
      <c r="L48" s="40" t="n"/>
      <c r="M48">
        <f>IF(AND(L48&lt;&gt;"",N(I48)&gt;0,N(J48)&gt;0),IF(J48=1,I48,ROUND(I48*(1+J48/30),1)),"")</f>
        <v/>
      </c>
      <c r="N48" s="41">
        <f>IF(M48="","",IF(M48&gt;=PRs!C7,"PR!",""))</f>
        <v/>
      </c>
      <c r="O48" s="7" t="n"/>
    </row>
    <row r="49">
      <c r="C49" t="inlineStr">
        <is>
          <t xml:space="preserve">      Set 3</t>
        </is>
      </c>
      <c r="E49" t="n">
        <v>3</v>
      </c>
      <c r="H49" s="39">
        <f>IF(H46="","",H46)</f>
        <v/>
      </c>
      <c r="I49" s="7">
        <f>IF(H46="","",H46)</f>
        <v/>
      </c>
      <c r="J49" s="7" t="n">
        <v>3</v>
      </c>
      <c r="K49" s="7" t="n"/>
      <c r="L49" s="40" t="n"/>
      <c r="M49">
        <f>IF(AND(L49&lt;&gt;"",N(I49)&gt;0,N(J49)&gt;0),IF(J49=1,I49,ROUND(I49*(1+J49/30),1)),"")</f>
        <v/>
      </c>
      <c r="N49" s="41">
        <f>IF(M49="","",IF(M49&gt;=PRs!C7,"PR!",""))</f>
        <v/>
      </c>
      <c r="O49" s="7" t="n"/>
    </row>
    <row r="50">
      <c r="C50" t="inlineStr">
        <is>
          <t xml:space="preserve">      Set 4</t>
        </is>
      </c>
      <c r="E50" t="n">
        <v>3</v>
      </c>
      <c r="H50" s="39">
        <f>IF(H46="","",H46)</f>
        <v/>
      </c>
      <c r="I50" s="7">
        <f>IF(H46="","",H46)</f>
        <v/>
      </c>
      <c r="J50" s="7" t="n">
        <v>3</v>
      </c>
      <c r="K50" s="7" t="n"/>
      <c r="L50" s="40" t="n"/>
      <c r="M50">
        <f>IF(AND(L50&lt;&gt;"",N(I50)&gt;0,N(J50)&gt;0),IF(J50=1,I50,ROUND(I50*(1+J50/30),1)),"")</f>
        <v/>
      </c>
      <c r="N50" s="41">
        <f>IF(M50="","",IF(M50&gt;=PRs!C7,"PR!",""))</f>
        <v/>
      </c>
      <c r="O50" s="7" t="n"/>
    </row>
    <row r="51">
      <c r="A51" s="34" t="n"/>
      <c r="B51" s="34" t="n"/>
      <c r="C51" s="42" t="inlineStr">
        <is>
          <t>Squat</t>
        </is>
      </c>
      <c r="D51" s="34" t="inlineStr">
        <is>
          <t>3 x 6</t>
        </is>
      </c>
      <c r="E51" s="34" t="n"/>
      <c r="F51" s="34" t="n">
        <v>60</v>
      </c>
      <c r="G51" s="36">
        <f>Maxes!H2</f>
        <v/>
      </c>
      <c r="H51" s="37">
        <f>IF(OR(G51="",F51=""),"",MROUND(G51*F51/100,'Start Here'!$B$7))</f>
        <v/>
      </c>
      <c r="I51" s="34" t="n"/>
      <c r="J51" s="34" t="n"/>
      <c r="K51" s="34" t="n"/>
      <c r="L51" s="34" t="n"/>
      <c r="M51" s="34" t="n"/>
      <c r="N51" s="34" t="n"/>
      <c r="O51" s="38" t="inlineStr"/>
    </row>
    <row r="52">
      <c r="C52" t="inlineStr">
        <is>
          <t xml:space="preserve">      Set 1</t>
        </is>
      </c>
      <c r="E52" t="n">
        <v>6</v>
      </c>
      <c r="H52" s="39">
        <f>IF(H51="","",H51)</f>
        <v/>
      </c>
      <c r="I52" s="7">
        <f>IF(H51="","",H51)</f>
        <v/>
      </c>
      <c r="J52" s="7" t="n">
        <v>6</v>
      </c>
      <c r="K52" s="7" t="n"/>
      <c r="L52" s="40" t="n"/>
      <c r="M52">
        <f>IF(AND(L52&lt;&gt;"",N(I52)&gt;0,N(J52)&gt;0),IF(J52=1,I52,ROUND(I52*(1+J52/30),1)),"")</f>
        <v/>
      </c>
      <c r="N52" s="41">
        <f>IF(M52="","",IF(M52&gt;=PRs!C2,"PR!",""))</f>
        <v/>
      </c>
      <c r="O52" s="7" t="n"/>
    </row>
    <row r="53">
      <c r="C53" t="inlineStr">
        <is>
          <t xml:space="preserve">      Set 2</t>
        </is>
      </c>
      <c r="E53" t="n">
        <v>6</v>
      </c>
      <c r="H53" s="39">
        <f>IF(H51="","",H51)</f>
        <v/>
      </c>
      <c r="I53" s="7">
        <f>IF(H51="","",H51)</f>
        <v/>
      </c>
      <c r="J53" s="7" t="n">
        <v>6</v>
      </c>
      <c r="K53" s="7" t="n"/>
      <c r="L53" s="40" t="n"/>
      <c r="M53">
        <f>IF(AND(L53&lt;&gt;"",N(I53)&gt;0,N(J53)&gt;0),IF(J53=1,I53,ROUND(I53*(1+J53/30),1)),"")</f>
        <v/>
      </c>
      <c r="N53" s="41">
        <f>IF(M53="","",IF(M53&gt;=PRs!C2,"PR!",""))</f>
        <v/>
      </c>
      <c r="O53" s="7" t="n"/>
    </row>
    <row r="54">
      <c r="C54" t="inlineStr">
        <is>
          <t xml:space="preserve">      Set 3</t>
        </is>
      </c>
      <c r="E54" t="n">
        <v>6</v>
      </c>
      <c r="H54" s="39">
        <f>IF(H51="","",H51)</f>
        <v/>
      </c>
      <c r="I54" s="7">
        <f>IF(H51="","",H51)</f>
        <v/>
      </c>
      <c r="J54" s="7" t="n">
        <v>6</v>
      </c>
      <c r="K54" s="7" t="n"/>
      <c r="L54" s="40" t="n"/>
      <c r="M54">
        <f>IF(AND(L54&lt;&gt;"",N(I54)&gt;0,N(J54)&gt;0),IF(J54=1,I54,ROUND(I54*(1+J54/30),1)),"")</f>
        <v/>
      </c>
      <c r="N54" s="41">
        <f>IF(M54="","",IF(M54&gt;=PRs!C2,"PR!",""))</f>
        <v/>
      </c>
      <c r="O54" s="7" t="n"/>
    </row>
    <row r="55">
      <c r="A55" s="34" t="n"/>
      <c r="B55" s="34" t="n"/>
      <c r="C55" s="42" t="inlineStr">
        <is>
          <t>Overhead Press</t>
        </is>
      </c>
      <c r="D55" s="34" t="inlineStr">
        <is>
          <t>4 x 6</t>
        </is>
      </c>
      <c r="E55" s="34" t="n"/>
      <c r="F55" s="34" t="n">
        <v>65</v>
      </c>
      <c r="G55" s="36">
        <f>Maxes!H5</f>
        <v/>
      </c>
      <c r="H55" s="37">
        <f>IF(OR(G55="",F55=""),"",MROUND(G55*F55/100,'Start Here'!$B$7))</f>
        <v/>
      </c>
      <c r="I55" s="34" t="n"/>
      <c r="J55" s="34" t="n"/>
      <c r="K55" s="34" t="n"/>
      <c r="L55" s="34" t="n"/>
      <c r="M55" s="34" t="n"/>
      <c r="N55" s="34" t="n"/>
      <c r="O55" s="38" t="inlineStr"/>
    </row>
    <row r="56">
      <c r="C56" t="inlineStr">
        <is>
          <t xml:space="preserve">      Set 1</t>
        </is>
      </c>
      <c r="E56" t="n">
        <v>6</v>
      </c>
      <c r="H56" s="39">
        <f>IF(H55="","",H55)</f>
        <v/>
      </c>
      <c r="I56" s="7">
        <f>IF(H55="","",H55)</f>
        <v/>
      </c>
      <c r="J56" s="7" t="n">
        <v>6</v>
      </c>
      <c r="K56" s="7" t="n"/>
      <c r="L56" s="40" t="n"/>
      <c r="M56">
        <f>IF(AND(L56&lt;&gt;"",N(I56)&gt;0,N(J56)&gt;0),IF(J56=1,I56,ROUND(I56*(1+J56/30),1)),"")</f>
        <v/>
      </c>
      <c r="N56" s="41">
        <f>IF(M56="","",IF(M56&gt;=PRs!C5,"PR!",""))</f>
        <v/>
      </c>
      <c r="O56" s="7" t="n"/>
    </row>
    <row r="57">
      <c r="C57" t="inlineStr">
        <is>
          <t xml:space="preserve">      Set 2</t>
        </is>
      </c>
      <c r="E57" t="n">
        <v>6</v>
      </c>
      <c r="H57" s="39">
        <f>IF(H55="","",H55)</f>
        <v/>
      </c>
      <c r="I57" s="7">
        <f>IF(H55="","",H55)</f>
        <v/>
      </c>
      <c r="J57" s="7" t="n">
        <v>6</v>
      </c>
      <c r="K57" s="7" t="n"/>
      <c r="L57" s="40" t="n"/>
      <c r="M57">
        <f>IF(AND(L57&lt;&gt;"",N(I57)&gt;0,N(J57)&gt;0),IF(J57=1,I57,ROUND(I57*(1+J57/30),1)),"")</f>
        <v/>
      </c>
      <c r="N57" s="41">
        <f>IF(M57="","",IF(M57&gt;=PRs!C5,"PR!",""))</f>
        <v/>
      </c>
      <c r="O57" s="7" t="n"/>
    </row>
    <row r="58">
      <c r="C58" t="inlineStr">
        <is>
          <t xml:space="preserve">      Set 3</t>
        </is>
      </c>
      <c r="E58" t="n">
        <v>6</v>
      </c>
      <c r="H58" s="39">
        <f>IF(H55="","",H55)</f>
        <v/>
      </c>
      <c r="I58" s="7">
        <f>IF(H55="","",H55)</f>
        <v/>
      </c>
      <c r="J58" s="7" t="n">
        <v>6</v>
      </c>
      <c r="K58" s="7" t="n"/>
      <c r="L58" s="40" t="n"/>
      <c r="M58">
        <f>IF(AND(L58&lt;&gt;"",N(I58)&gt;0,N(J58)&gt;0),IF(J58=1,I58,ROUND(I58*(1+J58/30),1)),"")</f>
        <v/>
      </c>
      <c r="N58" s="41">
        <f>IF(M58="","",IF(M58&gt;=PRs!C5,"PR!",""))</f>
        <v/>
      </c>
      <c r="O58" s="7" t="n"/>
    </row>
    <row r="59">
      <c r="C59" t="inlineStr">
        <is>
          <t xml:space="preserve">      Set 4</t>
        </is>
      </c>
      <c r="E59" t="n">
        <v>6</v>
      </c>
      <c r="H59" s="39">
        <f>IF(H55="","",H55)</f>
        <v/>
      </c>
      <c r="I59" s="7">
        <f>IF(H55="","",H55)</f>
        <v/>
      </c>
      <c r="J59" s="7" t="n">
        <v>6</v>
      </c>
      <c r="K59" s="7" t="n"/>
      <c r="L59" s="40" t="n"/>
      <c r="M59">
        <f>IF(AND(L59&lt;&gt;"",N(I59)&gt;0,N(J59)&gt;0),IF(J59=1,I59,ROUND(I59*(1+J59/30),1)),"")</f>
        <v/>
      </c>
      <c r="N59" s="41">
        <f>IF(M59="","",IF(M59&gt;=PRs!C5,"PR!",""))</f>
        <v/>
      </c>
      <c r="O59" s="7" t="n"/>
    </row>
    <row r="60">
      <c r="A60" s="34" t="n"/>
      <c r="B60" s="34" t="n"/>
      <c r="C60" s="42" t="inlineStr">
        <is>
          <t>Deadlift</t>
        </is>
      </c>
      <c r="D60" s="34" t="inlineStr">
        <is>
          <t>3 x 6</t>
        </is>
      </c>
      <c r="E60" s="34" t="n"/>
      <c r="F60" s="34" t="n">
        <v>65</v>
      </c>
      <c r="G60" s="36">
        <f>Maxes!H4</f>
        <v/>
      </c>
      <c r="H60" s="37">
        <f>IF(OR(G60="",F60=""),"",MROUND(G60*F60/100,'Start Here'!$B$7))</f>
        <v/>
      </c>
      <c r="I60" s="34" t="n"/>
      <c r="J60" s="34" t="n"/>
      <c r="K60" s="34" t="n"/>
      <c r="L60" s="34" t="n"/>
      <c r="M60" s="34" t="n"/>
      <c r="N60" s="34" t="n"/>
      <c r="O60" s="38" t="inlineStr"/>
    </row>
    <row r="61">
      <c r="C61" t="inlineStr">
        <is>
          <t xml:space="preserve">      Set 1</t>
        </is>
      </c>
      <c r="E61" t="n">
        <v>6</v>
      </c>
      <c r="H61" s="39">
        <f>IF(H60="","",H60)</f>
        <v/>
      </c>
      <c r="I61" s="7">
        <f>IF(H60="","",H60)</f>
        <v/>
      </c>
      <c r="J61" s="7" t="n">
        <v>6</v>
      </c>
      <c r="K61" s="7" t="n"/>
      <c r="L61" s="40" t="n"/>
      <c r="M61">
        <f>IF(AND(L61&lt;&gt;"",N(I61)&gt;0,N(J61)&gt;0),IF(J61=1,I61,ROUND(I61*(1+J61/30),1)),"")</f>
        <v/>
      </c>
      <c r="N61" s="41">
        <f>IF(M61="","",IF(M61&gt;=PRs!C4,"PR!",""))</f>
        <v/>
      </c>
      <c r="O61" s="7" t="n"/>
    </row>
    <row r="62">
      <c r="C62" t="inlineStr">
        <is>
          <t xml:space="preserve">      Set 2</t>
        </is>
      </c>
      <c r="E62" t="n">
        <v>6</v>
      </c>
      <c r="H62" s="39">
        <f>IF(H60="","",H60)</f>
        <v/>
      </c>
      <c r="I62" s="7">
        <f>IF(H60="","",H60)</f>
        <v/>
      </c>
      <c r="J62" s="7" t="n">
        <v>6</v>
      </c>
      <c r="K62" s="7" t="n"/>
      <c r="L62" s="40" t="n"/>
      <c r="M62">
        <f>IF(AND(L62&lt;&gt;"",N(I62)&gt;0,N(J62)&gt;0),IF(J62=1,I62,ROUND(I62*(1+J62/30),1)),"")</f>
        <v/>
      </c>
      <c r="N62" s="41">
        <f>IF(M62="","",IF(M62&gt;=PRs!C4,"PR!",""))</f>
        <v/>
      </c>
      <c r="O62" s="7" t="n"/>
    </row>
    <row r="63">
      <c r="C63" t="inlineStr">
        <is>
          <t xml:space="preserve">      Set 3</t>
        </is>
      </c>
      <c r="E63" t="n">
        <v>6</v>
      </c>
      <c r="H63" s="39">
        <f>IF(H60="","",H60)</f>
        <v/>
      </c>
      <c r="I63" s="7">
        <f>IF(H60="","",H60)</f>
        <v/>
      </c>
      <c r="J63" s="7" t="n">
        <v>6</v>
      </c>
      <c r="K63" s="7" t="n"/>
      <c r="L63" s="40" t="n"/>
      <c r="M63">
        <f>IF(AND(L63&lt;&gt;"",N(I63)&gt;0,N(J63)&gt;0),IF(J63=1,I63,ROUND(I63*(1+J63/30),1)),"")</f>
        <v/>
      </c>
      <c r="N63" s="41">
        <f>IF(M63="","",IF(M63&gt;=PRs!C4,"PR!",""))</f>
        <v/>
      </c>
      <c r="O63" s="7" t="n"/>
    </row>
    <row r="64">
      <c r="A64" s="34" t="n"/>
      <c r="B64" s="34" t="n"/>
      <c r="C64" s="43" t="inlineStr">
        <is>
          <t>Chin-up</t>
        </is>
      </c>
      <c r="D64" s="34" t="inlineStr">
        <is>
          <t>4 x 6-10</t>
        </is>
      </c>
      <c r="E64" s="34" t="n"/>
      <c r="F64" s="34" t="n"/>
      <c r="G64" s="36" t="n"/>
      <c r="H64" s="37" t="n"/>
      <c r="I64" s="34" t="n"/>
      <c r="J64" s="34" t="n"/>
      <c r="K64" s="34" t="n"/>
      <c r="L64" s="34" t="n"/>
      <c r="M64" s="34" t="n"/>
      <c r="N64" s="34" t="n"/>
      <c r="O64" s="38" t="inlineStr">
        <is>
          <t>Leave 1-2 reps in the tank; add weight when you hit the top of the range</t>
        </is>
      </c>
    </row>
    <row r="65">
      <c r="C65" t="inlineStr">
        <is>
          <t xml:space="preserve">      Set 1</t>
        </is>
      </c>
      <c r="E65" t="n">
        <v>6</v>
      </c>
      <c r="H65" s="39">
        <f>IF(H64="","",H64)</f>
        <v/>
      </c>
      <c r="I65" s="7">
        <f>IF(H64="","",H64)</f>
        <v/>
      </c>
      <c r="J65" s="7" t="n">
        <v>6</v>
      </c>
      <c r="K65" s="7" t="n"/>
      <c r="L65" s="40" t="n"/>
      <c r="M65">
        <f>IF(AND(L65&lt;&gt;"",N(I65)&gt;0,N(J65)&gt;0),IF(J65=1,I65,ROUND(I65*(1+J65/30),1)),"")</f>
        <v/>
      </c>
      <c r="N65" s="41">
        <f>IF(M65="","",IF(M65&gt;=PRs!C53,"PR!",""))</f>
        <v/>
      </c>
      <c r="O65" s="7" t="n"/>
    </row>
    <row r="66">
      <c r="C66" t="inlineStr">
        <is>
          <t xml:space="preserve">      Set 2</t>
        </is>
      </c>
      <c r="E66" t="n">
        <v>6</v>
      </c>
      <c r="H66" s="39">
        <f>IF(H64="","",H64)</f>
        <v/>
      </c>
      <c r="I66" s="7">
        <f>IF(H64="","",H64)</f>
        <v/>
      </c>
      <c r="J66" s="7" t="n">
        <v>6</v>
      </c>
      <c r="K66" s="7" t="n"/>
      <c r="L66" s="40" t="n"/>
      <c r="M66">
        <f>IF(AND(L66&lt;&gt;"",N(I66)&gt;0,N(J66)&gt;0),IF(J66=1,I66,ROUND(I66*(1+J66/30),1)),"")</f>
        <v/>
      </c>
      <c r="N66" s="41">
        <f>IF(M66="","",IF(M66&gt;=PRs!C53,"PR!",""))</f>
        <v/>
      </c>
      <c r="O66" s="7" t="n"/>
    </row>
    <row r="67">
      <c r="C67" t="inlineStr">
        <is>
          <t xml:space="preserve">      Set 3</t>
        </is>
      </c>
      <c r="E67" t="n">
        <v>6</v>
      </c>
      <c r="H67" s="39">
        <f>IF(H64="","",H64)</f>
        <v/>
      </c>
      <c r="I67" s="7">
        <f>IF(H64="","",H64)</f>
        <v/>
      </c>
      <c r="J67" s="7" t="n">
        <v>6</v>
      </c>
      <c r="K67" s="7" t="n"/>
      <c r="L67" s="40" t="n"/>
      <c r="M67">
        <f>IF(AND(L67&lt;&gt;"",N(I67)&gt;0,N(J67)&gt;0),IF(J67=1,I67,ROUND(I67*(1+J67/30),1)),"")</f>
        <v/>
      </c>
      <c r="N67" s="41">
        <f>IF(M67="","",IF(M67&gt;=PRs!C53,"PR!",""))</f>
        <v/>
      </c>
      <c r="O67" s="7" t="n"/>
    </row>
    <row r="68">
      <c r="C68" t="inlineStr">
        <is>
          <t xml:space="preserve">      Set 4</t>
        </is>
      </c>
      <c r="E68" t="n">
        <v>6</v>
      </c>
      <c r="H68" s="39">
        <f>IF(H64="","",H64)</f>
        <v/>
      </c>
      <c r="I68" s="7">
        <f>IF(H64="","",H64)</f>
        <v/>
      </c>
      <c r="J68" s="7" t="n">
        <v>6</v>
      </c>
      <c r="K68" s="7" t="n"/>
      <c r="L68" s="40" t="n"/>
      <c r="M68">
        <f>IF(AND(L68&lt;&gt;"",N(I68)&gt;0,N(J68)&gt;0),IF(J68=1,I68,ROUND(I68*(1+J68/30),1)),"")</f>
        <v/>
      </c>
      <c r="N68" s="41">
        <f>IF(M68="","",IF(M68&gt;=PRs!C53,"PR!",""))</f>
        <v/>
      </c>
      <c r="O68" s="7" t="n"/>
    </row>
    <row r="69">
      <c r="A69" s="34" t="n"/>
      <c r="B69" s="34" t="n"/>
      <c r="C69" s="43" t="inlineStr">
        <is>
          <t>Plank</t>
        </is>
      </c>
      <c r="D69" s="34" t="inlineStr">
        <is>
          <t>4 x 30-60s</t>
        </is>
      </c>
      <c r="E69" s="34" t="n"/>
      <c r="F69" s="34" t="n"/>
      <c r="G69" s="36" t="n"/>
      <c r="H69" s="37" t="n"/>
      <c r="I69" s="34" t="n"/>
      <c r="J69" s="34" t="n"/>
      <c r="K69" s="34" t="n"/>
      <c r="L69" s="34" t="n"/>
      <c r="M69" s="34" t="n"/>
      <c r="N69" s="34" t="n"/>
      <c r="O69" s="38" t="inlineStr">
        <is>
          <t>Leave 1-2 reps in the tank; add weight when you hit the top of the range</t>
        </is>
      </c>
    </row>
    <row r="70">
      <c r="C70" t="inlineStr">
        <is>
          <t xml:space="preserve">      Set 1</t>
        </is>
      </c>
      <c r="E70" t="n">
        <v>30</v>
      </c>
      <c r="H70" s="39">
        <f>IF(H69="","",H69)</f>
        <v/>
      </c>
      <c r="I70" s="7">
        <f>IF(H69="","",H69)</f>
        <v/>
      </c>
      <c r="J70" s="7" t="n">
        <v>30</v>
      </c>
      <c r="K70" s="7" t="n"/>
      <c r="L70" s="40" t="n"/>
      <c r="M70">
        <f>IF(AND(L70&lt;&gt;"",N(I70)&gt;0,N(J70)&gt;0),IF(J70=1,I70,ROUND(I70*(1+J70/30),1)),"")</f>
        <v/>
      </c>
      <c r="N70" s="41">
        <f>IF(M70="","",IF(M70&gt;=PRs!C56,"PR!",""))</f>
        <v/>
      </c>
      <c r="O70" s="7" t="n"/>
    </row>
    <row r="71">
      <c r="C71" t="inlineStr">
        <is>
          <t xml:space="preserve">      Set 2</t>
        </is>
      </c>
      <c r="E71" t="n">
        <v>30</v>
      </c>
      <c r="H71" s="39">
        <f>IF(H69="","",H69)</f>
        <v/>
      </c>
      <c r="I71" s="7">
        <f>IF(H69="","",H69)</f>
        <v/>
      </c>
      <c r="J71" s="7" t="n">
        <v>30</v>
      </c>
      <c r="K71" s="7" t="n"/>
      <c r="L71" s="40" t="n"/>
      <c r="M71">
        <f>IF(AND(L71&lt;&gt;"",N(I71)&gt;0,N(J71)&gt;0),IF(J71=1,I71,ROUND(I71*(1+J71/30),1)),"")</f>
        <v/>
      </c>
      <c r="N71" s="41">
        <f>IF(M71="","",IF(M71&gt;=PRs!C56,"PR!",""))</f>
        <v/>
      </c>
      <c r="O71" s="7" t="n"/>
    </row>
    <row r="72">
      <c r="C72" t="inlineStr">
        <is>
          <t xml:space="preserve">      Set 3</t>
        </is>
      </c>
      <c r="E72" t="n">
        <v>30</v>
      </c>
      <c r="H72" s="39">
        <f>IF(H69="","",H69)</f>
        <v/>
      </c>
      <c r="I72" s="7">
        <f>IF(H69="","",H69)</f>
        <v/>
      </c>
      <c r="J72" s="7" t="n">
        <v>30</v>
      </c>
      <c r="K72" s="7" t="n"/>
      <c r="L72" s="40" t="n"/>
      <c r="M72">
        <f>IF(AND(L72&lt;&gt;"",N(I72)&gt;0,N(J72)&gt;0),IF(J72=1,I72,ROUND(I72*(1+J72/30),1)),"")</f>
        <v/>
      </c>
      <c r="N72" s="41">
        <f>IF(M72="","",IF(M72&gt;=PRs!C56,"PR!",""))</f>
        <v/>
      </c>
      <c r="O72" s="7" t="n"/>
    </row>
    <row r="73">
      <c r="C73" t="inlineStr">
        <is>
          <t xml:space="preserve">      Set 4</t>
        </is>
      </c>
      <c r="E73" t="n">
        <v>30</v>
      </c>
      <c r="H73" s="39">
        <f>IF(H69="","",H69)</f>
        <v/>
      </c>
      <c r="I73" s="7">
        <f>IF(H69="","",H69)</f>
        <v/>
      </c>
      <c r="J73" s="7" t="n">
        <v>30</v>
      </c>
      <c r="K73" s="7" t="n"/>
      <c r="L73" s="40" t="n"/>
      <c r="M73">
        <f>IF(AND(L73&lt;&gt;"",N(I73)&gt;0,N(J73)&gt;0),IF(J73=1,I73,ROUND(I73*(1+J73/30),1)),"")</f>
        <v/>
      </c>
      <c r="N73" s="41">
        <f>IF(M73="","",IF(M73&gt;=PRs!C56,"PR!",""))</f>
        <v/>
      </c>
      <c r="O73" s="7" t="n"/>
    </row>
    <row r="74">
      <c r="A74" s="31" t="inlineStr">
        <is>
          <t>Day 3 - Variations</t>
        </is>
      </c>
      <c r="B74" s="32">
        <f>'Start Here'!$B$8+256</f>
        <v/>
      </c>
      <c r="C74" s="33" t="n"/>
      <c r="D74" s="33" t="n"/>
      <c r="E74" s="33" t="n"/>
      <c r="F74" s="33" t="n"/>
      <c r="G74" s="33" t="n"/>
      <c r="H74" s="33" t="n"/>
      <c r="I74" s="33" t="n"/>
      <c r="J74" s="33" t="n"/>
      <c r="K74" s="33" t="n"/>
      <c r="L74" s="33" t="n"/>
      <c r="M74" s="33" t="n"/>
      <c r="N74" s="33" t="n"/>
      <c r="O74" s="33" t="n"/>
    </row>
    <row r="75">
      <c r="A75" s="34" t="n"/>
      <c r="B75" s="34" t="n"/>
      <c r="C75" s="35" t="inlineStr">
        <is>
          <t>Lateral Bound</t>
        </is>
      </c>
      <c r="D75" s="34" t="inlineStr">
        <is>
          <t>4 x 3</t>
        </is>
      </c>
      <c r="E75" s="34" t="n"/>
      <c r="F75" s="34" t="n"/>
      <c r="G75" s="36" t="n"/>
      <c r="H75" s="37">
        <f>IF(N(Maxes!H74)&gt;0,Maxes!H74,"")</f>
        <v/>
      </c>
      <c r="I75" s="34" t="n"/>
      <c r="J75" s="34" t="n"/>
      <c r="K75" s="34" t="n"/>
      <c r="L75" s="34" t="n"/>
      <c r="M75" s="34" t="n"/>
      <c r="N75" s="34" t="n"/>
      <c r="O75" s="38" t="inlineStr">
        <is>
          <t>Single-leg bound sideways, stick the landing on the other leg, then back. Log distance (each side counts as a rep).</t>
        </is>
      </c>
    </row>
    <row r="76">
      <c r="C76" t="inlineStr">
        <is>
          <t xml:space="preserve">      Set 1</t>
        </is>
      </c>
      <c r="E76" t="n">
        <v>3</v>
      </c>
      <c r="H76" s="39">
        <f>IF(H75="","",H75)</f>
        <v/>
      </c>
      <c r="I76" s="7">
        <f>IF(H75="","",H75)</f>
        <v/>
      </c>
      <c r="J76" s="7" t="n">
        <v>3</v>
      </c>
      <c r="K76" s="7" t="n"/>
      <c r="L76" s="40" t="n"/>
      <c r="N76" s="41">
        <f>IF(AND(L76&lt;&gt;"",N(I76)&gt;0),IF(I76&gt;=PRs!D74,"PR!",""),"")</f>
        <v/>
      </c>
      <c r="O76" s="7" t="n"/>
    </row>
    <row r="77">
      <c r="C77" t="inlineStr">
        <is>
          <t xml:space="preserve">      Set 2</t>
        </is>
      </c>
      <c r="E77" t="n">
        <v>3</v>
      </c>
      <c r="H77" s="39">
        <f>IF(H75="","",H75)</f>
        <v/>
      </c>
      <c r="I77" s="7">
        <f>IF(H75="","",H75)</f>
        <v/>
      </c>
      <c r="J77" s="7" t="n">
        <v>3</v>
      </c>
      <c r="K77" s="7" t="n"/>
      <c r="L77" s="40" t="n"/>
      <c r="N77" s="41">
        <f>IF(AND(L77&lt;&gt;"",N(I77)&gt;0),IF(I77&gt;=PRs!D74,"PR!",""),"")</f>
        <v/>
      </c>
      <c r="O77" s="7" t="n"/>
    </row>
    <row r="78">
      <c r="C78" t="inlineStr">
        <is>
          <t xml:space="preserve">      Set 3</t>
        </is>
      </c>
      <c r="E78" t="n">
        <v>3</v>
      </c>
      <c r="H78" s="39">
        <f>IF(H75="","",H75)</f>
        <v/>
      </c>
      <c r="I78" s="7">
        <f>IF(H75="","",H75)</f>
        <v/>
      </c>
      <c r="J78" s="7" t="n">
        <v>3</v>
      </c>
      <c r="K78" s="7" t="n"/>
      <c r="L78" s="40" t="n"/>
      <c r="N78" s="41">
        <f>IF(AND(L78&lt;&gt;"",N(I78)&gt;0),IF(I78&gt;=PRs!D74,"PR!",""),"")</f>
        <v/>
      </c>
      <c r="O78" s="7" t="n"/>
    </row>
    <row r="79">
      <c r="C79" t="inlineStr">
        <is>
          <t xml:space="preserve">      Set 4</t>
        </is>
      </c>
      <c r="E79" t="n">
        <v>3</v>
      </c>
      <c r="H79" s="39">
        <f>IF(H75="","",H75)</f>
        <v/>
      </c>
      <c r="I79" s="7">
        <f>IF(H75="","",H75)</f>
        <v/>
      </c>
      <c r="J79" s="7" t="n">
        <v>3</v>
      </c>
      <c r="K79" s="7" t="n"/>
      <c r="L79" s="40" t="n"/>
      <c r="N79" s="41">
        <f>IF(AND(L79&lt;&gt;"",N(I79)&gt;0),IF(I79&gt;=PRs!D74,"PR!",""),"")</f>
        <v/>
      </c>
      <c r="O79" s="7" t="n"/>
    </row>
    <row r="80">
      <c r="A80" s="34" t="n"/>
      <c r="B80" s="34" t="n"/>
      <c r="C80" s="42" t="inlineStr">
        <is>
          <t>Power Clean</t>
        </is>
      </c>
      <c r="D80" s="34" t="inlineStr">
        <is>
          <t>6 x 3</t>
        </is>
      </c>
      <c r="E80" s="34" t="n"/>
      <c r="F80" s="34" t="n">
        <v>65</v>
      </c>
      <c r="G80" s="36">
        <f>Maxes!H42</f>
        <v/>
      </c>
      <c r="H80" s="37">
        <f>IF(OR(G80="",F80=""),"",MROUND(G80*F80/100,'Start Here'!$B$7))</f>
        <v/>
      </c>
      <c r="I80" s="34" t="n"/>
      <c r="J80" s="34" t="n"/>
      <c r="K80" s="34" t="n"/>
      <c r="L80" s="34" t="n"/>
      <c r="M80" s="34" t="n"/>
      <c r="N80" s="34" t="n"/>
      <c r="O80" s="38" t="inlineStr"/>
    </row>
    <row r="81">
      <c r="C81" t="inlineStr">
        <is>
          <t xml:space="preserve">      Set 1</t>
        </is>
      </c>
      <c r="E81" t="n">
        <v>3</v>
      </c>
      <c r="H81" s="39">
        <f>IF(H80="","",H80)</f>
        <v/>
      </c>
      <c r="I81" s="7">
        <f>IF(H80="","",H80)</f>
        <v/>
      </c>
      <c r="J81" s="7" t="n">
        <v>3</v>
      </c>
      <c r="K81" s="7" t="n"/>
      <c r="L81" s="40" t="n"/>
      <c r="M81">
        <f>IF(AND(L81&lt;&gt;"",N(I81)&gt;0,N(J81)&gt;0),IF(J81=1,I81,ROUND(I81*(1+J81/30),1)),"")</f>
        <v/>
      </c>
      <c r="N81" s="41">
        <f>IF(M81="","",IF(M81&gt;=PRs!C42,"PR!",""))</f>
        <v/>
      </c>
      <c r="O81" s="7" t="n"/>
    </row>
    <row r="82">
      <c r="C82" t="inlineStr">
        <is>
          <t xml:space="preserve">      Set 2</t>
        </is>
      </c>
      <c r="E82" t="n">
        <v>3</v>
      </c>
      <c r="H82" s="39">
        <f>IF(H80="","",H80)</f>
        <v/>
      </c>
      <c r="I82" s="7">
        <f>IF(H80="","",H80)</f>
        <v/>
      </c>
      <c r="J82" s="7" t="n">
        <v>3</v>
      </c>
      <c r="K82" s="7" t="n"/>
      <c r="L82" s="40" t="n"/>
      <c r="M82">
        <f>IF(AND(L82&lt;&gt;"",N(I82)&gt;0,N(J82)&gt;0),IF(J82=1,I82,ROUND(I82*(1+J82/30),1)),"")</f>
        <v/>
      </c>
      <c r="N82" s="41">
        <f>IF(M82="","",IF(M82&gt;=PRs!C42,"PR!",""))</f>
        <v/>
      </c>
      <c r="O82" s="7" t="n"/>
    </row>
    <row r="83">
      <c r="C83" t="inlineStr">
        <is>
          <t xml:space="preserve">      Set 3</t>
        </is>
      </c>
      <c r="E83" t="n">
        <v>3</v>
      </c>
      <c r="H83" s="39">
        <f>IF(H80="","",H80)</f>
        <v/>
      </c>
      <c r="I83" s="7">
        <f>IF(H80="","",H80)</f>
        <v/>
      </c>
      <c r="J83" s="7" t="n">
        <v>3</v>
      </c>
      <c r="K83" s="7" t="n"/>
      <c r="L83" s="40" t="n"/>
      <c r="M83">
        <f>IF(AND(L83&lt;&gt;"",N(I83)&gt;0,N(J83)&gt;0),IF(J83=1,I83,ROUND(I83*(1+J83/30),1)),"")</f>
        <v/>
      </c>
      <c r="N83" s="41">
        <f>IF(M83="","",IF(M83&gt;=PRs!C42,"PR!",""))</f>
        <v/>
      </c>
      <c r="O83" s="7" t="n"/>
    </row>
    <row r="84">
      <c r="C84" t="inlineStr">
        <is>
          <t xml:space="preserve">      Set 4</t>
        </is>
      </c>
      <c r="E84" t="n">
        <v>3</v>
      </c>
      <c r="H84" s="39">
        <f>IF(H80="","",H80)</f>
        <v/>
      </c>
      <c r="I84" s="7">
        <f>IF(H80="","",H80)</f>
        <v/>
      </c>
      <c r="J84" s="7" t="n">
        <v>3</v>
      </c>
      <c r="K84" s="7" t="n"/>
      <c r="L84" s="40" t="n"/>
      <c r="M84">
        <f>IF(AND(L84&lt;&gt;"",N(I84)&gt;0,N(J84)&gt;0),IF(J84=1,I84,ROUND(I84*(1+J84/30),1)),"")</f>
        <v/>
      </c>
      <c r="N84" s="41">
        <f>IF(M84="","",IF(M84&gt;=PRs!C42,"PR!",""))</f>
        <v/>
      </c>
      <c r="O84" s="7" t="n"/>
    </row>
    <row r="85">
      <c r="C85" t="inlineStr">
        <is>
          <t xml:space="preserve">      Set 5</t>
        </is>
      </c>
      <c r="E85" t="n">
        <v>3</v>
      </c>
      <c r="H85" s="39">
        <f>IF(H80="","",H80)</f>
        <v/>
      </c>
      <c r="I85" s="7">
        <f>IF(H80="","",H80)</f>
        <v/>
      </c>
      <c r="J85" s="7" t="n">
        <v>3</v>
      </c>
      <c r="K85" s="7" t="n"/>
      <c r="L85" s="40" t="n"/>
      <c r="M85">
        <f>IF(AND(L85&lt;&gt;"",N(I85)&gt;0,N(J85)&gt;0),IF(J85=1,I85,ROUND(I85*(1+J85/30),1)),"")</f>
        <v/>
      </c>
      <c r="N85" s="41">
        <f>IF(M85="","",IF(M85&gt;=PRs!C42,"PR!",""))</f>
        <v/>
      </c>
      <c r="O85" s="7" t="n"/>
    </row>
    <row r="86">
      <c r="C86" t="inlineStr">
        <is>
          <t xml:space="preserve">      Set 6</t>
        </is>
      </c>
      <c r="E86" t="n">
        <v>3</v>
      </c>
      <c r="H86" s="39">
        <f>IF(H80="","",H80)</f>
        <v/>
      </c>
      <c r="I86" s="7">
        <f>IF(H80="","",H80)</f>
        <v/>
      </c>
      <c r="J86" s="7" t="n">
        <v>3</v>
      </c>
      <c r="K86" s="7" t="n"/>
      <c r="L86" s="40" t="n"/>
      <c r="M86">
        <f>IF(AND(L86&lt;&gt;"",N(I86)&gt;0,N(J86)&gt;0),IF(J86=1,I86,ROUND(I86*(1+J86/30),1)),"")</f>
        <v/>
      </c>
      <c r="N86" s="41">
        <f>IF(M86="","",IF(M86&gt;=PRs!C42,"PR!",""))</f>
        <v/>
      </c>
      <c r="O86" s="7" t="n"/>
    </row>
    <row r="87">
      <c r="A87" s="34" t="n"/>
      <c r="B87" s="34" t="n"/>
      <c r="C87" s="42" t="inlineStr">
        <is>
          <t>Pin Squat</t>
        </is>
      </c>
      <c r="D87" s="34" t="inlineStr">
        <is>
          <t>4 x 6</t>
        </is>
      </c>
      <c r="E87" s="34" t="n"/>
      <c r="F87" s="34" t="n">
        <v>65</v>
      </c>
      <c r="G87" s="36">
        <f>Maxes!H12</f>
        <v/>
      </c>
      <c r="H87" s="37">
        <f>IF(OR(G87="",F87=""),"",MROUND(G87*F87/100,'Start Here'!$B$7))</f>
        <v/>
      </c>
      <c r="I87" s="34" t="n"/>
      <c r="J87" s="34" t="n"/>
      <c r="K87" s="34" t="n"/>
      <c r="L87" s="34" t="n"/>
      <c r="M87" s="34" t="n"/>
      <c r="N87" s="34" t="n"/>
      <c r="O87" s="38" t="inlineStr"/>
    </row>
    <row r="88">
      <c r="C88" t="inlineStr">
        <is>
          <t xml:space="preserve">      Set 1</t>
        </is>
      </c>
      <c r="E88" t="n">
        <v>6</v>
      </c>
      <c r="H88" s="39">
        <f>IF(H87="","",H87)</f>
        <v/>
      </c>
      <c r="I88" s="7">
        <f>IF(H87="","",H87)</f>
        <v/>
      </c>
      <c r="J88" s="7" t="n">
        <v>6</v>
      </c>
      <c r="K88" s="7" t="n"/>
      <c r="L88" s="40" t="n"/>
      <c r="M88">
        <f>IF(AND(L88&lt;&gt;"",N(I88)&gt;0,N(J88)&gt;0),IF(J88=1,I88,ROUND(I88*(1+J88/30),1)),"")</f>
        <v/>
      </c>
      <c r="N88" s="41">
        <f>IF(M88="","",IF(M88&gt;=PRs!C12,"PR!",""))</f>
        <v/>
      </c>
      <c r="O88" s="7" t="n"/>
    </row>
    <row r="89">
      <c r="C89" t="inlineStr">
        <is>
          <t xml:space="preserve">      Set 2</t>
        </is>
      </c>
      <c r="E89" t="n">
        <v>6</v>
      </c>
      <c r="H89" s="39">
        <f>IF(H87="","",H87)</f>
        <v/>
      </c>
      <c r="I89" s="7">
        <f>IF(H87="","",H87)</f>
        <v/>
      </c>
      <c r="J89" s="7" t="n">
        <v>6</v>
      </c>
      <c r="K89" s="7" t="n"/>
      <c r="L89" s="40" t="n"/>
      <c r="M89">
        <f>IF(AND(L89&lt;&gt;"",N(I89)&gt;0,N(J89)&gt;0),IF(J89=1,I89,ROUND(I89*(1+J89/30),1)),"")</f>
        <v/>
      </c>
      <c r="N89" s="41">
        <f>IF(M89="","",IF(M89&gt;=PRs!C12,"PR!",""))</f>
        <v/>
      </c>
      <c r="O89" s="7" t="n"/>
    </row>
    <row r="90">
      <c r="C90" t="inlineStr">
        <is>
          <t xml:space="preserve">      Set 3</t>
        </is>
      </c>
      <c r="E90" t="n">
        <v>6</v>
      </c>
      <c r="H90" s="39">
        <f>IF(H87="","",H87)</f>
        <v/>
      </c>
      <c r="I90" s="7">
        <f>IF(H87="","",H87)</f>
        <v/>
      </c>
      <c r="J90" s="7" t="n">
        <v>6</v>
      </c>
      <c r="K90" s="7" t="n"/>
      <c r="L90" s="40" t="n"/>
      <c r="M90">
        <f>IF(AND(L90&lt;&gt;"",N(I90)&gt;0,N(J90)&gt;0),IF(J90=1,I90,ROUND(I90*(1+J90/30),1)),"")</f>
        <v/>
      </c>
      <c r="N90" s="41">
        <f>IF(M90="","",IF(M90&gt;=PRs!C12,"PR!",""))</f>
        <v/>
      </c>
      <c r="O90" s="7" t="n"/>
    </row>
    <row r="91">
      <c r="C91" t="inlineStr">
        <is>
          <t xml:space="preserve">      Set 4</t>
        </is>
      </c>
      <c r="E91" t="n">
        <v>6</v>
      </c>
      <c r="H91" s="39">
        <f>IF(H87="","",H87)</f>
        <v/>
      </c>
      <c r="I91" s="7">
        <f>IF(H87="","",H87)</f>
        <v/>
      </c>
      <c r="J91" s="7" t="n">
        <v>6</v>
      </c>
      <c r="K91" s="7" t="n"/>
      <c r="L91" s="40" t="n"/>
      <c r="M91">
        <f>IF(AND(L91&lt;&gt;"",N(I91)&gt;0,N(J91)&gt;0),IF(J91=1,I91,ROUND(I91*(1+J91/30),1)),"")</f>
        <v/>
      </c>
      <c r="N91" s="41">
        <f>IF(M91="","",IF(M91&gt;=PRs!C12,"PR!",""))</f>
        <v/>
      </c>
      <c r="O91" s="7" t="n"/>
    </row>
    <row r="92">
      <c r="A92" s="34" t="n"/>
      <c r="B92" s="34" t="n"/>
      <c r="C92" s="42" t="inlineStr">
        <is>
          <t>Pause Bench Press</t>
        </is>
      </c>
      <c r="D92" s="34" t="inlineStr">
        <is>
          <t>4 x 6</t>
        </is>
      </c>
      <c r="E92" s="34" t="n"/>
      <c r="F92" s="34" t="n">
        <v>65</v>
      </c>
      <c r="G92" s="36">
        <f>Maxes!H18</f>
        <v/>
      </c>
      <c r="H92" s="37">
        <f>IF(OR(G92="",F92=""),"",MROUND(G92*F92/100,'Start Here'!$B$7))</f>
        <v/>
      </c>
      <c r="I92" s="34" t="n"/>
      <c r="J92" s="34" t="n"/>
      <c r="K92" s="34" t="n"/>
      <c r="L92" s="34" t="n"/>
      <c r="M92" s="34" t="n"/>
      <c r="N92" s="34" t="n"/>
      <c r="O92" s="38" t="inlineStr"/>
    </row>
    <row r="93">
      <c r="C93" t="inlineStr">
        <is>
          <t xml:space="preserve">      Set 1</t>
        </is>
      </c>
      <c r="E93" t="n">
        <v>6</v>
      </c>
      <c r="H93" s="39">
        <f>IF(H92="","",H92)</f>
        <v/>
      </c>
      <c r="I93" s="7">
        <f>IF(H92="","",H92)</f>
        <v/>
      </c>
      <c r="J93" s="7" t="n">
        <v>6</v>
      </c>
      <c r="K93" s="7" t="n"/>
      <c r="L93" s="40" t="n"/>
      <c r="M93">
        <f>IF(AND(L93&lt;&gt;"",N(I93)&gt;0,N(J93)&gt;0),IF(J93=1,I93,ROUND(I93*(1+J93/30),1)),"")</f>
        <v/>
      </c>
      <c r="N93" s="41">
        <f>IF(M93="","",IF(M93&gt;=PRs!C18,"PR!",""))</f>
        <v/>
      </c>
      <c r="O93" s="7" t="n"/>
    </row>
    <row r="94">
      <c r="C94" t="inlineStr">
        <is>
          <t xml:space="preserve">      Set 2</t>
        </is>
      </c>
      <c r="E94" t="n">
        <v>6</v>
      </c>
      <c r="H94" s="39">
        <f>IF(H92="","",H92)</f>
        <v/>
      </c>
      <c r="I94" s="7">
        <f>IF(H92="","",H92)</f>
        <v/>
      </c>
      <c r="J94" s="7" t="n">
        <v>6</v>
      </c>
      <c r="K94" s="7" t="n"/>
      <c r="L94" s="40" t="n"/>
      <c r="M94">
        <f>IF(AND(L94&lt;&gt;"",N(I94)&gt;0,N(J94)&gt;0),IF(J94=1,I94,ROUND(I94*(1+J94/30),1)),"")</f>
        <v/>
      </c>
      <c r="N94" s="41">
        <f>IF(M94="","",IF(M94&gt;=PRs!C18,"PR!",""))</f>
        <v/>
      </c>
      <c r="O94" s="7" t="n"/>
    </row>
    <row r="95">
      <c r="C95" t="inlineStr">
        <is>
          <t xml:space="preserve">      Set 3</t>
        </is>
      </c>
      <c r="E95" t="n">
        <v>6</v>
      </c>
      <c r="H95" s="39">
        <f>IF(H92="","",H92)</f>
        <v/>
      </c>
      <c r="I95" s="7">
        <f>IF(H92="","",H92)</f>
        <v/>
      </c>
      <c r="J95" s="7" t="n">
        <v>6</v>
      </c>
      <c r="K95" s="7" t="n"/>
      <c r="L95" s="40" t="n"/>
      <c r="M95">
        <f>IF(AND(L95&lt;&gt;"",N(I95)&gt;0,N(J95)&gt;0),IF(J95=1,I95,ROUND(I95*(1+J95/30),1)),"")</f>
        <v/>
      </c>
      <c r="N95" s="41">
        <f>IF(M95="","",IF(M95&gt;=PRs!C18,"PR!",""))</f>
        <v/>
      </c>
      <c r="O95" s="7" t="n"/>
    </row>
    <row r="96">
      <c r="C96" t="inlineStr">
        <is>
          <t xml:space="preserve">      Set 4</t>
        </is>
      </c>
      <c r="E96" t="n">
        <v>6</v>
      </c>
      <c r="H96" s="39">
        <f>IF(H92="","",H92)</f>
        <v/>
      </c>
      <c r="I96" s="7">
        <f>IF(H92="","",H92)</f>
        <v/>
      </c>
      <c r="J96" s="7" t="n">
        <v>6</v>
      </c>
      <c r="K96" s="7" t="n"/>
      <c r="L96" s="40" t="n"/>
      <c r="M96">
        <f>IF(AND(L96&lt;&gt;"",N(I96)&gt;0,N(J96)&gt;0),IF(J96=1,I96,ROUND(I96*(1+J96/30),1)),"")</f>
        <v/>
      </c>
      <c r="N96" s="41">
        <f>IF(M96="","",IF(M96&gt;=PRs!C18,"PR!",""))</f>
        <v/>
      </c>
      <c r="O96" s="7" t="n"/>
    </row>
    <row r="97">
      <c r="A97" s="34" t="n"/>
      <c r="B97" s="34" t="n"/>
      <c r="C97" s="42" t="inlineStr">
        <is>
          <t>Deficit Deadlift</t>
        </is>
      </c>
      <c r="D97" s="34" t="inlineStr">
        <is>
          <t>3 x 6</t>
        </is>
      </c>
      <c r="E97" s="34" t="n"/>
      <c r="F97" s="34" t="n">
        <v>60</v>
      </c>
      <c r="G97" s="36">
        <f>Maxes!H24</f>
        <v/>
      </c>
      <c r="H97" s="37">
        <f>IF(OR(G97="",F97=""),"",MROUND(G97*F97/100,'Start Here'!$B$7))</f>
        <v/>
      </c>
      <c r="I97" s="34" t="n"/>
      <c r="J97" s="34" t="n"/>
      <c r="K97" s="34" t="n"/>
      <c r="L97" s="34" t="n"/>
      <c r="M97" s="34" t="n"/>
      <c r="N97" s="34" t="n"/>
      <c r="O97" s="38" t="inlineStr"/>
    </row>
    <row r="98">
      <c r="C98" t="inlineStr">
        <is>
          <t xml:space="preserve">      Set 1</t>
        </is>
      </c>
      <c r="E98" t="n">
        <v>6</v>
      </c>
      <c r="H98" s="39">
        <f>IF(H97="","",H97)</f>
        <v/>
      </c>
      <c r="I98" s="7">
        <f>IF(H97="","",H97)</f>
        <v/>
      </c>
      <c r="J98" s="7" t="n">
        <v>6</v>
      </c>
      <c r="K98" s="7" t="n"/>
      <c r="L98" s="40" t="n"/>
      <c r="M98">
        <f>IF(AND(L98&lt;&gt;"",N(I98)&gt;0,N(J98)&gt;0),IF(J98=1,I98,ROUND(I98*(1+J98/30),1)),"")</f>
        <v/>
      </c>
      <c r="N98" s="41">
        <f>IF(M98="","",IF(M98&gt;=PRs!C24,"PR!",""))</f>
        <v/>
      </c>
      <c r="O98" s="7" t="n"/>
    </row>
    <row r="99">
      <c r="C99" t="inlineStr">
        <is>
          <t xml:space="preserve">      Set 2</t>
        </is>
      </c>
      <c r="E99" t="n">
        <v>6</v>
      </c>
      <c r="H99" s="39">
        <f>IF(H97="","",H97)</f>
        <v/>
      </c>
      <c r="I99" s="7">
        <f>IF(H97="","",H97)</f>
        <v/>
      </c>
      <c r="J99" s="7" t="n">
        <v>6</v>
      </c>
      <c r="K99" s="7" t="n"/>
      <c r="L99" s="40" t="n"/>
      <c r="M99">
        <f>IF(AND(L99&lt;&gt;"",N(I99)&gt;0,N(J99)&gt;0),IF(J99=1,I99,ROUND(I99*(1+J99/30),1)),"")</f>
        <v/>
      </c>
      <c r="N99" s="41">
        <f>IF(M99="","",IF(M99&gt;=PRs!C24,"PR!",""))</f>
        <v/>
      </c>
      <c r="O99" s="7" t="n"/>
    </row>
    <row r="100">
      <c r="C100" t="inlineStr">
        <is>
          <t xml:space="preserve">      Set 3</t>
        </is>
      </c>
      <c r="E100" t="n">
        <v>6</v>
      </c>
      <c r="H100" s="39">
        <f>IF(H97="","",H97)</f>
        <v/>
      </c>
      <c r="I100" s="7">
        <f>IF(H97="","",H97)</f>
        <v/>
      </c>
      <c r="J100" s="7" t="n">
        <v>6</v>
      </c>
      <c r="K100" s="7" t="n"/>
      <c r="L100" s="40" t="n"/>
      <c r="M100">
        <f>IF(AND(L100&lt;&gt;"",N(I100)&gt;0,N(J100)&gt;0),IF(J100=1,I100,ROUND(I100*(1+J100/30),1)),"")</f>
        <v/>
      </c>
      <c r="N100" s="41">
        <f>IF(M100="","",IF(M100&gt;=PRs!C24,"PR!",""))</f>
        <v/>
      </c>
      <c r="O100" s="7" t="n"/>
    </row>
    <row r="101">
      <c r="A101" s="34" t="n"/>
      <c r="B101" s="34" t="n"/>
      <c r="C101" s="43" t="inlineStr">
        <is>
          <t>Incline Dumbbell Press</t>
        </is>
      </c>
      <c r="D101" s="34" t="inlineStr">
        <is>
          <t>4 x 8-12</t>
        </is>
      </c>
      <c r="E101" s="34" t="n"/>
      <c r="F101" s="34" t="n"/>
      <c r="G101" s="36" t="n"/>
      <c r="H101" s="37" t="n"/>
      <c r="I101" s="34" t="n"/>
      <c r="J101" s="34" t="n"/>
      <c r="K101" s="34" t="n"/>
      <c r="L101" s="34" t="n"/>
      <c r="M101" s="34" t="n"/>
      <c r="N101" s="34" t="n"/>
      <c r="O101" s="38" t="inlineStr">
        <is>
          <t>Leave 1-2 reps in the tank; add weight when you hit the top of the range</t>
        </is>
      </c>
    </row>
    <row r="102">
      <c r="C102" t="inlineStr">
        <is>
          <t xml:space="preserve">      Set 1</t>
        </is>
      </c>
      <c r="E102" t="n">
        <v>8</v>
      </c>
      <c r="H102" s="39">
        <f>IF(H101="","",H101)</f>
        <v/>
      </c>
      <c r="I102" s="7">
        <f>IF(H101="","",H101)</f>
        <v/>
      </c>
      <c r="J102" s="7" t="n">
        <v>8</v>
      </c>
      <c r="K102" s="7" t="n"/>
      <c r="L102" s="40" t="n"/>
      <c r="M102">
        <f>IF(AND(L102&lt;&gt;"",N(I102)&gt;0,N(J102)&gt;0),IF(J102=1,I102,ROUND(I102*(1+J102/30),1)),"")</f>
        <v/>
      </c>
      <c r="N102" s="41">
        <f>IF(M102="","",IF(M102&gt;=PRs!C57,"PR!",""))</f>
        <v/>
      </c>
      <c r="O102" s="7" t="n"/>
    </row>
    <row r="103">
      <c r="C103" t="inlineStr">
        <is>
          <t xml:space="preserve">      Set 2</t>
        </is>
      </c>
      <c r="E103" t="n">
        <v>8</v>
      </c>
      <c r="H103" s="39">
        <f>IF(H101="","",H101)</f>
        <v/>
      </c>
      <c r="I103" s="7">
        <f>IF(H101="","",H101)</f>
        <v/>
      </c>
      <c r="J103" s="7" t="n">
        <v>8</v>
      </c>
      <c r="K103" s="7" t="n"/>
      <c r="L103" s="40" t="n"/>
      <c r="M103">
        <f>IF(AND(L103&lt;&gt;"",N(I103)&gt;0,N(J103)&gt;0),IF(J103=1,I103,ROUND(I103*(1+J103/30),1)),"")</f>
        <v/>
      </c>
      <c r="N103" s="41">
        <f>IF(M103="","",IF(M103&gt;=PRs!C57,"PR!",""))</f>
        <v/>
      </c>
      <c r="O103" s="7" t="n"/>
    </row>
    <row r="104">
      <c r="C104" t="inlineStr">
        <is>
          <t xml:space="preserve">      Set 3</t>
        </is>
      </c>
      <c r="E104" t="n">
        <v>8</v>
      </c>
      <c r="H104" s="39">
        <f>IF(H101="","",H101)</f>
        <v/>
      </c>
      <c r="I104" s="7">
        <f>IF(H101="","",H101)</f>
        <v/>
      </c>
      <c r="J104" s="7" t="n">
        <v>8</v>
      </c>
      <c r="K104" s="7" t="n"/>
      <c r="L104" s="40" t="n"/>
      <c r="M104">
        <f>IF(AND(L104&lt;&gt;"",N(I104)&gt;0,N(J104)&gt;0),IF(J104=1,I104,ROUND(I104*(1+J104/30),1)),"")</f>
        <v/>
      </c>
      <c r="N104" s="41">
        <f>IF(M104="","",IF(M104&gt;=PRs!C57,"PR!",""))</f>
        <v/>
      </c>
      <c r="O104" s="7" t="n"/>
    </row>
    <row r="105">
      <c r="C105" t="inlineStr">
        <is>
          <t xml:space="preserve">      Set 4</t>
        </is>
      </c>
      <c r="E105" t="n">
        <v>8</v>
      </c>
      <c r="H105" s="39">
        <f>IF(H101="","",H101)</f>
        <v/>
      </c>
      <c r="I105" s="7">
        <f>IF(H101="","",H101)</f>
        <v/>
      </c>
      <c r="J105" s="7" t="n">
        <v>8</v>
      </c>
      <c r="K105" s="7" t="n"/>
      <c r="L105" s="40" t="n"/>
      <c r="M105">
        <f>IF(AND(L105&lt;&gt;"",N(I105)&gt;0,N(J105)&gt;0),IF(J105=1,I105,ROUND(I105*(1+J105/30),1)),"")</f>
        <v/>
      </c>
      <c r="N105" s="41">
        <f>IF(M105="","",IF(M105&gt;=PRs!C57,"PR!",""))</f>
        <v/>
      </c>
      <c r="O105" s="7" t="n"/>
    </row>
    <row r="106">
      <c r="A106" s="34" t="n"/>
      <c r="B106" s="34" t="n"/>
      <c r="C106" s="43" t="inlineStr">
        <is>
          <t>Triceps Pushdown</t>
        </is>
      </c>
      <c r="D106" s="34" t="inlineStr">
        <is>
          <t>4 x 10-15</t>
        </is>
      </c>
      <c r="E106" s="34" t="n"/>
      <c r="F106" s="34" t="n"/>
      <c r="G106" s="36" t="n"/>
      <c r="H106" s="37" t="n"/>
      <c r="I106" s="34" t="n"/>
      <c r="J106" s="34" t="n"/>
      <c r="K106" s="34" t="n"/>
      <c r="L106" s="34" t="n"/>
      <c r="M106" s="34" t="n"/>
      <c r="N106" s="34" t="n"/>
      <c r="O106" s="38" t="inlineStr">
        <is>
          <t>Leave 1-2 reps in the tank; add weight when you hit the top of the range</t>
        </is>
      </c>
    </row>
    <row r="107">
      <c r="C107" t="inlineStr">
        <is>
          <t xml:space="preserve">      Set 1</t>
        </is>
      </c>
      <c r="E107" t="n">
        <v>10</v>
      </c>
      <c r="H107" s="39">
        <f>IF(H106="","",H106)</f>
        <v/>
      </c>
      <c r="I107" s="7">
        <f>IF(H106="","",H106)</f>
        <v/>
      </c>
      <c r="J107" s="7" t="n">
        <v>10</v>
      </c>
      <c r="K107" s="7" t="n"/>
      <c r="L107" s="40" t="n"/>
      <c r="M107">
        <f>IF(AND(L107&lt;&gt;"",N(I107)&gt;0,N(J107)&gt;0),IF(J107=1,I107,ROUND(I107*(1+J107/30),1)),"")</f>
        <v/>
      </c>
      <c r="N107" s="41">
        <f>IF(M107="","",IF(M107&gt;=PRs!C59,"PR!",""))</f>
        <v/>
      </c>
      <c r="O107" s="7" t="n"/>
    </row>
    <row r="108">
      <c r="C108" t="inlineStr">
        <is>
          <t xml:space="preserve">      Set 2</t>
        </is>
      </c>
      <c r="E108" t="n">
        <v>10</v>
      </c>
      <c r="H108" s="39">
        <f>IF(H106="","",H106)</f>
        <v/>
      </c>
      <c r="I108" s="7">
        <f>IF(H106="","",H106)</f>
        <v/>
      </c>
      <c r="J108" s="7" t="n">
        <v>10</v>
      </c>
      <c r="K108" s="7" t="n"/>
      <c r="L108" s="40" t="n"/>
      <c r="M108">
        <f>IF(AND(L108&lt;&gt;"",N(I108)&gt;0,N(J108)&gt;0),IF(J108=1,I108,ROUND(I108*(1+J108/30),1)),"")</f>
        <v/>
      </c>
      <c r="N108" s="41">
        <f>IF(M108="","",IF(M108&gt;=PRs!C59,"PR!",""))</f>
        <v/>
      </c>
      <c r="O108" s="7" t="n"/>
    </row>
    <row r="109">
      <c r="C109" t="inlineStr">
        <is>
          <t xml:space="preserve">      Set 3</t>
        </is>
      </c>
      <c r="E109" t="n">
        <v>10</v>
      </c>
      <c r="H109" s="39">
        <f>IF(H106="","",H106)</f>
        <v/>
      </c>
      <c r="I109" s="7">
        <f>IF(H106="","",H106)</f>
        <v/>
      </c>
      <c r="J109" s="7" t="n">
        <v>10</v>
      </c>
      <c r="K109" s="7" t="n"/>
      <c r="L109" s="40" t="n"/>
      <c r="M109">
        <f>IF(AND(L109&lt;&gt;"",N(I109)&gt;0,N(J109)&gt;0),IF(J109=1,I109,ROUND(I109*(1+J109/30),1)),"")</f>
        <v/>
      </c>
      <c r="N109" s="41">
        <f>IF(M109="","",IF(M109&gt;=PRs!C59,"PR!",""))</f>
        <v/>
      </c>
      <c r="O109" s="7" t="n"/>
    </row>
    <row r="110">
      <c r="C110" t="inlineStr">
        <is>
          <t xml:space="preserve">      Set 4</t>
        </is>
      </c>
      <c r="E110" t="n">
        <v>10</v>
      </c>
      <c r="H110" s="39">
        <f>IF(H106="","",H106)</f>
        <v/>
      </c>
      <c r="I110" s="7">
        <f>IF(H106="","",H106)</f>
        <v/>
      </c>
      <c r="J110" s="7" t="n">
        <v>10</v>
      </c>
      <c r="K110" s="7" t="n"/>
      <c r="L110" s="40" t="n"/>
      <c r="M110">
        <f>IF(AND(L110&lt;&gt;"",N(I110)&gt;0,N(J110)&gt;0),IF(J110=1,I110,ROUND(I110*(1+J110/30),1)),"")</f>
        <v/>
      </c>
      <c r="N110" s="41">
        <f>IF(M110="","",IF(M110&gt;=PRs!C59,"PR!",""))</f>
        <v/>
      </c>
      <c r="O110" s="7" t="n"/>
    </row>
    <row r="112">
      <c r="A112" s="45" t="inlineStr">
        <is>
          <t>WEEK 38 - CYCLE 4 - ACCUMULATION</t>
        </is>
      </c>
      <c r="B112" s="46" t="n"/>
      <c r="C112" s="46" t="n"/>
      <c r="D112" s="46" t="n"/>
      <c r="E112" s="46" t="n"/>
      <c r="F112" s="46" t="n"/>
      <c r="G112" s="46" t="n"/>
      <c r="H112" s="47" t="inlineStr">
        <is>
          <t>Bodyweight:</t>
        </is>
      </c>
      <c r="I112" s="7" t="n"/>
      <c r="J112" s="46" t="n"/>
      <c r="K112" s="46" t="n"/>
      <c r="L112" s="46" t="n"/>
      <c r="M112" s="46" t="n"/>
      <c r="N112" s="46" t="n"/>
      <c r="O112" s="46" t="n"/>
    </row>
    <row r="113">
      <c r="A113" s="31" t="inlineStr">
        <is>
          <t>Day 1 - Heavy</t>
        </is>
      </c>
      <c r="B113" s="32">
        <f>'Start Here'!$B$8+259</f>
        <v/>
      </c>
      <c r="C113" s="33" t="n"/>
      <c r="D113" s="33" t="n"/>
      <c r="E113" s="33" t="n"/>
      <c r="F113" s="33" t="n"/>
      <c r="G113" s="33" t="n"/>
      <c r="H113" s="33" t="n"/>
      <c r="I113" s="33" t="n"/>
      <c r="J113" s="33" t="n"/>
      <c r="K113" s="33" t="n"/>
      <c r="L113" s="33" t="n"/>
      <c r="M113" s="33" t="n"/>
      <c r="N113" s="33" t="n"/>
      <c r="O113" s="33" t="n"/>
    </row>
    <row r="114">
      <c r="A114" s="34" t="n"/>
      <c r="B114" s="34" t="n"/>
      <c r="C114" s="35" t="inlineStr">
        <is>
          <t>Box Jump</t>
        </is>
      </c>
      <c r="D114" s="34" t="inlineStr">
        <is>
          <t>4 x 3</t>
        </is>
      </c>
      <c r="E114" s="34" t="n"/>
      <c r="F114" s="34" t="n"/>
      <c r="G114" s="36" t="n"/>
      <c r="H114" s="37">
        <f>IF(N(Maxes!H69)&gt;0,Maxes!H69,'Start Here'!$G$16)</f>
        <v/>
      </c>
      <c r="I114" s="34" t="n"/>
      <c r="J114" s="34" t="n"/>
      <c r="K114" s="34" t="n"/>
      <c r="L114" s="34" t="n"/>
      <c r="M114" s="34" t="n"/>
      <c r="N114" s="34" t="n"/>
      <c r="O114" s="38" t="inlineStr">
        <is>
          <t>Two-foot jump onto a box, land soft in a quarter squat, STEP down. Log the box height (floor to top of box).</t>
        </is>
      </c>
    </row>
    <row r="115">
      <c r="C115" t="inlineStr">
        <is>
          <t xml:space="preserve">      Set 1</t>
        </is>
      </c>
      <c r="E115" t="n">
        <v>3</v>
      </c>
      <c r="H115" s="39">
        <f>IF(H114="","",H114)</f>
        <v/>
      </c>
      <c r="I115" s="7">
        <f>IF(H114="","",H114)</f>
        <v/>
      </c>
      <c r="J115" s="7" t="n">
        <v>3</v>
      </c>
      <c r="K115" s="7" t="n"/>
      <c r="L115" s="40" t="n"/>
      <c r="N115" s="41">
        <f>IF(AND(L115&lt;&gt;"",N(I115)&gt;0),IF(I115&gt;=PRs!D69,"PR!",""),"")</f>
        <v/>
      </c>
      <c r="O115" s="7" t="n"/>
    </row>
    <row r="116">
      <c r="C116" t="inlineStr">
        <is>
          <t xml:space="preserve">      Set 2</t>
        </is>
      </c>
      <c r="E116" t="n">
        <v>3</v>
      </c>
      <c r="H116" s="39">
        <f>IF(H114="","",H114)</f>
        <v/>
      </c>
      <c r="I116" s="7">
        <f>IF(H114="","",H114)</f>
        <v/>
      </c>
      <c r="J116" s="7" t="n">
        <v>3</v>
      </c>
      <c r="K116" s="7" t="n"/>
      <c r="L116" s="40" t="n"/>
      <c r="N116" s="41">
        <f>IF(AND(L116&lt;&gt;"",N(I116)&gt;0),IF(I116&gt;=PRs!D69,"PR!",""),"")</f>
        <v/>
      </c>
      <c r="O116" s="7" t="n"/>
    </row>
    <row r="117">
      <c r="C117" t="inlineStr">
        <is>
          <t xml:space="preserve">      Set 3</t>
        </is>
      </c>
      <c r="E117" t="n">
        <v>3</v>
      </c>
      <c r="H117" s="39">
        <f>IF(H114="","",H114)</f>
        <v/>
      </c>
      <c r="I117" s="7">
        <f>IF(H114="","",H114)</f>
        <v/>
      </c>
      <c r="J117" s="7" t="n">
        <v>3</v>
      </c>
      <c r="K117" s="7" t="n"/>
      <c r="L117" s="40" t="n"/>
      <c r="N117" s="41">
        <f>IF(AND(L117&lt;&gt;"",N(I117)&gt;0),IF(I117&gt;=PRs!D69,"PR!",""),"")</f>
        <v/>
      </c>
      <c r="O117" s="7" t="n"/>
    </row>
    <row r="118">
      <c r="C118" t="inlineStr">
        <is>
          <t xml:space="preserve">      Set 4</t>
        </is>
      </c>
      <c r="E118" t="n">
        <v>3</v>
      </c>
      <c r="H118" s="39">
        <f>IF(H114="","",H114)</f>
        <v/>
      </c>
      <c r="I118" s="7">
        <f>IF(H114="","",H114)</f>
        <v/>
      </c>
      <c r="J118" s="7" t="n">
        <v>3</v>
      </c>
      <c r="K118" s="7" t="n"/>
      <c r="L118" s="40" t="n"/>
      <c r="N118" s="41">
        <f>IF(AND(L118&lt;&gt;"",N(I118)&gt;0),IF(I118&gt;=PRs!D69,"PR!",""),"")</f>
        <v/>
      </c>
      <c r="O118" s="7" t="n"/>
    </row>
    <row r="119">
      <c r="A119" s="34" t="n"/>
      <c r="B119" s="34" t="n"/>
      <c r="C119" s="42" t="inlineStr">
        <is>
          <t>Snatch</t>
        </is>
      </c>
      <c r="D119" s="34" t="inlineStr">
        <is>
          <t>4 x 3</t>
        </is>
      </c>
      <c r="E119" s="34" t="n"/>
      <c r="F119" s="34" t="n">
        <v>72.5</v>
      </c>
      <c r="G119" s="36">
        <f>Maxes!H6</f>
        <v/>
      </c>
      <c r="H119" s="37">
        <f>IF(OR(G119="",F119=""),"",MROUND(G119*F119/100,'Start Here'!$B$7))</f>
        <v/>
      </c>
      <c r="I119" s="34" t="n"/>
      <c r="J119" s="34" t="n"/>
      <c r="K119" s="34" t="n"/>
      <c r="L119" s="34" t="n"/>
      <c r="M119" s="34" t="n"/>
      <c r="N119" s="34" t="n"/>
      <c r="O119" s="38" t="inlineStr"/>
    </row>
    <row r="120">
      <c r="C120" t="inlineStr">
        <is>
          <t xml:space="preserve">      Set 1</t>
        </is>
      </c>
      <c r="E120" t="n">
        <v>3</v>
      </c>
      <c r="H120" s="39">
        <f>IF(H119="","",H119)</f>
        <v/>
      </c>
      <c r="I120" s="7">
        <f>IF(H119="","",H119)</f>
        <v/>
      </c>
      <c r="J120" s="7" t="n">
        <v>3</v>
      </c>
      <c r="K120" s="7" t="n"/>
      <c r="L120" s="40" t="n"/>
      <c r="M120">
        <f>IF(AND(L120&lt;&gt;"",N(I120)&gt;0,N(J120)&gt;0),IF(J120=1,I120,ROUND(I120*(1+J120/30),1)),"")</f>
        <v/>
      </c>
      <c r="N120" s="41">
        <f>IF(M120="","",IF(M120&gt;=PRs!C6,"PR!",""))</f>
        <v/>
      </c>
      <c r="O120" s="7" t="n"/>
    </row>
    <row r="121">
      <c r="C121" t="inlineStr">
        <is>
          <t xml:space="preserve">      Set 2</t>
        </is>
      </c>
      <c r="E121" t="n">
        <v>3</v>
      </c>
      <c r="H121" s="39">
        <f>IF(H119="","",H119)</f>
        <v/>
      </c>
      <c r="I121" s="7">
        <f>IF(H119="","",H119)</f>
        <v/>
      </c>
      <c r="J121" s="7" t="n">
        <v>3</v>
      </c>
      <c r="K121" s="7" t="n"/>
      <c r="L121" s="40" t="n"/>
      <c r="M121">
        <f>IF(AND(L121&lt;&gt;"",N(I121)&gt;0,N(J121)&gt;0),IF(J121=1,I121,ROUND(I121*(1+J121/30),1)),"")</f>
        <v/>
      </c>
      <c r="N121" s="41">
        <f>IF(M121="","",IF(M121&gt;=PRs!C6,"PR!",""))</f>
        <v/>
      </c>
      <c r="O121" s="7" t="n"/>
    </row>
    <row r="122">
      <c r="C122" t="inlineStr">
        <is>
          <t xml:space="preserve">      Set 3</t>
        </is>
      </c>
      <c r="E122" t="n">
        <v>3</v>
      </c>
      <c r="H122" s="39">
        <f>IF(H119="","",H119)</f>
        <v/>
      </c>
      <c r="I122" s="7">
        <f>IF(H119="","",H119)</f>
        <v/>
      </c>
      <c r="J122" s="7" t="n">
        <v>3</v>
      </c>
      <c r="K122" s="7" t="n"/>
      <c r="L122" s="40" t="n"/>
      <c r="M122">
        <f>IF(AND(L122&lt;&gt;"",N(I122)&gt;0,N(J122)&gt;0),IF(J122=1,I122,ROUND(I122*(1+J122/30),1)),"")</f>
        <v/>
      </c>
      <c r="N122" s="41">
        <f>IF(M122="","",IF(M122&gt;=PRs!C6,"PR!",""))</f>
        <v/>
      </c>
      <c r="O122" s="7" t="n"/>
    </row>
    <row r="123">
      <c r="C123" t="inlineStr">
        <is>
          <t xml:space="preserve">      Set 4</t>
        </is>
      </c>
      <c r="E123" t="n">
        <v>3</v>
      </c>
      <c r="H123" s="39">
        <f>IF(H119="","",H119)</f>
        <v/>
      </c>
      <c r="I123" s="7">
        <f>IF(H119="","",H119)</f>
        <v/>
      </c>
      <c r="J123" s="7" t="n">
        <v>3</v>
      </c>
      <c r="K123" s="7" t="n"/>
      <c r="L123" s="40" t="n"/>
      <c r="M123">
        <f>IF(AND(L123&lt;&gt;"",N(I123)&gt;0,N(J123)&gt;0),IF(J123=1,I123,ROUND(I123*(1+J123/30),1)),"")</f>
        <v/>
      </c>
      <c r="N123" s="41">
        <f>IF(M123="","",IF(M123&gt;=PRs!C6,"PR!",""))</f>
        <v/>
      </c>
      <c r="O123" s="7" t="n"/>
    </row>
    <row r="124">
      <c r="A124" s="34" t="n"/>
      <c r="B124" s="34" t="n"/>
      <c r="C124" s="42" t="inlineStr">
        <is>
          <t>Squat</t>
        </is>
      </c>
      <c r="D124" s="34" t="inlineStr">
        <is>
          <t>3 x 6</t>
        </is>
      </c>
      <c r="E124" s="34" t="n"/>
      <c r="F124" s="34" t="n">
        <v>72.5</v>
      </c>
      <c r="G124" s="36">
        <f>Maxes!H2</f>
        <v/>
      </c>
      <c r="H124" s="37">
        <f>IF(OR(G124="",F124=""),"",MROUND(G124*F124/100,'Start Here'!$B$7))</f>
        <v/>
      </c>
      <c r="I124" s="34" t="n"/>
      <c r="J124" s="34" t="n"/>
      <c r="K124" s="34" t="n"/>
      <c r="L124" s="34" t="n"/>
      <c r="M124" s="34" t="n"/>
      <c r="N124" s="34" t="n"/>
      <c r="O124" s="38" t="inlineStr"/>
    </row>
    <row r="125">
      <c r="C125" t="inlineStr">
        <is>
          <t xml:space="preserve">      Set 1</t>
        </is>
      </c>
      <c r="E125" t="n">
        <v>6</v>
      </c>
      <c r="H125" s="39">
        <f>IF(H124="","",H124)</f>
        <v/>
      </c>
      <c r="I125" s="7">
        <f>IF(H124="","",H124)</f>
        <v/>
      </c>
      <c r="J125" s="7" t="n">
        <v>6</v>
      </c>
      <c r="K125" s="7" t="n"/>
      <c r="L125" s="40" t="n"/>
      <c r="M125">
        <f>IF(AND(L125&lt;&gt;"",N(I125)&gt;0,N(J125)&gt;0),IF(J125=1,I125,ROUND(I125*(1+J125/30),1)),"")</f>
        <v/>
      </c>
      <c r="N125" s="41">
        <f>IF(M125="","",IF(M125&gt;=PRs!C2,"PR!",""))</f>
        <v/>
      </c>
      <c r="O125" s="7" t="n"/>
    </row>
    <row r="126">
      <c r="C126" t="inlineStr">
        <is>
          <t xml:space="preserve">      Set 2</t>
        </is>
      </c>
      <c r="E126" t="n">
        <v>6</v>
      </c>
      <c r="H126" s="39">
        <f>IF(H124="","",H124)</f>
        <v/>
      </c>
      <c r="I126" s="7">
        <f>IF(H124="","",H124)</f>
        <v/>
      </c>
      <c r="J126" s="7" t="n">
        <v>6</v>
      </c>
      <c r="K126" s="7" t="n"/>
      <c r="L126" s="40" t="n"/>
      <c r="M126">
        <f>IF(AND(L126&lt;&gt;"",N(I126)&gt;0,N(J126)&gt;0),IF(J126=1,I126,ROUND(I126*(1+J126/30),1)),"")</f>
        <v/>
      </c>
      <c r="N126" s="41">
        <f>IF(M126="","",IF(M126&gt;=PRs!C2,"PR!",""))</f>
        <v/>
      </c>
      <c r="O126" s="7" t="n"/>
    </row>
    <row r="127">
      <c r="C127" t="inlineStr">
        <is>
          <t xml:space="preserve">      Set 3</t>
        </is>
      </c>
      <c r="E127" t="n">
        <v>6</v>
      </c>
      <c r="H127" s="39">
        <f>IF(H124="","",H124)</f>
        <v/>
      </c>
      <c r="I127" s="7">
        <f>IF(H124="","",H124)</f>
        <v/>
      </c>
      <c r="J127" s="7" t="n">
        <v>6</v>
      </c>
      <c r="K127" s="7" t="n"/>
      <c r="L127" s="40" t="n"/>
      <c r="M127">
        <f>IF(AND(L127&lt;&gt;"",N(I127)&gt;0,N(J127)&gt;0),IF(J127=1,I127,ROUND(I127*(1+J127/30),1)),"")</f>
        <v/>
      </c>
      <c r="N127" s="41">
        <f>IF(M127="","",IF(M127&gt;=PRs!C2,"PR!",""))</f>
        <v/>
      </c>
      <c r="O127" s="7" t="n"/>
    </row>
    <row r="128">
      <c r="A128" s="34" t="n"/>
      <c r="B128" s="34" t="n"/>
      <c r="C128" s="42" t="inlineStr">
        <is>
          <t>Bench Press</t>
        </is>
      </c>
      <c r="D128" s="34" t="inlineStr">
        <is>
          <t>3 x 6</t>
        </is>
      </c>
      <c r="E128" s="34" t="n"/>
      <c r="F128" s="34" t="n">
        <v>72.5</v>
      </c>
      <c r="G128" s="36">
        <f>Maxes!H3</f>
        <v/>
      </c>
      <c r="H128" s="37">
        <f>IF(OR(G128="",F128=""),"",MROUND(G128*F128/100,'Start Here'!$B$7))</f>
        <v/>
      </c>
      <c r="I128" s="34" t="n"/>
      <c r="J128" s="34" t="n"/>
      <c r="K128" s="34" t="n"/>
      <c r="L128" s="34" t="n"/>
      <c r="M128" s="34" t="n"/>
      <c r="N128" s="34" t="n"/>
      <c r="O128" s="38" t="inlineStr"/>
    </row>
    <row r="129">
      <c r="C129" t="inlineStr">
        <is>
          <t xml:space="preserve">      Set 1</t>
        </is>
      </c>
      <c r="E129" t="n">
        <v>6</v>
      </c>
      <c r="H129" s="39">
        <f>IF(H128="","",H128)</f>
        <v/>
      </c>
      <c r="I129" s="7">
        <f>IF(H128="","",H128)</f>
        <v/>
      </c>
      <c r="J129" s="7" t="n">
        <v>6</v>
      </c>
      <c r="K129" s="7" t="n"/>
      <c r="L129" s="40" t="n"/>
      <c r="M129">
        <f>IF(AND(L129&lt;&gt;"",N(I129)&gt;0,N(J129)&gt;0),IF(J129=1,I129,ROUND(I129*(1+J129/30),1)),"")</f>
        <v/>
      </c>
      <c r="N129" s="41">
        <f>IF(M129="","",IF(M129&gt;=PRs!C3,"PR!",""))</f>
        <v/>
      </c>
      <c r="O129" s="7" t="n"/>
    </row>
    <row r="130">
      <c r="C130" t="inlineStr">
        <is>
          <t xml:space="preserve">      Set 2</t>
        </is>
      </c>
      <c r="E130" t="n">
        <v>6</v>
      </c>
      <c r="H130" s="39">
        <f>IF(H128="","",H128)</f>
        <v/>
      </c>
      <c r="I130" s="7">
        <f>IF(H128="","",H128)</f>
        <v/>
      </c>
      <c r="J130" s="7" t="n">
        <v>6</v>
      </c>
      <c r="K130" s="7" t="n"/>
      <c r="L130" s="40" t="n"/>
      <c r="M130">
        <f>IF(AND(L130&lt;&gt;"",N(I130)&gt;0,N(J130)&gt;0),IF(J130=1,I130,ROUND(I130*(1+J130/30),1)),"")</f>
        <v/>
      </c>
      <c r="N130" s="41">
        <f>IF(M130="","",IF(M130&gt;=PRs!C3,"PR!",""))</f>
        <v/>
      </c>
      <c r="O130" s="7" t="n"/>
    </row>
    <row r="131">
      <c r="C131" t="inlineStr">
        <is>
          <t xml:space="preserve">      Set 3</t>
        </is>
      </c>
      <c r="E131" t="n">
        <v>6</v>
      </c>
      <c r="H131" s="39">
        <f>IF(H128="","",H128)</f>
        <v/>
      </c>
      <c r="I131" s="7">
        <f>IF(H128="","",H128)</f>
        <v/>
      </c>
      <c r="J131" s="7" t="n">
        <v>6</v>
      </c>
      <c r="K131" s="7" t="n"/>
      <c r="L131" s="40" t="n"/>
      <c r="M131">
        <f>IF(AND(L131&lt;&gt;"",N(I131)&gt;0,N(J131)&gt;0),IF(J131=1,I131,ROUND(I131*(1+J131/30),1)),"")</f>
        <v/>
      </c>
      <c r="N131" s="41">
        <f>IF(M131="","",IF(M131&gt;=PRs!C3,"PR!",""))</f>
        <v/>
      </c>
      <c r="O131" s="7" t="n"/>
    </row>
    <row r="132">
      <c r="A132" s="34" t="n"/>
      <c r="B132" s="34" t="n"/>
      <c r="C132" s="43" t="inlineStr">
        <is>
          <t>Barbell Row</t>
        </is>
      </c>
      <c r="D132" s="34" t="inlineStr">
        <is>
          <t>4 x 8-10</t>
        </is>
      </c>
      <c r="E132" s="34" t="n"/>
      <c r="F132" s="34" t="n"/>
      <c r="G132" s="36" t="n"/>
      <c r="H132" s="37" t="n"/>
      <c r="I132" s="34" t="n"/>
      <c r="J132" s="34" t="n"/>
      <c r="K132" s="34" t="n"/>
      <c r="L132" s="34" t="n"/>
      <c r="M132" s="34" t="n"/>
      <c r="N132" s="34" t="n"/>
      <c r="O132" s="38" t="inlineStr">
        <is>
          <t>Leave 1-2 reps in the tank; add weight when you hit the top of the range</t>
        </is>
      </c>
    </row>
    <row r="133">
      <c r="C133" t="inlineStr">
        <is>
          <t xml:space="preserve">      Set 1</t>
        </is>
      </c>
      <c r="E133" t="n">
        <v>8</v>
      </c>
      <c r="H133" s="39">
        <f>IF(H132="","",H132)</f>
        <v/>
      </c>
      <c r="I133" s="7">
        <f>IF(H132="","",H132)</f>
        <v/>
      </c>
      <c r="J133" s="7" t="n">
        <v>8</v>
      </c>
      <c r="K133" s="7" t="n"/>
      <c r="L133" s="40" t="n"/>
      <c r="M133">
        <f>IF(AND(L133&lt;&gt;"",N(I133)&gt;0,N(J133)&gt;0),IF(J133=1,I133,ROUND(I133*(1+J133/30),1)),"")</f>
        <v/>
      </c>
      <c r="N133" s="41">
        <f>IF(M133="","",IF(M133&gt;=PRs!C50,"PR!",""))</f>
        <v/>
      </c>
      <c r="O133" s="7" t="n"/>
    </row>
    <row r="134">
      <c r="C134" t="inlineStr">
        <is>
          <t xml:space="preserve">      Set 2</t>
        </is>
      </c>
      <c r="E134" t="n">
        <v>8</v>
      </c>
      <c r="H134" s="39">
        <f>IF(H132="","",H132)</f>
        <v/>
      </c>
      <c r="I134" s="7">
        <f>IF(H132="","",H132)</f>
        <v/>
      </c>
      <c r="J134" s="7" t="n">
        <v>8</v>
      </c>
      <c r="K134" s="7" t="n"/>
      <c r="L134" s="40" t="n"/>
      <c r="M134">
        <f>IF(AND(L134&lt;&gt;"",N(I134)&gt;0,N(J134)&gt;0),IF(J134=1,I134,ROUND(I134*(1+J134/30),1)),"")</f>
        <v/>
      </c>
      <c r="N134" s="41">
        <f>IF(M134="","",IF(M134&gt;=PRs!C50,"PR!",""))</f>
        <v/>
      </c>
      <c r="O134" s="7" t="n"/>
    </row>
    <row r="135">
      <c r="C135" t="inlineStr">
        <is>
          <t xml:space="preserve">      Set 3</t>
        </is>
      </c>
      <c r="E135" t="n">
        <v>8</v>
      </c>
      <c r="H135" s="39">
        <f>IF(H132="","",H132)</f>
        <v/>
      </c>
      <c r="I135" s="7">
        <f>IF(H132="","",H132)</f>
        <v/>
      </c>
      <c r="J135" s="7" t="n">
        <v>8</v>
      </c>
      <c r="K135" s="7" t="n"/>
      <c r="L135" s="40" t="n"/>
      <c r="M135">
        <f>IF(AND(L135&lt;&gt;"",N(I135)&gt;0,N(J135)&gt;0),IF(J135=1,I135,ROUND(I135*(1+J135/30),1)),"")</f>
        <v/>
      </c>
      <c r="N135" s="41">
        <f>IF(M135="","",IF(M135&gt;=PRs!C50,"PR!",""))</f>
        <v/>
      </c>
      <c r="O135" s="7" t="n"/>
    </row>
    <row r="136">
      <c r="C136" t="inlineStr">
        <is>
          <t xml:space="preserve">      Set 4</t>
        </is>
      </c>
      <c r="E136" t="n">
        <v>8</v>
      </c>
      <c r="H136" s="39">
        <f>IF(H132="","",H132)</f>
        <v/>
      </c>
      <c r="I136" s="7">
        <f>IF(H132="","",H132)</f>
        <v/>
      </c>
      <c r="J136" s="7" t="n">
        <v>8</v>
      </c>
      <c r="K136" s="7" t="n"/>
      <c r="L136" s="40" t="n"/>
      <c r="M136">
        <f>IF(AND(L136&lt;&gt;"",N(I136)&gt;0,N(J136)&gt;0),IF(J136=1,I136,ROUND(I136*(1+J136/30),1)),"")</f>
        <v/>
      </c>
      <c r="N136" s="41">
        <f>IF(M136="","",IF(M136&gt;=PRs!C50,"PR!",""))</f>
        <v/>
      </c>
      <c r="O136" s="7" t="n"/>
    </row>
    <row r="137">
      <c r="A137" s="34" t="n"/>
      <c r="B137" s="34" t="n"/>
      <c r="C137" s="43" t="inlineStr">
        <is>
          <t>Face Pull</t>
        </is>
      </c>
      <c r="D137" s="34" t="inlineStr">
        <is>
          <t>4 x 12-15</t>
        </is>
      </c>
      <c r="E137" s="34" t="n"/>
      <c r="F137" s="34" t="n"/>
      <c r="G137" s="36" t="n"/>
      <c r="H137" s="37" t="n"/>
      <c r="I137" s="34" t="n"/>
      <c r="J137" s="34" t="n"/>
      <c r="K137" s="34" t="n"/>
      <c r="L137" s="34" t="n"/>
      <c r="M137" s="34" t="n"/>
      <c r="N137" s="34" t="n"/>
      <c r="O137" s="38" t="inlineStr">
        <is>
          <t>Leave 1-2 reps in the tank; add weight when you hit the top of the range</t>
        </is>
      </c>
    </row>
    <row r="138">
      <c r="C138" t="inlineStr">
        <is>
          <t xml:space="preserve">      Set 1</t>
        </is>
      </c>
      <c r="E138" t="n">
        <v>12</v>
      </c>
      <c r="H138" s="39">
        <f>IF(H137="","",H137)</f>
        <v/>
      </c>
      <c r="I138" s="7">
        <f>IF(H137="","",H137)</f>
        <v/>
      </c>
      <c r="J138" s="7" t="n">
        <v>12</v>
      </c>
      <c r="K138" s="7" t="n"/>
      <c r="L138" s="40" t="n"/>
      <c r="M138">
        <f>IF(AND(L138&lt;&gt;"",N(I138)&gt;0,N(J138)&gt;0),IF(J138=1,I138,ROUND(I138*(1+J138/30),1)),"")</f>
        <v/>
      </c>
      <c r="N138" s="41">
        <f>IF(M138="","",IF(M138&gt;=PRs!C51,"PR!",""))</f>
        <v/>
      </c>
      <c r="O138" s="7" t="n"/>
    </row>
    <row r="139">
      <c r="C139" t="inlineStr">
        <is>
          <t xml:space="preserve">      Set 2</t>
        </is>
      </c>
      <c r="E139" t="n">
        <v>12</v>
      </c>
      <c r="H139" s="39">
        <f>IF(H137="","",H137)</f>
        <v/>
      </c>
      <c r="I139" s="7">
        <f>IF(H137="","",H137)</f>
        <v/>
      </c>
      <c r="J139" s="7" t="n">
        <v>12</v>
      </c>
      <c r="K139" s="7" t="n"/>
      <c r="L139" s="40" t="n"/>
      <c r="M139">
        <f>IF(AND(L139&lt;&gt;"",N(I139)&gt;0,N(J139)&gt;0),IF(J139=1,I139,ROUND(I139*(1+J139/30),1)),"")</f>
        <v/>
      </c>
      <c r="N139" s="41">
        <f>IF(M139="","",IF(M139&gt;=PRs!C51,"PR!",""))</f>
        <v/>
      </c>
      <c r="O139" s="7" t="n"/>
    </row>
    <row r="140">
      <c r="C140" t="inlineStr">
        <is>
          <t xml:space="preserve">      Set 3</t>
        </is>
      </c>
      <c r="E140" t="n">
        <v>12</v>
      </c>
      <c r="H140" s="39">
        <f>IF(H137="","",H137)</f>
        <v/>
      </c>
      <c r="I140" s="7">
        <f>IF(H137="","",H137)</f>
        <v/>
      </c>
      <c r="J140" s="7" t="n">
        <v>12</v>
      </c>
      <c r="K140" s="7" t="n"/>
      <c r="L140" s="40" t="n"/>
      <c r="M140">
        <f>IF(AND(L140&lt;&gt;"",N(I140)&gt;0,N(J140)&gt;0),IF(J140=1,I140,ROUND(I140*(1+J140/30),1)),"")</f>
        <v/>
      </c>
      <c r="N140" s="41">
        <f>IF(M140="","",IF(M140&gt;=PRs!C51,"PR!",""))</f>
        <v/>
      </c>
      <c r="O140" s="7" t="n"/>
    </row>
    <row r="141">
      <c r="C141" t="inlineStr">
        <is>
          <t xml:space="preserve">      Set 4</t>
        </is>
      </c>
      <c r="E141" t="n">
        <v>12</v>
      </c>
      <c r="H141" s="39">
        <f>IF(H137="","",H137)</f>
        <v/>
      </c>
      <c r="I141" s="7">
        <f>IF(H137="","",H137)</f>
        <v/>
      </c>
      <c r="J141" s="7" t="n">
        <v>12</v>
      </c>
      <c r="K141" s="7" t="n"/>
      <c r="L141" s="40" t="n"/>
      <c r="M141">
        <f>IF(AND(L141&lt;&gt;"",N(I141)&gt;0,N(J141)&gt;0),IF(J141=1,I141,ROUND(I141*(1+J141/30),1)),"")</f>
        <v/>
      </c>
      <c r="N141" s="41">
        <f>IF(M141="","",IF(M141&gt;=PRs!C51,"PR!",""))</f>
        <v/>
      </c>
      <c r="O141" s="7" t="n"/>
    </row>
    <row r="142">
      <c r="A142" s="31" t="inlineStr">
        <is>
          <t>Day 2 - Light</t>
        </is>
      </c>
      <c r="B142" s="32">
        <f>'Start Here'!$B$8+261</f>
        <v/>
      </c>
      <c r="C142" s="33" t="n"/>
      <c r="D142" s="33" t="n"/>
      <c r="E142" s="33" t="n"/>
      <c r="F142" s="33" t="n"/>
      <c r="G142" s="33" t="n"/>
      <c r="H142" s="33" t="n"/>
      <c r="I142" s="33" t="n"/>
      <c r="J142" s="33" t="n"/>
      <c r="K142" s="33" t="n"/>
      <c r="L142" s="33" t="n"/>
      <c r="M142" s="33" t="n"/>
      <c r="N142" s="33" t="n"/>
      <c r="O142" s="33" t="n"/>
    </row>
    <row r="143">
      <c r="A143" s="34" t="n"/>
      <c r="B143" s="34" t="n"/>
      <c r="C143" s="35" t="inlineStr">
        <is>
          <t>Broad Jump</t>
        </is>
      </c>
      <c r="D143" s="34" t="inlineStr">
        <is>
          <t>4 x 3</t>
        </is>
      </c>
      <c r="E143" s="34" t="n"/>
      <c r="F143" s="34" t="n"/>
      <c r="G143" s="36" t="n"/>
      <c r="H143" s="37">
        <f>IF(N(Maxes!H70)&gt;0,Maxes!H70,"")</f>
        <v/>
      </c>
      <c r="I143" s="34" t="n"/>
      <c r="J143" s="34" t="n"/>
      <c r="K143" s="34" t="n"/>
      <c r="L143" s="34" t="n"/>
      <c r="M143" s="34" t="n"/>
      <c r="N143" s="34" t="n"/>
      <c r="O143" s="38" t="inlineStr">
        <is>
          <t>Standing two-foot jump forward, stick the landing. Measure toe line to the back of the nearest heel.</t>
        </is>
      </c>
    </row>
    <row r="144">
      <c r="C144" t="inlineStr">
        <is>
          <t xml:space="preserve">      Set 1</t>
        </is>
      </c>
      <c r="E144" t="n">
        <v>3</v>
      </c>
      <c r="H144" s="39">
        <f>IF(H143="","",H143)</f>
        <v/>
      </c>
      <c r="I144" s="7">
        <f>IF(H143="","",H143)</f>
        <v/>
      </c>
      <c r="J144" s="7" t="n">
        <v>3</v>
      </c>
      <c r="K144" s="7" t="n"/>
      <c r="L144" s="40" t="n"/>
      <c r="N144" s="41">
        <f>IF(AND(L144&lt;&gt;"",N(I144)&gt;0),IF(I144&gt;=PRs!D70,"PR!",""),"")</f>
        <v/>
      </c>
      <c r="O144" s="7" t="n"/>
    </row>
    <row r="145">
      <c r="C145" t="inlineStr">
        <is>
          <t xml:space="preserve">      Set 2</t>
        </is>
      </c>
      <c r="E145" t="n">
        <v>3</v>
      </c>
      <c r="H145" s="39">
        <f>IF(H143="","",H143)</f>
        <v/>
      </c>
      <c r="I145" s="7">
        <f>IF(H143="","",H143)</f>
        <v/>
      </c>
      <c r="J145" s="7" t="n">
        <v>3</v>
      </c>
      <c r="K145" s="7" t="n"/>
      <c r="L145" s="40" t="n"/>
      <c r="N145" s="41">
        <f>IF(AND(L145&lt;&gt;"",N(I145)&gt;0),IF(I145&gt;=PRs!D70,"PR!",""),"")</f>
        <v/>
      </c>
      <c r="O145" s="7" t="n"/>
    </row>
    <row r="146">
      <c r="C146" t="inlineStr">
        <is>
          <t xml:space="preserve">      Set 3</t>
        </is>
      </c>
      <c r="E146" t="n">
        <v>3</v>
      </c>
      <c r="H146" s="39">
        <f>IF(H143="","",H143)</f>
        <v/>
      </c>
      <c r="I146" s="7">
        <f>IF(H143="","",H143)</f>
        <v/>
      </c>
      <c r="J146" s="7" t="n">
        <v>3</v>
      </c>
      <c r="K146" s="7" t="n"/>
      <c r="L146" s="40" t="n"/>
      <c r="N146" s="41">
        <f>IF(AND(L146&lt;&gt;"",N(I146)&gt;0),IF(I146&gt;=PRs!D70,"PR!",""),"")</f>
        <v/>
      </c>
      <c r="O146" s="7" t="n"/>
    </row>
    <row r="147">
      <c r="C147" t="inlineStr">
        <is>
          <t xml:space="preserve">      Set 4</t>
        </is>
      </c>
      <c r="E147" t="n">
        <v>3</v>
      </c>
      <c r="H147" s="39">
        <f>IF(H143="","",H143)</f>
        <v/>
      </c>
      <c r="I147" s="7">
        <f>IF(H143="","",H143)</f>
        <v/>
      </c>
      <c r="J147" s="7" t="n">
        <v>3</v>
      </c>
      <c r="K147" s="7" t="n"/>
      <c r="L147" s="40" t="n"/>
      <c r="N147" s="41">
        <f>IF(AND(L147&lt;&gt;"",N(I147)&gt;0),IF(I147&gt;=PRs!D70,"PR!",""),"")</f>
        <v/>
      </c>
      <c r="O147" s="7" t="n"/>
    </row>
    <row r="148">
      <c r="A148" s="34" t="n"/>
      <c r="B148" s="34" t="n"/>
      <c r="C148" s="35" t="inlineStr">
        <is>
          <t>Med Ball Chest Pass</t>
        </is>
      </c>
      <c r="D148" s="34" t="inlineStr">
        <is>
          <t>3 x 5</t>
        </is>
      </c>
      <c r="E148" s="34" t="n"/>
      <c r="F148" s="34" t="n"/>
      <c r="G148" s="36" t="n"/>
      <c r="H148" s="37">
        <f>IF(N(Maxes!H77)&gt;0,Maxes!H77,"")</f>
        <v/>
      </c>
      <c r="I148" s="34" t="n"/>
      <c r="J148" s="34" t="n"/>
      <c r="K148" s="34" t="n"/>
      <c r="L148" s="34" t="n"/>
      <c r="M148" s="34" t="n"/>
      <c r="N148" s="34" t="n"/>
      <c r="O148" s="38" t="inlineStr">
        <is>
          <t>Kneeling or standing chest pass for distance with a 6-10 lb / 3-5 kg ball. Log the distance.</t>
        </is>
      </c>
    </row>
    <row r="149">
      <c r="C149" t="inlineStr">
        <is>
          <t xml:space="preserve">      Set 1</t>
        </is>
      </c>
      <c r="E149" t="n">
        <v>5</v>
      </c>
      <c r="H149" s="39">
        <f>IF(H148="","",H148)</f>
        <v/>
      </c>
      <c r="I149" s="7">
        <f>IF(H148="","",H148)</f>
        <v/>
      </c>
      <c r="J149" s="7" t="n">
        <v>5</v>
      </c>
      <c r="K149" s="7" t="n"/>
      <c r="L149" s="40" t="n"/>
      <c r="N149" s="41">
        <f>IF(AND(L149&lt;&gt;"",N(I149)&gt;0),IF(I149&gt;=PRs!D77,"PR!",""),"")</f>
        <v/>
      </c>
      <c r="O149" s="7" t="n"/>
    </row>
    <row r="150">
      <c r="C150" t="inlineStr">
        <is>
          <t xml:space="preserve">      Set 2</t>
        </is>
      </c>
      <c r="E150" t="n">
        <v>5</v>
      </c>
      <c r="H150" s="39">
        <f>IF(H148="","",H148)</f>
        <v/>
      </c>
      <c r="I150" s="7">
        <f>IF(H148="","",H148)</f>
        <v/>
      </c>
      <c r="J150" s="7" t="n">
        <v>5</v>
      </c>
      <c r="K150" s="7" t="n"/>
      <c r="L150" s="40" t="n"/>
      <c r="N150" s="41">
        <f>IF(AND(L150&lt;&gt;"",N(I150)&gt;0),IF(I150&gt;=PRs!D77,"PR!",""),"")</f>
        <v/>
      </c>
      <c r="O150" s="7" t="n"/>
    </row>
    <row r="151">
      <c r="C151" t="inlineStr">
        <is>
          <t xml:space="preserve">      Set 3</t>
        </is>
      </c>
      <c r="E151" t="n">
        <v>5</v>
      </c>
      <c r="H151" s="39">
        <f>IF(H148="","",H148)</f>
        <v/>
      </c>
      <c r="I151" s="7">
        <f>IF(H148="","",H148)</f>
        <v/>
      </c>
      <c r="J151" s="7" t="n">
        <v>5</v>
      </c>
      <c r="K151" s="7" t="n"/>
      <c r="L151" s="40" t="n"/>
      <c r="N151" s="41">
        <f>IF(AND(L151&lt;&gt;"",N(I151)&gt;0),IF(I151&gt;=PRs!D77,"PR!",""),"")</f>
        <v/>
      </c>
      <c r="O151" s="7" t="n"/>
    </row>
    <row r="152">
      <c r="A152" s="34" t="n"/>
      <c r="B152" s="34" t="n"/>
      <c r="C152" s="42" t="inlineStr">
        <is>
          <t>Clean &amp; Jerk</t>
        </is>
      </c>
      <c r="D152" s="34" t="inlineStr">
        <is>
          <t>4 x 3</t>
        </is>
      </c>
      <c r="E152" s="34" t="n"/>
      <c r="F152" s="34" t="n">
        <v>72.5</v>
      </c>
      <c r="G152" s="36">
        <f>Maxes!H7</f>
        <v/>
      </c>
      <c r="H152" s="37">
        <f>IF(OR(G152="",F152=""),"",MROUND(G152*F152/100,'Start Here'!$B$7))</f>
        <v/>
      </c>
      <c r="I152" s="34" t="n"/>
      <c r="J152" s="34" t="n"/>
      <c r="K152" s="34" t="n"/>
      <c r="L152" s="34" t="n"/>
      <c r="M152" s="34" t="n"/>
      <c r="N152" s="34" t="n"/>
      <c r="O152" s="38" t="inlineStr"/>
    </row>
    <row r="153">
      <c r="C153" t="inlineStr">
        <is>
          <t xml:space="preserve">      Set 1</t>
        </is>
      </c>
      <c r="E153" t="n">
        <v>3</v>
      </c>
      <c r="H153" s="39">
        <f>IF(H152="","",H152)</f>
        <v/>
      </c>
      <c r="I153" s="7">
        <f>IF(H152="","",H152)</f>
        <v/>
      </c>
      <c r="J153" s="7" t="n">
        <v>3</v>
      </c>
      <c r="K153" s="7" t="n"/>
      <c r="L153" s="40" t="n"/>
      <c r="M153">
        <f>IF(AND(L153&lt;&gt;"",N(I153)&gt;0,N(J153)&gt;0),IF(J153=1,I153,ROUND(I153*(1+J153/30),1)),"")</f>
        <v/>
      </c>
      <c r="N153" s="41">
        <f>IF(M153="","",IF(M153&gt;=PRs!C7,"PR!",""))</f>
        <v/>
      </c>
      <c r="O153" s="7" t="n"/>
    </row>
    <row r="154">
      <c r="C154" t="inlineStr">
        <is>
          <t xml:space="preserve">      Set 2</t>
        </is>
      </c>
      <c r="E154" t="n">
        <v>3</v>
      </c>
      <c r="H154" s="39">
        <f>IF(H152="","",H152)</f>
        <v/>
      </c>
      <c r="I154" s="7">
        <f>IF(H152="","",H152)</f>
        <v/>
      </c>
      <c r="J154" s="7" t="n">
        <v>3</v>
      </c>
      <c r="K154" s="7" t="n"/>
      <c r="L154" s="40" t="n"/>
      <c r="M154">
        <f>IF(AND(L154&lt;&gt;"",N(I154)&gt;0,N(J154)&gt;0),IF(J154=1,I154,ROUND(I154*(1+J154/30),1)),"")</f>
        <v/>
      </c>
      <c r="N154" s="41">
        <f>IF(M154="","",IF(M154&gt;=PRs!C7,"PR!",""))</f>
        <v/>
      </c>
      <c r="O154" s="7" t="n"/>
    </row>
    <row r="155">
      <c r="C155" t="inlineStr">
        <is>
          <t xml:space="preserve">      Set 3</t>
        </is>
      </c>
      <c r="E155" t="n">
        <v>3</v>
      </c>
      <c r="H155" s="39">
        <f>IF(H152="","",H152)</f>
        <v/>
      </c>
      <c r="I155" s="7">
        <f>IF(H152="","",H152)</f>
        <v/>
      </c>
      <c r="J155" s="7" t="n">
        <v>3</v>
      </c>
      <c r="K155" s="7" t="n"/>
      <c r="L155" s="40" t="n"/>
      <c r="M155">
        <f>IF(AND(L155&lt;&gt;"",N(I155)&gt;0,N(J155)&gt;0),IF(J155=1,I155,ROUND(I155*(1+J155/30),1)),"")</f>
        <v/>
      </c>
      <c r="N155" s="41">
        <f>IF(M155="","",IF(M155&gt;=PRs!C7,"PR!",""))</f>
        <v/>
      </c>
      <c r="O155" s="7" t="n"/>
    </row>
    <row r="156">
      <c r="C156" t="inlineStr">
        <is>
          <t xml:space="preserve">      Set 4</t>
        </is>
      </c>
      <c r="E156" t="n">
        <v>3</v>
      </c>
      <c r="H156" s="39">
        <f>IF(H152="","",H152)</f>
        <v/>
      </c>
      <c r="I156" s="7">
        <f>IF(H152="","",H152)</f>
        <v/>
      </c>
      <c r="J156" s="7" t="n">
        <v>3</v>
      </c>
      <c r="K156" s="7" t="n"/>
      <c r="L156" s="40" t="n"/>
      <c r="M156">
        <f>IF(AND(L156&lt;&gt;"",N(I156)&gt;0,N(J156)&gt;0),IF(J156=1,I156,ROUND(I156*(1+J156/30),1)),"")</f>
        <v/>
      </c>
      <c r="N156" s="41">
        <f>IF(M156="","",IF(M156&gt;=PRs!C7,"PR!",""))</f>
        <v/>
      </c>
      <c r="O156" s="7" t="n"/>
    </row>
    <row r="157">
      <c r="A157" s="34" t="n"/>
      <c r="B157" s="34" t="n"/>
      <c r="C157" s="42" t="inlineStr">
        <is>
          <t>Squat</t>
        </is>
      </c>
      <c r="D157" s="34" t="inlineStr">
        <is>
          <t>3 x 6</t>
        </is>
      </c>
      <c r="E157" s="34" t="n"/>
      <c r="F157" s="34" t="n">
        <v>62.5</v>
      </c>
      <c r="G157" s="36">
        <f>Maxes!H2</f>
        <v/>
      </c>
      <c r="H157" s="37">
        <f>IF(OR(G157="",F157=""),"",MROUND(G157*F157/100,'Start Here'!$B$7))</f>
        <v/>
      </c>
      <c r="I157" s="34" t="n"/>
      <c r="J157" s="34" t="n"/>
      <c r="K157" s="34" t="n"/>
      <c r="L157" s="34" t="n"/>
      <c r="M157" s="34" t="n"/>
      <c r="N157" s="34" t="n"/>
      <c r="O157" s="38" t="inlineStr"/>
    </row>
    <row r="158">
      <c r="C158" t="inlineStr">
        <is>
          <t xml:space="preserve">      Set 1</t>
        </is>
      </c>
      <c r="E158" t="n">
        <v>6</v>
      </c>
      <c r="H158" s="39">
        <f>IF(H157="","",H157)</f>
        <v/>
      </c>
      <c r="I158" s="7">
        <f>IF(H157="","",H157)</f>
        <v/>
      </c>
      <c r="J158" s="7" t="n">
        <v>6</v>
      </c>
      <c r="K158" s="7" t="n"/>
      <c r="L158" s="40" t="n"/>
      <c r="M158">
        <f>IF(AND(L158&lt;&gt;"",N(I158)&gt;0,N(J158)&gt;0),IF(J158=1,I158,ROUND(I158*(1+J158/30),1)),"")</f>
        <v/>
      </c>
      <c r="N158" s="41">
        <f>IF(M158="","",IF(M158&gt;=PRs!C2,"PR!",""))</f>
        <v/>
      </c>
      <c r="O158" s="7" t="n"/>
    </row>
    <row r="159">
      <c r="C159" t="inlineStr">
        <is>
          <t xml:space="preserve">      Set 2</t>
        </is>
      </c>
      <c r="E159" t="n">
        <v>6</v>
      </c>
      <c r="H159" s="39">
        <f>IF(H157="","",H157)</f>
        <v/>
      </c>
      <c r="I159" s="7">
        <f>IF(H157="","",H157)</f>
        <v/>
      </c>
      <c r="J159" s="7" t="n">
        <v>6</v>
      </c>
      <c r="K159" s="7" t="n"/>
      <c r="L159" s="40" t="n"/>
      <c r="M159">
        <f>IF(AND(L159&lt;&gt;"",N(I159)&gt;0,N(J159)&gt;0),IF(J159=1,I159,ROUND(I159*(1+J159/30),1)),"")</f>
        <v/>
      </c>
      <c r="N159" s="41">
        <f>IF(M159="","",IF(M159&gt;=PRs!C2,"PR!",""))</f>
        <v/>
      </c>
      <c r="O159" s="7" t="n"/>
    </row>
    <row r="160">
      <c r="C160" t="inlineStr">
        <is>
          <t xml:space="preserve">      Set 3</t>
        </is>
      </c>
      <c r="E160" t="n">
        <v>6</v>
      </c>
      <c r="H160" s="39">
        <f>IF(H157="","",H157)</f>
        <v/>
      </c>
      <c r="I160" s="7">
        <f>IF(H157="","",H157)</f>
        <v/>
      </c>
      <c r="J160" s="7" t="n">
        <v>6</v>
      </c>
      <c r="K160" s="7" t="n"/>
      <c r="L160" s="40" t="n"/>
      <c r="M160">
        <f>IF(AND(L160&lt;&gt;"",N(I160)&gt;0,N(J160)&gt;0),IF(J160=1,I160,ROUND(I160*(1+J160/30),1)),"")</f>
        <v/>
      </c>
      <c r="N160" s="41">
        <f>IF(M160="","",IF(M160&gt;=PRs!C2,"PR!",""))</f>
        <v/>
      </c>
      <c r="O160" s="7" t="n"/>
    </row>
    <row r="161">
      <c r="A161" s="34" t="n"/>
      <c r="B161" s="34" t="n"/>
      <c r="C161" s="42" t="inlineStr">
        <is>
          <t>Overhead Press</t>
        </is>
      </c>
      <c r="D161" s="34" t="inlineStr">
        <is>
          <t>4 x 6</t>
        </is>
      </c>
      <c r="E161" s="34" t="n"/>
      <c r="F161" s="34" t="n">
        <v>67.5</v>
      </c>
      <c r="G161" s="36">
        <f>Maxes!H5</f>
        <v/>
      </c>
      <c r="H161" s="37">
        <f>IF(OR(G161="",F161=""),"",MROUND(G161*F161/100,'Start Here'!$B$7))</f>
        <v/>
      </c>
      <c r="I161" s="34" t="n"/>
      <c r="J161" s="34" t="n"/>
      <c r="K161" s="34" t="n"/>
      <c r="L161" s="34" t="n"/>
      <c r="M161" s="34" t="n"/>
      <c r="N161" s="34" t="n"/>
      <c r="O161" s="38" t="inlineStr"/>
    </row>
    <row r="162">
      <c r="C162" t="inlineStr">
        <is>
          <t xml:space="preserve">      Set 1</t>
        </is>
      </c>
      <c r="E162" t="n">
        <v>6</v>
      </c>
      <c r="H162" s="39">
        <f>IF(H161="","",H161)</f>
        <v/>
      </c>
      <c r="I162" s="7">
        <f>IF(H161="","",H161)</f>
        <v/>
      </c>
      <c r="J162" s="7" t="n">
        <v>6</v>
      </c>
      <c r="K162" s="7" t="n"/>
      <c r="L162" s="40" t="n"/>
      <c r="M162">
        <f>IF(AND(L162&lt;&gt;"",N(I162)&gt;0,N(J162)&gt;0),IF(J162=1,I162,ROUND(I162*(1+J162/30),1)),"")</f>
        <v/>
      </c>
      <c r="N162" s="41">
        <f>IF(M162="","",IF(M162&gt;=PRs!C5,"PR!",""))</f>
        <v/>
      </c>
      <c r="O162" s="7" t="n"/>
    </row>
    <row r="163">
      <c r="C163" t="inlineStr">
        <is>
          <t xml:space="preserve">      Set 2</t>
        </is>
      </c>
      <c r="E163" t="n">
        <v>6</v>
      </c>
      <c r="H163" s="39">
        <f>IF(H161="","",H161)</f>
        <v/>
      </c>
      <c r="I163" s="7">
        <f>IF(H161="","",H161)</f>
        <v/>
      </c>
      <c r="J163" s="7" t="n">
        <v>6</v>
      </c>
      <c r="K163" s="7" t="n"/>
      <c r="L163" s="40" t="n"/>
      <c r="M163">
        <f>IF(AND(L163&lt;&gt;"",N(I163)&gt;0,N(J163)&gt;0),IF(J163=1,I163,ROUND(I163*(1+J163/30),1)),"")</f>
        <v/>
      </c>
      <c r="N163" s="41">
        <f>IF(M163="","",IF(M163&gt;=PRs!C5,"PR!",""))</f>
        <v/>
      </c>
      <c r="O163" s="7" t="n"/>
    </row>
    <row r="164">
      <c r="C164" t="inlineStr">
        <is>
          <t xml:space="preserve">      Set 3</t>
        </is>
      </c>
      <c r="E164" t="n">
        <v>6</v>
      </c>
      <c r="H164" s="39">
        <f>IF(H161="","",H161)</f>
        <v/>
      </c>
      <c r="I164" s="7">
        <f>IF(H161="","",H161)</f>
        <v/>
      </c>
      <c r="J164" s="7" t="n">
        <v>6</v>
      </c>
      <c r="K164" s="7" t="n"/>
      <c r="L164" s="40" t="n"/>
      <c r="M164">
        <f>IF(AND(L164&lt;&gt;"",N(I164)&gt;0,N(J164)&gt;0),IF(J164=1,I164,ROUND(I164*(1+J164/30),1)),"")</f>
        <v/>
      </c>
      <c r="N164" s="41">
        <f>IF(M164="","",IF(M164&gt;=PRs!C5,"PR!",""))</f>
        <v/>
      </c>
      <c r="O164" s="7" t="n"/>
    </row>
    <row r="165">
      <c r="C165" t="inlineStr">
        <is>
          <t xml:space="preserve">      Set 4</t>
        </is>
      </c>
      <c r="E165" t="n">
        <v>6</v>
      </c>
      <c r="H165" s="39">
        <f>IF(H161="","",H161)</f>
        <v/>
      </c>
      <c r="I165" s="7">
        <f>IF(H161="","",H161)</f>
        <v/>
      </c>
      <c r="J165" s="7" t="n">
        <v>6</v>
      </c>
      <c r="K165" s="7" t="n"/>
      <c r="L165" s="40" t="n"/>
      <c r="M165">
        <f>IF(AND(L165&lt;&gt;"",N(I165)&gt;0,N(J165)&gt;0),IF(J165=1,I165,ROUND(I165*(1+J165/30),1)),"")</f>
        <v/>
      </c>
      <c r="N165" s="41">
        <f>IF(M165="","",IF(M165&gt;=PRs!C5,"PR!",""))</f>
        <v/>
      </c>
      <c r="O165" s="7" t="n"/>
    </row>
    <row r="166">
      <c r="A166" s="34" t="n"/>
      <c r="B166" s="34" t="n"/>
      <c r="C166" s="42" t="inlineStr">
        <is>
          <t>Deadlift</t>
        </is>
      </c>
      <c r="D166" s="34" t="inlineStr">
        <is>
          <t>3 x 6</t>
        </is>
      </c>
      <c r="E166" s="34" t="n"/>
      <c r="F166" s="34" t="n">
        <v>67.5</v>
      </c>
      <c r="G166" s="36">
        <f>Maxes!H4</f>
        <v/>
      </c>
      <c r="H166" s="37">
        <f>IF(OR(G166="",F166=""),"",MROUND(G166*F166/100,'Start Here'!$B$7))</f>
        <v/>
      </c>
      <c r="I166" s="34" t="n"/>
      <c r="J166" s="34" t="n"/>
      <c r="K166" s="34" t="n"/>
      <c r="L166" s="34" t="n"/>
      <c r="M166" s="34" t="n"/>
      <c r="N166" s="34" t="n"/>
      <c r="O166" s="38" t="inlineStr"/>
    </row>
    <row r="167">
      <c r="C167" t="inlineStr">
        <is>
          <t xml:space="preserve">      Set 1</t>
        </is>
      </c>
      <c r="E167" t="n">
        <v>6</v>
      </c>
      <c r="H167" s="39">
        <f>IF(H166="","",H166)</f>
        <v/>
      </c>
      <c r="I167" s="7">
        <f>IF(H166="","",H166)</f>
        <v/>
      </c>
      <c r="J167" s="7" t="n">
        <v>6</v>
      </c>
      <c r="K167" s="7" t="n"/>
      <c r="L167" s="40" t="n"/>
      <c r="M167">
        <f>IF(AND(L167&lt;&gt;"",N(I167)&gt;0,N(J167)&gt;0),IF(J167=1,I167,ROUND(I167*(1+J167/30),1)),"")</f>
        <v/>
      </c>
      <c r="N167" s="41">
        <f>IF(M167="","",IF(M167&gt;=PRs!C4,"PR!",""))</f>
        <v/>
      </c>
      <c r="O167" s="7" t="n"/>
    </row>
    <row r="168">
      <c r="C168" t="inlineStr">
        <is>
          <t xml:space="preserve">      Set 2</t>
        </is>
      </c>
      <c r="E168" t="n">
        <v>6</v>
      </c>
      <c r="H168" s="39">
        <f>IF(H166="","",H166)</f>
        <v/>
      </c>
      <c r="I168" s="7">
        <f>IF(H166="","",H166)</f>
        <v/>
      </c>
      <c r="J168" s="7" t="n">
        <v>6</v>
      </c>
      <c r="K168" s="7" t="n"/>
      <c r="L168" s="40" t="n"/>
      <c r="M168">
        <f>IF(AND(L168&lt;&gt;"",N(I168)&gt;0,N(J168)&gt;0),IF(J168=1,I168,ROUND(I168*(1+J168/30),1)),"")</f>
        <v/>
      </c>
      <c r="N168" s="41">
        <f>IF(M168="","",IF(M168&gt;=PRs!C4,"PR!",""))</f>
        <v/>
      </c>
      <c r="O168" s="7" t="n"/>
    </row>
    <row r="169">
      <c r="C169" t="inlineStr">
        <is>
          <t xml:space="preserve">      Set 3</t>
        </is>
      </c>
      <c r="E169" t="n">
        <v>6</v>
      </c>
      <c r="H169" s="39">
        <f>IF(H166="","",H166)</f>
        <v/>
      </c>
      <c r="I169" s="7">
        <f>IF(H166="","",H166)</f>
        <v/>
      </c>
      <c r="J169" s="7" t="n">
        <v>6</v>
      </c>
      <c r="K169" s="7" t="n"/>
      <c r="L169" s="40" t="n"/>
      <c r="M169">
        <f>IF(AND(L169&lt;&gt;"",N(I169)&gt;0,N(J169)&gt;0),IF(J169=1,I169,ROUND(I169*(1+J169/30),1)),"")</f>
        <v/>
      </c>
      <c r="N169" s="41">
        <f>IF(M169="","",IF(M169&gt;=PRs!C4,"PR!",""))</f>
        <v/>
      </c>
      <c r="O169" s="7" t="n"/>
    </row>
    <row r="170">
      <c r="A170" s="34" t="n"/>
      <c r="B170" s="34" t="n"/>
      <c r="C170" s="43" t="inlineStr">
        <is>
          <t>Chin-up</t>
        </is>
      </c>
      <c r="D170" s="34" t="inlineStr">
        <is>
          <t>4 x 6-10</t>
        </is>
      </c>
      <c r="E170" s="34" t="n"/>
      <c r="F170" s="34" t="n"/>
      <c r="G170" s="36" t="n"/>
      <c r="H170" s="37" t="n"/>
      <c r="I170" s="34" t="n"/>
      <c r="J170" s="34" t="n"/>
      <c r="K170" s="34" t="n"/>
      <c r="L170" s="34" t="n"/>
      <c r="M170" s="34" t="n"/>
      <c r="N170" s="34" t="n"/>
      <c r="O170" s="38" t="inlineStr">
        <is>
          <t>Leave 1-2 reps in the tank; add weight when you hit the top of the range</t>
        </is>
      </c>
    </row>
    <row r="171">
      <c r="C171" t="inlineStr">
        <is>
          <t xml:space="preserve">      Set 1</t>
        </is>
      </c>
      <c r="E171" t="n">
        <v>6</v>
      </c>
      <c r="H171" s="39">
        <f>IF(H170="","",H170)</f>
        <v/>
      </c>
      <c r="I171" s="7">
        <f>IF(H170="","",H170)</f>
        <v/>
      </c>
      <c r="J171" s="7" t="n">
        <v>6</v>
      </c>
      <c r="K171" s="7" t="n"/>
      <c r="L171" s="40" t="n"/>
      <c r="M171">
        <f>IF(AND(L171&lt;&gt;"",N(I171)&gt;0,N(J171)&gt;0),IF(J171=1,I171,ROUND(I171*(1+J171/30),1)),"")</f>
        <v/>
      </c>
      <c r="N171" s="41">
        <f>IF(M171="","",IF(M171&gt;=PRs!C53,"PR!",""))</f>
        <v/>
      </c>
      <c r="O171" s="7" t="n"/>
    </row>
    <row r="172">
      <c r="C172" t="inlineStr">
        <is>
          <t xml:space="preserve">      Set 2</t>
        </is>
      </c>
      <c r="E172" t="n">
        <v>6</v>
      </c>
      <c r="H172" s="39">
        <f>IF(H170="","",H170)</f>
        <v/>
      </c>
      <c r="I172" s="7">
        <f>IF(H170="","",H170)</f>
        <v/>
      </c>
      <c r="J172" s="7" t="n">
        <v>6</v>
      </c>
      <c r="K172" s="7" t="n"/>
      <c r="L172" s="40" t="n"/>
      <c r="M172">
        <f>IF(AND(L172&lt;&gt;"",N(I172)&gt;0,N(J172)&gt;0),IF(J172=1,I172,ROUND(I172*(1+J172/30),1)),"")</f>
        <v/>
      </c>
      <c r="N172" s="41">
        <f>IF(M172="","",IF(M172&gt;=PRs!C53,"PR!",""))</f>
        <v/>
      </c>
      <c r="O172" s="7" t="n"/>
    </row>
    <row r="173">
      <c r="C173" t="inlineStr">
        <is>
          <t xml:space="preserve">      Set 3</t>
        </is>
      </c>
      <c r="E173" t="n">
        <v>6</v>
      </c>
      <c r="H173" s="39">
        <f>IF(H170="","",H170)</f>
        <v/>
      </c>
      <c r="I173" s="7">
        <f>IF(H170="","",H170)</f>
        <v/>
      </c>
      <c r="J173" s="7" t="n">
        <v>6</v>
      </c>
      <c r="K173" s="7" t="n"/>
      <c r="L173" s="40" t="n"/>
      <c r="M173">
        <f>IF(AND(L173&lt;&gt;"",N(I173)&gt;0,N(J173)&gt;0),IF(J173=1,I173,ROUND(I173*(1+J173/30),1)),"")</f>
        <v/>
      </c>
      <c r="N173" s="41">
        <f>IF(M173="","",IF(M173&gt;=PRs!C53,"PR!",""))</f>
        <v/>
      </c>
      <c r="O173" s="7" t="n"/>
    </row>
    <row r="174">
      <c r="C174" t="inlineStr">
        <is>
          <t xml:space="preserve">      Set 4</t>
        </is>
      </c>
      <c r="E174" t="n">
        <v>6</v>
      </c>
      <c r="H174" s="39">
        <f>IF(H170="","",H170)</f>
        <v/>
      </c>
      <c r="I174" s="7">
        <f>IF(H170="","",H170)</f>
        <v/>
      </c>
      <c r="J174" s="7" t="n">
        <v>6</v>
      </c>
      <c r="K174" s="7" t="n"/>
      <c r="L174" s="40" t="n"/>
      <c r="M174">
        <f>IF(AND(L174&lt;&gt;"",N(I174)&gt;0,N(J174)&gt;0),IF(J174=1,I174,ROUND(I174*(1+J174/30),1)),"")</f>
        <v/>
      </c>
      <c r="N174" s="41">
        <f>IF(M174="","",IF(M174&gt;=PRs!C53,"PR!",""))</f>
        <v/>
      </c>
      <c r="O174" s="7" t="n"/>
    </row>
    <row r="175">
      <c r="A175" s="34" t="n"/>
      <c r="B175" s="34" t="n"/>
      <c r="C175" s="43" t="inlineStr">
        <is>
          <t>Plank</t>
        </is>
      </c>
      <c r="D175" s="34" t="inlineStr">
        <is>
          <t>4 x 30-60s</t>
        </is>
      </c>
      <c r="E175" s="34" t="n"/>
      <c r="F175" s="34" t="n"/>
      <c r="G175" s="36" t="n"/>
      <c r="H175" s="37" t="n"/>
      <c r="I175" s="34" t="n"/>
      <c r="J175" s="34" t="n"/>
      <c r="K175" s="34" t="n"/>
      <c r="L175" s="34" t="n"/>
      <c r="M175" s="34" t="n"/>
      <c r="N175" s="34" t="n"/>
      <c r="O175" s="38" t="inlineStr">
        <is>
          <t>Leave 1-2 reps in the tank; add weight when you hit the top of the range</t>
        </is>
      </c>
    </row>
    <row r="176">
      <c r="C176" t="inlineStr">
        <is>
          <t xml:space="preserve">      Set 1</t>
        </is>
      </c>
      <c r="E176" t="n">
        <v>30</v>
      </c>
      <c r="H176" s="39">
        <f>IF(H175="","",H175)</f>
        <v/>
      </c>
      <c r="I176" s="7">
        <f>IF(H175="","",H175)</f>
        <v/>
      </c>
      <c r="J176" s="7" t="n">
        <v>30</v>
      </c>
      <c r="K176" s="7" t="n"/>
      <c r="L176" s="40" t="n"/>
      <c r="M176">
        <f>IF(AND(L176&lt;&gt;"",N(I176)&gt;0,N(J176)&gt;0),IF(J176=1,I176,ROUND(I176*(1+J176/30),1)),"")</f>
        <v/>
      </c>
      <c r="N176" s="41">
        <f>IF(M176="","",IF(M176&gt;=PRs!C56,"PR!",""))</f>
        <v/>
      </c>
      <c r="O176" s="7" t="n"/>
    </row>
    <row r="177">
      <c r="C177" t="inlineStr">
        <is>
          <t xml:space="preserve">      Set 2</t>
        </is>
      </c>
      <c r="E177" t="n">
        <v>30</v>
      </c>
      <c r="H177" s="39">
        <f>IF(H175="","",H175)</f>
        <v/>
      </c>
      <c r="I177" s="7">
        <f>IF(H175="","",H175)</f>
        <v/>
      </c>
      <c r="J177" s="7" t="n">
        <v>30</v>
      </c>
      <c r="K177" s="7" t="n"/>
      <c r="L177" s="40" t="n"/>
      <c r="M177">
        <f>IF(AND(L177&lt;&gt;"",N(I177)&gt;0,N(J177)&gt;0),IF(J177=1,I177,ROUND(I177*(1+J177/30),1)),"")</f>
        <v/>
      </c>
      <c r="N177" s="41">
        <f>IF(M177="","",IF(M177&gt;=PRs!C56,"PR!",""))</f>
        <v/>
      </c>
      <c r="O177" s="7" t="n"/>
    </row>
    <row r="178">
      <c r="C178" t="inlineStr">
        <is>
          <t xml:space="preserve">      Set 3</t>
        </is>
      </c>
      <c r="E178" t="n">
        <v>30</v>
      </c>
      <c r="H178" s="39">
        <f>IF(H175="","",H175)</f>
        <v/>
      </c>
      <c r="I178" s="7">
        <f>IF(H175="","",H175)</f>
        <v/>
      </c>
      <c r="J178" s="7" t="n">
        <v>30</v>
      </c>
      <c r="K178" s="7" t="n"/>
      <c r="L178" s="40" t="n"/>
      <c r="M178">
        <f>IF(AND(L178&lt;&gt;"",N(I178)&gt;0,N(J178)&gt;0),IF(J178=1,I178,ROUND(I178*(1+J178/30),1)),"")</f>
        <v/>
      </c>
      <c r="N178" s="41">
        <f>IF(M178="","",IF(M178&gt;=PRs!C56,"PR!",""))</f>
        <v/>
      </c>
      <c r="O178" s="7" t="n"/>
    </row>
    <row r="179">
      <c r="C179" t="inlineStr">
        <is>
          <t xml:space="preserve">      Set 4</t>
        </is>
      </c>
      <c r="E179" t="n">
        <v>30</v>
      </c>
      <c r="H179" s="39">
        <f>IF(H175="","",H175)</f>
        <v/>
      </c>
      <c r="I179" s="7">
        <f>IF(H175="","",H175)</f>
        <v/>
      </c>
      <c r="J179" s="7" t="n">
        <v>30</v>
      </c>
      <c r="K179" s="7" t="n"/>
      <c r="L179" s="40" t="n"/>
      <c r="M179">
        <f>IF(AND(L179&lt;&gt;"",N(I179)&gt;0,N(J179)&gt;0),IF(J179=1,I179,ROUND(I179*(1+J179/30),1)),"")</f>
        <v/>
      </c>
      <c r="N179" s="41">
        <f>IF(M179="","",IF(M179&gt;=PRs!C56,"PR!",""))</f>
        <v/>
      </c>
      <c r="O179" s="7" t="n"/>
    </row>
    <row r="180">
      <c r="A180" s="31" t="inlineStr">
        <is>
          <t>Day 3 - Variations</t>
        </is>
      </c>
      <c r="B180" s="32">
        <f>'Start Here'!$B$8+263</f>
        <v/>
      </c>
      <c r="C180" s="33" t="n"/>
      <c r="D180" s="33" t="n"/>
      <c r="E180" s="33" t="n"/>
      <c r="F180" s="33" t="n"/>
      <c r="G180" s="33" t="n"/>
      <c r="H180" s="33" t="n"/>
      <c r="I180" s="33" t="n"/>
      <c r="J180" s="33" t="n"/>
      <c r="K180" s="33" t="n"/>
      <c r="L180" s="33" t="n"/>
      <c r="M180" s="33" t="n"/>
      <c r="N180" s="33" t="n"/>
      <c r="O180" s="33" t="n"/>
    </row>
    <row r="181">
      <c r="A181" s="34" t="n"/>
      <c r="B181" s="34" t="n"/>
      <c r="C181" s="35" t="inlineStr">
        <is>
          <t>Lateral Bound</t>
        </is>
      </c>
      <c r="D181" s="34" t="inlineStr">
        <is>
          <t>4 x 3</t>
        </is>
      </c>
      <c r="E181" s="34" t="n"/>
      <c r="F181" s="34" t="n"/>
      <c r="G181" s="36" t="n"/>
      <c r="H181" s="37">
        <f>IF(N(Maxes!H74)&gt;0,Maxes!H74,"")</f>
        <v/>
      </c>
      <c r="I181" s="34" t="n"/>
      <c r="J181" s="34" t="n"/>
      <c r="K181" s="34" t="n"/>
      <c r="L181" s="34" t="n"/>
      <c r="M181" s="34" t="n"/>
      <c r="N181" s="34" t="n"/>
      <c r="O181" s="38" t="inlineStr">
        <is>
          <t>Single-leg bound sideways, stick the landing on the other leg, then back. Log distance (each side counts as a rep).</t>
        </is>
      </c>
    </row>
    <row r="182">
      <c r="C182" t="inlineStr">
        <is>
          <t xml:space="preserve">      Set 1</t>
        </is>
      </c>
      <c r="E182" t="n">
        <v>3</v>
      </c>
      <c r="H182" s="39">
        <f>IF(H181="","",H181)</f>
        <v/>
      </c>
      <c r="I182" s="7">
        <f>IF(H181="","",H181)</f>
        <v/>
      </c>
      <c r="J182" s="7" t="n">
        <v>3</v>
      </c>
      <c r="K182" s="7" t="n"/>
      <c r="L182" s="40" t="n"/>
      <c r="N182" s="41">
        <f>IF(AND(L182&lt;&gt;"",N(I182)&gt;0),IF(I182&gt;=PRs!D74,"PR!",""),"")</f>
        <v/>
      </c>
      <c r="O182" s="7" t="n"/>
    </row>
    <row r="183">
      <c r="C183" t="inlineStr">
        <is>
          <t xml:space="preserve">      Set 2</t>
        </is>
      </c>
      <c r="E183" t="n">
        <v>3</v>
      </c>
      <c r="H183" s="39">
        <f>IF(H181="","",H181)</f>
        <v/>
      </c>
      <c r="I183" s="7">
        <f>IF(H181="","",H181)</f>
        <v/>
      </c>
      <c r="J183" s="7" t="n">
        <v>3</v>
      </c>
      <c r="K183" s="7" t="n"/>
      <c r="L183" s="40" t="n"/>
      <c r="N183" s="41">
        <f>IF(AND(L183&lt;&gt;"",N(I183)&gt;0),IF(I183&gt;=PRs!D74,"PR!",""),"")</f>
        <v/>
      </c>
      <c r="O183" s="7" t="n"/>
    </row>
    <row r="184">
      <c r="C184" t="inlineStr">
        <is>
          <t xml:space="preserve">      Set 3</t>
        </is>
      </c>
      <c r="E184" t="n">
        <v>3</v>
      </c>
      <c r="H184" s="39">
        <f>IF(H181="","",H181)</f>
        <v/>
      </c>
      <c r="I184" s="7">
        <f>IF(H181="","",H181)</f>
        <v/>
      </c>
      <c r="J184" s="7" t="n">
        <v>3</v>
      </c>
      <c r="K184" s="7" t="n"/>
      <c r="L184" s="40" t="n"/>
      <c r="N184" s="41">
        <f>IF(AND(L184&lt;&gt;"",N(I184)&gt;0),IF(I184&gt;=PRs!D74,"PR!",""),"")</f>
        <v/>
      </c>
      <c r="O184" s="7" t="n"/>
    </row>
    <row r="185">
      <c r="C185" t="inlineStr">
        <is>
          <t xml:space="preserve">      Set 4</t>
        </is>
      </c>
      <c r="E185" t="n">
        <v>3</v>
      </c>
      <c r="H185" s="39">
        <f>IF(H181="","",H181)</f>
        <v/>
      </c>
      <c r="I185" s="7">
        <f>IF(H181="","",H181)</f>
        <v/>
      </c>
      <c r="J185" s="7" t="n">
        <v>3</v>
      </c>
      <c r="K185" s="7" t="n"/>
      <c r="L185" s="40" t="n"/>
      <c r="N185" s="41">
        <f>IF(AND(L185&lt;&gt;"",N(I185)&gt;0),IF(I185&gt;=PRs!D74,"PR!",""),"")</f>
        <v/>
      </c>
      <c r="O185" s="7" t="n"/>
    </row>
    <row r="186">
      <c r="A186" s="34" t="n"/>
      <c r="B186" s="34" t="n"/>
      <c r="C186" s="42" t="inlineStr">
        <is>
          <t>Power Clean</t>
        </is>
      </c>
      <c r="D186" s="34" t="inlineStr">
        <is>
          <t>6 x 3</t>
        </is>
      </c>
      <c r="E186" s="34" t="n"/>
      <c r="F186" s="34" t="n">
        <v>67.5</v>
      </c>
      <c r="G186" s="36">
        <f>Maxes!H42</f>
        <v/>
      </c>
      <c r="H186" s="37">
        <f>IF(OR(G186="",F186=""),"",MROUND(G186*F186/100,'Start Here'!$B$7))</f>
        <v/>
      </c>
      <c r="I186" s="34" t="n"/>
      <c r="J186" s="34" t="n"/>
      <c r="K186" s="34" t="n"/>
      <c r="L186" s="34" t="n"/>
      <c r="M186" s="34" t="n"/>
      <c r="N186" s="34" t="n"/>
      <c r="O186" s="38" t="inlineStr"/>
    </row>
    <row r="187">
      <c r="C187" t="inlineStr">
        <is>
          <t xml:space="preserve">      Set 1</t>
        </is>
      </c>
      <c r="E187" t="n">
        <v>3</v>
      </c>
      <c r="H187" s="39">
        <f>IF(H186="","",H186)</f>
        <v/>
      </c>
      <c r="I187" s="7">
        <f>IF(H186="","",H186)</f>
        <v/>
      </c>
      <c r="J187" s="7" t="n">
        <v>3</v>
      </c>
      <c r="K187" s="7" t="n"/>
      <c r="L187" s="40" t="n"/>
      <c r="M187">
        <f>IF(AND(L187&lt;&gt;"",N(I187)&gt;0,N(J187)&gt;0),IF(J187=1,I187,ROUND(I187*(1+J187/30),1)),"")</f>
        <v/>
      </c>
      <c r="N187" s="41">
        <f>IF(M187="","",IF(M187&gt;=PRs!C42,"PR!",""))</f>
        <v/>
      </c>
      <c r="O187" s="7" t="n"/>
    </row>
    <row r="188">
      <c r="C188" t="inlineStr">
        <is>
          <t xml:space="preserve">      Set 2</t>
        </is>
      </c>
      <c r="E188" t="n">
        <v>3</v>
      </c>
      <c r="H188" s="39">
        <f>IF(H186="","",H186)</f>
        <v/>
      </c>
      <c r="I188" s="7">
        <f>IF(H186="","",H186)</f>
        <v/>
      </c>
      <c r="J188" s="7" t="n">
        <v>3</v>
      </c>
      <c r="K188" s="7" t="n"/>
      <c r="L188" s="40" t="n"/>
      <c r="M188">
        <f>IF(AND(L188&lt;&gt;"",N(I188)&gt;0,N(J188)&gt;0),IF(J188=1,I188,ROUND(I188*(1+J188/30),1)),"")</f>
        <v/>
      </c>
      <c r="N188" s="41">
        <f>IF(M188="","",IF(M188&gt;=PRs!C42,"PR!",""))</f>
        <v/>
      </c>
      <c r="O188" s="7" t="n"/>
    </row>
    <row r="189">
      <c r="C189" t="inlineStr">
        <is>
          <t xml:space="preserve">      Set 3</t>
        </is>
      </c>
      <c r="E189" t="n">
        <v>3</v>
      </c>
      <c r="H189" s="39">
        <f>IF(H186="","",H186)</f>
        <v/>
      </c>
      <c r="I189" s="7">
        <f>IF(H186="","",H186)</f>
        <v/>
      </c>
      <c r="J189" s="7" t="n">
        <v>3</v>
      </c>
      <c r="K189" s="7" t="n"/>
      <c r="L189" s="40" t="n"/>
      <c r="M189">
        <f>IF(AND(L189&lt;&gt;"",N(I189)&gt;0,N(J189)&gt;0),IF(J189=1,I189,ROUND(I189*(1+J189/30),1)),"")</f>
        <v/>
      </c>
      <c r="N189" s="41">
        <f>IF(M189="","",IF(M189&gt;=PRs!C42,"PR!",""))</f>
        <v/>
      </c>
      <c r="O189" s="7" t="n"/>
    </row>
    <row r="190">
      <c r="C190" t="inlineStr">
        <is>
          <t xml:space="preserve">      Set 4</t>
        </is>
      </c>
      <c r="E190" t="n">
        <v>3</v>
      </c>
      <c r="H190" s="39">
        <f>IF(H186="","",H186)</f>
        <v/>
      </c>
      <c r="I190" s="7">
        <f>IF(H186="","",H186)</f>
        <v/>
      </c>
      <c r="J190" s="7" t="n">
        <v>3</v>
      </c>
      <c r="K190" s="7" t="n"/>
      <c r="L190" s="40" t="n"/>
      <c r="M190">
        <f>IF(AND(L190&lt;&gt;"",N(I190)&gt;0,N(J190)&gt;0),IF(J190=1,I190,ROUND(I190*(1+J190/30),1)),"")</f>
        <v/>
      </c>
      <c r="N190" s="41">
        <f>IF(M190="","",IF(M190&gt;=PRs!C42,"PR!",""))</f>
        <v/>
      </c>
      <c r="O190" s="7" t="n"/>
    </row>
    <row r="191">
      <c r="C191" t="inlineStr">
        <is>
          <t xml:space="preserve">      Set 5</t>
        </is>
      </c>
      <c r="E191" t="n">
        <v>3</v>
      </c>
      <c r="H191" s="39">
        <f>IF(H186="","",H186)</f>
        <v/>
      </c>
      <c r="I191" s="7">
        <f>IF(H186="","",H186)</f>
        <v/>
      </c>
      <c r="J191" s="7" t="n">
        <v>3</v>
      </c>
      <c r="K191" s="7" t="n"/>
      <c r="L191" s="40" t="n"/>
      <c r="M191">
        <f>IF(AND(L191&lt;&gt;"",N(I191)&gt;0,N(J191)&gt;0),IF(J191=1,I191,ROUND(I191*(1+J191/30),1)),"")</f>
        <v/>
      </c>
      <c r="N191" s="41">
        <f>IF(M191="","",IF(M191&gt;=PRs!C42,"PR!",""))</f>
        <v/>
      </c>
      <c r="O191" s="7" t="n"/>
    </row>
    <row r="192">
      <c r="C192" t="inlineStr">
        <is>
          <t xml:space="preserve">      Set 6</t>
        </is>
      </c>
      <c r="E192" t="n">
        <v>3</v>
      </c>
      <c r="H192" s="39">
        <f>IF(H186="","",H186)</f>
        <v/>
      </c>
      <c r="I192" s="7">
        <f>IF(H186="","",H186)</f>
        <v/>
      </c>
      <c r="J192" s="7" t="n">
        <v>3</v>
      </c>
      <c r="K192" s="7" t="n"/>
      <c r="L192" s="40" t="n"/>
      <c r="M192">
        <f>IF(AND(L192&lt;&gt;"",N(I192)&gt;0,N(J192)&gt;0),IF(J192=1,I192,ROUND(I192*(1+J192/30),1)),"")</f>
        <v/>
      </c>
      <c r="N192" s="41">
        <f>IF(M192="","",IF(M192&gt;=PRs!C42,"PR!",""))</f>
        <v/>
      </c>
      <c r="O192" s="7" t="n"/>
    </row>
    <row r="193">
      <c r="A193" s="34" t="n"/>
      <c r="B193" s="34" t="n"/>
      <c r="C193" s="42" t="inlineStr">
        <is>
          <t>Pin Squat</t>
        </is>
      </c>
      <c r="D193" s="34" t="inlineStr">
        <is>
          <t>4 x 6</t>
        </is>
      </c>
      <c r="E193" s="34" t="n"/>
      <c r="F193" s="34" t="n">
        <v>67.5</v>
      </c>
      <c r="G193" s="36">
        <f>Maxes!H12</f>
        <v/>
      </c>
      <c r="H193" s="37">
        <f>IF(OR(G193="",F193=""),"",MROUND(G193*F193/100,'Start Here'!$B$7))</f>
        <v/>
      </c>
      <c r="I193" s="34" t="n"/>
      <c r="J193" s="34" t="n"/>
      <c r="K193" s="34" t="n"/>
      <c r="L193" s="34" t="n"/>
      <c r="M193" s="34" t="n"/>
      <c r="N193" s="34" t="n"/>
      <c r="O193" s="38" t="inlineStr"/>
    </row>
    <row r="194">
      <c r="C194" t="inlineStr">
        <is>
          <t xml:space="preserve">      Set 1</t>
        </is>
      </c>
      <c r="E194" t="n">
        <v>6</v>
      </c>
      <c r="H194" s="39">
        <f>IF(H193="","",H193)</f>
        <v/>
      </c>
      <c r="I194" s="7">
        <f>IF(H193="","",H193)</f>
        <v/>
      </c>
      <c r="J194" s="7" t="n">
        <v>6</v>
      </c>
      <c r="K194" s="7" t="n"/>
      <c r="L194" s="40" t="n"/>
      <c r="M194">
        <f>IF(AND(L194&lt;&gt;"",N(I194)&gt;0,N(J194)&gt;0),IF(J194=1,I194,ROUND(I194*(1+J194/30),1)),"")</f>
        <v/>
      </c>
      <c r="N194" s="41">
        <f>IF(M194="","",IF(M194&gt;=PRs!C12,"PR!",""))</f>
        <v/>
      </c>
      <c r="O194" s="7" t="n"/>
    </row>
    <row r="195">
      <c r="C195" t="inlineStr">
        <is>
          <t xml:space="preserve">      Set 2</t>
        </is>
      </c>
      <c r="E195" t="n">
        <v>6</v>
      </c>
      <c r="H195" s="39">
        <f>IF(H193="","",H193)</f>
        <v/>
      </c>
      <c r="I195" s="7">
        <f>IF(H193="","",H193)</f>
        <v/>
      </c>
      <c r="J195" s="7" t="n">
        <v>6</v>
      </c>
      <c r="K195" s="7" t="n"/>
      <c r="L195" s="40" t="n"/>
      <c r="M195">
        <f>IF(AND(L195&lt;&gt;"",N(I195)&gt;0,N(J195)&gt;0),IF(J195=1,I195,ROUND(I195*(1+J195/30),1)),"")</f>
        <v/>
      </c>
      <c r="N195" s="41">
        <f>IF(M195="","",IF(M195&gt;=PRs!C12,"PR!",""))</f>
        <v/>
      </c>
      <c r="O195" s="7" t="n"/>
    </row>
    <row r="196">
      <c r="C196" t="inlineStr">
        <is>
          <t xml:space="preserve">      Set 3</t>
        </is>
      </c>
      <c r="E196" t="n">
        <v>6</v>
      </c>
      <c r="H196" s="39">
        <f>IF(H193="","",H193)</f>
        <v/>
      </c>
      <c r="I196" s="7">
        <f>IF(H193="","",H193)</f>
        <v/>
      </c>
      <c r="J196" s="7" t="n">
        <v>6</v>
      </c>
      <c r="K196" s="7" t="n"/>
      <c r="L196" s="40" t="n"/>
      <c r="M196">
        <f>IF(AND(L196&lt;&gt;"",N(I196)&gt;0,N(J196)&gt;0),IF(J196=1,I196,ROUND(I196*(1+J196/30),1)),"")</f>
        <v/>
      </c>
      <c r="N196" s="41">
        <f>IF(M196="","",IF(M196&gt;=PRs!C12,"PR!",""))</f>
        <v/>
      </c>
      <c r="O196" s="7" t="n"/>
    </row>
    <row r="197">
      <c r="C197" t="inlineStr">
        <is>
          <t xml:space="preserve">      Set 4</t>
        </is>
      </c>
      <c r="E197" t="n">
        <v>6</v>
      </c>
      <c r="H197" s="39">
        <f>IF(H193="","",H193)</f>
        <v/>
      </c>
      <c r="I197" s="7">
        <f>IF(H193="","",H193)</f>
        <v/>
      </c>
      <c r="J197" s="7" t="n">
        <v>6</v>
      </c>
      <c r="K197" s="7" t="n"/>
      <c r="L197" s="40" t="n"/>
      <c r="M197">
        <f>IF(AND(L197&lt;&gt;"",N(I197)&gt;0,N(J197)&gt;0),IF(J197=1,I197,ROUND(I197*(1+J197/30),1)),"")</f>
        <v/>
      </c>
      <c r="N197" s="41">
        <f>IF(M197="","",IF(M197&gt;=PRs!C12,"PR!",""))</f>
        <v/>
      </c>
      <c r="O197" s="7" t="n"/>
    </row>
    <row r="198">
      <c r="A198" s="34" t="n"/>
      <c r="B198" s="34" t="n"/>
      <c r="C198" s="42" t="inlineStr">
        <is>
          <t>Pause Bench Press</t>
        </is>
      </c>
      <c r="D198" s="34" t="inlineStr">
        <is>
          <t>4 x 6</t>
        </is>
      </c>
      <c r="E198" s="34" t="n"/>
      <c r="F198" s="34" t="n">
        <v>67.5</v>
      </c>
      <c r="G198" s="36">
        <f>Maxes!H18</f>
        <v/>
      </c>
      <c r="H198" s="37">
        <f>IF(OR(G198="",F198=""),"",MROUND(G198*F198/100,'Start Here'!$B$7))</f>
        <v/>
      </c>
      <c r="I198" s="34" t="n"/>
      <c r="J198" s="34" t="n"/>
      <c r="K198" s="34" t="n"/>
      <c r="L198" s="34" t="n"/>
      <c r="M198" s="34" t="n"/>
      <c r="N198" s="34" t="n"/>
      <c r="O198" s="38" t="inlineStr"/>
    </row>
    <row r="199">
      <c r="C199" t="inlineStr">
        <is>
          <t xml:space="preserve">      Set 1</t>
        </is>
      </c>
      <c r="E199" t="n">
        <v>6</v>
      </c>
      <c r="H199" s="39">
        <f>IF(H198="","",H198)</f>
        <v/>
      </c>
      <c r="I199" s="7">
        <f>IF(H198="","",H198)</f>
        <v/>
      </c>
      <c r="J199" s="7" t="n">
        <v>6</v>
      </c>
      <c r="K199" s="7" t="n"/>
      <c r="L199" s="40" t="n"/>
      <c r="M199">
        <f>IF(AND(L199&lt;&gt;"",N(I199)&gt;0,N(J199)&gt;0),IF(J199=1,I199,ROUND(I199*(1+J199/30),1)),"")</f>
        <v/>
      </c>
      <c r="N199" s="41">
        <f>IF(M199="","",IF(M199&gt;=PRs!C18,"PR!",""))</f>
        <v/>
      </c>
      <c r="O199" s="7" t="n"/>
    </row>
    <row r="200">
      <c r="C200" t="inlineStr">
        <is>
          <t xml:space="preserve">      Set 2</t>
        </is>
      </c>
      <c r="E200" t="n">
        <v>6</v>
      </c>
      <c r="H200" s="39">
        <f>IF(H198="","",H198)</f>
        <v/>
      </c>
      <c r="I200" s="7">
        <f>IF(H198="","",H198)</f>
        <v/>
      </c>
      <c r="J200" s="7" t="n">
        <v>6</v>
      </c>
      <c r="K200" s="7" t="n"/>
      <c r="L200" s="40" t="n"/>
      <c r="M200">
        <f>IF(AND(L200&lt;&gt;"",N(I200)&gt;0,N(J200)&gt;0),IF(J200=1,I200,ROUND(I200*(1+J200/30),1)),"")</f>
        <v/>
      </c>
      <c r="N200" s="41">
        <f>IF(M200="","",IF(M200&gt;=PRs!C18,"PR!",""))</f>
        <v/>
      </c>
      <c r="O200" s="7" t="n"/>
    </row>
    <row r="201">
      <c r="C201" t="inlineStr">
        <is>
          <t xml:space="preserve">      Set 3</t>
        </is>
      </c>
      <c r="E201" t="n">
        <v>6</v>
      </c>
      <c r="H201" s="39">
        <f>IF(H198="","",H198)</f>
        <v/>
      </c>
      <c r="I201" s="7">
        <f>IF(H198="","",H198)</f>
        <v/>
      </c>
      <c r="J201" s="7" t="n">
        <v>6</v>
      </c>
      <c r="K201" s="7" t="n"/>
      <c r="L201" s="40" t="n"/>
      <c r="M201">
        <f>IF(AND(L201&lt;&gt;"",N(I201)&gt;0,N(J201)&gt;0),IF(J201=1,I201,ROUND(I201*(1+J201/30),1)),"")</f>
        <v/>
      </c>
      <c r="N201" s="41">
        <f>IF(M201="","",IF(M201&gt;=PRs!C18,"PR!",""))</f>
        <v/>
      </c>
      <c r="O201" s="7" t="n"/>
    </row>
    <row r="202">
      <c r="C202" t="inlineStr">
        <is>
          <t xml:space="preserve">      Set 4</t>
        </is>
      </c>
      <c r="E202" t="n">
        <v>6</v>
      </c>
      <c r="H202" s="39">
        <f>IF(H198="","",H198)</f>
        <v/>
      </c>
      <c r="I202" s="7">
        <f>IF(H198="","",H198)</f>
        <v/>
      </c>
      <c r="J202" s="7" t="n">
        <v>6</v>
      </c>
      <c r="K202" s="7" t="n"/>
      <c r="L202" s="40" t="n"/>
      <c r="M202">
        <f>IF(AND(L202&lt;&gt;"",N(I202)&gt;0,N(J202)&gt;0),IF(J202=1,I202,ROUND(I202*(1+J202/30),1)),"")</f>
        <v/>
      </c>
      <c r="N202" s="41">
        <f>IF(M202="","",IF(M202&gt;=PRs!C18,"PR!",""))</f>
        <v/>
      </c>
      <c r="O202" s="7" t="n"/>
    </row>
    <row r="203">
      <c r="A203" s="34" t="n"/>
      <c r="B203" s="34" t="n"/>
      <c r="C203" s="42" t="inlineStr">
        <is>
          <t>Deficit Deadlift</t>
        </is>
      </c>
      <c r="D203" s="34" t="inlineStr">
        <is>
          <t>3 x 6</t>
        </is>
      </c>
      <c r="E203" s="34" t="n"/>
      <c r="F203" s="34" t="n">
        <v>62.5</v>
      </c>
      <c r="G203" s="36">
        <f>Maxes!H24</f>
        <v/>
      </c>
      <c r="H203" s="37">
        <f>IF(OR(G203="",F203=""),"",MROUND(G203*F203/100,'Start Here'!$B$7))</f>
        <v/>
      </c>
      <c r="I203" s="34" t="n"/>
      <c r="J203" s="34" t="n"/>
      <c r="K203" s="34" t="n"/>
      <c r="L203" s="34" t="n"/>
      <c r="M203" s="34" t="n"/>
      <c r="N203" s="34" t="n"/>
      <c r="O203" s="38" t="inlineStr"/>
    </row>
    <row r="204">
      <c r="C204" t="inlineStr">
        <is>
          <t xml:space="preserve">      Set 1</t>
        </is>
      </c>
      <c r="E204" t="n">
        <v>6</v>
      </c>
      <c r="H204" s="39">
        <f>IF(H203="","",H203)</f>
        <v/>
      </c>
      <c r="I204" s="7">
        <f>IF(H203="","",H203)</f>
        <v/>
      </c>
      <c r="J204" s="7" t="n">
        <v>6</v>
      </c>
      <c r="K204" s="7" t="n"/>
      <c r="L204" s="40" t="n"/>
      <c r="M204">
        <f>IF(AND(L204&lt;&gt;"",N(I204)&gt;0,N(J204)&gt;0),IF(J204=1,I204,ROUND(I204*(1+J204/30),1)),"")</f>
        <v/>
      </c>
      <c r="N204" s="41">
        <f>IF(M204="","",IF(M204&gt;=PRs!C24,"PR!",""))</f>
        <v/>
      </c>
      <c r="O204" s="7" t="n"/>
    </row>
    <row r="205">
      <c r="C205" t="inlineStr">
        <is>
          <t xml:space="preserve">      Set 2</t>
        </is>
      </c>
      <c r="E205" t="n">
        <v>6</v>
      </c>
      <c r="H205" s="39">
        <f>IF(H203="","",H203)</f>
        <v/>
      </c>
      <c r="I205" s="7">
        <f>IF(H203="","",H203)</f>
        <v/>
      </c>
      <c r="J205" s="7" t="n">
        <v>6</v>
      </c>
      <c r="K205" s="7" t="n"/>
      <c r="L205" s="40" t="n"/>
      <c r="M205">
        <f>IF(AND(L205&lt;&gt;"",N(I205)&gt;0,N(J205)&gt;0),IF(J205=1,I205,ROUND(I205*(1+J205/30),1)),"")</f>
        <v/>
      </c>
      <c r="N205" s="41">
        <f>IF(M205="","",IF(M205&gt;=PRs!C24,"PR!",""))</f>
        <v/>
      </c>
      <c r="O205" s="7" t="n"/>
    </row>
    <row r="206">
      <c r="C206" t="inlineStr">
        <is>
          <t xml:space="preserve">      Set 3</t>
        </is>
      </c>
      <c r="E206" t="n">
        <v>6</v>
      </c>
      <c r="H206" s="39">
        <f>IF(H203="","",H203)</f>
        <v/>
      </c>
      <c r="I206" s="7">
        <f>IF(H203="","",H203)</f>
        <v/>
      </c>
      <c r="J206" s="7" t="n">
        <v>6</v>
      </c>
      <c r="K206" s="7" t="n"/>
      <c r="L206" s="40" t="n"/>
      <c r="M206">
        <f>IF(AND(L206&lt;&gt;"",N(I206)&gt;0,N(J206)&gt;0),IF(J206=1,I206,ROUND(I206*(1+J206/30),1)),"")</f>
        <v/>
      </c>
      <c r="N206" s="41">
        <f>IF(M206="","",IF(M206&gt;=PRs!C24,"PR!",""))</f>
        <v/>
      </c>
      <c r="O206" s="7" t="n"/>
    </row>
    <row r="207">
      <c r="A207" s="34" t="n"/>
      <c r="B207" s="34" t="n"/>
      <c r="C207" s="43" t="inlineStr">
        <is>
          <t>Incline Dumbbell Press</t>
        </is>
      </c>
      <c r="D207" s="34" t="inlineStr">
        <is>
          <t>4 x 8-12</t>
        </is>
      </c>
      <c r="E207" s="34" t="n"/>
      <c r="F207" s="34" t="n"/>
      <c r="G207" s="36" t="n"/>
      <c r="H207" s="37" t="n"/>
      <c r="I207" s="34" t="n"/>
      <c r="J207" s="34" t="n"/>
      <c r="K207" s="34" t="n"/>
      <c r="L207" s="34" t="n"/>
      <c r="M207" s="34" t="n"/>
      <c r="N207" s="34" t="n"/>
      <c r="O207" s="38" t="inlineStr">
        <is>
          <t>Leave 1-2 reps in the tank; add weight when you hit the top of the range</t>
        </is>
      </c>
    </row>
    <row r="208">
      <c r="C208" t="inlineStr">
        <is>
          <t xml:space="preserve">      Set 1</t>
        </is>
      </c>
      <c r="E208" t="n">
        <v>8</v>
      </c>
      <c r="H208" s="39">
        <f>IF(H207="","",H207)</f>
        <v/>
      </c>
      <c r="I208" s="7">
        <f>IF(H207="","",H207)</f>
        <v/>
      </c>
      <c r="J208" s="7" t="n">
        <v>8</v>
      </c>
      <c r="K208" s="7" t="n"/>
      <c r="L208" s="40" t="n"/>
      <c r="M208">
        <f>IF(AND(L208&lt;&gt;"",N(I208)&gt;0,N(J208)&gt;0),IF(J208=1,I208,ROUND(I208*(1+J208/30),1)),"")</f>
        <v/>
      </c>
      <c r="N208" s="41">
        <f>IF(M208="","",IF(M208&gt;=PRs!C57,"PR!",""))</f>
        <v/>
      </c>
      <c r="O208" s="7" t="n"/>
    </row>
    <row r="209">
      <c r="C209" t="inlineStr">
        <is>
          <t xml:space="preserve">      Set 2</t>
        </is>
      </c>
      <c r="E209" t="n">
        <v>8</v>
      </c>
      <c r="H209" s="39">
        <f>IF(H207="","",H207)</f>
        <v/>
      </c>
      <c r="I209" s="7">
        <f>IF(H207="","",H207)</f>
        <v/>
      </c>
      <c r="J209" s="7" t="n">
        <v>8</v>
      </c>
      <c r="K209" s="7" t="n"/>
      <c r="L209" s="40" t="n"/>
      <c r="M209">
        <f>IF(AND(L209&lt;&gt;"",N(I209)&gt;0,N(J209)&gt;0),IF(J209=1,I209,ROUND(I209*(1+J209/30),1)),"")</f>
        <v/>
      </c>
      <c r="N209" s="41">
        <f>IF(M209="","",IF(M209&gt;=PRs!C57,"PR!",""))</f>
        <v/>
      </c>
      <c r="O209" s="7" t="n"/>
    </row>
    <row r="210">
      <c r="C210" t="inlineStr">
        <is>
          <t xml:space="preserve">      Set 3</t>
        </is>
      </c>
      <c r="E210" t="n">
        <v>8</v>
      </c>
      <c r="H210" s="39">
        <f>IF(H207="","",H207)</f>
        <v/>
      </c>
      <c r="I210" s="7">
        <f>IF(H207="","",H207)</f>
        <v/>
      </c>
      <c r="J210" s="7" t="n">
        <v>8</v>
      </c>
      <c r="K210" s="7" t="n"/>
      <c r="L210" s="40" t="n"/>
      <c r="M210">
        <f>IF(AND(L210&lt;&gt;"",N(I210)&gt;0,N(J210)&gt;0),IF(J210=1,I210,ROUND(I210*(1+J210/30),1)),"")</f>
        <v/>
      </c>
      <c r="N210" s="41">
        <f>IF(M210="","",IF(M210&gt;=PRs!C57,"PR!",""))</f>
        <v/>
      </c>
      <c r="O210" s="7" t="n"/>
    </row>
    <row r="211">
      <c r="C211" t="inlineStr">
        <is>
          <t xml:space="preserve">      Set 4</t>
        </is>
      </c>
      <c r="E211" t="n">
        <v>8</v>
      </c>
      <c r="H211" s="39">
        <f>IF(H207="","",H207)</f>
        <v/>
      </c>
      <c r="I211" s="7">
        <f>IF(H207="","",H207)</f>
        <v/>
      </c>
      <c r="J211" s="7" t="n">
        <v>8</v>
      </c>
      <c r="K211" s="7" t="n"/>
      <c r="L211" s="40" t="n"/>
      <c r="M211">
        <f>IF(AND(L211&lt;&gt;"",N(I211)&gt;0,N(J211)&gt;0),IF(J211=1,I211,ROUND(I211*(1+J211/30),1)),"")</f>
        <v/>
      </c>
      <c r="N211" s="41">
        <f>IF(M211="","",IF(M211&gt;=PRs!C57,"PR!",""))</f>
        <v/>
      </c>
      <c r="O211" s="7" t="n"/>
    </row>
    <row r="212">
      <c r="A212" s="34" t="n"/>
      <c r="B212" s="34" t="n"/>
      <c r="C212" s="43" t="inlineStr">
        <is>
          <t>Triceps Pushdown</t>
        </is>
      </c>
      <c r="D212" s="34" t="inlineStr">
        <is>
          <t>4 x 10-15</t>
        </is>
      </c>
      <c r="E212" s="34" t="n"/>
      <c r="F212" s="34" t="n"/>
      <c r="G212" s="36" t="n"/>
      <c r="H212" s="37" t="n"/>
      <c r="I212" s="34" t="n"/>
      <c r="J212" s="34" t="n"/>
      <c r="K212" s="34" t="n"/>
      <c r="L212" s="34" t="n"/>
      <c r="M212" s="34" t="n"/>
      <c r="N212" s="34" t="n"/>
      <c r="O212" s="38" t="inlineStr">
        <is>
          <t>Leave 1-2 reps in the tank; add weight when you hit the top of the range</t>
        </is>
      </c>
    </row>
    <row r="213">
      <c r="C213" t="inlineStr">
        <is>
          <t xml:space="preserve">      Set 1</t>
        </is>
      </c>
      <c r="E213" t="n">
        <v>10</v>
      </c>
      <c r="H213" s="39">
        <f>IF(H212="","",H212)</f>
        <v/>
      </c>
      <c r="I213" s="7">
        <f>IF(H212="","",H212)</f>
        <v/>
      </c>
      <c r="J213" s="7" t="n">
        <v>10</v>
      </c>
      <c r="K213" s="7" t="n"/>
      <c r="L213" s="40" t="n"/>
      <c r="M213">
        <f>IF(AND(L213&lt;&gt;"",N(I213)&gt;0,N(J213)&gt;0),IF(J213=1,I213,ROUND(I213*(1+J213/30),1)),"")</f>
        <v/>
      </c>
      <c r="N213" s="41">
        <f>IF(M213="","",IF(M213&gt;=PRs!C59,"PR!",""))</f>
        <v/>
      </c>
      <c r="O213" s="7" t="n"/>
    </row>
    <row r="214">
      <c r="C214" t="inlineStr">
        <is>
          <t xml:space="preserve">      Set 2</t>
        </is>
      </c>
      <c r="E214" t="n">
        <v>10</v>
      </c>
      <c r="H214" s="39">
        <f>IF(H212="","",H212)</f>
        <v/>
      </c>
      <c r="I214" s="7">
        <f>IF(H212="","",H212)</f>
        <v/>
      </c>
      <c r="J214" s="7" t="n">
        <v>10</v>
      </c>
      <c r="K214" s="7" t="n"/>
      <c r="L214" s="40" t="n"/>
      <c r="M214">
        <f>IF(AND(L214&lt;&gt;"",N(I214)&gt;0,N(J214)&gt;0),IF(J214=1,I214,ROUND(I214*(1+J214/30),1)),"")</f>
        <v/>
      </c>
      <c r="N214" s="41">
        <f>IF(M214="","",IF(M214&gt;=PRs!C59,"PR!",""))</f>
        <v/>
      </c>
      <c r="O214" s="7" t="n"/>
    </row>
    <row r="215">
      <c r="C215" t="inlineStr">
        <is>
          <t xml:space="preserve">      Set 3</t>
        </is>
      </c>
      <c r="E215" t="n">
        <v>10</v>
      </c>
      <c r="H215" s="39">
        <f>IF(H212="","",H212)</f>
        <v/>
      </c>
      <c r="I215" s="7">
        <f>IF(H212="","",H212)</f>
        <v/>
      </c>
      <c r="J215" s="7" t="n">
        <v>10</v>
      </c>
      <c r="K215" s="7" t="n"/>
      <c r="L215" s="40" t="n"/>
      <c r="M215">
        <f>IF(AND(L215&lt;&gt;"",N(I215)&gt;0,N(J215)&gt;0),IF(J215=1,I215,ROUND(I215*(1+J215/30),1)),"")</f>
        <v/>
      </c>
      <c r="N215" s="41">
        <f>IF(M215="","",IF(M215&gt;=PRs!C59,"PR!",""))</f>
        <v/>
      </c>
      <c r="O215" s="7" t="n"/>
    </row>
    <row r="216">
      <c r="C216" t="inlineStr">
        <is>
          <t xml:space="preserve">      Set 4</t>
        </is>
      </c>
      <c r="E216" t="n">
        <v>10</v>
      </c>
      <c r="H216" s="39">
        <f>IF(H212="","",H212)</f>
        <v/>
      </c>
      <c r="I216" s="7">
        <f>IF(H212="","",H212)</f>
        <v/>
      </c>
      <c r="J216" s="7" t="n">
        <v>10</v>
      </c>
      <c r="K216" s="7" t="n"/>
      <c r="L216" s="40" t="n"/>
      <c r="M216">
        <f>IF(AND(L216&lt;&gt;"",N(I216)&gt;0,N(J216)&gt;0),IF(J216=1,I216,ROUND(I216*(1+J216/30),1)),"")</f>
        <v/>
      </c>
      <c r="N216" s="41">
        <f>IF(M216="","",IF(M216&gt;=PRs!C59,"PR!",""))</f>
        <v/>
      </c>
      <c r="O216" s="7" t="n"/>
    </row>
    <row r="218">
      <c r="A218" s="45" t="inlineStr">
        <is>
          <t>WEEK 39 - CYCLE 4 - ACCUMULATION</t>
        </is>
      </c>
      <c r="B218" s="46" t="n"/>
      <c r="C218" s="46" t="n"/>
      <c r="D218" s="46" t="n"/>
      <c r="E218" s="46" t="n"/>
      <c r="F218" s="46" t="n"/>
      <c r="G218" s="46" t="n"/>
      <c r="H218" s="47" t="inlineStr">
        <is>
          <t>Bodyweight:</t>
        </is>
      </c>
      <c r="I218" s="7" t="n"/>
      <c r="J218" s="46" t="n"/>
      <c r="K218" s="46" t="n"/>
      <c r="L218" s="46" t="n"/>
      <c r="M218" s="46" t="n"/>
      <c r="N218" s="46" t="n"/>
      <c r="O218" s="46" t="n"/>
    </row>
    <row r="219">
      <c r="A219" s="31" t="inlineStr">
        <is>
          <t>Day 1 - Heavy</t>
        </is>
      </c>
      <c r="B219" s="32">
        <f>'Start Here'!$B$8+266</f>
        <v/>
      </c>
      <c r="C219" s="33" t="n"/>
      <c r="D219" s="33" t="n"/>
      <c r="E219" s="33" t="n"/>
      <c r="F219" s="33" t="n"/>
      <c r="G219" s="33" t="n"/>
      <c r="H219" s="33" t="n"/>
      <c r="I219" s="33" t="n"/>
      <c r="J219" s="33" t="n"/>
      <c r="K219" s="33" t="n"/>
      <c r="L219" s="33" t="n"/>
      <c r="M219" s="33" t="n"/>
      <c r="N219" s="33" t="n"/>
      <c r="O219" s="33" t="n"/>
    </row>
    <row r="220">
      <c r="A220" s="34" t="n"/>
      <c r="B220" s="34" t="n"/>
      <c r="C220" s="35" t="inlineStr">
        <is>
          <t>Box Jump</t>
        </is>
      </c>
      <c r="D220" s="34" t="inlineStr">
        <is>
          <t>4 x 3</t>
        </is>
      </c>
      <c r="E220" s="34" t="n"/>
      <c r="F220" s="34" t="n"/>
      <c r="G220" s="36" t="n"/>
      <c r="H220" s="37">
        <f>IF(N(Maxes!H69)&gt;0,Maxes!H69,'Start Here'!$G$16)</f>
        <v/>
      </c>
      <c r="I220" s="34" t="n"/>
      <c r="J220" s="34" t="n"/>
      <c r="K220" s="34" t="n"/>
      <c r="L220" s="34" t="n"/>
      <c r="M220" s="34" t="n"/>
      <c r="N220" s="34" t="n"/>
      <c r="O220" s="38" t="inlineStr">
        <is>
          <t>Two-foot jump onto a box, land soft in a quarter squat, STEP down. Log the box height (floor to top of box).</t>
        </is>
      </c>
    </row>
    <row r="221">
      <c r="C221" t="inlineStr">
        <is>
          <t xml:space="preserve">      Set 1</t>
        </is>
      </c>
      <c r="E221" t="n">
        <v>3</v>
      </c>
      <c r="H221" s="39">
        <f>IF(H220="","",H220)</f>
        <v/>
      </c>
      <c r="I221" s="7">
        <f>IF(H220="","",H220)</f>
        <v/>
      </c>
      <c r="J221" s="7" t="n">
        <v>3</v>
      </c>
      <c r="K221" s="7" t="n"/>
      <c r="L221" s="40" t="n"/>
      <c r="N221" s="41">
        <f>IF(AND(L221&lt;&gt;"",N(I221)&gt;0),IF(I221&gt;=PRs!D69,"PR!",""),"")</f>
        <v/>
      </c>
      <c r="O221" s="7" t="n"/>
    </row>
    <row r="222">
      <c r="C222" t="inlineStr">
        <is>
          <t xml:space="preserve">      Set 2</t>
        </is>
      </c>
      <c r="E222" t="n">
        <v>3</v>
      </c>
      <c r="H222" s="39">
        <f>IF(H220="","",H220)</f>
        <v/>
      </c>
      <c r="I222" s="7">
        <f>IF(H220="","",H220)</f>
        <v/>
      </c>
      <c r="J222" s="7" t="n">
        <v>3</v>
      </c>
      <c r="K222" s="7" t="n"/>
      <c r="L222" s="40" t="n"/>
      <c r="N222" s="41">
        <f>IF(AND(L222&lt;&gt;"",N(I222)&gt;0),IF(I222&gt;=PRs!D69,"PR!",""),"")</f>
        <v/>
      </c>
      <c r="O222" s="7" t="n"/>
    </row>
    <row r="223">
      <c r="C223" t="inlineStr">
        <is>
          <t xml:space="preserve">      Set 3</t>
        </is>
      </c>
      <c r="E223" t="n">
        <v>3</v>
      </c>
      <c r="H223" s="39">
        <f>IF(H220="","",H220)</f>
        <v/>
      </c>
      <c r="I223" s="7">
        <f>IF(H220="","",H220)</f>
        <v/>
      </c>
      <c r="J223" s="7" t="n">
        <v>3</v>
      </c>
      <c r="K223" s="7" t="n"/>
      <c r="L223" s="40" t="n"/>
      <c r="N223" s="41">
        <f>IF(AND(L223&lt;&gt;"",N(I223)&gt;0),IF(I223&gt;=PRs!D69,"PR!",""),"")</f>
        <v/>
      </c>
      <c r="O223" s="7" t="n"/>
    </row>
    <row r="224">
      <c r="C224" t="inlineStr">
        <is>
          <t xml:space="preserve">      Set 4</t>
        </is>
      </c>
      <c r="E224" t="n">
        <v>3</v>
      </c>
      <c r="H224" s="39">
        <f>IF(H220="","",H220)</f>
        <v/>
      </c>
      <c r="I224" s="7">
        <f>IF(H220="","",H220)</f>
        <v/>
      </c>
      <c r="J224" s="7" t="n">
        <v>3</v>
      </c>
      <c r="K224" s="7" t="n"/>
      <c r="L224" s="40" t="n"/>
      <c r="N224" s="41">
        <f>IF(AND(L224&lt;&gt;"",N(I224)&gt;0),IF(I224&gt;=PRs!D69,"PR!",""),"")</f>
        <v/>
      </c>
      <c r="O224" s="7" t="n"/>
    </row>
    <row r="225">
      <c r="A225" s="34" t="n"/>
      <c r="B225" s="34" t="n"/>
      <c r="C225" s="42" t="inlineStr">
        <is>
          <t>Snatch</t>
        </is>
      </c>
      <c r="D225" s="34" t="inlineStr">
        <is>
          <t>4 x 3</t>
        </is>
      </c>
      <c r="E225" s="34" t="n"/>
      <c r="F225" s="34" t="n">
        <v>75</v>
      </c>
      <c r="G225" s="36">
        <f>Maxes!H6</f>
        <v/>
      </c>
      <c r="H225" s="37">
        <f>IF(OR(G225="",F225=""),"",MROUND(G225*F225/100,'Start Here'!$B$7))</f>
        <v/>
      </c>
      <c r="I225" s="34" t="n"/>
      <c r="J225" s="34" t="n"/>
      <c r="K225" s="34" t="n"/>
      <c r="L225" s="34" t="n"/>
      <c r="M225" s="34" t="n"/>
      <c r="N225" s="34" t="n"/>
      <c r="O225" s="38" t="inlineStr"/>
    </row>
    <row r="226">
      <c r="C226" t="inlineStr">
        <is>
          <t xml:space="preserve">      Set 1</t>
        </is>
      </c>
      <c r="E226" t="n">
        <v>3</v>
      </c>
      <c r="H226" s="39">
        <f>IF(H225="","",H225)</f>
        <v/>
      </c>
      <c r="I226" s="7">
        <f>IF(H225="","",H225)</f>
        <v/>
      </c>
      <c r="J226" s="7" t="n">
        <v>3</v>
      </c>
      <c r="K226" s="7" t="n"/>
      <c r="L226" s="40" t="n"/>
      <c r="M226">
        <f>IF(AND(L226&lt;&gt;"",N(I226)&gt;0,N(J226)&gt;0),IF(J226=1,I226,ROUND(I226*(1+J226/30),1)),"")</f>
        <v/>
      </c>
      <c r="N226" s="41">
        <f>IF(M226="","",IF(M226&gt;=PRs!C6,"PR!",""))</f>
        <v/>
      </c>
      <c r="O226" s="7" t="n"/>
    </row>
    <row r="227">
      <c r="C227" t="inlineStr">
        <is>
          <t xml:space="preserve">      Set 2</t>
        </is>
      </c>
      <c r="E227" t="n">
        <v>3</v>
      </c>
      <c r="H227" s="39">
        <f>IF(H225="","",H225)</f>
        <v/>
      </c>
      <c r="I227" s="7">
        <f>IF(H225="","",H225)</f>
        <v/>
      </c>
      <c r="J227" s="7" t="n">
        <v>3</v>
      </c>
      <c r="K227" s="7" t="n"/>
      <c r="L227" s="40" t="n"/>
      <c r="M227">
        <f>IF(AND(L227&lt;&gt;"",N(I227)&gt;0,N(J227)&gt;0),IF(J227=1,I227,ROUND(I227*(1+J227/30),1)),"")</f>
        <v/>
      </c>
      <c r="N227" s="41">
        <f>IF(M227="","",IF(M227&gt;=PRs!C6,"PR!",""))</f>
        <v/>
      </c>
      <c r="O227" s="7" t="n"/>
    </row>
    <row r="228">
      <c r="C228" t="inlineStr">
        <is>
          <t xml:space="preserve">      Set 3</t>
        </is>
      </c>
      <c r="E228" t="n">
        <v>3</v>
      </c>
      <c r="H228" s="39">
        <f>IF(H225="","",H225)</f>
        <v/>
      </c>
      <c r="I228" s="7">
        <f>IF(H225="","",H225)</f>
        <v/>
      </c>
      <c r="J228" s="7" t="n">
        <v>3</v>
      </c>
      <c r="K228" s="7" t="n"/>
      <c r="L228" s="40" t="n"/>
      <c r="M228">
        <f>IF(AND(L228&lt;&gt;"",N(I228)&gt;0,N(J228)&gt;0),IF(J228=1,I228,ROUND(I228*(1+J228/30),1)),"")</f>
        <v/>
      </c>
      <c r="N228" s="41">
        <f>IF(M228="","",IF(M228&gt;=PRs!C6,"PR!",""))</f>
        <v/>
      </c>
      <c r="O228" s="7" t="n"/>
    </row>
    <row r="229">
      <c r="C229" t="inlineStr">
        <is>
          <t xml:space="preserve">      Set 4</t>
        </is>
      </c>
      <c r="E229" t="n">
        <v>3</v>
      </c>
      <c r="H229" s="39">
        <f>IF(H225="","",H225)</f>
        <v/>
      </c>
      <c r="I229" s="7">
        <f>IF(H225="","",H225)</f>
        <v/>
      </c>
      <c r="J229" s="7" t="n">
        <v>3</v>
      </c>
      <c r="K229" s="7" t="n"/>
      <c r="L229" s="40" t="n"/>
      <c r="M229">
        <f>IF(AND(L229&lt;&gt;"",N(I229)&gt;0,N(J229)&gt;0),IF(J229=1,I229,ROUND(I229*(1+J229/30),1)),"")</f>
        <v/>
      </c>
      <c r="N229" s="41">
        <f>IF(M229="","",IF(M229&gt;=PRs!C6,"PR!",""))</f>
        <v/>
      </c>
      <c r="O229" s="7" t="n"/>
    </row>
    <row r="230">
      <c r="A230" s="34" t="n"/>
      <c r="B230" s="34" t="n"/>
      <c r="C230" s="42" t="inlineStr">
        <is>
          <t>Squat</t>
        </is>
      </c>
      <c r="D230" s="34" t="inlineStr">
        <is>
          <t>3 x 6</t>
        </is>
      </c>
      <c r="E230" s="34" t="n"/>
      <c r="F230" s="34" t="n">
        <v>75</v>
      </c>
      <c r="G230" s="36">
        <f>Maxes!H2</f>
        <v/>
      </c>
      <c r="H230" s="37">
        <f>IF(OR(G230="",F230=""),"",MROUND(G230*F230/100,'Start Here'!$B$7))</f>
        <v/>
      </c>
      <c r="I230" s="34" t="n"/>
      <c r="J230" s="34" t="n"/>
      <c r="K230" s="34" t="n"/>
      <c r="L230" s="34" t="n"/>
      <c r="M230" s="34" t="n"/>
      <c r="N230" s="34" t="n"/>
      <c r="O230" s="38" t="inlineStr"/>
    </row>
    <row r="231">
      <c r="C231" t="inlineStr">
        <is>
          <t xml:space="preserve">      Set 1</t>
        </is>
      </c>
      <c r="E231" t="n">
        <v>6</v>
      </c>
      <c r="H231" s="39">
        <f>IF(H230="","",H230)</f>
        <v/>
      </c>
      <c r="I231" s="7">
        <f>IF(H230="","",H230)</f>
        <v/>
      </c>
      <c r="J231" s="7" t="n">
        <v>6</v>
      </c>
      <c r="K231" s="7" t="n"/>
      <c r="L231" s="40" t="n"/>
      <c r="M231">
        <f>IF(AND(L231&lt;&gt;"",N(I231)&gt;0,N(J231)&gt;0),IF(J231=1,I231,ROUND(I231*(1+J231/30),1)),"")</f>
        <v/>
      </c>
      <c r="N231" s="41">
        <f>IF(M231="","",IF(M231&gt;=PRs!C2,"PR!",""))</f>
        <v/>
      </c>
      <c r="O231" s="7" t="n"/>
    </row>
    <row r="232">
      <c r="C232" t="inlineStr">
        <is>
          <t xml:space="preserve">      Set 2</t>
        </is>
      </c>
      <c r="E232" t="n">
        <v>6</v>
      </c>
      <c r="H232" s="39">
        <f>IF(H230="","",H230)</f>
        <v/>
      </c>
      <c r="I232" s="7">
        <f>IF(H230="","",H230)</f>
        <v/>
      </c>
      <c r="J232" s="7" t="n">
        <v>6</v>
      </c>
      <c r="K232" s="7" t="n"/>
      <c r="L232" s="40" t="n"/>
      <c r="M232">
        <f>IF(AND(L232&lt;&gt;"",N(I232)&gt;0,N(J232)&gt;0),IF(J232=1,I232,ROUND(I232*(1+J232/30),1)),"")</f>
        <v/>
      </c>
      <c r="N232" s="41">
        <f>IF(M232="","",IF(M232&gt;=PRs!C2,"PR!",""))</f>
        <v/>
      </c>
      <c r="O232" s="7" t="n"/>
    </row>
    <row r="233">
      <c r="C233" t="inlineStr">
        <is>
          <t xml:space="preserve">      Set 3</t>
        </is>
      </c>
      <c r="E233" t="n">
        <v>6</v>
      </c>
      <c r="H233" s="39">
        <f>IF(H230="","",H230)</f>
        <v/>
      </c>
      <c r="I233" s="7">
        <f>IF(H230="","",H230)</f>
        <v/>
      </c>
      <c r="J233" s="7" t="n">
        <v>6</v>
      </c>
      <c r="K233" s="7" t="n"/>
      <c r="L233" s="40" t="n"/>
      <c r="M233">
        <f>IF(AND(L233&lt;&gt;"",N(I233)&gt;0,N(J233)&gt;0),IF(J233=1,I233,ROUND(I233*(1+J233/30),1)),"")</f>
        <v/>
      </c>
      <c r="N233" s="41">
        <f>IF(M233="","",IF(M233&gt;=PRs!C2,"PR!",""))</f>
        <v/>
      </c>
      <c r="O233" s="7" t="n"/>
    </row>
    <row r="234">
      <c r="A234" s="34" t="n"/>
      <c r="B234" s="34" t="n"/>
      <c r="C234" s="42" t="inlineStr">
        <is>
          <t>Bench Press</t>
        </is>
      </c>
      <c r="D234" s="34" t="inlineStr">
        <is>
          <t>3 x 6</t>
        </is>
      </c>
      <c r="E234" s="34" t="n"/>
      <c r="F234" s="34" t="n">
        <v>75</v>
      </c>
      <c r="G234" s="36">
        <f>Maxes!H3</f>
        <v/>
      </c>
      <c r="H234" s="37">
        <f>IF(OR(G234="",F234=""),"",MROUND(G234*F234/100,'Start Here'!$B$7))</f>
        <v/>
      </c>
      <c r="I234" s="34" t="n"/>
      <c r="J234" s="34" t="n"/>
      <c r="K234" s="34" t="n"/>
      <c r="L234" s="34" t="n"/>
      <c r="M234" s="34" t="n"/>
      <c r="N234" s="34" t="n"/>
      <c r="O234" s="38" t="inlineStr"/>
    </row>
    <row r="235">
      <c r="C235" t="inlineStr">
        <is>
          <t xml:space="preserve">      Set 1</t>
        </is>
      </c>
      <c r="E235" t="n">
        <v>6</v>
      </c>
      <c r="H235" s="39">
        <f>IF(H234="","",H234)</f>
        <v/>
      </c>
      <c r="I235" s="7">
        <f>IF(H234="","",H234)</f>
        <v/>
      </c>
      <c r="J235" s="7" t="n">
        <v>6</v>
      </c>
      <c r="K235" s="7" t="n"/>
      <c r="L235" s="40" t="n"/>
      <c r="M235">
        <f>IF(AND(L235&lt;&gt;"",N(I235)&gt;0,N(J235)&gt;0),IF(J235=1,I235,ROUND(I235*(1+J235/30),1)),"")</f>
        <v/>
      </c>
      <c r="N235" s="41">
        <f>IF(M235="","",IF(M235&gt;=PRs!C3,"PR!",""))</f>
        <v/>
      </c>
      <c r="O235" s="7" t="n"/>
    </row>
    <row r="236">
      <c r="C236" t="inlineStr">
        <is>
          <t xml:space="preserve">      Set 2</t>
        </is>
      </c>
      <c r="E236" t="n">
        <v>6</v>
      </c>
      <c r="H236" s="39">
        <f>IF(H234="","",H234)</f>
        <v/>
      </c>
      <c r="I236" s="7">
        <f>IF(H234="","",H234)</f>
        <v/>
      </c>
      <c r="J236" s="7" t="n">
        <v>6</v>
      </c>
      <c r="K236" s="7" t="n"/>
      <c r="L236" s="40" t="n"/>
      <c r="M236">
        <f>IF(AND(L236&lt;&gt;"",N(I236)&gt;0,N(J236)&gt;0),IF(J236=1,I236,ROUND(I236*(1+J236/30),1)),"")</f>
        <v/>
      </c>
      <c r="N236" s="41">
        <f>IF(M236="","",IF(M236&gt;=PRs!C3,"PR!",""))</f>
        <v/>
      </c>
      <c r="O236" s="7" t="n"/>
    </row>
    <row r="237">
      <c r="C237" t="inlineStr">
        <is>
          <t xml:space="preserve">      Set 3</t>
        </is>
      </c>
      <c r="E237" t="n">
        <v>6</v>
      </c>
      <c r="H237" s="39">
        <f>IF(H234="","",H234)</f>
        <v/>
      </c>
      <c r="I237" s="7">
        <f>IF(H234="","",H234)</f>
        <v/>
      </c>
      <c r="J237" s="7" t="n">
        <v>6</v>
      </c>
      <c r="K237" s="7" t="n"/>
      <c r="L237" s="40" t="n"/>
      <c r="M237">
        <f>IF(AND(L237&lt;&gt;"",N(I237)&gt;0,N(J237)&gt;0),IF(J237=1,I237,ROUND(I237*(1+J237/30),1)),"")</f>
        <v/>
      </c>
      <c r="N237" s="41">
        <f>IF(M237="","",IF(M237&gt;=PRs!C3,"PR!",""))</f>
        <v/>
      </c>
      <c r="O237" s="7" t="n"/>
    </row>
    <row r="238">
      <c r="A238" s="34" t="n"/>
      <c r="B238" s="34" t="n"/>
      <c r="C238" s="43" t="inlineStr">
        <is>
          <t>Barbell Row</t>
        </is>
      </c>
      <c r="D238" s="34" t="inlineStr">
        <is>
          <t>4 x 8-10</t>
        </is>
      </c>
      <c r="E238" s="34" t="n"/>
      <c r="F238" s="34" t="n"/>
      <c r="G238" s="36" t="n"/>
      <c r="H238" s="37" t="n"/>
      <c r="I238" s="34" t="n"/>
      <c r="J238" s="34" t="n"/>
      <c r="K238" s="34" t="n"/>
      <c r="L238" s="34" t="n"/>
      <c r="M238" s="34" t="n"/>
      <c r="N238" s="34" t="n"/>
      <c r="O238" s="38" t="inlineStr">
        <is>
          <t>Leave 1-2 reps in the tank; add weight when you hit the top of the range</t>
        </is>
      </c>
    </row>
    <row r="239">
      <c r="C239" t="inlineStr">
        <is>
          <t xml:space="preserve">      Set 1</t>
        </is>
      </c>
      <c r="E239" t="n">
        <v>8</v>
      </c>
      <c r="H239" s="39">
        <f>IF(H238="","",H238)</f>
        <v/>
      </c>
      <c r="I239" s="7">
        <f>IF(H238="","",H238)</f>
        <v/>
      </c>
      <c r="J239" s="7" t="n">
        <v>8</v>
      </c>
      <c r="K239" s="7" t="n"/>
      <c r="L239" s="40" t="n"/>
      <c r="M239">
        <f>IF(AND(L239&lt;&gt;"",N(I239)&gt;0,N(J239)&gt;0),IF(J239=1,I239,ROUND(I239*(1+J239/30),1)),"")</f>
        <v/>
      </c>
      <c r="N239" s="41">
        <f>IF(M239="","",IF(M239&gt;=PRs!C50,"PR!",""))</f>
        <v/>
      </c>
      <c r="O239" s="7" t="n"/>
    </row>
    <row r="240">
      <c r="C240" t="inlineStr">
        <is>
          <t xml:space="preserve">      Set 2</t>
        </is>
      </c>
      <c r="E240" t="n">
        <v>8</v>
      </c>
      <c r="H240" s="39">
        <f>IF(H238="","",H238)</f>
        <v/>
      </c>
      <c r="I240" s="7">
        <f>IF(H238="","",H238)</f>
        <v/>
      </c>
      <c r="J240" s="7" t="n">
        <v>8</v>
      </c>
      <c r="K240" s="7" t="n"/>
      <c r="L240" s="40" t="n"/>
      <c r="M240">
        <f>IF(AND(L240&lt;&gt;"",N(I240)&gt;0,N(J240)&gt;0),IF(J240=1,I240,ROUND(I240*(1+J240/30),1)),"")</f>
        <v/>
      </c>
      <c r="N240" s="41">
        <f>IF(M240="","",IF(M240&gt;=PRs!C50,"PR!",""))</f>
        <v/>
      </c>
      <c r="O240" s="7" t="n"/>
    </row>
    <row r="241">
      <c r="C241" t="inlineStr">
        <is>
          <t xml:space="preserve">      Set 3</t>
        </is>
      </c>
      <c r="E241" t="n">
        <v>8</v>
      </c>
      <c r="H241" s="39">
        <f>IF(H238="","",H238)</f>
        <v/>
      </c>
      <c r="I241" s="7">
        <f>IF(H238="","",H238)</f>
        <v/>
      </c>
      <c r="J241" s="7" t="n">
        <v>8</v>
      </c>
      <c r="K241" s="7" t="n"/>
      <c r="L241" s="40" t="n"/>
      <c r="M241">
        <f>IF(AND(L241&lt;&gt;"",N(I241)&gt;0,N(J241)&gt;0),IF(J241=1,I241,ROUND(I241*(1+J241/30),1)),"")</f>
        <v/>
      </c>
      <c r="N241" s="41">
        <f>IF(M241="","",IF(M241&gt;=PRs!C50,"PR!",""))</f>
        <v/>
      </c>
      <c r="O241" s="7" t="n"/>
    </row>
    <row r="242">
      <c r="C242" t="inlineStr">
        <is>
          <t xml:space="preserve">      Set 4</t>
        </is>
      </c>
      <c r="E242" t="n">
        <v>8</v>
      </c>
      <c r="H242" s="39">
        <f>IF(H238="","",H238)</f>
        <v/>
      </c>
      <c r="I242" s="7">
        <f>IF(H238="","",H238)</f>
        <v/>
      </c>
      <c r="J242" s="7" t="n">
        <v>8</v>
      </c>
      <c r="K242" s="7" t="n"/>
      <c r="L242" s="40" t="n"/>
      <c r="M242">
        <f>IF(AND(L242&lt;&gt;"",N(I242)&gt;0,N(J242)&gt;0),IF(J242=1,I242,ROUND(I242*(1+J242/30),1)),"")</f>
        <v/>
      </c>
      <c r="N242" s="41">
        <f>IF(M242="","",IF(M242&gt;=PRs!C50,"PR!",""))</f>
        <v/>
      </c>
      <c r="O242" s="7" t="n"/>
    </row>
    <row r="243">
      <c r="A243" s="34" t="n"/>
      <c r="B243" s="34" t="n"/>
      <c r="C243" s="43" t="inlineStr">
        <is>
          <t>Face Pull</t>
        </is>
      </c>
      <c r="D243" s="34" t="inlineStr">
        <is>
          <t>4 x 12-15</t>
        </is>
      </c>
      <c r="E243" s="34" t="n"/>
      <c r="F243" s="34" t="n"/>
      <c r="G243" s="36" t="n"/>
      <c r="H243" s="37" t="n"/>
      <c r="I243" s="34" t="n"/>
      <c r="J243" s="34" t="n"/>
      <c r="K243" s="34" t="n"/>
      <c r="L243" s="34" t="n"/>
      <c r="M243" s="34" t="n"/>
      <c r="N243" s="34" t="n"/>
      <c r="O243" s="38" t="inlineStr">
        <is>
          <t>Leave 1-2 reps in the tank; add weight when you hit the top of the range</t>
        </is>
      </c>
    </row>
    <row r="244">
      <c r="C244" t="inlineStr">
        <is>
          <t xml:space="preserve">      Set 1</t>
        </is>
      </c>
      <c r="E244" t="n">
        <v>12</v>
      </c>
      <c r="H244" s="39">
        <f>IF(H243="","",H243)</f>
        <v/>
      </c>
      <c r="I244" s="7">
        <f>IF(H243="","",H243)</f>
        <v/>
      </c>
      <c r="J244" s="7" t="n">
        <v>12</v>
      </c>
      <c r="K244" s="7" t="n"/>
      <c r="L244" s="40" t="n"/>
      <c r="M244">
        <f>IF(AND(L244&lt;&gt;"",N(I244)&gt;0,N(J244)&gt;0),IF(J244=1,I244,ROUND(I244*(1+J244/30),1)),"")</f>
        <v/>
      </c>
      <c r="N244" s="41">
        <f>IF(M244="","",IF(M244&gt;=PRs!C51,"PR!",""))</f>
        <v/>
      </c>
      <c r="O244" s="7" t="n"/>
    </row>
    <row r="245">
      <c r="C245" t="inlineStr">
        <is>
          <t xml:space="preserve">      Set 2</t>
        </is>
      </c>
      <c r="E245" t="n">
        <v>12</v>
      </c>
      <c r="H245" s="39">
        <f>IF(H243="","",H243)</f>
        <v/>
      </c>
      <c r="I245" s="7">
        <f>IF(H243="","",H243)</f>
        <v/>
      </c>
      <c r="J245" s="7" t="n">
        <v>12</v>
      </c>
      <c r="K245" s="7" t="n"/>
      <c r="L245" s="40" t="n"/>
      <c r="M245">
        <f>IF(AND(L245&lt;&gt;"",N(I245)&gt;0,N(J245)&gt;0),IF(J245=1,I245,ROUND(I245*(1+J245/30),1)),"")</f>
        <v/>
      </c>
      <c r="N245" s="41">
        <f>IF(M245="","",IF(M245&gt;=PRs!C51,"PR!",""))</f>
        <v/>
      </c>
      <c r="O245" s="7" t="n"/>
    </row>
    <row r="246">
      <c r="C246" t="inlineStr">
        <is>
          <t xml:space="preserve">      Set 3</t>
        </is>
      </c>
      <c r="E246" t="n">
        <v>12</v>
      </c>
      <c r="H246" s="39">
        <f>IF(H243="","",H243)</f>
        <v/>
      </c>
      <c r="I246" s="7">
        <f>IF(H243="","",H243)</f>
        <v/>
      </c>
      <c r="J246" s="7" t="n">
        <v>12</v>
      </c>
      <c r="K246" s="7" t="n"/>
      <c r="L246" s="40" t="n"/>
      <c r="M246">
        <f>IF(AND(L246&lt;&gt;"",N(I246)&gt;0,N(J246)&gt;0),IF(J246=1,I246,ROUND(I246*(1+J246/30),1)),"")</f>
        <v/>
      </c>
      <c r="N246" s="41">
        <f>IF(M246="","",IF(M246&gt;=PRs!C51,"PR!",""))</f>
        <v/>
      </c>
      <c r="O246" s="7" t="n"/>
    </row>
    <row r="247">
      <c r="C247" t="inlineStr">
        <is>
          <t xml:space="preserve">      Set 4</t>
        </is>
      </c>
      <c r="E247" t="n">
        <v>12</v>
      </c>
      <c r="H247" s="39">
        <f>IF(H243="","",H243)</f>
        <v/>
      </c>
      <c r="I247" s="7">
        <f>IF(H243="","",H243)</f>
        <v/>
      </c>
      <c r="J247" s="7" t="n">
        <v>12</v>
      </c>
      <c r="K247" s="7" t="n"/>
      <c r="L247" s="40" t="n"/>
      <c r="M247">
        <f>IF(AND(L247&lt;&gt;"",N(I247)&gt;0,N(J247)&gt;0),IF(J247=1,I247,ROUND(I247*(1+J247/30),1)),"")</f>
        <v/>
      </c>
      <c r="N247" s="41">
        <f>IF(M247="","",IF(M247&gt;=PRs!C51,"PR!",""))</f>
        <v/>
      </c>
      <c r="O247" s="7" t="n"/>
    </row>
    <row r="248">
      <c r="A248" s="31" t="inlineStr">
        <is>
          <t>Day 2 - Light</t>
        </is>
      </c>
      <c r="B248" s="32">
        <f>'Start Here'!$B$8+268</f>
        <v/>
      </c>
      <c r="C248" s="33" t="n"/>
      <c r="D248" s="33" t="n"/>
      <c r="E248" s="33" t="n"/>
      <c r="F248" s="33" t="n"/>
      <c r="G248" s="33" t="n"/>
      <c r="H248" s="33" t="n"/>
      <c r="I248" s="33" t="n"/>
      <c r="J248" s="33" t="n"/>
      <c r="K248" s="33" t="n"/>
      <c r="L248" s="33" t="n"/>
      <c r="M248" s="33" t="n"/>
      <c r="N248" s="33" t="n"/>
      <c r="O248" s="33" t="n"/>
    </row>
    <row r="249">
      <c r="A249" s="34" t="n"/>
      <c r="B249" s="34" t="n"/>
      <c r="C249" s="35" t="inlineStr">
        <is>
          <t>Broad Jump</t>
        </is>
      </c>
      <c r="D249" s="34" t="inlineStr">
        <is>
          <t>4 x 3</t>
        </is>
      </c>
      <c r="E249" s="34" t="n"/>
      <c r="F249" s="34" t="n"/>
      <c r="G249" s="36" t="n"/>
      <c r="H249" s="37">
        <f>IF(N(Maxes!H70)&gt;0,Maxes!H70,"")</f>
        <v/>
      </c>
      <c r="I249" s="34" t="n"/>
      <c r="J249" s="34" t="n"/>
      <c r="K249" s="34" t="n"/>
      <c r="L249" s="34" t="n"/>
      <c r="M249" s="34" t="n"/>
      <c r="N249" s="34" t="n"/>
      <c r="O249" s="38" t="inlineStr">
        <is>
          <t>Standing two-foot jump forward, stick the landing. Measure toe line to the back of the nearest heel.</t>
        </is>
      </c>
    </row>
    <row r="250">
      <c r="C250" t="inlineStr">
        <is>
          <t xml:space="preserve">      Set 1</t>
        </is>
      </c>
      <c r="E250" t="n">
        <v>3</v>
      </c>
      <c r="H250" s="39">
        <f>IF(H249="","",H249)</f>
        <v/>
      </c>
      <c r="I250" s="7">
        <f>IF(H249="","",H249)</f>
        <v/>
      </c>
      <c r="J250" s="7" t="n">
        <v>3</v>
      </c>
      <c r="K250" s="7" t="n"/>
      <c r="L250" s="40" t="n"/>
      <c r="N250" s="41">
        <f>IF(AND(L250&lt;&gt;"",N(I250)&gt;0),IF(I250&gt;=PRs!D70,"PR!",""),"")</f>
        <v/>
      </c>
      <c r="O250" s="7" t="n"/>
    </row>
    <row r="251">
      <c r="C251" t="inlineStr">
        <is>
          <t xml:space="preserve">      Set 2</t>
        </is>
      </c>
      <c r="E251" t="n">
        <v>3</v>
      </c>
      <c r="H251" s="39">
        <f>IF(H249="","",H249)</f>
        <v/>
      </c>
      <c r="I251" s="7">
        <f>IF(H249="","",H249)</f>
        <v/>
      </c>
      <c r="J251" s="7" t="n">
        <v>3</v>
      </c>
      <c r="K251" s="7" t="n"/>
      <c r="L251" s="40" t="n"/>
      <c r="N251" s="41">
        <f>IF(AND(L251&lt;&gt;"",N(I251)&gt;0),IF(I251&gt;=PRs!D70,"PR!",""),"")</f>
        <v/>
      </c>
      <c r="O251" s="7" t="n"/>
    </row>
    <row r="252">
      <c r="C252" t="inlineStr">
        <is>
          <t xml:space="preserve">      Set 3</t>
        </is>
      </c>
      <c r="E252" t="n">
        <v>3</v>
      </c>
      <c r="H252" s="39">
        <f>IF(H249="","",H249)</f>
        <v/>
      </c>
      <c r="I252" s="7">
        <f>IF(H249="","",H249)</f>
        <v/>
      </c>
      <c r="J252" s="7" t="n">
        <v>3</v>
      </c>
      <c r="K252" s="7" t="n"/>
      <c r="L252" s="40" t="n"/>
      <c r="N252" s="41">
        <f>IF(AND(L252&lt;&gt;"",N(I252)&gt;0),IF(I252&gt;=PRs!D70,"PR!",""),"")</f>
        <v/>
      </c>
      <c r="O252" s="7" t="n"/>
    </row>
    <row r="253">
      <c r="C253" t="inlineStr">
        <is>
          <t xml:space="preserve">      Set 4</t>
        </is>
      </c>
      <c r="E253" t="n">
        <v>3</v>
      </c>
      <c r="H253" s="39">
        <f>IF(H249="","",H249)</f>
        <v/>
      </c>
      <c r="I253" s="7">
        <f>IF(H249="","",H249)</f>
        <v/>
      </c>
      <c r="J253" s="7" t="n">
        <v>3</v>
      </c>
      <c r="K253" s="7" t="n"/>
      <c r="L253" s="40" t="n"/>
      <c r="N253" s="41">
        <f>IF(AND(L253&lt;&gt;"",N(I253)&gt;0),IF(I253&gt;=PRs!D70,"PR!",""),"")</f>
        <v/>
      </c>
      <c r="O253" s="7" t="n"/>
    </row>
    <row r="254">
      <c r="A254" s="34" t="n"/>
      <c r="B254" s="34" t="n"/>
      <c r="C254" s="35" t="inlineStr">
        <is>
          <t>Med Ball Chest Pass</t>
        </is>
      </c>
      <c r="D254" s="34" t="inlineStr">
        <is>
          <t>3 x 5</t>
        </is>
      </c>
      <c r="E254" s="34" t="n"/>
      <c r="F254" s="34" t="n"/>
      <c r="G254" s="36" t="n"/>
      <c r="H254" s="37">
        <f>IF(N(Maxes!H77)&gt;0,Maxes!H77,"")</f>
        <v/>
      </c>
      <c r="I254" s="34" t="n"/>
      <c r="J254" s="34" t="n"/>
      <c r="K254" s="34" t="n"/>
      <c r="L254" s="34" t="n"/>
      <c r="M254" s="34" t="n"/>
      <c r="N254" s="34" t="n"/>
      <c r="O254" s="38" t="inlineStr">
        <is>
          <t>Kneeling or standing chest pass for distance with a 6-10 lb / 3-5 kg ball. Log the distance.</t>
        </is>
      </c>
    </row>
    <row r="255">
      <c r="C255" t="inlineStr">
        <is>
          <t xml:space="preserve">      Set 1</t>
        </is>
      </c>
      <c r="E255" t="n">
        <v>5</v>
      </c>
      <c r="H255" s="39">
        <f>IF(H254="","",H254)</f>
        <v/>
      </c>
      <c r="I255" s="7">
        <f>IF(H254="","",H254)</f>
        <v/>
      </c>
      <c r="J255" s="7" t="n">
        <v>5</v>
      </c>
      <c r="K255" s="7" t="n"/>
      <c r="L255" s="40" t="n"/>
      <c r="N255" s="41">
        <f>IF(AND(L255&lt;&gt;"",N(I255)&gt;0),IF(I255&gt;=PRs!D77,"PR!",""),"")</f>
        <v/>
      </c>
      <c r="O255" s="7" t="n"/>
    </row>
    <row r="256">
      <c r="C256" t="inlineStr">
        <is>
          <t xml:space="preserve">      Set 2</t>
        </is>
      </c>
      <c r="E256" t="n">
        <v>5</v>
      </c>
      <c r="H256" s="39">
        <f>IF(H254="","",H254)</f>
        <v/>
      </c>
      <c r="I256" s="7">
        <f>IF(H254="","",H254)</f>
        <v/>
      </c>
      <c r="J256" s="7" t="n">
        <v>5</v>
      </c>
      <c r="K256" s="7" t="n"/>
      <c r="L256" s="40" t="n"/>
      <c r="N256" s="41">
        <f>IF(AND(L256&lt;&gt;"",N(I256)&gt;0),IF(I256&gt;=PRs!D77,"PR!",""),"")</f>
        <v/>
      </c>
      <c r="O256" s="7" t="n"/>
    </row>
    <row r="257">
      <c r="C257" t="inlineStr">
        <is>
          <t xml:space="preserve">      Set 3</t>
        </is>
      </c>
      <c r="E257" t="n">
        <v>5</v>
      </c>
      <c r="H257" s="39">
        <f>IF(H254="","",H254)</f>
        <v/>
      </c>
      <c r="I257" s="7">
        <f>IF(H254="","",H254)</f>
        <v/>
      </c>
      <c r="J257" s="7" t="n">
        <v>5</v>
      </c>
      <c r="K257" s="7" t="n"/>
      <c r="L257" s="40" t="n"/>
      <c r="N257" s="41">
        <f>IF(AND(L257&lt;&gt;"",N(I257)&gt;0),IF(I257&gt;=PRs!D77,"PR!",""),"")</f>
        <v/>
      </c>
      <c r="O257" s="7" t="n"/>
    </row>
    <row r="258">
      <c r="A258" s="34" t="n"/>
      <c r="B258" s="34" t="n"/>
      <c r="C258" s="42" t="inlineStr">
        <is>
          <t>Clean &amp; Jerk</t>
        </is>
      </c>
      <c r="D258" s="34" t="inlineStr">
        <is>
          <t>4 x 3</t>
        </is>
      </c>
      <c r="E258" s="34" t="n"/>
      <c r="F258" s="34" t="n">
        <v>75</v>
      </c>
      <c r="G258" s="36">
        <f>Maxes!H7</f>
        <v/>
      </c>
      <c r="H258" s="37">
        <f>IF(OR(G258="",F258=""),"",MROUND(G258*F258/100,'Start Here'!$B$7))</f>
        <v/>
      </c>
      <c r="I258" s="34" t="n"/>
      <c r="J258" s="34" t="n"/>
      <c r="K258" s="34" t="n"/>
      <c r="L258" s="34" t="n"/>
      <c r="M258" s="34" t="n"/>
      <c r="N258" s="34" t="n"/>
      <c r="O258" s="38" t="inlineStr"/>
    </row>
    <row r="259">
      <c r="C259" t="inlineStr">
        <is>
          <t xml:space="preserve">      Set 1</t>
        </is>
      </c>
      <c r="E259" t="n">
        <v>3</v>
      </c>
      <c r="H259" s="39">
        <f>IF(H258="","",H258)</f>
        <v/>
      </c>
      <c r="I259" s="7">
        <f>IF(H258="","",H258)</f>
        <v/>
      </c>
      <c r="J259" s="7" t="n">
        <v>3</v>
      </c>
      <c r="K259" s="7" t="n"/>
      <c r="L259" s="40" t="n"/>
      <c r="M259">
        <f>IF(AND(L259&lt;&gt;"",N(I259)&gt;0,N(J259)&gt;0),IF(J259=1,I259,ROUND(I259*(1+J259/30),1)),"")</f>
        <v/>
      </c>
      <c r="N259" s="41">
        <f>IF(M259="","",IF(M259&gt;=PRs!C7,"PR!",""))</f>
        <v/>
      </c>
      <c r="O259" s="7" t="n"/>
    </row>
    <row r="260">
      <c r="C260" t="inlineStr">
        <is>
          <t xml:space="preserve">      Set 2</t>
        </is>
      </c>
      <c r="E260" t="n">
        <v>3</v>
      </c>
      <c r="H260" s="39">
        <f>IF(H258="","",H258)</f>
        <v/>
      </c>
      <c r="I260" s="7">
        <f>IF(H258="","",H258)</f>
        <v/>
      </c>
      <c r="J260" s="7" t="n">
        <v>3</v>
      </c>
      <c r="K260" s="7" t="n"/>
      <c r="L260" s="40" t="n"/>
      <c r="M260">
        <f>IF(AND(L260&lt;&gt;"",N(I260)&gt;0,N(J260)&gt;0),IF(J260=1,I260,ROUND(I260*(1+J260/30),1)),"")</f>
        <v/>
      </c>
      <c r="N260" s="41">
        <f>IF(M260="","",IF(M260&gt;=PRs!C7,"PR!",""))</f>
        <v/>
      </c>
      <c r="O260" s="7" t="n"/>
    </row>
    <row r="261">
      <c r="C261" t="inlineStr">
        <is>
          <t xml:space="preserve">      Set 3</t>
        </is>
      </c>
      <c r="E261" t="n">
        <v>3</v>
      </c>
      <c r="H261" s="39">
        <f>IF(H258="","",H258)</f>
        <v/>
      </c>
      <c r="I261" s="7">
        <f>IF(H258="","",H258)</f>
        <v/>
      </c>
      <c r="J261" s="7" t="n">
        <v>3</v>
      </c>
      <c r="K261" s="7" t="n"/>
      <c r="L261" s="40" t="n"/>
      <c r="M261">
        <f>IF(AND(L261&lt;&gt;"",N(I261)&gt;0,N(J261)&gt;0),IF(J261=1,I261,ROUND(I261*(1+J261/30),1)),"")</f>
        <v/>
      </c>
      <c r="N261" s="41">
        <f>IF(M261="","",IF(M261&gt;=PRs!C7,"PR!",""))</f>
        <v/>
      </c>
      <c r="O261" s="7" t="n"/>
    </row>
    <row r="262">
      <c r="C262" t="inlineStr">
        <is>
          <t xml:space="preserve">      Set 4</t>
        </is>
      </c>
      <c r="E262" t="n">
        <v>3</v>
      </c>
      <c r="H262" s="39">
        <f>IF(H258="","",H258)</f>
        <v/>
      </c>
      <c r="I262" s="7">
        <f>IF(H258="","",H258)</f>
        <v/>
      </c>
      <c r="J262" s="7" t="n">
        <v>3</v>
      </c>
      <c r="K262" s="7" t="n"/>
      <c r="L262" s="40" t="n"/>
      <c r="M262">
        <f>IF(AND(L262&lt;&gt;"",N(I262)&gt;0,N(J262)&gt;0),IF(J262=1,I262,ROUND(I262*(1+J262/30),1)),"")</f>
        <v/>
      </c>
      <c r="N262" s="41">
        <f>IF(M262="","",IF(M262&gt;=PRs!C7,"PR!",""))</f>
        <v/>
      </c>
      <c r="O262" s="7" t="n"/>
    </row>
    <row r="263">
      <c r="A263" s="34" t="n"/>
      <c r="B263" s="34" t="n"/>
      <c r="C263" s="42" t="inlineStr">
        <is>
          <t>Squat</t>
        </is>
      </c>
      <c r="D263" s="34" t="inlineStr">
        <is>
          <t>3 x 6</t>
        </is>
      </c>
      <c r="E263" s="34" t="n"/>
      <c r="F263" s="34" t="n">
        <v>65</v>
      </c>
      <c r="G263" s="36">
        <f>Maxes!H2</f>
        <v/>
      </c>
      <c r="H263" s="37">
        <f>IF(OR(G263="",F263=""),"",MROUND(G263*F263/100,'Start Here'!$B$7))</f>
        <v/>
      </c>
      <c r="I263" s="34" t="n"/>
      <c r="J263" s="34" t="n"/>
      <c r="K263" s="34" t="n"/>
      <c r="L263" s="34" t="n"/>
      <c r="M263" s="34" t="n"/>
      <c r="N263" s="34" t="n"/>
      <c r="O263" s="38" t="inlineStr"/>
    </row>
    <row r="264">
      <c r="C264" t="inlineStr">
        <is>
          <t xml:space="preserve">      Set 1</t>
        </is>
      </c>
      <c r="E264" t="n">
        <v>6</v>
      </c>
      <c r="H264" s="39">
        <f>IF(H263="","",H263)</f>
        <v/>
      </c>
      <c r="I264" s="7">
        <f>IF(H263="","",H263)</f>
        <v/>
      </c>
      <c r="J264" s="7" t="n">
        <v>6</v>
      </c>
      <c r="K264" s="7" t="n"/>
      <c r="L264" s="40" t="n"/>
      <c r="M264">
        <f>IF(AND(L264&lt;&gt;"",N(I264)&gt;0,N(J264)&gt;0),IF(J264=1,I264,ROUND(I264*(1+J264/30),1)),"")</f>
        <v/>
      </c>
      <c r="N264" s="41">
        <f>IF(M264="","",IF(M264&gt;=PRs!C2,"PR!",""))</f>
        <v/>
      </c>
      <c r="O264" s="7" t="n"/>
    </row>
    <row r="265">
      <c r="C265" t="inlineStr">
        <is>
          <t xml:space="preserve">      Set 2</t>
        </is>
      </c>
      <c r="E265" t="n">
        <v>6</v>
      </c>
      <c r="H265" s="39">
        <f>IF(H263="","",H263)</f>
        <v/>
      </c>
      <c r="I265" s="7">
        <f>IF(H263="","",H263)</f>
        <v/>
      </c>
      <c r="J265" s="7" t="n">
        <v>6</v>
      </c>
      <c r="K265" s="7" t="n"/>
      <c r="L265" s="40" t="n"/>
      <c r="M265">
        <f>IF(AND(L265&lt;&gt;"",N(I265)&gt;0,N(J265)&gt;0),IF(J265=1,I265,ROUND(I265*(1+J265/30),1)),"")</f>
        <v/>
      </c>
      <c r="N265" s="41">
        <f>IF(M265="","",IF(M265&gt;=PRs!C2,"PR!",""))</f>
        <v/>
      </c>
      <c r="O265" s="7" t="n"/>
    </row>
    <row r="266">
      <c r="C266" t="inlineStr">
        <is>
          <t xml:space="preserve">      Set 3</t>
        </is>
      </c>
      <c r="E266" t="n">
        <v>6</v>
      </c>
      <c r="H266" s="39">
        <f>IF(H263="","",H263)</f>
        <v/>
      </c>
      <c r="I266" s="7">
        <f>IF(H263="","",H263)</f>
        <v/>
      </c>
      <c r="J266" s="7" t="n">
        <v>6</v>
      </c>
      <c r="K266" s="7" t="n"/>
      <c r="L266" s="40" t="n"/>
      <c r="M266">
        <f>IF(AND(L266&lt;&gt;"",N(I266)&gt;0,N(J266)&gt;0),IF(J266=1,I266,ROUND(I266*(1+J266/30),1)),"")</f>
        <v/>
      </c>
      <c r="N266" s="41">
        <f>IF(M266="","",IF(M266&gt;=PRs!C2,"PR!",""))</f>
        <v/>
      </c>
      <c r="O266" s="7" t="n"/>
    </row>
    <row r="267">
      <c r="A267" s="34" t="n"/>
      <c r="B267" s="34" t="n"/>
      <c r="C267" s="42" t="inlineStr">
        <is>
          <t>Overhead Press</t>
        </is>
      </c>
      <c r="D267" s="34" t="inlineStr">
        <is>
          <t>3 x 6</t>
        </is>
      </c>
      <c r="E267" s="34" t="n"/>
      <c r="F267" s="34" t="n">
        <v>70</v>
      </c>
      <c r="G267" s="36">
        <f>Maxes!H5</f>
        <v/>
      </c>
      <c r="H267" s="37">
        <f>IF(OR(G267="",F267=""),"",MROUND(G267*F267/100,'Start Here'!$B$7))</f>
        <v/>
      </c>
      <c r="I267" s="34" t="n"/>
      <c r="J267" s="34" t="n"/>
      <c r="K267" s="34" t="n"/>
      <c r="L267" s="34" t="n"/>
      <c r="M267" s="34" t="n"/>
      <c r="N267" s="34" t="n"/>
      <c r="O267" s="38" t="inlineStr"/>
    </row>
    <row r="268">
      <c r="C268" t="inlineStr">
        <is>
          <t xml:space="preserve">      Set 1</t>
        </is>
      </c>
      <c r="E268" t="n">
        <v>6</v>
      </c>
      <c r="H268" s="39">
        <f>IF(H267="","",H267)</f>
        <v/>
      </c>
      <c r="I268" s="7">
        <f>IF(H267="","",H267)</f>
        <v/>
      </c>
      <c r="J268" s="7" t="n">
        <v>6</v>
      </c>
      <c r="K268" s="7" t="n"/>
      <c r="L268" s="40" t="n"/>
      <c r="M268">
        <f>IF(AND(L268&lt;&gt;"",N(I268)&gt;0,N(J268)&gt;0),IF(J268=1,I268,ROUND(I268*(1+J268/30),1)),"")</f>
        <v/>
      </c>
      <c r="N268" s="41">
        <f>IF(M268="","",IF(M268&gt;=PRs!C5,"PR!",""))</f>
        <v/>
      </c>
      <c r="O268" s="7" t="n"/>
    </row>
    <row r="269">
      <c r="C269" t="inlineStr">
        <is>
          <t xml:space="preserve">      Set 2</t>
        </is>
      </c>
      <c r="E269" t="n">
        <v>6</v>
      </c>
      <c r="H269" s="39">
        <f>IF(H267="","",H267)</f>
        <v/>
      </c>
      <c r="I269" s="7">
        <f>IF(H267="","",H267)</f>
        <v/>
      </c>
      <c r="J269" s="7" t="n">
        <v>6</v>
      </c>
      <c r="K269" s="7" t="n"/>
      <c r="L269" s="40" t="n"/>
      <c r="M269">
        <f>IF(AND(L269&lt;&gt;"",N(I269)&gt;0,N(J269)&gt;0),IF(J269=1,I269,ROUND(I269*(1+J269/30),1)),"")</f>
        <v/>
      </c>
      <c r="N269" s="41">
        <f>IF(M269="","",IF(M269&gt;=PRs!C5,"PR!",""))</f>
        <v/>
      </c>
      <c r="O269" s="7" t="n"/>
    </row>
    <row r="270">
      <c r="C270" t="inlineStr">
        <is>
          <t xml:space="preserve">      Set 3</t>
        </is>
      </c>
      <c r="E270" t="n">
        <v>6</v>
      </c>
      <c r="H270" s="39">
        <f>IF(H267="","",H267)</f>
        <v/>
      </c>
      <c r="I270" s="7">
        <f>IF(H267="","",H267)</f>
        <v/>
      </c>
      <c r="J270" s="7" t="n">
        <v>6</v>
      </c>
      <c r="K270" s="7" t="n"/>
      <c r="L270" s="40" t="n"/>
      <c r="M270">
        <f>IF(AND(L270&lt;&gt;"",N(I270)&gt;0,N(J270)&gt;0),IF(J270=1,I270,ROUND(I270*(1+J270/30),1)),"")</f>
        <v/>
      </c>
      <c r="N270" s="41">
        <f>IF(M270="","",IF(M270&gt;=PRs!C5,"PR!",""))</f>
        <v/>
      </c>
      <c r="O270" s="7" t="n"/>
    </row>
    <row r="271">
      <c r="A271" s="34" t="n"/>
      <c r="B271" s="34" t="n"/>
      <c r="C271" s="42" t="inlineStr">
        <is>
          <t>Deadlift</t>
        </is>
      </c>
      <c r="D271" s="34" t="inlineStr">
        <is>
          <t>3 x 6</t>
        </is>
      </c>
      <c r="E271" s="34" t="n"/>
      <c r="F271" s="34" t="n">
        <v>70</v>
      </c>
      <c r="G271" s="36">
        <f>Maxes!H4</f>
        <v/>
      </c>
      <c r="H271" s="37">
        <f>IF(OR(G271="",F271=""),"",MROUND(G271*F271/100,'Start Here'!$B$7))</f>
        <v/>
      </c>
      <c r="I271" s="34" t="n"/>
      <c r="J271" s="34" t="n"/>
      <c r="K271" s="34" t="n"/>
      <c r="L271" s="34" t="n"/>
      <c r="M271" s="34" t="n"/>
      <c r="N271" s="34" t="n"/>
      <c r="O271" s="38" t="inlineStr"/>
    </row>
    <row r="272">
      <c r="C272" t="inlineStr">
        <is>
          <t xml:space="preserve">      Set 1</t>
        </is>
      </c>
      <c r="E272" t="n">
        <v>6</v>
      </c>
      <c r="H272" s="39">
        <f>IF(H271="","",H271)</f>
        <v/>
      </c>
      <c r="I272" s="7">
        <f>IF(H271="","",H271)</f>
        <v/>
      </c>
      <c r="J272" s="7" t="n">
        <v>6</v>
      </c>
      <c r="K272" s="7" t="n"/>
      <c r="L272" s="40" t="n"/>
      <c r="M272">
        <f>IF(AND(L272&lt;&gt;"",N(I272)&gt;0,N(J272)&gt;0),IF(J272=1,I272,ROUND(I272*(1+J272/30),1)),"")</f>
        <v/>
      </c>
      <c r="N272" s="41">
        <f>IF(M272="","",IF(M272&gt;=PRs!C4,"PR!",""))</f>
        <v/>
      </c>
      <c r="O272" s="7" t="n"/>
    </row>
    <row r="273">
      <c r="C273" t="inlineStr">
        <is>
          <t xml:space="preserve">      Set 2</t>
        </is>
      </c>
      <c r="E273" t="n">
        <v>6</v>
      </c>
      <c r="H273" s="39">
        <f>IF(H271="","",H271)</f>
        <v/>
      </c>
      <c r="I273" s="7">
        <f>IF(H271="","",H271)</f>
        <v/>
      </c>
      <c r="J273" s="7" t="n">
        <v>6</v>
      </c>
      <c r="K273" s="7" t="n"/>
      <c r="L273" s="40" t="n"/>
      <c r="M273">
        <f>IF(AND(L273&lt;&gt;"",N(I273)&gt;0,N(J273)&gt;0),IF(J273=1,I273,ROUND(I273*(1+J273/30),1)),"")</f>
        <v/>
      </c>
      <c r="N273" s="41">
        <f>IF(M273="","",IF(M273&gt;=PRs!C4,"PR!",""))</f>
        <v/>
      </c>
      <c r="O273" s="7" t="n"/>
    </row>
    <row r="274">
      <c r="C274" t="inlineStr">
        <is>
          <t xml:space="preserve">      Set 3</t>
        </is>
      </c>
      <c r="E274" t="n">
        <v>6</v>
      </c>
      <c r="H274" s="39">
        <f>IF(H271="","",H271)</f>
        <v/>
      </c>
      <c r="I274" s="7">
        <f>IF(H271="","",H271)</f>
        <v/>
      </c>
      <c r="J274" s="7" t="n">
        <v>6</v>
      </c>
      <c r="K274" s="7" t="n"/>
      <c r="L274" s="40" t="n"/>
      <c r="M274">
        <f>IF(AND(L274&lt;&gt;"",N(I274)&gt;0,N(J274)&gt;0),IF(J274=1,I274,ROUND(I274*(1+J274/30),1)),"")</f>
        <v/>
      </c>
      <c r="N274" s="41">
        <f>IF(M274="","",IF(M274&gt;=PRs!C4,"PR!",""))</f>
        <v/>
      </c>
      <c r="O274" s="7" t="n"/>
    </row>
    <row r="275">
      <c r="A275" s="34" t="n"/>
      <c r="B275" s="34" t="n"/>
      <c r="C275" s="43" t="inlineStr">
        <is>
          <t>Chin-up</t>
        </is>
      </c>
      <c r="D275" s="34" t="inlineStr">
        <is>
          <t>4 x 6-10</t>
        </is>
      </c>
      <c r="E275" s="34" t="n"/>
      <c r="F275" s="34" t="n"/>
      <c r="G275" s="36" t="n"/>
      <c r="H275" s="37" t="n"/>
      <c r="I275" s="34" t="n"/>
      <c r="J275" s="34" t="n"/>
      <c r="K275" s="34" t="n"/>
      <c r="L275" s="34" t="n"/>
      <c r="M275" s="34" t="n"/>
      <c r="N275" s="34" t="n"/>
      <c r="O275" s="38" t="inlineStr">
        <is>
          <t>Leave 1-2 reps in the tank; add weight when you hit the top of the range</t>
        </is>
      </c>
    </row>
    <row r="276">
      <c r="C276" t="inlineStr">
        <is>
          <t xml:space="preserve">      Set 1</t>
        </is>
      </c>
      <c r="E276" t="n">
        <v>6</v>
      </c>
      <c r="H276" s="39">
        <f>IF(H275="","",H275)</f>
        <v/>
      </c>
      <c r="I276" s="7">
        <f>IF(H275="","",H275)</f>
        <v/>
      </c>
      <c r="J276" s="7" t="n">
        <v>6</v>
      </c>
      <c r="K276" s="7" t="n"/>
      <c r="L276" s="40" t="n"/>
      <c r="M276">
        <f>IF(AND(L276&lt;&gt;"",N(I276)&gt;0,N(J276)&gt;0),IF(J276=1,I276,ROUND(I276*(1+J276/30),1)),"")</f>
        <v/>
      </c>
      <c r="N276" s="41">
        <f>IF(M276="","",IF(M276&gt;=PRs!C53,"PR!",""))</f>
        <v/>
      </c>
      <c r="O276" s="7" t="n"/>
    </row>
    <row r="277">
      <c r="C277" t="inlineStr">
        <is>
          <t xml:space="preserve">      Set 2</t>
        </is>
      </c>
      <c r="E277" t="n">
        <v>6</v>
      </c>
      <c r="H277" s="39">
        <f>IF(H275="","",H275)</f>
        <v/>
      </c>
      <c r="I277" s="7">
        <f>IF(H275="","",H275)</f>
        <v/>
      </c>
      <c r="J277" s="7" t="n">
        <v>6</v>
      </c>
      <c r="K277" s="7" t="n"/>
      <c r="L277" s="40" t="n"/>
      <c r="M277">
        <f>IF(AND(L277&lt;&gt;"",N(I277)&gt;0,N(J277)&gt;0),IF(J277=1,I277,ROUND(I277*(1+J277/30),1)),"")</f>
        <v/>
      </c>
      <c r="N277" s="41">
        <f>IF(M277="","",IF(M277&gt;=PRs!C53,"PR!",""))</f>
        <v/>
      </c>
      <c r="O277" s="7" t="n"/>
    </row>
    <row r="278">
      <c r="C278" t="inlineStr">
        <is>
          <t xml:space="preserve">      Set 3</t>
        </is>
      </c>
      <c r="E278" t="n">
        <v>6</v>
      </c>
      <c r="H278" s="39">
        <f>IF(H275="","",H275)</f>
        <v/>
      </c>
      <c r="I278" s="7">
        <f>IF(H275="","",H275)</f>
        <v/>
      </c>
      <c r="J278" s="7" t="n">
        <v>6</v>
      </c>
      <c r="K278" s="7" t="n"/>
      <c r="L278" s="40" t="n"/>
      <c r="M278">
        <f>IF(AND(L278&lt;&gt;"",N(I278)&gt;0,N(J278)&gt;0),IF(J278=1,I278,ROUND(I278*(1+J278/30),1)),"")</f>
        <v/>
      </c>
      <c r="N278" s="41">
        <f>IF(M278="","",IF(M278&gt;=PRs!C53,"PR!",""))</f>
        <v/>
      </c>
      <c r="O278" s="7" t="n"/>
    </row>
    <row r="279">
      <c r="C279" t="inlineStr">
        <is>
          <t xml:space="preserve">      Set 4</t>
        </is>
      </c>
      <c r="E279" t="n">
        <v>6</v>
      </c>
      <c r="H279" s="39">
        <f>IF(H275="","",H275)</f>
        <v/>
      </c>
      <c r="I279" s="7">
        <f>IF(H275="","",H275)</f>
        <v/>
      </c>
      <c r="J279" s="7" t="n">
        <v>6</v>
      </c>
      <c r="K279" s="7" t="n"/>
      <c r="L279" s="40" t="n"/>
      <c r="M279">
        <f>IF(AND(L279&lt;&gt;"",N(I279)&gt;0,N(J279)&gt;0),IF(J279=1,I279,ROUND(I279*(1+J279/30),1)),"")</f>
        <v/>
      </c>
      <c r="N279" s="41">
        <f>IF(M279="","",IF(M279&gt;=PRs!C53,"PR!",""))</f>
        <v/>
      </c>
      <c r="O279" s="7" t="n"/>
    </row>
    <row r="280">
      <c r="A280" s="34" t="n"/>
      <c r="B280" s="34" t="n"/>
      <c r="C280" s="43" t="inlineStr">
        <is>
          <t>Plank</t>
        </is>
      </c>
      <c r="D280" s="34" t="inlineStr">
        <is>
          <t>4 x 30-60s</t>
        </is>
      </c>
      <c r="E280" s="34" t="n"/>
      <c r="F280" s="34" t="n"/>
      <c r="G280" s="36" t="n"/>
      <c r="H280" s="37" t="n"/>
      <c r="I280" s="34" t="n"/>
      <c r="J280" s="34" t="n"/>
      <c r="K280" s="34" t="n"/>
      <c r="L280" s="34" t="n"/>
      <c r="M280" s="34" t="n"/>
      <c r="N280" s="34" t="n"/>
      <c r="O280" s="38" t="inlineStr">
        <is>
          <t>Leave 1-2 reps in the tank; add weight when you hit the top of the range</t>
        </is>
      </c>
    </row>
    <row r="281">
      <c r="C281" t="inlineStr">
        <is>
          <t xml:space="preserve">      Set 1</t>
        </is>
      </c>
      <c r="E281" t="n">
        <v>30</v>
      </c>
      <c r="H281" s="39">
        <f>IF(H280="","",H280)</f>
        <v/>
      </c>
      <c r="I281" s="7">
        <f>IF(H280="","",H280)</f>
        <v/>
      </c>
      <c r="J281" s="7" t="n">
        <v>30</v>
      </c>
      <c r="K281" s="7" t="n"/>
      <c r="L281" s="40" t="n"/>
      <c r="M281">
        <f>IF(AND(L281&lt;&gt;"",N(I281)&gt;0,N(J281)&gt;0),IF(J281=1,I281,ROUND(I281*(1+J281/30),1)),"")</f>
        <v/>
      </c>
      <c r="N281" s="41">
        <f>IF(M281="","",IF(M281&gt;=PRs!C56,"PR!",""))</f>
        <v/>
      </c>
      <c r="O281" s="7" t="n"/>
    </row>
    <row r="282">
      <c r="C282" t="inlineStr">
        <is>
          <t xml:space="preserve">      Set 2</t>
        </is>
      </c>
      <c r="E282" t="n">
        <v>30</v>
      </c>
      <c r="H282" s="39">
        <f>IF(H280="","",H280)</f>
        <v/>
      </c>
      <c r="I282" s="7">
        <f>IF(H280="","",H280)</f>
        <v/>
      </c>
      <c r="J282" s="7" t="n">
        <v>30</v>
      </c>
      <c r="K282" s="7" t="n"/>
      <c r="L282" s="40" t="n"/>
      <c r="M282">
        <f>IF(AND(L282&lt;&gt;"",N(I282)&gt;0,N(J282)&gt;0),IF(J282=1,I282,ROUND(I282*(1+J282/30),1)),"")</f>
        <v/>
      </c>
      <c r="N282" s="41">
        <f>IF(M282="","",IF(M282&gt;=PRs!C56,"PR!",""))</f>
        <v/>
      </c>
      <c r="O282" s="7" t="n"/>
    </row>
    <row r="283">
      <c r="C283" t="inlineStr">
        <is>
          <t xml:space="preserve">      Set 3</t>
        </is>
      </c>
      <c r="E283" t="n">
        <v>30</v>
      </c>
      <c r="H283" s="39">
        <f>IF(H280="","",H280)</f>
        <v/>
      </c>
      <c r="I283" s="7">
        <f>IF(H280="","",H280)</f>
        <v/>
      </c>
      <c r="J283" s="7" t="n">
        <v>30</v>
      </c>
      <c r="K283" s="7" t="n"/>
      <c r="L283" s="40" t="n"/>
      <c r="M283">
        <f>IF(AND(L283&lt;&gt;"",N(I283)&gt;0,N(J283)&gt;0),IF(J283=1,I283,ROUND(I283*(1+J283/30),1)),"")</f>
        <v/>
      </c>
      <c r="N283" s="41">
        <f>IF(M283="","",IF(M283&gt;=PRs!C56,"PR!",""))</f>
        <v/>
      </c>
      <c r="O283" s="7" t="n"/>
    </row>
    <row r="284">
      <c r="C284" t="inlineStr">
        <is>
          <t xml:space="preserve">      Set 4</t>
        </is>
      </c>
      <c r="E284" t="n">
        <v>30</v>
      </c>
      <c r="H284" s="39">
        <f>IF(H280="","",H280)</f>
        <v/>
      </c>
      <c r="I284" s="7">
        <f>IF(H280="","",H280)</f>
        <v/>
      </c>
      <c r="J284" s="7" t="n">
        <v>30</v>
      </c>
      <c r="K284" s="7" t="n"/>
      <c r="L284" s="40" t="n"/>
      <c r="M284">
        <f>IF(AND(L284&lt;&gt;"",N(I284)&gt;0,N(J284)&gt;0),IF(J284=1,I284,ROUND(I284*(1+J284/30),1)),"")</f>
        <v/>
      </c>
      <c r="N284" s="41">
        <f>IF(M284="","",IF(M284&gt;=PRs!C56,"PR!",""))</f>
        <v/>
      </c>
      <c r="O284" s="7" t="n"/>
    </row>
    <row r="285">
      <c r="A285" s="31" t="inlineStr">
        <is>
          <t>Day 3 - Variations</t>
        </is>
      </c>
      <c r="B285" s="32">
        <f>'Start Here'!$B$8+270</f>
        <v/>
      </c>
      <c r="C285" s="33" t="n"/>
      <c r="D285" s="33" t="n"/>
      <c r="E285" s="33" t="n"/>
      <c r="F285" s="33" t="n"/>
      <c r="G285" s="33" t="n"/>
      <c r="H285" s="33" t="n"/>
      <c r="I285" s="33" t="n"/>
      <c r="J285" s="33" t="n"/>
      <c r="K285" s="33" t="n"/>
      <c r="L285" s="33" t="n"/>
      <c r="M285" s="33" t="n"/>
      <c r="N285" s="33" t="n"/>
      <c r="O285" s="33" t="n"/>
    </row>
    <row r="286">
      <c r="A286" s="34" t="n"/>
      <c r="B286" s="34" t="n"/>
      <c r="C286" s="35" t="inlineStr">
        <is>
          <t>Lateral Bound</t>
        </is>
      </c>
      <c r="D286" s="34" t="inlineStr">
        <is>
          <t>4 x 3</t>
        </is>
      </c>
      <c r="E286" s="34" t="n"/>
      <c r="F286" s="34" t="n"/>
      <c r="G286" s="36" t="n"/>
      <c r="H286" s="37">
        <f>IF(N(Maxes!H74)&gt;0,Maxes!H74,"")</f>
        <v/>
      </c>
      <c r="I286" s="34" t="n"/>
      <c r="J286" s="34" t="n"/>
      <c r="K286" s="34" t="n"/>
      <c r="L286" s="34" t="n"/>
      <c r="M286" s="34" t="n"/>
      <c r="N286" s="34" t="n"/>
      <c r="O286" s="38" t="inlineStr">
        <is>
          <t>Single-leg bound sideways, stick the landing on the other leg, then back. Log distance (each side counts as a rep).</t>
        </is>
      </c>
    </row>
    <row r="287">
      <c r="C287" t="inlineStr">
        <is>
          <t xml:space="preserve">      Set 1</t>
        </is>
      </c>
      <c r="E287" t="n">
        <v>3</v>
      </c>
      <c r="H287" s="39">
        <f>IF(H286="","",H286)</f>
        <v/>
      </c>
      <c r="I287" s="7">
        <f>IF(H286="","",H286)</f>
        <v/>
      </c>
      <c r="J287" s="7" t="n">
        <v>3</v>
      </c>
      <c r="K287" s="7" t="n"/>
      <c r="L287" s="40" t="n"/>
      <c r="N287" s="41">
        <f>IF(AND(L287&lt;&gt;"",N(I287)&gt;0),IF(I287&gt;=PRs!D74,"PR!",""),"")</f>
        <v/>
      </c>
      <c r="O287" s="7" t="n"/>
    </row>
    <row r="288">
      <c r="C288" t="inlineStr">
        <is>
          <t xml:space="preserve">      Set 2</t>
        </is>
      </c>
      <c r="E288" t="n">
        <v>3</v>
      </c>
      <c r="H288" s="39">
        <f>IF(H286="","",H286)</f>
        <v/>
      </c>
      <c r="I288" s="7">
        <f>IF(H286="","",H286)</f>
        <v/>
      </c>
      <c r="J288" s="7" t="n">
        <v>3</v>
      </c>
      <c r="K288" s="7" t="n"/>
      <c r="L288" s="40" t="n"/>
      <c r="N288" s="41">
        <f>IF(AND(L288&lt;&gt;"",N(I288)&gt;0),IF(I288&gt;=PRs!D74,"PR!",""),"")</f>
        <v/>
      </c>
      <c r="O288" s="7" t="n"/>
    </row>
    <row r="289">
      <c r="C289" t="inlineStr">
        <is>
          <t xml:space="preserve">      Set 3</t>
        </is>
      </c>
      <c r="E289" t="n">
        <v>3</v>
      </c>
      <c r="H289" s="39">
        <f>IF(H286="","",H286)</f>
        <v/>
      </c>
      <c r="I289" s="7">
        <f>IF(H286="","",H286)</f>
        <v/>
      </c>
      <c r="J289" s="7" t="n">
        <v>3</v>
      </c>
      <c r="K289" s="7" t="n"/>
      <c r="L289" s="40" t="n"/>
      <c r="N289" s="41">
        <f>IF(AND(L289&lt;&gt;"",N(I289)&gt;0),IF(I289&gt;=PRs!D74,"PR!",""),"")</f>
        <v/>
      </c>
      <c r="O289" s="7" t="n"/>
    </row>
    <row r="290">
      <c r="C290" t="inlineStr">
        <is>
          <t xml:space="preserve">      Set 4</t>
        </is>
      </c>
      <c r="E290" t="n">
        <v>3</v>
      </c>
      <c r="H290" s="39">
        <f>IF(H286="","",H286)</f>
        <v/>
      </c>
      <c r="I290" s="7">
        <f>IF(H286="","",H286)</f>
        <v/>
      </c>
      <c r="J290" s="7" t="n">
        <v>3</v>
      </c>
      <c r="K290" s="7" t="n"/>
      <c r="L290" s="40" t="n"/>
      <c r="N290" s="41">
        <f>IF(AND(L290&lt;&gt;"",N(I290)&gt;0),IF(I290&gt;=PRs!D74,"PR!",""),"")</f>
        <v/>
      </c>
      <c r="O290" s="7" t="n"/>
    </row>
    <row r="291">
      <c r="A291" s="34" t="n"/>
      <c r="B291" s="34" t="n"/>
      <c r="C291" s="42" t="inlineStr">
        <is>
          <t>Power Clean</t>
        </is>
      </c>
      <c r="D291" s="34" t="inlineStr">
        <is>
          <t>4 x 3</t>
        </is>
      </c>
      <c r="E291" s="34" t="n"/>
      <c r="F291" s="34" t="n">
        <v>70</v>
      </c>
      <c r="G291" s="36">
        <f>Maxes!H42</f>
        <v/>
      </c>
      <c r="H291" s="37">
        <f>IF(OR(G291="",F291=""),"",MROUND(G291*F291/100,'Start Here'!$B$7))</f>
        <v/>
      </c>
      <c r="I291" s="34" t="n"/>
      <c r="J291" s="34" t="n"/>
      <c r="K291" s="34" t="n"/>
      <c r="L291" s="34" t="n"/>
      <c r="M291" s="34" t="n"/>
      <c r="N291" s="34" t="n"/>
      <c r="O291" s="38" t="inlineStr"/>
    </row>
    <row r="292">
      <c r="C292" t="inlineStr">
        <is>
          <t xml:space="preserve">      Set 1</t>
        </is>
      </c>
      <c r="E292" t="n">
        <v>3</v>
      </c>
      <c r="H292" s="39">
        <f>IF(H291="","",H291)</f>
        <v/>
      </c>
      <c r="I292" s="7">
        <f>IF(H291="","",H291)</f>
        <v/>
      </c>
      <c r="J292" s="7" t="n">
        <v>3</v>
      </c>
      <c r="K292" s="7" t="n"/>
      <c r="L292" s="40" t="n"/>
      <c r="M292">
        <f>IF(AND(L292&lt;&gt;"",N(I292)&gt;0,N(J292)&gt;0),IF(J292=1,I292,ROUND(I292*(1+J292/30),1)),"")</f>
        <v/>
      </c>
      <c r="N292" s="41">
        <f>IF(M292="","",IF(M292&gt;=PRs!C42,"PR!",""))</f>
        <v/>
      </c>
      <c r="O292" s="7" t="n"/>
    </row>
    <row r="293">
      <c r="C293" t="inlineStr">
        <is>
          <t xml:space="preserve">      Set 2</t>
        </is>
      </c>
      <c r="E293" t="n">
        <v>3</v>
      </c>
      <c r="H293" s="39">
        <f>IF(H291="","",H291)</f>
        <v/>
      </c>
      <c r="I293" s="7">
        <f>IF(H291="","",H291)</f>
        <v/>
      </c>
      <c r="J293" s="7" t="n">
        <v>3</v>
      </c>
      <c r="K293" s="7" t="n"/>
      <c r="L293" s="40" t="n"/>
      <c r="M293">
        <f>IF(AND(L293&lt;&gt;"",N(I293)&gt;0,N(J293)&gt;0),IF(J293=1,I293,ROUND(I293*(1+J293/30),1)),"")</f>
        <v/>
      </c>
      <c r="N293" s="41">
        <f>IF(M293="","",IF(M293&gt;=PRs!C42,"PR!",""))</f>
        <v/>
      </c>
      <c r="O293" s="7" t="n"/>
    </row>
    <row r="294">
      <c r="C294" t="inlineStr">
        <is>
          <t xml:space="preserve">      Set 3</t>
        </is>
      </c>
      <c r="E294" t="n">
        <v>3</v>
      </c>
      <c r="H294" s="39">
        <f>IF(H291="","",H291)</f>
        <v/>
      </c>
      <c r="I294" s="7">
        <f>IF(H291="","",H291)</f>
        <v/>
      </c>
      <c r="J294" s="7" t="n">
        <v>3</v>
      </c>
      <c r="K294" s="7" t="n"/>
      <c r="L294" s="40" t="n"/>
      <c r="M294">
        <f>IF(AND(L294&lt;&gt;"",N(I294)&gt;0,N(J294)&gt;0),IF(J294=1,I294,ROUND(I294*(1+J294/30),1)),"")</f>
        <v/>
      </c>
      <c r="N294" s="41">
        <f>IF(M294="","",IF(M294&gt;=PRs!C42,"PR!",""))</f>
        <v/>
      </c>
      <c r="O294" s="7" t="n"/>
    </row>
    <row r="295">
      <c r="C295" t="inlineStr">
        <is>
          <t xml:space="preserve">      Set 4</t>
        </is>
      </c>
      <c r="E295" t="n">
        <v>3</v>
      </c>
      <c r="H295" s="39">
        <f>IF(H291="","",H291)</f>
        <v/>
      </c>
      <c r="I295" s="7">
        <f>IF(H291="","",H291)</f>
        <v/>
      </c>
      <c r="J295" s="7" t="n">
        <v>3</v>
      </c>
      <c r="K295" s="7" t="n"/>
      <c r="L295" s="40" t="n"/>
      <c r="M295">
        <f>IF(AND(L295&lt;&gt;"",N(I295)&gt;0,N(J295)&gt;0),IF(J295=1,I295,ROUND(I295*(1+J295/30),1)),"")</f>
        <v/>
      </c>
      <c r="N295" s="41">
        <f>IF(M295="","",IF(M295&gt;=PRs!C42,"PR!",""))</f>
        <v/>
      </c>
      <c r="O295" s="7" t="n"/>
    </row>
    <row r="296">
      <c r="A296" s="34" t="n"/>
      <c r="B296" s="34" t="n"/>
      <c r="C296" s="42" t="inlineStr">
        <is>
          <t>Pin Squat</t>
        </is>
      </c>
      <c r="D296" s="34" t="inlineStr">
        <is>
          <t>3 x 6</t>
        </is>
      </c>
      <c r="E296" s="34" t="n"/>
      <c r="F296" s="34" t="n">
        <v>70</v>
      </c>
      <c r="G296" s="36">
        <f>Maxes!H12</f>
        <v/>
      </c>
      <c r="H296" s="37">
        <f>IF(OR(G296="",F296=""),"",MROUND(G296*F296/100,'Start Here'!$B$7))</f>
        <v/>
      </c>
      <c r="I296" s="34" t="n"/>
      <c r="J296" s="34" t="n"/>
      <c r="K296" s="34" t="n"/>
      <c r="L296" s="34" t="n"/>
      <c r="M296" s="34" t="n"/>
      <c r="N296" s="34" t="n"/>
      <c r="O296" s="38" t="inlineStr"/>
    </row>
    <row r="297">
      <c r="C297" t="inlineStr">
        <is>
          <t xml:space="preserve">      Set 1</t>
        </is>
      </c>
      <c r="E297" t="n">
        <v>6</v>
      </c>
      <c r="H297" s="39">
        <f>IF(H296="","",H296)</f>
        <v/>
      </c>
      <c r="I297" s="7">
        <f>IF(H296="","",H296)</f>
        <v/>
      </c>
      <c r="J297" s="7" t="n">
        <v>6</v>
      </c>
      <c r="K297" s="7" t="n"/>
      <c r="L297" s="40" t="n"/>
      <c r="M297">
        <f>IF(AND(L297&lt;&gt;"",N(I297)&gt;0,N(J297)&gt;0),IF(J297=1,I297,ROUND(I297*(1+J297/30),1)),"")</f>
        <v/>
      </c>
      <c r="N297" s="41">
        <f>IF(M297="","",IF(M297&gt;=PRs!C12,"PR!",""))</f>
        <v/>
      </c>
      <c r="O297" s="7" t="n"/>
    </row>
    <row r="298">
      <c r="C298" t="inlineStr">
        <is>
          <t xml:space="preserve">      Set 2</t>
        </is>
      </c>
      <c r="E298" t="n">
        <v>6</v>
      </c>
      <c r="H298" s="39">
        <f>IF(H296="","",H296)</f>
        <v/>
      </c>
      <c r="I298" s="7">
        <f>IF(H296="","",H296)</f>
        <v/>
      </c>
      <c r="J298" s="7" t="n">
        <v>6</v>
      </c>
      <c r="K298" s="7" t="n"/>
      <c r="L298" s="40" t="n"/>
      <c r="M298">
        <f>IF(AND(L298&lt;&gt;"",N(I298)&gt;0,N(J298)&gt;0),IF(J298=1,I298,ROUND(I298*(1+J298/30),1)),"")</f>
        <v/>
      </c>
      <c r="N298" s="41">
        <f>IF(M298="","",IF(M298&gt;=PRs!C12,"PR!",""))</f>
        <v/>
      </c>
      <c r="O298" s="7" t="n"/>
    </row>
    <row r="299">
      <c r="C299" t="inlineStr">
        <is>
          <t xml:space="preserve">      Set 3</t>
        </is>
      </c>
      <c r="E299" t="n">
        <v>6</v>
      </c>
      <c r="H299" s="39">
        <f>IF(H296="","",H296)</f>
        <v/>
      </c>
      <c r="I299" s="7">
        <f>IF(H296="","",H296)</f>
        <v/>
      </c>
      <c r="J299" s="7" t="n">
        <v>6</v>
      </c>
      <c r="K299" s="7" t="n"/>
      <c r="L299" s="40" t="n"/>
      <c r="M299">
        <f>IF(AND(L299&lt;&gt;"",N(I299)&gt;0,N(J299)&gt;0),IF(J299=1,I299,ROUND(I299*(1+J299/30),1)),"")</f>
        <v/>
      </c>
      <c r="N299" s="41">
        <f>IF(M299="","",IF(M299&gt;=PRs!C12,"PR!",""))</f>
        <v/>
      </c>
      <c r="O299" s="7" t="n"/>
    </row>
    <row r="300">
      <c r="A300" s="34" t="n"/>
      <c r="B300" s="34" t="n"/>
      <c r="C300" s="42" t="inlineStr">
        <is>
          <t>Pause Bench Press</t>
        </is>
      </c>
      <c r="D300" s="34" t="inlineStr">
        <is>
          <t>3 x 6</t>
        </is>
      </c>
      <c r="E300" s="34" t="n"/>
      <c r="F300" s="34" t="n">
        <v>70</v>
      </c>
      <c r="G300" s="36">
        <f>Maxes!H18</f>
        <v/>
      </c>
      <c r="H300" s="37">
        <f>IF(OR(G300="",F300=""),"",MROUND(G300*F300/100,'Start Here'!$B$7))</f>
        <v/>
      </c>
      <c r="I300" s="34" t="n"/>
      <c r="J300" s="34" t="n"/>
      <c r="K300" s="34" t="n"/>
      <c r="L300" s="34" t="n"/>
      <c r="M300" s="34" t="n"/>
      <c r="N300" s="34" t="n"/>
      <c r="O300" s="38" t="inlineStr"/>
    </row>
    <row r="301">
      <c r="C301" t="inlineStr">
        <is>
          <t xml:space="preserve">      Set 1</t>
        </is>
      </c>
      <c r="E301" t="n">
        <v>6</v>
      </c>
      <c r="H301" s="39">
        <f>IF(H300="","",H300)</f>
        <v/>
      </c>
      <c r="I301" s="7">
        <f>IF(H300="","",H300)</f>
        <v/>
      </c>
      <c r="J301" s="7" t="n">
        <v>6</v>
      </c>
      <c r="K301" s="7" t="n"/>
      <c r="L301" s="40" t="n"/>
      <c r="M301">
        <f>IF(AND(L301&lt;&gt;"",N(I301)&gt;0,N(J301)&gt;0),IF(J301=1,I301,ROUND(I301*(1+J301/30),1)),"")</f>
        <v/>
      </c>
      <c r="N301" s="41">
        <f>IF(M301="","",IF(M301&gt;=PRs!C18,"PR!",""))</f>
        <v/>
      </c>
      <c r="O301" s="7" t="n"/>
    </row>
    <row r="302">
      <c r="C302" t="inlineStr">
        <is>
          <t xml:space="preserve">      Set 2</t>
        </is>
      </c>
      <c r="E302" t="n">
        <v>6</v>
      </c>
      <c r="H302" s="39">
        <f>IF(H300="","",H300)</f>
        <v/>
      </c>
      <c r="I302" s="7">
        <f>IF(H300="","",H300)</f>
        <v/>
      </c>
      <c r="J302" s="7" t="n">
        <v>6</v>
      </c>
      <c r="K302" s="7" t="n"/>
      <c r="L302" s="40" t="n"/>
      <c r="M302">
        <f>IF(AND(L302&lt;&gt;"",N(I302)&gt;0,N(J302)&gt;0),IF(J302=1,I302,ROUND(I302*(1+J302/30),1)),"")</f>
        <v/>
      </c>
      <c r="N302" s="41">
        <f>IF(M302="","",IF(M302&gt;=PRs!C18,"PR!",""))</f>
        <v/>
      </c>
      <c r="O302" s="7" t="n"/>
    </row>
    <row r="303">
      <c r="C303" t="inlineStr">
        <is>
          <t xml:space="preserve">      Set 3</t>
        </is>
      </c>
      <c r="E303" t="n">
        <v>6</v>
      </c>
      <c r="H303" s="39">
        <f>IF(H300="","",H300)</f>
        <v/>
      </c>
      <c r="I303" s="7">
        <f>IF(H300="","",H300)</f>
        <v/>
      </c>
      <c r="J303" s="7" t="n">
        <v>6</v>
      </c>
      <c r="K303" s="7" t="n"/>
      <c r="L303" s="40" t="n"/>
      <c r="M303">
        <f>IF(AND(L303&lt;&gt;"",N(I303)&gt;0,N(J303)&gt;0),IF(J303=1,I303,ROUND(I303*(1+J303/30),1)),"")</f>
        <v/>
      </c>
      <c r="N303" s="41">
        <f>IF(M303="","",IF(M303&gt;=PRs!C18,"PR!",""))</f>
        <v/>
      </c>
      <c r="O303" s="7" t="n"/>
    </row>
    <row r="304">
      <c r="A304" s="34" t="n"/>
      <c r="B304" s="34" t="n"/>
      <c r="C304" s="42" t="inlineStr">
        <is>
          <t>Deficit Deadlift</t>
        </is>
      </c>
      <c r="D304" s="34" t="inlineStr">
        <is>
          <t>3 x 6</t>
        </is>
      </c>
      <c r="E304" s="34" t="n"/>
      <c r="F304" s="34" t="n">
        <v>65</v>
      </c>
      <c r="G304" s="36">
        <f>Maxes!H24</f>
        <v/>
      </c>
      <c r="H304" s="37">
        <f>IF(OR(G304="",F304=""),"",MROUND(G304*F304/100,'Start Here'!$B$7))</f>
        <v/>
      </c>
      <c r="I304" s="34" t="n"/>
      <c r="J304" s="34" t="n"/>
      <c r="K304" s="34" t="n"/>
      <c r="L304" s="34" t="n"/>
      <c r="M304" s="34" t="n"/>
      <c r="N304" s="34" t="n"/>
      <c r="O304" s="38" t="inlineStr"/>
    </row>
    <row r="305">
      <c r="C305" t="inlineStr">
        <is>
          <t xml:space="preserve">      Set 1</t>
        </is>
      </c>
      <c r="E305" t="n">
        <v>6</v>
      </c>
      <c r="H305" s="39">
        <f>IF(H304="","",H304)</f>
        <v/>
      </c>
      <c r="I305" s="7">
        <f>IF(H304="","",H304)</f>
        <v/>
      </c>
      <c r="J305" s="7" t="n">
        <v>6</v>
      </c>
      <c r="K305" s="7" t="n"/>
      <c r="L305" s="40" t="n"/>
      <c r="M305">
        <f>IF(AND(L305&lt;&gt;"",N(I305)&gt;0,N(J305)&gt;0),IF(J305=1,I305,ROUND(I305*(1+J305/30),1)),"")</f>
        <v/>
      </c>
      <c r="N305" s="41">
        <f>IF(M305="","",IF(M305&gt;=PRs!C24,"PR!",""))</f>
        <v/>
      </c>
      <c r="O305" s="7" t="n"/>
    </row>
    <row r="306">
      <c r="C306" t="inlineStr">
        <is>
          <t xml:space="preserve">      Set 2</t>
        </is>
      </c>
      <c r="E306" t="n">
        <v>6</v>
      </c>
      <c r="H306" s="39">
        <f>IF(H304="","",H304)</f>
        <v/>
      </c>
      <c r="I306" s="7">
        <f>IF(H304="","",H304)</f>
        <v/>
      </c>
      <c r="J306" s="7" t="n">
        <v>6</v>
      </c>
      <c r="K306" s="7" t="n"/>
      <c r="L306" s="40" t="n"/>
      <c r="M306">
        <f>IF(AND(L306&lt;&gt;"",N(I306)&gt;0,N(J306)&gt;0),IF(J306=1,I306,ROUND(I306*(1+J306/30),1)),"")</f>
        <v/>
      </c>
      <c r="N306" s="41">
        <f>IF(M306="","",IF(M306&gt;=PRs!C24,"PR!",""))</f>
        <v/>
      </c>
      <c r="O306" s="7" t="n"/>
    </row>
    <row r="307">
      <c r="C307" t="inlineStr">
        <is>
          <t xml:space="preserve">      Set 3</t>
        </is>
      </c>
      <c r="E307" t="n">
        <v>6</v>
      </c>
      <c r="H307" s="39">
        <f>IF(H304="","",H304)</f>
        <v/>
      </c>
      <c r="I307" s="7">
        <f>IF(H304="","",H304)</f>
        <v/>
      </c>
      <c r="J307" s="7" t="n">
        <v>6</v>
      </c>
      <c r="K307" s="7" t="n"/>
      <c r="L307" s="40" t="n"/>
      <c r="M307">
        <f>IF(AND(L307&lt;&gt;"",N(I307)&gt;0,N(J307)&gt;0),IF(J307=1,I307,ROUND(I307*(1+J307/30),1)),"")</f>
        <v/>
      </c>
      <c r="N307" s="41">
        <f>IF(M307="","",IF(M307&gt;=PRs!C24,"PR!",""))</f>
        <v/>
      </c>
      <c r="O307" s="7" t="n"/>
    </row>
    <row r="308">
      <c r="A308" s="34" t="n"/>
      <c r="B308" s="34" t="n"/>
      <c r="C308" s="43" t="inlineStr">
        <is>
          <t>Incline Dumbbell Press</t>
        </is>
      </c>
      <c r="D308" s="34" t="inlineStr">
        <is>
          <t>4 x 8-12</t>
        </is>
      </c>
      <c r="E308" s="34" t="n"/>
      <c r="F308" s="34" t="n"/>
      <c r="G308" s="36" t="n"/>
      <c r="H308" s="37" t="n"/>
      <c r="I308" s="34" t="n"/>
      <c r="J308" s="34" t="n"/>
      <c r="K308" s="34" t="n"/>
      <c r="L308" s="34" t="n"/>
      <c r="M308" s="34" t="n"/>
      <c r="N308" s="34" t="n"/>
      <c r="O308" s="38" t="inlineStr">
        <is>
          <t>Leave 1-2 reps in the tank; add weight when you hit the top of the range</t>
        </is>
      </c>
    </row>
    <row r="309">
      <c r="C309" t="inlineStr">
        <is>
          <t xml:space="preserve">      Set 1</t>
        </is>
      </c>
      <c r="E309" t="n">
        <v>8</v>
      </c>
      <c r="H309" s="39">
        <f>IF(H308="","",H308)</f>
        <v/>
      </c>
      <c r="I309" s="7">
        <f>IF(H308="","",H308)</f>
        <v/>
      </c>
      <c r="J309" s="7" t="n">
        <v>8</v>
      </c>
      <c r="K309" s="7" t="n"/>
      <c r="L309" s="40" t="n"/>
      <c r="M309">
        <f>IF(AND(L309&lt;&gt;"",N(I309)&gt;0,N(J309)&gt;0),IF(J309=1,I309,ROUND(I309*(1+J309/30),1)),"")</f>
        <v/>
      </c>
      <c r="N309" s="41">
        <f>IF(M309="","",IF(M309&gt;=PRs!C57,"PR!",""))</f>
        <v/>
      </c>
      <c r="O309" s="7" t="n"/>
    </row>
    <row r="310">
      <c r="C310" t="inlineStr">
        <is>
          <t xml:space="preserve">      Set 2</t>
        </is>
      </c>
      <c r="E310" t="n">
        <v>8</v>
      </c>
      <c r="H310" s="39">
        <f>IF(H308="","",H308)</f>
        <v/>
      </c>
      <c r="I310" s="7">
        <f>IF(H308="","",H308)</f>
        <v/>
      </c>
      <c r="J310" s="7" t="n">
        <v>8</v>
      </c>
      <c r="K310" s="7" t="n"/>
      <c r="L310" s="40" t="n"/>
      <c r="M310">
        <f>IF(AND(L310&lt;&gt;"",N(I310)&gt;0,N(J310)&gt;0),IF(J310=1,I310,ROUND(I310*(1+J310/30),1)),"")</f>
        <v/>
      </c>
      <c r="N310" s="41">
        <f>IF(M310="","",IF(M310&gt;=PRs!C57,"PR!",""))</f>
        <v/>
      </c>
      <c r="O310" s="7" t="n"/>
    </row>
    <row r="311">
      <c r="C311" t="inlineStr">
        <is>
          <t xml:space="preserve">      Set 3</t>
        </is>
      </c>
      <c r="E311" t="n">
        <v>8</v>
      </c>
      <c r="H311" s="39">
        <f>IF(H308="","",H308)</f>
        <v/>
      </c>
      <c r="I311" s="7">
        <f>IF(H308="","",H308)</f>
        <v/>
      </c>
      <c r="J311" s="7" t="n">
        <v>8</v>
      </c>
      <c r="K311" s="7" t="n"/>
      <c r="L311" s="40" t="n"/>
      <c r="M311">
        <f>IF(AND(L311&lt;&gt;"",N(I311)&gt;0,N(J311)&gt;0),IF(J311=1,I311,ROUND(I311*(1+J311/30),1)),"")</f>
        <v/>
      </c>
      <c r="N311" s="41">
        <f>IF(M311="","",IF(M311&gt;=PRs!C57,"PR!",""))</f>
        <v/>
      </c>
      <c r="O311" s="7" t="n"/>
    </row>
    <row r="312">
      <c r="C312" t="inlineStr">
        <is>
          <t xml:space="preserve">      Set 4</t>
        </is>
      </c>
      <c r="E312" t="n">
        <v>8</v>
      </c>
      <c r="H312" s="39">
        <f>IF(H308="","",H308)</f>
        <v/>
      </c>
      <c r="I312" s="7">
        <f>IF(H308="","",H308)</f>
        <v/>
      </c>
      <c r="J312" s="7" t="n">
        <v>8</v>
      </c>
      <c r="K312" s="7" t="n"/>
      <c r="L312" s="40" t="n"/>
      <c r="M312">
        <f>IF(AND(L312&lt;&gt;"",N(I312)&gt;0,N(J312)&gt;0),IF(J312=1,I312,ROUND(I312*(1+J312/30),1)),"")</f>
        <v/>
      </c>
      <c r="N312" s="41">
        <f>IF(M312="","",IF(M312&gt;=PRs!C57,"PR!",""))</f>
        <v/>
      </c>
      <c r="O312" s="7" t="n"/>
    </row>
    <row r="313">
      <c r="A313" s="34" t="n"/>
      <c r="B313" s="34" t="n"/>
      <c r="C313" s="43" t="inlineStr">
        <is>
          <t>Triceps Pushdown</t>
        </is>
      </c>
      <c r="D313" s="34" t="inlineStr">
        <is>
          <t>4 x 10-15</t>
        </is>
      </c>
      <c r="E313" s="34" t="n"/>
      <c r="F313" s="34" t="n"/>
      <c r="G313" s="36" t="n"/>
      <c r="H313" s="37" t="n"/>
      <c r="I313" s="34" t="n"/>
      <c r="J313" s="34" t="n"/>
      <c r="K313" s="34" t="n"/>
      <c r="L313" s="34" t="n"/>
      <c r="M313" s="34" t="n"/>
      <c r="N313" s="34" t="n"/>
      <c r="O313" s="38" t="inlineStr">
        <is>
          <t>Leave 1-2 reps in the tank; add weight when you hit the top of the range</t>
        </is>
      </c>
    </row>
    <row r="314">
      <c r="C314" t="inlineStr">
        <is>
          <t xml:space="preserve">      Set 1</t>
        </is>
      </c>
      <c r="E314" t="n">
        <v>10</v>
      </c>
      <c r="H314" s="39">
        <f>IF(H313="","",H313)</f>
        <v/>
      </c>
      <c r="I314" s="7">
        <f>IF(H313="","",H313)</f>
        <v/>
      </c>
      <c r="J314" s="7" t="n">
        <v>10</v>
      </c>
      <c r="K314" s="7" t="n"/>
      <c r="L314" s="40" t="n"/>
      <c r="M314">
        <f>IF(AND(L314&lt;&gt;"",N(I314)&gt;0,N(J314)&gt;0),IF(J314=1,I314,ROUND(I314*(1+J314/30),1)),"")</f>
        <v/>
      </c>
      <c r="N314" s="41">
        <f>IF(M314="","",IF(M314&gt;=PRs!C59,"PR!",""))</f>
        <v/>
      </c>
      <c r="O314" s="7" t="n"/>
    </row>
    <row r="315">
      <c r="C315" t="inlineStr">
        <is>
          <t xml:space="preserve">      Set 2</t>
        </is>
      </c>
      <c r="E315" t="n">
        <v>10</v>
      </c>
      <c r="H315" s="39">
        <f>IF(H313="","",H313)</f>
        <v/>
      </c>
      <c r="I315" s="7">
        <f>IF(H313="","",H313)</f>
        <v/>
      </c>
      <c r="J315" s="7" t="n">
        <v>10</v>
      </c>
      <c r="K315" s="7" t="n"/>
      <c r="L315" s="40" t="n"/>
      <c r="M315">
        <f>IF(AND(L315&lt;&gt;"",N(I315)&gt;0,N(J315)&gt;0),IF(J315=1,I315,ROUND(I315*(1+J315/30),1)),"")</f>
        <v/>
      </c>
      <c r="N315" s="41">
        <f>IF(M315="","",IF(M315&gt;=PRs!C59,"PR!",""))</f>
        <v/>
      </c>
      <c r="O315" s="7" t="n"/>
    </row>
    <row r="316">
      <c r="C316" t="inlineStr">
        <is>
          <t xml:space="preserve">      Set 3</t>
        </is>
      </c>
      <c r="E316" t="n">
        <v>10</v>
      </c>
      <c r="H316" s="39">
        <f>IF(H313="","",H313)</f>
        <v/>
      </c>
      <c r="I316" s="7">
        <f>IF(H313="","",H313)</f>
        <v/>
      </c>
      <c r="J316" s="7" t="n">
        <v>10</v>
      </c>
      <c r="K316" s="7" t="n"/>
      <c r="L316" s="40" t="n"/>
      <c r="M316">
        <f>IF(AND(L316&lt;&gt;"",N(I316)&gt;0,N(J316)&gt;0),IF(J316=1,I316,ROUND(I316*(1+J316/30),1)),"")</f>
        <v/>
      </c>
      <c r="N316" s="41">
        <f>IF(M316="","",IF(M316&gt;=PRs!C59,"PR!",""))</f>
        <v/>
      </c>
      <c r="O316" s="7" t="n"/>
    </row>
    <row r="317">
      <c r="C317" t="inlineStr">
        <is>
          <t xml:space="preserve">      Set 4</t>
        </is>
      </c>
      <c r="E317" t="n">
        <v>10</v>
      </c>
      <c r="H317" s="39">
        <f>IF(H313="","",H313)</f>
        <v/>
      </c>
      <c r="I317" s="7">
        <f>IF(H313="","",H313)</f>
        <v/>
      </c>
      <c r="J317" s="7" t="n">
        <v>10</v>
      </c>
      <c r="K317" s="7" t="n"/>
      <c r="L317" s="40" t="n"/>
      <c r="M317">
        <f>IF(AND(L317&lt;&gt;"",N(I317)&gt;0,N(J317)&gt;0),IF(J317=1,I317,ROUND(I317*(1+J317/30),1)),"")</f>
        <v/>
      </c>
      <c r="N317" s="41">
        <f>IF(M317="","",IF(M317&gt;=PRs!C59,"PR!",""))</f>
        <v/>
      </c>
      <c r="O317" s="7" t="n"/>
    </row>
    <row r="319">
      <c r="A319" s="48" t="inlineStr">
        <is>
          <t>WEEK 40 - CYCLE 4 - DELOAD</t>
        </is>
      </c>
      <c r="B319" s="49" t="n"/>
      <c r="C319" s="49" t="n"/>
      <c r="D319" s="49" t="n"/>
      <c r="E319" s="49" t="n"/>
      <c r="F319" s="49" t="n"/>
      <c r="G319" s="49" t="n"/>
      <c r="H319" s="50" t="inlineStr">
        <is>
          <t>Bodyweight:</t>
        </is>
      </c>
      <c r="I319" s="7" t="n"/>
      <c r="J319" s="49" t="n"/>
      <c r="K319" s="49" t="n"/>
      <c r="L319" s="49" t="n"/>
      <c r="M319" s="49" t="n"/>
      <c r="N319" s="49" t="n"/>
      <c r="O319" s="49" t="n"/>
    </row>
    <row r="320">
      <c r="A320" s="31" t="inlineStr">
        <is>
          <t>Day 1 - Heavy</t>
        </is>
      </c>
      <c r="B320" s="32">
        <f>'Start Here'!$B$8+273</f>
        <v/>
      </c>
      <c r="C320" s="33" t="n"/>
      <c r="D320" s="33" t="n"/>
      <c r="E320" s="33" t="n"/>
      <c r="F320" s="33" t="n"/>
      <c r="G320" s="33" t="n"/>
      <c r="H320" s="33" t="n"/>
      <c r="I320" s="33" t="n"/>
      <c r="J320" s="33" t="n"/>
      <c r="K320" s="33" t="n"/>
      <c r="L320" s="33" t="n"/>
      <c r="M320" s="33" t="n"/>
      <c r="N320" s="33" t="n"/>
      <c r="O320" s="33" t="n"/>
    </row>
    <row r="321">
      <c r="A321" s="34" t="n"/>
      <c r="B321" s="34" t="n"/>
      <c r="C321" s="35" t="inlineStr">
        <is>
          <t>Box Jump</t>
        </is>
      </c>
      <c r="D321" s="34" t="inlineStr">
        <is>
          <t>2 x 3</t>
        </is>
      </c>
      <c r="E321" s="34" t="n"/>
      <c r="F321" s="34" t="n"/>
      <c r="G321" s="36" t="n"/>
      <c r="H321" s="37">
        <f>IF(N(Maxes!H69)&gt;0,Maxes!H69,'Start Here'!$G$16)</f>
        <v/>
      </c>
      <c r="I321" s="34" t="n"/>
      <c r="J321" s="34" t="n"/>
      <c r="K321" s="34" t="n"/>
      <c r="L321" s="34" t="n"/>
      <c r="M321" s="34" t="n"/>
      <c r="N321" s="34" t="n"/>
      <c r="O321" s="38" t="inlineStr">
        <is>
          <t>Two-foot jump onto a box, land soft in a quarter squat, STEP down. Log the box height (floor to top of box).</t>
        </is>
      </c>
    </row>
    <row r="322">
      <c r="C322" t="inlineStr">
        <is>
          <t xml:space="preserve">      Set 1</t>
        </is>
      </c>
      <c r="E322" t="n">
        <v>3</v>
      </c>
      <c r="H322" s="39">
        <f>IF(H321="","",H321)</f>
        <v/>
      </c>
      <c r="I322" s="7">
        <f>IF(H321="","",H321)</f>
        <v/>
      </c>
      <c r="J322" s="7" t="n">
        <v>3</v>
      </c>
      <c r="K322" s="7" t="n"/>
      <c r="L322" s="40" t="n"/>
      <c r="N322" s="41">
        <f>IF(AND(L322&lt;&gt;"",N(I322)&gt;0),IF(I322&gt;=PRs!D69,"PR!",""),"")</f>
        <v/>
      </c>
      <c r="O322" s="7" t="n"/>
    </row>
    <row r="323">
      <c r="C323" t="inlineStr">
        <is>
          <t xml:space="preserve">      Set 2</t>
        </is>
      </c>
      <c r="E323" t="n">
        <v>3</v>
      </c>
      <c r="H323" s="39">
        <f>IF(H321="","",H321)</f>
        <v/>
      </c>
      <c r="I323" s="7">
        <f>IF(H321="","",H321)</f>
        <v/>
      </c>
      <c r="J323" s="7" t="n">
        <v>3</v>
      </c>
      <c r="K323" s="7" t="n"/>
      <c r="L323" s="40" t="n"/>
      <c r="N323" s="41">
        <f>IF(AND(L323&lt;&gt;"",N(I323)&gt;0),IF(I323&gt;=PRs!D69,"PR!",""),"")</f>
        <v/>
      </c>
      <c r="O323" s="7" t="n"/>
    </row>
    <row r="324">
      <c r="A324" s="34" t="n"/>
      <c r="B324" s="34" t="n"/>
      <c r="C324" s="42" t="inlineStr">
        <is>
          <t>Snatch</t>
        </is>
      </c>
      <c r="D324" s="34" t="inlineStr">
        <is>
          <t>2 x 2</t>
        </is>
      </c>
      <c r="E324" s="34" t="n"/>
      <c r="F324" s="34" t="n">
        <v>60</v>
      </c>
      <c r="G324" s="36">
        <f>Maxes!H6</f>
        <v/>
      </c>
      <c r="H324" s="37">
        <f>IF(OR(G324="",F324=""),"",MROUND(G324*F324/100,'Start Here'!$B$7))</f>
        <v/>
      </c>
      <c r="I324" s="34" t="n"/>
      <c r="J324" s="34" t="n"/>
      <c r="K324" s="34" t="n"/>
      <c r="L324" s="34" t="n"/>
      <c r="M324" s="34" t="n"/>
      <c r="N324" s="34" t="n"/>
      <c r="O324" s="38" t="inlineStr">
        <is>
          <t>Easy week - move fast, recover</t>
        </is>
      </c>
    </row>
    <row r="325">
      <c r="C325" t="inlineStr">
        <is>
          <t xml:space="preserve">      Set 1</t>
        </is>
      </c>
      <c r="E325" t="n">
        <v>2</v>
      </c>
      <c r="H325" s="39">
        <f>IF(H324="","",H324)</f>
        <v/>
      </c>
      <c r="I325" s="7">
        <f>IF(H324="","",H324)</f>
        <v/>
      </c>
      <c r="J325" s="7" t="n">
        <v>2</v>
      </c>
      <c r="K325" s="7" t="n"/>
      <c r="L325" s="40" t="n"/>
      <c r="M325">
        <f>IF(AND(L325&lt;&gt;"",N(I325)&gt;0,N(J325)&gt;0),IF(J325=1,I325,ROUND(I325*(1+J325/30),1)),"")</f>
        <v/>
      </c>
      <c r="N325" s="41">
        <f>IF(M325="","",IF(M325&gt;=PRs!C6,"PR!",""))</f>
        <v/>
      </c>
      <c r="O325" s="7" t="n"/>
    </row>
    <row r="326">
      <c r="C326" t="inlineStr">
        <is>
          <t xml:space="preserve">      Set 2</t>
        </is>
      </c>
      <c r="E326" t="n">
        <v>2</v>
      </c>
      <c r="H326" s="39">
        <f>IF(H324="","",H324)</f>
        <v/>
      </c>
      <c r="I326" s="7">
        <f>IF(H324="","",H324)</f>
        <v/>
      </c>
      <c r="J326" s="7" t="n">
        <v>2</v>
      </c>
      <c r="K326" s="7" t="n"/>
      <c r="L326" s="40" t="n"/>
      <c r="M326">
        <f>IF(AND(L326&lt;&gt;"",N(I326)&gt;0,N(J326)&gt;0),IF(J326=1,I326,ROUND(I326*(1+J326/30),1)),"")</f>
        <v/>
      </c>
      <c r="N326" s="41">
        <f>IF(M326="","",IF(M326&gt;=PRs!C6,"PR!",""))</f>
        <v/>
      </c>
      <c r="O326" s="7" t="n"/>
    </row>
    <row r="327">
      <c r="A327" s="34" t="n"/>
      <c r="B327" s="34" t="n"/>
      <c r="C327" s="42" t="inlineStr">
        <is>
          <t>Squat</t>
        </is>
      </c>
      <c r="D327" s="34" t="inlineStr">
        <is>
          <t>2 x 5</t>
        </is>
      </c>
      <c r="E327" s="34" t="n"/>
      <c r="F327" s="34" t="n">
        <v>60</v>
      </c>
      <c r="G327" s="36">
        <f>Maxes!H2</f>
        <v/>
      </c>
      <c r="H327" s="37">
        <f>IF(OR(G327="",F327=""),"",MROUND(G327*F327/100,'Start Here'!$B$7))</f>
        <v/>
      </c>
      <c r="I327" s="34" t="n"/>
      <c r="J327" s="34" t="n"/>
      <c r="K327" s="34" t="n"/>
      <c r="L327" s="34" t="n"/>
      <c r="M327" s="34" t="n"/>
      <c r="N327" s="34" t="n"/>
      <c r="O327" s="38" t="inlineStr">
        <is>
          <t>Easy week - move fast, recover</t>
        </is>
      </c>
    </row>
    <row r="328">
      <c r="C328" t="inlineStr">
        <is>
          <t xml:space="preserve">      Set 1</t>
        </is>
      </c>
      <c r="E328" t="n">
        <v>5</v>
      </c>
      <c r="H328" s="39">
        <f>IF(H327="","",H327)</f>
        <v/>
      </c>
      <c r="I328" s="7">
        <f>IF(H327="","",H327)</f>
        <v/>
      </c>
      <c r="J328" s="7" t="n">
        <v>5</v>
      </c>
      <c r="K328" s="7" t="n"/>
      <c r="L328" s="40" t="n"/>
      <c r="M328">
        <f>IF(AND(L328&lt;&gt;"",N(I328)&gt;0,N(J328)&gt;0),IF(J328=1,I328,ROUND(I328*(1+J328/30),1)),"")</f>
        <v/>
      </c>
      <c r="N328" s="41">
        <f>IF(M328="","",IF(M328&gt;=PRs!C2,"PR!",""))</f>
        <v/>
      </c>
      <c r="O328" s="7" t="n"/>
    </row>
    <row r="329">
      <c r="C329" t="inlineStr">
        <is>
          <t xml:space="preserve">      Set 2</t>
        </is>
      </c>
      <c r="E329" t="n">
        <v>5</v>
      </c>
      <c r="H329" s="39">
        <f>IF(H327="","",H327)</f>
        <v/>
      </c>
      <c r="I329" s="7">
        <f>IF(H327="","",H327)</f>
        <v/>
      </c>
      <c r="J329" s="7" t="n">
        <v>5</v>
      </c>
      <c r="K329" s="7" t="n"/>
      <c r="L329" s="40" t="n"/>
      <c r="M329">
        <f>IF(AND(L329&lt;&gt;"",N(I329)&gt;0,N(J329)&gt;0),IF(J329=1,I329,ROUND(I329*(1+J329/30),1)),"")</f>
        <v/>
      </c>
      <c r="N329" s="41">
        <f>IF(M329="","",IF(M329&gt;=PRs!C2,"PR!",""))</f>
        <v/>
      </c>
      <c r="O329" s="7" t="n"/>
    </row>
    <row r="330">
      <c r="A330" s="34" t="n"/>
      <c r="B330" s="34" t="n"/>
      <c r="C330" s="42" t="inlineStr">
        <is>
          <t>Bench Press</t>
        </is>
      </c>
      <c r="D330" s="34" t="inlineStr">
        <is>
          <t>2 x 5</t>
        </is>
      </c>
      <c r="E330" s="34" t="n"/>
      <c r="F330" s="34" t="n">
        <v>60</v>
      </c>
      <c r="G330" s="36">
        <f>Maxes!H3</f>
        <v/>
      </c>
      <c r="H330" s="37">
        <f>IF(OR(G330="",F330=""),"",MROUND(G330*F330/100,'Start Here'!$B$7))</f>
        <v/>
      </c>
      <c r="I330" s="34" t="n"/>
      <c r="J330" s="34" t="n"/>
      <c r="K330" s="34" t="n"/>
      <c r="L330" s="34" t="n"/>
      <c r="M330" s="34" t="n"/>
      <c r="N330" s="34" t="n"/>
      <c r="O330" s="38" t="inlineStr">
        <is>
          <t>Easy week - move fast, recover</t>
        </is>
      </c>
    </row>
    <row r="331">
      <c r="C331" t="inlineStr">
        <is>
          <t xml:space="preserve">      Set 1</t>
        </is>
      </c>
      <c r="E331" t="n">
        <v>5</v>
      </c>
      <c r="H331" s="39">
        <f>IF(H330="","",H330)</f>
        <v/>
      </c>
      <c r="I331" s="7">
        <f>IF(H330="","",H330)</f>
        <v/>
      </c>
      <c r="J331" s="7" t="n">
        <v>5</v>
      </c>
      <c r="K331" s="7" t="n"/>
      <c r="L331" s="40" t="n"/>
      <c r="M331">
        <f>IF(AND(L331&lt;&gt;"",N(I331)&gt;0,N(J331)&gt;0),IF(J331=1,I331,ROUND(I331*(1+J331/30),1)),"")</f>
        <v/>
      </c>
      <c r="N331" s="41">
        <f>IF(M331="","",IF(M331&gt;=PRs!C3,"PR!",""))</f>
        <v/>
      </c>
      <c r="O331" s="7" t="n"/>
    </row>
    <row r="332">
      <c r="C332" t="inlineStr">
        <is>
          <t xml:space="preserve">      Set 2</t>
        </is>
      </c>
      <c r="E332" t="n">
        <v>5</v>
      </c>
      <c r="H332" s="39">
        <f>IF(H330="","",H330)</f>
        <v/>
      </c>
      <c r="I332" s="7">
        <f>IF(H330="","",H330)</f>
        <v/>
      </c>
      <c r="J332" s="7" t="n">
        <v>5</v>
      </c>
      <c r="K332" s="7" t="n"/>
      <c r="L332" s="40" t="n"/>
      <c r="M332">
        <f>IF(AND(L332&lt;&gt;"",N(I332)&gt;0,N(J332)&gt;0),IF(J332=1,I332,ROUND(I332*(1+J332/30),1)),"")</f>
        <v/>
      </c>
      <c r="N332" s="41">
        <f>IF(M332="","",IF(M332&gt;=PRs!C3,"PR!",""))</f>
        <v/>
      </c>
      <c r="O332" s="7" t="n"/>
    </row>
    <row r="333">
      <c r="A333" s="34" t="n"/>
      <c r="B333" s="34" t="n"/>
      <c r="C333" s="43" t="inlineStr">
        <is>
          <t>Barbell Row</t>
        </is>
      </c>
      <c r="D333" s="34" t="inlineStr">
        <is>
          <t>2 x 8-10</t>
        </is>
      </c>
      <c r="E333" s="34" t="n"/>
      <c r="F333" s="34" t="n"/>
      <c r="G333" s="36" t="n"/>
      <c r="H333" s="37" t="n"/>
      <c r="I333" s="34" t="n"/>
      <c r="J333" s="34" t="n"/>
      <c r="K333" s="34" t="n"/>
      <c r="L333" s="34" t="n"/>
      <c r="M333" s="34" t="n"/>
      <c r="N333" s="34" t="n"/>
      <c r="O333" s="38" t="inlineStr">
        <is>
          <t>Easy - stop well short of failure</t>
        </is>
      </c>
    </row>
    <row r="334">
      <c r="C334" t="inlineStr">
        <is>
          <t xml:space="preserve">      Set 1</t>
        </is>
      </c>
      <c r="E334" t="n">
        <v>8</v>
      </c>
      <c r="H334" s="39">
        <f>IF(H333="","",H333)</f>
        <v/>
      </c>
      <c r="I334" s="7">
        <f>IF(H333="","",H333)</f>
        <v/>
      </c>
      <c r="J334" s="7" t="n">
        <v>8</v>
      </c>
      <c r="K334" s="7" t="n"/>
      <c r="L334" s="40" t="n"/>
      <c r="M334">
        <f>IF(AND(L334&lt;&gt;"",N(I334)&gt;0,N(J334)&gt;0),IF(J334=1,I334,ROUND(I334*(1+J334/30),1)),"")</f>
        <v/>
      </c>
      <c r="N334" s="41">
        <f>IF(M334="","",IF(M334&gt;=PRs!C50,"PR!",""))</f>
        <v/>
      </c>
      <c r="O334" s="7" t="n"/>
    </row>
    <row r="335">
      <c r="C335" t="inlineStr">
        <is>
          <t xml:space="preserve">      Set 2</t>
        </is>
      </c>
      <c r="E335" t="n">
        <v>8</v>
      </c>
      <c r="H335" s="39">
        <f>IF(H333="","",H333)</f>
        <v/>
      </c>
      <c r="I335" s="7">
        <f>IF(H333="","",H333)</f>
        <v/>
      </c>
      <c r="J335" s="7" t="n">
        <v>8</v>
      </c>
      <c r="K335" s="7" t="n"/>
      <c r="L335" s="40" t="n"/>
      <c r="M335">
        <f>IF(AND(L335&lt;&gt;"",N(I335)&gt;0,N(J335)&gt;0),IF(J335=1,I335,ROUND(I335*(1+J335/30),1)),"")</f>
        <v/>
      </c>
      <c r="N335" s="41">
        <f>IF(M335="","",IF(M335&gt;=PRs!C50,"PR!",""))</f>
        <v/>
      </c>
      <c r="O335" s="7" t="n"/>
    </row>
    <row r="336">
      <c r="A336" s="34" t="n"/>
      <c r="B336" s="34" t="n"/>
      <c r="C336" s="43" t="inlineStr">
        <is>
          <t>Face Pull</t>
        </is>
      </c>
      <c r="D336" s="34" t="inlineStr">
        <is>
          <t>2 x 12-15</t>
        </is>
      </c>
      <c r="E336" s="34" t="n"/>
      <c r="F336" s="34" t="n"/>
      <c r="G336" s="36" t="n"/>
      <c r="H336" s="37" t="n"/>
      <c r="I336" s="34" t="n"/>
      <c r="J336" s="34" t="n"/>
      <c r="K336" s="34" t="n"/>
      <c r="L336" s="34" t="n"/>
      <c r="M336" s="34" t="n"/>
      <c r="N336" s="34" t="n"/>
      <c r="O336" s="38" t="inlineStr">
        <is>
          <t>Easy - stop well short of failure</t>
        </is>
      </c>
    </row>
    <row r="337">
      <c r="C337" t="inlineStr">
        <is>
          <t xml:space="preserve">      Set 1</t>
        </is>
      </c>
      <c r="E337" t="n">
        <v>12</v>
      </c>
      <c r="H337" s="39">
        <f>IF(H336="","",H336)</f>
        <v/>
      </c>
      <c r="I337" s="7">
        <f>IF(H336="","",H336)</f>
        <v/>
      </c>
      <c r="J337" s="7" t="n">
        <v>12</v>
      </c>
      <c r="K337" s="7" t="n"/>
      <c r="L337" s="40" t="n"/>
      <c r="M337">
        <f>IF(AND(L337&lt;&gt;"",N(I337)&gt;0,N(J337)&gt;0),IF(J337=1,I337,ROUND(I337*(1+J337/30),1)),"")</f>
        <v/>
      </c>
      <c r="N337" s="41">
        <f>IF(M337="","",IF(M337&gt;=PRs!C51,"PR!",""))</f>
        <v/>
      </c>
      <c r="O337" s="7" t="n"/>
    </row>
    <row r="338">
      <c r="C338" t="inlineStr">
        <is>
          <t xml:space="preserve">      Set 2</t>
        </is>
      </c>
      <c r="E338" t="n">
        <v>12</v>
      </c>
      <c r="H338" s="39">
        <f>IF(H336="","",H336)</f>
        <v/>
      </c>
      <c r="I338" s="7">
        <f>IF(H336="","",H336)</f>
        <v/>
      </c>
      <c r="J338" s="7" t="n">
        <v>12</v>
      </c>
      <c r="K338" s="7" t="n"/>
      <c r="L338" s="40" t="n"/>
      <c r="M338">
        <f>IF(AND(L338&lt;&gt;"",N(I338)&gt;0,N(J338)&gt;0),IF(J338=1,I338,ROUND(I338*(1+J338/30),1)),"")</f>
        <v/>
      </c>
      <c r="N338" s="41">
        <f>IF(M338="","",IF(M338&gt;=PRs!C51,"PR!",""))</f>
        <v/>
      </c>
      <c r="O338" s="7" t="n"/>
    </row>
    <row r="339">
      <c r="A339" s="31" t="inlineStr">
        <is>
          <t>Day 2 - Light</t>
        </is>
      </c>
      <c r="B339" s="32">
        <f>'Start Here'!$B$8+275</f>
        <v/>
      </c>
      <c r="C339" s="33" t="n"/>
      <c r="D339" s="33" t="n"/>
      <c r="E339" s="33" t="n"/>
      <c r="F339" s="33" t="n"/>
      <c r="G339" s="33" t="n"/>
      <c r="H339" s="33" t="n"/>
      <c r="I339" s="33" t="n"/>
      <c r="J339" s="33" t="n"/>
      <c r="K339" s="33" t="n"/>
      <c r="L339" s="33" t="n"/>
      <c r="M339" s="33" t="n"/>
      <c r="N339" s="33" t="n"/>
      <c r="O339" s="33" t="n"/>
    </row>
    <row r="340">
      <c r="A340" s="34" t="n"/>
      <c r="B340" s="34" t="n"/>
      <c r="C340" s="35" t="inlineStr">
        <is>
          <t>Broad Jump</t>
        </is>
      </c>
      <c r="D340" s="34" t="inlineStr">
        <is>
          <t>2 x 3</t>
        </is>
      </c>
      <c r="E340" s="34" t="n"/>
      <c r="F340" s="34" t="n"/>
      <c r="G340" s="36" t="n"/>
      <c r="H340" s="37">
        <f>IF(N(Maxes!H70)&gt;0,Maxes!H70,"")</f>
        <v/>
      </c>
      <c r="I340" s="34" t="n"/>
      <c r="J340" s="34" t="n"/>
      <c r="K340" s="34" t="n"/>
      <c r="L340" s="34" t="n"/>
      <c r="M340" s="34" t="n"/>
      <c r="N340" s="34" t="n"/>
      <c r="O340" s="38" t="inlineStr">
        <is>
          <t>Standing two-foot jump forward, stick the landing. Measure toe line to the back of the nearest heel.</t>
        </is>
      </c>
    </row>
    <row r="341">
      <c r="C341" t="inlineStr">
        <is>
          <t xml:space="preserve">      Set 1</t>
        </is>
      </c>
      <c r="E341" t="n">
        <v>3</v>
      </c>
      <c r="H341" s="39">
        <f>IF(H340="","",H340)</f>
        <v/>
      </c>
      <c r="I341" s="7">
        <f>IF(H340="","",H340)</f>
        <v/>
      </c>
      <c r="J341" s="7" t="n">
        <v>3</v>
      </c>
      <c r="K341" s="7" t="n"/>
      <c r="L341" s="40" t="n"/>
      <c r="N341" s="41">
        <f>IF(AND(L341&lt;&gt;"",N(I341)&gt;0),IF(I341&gt;=PRs!D70,"PR!",""),"")</f>
        <v/>
      </c>
      <c r="O341" s="7" t="n"/>
    </row>
    <row r="342">
      <c r="C342" t="inlineStr">
        <is>
          <t xml:space="preserve">      Set 2</t>
        </is>
      </c>
      <c r="E342" t="n">
        <v>3</v>
      </c>
      <c r="H342" s="39">
        <f>IF(H340="","",H340)</f>
        <v/>
      </c>
      <c r="I342" s="7">
        <f>IF(H340="","",H340)</f>
        <v/>
      </c>
      <c r="J342" s="7" t="n">
        <v>3</v>
      </c>
      <c r="K342" s="7" t="n"/>
      <c r="L342" s="40" t="n"/>
      <c r="N342" s="41">
        <f>IF(AND(L342&lt;&gt;"",N(I342)&gt;0),IF(I342&gt;=PRs!D70,"PR!",""),"")</f>
        <v/>
      </c>
      <c r="O342" s="7" t="n"/>
    </row>
    <row r="343">
      <c r="A343" s="34" t="n"/>
      <c r="B343" s="34" t="n"/>
      <c r="C343" s="35" t="inlineStr">
        <is>
          <t>Med Ball Chest Pass</t>
        </is>
      </c>
      <c r="D343" s="34" t="inlineStr">
        <is>
          <t>2 x 3</t>
        </is>
      </c>
      <c r="E343" s="34" t="n"/>
      <c r="F343" s="34" t="n"/>
      <c r="G343" s="36" t="n"/>
      <c r="H343" s="37">
        <f>IF(N(Maxes!H77)&gt;0,Maxes!H77,"")</f>
        <v/>
      </c>
      <c r="I343" s="34" t="n"/>
      <c r="J343" s="34" t="n"/>
      <c r="K343" s="34" t="n"/>
      <c r="L343" s="34" t="n"/>
      <c r="M343" s="34" t="n"/>
      <c r="N343" s="34" t="n"/>
      <c r="O343" s="38" t="inlineStr">
        <is>
          <t>Kneeling or standing chest pass for distance with a 6-10 lb / 3-5 kg ball. Log the distance.</t>
        </is>
      </c>
    </row>
    <row r="344">
      <c r="C344" t="inlineStr">
        <is>
          <t xml:space="preserve">      Set 1</t>
        </is>
      </c>
      <c r="E344" t="n">
        <v>3</v>
      </c>
      <c r="H344" s="39">
        <f>IF(H343="","",H343)</f>
        <v/>
      </c>
      <c r="I344" s="7">
        <f>IF(H343="","",H343)</f>
        <v/>
      </c>
      <c r="J344" s="7" t="n">
        <v>3</v>
      </c>
      <c r="K344" s="7" t="n"/>
      <c r="L344" s="40" t="n"/>
      <c r="N344" s="41">
        <f>IF(AND(L344&lt;&gt;"",N(I344)&gt;0),IF(I344&gt;=PRs!D77,"PR!",""),"")</f>
        <v/>
      </c>
      <c r="O344" s="7" t="n"/>
    </row>
    <row r="345">
      <c r="C345" t="inlineStr">
        <is>
          <t xml:space="preserve">      Set 2</t>
        </is>
      </c>
      <c r="E345" t="n">
        <v>3</v>
      </c>
      <c r="H345" s="39">
        <f>IF(H343="","",H343)</f>
        <v/>
      </c>
      <c r="I345" s="7">
        <f>IF(H343="","",H343)</f>
        <v/>
      </c>
      <c r="J345" s="7" t="n">
        <v>3</v>
      </c>
      <c r="K345" s="7" t="n"/>
      <c r="L345" s="40" t="n"/>
      <c r="N345" s="41">
        <f>IF(AND(L345&lt;&gt;"",N(I345)&gt;0),IF(I345&gt;=PRs!D77,"PR!",""),"")</f>
        <v/>
      </c>
      <c r="O345" s="7" t="n"/>
    </row>
    <row r="346">
      <c r="A346" s="34" t="n"/>
      <c r="B346" s="34" t="n"/>
      <c r="C346" s="42" t="inlineStr">
        <is>
          <t>Clean &amp; Jerk</t>
        </is>
      </c>
      <c r="D346" s="34" t="inlineStr">
        <is>
          <t>2 x 2</t>
        </is>
      </c>
      <c r="E346" s="34" t="n"/>
      <c r="F346" s="34" t="n">
        <v>60</v>
      </c>
      <c r="G346" s="36">
        <f>Maxes!H7</f>
        <v/>
      </c>
      <c r="H346" s="37">
        <f>IF(OR(G346="",F346=""),"",MROUND(G346*F346/100,'Start Here'!$B$7))</f>
        <v/>
      </c>
      <c r="I346" s="34" t="n"/>
      <c r="J346" s="34" t="n"/>
      <c r="K346" s="34" t="n"/>
      <c r="L346" s="34" t="n"/>
      <c r="M346" s="34" t="n"/>
      <c r="N346" s="34" t="n"/>
      <c r="O346" s="38" t="inlineStr">
        <is>
          <t>Easy week - move fast, recover</t>
        </is>
      </c>
    </row>
    <row r="347">
      <c r="C347" t="inlineStr">
        <is>
          <t xml:space="preserve">      Set 1</t>
        </is>
      </c>
      <c r="E347" t="n">
        <v>2</v>
      </c>
      <c r="H347" s="39">
        <f>IF(H346="","",H346)</f>
        <v/>
      </c>
      <c r="I347" s="7">
        <f>IF(H346="","",H346)</f>
        <v/>
      </c>
      <c r="J347" s="7" t="n">
        <v>2</v>
      </c>
      <c r="K347" s="7" t="n"/>
      <c r="L347" s="40" t="n"/>
      <c r="M347">
        <f>IF(AND(L347&lt;&gt;"",N(I347)&gt;0,N(J347)&gt;0),IF(J347=1,I347,ROUND(I347*(1+J347/30),1)),"")</f>
        <v/>
      </c>
      <c r="N347" s="41">
        <f>IF(M347="","",IF(M347&gt;=PRs!C7,"PR!",""))</f>
        <v/>
      </c>
      <c r="O347" s="7" t="n"/>
    </row>
    <row r="348">
      <c r="C348" t="inlineStr">
        <is>
          <t xml:space="preserve">      Set 2</t>
        </is>
      </c>
      <c r="E348" t="n">
        <v>2</v>
      </c>
      <c r="H348" s="39">
        <f>IF(H346="","",H346)</f>
        <v/>
      </c>
      <c r="I348" s="7">
        <f>IF(H346="","",H346)</f>
        <v/>
      </c>
      <c r="J348" s="7" t="n">
        <v>2</v>
      </c>
      <c r="K348" s="7" t="n"/>
      <c r="L348" s="40" t="n"/>
      <c r="M348">
        <f>IF(AND(L348&lt;&gt;"",N(I348)&gt;0,N(J348)&gt;0),IF(J348=1,I348,ROUND(I348*(1+J348/30),1)),"")</f>
        <v/>
      </c>
      <c r="N348" s="41">
        <f>IF(M348="","",IF(M348&gt;=PRs!C7,"PR!",""))</f>
        <v/>
      </c>
      <c r="O348" s="7" t="n"/>
    </row>
    <row r="349">
      <c r="A349" s="34" t="n"/>
      <c r="B349" s="34" t="n"/>
      <c r="C349" s="42" t="inlineStr">
        <is>
          <t>Squat</t>
        </is>
      </c>
      <c r="D349" s="34" t="inlineStr">
        <is>
          <t>2 x 5</t>
        </is>
      </c>
      <c r="E349" s="34" t="n"/>
      <c r="F349" s="34" t="n">
        <v>60</v>
      </c>
      <c r="G349" s="36">
        <f>Maxes!H2</f>
        <v/>
      </c>
      <c r="H349" s="37">
        <f>IF(OR(G349="",F349=""),"",MROUND(G349*F349/100,'Start Here'!$B$7))</f>
        <v/>
      </c>
      <c r="I349" s="34" t="n"/>
      <c r="J349" s="34" t="n"/>
      <c r="K349" s="34" t="n"/>
      <c r="L349" s="34" t="n"/>
      <c r="M349" s="34" t="n"/>
      <c r="N349" s="34" t="n"/>
      <c r="O349" s="38" t="inlineStr">
        <is>
          <t>Easy week - move fast, recover</t>
        </is>
      </c>
    </row>
    <row r="350">
      <c r="C350" t="inlineStr">
        <is>
          <t xml:space="preserve">      Set 1</t>
        </is>
      </c>
      <c r="E350" t="n">
        <v>5</v>
      </c>
      <c r="H350" s="39">
        <f>IF(H349="","",H349)</f>
        <v/>
      </c>
      <c r="I350" s="7">
        <f>IF(H349="","",H349)</f>
        <v/>
      </c>
      <c r="J350" s="7" t="n">
        <v>5</v>
      </c>
      <c r="K350" s="7" t="n"/>
      <c r="L350" s="40" t="n"/>
      <c r="M350">
        <f>IF(AND(L350&lt;&gt;"",N(I350)&gt;0,N(J350)&gt;0),IF(J350=1,I350,ROUND(I350*(1+J350/30),1)),"")</f>
        <v/>
      </c>
      <c r="N350" s="41">
        <f>IF(M350="","",IF(M350&gt;=PRs!C2,"PR!",""))</f>
        <v/>
      </c>
      <c r="O350" s="7" t="n"/>
    </row>
    <row r="351">
      <c r="C351" t="inlineStr">
        <is>
          <t xml:space="preserve">      Set 2</t>
        </is>
      </c>
      <c r="E351" t="n">
        <v>5</v>
      </c>
      <c r="H351" s="39">
        <f>IF(H349="","",H349)</f>
        <v/>
      </c>
      <c r="I351" s="7">
        <f>IF(H349="","",H349)</f>
        <v/>
      </c>
      <c r="J351" s="7" t="n">
        <v>5</v>
      </c>
      <c r="K351" s="7" t="n"/>
      <c r="L351" s="40" t="n"/>
      <c r="M351">
        <f>IF(AND(L351&lt;&gt;"",N(I351)&gt;0,N(J351)&gt;0),IF(J351=1,I351,ROUND(I351*(1+J351/30),1)),"")</f>
        <v/>
      </c>
      <c r="N351" s="41">
        <f>IF(M351="","",IF(M351&gt;=PRs!C2,"PR!",""))</f>
        <v/>
      </c>
      <c r="O351" s="7" t="n"/>
    </row>
    <row r="352">
      <c r="A352" s="34" t="n"/>
      <c r="B352" s="34" t="n"/>
      <c r="C352" s="42" t="inlineStr">
        <is>
          <t>Overhead Press</t>
        </is>
      </c>
      <c r="D352" s="34" t="inlineStr">
        <is>
          <t>2 x 5</t>
        </is>
      </c>
      <c r="E352" s="34" t="n"/>
      <c r="F352" s="34" t="n">
        <v>60</v>
      </c>
      <c r="G352" s="36">
        <f>Maxes!H5</f>
        <v/>
      </c>
      <c r="H352" s="37">
        <f>IF(OR(G352="",F352=""),"",MROUND(G352*F352/100,'Start Here'!$B$7))</f>
        <v/>
      </c>
      <c r="I352" s="34" t="n"/>
      <c r="J352" s="34" t="n"/>
      <c r="K352" s="34" t="n"/>
      <c r="L352" s="34" t="n"/>
      <c r="M352" s="34" t="n"/>
      <c r="N352" s="34" t="n"/>
      <c r="O352" s="38" t="inlineStr">
        <is>
          <t>Easy week - move fast, recover</t>
        </is>
      </c>
    </row>
    <row r="353">
      <c r="C353" t="inlineStr">
        <is>
          <t xml:space="preserve">      Set 1</t>
        </is>
      </c>
      <c r="E353" t="n">
        <v>5</v>
      </c>
      <c r="H353" s="39">
        <f>IF(H352="","",H352)</f>
        <v/>
      </c>
      <c r="I353" s="7">
        <f>IF(H352="","",H352)</f>
        <v/>
      </c>
      <c r="J353" s="7" t="n">
        <v>5</v>
      </c>
      <c r="K353" s="7" t="n"/>
      <c r="L353" s="40" t="n"/>
      <c r="M353">
        <f>IF(AND(L353&lt;&gt;"",N(I353)&gt;0,N(J353)&gt;0),IF(J353=1,I353,ROUND(I353*(1+J353/30),1)),"")</f>
        <v/>
      </c>
      <c r="N353" s="41">
        <f>IF(M353="","",IF(M353&gt;=PRs!C5,"PR!",""))</f>
        <v/>
      </c>
      <c r="O353" s="7" t="n"/>
    </row>
    <row r="354">
      <c r="C354" t="inlineStr">
        <is>
          <t xml:space="preserve">      Set 2</t>
        </is>
      </c>
      <c r="E354" t="n">
        <v>5</v>
      </c>
      <c r="H354" s="39">
        <f>IF(H352="","",H352)</f>
        <v/>
      </c>
      <c r="I354" s="7">
        <f>IF(H352="","",H352)</f>
        <v/>
      </c>
      <c r="J354" s="7" t="n">
        <v>5</v>
      </c>
      <c r="K354" s="7" t="n"/>
      <c r="L354" s="40" t="n"/>
      <c r="M354">
        <f>IF(AND(L354&lt;&gt;"",N(I354)&gt;0,N(J354)&gt;0),IF(J354=1,I354,ROUND(I354*(1+J354/30),1)),"")</f>
        <v/>
      </c>
      <c r="N354" s="41">
        <f>IF(M354="","",IF(M354&gt;=PRs!C5,"PR!",""))</f>
        <v/>
      </c>
      <c r="O354" s="7" t="n"/>
    </row>
    <row r="355">
      <c r="A355" s="34" t="n"/>
      <c r="B355" s="34" t="n"/>
      <c r="C355" s="42" t="inlineStr">
        <is>
          <t>Deadlift</t>
        </is>
      </c>
      <c r="D355" s="34" t="inlineStr">
        <is>
          <t>2 x 5</t>
        </is>
      </c>
      <c r="E355" s="34" t="n"/>
      <c r="F355" s="34" t="n">
        <v>60</v>
      </c>
      <c r="G355" s="36">
        <f>Maxes!H4</f>
        <v/>
      </c>
      <c r="H355" s="37">
        <f>IF(OR(G355="",F355=""),"",MROUND(G355*F355/100,'Start Here'!$B$7))</f>
        <v/>
      </c>
      <c r="I355" s="34" t="n"/>
      <c r="J355" s="34" t="n"/>
      <c r="K355" s="34" t="n"/>
      <c r="L355" s="34" t="n"/>
      <c r="M355" s="34" t="n"/>
      <c r="N355" s="34" t="n"/>
      <c r="O355" s="38" t="inlineStr">
        <is>
          <t>Easy week - move fast, recover</t>
        </is>
      </c>
    </row>
    <row r="356">
      <c r="C356" t="inlineStr">
        <is>
          <t xml:space="preserve">      Set 1</t>
        </is>
      </c>
      <c r="E356" t="n">
        <v>5</v>
      </c>
      <c r="H356" s="39">
        <f>IF(H355="","",H355)</f>
        <v/>
      </c>
      <c r="I356" s="7">
        <f>IF(H355="","",H355)</f>
        <v/>
      </c>
      <c r="J356" s="7" t="n">
        <v>5</v>
      </c>
      <c r="K356" s="7" t="n"/>
      <c r="L356" s="40" t="n"/>
      <c r="M356">
        <f>IF(AND(L356&lt;&gt;"",N(I356)&gt;0,N(J356)&gt;0),IF(J356=1,I356,ROUND(I356*(1+J356/30),1)),"")</f>
        <v/>
      </c>
      <c r="N356" s="41">
        <f>IF(M356="","",IF(M356&gt;=PRs!C4,"PR!",""))</f>
        <v/>
      </c>
      <c r="O356" s="7" t="n"/>
    </row>
    <row r="357">
      <c r="C357" t="inlineStr">
        <is>
          <t xml:space="preserve">      Set 2</t>
        </is>
      </c>
      <c r="E357" t="n">
        <v>5</v>
      </c>
      <c r="H357" s="39">
        <f>IF(H355="","",H355)</f>
        <v/>
      </c>
      <c r="I357" s="7">
        <f>IF(H355="","",H355)</f>
        <v/>
      </c>
      <c r="J357" s="7" t="n">
        <v>5</v>
      </c>
      <c r="K357" s="7" t="n"/>
      <c r="L357" s="40" t="n"/>
      <c r="M357">
        <f>IF(AND(L357&lt;&gt;"",N(I357)&gt;0,N(J357)&gt;0),IF(J357=1,I357,ROUND(I357*(1+J357/30),1)),"")</f>
        <v/>
      </c>
      <c r="N357" s="41">
        <f>IF(M357="","",IF(M357&gt;=PRs!C4,"PR!",""))</f>
        <v/>
      </c>
      <c r="O357" s="7" t="n"/>
    </row>
    <row r="358">
      <c r="A358" s="34" t="n"/>
      <c r="B358" s="34" t="n"/>
      <c r="C358" s="43" t="inlineStr">
        <is>
          <t>Chin-up</t>
        </is>
      </c>
      <c r="D358" s="34" t="inlineStr">
        <is>
          <t>2 x 6-10</t>
        </is>
      </c>
      <c r="E358" s="34" t="n"/>
      <c r="F358" s="34" t="n"/>
      <c r="G358" s="36" t="n"/>
      <c r="H358" s="37" t="n"/>
      <c r="I358" s="34" t="n"/>
      <c r="J358" s="34" t="n"/>
      <c r="K358" s="34" t="n"/>
      <c r="L358" s="34" t="n"/>
      <c r="M358" s="34" t="n"/>
      <c r="N358" s="34" t="n"/>
      <c r="O358" s="38" t="inlineStr">
        <is>
          <t>Easy - stop well short of failure</t>
        </is>
      </c>
    </row>
    <row r="359">
      <c r="C359" t="inlineStr">
        <is>
          <t xml:space="preserve">      Set 1</t>
        </is>
      </c>
      <c r="E359" t="n">
        <v>6</v>
      </c>
      <c r="H359" s="39">
        <f>IF(H358="","",H358)</f>
        <v/>
      </c>
      <c r="I359" s="7">
        <f>IF(H358="","",H358)</f>
        <v/>
      </c>
      <c r="J359" s="7" t="n">
        <v>6</v>
      </c>
      <c r="K359" s="7" t="n"/>
      <c r="L359" s="40" t="n"/>
      <c r="M359">
        <f>IF(AND(L359&lt;&gt;"",N(I359)&gt;0,N(J359)&gt;0),IF(J359=1,I359,ROUND(I359*(1+J359/30),1)),"")</f>
        <v/>
      </c>
      <c r="N359" s="41">
        <f>IF(M359="","",IF(M359&gt;=PRs!C53,"PR!",""))</f>
        <v/>
      </c>
      <c r="O359" s="7" t="n"/>
    </row>
    <row r="360">
      <c r="C360" t="inlineStr">
        <is>
          <t xml:space="preserve">      Set 2</t>
        </is>
      </c>
      <c r="E360" t="n">
        <v>6</v>
      </c>
      <c r="H360" s="39">
        <f>IF(H358="","",H358)</f>
        <v/>
      </c>
      <c r="I360" s="7">
        <f>IF(H358="","",H358)</f>
        <v/>
      </c>
      <c r="J360" s="7" t="n">
        <v>6</v>
      </c>
      <c r="K360" s="7" t="n"/>
      <c r="L360" s="40" t="n"/>
      <c r="M360">
        <f>IF(AND(L360&lt;&gt;"",N(I360)&gt;0,N(J360)&gt;0),IF(J360=1,I360,ROUND(I360*(1+J360/30),1)),"")</f>
        <v/>
      </c>
      <c r="N360" s="41">
        <f>IF(M360="","",IF(M360&gt;=PRs!C53,"PR!",""))</f>
        <v/>
      </c>
      <c r="O360" s="7" t="n"/>
    </row>
    <row r="361">
      <c r="A361" s="34" t="n"/>
      <c r="B361" s="34" t="n"/>
      <c r="C361" s="43" t="inlineStr">
        <is>
          <t>Plank</t>
        </is>
      </c>
      <c r="D361" s="34" t="inlineStr">
        <is>
          <t>2 x 30-60s</t>
        </is>
      </c>
      <c r="E361" s="34" t="n"/>
      <c r="F361" s="34" t="n"/>
      <c r="G361" s="36" t="n"/>
      <c r="H361" s="37" t="n"/>
      <c r="I361" s="34" t="n"/>
      <c r="J361" s="34" t="n"/>
      <c r="K361" s="34" t="n"/>
      <c r="L361" s="34" t="n"/>
      <c r="M361" s="34" t="n"/>
      <c r="N361" s="34" t="n"/>
      <c r="O361" s="38" t="inlineStr">
        <is>
          <t>Easy - stop well short of failure</t>
        </is>
      </c>
    </row>
    <row r="362">
      <c r="C362" t="inlineStr">
        <is>
          <t xml:space="preserve">      Set 1</t>
        </is>
      </c>
      <c r="E362" t="n">
        <v>30</v>
      </c>
      <c r="H362" s="39">
        <f>IF(H361="","",H361)</f>
        <v/>
      </c>
      <c r="I362" s="7">
        <f>IF(H361="","",H361)</f>
        <v/>
      </c>
      <c r="J362" s="7" t="n">
        <v>30</v>
      </c>
      <c r="K362" s="7" t="n"/>
      <c r="L362" s="40" t="n"/>
      <c r="M362">
        <f>IF(AND(L362&lt;&gt;"",N(I362)&gt;0,N(J362)&gt;0),IF(J362=1,I362,ROUND(I362*(1+J362/30),1)),"")</f>
        <v/>
      </c>
      <c r="N362" s="41">
        <f>IF(M362="","",IF(M362&gt;=PRs!C56,"PR!",""))</f>
        <v/>
      </c>
      <c r="O362" s="7" t="n"/>
    </row>
    <row r="363">
      <c r="C363" t="inlineStr">
        <is>
          <t xml:space="preserve">      Set 2</t>
        </is>
      </c>
      <c r="E363" t="n">
        <v>30</v>
      </c>
      <c r="H363" s="39">
        <f>IF(H361="","",H361)</f>
        <v/>
      </c>
      <c r="I363" s="7">
        <f>IF(H361="","",H361)</f>
        <v/>
      </c>
      <c r="J363" s="7" t="n">
        <v>30</v>
      </c>
      <c r="K363" s="7" t="n"/>
      <c r="L363" s="40" t="n"/>
      <c r="M363">
        <f>IF(AND(L363&lt;&gt;"",N(I363)&gt;0,N(J363)&gt;0),IF(J363=1,I363,ROUND(I363*(1+J363/30),1)),"")</f>
        <v/>
      </c>
      <c r="N363" s="41">
        <f>IF(M363="","",IF(M363&gt;=PRs!C56,"PR!",""))</f>
        <v/>
      </c>
      <c r="O363" s="7" t="n"/>
    </row>
    <row r="364">
      <c r="A364" s="31" t="inlineStr">
        <is>
          <t>Day 3 - Variations</t>
        </is>
      </c>
      <c r="B364" s="32">
        <f>'Start Here'!$B$8+277</f>
        <v/>
      </c>
      <c r="C364" s="33" t="n"/>
      <c r="D364" s="33" t="n"/>
      <c r="E364" s="33" t="n"/>
      <c r="F364" s="33" t="n"/>
      <c r="G364" s="33" t="n"/>
      <c r="H364" s="33" t="n"/>
      <c r="I364" s="33" t="n"/>
      <c r="J364" s="33" t="n"/>
      <c r="K364" s="33" t="n"/>
      <c r="L364" s="33" t="n"/>
      <c r="M364" s="33" t="n"/>
      <c r="N364" s="33" t="n"/>
      <c r="O364" s="33" t="n"/>
    </row>
    <row r="365">
      <c r="A365" s="34" t="n"/>
      <c r="B365" s="34" t="n"/>
      <c r="C365" s="35" t="inlineStr">
        <is>
          <t>Lateral Bound</t>
        </is>
      </c>
      <c r="D365" s="34" t="inlineStr">
        <is>
          <t>2 x 3</t>
        </is>
      </c>
      <c r="E365" s="34" t="n"/>
      <c r="F365" s="34" t="n"/>
      <c r="G365" s="36" t="n"/>
      <c r="H365" s="37">
        <f>IF(N(Maxes!H74)&gt;0,Maxes!H74,"")</f>
        <v/>
      </c>
      <c r="I365" s="34" t="n"/>
      <c r="J365" s="34" t="n"/>
      <c r="K365" s="34" t="n"/>
      <c r="L365" s="34" t="n"/>
      <c r="M365" s="34" t="n"/>
      <c r="N365" s="34" t="n"/>
      <c r="O365" s="38" t="inlineStr">
        <is>
          <t>Single-leg bound sideways, stick the landing on the other leg, then back. Log distance (each side counts as a rep).</t>
        </is>
      </c>
    </row>
    <row r="366">
      <c r="C366" t="inlineStr">
        <is>
          <t xml:space="preserve">      Set 1</t>
        </is>
      </c>
      <c r="E366" t="n">
        <v>3</v>
      </c>
      <c r="H366" s="39">
        <f>IF(H365="","",H365)</f>
        <v/>
      </c>
      <c r="I366" s="7">
        <f>IF(H365="","",H365)</f>
        <v/>
      </c>
      <c r="J366" s="7" t="n">
        <v>3</v>
      </c>
      <c r="K366" s="7" t="n"/>
      <c r="L366" s="40" t="n"/>
      <c r="N366" s="41">
        <f>IF(AND(L366&lt;&gt;"",N(I366)&gt;0),IF(I366&gt;=PRs!D74,"PR!",""),"")</f>
        <v/>
      </c>
      <c r="O366" s="7" t="n"/>
    </row>
    <row r="367">
      <c r="C367" t="inlineStr">
        <is>
          <t xml:space="preserve">      Set 2</t>
        </is>
      </c>
      <c r="E367" t="n">
        <v>3</v>
      </c>
      <c r="H367" s="39">
        <f>IF(H365="","",H365)</f>
        <v/>
      </c>
      <c r="I367" s="7">
        <f>IF(H365="","",H365)</f>
        <v/>
      </c>
      <c r="J367" s="7" t="n">
        <v>3</v>
      </c>
      <c r="K367" s="7" t="n"/>
      <c r="L367" s="40" t="n"/>
      <c r="N367" s="41">
        <f>IF(AND(L367&lt;&gt;"",N(I367)&gt;0),IF(I367&gt;=PRs!D74,"PR!",""),"")</f>
        <v/>
      </c>
      <c r="O367" s="7" t="n"/>
    </row>
    <row r="368">
      <c r="A368" s="34" t="n"/>
      <c r="B368" s="34" t="n"/>
      <c r="C368" s="42" t="inlineStr">
        <is>
          <t>Power Clean</t>
        </is>
      </c>
      <c r="D368" s="34" t="inlineStr">
        <is>
          <t>2 x 2</t>
        </is>
      </c>
      <c r="E368" s="34" t="n"/>
      <c r="F368" s="34" t="n">
        <v>60</v>
      </c>
      <c r="G368" s="36">
        <f>Maxes!H42</f>
        <v/>
      </c>
      <c r="H368" s="37">
        <f>IF(OR(G368="",F368=""),"",MROUND(G368*F368/100,'Start Here'!$B$7))</f>
        <v/>
      </c>
      <c r="I368" s="34" t="n"/>
      <c r="J368" s="34" t="n"/>
      <c r="K368" s="34" t="n"/>
      <c r="L368" s="34" t="n"/>
      <c r="M368" s="34" t="n"/>
      <c r="N368" s="34" t="n"/>
      <c r="O368" s="38" t="inlineStr">
        <is>
          <t>Easy week - move fast, recover</t>
        </is>
      </c>
    </row>
    <row r="369">
      <c r="C369" t="inlineStr">
        <is>
          <t xml:space="preserve">      Set 1</t>
        </is>
      </c>
      <c r="E369" t="n">
        <v>2</v>
      </c>
      <c r="H369" s="39">
        <f>IF(H368="","",H368)</f>
        <v/>
      </c>
      <c r="I369" s="7">
        <f>IF(H368="","",H368)</f>
        <v/>
      </c>
      <c r="J369" s="7" t="n">
        <v>2</v>
      </c>
      <c r="K369" s="7" t="n"/>
      <c r="L369" s="40" t="n"/>
      <c r="M369">
        <f>IF(AND(L369&lt;&gt;"",N(I369)&gt;0,N(J369)&gt;0),IF(J369=1,I369,ROUND(I369*(1+J369/30),1)),"")</f>
        <v/>
      </c>
      <c r="N369" s="41">
        <f>IF(M369="","",IF(M369&gt;=PRs!C42,"PR!",""))</f>
        <v/>
      </c>
      <c r="O369" s="7" t="n"/>
    </row>
    <row r="370">
      <c r="C370" t="inlineStr">
        <is>
          <t xml:space="preserve">      Set 2</t>
        </is>
      </c>
      <c r="E370" t="n">
        <v>2</v>
      </c>
      <c r="H370" s="39">
        <f>IF(H368="","",H368)</f>
        <v/>
      </c>
      <c r="I370" s="7">
        <f>IF(H368="","",H368)</f>
        <v/>
      </c>
      <c r="J370" s="7" t="n">
        <v>2</v>
      </c>
      <c r="K370" s="7" t="n"/>
      <c r="L370" s="40" t="n"/>
      <c r="M370">
        <f>IF(AND(L370&lt;&gt;"",N(I370)&gt;0,N(J370)&gt;0),IF(J370=1,I370,ROUND(I370*(1+J370/30),1)),"")</f>
        <v/>
      </c>
      <c r="N370" s="41">
        <f>IF(M370="","",IF(M370&gt;=PRs!C42,"PR!",""))</f>
        <v/>
      </c>
      <c r="O370" s="7" t="n"/>
    </row>
    <row r="371">
      <c r="A371" s="34" t="n"/>
      <c r="B371" s="34" t="n"/>
      <c r="C371" s="42" t="inlineStr">
        <is>
          <t>Pin Squat</t>
        </is>
      </c>
      <c r="D371" s="34" t="inlineStr">
        <is>
          <t>2 x 5</t>
        </is>
      </c>
      <c r="E371" s="34" t="n"/>
      <c r="F371" s="34" t="n">
        <v>60</v>
      </c>
      <c r="G371" s="36">
        <f>Maxes!H12</f>
        <v/>
      </c>
      <c r="H371" s="37">
        <f>IF(OR(G371="",F371=""),"",MROUND(G371*F371/100,'Start Here'!$B$7))</f>
        <v/>
      </c>
      <c r="I371" s="34" t="n"/>
      <c r="J371" s="34" t="n"/>
      <c r="K371" s="34" t="n"/>
      <c r="L371" s="34" t="n"/>
      <c r="M371" s="34" t="n"/>
      <c r="N371" s="34" t="n"/>
      <c r="O371" s="38" t="inlineStr">
        <is>
          <t>Easy week - move fast, recover</t>
        </is>
      </c>
    </row>
    <row r="372">
      <c r="C372" t="inlineStr">
        <is>
          <t xml:space="preserve">      Set 1</t>
        </is>
      </c>
      <c r="E372" t="n">
        <v>5</v>
      </c>
      <c r="H372" s="39">
        <f>IF(H371="","",H371)</f>
        <v/>
      </c>
      <c r="I372" s="7">
        <f>IF(H371="","",H371)</f>
        <v/>
      </c>
      <c r="J372" s="7" t="n">
        <v>5</v>
      </c>
      <c r="K372" s="7" t="n"/>
      <c r="L372" s="40" t="n"/>
      <c r="M372">
        <f>IF(AND(L372&lt;&gt;"",N(I372)&gt;0,N(J372)&gt;0),IF(J372=1,I372,ROUND(I372*(1+J372/30),1)),"")</f>
        <v/>
      </c>
      <c r="N372" s="41">
        <f>IF(M372="","",IF(M372&gt;=PRs!C12,"PR!",""))</f>
        <v/>
      </c>
      <c r="O372" s="7" t="n"/>
    </row>
    <row r="373">
      <c r="C373" t="inlineStr">
        <is>
          <t xml:space="preserve">      Set 2</t>
        </is>
      </c>
      <c r="E373" t="n">
        <v>5</v>
      </c>
      <c r="H373" s="39">
        <f>IF(H371="","",H371)</f>
        <v/>
      </c>
      <c r="I373" s="7">
        <f>IF(H371="","",H371)</f>
        <v/>
      </c>
      <c r="J373" s="7" t="n">
        <v>5</v>
      </c>
      <c r="K373" s="7" t="n"/>
      <c r="L373" s="40" t="n"/>
      <c r="M373">
        <f>IF(AND(L373&lt;&gt;"",N(I373)&gt;0,N(J373)&gt;0),IF(J373=1,I373,ROUND(I373*(1+J373/30),1)),"")</f>
        <v/>
      </c>
      <c r="N373" s="41">
        <f>IF(M373="","",IF(M373&gt;=PRs!C12,"PR!",""))</f>
        <v/>
      </c>
      <c r="O373" s="7" t="n"/>
    </row>
    <row r="374">
      <c r="A374" s="34" t="n"/>
      <c r="B374" s="34" t="n"/>
      <c r="C374" s="42" t="inlineStr">
        <is>
          <t>Pause Bench Press</t>
        </is>
      </c>
      <c r="D374" s="34" t="inlineStr">
        <is>
          <t>2 x 5</t>
        </is>
      </c>
      <c r="E374" s="34" t="n"/>
      <c r="F374" s="34" t="n">
        <v>60</v>
      </c>
      <c r="G374" s="36">
        <f>Maxes!H18</f>
        <v/>
      </c>
      <c r="H374" s="37">
        <f>IF(OR(G374="",F374=""),"",MROUND(G374*F374/100,'Start Here'!$B$7))</f>
        <v/>
      </c>
      <c r="I374" s="34" t="n"/>
      <c r="J374" s="34" t="n"/>
      <c r="K374" s="34" t="n"/>
      <c r="L374" s="34" t="n"/>
      <c r="M374" s="34" t="n"/>
      <c r="N374" s="34" t="n"/>
      <c r="O374" s="38" t="inlineStr">
        <is>
          <t>Easy week - move fast, recover</t>
        </is>
      </c>
    </row>
    <row r="375">
      <c r="C375" t="inlineStr">
        <is>
          <t xml:space="preserve">      Set 1</t>
        </is>
      </c>
      <c r="E375" t="n">
        <v>5</v>
      </c>
      <c r="H375" s="39">
        <f>IF(H374="","",H374)</f>
        <v/>
      </c>
      <c r="I375" s="7">
        <f>IF(H374="","",H374)</f>
        <v/>
      </c>
      <c r="J375" s="7" t="n">
        <v>5</v>
      </c>
      <c r="K375" s="7" t="n"/>
      <c r="L375" s="40" t="n"/>
      <c r="M375">
        <f>IF(AND(L375&lt;&gt;"",N(I375)&gt;0,N(J375)&gt;0),IF(J375=1,I375,ROUND(I375*(1+J375/30),1)),"")</f>
        <v/>
      </c>
      <c r="N375" s="41">
        <f>IF(M375="","",IF(M375&gt;=PRs!C18,"PR!",""))</f>
        <v/>
      </c>
      <c r="O375" s="7" t="n"/>
    </row>
    <row r="376">
      <c r="C376" t="inlineStr">
        <is>
          <t xml:space="preserve">      Set 2</t>
        </is>
      </c>
      <c r="E376" t="n">
        <v>5</v>
      </c>
      <c r="H376" s="39">
        <f>IF(H374="","",H374)</f>
        <v/>
      </c>
      <c r="I376" s="7">
        <f>IF(H374="","",H374)</f>
        <v/>
      </c>
      <c r="J376" s="7" t="n">
        <v>5</v>
      </c>
      <c r="K376" s="7" t="n"/>
      <c r="L376" s="40" t="n"/>
      <c r="M376">
        <f>IF(AND(L376&lt;&gt;"",N(I376)&gt;0,N(J376)&gt;0),IF(J376=1,I376,ROUND(I376*(1+J376/30),1)),"")</f>
        <v/>
      </c>
      <c r="N376" s="41">
        <f>IF(M376="","",IF(M376&gt;=PRs!C18,"PR!",""))</f>
        <v/>
      </c>
      <c r="O376" s="7" t="n"/>
    </row>
    <row r="377">
      <c r="A377" s="34" t="n"/>
      <c r="B377" s="34" t="n"/>
      <c r="C377" s="42" t="inlineStr">
        <is>
          <t>Deficit Deadlift</t>
        </is>
      </c>
      <c r="D377" s="34" t="inlineStr">
        <is>
          <t>2 x 5</t>
        </is>
      </c>
      <c r="E377" s="34" t="n"/>
      <c r="F377" s="34" t="n">
        <v>60</v>
      </c>
      <c r="G377" s="36">
        <f>Maxes!H24</f>
        <v/>
      </c>
      <c r="H377" s="37">
        <f>IF(OR(G377="",F377=""),"",MROUND(G377*F377/100,'Start Here'!$B$7))</f>
        <v/>
      </c>
      <c r="I377" s="34" t="n"/>
      <c r="J377" s="34" t="n"/>
      <c r="K377" s="34" t="n"/>
      <c r="L377" s="34" t="n"/>
      <c r="M377" s="34" t="n"/>
      <c r="N377" s="34" t="n"/>
      <c r="O377" s="38" t="inlineStr">
        <is>
          <t>Easy week - move fast, recover</t>
        </is>
      </c>
    </row>
    <row r="378">
      <c r="C378" t="inlineStr">
        <is>
          <t xml:space="preserve">      Set 1</t>
        </is>
      </c>
      <c r="E378" t="n">
        <v>5</v>
      </c>
      <c r="H378" s="39">
        <f>IF(H377="","",H377)</f>
        <v/>
      </c>
      <c r="I378" s="7">
        <f>IF(H377="","",H377)</f>
        <v/>
      </c>
      <c r="J378" s="7" t="n">
        <v>5</v>
      </c>
      <c r="K378" s="7" t="n"/>
      <c r="L378" s="40" t="n"/>
      <c r="M378">
        <f>IF(AND(L378&lt;&gt;"",N(I378)&gt;0,N(J378)&gt;0),IF(J378=1,I378,ROUND(I378*(1+J378/30),1)),"")</f>
        <v/>
      </c>
      <c r="N378" s="41">
        <f>IF(M378="","",IF(M378&gt;=PRs!C24,"PR!",""))</f>
        <v/>
      </c>
      <c r="O378" s="7" t="n"/>
    </row>
    <row r="379">
      <c r="C379" t="inlineStr">
        <is>
          <t xml:space="preserve">      Set 2</t>
        </is>
      </c>
      <c r="E379" t="n">
        <v>5</v>
      </c>
      <c r="H379" s="39">
        <f>IF(H377="","",H377)</f>
        <v/>
      </c>
      <c r="I379" s="7">
        <f>IF(H377="","",H377)</f>
        <v/>
      </c>
      <c r="J379" s="7" t="n">
        <v>5</v>
      </c>
      <c r="K379" s="7" t="n"/>
      <c r="L379" s="40" t="n"/>
      <c r="M379">
        <f>IF(AND(L379&lt;&gt;"",N(I379)&gt;0,N(J379)&gt;0),IF(J379=1,I379,ROUND(I379*(1+J379/30),1)),"")</f>
        <v/>
      </c>
      <c r="N379" s="41">
        <f>IF(M379="","",IF(M379&gt;=PRs!C24,"PR!",""))</f>
        <v/>
      </c>
      <c r="O379" s="7" t="n"/>
    </row>
    <row r="380">
      <c r="A380" s="34" t="n"/>
      <c r="B380" s="34" t="n"/>
      <c r="C380" s="43" t="inlineStr">
        <is>
          <t>Incline Dumbbell Press</t>
        </is>
      </c>
      <c r="D380" s="34" t="inlineStr">
        <is>
          <t>2 x 8-12</t>
        </is>
      </c>
      <c r="E380" s="34" t="n"/>
      <c r="F380" s="34" t="n"/>
      <c r="G380" s="36" t="n"/>
      <c r="H380" s="37" t="n"/>
      <c r="I380" s="34" t="n"/>
      <c r="J380" s="34" t="n"/>
      <c r="K380" s="34" t="n"/>
      <c r="L380" s="34" t="n"/>
      <c r="M380" s="34" t="n"/>
      <c r="N380" s="34" t="n"/>
      <c r="O380" s="38" t="inlineStr">
        <is>
          <t>Easy - stop well short of failure</t>
        </is>
      </c>
    </row>
    <row r="381">
      <c r="C381" t="inlineStr">
        <is>
          <t xml:space="preserve">      Set 1</t>
        </is>
      </c>
      <c r="E381" t="n">
        <v>8</v>
      </c>
      <c r="H381" s="39">
        <f>IF(H380="","",H380)</f>
        <v/>
      </c>
      <c r="I381" s="7">
        <f>IF(H380="","",H380)</f>
        <v/>
      </c>
      <c r="J381" s="7" t="n">
        <v>8</v>
      </c>
      <c r="K381" s="7" t="n"/>
      <c r="L381" s="40" t="n"/>
      <c r="M381">
        <f>IF(AND(L381&lt;&gt;"",N(I381)&gt;0,N(J381)&gt;0),IF(J381=1,I381,ROUND(I381*(1+J381/30),1)),"")</f>
        <v/>
      </c>
      <c r="N381" s="41">
        <f>IF(M381="","",IF(M381&gt;=PRs!C57,"PR!",""))</f>
        <v/>
      </c>
      <c r="O381" s="7" t="n"/>
    </row>
    <row r="382">
      <c r="C382" t="inlineStr">
        <is>
          <t xml:space="preserve">      Set 2</t>
        </is>
      </c>
      <c r="E382" t="n">
        <v>8</v>
      </c>
      <c r="H382" s="39">
        <f>IF(H380="","",H380)</f>
        <v/>
      </c>
      <c r="I382" s="7">
        <f>IF(H380="","",H380)</f>
        <v/>
      </c>
      <c r="J382" s="7" t="n">
        <v>8</v>
      </c>
      <c r="K382" s="7" t="n"/>
      <c r="L382" s="40" t="n"/>
      <c r="M382">
        <f>IF(AND(L382&lt;&gt;"",N(I382)&gt;0,N(J382)&gt;0),IF(J382=1,I382,ROUND(I382*(1+J382/30),1)),"")</f>
        <v/>
      </c>
      <c r="N382" s="41">
        <f>IF(M382="","",IF(M382&gt;=PRs!C57,"PR!",""))</f>
        <v/>
      </c>
      <c r="O382" s="7" t="n"/>
    </row>
    <row r="383">
      <c r="A383" s="34" t="n"/>
      <c r="B383" s="34" t="n"/>
      <c r="C383" s="43" t="inlineStr">
        <is>
          <t>Triceps Pushdown</t>
        </is>
      </c>
      <c r="D383" s="34" t="inlineStr">
        <is>
          <t>2 x 10-15</t>
        </is>
      </c>
      <c r="E383" s="34" t="n"/>
      <c r="F383" s="34" t="n"/>
      <c r="G383" s="36" t="n"/>
      <c r="H383" s="37" t="n"/>
      <c r="I383" s="34" t="n"/>
      <c r="J383" s="34" t="n"/>
      <c r="K383" s="34" t="n"/>
      <c r="L383" s="34" t="n"/>
      <c r="M383" s="34" t="n"/>
      <c r="N383" s="34" t="n"/>
      <c r="O383" s="38" t="inlineStr">
        <is>
          <t>Easy - stop well short of failure</t>
        </is>
      </c>
    </row>
    <row r="384">
      <c r="C384" t="inlineStr">
        <is>
          <t xml:space="preserve">      Set 1</t>
        </is>
      </c>
      <c r="E384" t="n">
        <v>10</v>
      </c>
      <c r="H384" s="39">
        <f>IF(H383="","",H383)</f>
        <v/>
      </c>
      <c r="I384" s="7">
        <f>IF(H383="","",H383)</f>
        <v/>
      </c>
      <c r="J384" s="7" t="n">
        <v>10</v>
      </c>
      <c r="K384" s="7" t="n"/>
      <c r="L384" s="40" t="n"/>
      <c r="M384">
        <f>IF(AND(L384&lt;&gt;"",N(I384)&gt;0,N(J384)&gt;0),IF(J384=1,I384,ROUND(I384*(1+J384/30),1)),"")</f>
        <v/>
      </c>
      <c r="N384" s="41">
        <f>IF(M384="","",IF(M384&gt;=PRs!C59,"PR!",""))</f>
        <v/>
      </c>
      <c r="O384" s="7" t="n"/>
    </row>
    <row r="385">
      <c r="C385" t="inlineStr">
        <is>
          <t xml:space="preserve">      Set 2</t>
        </is>
      </c>
      <c r="E385" t="n">
        <v>10</v>
      </c>
      <c r="H385" s="39">
        <f>IF(H383="","",H383)</f>
        <v/>
      </c>
      <c r="I385" s="7">
        <f>IF(H383="","",H383)</f>
        <v/>
      </c>
      <c r="J385" s="7" t="n">
        <v>10</v>
      </c>
      <c r="K385" s="7" t="n"/>
      <c r="L385" s="40" t="n"/>
      <c r="M385">
        <f>IF(AND(L385&lt;&gt;"",N(I385)&gt;0,N(J385)&gt;0),IF(J385=1,I385,ROUND(I385*(1+J385/30),1)),"")</f>
        <v/>
      </c>
      <c r="N385" s="41">
        <f>IF(M385="","",IF(M385&gt;=PRs!C59,"PR!",""))</f>
        <v/>
      </c>
      <c r="O385" s="7" t="n"/>
    </row>
  </sheetData>
  <dataValidations count="3">
    <dataValidation sqref="H3" showDropDown="0" showInputMessage="0" showErrorMessage="0" allowBlank="1" type="list">
      <formula1>Lists!$B$1:$B$6</formula1>
    </dataValidation>
    <dataValidation sqref="L9 L10 L11 L12 L14 L15 L16 L17 L19 L20 L21 L23 L24 L25 L27 L28 L29 L30 L32 L33 L34 L35 L38 L39 L40 L41 L43 L44 L45 L47 L48 L49 L50 L52 L53 L54 L56 L57 L58 L59 L61 L62 L63 L65 L66 L67 L68 L70 L71 L72 L73 L76 L77 L78 L79 L81 L82 L83 L84 L85 L86 L88 L89 L90 L91 L93 L94 L95 L96 L98 L99 L100 L102 L103 L104 L105 L107 L108 L109 L110 L115 L116 L117 L118 L120 L121 L122 L123 L125 L126 L127 L129 L130 L131 L133 L134 L135 L136 L138 L139 L140 L141 L144 L145 L146 L147 L149 L150 L151 L153 L154 L155 L156 L158 L159 L160 L162 L163 L164 L165 L167 L168 L169 L171 L172 L173 L174 L176 L177 L178 L179 L182 L183 L184 L185 L187 L188 L189 L190 L191 L192 L194 L195 L196 L197 L199 L200 L201 L202 L204 L205 L206 L208 L209 L210 L211 L213 L214 L215 L216 L221 L222 L223 L224 L226 L227 L228 L229 L231 L232 L233 L235 L236 L237 L239 L240 L241 L242 L244 L245 L246 L247 L250 L251 L252 L253 L255 L256 L257 L259 L260 L261 L262 L264 L265 L266 L268 L269 L270 L272 L273 L274 L276 L277 L278 L279 L281 L282 L283 L284 L287 L288 L289 L290 L292 L293 L294 L295 L297 L298 L299 L301 L302 L303 L305 L306 L307 L309 L310 L311 L312 L314 L315 L316 L317 L322 L323 L325 L326 L328 L329 L331 L332 L334 L335 L337 L338 L341 L342 L344 L345 L347 L348 L350 L351 L353 L354 L356 L357 L359 L360 L362 L363 L366 L367 L369 L370 L372 L373 L375 L376 L378 L379 L381 L382 L384 L385" showDropDown="0" showInputMessage="0" showErrorMessage="0" allowBlank="1" type="list">
      <formula1>"✓"</formula1>
    </dataValidation>
    <dataValidation sqref="K9 K10 K11 K12 K14 K15 K16 K17 K19 K20 K21 K23 K24 K25 K27 K28 K29 K30 K32 K33 K34 K35 K38 K39 K40 K41 K43 K44 K45 K47 K48 K49 K50 K52 K53 K54 K56 K57 K58 K59 K61 K62 K63 K65 K66 K67 K68 K70 K71 K72 K73 K76 K77 K78 K79 K81 K82 K83 K84 K85 K86 K88 K89 K90 K91 K93 K94 K95 K96 K98 K99 K100 K102 K103 K104 K105 K107 K108 K109 K110 K115 K116 K117 K118 K120 K121 K122 K123 K125 K126 K127 K129 K130 K131 K133 K134 K135 K136 K138 K139 K140 K141 K144 K145 K146 K147 K149 K150 K151 K153 K154 K155 K156 K158 K159 K160 K162 K163 K164 K165 K167 K168 K169 K171 K172 K173 K174 K176 K177 K178 K179 K182 K183 K184 K185 K187 K188 K189 K190 K191 K192 K194 K195 K196 K197 K199 K200 K201 K202 K204 K205 K206 K208 K209 K210 K211 K213 K214 K215 K216 K221 K222 K223 K224 K226 K227 K228 K229 K231 K232 K233 K235 K236 K237 K239 K240 K241 K242 K244 K245 K246 K247 K250 K251 K252 K253 K255 K256 K257 K259 K260 K261 K262 K264 K265 K266 K268 K269 K270 K272 K273 K274 K276 K277 K278 K279 K281 K282 K283 K284 K287 K288 K289 K290 K292 K293 K294 K295 K297 K298 K299 K301 K302 K303 K305 K306 K307 K309 K310 K311 K312 K314 K315 K316 K317 K322 K323 K325 K326 K328 K329 K331 K332 K334 K335 K337 K338 K341 K342 K344 K345 K347 K348 K350 K351 K353 K354 K356 K357 K359 K360 K362 K363 K366 K367 K369 K370 K372 K373 K375 K376 K378 K379 K381 K382 K384 K385" showDropDown="0" showInputMessage="0" showErrorMessage="0" allowBlank="1" type="list">
      <formula1>"6,6.5,7,7.5,8,8.5,9,9.5,10"</formula1>
    </dataValidation>
  </dataValidations>
  <hyperlinks>
    <hyperlink ref="A2" location="'Month 09'!A1" display="&lt; Month 09"/>
    <hyperlink ref="C2" location="'Start Here'!A1" display="Start Here"/>
    <hyperlink ref="E2" location="'Month 11'!A1" display="Month 11 &gt;"/>
    <hyperlink ref="L3" location="'Body'!A1" display="How to test"/>
  </hyperlinks>
  <pageMargins left="0.75" right="0.75" top="1" bottom="1" header="0.5" footer="0.5"/>
  <pageSetup orientation="landscape" fitToHeight="0" fitToWidth="1"/>
</worksheet>
</file>

<file path=xl/worksheets/sheet13.xml><?xml version="1.0" encoding="utf-8"?>
<worksheet xmlns="http://schemas.openxmlformats.org/spreadsheetml/2006/main">
  <sheetPr>
    <tabColor rgb="00E6E2DA"/>
    <outlinePr summaryBelow="1" summaryRight="1"/>
    <pageSetUpPr fitToPage="1"/>
  </sheetPr>
  <dimension ref="A1:O365"/>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26" customWidth="1" min="3" max="3"/>
    <col width="10" customWidth="1" min="4" max="4"/>
    <col width="7" customWidth="1" min="5" max="5"/>
    <col width="6" customWidth="1" min="6" max="6"/>
    <col width="9" customWidth="1" min="7" max="7"/>
    <col width="9" customWidth="1" min="8" max="8"/>
    <col width="12" customWidth="1" min="9" max="9"/>
    <col width="8" customWidth="1" min="10" max="10"/>
    <col width="6" customWidth="1" min="11" max="11"/>
    <col width="6" customWidth="1" min="12" max="12"/>
    <col width="9" customWidth="1" min="13" max="13"/>
    <col width="5" customWidth="1" min="14" max="14"/>
    <col width="60" customWidth="1" min="15" max="15"/>
  </cols>
  <sheetData>
    <row r="1">
      <c r="A1" s="25" t="inlineStr">
        <is>
          <t>MONTH 11  -  weeks 41-44  -  Cycle 4</t>
        </is>
      </c>
    </row>
    <row r="2">
      <c r="A2" s="26" t="inlineStr">
        <is>
          <t>&lt; Month 10</t>
        </is>
      </c>
      <c r="C2" s="26" t="inlineStr">
        <is>
          <t>Start Here</t>
        </is>
      </c>
      <c r="E2" s="26" t="inlineStr">
        <is>
          <t>Month 12 &gt;</t>
        </is>
      </c>
    </row>
    <row r="3">
      <c r="A3" s="41" t="inlineStr">
        <is>
          <t>BODY FAT (once this month)</t>
        </is>
      </c>
      <c r="C3" s="44" t="inlineStr">
        <is>
          <t>Date</t>
        </is>
      </c>
      <c r="D3" s="12" t="n"/>
      <c r="E3" s="44" t="inlineStr">
        <is>
          <t>Body fat %</t>
        </is>
      </c>
      <c r="F3" s="7" t="n"/>
      <c r="G3" s="44" t="inlineStr">
        <is>
          <t>Method</t>
        </is>
      </c>
      <c r="H3" s="7" t="n"/>
      <c r="I3" s="44" t="inlineStr">
        <is>
          <t>Weight at test</t>
        </is>
      </c>
      <c r="J3" s="7" t="n"/>
      <c r="L3" s="26" t="inlineStr">
        <is>
          <t>How to test</t>
        </is>
      </c>
    </row>
    <row r="4">
      <c r="A4" s="27" t="inlineStr">
        <is>
          <t>Every set is filled in with the plan. Change what was different, mark Done. Enter bodyweight once per week on the purple week rows.</t>
        </is>
      </c>
    </row>
    <row r="5">
      <c r="A5" s="8" t="inlineStr">
        <is>
          <t>Day</t>
        </is>
      </c>
      <c r="B5" s="8" t="inlineStr">
        <is>
          <t>Date</t>
        </is>
      </c>
      <c r="C5" s="8" t="inlineStr">
        <is>
          <t>Exercise / set</t>
        </is>
      </c>
      <c r="D5" s="8" t="inlineStr">
        <is>
          <t>Scheme</t>
        </is>
      </c>
      <c r="E5" s="8" t="inlineStr">
        <is>
          <t>Target reps</t>
        </is>
      </c>
      <c r="F5" s="8" t="inlineStr">
        <is>
          <t>% TM</t>
        </is>
      </c>
      <c r="G5" s="8" t="inlineStr">
        <is>
          <t>Training max</t>
        </is>
      </c>
      <c r="H5" s="8" t="inlineStr">
        <is>
          <t>Target</t>
        </is>
      </c>
      <c r="I5" s="8" t="inlineStr">
        <is>
          <t>Actual weight / height</t>
        </is>
      </c>
      <c r="J5" s="8" t="inlineStr">
        <is>
          <t>Actual reps</t>
        </is>
      </c>
      <c r="K5" s="8" t="inlineStr">
        <is>
          <t>RPE</t>
        </is>
      </c>
      <c r="L5" s="8" t="inlineStr">
        <is>
          <t>Done</t>
        </is>
      </c>
      <c r="M5" s="8" t="inlineStr">
        <is>
          <t>Est. 1RM</t>
        </is>
      </c>
      <c r="N5" s="8" t="inlineStr">
        <is>
          <t>PR</t>
        </is>
      </c>
      <c r="O5" s="8" t="inlineStr">
        <is>
          <t>Notes / guidance</t>
        </is>
      </c>
    </row>
    <row r="6">
      <c r="A6" s="51" t="inlineStr">
        <is>
          <t>WEEK 41 - CYCLE 4 - TRANSMUTATION</t>
        </is>
      </c>
      <c r="B6" s="52" t="n"/>
      <c r="C6" s="52" t="n"/>
      <c r="D6" s="52" t="n"/>
      <c r="E6" s="52" t="n"/>
      <c r="F6" s="52" t="n"/>
      <c r="G6" s="52" t="n"/>
      <c r="H6" s="53" t="inlineStr">
        <is>
          <t>Bodyweight:</t>
        </is>
      </c>
      <c r="I6" s="7" t="n"/>
      <c r="J6" s="52" t="n"/>
      <c r="K6" s="52" t="n"/>
      <c r="L6" s="52" t="n"/>
      <c r="M6" s="52" t="n"/>
      <c r="N6" s="52" t="n"/>
      <c r="O6" s="52" t="n"/>
    </row>
    <row r="7">
      <c r="A7" s="31" t="inlineStr">
        <is>
          <t>Day 1 - Heavy</t>
        </is>
      </c>
      <c r="B7" s="32">
        <f>'Start Here'!$B$8+280</f>
        <v/>
      </c>
      <c r="C7" s="33" t="n"/>
      <c r="D7" s="33" t="n"/>
      <c r="E7" s="33" t="n"/>
      <c r="F7" s="33" t="n"/>
      <c r="G7" s="33" t="n"/>
      <c r="H7" s="33" t="n"/>
      <c r="I7" s="33" t="n"/>
      <c r="J7" s="33" t="n"/>
      <c r="K7" s="33" t="n"/>
      <c r="L7" s="33" t="n"/>
      <c r="M7" s="33" t="n"/>
      <c r="N7" s="33" t="n"/>
      <c r="O7" s="33" t="n"/>
    </row>
    <row r="8">
      <c r="A8" s="34" t="n"/>
      <c r="B8" s="34" t="n"/>
      <c r="C8" s="35" t="inlineStr">
        <is>
          <t>Box Jump</t>
        </is>
      </c>
      <c r="D8" s="34" t="inlineStr">
        <is>
          <t>4 x 3</t>
        </is>
      </c>
      <c r="E8" s="34" t="n"/>
      <c r="F8" s="34" t="n"/>
      <c r="G8" s="36" t="n"/>
      <c r="H8" s="37">
        <f>IF(N(Maxes!H69)&gt;0,Maxes!H69,'Start Here'!$G$16)</f>
        <v/>
      </c>
      <c r="I8" s="34" t="n"/>
      <c r="J8" s="34" t="n"/>
      <c r="K8" s="34" t="n"/>
      <c r="L8" s="34" t="n"/>
      <c r="M8" s="34" t="n"/>
      <c r="N8" s="34" t="n"/>
      <c r="O8" s="38" t="inlineStr">
        <is>
          <t>Two-foot jump onto a box, land soft in a quarter squat, STEP down. Log the box height (floor to top of box).</t>
        </is>
      </c>
    </row>
    <row r="9">
      <c r="C9" t="inlineStr">
        <is>
          <t xml:space="preserve">      Set 1</t>
        </is>
      </c>
      <c r="E9" t="n">
        <v>3</v>
      </c>
      <c r="H9" s="39">
        <f>IF(H8="","",H8)</f>
        <v/>
      </c>
      <c r="I9" s="7">
        <f>IF(H8="","",H8)</f>
        <v/>
      </c>
      <c r="J9" s="7" t="n">
        <v>3</v>
      </c>
      <c r="K9" s="7" t="n"/>
      <c r="L9" s="40" t="n"/>
      <c r="N9" s="41">
        <f>IF(AND(L9&lt;&gt;"",N(I9)&gt;0),IF(I9&gt;=PRs!D69,"PR!",""),"")</f>
        <v/>
      </c>
      <c r="O9" s="7" t="n"/>
    </row>
    <row r="10">
      <c r="C10" t="inlineStr">
        <is>
          <t xml:space="preserve">      Set 2</t>
        </is>
      </c>
      <c r="E10" t="n">
        <v>3</v>
      </c>
      <c r="H10" s="39">
        <f>IF(H8="","",H8)</f>
        <v/>
      </c>
      <c r="I10" s="7">
        <f>IF(H8="","",H8)</f>
        <v/>
      </c>
      <c r="J10" s="7" t="n">
        <v>3</v>
      </c>
      <c r="K10" s="7" t="n"/>
      <c r="L10" s="40" t="n"/>
      <c r="N10" s="41">
        <f>IF(AND(L10&lt;&gt;"",N(I10)&gt;0),IF(I10&gt;=PRs!D69,"PR!",""),"")</f>
        <v/>
      </c>
      <c r="O10" s="7" t="n"/>
    </row>
    <row r="11">
      <c r="C11" t="inlineStr">
        <is>
          <t xml:space="preserve">      Set 3</t>
        </is>
      </c>
      <c r="E11" t="n">
        <v>3</v>
      </c>
      <c r="H11" s="39">
        <f>IF(H8="","",H8)</f>
        <v/>
      </c>
      <c r="I11" s="7">
        <f>IF(H8="","",H8)</f>
        <v/>
      </c>
      <c r="J11" s="7" t="n">
        <v>3</v>
      </c>
      <c r="K11" s="7" t="n"/>
      <c r="L11" s="40" t="n"/>
      <c r="N11" s="41">
        <f>IF(AND(L11&lt;&gt;"",N(I11)&gt;0),IF(I11&gt;=PRs!D69,"PR!",""),"")</f>
        <v/>
      </c>
      <c r="O11" s="7" t="n"/>
    </row>
    <row r="12">
      <c r="C12" t="inlineStr">
        <is>
          <t xml:space="preserve">      Set 4</t>
        </is>
      </c>
      <c r="E12" t="n">
        <v>3</v>
      </c>
      <c r="H12" s="39">
        <f>IF(H8="","",H8)</f>
        <v/>
      </c>
      <c r="I12" s="7">
        <f>IF(H8="","",H8)</f>
        <v/>
      </c>
      <c r="J12" s="7" t="n">
        <v>3</v>
      </c>
      <c r="K12" s="7" t="n"/>
      <c r="L12" s="40" t="n"/>
      <c r="N12" s="41">
        <f>IF(AND(L12&lt;&gt;"",N(I12)&gt;0),IF(I12&gt;=PRs!D69,"PR!",""),"")</f>
        <v/>
      </c>
      <c r="O12" s="7" t="n"/>
    </row>
    <row r="13">
      <c r="A13" s="34" t="n"/>
      <c r="B13" s="34" t="n"/>
      <c r="C13" s="42" t="inlineStr">
        <is>
          <t>Snatch</t>
        </is>
      </c>
      <c r="D13" s="34" t="inlineStr">
        <is>
          <t>4 x 3</t>
        </is>
      </c>
      <c r="E13" s="34" t="n"/>
      <c r="F13" s="34" t="n">
        <v>77.5</v>
      </c>
      <c r="G13" s="36">
        <f>Maxes!H6</f>
        <v/>
      </c>
      <c r="H13" s="37">
        <f>IF(OR(G13="",F13=""),"",MROUND(G13*F13/100,'Start Here'!$B$7))</f>
        <v/>
      </c>
      <c r="I13" s="34" t="n"/>
      <c r="J13" s="34" t="n"/>
      <c r="K13" s="34" t="n"/>
      <c r="L13" s="34" t="n"/>
      <c r="M13" s="34" t="n"/>
      <c r="N13" s="34" t="n"/>
      <c r="O13" s="38" t="inlineStr"/>
    </row>
    <row r="14">
      <c r="C14" t="inlineStr">
        <is>
          <t xml:space="preserve">      Set 1</t>
        </is>
      </c>
      <c r="E14" t="n">
        <v>3</v>
      </c>
      <c r="H14" s="39">
        <f>IF(H13="","",H13)</f>
        <v/>
      </c>
      <c r="I14" s="7">
        <f>IF(H13="","",H13)</f>
        <v/>
      </c>
      <c r="J14" s="7" t="n">
        <v>3</v>
      </c>
      <c r="K14" s="7" t="n"/>
      <c r="L14" s="40" t="n"/>
      <c r="M14">
        <f>IF(AND(L14&lt;&gt;"",N(I14)&gt;0,N(J14)&gt;0),IF(J14=1,I14,ROUND(I14*(1+J14/30),1)),"")</f>
        <v/>
      </c>
      <c r="N14" s="41">
        <f>IF(M14="","",IF(M14&gt;=PRs!C6,"PR!",""))</f>
        <v/>
      </c>
      <c r="O14" s="7" t="n"/>
    </row>
    <row r="15">
      <c r="C15" t="inlineStr">
        <is>
          <t xml:space="preserve">      Set 2</t>
        </is>
      </c>
      <c r="E15" t="n">
        <v>3</v>
      </c>
      <c r="H15" s="39">
        <f>IF(H13="","",H13)</f>
        <v/>
      </c>
      <c r="I15" s="7">
        <f>IF(H13="","",H13)</f>
        <v/>
      </c>
      <c r="J15" s="7" t="n">
        <v>3</v>
      </c>
      <c r="K15" s="7" t="n"/>
      <c r="L15" s="40" t="n"/>
      <c r="M15">
        <f>IF(AND(L15&lt;&gt;"",N(I15)&gt;0,N(J15)&gt;0),IF(J15=1,I15,ROUND(I15*(1+J15/30),1)),"")</f>
        <v/>
      </c>
      <c r="N15" s="41">
        <f>IF(M15="","",IF(M15&gt;=PRs!C6,"PR!",""))</f>
        <v/>
      </c>
      <c r="O15" s="7" t="n"/>
    </row>
    <row r="16">
      <c r="C16" t="inlineStr">
        <is>
          <t xml:space="preserve">      Set 3</t>
        </is>
      </c>
      <c r="E16" t="n">
        <v>3</v>
      </c>
      <c r="H16" s="39">
        <f>IF(H13="","",H13)</f>
        <v/>
      </c>
      <c r="I16" s="7">
        <f>IF(H13="","",H13)</f>
        <v/>
      </c>
      <c r="J16" s="7" t="n">
        <v>3</v>
      </c>
      <c r="K16" s="7" t="n"/>
      <c r="L16" s="40" t="n"/>
      <c r="M16">
        <f>IF(AND(L16&lt;&gt;"",N(I16)&gt;0,N(J16)&gt;0),IF(J16=1,I16,ROUND(I16*(1+J16/30),1)),"")</f>
        <v/>
      </c>
      <c r="N16" s="41">
        <f>IF(M16="","",IF(M16&gt;=PRs!C6,"PR!",""))</f>
        <v/>
      </c>
      <c r="O16" s="7" t="n"/>
    </row>
    <row r="17">
      <c r="C17" t="inlineStr">
        <is>
          <t xml:space="preserve">      Set 4</t>
        </is>
      </c>
      <c r="E17" t="n">
        <v>3</v>
      </c>
      <c r="H17" s="39">
        <f>IF(H13="","",H13)</f>
        <v/>
      </c>
      <c r="I17" s="7">
        <f>IF(H13="","",H13)</f>
        <v/>
      </c>
      <c r="J17" s="7" t="n">
        <v>3</v>
      </c>
      <c r="K17" s="7" t="n"/>
      <c r="L17" s="40" t="n"/>
      <c r="M17">
        <f>IF(AND(L17&lt;&gt;"",N(I17)&gt;0,N(J17)&gt;0),IF(J17=1,I17,ROUND(I17*(1+J17/30),1)),"")</f>
        <v/>
      </c>
      <c r="N17" s="41">
        <f>IF(M17="","",IF(M17&gt;=PRs!C6,"PR!",""))</f>
        <v/>
      </c>
      <c r="O17" s="7" t="n"/>
    </row>
    <row r="18">
      <c r="A18" s="34" t="n"/>
      <c r="B18" s="34" t="n"/>
      <c r="C18" s="42" t="inlineStr">
        <is>
          <t>Squat</t>
        </is>
      </c>
      <c r="D18" s="34" t="inlineStr">
        <is>
          <t>3 x 6</t>
        </is>
      </c>
      <c r="E18" s="34" t="n"/>
      <c r="F18" s="34" t="n">
        <v>77.5</v>
      </c>
      <c r="G18" s="36">
        <f>Maxes!H2</f>
        <v/>
      </c>
      <c r="H18" s="37">
        <f>IF(OR(G18="",F18=""),"",MROUND(G18*F18/100,'Start Here'!$B$7))</f>
        <v/>
      </c>
      <c r="I18" s="34" t="n"/>
      <c r="J18" s="34" t="n"/>
      <c r="K18" s="34" t="n"/>
      <c r="L18" s="34" t="n"/>
      <c r="M18" s="34" t="n"/>
      <c r="N18" s="34" t="n"/>
      <c r="O18" s="38" t="inlineStr"/>
    </row>
    <row r="19">
      <c r="C19" t="inlineStr">
        <is>
          <t xml:space="preserve">      Set 1</t>
        </is>
      </c>
      <c r="E19" t="n">
        <v>6</v>
      </c>
      <c r="H19" s="39">
        <f>IF(H18="","",H18)</f>
        <v/>
      </c>
      <c r="I19" s="7">
        <f>IF(H18="","",H18)</f>
        <v/>
      </c>
      <c r="J19" s="7" t="n">
        <v>6</v>
      </c>
      <c r="K19" s="7" t="n"/>
      <c r="L19" s="40" t="n"/>
      <c r="M19">
        <f>IF(AND(L19&lt;&gt;"",N(I19)&gt;0,N(J19)&gt;0),IF(J19=1,I19,ROUND(I19*(1+J19/30),1)),"")</f>
        <v/>
      </c>
      <c r="N19" s="41">
        <f>IF(M19="","",IF(M19&gt;=PRs!C2,"PR!",""))</f>
        <v/>
      </c>
      <c r="O19" s="7" t="n"/>
    </row>
    <row r="20">
      <c r="C20" t="inlineStr">
        <is>
          <t xml:space="preserve">      Set 2</t>
        </is>
      </c>
      <c r="E20" t="n">
        <v>6</v>
      </c>
      <c r="H20" s="39">
        <f>IF(H18="","",H18)</f>
        <v/>
      </c>
      <c r="I20" s="7">
        <f>IF(H18="","",H18)</f>
        <v/>
      </c>
      <c r="J20" s="7" t="n">
        <v>6</v>
      </c>
      <c r="K20" s="7" t="n"/>
      <c r="L20" s="40" t="n"/>
      <c r="M20">
        <f>IF(AND(L20&lt;&gt;"",N(I20)&gt;0,N(J20)&gt;0),IF(J20=1,I20,ROUND(I20*(1+J20/30),1)),"")</f>
        <v/>
      </c>
      <c r="N20" s="41">
        <f>IF(M20="","",IF(M20&gt;=PRs!C2,"PR!",""))</f>
        <v/>
      </c>
      <c r="O20" s="7" t="n"/>
    </row>
    <row r="21">
      <c r="C21" t="inlineStr">
        <is>
          <t xml:space="preserve">      Set 3</t>
        </is>
      </c>
      <c r="E21" t="n">
        <v>6</v>
      </c>
      <c r="H21" s="39">
        <f>IF(H18="","",H18)</f>
        <v/>
      </c>
      <c r="I21" s="7">
        <f>IF(H18="","",H18)</f>
        <v/>
      </c>
      <c r="J21" s="7" t="n">
        <v>6</v>
      </c>
      <c r="K21" s="7" t="n"/>
      <c r="L21" s="40" t="n"/>
      <c r="M21">
        <f>IF(AND(L21&lt;&gt;"",N(I21)&gt;0,N(J21)&gt;0),IF(J21=1,I21,ROUND(I21*(1+J21/30),1)),"")</f>
        <v/>
      </c>
      <c r="N21" s="41">
        <f>IF(M21="","",IF(M21&gt;=PRs!C2,"PR!",""))</f>
        <v/>
      </c>
      <c r="O21" s="7" t="n"/>
    </row>
    <row r="22">
      <c r="A22" s="34" t="n"/>
      <c r="B22" s="34" t="n"/>
      <c r="C22" s="42" t="inlineStr">
        <is>
          <t>Bench Press</t>
        </is>
      </c>
      <c r="D22" s="34" t="inlineStr">
        <is>
          <t>3 x 6</t>
        </is>
      </c>
      <c r="E22" s="34" t="n"/>
      <c r="F22" s="34" t="n">
        <v>77.5</v>
      </c>
      <c r="G22" s="36">
        <f>Maxes!H3</f>
        <v/>
      </c>
      <c r="H22" s="37">
        <f>IF(OR(G22="",F22=""),"",MROUND(G22*F22/100,'Start Here'!$B$7))</f>
        <v/>
      </c>
      <c r="I22" s="34" t="n"/>
      <c r="J22" s="34" t="n"/>
      <c r="K22" s="34" t="n"/>
      <c r="L22" s="34" t="n"/>
      <c r="M22" s="34" t="n"/>
      <c r="N22" s="34" t="n"/>
      <c r="O22" s="38" t="inlineStr"/>
    </row>
    <row r="23">
      <c r="C23" t="inlineStr">
        <is>
          <t xml:space="preserve">      Set 1</t>
        </is>
      </c>
      <c r="E23" t="n">
        <v>6</v>
      </c>
      <c r="H23" s="39">
        <f>IF(H22="","",H22)</f>
        <v/>
      </c>
      <c r="I23" s="7">
        <f>IF(H22="","",H22)</f>
        <v/>
      </c>
      <c r="J23" s="7" t="n">
        <v>6</v>
      </c>
      <c r="K23" s="7" t="n"/>
      <c r="L23" s="40" t="n"/>
      <c r="M23">
        <f>IF(AND(L23&lt;&gt;"",N(I23)&gt;0,N(J23)&gt;0),IF(J23=1,I23,ROUND(I23*(1+J23/30),1)),"")</f>
        <v/>
      </c>
      <c r="N23" s="41">
        <f>IF(M23="","",IF(M23&gt;=PRs!C3,"PR!",""))</f>
        <v/>
      </c>
      <c r="O23" s="7" t="n"/>
    </row>
    <row r="24">
      <c r="C24" t="inlineStr">
        <is>
          <t xml:space="preserve">      Set 2</t>
        </is>
      </c>
      <c r="E24" t="n">
        <v>6</v>
      </c>
      <c r="H24" s="39">
        <f>IF(H22="","",H22)</f>
        <v/>
      </c>
      <c r="I24" s="7">
        <f>IF(H22="","",H22)</f>
        <v/>
      </c>
      <c r="J24" s="7" t="n">
        <v>6</v>
      </c>
      <c r="K24" s="7" t="n"/>
      <c r="L24" s="40" t="n"/>
      <c r="M24">
        <f>IF(AND(L24&lt;&gt;"",N(I24)&gt;0,N(J24)&gt;0),IF(J24=1,I24,ROUND(I24*(1+J24/30),1)),"")</f>
        <v/>
      </c>
      <c r="N24" s="41">
        <f>IF(M24="","",IF(M24&gt;=PRs!C3,"PR!",""))</f>
        <v/>
      </c>
      <c r="O24" s="7" t="n"/>
    </row>
    <row r="25">
      <c r="C25" t="inlineStr">
        <is>
          <t xml:space="preserve">      Set 3</t>
        </is>
      </c>
      <c r="E25" t="n">
        <v>6</v>
      </c>
      <c r="H25" s="39">
        <f>IF(H22="","",H22)</f>
        <v/>
      </c>
      <c r="I25" s="7">
        <f>IF(H22="","",H22)</f>
        <v/>
      </c>
      <c r="J25" s="7" t="n">
        <v>6</v>
      </c>
      <c r="K25" s="7" t="n"/>
      <c r="L25" s="40" t="n"/>
      <c r="M25">
        <f>IF(AND(L25&lt;&gt;"",N(I25)&gt;0,N(J25)&gt;0),IF(J25=1,I25,ROUND(I25*(1+J25/30),1)),"")</f>
        <v/>
      </c>
      <c r="N25" s="41">
        <f>IF(M25="","",IF(M25&gt;=PRs!C3,"PR!",""))</f>
        <v/>
      </c>
      <c r="O25" s="7" t="n"/>
    </row>
    <row r="26">
      <c r="A26" s="34" t="n"/>
      <c r="B26" s="34" t="n"/>
      <c r="C26" s="43" t="inlineStr">
        <is>
          <t>Barbell Row</t>
        </is>
      </c>
      <c r="D26" s="34" t="inlineStr">
        <is>
          <t>3 x 8-10</t>
        </is>
      </c>
      <c r="E26" s="34" t="n"/>
      <c r="F26" s="34" t="n"/>
      <c r="G26" s="36" t="n"/>
      <c r="H26" s="37" t="n"/>
      <c r="I26" s="34" t="n"/>
      <c r="J26" s="34" t="n"/>
      <c r="K26" s="34" t="n"/>
      <c r="L26" s="34" t="n"/>
      <c r="M26" s="34" t="n"/>
      <c r="N26" s="34" t="n"/>
      <c r="O26" s="38" t="inlineStr">
        <is>
          <t>Leave 1-2 reps in the tank; add weight when you hit the top of the range</t>
        </is>
      </c>
    </row>
    <row r="27">
      <c r="C27" t="inlineStr">
        <is>
          <t xml:space="preserve">      Set 1</t>
        </is>
      </c>
      <c r="E27" t="n">
        <v>8</v>
      </c>
      <c r="H27" s="39">
        <f>IF(H26="","",H26)</f>
        <v/>
      </c>
      <c r="I27" s="7">
        <f>IF(H26="","",H26)</f>
        <v/>
      </c>
      <c r="J27" s="7" t="n">
        <v>8</v>
      </c>
      <c r="K27" s="7" t="n"/>
      <c r="L27" s="40" t="n"/>
      <c r="M27">
        <f>IF(AND(L27&lt;&gt;"",N(I27)&gt;0,N(J27)&gt;0),IF(J27=1,I27,ROUND(I27*(1+J27/30),1)),"")</f>
        <v/>
      </c>
      <c r="N27" s="41">
        <f>IF(M27="","",IF(M27&gt;=PRs!C50,"PR!",""))</f>
        <v/>
      </c>
      <c r="O27" s="7" t="n"/>
    </row>
    <row r="28">
      <c r="C28" t="inlineStr">
        <is>
          <t xml:space="preserve">      Set 2</t>
        </is>
      </c>
      <c r="E28" t="n">
        <v>8</v>
      </c>
      <c r="H28" s="39">
        <f>IF(H26="","",H26)</f>
        <v/>
      </c>
      <c r="I28" s="7">
        <f>IF(H26="","",H26)</f>
        <v/>
      </c>
      <c r="J28" s="7" t="n">
        <v>8</v>
      </c>
      <c r="K28" s="7" t="n"/>
      <c r="L28" s="40" t="n"/>
      <c r="M28">
        <f>IF(AND(L28&lt;&gt;"",N(I28)&gt;0,N(J28)&gt;0),IF(J28=1,I28,ROUND(I28*(1+J28/30),1)),"")</f>
        <v/>
      </c>
      <c r="N28" s="41">
        <f>IF(M28="","",IF(M28&gt;=PRs!C50,"PR!",""))</f>
        <v/>
      </c>
      <c r="O28" s="7" t="n"/>
    </row>
    <row r="29">
      <c r="C29" t="inlineStr">
        <is>
          <t xml:space="preserve">      Set 3</t>
        </is>
      </c>
      <c r="E29" t="n">
        <v>8</v>
      </c>
      <c r="H29" s="39">
        <f>IF(H26="","",H26)</f>
        <v/>
      </c>
      <c r="I29" s="7">
        <f>IF(H26="","",H26)</f>
        <v/>
      </c>
      <c r="J29" s="7" t="n">
        <v>8</v>
      </c>
      <c r="K29" s="7" t="n"/>
      <c r="L29" s="40" t="n"/>
      <c r="M29">
        <f>IF(AND(L29&lt;&gt;"",N(I29)&gt;0,N(J29)&gt;0),IF(J29=1,I29,ROUND(I29*(1+J29/30),1)),"")</f>
        <v/>
      </c>
      <c r="N29" s="41">
        <f>IF(M29="","",IF(M29&gt;=PRs!C50,"PR!",""))</f>
        <v/>
      </c>
      <c r="O29" s="7" t="n"/>
    </row>
    <row r="30">
      <c r="A30" s="34" t="n"/>
      <c r="B30" s="34" t="n"/>
      <c r="C30" s="43" t="inlineStr">
        <is>
          <t>Face Pull</t>
        </is>
      </c>
      <c r="D30" s="34" t="inlineStr">
        <is>
          <t>3 x 12-15</t>
        </is>
      </c>
      <c r="E30" s="34" t="n"/>
      <c r="F30" s="34" t="n"/>
      <c r="G30" s="36" t="n"/>
      <c r="H30" s="37" t="n"/>
      <c r="I30" s="34" t="n"/>
      <c r="J30" s="34" t="n"/>
      <c r="K30" s="34" t="n"/>
      <c r="L30" s="34" t="n"/>
      <c r="M30" s="34" t="n"/>
      <c r="N30" s="34" t="n"/>
      <c r="O30" s="38" t="inlineStr">
        <is>
          <t>Leave 1-2 reps in the tank; add weight when you hit the top of the range</t>
        </is>
      </c>
    </row>
    <row r="31">
      <c r="C31" t="inlineStr">
        <is>
          <t xml:space="preserve">      Set 1</t>
        </is>
      </c>
      <c r="E31" t="n">
        <v>12</v>
      </c>
      <c r="H31" s="39">
        <f>IF(H30="","",H30)</f>
        <v/>
      </c>
      <c r="I31" s="7">
        <f>IF(H30="","",H30)</f>
        <v/>
      </c>
      <c r="J31" s="7" t="n">
        <v>12</v>
      </c>
      <c r="K31" s="7" t="n"/>
      <c r="L31" s="40" t="n"/>
      <c r="M31">
        <f>IF(AND(L31&lt;&gt;"",N(I31)&gt;0,N(J31)&gt;0),IF(J31=1,I31,ROUND(I31*(1+J31/30),1)),"")</f>
        <v/>
      </c>
      <c r="N31" s="41">
        <f>IF(M31="","",IF(M31&gt;=PRs!C51,"PR!",""))</f>
        <v/>
      </c>
      <c r="O31" s="7" t="n"/>
    </row>
    <row r="32">
      <c r="C32" t="inlineStr">
        <is>
          <t xml:space="preserve">      Set 2</t>
        </is>
      </c>
      <c r="E32" t="n">
        <v>12</v>
      </c>
      <c r="H32" s="39">
        <f>IF(H30="","",H30)</f>
        <v/>
      </c>
      <c r="I32" s="7">
        <f>IF(H30="","",H30)</f>
        <v/>
      </c>
      <c r="J32" s="7" t="n">
        <v>12</v>
      </c>
      <c r="K32" s="7" t="n"/>
      <c r="L32" s="40" t="n"/>
      <c r="M32">
        <f>IF(AND(L32&lt;&gt;"",N(I32)&gt;0,N(J32)&gt;0),IF(J32=1,I32,ROUND(I32*(1+J32/30),1)),"")</f>
        <v/>
      </c>
      <c r="N32" s="41">
        <f>IF(M32="","",IF(M32&gt;=PRs!C51,"PR!",""))</f>
        <v/>
      </c>
      <c r="O32" s="7" t="n"/>
    </row>
    <row r="33">
      <c r="C33" t="inlineStr">
        <is>
          <t xml:space="preserve">      Set 3</t>
        </is>
      </c>
      <c r="E33" t="n">
        <v>12</v>
      </c>
      <c r="H33" s="39">
        <f>IF(H30="","",H30)</f>
        <v/>
      </c>
      <c r="I33" s="7">
        <f>IF(H30="","",H30)</f>
        <v/>
      </c>
      <c r="J33" s="7" t="n">
        <v>12</v>
      </c>
      <c r="K33" s="7" t="n"/>
      <c r="L33" s="40" t="n"/>
      <c r="M33">
        <f>IF(AND(L33&lt;&gt;"",N(I33)&gt;0,N(J33)&gt;0),IF(J33=1,I33,ROUND(I33*(1+J33/30),1)),"")</f>
        <v/>
      </c>
      <c r="N33" s="41">
        <f>IF(M33="","",IF(M33&gt;=PRs!C51,"PR!",""))</f>
        <v/>
      </c>
      <c r="O33" s="7" t="n"/>
    </row>
    <row r="34">
      <c r="A34" s="31" t="inlineStr">
        <is>
          <t>Day 2 - Light</t>
        </is>
      </c>
      <c r="B34" s="32">
        <f>'Start Here'!$B$8+282</f>
        <v/>
      </c>
      <c r="C34" s="33" t="n"/>
      <c r="D34" s="33" t="n"/>
      <c r="E34" s="33" t="n"/>
      <c r="F34" s="33" t="n"/>
      <c r="G34" s="33" t="n"/>
      <c r="H34" s="33" t="n"/>
      <c r="I34" s="33" t="n"/>
      <c r="J34" s="33" t="n"/>
      <c r="K34" s="33" t="n"/>
      <c r="L34" s="33" t="n"/>
      <c r="M34" s="33" t="n"/>
      <c r="N34" s="33" t="n"/>
      <c r="O34" s="33" t="n"/>
    </row>
    <row r="35">
      <c r="A35" s="34" t="n"/>
      <c r="B35" s="34" t="n"/>
      <c r="C35" s="35" t="inlineStr">
        <is>
          <t>Broad Jump</t>
        </is>
      </c>
      <c r="D35" s="34" t="inlineStr">
        <is>
          <t>4 x 3</t>
        </is>
      </c>
      <c r="E35" s="34" t="n"/>
      <c r="F35" s="34" t="n"/>
      <c r="G35" s="36" t="n"/>
      <c r="H35" s="37">
        <f>IF(N(Maxes!H70)&gt;0,Maxes!H70,"")</f>
        <v/>
      </c>
      <c r="I35" s="34" t="n"/>
      <c r="J35" s="34" t="n"/>
      <c r="K35" s="34" t="n"/>
      <c r="L35" s="34" t="n"/>
      <c r="M35" s="34" t="n"/>
      <c r="N35" s="34" t="n"/>
      <c r="O35" s="38" t="inlineStr">
        <is>
          <t>Standing two-foot jump forward, stick the landing. Measure toe line to the back of the nearest heel.</t>
        </is>
      </c>
    </row>
    <row r="36">
      <c r="C36" t="inlineStr">
        <is>
          <t xml:space="preserve">      Set 1</t>
        </is>
      </c>
      <c r="E36" t="n">
        <v>3</v>
      </c>
      <c r="H36" s="39">
        <f>IF(H35="","",H35)</f>
        <v/>
      </c>
      <c r="I36" s="7">
        <f>IF(H35="","",H35)</f>
        <v/>
      </c>
      <c r="J36" s="7" t="n">
        <v>3</v>
      </c>
      <c r="K36" s="7" t="n"/>
      <c r="L36" s="40" t="n"/>
      <c r="N36" s="41">
        <f>IF(AND(L36&lt;&gt;"",N(I36)&gt;0),IF(I36&gt;=PRs!D70,"PR!",""),"")</f>
        <v/>
      </c>
      <c r="O36" s="7" t="n"/>
    </row>
    <row r="37">
      <c r="C37" t="inlineStr">
        <is>
          <t xml:space="preserve">      Set 2</t>
        </is>
      </c>
      <c r="E37" t="n">
        <v>3</v>
      </c>
      <c r="H37" s="39">
        <f>IF(H35="","",H35)</f>
        <v/>
      </c>
      <c r="I37" s="7">
        <f>IF(H35="","",H35)</f>
        <v/>
      </c>
      <c r="J37" s="7" t="n">
        <v>3</v>
      </c>
      <c r="K37" s="7" t="n"/>
      <c r="L37" s="40" t="n"/>
      <c r="N37" s="41">
        <f>IF(AND(L37&lt;&gt;"",N(I37)&gt;0),IF(I37&gt;=PRs!D70,"PR!",""),"")</f>
        <v/>
      </c>
      <c r="O37" s="7" t="n"/>
    </row>
    <row r="38">
      <c r="C38" t="inlineStr">
        <is>
          <t xml:space="preserve">      Set 3</t>
        </is>
      </c>
      <c r="E38" t="n">
        <v>3</v>
      </c>
      <c r="H38" s="39">
        <f>IF(H35="","",H35)</f>
        <v/>
      </c>
      <c r="I38" s="7">
        <f>IF(H35="","",H35)</f>
        <v/>
      </c>
      <c r="J38" s="7" t="n">
        <v>3</v>
      </c>
      <c r="K38" s="7" t="n"/>
      <c r="L38" s="40" t="n"/>
      <c r="N38" s="41">
        <f>IF(AND(L38&lt;&gt;"",N(I38)&gt;0),IF(I38&gt;=PRs!D70,"PR!",""),"")</f>
        <v/>
      </c>
      <c r="O38" s="7" t="n"/>
    </row>
    <row r="39">
      <c r="C39" t="inlineStr">
        <is>
          <t xml:space="preserve">      Set 4</t>
        </is>
      </c>
      <c r="E39" t="n">
        <v>3</v>
      </c>
      <c r="H39" s="39">
        <f>IF(H35="","",H35)</f>
        <v/>
      </c>
      <c r="I39" s="7">
        <f>IF(H35="","",H35)</f>
        <v/>
      </c>
      <c r="J39" s="7" t="n">
        <v>3</v>
      </c>
      <c r="K39" s="7" t="n"/>
      <c r="L39" s="40" t="n"/>
      <c r="N39" s="41">
        <f>IF(AND(L39&lt;&gt;"",N(I39)&gt;0),IF(I39&gt;=PRs!D70,"PR!",""),"")</f>
        <v/>
      </c>
      <c r="O39" s="7" t="n"/>
    </row>
    <row r="40">
      <c r="A40" s="34" t="n"/>
      <c r="B40" s="34" t="n"/>
      <c r="C40" s="35" t="inlineStr">
        <is>
          <t>Med Ball Chest Pass</t>
        </is>
      </c>
      <c r="D40" s="34" t="inlineStr">
        <is>
          <t>3 x 5</t>
        </is>
      </c>
      <c r="E40" s="34" t="n"/>
      <c r="F40" s="34" t="n"/>
      <c r="G40" s="36" t="n"/>
      <c r="H40" s="37">
        <f>IF(N(Maxes!H77)&gt;0,Maxes!H77,"")</f>
        <v/>
      </c>
      <c r="I40" s="34" t="n"/>
      <c r="J40" s="34" t="n"/>
      <c r="K40" s="34" t="n"/>
      <c r="L40" s="34" t="n"/>
      <c r="M40" s="34" t="n"/>
      <c r="N40" s="34" t="n"/>
      <c r="O40" s="38" t="inlineStr">
        <is>
          <t>Kneeling or standing chest pass for distance with a 6-10 lb / 3-5 kg ball. Log the distance.</t>
        </is>
      </c>
    </row>
    <row r="41">
      <c r="C41" t="inlineStr">
        <is>
          <t xml:space="preserve">      Set 1</t>
        </is>
      </c>
      <c r="E41" t="n">
        <v>5</v>
      </c>
      <c r="H41" s="39">
        <f>IF(H40="","",H40)</f>
        <v/>
      </c>
      <c r="I41" s="7">
        <f>IF(H40="","",H40)</f>
        <v/>
      </c>
      <c r="J41" s="7" t="n">
        <v>5</v>
      </c>
      <c r="K41" s="7" t="n"/>
      <c r="L41" s="40" t="n"/>
      <c r="N41" s="41">
        <f>IF(AND(L41&lt;&gt;"",N(I41)&gt;0),IF(I41&gt;=PRs!D77,"PR!",""),"")</f>
        <v/>
      </c>
      <c r="O41" s="7" t="n"/>
    </row>
    <row r="42">
      <c r="C42" t="inlineStr">
        <is>
          <t xml:space="preserve">      Set 2</t>
        </is>
      </c>
      <c r="E42" t="n">
        <v>5</v>
      </c>
      <c r="H42" s="39">
        <f>IF(H40="","",H40)</f>
        <v/>
      </c>
      <c r="I42" s="7">
        <f>IF(H40="","",H40)</f>
        <v/>
      </c>
      <c r="J42" s="7" t="n">
        <v>5</v>
      </c>
      <c r="K42" s="7" t="n"/>
      <c r="L42" s="40" t="n"/>
      <c r="N42" s="41">
        <f>IF(AND(L42&lt;&gt;"",N(I42)&gt;0),IF(I42&gt;=PRs!D77,"PR!",""),"")</f>
        <v/>
      </c>
      <c r="O42" s="7" t="n"/>
    </row>
    <row r="43">
      <c r="C43" t="inlineStr">
        <is>
          <t xml:space="preserve">      Set 3</t>
        </is>
      </c>
      <c r="E43" t="n">
        <v>5</v>
      </c>
      <c r="H43" s="39">
        <f>IF(H40="","",H40)</f>
        <v/>
      </c>
      <c r="I43" s="7">
        <f>IF(H40="","",H40)</f>
        <v/>
      </c>
      <c r="J43" s="7" t="n">
        <v>5</v>
      </c>
      <c r="K43" s="7" t="n"/>
      <c r="L43" s="40" t="n"/>
      <c r="N43" s="41">
        <f>IF(AND(L43&lt;&gt;"",N(I43)&gt;0),IF(I43&gt;=PRs!D77,"PR!",""),"")</f>
        <v/>
      </c>
      <c r="O43" s="7" t="n"/>
    </row>
    <row r="44">
      <c r="A44" s="34" t="n"/>
      <c r="B44" s="34" t="n"/>
      <c r="C44" s="42" t="inlineStr">
        <is>
          <t>Clean &amp; Jerk</t>
        </is>
      </c>
      <c r="D44" s="34" t="inlineStr">
        <is>
          <t>4 x 3</t>
        </is>
      </c>
      <c r="E44" s="34" t="n"/>
      <c r="F44" s="34" t="n">
        <v>77.5</v>
      </c>
      <c r="G44" s="36">
        <f>Maxes!H7</f>
        <v/>
      </c>
      <c r="H44" s="37">
        <f>IF(OR(G44="",F44=""),"",MROUND(G44*F44/100,'Start Here'!$B$7))</f>
        <v/>
      </c>
      <c r="I44" s="34" t="n"/>
      <c r="J44" s="34" t="n"/>
      <c r="K44" s="34" t="n"/>
      <c r="L44" s="34" t="n"/>
      <c r="M44" s="34" t="n"/>
      <c r="N44" s="34" t="n"/>
      <c r="O44" s="38" t="inlineStr"/>
    </row>
    <row r="45">
      <c r="C45" t="inlineStr">
        <is>
          <t xml:space="preserve">      Set 1</t>
        </is>
      </c>
      <c r="E45" t="n">
        <v>3</v>
      </c>
      <c r="H45" s="39">
        <f>IF(H44="","",H44)</f>
        <v/>
      </c>
      <c r="I45" s="7">
        <f>IF(H44="","",H44)</f>
        <v/>
      </c>
      <c r="J45" s="7" t="n">
        <v>3</v>
      </c>
      <c r="K45" s="7" t="n"/>
      <c r="L45" s="40" t="n"/>
      <c r="M45">
        <f>IF(AND(L45&lt;&gt;"",N(I45)&gt;0,N(J45)&gt;0),IF(J45=1,I45,ROUND(I45*(1+J45/30),1)),"")</f>
        <v/>
      </c>
      <c r="N45" s="41">
        <f>IF(M45="","",IF(M45&gt;=PRs!C7,"PR!",""))</f>
        <v/>
      </c>
      <c r="O45" s="7" t="n"/>
    </row>
    <row r="46">
      <c r="C46" t="inlineStr">
        <is>
          <t xml:space="preserve">      Set 2</t>
        </is>
      </c>
      <c r="E46" t="n">
        <v>3</v>
      </c>
      <c r="H46" s="39">
        <f>IF(H44="","",H44)</f>
        <v/>
      </c>
      <c r="I46" s="7">
        <f>IF(H44="","",H44)</f>
        <v/>
      </c>
      <c r="J46" s="7" t="n">
        <v>3</v>
      </c>
      <c r="K46" s="7" t="n"/>
      <c r="L46" s="40" t="n"/>
      <c r="M46">
        <f>IF(AND(L46&lt;&gt;"",N(I46)&gt;0,N(J46)&gt;0),IF(J46=1,I46,ROUND(I46*(1+J46/30),1)),"")</f>
        <v/>
      </c>
      <c r="N46" s="41">
        <f>IF(M46="","",IF(M46&gt;=PRs!C7,"PR!",""))</f>
        <v/>
      </c>
      <c r="O46" s="7" t="n"/>
    </row>
    <row r="47">
      <c r="C47" t="inlineStr">
        <is>
          <t xml:space="preserve">      Set 3</t>
        </is>
      </c>
      <c r="E47" t="n">
        <v>3</v>
      </c>
      <c r="H47" s="39">
        <f>IF(H44="","",H44)</f>
        <v/>
      </c>
      <c r="I47" s="7">
        <f>IF(H44="","",H44)</f>
        <v/>
      </c>
      <c r="J47" s="7" t="n">
        <v>3</v>
      </c>
      <c r="K47" s="7" t="n"/>
      <c r="L47" s="40" t="n"/>
      <c r="M47">
        <f>IF(AND(L47&lt;&gt;"",N(I47)&gt;0,N(J47)&gt;0),IF(J47=1,I47,ROUND(I47*(1+J47/30),1)),"")</f>
        <v/>
      </c>
      <c r="N47" s="41">
        <f>IF(M47="","",IF(M47&gt;=PRs!C7,"PR!",""))</f>
        <v/>
      </c>
      <c r="O47" s="7" t="n"/>
    </row>
    <row r="48">
      <c r="C48" t="inlineStr">
        <is>
          <t xml:space="preserve">      Set 4</t>
        </is>
      </c>
      <c r="E48" t="n">
        <v>3</v>
      </c>
      <c r="H48" s="39">
        <f>IF(H44="","",H44)</f>
        <v/>
      </c>
      <c r="I48" s="7">
        <f>IF(H44="","",H44)</f>
        <v/>
      </c>
      <c r="J48" s="7" t="n">
        <v>3</v>
      </c>
      <c r="K48" s="7" t="n"/>
      <c r="L48" s="40" t="n"/>
      <c r="M48">
        <f>IF(AND(L48&lt;&gt;"",N(I48)&gt;0,N(J48)&gt;0),IF(J48=1,I48,ROUND(I48*(1+J48/30),1)),"")</f>
        <v/>
      </c>
      <c r="N48" s="41">
        <f>IF(M48="","",IF(M48&gt;=PRs!C7,"PR!",""))</f>
        <v/>
      </c>
      <c r="O48" s="7" t="n"/>
    </row>
    <row r="49">
      <c r="A49" s="34" t="n"/>
      <c r="B49" s="34" t="n"/>
      <c r="C49" s="42" t="inlineStr">
        <is>
          <t>Squat</t>
        </is>
      </c>
      <c r="D49" s="34" t="inlineStr">
        <is>
          <t>3 x 6</t>
        </is>
      </c>
      <c r="E49" s="34" t="n"/>
      <c r="F49" s="34" t="n">
        <v>65</v>
      </c>
      <c r="G49" s="36">
        <f>Maxes!H2</f>
        <v/>
      </c>
      <c r="H49" s="37">
        <f>IF(OR(G49="",F49=""),"",MROUND(G49*F49/100,'Start Here'!$B$7))</f>
        <v/>
      </c>
      <c r="I49" s="34" t="n"/>
      <c r="J49" s="34" t="n"/>
      <c r="K49" s="34" t="n"/>
      <c r="L49" s="34" t="n"/>
      <c r="M49" s="34" t="n"/>
      <c r="N49" s="34" t="n"/>
      <c r="O49" s="38" t="inlineStr"/>
    </row>
    <row r="50">
      <c r="C50" t="inlineStr">
        <is>
          <t xml:space="preserve">      Set 1</t>
        </is>
      </c>
      <c r="E50" t="n">
        <v>6</v>
      </c>
      <c r="H50" s="39">
        <f>IF(H49="","",H49)</f>
        <v/>
      </c>
      <c r="I50" s="7">
        <f>IF(H49="","",H49)</f>
        <v/>
      </c>
      <c r="J50" s="7" t="n">
        <v>6</v>
      </c>
      <c r="K50" s="7" t="n"/>
      <c r="L50" s="40" t="n"/>
      <c r="M50">
        <f>IF(AND(L50&lt;&gt;"",N(I50)&gt;0,N(J50)&gt;0),IF(J50=1,I50,ROUND(I50*(1+J50/30),1)),"")</f>
        <v/>
      </c>
      <c r="N50" s="41">
        <f>IF(M50="","",IF(M50&gt;=PRs!C2,"PR!",""))</f>
        <v/>
      </c>
      <c r="O50" s="7" t="n"/>
    </row>
    <row r="51">
      <c r="C51" t="inlineStr">
        <is>
          <t xml:space="preserve">      Set 2</t>
        </is>
      </c>
      <c r="E51" t="n">
        <v>6</v>
      </c>
      <c r="H51" s="39">
        <f>IF(H49="","",H49)</f>
        <v/>
      </c>
      <c r="I51" s="7">
        <f>IF(H49="","",H49)</f>
        <v/>
      </c>
      <c r="J51" s="7" t="n">
        <v>6</v>
      </c>
      <c r="K51" s="7" t="n"/>
      <c r="L51" s="40" t="n"/>
      <c r="M51">
        <f>IF(AND(L51&lt;&gt;"",N(I51)&gt;0,N(J51)&gt;0),IF(J51=1,I51,ROUND(I51*(1+J51/30),1)),"")</f>
        <v/>
      </c>
      <c r="N51" s="41">
        <f>IF(M51="","",IF(M51&gt;=PRs!C2,"PR!",""))</f>
        <v/>
      </c>
      <c r="O51" s="7" t="n"/>
    </row>
    <row r="52">
      <c r="C52" t="inlineStr">
        <is>
          <t xml:space="preserve">      Set 3</t>
        </is>
      </c>
      <c r="E52" t="n">
        <v>6</v>
      </c>
      <c r="H52" s="39">
        <f>IF(H49="","",H49)</f>
        <v/>
      </c>
      <c r="I52" s="7">
        <f>IF(H49="","",H49)</f>
        <v/>
      </c>
      <c r="J52" s="7" t="n">
        <v>6</v>
      </c>
      <c r="K52" s="7" t="n"/>
      <c r="L52" s="40" t="n"/>
      <c r="M52">
        <f>IF(AND(L52&lt;&gt;"",N(I52)&gt;0,N(J52)&gt;0),IF(J52=1,I52,ROUND(I52*(1+J52/30),1)),"")</f>
        <v/>
      </c>
      <c r="N52" s="41">
        <f>IF(M52="","",IF(M52&gt;=PRs!C2,"PR!",""))</f>
        <v/>
      </c>
      <c r="O52" s="7" t="n"/>
    </row>
    <row r="53">
      <c r="A53" s="34" t="n"/>
      <c r="B53" s="34" t="n"/>
      <c r="C53" s="42" t="inlineStr">
        <is>
          <t>Overhead Press</t>
        </is>
      </c>
      <c r="D53" s="34" t="inlineStr">
        <is>
          <t>3 x 6</t>
        </is>
      </c>
      <c r="E53" s="34" t="n"/>
      <c r="F53" s="34" t="n">
        <v>72.5</v>
      </c>
      <c r="G53" s="36">
        <f>Maxes!H5</f>
        <v/>
      </c>
      <c r="H53" s="37">
        <f>IF(OR(G53="",F53=""),"",MROUND(G53*F53/100,'Start Here'!$B$7))</f>
        <v/>
      </c>
      <c r="I53" s="34" t="n"/>
      <c r="J53" s="34" t="n"/>
      <c r="K53" s="34" t="n"/>
      <c r="L53" s="34" t="n"/>
      <c r="M53" s="34" t="n"/>
      <c r="N53" s="34" t="n"/>
      <c r="O53" s="38" t="inlineStr"/>
    </row>
    <row r="54">
      <c r="C54" t="inlineStr">
        <is>
          <t xml:space="preserve">      Set 1</t>
        </is>
      </c>
      <c r="E54" t="n">
        <v>6</v>
      </c>
      <c r="H54" s="39">
        <f>IF(H53="","",H53)</f>
        <v/>
      </c>
      <c r="I54" s="7">
        <f>IF(H53="","",H53)</f>
        <v/>
      </c>
      <c r="J54" s="7" t="n">
        <v>6</v>
      </c>
      <c r="K54" s="7" t="n"/>
      <c r="L54" s="40" t="n"/>
      <c r="M54">
        <f>IF(AND(L54&lt;&gt;"",N(I54)&gt;0,N(J54)&gt;0),IF(J54=1,I54,ROUND(I54*(1+J54/30),1)),"")</f>
        <v/>
      </c>
      <c r="N54" s="41">
        <f>IF(M54="","",IF(M54&gt;=PRs!C5,"PR!",""))</f>
        <v/>
      </c>
      <c r="O54" s="7" t="n"/>
    </row>
    <row r="55">
      <c r="C55" t="inlineStr">
        <is>
          <t xml:space="preserve">      Set 2</t>
        </is>
      </c>
      <c r="E55" t="n">
        <v>6</v>
      </c>
      <c r="H55" s="39">
        <f>IF(H53="","",H53)</f>
        <v/>
      </c>
      <c r="I55" s="7">
        <f>IF(H53="","",H53)</f>
        <v/>
      </c>
      <c r="J55" s="7" t="n">
        <v>6</v>
      </c>
      <c r="K55" s="7" t="n"/>
      <c r="L55" s="40" t="n"/>
      <c r="M55">
        <f>IF(AND(L55&lt;&gt;"",N(I55)&gt;0,N(J55)&gt;0),IF(J55=1,I55,ROUND(I55*(1+J55/30),1)),"")</f>
        <v/>
      </c>
      <c r="N55" s="41">
        <f>IF(M55="","",IF(M55&gt;=PRs!C5,"PR!",""))</f>
        <v/>
      </c>
      <c r="O55" s="7" t="n"/>
    </row>
    <row r="56">
      <c r="C56" t="inlineStr">
        <is>
          <t xml:space="preserve">      Set 3</t>
        </is>
      </c>
      <c r="E56" t="n">
        <v>6</v>
      </c>
      <c r="H56" s="39">
        <f>IF(H53="","",H53)</f>
        <v/>
      </c>
      <c r="I56" s="7">
        <f>IF(H53="","",H53)</f>
        <v/>
      </c>
      <c r="J56" s="7" t="n">
        <v>6</v>
      </c>
      <c r="K56" s="7" t="n"/>
      <c r="L56" s="40" t="n"/>
      <c r="M56">
        <f>IF(AND(L56&lt;&gt;"",N(I56)&gt;0,N(J56)&gt;0),IF(J56=1,I56,ROUND(I56*(1+J56/30),1)),"")</f>
        <v/>
      </c>
      <c r="N56" s="41">
        <f>IF(M56="","",IF(M56&gt;=PRs!C5,"PR!",""))</f>
        <v/>
      </c>
      <c r="O56" s="7" t="n"/>
    </row>
    <row r="57">
      <c r="A57" s="34" t="n"/>
      <c r="B57" s="34" t="n"/>
      <c r="C57" s="42" t="inlineStr">
        <is>
          <t>Deadlift</t>
        </is>
      </c>
      <c r="D57" s="34" t="inlineStr">
        <is>
          <t>3 x 6</t>
        </is>
      </c>
      <c r="E57" s="34" t="n"/>
      <c r="F57" s="34" t="n">
        <v>72.5</v>
      </c>
      <c r="G57" s="36">
        <f>Maxes!H4</f>
        <v/>
      </c>
      <c r="H57" s="37">
        <f>IF(OR(G57="",F57=""),"",MROUND(G57*F57/100,'Start Here'!$B$7))</f>
        <v/>
      </c>
      <c r="I57" s="34" t="n"/>
      <c r="J57" s="34" t="n"/>
      <c r="K57" s="34" t="n"/>
      <c r="L57" s="34" t="n"/>
      <c r="M57" s="34" t="n"/>
      <c r="N57" s="34" t="n"/>
      <c r="O57" s="38" t="inlineStr"/>
    </row>
    <row r="58">
      <c r="C58" t="inlineStr">
        <is>
          <t xml:space="preserve">      Set 1</t>
        </is>
      </c>
      <c r="E58" t="n">
        <v>6</v>
      </c>
      <c r="H58" s="39">
        <f>IF(H57="","",H57)</f>
        <v/>
      </c>
      <c r="I58" s="7">
        <f>IF(H57="","",H57)</f>
        <v/>
      </c>
      <c r="J58" s="7" t="n">
        <v>6</v>
      </c>
      <c r="K58" s="7" t="n"/>
      <c r="L58" s="40" t="n"/>
      <c r="M58">
        <f>IF(AND(L58&lt;&gt;"",N(I58)&gt;0,N(J58)&gt;0),IF(J58=1,I58,ROUND(I58*(1+J58/30),1)),"")</f>
        <v/>
      </c>
      <c r="N58" s="41">
        <f>IF(M58="","",IF(M58&gt;=PRs!C4,"PR!",""))</f>
        <v/>
      </c>
      <c r="O58" s="7" t="n"/>
    </row>
    <row r="59">
      <c r="C59" t="inlineStr">
        <is>
          <t xml:space="preserve">      Set 2</t>
        </is>
      </c>
      <c r="E59" t="n">
        <v>6</v>
      </c>
      <c r="H59" s="39">
        <f>IF(H57="","",H57)</f>
        <v/>
      </c>
      <c r="I59" s="7">
        <f>IF(H57="","",H57)</f>
        <v/>
      </c>
      <c r="J59" s="7" t="n">
        <v>6</v>
      </c>
      <c r="K59" s="7" t="n"/>
      <c r="L59" s="40" t="n"/>
      <c r="M59">
        <f>IF(AND(L59&lt;&gt;"",N(I59)&gt;0,N(J59)&gt;0),IF(J59=1,I59,ROUND(I59*(1+J59/30),1)),"")</f>
        <v/>
      </c>
      <c r="N59" s="41">
        <f>IF(M59="","",IF(M59&gt;=PRs!C4,"PR!",""))</f>
        <v/>
      </c>
      <c r="O59" s="7" t="n"/>
    </row>
    <row r="60">
      <c r="C60" t="inlineStr">
        <is>
          <t xml:space="preserve">      Set 3</t>
        </is>
      </c>
      <c r="E60" t="n">
        <v>6</v>
      </c>
      <c r="H60" s="39">
        <f>IF(H57="","",H57)</f>
        <v/>
      </c>
      <c r="I60" s="7">
        <f>IF(H57="","",H57)</f>
        <v/>
      </c>
      <c r="J60" s="7" t="n">
        <v>6</v>
      </c>
      <c r="K60" s="7" t="n"/>
      <c r="L60" s="40" t="n"/>
      <c r="M60">
        <f>IF(AND(L60&lt;&gt;"",N(I60)&gt;0,N(J60)&gt;0),IF(J60=1,I60,ROUND(I60*(1+J60/30),1)),"")</f>
        <v/>
      </c>
      <c r="N60" s="41">
        <f>IF(M60="","",IF(M60&gt;=PRs!C4,"PR!",""))</f>
        <v/>
      </c>
      <c r="O60" s="7" t="n"/>
    </row>
    <row r="61">
      <c r="A61" s="34" t="n"/>
      <c r="B61" s="34" t="n"/>
      <c r="C61" s="43" t="inlineStr">
        <is>
          <t>Chin-up</t>
        </is>
      </c>
      <c r="D61" s="34" t="inlineStr">
        <is>
          <t>3 x 6-10</t>
        </is>
      </c>
      <c r="E61" s="34" t="n"/>
      <c r="F61" s="34" t="n"/>
      <c r="G61" s="36" t="n"/>
      <c r="H61" s="37" t="n"/>
      <c r="I61" s="34" t="n"/>
      <c r="J61" s="34" t="n"/>
      <c r="K61" s="34" t="n"/>
      <c r="L61" s="34" t="n"/>
      <c r="M61" s="34" t="n"/>
      <c r="N61" s="34" t="n"/>
      <c r="O61" s="38" t="inlineStr">
        <is>
          <t>Leave 1-2 reps in the tank; add weight when you hit the top of the range</t>
        </is>
      </c>
    </row>
    <row r="62">
      <c r="C62" t="inlineStr">
        <is>
          <t xml:space="preserve">      Set 1</t>
        </is>
      </c>
      <c r="E62" t="n">
        <v>6</v>
      </c>
      <c r="H62" s="39">
        <f>IF(H61="","",H61)</f>
        <v/>
      </c>
      <c r="I62" s="7">
        <f>IF(H61="","",H61)</f>
        <v/>
      </c>
      <c r="J62" s="7" t="n">
        <v>6</v>
      </c>
      <c r="K62" s="7" t="n"/>
      <c r="L62" s="40" t="n"/>
      <c r="M62">
        <f>IF(AND(L62&lt;&gt;"",N(I62)&gt;0,N(J62)&gt;0),IF(J62=1,I62,ROUND(I62*(1+J62/30),1)),"")</f>
        <v/>
      </c>
      <c r="N62" s="41">
        <f>IF(M62="","",IF(M62&gt;=PRs!C53,"PR!",""))</f>
        <v/>
      </c>
      <c r="O62" s="7" t="n"/>
    </row>
    <row r="63">
      <c r="C63" t="inlineStr">
        <is>
          <t xml:space="preserve">      Set 2</t>
        </is>
      </c>
      <c r="E63" t="n">
        <v>6</v>
      </c>
      <c r="H63" s="39">
        <f>IF(H61="","",H61)</f>
        <v/>
      </c>
      <c r="I63" s="7">
        <f>IF(H61="","",H61)</f>
        <v/>
      </c>
      <c r="J63" s="7" t="n">
        <v>6</v>
      </c>
      <c r="K63" s="7" t="n"/>
      <c r="L63" s="40" t="n"/>
      <c r="M63">
        <f>IF(AND(L63&lt;&gt;"",N(I63)&gt;0,N(J63)&gt;0),IF(J63=1,I63,ROUND(I63*(1+J63/30),1)),"")</f>
        <v/>
      </c>
      <c r="N63" s="41">
        <f>IF(M63="","",IF(M63&gt;=PRs!C53,"PR!",""))</f>
        <v/>
      </c>
      <c r="O63" s="7" t="n"/>
    </row>
    <row r="64">
      <c r="C64" t="inlineStr">
        <is>
          <t xml:space="preserve">      Set 3</t>
        </is>
      </c>
      <c r="E64" t="n">
        <v>6</v>
      </c>
      <c r="H64" s="39">
        <f>IF(H61="","",H61)</f>
        <v/>
      </c>
      <c r="I64" s="7">
        <f>IF(H61="","",H61)</f>
        <v/>
      </c>
      <c r="J64" s="7" t="n">
        <v>6</v>
      </c>
      <c r="K64" s="7" t="n"/>
      <c r="L64" s="40" t="n"/>
      <c r="M64">
        <f>IF(AND(L64&lt;&gt;"",N(I64)&gt;0,N(J64)&gt;0),IF(J64=1,I64,ROUND(I64*(1+J64/30),1)),"")</f>
        <v/>
      </c>
      <c r="N64" s="41">
        <f>IF(M64="","",IF(M64&gt;=PRs!C53,"PR!",""))</f>
        <v/>
      </c>
      <c r="O64" s="7" t="n"/>
    </row>
    <row r="65">
      <c r="A65" s="34" t="n"/>
      <c r="B65" s="34" t="n"/>
      <c r="C65" s="43" t="inlineStr">
        <is>
          <t>Plank</t>
        </is>
      </c>
      <c r="D65" s="34" t="inlineStr">
        <is>
          <t>3 x 30-60s</t>
        </is>
      </c>
      <c r="E65" s="34" t="n"/>
      <c r="F65" s="34" t="n"/>
      <c r="G65" s="36" t="n"/>
      <c r="H65" s="37" t="n"/>
      <c r="I65" s="34" t="n"/>
      <c r="J65" s="34" t="n"/>
      <c r="K65" s="34" t="n"/>
      <c r="L65" s="34" t="n"/>
      <c r="M65" s="34" t="n"/>
      <c r="N65" s="34" t="n"/>
      <c r="O65" s="38" t="inlineStr">
        <is>
          <t>Leave 1-2 reps in the tank; add weight when you hit the top of the range</t>
        </is>
      </c>
    </row>
    <row r="66">
      <c r="C66" t="inlineStr">
        <is>
          <t xml:space="preserve">      Set 1</t>
        </is>
      </c>
      <c r="E66" t="n">
        <v>30</v>
      </c>
      <c r="H66" s="39">
        <f>IF(H65="","",H65)</f>
        <v/>
      </c>
      <c r="I66" s="7">
        <f>IF(H65="","",H65)</f>
        <v/>
      </c>
      <c r="J66" s="7" t="n">
        <v>30</v>
      </c>
      <c r="K66" s="7" t="n"/>
      <c r="L66" s="40" t="n"/>
      <c r="M66">
        <f>IF(AND(L66&lt;&gt;"",N(I66)&gt;0,N(J66)&gt;0),IF(J66=1,I66,ROUND(I66*(1+J66/30),1)),"")</f>
        <v/>
      </c>
      <c r="N66" s="41">
        <f>IF(M66="","",IF(M66&gt;=PRs!C56,"PR!",""))</f>
        <v/>
      </c>
      <c r="O66" s="7" t="n"/>
    </row>
    <row r="67">
      <c r="C67" t="inlineStr">
        <is>
          <t xml:space="preserve">      Set 2</t>
        </is>
      </c>
      <c r="E67" t="n">
        <v>30</v>
      </c>
      <c r="H67" s="39">
        <f>IF(H65="","",H65)</f>
        <v/>
      </c>
      <c r="I67" s="7">
        <f>IF(H65="","",H65)</f>
        <v/>
      </c>
      <c r="J67" s="7" t="n">
        <v>30</v>
      </c>
      <c r="K67" s="7" t="n"/>
      <c r="L67" s="40" t="n"/>
      <c r="M67">
        <f>IF(AND(L67&lt;&gt;"",N(I67)&gt;0,N(J67)&gt;0),IF(J67=1,I67,ROUND(I67*(1+J67/30),1)),"")</f>
        <v/>
      </c>
      <c r="N67" s="41">
        <f>IF(M67="","",IF(M67&gt;=PRs!C56,"PR!",""))</f>
        <v/>
      </c>
      <c r="O67" s="7" t="n"/>
    </row>
    <row r="68">
      <c r="C68" t="inlineStr">
        <is>
          <t xml:space="preserve">      Set 3</t>
        </is>
      </c>
      <c r="E68" t="n">
        <v>30</v>
      </c>
      <c r="H68" s="39">
        <f>IF(H65="","",H65)</f>
        <v/>
      </c>
      <c r="I68" s="7">
        <f>IF(H65="","",H65)</f>
        <v/>
      </c>
      <c r="J68" s="7" t="n">
        <v>30</v>
      </c>
      <c r="K68" s="7" t="n"/>
      <c r="L68" s="40" t="n"/>
      <c r="M68">
        <f>IF(AND(L68&lt;&gt;"",N(I68)&gt;0,N(J68)&gt;0),IF(J68=1,I68,ROUND(I68*(1+J68/30),1)),"")</f>
        <v/>
      </c>
      <c r="N68" s="41">
        <f>IF(M68="","",IF(M68&gt;=PRs!C56,"PR!",""))</f>
        <v/>
      </c>
      <c r="O68" s="7" t="n"/>
    </row>
    <row r="69">
      <c r="A69" s="31" t="inlineStr">
        <is>
          <t>Day 3 - Variations</t>
        </is>
      </c>
      <c r="B69" s="32">
        <f>'Start Here'!$B$8+284</f>
        <v/>
      </c>
      <c r="C69" s="33" t="n"/>
      <c r="D69" s="33" t="n"/>
      <c r="E69" s="33" t="n"/>
      <c r="F69" s="33" t="n"/>
      <c r="G69" s="33" t="n"/>
      <c r="H69" s="33" t="n"/>
      <c r="I69" s="33" t="n"/>
      <c r="J69" s="33" t="n"/>
      <c r="K69" s="33" t="n"/>
      <c r="L69" s="33" t="n"/>
      <c r="M69" s="33" t="n"/>
      <c r="N69" s="33" t="n"/>
      <c r="O69" s="33" t="n"/>
    </row>
    <row r="70">
      <c r="A70" s="34" t="n"/>
      <c r="B70" s="34" t="n"/>
      <c r="C70" s="35" t="inlineStr">
        <is>
          <t>Plyo Push-up</t>
        </is>
      </c>
      <c r="D70" s="34" t="inlineStr">
        <is>
          <t>4 x 3</t>
        </is>
      </c>
      <c r="E70" s="34" t="n"/>
      <c r="F70" s="34" t="n"/>
      <c r="G70" s="36" t="n"/>
      <c r="H70" s="37">
        <f>IF(N(Maxes!H75)&gt;0,Maxes!H75,"")</f>
        <v/>
      </c>
      <c r="I70" s="34" t="n"/>
      <c r="J70" s="34" t="n"/>
      <c r="K70" s="34" t="n"/>
      <c r="L70" s="34" t="n"/>
      <c r="M70" s="34" t="n"/>
      <c r="N70" s="34" t="n"/>
      <c r="O70" s="38" t="inlineStr">
        <is>
          <t>Explosive push-up so the hands leave the floor. Log reps (distance/height = 1).</t>
        </is>
      </c>
    </row>
    <row r="71">
      <c r="C71" t="inlineStr">
        <is>
          <t xml:space="preserve">      Set 1</t>
        </is>
      </c>
      <c r="E71" t="n">
        <v>3</v>
      </c>
      <c r="H71" s="39">
        <f>IF(H70="","",H70)</f>
        <v/>
      </c>
      <c r="I71" s="7">
        <f>IF(H70="","",H70)</f>
        <v/>
      </c>
      <c r="J71" s="7" t="n">
        <v>3</v>
      </c>
      <c r="K71" s="7" t="n"/>
      <c r="L71" s="40" t="n"/>
      <c r="N71" s="41">
        <f>IF(AND(L71&lt;&gt;"",N(I71)&gt;0),IF(I71&gt;=PRs!D75,"PR!",""),"")</f>
        <v/>
      </c>
      <c r="O71" s="7" t="n"/>
    </row>
    <row r="72">
      <c r="C72" t="inlineStr">
        <is>
          <t xml:space="preserve">      Set 2</t>
        </is>
      </c>
      <c r="E72" t="n">
        <v>3</v>
      </c>
      <c r="H72" s="39">
        <f>IF(H70="","",H70)</f>
        <v/>
      </c>
      <c r="I72" s="7">
        <f>IF(H70="","",H70)</f>
        <v/>
      </c>
      <c r="J72" s="7" t="n">
        <v>3</v>
      </c>
      <c r="K72" s="7" t="n"/>
      <c r="L72" s="40" t="n"/>
      <c r="N72" s="41">
        <f>IF(AND(L72&lt;&gt;"",N(I72)&gt;0),IF(I72&gt;=PRs!D75,"PR!",""),"")</f>
        <v/>
      </c>
      <c r="O72" s="7" t="n"/>
    </row>
    <row r="73">
      <c r="C73" t="inlineStr">
        <is>
          <t xml:space="preserve">      Set 3</t>
        </is>
      </c>
      <c r="E73" t="n">
        <v>3</v>
      </c>
      <c r="H73" s="39">
        <f>IF(H70="","",H70)</f>
        <v/>
      </c>
      <c r="I73" s="7">
        <f>IF(H70="","",H70)</f>
        <v/>
      </c>
      <c r="J73" s="7" t="n">
        <v>3</v>
      </c>
      <c r="K73" s="7" t="n"/>
      <c r="L73" s="40" t="n"/>
      <c r="N73" s="41">
        <f>IF(AND(L73&lt;&gt;"",N(I73)&gt;0),IF(I73&gt;=PRs!D75,"PR!",""),"")</f>
        <v/>
      </c>
      <c r="O73" s="7" t="n"/>
    </row>
    <row r="74">
      <c r="C74" t="inlineStr">
        <is>
          <t xml:space="preserve">      Set 4</t>
        </is>
      </c>
      <c r="E74" t="n">
        <v>3</v>
      </c>
      <c r="H74" s="39">
        <f>IF(H70="","",H70)</f>
        <v/>
      </c>
      <c r="I74" s="7">
        <f>IF(H70="","",H70)</f>
        <v/>
      </c>
      <c r="J74" s="7" t="n">
        <v>3</v>
      </c>
      <c r="K74" s="7" t="n"/>
      <c r="L74" s="40" t="n"/>
      <c r="N74" s="41">
        <f>IF(AND(L74&lt;&gt;"",N(I74)&gt;0),IF(I74&gt;=PRs!D75,"PR!",""),"")</f>
        <v/>
      </c>
      <c r="O74" s="7" t="n"/>
    </row>
    <row r="75">
      <c r="A75" s="34" t="n"/>
      <c r="B75" s="34" t="n"/>
      <c r="C75" s="42" t="inlineStr">
        <is>
          <t>Hang Snatch</t>
        </is>
      </c>
      <c r="D75" s="34" t="inlineStr">
        <is>
          <t>4 x 3</t>
        </is>
      </c>
      <c r="E75" s="34" t="n"/>
      <c r="F75" s="34" t="n">
        <v>72.5</v>
      </c>
      <c r="G75" s="36">
        <f>Maxes!H35</f>
        <v/>
      </c>
      <c r="H75" s="37">
        <f>IF(OR(G75="",F75=""),"",MROUND(G75*F75/100,'Start Here'!$B$7))</f>
        <v/>
      </c>
      <c r="I75" s="34" t="n"/>
      <c r="J75" s="34" t="n"/>
      <c r="K75" s="34" t="n"/>
      <c r="L75" s="34" t="n"/>
      <c r="M75" s="34" t="n"/>
      <c r="N75" s="34" t="n"/>
      <c r="O75" s="38" t="inlineStr"/>
    </row>
    <row r="76">
      <c r="C76" t="inlineStr">
        <is>
          <t xml:space="preserve">      Set 1</t>
        </is>
      </c>
      <c r="E76" t="n">
        <v>3</v>
      </c>
      <c r="H76" s="39">
        <f>IF(H75="","",H75)</f>
        <v/>
      </c>
      <c r="I76" s="7">
        <f>IF(H75="","",H75)</f>
        <v/>
      </c>
      <c r="J76" s="7" t="n">
        <v>3</v>
      </c>
      <c r="K76" s="7" t="n"/>
      <c r="L76" s="40" t="n"/>
      <c r="M76">
        <f>IF(AND(L76&lt;&gt;"",N(I76)&gt;0,N(J76)&gt;0),IF(J76=1,I76,ROUND(I76*(1+J76/30),1)),"")</f>
        <v/>
      </c>
      <c r="N76" s="41">
        <f>IF(M76="","",IF(M76&gt;=PRs!C35,"PR!",""))</f>
        <v/>
      </c>
      <c r="O76" s="7" t="n"/>
    </row>
    <row r="77">
      <c r="C77" t="inlineStr">
        <is>
          <t xml:space="preserve">      Set 2</t>
        </is>
      </c>
      <c r="E77" t="n">
        <v>3</v>
      </c>
      <c r="H77" s="39">
        <f>IF(H75="","",H75)</f>
        <v/>
      </c>
      <c r="I77" s="7">
        <f>IF(H75="","",H75)</f>
        <v/>
      </c>
      <c r="J77" s="7" t="n">
        <v>3</v>
      </c>
      <c r="K77" s="7" t="n"/>
      <c r="L77" s="40" t="n"/>
      <c r="M77">
        <f>IF(AND(L77&lt;&gt;"",N(I77)&gt;0,N(J77)&gt;0),IF(J77=1,I77,ROUND(I77*(1+J77/30),1)),"")</f>
        <v/>
      </c>
      <c r="N77" s="41">
        <f>IF(M77="","",IF(M77&gt;=PRs!C35,"PR!",""))</f>
        <v/>
      </c>
      <c r="O77" s="7" t="n"/>
    </row>
    <row r="78">
      <c r="C78" t="inlineStr">
        <is>
          <t xml:space="preserve">      Set 3</t>
        </is>
      </c>
      <c r="E78" t="n">
        <v>3</v>
      </c>
      <c r="H78" s="39">
        <f>IF(H75="","",H75)</f>
        <v/>
      </c>
      <c r="I78" s="7">
        <f>IF(H75="","",H75)</f>
        <v/>
      </c>
      <c r="J78" s="7" t="n">
        <v>3</v>
      </c>
      <c r="K78" s="7" t="n"/>
      <c r="L78" s="40" t="n"/>
      <c r="M78">
        <f>IF(AND(L78&lt;&gt;"",N(I78)&gt;0,N(J78)&gt;0),IF(J78=1,I78,ROUND(I78*(1+J78/30),1)),"")</f>
        <v/>
      </c>
      <c r="N78" s="41">
        <f>IF(M78="","",IF(M78&gt;=PRs!C35,"PR!",""))</f>
        <v/>
      </c>
      <c r="O78" s="7" t="n"/>
    </row>
    <row r="79">
      <c r="C79" t="inlineStr">
        <is>
          <t xml:space="preserve">      Set 4</t>
        </is>
      </c>
      <c r="E79" t="n">
        <v>3</v>
      </c>
      <c r="H79" s="39">
        <f>IF(H75="","",H75)</f>
        <v/>
      </c>
      <c r="I79" s="7">
        <f>IF(H75="","",H75)</f>
        <v/>
      </c>
      <c r="J79" s="7" t="n">
        <v>3</v>
      </c>
      <c r="K79" s="7" t="n"/>
      <c r="L79" s="40" t="n"/>
      <c r="M79">
        <f>IF(AND(L79&lt;&gt;"",N(I79)&gt;0,N(J79)&gt;0),IF(J79=1,I79,ROUND(I79*(1+J79/30),1)),"")</f>
        <v/>
      </c>
      <c r="N79" s="41">
        <f>IF(M79="","",IF(M79&gt;=PRs!C35,"PR!",""))</f>
        <v/>
      </c>
      <c r="O79" s="7" t="n"/>
    </row>
    <row r="80">
      <c r="A80" s="34" t="n"/>
      <c r="B80" s="34" t="n"/>
      <c r="C80" s="42" t="inlineStr">
        <is>
          <t>Box Squat</t>
        </is>
      </c>
      <c r="D80" s="34" t="inlineStr">
        <is>
          <t>3 x 6</t>
        </is>
      </c>
      <c r="E80" s="34" t="n"/>
      <c r="F80" s="34" t="n">
        <v>72.5</v>
      </c>
      <c r="G80" s="36">
        <f>Maxes!H8</f>
        <v/>
      </c>
      <c r="H80" s="37">
        <f>IF(OR(G80="",F80=""),"",MROUND(G80*F80/100,'Start Here'!$B$7))</f>
        <v/>
      </c>
      <c r="I80" s="34" t="n"/>
      <c r="J80" s="34" t="n"/>
      <c r="K80" s="34" t="n"/>
      <c r="L80" s="34" t="n"/>
      <c r="M80" s="34" t="n"/>
      <c r="N80" s="34" t="n"/>
      <c r="O80" s="38" t="inlineStr"/>
    </row>
    <row r="81">
      <c r="C81" t="inlineStr">
        <is>
          <t xml:space="preserve">      Set 1</t>
        </is>
      </c>
      <c r="E81" t="n">
        <v>6</v>
      </c>
      <c r="H81" s="39">
        <f>IF(H80="","",H80)</f>
        <v/>
      </c>
      <c r="I81" s="7">
        <f>IF(H80="","",H80)</f>
        <v/>
      </c>
      <c r="J81" s="7" t="n">
        <v>6</v>
      </c>
      <c r="K81" s="7" t="n"/>
      <c r="L81" s="40" t="n"/>
      <c r="M81">
        <f>IF(AND(L81&lt;&gt;"",N(I81)&gt;0,N(J81)&gt;0),IF(J81=1,I81,ROUND(I81*(1+J81/30),1)),"")</f>
        <v/>
      </c>
      <c r="N81" s="41">
        <f>IF(M81="","",IF(M81&gt;=PRs!C8,"PR!",""))</f>
        <v/>
      </c>
      <c r="O81" s="7" t="n"/>
    </row>
    <row r="82">
      <c r="C82" t="inlineStr">
        <is>
          <t xml:space="preserve">      Set 2</t>
        </is>
      </c>
      <c r="E82" t="n">
        <v>6</v>
      </c>
      <c r="H82" s="39">
        <f>IF(H80="","",H80)</f>
        <v/>
      </c>
      <c r="I82" s="7">
        <f>IF(H80="","",H80)</f>
        <v/>
      </c>
      <c r="J82" s="7" t="n">
        <v>6</v>
      </c>
      <c r="K82" s="7" t="n"/>
      <c r="L82" s="40" t="n"/>
      <c r="M82">
        <f>IF(AND(L82&lt;&gt;"",N(I82)&gt;0,N(J82)&gt;0),IF(J82=1,I82,ROUND(I82*(1+J82/30),1)),"")</f>
        <v/>
      </c>
      <c r="N82" s="41">
        <f>IF(M82="","",IF(M82&gt;=PRs!C8,"PR!",""))</f>
        <v/>
      </c>
      <c r="O82" s="7" t="n"/>
    </row>
    <row r="83">
      <c r="C83" t="inlineStr">
        <is>
          <t xml:space="preserve">      Set 3</t>
        </is>
      </c>
      <c r="E83" t="n">
        <v>6</v>
      </c>
      <c r="H83" s="39">
        <f>IF(H80="","",H80)</f>
        <v/>
      </c>
      <c r="I83" s="7">
        <f>IF(H80="","",H80)</f>
        <v/>
      </c>
      <c r="J83" s="7" t="n">
        <v>6</v>
      </c>
      <c r="K83" s="7" t="n"/>
      <c r="L83" s="40" t="n"/>
      <c r="M83">
        <f>IF(AND(L83&lt;&gt;"",N(I83)&gt;0,N(J83)&gt;0),IF(J83=1,I83,ROUND(I83*(1+J83/30),1)),"")</f>
        <v/>
      </c>
      <c r="N83" s="41">
        <f>IF(M83="","",IF(M83&gt;=PRs!C8,"PR!",""))</f>
        <v/>
      </c>
      <c r="O83" s="7" t="n"/>
    </row>
    <row r="84">
      <c r="A84" s="34" t="n"/>
      <c r="B84" s="34" t="n"/>
      <c r="C84" s="42" t="inlineStr">
        <is>
          <t>1-Board Press</t>
        </is>
      </c>
      <c r="D84" s="34" t="inlineStr">
        <is>
          <t>3 x 6</t>
        </is>
      </c>
      <c r="E84" s="34" t="n"/>
      <c r="F84" s="34" t="n">
        <v>72.5</v>
      </c>
      <c r="G84" s="36">
        <f>Maxes!H15</f>
        <v/>
      </c>
      <c r="H84" s="37">
        <f>IF(OR(G84="",F84=""),"",MROUND(G84*F84/100,'Start Here'!$B$7))</f>
        <v/>
      </c>
      <c r="I84" s="34" t="n"/>
      <c r="J84" s="34" t="n"/>
      <c r="K84" s="34" t="n"/>
      <c r="L84" s="34" t="n"/>
      <c r="M84" s="34" t="n"/>
      <c r="N84" s="34" t="n"/>
      <c r="O84" s="38" t="inlineStr"/>
    </row>
    <row r="85">
      <c r="C85" t="inlineStr">
        <is>
          <t xml:space="preserve">      Set 1</t>
        </is>
      </c>
      <c r="E85" t="n">
        <v>6</v>
      </c>
      <c r="H85" s="39">
        <f>IF(H84="","",H84)</f>
        <v/>
      </c>
      <c r="I85" s="7">
        <f>IF(H84="","",H84)</f>
        <v/>
      </c>
      <c r="J85" s="7" t="n">
        <v>6</v>
      </c>
      <c r="K85" s="7" t="n"/>
      <c r="L85" s="40" t="n"/>
      <c r="M85">
        <f>IF(AND(L85&lt;&gt;"",N(I85)&gt;0,N(J85)&gt;0),IF(J85=1,I85,ROUND(I85*(1+J85/30),1)),"")</f>
        <v/>
      </c>
      <c r="N85" s="41">
        <f>IF(M85="","",IF(M85&gt;=PRs!C15,"PR!",""))</f>
        <v/>
      </c>
      <c r="O85" s="7" t="n"/>
    </row>
    <row r="86">
      <c r="C86" t="inlineStr">
        <is>
          <t xml:space="preserve">      Set 2</t>
        </is>
      </c>
      <c r="E86" t="n">
        <v>6</v>
      </c>
      <c r="H86" s="39">
        <f>IF(H84="","",H84)</f>
        <v/>
      </c>
      <c r="I86" s="7">
        <f>IF(H84="","",H84)</f>
        <v/>
      </c>
      <c r="J86" s="7" t="n">
        <v>6</v>
      </c>
      <c r="K86" s="7" t="n"/>
      <c r="L86" s="40" t="n"/>
      <c r="M86">
        <f>IF(AND(L86&lt;&gt;"",N(I86)&gt;0,N(J86)&gt;0),IF(J86=1,I86,ROUND(I86*(1+J86/30),1)),"")</f>
        <v/>
      </c>
      <c r="N86" s="41">
        <f>IF(M86="","",IF(M86&gt;=PRs!C15,"PR!",""))</f>
        <v/>
      </c>
      <c r="O86" s="7" t="n"/>
    </row>
    <row r="87">
      <c r="C87" t="inlineStr">
        <is>
          <t xml:space="preserve">      Set 3</t>
        </is>
      </c>
      <c r="E87" t="n">
        <v>6</v>
      </c>
      <c r="H87" s="39">
        <f>IF(H84="","",H84)</f>
        <v/>
      </c>
      <c r="I87" s="7">
        <f>IF(H84="","",H84)</f>
        <v/>
      </c>
      <c r="J87" s="7" t="n">
        <v>6</v>
      </c>
      <c r="K87" s="7" t="n"/>
      <c r="L87" s="40" t="n"/>
      <c r="M87">
        <f>IF(AND(L87&lt;&gt;"",N(I87)&gt;0,N(J87)&gt;0),IF(J87=1,I87,ROUND(I87*(1+J87/30),1)),"")</f>
        <v/>
      </c>
      <c r="N87" s="41">
        <f>IF(M87="","",IF(M87&gt;=PRs!C15,"PR!",""))</f>
        <v/>
      </c>
      <c r="O87" s="7" t="n"/>
    </row>
    <row r="88">
      <c r="A88" s="34" t="n"/>
      <c r="B88" s="34" t="n"/>
      <c r="C88" s="42" t="inlineStr">
        <is>
          <t>Paused Deadlift</t>
        </is>
      </c>
      <c r="D88" s="34" t="inlineStr">
        <is>
          <t>3 x 6</t>
        </is>
      </c>
      <c r="E88" s="34" t="n"/>
      <c r="F88" s="34" t="n">
        <v>65</v>
      </c>
      <c r="G88" s="36">
        <f>Maxes!H25</f>
        <v/>
      </c>
      <c r="H88" s="37">
        <f>IF(OR(G88="",F88=""),"",MROUND(G88*F88/100,'Start Here'!$B$7))</f>
        <v/>
      </c>
      <c r="I88" s="34" t="n"/>
      <c r="J88" s="34" t="n"/>
      <c r="K88" s="34" t="n"/>
      <c r="L88" s="34" t="n"/>
      <c r="M88" s="34" t="n"/>
      <c r="N88" s="34" t="n"/>
      <c r="O88" s="38" t="inlineStr"/>
    </row>
    <row r="89">
      <c r="C89" t="inlineStr">
        <is>
          <t xml:space="preserve">      Set 1</t>
        </is>
      </c>
      <c r="E89" t="n">
        <v>6</v>
      </c>
      <c r="H89" s="39">
        <f>IF(H88="","",H88)</f>
        <v/>
      </c>
      <c r="I89" s="7">
        <f>IF(H88="","",H88)</f>
        <v/>
      </c>
      <c r="J89" s="7" t="n">
        <v>6</v>
      </c>
      <c r="K89" s="7" t="n"/>
      <c r="L89" s="40" t="n"/>
      <c r="M89">
        <f>IF(AND(L89&lt;&gt;"",N(I89)&gt;0,N(J89)&gt;0),IF(J89=1,I89,ROUND(I89*(1+J89/30),1)),"")</f>
        <v/>
      </c>
      <c r="N89" s="41">
        <f>IF(M89="","",IF(M89&gt;=PRs!C25,"PR!",""))</f>
        <v/>
      </c>
      <c r="O89" s="7" t="n"/>
    </row>
    <row r="90">
      <c r="C90" t="inlineStr">
        <is>
          <t xml:space="preserve">      Set 2</t>
        </is>
      </c>
      <c r="E90" t="n">
        <v>6</v>
      </c>
      <c r="H90" s="39">
        <f>IF(H88="","",H88)</f>
        <v/>
      </c>
      <c r="I90" s="7">
        <f>IF(H88="","",H88)</f>
        <v/>
      </c>
      <c r="J90" s="7" t="n">
        <v>6</v>
      </c>
      <c r="K90" s="7" t="n"/>
      <c r="L90" s="40" t="n"/>
      <c r="M90">
        <f>IF(AND(L90&lt;&gt;"",N(I90)&gt;0,N(J90)&gt;0),IF(J90=1,I90,ROUND(I90*(1+J90/30),1)),"")</f>
        <v/>
      </c>
      <c r="N90" s="41">
        <f>IF(M90="","",IF(M90&gt;=PRs!C25,"PR!",""))</f>
        <v/>
      </c>
      <c r="O90" s="7" t="n"/>
    </row>
    <row r="91">
      <c r="C91" t="inlineStr">
        <is>
          <t xml:space="preserve">      Set 3</t>
        </is>
      </c>
      <c r="E91" t="n">
        <v>6</v>
      </c>
      <c r="H91" s="39">
        <f>IF(H88="","",H88)</f>
        <v/>
      </c>
      <c r="I91" s="7">
        <f>IF(H88="","",H88)</f>
        <v/>
      </c>
      <c r="J91" s="7" t="n">
        <v>6</v>
      </c>
      <c r="K91" s="7" t="n"/>
      <c r="L91" s="40" t="n"/>
      <c r="M91">
        <f>IF(AND(L91&lt;&gt;"",N(I91)&gt;0,N(J91)&gt;0),IF(J91=1,I91,ROUND(I91*(1+J91/30),1)),"")</f>
        <v/>
      </c>
      <c r="N91" s="41">
        <f>IF(M91="","",IF(M91&gt;=PRs!C25,"PR!",""))</f>
        <v/>
      </c>
      <c r="O91" s="7" t="n"/>
    </row>
    <row r="92">
      <c r="A92" s="34" t="n"/>
      <c r="B92" s="34" t="n"/>
      <c r="C92" s="43" t="inlineStr">
        <is>
          <t>Incline Dumbbell Press</t>
        </is>
      </c>
      <c r="D92" s="34" t="inlineStr">
        <is>
          <t>3 x 8-12</t>
        </is>
      </c>
      <c r="E92" s="34" t="n"/>
      <c r="F92" s="34" t="n"/>
      <c r="G92" s="36" t="n"/>
      <c r="H92" s="37" t="n"/>
      <c r="I92" s="34" t="n"/>
      <c r="J92" s="34" t="n"/>
      <c r="K92" s="34" t="n"/>
      <c r="L92" s="34" t="n"/>
      <c r="M92" s="34" t="n"/>
      <c r="N92" s="34" t="n"/>
      <c r="O92" s="38" t="inlineStr">
        <is>
          <t>Leave 1-2 reps in the tank; add weight when you hit the top of the range</t>
        </is>
      </c>
    </row>
    <row r="93">
      <c r="C93" t="inlineStr">
        <is>
          <t xml:space="preserve">      Set 1</t>
        </is>
      </c>
      <c r="E93" t="n">
        <v>8</v>
      </c>
      <c r="H93" s="39">
        <f>IF(H92="","",H92)</f>
        <v/>
      </c>
      <c r="I93" s="7">
        <f>IF(H92="","",H92)</f>
        <v/>
      </c>
      <c r="J93" s="7" t="n">
        <v>8</v>
      </c>
      <c r="K93" s="7" t="n"/>
      <c r="L93" s="40" t="n"/>
      <c r="M93">
        <f>IF(AND(L93&lt;&gt;"",N(I93)&gt;0,N(J93)&gt;0),IF(J93=1,I93,ROUND(I93*(1+J93/30),1)),"")</f>
        <v/>
      </c>
      <c r="N93" s="41">
        <f>IF(M93="","",IF(M93&gt;=PRs!C57,"PR!",""))</f>
        <v/>
      </c>
      <c r="O93" s="7" t="n"/>
    </row>
    <row r="94">
      <c r="C94" t="inlineStr">
        <is>
          <t xml:space="preserve">      Set 2</t>
        </is>
      </c>
      <c r="E94" t="n">
        <v>8</v>
      </c>
      <c r="H94" s="39">
        <f>IF(H92="","",H92)</f>
        <v/>
      </c>
      <c r="I94" s="7">
        <f>IF(H92="","",H92)</f>
        <v/>
      </c>
      <c r="J94" s="7" t="n">
        <v>8</v>
      </c>
      <c r="K94" s="7" t="n"/>
      <c r="L94" s="40" t="n"/>
      <c r="M94">
        <f>IF(AND(L94&lt;&gt;"",N(I94)&gt;0,N(J94)&gt;0),IF(J94=1,I94,ROUND(I94*(1+J94/30),1)),"")</f>
        <v/>
      </c>
      <c r="N94" s="41">
        <f>IF(M94="","",IF(M94&gt;=PRs!C57,"PR!",""))</f>
        <v/>
      </c>
      <c r="O94" s="7" t="n"/>
    </row>
    <row r="95">
      <c r="C95" t="inlineStr">
        <is>
          <t xml:space="preserve">      Set 3</t>
        </is>
      </c>
      <c r="E95" t="n">
        <v>8</v>
      </c>
      <c r="H95" s="39">
        <f>IF(H92="","",H92)</f>
        <v/>
      </c>
      <c r="I95" s="7">
        <f>IF(H92="","",H92)</f>
        <v/>
      </c>
      <c r="J95" s="7" t="n">
        <v>8</v>
      </c>
      <c r="K95" s="7" t="n"/>
      <c r="L95" s="40" t="n"/>
      <c r="M95">
        <f>IF(AND(L95&lt;&gt;"",N(I95)&gt;0,N(J95)&gt;0),IF(J95=1,I95,ROUND(I95*(1+J95/30),1)),"")</f>
        <v/>
      </c>
      <c r="N95" s="41">
        <f>IF(M95="","",IF(M95&gt;=PRs!C57,"PR!",""))</f>
        <v/>
      </c>
      <c r="O95" s="7" t="n"/>
    </row>
    <row r="96">
      <c r="A96" s="34" t="n"/>
      <c r="B96" s="34" t="n"/>
      <c r="C96" s="43" t="inlineStr">
        <is>
          <t>Triceps Pushdown</t>
        </is>
      </c>
      <c r="D96" s="34" t="inlineStr">
        <is>
          <t>3 x 10-15</t>
        </is>
      </c>
      <c r="E96" s="34" t="n"/>
      <c r="F96" s="34" t="n"/>
      <c r="G96" s="36" t="n"/>
      <c r="H96" s="37" t="n"/>
      <c r="I96" s="34" t="n"/>
      <c r="J96" s="34" t="n"/>
      <c r="K96" s="34" t="n"/>
      <c r="L96" s="34" t="n"/>
      <c r="M96" s="34" t="n"/>
      <c r="N96" s="34" t="n"/>
      <c r="O96" s="38" t="inlineStr">
        <is>
          <t>Leave 1-2 reps in the tank; add weight when you hit the top of the range</t>
        </is>
      </c>
    </row>
    <row r="97">
      <c r="C97" t="inlineStr">
        <is>
          <t xml:space="preserve">      Set 1</t>
        </is>
      </c>
      <c r="E97" t="n">
        <v>10</v>
      </c>
      <c r="H97" s="39">
        <f>IF(H96="","",H96)</f>
        <v/>
      </c>
      <c r="I97" s="7">
        <f>IF(H96="","",H96)</f>
        <v/>
      </c>
      <c r="J97" s="7" t="n">
        <v>10</v>
      </c>
      <c r="K97" s="7" t="n"/>
      <c r="L97" s="40" t="n"/>
      <c r="M97">
        <f>IF(AND(L97&lt;&gt;"",N(I97)&gt;0,N(J97)&gt;0),IF(J97=1,I97,ROUND(I97*(1+J97/30),1)),"")</f>
        <v/>
      </c>
      <c r="N97" s="41">
        <f>IF(M97="","",IF(M97&gt;=PRs!C59,"PR!",""))</f>
        <v/>
      </c>
      <c r="O97" s="7" t="n"/>
    </row>
    <row r="98">
      <c r="C98" t="inlineStr">
        <is>
          <t xml:space="preserve">      Set 2</t>
        </is>
      </c>
      <c r="E98" t="n">
        <v>10</v>
      </c>
      <c r="H98" s="39">
        <f>IF(H96="","",H96)</f>
        <v/>
      </c>
      <c r="I98" s="7">
        <f>IF(H96="","",H96)</f>
        <v/>
      </c>
      <c r="J98" s="7" t="n">
        <v>10</v>
      </c>
      <c r="K98" s="7" t="n"/>
      <c r="L98" s="40" t="n"/>
      <c r="M98">
        <f>IF(AND(L98&lt;&gt;"",N(I98)&gt;0,N(J98)&gt;0),IF(J98=1,I98,ROUND(I98*(1+J98/30),1)),"")</f>
        <v/>
      </c>
      <c r="N98" s="41">
        <f>IF(M98="","",IF(M98&gt;=PRs!C59,"PR!",""))</f>
        <v/>
      </c>
      <c r="O98" s="7" t="n"/>
    </row>
    <row r="99">
      <c r="C99" t="inlineStr">
        <is>
          <t xml:space="preserve">      Set 3</t>
        </is>
      </c>
      <c r="E99" t="n">
        <v>10</v>
      </c>
      <c r="H99" s="39">
        <f>IF(H96="","",H96)</f>
        <v/>
      </c>
      <c r="I99" s="7">
        <f>IF(H96="","",H96)</f>
        <v/>
      </c>
      <c r="J99" s="7" t="n">
        <v>10</v>
      </c>
      <c r="K99" s="7" t="n"/>
      <c r="L99" s="40" t="n"/>
      <c r="M99">
        <f>IF(AND(L99&lt;&gt;"",N(I99)&gt;0,N(J99)&gt;0),IF(J99=1,I99,ROUND(I99*(1+J99/30),1)),"")</f>
        <v/>
      </c>
      <c r="N99" s="41">
        <f>IF(M99="","",IF(M99&gt;=PRs!C59,"PR!",""))</f>
        <v/>
      </c>
      <c r="O99" s="7" t="n"/>
    </row>
    <row r="101">
      <c r="A101" s="51" t="inlineStr">
        <is>
          <t>WEEK 42 - CYCLE 4 - TRANSMUTATION</t>
        </is>
      </c>
      <c r="B101" s="52" t="n"/>
      <c r="C101" s="52" t="n"/>
      <c r="D101" s="52" t="n"/>
      <c r="E101" s="52" t="n"/>
      <c r="F101" s="52" t="n"/>
      <c r="G101" s="52" t="n"/>
      <c r="H101" s="53" t="inlineStr">
        <is>
          <t>Bodyweight:</t>
        </is>
      </c>
      <c r="I101" s="7" t="n"/>
      <c r="J101" s="52" t="n"/>
      <c r="K101" s="52" t="n"/>
      <c r="L101" s="52" t="n"/>
      <c r="M101" s="52" t="n"/>
      <c r="N101" s="52" t="n"/>
      <c r="O101" s="52" t="n"/>
    </row>
    <row r="102">
      <c r="A102" s="31" t="inlineStr">
        <is>
          <t>Day 1 - Heavy</t>
        </is>
      </c>
      <c r="B102" s="32">
        <f>'Start Here'!$B$8+287</f>
        <v/>
      </c>
      <c r="C102" s="33" t="n"/>
      <c r="D102" s="33" t="n"/>
      <c r="E102" s="33" t="n"/>
      <c r="F102" s="33" t="n"/>
      <c r="G102" s="33" t="n"/>
      <c r="H102" s="33" t="n"/>
      <c r="I102" s="33" t="n"/>
      <c r="J102" s="33" t="n"/>
      <c r="K102" s="33" t="n"/>
      <c r="L102" s="33" t="n"/>
      <c r="M102" s="33" t="n"/>
      <c r="N102" s="33" t="n"/>
      <c r="O102" s="33" t="n"/>
    </row>
    <row r="103">
      <c r="A103" s="34" t="n"/>
      <c r="B103" s="34" t="n"/>
      <c r="C103" s="35" t="inlineStr">
        <is>
          <t>Box Jump</t>
        </is>
      </c>
      <c r="D103" s="34" t="inlineStr">
        <is>
          <t>4 x 3</t>
        </is>
      </c>
      <c r="E103" s="34" t="n"/>
      <c r="F103" s="34" t="n"/>
      <c r="G103" s="36" t="n"/>
      <c r="H103" s="37">
        <f>IF(N(Maxes!H69)&gt;0,Maxes!H69,'Start Here'!$G$16)</f>
        <v/>
      </c>
      <c r="I103" s="34" t="n"/>
      <c r="J103" s="34" t="n"/>
      <c r="K103" s="34" t="n"/>
      <c r="L103" s="34" t="n"/>
      <c r="M103" s="34" t="n"/>
      <c r="N103" s="34" t="n"/>
      <c r="O103" s="38" t="inlineStr">
        <is>
          <t>Two-foot jump onto a box, land soft in a quarter squat, STEP down. Log the box height (floor to top of box).</t>
        </is>
      </c>
    </row>
    <row r="104">
      <c r="C104" t="inlineStr">
        <is>
          <t xml:space="preserve">      Set 1</t>
        </is>
      </c>
      <c r="E104" t="n">
        <v>3</v>
      </c>
      <c r="H104" s="39">
        <f>IF(H103="","",H103)</f>
        <v/>
      </c>
      <c r="I104" s="7">
        <f>IF(H103="","",H103)</f>
        <v/>
      </c>
      <c r="J104" s="7" t="n">
        <v>3</v>
      </c>
      <c r="K104" s="7" t="n"/>
      <c r="L104" s="40" t="n"/>
      <c r="N104" s="41">
        <f>IF(AND(L104&lt;&gt;"",N(I104)&gt;0),IF(I104&gt;=PRs!D69,"PR!",""),"")</f>
        <v/>
      </c>
      <c r="O104" s="7" t="n"/>
    </row>
    <row r="105">
      <c r="C105" t="inlineStr">
        <is>
          <t xml:space="preserve">      Set 2</t>
        </is>
      </c>
      <c r="E105" t="n">
        <v>3</v>
      </c>
      <c r="H105" s="39">
        <f>IF(H103="","",H103)</f>
        <v/>
      </c>
      <c r="I105" s="7">
        <f>IF(H103="","",H103)</f>
        <v/>
      </c>
      <c r="J105" s="7" t="n">
        <v>3</v>
      </c>
      <c r="K105" s="7" t="n"/>
      <c r="L105" s="40" t="n"/>
      <c r="N105" s="41">
        <f>IF(AND(L105&lt;&gt;"",N(I105)&gt;0),IF(I105&gt;=PRs!D69,"PR!",""),"")</f>
        <v/>
      </c>
      <c r="O105" s="7" t="n"/>
    </row>
    <row r="106">
      <c r="C106" t="inlineStr">
        <is>
          <t xml:space="preserve">      Set 3</t>
        </is>
      </c>
      <c r="E106" t="n">
        <v>3</v>
      </c>
      <c r="H106" s="39">
        <f>IF(H103="","",H103)</f>
        <v/>
      </c>
      <c r="I106" s="7">
        <f>IF(H103="","",H103)</f>
        <v/>
      </c>
      <c r="J106" s="7" t="n">
        <v>3</v>
      </c>
      <c r="K106" s="7" t="n"/>
      <c r="L106" s="40" t="n"/>
      <c r="N106" s="41">
        <f>IF(AND(L106&lt;&gt;"",N(I106)&gt;0),IF(I106&gt;=PRs!D69,"PR!",""),"")</f>
        <v/>
      </c>
      <c r="O106" s="7" t="n"/>
    </row>
    <row r="107">
      <c r="C107" t="inlineStr">
        <is>
          <t xml:space="preserve">      Set 4</t>
        </is>
      </c>
      <c r="E107" t="n">
        <v>3</v>
      </c>
      <c r="H107" s="39">
        <f>IF(H103="","",H103)</f>
        <v/>
      </c>
      <c r="I107" s="7">
        <f>IF(H103="","",H103)</f>
        <v/>
      </c>
      <c r="J107" s="7" t="n">
        <v>3</v>
      </c>
      <c r="K107" s="7" t="n"/>
      <c r="L107" s="40" t="n"/>
      <c r="N107" s="41">
        <f>IF(AND(L107&lt;&gt;"",N(I107)&gt;0),IF(I107&gt;=PRs!D69,"PR!",""),"")</f>
        <v/>
      </c>
      <c r="O107" s="7" t="n"/>
    </row>
    <row r="108">
      <c r="A108" s="34" t="n"/>
      <c r="B108" s="34" t="n"/>
      <c r="C108" s="42" t="inlineStr">
        <is>
          <t>Snatch</t>
        </is>
      </c>
      <c r="D108" s="34" t="inlineStr">
        <is>
          <t>5 x 2</t>
        </is>
      </c>
      <c r="E108" s="34" t="n"/>
      <c r="F108" s="34" t="n">
        <v>80</v>
      </c>
      <c r="G108" s="36">
        <f>Maxes!H6</f>
        <v/>
      </c>
      <c r="H108" s="37">
        <f>IF(OR(G108="",F108=""),"",MROUND(G108*F108/100,'Start Here'!$B$7))</f>
        <v/>
      </c>
      <c r="I108" s="34" t="n"/>
      <c r="J108" s="34" t="n"/>
      <c r="K108" s="34" t="n"/>
      <c r="L108" s="34" t="n"/>
      <c r="M108" s="34" t="n"/>
      <c r="N108" s="34" t="n"/>
      <c r="O108" s="38" t="inlineStr"/>
    </row>
    <row r="109">
      <c r="C109" t="inlineStr">
        <is>
          <t xml:space="preserve">      Set 1</t>
        </is>
      </c>
      <c r="E109" t="n">
        <v>2</v>
      </c>
      <c r="H109" s="39">
        <f>IF(H108="","",H108)</f>
        <v/>
      </c>
      <c r="I109" s="7">
        <f>IF(H108="","",H108)</f>
        <v/>
      </c>
      <c r="J109" s="7" t="n">
        <v>2</v>
      </c>
      <c r="K109" s="7" t="n"/>
      <c r="L109" s="40" t="n"/>
      <c r="M109">
        <f>IF(AND(L109&lt;&gt;"",N(I109)&gt;0,N(J109)&gt;0),IF(J109=1,I109,ROUND(I109*(1+J109/30),1)),"")</f>
        <v/>
      </c>
      <c r="N109" s="41">
        <f>IF(M109="","",IF(M109&gt;=PRs!C6,"PR!",""))</f>
        <v/>
      </c>
      <c r="O109" s="7" t="n"/>
    </row>
    <row r="110">
      <c r="C110" t="inlineStr">
        <is>
          <t xml:space="preserve">      Set 2</t>
        </is>
      </c>
      <c r="E110" t="n">
        <v>2</v>
      </c>
      <c r="H110" s="39">
        <f>IF(H108="","",H108)</f>
        <v/>
      </c>
      <c r="I110" s="7">
        <f>IF(H108="","",H108)</f>
        <v/>
      </c>
      <c r="J110" s="7" t="n">
        <v>2</v>
      </c>
      <c r="K110" s="7" t="n"/>
      <c r="L110" s="40" t="n"/>
      <c r="M110">
        <f>IF(AND(L110&lt;&gt;"",N(I110)&gt;0,N(J110)&gt;0),IF(J110=1,I110,ROUND(I110*(1+J110/30),1)),"")</f>
        <v/>
      </c>
      <c r="N110" s="41">
        <f>IF(M110="","",IF(M110&gt;=PRs!C6,"PR!",""))</f>
        <v/>
      </c>
      <c r="O110" s="7" t="n"/>
    </row>
    <row r="111">
      <c r="C111" t="inlineStr">
        <is>
          <t xml:space="preserve">      Set 3</t>
        </is>
      </c>
      <c r="E111" t="n">
        <v>2</v>
      </c>
      <c r="H111" s="39">
        <f>IF(H108="","",H108)</f>
        <v/>
      </c>
      <c r="I111" s="7">
        <f>IF(H108="","",H108)</f>
        <v/>
      </c>
      <c r="J111" s="7" t="n">
        <v>2</v>
      </c>
      <c r="K111" s="7" t="n"/>
      <c r="L111" s="40" t="n"/>
      <c r="M111">
        <f>IF(AND(L111&lt;&gt;"",N(I111)&gt;0,N(J111)&gt;0),IF(J111=1,I111,ROUND(I111*(1+J111/30),1)),"")</f>
        <v/>
      </c>
      <c r="N111" s="41">
        <f>IF(M111="","",IF(M111&gt;=PRs!C6,"PR!",""))</f>
        <v/>
      </c>
      <c r="O111" s="7" t="n"/>
    </row>
    <row r="112">
      <c r="C112" t="inlineStr">
        <is>
          <t xml:space="preserve">      Set 4</t>
        </is>
      </c>
      <c r="E112" t="n">
        <v>2</v>
      </c>
      <c r="H112" s="39">
        <f>IF(H108="","",H108)</f>
        <v/>
      </c>
      <c r="I112" s="7">
        <f>IF(H108="","",H108)</f>
        <v/>
      </c>
      <c r="J112" s="7" t="n">
        <v>2</v>
      </c>
      <c r="K112" s="7" t="n"/>
      <c r="L112" s="40" t="n"/>
      <c r="M112">
        <f>IF(AND(L112&lt;&gt;"",N(I112)&gt;0,N(J112)&gt;0),IF(J112=1,I112,ROUND(I112*(1+J112/30),1)),"")</f>
        <v/>
      </c>
      <c r="N112" s="41">
        <f>IF(M112="","",IF(M112&gt;=PRs!C6,"PR!",""))</f>
        <v/>
      </c>
      <c r="O112" s="7" t="n"/>
    </row>
    <row r="113">
      <c r="C113" t="inlineStr">
        <is>
          <t xml:space="preserve">      Set 5</t>
        </is>
      </c>
      <c r="E113" t="n">
        <v>2</v>
      </c>
      <c r="H113" s="39">
        <f>IF(H108="","",H108)</f>
        <v/>
      </c>
      <c r="I113" s="7">
        <f>IF(H108="","",H108)</f>
        <v/>
      </c>
      <c r="J113" s="7" t="n">
        <v>2</v>
      </c>
      <c r="K113" s="7" t="n"/>
      <c r="L113" s="40" t="n"/>
      <c r="M113">
        <f>IF(AND(L113&lt;&gt;"",N(I113)&gt;0,N(J113)&gt;0),IF(J113=1,I113,ROUND(I113*(1+J113/30),1)),"")</f>
        <v/>
      </c>
      <c r="N113" s="41">
        <f>IF(M113="","",IF(M113&gt;=PRs!C6,"PR!",""))</f>
        <v/>
      </c>
      <c r="O113" s="7" t="n"/>
    </row>
    <row r="114">
      <c r="A114" s="34" t="n"/>
      <c r="B114" s="34" t="n"/>
      <c r="C114" s="42" t="inlineStr">
        <is>
          <t>Squat</t>
        </is>
      </c>
      <c r="D114" s="34" t="inlineStr">
        <is>
          <t>4 x 4</t>
        </is>
      </c>
      <c r="E114" s="34" t="n"/>
      <c r="F114" s="34" t="n">
        <v>80</v>
      </c>
      <c r="G114" s="36">
        <f>Maxes!H2</f>
        <v/>
      </c>
      <c r="H114" s="37">
        <f>IF(OR(G114="",F114=""),"",MROUND(G114*F114/100,'Start Here'!$B$7))</f>
        <v/>
      </c>
      <c r="I114" s="34" t="n"/>
      <c r="J114" s="34" t="n"/>
      <c r="K114" s="34" t="n"/>
      <c r="L114" s="34" t="n"/>
      <c r="M114" s="34" t="n"/>
      <c r="N114" s="34" t="n"/>
      <c r="O114" s="38" t="inlineStr"/>
    </row>
    <row r="115">
      <c r="C115" t="inlineStr">
        <is>
          <t xml:space="preserve">      Set 1</t>
        </is>
      </c>
      <c r="E115" t="n">
        <v>4</v>
      </c>
      <c r="H115" s="39">
        <f>IF(H114="","",H114)</f>
        <v/>
      </c>
      <c r="I115" s="7">
        <f>IF(H114="","",H114)</f>
        <v/>
      </c>
      <c r="J115" s="7" t="n">
        <v>4</v>
      </c>
      <c r="K115" s="7" t="n"/>
      <c r="L115" s="40" t="n"/>
      <c r="M115">
        <f>IF(AND(L115&lt;&gt;"",N(I115)&gt;0,N(J115)&gt;0),IF(J115=1,I115,ROUND(I115*(1+J115/30),1)),"")</f>
        <v/>
      </c>
      <c r="N115" s="41">
        <f>IF(M115="","",IF(M115&gt;=PRs!C2,"PR!",""))</f>
        <v/>
      </c>
      <c r="O115" s="7" t="n"/>
    </row>
    <row r="116">
      <c r="C116" t="inlineStr">
        <is>
          <t xml:space="preserve">      Set 2</t>
        </is>
      </c>
      <c r="E116" t="n">
        <v>4</v>
      </c>
      <c r="H116" s="39">
        <f>IF(H114="","",H114)</f>
        <v/>
      </c>
      <c r="I116" s="7">
        <f>IF(H114="","",H114)</f>
        <v/>
      </c>
      <c r="J116" s="7" t="n">
        <v>4</v>
      </c>
      <c r="K116" s="7" t="n"/>
      <c r="L116" s="40" t="n"/>
      <c r="M116">
        <f>IF(AND(L116&lt;&gt;"",N(I116)&gt;0,N(J116)&gt;0),IF(J116=1,I116,ROUND(I116*(1+J116/30),1)),"")</f>
        <v/>
      </c>
      <c r="N116" s="41">
        <f>IF(M116="","",IF(M116&gt;=PRs!C2,"PR!",""))</f>
        <v/>
      </c>
      <c r="O116" s="7" t="n"/>
    </row>
    <row r="117">
      <c r="C117" t="inlineStr">
        <is>
          <t xml:space="preserve">      Set 3</t>
        </is>
      </c>
      <c r="E117" t="n">
        <v>4</v>
      </c>
      <c r="H117" s="39">
        <f>IF(H114="","",H114)</f>
        <v/>
      </c>
      <c r="I117" s="7">
        <f>IF(H114="","",H114)</f>
        <v/>
      </c>
      <c r="J117" s="7" t="n">
        <v>4</v>
      </c>
      <c r="K117" s="7" t="n"/>
      <c r="L117" s="40" t="n"/>
      <c r="M117">
        <f>IF(AND(L117&lt;&gt;"",N(I117)&gt;0,N(J117)&gt;0),IF(J117=1,I117,ROUND(I117*(1+J117/30),1)),"")</f>
        <v/>
      </c>
      <c r="N117" s="41">
        <f>IF(M117="","",IF(M117&gt;=PRs!C2,"PR!",""))</f>
        <v/>
      </c>
      <c r="O117" s="7" t="n"/>
    </row>
    <row r="118">
      <c r="C118" t="inlineStr">
        <is>
          <t xml:space="preserve">      Set 4</t>
        </is>
      </c>
      <c r="E118" t="n">
        <v>4</v>
      </c>
      <c r="H118" s="39">
        <f>IF(H114="","",H114)</f>
        <v/>
      </c>
      <c r="I118" s="7">
        <f>IF(H114="","",H114)</f>
        <v/>
      </c>
      <c r="J118" s="7" t="n">
        <v>4</v>
      </c>
      <c r="K118" s="7" t="n"/>
      <c r="L118" s="40" t="n"/>
      <c r="M118">
        <f>IF(AND(L118&lt;&gt;"",N(I118)&gt;0,N(J118)&gt;0),IF(J118=1,I118,ROUND(I118*(1+J118/30),1)),"")</f>
        <v/>
      </c>
      <c r="N118" s="41">
        <f>IF(M118="","",IF(M118&gt;=PRs!C2,"PR!",""))</f>
        <v/>
      </c>
      <c r="O118" s="7" t="n"/>
    </row>
    <row r="119">
      <c r="A119" s="34" t="n"/>
      <c r="B119" s="34" t="n"/>
      <c r="C119" s="42" t="inlineStr">
        <is>
          <t>Bench Press</t>
        </is>
      </c>
      <c r="D119" s="34" t="inlineStr">
        <is>
          <t>4 x 4</t>
        </is>
      </c>
      <c r="E119" s="34" t="n"/>
      <c r="F119" s="34" t="n">
        <v>80</v>
      </c>
      <c r="G119" s="36">
        <f>Maxes!H3</f>
        <v/>
      </c>
      <c r="H119" s="37">
        <f>IF(OR(G119="",F119=""),"",MROUND(G119*F119/100,'Start Here'!$B$7))</f>
        <v/>
      </c>
      <c r="I119" s="34" t="n"/>
      <c r="J119" s="34" t="n"/>
      <c r="K119" s="34" t="n"/>
      <c r="L119" s="34" t="n"/>
      <c r="M119" s="34" t="n"/>
      <c r="N119" s="34" t="n"/>
      <c r="O119" s="38" t="inlineStr"/>
    </row>
    <row r="120">
      <c r="C120" t="inlineStr">
        <is>
          <t xml:space="preserve">      Set 1</t>
        </is>
      </c>
      <c r="E120" t="n">
        <v>4</v>
      </c>
      <c r="H120" s="39">
        <f>IF(H119="","",H119)</f>
        <v/>
      </c>
      <c r="I120" s="7">
        <f>IF(H119="","",H119)</f>
        <v/>
      </c>
      <c r="J120" s="7" t="n">
        <v>4</v>
      </c>
      <c r="K120" s="7" t="n"/>
      <c r="L120" s="40" t="n"/>
      <c r="M120">
        <f>IF(AND(L120&lt;&gt;"",N(I120)&gt;0,N(J120)&gt;0),IF(J120=1,I120,ROUND(I120*(1+J120/30),1)),"")</f>
        <v/>
      </c>
      <c r="N120" s="41">
        <f>IF(M120="","",IF(M120&gt;=PRs!C3,"PR!",""))</f>
        <v/>
      </c>
      <c r="O120" s="7" t="n"/>
    </row>
    <row r="121">
      <c r="C121" t="inlineStr">
        <is>
          <t xml:space="preserve">      Set 2</t>
        </is>
      </c>
      <c r="E121" t="n">
        <v>4</v>
      </c>
      <c r="H121" s="39">
        <f>IF(H119="","",H119)</f>
        <v/>
      </c>
      <c r="I121" s="7">
        <f>IF(H119="","",H119)</f>
        <v/>
      </c>
      <c r="J121" s="7" t="n">
        <v>4</v>
      </c>
      <c r="K121" s="7" t="n"/>
      <c r="L121" s="40" t="n"/>
      <c r="M121">
        <f>IF(AND(L121&lt;&gt;"",N(I121)&gt;0,N(J121)&gt;0),IF(J121=1,I121,ROUND(I121*(1+J121/30),1)),"")</f>
        <v/>
      </c>
      <c r="N121" s="41">
        <f>IF(M121="","",IF(M121&gt;=PRs!C3,"PR!",""))</f>
        <v/>
      </c>
      <c r="O121" s="7" t="n"/>
    </row>
    <row r="122">
      <c r="C122" t="inlineStr">
        <is>
          <t xml:space="preserve">      Set 3</t>
        </is>
      </c>
      <c r="E122" t="n">
        <v>4</v>
      </c>
      <c r="H122" s="39">
        <f>IF(H119="","",H119)</f>
        <v/>
      </c>
      <c r="I122" s="7">
        <f>IF(H119="","",H119)</f>
        <v/>
      </c>
      <c r="J122" s="7" t="n">
        <v>4</v>
      </c>
      <c r="K122" s="7" t="n"/>
      <c r="L122" s="40" t="n"/>
      <c r="M122">
        <f>IF(AND(L122&lt;&gt;"",N(I122)&gt;0,N(J122)&gt;0),IF(J122=1,I122,ROUND(I122*(1+J122/30),1)),"")</f>
        <v/>
      </c>
      <c r="N122" s="41">
        <f>IF(M122="","",IF(M122&gt;=PRs!C3,"PR!",""))</f>
        <v/>
      </c>
      <c r="O122" s="7" t="n"/>
    </row>
    <row r="123">
      <c r="C123" t="inlineStr">
        <is>
          <t xml:space="preserve">      Set 4</t>
        </is>
      </c>
      <c r="E123" t="n">
        <v>4</v>
      </c>
      <c r="H123" s="39">
        <f>IF(H119="","",H119)</f>
        <v/>
      </c>
      <c r="I123" s="7">
        <f>IF(H119="","",H119)</f>
        <v/>
      </c>
      <c r="J123" s="7" t="n">
        <v>4</v>
      </c>
      <c r="K123" s="7" t="n"/>
      <c r="L123" s="40" t="n"/>
      <c r="M123">
        <f>IF(AND(L123&lt;&gt;"",N(I123)&gt;0,N(J123)&gt;0),IF(J123=1,I123,ROUND(I123*(1+J123/30),1)),"")</f>
        <v/>
      </c>
      <c r="N123" s="41">
        <f>IF(M123="","",IF(M123&gt;=PRs!C3,"PR!",""))</f>
        <v/>
      </c>
      <c r="O123" s="7" t="n"/>
    </row>
    <row r="124">
      <c r="A124" s="34" t="n"/>
      <c r="B124" s="34" t="n"/>
      <c r="C124" s="43" t="inlineStr">
        <is>
          <t>Barbell Row</t>
        </is>
      </c>
      <c r="D124" s="34" t="inlineStr">
        <is>
          <t>3 x 8-10</t>
        </is>
      </c>
      <c r="E124" s="34" t="n"/>
      <c r="F124" s="34" t="n"/>
      <c r="G124" s="36" t="n"/>
      <c r="H124" s="37" t="n"/>
      <c r="I124" s="34" t="n"/>
      <c r="J124" s="34" t="n"/>
      <c r="K124" s="34" t="n"/>
      <c r="L124" s="34" t="n"/>
      <c r="M124" s="34" t="n"/>
      <c r="N124" s="34" t="n"/>
      <c r="O124" s="38" t="inlineStr">
        <is>
          <t>Leave 1-2 reps in the tank; add weight when you hit the top of the range</t>
        </is>
      </c>
    </row>
    <row r="125">
      <c r="C125" t="inlineStr">
        <is>
          <t xml:space="preserve">      Set 1</t>
        </is>
      </c>
      <c r="E125" t="n">
        <v>8</v>
      </c>
      <c r="H125" s="39">
        <f>IF(H124="","",H124)</f>
        <v/>
      </c>
      <c r="I125" s="7">
        <f>IF(H124="","",H124)</f>
        <v/>
      </c>
      <c r="J125" s="7" t="n">
        <v>8</v>
      </c>
      <c r="K125" s="7" t="n"/>
      <c r="L125" s="40" t="n"/>
      <c r="M125">
        <f>IF(AND(L125&lt;&gt;"",N(I125)&gt;0,N(J125)&gt;0),IF(J125=1,I125,ROUND(I125*(1+J125/30),1)),"")</f>
        <v/>
      </c>
      <c r="N125" s="41">
        <f>IF(M125="","",IF(M125&gt;=PRs!C50,"PR!",""))</f>
        <v/>
      </c>
      <c r="O125" s="7" t="n"/>
    </row>
    <row r="126">
      <c r="C126" t="inlineStr">
        <is>
          <t xml:space="preserve">      Set 2</t>
        </is>
      </c>
      <c r="E126" t="n">
        <v>8</v>
      </c>
      <c r="H126" s="39">
        <f>IF(H124="","",H124)</f>
        <v/>
      </c>
      <c r="I126" s="7">
        <f>IF(H124="","",H124)</f>
        <v/>
      </c>
      <c r="J126" s="7" t="n">
        <v>8</v>
      </c>
      <c r="K126" s="7" t="n"/>
      <c r="L126" s="40" t="n"/>
      <c r="M126">
        <f>IF(AND(L126&lt;&gt;"",N(I126)&gt;0,N(J126)&gt;0),IF(J126=1,I126,ROUND(I126*(1+J126/30),1)),"")</f>
        <v/>
      </c>
      <c r="N126" s="41">
        <f>IF(M126="","",IF(M126&gt;=PRs!C50,"PR!",""))</f>
        <v/>
      </c>
      <c r="O126" s="7" t="n"/>
    </row>
    <row r="127">
      <c r="C127" t="inlineStr">
        <is>
          <t xml:space="preserve">      Set 3</t>
        </is>
      </c>
      <c r="E127" t="n">
        <v>8</v>
      </c>
      <c r="H127" s="39">
        <f>IF(H124="","",H124)</f>
        <v/>
      </c>
      <c r="I127" s="7">
        <f>IF(H124="","",H124)</f>
        <v/>
      </c>
      <c r="J127" s="7" t="n">
        <v>8</v>
      </c>
      <c r="K127" s="7" t="n"/>
      <c r="L127" s="40" t="n"/>
      <c r="M127">
        <f>IF(AND(L127&lt;&gt;"",N(I127)&gt;0,N(J127)&gt;0),IF(J127=1,I127,ROUND(I127*(1+J127/30),1)),"")</f>
        <v/>
      </c>
      <c r="N127" s="41">
        <f>IF(M127="","",IF(M127&gt;=PRs!C50,"PR!",""))</f>
        <v/>
      </c>
      <c r="O127" s="7" t="n"/>
    </row>
    <row r="128">
      <c r="A128" s="34" t="n"/>
      <c r="B128" s="34" t="n"/>
      <c r="C128" s="43" t="inlineStr">
        <is>
          <t>Face Pull</t>
        </is>
      </c>
      <c r="D128" s="34" t="inlineStr">
        <is>
          <t>3 x 12-15</t>
        </is>
      </c>
      <c r="E128" s="34" t="n"/>
      <c r="F128" s="34" t="n"/>
      <c r="G128" s="36" t="n"/>
      <c r="H128" s="37" t="n"/>
      <c r="I128" s="34" t="n"/>
      <c r="J128" s="34" t="n"/>
      <c r="K128" s="34" t="n"/>
      <c r="L128" s="34" t="n"/>
      <c r="M128" s="34" t="n"/>
      <c r="N128" s="34" t="n"/>
      <c r="O128" s="38" t="inlineStr">
        <is>
          <t>Leave 1-2 reps in the tank; add weight when you hit the top of the range</t>
        </is>
      </c>
    </row>
    <row r="129">
      <c r="C129" t="inlineStr">
        <is>
          <t xml:space="preserve">      Set 1</t>
        </is>
      </c>
      <c r="E129" t="n">
        <v>12</v>
      </c>
      <c r="H129" s="39">
        <f>IF(H128="","",H128)</f>
        <v/>
      </c>
      <c r="I129" s="7">
        <f>IF(H128="","",H128)</f>
        <v/>
      </c>
      <c r="J129" s="7" t="n">
        <v>12</v>
      </c>
      <c r="K129" s="7" t="n"/>
      <c r="L129" s="40" t="n"/>
      <c r="M129">
        <f>IF(AND(L129&lt;&gt;"",N(I129)&gt;0,N(J129)&gt;0),IF(J129=1,I129,ROUND(I129*(1+J129/30),1)),"")</f>
        <v/>
      </c>
      <c r="N129" s="41">
        <f>IF(M129="","",IF(M129&gt;=PRs!C51,"PR!",""))</f>
        <v/>
      </c>
      <c r="O129" s="7" t="n"/>
    </row>
    <row r="130">
      <c r="C130" t="inlineStr">
        <is>
          <t xml:space="preserve">      Set 2</t>
        </is>
      </c>
      <c r="E130" t="n">
        <v>12</v>
      </c>
      <c r="H130" s="39">
        <f>IF(H128="","",H128)</f>
        <v/>
      </c>
      <c r="I130" s="7">
        <f>IF(H128="","",H128)</f>
        <v/>
      </c>
      <c r="J130" s="7" t="n">
        <v>12</v>
      </c>
      <c r="K130" s="7" t="n"/>
      <c r="L130" s="40" t="n"/>
      <c r="M130">
        <f>IF(AND(L130&lt;&gt;"",N(I130)&gt;0,N(J130)&gt;0),IF(J130=1,I130,ROUND(I130*(1+J130/30),1)),"")</f>
        <v/>
      </c>
      <c r="N130" s="41">
        <f>IF(M130="","",IF(M130&gt;=PRs!C51,"PR!",""))</f>
        <v/>
      </c>
      <c r="O130" s="7" t="n"/>
    </row>
    <row r="131">
      <c r="C131" t="inlineStr">
        <is>
          <t xml:space="preserve">      Set 3</t>
        </is>
      </c>
      <c r="E131" t="n">
        <v>12</v>
      </c>
      <c r="H131" s="39">
        <f>IF(H128="","",H128)</f>
        <v/>
      </c>
      <c r="I131" s="7">
        <f>IF(H128="","",H128)</f>
        <v/>
      </c>
      <c r="J131" s="7" t="n">
        <v>12</v>
      </c>
      <c r="K131" s="7" t="n"/>
      <c r="L131" s="40" t="n"/>
      <c r="M131">
        <f>IF(AND(L131&lt;&gt;"",N(I131)&gt;0,N(J131)&gt;0),IF(J131=1,I131,ROUND(I131*(1+J131/30),1)),"")</f>
        <v/>
      </c>
      <c r="N131" s="41">
        <f>IF(M131="","",IF(M131&gt;=PRs!C51,"PR!",""))</f>
        <v/>
      </c>
      <c r="O131" s="7" t="n"/>
    </row>
    <row r="132">
      <c r="A132" s="31" t="inlineStr">
        <is>
          <t>Day 2 - Light</t>
        </is>
      </c>
      <c r="B132" s="32">
        <f>'Start Here'!$B$8+289</f>
        <v/>
      </c>
      <c r="C132" s="33" t="n"/>
      <c r="D132" s="33" t="n"/>
      <c r="E132" s="33" t="n"/>
      <c r="F132" s="33" t="n"/>
      <c r="G132" s="33" t="n"/>
      <c r="H132" s="33" t="n"/>
      <c r="I132" s="33" t="n"/>
      <c r="J132" s="33" t="n"/>
      <c r="K132" s="33" t="n"/>
      <c r="L132" s="33" t="n"/>
      <c r="M132" s="33" t="n"/>
      <c r="N132" s="33" t="n"/>
      <c r="O132" s="33" t="n"/>
    </row>
    <row r="133">
      <c r="A133" s="34" t="n"/>
      <c r="B133" s="34" t="n"/>
      <c r="C133" s="35" t="inlineStr">
        <is>
          <t>Broad Jump</t>
        </is>
      </c>
      <c r="D133" s="34" t="inlineStr">
        <is>
          <t>4 x 3</t>
        </is>
      </c>
      <c r="E133" s="34" t="n"/>
      <c r="F133" s="34" t="n"/>
      <c r="G133" s="36" t="n"/>
      <c r="H133" s="37">
        <f>IF(N(Maxes!H70)&gt;0,Maxes!H70,"")</f>
        <v/>
      </c>
      <c r="I133" s="34" t="n"/>
      <c r="J133" s="34" t="n"/>
      <c r="K133" s="34" t="n"/>
      <c r="L133" s="34" t="n"/>
      <c r="M133" s="34" t="n"/>
      <c r="N133" s="34" t="n"/>
      <c r="O133" s="38" t="inlineStr">
        <is>
          <t>Standing two-foot jump forward, stick the landing. Measure toe line to the back of the nearest heel.</t>
        </is>
      </c>
    </row>
    <row r="134">
      <c r="C134" t="inlineStr">
        <is>
          <t xml:space="preserve">      Set 1</t>
        </is>
      </c>
      <c r="E134" t="n">
        <v>3</v>
      </c>
      <c r="H134" s="39">
        <f>IF(H133="","",H133)</f>
        <v/>
      </c>
      <c r="I134" s="7">
        <f>IF(H133="","",H133)</f>
        <v/>
      </c>
      <c r="J134" s="7" t="n">
        <v>3</v>
      </c>
      <c r="K134" s="7" t="n"/>
      <c r="L134" s="40" t="n"/>
      <c r="N134" s="41">
        <f>IF(AND(L134&lt;&gt;"",N(I134)&gt;0),IF(I134&gt;=PRs!D70,"PR!",""),"")</f>
        <v/>
      </c>
      <c r="O134" s="7" t="n"/>
    </row>
    <row r="135">
      <c r="C135" t="inlineStr">
        <is>
          <t xml:space="preserve">      Set 2</t>
        </is>
      </c>
      <c r="E135" t="n">
        <v>3</v>
      </c>
      <c r="H135" s="39">
        <f>IF(H133="","",H133)</f>
        <v/>
      </c>
      <c r="I135" s="7">
        <f>IF(H133="","",H133)</f>
        <v/>
      </c>
      <c r="J135" s="7" t="n">
        <v>3</v>
      </c>
      <c r="K135" s="7" t="n"/>
      <c r="L135" s="40" t="n"/>
      <c r="N135" s="41">
        <f>IF(AND(L135&lt;&gt;"",N(I135)&gt;0),IF(I135&gt;=PRs!D70,"PR!",""),"")</f>
        <v/>
      </c>
      <c r="O135" s="7" t="n"/>
    </row>
    <row r="136">
      <c r="C136" t="inlineStr">
        <is>
          <t xml:space="preserve">      Set 3</t>
        </is>
      </c>
      <c r="E136" t="n">
        <v>3</v>
      </c>
      <c r="H136" s="39">
        <f>IF(H133="","",H133)</f>
        <v/>
      </c>
      <c r="I136" s="7">
        <f>IF(H133="","",H133)</f>
        <v/>
      </c>
      <c r="J136" s="7" t="n">
        <v>3</v>
      </c>
      <c r="K136" s="7" t="n"/>
      <c r="L136" s="40" t="n"/>
      <c r="N136" s="41">
        <f>IF(AND(L136&lt;&gt;"",N(I136)&gt;0),IF(I136&gt;=PRs!D70,"PR!",""),"")</f>
        <v/>
      </c>
      <c r="O136" s="7" t="n"/>
    </row>
    <row r="137">
      <c r="C137" t="inlineStr">
        <is>
          <t xml:space="preserve">      Set 4</t>
        </is>
      </c>
      <c r="E137" t="n">
        <v>3</v>
      </c>
      <c r="H137" s="39">
        <f>IF(H133="","",H133)</f>
        <v/>
      </c>
      <c r="I137" s="7">
        <f>IF(H133="","",H133)</f>
        <v/>
      </c>
      <c r="J137" s="7" t="n">
        <v>3</v>
      </c>
      <c r="K137" s="7" t="n"/>
      <c r="L137" s="40" t="n"/>
      <c r="N137" s="41">
        <f>IF(AND(L137&lt;&gt;"",N(I137)&gt;0),IF(I137&gt;=PRs!D70,"PR!",""),"")</f>
        <v/>
      </c>
      <c r="O137" s="7" t="n"/>
    </row>
    <row r="138">
      <c r="A138" s="34" t="n"/>
      <c r="B138" s="34" t="n"/>
      <c r="C138" s="35" t="inlineStr">
        <is>
          <t>Med Ball Chest Pass</t>
        </is>
      </c>
      <c r="D138" s="34" t="inlineStr">
        <is>
          <t>3 x 5</t>
        </is>
      </c>
      <c r="E138" s="34" t="n"/>
      <c r="F138" s="34" t="n"/>
      <c r="G138" s="36" t="n"/>
      <c r="H138" s="37">
        <f>IF(N(Maxes!H77)&gt;0,Maxes!H77,"")</f>
        <v/>
      </c>
      <c r="I138" s="34" t="n"/>
      <c r="J138" s="34" t="n"/>
      <c r="K138" s="34" t="n"/>
      <c r="L138" s="34" t="n"/>
      <c r="M138" s="34" t="n"/>
      <c r="N138" s="34" t="n"/>
      <c r="O138" s="38" t="inlineStr">
        <is>
          <t>Kneeling or standing chest pass for distance with a 6-10 lb / 3-5 kg ball. Log the distance.</t>
        </is>
      </c>
    </row>
    <row r="139">
      <c r="C139" t="inlineStr">
        <is>
          <t xml:space="preserve">      Set 1</t>
        </is>
      </c>
      <c r="E139" t="n">
        <v>5</v>
      </c>
      <c r="H139" s="39">
        <f>IF(H138="","",H138)</f>
        <v/>
      </c>
      <c r="I139" s="7">
        <f>IF(H138="","",H138)</f>
        <v/>
      </c>
      <c r="J139" s="7" t="n">
        <v>5</v>
      </c>
      <c r="K139" s="7" t="n"/>
      <c r="L139" s="40" t="n"/>
      <c r="N139" s="41">
        <f>IF(AND(L139&lt;&gt;"",N(I139)&gt;0),IF(I139&gt;=PRs!D77,"PR!",""),"")</f>
        <v/>
      </c>
      <c r="O139" s="7" t="n"/>
    </row>
    <row r="140">
      <c r="C140" t="inlineStr">
        <is>
          <t xml:space="preserve">      Set 2</t>
        </is>
      </c>
      <c r="E140" t="n">
        <v>5</v>
      </c>
      <c r="H140" s="39">
        <f>IF(H138="","",H138)</f>
        <v/>
      </c>
      <c r="I140" s="7">
        <f>IF(H138="","",H138)</f>
        <v/>
      </c>
      <c r="J140" s="7" t="n">
        <v>5</v>
      </c>
      <c r="K140" s="7" t="n"/>
      <c r="L140" s="40" t="n"/>
      <c r="N140" s="41">
        <f>IF(AND(L140&lt;&gt;"",N(I140)&gt;0),IF(I140&gt;=PRs!D77,"PR!",""),"")</f>
        <v/>
      </c>
      <c r="O140" s="7" t="n"/>
    </row>
    <row r="141">
      <c r="C141" t="inlineStr">
        <is>
          <t xml:space="preserve">      Set 3</t>
        </is>
      </c>
      <c r="E141" t="n">
        <v>5</v>
      </c>
      <c r="H141" s="39">
        <f>IF(H138="","",H138)</f>
        <v/>
      </c>
      <c r="I141" s="7">
        <f>IF(H138="","",H138)</f>
        <v/>
      </c>
      <c r="J141" s="7" t="n">
        <v>5</v>
      </c>
      <c r="K141" s="7" t="n"/>
      <c r="L141" s="40" t="n"/>
      <c r="N141" s="41">
        <f>IF(AND(L141&lt;&gt;"",N(I141)&gt;0),IF(I141&gt;=PRs!D77,"PR!",""),"")</f>
        <v/>
      </c>
      <c r="O141" s="7" t="n"/>
    </row>
    <row r="142">
      <c r="A142" s="34" t="n"/>
      <c r="B142" s="34" t="n"/>
      <c r="C142" s="42" t="inlineStr">
        <is>
          <t>Clean &amp; Jerk</t>
        </is>
      </c>
      <c r="D142" s="34" t="inlineStr">
        <is>
          <t>5 x 2</t>
        </is>
      </c>
      <c r="E142" s="34" t="n"/>
      <c r="F142" s="34" t="n">
        <v>80</v>
      </c>
      <c r="G142" s="36">
        <f>Maxes!H7</f>
        <v/>
      </c>
      <c r="H142" s="37">
        <f>IF(OR(G142="",F142=""),"",MROUND(G142*F142/100,'Start Here'!$B$7))</f>
        <v/>
      </c>
      <c r="I142" s="34" t="n"/>
      <c r="J142" s="34" t="n"/>
      <c r="K142" s="34" t="n"/>
      <c r="L142" s="34" t="n"/>
      <c r="M142" s="34" t="n"/>
      <c r="N142" s="34" t="n"/>
      <c r="O142" s="38" t="inlineStr"/>
    </row>
    <row r="143">
      <c r="C143" t="inlineStr">
        <is>
          <t xml:space="preserve">      Set 1</t>
        </is>
      </c>
      <c r="E143" t="n">
        <v>2</v>
      </c>
      <c r="H143" s="39">
        <f>IF(H142="","",H142)</f>
        <v/>
      </c>
      <c r="I143" s="7">
        <f>IF(H142="","",H142)</f>
        <v/>
      </c>
      <c r="J143" s="7" t="n">
        <v>2</v>
      </c>
      <c r="K143" s="7" t="n"/>
      <c r="L143" s="40" t="n"/>
      <c r="M143">
        <f>IF(AND(L143&lt;&gt;"",N(I143)&gt;0,N(J143)&gt;0),IF(J143=1,I143,ROUND(I143*(1+J143/30),1)),"")</f>
        <v/>
      </c>
      <c r="N143" s="41">
        <f>IF(M143="","",IF(M143&gt;=PRs!C7,"PR!",""))</f>
        <v/>
      </c>
      <c r="O143" s="7" t="n"/>
    </row>
    <row r="144">
      <c r="C144" t="inlineStr">
        <is>
          <t xml:space="preserve">      Set 2</t>
        </is>
      </c>
      <c r="E144" t="n">
        <v>2</v>
      </c>
      <c r="H144" s="39">
        <f>IF(H142="","",H142)</f>
        <v/>
      </c>
      <c r="I144" s="7">
        <f>IF(H142="","",H142)</f>
        <v/>
      </c>
      <c r="J144" s="7" t="n">
        <v>2</v>
      </c>
      <c r="K144" s="7" t="n"/>
      <c r="L144" s="40" t="n"/>
      <c r="M144">
        <f>IF(AND(L144&lt;&gt;"",N(I144)&gt;0,N(J144)&gt;0),IF(J144=1,I144,ROUND(I144*(1+J144/30),1)),"")</f>
        <v/>
      </c>
      <c r="N144" s="41">
        <f>IF(M144="","",IF(M144&gt;=PRs!C7,"PR!",""))</f>
        <v/>
      </c>
      <c r="O144" s="7" t="n"/>
    </row>
    <row r="145">
      <c r="C145" t="inlineStr">
        <is>
          <t xml:space="preserve">      Set 3</t>
        </is>
      </c>
      <c r="E145" t="n">
        <v>2</v>
      </c>
      <c r="H145" s="39">
        <f>IF(H142="","",H142)</f>
        <v/>
      </c>
      <c r="I145" s="7">
        <f>IF(H142="","",H142)</f>
        <v/>
      </c>
      <c r="J145" s="7" t="n">
        <v>2</v>
      </c>
      <c r="K145" s="7" t="n"/>
      <c r="L145" s="40" t="n"/>
      <c r="M145">
        <f>IF(AND(L145&lt;&gt;"",N(I145)&gt;0,N(J145)&gt;0),IF(J145=1,I145,ROUND(I145*(1+J145/30),1)),"")</f>
        <v/>
      </c>
      <c r="N145" s="41">
        <f>IF(M145="","",IF(M145&gt;=PRs!C7,"PR!",""))</f>
        <v/>
      </c>
      <c r="O145" s="7" t="n"/>
    </row>
    <row r="146">
      <c r="C146" t="inlineStr">
        <is>
          <t xml:space="preserve">      Set 4</t>
        </is>
      </c>
      <c r="E146" t="n">
        <v>2</v>
      </c>
      <c r="H146" s="39">
        <f>IF(H142="","",H142)</f>
        <v/>
      </c>
      <c r="I146" s="7">
        <f>IF(H142="","",H142)</f>
        <v/>
      </c>
      <c r="J146" s="7" t="n">
        <v>2</v>
      </c>
      <c r="K146" s="7" t="n"/>
      <c r="L146" s="40" t="n"/>
      <c r="M146">
        <f>IF(AND(L146&lt;&gt;"",N(I146)&gt;0,N(J146)&gt;0),IF(J146=1,I146,ROUND(I146*(1+J146/30),1)),"")</f>
        <v/>
      </c>
      <c r="N146" s="41">
        <f>IF(M146="","",IF(M146&gt;=PRs!C7,"PR!",""))</f>
        <v/>
      </c>
      <c r="O146" s="7" t="n"/>
    </row>
    <row r="147">
      <c r="C147" t="inlineStr">
        <is>
          <t xml:space="preserve">      Set 5</t>
        </is>
      </c>
      <c r="E147" t="n">
        <v>2</v>
      </c>
      <c r="H147" s="39">
        <f>IF(H142="","",H142)</f>
        <v/>
      </c>
      <c r="I147" s="7">
        <f>IF(H142="","",H142)</f>
        <v/>
      </c>
      <c r="J147" s="7" t="n">
        <v>2</v>
      </c>
      <c r="K147" s="7" t="n"/>
      <c r="L147" s="40" t="n"/>
      <c r="M147">
        <f>IF(AND(L147&lt;&gt;"",N(I147)&gt;0,N(J147)&gt;0),IF(J147=1,I147,ROUND(I147*(1+J147/30),1)),"")</f>
        <v/>
      </c>
      <c r="N147" s="41">
        <f>IF(M147="","",IF(M147&gt;=PRs!C7,"PR!",""))</f>
        <v/>
      </c>
      <c r="O147" s="7" t="n"/>
    </row>
    <row r="148">
      <c r="A148" s="34" t="n"/>
      <c r="B148" s="34" t="n"/>
      <c r="C148" s="42" t="inlineStr">
        <is>
          <t>Squat</t>
        </is>
      </c>
      <c r="D148" s="34" t="inlineStr">
        <is>
          <t>3 x 6</t>
        </is>
      </c>
      <c r="E148" s="34" t="n"/>
      <c r="F148" s="34" t="n">
        <v>67.5</v>
      </c>
      <c r="G148" s="36">
        <f>Maxes!H2</f>
        <v/>
      </c>
      <c r="H148" s="37">
        <f>IF(OR(G148="",F148=""),"",MROUND(G148*F148/100,'Start Here'!$B$7))</f>
        <v/>
      </c>
      <c r="I148" s="34" t="n"/>
      <c r="J148" s="34" t="n"/>
      <c r="K148" s="34" t="n"/>
      <c r="L148" s="34" t="n"/>
      <c r="M148" s="34" t="n"/>
      <c r="N148" s="34" t="n"/>
      <c r="O148" s="38" t="inlineStr"/>
    </row>
    <row r="149">
      <c r="C149" t="inlineStr">
        <is>
          <t xml:space="preserve">      Set 1</t>
        </is>
      </c>
      <c r="E149" t="n">
        <v>6</v>
      </c>
      <c r="H149" s="39">
        <f>IF(H148="","",H148)</f>
        <v/>
      </c>
      <c r="I149" s="7">
        <f>IF(H148="","",H148)</f>
        <v/>
      </c>
      <c r="J149" s="7" t="n">
        <v>6</v>
      </c>
      <c r="K149" s="7" t="n"/>
      <c r="L149" s="40" t="n"/>
      <c r="M149">
        <f>IF(AND(L149&lt;&gt;"",N(I149)&gt;0,N(J149)&gt;0),IF(J149=1,I149,ROUND(I149*(1+J149/30),1)),"")</f>
        <v/>
      </c>
      <c r="N149" s="41">
        <f>IF(M149="","",IF(M149&gt;=PRs!C2,"PR!",""))</f>
        <v/>
      </c>
      <c r="O149" s="7" t="n"/>
    </row>
    <row r="150">
      <c r="C150" t="inlineStr">
        <is>
          <t xml:space="preserve">      Set 2</t>
        </is>
      </c>
      <c r="E150" t="n">
        <v>6</v>
      </c>
      <c r="H150" s="39">
        <f>IF(H148="","",H148)</f>
        <v/>
      </c>
      <c r="I150" s="7">
        <f>IF(H148="","",H148)</f>
        <v/>
      </c>
      <c r="J150" s="7" t="n">
        <v>6</v>
      </c>
      <c r="K150" s="7" t="n"/>
      <c r="L150" s="40" t="n"/>
      <c r="M150">
        <f>IF(AND(L150&lt;&gt;"",N(I150)&gt;0,N(J150)&gt;0),IF(J150=1,I150,ROUND(I150*(1+J150/30),1)),"")</f>
        <v/>
      </c>
      <c r="N150" s="41">
        <f>IF(M150="","",IF(M150&gt;=PRs!C2,"PR!",""))</f>
        <v/>
      </c>
      <c r="O150" s="7" t="n"/>
    </row>
    <row r="151">
      <c r="C151" t="inlineStr">
        <is>
          <t xml:space="preserve">      Set 3</t>
        </is>
      </c>
      <c r="E151" t="n">
        <v>6</v>
      </c>
      <c r="H151" s="39">
        <f>IF(H148="","",H148)</f>
        <v/>
      </c>
      <c r="I151" s="7">
        <f>IF(H148="","",H148)</f>
        <v/>
      </c>
      <c r="J151" s="7" t="n">
        <v>6</v>
      </c>
      <c r="K151" s="7" t="n"/>
      <c r="L151" s="40" t="n"/>
      <c r="M151">
        <f>IF(AND(L151&lt;&gt;"",N(I151)&gt;0,N(J151)&gt;0),IF(J151=1,I151,ROUND(I151*(1+J151/30),1)),"")</f>
        <v/>
      </c>
      <c r="N151" s="41">
        <f>IF(M151="","",IF(M151&gt;=PRs!C2,"PR!",""))</f>
        <v/>
      </c>
      <c r="O151" s="7" t="n"/>
    </row>
    <row r="152">
      <c r="A152" s="34" t="n"/>
      <c r="B152" s="34" t="n"/>
      <c r="C152" s="42" t="inlineStr">
        <is>
          <t>Overhead Press</t>
        </is>
      </c>
      <c r="D152" s="34" t="inlineStr">
        <is>
          <t>3 x 6</t>
        </is>
      </c>
      <c r="E152" s="34" t="n"/>
      <c r="F152" s="34" t="n">
        <v>75</v>
      </c>
      <c r="G152" s="36">
        <f>Maxes!H5</f>
        <v/>
      </c>
      <c r="H152" s="37">
        <f>IF(OR(G152="",F152=""),"",MROUND(G152*F152/100,'Start Here'!$B$7))</f>
        <v/>
      </c>
      <c r="I152" s="34" t="n"/>
      <c r="J152" s="34" t="n"/>
      <c r="K152" s="34" t="n"/>
      <c r="L152" s="34" t="n"/>
      <c r="M152" s="34" t="n"/>
      <c r="N152" s="34" t="n"/>
      <c r="O152" s="38" t="inlineStr"/>
    </row>
    <row r="153">
      <c r="C153" t="inlineStr">
        <is>
          <t xml:space="preserve">      Set 1</t>
        </is>
      </c>
      <c r="E153" t="n">
        <v>6</v>
      </c>
      <c r="H153" s="39">
        <f>IF(H152="","",H152)</f>
        <v/>
      </c>
      <c r="I153" s="7">
        <f>IF(H152="","",H152)</f>
        <v/>
      </c>
      <c r="J153" s="7" t="n">
        <v>6</v>
      </c>
      <c r="K153" s="7" t="n"/>
      <c r="L153" s="40" t="n"/>
      <c r="M153">
        <f>IF(AND(L153&lt;&gt;"",N(I153)&gt;0,N(J153)&gt;0),IF(J153=1,I153,ROUND(I153*(1+J153/30),1)),"")</f>
        <v/>
      </c>
      <c r="N153" s="41">
        <f>IF(M153="","",IF(M153&gt;=PRs!C5,"PR!",""))</f>
        <v/>
      </c>
      <c r="O153" s="7" t="n"/>
    </row>
    <row r="154">
      <c r="C154" t="inlineStr">
        <is>
          <t xml:space="preserve">      Set 2</t>
        </is>
      </c>
      <c r="E154" t="n">
        <v>6</v>
      </c>
      <c r="H154" s="39">
        <f>IF(H152="","",H152)</f>
        <v/>
      </c>
      <c r="I154" s="7">
        <f>IF(H152="","",H152)</f>
        <v/>
      </c>
      <c r="J154" s="7" t="n">
        <v>6</v>
      </c>
      <c r="K154" s="7" t="n"/>
      <c r="L154" s="40" t="n"/>
      <c r="M154">
        <f>IF(AND(L154&lt;&gt;"",N(I154)&gt;0,N(J154)&gt;0),IF(J154=1,I154,ROUND(I154*(1+J154/30),1)),"")</f>
        <v/>
      </c>
      <c r="N154" s="41">
        <f>IF(M154="","",IF(M154&gt;=PRs!C5,"PR!",""))</f>
        <v/>
      </c>
      <c r="O154" s="7" t="n"/>
    </row>
    <row r="155">
      <c r="C155" t="inlineStr">
        <is>
          <t xml:space="preserve">      Set 3</t>
        </is>
      </c>
      <c r="E155" t="n">
        <v>6</v>
      </c>
      <c r="H155" s="39">
        <f>IF(H152="","",H152)</f>
        <v/>
      </c>
      <c r="I155" s="7">
        <f>IF(H152="","",H152)</f>
        <v/>
      </c>
      <c r="J155" s="7" t="n">
        <v>6</v>
      </c>
      <c r="K155" s="7" t="n"/>
      <c r="L155" s="40" t="n"/>
      <c r="M155">
        <f>IF(AND(L155&lt;&gt;"",N(I155)&gt;0,N(J155)&gt;0),IF(J155=1,I155,ROUND(I155*(1+J155/30),1)),"")</f>
        <v/>
      </c>
      <c r="N155" s="41">
        <f>IF(M155="","",IF(M155&gt;=PRs!C5,"PR!",""))</f>
        <v/>
      </c>
      <c r="O155" s="7" t="n"/>
    </row>
    <row r="156">
      <c r="A156" s="34" t="n"/>
      <c r="B156" s="34" t="n"/>
      <c r="C156" s="42" t="inlineStr">
        <is>
          <t>Deadlift</t>
        </is>
      </c>
      <c r="D156" s="34" t="inlineStr">
        <is>
          <t>3 x 6</t>
        </is>
      </c>
      <c r="E156" s="34" t="n"/>
      <c r="F156" s="34" t="n">
        <v>75</v>
      </c>
      <c r="G156" s="36">
        <f>Maxes!H4</f>
        <v/>
      </c>
      <c r="H156" s="37">
        <f>IF(OR(G156="",F156=""),"",MROUND(G156*F156/100,'Start Here'!$B$7))</f>
        <v/>
      </c>
      <c r="I156" s="34" t="n"/>
      <c r="J156" s="34" t="n"/>
      <c r="K156" s="34" t="n"/>
      <c r="L156" s="34" t="n"/>
      <c r="M156" s="34" t="n"/>
      <c r="N156" s="34" t="n"/>
      <c r="O156" s="38" t="inlineStr"/>
    </row>
    <row r="157">
      <c r="C157" t="inlineStr">
        <is>
          <t xml:space="preserve">      Set 1</t>
        </is>
      </c>
      <c r="E157" t="n">
        <v>6</v>
      </c>
      <c r="H157" s="39">
        <f>IF(H156="","",H156)</f>
        <v/>
      </c>
      <c r="I157" s="7">
        <f>IF(H156="","",H156)</f>
        <v/>
      </c>
      <c r="J157" s="7" t="n">
        <v>6</v>
      </c>
      <c r="K157" s="7" t="n"/>
      <c r="L157" s="40" t="n"/>
      <c r="M157">
        <f>IF(AND(L157&lt;&gt;"",N(I157)&gt;0,N(J157)&gt;0),IF(J157=1,I157,ROUND(I157*(1+J157/30),1)),"")</f>
        <v/>
      </c>
      <c r="N157" s="41">
        <f>IF(M157="","",IF(M157&gt;=PRs!C4,"PR!",""))</f>
        <v/>
      </c>
      <c r="O157" s="7" t="n"/>
    </row>
    <row r="158">
      <c r="C158" t="inlineStr">
        <is>
          <t xml:space="preserve">      Set 2</t>
        </is>
      </c>
      <c r="E158" t="n">
        <v>6</v>
      </c>
      <c r="H158" s="39">
        <f>IF(H156="","",H156)</f>
        <v/>
      </c>
      <c r="I158" s="7">
        <f>IF(H156="","",H156)</f>
        <v/>
      </c>
      <c r="J158" s="7" t="n">
        <v>6</v>
      </c>
      <c r="K158" s="7" t="n"/>
      <c r="L158" s="40" t="n"/>
      <c r="M158">
        <f>IF(AND(L158&lt;&gt;"",N(I158)&gt;0,N(J158)&gt;0),IF(J158=1,I158,ROUND(I158*(1+J158/30),1)),"")</f>
        <v/>
      </c>
      <c r="N158" s="41">
        <f>IF(M158="","",IF(M158&gt;=PRs!C4,"PR!",""))</f>
        <v/>
      </c>
      <c r="O158" s="7" t="n"/>
    </row>
    <row r="159">
      <c r="C159" t="inlineStr">
        <is>
          <t xml:space="preserve">      Set 3</t>
        </is>
      </c>
      <c r="E159" t="n">
        <v>6</v>
      </c>
      <c r="H159" s="39">
        <f>IF(H156="","",H156)</f>
        <v/>
      </c>
      <c r="I159" s="7">
        <f>IF(H156="","",H156)</f>
        <v/>
      </c>
      <c r="J159" s="7" t="n">
        <v>6</v>
      </c>
      <c r="K159" s="7" t="n"/>
      <c r="L159" s="40" t="n"/>
      <c r="M159">
        <f>IF(AND(L159&lt;&gt;"",N(I159)&gt;0,N(J159)&gt;0),IF(J159=1,I159,ROUND(I159*(1+J159/30),1)),"")</f>
        <v/>
      </c>
      <c r="N159" s="41">
        <f>IF(M159="","",IF(M159&gt;=PRs!C4,"PR!",""))</f>
        <v/>
      </c>
      <c r="O159" s="7" t="n"/>
    </row>
    <row r="160">
      <c r="A160" s="34" t="n"/>
      <c r="B160" s="34" t="n"/>
      <c r="C160" s="43" t="inlineStr">
        <is>
          <t>Chin-up</t>
        </is>
      </c>
      <c r="D160" s="34" t="inlineStr">
        <is>
          <t>3 x 6-10</t>
        </is>
      </c>
      <c r="E160" s="34" t="n"/>
      <c r="F160" s="34" t="n"/>
      <c r="G160" s="36" t="n"/>
      <c r="H160" s="37" t="n"/>
      <c r="I160" s="34" t="n"/>
      <c r="J160" s="34" t="n"/>
      <c r="K160" s="34" t="n"/>
      <c r="L160" s="34" t="n"/>
      <c r="M160" s="34" t="n"/>
      <c r="N160" s="34" t="n"/>
      <c r="O160" s="38" t="inlineStr">
        <is>
          <t>Leave 1-2 reps in the tank; add weight when you hit the top of the range</t>
        </is>
      </c>
    </row>
    <row r="161">
      <c r="C161" t="inlineStr">
        <is>
          <t xml:space="preserve">      Set 1</t>
        </is>
      </c>
      <c r="E161" t="n">
        <v>6</v>
      </c>
      <c r="H161" s="39">
        <f>IF(H160="","",H160)</f>
        <v/>
      </c>
      <c r="I161" s="7">
        <f>IF(H160="","",H160)</f>
        <v/>
      </c>
      <c r="J161" s="7" t="n">
        <v>6</v>
      </c>
      <c r="K161" s="7" t="n"/>
      <c r="L161" s="40" t="n"/>
      <c r="M161">
        <f>IF(AND(L161&lt;&gt;"",N(I161)&gt;0,N(J161)&gt;0),IF(J161=1,I161,ROUND(I161*(1+J161/30),1)),"")</f>
        <v/>
      </c>
      <c r="N161" s="41">
        <f>IF(M161="","",IF(M161&gt;=PRs!C53,"PR!",""))</f>
        <v/>
      </c>
      <c r="O161" s="7" t="n"/>
    </row>
    <row r="162">
      <c r="C162" t="inlineStr">
        <is>
          <t xml:space="preserve">      Set 2</t>
        </is>
      </c>
      <c r="E162" t="n">
        <v>6</v>
      </c>
      <c r="H162" s="39">
        <f>IF(H160="","",H160)</f>
        <v/>
      </c>
      <c r="I162" s="7">
        <f>IF(H160="","",H160)</f>
        <v/>
      </c>
      <c r="J162" s="7" t="n">
        <v>6</v>
      </c>
      <c r="K162" s="7" t="n"/>
      <c r="L162" s="40" t="n"/>
      <c r="M162">
        <f>IF(AND(L162&lt;&gt;"",N(I162)&gt;0,N(J162)&gt;0),IF(J162=1,I162,ROUND(I162*(1+J162/30),1)),"")</f>
        <v/>
      </c>
      <c r="N162" s="41">
        <f>IF(M162="","",IF(M162&gt;=PRs!C53,"PR!",""))</f>
        <v/>
      </c>
      <c r="O162" s="7" t="n"/>
    </row>
    <row r="163">
      <c r="C163" t="inlineStr">
        <is>
          <t xml:space="preserve">      Set 3</t>
        </is>
      </c>
      <c r="E163" t="n">
        <v>6</v>
      </c>
      <c r="H163" s="39">
        <f>IF(H160="","",H160)</f>
        <v/>
      </c>
      <c r="I163" s="7">
        <f>IF(H160="","",H160)</f>
        <v/>
      </c>
      <c r="J163" s="7" t="n">
        <v>6</v>
      </c>
      <c r="K163" s="7" t="n"/>
      <c r="L163" s="40" t="n"/>
      <c r="M163">
        <f>IF(AND(L163&lt;&gt;"",N(I163)&gt;0,N(J163)&gt;0),IF(J163=1,I163,ROUND(I163*(1+J163/30),1)),"")</f>
        <v/>
      </c>
      <c r="N163" s="41">
        <f>IF(M163="","",IF(M163&gt;=PRs!C53,"PR!",""))</f>
        <v/>
      </c>
      <c r="O163" s="7" t="n"/>
    </row>
    <row r="164">
      <c r="A164" s="34" t="n"/>
      <c r="B164" s="34" t="n"/>
      <c r="C164" s="43" t="inlineStr">
        <is>
          <t>Plank</t>
        </is>
      </c>
      <c r="D164" s="34" t="inlineStr">
        <is>
          <t>3 x 30-60s</t>
        </is>
      </c>
      <c r="E164" s="34" t="n"/>
      <c r="F164" s="34" t="n"/>
      <c r="G164" s="36" t="n"/>
      <c r="H164" s="37" t="n"/>
      <c r="I164" s="34" t="n"/>
      <c r="J164" s="34" t="n"/>
      <c r="K164" s="34" t="n"/>
      <c r="L164" s="34" t="n"/>
      <c r="M164" s="34" t="n"/>
      <c r="N164" s="34" t="n"/>
      <c r="O164" s="38" t="inlineStr">
        <is>
          <t>Leave 1-2 reps in the tank; add weight when you hit the top of the range</t>
        </is>
      </c>
    </row>
    <row r="165">
      <c r="C165" t="inlineStr">
        <is>
          <t xml:space="preserve">      Set 1</t>
        </is>
      </c>
      <c r="E165" t="n">
        <v>30</v>
      </c>
      <c r="H165" s="39">
        <f>IF(H164="","",H164)</f>
        <v/>
      </c>
      <c r="I165" s="7">
        <f>IF(H164="","",H164)</f>
        <v/>
      </c>
      <c r="J165" s="7" t="n">
        <v>30</v>
      </c>
      <c r="K165" s="7" t="n"/>
      <c r="L165" s="40" t="n"/>
      <c r="M165">
        <f>IF(AND(L165&lt;&gt;"",N(I165)&gt;0,N(J165)&gt;0),IF(J165=1,I165,ROUND(I165*(1+J165/30),1)),"")</f>
        <v/>
      </c>
      <c r="N165" s="41">
        <f>IF(M165="","",IF(M165&gt;=PRs!C56,"PR!",""))</f>
        <v/>
      </c>
      <c r="O165" s="7" t="n"/>
    </row>
    <row r="166">
      <c r="C166" t="inlineStr">
        <is>
          <t xml:space="preserve">      Set 2</t>
        </is>
      </c>
      <c r="E166" t="n">
        <v>30</v>
      </c>
      <c r="H166" s="39">
        <f>IF(H164="","",H164)</f>
        <v/>
      </c>
      <c r="I166" s="7">
        <f>IF(H164="","",H164)</f>
        <v/>
      </c>
      <c r="J166" s="7" t="n">
        <v>30</v>
      </c>
      <c r="K166" s="7" t="n"/>
      <c r="L166" s="40" t="n"/>
      <c r="M166">
        <f>IF(AND(L166&lt;&gt;"",N(I166)&gt;0,N(J166)&gt;0),IF(J166=1,I166,ROUND(I166*(1+J166/30),1)),"")</f>
        <v/>
      </c>
      <c r="N166" s="41">
        <f>IF(M166="","",IF(M166&gt;=PRs!C56,"PR!",""))</f>
        <v/>
      </c>
      <c r="O166" s="7" t="n"/>
    </row>
    <row r="167">
      <c r="C167" t="inlineStr">
        <is>
          <t xml:space="preserve">      Set 3</t>
        </is>
      </c>
      <c r="E167" t="n">
        <v>30</v>
      </c>
      <c r="H167" s="39">
        <f>IF(H164="","",H164)</f>
        <v/>
      </c>
      <c r="I167" s="7">
        <f>IF(H164="","",H164)</f>
        <v/>
      </c>
      <c r="J167" s="7" t="n">
        <v>30</v>
      </c>
      <c r="K167" s="7" t="n"/>
      <c r="L167" s="40" t="n"/>
      <c r="M167">
        <f>IF(AND(L167&lt;&gt;"",N(I167)&gt;0,N(J167)&gt;0),IF(J167=1,I167,ROUND(I167*(1+J167/30),1)),"")</f>
        <v/>
      </c>
      <c r="N167" s="41">
        <f>IF(M167="","",IF(M167&gt;=PRs!C56,"PR!",""))</f>
        <v/>
      </c>
      <c r="O167" s="7" t="n"/>
    </row>
    <row r="168">
      <c r="A168" s="31" t="inlineStr">
        <is>
          <t>Day 3 - Variations</t>
        </is>
      </c>
      <c r="B168" s="32">
        <f>'Start Here'!$B$8+291</f>
        <v/>
      </c>
      <c r="C168" s="33" t="n"/>
      <c r="D168" s="33" t="n"/>
      <c r="E168" s="33" t="n"/>
      <c r="F168" s="33" t="n"/>
      <c r="G168" s="33" t="n"/>
      <c r="H168" s="33" t="n"/>
      <c r="I168" s="33" t="n"/>
      <c r="J168" s="33" t="n"/>
      <c r="K168" s="33" t="n"/>
      <c r="L168" s="33" t="n"/>
      <c r="M168" s="33" t="n"/>
      <c r="N168" s="33" t="n"/>
      <c r="O168" s="33" t="n"/>
    </row>
    <row r="169">
      <c r="A169" s="34" t="n"/>
      <c r="B169" s="34" t="n"/>
      <c r="C169" s="35" t="inlineStr">
        <is>
          <t>Plyo Push-up</t>
        </is>
      </c>
      <c r="D169" s="34" t="inlineStr">
        <is>
          <t>4 x 3</t>
        </is>
      </c>
      <c r="E169" s="34" t="n"/>
      <c r="F169" s="34" t="n"/>
      <c r="G169" s="36" t="n"/>
      <c r="H169" s="37">
        <f>IF(N(Maxes!H75)&gt;0,Maxes!H75,"")</f>
        <v/>
      </c>
      <c r="I169" s="34" t="n"/>
      <c r="J169" s="34" t="n"/>
      <c r="K169" s="34" t="n"/>
      <c r="L169" s="34" t="n"/>
      <c r="M169" s="34" t="n"/>
      <c r="N169" s="34" t="n"/>
      <c r="O169" s="38" t="inlineStr">
        <is>
          <t>Explosive push-up so the hands leave the floor. Log reps (distance/height = 1).</t>
        </is>
      </c>
    </row>
    <row r="170">
      <c r="C170" t="inlineStr">
        <is>
          <t xml:space="preserve">      Set 1</t>
        </is>
      </c>
      <c r="E170" t="n">
        <v>3</v>
      </c>
      <c r="H170" s="39">
        <f>IF(H169="","",H169)</f>
        <v/>
      </c>
      <c r="I170" s="7">
        <f>IF(H169="","",H169)</f>
        <v/>
      </c>
      <c r="J170" s="7" t="n">
        <v>3</v>
      </c>
      <c r="K170" s="7" t="n"/>
      <c r="L170" s="40" t="n"/>
      <c r="N170" s="41">
        <f>IF(AND(L170&lt;&gt;"",N(I170)&gt;0),IF(I170&gt;=PRs!D75,"PR!",""),"")</f>
        <v/>
      </c>
      <c r="O170" s="7" t="n"/>
    </row>
    <row r="171">
      <c r="C171" t="inlineStr">
        <is>
          <t xml:space="preserve">      Set 2</t>
        </is>
      </c>
      <c r="E171" t="n">
        <v>3</v>
      </c>
      <c r="H171" s="39">
        <f>IF(H169="","",H169)</f>
        <v/>
      </c>
      <c r="I171" s="7">
        <f>IF(H169="","",H169)</f>
        <v/>
      </c>
      <c r="J171" s="7" t="n">
        <v>3</v>
      </c>
      <c r="K171" s="7" t="n"/>
      <c r="L171" s="40" t="n"/>
      <c r="N171" s="41">
        <f>IF(AND(L171&lt;&gt;"",N(I171)&gt;0),IF(I171&gt;=PRs!D75,"PR!",""),"")</f>
        <v/>
      </c>
      <c r="O171" s="7" t="n"/>
    </row>
    <row r="172">
      <c r="C172" t="inlineStr">
        <is>
          <t xml:space="preserve">      Set 3</t>
        </is>
      </c>
      <c r="E172" t="n">
        <v>3</v>
      </c>
      <c r="H172" s="39">
        <f>IF(H169="","",H169)</f>
        <v/>
      </c>
      <c r="I172" s="7">
        <f>IF(H169="","",H169)</f>
        <v/>
      </c>
      <c r="J172" s="7" t="n">
        <v>3</v>
      </c>
      <c r="K172" s="7" t="n"/>
      <c r="L172" s="40" t="n"/>
      <c r="N172" s="41">
        <f>IF(AND(L172&lt;&gt;"",N(I172)&gt;0),IF(I172&gt;=PRs!D75,"PR!",""),"")</f>
        <v/>
      </c>
      <c r="O172" s="7" t="n"/>
    </row>
    <row r="173">
      <c r="C173" t="inlineStr">
        <is>
          <t xml:space="preserve">      Set 4</t>
        </is>
      </c>
      <c r="E173" t="n">
        <v>3</v>
      </c>
      <c r="H173" s="39">
        <f>IF(H169="","",H169)</f>
        <v/>
      </c>
      <c r="I173" s="7">
        <f>IF(H169="","",H169)</f>
        <v/>
      </c>
      <c r="J173" s="7" t="n">
        <v>3</v>
      </c>
      <c r="K173" s="7" t="n"/>
      <c r="L173" s="40" t="n"/>
      <c r="N173" s="41">
        <f>IF(AND(L173&lt;&gt;"",N(I173)&gt;0),IF(I173&gt;=PRs!D75,"PR!",""),"")</f>
        <v/>
      </c>
      <c r="O173" s="7" t="n"/>
    </row>
    <row r="174">
      <c r="A174" s="34" t="n"/>
      <c r="B174" s="34" t="n"/>
      <c r="C174" s="42" t="inlineStr">
        <is>
          <t>Hang Snatch</t>
        </is>
      </c>
      <c r="D174" s="34" t="inlineStr">
        <is>
          <t>4 x 3</t>
        </is>
      </c>
      <c r="E174" s="34" t="n"/>
      <c r="F174" s="34" t="n">
        <v>75</v>
      </c>
      <c r="G174" s="36">
        <f>Maxes!H35</f>
        <v/>
      </c>
      <c r="H174" s="37">
        <f>IF(OR(G174="",F174=""),"",MROUND(G174*F174/100,'Start Here'!$B$7))</f>
        <v/>
      </c>
      <c r="I174" s="34" t="n"/>
      <c r="J174" s="34" t="n"/>
      <c r="K174" s="34" t="n"/>
      <c r="L174" s="34" t="n"/>
      <c r="M174" s="34" t="n"/>
      <c r="N174" s="34" t="n"/>
      <c r="O174" s="38" t="inlineStr"/>
    </row>
    <row r="175">
      <c r="C175" t="inlineStr">
        <is>
          <t xml:space="preserve">      Set 1</t>
        </is>
      </c>
      <c r="E175" t="n">
        <v>3</v>
      </c>
      <c r="H175" s="39">
        <f>IF(H174="","",H174)</f>
        <v/>
      </c>
      <c r="I175" s="7">
        <f>IF(H174="","",H174)</f>
        <v/>
      </c>
      <c r="J175" s="7" t="n">
        <v>3</v>
      </c>
      <c r="K175" s="7" t="n"/>
      <c r="L175" s="40" t="n"/>
      <c r="M175">
        <f>IF(AND(L175&lt;&gt;"",N(I175)&gt;0,N(J175)&gt;0),IF(J175=1,I175,ROUND(I175*(1+J175/30),1)),"")</f>
        <v/>
      </c>
      <c r="N175" s="41">
        <f>IF(M175="","",IF(M175&gt;=PRs!C35,"PR!",""))</f>
        <v/>
      </c>
      <c r="O175" s="7" t="n"/>
    </row>
    <row r="176">
      <c r="C176" t="inlineStr">
        <is>
          <t xml:space="preserve">      Set 2</t>
        </is>
      </c>
      <c r="E176" t="n">
        <v>3</v>
      </c>
      <c r="H176" s="39">
        <f>IF(H174="","",H174)</f>
        <v/>
      </c>
      <c r="I176" s="7">
        <f>IF(H174="","",H174)</f>
        <v/>
      </c>
      <c r="J176" s="7" t="n">
        <v>3</v>
      </c>
      <c r="K176" s="7" t="n"/>
      <c r="L176" s="40" t="n"/>
      <c r="M176">
        <f>IF(AND(L176&lt;&gt;"",N(I176)&gt;0,N(J176)&gt;0),IF(J176=1,I176,ROUND(I176*(1+J176/30),1)),"")</f>
        <v/>
      </c>
      <c r="N176" s="41">
        <f>IF(M176="","",IF(M176&gt;=PRs!C35,"PR!",""))</f>
        <v/>
      </c>
      <c r="O176" s="7" t="n"/>
    </row>
    <row r="177">
      <c r="C177" t="inlineStr">
        <is>
          <t xml:space="preserve">      Set 3</t>
        </is>
      </c>
      <c r="E177" t="n">
        <v>3</v>
      </c>
      <c r="H177" s="39">
        <f>IF(H174="","",H174)</f>
        <v/>
      </c>
      <c r="I177" s="7">
        <f>IF(H174="","",H174)</f>
        <v/>
      </c>
      <c r="J177" s="7" t="n">
        <v>3</v>
      </c>
      <c r="K177" s="7" t="n"/>
      <c r="L177" s="40" t="n"/>
      <c r="M177">
        <f>IF(AND(L177&lt;&gt;"",N(I177)&gt;0,N(J177)&gt;0),IF(J177=1,I177,ROUND(I177*(1+J177/30),1)),"")</f>
        <v/>
      </c>
      <c r="N177" s="41">
        <f>IF(M177="","",IF(M177&gt;=PRs!C35,"PR!",""))</f>
        <v/>
      </c>
      <c r="O177" s="7" t="n"/>
    </row>
    <row r="178">
      <c r="C178" t="inlineStr">
        <is>
          <t xml:space="preserve">      Set 4</t>
        </is>
      </c>
      <c r="E178" t="n">
        <v>3</v>
      </c>
      <c r="H178" s="39">
        <f>IF(H174="","",H174)</f>
        <v/>
      </c>
      <c r="I178" s="7">
        <f>IF(H174="","",H174)</f>
        <v/>
      </c>
      <c r="J178" s="7" t="n">
        <v>3</v>
      </c>
      <c r="K178" s="7" t="n"/>
      <c r="L178" s="40" t="n"/>
      <c r="M178">
        <f>IF(AND(L178&lt;&gt;"",N(I178)&gt;0,N(J178)&gt;0),IF(J178=1,I178,ROUND(I178*(1+J178/30),1)),"")</f>
        <v/>
      </c>
      <c r="N178" s="41">
        <f>IF(M178="","",IF(M178&gt;=PRs!C35,"PR!",""))</f>
        <v/>
      </c>
      <c r="O178" s="7" t="n"/>
    </row>
    <row r="179">
      <c r="A179" s="34" t="n"/>
      <c r="B179" s="34" t="n"/>
      <c r="C179" s="42" t="inlineStr">
        <is>
          <t>Box Squat</t>
        </is>
      </c>
      <c r="D179" s="34" t="inlineStr">
        <is>
          <t>3 x 6</t>
        </is>
      </c>
      <c r="E179" s="34" t="n"/>
      <c r="F179" s="34" t="n">
        <v>75</v>
      </c>
      <c r="G179" s="36">
        <f>Maxes!H8</f>
        <v/>
      </c>
      <c r="H179" s="37">
        <f>IF(OR(G179="",F179=""),"",MROUND(G179*F179/100,'Start Here'!$B$7))</f>
        <v/>
      </c>
      <c r="I179" s="34" t="n"/>
      <c r="J179" s="34" t="n"/>
      <c r="K179" s="34" t="n"/>
      <c r="L179" s="34" t="n"/>
      <c r="M179" s="34" t="n"/>
      <c r="N179" s="34" t="n"/>
      <c r="O179" s="38" t="inlineStr"/>
    </row>
    <row r="180">
      <c r="C180" t="inlineStr">
        <is>
          <t xml:space="preserve">      Set 1</t>
        </is>
      </c>
      <c r="E180" t="n">
        <v>6</v>
      </c>
      <c r="H180" s="39">
        <f>IF(H179="","",H179)</f>
        <v/>
      </c>
      <c r="I180" s="7">
        <f>IF(H179="","",H179)</f>
        <v/>
      </c>
      <c r="J180" s="7" t="n">
        <v>6</v>
      </c>
      <c r="K180" s="7" t="n"/>
      <c r="L180" s="40" t="n"/>
      <c r="M180">
        <f>IF(AND(L180&lt;&gt;"",N(I180)&gt;0,N(J180)&gt;0),IF(J180=1,I180,ROUND(I180*(1+J180/30),1)),"")</f>
        <v/>
      </c>
      <c r="N180" s="41">
        <f>IF(M180="","",IF(M180&gt;=PRs!C8,"PR!",""))</f>
        <v/>
      </c>
      <c r="O180" s="7" t="n"/>
    </row>
    <row r="181">
      <c r="C181" t="inlineStr">
        <is>
          <t xml:space="preserve">      Set 2</t>
        </is>
      </c>
      <c r="E181" t="n">
        <v>6</v>
      </c>
      <c r="H181" s="39">
        <f>IF(H179="","",H179)</f>
        <v/>
      </c>
      <c r="I181" s="7">
        <f>IF(H179="","",H179)</f>
        <v/>
      </c>
      <c r="J181" s="7" t="n">
        <v>6</v>
      </c>
      <c r="K181" s="7" t="n"/>
      <c r="L181" s="40" t="n"/>
      <c r="M181">
        <f>IF(AND(L181&lt;&gt;"",N(I181)&gt;0,N(J181)&gt;0),IF(J181=1,I181,ROUND(I181*(1+J181/30),1)),"")</f>
        <v/>
      </c>
      <c r="N181" s="41">
        <f>IF(M181="","",IF(M181&gt;=PRs!C8,"PR!",""))</f>
        <v/>
      </c>
      <c r="O181" s="7" t="n"/>
    </row>
    <row r="182">
      <c r="C182" t="inlineStr">
        <is>
          <t xml:space="preserve">      Set 3</t>
        </is>
      </c>
      <c r="E182" t="n">
        <v>6</v>
      </c>
      <c r="H182" s="39">
        <f>IF(H179="","",H179)</f>
        <v/>
      </c>
      <c r="I182" s="7">
        <f>IF(H179="","",H179)</f>
        <v/>
      </c>
      <c r="J182" s="7" t="n">
        <v>6</v>
      </c>
      <c r="K182" s="7" t="n"/>
      <c r="L182" s="40" t="n"/>
      <c r="M182">
        <f>IF(AND(L182&lt;&gt;"",N(I182)&gt;0,N(J182)&gt;0),IF(J182=1,I182,ROUND(I182*(1+J182/30),1)),"")</f>
        <v/>
      </c>
      <c r="N182" s="41">
        <f>IF(M182="","",IF(M182&gt;=PRs!C8,"PR!",""))</f>
        <v/>
      </c>
      <c r="O182" s="7" t="n"/>
    </row>
    <row r="183">
      <c r="A183" s="34" t="n"/>
      <c r="B183" s="34" t="n"/>
      <c r="C183" s="42" t="inlineStr">
        <is>
          <t>1-Board Press</t>
        </is>
      </c>
      <c r="D183" s="34" t="inlineStr">
        <is>
          <t>3 x 6</t>
        </is>
      </c>
      <c r="E183" s="34" t="n"/>
      <c r="F183" s="34" t="n">
        <v>75</v>
      </c>
      <c r="G183" s="36">
        <f>Maxes!H15</f>
        <v/>
      </c>
      <c r="H183" s="37">
        <f>IF(OR(G183="",F183=""),"",MROUND(G183*F183/100,'Start Here'!$B$7))</f>
        <v/>
      </c>
      <c r="I183" s="34" t="n"/>
      <c r="J183" s="34" t="n"/>
      <c r="K183" s="34" t="n"/>
      <c r="L183" s="34" t="n"/>
      <c r="M183" s="34" t="n"/>
      <c r="N183" s="34" t="n"/>
      <c r="O183" s="38" t="inlineStr"/>
    </row>
    <row r="184">
      <c r="C184" t="inlineStr">
        <is>
          <t xml:space="preserve">      Set 1</t>
        </is>
      </c>
      <c r="E184" t="n">
        <v>6</v>
      </c>
      <c r="H184" s="39">
        <f>IF(H183="","",H183)</f>
        <v/>
      </c>
      <c r="I184" s="7">
        <f>IF(H183="","",H183)</f>
        <v/>
      </c>
      <c r="J184" s="7" t="n">
        <v>6</v>
      </c>
      <c r="K184" s="7" t="n"/>
      <c r="L184" s="40" t="n"/>
      <c r="M184">
        <f>IF(AND(L184&lt;&gt;"",N(I184)&gt;0,N(J184)&gt;0),IF(J184=1,I184,ROUND(I184*(1+J184/30),1)),"")</f>
        <v/>
      </c>
      <c r="N184" s="41">
        <f>IF(M184="","",IF(M184&gt;=PRs!C15,"PR!",""))</f>
        <v/>
      </c>
      <c r="O184" s="7" t="n"/>
    </row>
    <row r="185">
      <c r="C185" t="inlineStr">
        <is>
          <t xml:space="preserve">      Set 2</t>
        </is>
      </c>
      <c r="E185" t="n">
        <v>6</v>
      </c>
      <c r="H185" s="39">
        <f>IF(H183="","",H183)</f>
        <v/>
      </c>
      <c r="I185" s="7">
        <f>IF(H183="","",H183)</f>
        <v/>
      </c>
      <c r="J185" s="7" t="n">
        <v>6</v>
      </c>
      <c r="K185" s="7" t="n"/>
      <c r="L185" s="40" t="n"/>
      <c r="M185">
        <f>IF(AND(L185&lt;&gt;"",N(I185)&gt;0,N(J185)&gt;0),IF(J185=1,I185,ROUND(I185*(1+J185/30),1)),"")</f>
        <v/>
      </c>
      <c r="N185" s="41">
        <f>IF(M185="","",IF(M185&gt;=PRs!C15,"PR!",""))</f>
        <v/>
      </c>
      <c r="O185" s="7" t="n"/>
    </row>
    <row r="186">
      <c r="C186" t="inlineStr">
        <is>
          <t xml:space="preserve">      Set 3</t>
        </is>
      </c>
      <c r="E186" t="n">
        <v>6</v>
      </c>
      <c r="H186" s="39">
        <f>IF(H183="","",H183)</f>
        <v/>
      </c>
      <c r="I186" s="7">
        <f>IF(H183="","",H183)</f>
        <v/>
      </c>
      <c r="J186" s="7" t="n">
        <v>6</v>
      </c>
      <c r="K186" s="7" t="n"/>
      <c r="L186" s="40" t="n"/>
      <c r="M186">
        <f>IF(AND(L186&lt;&gt;"",N(I186)&gt;0,N(J186)&gt;0),IF(J186=1,I186,ROUND(I186*(1+J186/30),1)),"")</f>
        <v/>
      </c>
      <c r="N186" s="41">
        <f>IF(M186="","",IF(M186&gt;=PRs!C15,"PR!",""))</f>
        <v/>
      </c>
      <c r="O186" s="7" t="n"/>
    </row>
    <row r="187">
      <c r="A187" s="34" t="n"/>
      <c r="B187" s="34" t="n"/>
      <c r="C187" s="42" t="inlineStr">
        <is>
          <t>Paused Deadlift</t>
        </is>
      </c>
      <c r="D187" s="34" t="inlineStr">
        <is>
          <t>3 x 6</t>
        </is>
      </c>
      <c r="E187" s="34" t="n"/>
      <c r="F187" s="34" t="n">
        <v>67.5</v>
      </c>
      <c r="G187" s="36">
        <f>Maxes!H25</f>
        <v/>
      </c>
      <c r="H187" s="37">
        <f>IF(OR(G187="",F187=""),"",MROUND(G187*F187/100,'Start Here'!$B$7))</f>
        <v/>
      </c>
      <c r="I187" s="34" t="n"/>
      <c r="J187" s="34" t="n"/>
      <c r="K187" s="34" t="n"/>
      <c r="L187" s="34" t="n"/>
      <c r="M187" s="34" t="n"/>
      <c r="N187" s="34" t="n"/>
      <c r="O187" s="38" t="inlineStr"/>
    </row>
    <row r="188">
      <c r="C188" t="inlineStr">
        <is>
          <t xml:space="preserve">      Set 1</t>
        </is>
      </c>
      <c r="E188" t="n">
        <v>6</v>
      </c>
      <c r="H188" s="39">
        <f>IF(H187="","",H187)</f>
        <v/>
      </c>
      <c r="I188" s="7">
        <f>IF(H187="","",H187)</f>
        <v/>
      </c>
      <c r="J188" s="7" t="n">
        <v>6</v>
      </c>
      <c r="K188" s="7" t="n"/>
      <c r="L188" s="40" t="n"/>
      <c r="M188">
        <f>IF(AND(L188&lt;&gt;"",N(I188)&gt;0,N(J188)&gt;0),IF(J188=1,I188,ROUND(I188*(1+J188/30),1)),"")</f>
        <v/>
      </c>
      <c r="N188" s="41">
        <f>IF(M188="","",IF(M188&gt;=PRs!C25,"PR!",""))</f>
        <v/>
      </c>
      <c r="O188" s="7" t="n"/>
    </row>
    <row r="189">
      <c r="C189" t="inlineStr">
        <is>
          <t xml:space="preserve">      Set 2</t>
        </is>
      </c>
      <c r="E189" t="n">
        <v>6</v>
      </c>
      <c r="H189" s="39">
        <f>IF(H187="","",H187)</f>
        <v/>
      </c>
      <c r="I189" s="7">
        <f>IF(H187="","",H187)</f>
        <v/>
      </c>
      <c r="J189" s="7" t="n">
        <v>6</v>
      </c>
      <c r="K189" s="7" t="n"/>
      <c r="L189" s="40" t="n"/>
      <c r="M189">
        <f>IF(AND(L189&lt;&gt;"",N(I189)&gt;0,N(J189)&gt;0),IF(J189=1,I189,ROUND(I189*(1+J189/30),1)),"")</f>
        <v/>
      </c>
      <c r="N189" s="41">
        <f>IF(M189="","",IF(M189&gt;=PRs!C25,"PR!",""))</f>
        <v/>
      </c>
      <c r="O189" s="7" t="n"/>
    </row>
    <row r="190">
      <c r="C190" t="inlineStr">
        <is>
          <t xml:space="preserve">      Set 3</t>
        </is>
      </c>
      <c r="E190" t="n">
        <v>6</v>
      </c>
      <c r="H190" s="39">
        <f>IF(H187="","",H187)</f>
        <v/>
      </c>
      <c r="I190" s="7">
        <f>IF(H187="","",H187)</f>
        <v/>
      </c>
      <c r="J190" s="7" t="n">
        <v>6</v>
      </c>
      <c r="K190" s="7" t="n"/>
      <c r="L190" s="40" t="n"/>
      <c r="M190">
        <f>IF(AND(L190&lt;&gt;"",N(I190)&gt;0,N(J190)&gt;0),IF(J190=1,I190,ROUND(I190*(1+J190/30),1)),"")</f>
        <v/>
      </c>
      <c r="N190" s="41">
        <f>IF(M190="","",IF(M190&gt;=PRs!C25,"PR!",""))</f>
        <v/>
      </c>
      <c r="O190" s="7" t="n"/>
    </row>
    <row r="191">
      <c r="A191" s="34" t="n"/>
      <c r="B191" s="34" t="n"/>
      <c r="C191" s="43" t="inlineStr">
        <is>
          <t>Incline Dumbbell Press</t>
        </is>
      </c>
      <c r="D191" s="34" t="inlineStr">
        <is>
          <t>3 x 8-12</t>
        </is>
      </c>
      <c r="E191" s="34" t="n"/>
      <c r="F191" s="34" t="n"/>
      <c r="G191" s="36" t="n"/>
      <c r="H191" s="37" t="n"/>
      <c r="I191" s="34" t="n"/>
      <c r="J191" s="34" t="n"/>
      <c r="K191" s="34" t="n"/>
      <c r="L191" s="34" t="n"/>
      <c r="M191" s="34" t="n"/>
      <c r="N191" s="34" t="n"/>
      <c r="O191" s="38" t="inlineStr">
        <is>
          <t>Leave 1-2 reps in the tank; add weight when you hit the top of the range</t>
        </is>
      </c>
    </row>
    <row r="192">
      <c r="C192" t="inlineStr">
        <is>
          <t xml:space="preserve">      Set 1</t>
        </is>
      </c>
      <c r="E192" t="n">
        <v>8</v>
      </c>
      <c r="H192" s="39">
        <f>IF(H191="","",H191)</f>
        <v/>
      </c>
      <c r="I192" s="7">
        <f>IF(H191="","",H191)</f>
        <v/>
      </c>
      <c r="J192" s="7" t="n">
        <v>8</v>
      </c>
      <c r="K192" s="7" t="n"/>
      <c r="L192" s="40" t="n"/>
      <c r="M192">
        <f>IF(AND(L192&lt;&gt;"",N(I192)&gt;0,N(J192)&gt;0),IF(J192=1,I192,ROUND(I192*(1+J192/30),1)),"")</f>
        <v/>
      </c>
      <c r="N192" s="41">
        <f>IF(M192="","",IF(M192&gt;=PRs!C57,"PR!",""))</f>
        <v/>
      </c>
      <c r="O192" s="7" t="n"/>
    </row>
    <row r="193">
      <c r="C193" t="inlineStr">
        <is>
          <t xml:space="preserve">      Set 2</t>
        </is>
      </c>
      <c r="E193" t="n">
        <v>8</v>
      </c>
      <c r="H193" s="39">
        <f>IF(H191="","",H191)</f>
        <v/>
      </c>
      <c r="I193" s="7">
        <f>IF(H191="","",H191)</f>
        <v/>
      </c>
      <c r="J193" s="7" t="n">
        <v>8</v>
      </c>
      <c r="K193" s="7" t="n"/>
      <c r="L193" s="40" t="n"/>
      <c r="M193">
        <f>IF(AND(L193&lt;&gt;"",N(I193)&gt;0,N(J193)&gt;0),IF(J193=1,I193,ROUND(I193*(1+J193/30),1)),"")</f>
        <v/>
      </c>
      <c r="N193" s="41">
        <f>IF(M193="","",IF(M193&gt;=PRs!C57,"PR!",""))</f>
        <v/>
      </c>
      <c r="O193" s="7" t="n"/>
    </row>
    <row r="194">
      <c r="C194" t="inlineStr">
        <is>
          <t xml:space="preserve">      Set 3</t>
        </is>
      </c>
      <c r="E194" t="n">
        <v>8</v>
      </c>
      <c r="H194" s="39">
        <f>IF(H191="","",H191)</f>
        <v/>
      </c>
      <c r="I194" s="7">
        <f>IF(H191="","",H191)</f>
        <v/>
      </c>
      <c r="J194" s="7" t="n">
        <v>8</v>
      </c>
      <c r="K194" s="7" t="n"/>
      <c r="L194" s="40" t="n"/>
      <c r="M194">
        <f>IF(AND(L194&lt;&gt;"",N(I194)&gt;0,N(J194)&gt;0),IF(J194=1,I194,ROUND(I194*(1+J194/30),1)),"")</f>
        <v/>
      </c>
      <c r="N194" s="41">
        <f>IF(M194="","",IF(M194&gt;=PRs!C57,"PR!",""))</f>
        <v/>
      </c>
      <c r="O194" s="7" t="n"/>
    </row>
    <row r="195">
      <c r="A195" s="34" t="n"/>
      <c r="B195" s="34" t="n"/>
      <c r="C195" s="43" t="inlineStr">
        <is>
          <t>Triceps Pushdown</t>
        </is>
      </c>
      <c r="D195" s="34" t="inlineStr">
        <is>
          <t>3 x 10-15</t>
        </is>
      </c>
      <c r="E195" s="34" t="n"/>
      <c r="F195" s="34" t="n"/>
      <c r="G195" s="36" t="n"/>
      <c r="H195" s="37" t="n"/>
      <c r="I195" s="34" t="n"/>
      <c r="J195" s="34" t="n"/>
      <c r="K195" s="34" t="n"/>
      <c r="L195" s="34" t="n"/>
      <c r="M195" s="34" t="n"/>
      <c r="N195" s="34" t="n"/>
      <c r="O195" s="38" t="inlineStr">
        <is>
          <t>Leave 1-2 reps in the tank; add weight when you hit the top of the range</t>
        </is>
      </c>
    </row>
    <row r="196">
      <c r="C196" t="inlineStr">
        <is>
          <t xml:space="preserve">      Set 1</t>
        </is>
      </c>
      <c r="E196" t="n">
        <v>10</v>
      </c>
      <c r="H196" s="39">
        <f>IF(H195="","",H195)</f>
        <v/>
      </c>
      <c r="I196" s="7">
        <f>IF(H195="","",H195)</f>
        <v/>
      </c>
      <c r="J196" s="7" t="n">
        <v>10</v>
      </c>
      <c r="K196" s="7" t="n"/>
      <c r="L196" s="40" t="n"/>
      <c r="M196">
        <f>IF(AND(L196&lt;&gt;"",N(I196)&gt;0,N(J196)&gt;0),IF(J196=1,I196,ROUND(I196*(1+J196/30),1)),"")</f>
        <v/>
      </c>
      <c r="N196" s="41">
        <f>IF(M196="","",IF(M196&gt;=PRs!C59,"PR!",""))</f>
        <v/>
      </c>
      <c r="O196" s="7" t="n"/>
    </row>
    <row r="197">
      <c r="C197" t="inlineStr">
        <is>
          <t xml:space="preserve">      Set 2</t>
        </is>
      </c>
      <c r="E197" t="n">
        <v>10</v>
      </c>
      <c r="H197" s="39">
        <f>IF(H195="","",H195)</f>
        <v/>
      </c>
      <c r="I197" s="7">
        <f>IF(H195="","",H195)</f>
        <v/>
      </c>
      <c r="J197" s="7" t="n">
        <v>10</v>
      </c>
      <c r="K197" s="7" t="n"/>
      <c r="L197" s="40" t="n"/>
      <c r="M197">
        <f>IF(AND(L197&lt;&gt;"",N(I197)&gt;0,N(J197)&gt;0),IF(J197=1,I197,ROUND(I197*(1+J197/30),1)),"")</f>
        <v/>
      </c>
      <c r="N197" s="41">
        <f>IF(M197="","",IF(M197&gt;=PRs!C59,"PR!",""))</f>
        <v/>
      </c>
      <c r="O197" s="7" t="n"/>
    </row>
    <row r="198">
      <c r="C198" t="inlineStr">
        <is>
          <t xml:space="preserve">      Set 3</t>
        </is>
      </c>
      <c r="E198" t="n">
        <v>10</v>
      </c>
      <c r="H198" s="39">
        <f>IF(H195="","",H195)</f>
        <v/>
      </c>
      <c r="I198" s="7">
        <f>IF(H195="","",H195)</f>
        <v/>
      </c>
      <c r="J198" s="7" t="n">
        <v>10</v>
      </c>
      <c r="K198" s="7" t="n"/>
      <c r="L198" s="40" t="n"/>
      <c r="M198">
        <f>IF(AND(L198&lt;&gt;"",N(I198)&gt;0,N(J198)&gt;0),IF(J198=1,I198,ROUND(I198*(1+J198/30),1)),"")</f>
        <v/>
      </c>
      <c r="N198" s="41">
        <f>IF(M198="","",IF(M198&gt;=PRs!C59,"PR!",""))</f>
        <v/>
      </c>
      <c r="O198" s="7" t="n"/>
    </row>
    <row r="200">
      <c r="A200" s="51" t="inlineStr">
        <is>
          <t>WEEK 43 - CYCLE 4 - TRANSMUTATION</t>
        </is>
      </c>
      <c r="B200" s="52" t="n"/>
      <c r="C200" s="52" t="n"/>
      <c r="D200" s="52" t="n"/>
      <c r="E200" s="52" t="n"/>
      <c r="F200" s="52" t="n"/>
      <c r="G200" s="52" t="n"/>
      <c r="H200" s="53" t="inlineStr">
        <is>
          <t>Bodyweight:</t>
        </is>
      </c>
      <c r="I200" s="7" t="n"/>
      <c r="J200" s="52" t="n"/>
      <c r="K200" s="52" t="n"/>
      <c r="L200" s="52" t="n"/>
      <c r="M200" s="52" t="n"/>
      <c r="N200" s="52" t="n"/>
      <c r="O200" s="52" t="n"/>
    </row>
    <row r="201">
      <c r="A201" s="31" t="inlineStr">
        <is>
          <t>Day 1 - Heavy</t>
        </is>
      </c>
      <c r="B201" s="32">
        <f>'Start Here'!$B$8+294</f>
        <v/>
      </c>
      <c r="C201" s="33" t="n"/>
      <c r="D201" s="33" t="n"/>
      <c r="E201" s="33" t="n"/>
      <c r="F201" s="33" t="n"/>
      <c r="G201" s="33" t="n"/>
      <c r="H201" s="33" t="n"/>
      <c r="I201" s="33" t="n"/>
      <c r="J201" s="33" t="n"/>
      <c r="K201" s="33" t="n"/>
      <c r="L201" s="33" t="n"/>
      <c r="M201" s="33" t="n"/>
      <c r="N201" s="33" t="n"/>
      <c r="O201" s="33" t="n"/>
    </row>
    <row r="202">
      <c r="A202" s="34" t="n"/>
      <c r="B202" s="34" t="n"/>
      <c r="C202" s="35" t="inlineStr">
        <is>
          <t>Box Jump</t>
        </is>
      </c>
      <c r="D202" s="34" t="inlineStr">
        <is>
          <t>4 x 3</t>
        </is>
      </c>
      <c r="E202" s="34" t="n"/>
      <c r="F202" s="34" t="n"/>
      <c r="G202" s="36" t="n"/>
      <c r="H202" s="37">
        <f>IF(N(Maxes!H69)&gt;0,Maxes!H69,'Start Here'!$G$16)</f>
        <v/>
      </c>
      <c r="I202" s="34" t="n"/>
      <c r="J202" s="34" t="n"/>
      <c r="K202" s="34" t="n"/>
      <c r="L202" s="34" t="n"/>
      <c r="M202" s="34" t="n"/>
      <c r="N202" s="34" t="n"/>
      <c r="O202" s="38" t="inlineStr">
        <is>
          <t>Two-foot jump onto a box, land soft in a quarter squat, STEP down. Log the box height (floor to top of box).</t>
        </is>
      </c>
    </row>
    <row r="203">
      <c r="C203" t="inlineStr">
        <is>
          <t xml:space="preserve">      Set 1</t>
        </is>
      </c>
      <c r="E203" t="n">
        <v>3</v>
      </c>
      <c r="H203" s="39">
        <f>IF(H202="","",H202)</f>
        <v/>
      </c>
      <c r="I203" s="7">
        <f>IF(H202="","",H202)</f>
        <v/>
      </c>
      <c r="J203" s="7" t="n">
        <v>3</v>
      </c>
      <c r="K203" s="7" t="n"/>
      <c r="L203" s="40" t="n"/>
      <c r="N203" s="41">
        <f>IF(AND(L203&lt;&gt;"",N(I203)&gt;0),IF(I203&gt;=PRs!D69,"PR!",""),"")</f>
        <v/>
      </c>
      <c r="O203" s="7" t="n"/>
    </row>
    <row r="204">
      <c r="C204" t="inlineStr">
        <is>
          <t xml:space="preserve">      Set 2</t>
        </is>
      </c>
      <c r="E204" t="n">
        <v>3</v>
      </c>
      <c r="H204" s="39">
        <f>IF(H202="","",H202)</f>
        <v/>
      </c>
      <c r="I204" s="7">
        <f>IF(H202="","",H202)</f>
        <v/>
      </c>
      <c r="J204" s="7" t="n">
        <v>3</v>
      </c>
      <c r="K204" s="7" t="n"/>
      <c r="L204" s="40" t="n"/>
      <c r="N204" s="41">
        <f>IF(AND(L204&lt;&gt;"",N(I204)&gt;0),IF(I204&gt;=PRs!D69,"PR!",""),"")</f>
        <v/>
      </c>
      <c r="O204" s="7" t="n"/>
    </row>
    <row r="205">
      <c r="C205" t="inlineStr">
        <is>
          <t xml:space="preserve">      Set 3</t>
        </is>
      </c>
      <c r="E205" t="n">
        <v>3</v>
      </c>
      <c r="H205" s="39">
        <f>IF(H202="","",H202)</f>
        <v/>
      </c>
      <c r="I205" s="7">
        <f>IF(H202="","",H202)</f>
        <v/>
      </c>
      <c r="J205" s="7" t="n">
        <v>3</v>
      </c>
      <c r="K205" s="7" t="n"/>
      <c r="L205" s="40" t="n"/>
      <c r="N205" s="41">
        <f>IF(AND(L205&lt;&gt;"",N(I205)&gt;0),IF(I205&gt;=PRs!D69,"PR!",""),"")</f>
        <v/>
      </c>
      <c r="O205" s="7" t="n"/>
    </row>
    <row r="206">
      <c r="C206" t="inlineStr">
        <is>
          <t xml:space="preserve">      Set 4</t>
        </is>
      </c>
      <c r="E206" t="n">
        <v>3</v>
      </c>
      <c r="H206" s="39">
        <f>IF(H202="","",H202)</f>
        <v/>
      </c>
      <c r="I206" s="7">
        <f>IF(H202="","",H202)</f>
        <v/>
      </c>
      <c r="J206" s="7" t="n">
        <v>3</v>
      </c>
      <c r="K206" s="7" t="n"/>
      <c r="L206" s="40" t="n"/>
      <c r="N206" s="41">
        <f>IF(AND(L206&lt;&gt;"",N(I206)&gt;0),IF(I206&gt;=PRs!D69,"PR!",""),"")</f>
        <v/>
      </c>
      <c r="O206" s="7" t="n"/>
    </row>
    <row r="207">
      <c r="A207" s="34" t="n"/>
      <c r="B207" s="34" t="n"/>
      <c r="C207" s="42" t="inlineStr">
        <is>
          <t>Snatch</t>
        </is>
      </c>
      <c r="D207" s="34" t="inlineStr">
        <is>
          <t>5 x 2</t>
        </is>
      </c>
      <c r="E207" s="34" t="n"/>
      <c r="F207" s="34" t="n">
        <v>82.5</v>
      </c>
      <c r="G207" s="36">
        <f>Maxes!H6</f>
        <v/>
      </c>
      <c r="H207" s="37">
        <f>IF(OR(G207="",F207=""),"",MROUND(G207*F207/100,'Start Here'!$B$7))</f>
        <v/>
      </c>
      <c r="I207" s="34" t="n"/>
      <c r="J207" s="34" t="n"/>
      <c r="K207" s="34" t="n"/>
      <c r="L207" s="34" t="n"/>
      <c r="M207" s="34" t="n"/>
      <c r="N207" s="34" t="n"/>
      <c r="O207" s="38" t="inlineStr"/>
    </row>
    <row r="208">
      <c r="C208" t="inlineStr">
        <is>
          <t xml:space="preserve">      Set 1</t>
        </is>
      </c>
      <c r="E208" t="n">
        <v>2</v>
      </c>
      <c r="H208" s="39">
        <f>IF(H207="","",H207)</f>
        <v/>
      </c>
      <c r="I208" s="7">
        <f>IF(H207="","",H207)</f>
        <v/>
      </c>
      <c r="J208" s="7" t="n">
        <v>2</v>
      </c>
      <c r="K208" s="7" t="n"/>
      <c r="L208" s="40" t="n"/>
      <c r="M208">
        <f>IF(AND(L208&lt;&gt;"",N(I208)&gt;0,N(J208)&gt;0),IF(J208=1,I208,ROUND(I208*(1+J208/30),1)),"")</f>
        <v/>
      </c>
      <c r="N208" s="41">
        <f>IF(M208="","",IF(M208&gt;=PRs!C6,"PR!",""))</f>
        <v/>
      </c>
      <c r="O208" s="7" t="n"/>
    </row>
    <row r="209">
      <c r="C209" t="inlineStr">
        <is>
          <t xml:space="preserve">      Set 2</t>
        </is>
      </c>
      <c r="E209" t="n">
        <v>2</v>
      </c>
      <c r="H209" s="39">
        <f>IF(H207="","",H207)</f>
        <v/>
      </c>
      <c r="I209" s="7">
        <f>IF(H207="","",H207)</f>
        <v/>
      </c>
      <c r="J209" s="7" t="n">
        <v>2</v>
      </c>
      <c r="K209" s="7" t="n"/>
      <c r="L209" s="40" t="n"/>
      <c r="M209">
        <f>IF(AND(L209&lt;&gt;"",N(I209)&gt;0,N(J209)&gt;0),IF(J209=1,I209,ROUND(I209*(1+J209/30),1)),"")</f>
        <v/>
      </c>
      <c r="N209" s="41">
        <f>IF(M209="","",IF(M209&gt;=PRs!C6,"PR!",""))</f>
        <v/>
      </c>
      <c r="O209" s="7" t="n"/>
    </row>
    <row r="210">
      <c r="C210" t="inlineStr">
        <is>
          <t xml:space="preserve">      Set 3</t>
        </is>
      </c>
      <c r="E210" t="n">
        <v>2</v>
      </c>
      <c r="H210" s="39">
        <f>IF(H207="","",H207)</f>
        <v/>
      </c>
      <c r="I210" s="7">
        <f>IF(H207="","",H207)</f>
        <v/>
      </c>
      <c r="J210" s="7" t="n">
        <v>2</v>
      </c>
      <c r="K210" s="7" t="n"/>
      <c r="L210" s="40" t="n"/>
      <c r="M210">
        <f>IF(AND(L210&lt;&gt;"",N(I210)&gt;0,N(J210)&gt;0),IF(J210=1,I210,ROUND(I210*(1+J210/30),1)),"")</f>
        <v/>
      </c>
      <c r="N210" s="41">
        <f>IF(M210="","",IF(M210&gt;=PRs!C6,"PR!",""))</f>
        <v/>
      </c>
      <c r="O210" s="7" t="n"/>
    </row>
    <row r="211">
      <c r="C211" t="inlineStr">
        <is>
          <t xml:space="preserve">      Set 4</t>
        </is>
      </c>
      <c r="E211" t="n">
        <v>2</v>
      </c>
      <c r="H211" s="39">
        <f>IF(H207="","",H207)</f>
        <v/>
      </c>
      <c r="I211" s="7">
        <f>IF(H207="","",H207)</f>
        <v/>
      </c>
      <c r="J211" s="7" t="n">
        <v>2</v>
      </c>
      <c r="K211" s="7" t="n"/>
      <c r="L211" s="40" t="n"/>
      <c r="M211">
        <f>IF(AND(L211&lt;&gt;"",N(I211)&gt;0,N(J211)&gt;0),IF(J211=1,I211,ROUND(I211*(1+J211/30),1)),"")</f>
        <v/>
      </c>
      <c r="N211" s="41">
        <f>IF(M211="","",IF(M211&gt;=PRs!C6,"PR!",""))</f>
        <v/>
      </c>
      <c r="O211" s="7" t="n"/>
    </row>
    <row r="212">
      <c r="C212" t="inlineStr">
        <is>
          <t xml:space="preserve">      Set 5</t>
        </is>
      </c>
      <c r="E212" t="n">
        <v>2</v>
      </c>
      <c r="H212" s="39">
        <f>IF(H207="","",H207)</f>
        <v/>
      </c>
      <c r="I212" s="7">
        <f>IF(H207="","",H207)</f>
        <v/>
      </c>
      <c r="J212" s="7" t="n">
        <v>2</v>
      </c>
      <c r="K212" s="7" t="n"/>
      <c r="L212" s="40" t="n"/>
      <c r="M212">
        <f>IF(AND(L212&lt;&gt;"",N(I212)&gt;0,N(J212)&gt;0),IF(J212=1,I212,ROUND(I212*(1+J212/30),1)),"")</f>
        <v/>
      </c>
      <c r="N212" s="41">
        <f>IF(M212="","",IF(M212&gt;=PRs!C6,"PR!",""))</f>
        <v/>
      </c>
      <c r="O212" s="7" t="n"/>
    </row>
    <row r="213">
      <c r="A213" s="34" t="n"/>
      <c r="B213" s="34" t="n"/>
      <c r="C213" s="42" t="inlineStr">
        <is>
          <t>Squat</t>
        </is>
      </c>
      <c r="D213" s="34" t="inlineStr">
        <is>
          <t>4 x 4</t>
        </is>
      </c>
      <c r="E213" s="34" t="n"/>
      <c r="F213" s="34" t="n">
        <v>82.5</v>
      </c>
      <c r="G213" s="36">
        <f>Maxes!H2</f>
        <v/>
      </c>
      <c r="H213" s="37">
        <f>IF(OR(G213="",F213=""),"",MROUND(G213*F213/100,'Start Here'!$B$7))</f>
        <v/>
      </c>
      <c r="I213" s="34" t="n"/>
      <c r="J213" s="34" t="n"/>
      <c r="K213" s="34" t="n"/>
      <c r="L213" s="34" t="n"/>
      <c r="M213" s="34" t="n"/>
      <c r="N213" s="34" t="n"/>
      <c r="O213" s="38" t="inlineStr"/>
    </row>
    <row r="214">
      <c r="C214" t="inlineStr">
        <is>
          <t xml:space="preserve">      Set 1</t>
        </is>
      </c>
      <c r="E214" t="n">
        <v>4</v>
      </c>
      <c r="H214" s="39">
        <f>IF(H213="","",H213)</f>
        <v/>
      </c>
      <c r="I214" s="7">
        <f>IF(H213="","",H213)</f>
        <v/>
      </c>
      <c r="J214" s="7" t="n">
        <v>4</v>
      </c>
      <c r="K214" s="7" t="n"/>
      <c r="L214" s="40" t="n"/>
      <c r="M214">
        <f>IF(AND(L214&lt;&gt;"",N(I214)&gt;0,N(J214)&gt;0),IF(J214=1,I214,ROUND(I214*(1+J214/30),1)),"")</f>
        <v/>
      </c>
      <c r="N214" s="41">
        <f>IF(M214="","",IF(M214&gt;=PRs!C2,"PR!",""))</f>
        <v/>
      </c>
      <c r="O214" s="7" t="n"/>
    </row>
    <row r="215">
      <c r="C215" t="inlineStr">
        <is>
          <t xml:space="preserve">      Set 2</t>
        </is>
      </c>
      <c r="E215" t="n">
        <v>4</v>
      </c>
      <c r="H215" s="39">
        <f>IF(H213="","",H213)</f>
        <v/>
      </c>
      <c r="I215" s="7">
        <f>IF(H213="","",H213)</f>
        <v/>
      </c>
      <c r="J215" s="7" t="n">
        <v>4</v>
      </c>
      <c r="K215" s="7" t="n"/>
      <c r="L215" s="40" t="n"/>
      <c r="M215">
        <f>IF(AND(L215&lt;&gt;"",N(I215)&gt;0,N(J215)&gt;0),IF(J215=1,I215,ROUND(I215*(1+J215/30),1)),"")</f>
        <v/>
      </c>
      <c r="N215" s="41">
        <f>IF(M215="","",IF(M215&gt;=PRs!C2,"PR!",""))</f>
        <v/>
      </c>
      <c r="O215" s="7" t="n"/>
    </row>
    <row r="216">
      <c r="C216" t="inlineStr">
        <is>
          <t xml:space="preserve">      Set 3</t>
        </is>
      </c>
      <c r="E216" t="n">
        <v>4</v>
      </c>
      <c r="H216" s="39">
        <f>IF(H213="","",H213)</f>
        <v/>
      </c>
      <c r="I216" s="7">
        <f>IF(H213="","",H213)</f>
        <v/>
      </c>
      <c r="J216" s="7" t="n">
        <v>4</v>
      </c>
      <c r="K216" s="7" t="n"/>
      <c r="L216" s="40" t="n"/>
      <c r="M216">
        <f>IF(AND(L216&lt;&gt;"",N(I216)&gt;0,N(J216)&gt;0),IF(J216=1,I216,ROUND(I216*(1+J216/30),1)),"")</f>
        <v/>
      </c>
      <c r="N216" s="41">
        <f>IF(M216="","",IF(M216&gt;=PRs!C2,"PR!",""))</f>
        <v/>
      </c>
      <c r="O216" s="7" t="n"/>
    </row>
    <row r="217">
      <c r="C217" t="inlineStr">
        <is>
          <t xml:space="preserve">      Set 4</t>
        </is>
      </c>
      <c r="E217" t="n">
        <v>4</v>
      </c>
      <c r="H217" s="39">
        <f>IF(H213="","",H213)</f>
        <v/>
      </c>
      <c r="I217" s="7">
        <f>IF(H213="","",H213)</f>
        <v/>
      </c>
      <c r="J217" s="7" t="n">
        <v>4</v>
      </c>
      <c r="K217" s="7" t="n"/>
      <c r="L217" s="40" t="n"/>
      <c r="M217">
        <f>IF(AND(L217&lt;&gt;"",N(I217)&gt;0,N(J217)&gt;0),IF(J217=1,I217,ROUND(I217*(1+J217/30),1)),"")</f>
        <v/>
      </c>
      <c r="N217" s="41">
        <f>IF(M217="","",IF(M217&gt;=PRs!C2,"PR!",""))</f>
        <v/>
      </c>
      <c r="O217" s="7" t="n"/>
    </row>
    <row r="218">
      <c r="A218" s="34" t="n"/>
      <c r="B218" s="34" t="n"/>
      <c r="C218" s="42" t="inlineStr">
        <is>
          <t>Bench Press</t>
        </is>
      </c>
      <c r="D218" s="34" t="inlineStr">
        <is>
          <t>4 x 4</t>
        </is>
      </c>
      <c r="E218" s="34" t="n"/>
      <c r="F218" s="34" t="n">
        <v>82.5</v>
      </c>
      <c r="G218" s="36">
        <f>Maxes!H3</f>
        <v/>
      </c>
      <c r="H218" s="37">
        <f>IF(OR(G218="",F218=""),"",MROUND(G218*F218/100,'Start Here'!$B$7))</f>
        <v/>
      </c>
      <c r="I218" s="34" t="n"/>
      <c r="J218" s="34" t="n"/>
      <c r="K218" s="34" t="n"/>
      <c r="L218" s="34" t="n"/>
      <c r="M218" s="34" t="n"/>
      <c r="N218" s="34" t="n"/>
      <c r="O218" s="38" t="inlineStr"/>
    </row>
    <row r="219">
      <c r="C219" t="inlineStr">
        <is>
          <t xml:space="preserve">      Set 1</t>
        </is>
      </c>
      <c r="E219" t="n">
        <v>4</v>
      </c>
      <c r="H219" s="39">
        <f>IF(H218="","",H218)</f>
        <v/>
      </c>
      <c r="I219" s="7">
        <f>IF(H218="","",H218)</f>
        <v/>
      </c>
      <c r="J219" s="7" t="n">
        <v>4</v>
      </c>
      <c r="K219" s="7" t="n"/>
      <c r="L219" s="40" t="n"/>
      <c r="M219">
        <f>IF(AND(L219&lt;&gt;"",N(I219)&gt;0,N(J219)&gt;0),IF(J219=1,I219,ROUND(I219*(1+J219/30),1)),"")</f>
        <v/>
      </c>
      <c r="N219" s="41">
        <f>IF(M219="","",IF(M219&gt;=PRs!C3,"PR!",""))</f>
        <v/>
      </c>
      <c r="O219" s="7" t="n"/>
    </row>
    <row r="220">
      <c r="C220" t="inlineStr">
        <is>
          <t xml:space="preserve">      Set 2</t>
        </is>
      </c>
      <c r="E220" t="n">
        <v>4</v>
      </c>
      <c r="H220" s="39">
        <f>IF(H218="","",H218)</f>
        <v/>
      </c>
      <c r="I220" s="7">
        <f>IF(H218="","",H218)</f>
        <v/>
      </c>
      <c r="J220" s="7" t="n">
        <v>4</v>
      </c>
      <c r="K220" s="7" t="n"/>
      <c r="L220" s="40" t="n"/>
      <c r="M220">
        <f>IF(AND(L220&lt;&gt;"",N(I220)&gt;0,N(J220)&gt;0),IF(J220=1,I220,ROUND(I220*(1+J220/30),1)),"")</f>
        <v/>
      </c>
      <c r="N220" s="41">
        <f>IF(M220="","",IF(M220&gt;=PRs!C3,"PR!",""))</f>
        <v/>
      </c>
      <c r="O220" s="7" t="n"/>
    </row>
    <row r="221">
      <c r="C221" t="inlineStr">
        <is>
          <t xml:space="preserve">      Set 3</t>
        </is>
      </c>
      <c r="E221" t="n">
        <v>4</v>
      </c>
      <c r="H221" s="39">
        <f>IF(H218="","",H218)</f>
        <v/>
      </c>
      <c r="I221" s="7">
        <f>IF(H218="","",H218)</f>
        <v/>
      </c>
      <c r="J221" s="7" t="n">
        <v>4</v>
      </c>
      <c r="K221" s="7" t="n"/>
      <c r="L221" s="40" t="n"/>
      <c r="M221">
        <f>IF(AND(L221&lt;&gt;"",N(I221)&gt;0,N(J221)&gt;0),IF(J221=1,I221,ROUND(I221*(1+J221/30),1)),"")</f>
        <v/>
      </c>
      <c r="N221" s="41">
        <f>IF(M221="","",IF(M221&gt;=PRs!C3,"PR!",""))</f>
        <v/>
      </c>
      <c r="O221" s="7" t="n"/>
    </row>
    <row r="222">
      <c r="C222" t="inlineStr">
        <is>
          <t xml:space="preserve">      Set 4</t>
        </is>
      </c>
      <c r="E222" t="n">
        <v>4</v>
      </c>
      <c r="H222" s="39">
        <f>IF(H218="","",H218)</f>
        <v/>
      </c>
      <c r="I222" s="7">
        <f>IF(H218="","",H218)</f>
        <v/>
      </c>
      <c r="J222" s="7" t="n">
        <v>4</v>
      </c>
      <c r="K222" s="7" t="n"/>
      <c r="L222" s="40" t="n"/>
      <c r="M222">
        <f>IF(AND(L222&lt;&gt;"",N(I222)&gt;0,N(J222)&gt;0),IF(J222=1,I222,ROUND(I222*(1+J222/30),1)),"")</f>
        <v/>
      </c>
      <c r="N222" s="41">
        <f>IF(M222="","",IF(M222&gt;=PRs!C3,"PR!",""))</f>
        <v/>
      </c>
      <c r="O222" s="7" t="n"/>
    </row>
    <row r="223">
      <c r="A223" s="34" t="n"/>
      <c r="B223" s="34" t="n"/>
      <c r="C223" s="43" t="inlineStr">
        <is>
          <t>Barbell Row</t>
        </is>
      </c>
      <c r="D223" s="34" t="inlineStr">
        <is>
          <t>3 x 8-10</t>
        </is>
      </c>
      <c r="E223" s="34" t="n"/>
      <c r="F223" s="34" t="n"/>
      <c r="G223" s="36" t="n"/>
      <c r="H223" s="37" t="n"/>
      <c r="I223" s="34" t="n"/>
      <c r="J223" s="34" t="n"/>
      <c r="K223" s="34" t="n"/>
      <c r="L223" s="34" t="n"/>
      <c r="M223" s="34" t="n"/>
      <c r="N223" s="34" t="n"/>
      <c r="O223" s="38" t="inlineStr">
        <is>
          <t>Leave 1-2 reps in the tank; add weight when you hit the top of the range</t>
        </is>
      </c>
    </row>
    <row r="224">
      <c r="C224" t="inlineStr">
        <is>
          <t xml:space="preserve">      Set 1</t>
        </is>
      </c>
      <c r="E224" t="n">
        <v>8</v>
      </c>
      <c r="H224" s="39">
        <f>IF(H223="","",H223)</f>
        <v/>
      </c>
      <c r="I224" s="7">
        <f>IF(H223="","",H223)</f>
        <v/>
      </c>
      <c r="J224" s="7" t="n">
        <v>8</v>
      </c>
      <c r="K224" s="7" t="n"/>
      <c r="L224" s="40" t="n"/>
      <c r="M224">
        <f>IF(AND(L224&lt;&gt;"",N(I224)&gt;0,N(J224)&gt;0),IF(J224=1,I224,ROUND(I224*(1+J224/30),1)),"")</f>
        <v/>
      </c>
      <c r="N224" s="41">
        <f>IF(M224="","",IF(M224&gt;=PRs!C50,"PR!",""))</f>
        <v/>
      </c>
      <c r="O224" s="7" t="n"/>
    </row>
    <row r="225">
      <c r="C225" t="inlineStr">
        <is>
          <t xml:space="preserve">      Set 2</t>
        </is>
      </c>
      <c r="E225" t="n">
        <v>8</v>
      </c>
      <c r="H225" s="39">
        <f>IF(H223="","",H223)</f>
        <v/>
      </c>
      <c r="I225" s="7">
        <f>IF(H223="","",H223)</f>
        <v/>
      </c>
      <c r="J225" s="7" t="n">
        <v>8</v>
      </c>
      <c r="K225" s="7" t="n"/>
      <c r="L225" s="40" t="n"/>
      <c r="M225">
        <f>IF(AND(L225&lt;&gt;"",N(I225)&gt;0,N(J225)&gt;0),IF(J225=1,I225,ROUND(I225*(1+J225/30),1)),"")</f>
        <v/>
      </c>
      <c r="N225" s="41">
        <f>IF(M225="","",IF(M225&gt;=PRs!C50,"PR!",""))</f>
        <v/>
      </c>
      <c r="O225" s="7" t="n"/>
    </row>
    <row r="226">
      <c r="C226" t="inlineStr">
        <is>
          <t xml:space="preserve">      Set 3</t>
        </is>
      </c>
      <c r="E226" t="n">
        <v>8</v>
      </c>
      <c r="H226" s="39">
        <f>IF(H223="","",H223)</f>
        <v/>
      </c>
      <c r="I226" s="7">
        <f>IF(H223="","",H223)</f>
        <v/>
      </c>
      <c r="J226" s="7" t="n">
        <v>8</v>
      </c>
      <c r="K226" s="7" t="n"/>
      <c r="L226" s="40" t="n"/>
      <c r="M226">
        <f>IF(AND(L226&lt;&gt;"",N(I226)&gt;0,N(J226)&gt;0),IF(J226=1,I226,ROUND(I226*(1+J226/30),1)),"")</f>
        <v/>
      </c>
      <c r="N226" s="41">
        <f>IF(M226="","",IF(M226&gt;=PRs!C50,"PR!",""))</f>
        <v/>
      </c>
      <c r="O226" s="7" t="n"/>
    </row>
    <row r="227">
      <c r="A227" s="34" t="n"/>
      <c r="B227" s="34" t="n"/>
      <c r="C227" s="43" t="inlineStr">
        <is>
          <t>Face Pull</t>
        </is>
      </c>
      <c r="D227" s="34" t="inlineStr">
        <is>
          <t>3 x 12-15</t>
        </is>
      </c>
      <c r="E227" s="34" t="n"/>
      <c r="F227" s="34" t="n"/>
      <c r="G227" s="36" t="n"/>
      <c r="H227" s="37" t="n"/>
      <c r="I227" s="34" t="n"/>
      <c r="J227" s="34" t="n"/>
      <c r="K227" s="34" t="n"/>
      <c r="L227" s="34" t="n"/>
      <c r="M227" s="34" t="n"/>
      <c r="N227" s="34" t="n"/>
      <c r="O227" s="38" t="inlineStr">
        <is>
          <t>Leave 1-2 reps in the tank; add weight when you hit the top of the range</t>
        </is>
      </c>
    </row>
    <row r="228">
      <c r="C228" t="inlineStr">
        <is>
          <t xml:space="preserve">      Set 1</t>
        </is>
      </c>
      <c r="E228" t="n">
        <v>12</v>
      </c>
      <c r="H228" s="39">
        <f>IF(H227="","",H227)</f>
        <v/>
      </c>
      <c r="I228" s="7">
        <f>IF(H227="","",H227)</f>
        <v/>
      </c>
      <c r="J228" s="7" t="n">
        <v>12</v>
      </c>
      <c r="K228" s="7" t="n"/>
      <c r="L228" s="40" t="n"/>
      <c r="M228">
        <f>IF(AND(L228&lt;&gt;"",N(I228)&gt;0,N(J228)&gt;0),IF(J228=1,I228,ROUND(I228*(1+J228/30),1)),"")</f>
        <v/>
      </c>
      <c r="N228" s="41">
        <f>IF(M228="","",IF(M228&gt;=PRs!C51,"PR!",""))</f>
        <v/>
      </c>
      <c r="O228" s="7" t="n"/>
    </row>
    <row r="229">
      <c r="C229" t="inlineStr">
        <is>
          <t xml:space="preserve">      Set 2</t>
        </is>
      </c>
      <c r="E229" t="n">
        <v>12</v>
      </c>
      <c r="H229" s="39">
        <f>IF(H227="","",H227)</f>
        <v/>
      </c>
      <c r="I229" s="7">
        <f>IF(H227="","",H227)</f>
        <v/>
      </c>
      <c r="J229" s="7" t="n">
        <v>12</v>
      </c>
      <c r="K229" s="7" t="n"/>
      <c r="L229" s="40" t="n"/>
      <c r="M229">
        <f>IF(AND(L229&lt;&gt;"",N(I229)&gt;0,N(J229)&gt;0),IF(J229=1,I229,ROUND(I229*(1+J229/30),1)),"")</f>
        <v/>
      </c>
      <c r="N229" s="41">
        <f>IF(M229="","",IF(M229&gt;=PRs!C51,"PR!",""))</f>
        <v/>
      </c>
      <c r="O229" s="7" t="n"/>
    </row>
    <row r="230">
      <c r="C230" t="inlineStr">
        <is>
          <t xml:space="preserve">      Set 3</t>
        </is>
      </c>
      <c r="E230" t="n">
        <v>12</v>
      </c>
      <c r="H230" s="39">
        <f>IF(H227="","",H227)</f>
        <v/>
      </c>
      <c r="I230" s="7">
        <f>IF(H227="","",H227)</f>
        <v/>
      </c>
      <c r="J230" s="7" t="n">
        <v>12</v>
      </c>
      <c r="K230" s="7" t="n"/>
      <c r="L230" s="40" t="n"/>
      <c r="M230">
        <f>IF(AND(L230&lt;&gt;"",N(I230)&gt;0,N(J230)&gt;0),IF(J230=1,I230,ROUND(I230*(1+J230/30),1)),"")</f>
        <v/>
      </c>
      <c r="N230" s="41">
        <f>IF(M230="","",IF(M230&gt;=PRs!C51,"PR!",""))</f>
        <v/>
      </c>
      <c r="O230" s="7" t="n"/>
    </row>
    <row r="231">
      <c r="A231" s="31" t="inlineStr">
        <is>
          <t>Day 2 - Light</t>
        </is>
      </c>
      <c r="B231" s="32">
        <f>'Start Here'!$B$8+296</f>
        <v/>
      </c>
      <c r="C231" s="33" t="n"/>
      <c r="D231" s="33" t="n"/>
      <c r="E231" s="33" t="n"/>
      <c r="F231" s="33" t="n"/>
      <c r="G231" s="33" t="n"/>
      <c r="H231" s="33" t="n"/>
      <c r="I231" s="33" t="n"/>
      <c r="J231" s="33" t="n"/>
      <c r="K231" s="33" t="n"/>
      <c r="L231" s="33" t="n"/>
      <c r="M231" s="33" t="n"/>
      <c r="N231" s="33" t="n"/>
      <c r="O231" s="33" t="n"/>
    </row>
    <row r="232">
      <c r="A232" s="34" t="n"/>
      <c r="B232" s="34" t="n"/>
      <c r="C232" s="35" t="inlineStr">
        <is>
          <t>Broad Jump</t>
        </is>
      </c>
      <c r="D232" s="34" t="inlineStr">
        <is>
          <t>4 x 3</t>
        </is>
      </c>
      <c r="E232" s="34" t="n"/>
      <c r="F232" s="34" t="n"/>
      <c r="G232" s="36" t="n"/>
      <c r="H232" s="37">
        <f>IF(N(Maxes!H70)&gt;0,Maxes!H70,"")</f>
        <v/>
      </c>
      <c r="I232" s="34" t="n"/>
      <c r="J232" s="34" t="n"/>
      <c r="K232" s="34" t="n"/>
      <c r="L232" s="34" t="n"/>
      <c r="M232" s="34" t="n"/>
      <c r="N232" s="34" t="n"/>
      <c r="O232" s="38" t="inlineStr">
        <is>
          <t>Standing two-foot jump forward, stick the landing. Measure toe line to the back of the nearest heel.</t>
        </is>
      </c>
    </row>
    <row r="233">
      <c r="C233" t="inlineStr">
        <is>
          <t xml:space="preserve">      Set 1</t>
        </is>
      </c>
      <c r="E233" t="n">
        <v>3</v>
      </c>
      <c r="H233" s="39">
        <f>IF(H232="","",H232)</f>
        <v/>
      </c>
      <c r="I233" s="7">
        <f>IF(H232="","",H232)</f>
        <v/>
      </c>
      <c r="J233" s="7" t="n">
        <v>3</v>
      </c>
      <c r="K233" s="7" t="n"/>
      <c r="L233" s="40" t="n"/>
      <c r="N233" s="41">
        <f>IF(AND(L233&lt;&gt;"",N(I233)&gt;0),IF(I233&gt;=PRs!D70,"PR!",""),"")</f>
        <v/>
      </c>
      <c r="O233" s="7" t="n"/>
    </row>
    <row r="234">
      <c r="C234" t="inlineStr">
        <is>
          <t xml:space="preserve">      Set 2</t>
        </is>
      </c>
      <c r="E234" t="n">
        <v>3</v>
      </c>
      <c r="H234" s="39">
        <f>IF(H232="","",H232)</f>
        <v/>
      </c>
      <c r="I234" s="7">
        <f>IF(H232="","",H232)</f>
        <v/>
      </c>
      <c r="J234" s="7" t="n">
        <v>3</v>
      </c>
      <c r="K234" s="7" t="n"/>
      <c r="L234" s="40" t="n"/>
      <c r="N234" s="41">
        <f>IF(AND(L234&lt;&gt;"",N(I234)&gt;0),IF(I234&gt;=PRs!D70,"PR!",""),"")</f>
        <v/>
      </c>
      <c r="O234" s="7" t="n"/>
    </row>
    <row r="235">
      <c r="C235" t="inlineStr">
        <is>
          <t xml:space="preserve">      Set 3</t>
        </is>
      </c>
      <c r="E235" t="n">
        <v>3</v>
      </c>
      <c r="H235" s="39">
        <f>IF(H232="","",H232)</f>
        <v/>
      </c>
      <c r="I235" s="7">
        <f>IF(H232="","",H232)</f>
        <v/>
      </c>
      <c r="J235" s="7" t="n">
        <v>3</v>
      </c>
      <c r="K235" s="7" t="n"/>
      <c r="L235" s="40" t="n"/>
      <c r="N235" s="41">
        <f>IF(AND(L235&lt;&gt;"",N(I235)&gt;0),IF(I235&gt;=PRs!D70,"PR!",""),"")</f>
        <v/>
      </c>
      <c r="O235" s="7" t="n"/>
    </row>
    <row r="236">
      <c r="C236" t="inlineStr">
        <is>
          <t xml:space="preserve">      Set 4</t>
        </is>
      </c>
      <c r="E236" t="n">
        <v>3</v>
      </c>
      <c r="H236" s="39">
        <f>IF(H232="","",H232)</f>
        <v/>
      </c>
      <c r="I236" s="7">
        <f>IF(H232="","",H232)</f>
        <v/>
      </c>
      <c r="J236" s="7" t="n">
        <v>3</v>
      </c>
      <c r="K236" s="7" t="n"/>
      <c r="L236" s="40" t="n"/>
      <c r="N236" s="41">
        <f>IF(AND(L236&lt;&gt;"",N(I236)&gt;0),IF(I236&gt;=PRs!D70,"PR!",""),"")</f>
        <v/>
      </c>
      <c r="O236" s="7" t="n"/>
    </row>
    <row r="237">
      <c r="A237" s="34" t="n"/>
      <c r="B237" s="34" t="n"/>
      <c r="C237" s="35" t="inlineStr">
        <is>
          <t>Med Ball Chest Pass</t>
        </is>
      </c>
      <c r="D237" s="34" t="inlineStr">
        <is>
          <t>3 x 5</t>
        </is>
      </c>
      <c r="E237" s="34" t="n"/>
      <c r="F237" s="34" t="n"/>
      <c r="G237" s="36" t="n"/>
      <c r="H237" s="37">
        <f>IF(N(Maxes!H77)&gt;0,Maxes!H77,"")</f>
        <v/>
      </c>
      <c r="I237" s="34" t="n"/>
      <c r="J237" s="34" t="n"/>
      <c r="K237" s="34" t="n"/>
      <c r="L237" s="34" t="n"/>
      <c r="M237" s="34" t="n"/>
      <c r="N237" s="34" t="n"/>
      <c r="O237" s="38" t="inlineStr">
        <is>
          <t>Kneeling or standing chest pass for distance with a 6-10 lb / 3-5 kg ball. Log the distance.</t>
        </is>
      </c>
    </row>
    <row r="238">
      <c r="C238" t="inlineStr">
        <is>
          <t xml:space="preserve">      Set 1</t>
        </is>
      </c>
      <c r="E238" t="n">
        <v>5</v>
      </c>
      <c r="H238" s="39">
        <f>IF(H237="","",H237)</f>
        <v/>
      </c>
      <c r="I238" s="7">
        <f>IF(H237="","",H237)</f>
        <v/>
      </c>
      <c r="J238" s="7" t="n">
        <v>5</v>
      </c>
      <c r="K238" s="7" t="n"/>
      <c r="L238" s="40" t="n"/>
      <c r="N238" s="41">
        <f>IF(AND(L238&lt;&gt;"",N(I238)&gt;0),IF(I238&gt;=PRs!D77,"PR!",""),"")</f>
        <v/>
      </c>
      <c r="O238" s="7" t="n"/>
    </row>
    <row r="239">
      <c r="C239" t="inlineStr">
        <is>
          <t xml:space="preserve">      Set 2</t>
        </is>
      </c>
      <c r="E239" t="n">
        <v>5</v>
      </c>
      <c r="H239" s="39">
        <f>IF(H237="","",H237)</f>
        <v/>
      </c>
      <c r="I239" s="7">
        <f>IF(H237="","",H237)</f>
        <v/>
      </c>
      <c r="J239" s="7" t="n">
        <v>5</v>
      </c>
      <c r="K239" s="7" t="n"/>
      <c r="L239" s="40" t="n"/>
      <c r="N239" s="41">
        <f>IF(AND(L239&lt;&gt;"",N(I239)&gt;0),IF(I239&gt;=PRs!D77,"PR!",""),"")</f>
        <v/>
      </c>
      <c r="O239" s="7" t="n"/>
    </row>
    <row r="240">
      <c r="C240" t="inlineStr">
        <is>
          <t xml:space="preserve">      Set 3</t>
        </is>
      </c>
      <c r="E240" t="n">
        <v>5</v>
      </c>
      <c r="H240" s="39">
        <f>IF(H237="","",H237)</f>
        <v/>
      </c>
      <c r="I240" s="7">
        <f>IF(H237="","",H237)</f>
        <v/>
      </c>
      <c r="J240" s="7" t="n">
        <v>5</v>
      </c>
      <c r="K240" s="7" t="n"/>
      <c r="L240" s="40" t="n"/>
      <c r="N240" s="41">
        <f>IF(AND(L240&lt;&gt;"",N(I240)&gt;0),IF(I240&gt;=PRs!D77,"PR!",""),"")</f>
        <v/>
      </c>
      <c r="O240" s="7" t="n"/>
    </row>
    <row r="241">
      <c r="A241" s="34" t="n"/>
      <c r="B241" s="34" t="n"/>
      <c r="C241" s="42" t="inlineStr">
        <is>
          <t>Clean &amp; Jerk</t>
        </is>
      </c>
      <c r="D241" s="34" t="inlineStr">
        <is>
          <t>5 x 2</t>
        </is>
      </c>
      <c r="E241" s="34" t="n"/>
      <c r="F241" s="34" t="n">
        <v>82.5</v>
      </c>
      <c r="G241" s="36">
        <f>Maxes!H7</f>
        <v/>
      </c>
      <c r="H241" s="37">
        <f>IF(OR(G241="",F241=""),"",MROUND(G241*F241/100,'Start Here'!$B$7))</f>
        <v/>
      </c>
      <c r="I241" s="34" t="n"/>
      <c r="J241" s="34" t="n"/>
      <c r="K241" s="34" t="n"/>
      <c r="L241" s="34" t="n"/>
      <c r="M241" s="34" t="n"/>
      <c r="N241" s="34" t="n"/>
      <c r="O241" s="38" t="inlineStr"/>
    </row>
    <row r="242">
      <c r="C242" t="inlineStr">
        <is>
          <t xml:space="preserve">      Set 1</t>
        </is>
      </c>
      <c r="E242" t="n">
        <v>2</v>
      </c>
      <c r="H242" s="39">
        <f>IF(H241="","",H241)</f>
        <v/>
      </c>
      <c r="I242" s="7">
        <f>IF(H241="","",H241)</f>
        <v/>
      </c>
      <c r="J242" s="7" t="n">
        <v>2</v>
      </c>
      <c r="K242" s="7" t="n"/>
      <c r="L242" s="40" t="n"/>
      <c r="M242">
        <f>IF(AND(L242&lt;&gt;"",N(I242)&gt;0,N(J242)&gt;0),IF(J242=1,I242,ROUND(I242*(1+J242/30),1)),"")</f>
        <v/>
      </c>
      <c r="N242" s="41">
        <f>IF(M242="","",IF(M242&gt;=PRs!C7,"PR!",""))</f>
        <v/>
      </c>
      <c r="O242" s="7" t="n"/>
    </row>
    <row r="243">
      <c r="C243" t="inlineStr">
        <is>
          <t xml:space="preserve">      Set 2</t>
        </is>
      </c>
      <c r="E243" t="n">
        <v>2</v>
      </c>
      <c r="H243" s="39">
        <f>IF(H241="","",H241)</f>
        <v/>
      </c>
      <c r="I243" s="7">
        <f>IF(H241="","",H241)</f>
        <v/>
      </c>
      <c r="J243" s="7" t="n">
        <v>2</v>
      </c>
      <c r="K243" s="7" t="n"/>
      <c r="L243" s="40" t="n"/>
      <c r="M243">
        <f>IF(AND(L243&lt;&gt;"",N(I243)&gt;0,N(J243)&gt;0),IF(J243=1,I243,ROUND(I243*(1+J243/30),1)),"")</f>
        <v/>
      </c>
      <c r="N243" s="41">
        <f>IF(M243="","",IF(M243&gt;=PRs!C7,"PR!",""))</f>
        <v/>
      </c>
      <c r="O243" s="7" t="n"/>
    </row>
    <row r="244">
      <c r="C244" t="inlineStr">
        <is>
          <t xml:space="preserve">      Set 3</t>
        </is>
      </c>
      <c r="E244" t="n">
        <v>2</v>
      </c>
      <c r="H244" s="39">
        <f>IF(H241="","",H241)</f>
        <v/>
      </c>
      <c r="I244" s="7">
        <f>IF(H241="","",H241)</f>
        <v/>
      </c>
      <c r="J244" s="7" t="n">
        <v>2</v>
      </c>
      <c r="K244" s="7" t="n"/>
      <c r="L244" s="40" t="n"/>
      <c r="M244">
        <f>IF(AND(L244&lt;&gt;"",N(I244)&gt;0,N(J244)&gt;0),IF(J244=1,I244,ROUND(I244*(1+J244/30),1)),"")</f>
        <v/>
      </c>
      <c r="N244" s="41">
        <f>IF(M244="","",IF(M244&gt;=PRs!C7,"PR!",""))</f>
        <v/>
      </c>
      <c r="O244" s="7" t="n"/>
    </row>
    <row r="245">
      <c r="C245" t="inlineStr">
        <is>
          <t xml:space="preserve">      Set 4</t>
        </is>
      </c>
      <c r="E245" t="n">
        <v>2</v>
      </c>
      <c r="H245" s="39">
        <f>IF(H241="","",H241)</f>
        <v/>
      </c>
      <c r="I245" s="7">
        <f>IF(H241="","",H241)</f>
        <v/>
      </c>
      <c r="J245" s="7" t="n">
        <v>2</v>
      </c>
      <c r="K245" s="7" t="n"/>
      <c r="L245" s="40" t="n"/>
      <c r="M245">
        <f>IF(AND(L245&lt;&gt;"",N(I245)&gt;0,N(J245)&gt;0),IF(J245=1,I245,ROUND(I245*(1+J245/30),1)),"")</f>
        <v/>
      </c>
      <c r="N245" s="41">
        <f>IF(M245="","",IF(M245&gt;=PRs!C7,"PR!",""))</f>
        <v/>
      </c>
      <c r="O245" s="7" t="n"/>
    </row>
    <row r="246">
      <c r="C246" t="inlineStr">
        <is>
          <t xml:space="preserve">      Set 5</t>
        </is>
      </c>
      <c r="E246" t="n">
        <v>2</v>
      </c>
      <c r="H246" s="39">
        <f>IF(H241="","",H241)</f>
        <v/>
      </c>
      <c r="I246" s="7">
        <f>IF(H241="","",H241)</f>
        <v/>
      </c>
      <c r="J246" s="7" t="n">
        <v>2</v>
      </c>
      <c r="K246" s="7" t="n"/>
      <c r="L246" s="40" t="n"/>
      <c r="M246">
        <f>IF(AND(L246&lt;&gt;"",N(I246)&gt;0,N(J246)&gt;0),IF(J246=1,I246,ROUND(I246*(1+J246/30),1)),"")</f>
        <v/>
      </c>
      <c r="N246" s="41">
        <f>IF(M246="","",IF(M246&gt;=PRs!C7,"PR!",""))</f>
        <v/>
      </c>
      <c r="O246" s="7" t="n"/>
    </row>
    <row r="247">
      <c r="A247" s="34" t="n"/>
      <c r="B247" s="34" t="n"/>
      <c r="C247" s="42" t="inlineStr">
        <is>
          <t>Squat</t>
        </is>
      </c>
      <c r="D247" s="34" t="inlineStr">
        <is>
          <t>3 x 6</t>
        </is>
      </c>
      <c r="E247" s="34" t="n"/>
      <c r="F247" s="34" t="n">
        <v>70</v>
      </c>
      <c r="G247" s="36">
        <f>Maxes!H2</f>
        <v/>
      </c>
      <c r="H247" s="37">
        <f>IF(OR(G247="",F247=""),"",MROUND(G247*F247/100,'Start Here'!$B$7))</f>
        <v/>
      </c>
      <c r="I247" s="34" t="n"/>
      <c r="J247" s="34" t="n"/>
      <c r="K247" s="34" t="n"/>
      <c r="L247" s="34" t="n"/>
      <c r="M247" s="34" t="n"/>
      <c r="N247" s="34" t="n"/>
      <c r="O247" s="38" t="inlineStr"/>
    </row>
    <row r="248">
      <c r="C248" t="inlineStr">
        <is>
          <t xml:space="preserve">      Set 1</t>
        </is>
      </c>
      <c r="E248" t="n">
        <v>6</v>
      </c>
      <c r="H248" s="39">
        <f>IF(H247="","",H247)</f>
        <v/>
      </c>
      <c r="I248" s="7">
        <f>IF(H247="","",H247)</f>
        <v/>
      </c>
      <c r="J248" s="7" t="n">
        <v>6</v>
      </c>
      <c r="K248" s="7" t="n"/>
      <c r="L248" s="40" t="n"/>
      <c r="M248">
        <f>IF(AND(L248&lt;&gt;"",N(I248)&gt;0,N(J248)&gt;0),IF(J248=1,I248,ROUND(I248*(1+J248/30),1)),"")</f>
        <v/>
      </c>
      <c r="N248" s="41">
        <f>IF(M248="","",IF(M248&gt;=PRs!C2,"PR!",""))</f>
        <v/>
      </c>
      <c r="O248" s="7" t="n"/>
    </row>
    <row r="249">
      <c r="C249" t="inlineStr">
        <is>
          <t xml:space="preserve">      Set 2</t>
        </is>
      </c>
      <c r="E249" t="n">
        <v>6</v>
      </c>
      <c r="H249" s="39">
        <f>IF(H247="","",H247)</f>
        <v/>
      </c>
      <c r="I249" s="7">
        <f>IF(H247="","",H247)</f>
        <v/>
      </c>
      <c r="J249" s="7" t="n">
        <v>6</v>
      </c>
      <c r="K249" s="7" t="n"/>
      <c r="L249" s="40" t="n"/>
      <c r="M249">
        <f>IF(AND(L249&lt;&gt;"",N(I249)&gt;0,N(J249)&gt;0),IF(J249=1,I249,ROUND(I249*(1+J249/30),1)),"")</f>
        <v/>
      </c>
      <c r="N249" s="41">
        <f>IF(M249="","",IF(M249&gt;=PRs!C2,"PR!",""))</f>
        <v/>
      </c>
      <c r="O249" s="7" t="n"/>
    </row>
    <row r="250">
      <c r="C250" t="inlineStr">
        <is>
          <t xml:space="preserve">      Set 3</t>
        </is>
      </c>
      <c r="E250" t="n">
        <v>6</v>
      </c>
      <c r="H250" s="39">
        <f>IF(H247="","",H247)</f>
        <v/>
      </c>
      <c r="I250" s="7">
        <f>IF(H247="","",H247)</f>
        <v/>
      </c>
      <c r="J250" s="7" t="n">
        <v>6</v>
      </c>
      <c r="K250" s="7" t="n"/>
      <c r="L250" s="40" t="n"/>
      <c r="M250">
        <f>IF(AND(L250&lt;&gt;"",N(I250)&gt;0,N(J250)&gt;0),IF(J250=1,I250,ROUND(I250*(1+J250/30),1)),"")</f>
        <v/>
      </c>
      <c r="N250" s="41">
        <f>IF(M250="","",IF(M250&gt;=PRs!C2,"PR!",""))</f>
        <v/>
      </c>
      <c r="O250" s="7" t="n"/>
    </row>
    <row r="251">
      <c r="A251" s="34" t="n"/>
      <c r="B251" s="34" t="n"/>
      <c r="C251" s="42" t="inlineStr">
        <is>
          <t>Overhead Press</t>
        </is>
      </c>
      <c r="D251" s="34" t="inlineStr">
        <is>
          <t>3 x 6</t>
        </is>
      </c>
      <c r="E251" s="34" t="n"/>
      <c r="F251" s="34" t="n">
        <v>77.5</v>
      </c>
      <c r="G251" s="36">
        <f>Maxes!H5</f>
        <v/>
      </c>
      <c r="H251" s="37">
        <f>IF(OR(G251="",F251=""),"",MROUND(G251*F251/100,'Start Here'!$B$7))</f>
        <v/>
      </c>
      <c r="I251" s="34" t="n"/>
      <c r="J251" s="34" t="n"/>
      <c r="K251" s="34" t="n"/>
      <c r="L251" s="34" t="n"/>
      <c r="M251" s="34" t="n"/>
      <c r="N251" s="34" t="n"/>
      <c r="O251" s="38" t="inlineStr"/>
    </row>
    <row r="252">
      <c r="C252" t="inlineStr">
        <is>
          <t xml:space="preserve">      Set 1</t>
        </is>
      </c>
      <c r="E252" t="n">
        <v>6</v>
      </c>
      <c r="H252" s="39">
        <f>IF(H251="","",H251)</f>
        <v/>
      </c>
      <c r="I252" s="7">
        <f>IF(H251="","",H251)</f>
        <v/>
      </c>
      <c r="J252" s="7" t="n">
        <v>6</v>
      </c>
      <c r="K252" s="7" t="n"/>
      <c r="L252" s="40" t="n"/>
      <c r="M252">
        <f>IF(AND(L252&lt;&gt;"",N(I252)&gt;0,N(J252)&gt;0),IF(J252=1,I252,ROUND(I252*(1+J252/30),1)),"")</f>
        <v/>
      </c>
      <c r="N252" s="41">
        <f>IF(M252="","",IF(M252&gt;=PRs!C5,"PR!",""))</f>
        <v/>
      </c>
      <c r="O252" s="7" t="n"/>
    </row>
    <row r="253">
      <c r="C253" t="inlineStr">
        <is>
          <t xml:space="preserve">      Set 2</t>
        </is>
      </c>
      <c r="E253" t="n">
        <v>6</v>
      </c>
      <c r="H253" s="39">
        <f>IF(H251="","",H251)</f>
        <v/>
      </c>
      <c r="I253" s="7">
        <f>IF(H251="","",H251)</f>
        <v/>
      </c>
      <c r="J253" s="7" t="n">
        <v>6</v>
      </c>
      <c r="K253" s="7" t="n"/>
      <c r="L253" s="40" t="n"/>
      <c r="M253">
        <f>IF(AND(L253&lt;&gt;"",N(I253)&gt;0,N(J253)&gt;0),IF(J253=1,I253,ROUND(I253*(1+J253/30),1)),"")</f>
        <v/>
      </c>
      <c r="N253" s="41">
        <f>IF(M253="","",IF(M253&gt;=PRs!C5,"PR!",""))</f>
        <v/>
      </c>
      <c r="O253" s="7" t="n"/>
    </row>
    <row r="254">
      <c r="C254" t="inlineStr">
        <is>
          <t xml:space="preserve">      Set 3</t>
        </is>
      </c>
      <c r="E254" t="n">
        <v>6</v>
      </c>
      <c r="H254" s="39">
        <f>IF(H251="","",H251)</f>
        <v/>
      </c>
      <c r="I254" s="7">
        <f>IF(H251="","",H251)</f>
        <v/>
      </c>
      <c r="J254" s="7" t="n">
        <v>6</v>
      </c>
      <c r="K254" s="7" t="n"/>
      <c r="L254" s="40" t="n"/>
      <c r="M254">
        <f>IF(AND(L254&lt;&gt;"",N(I254)&gt;0,N(J254)&gt;0),IF(J254=1,I254,ROUND(I254*(1+J254/30),1)),"")</f>
        <v/>
      </c>
      <c r="N254" s="41">
        <f>IF(M254="","",IF(M254&gt;=PRs!C5,"PR!",""))</f>
        <v/>
      </c>
      <c r="O254" s="7" t="n"/>
    </row>
    <row r="255">
      <c r="A255" s="34" t="n"/>
      <c r="B255" s="34" t="n"/>
      <c r="C255" s="42" t="inlineStr">
        <is>
          <t>Deadlift</t>
        </is>
      </c>
      <c r="D255" s="34" t="inlineStr">
        <is>
          <t>3 x 6</t>
        </is>
      </c>
      <c r="E255" s="34" t="n"/>
      <c r="F255" s="34" t="n">
        <v>77.5</v>
      </c>
      <c r="G255" s="36">
        <f>Maxes!H4</f>
        <v/>
      </c>
      <c r="H255" s="37">
        <f>IF(OR(G255="",F255=""),"",MROUND(G255*F255/100,'Start Here'!$B$7))</f>
        <v/>
      </c>
      <c r="I255" s="34" t="n"/>
      <c r="J255" s="34" t="n"/>
      <c r="K255" s="34" t="n"/>
      <c r="L255" s="34" t="n"/>
      <c r="M255" s="34" t="n"/>
      <c r="N255" s="34" t="n"/>
      <c r="O255" s="38" t="inlineStr"/>
    </row>
    <row r="256">
      <c r="C256" t="inlineStr">
        <is>
          <t xml:space="preserve">      Set 1</t>
        </is>
      </c>
      <c r="E256" t="n">
        <v>6</v>
      </c>
      <c r="H256" s="39">
        <f>IF(H255="","",H255)</f>
        <v/>
      </c>
      <c r="I256" s="7">
        <f>IF(H255="","",H255)</f>
        <v/>
      </c>
      <c r="J256" s="7" t="n">
        <v>6</v>
      </c>
      <c r="K256" s="7" t="n"/>
      <c r="L256" s="40" t="n"/>
      <c r="M256">
        <f>IF(AND(L256&lt;&gt;"",N(I256)&gt;0,N(J256)&gt;0),IF(J256=1,I256,ROUND(I256*(1+J256/30),1)),"")</f>
        <v/>
      </c>
      <c r="N256" s="41">
        <f>IF(M256="","",IF(M256&gt;=PRs!C4,"PR!",""))</f>
        <v/>
      </c>
      <c r="O256" s="7" t="n"/>
    </row>
    <row r="257">
      <c r="C257" t="inlineStr">
        <is>
          <t xml:space="preserve">      Set 2</t>
        </is>
      </c>
      <c r="E257" t="n">
        <v>6</v>
      </c>
      <c r="H257" s="39">
        <f>IF(H255="","",H255)</f>
        <v/>
      </c>
      <c r="I257" s="7">
        <f>IF(H255="","",H255)</f>
        <v/>
      </c>
      <c r="J257" s="7" t="n">
        <v>6</v>
      </c>
      <c r="K257" s="7" t="n"/>
      <c r="L257" s="40" t="n"/>
      <c r="M257">
        <f>IF(AND(L257&lt;&gt;"",N(I257)&gt;0,N(J257)&gt;0),IF(J257=1,I257,ROUND(I257*(1+J257/30),1)),"")</f>
        <v/>
      </c>
      <c r="N257" s="41">
        <f>IF(M257="","",IF(M257&gt;=PRs!C4,"PR!",""))</f>
        <v/>
      </c>
      <c r="O257" s="7" t="n"/>
    </row>
    <row r="258">
      <c r="C258" t="inlineStr">
        <is>
          <t xml:space="preserve">      Set 3</t>
        </is>
      </c>
      <c r="E258" t="n">
        <v>6</v>
      </c>
      <c r="H258" s="39">
        <f>IF(H255="","",H255)</f>
        <v/>
      </c>
      <c r="I258" s="7">
        <f>IF(H255="","",H255)</f>
        <v/>
      </c>
      <c r="J258" s="7" t="n">
        <v>6</v>
      </c>
      <c r="K258" s="7" t="n"/>
      <c r="L258" s="40" t="n"/>
      <c r="M258">
        <f>IF(AND(L258&lt;&gt;"",N(I258)&gt;0,N(J258)&gt;0),IF(J258=1,I258,ROUND(I258*(1+J258/30),1)),"")</f>
        <v/>
      </c>
      <c r="N258" s="41">
        <f>IF(M258="","",IF(M258&gt;=PRs!C4,"PR!",""))</f>
        <v/>
      </c>
      <c r="O258" s="7" t="n"/>
    </row>
    <row r="259">
      <c r="A259" s="34" t="n"/>
      <c r="B259" s="34" t="n"/>
      <c r="C259" s="43" t="inlineStr">
        <is>
          <t>Chin-up</t>
        </is>
      </c>
      <c r="D259" s="34" t="inlineStr">
        <is>
          <t>3 x 6-10</t>
        </is>
      </c>
      <c r="E259" s="34" t="n"/>
      <c r="F259" s="34" t="n"/>
      <c r="G259" s="36" t="n"/>
      <c r="H259" s="37" t="n"/>
      <c r="I259" s="34" t="n"/>
      <c r="J259" s="34" t="n"/>
      <c r="K259" s="34" t="n"/>
      <c r="L259" s="34" t="n"/>
      <c r="M259" s="34" t="n"/>
      <c r="N259" s="34" t="n"/>
      <c r="O259" s="38" t="inlineStr">
        <is>
          <t>Leave 1-2 reps in the tank; add weight when you hit the top of the range</t>
        </is>
      </c>
    </row>
    <row r="260">
      <c r="C260" t="inlineStr">
        <is>
          <t xml:space="preserve">      Set 1</t>
        </is>
      </c>
      <c r="E260" t="n">
        <v>6</v>
      </c>
      <c r="H260" s="39">
        <f>IF(H259="","",H259)</f>
        <v/>
      </c>
      <c r="I260" s="7">
        <f>IF(H259="","",H259)</f>
        <v/>
      </c>
      <c r="J260" s="7" t="n">
        <v>6</v>
      </c>
      <c r="K260" s="7" t="n"/>
      <c r="L260" s="40" t="n"/>
      <c r="M260">
        <f>IF(AND(L260&lt;&gt;"",N(I260)&gt;0,N(J260)&gt;0),IF(J260=1,I260,ROUND(I260*(1+J260/30),1)),"")</f>
        <v/>
      </c>
      <c r="N260" s="41">
        <f>IF(M260="","",IF(M260&gt;=PRs!C53,"PR!",""))</f>
        <v/>
      </c>
      <c r="O260" s="7" t="n"/>
    </row>
    <row r="261">
      <c r="C261" t="inlineStr">
        <is>
          <t xml:space="preserve">      Set 2</t>
        </is>
      </c>
      <c r="E261" t="n">
        <v>6</v>
      </c>
      <c r="H261" s="39">
        <f>IF(H259="","",H259)</f>
        <v/>
      </c>
      <c r="I261" s="7">
        <f>IF(H259="","",H259)</f>
        <v/>
      </c>
      <c r="J261" s="7" t="n">
        <v>6</v>
      </c>
      <c r="K261" s="7" t="n"/>
      <c r="L261" s="40" t="n"/>
      <c r="M261">
        <f>IF(AND(L261&lt;&gt;"",N(I261)&gt;0,N(J261)&gt;0),IF(J261=1,I261,ROUND(I261*(1+J261/30),1)),"")</f>
        <v/>
      </c>
      <c r="N261" s="41">
        <f>IF(M261="","",IF(M261&gt;=PRs!C53,"PR!",""))</f>
        <v/>
      </c>
      <c r="O261" s="7" t="n"/>
    </row>
    <row r="262">
      <c r="C262" t="inlineStr">
        <is>
          <t xml:space="preserve">      Set 3</t>
        </is>
      </c>
      <c r="E262" t="n">
        <v>6</v>
      </c>
      <c r="H262" s="39">
        <f>IF(H259="","",H259)</f>
        <v/>
      </c>
      <c r="I262" s="7">
        <f>IF(H259="","",H259)</f>
        <v/>
      </c>
      <c r="J262" s="7" t="n">
        <v>6</v>
      </c>
      <c r="K262" s="7" t="n"/>
      <c r="L262" s="40" t="n"/>
      <c r="M262">
        <f>IF(AND(L262&lt;&gt;"",N(I262)&gt;0,N(J262)&gt;0),IF(J262=1,I262,ROUND(I262*(1+J262/30),1)),"")</f>
        <v/>
      </c>
      <c r="N262" s="41">
        <f>IF(M262="","",IF(M262&gt;=PRs!C53,"PR!",""))</f>
        <v/>
      </c>
      <c r="O262" s="7" t="n"/>
    </row>
    <row r="263">
      <c r="A263" s="34" t="n"/>
      <c r="B263" s="34" t="n"/>
      <c r="C263" s="43" t="inlineStr">
        <is>
          <t>Plank</t>
        </is>
      </c>
      <c r="D263" s="34" t="inlineStr">
        <is>
          <t>3 x 30-60s</t>
        </is>
      </c>
      <c r="E263" s="34" t="n"/>
      <c r="F263" s="34" t="n"/>
      <c r="G263" s="36" t="n"/>
      <c r="H263" s="37" t="n"/>
      <c r="I263" s="34" t="n"/>
      <c r="J263" s="34" t="n"/>
      <c r="K263" s="34" t="n"/>
      <c r="L263" s="34" t="n"/>
      <c r="M263" s="34" t="n"/>
      <c r="N263" s="34" t="n"/>
      <c r="O263" s="38" t="inlineStr">
        <is>
          <t>Leave 1-2 reps in the tank; add weight when you hit the top of the range</t>
        </is>
      </c>
    </row>
    <row r="264">
      <c r="C264" t="inlineStr">
        <is>
          <t xml:space="preserve">      Set 1</t>
        </is>
      </c>
      <c r="E264" t="n">
        <v>30</v>
      </c>
      <c r="H264" s="39">
        <f>IF(H263="","",H263)</f>
        <v/>
      </c>
      <c r="I264" s="7">
        <f>IF(H263="","",H263)</f>
        <v/>
      </c>
      <c r="J264" s="7" t="n">
        <v>30</v>
      </c>
      <c r="K264" s="7" t="n"/>
      <c r="L264" s="40" t="n"/>
      <c r="M264">
        <f>IF(AND(L264&lt;&gt;"",N(I264)&gt;0,N(J264)&gt;0),IF(J264=1,I264,ROUND(I264*(1+J264/30),1)),"")</f>
        <v/>
      </c>
      <c r="N264" s="41">
        <f>IF(M264="","",IF(M264&gt;=PRs!C56,"PR!",""))</f>
        <v/>
      </c>
      <c r="O264" s="7" t="n"/>
    </row>
    <row r="265">
      <c r="C265" t="inlineStr">
        <is>
          <t xml:space="preserve">      Set 2</t>
        </is>
      </c>
      <c r="E265" t="n">
        <v>30</v>
      </c>
      <c r="H265" s="39">
        <f>IF(H263="","",H263)</f>
        <v/>
      </c>
      <c r="I265" s="7">
        <f>IF(H263="","",H263)</f>
        <v/>
      </c>
      <c r="J265" s="7" t="n">
        <v>30</v>
      </c>
      <c r="K265" s="7" t="n"/>
      <c r="L265" s="40" t="n"/>
      <c r="M265">
        <f>IF(AND(L265&lt;&gt;"",N(I265)&gt;0,N(J265)&gt;0),IF(J265=1,I265,ROUND(I265*(1+J265/30),1)),"")</f>
        <v/>
      </c>
      <c r="N265" s="41">
        <f>IF(M265="","",IF(M265&gt;=PRs!C56,"PR!",""))</f>
        <v/>
      </c>
      <c r="O265" s="7" t="n"/>
    </row>
    <row r="266">
      <c r="C266" t="inlineStr">
        <is>
          <t xml:space="preserve">      Set 3</t>
        </is>
      </c>
      <c r="E266" t="n">
        <v>30</v>
      </c>
      <c r="H266" s="39">
        <f>IF(H263="","",H263)</f>
        <v/>
      </c>
      <c r="I266" s="7">
        <f>IF(H263="","",H263)</f>
        <v/>
      </c>
      <c r="J266" s="7" t="n">
        <v>30</v>
      </c>
      <c r="K266" s="7" t="n"/>
      <c r="L266" s="40" t="n"/>
      <c r="M266">
        <f>IF(AND(L266&lt;&gt;"",N(I266)&gt;0,N(J266)&gt;0),IF(J266=1,I266,ROUND(I266*(1+J266/30),1)),"")</f>
        <v/>
      </c>
      <c r="N266" s="41">
        <f>IF(M266="","",IF(M266&gt;=PRs!C56,"PR!",""))</f>
        <v/>
      </c>
      <c r="O266" s="7" t="n"/>
    </row>
    <row r="267">
      <c r="A267" s="31" t="inlineStr">
        <is>
          <t>Day 3 - Variations</t>
        </is>
      </c>
      <c r="B267" s="32">
        <f>'Start Here'!$B$8+298</f>
        <v/>
      </c>
      <c r="C267" s="33" t="n"/>
      <c r="D267" s="33" t="n"/>
      <c r="E267" s="33" t="n"/>
      <c r="F267" s="33" t="n"/>
      <c r="G267" s="33" t="n"/>
      <c r="H267" s="33" t="n"/>
      <c r="I267" s="33" t="n"/>
      <c r="J267" s="33" t="n"/>
      <c r="K267" s="33" t="n"/>
      <c r="L267" s="33" t="n"/>
      <c r="M267" s="33" t="n"/>
      <c r="N267" s="33" t="n"/>
      <c r="O267" s="33" t="n"/>
    </row>
    <row r="268">
      <c r="A268" s="34" t="n"/>
      <c r="B268" s="34" t="n"/>
      <c r="C268" s="35" t="inlineStr">
        <is>
          <t>Plyo Push-up</t>
        </is>
      </c>
      <c r="D268" s="34" t="inlineStr">
        <is>
          <t>4 x 3</t>
        </is>
      </c>
      <c r="E268" s="34" t="n"/>
      <c r="F268" s="34" t="n"/>
      <c r="G268" s="36" t="n"/>
      <c r="H268" s="37">
        <f>IF(N(Maxes!H75)&gt;0,Maxes!H75,"")</f>
        <v/>
      </c>
      <c r="I268" s="34" t="n"/>
      <c r="J268" s="34" t="n"/>
      <c r="K268" s="34" t="n"/>
      <c r="L268" s="34" t="n"/>
      <c r="M268" s="34" t="n"/>
      <c r="N268" s="34" t="n"/>
      <c r="O268" s="38" t="inlineStr">
        <is>
          <t>Explosive push-up so the hands leave the floor. Log reps (distance/height = 1).</t>
        </is>
      </c>
    </row>
    <row r="269">
      <c r="C269" t="inlineStr">
        <is>
          <t xml:space="preserve">      Set 1</t>
        </is>
      </c>
      <c r="E269" t="n">
        <v>3</v>
      </c>
      <c r="H269" s="39">
        <f>IF(H268="","",H268)</f>
        <v/>
      </c>
      <c r="I269" s="7">
        <f>IF(H268="","",H268)</f>
        <v/>
      </c>
      <c r="J269" s="7" t="n">
        <v>3</v>
      </c>
      <c r="K269" s="7" t="n"/>
      <c r="L269" s="40" t="n"/>
      <c r="N269" s="41">
        <f>IF(AND(L269&lt;&gt;"",N(I269)&gt;0),IF(I269&gt;=PRs!D75,"PR!",""),"")</f>
        <v/>
      </c>
      <c r="O269" s="7" t="n"/>
    </row>
    <row r="270">
      <c r="C270" t="inlineStr">
        <is>
          <t xml:space="preserve">      Set 2</t>
        </is>
      </c>
      <c r="E270" t="n">
        <v>3</v>
      </c>
      <c r="H270" s="39">
        <f>IF(H268="","",H268)</f>
        <v/>
      </c>
      <c r="I270" s="7">
        <f>IF(H268="","",H268)</f>
        <v/>
      </c>
      <c r="J270" s="7" t="n">
        <v>3</v>
      </c>
      <c r="K270" s="7" t="n"/>
      <c r="L270" s="40" t="n"/>
      <c r="N270" s="41">
        <f>IF(AND(L270&lt;&gt;"",N(I270)&gt;0),IF(I270&gt;=PRs!D75,"PR!",""),"")</f>
        <v/>
      </c>
      <c r="O270" s="7" t="n"/>
    </row>
    <row r="271">
      <c r="C271" t="inlineStr">
        <is>
          <t xml:space="preserve">      Set 3</t>
        </is>
      </c>
      <c r="E271" t="n">
        <v>3</v>
      </c>
      <c r="H271" s="39">
        <f>IF(H268="","",H268)</f>
        <v/>
      </c>
      <c r="I271" s="7">
        <f>IF(H268="","",H268)</f>
        <v/>
      </c>
      <c r="J271" s="7" t="n">
        <v>3</v>
      </c>
      <c r="K271" s="7" t="n"/>
      <c r="L271" s="40" t="n"/>
      <c r="N271" s="41">
        <f>IF(AND(L271&lt;&gt;"",N(I271)&gt;0),IF(I271&gt;=PRs!D75,"PR!",""),"")</f>
        <v/>
      </c>
      <c r="O271" s="7" t="n"/>
    </row>
    <row r="272">
      <c r="C272" t="inlineStr">
        <is>
          <t xml:space="preserve">      Set 4</t>
        </is>
      </c>
      <c r="E272" t="n">
        <v>3</v>
      </c>
      <c r="H272" s="39">
        <f>IF(H268="","",H268)</f>
        <v/>
      </c>
      <c r="I272" s="7">
        <f>IF(H268="","",H268)</f>
        <v/>
      </c>
      <c r="J272" s="7" t="n">
        <v>3</v>
      </c>
      <c r="K272" s="7" t="n"/>
      <c r="L272" s="40" t="n"/>
      <c r="N272" s="41">
        <f>IF(AND(L272&lt;&gt;"",N(I272)&gt;0),IF(I272&gt;=PRs!D75,"PR!",""),"")</f>
        <v/>
      </c>
      <c r="O272" s="7" t="n"/>
    </row>
    <row r="273">
      <c r="A273" s="34" t="n"/>
      <c r="B273" s="34" t="n"/>
      <c r="C273" s="42" t="inlineStr">
        <is>
          <t>Hang Snatch</t>
        </is>
      </c>
      <c r="D273" s="34" t="inlineStr">
        <is>
          <t>4 x 3</t>
        </is>
      </c>
      <c r="E273" s="34" t="n"/>
      <c r="F273" s="34" t="n">
        <v>77.5</v>
      </c>
      <c r="G273" s="36">
        <f>Maxes!H35</f>
        <v/>
      </c>
      <c r="H273" s="37">
        <f>IF(OR(G273="",F273=""),"",MROUND(G273*F273/100,'Start Here'!$B$7))</f>
        <v/>
      </c>
      <c r="I273" s="34" t="n"/>
      <c r="J273" s="34" t="n"/>
      <c r="K273" s="34" t="n"/>
      <c r="L273" s="34" t="n"/>
      <c r="M273" s="34" t="n"/>
      <c r="N273" s="34" t="n"/>
      <c r="O273" s="38" t="inlineStr"/>
    </row>
    <row r="274">
      <c r="C274" t="inlineStr">
        <is>
          <t xml:space="preserve">      Set 1</t>
        </is>
      </c>
      <c r="E274" t="n">
        <v>3</v>
      </c>
      <c r="H274" s="39">
        <f>IF(H273="","",H273)</f>
        <v/>
      </c>
      <c r="I274" s="7">
        <f>IF(H273="","",H273)</f>
        <v/>
      </c>
      <c r="J274" s="7" t="n">
        <v>3</v>
      </c>
      <c r="K274" s="7" t="n"/>
      <c r="L274" s="40" t="n"/>
      <c r="M274">
        <f>IF(AND(L274&lt;&gt;"",N(I274)&gt;0,N(J274)&gt;0),IF(J274=1,I274,ROUND(I274*(1+J274/30),1)),"")</f>
        <v/>
      </c>
      <c r="N274" s="41">
        <f>IF(M274="","",IF(M274&gt;=PRs!C35,"PR!",""))</f>
        <v/>
      </c>
      <c r="O274" s="7" t="n"/>
    </row>
    <row r="275">
      <c r="C275" t="inlineStr">
        <is>
          <t xml:space="preserve">      Set 2</t>
        </is>
      </c>
      <c r="E275" t="n">
        <v>3</v>
      </c>
      <c r="H275" s="39">
        <f>IF(H273="","",H273)</f>
        <v/>
      </c>
      <c r="I275" s="7">
        <f>IF(H273="","",H273)</f>
        <v/>
      </c>
      <c r="J275" s="7" t="n">
        <v>3</v>
      </c>
      <c r="K275" s="7" t="n"/>
      <c r="L275" s="40" t="n"/>
      <c r="M275">
        <f>IF(AND(L275&lt;&gt;"",N(I275)&gt;0,N(J275)&gt;0),IF(J275=1,I275,ROUND(I275*(1+J275/30),1)),"")</f>
        <v/>
      </c>
      <c r="N275" s="41">
        <f>IF(M275="","",IF(M275&gt;=PRs!C35,"PR!",""))</f>
        <v/>
      </c>
      <c r="O275" s="7" t="n"/>
    </row>
    <row r="276">
      <c r="C276" t="inlineStr">
        <is>
          <t xml:space="preserve">      Set 3</t>
        </is>
      </c>
      <c r="E276" t="n">
        <v>3</v>
      </c>
      <c r="H276" s="39">
        <f>IF(H273="","",H273)</f>
        <v/>
      </c>
      <c r="I276" s="7">
        <f>IF(H273="","",H273)</f>
        <v/>
      </c>
      <c r="J276" s="7" t="n">
        <v>3</v>
      </c>
      <c r="K276" s="7" t="n"/>
      <c r="L276" s="40" t="n"/>
      <c r="M276">
        <f>IF(AND(L276&lt;&gt;"",N(I276)&gt;0,N(J276)&gt;0),IF(J276=1,I276,ROUND(I276*(1+J276/30),1)),"")</f>
        <v/>
      </c>
      <c r="N276" s="41">
        <f>IF(M276="","",IF(M276&gt;=PRs!C35,"PR!",""))</f>
        <v/>
      </c>
      <c r="O276" s="7" t="n"/>
    </row>
    <row r="277">
      <c r="C277" t="inlineStr">
        <is>
          <t xml:space="preserve">      Set 4</t>
        </is>
      </c>
      <c r="E277" t="n">
        <v>3</v>
      </c>
      <c r="H277" s="39">
        <f>IF(H273="","",H273)</f>
        <v/>
      </c>
      <c r="I277" s="7">
        <f>IF(H273="","",H273)</f>
        <v/>
      </c>
      <c r="J277" s="7" t="n">
        <v>3</v>
      </c>
      <c r="K277" s="7" t="n"/>
      <c r="L277" s="40" t="n"/>
      <c r="M277">
        <f>IF(AND(L277&lt;&gt;"",N(I277)&gt;0,N(J277)&gt;0),IF(J277=1,I277,ROUND(I277*(1+J277/30),1)),"")</f>
        <v/>
      </c>
      <c r="N277" s="41">
        <f>IF(M277="","",IF(M277&gt;=PRs!C35,"PR!",""))</f>
        <v/>
      </c>
      <c r="O277" s="7" t="n"/>
    </row>
    <row r="278">
      <c r="A278" s="34" t="n"/>
      <c r="B278" s="34" t="n"/>
      <c r="C278" s="42" t="inlineStr">
        <is>
          <t>Box Squat</t>
        </is>
      </c>
      <c r="D278" s="34" t="inlineStr">
        <is>
          <t>3 x 6</t>
        </is>
      </c>
      <c r="E278" s="34" t="n"/>
      <c r="F278" s="34" t="n">
        <v>77.5</v>
      </c>
      <c r="G278" s="36">
        <f>Maxes!H8</f>
        <v/>
      </c>
      <c r="H278" s="37">
        <f>IF(OR(G278="",F278=""),"",MROUND(G278*F278/100,'Start Here'!$B$7))</f>
        <v/>
      </c>
      <c r="I278" s="34" t="n"/>
      <c r="J278" s="34" t="n"/>
      <c r="K278" s="34" t="n"/>
      <c r="L278" s="34" t="n"/>
      <c r="M278" s="34" t="n"/>
      <c r="N278" s="34" t="n"/>
      <c r="O278" s="38" t="inlineStr"/>
    </row>
    <row r="279">
      <c r="C279" t="inlineStr">
        <is>
          <t xml:space="preserve">      Set 1</t>
        </is>
      </c>
      <c r="E279" t="n">
        <v>6</v>
      </c>
      <c r="H279" s="39">
        <f>IF(H278="","",H278)</f>
        <v/>
      </c>
      <c r="I279" s="7">
        <f>IF(H278="","",H278)</f>
        <v/>
      </c>
      <c r="J279" s="7" t="n">
        <v>6</v>
      </c>
      <c r="K279" s="7" t="n"/>
      <c r="L279" s="40" t="n"/>
      <c r="M279">
        <f>IF(AND(L279&lt;&gt;"",N(I279)&gt;0,N(J279)&gt;0),IF(J279=1,I279,ROUND(I279*(1+J279/30),1)),"")</f>
        <v/>
      </c>
      <c r="N279" s="41">
        <f>IF(M279="","",IF(M279&gt;=PRs!C8,"PR!",""))</f>
        <v/>
      </c>
      <c r="O279" s="7" t="n"/>
    </row>
    <row r="280">
      <c r="C280" t="inlineStr">
        <is>
          <t xml:space="preserve">      Set 2</t>
        </is>
      </c>
      <c r="E280" t="n">
        <v>6</v>
      </c>
      <c r="H280" s="39">
        <f>IF(H278="","",H278)</f>
        <v/>
      </c>
      <c r="I280" s="7">
        <f>IF(H278="","",H278)</f>
        <v/>
      </c>
      <c r="J280" s="7" t="n">
        <v>6</v>
      </c>
      <c r="K280" s="7" t="n"/>
      <c r="L280" s="40" t="n"/>
      <c r="M280">
        <f>IF(AND(L280&lt;&gt;"",N(I280)&gt;0,N(J280)&gt;0),IF(J280=1,I280,ROUND(I280*(1+J280/30),1)),"")</f>
        <v/>
      </c>
      <c r="N280" s="41">
        <f>IF(M280="","",IF(M280&gt;=PRs!C8,"PR!",""))</f>
        <v/>
      </c>
      <c r="O280" s="7" t="n"/>
    </row>
    <row r="281">
      <c r="C281" t="inlineStr">
        <is>
          <t xml:space="preserve">      Set 3</t>
        </is>
      </c>
      <c r="E281" t="n">
        <v>6</v>
      </c>
      <c r="H281" s="39">
        <f>IF(H278="","",H278)</f>
        <v/>
      </c>
      <c r="I281" s="7">
        <f>IF(H278="","",H278)</f>
        <v/>
      </c>
      <c r="J281" s="7" t="n">
        <v>6</v>
      </c>
      <c r="K281" s="7" t="n"/>
      <c r="L281" s="40" t="n"/>
      <c r="M281">
        <f>IF(AND(L281&lt;&gt;"",N(I281)&gt;0,N(J281)&gt;0),IF(J281=1,I281,ROUND(I281*(1+J281/30),1)),"")</f>
        <v/>
      </c>
      <c r="N281" s="41">
        <f>IF(M281="","",IF(M281&gt;=PRs!C8,"PR!",""))</f>
        <v/>
      </c>
      <c r="O281" s="7" t="n"/>
    </row>
    <row r="282">
      <c r="A282" s="34" t="n"/>
      <c r="B282" s="34" t="n"/>
      <c r="C282" s="42" t="inlineStr">
        <is>
          <t>1-Board Press</t>
        </is>
      </c>
      <c r="D282" s="34" t="inlineStr">
        <is>
          <t>3 x 6</t>
        </is>
      </c>
      <c r="E282" s="34" t="n"/>
      <c r="F282" s="34" t="n">
        <v>77.5</v>
      </c>
      <c r="G282" s="36">
        <f>Maxes!H15</f>
        <v/>
      </c>
      <c r="H282" s="37">
        <f>IF(OR(G282="",F282=""),"",MROUND(G282*F282/100,'Start Here'!$B$7))</f>
        <v/>
      </c>
      <c r="I282" s="34" t="n"/>
      <c r="J282" s="34" t="n"/>
      <c r="K282" s="34" t="n"/>
      <c r="L282" s="34" t="n"/>
      <c r="M282" s="34" t="n"/>
      <c r="N282" s="34" t="n"/>
      <c r="O282" s="38" t="inlineStr"/>
    </row>
    <row r="283">
      <c r="C283" t="inlineStr">
        <is>
          <t xml:space="preserve">      Set 1</t>
        </is>
      </c>
      <c r="E283" t="n">
        <v>6</v>
      </c>
      <c r="H283" s="39">
        <f>IF(H282="","",H282)</f>
        <v/>
      </c>
      <c r="I283" s="7">
        <f>IF(H282="","",H282)</f>
        <v/>
      </c>
      <c r="J283" s="7" t="n">
        <v>6</v>
      </c>
      <c r="K283" s="7" t="n"/>
      <c r="L283" s="40" t="n"/>
      <c r="M283">
        <f>IF(AND(L283&lt;&gt;"",N(I283)&gt;0,N(J283)&gt;0),IF(J283=1,I283,ROUND(I283*(1+J283/30),1)),"")</f>
        <v/>
      </c>
      <c r="N283" s="41">
        <f>IF(M283="","",IF(M283&gt;=PRs!C15,"PR!",""))</f>
        <v/>
      </c>
      <c r="O283" s="7" t="n"/>
    </row>
    <row r="284">
      <c r="C284" t="inlineStr">
        <is>
          <t xml:space="preserve">      Set 2</t>
        </is>
      </c>
      <c r="E284" t="n">
        <v>6</v>
      </c>
      <c r="H284" s="39">
        <f>IF(H282="","",H282)</f>
        <v/>
      </c>
      <c r="I284" s="7">
        <f>IF(H282="","",H282)</f>
        <v/>
      </c>
      <c r="J284" s="7" t="n">
        <v>6</v>
      </c>
      <c r="K284" s="7" t="n"/>
      <c r="L284" s="40" t="n"/>
      <c r="M284">
        <f>IF(AND(L284&lt;&gt;"",N(I284)&gt;0,N(J284)&gt;0),IF(J284=1,I284,ROUND(I284*(1+J284/30),1)),"")</f>
        <v/>
      </c>
      <c r="N284" s="41">
        <f>IF(M284="","",IF(M284&gt;=PRs!C15,"PR!",""))</f>
        <v/>
      </c>
      <c r="O284" s="7" t="n"/>
    </row>
    <row r="285">
      <c r="C285" t="inlineStr">
        <is>
          <t xml:space="preserve">      Set 3</t>
        </is>
      </c>
      <c r="E285" t="n">
        <v>6</v>
      </c>
      <c r="H285" s="39">
        <f>IF(H282="","",H282)</f>
        <v/>
      </c>
      <c r="I285" s="7">
        <f>IF(H282="","",H282)</f>
        <v/>
      </c>
      <c r="J285" s="7" t="n">
        <v>6</v>
      </c>
      <c r="K285" s="7" t="n"/>
      <c r="L285" s="40" t="n"/>
      <c r="M285">
        <f>IF(AND(L285&lt;&gt;"",N(I285)&gt;0,N(J285)&gt;0),IF(J285=1,I285,ROUND(I285*(1+J285/30),1)),"")</f>
        <v/>
      </c>
      <c r="N285" s="41">
        <f>IF(M285="","",IF(M285&gt;=PRs!C15,"PR!",""))</f>
        <v/>
      </c>
      <c r="O285" s="7" t="n"/>
    </row>
    <row r="286">
      <c r="A286" s="34" t="n"/>
      <c r="B286" s="34" t="n"/>
      <c r="C286" s="42" t="inlineStr">
        <is>
          <t>Paused Deadlift</t>
        </is>
      </c>
      <c r="D286" s="34" t="inlineStr">
        <is>
          <t>3 x 6</t>
        </is>
      </c>
      <c r="E286" s="34" t="n"/>
      <c r="F286" s="34" t="n">
        <v>70</v>
      </c>
      <c r="G286" s="36">
        <f>Maxes!H25</f>
        <v/>
      </c>
      <c r="H286" s="37">
        <f>IF(OR(G286="",F286=""),"",MROUND(G286*F286/100,'Start Here'!$B$7))</f>
        <v/>
      </c>
      <c r="I286" s="34" t="n"/>
      <c r="J286" s="34" t="n"/>
      <c r="K286" s="34" t="n"/>
      <c r="L286" s="34" t="n"/>
      <c r="M286" s="34" t="n"/>
      <c r="N286" s="34" t="n"/>
      <c r="O286" s="38" t="inlineStr"/>
    </row>
    <row r="287">
      <c r="C287" t="inlineStr">
        <is>
          <t xml:space="preserve">      Set 1</t>
        </is>
      </c>
      <c r="E287" t="n">
        <v>6</v>
      </c>
      <c r="H287" s="39">
        <f>IF(H286="","",H286)</f>
        <v/>
      </c>
      <c r="I287" s="7">
        <f>IF(H286="","",H286)</f>
        <v/>
      </c>
      <c r="J287" s="7" t="n">
        <v>6</v>
      </c>
      <c r="K287" s="7" t="n"/>
      <c r="L287" s="40" t="n"/>
      <c r="M287">
        <f>IF(AND(L287&lt;&gt;"",N(I287)&gt;0,N(J287)&gt;0),IF(J287=1,I287,ROUND(I287*(1+J287/30),1)),"")</f>
        <v/>
      </c>
      <c r="N287" s="41">
        <f>IF(M287="","",IF(M287&gt;=PRs!C25,"PR!",""))</f>
        <v/>
      </c>
      <c r="O287" s="7" t="n"/>
    </row>
    <row r="288">
      <c r="C288" t="inlineStr">
        <is>
          <t xml:space="preserve">      Set 2</t>
        </is>
      </c>
      <c r="E288" t="n">
        <v>6</v>
      </c>
      <c r="H288" s="39">
        <f>IF(H286="","",H286)</f>
        <v/>
      </c>
      <c r="I288" s="7">
        <f>IF(H286="","",H286)</f>
        <v/>
      </c>
      <c r="J288" s="7" t="n">
        <v>6</v>
      </c>
      <c r="K288" s="7" t="n"/>
      <c r="L288" s="40" t="n"/>
      <c r="M288">
        <f>IF(AND(L288&lt;&gt;"",N(I288)&gt;0,N(J288)&gt;0),IF(J288=1,I288,ROUND(I288*(1+J288/30),1)),"")</f>
        <v/>
      </c>
      <c r="N288" s="41">
        <f>IF(M288="","",IF(M288&gt;=PRs!C25,"PR!",""))</f>
        <v/>
      </c>
      <c r="O288" s="7" t="n"/>
    </row>
    <row r="289">
      <c r="C289" t="inlineStr">
        <is>
          <t xml:space="preserve">      Set 3</t>
        </is>
      </c>
      <c r="E289" t="n">
        <v>6</v>
      </c>
      <c r="H289" s="39">
        <f>IF(H286="","",H286)</f>
        <v/>
      </c>
      <c r="I289" s="7">
        <f>IF(H286="","",H286)</f>
        <v/>
      </c>
      <c r="J289" s="7" t="n">
        <v>6</v>
      </c>
      <c r="K289" s="7" t="n"/>
      <c r="L289" s="40" t="n"/>
      <c r="M289">
        <f>IF(AND(L289&lt;&gt;"",N(I289)&gt;0,N(J289)&gt;0),IF(J289=1,I289,ROUND(I289*(1+J289/30),1)),"")</f>
        <v/>
      </c>
      <c r="N289" s="41">
        <f>IF(M289="","",IF(M289&gt;=PRs!C25,"PR!",""))</f>
        <v/>
      </c>
      <c r="O289" s="7" t="n"/>
    </row>
    <row r="290">
      <c r="A290" s="34" t="n"/>
      <c r="B290" s="34" t="n"/>
      <c r="C290" s="43" t="inlineStr">
        <is>
          <t>Incline Dumbbell Press</t>
        </is>
      </c>
      <c r="D290" s="34" t="inlineStr">
        <is>
          <t>3 x 8-12</t>
        </is>
      </c>
      <c r="E290" s="34" t="n"/>
      <c r="F290" s="34" t="n"/>
      <c r="G290" s="36" t="n"/>
      <c r="H290" s="37" t="n"/>
      <c r="I290" s="34" t="n"/>
      <c r="J290" s="34" t="n"/>
      <c r="K290" s="34" t="n"/>
      <c r="L290" s="34" t="n"/>
      <c r="M290" s="34" t="n"/>
      <c r="N290" s="34" t="n"/>
      <c r="O290" s="38" t="inlineStr">
        <is>
          <t>Leave 1-2 reps in the tank; add weight when you hit the top of the range</t>
        </is>
      </c>
    </row>
    <row r="291">
      <c r="C291" t="inlineStr">
        <is>
          <t xml:space="preserve">      Set 1</t>
        </is>
      </c>
      <c r="E291" t="n">
        <v>8</v>
      </c>
      <c r="H291" s="39">
        <f>IF(H290="","",H290)</f>
        <v/>
      </c>
      <c r="I291" s="7">
        <f>IF(H290="","",H290)</f>
        <v/>
      </c>
      <c r="J291" s="7" t="n">
        <v>8</v>
      </c>
      <c r="K291" s="7" t="n"/>
      <c r="L291" s="40" t="n"/>
      <c r="M291">
        <f>IF(AND(L291&lt;&gt;"",N(I291)&gt;0,N(J291)&gt;0),IF(J291=1,I291,ROUND(I291*(1+J291/30),1)),"")</f>
        <v/>
      </c>
      <c r="N291" s="41">
        <f>IF(M291="","",IF(M291&gt;=PRs!C57,"PR!",""))</f>
        <v/>
      </c>
      <c r="O291" s="7" t="n"/>
    </row>
    <row r="292">
      <c r="C292" t="inlineStr">
        <is>
          <t xml:space="preserve">      Set 2</t>
        </is>
      </c>
      <c r="E292" t="n">
        <v>8</v>
      </c>
      <c r="H292" s="39">
        <f>IF(H290="","",H290)</f>
        <v/>
      </c>
      <c r="I292" s="7">
        <f>IF(H290="","",H290)</f>
        <v/>
      </c>
      <c r="J292" s="7" t="n">
        <v>8</v>
      </c>
      <c r="K292" s="7" t="n"/>
      <c r="L292" s="40" t="n"/>
      <c r="M292">
        <f>IF(AND(L292&lt;&gt;"",N(I292)&gt;0,N(J292)&gt;0),IF(J292=1,I292,ROUND(I292*(1+J292/30),1)),"")</f>
        <v/>
      </c>
      <c r="N292" s="41">
        <f>IF(M292="","",IF(M292&gt;=PRs!C57,"PR!",""))</f>
        <v/>
      </c>
      <c r="O292" s="7" t="n"/>
    </row>
    <row r="293">
      <c r="C293" t="inlineStr">
        <is>
          <t xml:space="preserve">      Set 3</t>
        </is>
      </c>
      <c r="E293" t="n">
        <v>8</v>
      </c>
      <c r="H293" s="39">
        <f>IF(H290="","",H290)</f>
        <v/>
      </c>
      <c r="I293" s="7">
        <f>IF(H290="","",H290)</f>
        <v/>
      </c>
      <c r="J293" s="7" t="n">
        <v>8</v>
      </c>
      <c r="K293" s="7" t="n"/>
      <c r="L293" s="40" t="n"/>
      <c r="M293">
        <f>IF(AND(L293&lt;&gt;"",N(I293)&gt;0,N(J293)&gt;0),IF(J293=1,I293,ROUND(I293*(1+J293/30),1)),"")</f>
        <v/>
      </c>
      <c r="N293" s="41">
        <f>IF(M293="","",IF(M293&gt;=PRs!C57,"PR!",""))</f>
        <v/>
      </c>
      <c r="O293" s="7" t="n"/>
    </row>
    <row r="294">
      <c r="A294" s="34" t="n"/>
      <c r="B294" s="34" t="n"/>
      <c r="C294" s="43" t="inlineStr">
        <is>
          <t>Triceps Pushdown</t>
        </is>
      </c>
      <c r="D294" s="34" t="inlineStr">
        <is>
          <t>3 x 10-15</t>
        </is>
      </c>
      <c r="E294" s="34" t="n"/>
      <c r="F294" s="34" t="n"/>
      <c r="G294" s="36" t="n"/>
      <c r="H294" s="37" t="n"/>
      <c r="I294" s="34" t="n"/>
      <c r="J294" s="34" t="n"/>
      <c r="K294" s="34" t="n"/>
      <c r="L294" s="34" t="n"/>
      <c r="M294" s="34" t="n"/>
      <c r="N294" s="34" t="n"/>
      <c r="O294" s="38" t="inlineStr">
        <is>
          <t>Leave 1-2 reps in the tank; add weight when you hit the top of the range</t>
        </is>
      </c>
    </row>
    <row r="295">
      <c r="C295" t="inlineStr">
        <is>
          <t xml:space="preserve">      Set 1</t>
        </is>
      </c>
      <c r="E295" t="n">
        <v>10</v>
      </c>
      <c r="H295" s="39">
        <f>IF(H294="","",H294)</f>
        <v/>
      </c>
      <c r="I295" s="7">
        <f>IF(H294="","",H294)</f>
        <v/>
      </c>
      <c r="J295" s="7" t="n">
        <v>10</v>
      </c>
      <c r="K295" s="7" t="n"/>
      <c r="L295" s="40" t="n"/>
      <c r="M295">
        <f>IF(AND(L295&lt;&gt;"",N(I295)&gt;0,N(J295)&gt;0),IF(J295=1,I295,ROUND(I295*(1+J295/30),1)),"")</f>
        <v/>
      </c>
      <c r="N295" s="41">
        <f>IF(M295="","",IF(M295&gt;=PRs!C59,"PR!",""))</f>
        <v/>
      </c>
      <c r="O295" s="7" t="n"/>
    </row>
    <row r="296">
      <c r="C296" t="inlineStr">
        <is>
          <t xml:space="preserve">      Set 2</t>
        </is>
      </c>
      <c r="E296" t="n">
        <v>10</v>
      </c>
      <c r="H296" s="39">
        <f>IF(H294="","",H294)</f>
        <v/>
      </c>
      <c r="I296" s="7">
        <f>IF(H294="","",H294)</f>
        <v/>
      </c>
      <c r="J296" s="7" t="n">
        <v>10</v>
      </c>
      <c r="K296" s="7" t="n"/>
      <c r="L296" s="40" t="n"/>
      <c r="M296">
        <f>IF(AND(L296&lt;&gt;"",N(I296)&gt;0,N(J296)&gt;0),IF(J296=1,I296,ROUND(I296*(1+J296/30),1)),"")</f>
        <v/>
      </c>
      <c r="N296" s="41">
        <f>IF(M296="","",IF(M296&gt;=PRs!C59,"PR!",""))</f>
        <v/>
      </c>
      <c r="O296" s="7" t="n"/>
    </row>
    <row r="297">
      <c r="C297" t="inlineStr">
        <is>
          <t xml:space="preserve">      Set 3</t>
        </is>
      </c>
      <c r="E297" t="n">
        <v>10</v>
      </c>
      <c r="H297" s="39">
        <f>IF(H294="","",H294)</f>
        <v/>
      </c>
      <c r="I297" s="7">
        <f>IF(H294="","",H294)</f>
        <v/>
      </c>
      <c r="J297" s="7" t="n">
        <v>10</v>
      </c>
      <c r="K297" s="7" t="n"/>
      <c r="L297" s="40" t="n"/>
      <c r="M297">
        <f>IF(AND(L297&lt;&gt;"",N(I297)&gt;0,N(J297)&gt;0),IF(J297=1,I297,ROUND(I297*(1+J297/30),1)),"")</f>
        <v/>
      </c>
      <c r="N297" s="41">
        <f>IF(M297="","",IF(M297&gt;=PRs!C59,"PR!",""))</f>
        <v/>
      </c>
      <c r="O297" s="7" t="n"/>
    </row>
    <row r="299">
      <c r="A299" s="48" t="inlineStr">
        <is>
          <t>WEEK 44 - CYCLE 4 - DELOAD</t>
        </is>
      </c>
      <c r="B299" s="49" t="n"/>
      <c r="C299" s="49" t="n"/>
      <c r="D299" s="49" t="n"/>
      <c r="E299" s="49" t="n"/>
      <c r="F299" s="49" t="n"/>
      <c r="G299" s="49" t="n"/>
      <c r="H299" s="50" t="inlineStr">
        <is>
          <t>Bodyweight:</t>
        </is>
      </c>
      <c r="I299" s="7" t="n"/>
      <c r="J299" s="49" t="n"/>
      <c r="K299" s="49" t="n"/>
      <c r="L299" s="49" t="n"/>
      <c r="M299" s="49" t="n"/>
      <c r="N299" s="49" t="n"/>
      <c r="O299" s="49" t="n"/>
    </row>
    <row r="300">
      <c r="A300" s="31" t="inlineStr">
        <is>
          <t>Day 1 - Heavy</t>
        </is>
      </c>
      <c r="B300" s="32">
        <f>'Start Here'!$B$8+301</f>
        <v/>
      </c>
      <c r="C300" s="33" t="n"/>
      <c r="D300" s="33" t="n"/>
      <c r="E300" s="33" t="n"/>
      <c r="F300" s="33" t="n"/>
      <c r="G300" s="33" t="n"/>
      <c r="H300" s="33" t="n"/>
      <c r="I300" s="33" t="n"/>
      <c r="J300" s="33" t="n"/>
      <c r="K300" s="33" t="n"/>
      <c r="L300" s="33" t="n"/>
      <c r="M300" s="33" t="n"/>
      <c r="N300" s="33" t="n"/>
      <c r="O300" s="33" t="n"/>
    </row>
    <row r="301">
      <c r="A301" s="34" t="n"/>
      <c r="B301" s="34" t="n"/>
      <c r="C301" s="35" t="inlineStr">
        <is>
          <t>Box Jump</t>
        </is>
      </c>
      <c r="D301" s="34" t="inlineStr">
        <is>
          <t>2 x 3</t>
        </is>
      </c>
      <c r="E301" s="34" t="n"/>
      <c r="F301" s="34" t="n"/>
      <c r="G301" s="36" t="n"/>
      <c r="H301" s="37">
        <f>IF(N(Maxes!H69)&gt;0,Maxes!H69,'Start Here'!$G$16)</f>
        <v/>
      </c>
      <c r="I301" s="34" t="n"/>
      <c r="J301" s="34" t="n"/>
      <c r="K301" s="34" t="n"/>
      <c r="L301" s="34" t="n"/>
      <c r="M301" s="34" t="n"/>
      <c r="N301" s="34" t="n"/>
      <c r="O301" s="38" t="inlineStr">
        <is>
          <t>Two-foot jump onto a box, land soft in a quarter squat, STEP down. Log the box height (floor to top of box).</t>
        </is>
      </c>
    </row>
    <row r="302">
      <c r="C302" t="inlineStr">
        <is>
          <t xml:space="preserve">      Set 1</t>
        </is>
      </c>
      <c r="E302" t="n">
        <v>3</v>
      </c>
      <c r="H302" s="39">
        <f>IF(H301="","",H301)</f>
        <v/>
      </c>
      <c r="I302" s="7">
        <f>IF(H301="","",H301)</f>
        <v/>
      </c>
      <c r="J302" s="7" t="n">
        <v>3</v>
      </c>
      <c r="K302" s="7" t="n"/>
      <c r="L302" s="40" t="n"/>
      <c r="N302" s="41">
        <f>IF(AND(L302&lt;&gt;"",N(I302)&gt;0),IF(I302&gt;=PRs!D69,"PR!",""),"")</f>
        <v/>
      </c>
      <c r="O302" s="7" t="n"/>
    </row>
    <row r="303">
      <c r="C303" t="inlineStr">
        <is>
          <t xml:space="preserve">      Set 2</t>
        </is>
      </c>
      <c r="E303" t="n">
        <v>3</v>
      </c>
      <c r="H303" s="39">
        <f>IF(H301="","",H301)</f>
        <v/>
      </c>
      <c r="I303" s="7">
        <f>IF(H301="","",H301)</f>
        <v/>
      </c>
      <c r="J303" s="7" t="n">
        <v>3</v>
      </c>
      <c r="K303" s="7" t="n"/>
      <c r="L303" s="40" t="n"/>
      <c r="N303" s="41">
        <f>IF(AND(L303&lt;&gt;"",N(I303)&gt;0),IF(I303&gt;=PRs!D69,"PR!",""),"")</f>
        <v/>
      </c>
      <c r="O303" s="7" t="n"/>
    </row>
    <row r="304">
      <c r="A304" s="34" t="n"/>
      <c r="B304" s="34" t="n"/>
      <c r="C304" s="42" t="inlineStr">
        <is>
          <t>Snatch</t>
        </is>
      </c>
      <c r="D304" s="34" t="inlineStr">
        <is>
          <t>2 x 2</t>
        </is>
      </c>
      <c r="E304" s="34" t="n"/>
      <c r="F304" s="34" t="n">
        <v>65</v>
      </c>
      <c r="G304" s="36">
        <f>Maxes!H6</f>
        <v/>
      </c>
      <c r="H304" s="37">
        <f>IF(OR(G304="",F304=""),"",MROUND(G304*F304/100,'Start Here'!$B$7))</f>
        <v/>
      </c>
      <c r="I304" s="34" t="n"/>
      <c r="J304" s="34" t="n"/>
      <c r="K304" s="34" t="n"/>
      <c r="L304" s="34" t="n"/>
      <c r="M304" s="34" t="n"/>
      <c r="N304" s="34" t="n"/>
      <c r="O304" s="38" t="inlineStr">
        <is>
          <t>Easy week - move fast, recover</t>
        </is>
      </c>
    </row>
    <row r="305">
      <c r="C305" t="inlineStr">
        <is>
          <t xml:space="preserve">      Set 1</t>
        </is>
      </c>
      <c r="E305" t="n">
        <v>2</v>
      </c>
      <c r="H305" s="39">
        <f>IF(H304="","",H304)</f>
        <v/>
      </c>
      <c r="I305" s="7">
        <f>IF(H304="","",H304)</f>
        <v/>
      </c>
      <c r="J305" s="7" t="n">
        <v>2</v>
      </c>
      <c r="K305" s="7" t="n"/>
      <c r="L305" s="40" t="n"/>
      <c r="M305">
        <f>IF(AND(L305&lt;&gt;"",N(I305)&gt;0,N(J305)&gt;0),IF(J305=1,I305,ROUND(I305*(1+J305/30),1)),"")</f>
        <v/>
      </c>
      <c r="N305" s="41">
        <f>IF(M305="","",IF(M305&gt;=PRs!C6,"PR!",""))</f>
        <v/>
      </c>
      <c r="O305" s="7" t="n"/>
    </row>
    <row r="306">
      <c r="C306" t="inlineStr">
        <is>
          <t xml:space="preserve">      Set 2</t>
        </is>
      </c>
      <c r="E306" t="n">
        <v>2</v>
      </c>
      <c r="H306" s="39">
        <f>IF(H304="","",H304)</f>
        <v/>
      </c>
      <c r="I306" s="7">
        <f>IF(H304="","",H304)</f>
        <v/>
      </c>
      <c r="J306" s="7" t="n">
        <v>2</v>
      </c>
      <c r="K306" s="7" t="n"/>
      <c r="L306" s="40" t="n"/>
      <c r="M306">
        <f>IF(AND(L306&lt;&gt;"",N(I306)&gt;0,N(J306)&gt;0),IF(J306=1,I306,ROUND(I306*(1+J306/30),1)),"")</f>
        <v/>
      </c>
      <c r="N306" s="41">
        <f>IF(M306="","",IF(M306&gt;=PRs!C6,"PR!",""))</f>
        <v/>
      </c>
      <c r="O306" s="7" t="n"/>
    </row>
    <row r="307">
      <c r="A307" s="34" t="n"/>
      <c r="B307" s="34" t="n"/>
      <c r="C307" s="42" t="inlineStr">
        <is>
          <t>Squat</t>
        </is>
      </c>
      <c r="D307" s="34" t="inlineStr">
        <is>
          <t>2 x 5</t>
        </is>
      </c>
      <c r="E307" s="34" t="n"/>
      <c r="F307" s="34" t="n">
        <v>65</v>
      </c>
      <c r="G307" s="36">
        <f>Maxes!H2</f>
        <v/>
      </c>
      <c r="H307" s="37">
        <f>IF(OR(G307="",F307=""),"",MROUND(G307*F307/100,'Start Here'!$B$7))</f>
        <v/>
      </c>
      <c r="I307" s="34" t="n"/>
      <c r="J307" s="34" t="n"/>
      <c r="K307" s="34" t="n"/>
      <c r="L307" s="34" t="n"/>
      <c r="M307" s="34" t="n"/>
      <c r="N307" s="34" t="n"/>
      <c r="O307" s="38" t="inlineStr">
        <is>
          <t>Easy week - move fast, recover</t>
        </is>
      </c>
    </row>
    <row r="308">
      <c r="C308" t="inlineStr">
        <is>
          <t xml:space="preserve">      Set 1</t>
        </is>
      </c>
      <c r="E308" t="n">
        <v>5</v>
      </c>
      <c r="H308" s="39">
        <f>IF(H307="","",H307)</f>
        <v/>
      </c>
      <c r="I308" s="7">
        <f>IF(H307="","",H307)</f>
        <v/>
      </c>
      <c r="J308" s="7" t="n">
        <v>5</v>
      </c>
      <c r="K308" s="7" t="n"/>
      <c r="L308" s="40" t="n"/>
      <c r="M308">
        <f>IF(AND(L308&lt;&gt;"",N(I308)&gt;0,N(J308)&gt;0),IF(J308=1,I308,ROUND(I308*(1+J308/30),1)),"")</f>
        <v/>
      </c>
      <c r="N308" s="41">
        <f>IF(M308="","",IF(M308&gt;=PRs!C2,"PR!",""))</f>
        <v/>
      </c>
      <c r="O308" s="7" t="n"/>
    </row>
    <row r="309">
      <c r="C309" t="inlineStr">
        <is>
          <t xml:space="preserve">      Set 2</t>
        </is>
      </c>
      <c r="E309" t="n">
        <v>5</v>
      </c>
      <c r="H309" s="39">
        <f>IF(H307="","",H307)</f>
        <v/>
      </c>
      <c r="I309" s="7">
        <f>IF(H307="","",H307)</f>
        <v/>
      </c>
      <c r="J309" s="7" t="n">
        <v>5</v>
      </c>
      <c r="K309" s="7" t="n"/>
      <c r="L309" s="40" t="n"/>
      <c r="M309">
        <f>IF(AND(L309&lt;&gt;"",N(I309)&gt;0,N(J309)&gt;0),IF(J309=1,I309,ROUND(I309*(1+J309/30),1)),"")</f>
        <v/>
      </c>
      <c r="N309" s="41">
        <f>IF(M309="","",IF(M309&gt;=PRs!C2,"PR!",""))</f>
        <v/>
      </c>
      <c r="O309" s="7" t="n"/>
    </row>
    <row r="310">
      <c r="A310" s="34" t="n"/>
      <c r="B310" s="34" t="n"/>
      <c r="C310" s="42" t="inlineStr">
        <is>
          <t>Bench Press</t>
        </is>
      </c>
      <c r="D310" s="34" t="inlineStr">
        <is>
          <t>2 x 5</t>
        </is>
      </c>
      <c r="E310" s="34" t="n"/>
      <c r="F310" s="34" t="n">
        <v>65</v>
      </c>
      <c r="G310" s="36">
        <f>Maxes!H3</f>
        <v/>
      </c>
      <c r="H310" s="37">
        <f>IF(OR(G310="",F310=""),"",MROUND(G310*F310/100,'Start Here'!$B$7))</f>
        <v/>
      </c>
      <c r="I310" s="34" t="n"/>
      <c r="J310" s="34" t="n"/>
      <c r="K310" s="34" t="n"/>
      <c r="L310" s="34" t="n"/>
      <c r="M310" s="34" t="n"/>
      <c r="N310" s="34" t="n"/>
      <c r="O310" s="38" t="inlineStr">
        <is>
          <t>Easy week - move fast, recover</t>
        </is>
      </c>
    </row>
    <row r="311">
      <c r="C311" t="inlineStr">
        <is>
          <t xml:space="preserve">      Set 1</t>
        </is>
      </c>
      <c r="E311" t="n">
        <v>5</v>
      </c>
      <c r="H311" s="39">
        <f>IF(H310="","",H310)</f>
        <v/>
      </c>
      <c r="I311" s="7">
        <f>IF(H310="","",H310)</f>
        <v/>
      </c>
      <c r="J311" s="7" t="n">
        <v>5</v>
      </c>
      <c r="K311" s="7" t="n"/>
      <c r="L311" s="40" t="n"/>
      <c r="M311">
        <f>IF(AND(L311&lt;&gt;"",N(I311)&gt;0,N(J311)&gt;0),IF(J311=1,I311,ROUND(I311*(1+J311/30),1)),"")</f>
        <v/>
      </c>
      <c r="N311" s="41">
        <f>IF(M311="","",IF(M311&gt;=PRs!C3,"PR!",""))</f>
        <v/>
      </c>
      <c r="O311" s="7" t="n"/>
    </row>
    <row r="312">
      <c r="C312" t="inlineStr">
        <is>
          <t xml:space="preserve">      Set 2</t>
        </is>
      </c>
      <c r="E312" t="n">
        <v>5</v>
      </c>
      <c r="H312" s="39">
        <f>IF(H310="","",H310)</f>
        <v/>
      </c>
      <c r="I312" s="7">
        <f>IF(H310="","",H310)</f>
        <v/>
      </c>
      <c r="J312" s="7" t="n">
        <v>5</v>
      </c>
      <c r="K312" s="7" t="n"/>
      <c r="L312" s="40" t="n"/>
      <c r="M312">
        <f>IF(AND(L312&lt;&gt;"",N(I312)&gt;0,N(J312)&gt;0),IF(J312=1,I312,ROUND(I312*(1+J312/30),1)),"")</f>
        <v/>
      </c>
      <c r="N312" s="41">
        <f>IF(M312="","",IF(M312&gt;=PRs!C3,"PR!",""))</f>
        <v/>
      </c>
      <c r="O312" s="7" t="n"/>
    </row>
    <row r="313">
      <c r="A313" s="34" t="n"/>
      <c r="B313" s="34" t="n"/>
      <c r="C313" s="43" t="inlineStr">
        <is>
          <t>Barbell Row</t>
        </is>
      </c>
      <c r="D313" s="34" t="inlineStr">
        <is>
          <t>2 x 8-10</t>
        </is>
      </c>
      <c r="E313" s="34" t="n"/>
      <c r="F313" s="34" t="n"/>
      <c r="G313" s="36" t="n"/>
      <c r="H313" s="37" t="n"/>
      <c r="I313" s="34" t="n"/>
      <c r="J313" s="34" t="n"/>
      <c r="K313" s="34" t="n"/>
      <c r="L313" s="34" t="n"/>
      <c r="M313" s="34" t="n"/>
      <c r="N313" s="34" t="n"/>
      <c r="O313" s="38" t="inlineStr">
        <is>
          <t>Easy - stop well short of failure</t>
        </is>
      </c>
    </row>
    <row r="314">
      <c r="C314" t="inlineStr">
        <is>
          <t xml:space="preserve">      Set 1</t>
        </is>
      </c>
      <c r="E314" t="n">
        <v>8</v>
      </c>
      <c r="H314" s="39">
        <f>IF(H313="","",H313)</f>
        <v/>
      </c>
      <c r="I314" s="7">
        <f>IF(H313="","",H313)</f>
        <v/>
      </c>
      <c r="J314" s="7" t="n">
        <v>8</v>
      </c>
      <c r="K314" s="7" t="n"/>
      <c r="L314" s="40" t="n"/>
      <c r="M314">
        <f>IF(AND(L314&lt;&gt;"",N(I314)&gt;0,N(J314)&gt;0),IF(J314=1,I314,ROUND(I314*(1+J314/30),1)),"")</f>
        <v/>
      </c>
      <c r="N314" s="41">
        <f>IF(M314="","",IF(M314&gt;=PRs!C50,"PR!",""))</f>
        <v/>
      </c>
      <c r="O314" s="7" t="n"/>
    </row>
    <row r="315">
      <c r="C315" t="inlineStr">
        <is>
          <t xml:space="preserve">      Set 2</t>
        </is>
      </c>
      <c r="E315" t="n">
        <v>8</v>
      </c>
      <c r="H315" s="39">
        <f>IF(H313="","",H313)</f>
        <v/>
      </c>
      <c r="I315" s="7">
        <f>IF(H313="","",H313)</f>
        <v/>
      </c>
      <c r="J315" s="7" t="n">
        <v>8</v>
      </c>
      <c r="K315" s="7" t="n"/>
      <c r="L315" s="40" t="n"/>
      <c r="M315">
        <f>IF(AND(L315&lt;&gt;"",N(I315)&gt;0,N(J315)&gt;0),IF(J315=1,I315,ROUND(I315*(1+J315/30),1)),"")</f>
        <v/>
      </c>
      <c r="N315" s="41">
        <f>IF(M315="","",IF(M315&gt;=PRs!C50,"PR!",""))</f>
        <v/>
      </c>
      <c r="O315" s="7" t="n"/>
    </row>
    <row r="316">
      <c r="A316" s="34" t="n"/>
      <c r="B316" s="34" t="n"/>
      <c r="C316" s="43" t="inlineStr">
        <is>
          <t>Face Pull</t>
        </is>
      </c>
      <c r="D316" s="34" t="inlineStr">
        <is>
          <t>2 x 12-15</t>
        </is>
      </c>
      <c r="E316" s="34" t="n"/>
      <c r="F316" s="34" t="n"/>
      <c r="G316" s="36" t="n"/>
      <c r="H316" s="37" t="n"/>
      <c r="I316" s="34" t="n"/>
      <c r="J316" s="34" t="n"/>
      <c r="K316" s="34" t="n"/>
      <c r="L316" s="34" t="n"/>
      <c r="M316" s="34" t="n"/>
      <c r="N316" s="34" t="n"/>
      <c r="O316" s="38" t="inlineStr">
        <is>
          <t>Easy - stop well short of failure</t>
        </is>
      </c>
    </row>
    <row r="317">
      <c r="C317" t="inlineStr">
        <is>
          <t xml:space="preserve">      Set 1</t>
        </is>
      </c>
      <c r="E317" t="n">
        <v>12</v>
      </c>
      <c r="H317" s="39">
        <f>IF(H316="","",H316)</f>
        <v/>
      </c>
      <c r="I317" s="7">
        <f>IF(H316="","",H316)</f>
        <v/>
      </c>
      <c r="J317" s="7" t="n">
        <v>12</v>
      </c>
      <c r="K317" s="7" t="n"/>
      <c r="L317" s="40" t="n"/>
      <c r="M317">
        <f>IF(AND(L317&lt;&gt;"",N(I317)&gt;0,N(J317)&gt;0),IF(J317=1,I317,ROUND(I317*(1+J317/30),1)),"")</f>
        <v/>
      </c>
      <c r="N317" s="41">
        <f>IF(M317="","",IF(M317&gt;=PRs!C51,"PR!",""))</f>
        <v/>
      </c>
      <c r="O317" s="7" t="n"/>
    </row>
    <row r="318">
      <c r="C318" t="inlineStr">
        <is>
          <t xml:space="preserve">      Set 2</t>
        </is>
      </c>
      <c r="E318" t="n">
        <v>12</v>
      </c>
      <c r="H318" s="39">
        <f>IF(H316="","",H316)</f>
        <v/>
      </c>
      <c r="I318" s="7">
        <f>IF(H316="","",H316)</f>
        <v/>
      </c>
      <c r="J318" s="7" t="n">
        <v>12</v>
      </c>
      <c r="K318" s="7" t="n"/>
      <c r="L318" s="40" t="n"/>
      <c r="M318">
        <f>IF(AND(L318&lt;&gt;"",N(I318)&gt;0,N(J318)&gt;0),IF(J318=1,I318,ROUND(I318*(1+J318/30),1)),"")</f>
        <v/>
      </c>
      <c r="N318" s="41">
        <f>IF(M318="","",IF(M318&gt;=PRs!C51,"PR!",""))</f>
        <v/>
      </c>
      <c r="O318" s="7" t="n"/>
    </row>
    <row r="319">
      <c r="A319" s="31" t="inlineStr">
        <is>
          <t>Day 2 - Light</t>
        </is>
      </c>
      <c r="B319" s="32">
        <f>'Start Here'!$B$8+303</f>
        <v/>
      </c>
      <c r="C319" s="33" t="n"/>
      <c r="D319" s="33" t="n"/>
      <c r="E319" s="33" t="n"/>
      <c r="F319" s="33" t="n"/>
      <c r="G319" s="33" t="n"/>
      <c r="H319" s="33" t="n"/>
      <c r="I319" s="33" t="n"/>
      <c r="J319" s="33" t="n"/>
      <c r="K319" s="33" t="n"/>
      <c r="L319" s="33" t="n"/>
      <c r="M319" s="33" t="n"/>
      <c r="N319" s="33" t="n"/>
      <c r="O319" s="33" t="n"/>
    </row>
    <row r="320">
      <c r="A320" s="34" t="n"/>
      <c r="B320" s="34" t="n"/>
      <c r="C320" s="35" t="inlineStr">
        <is>
          <t>Broad Jump</t>
        </is>
      </c>
      <c r="D320" s="34" t="inlineStr">
        <is>
          <t>2 x 3</t>
        </is>
      </c>
      <c r="E320" s="34" t="n"/>
      <c r="F320" s="34" t="n"/>
      <c r="G320" s="36" t="n"/>
      <c r="H320" s="37">
        <f>IF(N(Maxes!H70)&gt;0,Maxes!H70,"")</f>
        <v/>
      </c>
      <c r="I320" s="34" t="n"/>
      <c r="J320" s="34" t="n"/>
      <c r="K320" s="34" t="n"/>
      <c r="L320" s="34" t="n"/>
      <c r="M320" s="34" t="n"/>
      <c r="N320" s="34" t="n"/>
      <c r="O320" s="38" t="inlineStr">
        <is>
          <t>Standing two-foot jump forward, stick the landing. Measure toe line to the back of the nearest heel.</t>
        </is>
      </c>
    </row>
    <row r="321">
      <c r="C321" t="inlineStr">
        <is>
          <t xml:space="preserve">      Set 1</t>
        </is>
      </c>
      <c r="E321" t="n">
        <v>3</v>
      </c>
      <c r="H321" s="39">
        <f>IF(H320="","",H320)</f>
        <v/>
      </c>
      <c r="I321" s="7">
        <f>IF(H320="","",H320)</f>
        <v/>
      </c>
      <c r="J321" s="7" t="n">
        <v>3</v>
      </c>
      <c r="K321" s="7" t="n"/>
      <c r="L321" s="40" t="n"/>
      <c r="N321" s="41">
        <f>IF(AND(L321&lt;&gt;"",N(I321)&gt;0),IF(I321&gt;=PRs!D70,"PR!",""),"")</f>
        <v/>
      </c>
      <c r="O321" s="7" t="n"/>
    </row>
    <row r="322">
      <c r="C322" t="inlineStr">
        <is>
          <t xml:space="preserve">      Set 2</t>
        </is>
      </c>
      <c r="E322" t="n">
        <v>3</v>
      </c>
      <c r="H322" s="39">
        <f>IF(H320="","",H320)</f>
        <v/>
      </c>
      <c r="I322" s="7">
        <f>IF(H320="","",H320)</f>
        <v/>
      </c>
      <c r="J322" s="7" t="n">
        <v>3</v>
      </c>
      <c r="K322" s="7" t="n"/>
      <c r="L322" s="40" t="n"/>
      <c r="N322" s="41">
        <f>IF(AND(L322&lt;&gt;"",N(I322)&gt;0),IF(I322&gt;=PRs!D70,"PR!",""),"")</f>
        <v/>
      </c>
      <c r="O322" s="7" t="n"/>
    </row>
    <row r="323">
      <c r="A323" s="34" t="n"/>
      <c r="B323" s="34" t="n"/>
      <c r="C323" s="35" t="inlineStr">
        <is>
          <t>Med Ball Chest Pass</t>
        </is>
      </c>
      <c r="D323" s="34" t="inlineStr">
        <is>
          <t>2 x 3</t>
        </is>
      </c>
      <c r="E323" s="34" t="n"/>
      <c r="F323" s="34" t="n"/>
      <c r="G323" s="36" t="n"/>
      <c r="H323" s="37">
        <f>IF(N(Maxes!H77)&gt;0,Maxes!H77,"")</f>
        <v/>
      </c>
      <c r="I323" s="34" t="n"/>
      <c r="J323" s="34" t="n"/>
      <c r="K323" s="34" t="n"/>
      <c r="L323" s="34" t="n"/>
      <c r="M323" s="34" t="n"/>
      <c r="N323" s="34" t="n"/>
      <c r="O323" s="38" t="inlineStr">
        <is>
          <t>Kneeling or standing chest pass for distance with a 6-10 lb / 3-5 kg ball. Log the distance.</t>
        </is>
      </c>
    </row>
    <row r="324">
      <c r="C324" t="inlineStr">
        <is>
          <t xml:space="preserve">      Set 1</t>
        </is>
      </c>
      <c r="E324" t="n">
        <v>3</v>
      </c>
      <c r="H324" s="39">
        <f>IF(H323="","",H323)</f>
        <v/>
      </c>
      <c r="I324" s="7">
        <f>IF(H323="","",H323)</f>
        <v/>
      </c>
      <c r="J324" s="7" t="n">
        <v>3</v>
      </c>
      <c r="K324" s="7" t="n"/>
      <c r="L324" s="40" t="n"/>
      <c r="N324" s="41">
        <f>IF(AND(L324&lt;&gt;"",N(I324)&gt;0),IF(I324&gt;=PRs!D77,"PR!",""),"")</f>
        <v/>
      </c>
      <c r="O324" s="7" t="n"/>
    </row>
    <row r="325">
      <c r="C325" t="inlineStr">
        <is>
          <t xml:space="preserve">      Set 2</t>
        </is>
      </c>
      <c r="E325" t="n">
        <v>3</v>
      </c>
      <c r="H325" s="39">
        <f>IF(H323="","",H323)</f>
        <v/>
      </c>
      <c r="I325" s="7">
        <f>IF(H323="","",H323)</f>
        <v/>
      </c>
      <c r="J325" s="7" t="n">
        <v>3</v>
      </c>
      <c r="K325" s="7" t="n"/>
      <c r="L325" s="40" t="n"/>
      <c r="N325" s="41">
        <f>IF(AND(L325&lt;&gt;"",N(I325)&gt;0),IF(I325&gt;=PRs!D77,"PR!",""),"")</f>
        <v/>
      </c>
      <c r="O325" s="7" t="n"/>
    </row>
    <row r="326">
      <c r="A326" s="34" t="n"/>
      <c r="B326" s="34" t="n"/>
      <c r="C326" s="42" t="inlineStr">
        <is>
          <t>Clean &amp; Jerk</t>
        </is>
      </c>
      <c r="D326" s="34" t="inlineStr">
        <is>
          <t>2 x 2</t>
        </is>
      </c>
      <c r="E326" s="34" t="n"/>
      <c r="F326" s="34" t="n">
        <v>65</v>
      </c>
      <c r="G326" s="36">
        <f>Maxes!H7</f>
        <v/>
      </c>
      <c r="H326" s="37">
        <f>IF(OR(G326="",F326=""),"",MROUND(G326*F326/100,'Start Here'!$B$7))</f>
        <v/>
      </c>
      <c r="I326" s="34" t="n"/>
      <c r="J326" s="34" t="n"/>
      <c r="K326" s="34" t="n"/>
      <c r="L326" s="34" t="n"/>
      <c r="M326" s="34" t="n"/>
      <c r="N326" s="34" t="n"/>
      <c r="O326" s="38" t="inlineStr">
        <is>
          <t>Easy week - move fast, recover</t>
        </is>
      </c>
    </row>
    <row r="327">
      <c r="C327" t="inlineStr">
        <is>
          <t xml:space="preserve">      Set 1</t>
        </is>
      </c>
      <c r="E327" t="n">
        <v>2</v>
      </c>
      <c r="H327" s="39">
        <f>IF(H326="","",H326)</f>
        <v/>
      </c>
      <c r="I327" s="7">
        <f>IF(H326="","",H326)</f>
        <v/>
      </c>
      <c r="J327" s="7" t="n">
        <v>2</v>
      </c>
      <c r="K327" s="7" t="n"/>
      <c r="L327" s="40" t="n"/>
      <c r="M327">
        <f>IF(AND(L327&lt;&gt;"",N(I327)&gt;0,N(J327)&gt;0),IF(J327=1,I327,ROUND(I327*(1+J327/30),1)),"")</f>
        <v/>
      </c>
      <c r="N327" s="41">
        <f>IF(M327="","",IF(M327&gt;=PRs!C7,"PR!",""))</f>
        <v/>
      </c>
      <c r="O327" s="7" t="n"/>
    </row>
    <row r="328">
      <c r="C328" t="inlineStr">
        <is>
          <t xml:space="preserve">      Set 2</t>
        </is>
      </c>
      <c r="E328" t="n">
        <v>2</v>
      </c>
      <c r="H328" s="39">
        <f>IF(H326="","",H326)</f>
        <v/>
      </c>
      <c r="I328" s="7">
        <f>IF(H326="","",H326)</f>
        <v/>
      </c>
      <c r="J328" s="7" t="n">
        <v>2</v>
      </c>
      <c r="K328" s="7" t="n"/>
      <c r="L328" s="40" t="n"/>
      <c r="M328">
        <f>IF(AND(L328&lt;&gt;"",N(I328)&gt;0,N(J328)&gt;0),IF(J328=1,I328,ROUND(I328*(1+J328/30),1)),"")</f>
        <v/>
      </c>
      <c r="N328" s="41">
        <f>IF(M328="","",IF(M328&gt;=PRs!C7,"PR!",""))</f>
        <v/>
      </c>
      <c r="O328" s="7" t="n"/>
    </row>
    <row r="329">
      <c r="A329" s="34" t="n"/>
      <c r="B329" s="34" t="n"/>
      <c r="C329" s="42" t="inlineStr">
        <is>
          <t>Squat</t>
        </is>
      </c>
      <c r="D329" s="34" t="inlineStr">
        <is>
          <t>2 x 5</t>
        </is>
      </c>
      <c r="E329" s="34" t="n"/>
      <c r="F329" s="34" t="n">
        <v>65</v>
      </c>
      <c r="G329" s="36">
        <f>Maxes!H2</f>
        <v/>
      </c>
      <c r="H329" s="37">
        <f>IF(OR(G329="",F329=""),"",MROUND(G329*F329/100,'Start Here'!$B$7))</f>
        <v/>
      </c>
      <c r="I329" s="34" t="n"/>
      <c r="J329" s="34" t="n"/>
      <c r="K329" s="34" t="n"/>
      <c r="L329" s="34" t="n"/>
      <c r="M329" s="34" t="n"/>
      <c r="N329" s="34" t="n"/>
      <c r="O329" s="38" t="inlineStr">
        <is>
          <t>Easy week - move fast, recover</t>
        </is>
      </c>
    </row>
    <row r="330">
      <c r="C330" t="inlineStr">
        <is>
          <t xml:space="preserve">      Set 1</t>
        </is>
      </c>
      <c r="E330" t="n">
        <v>5</v>
      </c>
      <c r="H330" s="39">
        <f>IF(H329="","",H329)</f>
        <v/>
      </c>
      <c r="I330" s="7">
        <f>IF(H329="","",H329)</f>
        <v/>
      </c>
      <c r="J330" s="7" t="n">
        <v>5</v>
      </c>
      <c r="K330" s="7" t="n"/>
      <c r="L330" s="40" t="n"/>
      <c r="M330">
        <f>IF(AND(L330&lt;&gt;"",N(I330)&gt;0,N(J330)&gt;0),IF(J330=1,I330,ROUND(I330*(1+J330/30),1)),"")</f>
        <v/>
      </c>
      <c r="N330" s="41">
        <f>IF(M330="","",IF(M330&gt;=PRs!C2,"PR!",""))</f>
        <v/>
      </c>
      <c r="O330" s="7" t="n"/>
    </row>
    <row r="331">
      <c r="C331" t="inlineStr">
        <is>
          <t xml:space="preserve">      Set 2</t>
        </is>
      </c>
      <c r="E331" t="n">
        <v>5</v>
      </c>
      <c r="H331" s="39">
        <f>IF(H329="","",H329)</f>
        <v/>
      </c>
      <c r="I331" s="7">
        <f>IF(H329="","",H329)</f>
        <v/>
      </c>
      <c r="J331" s="7" t="n">
        <v>5</v>
      </c>
      <c r="K331" s="7" t="n"/>
      <c r="L331" s="40" t="n"/>
      <c r="M331">
        <f>IF(AND(L331&lt;&gt;"",N(I331)&gt;0,N(J331)&gt;0),IF(J331=1,I331,ROUND(I331*(1+J331/30),1)),"")</f>
        <v/>
      </c>
      <c r="N331" s="41">
        <f>IF(M331="","",IF(M331&gt;=PRs!C2,"PR!",""))</f>
        <v/>
      </c>
      <c r="O331" s="7" t="n"/>
    </row>
    <row r="332">
      <c r="A332" s="34" t="n"/>
      <c r="B332" s="34" t="n"/>
      <c r="C332" s="42" t="inlineStr">
        <is>
          <t>Overhead Press</t>
        </is>
      </c>
      <c r="D332" s="34" t="inlineStr">
        <is>
          <t>2 x 5</t>
        </is>
      </c>
      <c r="E332" s="34" t="n"/>
      <c r="F332" s="34" t="n">
        <v>65</v>
      </c>
      <c r="G332" s="36">
        <f>Maxes!H5</f>
        <v/>
      </c>
      <c r="H332" s="37">
        <f>IF(OR(G332="",F332=""),"",MROUND(G332*F332/100,'Start Here'!$B$7))</f>
        <v/>
      </c>
      <c r="I332" s="34" t="n"/>
      <c r="J332" s="34" t="n"/>
      <c r="K332" s="34" t="n"/>
      <c r="L332" s="34" t="n"/>
      <c r="M332" s="34" t="n"/>
      <c r="N332" s="34" t="n"/>
      <c r="O332" s="38" t="inlineStr">
        <is>
          <t>Easy week - move fast, recover</t>
        </is>
      </c>
    </row>
    <row r="333">
      <c r="C333" t="inlineStr">
        <is>
          <t xml:space="preserve">      Set 1</t>
        </is>
      </c>
      <c r="E333" t="n">
        <v>5</v>
      </c>
      <c r="H333" s="39">
        <f>IF(H332="","",H332)</f>
        <v/>
      </c>
      <c r="I333" s="7">
        <f>IF(H332="","",H332)</f>
        <v/>
      </c>
      <c r="J333" s="7" t="n">
        <v>5</v>
      </c>
      <c r="K333" s="7" t="n"/>
      <c r="L333" s="40" t="n"/>
      <c r="M333">
        <f>IF(AND(L333&lt;&gt;"",N(I333)&gt;0,N(J333)&gt;0),IF(J333=1,I333,ROUND(I333*(1+J333/30),1)),"")</f>
        <v/>
      </c>
      <c r="N333" s="41">
        <f>IF(M333="","",IF(M333&gt;=PRs!C5,"PR!",""))</f>
        <v/>
      </c>
      <c r="O333" s="7" t="n"/>
    </row>
    <row r="334">
      <c r="C334" t="inlineStr">
        <is>
          <t xml:space="preserve">      Set 2</t>
        </is>
      </c>
      <c r="E334" t="n">
        <v>5</v>
      </c>
      <c r="H334" s="39">
        <f>IF(H332="","",H332)</f>
        <v/>
      </c>
      <c r="I334" s="7">
        <f>IF(H332="","",H332)</f>
        <v/>
      </c>
      <c r="J334" s="7" t="n">
        <v>5</v>
      </c>
      <c r="K334" s="7" t="n"/>
      <c r="L334" s="40" t="n"/>
      <c r="M334">
        <f>IF(AND(L334&lt;&gt;"",N(I334)&gt;0,N(J334)&gt;0),IF(J334=1,I334,ROUND(I334*(1+J334/30),1)),"")</f>
        <v/>
      </c>
      <c r="N334" s="41">
        <f>IF(M334="","",IF(M334&gt;=PRs!C5,"PR!",""))</f>
        <v/>
      </c>
      <c r="O334" s="7" t="n"/>
    </row>
    <row r="335">
      <c r="A335" s="34" t="n"/>
      <c r="B335" s="34" t="n"/>
      <c r="C335" s="42" t="inlineStr">
        <is>
          <t>Deadlift</t>
        </is>
      </c>
      <c r="D335" s="34" t="inlineStr">
        <is>
          <t>2 x 5</t>
        </is>
      </c>
      <c r="E335" s="34" t="n"/>
      <c r="F335" s="34" t="n">
        <v>65</v>
      </c>
      <c r="G335" s="36">
        <f>Maxes!H4</f>
        <v/>
      </c>
      <c r="H335" s="37">
        <f>IF(OR(G335="",F335=""),"",MROUND(G335*F335/100,'Start Here'!$B$7))</f>
        <v/>
      </c>
      <c r="I335" s="34" t="n"/>
      <c r="J335" s="34" t="n"/>
      <c r="K335" s="34" t="n"/>
      <c r="L335" s="34" t="n"/>
      <c r="M335" s="34" t="n"/>
      <c r="N335" s="34" t="n"/>
      <c r="O335" s="38" t="inlineStr">
        <is>
          <t>Easy week - move fast, recover</t>
        </is>
      </c>
    </row>
    <row r="336">
      <c r="C336" t="inlineStr">
        <is>
          <t xml:space="preserve">      Set 1</t>
        </is>
      </c>
      <c r="E336" t="n">
        <v>5</v>
      </c>
      <c r="H336" s="39">
        <f>IF(H335="","",H335)</f>
        <v/>
      </c>
      <c r="I336" s="7">
        <f>IF(H335="","",H335)</f>
        <v/>
      </c>
      <c r="J336" s="7" t="n">
        <v>5</v>
      </c>
      <c r="K336" s="7" t="n"/>
      <c r="L336" s="40" t="n"/>
      <c r="M336">
        <f>IF(AND(L336&lt;&gt;"",N(I336)&gt;0,N(J336)&gt;0),IF(J336=1,I336,ROUND(I336*(1+J336/30),1)),"")</f>
        <v/>
      </c>
      <c r="N336" s="41">
        <f>IF(M336="","",IF(M336&gt;=PRs!C4,"PR!",""))</f>
        <v/>
      </c>
      <c r="O336" s="7" t="n"/>
    </row>
    <row r="337">
      <c r="C337" t="inlineStr">
        <is>
          <t xml:space="preserve">      Set 2</t>
        </is>
      </c>
      <c r="E337" t="n">
        <v>5</v>
      </c>
      <c r="H337" s="39">
        <f>IF(H335="","",H335)</f>
        <v/>
      </c>
      <c r="I337" s="7">
        <f>IF(H335="","",H335)</f>
        <v/>
      </c>
      <c r="J337" s="7" t="n">
        <v>5</v>
      </c>
      <c r="K337" s="7" t="n"/>
      <c r="L337" s="40" t="n"/>
      <c r="M337">
        <f>IF(AND(L337&lt;&gt;"",N(I337)&gt;0,N(J337)&gt;0),IF(J337=1,I337,ROUND(I337*(1+J337/30),1)),"")</f>
        <v/>
      </c>
      <c r="N337" s="41">
        <f>IF(M337="","",IF(M337&gt;=PRs!C4,"PR!",""))</f>
        <v/>
      </c>
      <c r="O337" s="7" t="n"/>
    </row>
    <row r="338">
      <c r="A338" s="34" t="n"/>
      <c r="B338" s="34" t="n"/>
      <c r="C338" s="43" t="inlineStr">
        <is>
          <t>Chin-up</t>
        </is>
      </c>
      <c r="D338" s="34" t="inlineStr">
        <is>
          <t>2 x 6-10</t>
        </is>
      </c>
      <c r="E338" s="34" t="n"/>
      <c r="F338" s="34" t="n"/>
      <c r="G338" s="36" t="n"/>
      <c r="H338" s="37" t="n"/>
      <c r="I338" s="34" t="n"/>
      <c r="J338" s="34" t="n"/>
      <c r="K338" s="34" t="n"/>
      <c r="L338" s="34" t="n"/>
      <c r="M338" s="34" t="n"/>
      <c r="N338" s="34" t="n"/>
      <c r="O338" s="38" t="inlineStr">
        <is>
          <t>Easy - stop well short of failure</t>
        </is>
      </c>
    </row>
    <row r="339">
      <c r="C339" t="inlineStr">
        <is>
          <t xml:space="preserve">      Set 1</t>
        </is>
      </c>
      <c r="E339" t="n">
        <v>6</v>
      </c>
      <c r="H339" s="39">
        <f>IF(H338="","",H338)</f>
        <v/>
      </c>
      <c r="I339" s="7">
        <f>IF(H338="","",H338)</f>
        <v/>
      </c>
      <c r="J339" s="7" t="n">
        <v>6</v>
      </c>
      <c r="K339" s="7" t="n"/>
      <c r="L339" s="40" t="n"/>
      <c r="M339">
        <f>IF(AND(L339&lt;&gt;"",N(I339)&gt;0,N(J339)&gt;0),IF(J339=1,I339,ROUND(I339*(1+J339/30),1)),"")</f>
        <v/>
      </c>
      <c r="N339" s="41">
        <f>IF(M339="","",IF(M339&gt;=PRs!C53,"PR!",""))</f>
        <v/>
      </c>
      <c r="O339" s="7" t="n"/>
    </row>
    <row r="340">
      <c r="C340" t="inlineStr">
        <is>
          <t xml:space="preserve">      Set 2</t>
        </is>
      </c>
      <c r="E340" t="n">
        <v>6</v>
      </c>
      <c r="H340" s="39">
        <f>IF(H338="","",H338)</f>
        <v/>
      </c>
      <c r="I340" s="7">
        <f>IF(H338="","",H338)</f>
        <v/>
      </c>
      <c r="J340" s="7" t="n">
        <v>6</v>
      </c>
      <c r="K340" s="7" t="n"/>
      <c r="L340" s="40" t="n"/>
      <c r="M340">
        <f>IF(AND(L340&lt;&gt;"",N(I340)&gt;0,N(J340)&gt;0),IF(J340=1,I340,ROUND(I340*(1+J340/30),1)),"")</f>
        <v/>
      </c>
      <c r="N340" s="41">
        <f>IF(M340="","",IF(M340&gt;=PRs!C53,"PR!",""))</f>
        <v/>
      </c>
      <c r="O340" s="7" t="n"/>
    </row>
    <row r="341">
      <c r="A341" s="34" t="n"/>
      <c r="B341" s="34" t="n"/>
      <c r="C341" s="43" t="inlineStr">
        <is>
          <t>Plank</t>
        </is>
      </c>
      <c r="D341" s="34" t="inlineStr">
        <is>
          <t>2 x 30-60s</t>
        </is>
      </c>
      <c r="E341" s="34" t="n"/>
      <c r="F341" s="34" t="n"/>
      <c r="G341" s="36" t="n"/>
      <c r="H341" s="37" t="n"/>
      <c r="I341" s="34" t="n"/>
      <c r="J341" s="34" t="n"/>
      <c r="K341" s="34" t="n"/>
      <c r="L341" s="34" t="n"/>
      <c r="M341" s="34" t="n"/>
      <c r="N341" s="34" t="n"/>
      <c r="O341" s="38" t="inlineStr">
        <is>
          <t>Easy - stop well short of failure</t>
        </is>
      </c>
    </row>
    <row r="342">
      <c r="C342" t="inlineStr">
        <is>
          <t xml:space="preserve">      Set 1</t>
        </is>
      </c>
      <c r="E342" t="n">
        <v>30</v>
      </c>
      <c r="H342" s="39">
        <f>IF(H341="","",H341)</f>
        <v/>
      </c>
      <c r="I342" s="7">
        <f>IF(H341="","",H341)</f>
        <v/>
      </c>
      <c r="J342" s="7" t="n">
        <v>30</v>
      </c>
      <c r="K342" s="7" t="n"/>
      <c r="L342" s="40" t="n"/>
      <c r="M342">
        <f>IF(AND(L342&lt;&gt;"",N(I342)&gt;0,N(J342)&gt;0),IF(J342=1,I342,ROUND(I342*(1+J342/30),1)),"")</f>
        <v/>
      </c>
      <c r="N342" s="41">
        <f>IF(M342="","",IF(M342&gt;=PRs!C56,"PR!",""))</f>
        <v/>
      </c>
      <c r="O342" s="7" t="n"/>
    </row>
    <row r="343">
      <c r="C343" t="inlineStr">
        <is>
          <t xml:space="preserve">      Set 2</t>
        </is>
      </c>
      <c r="E343" t="n">
        <v>30</v>
      </c>
      <c r="H343" s="39">
        <f>IF(H341="","",H341)</f>
        <v/>
      </c>
      <c r="I343" s="7">
        <f>IF(H341="","",H341)</f>
        <v/>
      </c>
      <c r="J343" s="7" t="n">
        <v>30</v>
      </c>
      <c r="K343" s="7" t="n"/>
      <c r="L343" s="40" t="n"/>
      <c r="M343">
        <f>IF(AND(L343&lt;&gt;"",N(I343)&gt;0,N(J343)&gt;0),IF(J343=1,I343,ROUND(I343*(1+J343/30),1)),"")</f>
        <v/>
      </c>
      <c r="N343" s="41">
        <f>IF(M343="","",IF(M343&gt;=PRs!C56,"PR!",""))</f>
        <v/>
      </c>
      <c r="O343" s="7" t="n"/>
    </row>
    <row r="344">
      <c r="A344" s="31" t="inlineStr">
        <is>
          <t>Day 3 - Variations</t>
        </is>
      </c>
      <c r="B344" s="32">
        <f>'Start Here'!$B$8+305</f>
        <v/>
      </c>
      <c r="C344" s="33" t="n"/>
      <c r="D344" s="33" t="n"/>
      <c r="E344" s="33" t="n"/>
      <c r="F344" s="33" t="n"/>
      <c r="G344" s="33" t="n"/>
      <c r="H344" s="33" t="n"/>
      <c r="I344" s="33" t="n"/>
      <c r="J344" s="33" t="n"/>
      <c r="K344" s="33" t="n"/>
      <c r="L344" s="33" t="n"/>
      <c r="M344" s="33" t="n"/>
      <c r="N344" s="33" t="n"/>
      <c r="O344" s="33" t="n"/>
    </row>
    <row r="345">
      <c r="A345" s="34" t="n"/>
      <c r="B345" s="34" t="n"/>
      <c r="C345" s="35" t="inlineStr">
        <is>
          <t>Plyo Push-up</t>
        </is>
      </c>
      <c r="D345" s="34" t="inlineStr">
        <is>
          <t>2 x 3</t>
        </is>
      </c>
      <c r="E345" s="34" t="n"/>
      <c r="F345" s="34" t="n"/>
      <c r="G345" s="36" t="n"/>
      <c r="H345" s="37">
        <f>IF(N(Maxes!H75)&gt;0,Maxes!H75,"")</f>
        <v/>
      </c>
      <c r="I345" s="34" t="n"/>
      <c r="J345" s="34" t="n"/>
      <c r="K345" s="34" t="n"/>
      <c r="L345" s="34" t="n"/>
      <c r="M345" s="34" t="n"/>
      <c r="N345" s="34" t="n"/>
      <c r="O345" s="38" t="inlineStr">
        <is>
          <t>Explosive push-up so the hands leave the floor. Log reps (distance/height = 1).</t>
        </is>
      </c>
    </row>
    <row r="346">
      <c r="C346" t="inlineStr">
        <is>
          <t xml:space="preserve">      Set 1</t>
        </is>
      </c>
      <c r="E346" t="n">
        <v>3</v>
      </c>
      <c r="H346" s="39">
        <f>IF(H345="","",H345)</f>
        <v/>
      </c>
      <c r="I346" s="7">
        <f>IF(H345="","",H345)</f>
        <v/>
      </c>
      <c r="J346" s="7" t="n">
        <v>3</v>
      </c>
      <c r="K346" s="7" t="n"/>
      <c r="L346" s="40" t="n"/>
      <c r="N346" s="41">
        <f>IF(AND(L346&lt;&gt;"",N(I346)&gt;0),IF(I346&gt;=PRs!D75,"PR!",""),"")</f>
        <v/>
      </c>
      <c r="O346" s="7" t="n"/>
    </row>
    <row r="347">
      <c r="C347" t="inlineStr">
        <is>
          <t xml:space="preserve">      Set 2</t>
        </is>
      </c>
      <c r="E347" t="n">
        <v>3</v>
      </c>
      <c r="H347" s="39">
        <f>IF(H345="","",H345)</f>
        <v/>
      </c>
      <c r="I347" s="7">
        <f>IF(H345="","",H345)</f>
        <v/>
      </c>
      <c r="J347" s="7" t="n">
        <v>3</v>
      </c>
      <c r="K347" s="7" t="n"/>
      <c r="L347" s="40" t="n"/>
      <c r="N347" s="41">
        <f>IF(AND(L347&lt;&gt;"",N(I347)&gt;0),IF(I347&gt;=PRs!D75,"PR!",""),"")</f>
        <v/>
      </c>
      <c r="O347" s="7" t="n"/>
    </row>
    <row r="348">
      <c r="A348" s="34" t="n"/>
      <c r="B348" s="34" t="n"/>
      <c r="C348" s="42" t="inlineStr">
        <is>
          <t>Hang Snatch</t>
        </is>
      </c>
      <c r="D348" s="34" t="inlineStr">
        <is>
          <t>2 x 2</t>
        </is>
      </c>
      <c r="E348" s="34" t="n"/>
      <c r="F348" s="34" t="n">
        <v>65</v>
      </c>
      <c r="G348" s="36">
        <f>Maxes!H35</f>
        <v/>
      </c>
      <c r="H348" s="37">
        <f>IF(OR(G348="",F348=""),"",MROUND(G348*F348/100,'Start Here'!$B$7))</f>
        <v/>
      </c>
      <c r="I348" s="34" t="n"/>
      <c r="J348" s="34" t="n"/>
      <c r="K348" s="34" t="n"/>
      <c r="L348" s="34" t="n"/>
      <c r="M348" s="34" t="n"/>
      <c r="N348" s="34" t="n"/>
      <c r="O348" s="38" t="inlineStr">
        <is>
          <t>Easy week - move fast, recover</t>
        </is>
      </c>
    </row>
    <row r="349">
      <c r="C349" t="inlineStr">
        <is>
          <t xml:space="preserve">      Set 1</t>
        </is>
      </c>
      <c r="E349" t="n">
        <v>2</v>
      </c>
      <c r="H349" s="39">
        <f>IF(H348="","",H348)</f>
        <v/>
      </c>
      <c r="I349" s="7">
        <f>IF(H348="","",H348)</f>
        <v/>
      </c>
      <c r="J349" s="7" t="n">
        <v>2</v>
      </c>
      <c r="K349" s="7" t="n"/>
      <c r="L349" s="40" t="n"/>
      <c r="M349">
        <f>IF(AND(L349&lt;&gt;"",N(I349)&gt;0,N(J349)&gt;0),IF(J349=1,I349,ROUND(I349*(1+J349/30),1)),"")</f>
        <v/>
      </c>
      <c r="N349" s="41">
        <f>IF(M349="","",IF(M349&gt;=PRs!C35,"PR!",""))</f>
        <v/>
      </c>
      <c r="O349" s="7" t="n"/>
    </row>
    <row r="350">
      <c r="C350" t="inlineStr">
        <is>
          <t xml:space="preserve">      Set 2</t>
        </is>
      </c>
      <c r="E350" t="n">
        <v>2</v>
      </c>
      <c r="H350" s="39">
        <f>IF(H348="","",H348)</f>
        <v/>
      </c>
      <c r="I350" s="7">
        <f>IF(H348="","",H348)</f>
        <v/>
      </c>
      <c r="J350" s="7" t="n">
        <v>2</v>
      </c>
      <c r="K350" s="7" t="n"/>
      <c r="L350" s="40" t="n"/>
      <c r="M350">
        <f>IF(AND(L350&lt;&gt;"",N(I350)&gt;0,N(J350)&gt;0),IF(J350=1,I350,ROUND(I350*(1+J350/30),1)),"")</f>
        <v/>
      </c>
      <c r="N350" s="41">
        <f>IF(M350="","",IF(M350&gt;=PRs!C35,"PR!",""))</f>
        <v/>
      </c>
      <c r="O350" s="7" t="n"/>
    </row>
    <row r="351">
      <c r="A351" s="34" t="n"/>
      <c r="B351" s="34" t="n"/>
      <c r="C351" s="42" t="inlineStr">
        <is>
          <t>Box Squat</t>
        </is>
      </c>
      <c r="D351" s="34" t="inlineStr">
        <is>
          <t>2 x 5</t>
        </is>
      </c>
      <c r="E351" s="34" t="n"/>
      <c r="F351" s="34" t="n">
        <v>65</v>
      </c>
      <c r="G351" s="36">
        <f>Maxes!H8</f>
        <v/>
      </c>
      <c r="H351" s="37">
        <f>IF(OR(G351="",F351=""),"",MROUND(G351*F351/100,'Start Here'!$B$7))</f>
        <v/>
      </c>
      <c r="I351" s="34" t="n"/>
      <c r="J351" s="34" t="n"/>
      <c r="K351" s="34" t="n"/>
      <c r="L351" s="34" t="n"/>
      <c r="M351" s="34" t="n"/>
      <c r="N351" s="34" t="n"/>
      <c r="O351" s="38" t="inlineStr">
        <is>
          <t>Easy week - move fast, recover</t>
        </is>
      </c>
    </row>
    <row r="352">
      <c r="C352" t="inlineStr">
        <is>
          <t xml:space="preserve">      Set 1</t>
        </is>
      </c>
      <c r="E352" t="n">
        <v>5</v>
      </c>
      <c r="H352" s="39">
        <f>IF(H351="","",H351)</f>
        <v/>
      </c>
      <c r="I352" s="7">
        <f>IF(H351="","",H351)</f>
        <v/>
      </c>
      <c r="J352" s="7" t="n">
        <v>5</v>
      </c>
      <c r="K352" s="7" t="n"/>
      <c r="L352" s="40" t="n"/>
      <c r="M352">
        <f>IF(AND(L352&lt;&gt;"",N(I352)&gt;0,N(J352)&gt;0),IF(J352=1,I352,ROUND(I352*(1+J352/30),1)),"")</f>
        <v/>
      </c>
      <c r="N352" s="41">
        <f>IF(M352="","",IF(M352&gt;=PRs!C8,"PR!",""))</f>
        <v/>
      </c>
      <c r="O352" s="7" t="n"/>
    </row>
    <row r="353">
      <c r="C353" t="inlineStr">
        <is>
          <t xml:space="preserve">      Set 2</t>
        </is>
      </c>
      <c r="E353" t="n">
        <v>5</v>
      </c>
      <c r="H353" s="39">
        <f>IF(H351="","",H351)</f>
        <v/>
      </c>
      <c r="I353" s="7">
        <f>IF(H351="","",H351)</f>
        <v/>
      </c>
      <c r="J353" s="7" t="n">
        <v>5</v>
      </c>
      <c r="K353" s="7" t="n"/>
      <c r="L353" s="40" t="n"/>
      <c r="M353">
        <f>IF(AND(L353&lt;&gt;"",N(I353)&gt;0,N(J353)&gt;0),IF(J353=1,I353,ROUND(I353*(1+J353/30),1)),"")</f>
        <v/>
      </c>
      <c r="N353" s="41">
        <f>IF(M353="","",IF(M353&gt;=PRs!C8,"PR!",""))</f>
        <v/>
      </c>
      <c r="O353" s="7" t="n"/>
    </row>
    <row r="354">
      <c r="A354" s="34" t="n"/>
      <c r="B354" s="34" t="n"/>
      <c r="C354" s="42" t="inlineStr">
        <is>
          <t>1-Board Press</t>
        </is>
      </c>
      <c r="D354" s="34" t="inlineStr">
        <is>
          <t>2 x 5</t>
        </is>
      </c>
      <c r="E354" s="34" t="n"/>
      <c r="F354" s="34" t="n">
        <v>65</v>
      </c>
      <c r="G354" s="36">
        <f>Maxes!H15</f>
        <v/>
      </c>
      <c r="H354" s="37">
        <f>IF(OR(G354="",F354=""),"",MROUND(G354*F354/100,'Start Here'!$B$7))</f>
        <v/>
      </c>
      <c r="I354" s="34" t="n"/>
      <c r="J354" s="34" t="n"/>
      <c r="K354" s="34" t="n"/>
      <c r="L354" s="34" t="n"/>
      <c r="M354" s="34" t="n"/>
      <c r="N354" s="34" t="n"/>
      <c r="O354" s="38" t="inlineStr">
        <is>
          <t>Easy week - move fast, recover</t>
        </is>
      </c>
    </row>
    <row r="355">
      <c r="C355" t="inlineStr">
        <is>
          <t xml:space="preserve">      Set 1</t>
        </is>
      </c>
      <c r="E355" t="n">
        <v>5</v>
      </c>
      <c r="H355" s="39">
        <f>IF(H354="","",H354)</f>
        <v/>
      </c>
      <c r="I355" s="7">
        <f>IF(H354="","",H354)</f>
        <v/>
      </c>
      <c r="J355" s="7" t="n">
        <v>5</v>
      </c>
      <c r="K355" s="7" t="n"/>
      <c r="L355" s="40" t="n"/>
      <c r="M355">
        <f>IF(AND(L355&lt;&gt;"",N(I355)&gt;0,N(J355)&gt;0),IF(J355=1,I355,ROUND(I355*(1+J355/30),1)),"")</f>
        <v/>
      </c>
      <c r="N355" s="41">
        <f>IF(M355="","",IF(M355&gt;=PRs!C15,"PR!",""))</f>
        <v/>
      </c>
      <c r="O355" s="7" t="n"/>
    </row>
    <row r="356">
      <c r="C356" t="inlineStr">
        <is>
          <t xml:space="preserve">      Set 2</t>
        </is>
      </c>
      <c r="E356" t="n">
        <v>5</v>
      </c>
      <c r="H356" s="39">
        <f>IF(H354="","",H354)</f>
        <v/>
      </c>
      <c r="I356" s="7">
        <f>IF(H354="","",H354)</f>
        <v/>
      </c>
      <c r="J356" s="7" t="n">
        <v>5</v>
      </c>
      <c r="K356" s="7" t="n"/>
      <c r="L356" s="40" t="n"/>
      <c r="M356">
        <f>IF(AND(L356&lt;&gt;"",N(I356)&gt;0,N(J356)&gt;0),IF(J356=1,I356,ROUND(I356*(1+J356/30),1)),"")</f>
        <v/>
      </c>
      <c r="N356" s="41">
        <f>IF(M356="","",IF(M356&gt;=PRs!C15,"PR!",""))</f>
        <v/>
      </c>
      <c r="O356" s="7" t="n"/>
    </row>
    <row r="357">
      <c r="A357" s="34" t="n"/>
      <c r="B357" s="34" t="n"/>
      <c r="C357" s="42" t="inlineStr">
        <is>
          <t>Paused Deadlift</t>
        </is>
      </c>
      <c r="D357" s="34" t="inlineStr">
        <is>
          <t>2 x 5</t>
        </is>
      </c>
      <c r="E357" s="34" t="n"/>
      <c r="F357" s="34" t="n">
        <v>65</v>
      </c>
      <c r="G357" s="36">
        <f>Maxes!H25</f>
        <v/>
      </c>
      <c r="H357" s="37">
        <f>IF(OR(G357="",F357=""),"",MROUND(G357*F357/100,'Start Here'!$B$7))</f>
        <v/>
      </c>
      <c r="I357" s="34" t="n"/>
      <c r="J357" s="34" t="n"/>
      <c r="K357" s="34" t="n"/>
      <c r="L357" s="34" t="n"/>
      <c r="M357" s="34" t="n"/>
      <c r="N357" s="34" t="n"/>
      <c r="O357" s="38" t="inlineStr">
        <is>
          <t>Easy week - move fast, recover</t>
        </is>
      </c>
    </row>
    <row r="358">
      <c r="C358" t="inlineStr">
        <is>
          <t xml:space="preserve">      Set 1</t>
        </is>
      </c>
      <c r="E358" t="n">
        <v>5</v>
      </c>
      <c r="H358" s="39">
        <f>IF(H357="","",H357)</f>
        <v/>
      </c>
      <c r="I358" s="7">
        <f>IF(H357="","",H357)</f>
        <v/>
      </c>
      <c r="J358" s="7" t="n">
        <v>5</v>
      </c>
      <c r="K358" s="7" t="n"/>
      <c r="L358" s="40" t="n"/>
      <c r="M358">
        <f>IF(AND(L358&lt;&gt;"",N(I358)&gt;0,N(J358)&gt;0),IF(J358=1,I358,ROUND(I358*(1+J358/30),1)),"")</f>
        <v/>
      </c>
      <c r="N358" s="41">
        <f>IF(M358="","",IF(M358&gt;=PRs!C25,"PR!",""))</f>
        <v/>
      </c>
      <c r="O358" s="7" t="n"/>
    </row>
    <row r="359">
      <c r="C359" t="inlineStr">
        <is>
          <t xml:space="preserve">      Set 2</t>
        </is>
      </c>
      <c r="E359" t="n">
        <v>5</v>
      </c>
      <c r="H359" s="39">
        <f>IF(H357="","",H357)</f>
        <v/>
      </c>
      <c r="I359" s="7">
        <f>IF(H357="","",H357)</f>
        <v/>
      </c>
      <c r="J359" s="7" t="n">
        <v>5</v>
      </c>
      <c r="K359" s="7" t="n"/>
      <c r="L359" s="40" t="n"/>
      <c r="M359">
        <f>IF(AND(L359&lt;&gt;"",N(I359)&gt;0,N(J359)&gt;0),IF(J359=1,I359,ROUND(I359*(1+J359/30),1)),"")</f>
        <v/>
      </c>
      <c r="N359" s="41">
        <f>IF(M359="","",IF(M359&gt;=PRs!C25,"PR!",""))</f>
        <v/>
      </c>
      <c r="O359" s="7" t="n"/>
    </row>
    <row r="360">
      <c r="A360" s="34" t="n"/>
      <c r="B360" s="34" t="n"/>
      <c r="C360" s="43" t="inlineStr">
        <is>
          <t>Incline Dumbbell Press</t>
        </is>
      </c>
      <c r="D360" s="34" t="inlineStr">
        <is>
          <t>2 x 8-12</t>
        </is>
      </c>
      <c r="E360" s="34" t="n"/>
      <c r="F360" s="34" t="n"/>
      <c r="G360" s="36" t="n"/>
      <c r="H360" s="37" t="n"/>
      <c r="I360" s="34" t="n"/>
      <c r="J360" s="34" t="n"/>
      <c r="K360" s="34" t="n"/>
      <c r="L360" s="34" t="n"/>
      <c r="M360" s="34" t="n"/>
      <c r="N360" s="34" t="n"/>
      <c r="O360" s="38" t="inlineStr">
        <is>
          <t>Easy - stop well short of failure</t>
        </is>
      </c>
    </row>
    <row r="361">
      <c r="C361" t="inlineStr">
        <is>
          <t xml:space="preserve">      Set 1</t>
        </is>
      </c>
      <c r="E361" t="n">
        <v>8</v>
      </c>
      <c r="H361" s="39">
        <f>IF(H360="","",H360)</f>
        <v/>
      </c>
      <c r="I361" s="7">
        <f>IF(H360="","",H360)</f>
        <v/>
      </c>
      <c r="J361" s="7" t="n">
        <v>8</v>
      </c>
      <c r="K361" s="7" t="n"/>
      <c r="L361" s="40" t="n"/>
      <c r="M361">
        <f>IF(AND(L361&lt;&gt;"",N(I361)&gt;0,N(J361)&gt;0),IF(J361=1,I361,ROUND(I361*(1+J361/30),1)),"")</f>
        <v/>
      </c>
      <c r="N361" s="41">
        <f>IF(M361="","",IF(M361&gt;=PRs!C57,"PR!",""))</f>
        <v/>
      </c>
      <c r="O361" s="7" t="n"/>
    </row>
    <row r="362">
      <c r="C362" t="inlineStr">
        <is>
          <t xml:space="preserve">      Set 2</t>
        </is>
      </c>
      <c r="E362" t="n">
        <v>8</v>
      </c>
      <c r="H362" s="39">
        <f>IF(H360="","",H360)</f>
        <v/>
      </c>
      <c r="I362" s="7">
        <f>IF(H360="","",H360)</f>
        <v/>
      </c>
      <c r="J362" s="7" t="n">
        <v>8</v>
      </c>
      <c r="K362" s="7" t="n"/>
      <c r="L362" s="40" t="n"/>
      <c r="M362">
        <f>IF(AND(L362&lt;&gt;"",N(I362)&gt;0,N(J362)&gt;0),IF(J362=1,I362,ROUND(I362*(1+J362/30),1)),"")</f>
        <v/>
      </c>
      <c r="N362" s="41">
        <f>IF(M362="","",IF(M362&gt;=PRs!C57,"PR!",""))</f>
        <v/>
      </c>
      <c r="O362" s="7" t="n"/>
    </row>
    <row r="363">
      <c r="A363" s="34" t="n"/>
      <c r="B363" s="34" t="n"/>
      <c r="C363" s="43" t="inlineStr">
        <is>
          <t>Triceps Pushdown</t>
        </is>
      </c>
      <c r="D363" s="34" t="inlineStr">
        <is>
          <t>2 x 10-15</t>
        </is>
      </c>
      <c r="E363" s="34" t="n"/>
      <c r="F363" s="34" t="n"/>
      <c r="G363" s="36" t="n"/>
      <c r="H363" s="37" t="n"/>
      <c r="I363" s="34" t="n"/>
      <c r="J363" s="34" t="n"/>
      <c r="K363" s="34" t="n"/>
      <c r="L363" s="34" t="n"/>
      <c r="M363" s="34" t="n"/>
      <c r="N363" s="34" t="n"/>
      <c r="O363" s="38" t="inlineStr">
        <is>
          <t>Easy - stop well short of failure</t>
        </is>
      </c>
    </row>
    <row r="364">
      <c r="C364" t="inlineStr">
        <is>
          <t xml:space="preserve">      Set 1</t>
        </is>
      </c>
      <c r="E364" t="n">
        <v>10</v>
      </c>
      <c r="H364" s="39">
        <f>IF(H363="","",H363)</f>
        <v/>
      </c>
      <c r="I364" s="7">
        <f>IF(H363="","",H363)</f>
        <v/>
      </c>
      <c r="J364" s="7" t="n">
        <v>10</v>
      </c>
      <c r="K364" s="7" t="n"/>
      <c r="L364" s="40" t="n"/>
      <c r="M364">
        <f>IF(AND(L364&lt;&gt;"",N(I364)&gt;0,N(J364)&gt;0),IF(J364=1,I364,ROUND(I364*(1+J364/30),1)),"")</f>
        <v/>
      </c>
      <c r="N364" s="41">
        <f>IF(M364="","",IF(M364&gt;=PRs!C59,"PR!",""))</f>
        <v/>
      </c>
      <c r="O364" s="7" t="n"/>
    </row>
    <row r="365">
      <c r="C365" t="inlineStr">
        <is>
          <t xml:space="preserve">      Set 2</t>
        </is>
      </c>
      <c r="E365" t="n">
        <v>10</v>
      </c>
      <c r="H365" s="39">
        <f>IF(H363="","",H363)</f>
        <v/>
      </c>
      <c r="I365" s="7">
        <f>IF(H363="","",H363)</f>
        <v/>
      </c>
      <c r="J365" s="7" t="n">
        <v>10</v>
      </c>
      <c r="K365" s="7" t="n"/>
      <c r="L365" s="40" t="n"/>
      <c r="M365">
        <f>IF(AND(L365&lt;&gt;"",N(I365)&gt;0,N(J365)&gt;0),IF(J365=1,I365,ROUND(I365*(1+J365/30),1)),"")</f>
        <v/>
      </c>
      <c r="N365" s="41">
        <f>IF(M365="","",IF(M365&gt;=PRs!C59,"PR!",""))</f>
        <v/>
      </c>
      <c r="O365" s="7" t="n"/>
    </row>
  </sheetData>
  <dataValidations count="3">
    <dataValidation sqref="H3" showDropDown="0" showInputMessage="0" showErrorMessage="0" allowBlank="1" type="list">
      <formula1>Lists!$B$1:$B$6</formula1>
    </dataValidation>
    <dataValidation sqref="L9 L10 L11 L12 L14 L15 L16 L17 L19 L20 L21 L23 L24 L25 L27 L28 L29 L31 L32 L33 L36 L37 L38 L39 L41 L42 L43 L45 L46 L47 L48 L50 L51 L52 L54 L55 L56 L58 L59 L60 L62 L63 L64 L66 L67 L68 L71 L72 L73 L74 L76 L77 L78 L79 L81 L82 L83 L85 L86 L87 L89 L90 L91 L93 L94 L95 L97 L98 L99 L104 L105 L106 L107 L109 L110 L111 L112 L113 L115 L116 L117 L118 L120 L121 L122 L123 L125 L126 L127 L129 L130 L131 L134 L135 L136 L137 L139 L140 L141 L143 L144 L145 L146 L147 L149 L150 L151 L153 L154 L155 L157 L158 L159 L161 L162 L163 L165 L166 L167 L170 L171 L172 L173 L175 L176 L177 L178 L180 L181 L182 L184 L185 L186 L188 L189 L190 L192 L193 L194 L196 L197 L198 L203 L204 L205 L206 L208 L209 L210 L211 L212 L214 L215 L216 L217 L219 L220 L221 L222 L224 L225 L226 L228 L229 L230 L233 L234 L235 L236 L238 L239 L240 L242 L243 L244 L245 L246 L248 L249 L250 L252 L253 L254 L256 L257 L258 L260 L261 L262 L264 L265 L266 L269 L270 L271 L272 L274 L275 L276 L277 L279 L280 L281 L283 L284 L285 L287 L288 L289 L291 L292 L293 L295 L296 L297 L302 L303 L305 L306 L308 L309 L311 L312 L314 L315 L317 L318 L321 L322 L324 L325 L327 L328 L330 L331 L333 L334 L336 L337 L339 L340 L342 L343 L346 L347 L349 L350 L352 L353 L355 L356 L358 L359 L361 L362 L364 L365" showDropDown="0" showInputMessage="0" showErrorMessage="0" allowBlank="1" type="list">
      <formula1>"✓"</formula1>
    </dataValidation>
    <dataValidation sqref="K9 K10 K11 K12 K14 K15 K16 K17 K19 K20 K21 K23 K24 K25 K27 K28 K29 K31 K32 K33 K36 K37 K38 K39 K41 K42 K43 K45 K46 K47 K48 K50 K51 K52 K54 K55 K56 K58 K59 K60 K62 K63 K64 K66 K67 K68 K71 K72 K73 K74 K76 K77 K78 K79 K81 K82 K83 K85 K86 K87 K89 K90 K91 K93 K94 K95 K97 K98 K99 K104 K105 K106 K107 K109 K110 K111 K112 K113 K115 K116 K117 K118 K120 K121 K122 K123 K125 K126 K127 K129 K130 K131 K134 K135 K136 K137 K139 K140 K141 K143 K144 K145 K146 K147 K149 K150 K151 K153 K154 K155 K157 K158 K159 K161 K162 K163 K165 K166 K167 K170 K171 K172 K173 K175 K176 K177 K178 K180 K181 K182 K184 K185 K186 K188 K189 K190 K192 K193 K194 K196 K197 K198 K203 K204 K205 K206 K208 K209 K210 K211 K212 K214 K215 K216 K217 K219 K220 K221 K222 K224 K225 K226 K228 K229 K230 K233 K234 K235 K236 K238 K239 K240 K242 K243 K244 K245 K246 K248 K249 K250 K252 K253 K254 K256 K257 K258 K260 K261 K262 K264 K265 K266 K269 K270 K271 K272 K274 K275 K276 K277 K279 K280 K281 K283 K284 K285 K287 K288 K289 K291 K292 K293 K295 K296 K297 K302 K303 K305 K306 K308 K309 K311 K312 K314 K315 K317 K318 K321 K322 K324 K325 K327 K328 K330 K331 K333 K334 K336 K337 K339 K340 K342 K343 K346 K347 K349 K350 K352 K353 K355 K356 K358 K359 K361 K362 K364 K365" showDropDown="0" showInputMessage="0" showErrorMessage="0" allowBlank="1" type="list">
      <formula1>"6,6.5,7,7.5,8,8.5,9,9.5,10"</formula1>
    </dataValidation>
  </dataValidations>
  <hyperlinks>
    <hyperlink ref="A2" location="'Month 10'!A1" display="&lt; Month 10"/>
    <hyperlink ref="C2" location="'Start Here'!A1" display="Start Here"/>
    <hyperlink ref="E2" location="'Month 12'!A1" display="Month 12 &gt;"/>
    <hyperlink ref="L3" location="'Body'!A1" display="How to test"/>
  </hyperlinks>
  <pageMargins left="0.75" right="0.75" top="1" bottom="1" header="0.5" footer="0.5"/>
  <pageSetup orientation="landscape" fitToHeight="0" fitToWidth="1"/>
</worksheet>
</file>

<file path=xl/worksheets/sheet14.xml><?xml version="1.0" encoding="utf-8"?>
<worksheet xmlns="http://schemas.openxmlformats.org/spreadsheetml/2006/main">
  <sheetPr>
    <tabColor rgb="00F2D675"/>
    <outlinePr summaryBelow="1" summaryRight="1"/>
    <pageSetUpPr fitToPage="1"/>
  </sheetPr>
  <dimension ref="A1:O330"/>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26" customWidth="1" min="3" max="3"/>
    <col width="10" customWidth="1" min="4" max="4"/>
    <col width="7" customWidth="1" min="5" max="5"/>
    <col width="6" customWidth="1" min="6" max="6"/>
    <col width="9" customWidth="1" min="7" max="7"/>
    <col width="9" customWidth="1" min="8" max="8"/>
    <col width="12" customWidth="1" min="9" max="9"/>
    <col width="8" customWidth="1" min="10" max="10"/>
    <col width="6" customWidth="1" min="11" max="11"/>
    <col width="6" customWidth="1" min="12" max="12"/>
    <col width="9" customWidth="1" min="13" max="13"/>
    <col width="5" customWidth="1" min="14" max="14"/>
    <col width="60" customWidth="1" min="15" max="15"/>
  </cols>
  <sheetData>
    <row r="1">
      <c r="A1" s="25" t="inlineStr">
        <is>
          <t>MONTH 12  -  weeks 45-48  -  Cycle 4</t>
        </is>
      </c>
    </row>
    <row r="2">
      <c r="A2" s="26" t="inlineStr">
        <is>
          <t>&lt; Month 11</t>
        </is>
      </c>
      <c r="C2" s="26" t="inlineStr">
        <is>
          <t>Start Here</t>
        </is>
      </c>
      <c r="E2" s="26" t="inlineStr">
        <is>
          <t>Month 13 &gt;</t>
        </is>
      </c>
    </row>
    <row r="3">
      <c r="A3" s="41" t="inlineStr">
        <is>
          <t>BODY FAT (once this month)</t>
        </is>
      </c>
      <c r="C3" s="44" t="inlineStr">
        <is>
          <t>Date</t>
        </is>
      </c>
      <c r="D3" s="12" t="n"/>
      <c r="E3" s="44" t="inlineStr">
        <is>
          <t>Body fat %</t>
        </is>
      </c>
      <c r="F3" s="7" t="n"/>
      <c r="G3" s="44" t="inlineStr">
        <is>
          <t>Method</t>
        </is>
      </c>
      <c r="H3" s="7" t="n"/>
      <c r="I3" s="44" t="inlineStr">
        <is>
          <t>Weight at test</t>
        </is>
      </c>
      <c r="J3" s="7" t="n"/>
      <c r="L3" s="26" t="inlineStr">
        <is>
          <t>How to test</t>
        </is>
      </c>
    </row>
    <row r="4">
      <c r="A4" s="27" t="inlineStr">
        <is>
          <t>Every set is filled in with the plan. Change what was different, mark Done. Enter bodyweight once per week on the purple week rows.</t>
        </is>
      </c>
    </row>
    <row r="5">
      <c r="A5" s="8" t="inlineStr">
        <is>
          <t>Day</t>
        </is>
      </c>
      <c r="B5" s="8" t="inlineStr">
        <is>
          <t>Date</t>
        </is>
      </c>
      <c r="C5" s="8" t="inlineStr">
        <is>
          <t>Exercise / set</t>
        </is>
      </c>
      <c r="D5" s="8" t="inlineStr">
        <is>
          <t>Scheme</t>
        </is>
      </c>
      <c r="E5" s="8" t="inlineStr">
        <is>
          <t>Target reps</t>
        </is>
      </c>
      <c r="F5" s="8" t="inlineStr">
        <is>
          <t>% TM</t>
        </is>
      </c>
      <c r="G5" s="8" t="inlineStr">
        <is>
          <t>Training max</t>
        </is>
      </c>
      <c r="H5" s="8" t="inlineStr">
        <is>
          <t>Target</t>
        </is>
      </c>
      <c r="I5" s="8" t="inlineStr">
        <is>
          <t>Actual weight / height</t>
        </is>
      </c>
      <c r="J5" s="8" t="inlineStr">
        <is>
          <t>Actual reps</t>
        </is>
      </c>
      <c r="K5" s="8" t="inlineStr">
        <is>
          <t>RPE</t>
        </is>
      </c>
      <c r="L5" s="8" t="inlineStr">
        <is>
          <t>Done</t>
        </is>
      </c>
      <c r="M5" s="8" t="inlineStr">
        <is>
          <t>Est. 1RM</t>
        </is>
      </c>
      <c r="N5" s="8" t="inlineStr">
        <is>
          <t>PR</t>
        </is>
      </c>
      <c r="O5" s="8" t="inlineStr">
        <is>
          <t>Notes / guidance</t>
        </is>
      </c>
    </row>
    <row r="6">
      <c r="A6" s="54" t="inlineStr">
        <is>
          <t>WEEK 45 - CYCLE 4 - REALIZATION</t>
        </is>
      </c>
      <c r="B6" s="55" t="n"/>
      <c r="C6" s="55" t="n"/>
      <c r="D6" s="55" t="n"/>
      <c r="E6" s="55" t="n"/>
      <c r="F6" s="55" t="n"/>
      <c r="G6" s="55" t="n"/>
      <c r="H6" s="56" t="inlineStr">
        <is>
          <t>Bodyweight:</t>
        </is>
      </c>
      <c r="I6" s="7" t="n"/>
      <c r="J6" s="55" t="n"/>
      <c r="K6" s="55" t="n"/>
      <c r="L6" s="55" t="n"/>
      <c r="M6" s="55" t="n"/>
      <c r="N6" s="55" t="n"/>
      <c r="O6" s="55" t="n"/>
    </row>
    <row r="7">
      <c r="A7" s="31" t="inlineStr">
        <is>
          <t>Day 1 - Heavy</t>
        </is>
      </c>
      <c r="B7" s="32">
        <f>'Start Here'!$B$8+308</f>
        <v/>
      </c>
      <c r="C7" s="33" t="n"/>
      <c r="D7" s="33" t="n"/>
      <c r="E7" s="33" t="n"/>
      <c r="F7" s="33" t="n"/>
      <c r="G7" s="33" t="n"/>
      <c r="H7" s="33" t="n"/>
      <c r="I7" s="33" t="n"/>
      <c r="J7" s="33" t="n"/>
      <c r="K7" s="33" t="n"/>
      <c r="L7" s="33" t="n"/>
      <c r="M7" s="33" t="n"/>
      <c r="N7" s="33" t="n"/>
      <c r="O7" s="33" t="n"/>
    </row>
    <row r="8">
      <c r="A8" s="34" t="n"/>
      <c r="B8" s="34" t="n"/>
      <c r="C8" s="35" t="inlineStr">
        <is>
          <t>Box Jump</t>
        </is>
      </c>
      <c r="D8" s="34" t="inlineStr">
        <is>
          <t>3 x 2</t>
        </is>
      </c>
      <c r="E8" s="34" t="n"/>
      <c r="F8" s="34" t="n"/>
      <c r="G8" s="36" t="n"/>
      <c r="H8" s="37">
        <f>IF(N(Maxes!H69)&gt;0,Maxes!H69,'Start Here'!$G$16)</f>
        <v/>
      </c>
      <c r="I8" s="34" t="n"/>
      <c r="J8" s="34" t="n"/>
      <c r="K8" s="34" t="n"/>
      <c r="L8" s="34" t="n"/>
      <c r="M8" s="34" t="n"/>
      <c r="N8" s="34" t="n"/>
      <c r="O8" s="38" t="inlineStr">
        <is>
          <t>Two-foot jump onto a box, land soft in a quarter squat, STEP down. Log the box height (floor to top of box).</t>
        </is>
      </c>
    </row>
    <row r="9">
      <c r="C9" t="inlineStr">
        <is>
          <t xml:space="preserve">      Set 1</t>
        </is>
      </c>
      <c r="E9" t="n">
        <v>2</v>
      </c>
      <c r="H9" s="39">
        <f>IF(H8="","",H8)</f>
        <v/>
      </c>
      <c r="I9" s="7">
        <f>IF(H8="","",H8)</f>
        <v/>
      </c>
      <c r="J9" s="7" t="n">
        <v>2</v>
      </c>
      <c r="K9" s="7" t="n"/>
      <c r="L9" s="40" t="n"/>
      <c r="N9" s="41">
        <f>IF(AND(L9&lt;&gt;"",N(I9)&gt;0),IF(I9&gt;=PRs!D69,"PR!",""),"")</f>
        <v/>
      </c>
      <c r="O9" s="7" t="n"/>
    </row>
    <row r="10">
      <c r="C10" t="inlineStr">
        <is>
          <t xml:space="preserve">      Set 2</t>
        </is>
      </c>
      <c r="E10" t="n">
        <v>2</v>
      </c>
      <c r="H10" s="39">
        <f>IF(H8="","",H8)</f>
        <v/>
      </c>
      <c r="I10" s="7">
        <f>IF(H8="","",H8)</f>
        <v/>
      </c>
      <c r="J10" s="7" t="n">
        <v>2</v>
      </c>
      <c r="K10" s="7" t="n"/>
      <c r="L10" s="40" t="n"/>
      <c r="N10" s="41">
        <f>IF(AND(L10&lt;&gt;"",N(I10)&gt;0),IF(I10&gt;=PRs!D69,"PR!",""),"")</f>
        <v/>
      </c>
      <c r="O10" s="7" t="n"/>
    </row>
    <row r="11">
      <c r="C11" t="inlineStr">
        <is>
          <t xml:space="preserve">      Set 3</t>
        </is>
      </c>
      <c r="E11" t="n">
        <v>2</v>
      </c>
      <c r="H11" s="39">
        <f>IF(H8="","",H8)</f>
        <v/>
      </c>
      <c r="I11" s="7">
        <f>IF(H8="","",H8)</f>
        <v/>
      </c>
      <c r="J11" s="7" t="n">
        <v>2</v>
      </c>
      <c r="K11" s="7" t="n"/>
      <c r="L11" s="40" t="n"/>
      <c r="N11" s="41">
        <f>IF(AND(L11&lt;&gt;"",N(I11)&gt;0),IF(I11&gt;=PRs!D69,"PR!",""),"")</f>
        <v/>
      </c>
      <c r="O11" s="7" t="n"/>
    </row>
    <row r="12">
      <c r="A12" s="34" t="n"/>
      <c r="B12" s="34" t="n"/>
      <c r="C12" s="42" t="inlineStr">
        <is>
          <t>Snatch</t>
        </is>
      </c>
      <c r="D12" s="34" t="inlineStr">
        <is>
          <t>5 x 2</t>
        </is>
      </c>
      <c r="E12" s="34" t="n"/>
      <c r="F12" s="34" t="n">
        <v>85</v>
      </c>
      <c r="G12" s="36">
        <f>Maxes!H6</f>
        <v/>
      </c>
      <c r="H12" s="37">
        <f>IF(OR(G12="",F12=""),"",MROUND(G12*F12/100,'Start Here'!$B$7))</f>
        <v/>
      </c>
      <c r="I12" s="34" t="n"/>
      <c r="J12" s="34" t="n"/>
      <c r="K12" s="34" t="n"/>
      <c r="L12" s="34" t="n"/>
      <c r="M12" s="34" t="n"/>
      <c r="N12" s="34" t="n"/>
      <c r="O12" s="38" t="inlineStr"/>
    </row>
    <row r="13">
      <c r="C13" t="inlineStr">
        <is>
          <t xml:space="preserve">      Set 1</t>
        </is>
      </c>
      <c r="E13" t="n">
        <v>2</v>
      </c>
      <c r="H13" s="39">
        <f>IF(H12="","",H12)</f>
        <v/>
      </c>
      <c r="I13" s="7">
        <f>IF(H12="","",H12)</f>
        <v/>
      </c>
      <c r="J13" s="7" t="n">
        <v>2</v>
      </c>
      <c r="K13" s="7" t="n"/>
      <c r="L13" s="40" t="n"/>
      <c r="M13">
        <f>IF(AND(L13&lt;&gt;"",N(I13)&gt;0,N(J13)&gt;0),IF(J13=1,I13,ROUND(I13*(1+J13/30),1)),"")</f>
        <v/>
      </c>
      <c r="N13" s="41">
        <f>IF(M13="","",IF(M13&gt;=PRs!C6,"PR!",""))</f>
        <v/>
      </c>
      <c r="O13" s="7" t="n"/>
    </row>
    <row r="14">
      <c r="C14" t="inlineStr">
        <is>
          <t xml:space="preserve">      Set 2</t>
        </is>
      </c>
      <c r="E14" t="n">
        <v>2</v>
      </c>
      <c r="H14" s="39">
        <f>IF(H12="","",H12)</f>
        <v/>
      </c>
      <c r="I14" s="7">
        <f>IF(H12="","",H12)</f>
        <v/>
      </c>
      <c r="J14" s="7" t="n">
        <v>2</v>
      </c>
      <c r="K14" s="7" t="n"/>
      <c r="L14" s="40" t="n"/>
      <c r="M14">
        <f>IF(AND(L14&lt;&gt;"",N(I14)&gt;0,N(J14)&gt;0),IF(J14=1,I14,ROUND(I14*(1+J14/30),1)),"")</f>
        <v/>
      </c>
      <c r="N14" s="41">
        <f>IF(M14="","",IF(M14&gt;=PRs!C6,"PR!",""))</f>
        <v/>
      </c>
      <c r="O14" s="7" t="n"/>
    </row>
    <row r="15">
      <c r="C15" t="inlineStr">
        <is>
          <t xml:space="preserve">      Set 3</t>
        </is>
      </c>
      <c r="E15" t="n">
        <v>2</v>
      </c>
      <c r="H15" s="39">
        <f>IF(H12="","",H12)</f>
        <v/>
      </c>
      <c r="I15" s="7">
        <f>IF(H12="","",H12)</f>
        <v/>
      </c>
      <c r="J15" s="7" t="n">
        <v>2</v>
      </c>
      <c r="K15" s="7" t="n"/>
      <c r="L15" s="40" t="n"/>
      <c r="M15">
        <f>IF(AND(L15&lt;&gt;"",N(I15)&gt;0,N(J15)&gt;0),IF(J15=1,I15,ROUND(I15*(1+J15/30),1)),"")</f>
        <v/>
      </c>
      <c r="N15" s="41">
        <f>IF(M15="","",IF(M15&gt;=PRs!C6,"PR!",""))</f>
        <v/>
      </c>
      <c r="O15" s="7" t="n"/>
    </row>
    <row r="16">
      <c r="C16" t="inlineStr">
        <is>
          <t xml:space="preserve">      Set 4</t>
        </is>
      </c>
      <c r="E16" t="n">
        <v>2</v>
      </c>
      <c r="H16" s="39">
        <f>IF(H12="","",H12)</f>
        <v/>
      </c>
      <c r="I16" s="7">
        <f>IF(H12="","",H12)</f>
        <v/>
      </c>
      <c r="J16" s="7" t="n">
        <v>2</v>
      </c>
      <c r="K16" s="7" t="n"/>
      <c r="L16" s="40" t="n"/>
      <c r="M16">
        <f>IF(AND(L16&lt;&gt;"",N(I16)&gt;0,N(J16)&gt;0),IF(J16=1,I16,ROUND(I16*(1+J16/30),1)),"")</f>
        <v/>
      </c>
      <c r="N16" s="41">
        <f>IF(M16="","",IF(M16&gt;=PRs!C6,"PR!",""))</f>
        <v/>
      </c>
      <c r="O16" s="7" t="n"/>
    </row>
    <row r="17">
      <c r="C17" t="inlineStr">
        <is>
          <t xml:space="preserve">      Set 5</t>
        </is>
      </c>
      <c r="E17" t="n">
        <v>2</v>
      </c>
      <c r="H17" s="39">
        <f>IF(H12="","",H12)</f>
        <v/>
      </c>
      <c r="I17" s="7">
        <f>IF(H12="","",H12)</f>
        <v/>
      </c>
      <c r="J17" s="7" t="n">
        <v>2</v>
      </c>
      <c r="K17" s="7" t="n"/>
      <c r="L17" s="40" t="n"/>
      <c r="M17">
        <f>IF(AND(L17&lt;&gt;"",N(I17)&gt;0,N(J17)&gt;0),IF(J17=1,I17,ROUND(I17*(1+J17/30),1)),"")</f>
        <v/>
      </c>
      <c r="N17" s="41">
        <f>IF(M17="","",IF(M17&gt;=PRs!C6,"PR!",""))</f>
        <v/>
      </c>
      <c r="O17" s="7" t="n"/>
    </row>
    <row r="18">
      <c r="A18" s="34" t="n"/>
      <c r="B18" s="34" t="n"/>
      <c r="C18" s="42" t="inlineStr">
        <is>
          <t>Squat</t>
        </is>
      </c>
      <c r="D18" s="34" t="inlineStr">
        <is>
          <t>5 x 3</t>
        </is>
      </c>
      <c r="E18" s="34" t="n"/>
      <c r="F18" s="34" t="n">
        <v>85</v>
      </c>
      <c r="G18" s="36">
        <f>Maxes!H2</f>
        <v/>
      </c>
      <c r="H18" s="37">
        <f>IF(OR(G18="",F18=""),"",MROUND(G18*F18/100,'Start Here'!$B$7))</f>
        <v/>
      </c>
      <c r="I18" s="34" t="n"/>
      <c r="J18" s="34" t="n"/>
      <c r="K18" s="34" t="n"/>
      <c r="L18" s="34" t="n"/>
      <c r="M18" s="34" t="n"/>
      <c r="N18" s="34" t="n"/>
      <c r="O18" s="38" t="inlineStr"/>
    </row>
    <row r="19">
      <c r="C19" t="inlineStr">
        <is>
          <t xml:space="preserve">      Set 1</t>
        </is>
      </c>
      <c r="E19" t="n">
        <v>3</v>
      </c>
      <c r="H19" s="39">
        <f>IF(H18="","",H18)</f>
        <v/>
      </c>
      <c r="I19" s="7">
        <f>IF(H18="","",H18)</f>
        <v/>
      </c>
      <c r="J19" s="7" t="n">
        <v>3</v>
      </c>
      <c r="K19" s="7" t="n"/>
      <c r="L19" s="40" t="n"/>
      <c r="M19">
        <f>IF(AND(L19&lt;&gt;"",N(I19)&gt;0,N(J19)&gt;0),IF(J19=1,I19,ROUND(I19*(1+J19/30),1)),"")</f>
        <v/>
      </c>
      <c r="N19" s="41">
        <f>IF(M19="","",IF(M19&gt;=PRs!C2,"PR!",""))</f>
        <v/>
      </c>
      <c r="O19" s="7" t="n"/>
    </row>
    <row r="20">
      <c r="C20" t="inlineStr">
        <is>
          <t xml:space="preserve">      Set 2</t>
        </is>
      </c>
      <c r="E20" t="n">
        <v>3</v>
      </c>
      <c r="H20" s="39">
        <f>IF(H18="","",H18)</f>
        <v/>
      </c>
      <c r="I20" s="7">
        <f>IF(H18="","",H18)</f>
        <v/>
      </c>
      <c r="J20" s="7" t="n">
        <v>3</v>
      </c>
      <c r="K20" s="7" t="n"/>
      <c r="L20" s="40" t="n"/>
      <c r="M20">
        <f>IF(AND(L20&lt;&gt;"",N(I20)&gt;0,N(J20)&gt;0),IF(J20=1,I20,ROUND(I20*(1+J20/30),1)),"")</f>
        <v/>
      </c>
      <c r="N20" s="41">
        <f>IF(M20="","",IF(M20&gt;=PRs!C2,"PR!",""))</f>
        <v/>
      </c>
      <c r="O20" s="7" t="n"/>
    </row>
    <row r="21">
      <c r="C21" t="inlineStr">
        <is>
          <t xml:space="preserve">      Set 3</t>
        </is>
      </c>
      <c r="E21" t="n">
        <v>3</v>
      </c>
      <c r="H21" s="39">
        <f>IF(H18="","",H18)</f>
        <v/>
      </c>
      <c r="I21" s="7">
        <f>IF(H18="","",H18)</f>
        <v/>
      </c>
      <c r="J21" s="7" t="n">
        <v>3</v>
      </c>
      <c r="K21" s="7" t="n"/>
      <c r="L21" s="40" t="n"/>
      <c r="M21">
        <f>IF(AND(L21&lt;&gt;"",N(I21)&gt;0,N(J21)&gt;0),IF(J21=1,I21,ROUND(I21*(1+J21/30),1)),"")</f>
        <v/>
      </c>
      <c r="N21" s="41">
        <f>IF(M21="","",IF(M21&gt;=PRs!C2,"PR!",""))</f>
        <v/>
      </c>
      <c r="O21" s="7" t="n"/>
    </row>
    <row r="22">
      <c r="C22" t="inlineStr">
        <is>
          <t xml:space="preserve">      Set 4</t>
        </is>
      </c>
      <c r="E22" t="n">
        <v>3</v>
      </c>
      <c r="H22" s="39">
        <f>IF(H18="","",H18)</f>
        <v/>
      </c>
      <c r="I22" s="7">
        <f>IF(H18="","",H18)</f>
        <v/>
      </c>
      <c r="J22" s="7" t="n">
        <v>3</v>
      </c>
      <c r="K22" s="7" t="n"/>
      <c r="L22" s="40" t="n"/>
      <c r="M22">
        <f>IF(AND(L22&lt;&gt;"",N(I22)&gt;0,N(J22)&gt;0),IF(J22=1,I22,ROUND(I22*(1+J22/30),1)),"")</f>
        <v/>
      </c>
      <c r="N22" s="41">
        <f>IF(M22="","",IF(M22&gt;=PRs!C2,"PR!",""))</f>
        <v/>
      </c>
      <c r="O22" s="7" t="n"/>
    </row>
    <row r="23">
      <c r="C23" t="inlineStr">
        <is>
          <t xml:space="preserve">      Set 5</t>
        </is>
      </c>
      <c r="E23" t="n">
        <v>3</v>
      </c>
      <c r="H23" s="39">
        <f>IF(H18="","",H18)</f>
        <v/>
      </c>
      <c r="I23" s="7">
        <f>IF(H18="","",H18)</f>
        <v/>
      </c>
      <c r="J23" s="7" t="n">
        <v>3</v>
      </c>
      <c r="K23" s="7" t="n"/>
      <c r="L23" s="40" t="n"/>
      <c r="M23">
        <f>IF(AND(L23&lt;&gt;"",N(I23)&gt;0,N(J23)&gt;0),IF(J23=1,I23,ROUND(I23*(1+J23/30),1)),"")</f>
        <v/>
      </c>
      <c r="N23" s="41">
        <f>IF(M23="","",IF(M23&gt;=PRs!C2,"PR!",""))</f>
        <v/>
      </c>
      <c r="O23" s="7" t="n"/>
    </row>
    <row r="24">
      <c r="A24" s="34" t="n"/>
      <c r="B24" s="34" t="n"/>
      <c r="C24" s="42" t="inlineStr">
        <is>
          <t>Bench Press</t>
        </is>
      </c>
      <c r="D24" s="34" t="inlineStr">
        <is>
          <t>5 x 3</t>
        </is>
      </c>
      <c r="E24" s="34" t="n"/>
      <c r="F24" s="34" t="n">
        <v>85</v>
      </c>
      <c r="G24" s="36">
        <f>Maxes!H3</f>
        <v/>
      </c>
      <c r="H24" s="37">
        <f>IF(OR(G24="",F24=""),"",MROUND(G24*F24/100,'Start Here'!$B$7))</f>
        <v/>
      </c>
      <c r="I24" s="34" t="n"/>
      <c r="J24" s="34" t="n"/>
      <c r="K24" s="34" t="n"/>
      <c r="L24" s="34" t="n"/>
      <c r="M24" s="34" t="n"/>
      <c r="N24" s="34" t="n"/>
      <c r="O24" s="38" t="inlineStr"/>
    </row>
    <row r="25">
      <c r="C25" t="inlineStr">
        <is>
          <t xml:space="preserve">      Set 1</t>
        </is>
      </c>
      <c r="E25" t="n">
        <v>3</v>
      </c>
      <c r="H25" s="39">
        <f>IF(H24="","",H24)</f>
        <v/>
      </c>
      <c r="I25" s="7">
        <f>IF(H24="","",H24)</f>
        <v/>
      </c>
      <c r="J25" s="7" t="n">
        <v>3</v>
      </c>
      <c r="K25" s="7" t="n"/>
      <c r="L25" s="40" t="n"/>
      <c r="M25">
        <f>IF(AND(L25&lt;&gt;"",N(I25)&gt;0,N(J25)&gt;0),IF(J25=1,I25,ROUND(I25*(1+J25/30),1)),"")</f>
        <v/>
      </c>
      <c r="N25" s="41">
        <f>IF(M25="","",IF(M25&gt;=PRs!C3,"PR!",""))</f>
        <v/>
      </c>
      <c r="O25" s="7" t="n"/>
    </row>
    <row r="26">
      <c r="C26" t="inlineStr">
        <is>
          <t xml:space="preserve">      Set 2</t>
        </is>
      </c>
      <c r="E26" t="n">
        <v>3</v>
      </c>
      <c r="H26" s="39">
        <f>IF(H24="","",H24)</f>
        <v/>
      </c>
      <c r="I26" s="7">
        <f>IF(H24="","",H24)</f>
        <v/>
      </c>
      <c r="J26" s="7" t="n">
        <v>3</v>
      </c>
      <c r="K26" s="7" t="n"/>
      <c r="L26" s="40" t="n"/>
      <c r="M26">
        <f>IF(AND(L26&lt;&gt;"",N(I26)&gt;0,N(J26)&gt;0),IF(J26=1,I26,ROUND(I26*(1+J26/30),1)),"")</f>
        <v/>
      </c>
      <c r="N26" s="41">
        <f>IF(M26="","",IF(M26&gt;=PRs!C3,"PR!",""))</f>
        <v/>
      </c>
      <c r="O26" s="7" t="n"/>
    </row>
    <row r="27">
      <c r="C27" t="inlineStr">
        <is>
          <t xml:space="preserve">      Set 3</t>
        </is>
      </c>
      <c r="E27" t="n">
        <v>3</v>
      </c>
      <c r="H27" s="39">
        <f>IF(H24="","",H24)</f>
        <v/>
      </c>
      <c r="I27" s="7">
        <f>IF(H24="","",H24)</f>
        <v/>
      </c>
      <c r="J27" s="7" t="n">
        <v>3</v>
      </c>
      <c r="K27" s="7" t="n"/>
      <c r="L27" s="40" t="n"/>
      <c r="M27">
        <f>IF(AND(L27&lt;&gt;"",N(I27)&gt;0,N(J27)&gt;0),IF(J27=1,I27,ROUND(I27*(1+J27/30),1)),"")</f>
        <v/>
      </c>
      <c r="N27" s="41">
        <f>IF(M27="","",IF(M27&gt;=PRs!C3,"PR!",""))</f>
        <v/>
      </c>
      <c r="O27" s="7" t="n"/>
    </row>
    <row r="28">
      <c r="C28" t="inlineStr">
        <is>
          <t xml:space="preserve">      Set 4</t>
        </is>
      </c>
      <c r="E28" t="n">
        <v>3</v>
      </c>
      <c r="H28" s="39">
        <f>IF(H24="","",H24)</f>
        <v/>
      </c>
      <c r="I28" s="7">
        <f>IF(H24="","",H24)</f>
        <v/>
      </c>
      <c r="J28" s="7" t="n">
        <v>3</v>
      </c>
      <c r="K28" s="7" t="n"/>
      <c r="L28" s="40" t="n"/>
      <c r="M28">
        <f>IF(AND(L28&lt;&gt;"",N(I28)&gt;0,N(J28)&gt;0),IF(J28=1,I28,ROUND(I28*(1+J28/30),1)),"")</f>
        <v/>
      </c>
      <c r="N28" s="41">
        <f>IF(M28="","",IF(M28&gt;=PRs!C3,"PR!",""))</f>
        <v/>
      </c>
      <c r="O28" s="7" t="n"/>
    </row>
    <row r="29">
      <c r="C29" t="inlineStr">
        <is>
          <t xml:space="preserve">      Set 5</t>
        </is>
      </c>
      <c r="E29" t="n">
        <v>3</v>
      </c>
      <c r="H29" s="39">
        <f>IF(H24="","",H24)</f>
        <v/>
      </c>
      <c r="I29" s="7">
        <f>IF(H24="","",H24)</f>
        <v/>
      </c>
      <c r="J29" s="7" t="n">
        <v>3</v>
      </c>
      <c r="K29" s="7" t="n"/>
      <c r="L29" s="40" t="n"/>
      <c r="M29">
        <f>IF(AND(L29&lt;&gt;"",N(I29)&gt;0,N(J29)&gt;0),IF(J29=1,I29,ROUND(I29*(1+J29/30),1)),"")</f>
        <v/>
      </c>
      <c r="N29" s="41">
        <f>IF(M29="","",IF(M29&gt;=PRs!C3,"PR!",""))</f>
        <v/>
      </c>
      <c r="O29" s="7" t="n"/>
    </row>
    <row r="30">
      <c r="A30" s="34" t="n"/>
      <c r="B30" s="34" t="n"/>
      <c r="C30" s="43" t="inlineStr">
        <is>
          <t>Barbell Row</t>
        </is>
      </c>
      <c r="D30" s="34" t="inlineStr">
        <is>
          <t>3 x 8-10</t>
        </is>
      </c>
      <c r="E30" s="34" t="n"/>
      <c r="F30" s="34" t="n"/>
      <c r="G30" s="36" t="n"/>
      <c r="H30" s="37" t="n"/>
      <c r="I30" s="34" t="n"/>
      <c r="J30" s="34" t="n"/>
      <c r="K30" s="34" t="n"/>
      <c r="L30" s="34" t="n"/>
      <c r="M30" s="34" t="n"/>
      <c r="N30" s="34" t="n"/>
      <c r="O30" s="38" t="inlineStr">
        <is>
          <t>Leave 1-2 reps in the tank; add weight when you hit the top of the range</t>
        </is>
      </c>
    </row>
    <row r="31">
      <c r="C31" t="inlineStr">
        <is>
          <t xml:space="preserve">      Set 1</t>
        </is>
      </c>
      <c r="E31" t="n">
        <v>8</v>
      </c>
      <c r="H31" s="39">
        <f>IF(H30="","",H30)</f>
        <v/>
      </c>
      <c r="I31" s="7">
        <f>IF(H30="","",H30)</f>
        <v/>
      </c>
      <c r="J31" s="7" t="n">
        <v>8</v>
      </c>
      <c r="K31" s="7" t="n"/>
      <c r="L31" s="40" t="n"/>
      <c r="M31">
        <f>IF(AND(L31&lt;&gt;"",N(I31)&gt;0,N(J31)&gt;0),IF(J31=1,I31,ROUND(I31*(1+J31/30),1)),"")</f>
        <v/>
      </c>
      <c r="N31" s="41">
        <f>IF(M31="","",IF(M31&gt;=PRs!C50,"PR!",""))</f>
        <v/>
      </c>
      <c r="O31" s="7" t="n"/>
    </row>
    <row r="32">
      <c r="C32" t="inlineStr">
        <is>
          <t xml:space="preserve">      Set 2</t>
        </is>
      </c>
      <c r="E32" t="n">
        <v>8</v>
      </c>
      <c r="H32" s="39">
        <f>IF(H30="","",H30)</f>
        <v/>
      </c>
      <c r="I32" s="7">
        <f>IF(H30="","",H30)</f>
        <v/>
      </c>
      <c r="J32" s="7" t="n">
        <v>8</v>
      </c>
      <c r="K32" s="7" t="n"/>
      <c r="L32" s="40" t="n"/>
      <c r="M32">
        <f>IF(AND(L32&lt;&gt;"",N(I32)&gt;0,N(J32)&gt;0),IF(J32=1,I32,ROUND(I32*(1+J32/30),1)),"")</f>
        <v/>
      </c>
      <c r="N32" s="41">
        <f>IF(M32="","",IF(M32&gt;=PRs!C50,"PR!",""))</f>
        <v/>
      </c>
      <c r="O32" s="7" t="n"/>
    </row>
    <row r="33">
      <c r="C33" t="inlineStr">
        <is>
          <t xml:space="preserve">      Set 3</t>
        </is>
      </c>
      <c r="E33" t="n">
        <v>8</v>
      </c>
      <c r="H33" s="39">
        <f>IF(H30="","",H30)</f>
        <v/>
      </c>
      <c r="I33" s="7">
        <f>IF(H30="","",H30)</f>
        <v/>
      </c>
      <c r="J33" s="7" t="n">
        <v>8</v>
      </c>
      <c r="K33" s="7" t="n"/>
      <c r="L33" s="40" t="n"/>
      <c r="M33">
        <f>IF(AND(L33&lt;&gt;"",N(I33)&gt;0,N(J33)&gt;0),IF(J33=1,I33,ROUND(I33*(1+J33/30),1)),"")</f>
        <v/>
      </c>
      <c r="N33" s="41">
        <f>IF(M33="","",IF(M33&gt;=PRs!C50,"PR!",""))</f>
        <v/>
      </c>
      <c r="O33" s="7" t="n"/>
    </row>
    <row r="34">
      <c r="A34" s="34" t="n"/>
      <c r="B34" s="34" t="n"/>
      <c r="C34" s="43" t="inlineStr">
        <is>
          <t>Face Pull</t>
        </is>
      </c>
      <c r="D34" s="34" t="inlineStr">
        <is>
          <t>3 x 12-15</t>
        </is>
      </c>
      <c r="E34" s="34" t="n"/>
      <c r="F34" s="34" t="n"/>
      <c r="G34" s="36" t="n"/>
      <c r="H34" s="37" t="n"/>
      <c r="I34" s="34" t="n"/>
      <c r="J34" s="34" t="n"/>
      <c r="K34" s="34" t="n"/>
      <c r="L34" s="34" t="n"/>
      <c r="M34" s="34" t="n"/>
      <c r="N34" s="34" t="n"/>
      <c r="O34" s="38" t="inlineStr">
        <is>
          <t>Leave 1-2 reps in the tank; add weight when you hit the top of the range</t>
        </is>
      </c>
    </row>
    <row r="35">
      <c r="C35" t="inlineStr">
        <is>
          <t xml:space="preserve">      Set 1</t>
        </is>
      </c>
      <c r="E35" t="n">
        <v>12</v>
      </c>
      <c r="H35" s="39">
        <f>IF(H34="","",H34)</f>
        <v/>
      </c>
      <c r="I35" s="7">
        <f>IF(H34="","",H34)</f>
        <v/>
      </c>
      <c r="J35" s="7" t="n">
        <v>12</v>
      </c>
      <c r="K35" s="7" t="n"/>
      <c r="L35" s="40" t="n"/>
      <c r="M35">
        <f>IF(AND(L35&lt;&gt;"",N(I35)&gt;0,N(J35)&gt;0),IF(J35=1,I35,ROUND(I35*(1+J35/30),1)),"")</f>
        <v/>
      </c>
      <c r="N35" s="41">
        <f>IF(M35="","",IF(M35&gt;=PRs!C51,"PR!",""))</f>
        <v/>
      </c>
      <c r="O35" s="7" t="n"/>
    </row>
    <row r="36">
      <c r="C36" t="inlineStr">
        <is>
          <t xml:space="preserve">      Set 2</t>
        </is>
      </c>
      <c r="E36" t="n">
        <v>12</v>
      </c>
      <c r="H36" s="39">
        <f>IF(H34="","",H34)</f>
        <v/>
      </c>
      <c r="I36" s="7">
        <f>IF(H34="","",H34)</f>
        <v/>
      </c>
      <c r="J36" s="7" t="n">
        <v>12</v>
      </c>
      <c r="K36" s="7" t="n"/>
      <c r="L36" s="40" t="n"/>
      <c r="M36">
        <f>IF(AND(L36&lt;&gt;"",N(I36)&gt;0,N(J36)&gt;0),IF(J36=1,I36,ROUND(I36*(1+J36/30),1)),"")</f>
        <v/>
      </c>
      <c r="N36" s="41">
        <f>IF(M36="","",IF(M36&gt;=PRs!C51,"PR!",""))</f>
        <v/>
      </c>
      <c r="O36" s="7" t="n"/>
    </row>
    <row r="37">
      <c r="C37" t="inlineStr">
        <is>
          <t xml:space="preserve">      Set 3</t>
        </is>
      </c>
      <c r="E37" t="n">
        <v>12</v>
      </c>
      <c r="H37" s="39">
        <f>IF(H34="","",H34)</f>
        <v/>
      </c>
      <c r="I37" s="7">
        <f>IF(H34="","",H34)</f>
        <v/>
      </c>
      <c r="J37" s="7" t="n">
        <v>12</v>
      </c>
      <c r="K37" s="7" t="n"/>
      <c r="L37" s="40" t="n"/>
      <c r="M37">
        <f>IF(AND(L37&lt;&gt;"",N(I37)&gt;0,N(J37)&gt;0),IF(J37=1,I37,ROUND(I37*(1+J37/30),1)),"")</f>
        <v/>
      </c>
      <c r="N37" s="41">
        <f>IF(M37="","",IF(M37&gt;=PRs!C51,"PR!",""))</f>
        <v/>
      </c>
      <c r="O37" s="7" t="n"/>
    </row>
    <row r="38">
      <c r="A38" s="31" t="inlineStr">
        <is>
          <t>Day 2 - Light</t>
        </is>
      </c>
      <c r="B38" s="32">
        <f>'Start Here'!$B$8+310</f>
        <v/>
      </c>
      <c r="C38" s="33" t="n"/>
      <c r="D38" s="33" t="n"/>
      <c r="E38" s="33" t="n"/>
      <c r="F38" s="33" t="n"/>
      <c r="G38" s="33" t="n"/>
      <c r="H38" s="33" t="n"/>
      <c r="I38" s="33" t="n"/>
      <c r="J38" s="33" t="n"/>
      <c r="K38" s="33" t="n"/>
      <c r="L38" s="33" t="n"/>
      <c r="M38" s="33" t="n"/>
      <c r="N38" s="33" t="n"/>
      <c r="O38" s="33" t="n"/>
    </row>
    <row r="39">
      <c r="A39" s="34" t="n"/>
      <c r="B39" s="34" t="n"/>
      <c r="C39" s="35" t="inlineStr">
        <is>
          <t>Broad Jump</t>
        </is>
      </c>
      <c r="D39" s="34" t="inlineStr">
        <is>
          <t>3 x 2</t>
        </is>
      </c>
      <c r="E39" s="34" t="n"/>
      <c r="F39" s="34" t="n"/>
      <c r="G39" s="36" t="n"/>
      <c r="H39" s="37">
        <f>IF(N(Maxes!H70)&gt;0,Maxes!H70,"")</f>
        <v/>
      </c>
      <c r="I39" s="34" t="n"/>
      <c r="J39" s="34" t="n"/>
      <c r="K39" s="34" t="n"/>
      <c r="L39" s="34" t="n"/>
      <c r="M39" s="34" t="n"/>
      <c r="N39" s="34" t="n"/>
      <c r="O39" s="38" t="inlineStr">
        <is>
          <t>Standing two-foot jump forward, stick the landing. Measure toe line to the back of the nearest heel.</t>
        </is>
      </c>
    </row>
    <row r="40">
      <c r="C40" t="inlineStr">
        <is>
          <t xml:space="preserve">      Set 1</t>
        </is>
      </c>
      <c r="E40" t="n">
        <v>2</v>
      </c>
      <c r="H40" s="39">
        <f>IF(H39="","",H39)</f>
        <v/>
      </c>
      <c r="I40" s="7">
        <f>IF(H39="","",H39)</f>
        <v/>
      </c>
      <c r="J40" s="7" t="n">
        <v>2</v>
      </c>
      <c r="K40" s="7" t="n"/>
      <c r="L40" s="40" t="n"/>
      <c r="N40" s="41">
        <f>IF(AND(L40&lt;&gt;"",N(I40)&gt;0),IF(I40&gt;=PRs!D70,"PR!",""),"")</f>
        <v/>
      </c>
      <c r="O40" s="7" t="n"/>
    </row>
    <row r="41">
      <c r="C41" t="inlineStr">
        <is>
          <t xml:space="preserve">      Set 2</t>
        </is>
      </c>
      <c r="E41" t="n">
        <v>2</v>
      </c>
      <c r="H41" s="39">
        <f>IF(H39="","",H39)</f>
        <v/>
      </c>
      <c r="I41" s="7">
        <f>IF(H39="","",H39)</f>
        <v/>
      </c>
      <c r="J41" s="7" t="n">
        <v>2</v>
      </c>
      <c r="K41" s="7" t="n"/>
      <c r="L41" s="40" t="n"/>
      <c r="N41" s="41">
        <f>IF(AND(L41&lt;&gt;"",N(I41)&gt;0),IF(I41&gt;=PRs!D70,"PR!",""),"")</f>
        <v/>
      </c>
      <c r="O41" s="7" t="n"/>
    </row>
    <row r="42">
      <c r="C42" t="inlineStr">
        <is>
          <t xml:space="preserve">      Set 3</t>
        </is>
      </c>
      <c r="E42" t="n">
        <v>2</v>
      </c>
      <c r="H42" s="39">
        <f>IF(H39="","",H39)</f>
        <v/>
      </c>
      <c r="I42" s="7">
        <f>IF(H39="","",H39)</f>
        <v/>
      </c>
      <c r="J42" s="7" t="n">
        <v>2</v>
      </c>
      <c r="K42" s="7" t="n"/>
      <c r="L42" s="40" t="n"/>
      <c r="N42" s="41">
        <f>IF(AND(L42&lt;&gt;"",N(I42)&gt;0),IF(I42&gt;=PRs!D70,"PR!",""),"")</f>
        <v/>
      </c>
      <c r="O42" s="7" t="n"/>
    </row>
    <row r="43">
      <c r="A43" s="34" t="n"/>
      <c r="B43" s="34" t="n"/>
      <c r="C43" s="35" t="inlineStr">
        <is>
          <t>Med Ball Chest Pass</t>
        </is>
      </c>
      <c r="D43" s="34" t="inlineStr">
        <is>
          <t>2 x 5</t>
        </is>
      </c>
      <c r="E43" s="34" t="n"/>
      <c r="F43" s="34" t="n"/>
      <c r="G43" s="36" t="n"/>
      <c r="H43" s="37">
        <f>IF(N(Maxes!H77)&gt;0,Maxes!H77,"")</f>
        <v/>
      </c>
      <c r="I43" s="34" t="n"/>
      <c r="J43" s="34" t="n"/>
      <c r="K43" s="34" t="n"/>
      <c r="L43" s="34" t="n"/>
      <c r="M43" s="34" t="n"/>
      <c r="N43" s="34" t="n"/>
      <c r="O43" s="38" t="inlineStr">
        <is>
          <t>Kneeling or standing chest pass for distance with a 6-10 lb / 3-5 kg ball. Log the distance.</t>
        </is>
      </c>
    </row>
    <row r="44">
      <c r="C44" t="inlineStr">
        <is>
          <t xml:space="preserve">      Set 1</t>
        </is>
      </c>
      <c r="E44" t="n">
        <v>5</v>
      </c>
      <c r="H44" s="39">
        <f>IF(H43="","",H43)</f>
        <v/>
      </c>
      <c r="I44" s="7">
        <f>IF(H43="","",H43)</f>
        <v/>
      </c>
      <c r="J44" s="7" t="n">
        <v>5</v>
      </c>
      <c r="K44" s="7" t="n"/>
      <c r="L44" s="40" t="n"/>
      <c r="N44" s="41">
        <f>IF(AND(L44&lt;&gt;"",N(I44)&gt;0),IF(I44&gt;=PRs!D77,"PR!",""),"")</f>
        <v/>
      </c>
      <c r="O44" s="7" t="n"/>
    </row>
    <row r="45">
      <c r="C45" t="inlineStr">
        <is>
          <t xml:space="preserve">      Set 2</t>
        </is>
      </c>
      <c r="E45" t="n">
        <v>5</v>
      </c>
      <c r="H45" s="39">
        <f>IF(H43="","",H43)</f>
        <v/>
      </c>
      <c r="I45" s="7">
        <f>IF(H43="","",H43)</f>
        <v/>
      </c>
      <c r="J45" s="7" t="n">
        <v>5</v>
      </c>
      <c r="K45" s="7" t="n"/>
      <c r="L45" s="40" t="n"/>
      <c r="N45" s="41">
        <f>IF(AND(L45&lt;&gt;"",N(I45)&gt;0),IF(I45&gt;=PRs!D77,"PR!",""),"")</f>
        <v/>
      </c>
      <c r="O45" s="7" t="n"/>
    </row>
    <row r="46">
      <c r="A46" s="34" t="n"/>
      <c r="B46" s="34" t="n"/>
      <c r="C46" s="42" t="inlineStr">
        <is>
          <t>Clean &amp; Jerk</t>
        </is>
      </c>
      <c r="D46" s="34" t="inlineStr">
        <is>
          <t>5 x 2</t>
        </is>
      </c>
      <c r="E46" s="34" t="n"/>
      <c r="F46" s="34" t="n">
        <v>85</v>
      </c>
      <c r="G46" s="36">
        <f>Maxes!H7</f>
        <v/>
      </c>
      <c r="H46" s="37">
        <f>IF(OR(G46="",F46=""),"",MROUND(G46*F46/100,'Start Here'!$B$7))</f>
        <v/>
      </c>
      <c r="I46" s="34" t="n"/>
      <c r="J46" s="34" t="n"/>
      <c r="K46" s="34" t="n"/>
      <c r="L46" s="34" t="n"/>
      <c r="M46" s="34" t="n"/>
      <c r="N46" s="34" t="n"/>
      <c r="O46" s="38" t="inlineStr"/>
    </row>
    <row r="47">
      <c r="C47" t="inlineStr">
        <is>
          <t xml:space="preserve">      Set 1</t>
        </is>
      </c>
      <c r="E47" t="n">
        <v>2</v>
      </c>
      <c r="H47" s="39">
        <f>IF(H46="","",H46)</f>
        <v/>
      </c>
      <c r="I47" s="7">
        <f>IF(H46="","",H46)</f>
        <v/>
      </c>
      <c r="J47" s="7" t="n">
        <v>2</v>
      </c>
      <c r="K47" s="7" t="n"/>
      <c r="L47" s="40" t="n"/>
      <c r="M47">
        <f>IF(AND(L47&lt;&gt;"",N(I47)&gt;0,N(J47)&gt;0),IF(J47=1,I47,ROUND(I47*(1+J47/30),1)),"")</f>
        <v/>
      </c>
      <c r="N47" s="41">
        <f>IF(M47="","",IF(M47&gt;=PRs!C7,"PR!",""))</f>
        <v/>
      </c>
      <c r="O47" s="7" t="n"/>
    </row>
    <row r="48">
      <c r="C48" t="inlineStr">
        <is>
          <t xml:space="preserve">      Set 2</t>
        </is>
      </c>
      <c r="E48" t="n">
        <v>2</v>
      </c>
      <c r="H48" s="39">
        <f>IF(H46="","",H46)</f>
        <v/>
      </c>
      <c r="I48" s="7">
        <f>IF(H46="","",H46)</f>
        <v/>
      </c>
      <c r="J48" s="7" t="n">
        <v>2</v>
      </c>
      <c r="K48" s="7" t="n"/>
      <c r="L48" s="40" t="n"/>
      <c r="M48">
        <f>IF(AND(L48&lt;&gt;"",N(I48)&gt;0,N(J48)&gt;0),IF(J48=1,I48,ROUND(I48*(1+J48/30),1)),"")</f>
        <v/>
      </c>
      <c r="N48" s="41">
        <f>IF(M48="","",IF(M48&gt;=PRs!C7,"PR!",""))</f>
        <v/>
      </c>
      <c r="O48" s="7" t="n"/>
    </row>
    <row r="49">
      <c r="C49" t="inlineStr">
        <is>
          <t xml:space="preserve">      Set 3</t>
        </is>
      </c>
      <c r="E49" t="n">
        <v>2</v>
      </c>
      <c r="H49" s="39">
        <f>IF(H46="","",H46)</f>
        <v/>
      </c>
      <c r="I49" s="7">
        <f>IF(H46="","",H46)</f>
        <v/>
      </c>
      <c r="J49" s="7" t="n">
        <v>2</v>
      </c>
      <c r="K49" s="7" t="n"/>
      <c r="L49" s="40" t="n"/>
      <c r="M49">
        <f>IF(AND(L49&lt;&gt;"",N(I49)&gt;0,N(J49)&gt;0),IF(J49=1,I49,ROUND(I49*(1+J49/30),1)),"")</f>
        <v/>
      </c>
      <c r="N49" s="41">
        <f>IF(M49="","",IF(M49&gt;=PRs!C7,"PR!",""))</f>
        <v/>
      </c>
      <c r="O49" s="7" t="n"/>
    </row>
    <row r="50">
      <c r="C50" t="inlineStr">
        <is>
          <t xml:space="preserve">      Set 4</t>
        </is>
      </c>
      <c r="E50" t="n">
        <v>2</v>
      </c>
      <c r="H50" s="39">
        <f>IF(H46="","",H46)</f>
        <v/>
      </c>
      <c r="I50" s="7">
        <f>IF(H46="","",H46)</f>
        <v/>
      </c>
      <c r="J50" s="7" t="n">
        <v>2</v>
      </c>
      <c r="K50" s="7" t="n"/>
      <c r="L50" s="40" t="n"/>
      <c r="M50">
        <f>IF(AND(L50&lt;&gt;"",N(I50)&gt;0,N(J50)&gt;0),IF(J50=1,I50,ROUND(I50*(1+J50/30),1)),"")</f>
        <v/>
      </c>
      <c r="N50" s="41">
        <f>IF(M50="","",IF(M50&gt;=PRs!C7,"PR!",""))</f>
        <v/>
      </c>
      <c r="O50" s="7" t="n"/>
    </row>
    <row r="51">
      <c r="C51" t="inlineStr">
        <is>
          <t xml:space="preserve">      Set 5</t>
        </is>
      </c>
      <c r="E51" t="n">
        <v>2</v>
      </c>
      <c r="H51" s="39">
        <f>IF(H46="","",H46)</f>
        <v/>
      </c>
      <c r="I51" s="7">
        <f>IF(H46="","",H46)</f>
        <v/>
      </c>
      <c r="J51" s="7" t="n">
        <v>2</v>
      </c>
      <c r="K51" s="7" t="n"/>
      <c r="L51" s="40" t="n"/>
      <c r="M51">
        <f>IF(AND(L51&lt;&gt;"",N(I51)&gt;0,N(J51)&gt;0),IF(J51=1,I51,ROUND(I51*(1+J51/30),1)),"")</f>
        <v/>
      </c>
      <c r="N51" s="41">
        <f>IF(M51="","",IF(M51&gt;=PRs!C7,"PR!",""))</f>
        <v/>
      </c>
      <c r="O51" s="7" t="n"/>
    </row>
    <row r="52">
      <c r="A52" s="34" t="n"/>
      <c r="B52" s="34" t="n"/>
      <c r="C52" s="42" t="inlineStr">
        <is>
          <t>Squat</t>
        </is>
      </c>
      <c r="D52" s="34" t="inlineStr">
        <is>
          <t>4 x 5</t>
        </is>
      </c>
      <c r="E52" s="34" t="n"/>
      <c r="F52" s="34" t="n">
        <v>67.5</v>
      </c>
      <c r="G52" s="36">
        <f>Maxes!H2</f>
        <v/>
      </c>
      <c r="H52" s="37">
        <f>IF(OR(G52="",F52=""),"",MROUND(G52*F52/100,'Start Here'!$B$7))</f>
        <v/>
      </c>
      <c r="I52" s="34" t="n"/>
      <c r="J52" s="34" t="n"/>
      <c r="K52" s="34" t="n"/>
      <c r="L52" s="34" t="n"/>
      <c r="M52" s="34" t="n"/>
      <c r="N52" s="34" t="n"/>
      <c r="O52" s="38" t="inlineStr"/>
    </row>
    <row r="53">
      <c r="C53" t="inlineStr">
        <is>
          <t xml:space="preserve">      Set 1</t>
        </is>
      </c>
      <c r="E53" t="n">
        <v>5</v>
      </c>
      <c r="H53" s="39">
        <f>IF(H52="","",H52)</f>
        <v/>
      </c>
      <c r="I53" s="7">
        <f>IF(H52="","",H52)</f>
        <v/>
      </c>
      <c r="J53" s="7" t="n">
        <v>5</v>
      </c>
      <c r="K53" s="7" t="n"/>
      <c r="L53" s="40" t="n"/>
      <c r="M53">
        <f>IF(AND(L53&lt;&gt;"",N(I53)&gt;0,N(J53)&gt;0),IF(J53=1,I53,ROUND(I53*(1+J53/30),1)),"")</f>
        <v/>
      </c>
      <c r="N53" s="41">
        <f>IF(M53="","",IF(M53&gt;=PRs!C2,"PR!",""))</f>
        <v/>
      </c>
      <c r="O53" s="7" t="n"/>
    </row>
    <row r="54">
      <c r="C54" t="inlineStr">
        <is>
          <t xml:space="preserve">      Set 2</t>
        </is>
      </c>
      <c r="E54" t="n">
        <v>5</v>
      </c>
      <c r="H54" s="39">
        <f>IF(H52="","",H52)</f>
        <v/>
      </c>
      <c r="I54" s="7">
        <f>IF(H52="","",H52)</f>
        <v/>
      </c>
      <c r="J54" s="7" t="n">
        <v>5</v>
      </c>
      <c r="K54" s="7" t="n"/>
      <c r="L54" s="40" t="n"/>
      <c r="M54">
        <f>IF(AND(L54&lt;&gt;"",N(I54)&gt;0,N(J54)&gt;0),IF(J54=1,I54,ROUND(I54*(1+J54/30),1)),"")</f>
        <v/>
      </c>
      <c r="N54" s="41">
        <f>IF(M54="","",IF(M54&gt;=PRs!C2,"PR!",""))</f>
        <v/>
      </c>
      <c r="O54" s="7" t="n"/>
    </row>
    <row r="55">
      <c r="C55" t="inlineStr">
        <is>
          <t xml:space="preserve">      Set 3</t>
        </is>
      </c>
      <c r="E55" t="n">
        <v>5</v>
      </c>
      <c r="H55" s="39">
        <f>IF(H52="","",H52)</f>
        <v/>
      </c>
      <c r="I55" s="7">
        <f>IF(H52="","",H52)</f>
        <v/>
      </c>
      <c r="J55" s="7" t="n">
        <v>5</v>
      </c>
      <c r="K55" s="7" t="n"/>
      <c r="L55" s="40" t="n"/>
      <c r="M55">
        <f>IF(AND(L55&lt;&gt;"",N(I55)&gt;0,N(J55)&gt;0),IF(J55=1,I55,ROUND(I55*(1+J55/30),1)),"")</f>
        <v/>
      </c>
      <c r="N55" s="41">
        <f>IF(M55="","",IF(M55&gt;=PRs!C2,"PR!",""))</f>
        <v/>
      </c>
      <c r="O55" s="7" t="n"/>
    </row>
    <row r="56">
      <c r="C56" t="inlineStr">
        <is>
          <t xml:space="preserve">      Set 4</t>
        </is>
      </c>
      <c r="E56" t="n">
        <v>5</v>
      </c>
      <c r="H56" s="39">
        <f>IF(H52="","",H52)</f>
        <v/>
      </c>
      <c r="I56" s="7">
        <f>IF(H52="","",H52)</f>
        <v/>
      </c>
      <c r="J56" s="7" t="n">
        <v>5</v>
      </c>
      <c r="K56" s="7" t="n"/>
      <c r="L56" s="40" t="n"/>
      <c r="M56">
        <f>IF(AND(L56&lt;&gt;"",N(I56)&gt;0,N(J56)&gt;0),IF(J56=1,I56,ROUND(I56*(1+J56/30),1)),"")</f>
        <v/>
      </c>
      <c r="N56" s="41">
        <f>IF(M56="","",IF(M56&gt;=PRs!C2,"PR!",""))</f>
        <v/>
      </c>
      <c r="O56" s="7" t="n"/>
    </row>
    <row r="57">
      <c r="A57" s="34" t="n"/>
      <c r="B57" s="34" t="n"/>
      <c r="C57" s="42" t="inlineStr">
        <is>
          <t>Overhead Press</t>
        </is>
      </c>
      <c r="D57" s="34" t="inlineStr">
        <is>
          <t>4 x 5</t>
        </is>
      </c>
      <c r="E57" s="34" t="n"/>
      <c r="F57" s="34" t="n">
        <v>77.5</v>
      </c>
      <c r="G57" s="36">
        <f>Maxes!H5</f>
        <v/>
      </c>
      <c r="H57" s="37">
        <f>IF(OR(G57="",F57=""),"",MROUND(G57*F57/100,'Start Here'!$B$7))</f>
        <v/>
      </c>
      <c r="I57" s="34" t="n"/>
      <c r="J57" s="34" t="n"/>
      <c r="K57" s="34" t="n"/>
      <c r="L57" s="34" t="n"/>
      <c r="M57" s="34" t="n"/>
      <c r="N57" s="34" t="n"/>
      <c r="O57" s="38" t="inlineStr"/>
    </row>
    <row r="58">
      <c r="C58" t="inlineStr">
        <is>
          <t xml:space="preserve">      Set 1</t>
        </is>
      </c>
      <c r="E58" t="n">
        <v>5</v>
      </c>
      <c r="H58" s="39">
        <f>IF(H57="","",H57)</f>
        <v/>
      </c>
      <c r="I58" s="7">
        <f>IF(H57="","",H57)</f>
        <v/>
      </c>
      <c r="J58" s="7" t="n">
        <v>5</v>
      </c>
      <c r="K58" s="7" t="n"/>
      <c r="L58" s="40" t="n"/>
      <c r="M58">
        <f>IF(AND(L58&lt;&gt;"",N(I58)&gt;0,N(J58)&gt;0),IF(J58=1,I58,ROUND(I58*(1+J58/30),1)),"")</f>
        <v/>
      </c>
      <c r="N58" s="41">
        <f>IF(M58="","",IF(M58&gt;=PRs!C5,"PR!",""))</f>
        <v/>
      </c>
      <c r="O58" s="7" t="n"/>
    </row>
    <row r="59">
      <c r="C59" t="inlineStr">
        <is>
          <t xml:space="preserve">      Set 2</t>
        </is>
      </c>
      <c r="E59" t="n">
        <v>5</v>
      </c>
      <c r="H59" s="39">
        <f>IF(H57="","",H57)</f>
        <v/>
      </c>
      <c r="I59" s="7">
        <f>IF(H57="","",H57)</f>
        <v/>
      </c>
      <c r="J59" s="7" t="n">
        <v>5</v>
      </c>
      <c r="K59" s="7" t="n"/>
      <c r="L59" s="40" t="n"/>
      <c r="M59">
        <f>IF(AND(L59&lt;&gt;"",N(I59)&gt;0,N(J59)&gt;0),IF(J59=1,I59,ROUND(I59*(1+J59/30),1)),"")</f>
        <v/>
      </c>
      <c r="N59" s="41">
        <f>IF(M59="","",IF(M59&gt;=PRs!C5,"PR!",""))</f>
        <v/>
      </c>
      <c r="O59" s="7" t="n"/>
    </row>
    <row r="60">
      <c r="C60" t="inlineStr">
        <is>
          <t xml:space="preserve">      Set 3</t>
        </is>
      </c>
      <c r="E60" t="n">
        <v>5</v>
      </c>
      <c r="H60" s="39">
        <f>IF(H57="","",H57)</f>
        <v/>
      </c>
      <c r="I60" s="7">
        <f>IF(H57="","",H57)</f>
        <v/>
      </c>
      <c r="J60" s="7" t="n">
        <v>5</v>
      </c>
      <c r="K60" s="7" t="n"/>
      <c r="L60" s="40" t="n"/>
      <c r="M60">
        <f>IF(AND(L60&lt;&gt;"",N(I60)&gt;0,N(J60)&gt;0),IF(J60=1,I60,ROUND(I60*(1+J60/30),1)),"")</f>
        <v/>
      </c>
      <c r="N60" s="41">
        <f>IF(M60="","",IF(M60&gt;=PRs!C5,"PR!",""))</f>
        <v/>
      </c>
      <c r="O60" s="7" t="n"/>
    </row>
    <row r="61">
      <c r="C61" t="inlineStr">
        <is>
          <t xml:space="preserve">      Set 4</t>
        </is>
      </c>
      <c r="E61" t="n">
        <v>5</v>
      </c>
      <c r="H61" s="39">
        <f>IF(H57="","",H57)</f>
        <v/>
      </c>
      <c r="I61" s="7">
        <f>IF(H57="","",H57)</f>
        <v/>
      </c>
      <c r="J61" s="7" t="n">
        <v>5</v>
      </c>
      <c r="K61" s="7" t="n"/>
      <c r="L61" s="40" t="n"/>
      <c r="M61">
        <f>IF(AND(L61&lt;&gt;"",N(I61)&gt;0,N(J61)&gt;0),IF(J61=1,I61,ROUND(I61*(1+J61/30),1)),"")</f>
        <v/>
      </c>
      <c r="N61" s="41">
        <f>IF(M61="","",IF(M61&gt;=PRs!C5,"PR!",""))</f>
        <v/>
      </c>
      <c r="O61" s="7" t="n"/>
    </row>
    <row r="62">
      <c r="A62" s="34" t="n"/>
      <c r="B62" s="34" t="n"/>
      <c r="C62" s="42" t="inlineStr">
        <is>
          <t>Deadlift</t>
        </is>
      </c>
      <c r="D62" s="34" t="inlineStr">
        <is>
          <t>3 x 5</t>
        </is>
      </c>
      <c r="E62" s="34" t="n"/>
      <c r="F62" s="34" t="n">
        <v>77.5</v>
      </c>
      <c r="G62" s="36">
        <f>Maxes!H4</f>
        <v/>
      </c>
      <c r="H62" s="37">
        <f>IF(OR(G62="",F62=""),"",MROUND(G62*F62/100,'Start Here'!$B$7))</f>
        <v/>
      </c>
      <c r="I62" s="34" t="n"/>
      <c r="J62" s="34" t="n"/>
      <c r="K62" s="34" t="n"/>
      <c r="L62" s="34" t="n"/>
      <c r="M62" s="34" t="n"/>
      <c r="N62" s="34" t="n"/>
      <c r="O62" s="38" t="inlineStr"/>
    </row>
    <row r="63">
      <c r="C63" t="inlineStr">
        <is>
          <t xml:space="preserve">      Set 1</t>
        </is>
      </c>
      <c r="E63" t="n">
        <v>5</v>
      </c>
      <c r="H63" s="39">
        <f>IF(H62="","",H62)</f>
        <v/>
      </c>
      <c r="I63" s="7">
        <f>IF(H62="","",H62)</f>
        <v/>
      </c>
      <c r="J63" s="7" t="n">
        <v>5</v>
      </c>
      <c r="K63" s="7" t="n"/>
      <c r="L63" s="40" t="n"/>
      <c r="M63">
        <f>IF(AND(L63&lt;&gt;"",N(I63)&gt;0,N(J63)&gt;0),IF(J63=1,I63,ROUND(I63*(1+J63/30),1)),"")</f>
        <v/>
      </c>
      <c r="N63" s="41">
        <f>IF(M63="","",IF(M63&gt;=PRs!C4,"PR!",""))</f>
        <v/>
      </c>
      <c r="O63" s="7" t="n"/>
    </row>
    <row r="64">
      <c r="C64" t="inlineStr">
        <is>
          <t xml:space="preserve">      Set 2</t>
        </is>
      </c>
      <c r="E64" t="n">
        <v>5</v>
      </c>
      <c r="H64" s="39">
        <f>IF(H62="","",H62)</f>
        <v/>
      </c>
      <c r="I64" s="7">
        <f>IF(H62="","",H62)</f>
        <v/>
      </c>
      <c r="J64" s="7" t="n">
        <v>5</v>
      </c>
      <c r="K64" s="7" t="n"/>
      <c r="L64" s="40" t="n"/>
      <c r="M64">
        <f>IF(AND(L64&lt;&gt;"",N(I64)&gt;0,N(J64)&gt;0),IF(J64=1,I64,ROUND(I64*(1+J64/30),1)),"")</f>
        <v/>
      </c>
      <c r="N64" s="41">
        <f>IF(M64="","",IF(M64&gt;=PRs!C4,"PR!",""))</f>
        <v/>
      </c>
      <c r="O64" s="7" t="n"/>
    </row>
    <row r="65">
      <c r="C65" t="inlineStr">
        <is>
          <t xml:space="preserve">      Set 3</t>
        </is>
      </c>
      <c r="E65" t="n">
        <v>5</v>
      </c>
      <c r="H65" s="39">
        <f>IF(H62="","",H62)</f>
        <v/>
      </c>
      <c r="I65" s="7">
        <f>IF(H62="","",H62)</f>
        <v/>
      </c>
      <c r="J65" s="7" t="n">
        <v>5</v>
      </c>
      <c r="K65" s="7" t="n"/>
      <c r="L65" s="40" t="n"/>
      <c r="M65">
        <f>IF(AND(L65&lt;&gt;"",N(I65)&gt;0,N(J65)&gt;0),IF(J65=1,I65,ROUND(I65*(1+J65/30),1)),"")</f>
        <v/>
      </c>
      <c r="N65" s="41">
        <f>IF(M65="","",IF(M65&gt;=PRs!C4,"PR!",""))</f>
        <v/>
      </c>
      <c r="O65" s="7" t="n"/>
    </row>
    <row r="66">
      <c r="A66" s="34" t="n"/>
      <c r="B66" s="34" t="n"/>
      <c r="C66" s="43" t="inlineStr">
        <is>
          <t>Chin-up</t>
        </is>
      </c>
      <c r="D66" s="34" t="inlineStr">
        <is>
          <t>3 x 6-10</t>
        </is>
      </c>
      <c r="E66" s="34" t="n"/>
      <c r="F66" s="34" t="n"/>
      <c r="G66" s="36" t="n"/>
      <c r="H66" s="37" t="n"/>
      <c r="I66" s="34" t="n"/>
      <c r="J66" s="34" t="n"/>
      <c r="K66" s="34" t="n"/>
      <c r="L66" s="34" t="n"/>
      <c r="M66" s="34" t="n"/>
      <c r="N66" s="34" t="n"/>
      <c r="O66" s="38" t="inlineStr">
        <is>
          <t>Leave 1-2 reps in the tank; add weight when you hit the top of the range</t>
        </is>
      </c>
    </row>
    <row r="67">
      <c r="C67" t="inlineStr">
        <is>
          <t xml:space="preserve">      Set 1</t>
        </is>
      </c>
      <c r="E67" t="n">
        <v>6</v>
      </c>
      <c r="H67" s="39">
        <f>IF(H66="","",H66)</f>
        <v/>
      </c>
      <c r="I67" s="7">
        <f>IF(H66="","",H66)</f>
        <v/>
      </c>
      <c r="J67" s="7" t="n">
        <v>6</v>
      </c>
      <c r="K67" s="7" t="n"/>
      <c r="L67" s="40" t="n"/>
      <c r="M67">
        <f>IF(AND(L67&lt;&gt;"",N(I67)&gt;0,N(J67)&gt;0),IF(J67=1,I67,ROUND(I67*(1+J67/30),1)),"")</f>
        <v/>
      </c>
      <c r="N67" s="41">
        <f>IF(M67="","",IF(M67&gt;=PRs!C53,"PR!",""))</f>
        <v/>
      </c>
      <c r="O67" s="7" t="n"/>
    </row>
    <row r="68">
      <c r="C68" t="inlineStr">
        <is>
          <t xml:space="preserve">      Set 2</t>
        </is>
      </c>
      <c r="E68" t="n">
        <v>6</v>
      </c>
      <c r="H68" s="39">
        <f>IF(H66="","",H66)</f>
        <v/>
      </c>
      <c r="I68" s="7">
        <f>IF(H66="","",H66)</f>
        <v/>
      </c>
      <c r="J68" s="7" t="n">
        <v>6</v>
      </c>
      <c r="K68" s="7" t="n"/>
      <c r="L68" s="40" t="n"/>
      <c r="M68">
        <f>IF(AND(L68&lt;&gt;"",N(I68)&gt;0,N(J68)&gt;0),IF(J68=1,I68,ROUND(I68*(1+J68/30),1)),"")</f>
        <v/>
      </c>
      <c r="N68" s="41">
        <f>IF(M68="","",IF(M68&gt;=PRs!C53,"PR!",""))</f>
        <v/>
      </c>
      <c r="O68" s="7" t="n"/>
    </row>
    <row r="69">
      <c r="C69" t="inlineStr">
        <is>
          <t xml:space="preserve">      Set 3</t>
        </is>
      </c>
      <c r="E69" t="n">
        <v>6</v>
      </c>
      <c r="H69" s="39">
        <f>IF(H66="","",H66)</f>
        <v/>
      </c>
      <c r="I69" s="7">
        <f>IF(H66="","",H66)</f>
        <v/>
      </c>
      <c r="J69" s="7" t="n">
        <v>6</v>
      </c>
      <c r="K69" s="7" t="n"/>
      <c r="L69" s="40" t="n"/>
      <c r="M69">
        <f>IF(AND(L69&lt;&gt;"",N(I69)&gt;0,N(J69)&gt;0),IF(J69=1,I69,ROUND(I69*(1+J69/30),1)),"")</f>
        <v/>
      </c>
      <c r="N69" s="41">
        <f>IF(M69="","",IF(M69&gt;=PRs!C53,"PR!",""))</f>
        <v/>
      </c>
      <c r="O69" s="7" t="n"/>
    </row>
    <row r="70">
      <c r="A70" s="34" t="n"/>
      <c r="B70" s="34" t="n"/>
      <c r="C70" s="43" t="inlineStr">
        <is>
          <t>Plank</t>
        </is>
      </c>
      <c r="D70" s="34" t="inlineStr">
        <is>
          <t>3 x 30-60s</t>
        </is>
      </c>
      <c r="E70" s="34" t="n"/>
      <c r="F70" s="34" t="n"/>
      <c r="G70" s="36" t="n"/>
      <c r="H70" s="37" t="n"/>
      <c r="I70" s="34" t="n"/>
      <c r="J70" s="34" t="n"/>
      <c r="K70" s="34" t="n"/>
      <c r="L70" s="34" t="n"/>
      <c r="M70" s="34" t="n"/>
      <c r="N70" s="34" t="n"/>
      <c r="O70" s="38" t="inlineStr">
        <is>
          <t>Leave 1-2 reps in the tank; add weight when you hit the top of the range</t>
        </is>
      </c>
    </row>
    <row r="71">
      <c r="C71" t="inlineStr">
        <is>
          <t xml:space="preserve">      Set 1</t>
        </is>
      </c>
      <c r="E71" t="n">
        <v>30</v>
      </c>
      <c r="H71" s="39">
        <f>IF(H70="","",H70)</f>
        <v/>
      </c>
      <c r="I71" s="7">
        <f>IF(H70="","",H70)</f>
        <v/>
      </c>
      <c r="J71" s="7" t="n">
        <v>30</v>
      </c>
      <c r="K71" s="7" t="n"/>
      <c r="L71" s="40" t="n"/>
      <c r="M71">
        <f>IF(AND(L71&lt;&gt;"",N(I71)&gt;0,N(J71)&gt;0),IF(J71=1,I71,ROUND(I71*(1+J71/30),1)),"")</f>
        <v/>
      </c>
      <c r="N71" s="41">
        <f>IF(M71="","",IF(M71&gt;=PRs!C56,"PR!",""))</f>
        <v/>
      </c>
      <c r="O71" s="7" t="n"/>
    </row>
    <row r="72">
      <c r="C72" t="inlineStr">
        <is>
          <t xml:space="preserve">      Set 2</t>
        </is>
      </c>
      <c r="E72" t="n">
        <v>30</v>
      </c>
      <c r="H72" s="39">
        <f>IF(H70="","",H70)</f>
        <v/>
      </c>
      <c r="I72" s="7">
        <f>IF(H70="","",H70)</f>
        <v/>
      </c>
      <c r="J72" s="7" t="n">
        <v>30</v>
      </c>
      <c r="K72" s="7" t="n"/>
      <c r="L72" s="40" t="n"/>
      <c r="M72">
        <f>IF(AND(L72&lt;&gt;"",N(I72)&gt;0,N(J72)&gt;0),IF(J72=1,I72,ROUND(I72*(1+J72/30),1)),"")</f>
        <v/>
      </c>
      <c r="N72" s="41">
        <f>IF(M72="","",IF(M72&gt;=PRs!C56,"PR!",""))</f>
        <v/>
      </c>
      <c r="O72" s="7" t="n"/>
    </row>
    <row r="73">
      <c r="C73" t="inlineStr">
        <is>
          <t xml:space="preserve">      Set 3</t>
        </is>
      </c>
      <c r="E73" t="n">
        <v>30</v>
      </c>
      <c r="H73" s="39">
        <f>IF(H70="","",H70)</f>
        <v/>
      </c>
      <c r="I73" s="7">
        <f>IF(H70="","",H70)</f>
        <v/>
      </c>
      <c r="J73" s="7" t="n">
        <v>30</v>
      </c>
      <c r="K73" s="7" t="n"/>
      <c r="L73" s="40" t="n"/>
      <c r="M73">
        <f>IF(AND(L73&lt;&gt;"",N(I73)&gt;0,N(J73)&gt;0),IF(J73=1,I73,ROUND(I73*(1+J73/30),1)),"")</f>
        <v/>
      </c>
      <c r="N73" s="41">
        <f>IF(M73="","",IF(M73&gt;=PRs!C56,"PR!",""))</f>
        <v/>
      </c>
      <c r="O73" s="7" t="n"/>
    </row>
    <row r="74">
      <c r="A74" s="31" t="inlineStr">
        <is>
          <t>Day 3 - Variations</t>
        </is>
      </c>
      <c r="B74" s="32">
        <f>'Start Here'!$B$8+312</f>
        <v/>
      </c>
      <c r="C74" s="33" t="n"/>
      <c r="D74" s="33" t="n"/>
      <c r="E74" s="33" t="n"/>
      <c r="F74" s="33" t="n"/>
      <c r="G74" s="33" t="n"/>
      <c r="H74" s="33" t="n"/>
      <c r="I74" s="33" t="n"/>
      <c r="J74" s="33" t="n"/>
      <c r="K74" s="33" t="n"/>
      <c r="L74" s="33" t="n"/>
      <c r="M74" s="33" t="n"/>
      <c r="N74" s="33" t="n"/>
      <c r="O74" s="33" t="n"/>
    </row>
    <row r="75">
      <c r="A75" s="34" t="n"/>
      <c r="B75" s="34" t="n"/>
      <c r="C75" s="35" t="inlineStr">
        <is>
          <t>Seated Box Jump</t>
        </is>
      </c>
      <c r="D75" s="34" t="inlineStr">
        <is>
          <t>3 x 2</t>
        </is>
      </c>
      <c r="E75" s="34" t="n"/>
      <c r="F75" s="34" t="n"/>
      <c r="G75" s="36" t="n"/>
      <c r="H75" s="37">
        <f>IF(N(Maxes!H76)&gt;0,Maxes!H76,"")</f>
        <v/>
      </c>
      <c r="I75" s="34" t="n"/>
      <c r="J75" s="34" t="n"/>
      <c r="K75" s="34" t="n"/>
      <c r="L75" s="34" t="n"/>
      <c r="M75" s="34" t="n"/>
      <c r="N75" s="34" t="n"/>
      <c r="O75" s="38" t="inlineStr">
        <is>
          <t>Sit on a box, feet flat, then jump from seated onto a second box. Log the landing-box height.</t>
        </is>
      </c>
    </row>
    <row r="76">
      <c r="C76" t="inlineStr">
        <is>
          <t xml:space="preserve">      Set 1</t>
        </is>
      </c>
      <c r="E76" t="n">
        <v>2</v>
      </c>
      <c r="H76" s="39">
        <f>IF(H75="","",H75)</f>
        <v/>
      </c>
      <c r="I76" s="7">
        <f>IF(H75="","",H75)</f>
        <v/>
      </c>
      <c r="J76" s="7" t="n">
        <v>2</v>
      </c>
      <c r="K76" s="7" t="n"/>
      <c r="L76" s="40" t="n"/>
      <c r="N76" s="41">
        <f>IF(AND(L76&lt;&gt;"",N(I76)&gt;0),IF(I76&gt;=PRs!D76,"PR!",""),"")</f>
        <v/>
      </c>
      <c r="O76" s="7" t="n"/>
    </row>
    <row r="77">
      <c r="C77" t="inlineStr">
        <is>
          <t xml:space="preserve">      Set 2</t>
        </is>
      </c>
      <c r="E77" t="n">
        <v>2</v>
      </c>
      <c r="H77" s="39">
        <f>IF(H75="","",H75)</f>
        <v/>
      </c>
      <c r="I77" s="7">
        <f>IF(H75="","",H75)</f>
        <v/>
      </c>
      <c r="J77" s="7" t="n">
        <v>2</v>
      </c>
      <c r="K77" s="7" t="n"/>
      <c r="L77" s="40" t="n"/>
      <c r="N77" s="41">
        <f>IF(AND(L77&lt;&gt;"",N(I77)&gt;0),IF(I77&gt;=PRs!D76,"PR!",""),"")</f>
        <v/>
      </c>
      <c r="O77" s="7" t="n"/>
    </row>
    <row r="78">
      <c r="C78" t="inlineStr">
        <is>
          <t xml:space="preserve">      Set 3</t>
        </is>
      </c>
      <c r="E78" t="n">
        <v>2</v>
      </c>
      <c r="H78" s="39">
        <f>IF(H75="","",H75)</f>
        <v/>
      </c>
      <c r="I78" s="7">
        <f>IF(H75="","",H75)</f>
        <v/>
      </c>
      <c r="J78" s="7" t="n">
        <v>2</v>
      </c>
      <c r="K78" s="7" t="n"/>
      <c r="L78" s="40" t="n"/>
      <c r="N78" s="41">
        <f>IF(AND(L78&lt;&gt;"",N(I78)&gt;0),IF(I78&gt;=PRs!D76,"PR!",""),"")</f>
        <v/>
      </c>
      <c r="O78" s="7" t="n"/>
    </row>
    <row r="79">
      <c r="A79" s="34" t="n"/>
      <c r="B79" s="34" t="n"/>
      <c r="C79" s="42" t="inlineStr">
        <is>
          <t>Hang Clean</t>
        </is>
      </c>
      <c r="D79" s="34" t="inlineStr">
        <is>
          <t>4 x 3</t>
        </is>
      </c>
      <c r="E79" s="34" t="n"/>
      <c r="F79" s="34" t="n">
        <v>77.5</v>
      </c>
      <c r="G79" s="36">
        <f>Maxes!H43</f>
        <v/>
      </c>
      <c r="H79" s="37">
        <f>IF(OR(G79="",F79=""),"",MROUND(G79*F79/100,'Start Here'!$B$7))</f>
        <v/>
      </c>
      <c r="I79" s="34" t="n"/>
      <c r="J79" s="34" t="n"/>
      <c r="K79" s="34" t="n"/>
      <c r="L79" s="34" t="n"/>
      <c r="M79" s="34" t="n"/>
      <c r="N79" s="34" t="n"/>
      <c r="O79" s="38" t="inlineStr"/>
    </row>
    <row r="80">
      <c r="C80" t="inlineStr">
        <is>
          <t xml:space="preserve">      Set 1</t>
        </is>
      </c>
      <c r="E80" t="n">
        <v>3</v>
      </c>
      <c r="H80" s="39">
        <f>IF(H79="","",H79)</f>
        <v/>
      </c>
      <c r="I80" s="7">
        <f>IF(H79="","",H79)</f>
        <v/>
      </c>
      <c r="J80" s="7" t="n">
        <v>3</v>
      </c>
      <c r="K80" s="7" t="n"/>
      <c r="L80" s="40" t="n"/>
      <c r="M80">
        <f>IF(AND(L80&lt;&gt;"",N(I80)&gt;0,N(J80)&gt;0),IF(J80=1,I80,ROUND(I80*(1+J80/30),1)),"")</f>
        <v/>
      </c>
      <c r="N80" s="41">
        <f>IF(M80="","",IF(M80&gt;=PRs!C43,"PR!",""))</f>
        <v/>
      </c>
      <c r="O80" s="7" t="n"/>
    </row>
    <row r="81">
      <c r="C81" t="inlineStr">
        <is>
          <t xml:space="preserve">      Set 2</t>
        </is>
      </c>
      <c r="E81" t="n">
        <v>3</v>
      </c>
      <c r="H81" s="39">
        <f>IF(H79="","",H79)</f>
        <v/>
      </c>
      <c r="I81" s="7">
        <f>IF(H79="","",H79)</f>
        <v/>
      </c>
      <c r="J81" s="7" t="n">
        <v>3</v>
      </c>
      <c r="K81" s="7" t="n"/>
      <c r="L81" s="40" t="n"/>
      <c r="M81">
        <f>IF(AND(L81&lt;&gt;"",N(I81)&gt;0,N(J81)&gt;0),IF(J81=1,I81,ROUND(I81*(1+J81/30),1)),"")</f>
        <v/>
      </c>
      <c r="N81" s="41">
        <f>IF(M81="","",IF(M81&gt;=PRs!C43,"PR!",""))</f>
        <v/>
      </c>
      <c r="O81" s="7" t="n"/>
    </row>
    <row r="82">
      <c r="C82" t="inlineStr">
        <is>
          <t xml:space="preserve">      Set 3</t>
        </is>
      </c>
      <c r="E82" t="n">
        <v>3</v>
      </c>
      <c r="H82" s="39">
        <f>IF(H79="","",H79)</f>
        <v/>
      </c>
      <c r="I82" s="7">
        <f>IF(H79="","",H79)</f>
        <v/>
      </c>
      <c r="J82" s="7" t="n">
        <v>3</v>
      </c>
      <c r="K82" s="7" t="n"/>
      <c r="L82" s="40" t="n"/>
      <c r="M82">
        <f>IF(AND(L82&lt;&gt;"",N(I82)&gt;0,N(J82)&gt;0),IF(J82=1,I82,ROUND(I82*(1+J82/30),1)),"")</f>
        <v/>
      </c>
      <c r="N82" s="41">
        <f>IF(M82="","",IF(M82&gt;=PRs!C43,"PR!",""))</f>
        <v/>
      </c>
      <c r="O82" s="7" t="n"/>
    </row>
    <row r="83">
      <c r="C83" t="inlineStr">
        <is>
          <t xml:space="preserve">      Set 4</t>
        </is>
      </c>
      <c r="E83" t="n">
        <v>3</v>
      </c>
      <c r="H83" s="39">
        <f>IF(H79="","",H79)</f>
        <v/>
      </c>
      <c r="I83" s="7">
        <f>IF(H79="","",H79)</f>
        <v/>
      </c>
      <c r="J83" s="7" t="n">
        <v>3</v>
      </c>
      <c r="K83" s="7" t="n"/>
      <c r="L83" s="40" t="n"/>
      <c r="M83">
        <f>IF(AND(L83&lt;&gt;"",N(I83)&gt;0,N(J83)&gt;0),IF(J83=1,I83,ROUND(I83*(1+J83/30),1)),"")</f>
        <v/>
      </c>
      <c r="N83" s="41">
        <f>IF(M83="","",IF(M83&gt;=PRs!C43,"PR!",""))</f>
        <v/>
      </c>
      <c r="O83" s="7" t="n"/>
    </row>
    <row r="84">
      <c r="A84" s="34" t="n"/>
      <c r="B84" s="34" t="n"/>
      <c r="C84" s="42" t="inlineStr">
        <is>
          <t>Pause Squat</t>
        </is>
      </c>
      <c r="D84" s="34" t="inlineStr">
        <is>
          <t>4 x 5</t>
        </is>
      </c>
      <c r="E84" s="34" t="n"/>
      <c r="F84" s="34" t="n">
        <v>77.5</v>
      </c>
      <c r="G84" s="36">
        <f>Maxes!H9</f>
        <v/>
      </c>
      <c r="H84" s="37">
        <f>IF(OR(G84="",F84=""),"",MROUND(G84*F84/100,'Start Here'!$B$7))</f>
        <v/>
      </c>
      <c r="I84" s="34" t="n"/>
      <c r="J84" s="34" t="n"/>
      <c r="K84" s="34" t="n"/>
      <c r="L84" s="34" t="n"/>
      <c r="M84" s="34" t="n"/>
      <c r="N84" s="34" t="n"/>
      <c r="O84" s="38" t="inlineStr"/>
    </row>
    <row r="85">
      <c r="C85" t="inlineStr">
        <is>
          <t xml:space="preserve">      Set 1</t>
        </is>
      </c>
      <c r="E85" t="n">
        <v>5</v>
      </c>
      <c r="H85" s="39">
        <f>IF(H84="","",H84)</f>
        <v/>
      </c>
      <c r="I85" s="7">
        <f>IF(H84="","",H84)</f>
        <v/>
      </c>
      <c r="J85" s="7" t="n">
        <v>5</v>
      </c>
      <c r="K85" s="7" t="n"/>
      <c r="L85" s="40" t="n"/>
      <c r="M85">
        <f>IF(AND(L85&lt;&gt;"",N(I85)&gt;0,N(J85)&gt;0),IF(J85=1,I85,ROUND(I85*(1+J85/30),1)),"")</f>
        <v/>
      </c>
      <c r="N85" s="41">
        <f>IF(M85="","",IF(M85&gt;=PRs!C9,"PR!",""))</f>
        <v/>
      </c>
      <c r="O85" s="7" t="n"/>
    </row>
    <row r="86">
      <c r="C86" t="inlineStr">
        <is>
          <t xml:space="preserve">      Set 2</t>
        </is>
      </c>
      <c r="E86" t="n">
        <v>5</v>
      </c>
      <c r="H86" s="39">
        <f>IF(H84="","",H84)</f>
        <v/>
      </c>
      <c r="I86" s="7">
        <f>IF(H84="","",H84)</f>
        <v/>
      </c>
      <c r="J86" s="7" t="n">
        <v>5</v>
      </c>
      <c r="K86" s="7" t="n"/>
      <c r="L86" s="40" t="n"/>
      <c r="M86">
        <f>IF(AND(L86&lt;&gt;"",N(I86)&gt;0,N(J86)&gt;0),IF(J86=1,I86,ROUND(I86*(1+J86/30),1)),"")</f>
        <v/>
      </c>
      <c r="N86" s="41">
        <f>IF(M86="","",IF(M86&gt;=PRs!C9,"PR!",""))</f>
        <v/>
      </c>
      <c r="O86" s="7" t="n"/>
    </row>
    <row r="87">
      <c r="C87" t="inlineStr">
        <is>
          <t xml:space="preserve">      Set 3</t>
        </is>
      </c>
      <c r="E87" t="n">
        <v>5</v>
      </c>
      <c r="H87" s="39">
        <f>IF(H84="","",H84)</f>
        <v/>
      </c>
      <c r="I87" s="7">
        <f>IF(H84="","",H84)</f>
        <v/>
      </c>
      <c r="J87" s="7" t="n">
        <v>5</v>
      </c>
      <c r="K87" s="7" t="n"/>
      <c r="L87" s="40" t="n"/>
      <c r="M87">
        <f>IF(AND(L87&lt;&gt;"",N(I87)&gt;0,N(J87)&gt;0),IF(J87=1,I87,ROUND(I87*(1+J87/30),1)),"")</f>
        <v/>
      </c>
      <c r="N87" s="41">
        <f>IF(M87="","",IF(M87&gt;=PRs!C9,"PR!",""))</f>
        <v/>
      </c>
      <c r="O87" s="7" t="n"/>
    </row>
    <row r="88">
      <c r="C88" t="inlineStr">
        <is>
          <t xml:space="preserve">      Set 4</t>
        </is>
      </c>
      <c r="E88" t="n">
        <v>5</v>
      </c>
      <c r="H88" s="39">
        <f>IF(H84="","",H84)</f>
        <v/>
      </c>
      <c r="I88" s="7">
        <f>IF(H84="","",H84)</f>
        <v/>
      </c>
      <c r="J88" s="7" t="n">
        <v>5</v>
      </c>
      <c r="K88" s="7" t="n"/>
      <c r="L88" s="40" t="n"/>
      <c r="M88">
        <f>IF(AND(L88&lt;&gt;"",N(I88)&gt;0,N(J88)&gt;0),IF(J88=1,I88,ROUND(I88*(1+J88/30),1)),"")</f>
        <v/>
      </c>
      <c r="N88" s="41">
        <f>IF(M88="","",IF(M88&gt;=PRs!C9,"PR!",""))</f>
        <v/>
      </c>
      <c r="O88" s="7" t="n"/>
    </row>
    <row r="89">
      <c r="A89" s="34" t="n"/>
      <c r="B89" s="34" t="n"/>
      <c r="C89" s="42" t="inlineStr">
        <is>
          <t>Floor Press</t>
        </is>
      </c>
      <c r="D89" s="34" t="inlineStr">
        <is>
          <t>4 x 5</t>
        </is>
      </c>
      <c r="E89" s="34" t="n"/>
      <c r="F89" s="34" t="n">
        <v>77.5</v>
      </c>
      <c r="G89" s="36">
        <f>Maxes!H19</f>
        <v/>
      </c>
      <c r="H89" s="37">
        <f>IF(OR(G89="",F89=""),"",MROUND(G89*F89/100,'Start Here'!$B$7))</f>
        <v/>
      </c>
      <c r="I89" s="34" t="n"/>
      <c r="J89" s="34" t="n"/>
      <c r="K89" s="34" t="n"/>
      <c r="L89" s="34" t="n"/>
      <c r="M89" s="34" t="n"/>
      <c r="N89" s="34" t="n"/>
      <c r="O89" s="38" t="inlineStr"/>
    </row>
    <row r="90">
      <c r="C90" t="inlineStr">
        <is>
          <t xml:space="preserve">      Set 1</t>
        </is>
      </c>
      <c r="E90" t="n">
        <v>5</v>
      </c>
      <c r="H90" s="39">
        <f>IF(H89="","",H89)</f>
        <v/>
      </c>
      <c r="I90" s="7">
        <f>IF(H89="","",H89)</f>
        <v/>
      </c>
      <c r="J90" s="7" t="n">
        <v>5</v>
      </c>
      <c r="K90" s="7" t="n"/>
      <c r="L90" s="40" t="n"/>
      <c r="M90">
        <f>IF(AND(L90&lt;&gt;"",N(I90)&gt;0,N(J90)&gt;0),IF(J90=1,I90,ROUND(I90*(1+J90/30),1)),"")</f>
        <v/>
      </c>
      <c r="N90" s="41">
        <f>IF(M90="","",IF(M90&gt;=PRs!C19,"PR!",""))</f>
        <v/>
      </c>
      <c r="O90" s="7" t="n"/>
    </row>
    <row r="91">
      <c r="C91" t="inlineStr">
        <is>
          <t xml:space="preserve">      Set 2</t>
        </is>
      </c>
      <c r="E91" t="n">
        <v>5</v>
      </c>
      <c r="H91" s="39">
        <f>IF(H89="","",H89)</f>
        <v/>
      </c>
      <c r="I91" s="7">
        <f>IF(H89="","",H89)</f>
        <v/>
      </c>
      <c r="J91" s="7" t="n">
        <v>5</v>
      </c>
      <c r="K91" s="7" t="n"/>
      <c r="L91" s="40" t="n"/>
      <c r="M91">
        <f>IF(AND(L91&lt;&gt;"",N(I91)&gt;0,N(J91)&gt;0),IF(J91=1,I91,ROUND(I91*(1+J91/30),1)),"")</f>
        <v/>
      </c>
      <c r="N91" s="41">
        <f>IF(M91="","",IF(M91&gt;=PRs!C19,"PR!",""))</f>
        <v/>
      </c>
      <c r="O91" s="7" t="n"/>
    </row>
    <row r="92">
      <c r="C92" t="inlineStr">
        <is>
          <t xml:space="preserve">      Set 3</t>
        </is>
      </c>
      <c r="E92" t="n">
        <v>5</v>
      </c>
      <c r="H92" s="39">
        <f>IF(H89="","",H89)</f>
        <v/>
      </c>
      <c r="I92" s="7">
        <f>IF(H89="","",H89)</f>
        <v/>
      </c>
      <c r="J92" s="7" t="n">
        <v>5</v>
      </c>
      <c r="K92" s="7" t="n"/>
      <c r="L92" s="40" t="n"/>
      <c r="M92">
        <f>IF(AND(L92&lt;&gt;"",N(I92)&gt;0,N(J92)&gt;0),IF(J92=1,I92,ROUND(I92*(1+J92/30),1)),"")</f>
        <v/>
      </c>
      <c r="N92" s="41">
        <f>IF(M92="","",IF(M92&gt;=PRs!C19,"PR!",""))</f>
        <v/>
      </c>
      <c r="O92" s="7" t="n"/>
    </row>
    <row r="93">
      <c r="C93" t="inlineStr">
        <is>
          <t xml:space="preserve">      Set 4</t>
        </is>
      </c>
      <c r="E93" t="n">
        <v>5</v>
      </c>
      <c r="H93" s="39">
        <f>IF(H89="","",H89)</f>
        <v/>
      </c>
      <c r="I93" s="7">
        <f>IF(H89="","",H89)</f>
        <v/>
      </c>
      <c r="J93" s="7" t="n">
        <v>5</v>
      </c>
      <c r="K93" s="7" t="n"/>
      <c r="L93" s="40" t="n"/>
      <c r="M93">
        <f>IF(AND(L93&lt;&gt;"",N(I93)&gt;0,N(J93)&gt;0),IF(J93=1,I93,ROUND(I93*(1+J93/30),1)),"")</f>
        <v/>
      </c>
      <c r="N93" s="41">
        <f>IF(M93="","",IF(M93&gt;=PRs!C19,"PR!",""))</f>
        <v/>
      </c>
      <c r="O93" s="7" t="n"/>
    </row>
    <row r="94">
      <c r="A94" s="34" t="n"/>
      <c r="B94" s="34" t="n"/>
      <c r="C94" s="42" t="inlineStr">
        <is>
          <t>Block Pull</t>
        </is>
      </c>
      <c r="D94" s="34" t="inlineStr">
        <is>
          <t>4 x 5</t>
        </is>
      </c>
      <c r="E94" s="34" t="n"/>
      <c r="F94" s="34" t="n">
        <v>67.5</v>
      </c>
      <c r="G94" s="36">
        <f>Maxes!H26</f>
        <v/>
      </c>
      <c r="H94" s="37">
        <f>IF(OR(G94="",F94=""),"",MROUND(G94*F94/100,'Start Here'!$B$7))</f>
        <v/>
      </c>
      <c r="I94" s="34" t="n"/>
      <c r="J94" s="34" t="n"/>
      <c r="K94" s="34" t="n"/>
      <c r="L94" s="34" t="n"/>
      <c r="M94" s="34" t="n"/>
      <c r="N94" s="34" t="n"/>
      <c r="O94" s="38" t="inlineStr"/>
    </row>
    <row r="95">
      <c r="C95" t="inlineStr">
        <is>
          <t xml:space="preserve">      Set 1</t>
        </is>
      </c>
      <c r="E95" t="n">
        <v>5</v>
      </c>
      <c r="H95" s="39">
        <f>IF(H94="","",H94)</f>
        <v/>
      </c>
      <c r="I95" s="7">
        <f>IF(H94="","",H94)</f>
        <v/>
      </c>
      <c r="J95" s="7" t="n">
        <v>5</v>
      </c>
      <c r="K95" s="7" t="n"/>
      <c r="L95" s="40" t="n"/>
      <c r="M95">
        <f>IF(AND(L95&lt;&gt;"",N(I95)&gt;0,N(J95)&gt;0),IF(J95=1,I95,ROUND(I95*(1+J95/30),1)),"")</f>
        <v/>
      </c>
      <c r="N95" s="41">
        <f>IF(M95="","",IF(M95&gt;=PRs!C26,"PR!",""))</f>
        <v/>
      </c>
      <c r="O95" s="7" t="n"/>
    </row>
    <row r="96">
      <c r="C96" t="inlineStr">
        <is>
          <t xml:space="preserve">      Set 2</t>
        </is>
      </c>
      <c r="E96" t="n">
        <v>5</v>
      </c>
      <c r="H96" s="39">
        <f>IF(H94="","",H94)</f>
        <v/>
      </c>
      <c r="I96" s="7">
        <f>IF(H94="","",H94)</f>
        <v/>
      </c>
      <c r="J96" s="7" t="n">
        <v>5</v>
      </c>
      <c r="K96" s="7" t="n"/>
      <c r="L96" s="40" t="n"/>
      <c r="M96">
        <f>IF(AND(L96&lt;&gt;"",N(I96)&gt;0,N(J96)&gt;0),IF(J96=1,I96,ROUND(I96*(1+J96/30),1)),"")</f>
        <v/>
      </c>
      <c r="N96" s="41">
        <f>IF(M96="","",IF(M96&gt;=PRs!C26,"PR!",""))</f>
        <v/>
      </c>
      <c r="O96" s="7" t="n"/>
    </row>
    <row r="97">
      <c r="C97" t="inlineStr">
        <is>
          <t xml:space="preserve">      Set 3</t>
        </is>
      </c>
      <c r="E97" t="n">
        <v>5</v>
      </c>
      <c r="H97" s="39">
        <f>IF(H94="","",H94)</f>
        <v/>
      </c>
      <c r="I97" s="7">
        <f>IF(H94="","",H94)</f>
        <v/>
      </c>
      <c r="J97" s="7" t="n">
        <v>5</v>
      </c>
      <c r="K97" s="7" t="n"/>
      <c r="L97" s="40" t="n"/>
      <c r="M97">
        <f>IF(AND(L97&lt;&gt;"",N(I97)&gt;0,N(J97)&gt;0),IF(J97=1,I97,ROUND(I97*(1+J97/30),1)),"")</f>
        <v/>
      </c>
      <c r="N97" s="41">
        <f>IF(M97="","",IF(M97&gt;=PRs!C26,"PR!",""))</f>
        <v/>
      </c>
      <c r="O97" s="7" t="n"/>
    </row>
    <row r="98">
      <c r="C98" t="inlineStr">
        <is>
          <t xml:space="preserve">      Set 4</t>
        </is>
      </c>
      <c r="E98" t="n">
        <v>5</v>
      </c>
      <c r="H98" s="39">
        <f>IF(H94="","",H94)</f>
        <v/>
      </c>
      <c r="I98" s="7">
        <f>IF(H94="","",H94)</f>
        <v/>
      </c>
      <c r="J98" s="7" t="n">
        <v>5</v>
      </c>
      <c r="K98" s="7" t="n"/>
      <c r="L98" s="40" t="n"/>
      <c r="M98">
        <f>IF(AND(L98&lt;&gt;"",N(I98)&gt;0,N(J98)&gt;0),IF(J98=1,I98,ROUND(I98*(1+J98/30),1)),"")</f>
        <v/>
      </c>
      <c r="N98" s="41">
        <f>IF(M98="","",IF(M98&gt;=PRs!C26,"PR!",""))</f>
        <v/>
      </c>
      <c r="O98" s="7" t="n"/>
    </row>
    <row r="99">
      <c r="A99" s="34" t="n"/>
      <c r="B99" s="34" t="n"/>
      <c r="C99" s="43" t="inlineStr">
        <is>
          <t>Incline Dumbbell Press</t>
        </is>
      </c>
      <c r="D99" s="34" t="inlineStr">
        <is>
          <t>3 x 8-12</t>
        </is>
      </c>
      <c r="E99" s="34" t="n"/>
      <c r="F99" s="34" t="n"/>
      <c r="G99" s="36" t="n"/>
      <c r="H99" s="37" t="n"/>
      <c r="I99" s="34" t="n"/>
      <c r="J99" s="34" t="n"/>
      <c r="K99" s="34" t="n"/>
      <c r="L99" s="34" t="n"/>
      <c r="M99" s="34" t="n"/>
      <c r="N99" s="34" t="n"/>
      <c r="O99" s="38" t="inlineStr">
        <is>
          <t>Leave 1-2 reps in the tank; add weight when you hit the top of the range</t>
        </is>
      </c>
    </row>
    <row r="100">
      <c r="C100" t="inlineStr">
        <is>
          <t xml:space="preserve">      Set 1</t>
        </is>
      </c>
      <c r="E100" t="n">
        <v>8</v>
      </c>
      <c r="H100" s="39">
        <f>IF(H99="","",H99)</f>
        <v/>
      </c>
      <c r="I100" s="7">
        <f>IF(H99="","",H99)</f>
        <v/>
      </c>
      <c r="J100" s="7" t="n">
        <v>8</v>
      </c>
      <c r="K100" s="7" t="n"/>
      <c r="L100" s="40" t="n"/>
      <c r="M100">
        <f>IF(AND(L100&lt;&gt;"",N(I100)&gt;0,N(J100)&gt;0),IF(J100=1,I100,ROUND(I100*(1+J100/30),1)),"")</f>
        <v/>
      </c>
      <c r="N100" s="41">
        <f>IF(M100="","",IF(M100&gt;=PRs!C57,"PR!",""))</f>
        <v/>
      </c>
      <c r="O100" s="7" t="n"/>
    </row>
    <row r="101">
      <c r="C101" t="inlineStr">
        <is>
          <t xml:space="preserve">      Set 2</t>
        </is>
      </c>
      <c r="E101" t="n">
        <v>8</v>
      </c>
      <c r="H101" s="39">
        <f>IF(H99="","",H99)</f>
        <v/>
      </c>
      <c r="I101" s="7">
        <f>IF(H99="","",H99)</f>
        <v/>
      </c>
      <c r="J101" s="7" t="n">
        <v>8</v>
      </c>
      <c r="K101" s="7" t="n"/>
      <c r="L101" s="40" t="n"/>
      <c r="M101">
        <f>IF(AND(L101&lt;&gt;"",N(I101)&gt;0,N(J101)&gt;0),IF(J101=1,I101,ROUND(I101*(1+J101/30),1)),"")</f>
        <v/>
      </c>
      <c r="N101" s="41">
        <f>IF(M101="","",IF(M101&gt;=PRs!C57,"PR!",""))</f>
        <v/>
      </c>
      <c r="O101" s="7" t="n"/>
    </row>
    <row r="102">
      <c r="C102" t="inlineStr">
        <is>
          <t xml:space="preserve">      Set 3</t>
        </is>
      </c>
      <c r="E102" t="n">
        <v>8</v>
      </c>
      <c r="H102" s="39">
        <f>IF(H99="","",H99)</f>
        <v/>
      </c>
      <c r="I102" s="7">
        <f>IF(H99="","",H99)</f>
        <v/>
      </c>
      <c r="J102" s="7" t="n">
        <v>8</v>
      </c>
      <c r="K102" s="7" t="n"/>
      <c r="L102" s="40" t="n"/>
      <c r="M102">
        <f>IF(AND(L102&lt;&gt;"",N(I102)&gt;0,N(J102)&gt;0),IF(J102=1,I102,ROUND(I102*(1+J102/30),1)),"")</f>
        <v/>
      </c>
      <c r="N102" s="41">
        <f>IF(M102="","",IF(M102&gt;=PRs!C57,"PR!",""))</f>
        <v/>
      </c>
      <c r="O102" s="7" t="n"/>
    </row>
    <row r="103">
      <c r="A103" s="34" t="n"/>
      <c r="B103" s="34" t="n"/>
      <c r="C103" s="43" t="inlineStr">
        <is>
          <t>Triceps Pushdown</t>
        </is>
      </c>
      <c r="D103" s="34" t="inlineStr">
        <is>
          <t>3 x 10-15</t>
        </is>
      </c>
      <c r="E103" s="34" t="n"/>
      <c r="F103" s="34" t="n"/>
      <c r="G103" s="36" t="n"/>
      <c r="H103" s="37" t="n"/>
      <c r="I103" s="34" t="n"/>
      <c r="J103" s="34" t="n"/>
      <c r="K103" s="34" t="n"/>
      <c r="L103" s="34" t="n"/>
      <c r="M103" s="34" t="n"/>
      <c r="N103" s="34" t="n"/>
      <c r="O103" s="38" t="inlineStr">
        <is>
          <t>Leave 1-2 reps in the tank; add weight when you hit the top of the range</t>
        </is>
      </c>
    </row>
    <row r="104">
      <c r="C104" t="inlineStr">
        <is>
          <t xml:space="preserve">      Set 1</t>
        </is>
      </c>
      <c r="E104" t="n">
        <v>10</v>
      </c>
      <c r="H104" s="39">
        <f>IF(H103="","",H103)</f>
        <v/>
      </c>
      <c r="I104" s="7">
        <f>IF(H103="","",H103)</f>
        <v/>
      </c>
      <c r="J104" s="7" t="n">
        <v>10</v>
      </c>
      <c r="K104" s="7" t="n"/>
      <c r="L104" s="40" t="n"/>
      <c r="M104">
        <f>IF(AND(L104&lt;&gt;"",N(I104)&gt;0,N(J104)&gt;0),IF(J104=1,I104,ROUND(I104*(1+J104/30),1)),"")</f>
        <v/>
      </c>
      <c r="N104" s="41">
        <f>IF(M104="","",IF(M104&gt;=PRs!C59,"PR!",""))</f>
        <v/>
      </c>
      <c r="O104" s="7" t="n"/>
    </row>
    <row r="105">
      <c r="C105" t="inlineStr">
        <is>
          <t xml:space="preserve">      Set 2</t>
        </is>
      </c>
      <c r="E105" t="n">
        <v>10</v>
      </c>
      <c r="H105" s="39">
        <f>IF(H103="","",H103)</f>
        <v/>
      </c>
      <c r="I105" s="7">
        <f>IF(H103="","",H103)</f>
        <v/>
      </c>
      <c r="J105" s="7" t="n">
        <v>10</v>
      </c>
      <c r="K105" s="7" t="n"/>
      <c r="L105" s="40" t="n"/>
      <c r="M105">
        <f>IF(AND(L105&lt;&gt;"",N(I105)&gt;0,N(J105)&gt;0),IF(J105=1,I105,ROUND(I105*(1+J105/30),1)),"")</f>
        <v/>
      </c>
      <c r="N105" s="41">
        <f>IF(M105="","",IF(M105&gt;=PRs!C59,"PR!",""))</f>
        <v/>
      </c>
      <c r="O105" s="7" t="n"/>
    </row>
    <row r="106">
      <c r="C106" t="inlineStr">
        <is>
          <t xml:space="preserve">      Set 3</t>
        </is>
      </c>
      <c r="E106" t="n">
        <v>10</v>
      </c>
      <c r="H106" s="39">
        <f>IF(H103="","",H103)</f>
        <v/>
      </c>
      <c r="I106" s="7">
        <f>IF(H103="","",H103)</f>
        <v/>
      </c>
      <c r="J106" s="7" t="n">
        <v>10</v>
      </c>
      <c r="K106" s="7" t="n"/>
      <c r="L106" s="40" t="n"/>
      <c r="M106">
        <f>IF(AND(L106&lt;&gt;"",N(I106)&gt;0,N(J106)&gt;0),IF(J106=1,I106,ROUND(I106*(1+J106/30),1)),"")</f>
        <v/>
      </c>
      <c r="N106" s="41">
        <f>IF(M106="","",IF(M106&gt;=PRs!C59,"PR!",""))</f>
        <v/>
      </c>
      <c r="O106" s="7" t="n"/>
    </row>
    <row r="108">
      <c r="A108" s="54" t="inlineStr">
        <is>
          <t>WEEK 46 - CYCLE 4 - REALIZATION</t>
        </is>
      </c>
      <c r="B108" s="55" t="n"/>
      <c r="C108" s="55" t="n"/>
      <c r="D108" s="55" t="n"/>
      <c r="E108" s="55" t="n"/>
      <c r="F108" s="55" t="n"/>
      <c r="G108" s="55" t="n"/>
      <c r="H108" s="56" t="inlineStr">
        <is>
          <t>Bodyweight:</t>
        </is>
      </c>
      <c r="I108" s="7" t="n"/>
      <c r="J108" s="55" t="n"/>
      <c r="K108" s="55" t="n"/>
      <c r="L108" s="55" t="n"/>
      <c r="M108" s="55" t="n"/>
      <c r="N108" s="55" t="n"/>
      <c r="O108" s="55" t="n"/>
    </row>
    <row r="109">
      <c r="A109" s="31" t="inlineStr">
        <is>
          <t>Day 1 - Heavy</t>
        </is>
      </c>
      <c r="B109" s="32">
        <f>'Start Here'!$B$8+315</f>
        <v/>
      </c>
      <c r="C109" s="33" t="n"/>
      <c r="D109" s="33" t="n"/>
      <c r="E109" s="33" t="n"/>
      <c r="F109" s="33" t="n"/>
      <c r="G109" s="33" t="n"/>
      <c r="H109" s="33" t="n"/>
      <c r="I109" s="33" t="n"/>
      <c r="J109" s="33" t="n"/>
      <c r="K109" s="33" t="n"/>
      <c r="L109" s="33" t="n"/>
      <c r="M109" s="33" t="n"/>
      <c r="N109" s="33" t="n"/>
      <c r="O109" s="33" t="n"/>
    </row>
    <row r="110">
      <c r="A110" s="34" t="n"/>
      <c r="B110" s="34" t="n"/>
      <c r="C110" s="35" t="inlineStr">
        <is>
          <t>Box Jump</t>
        </is>
      </c>
      <c r="D110" s="34" t="inlineStr">
        <is>
          <t>3 x 2</t>
        </is>
      </c>
      <c r="E110" s="34" t="n"/>
      <c r="F110" s="34" t="n"/>
      <c r="G110" s="36" t="n"/>
      <c r="H110" s="37">
        <f>IF(N(Maxes!H69)&gt;0,Maxes!H69,'Start Here'!$G$16)</f>
        <v/>
      </c>
      <c r="I110" s="34" t="n"/>
      <c r="J110" s="34" t="n"/>
      <c r="K110" s="34" t="n"/>
      <c r="L110" s="34" t="n"/>
      <c r="M110" s="34" t="n"/>
      <c r="N110" s="34" t="n"/>
      <c r="O110" s="38" t="inlineStr">
        <is>
          <t>Two-foot jump onto a box, land soft in a quarter squat, STEP down. Log the box height (floor to top of box).</t>
        </is>
      </c>
    </row>
    <row r="111">
      <c r="C111" t="inlineStr">
        <is>
          <t xml:space="preserve">      Set 1</t>
        </is>
      </c>
      <c r="E111" t="n">
        <v>2</v>
      </c>
      <c r="H111" s="39">
        <f>IF(H110="","",H110)</f>
        <v/>
      </c>
      <c r="I111" s="7">
        <f>IF(H110="","",H110)</f>
        <v/>
      </c>
      <c r="J111" s="7" t="n">
        <v>2</v>
      </c>
      <c r="K111" s="7" t="n"/>
      <c r="L111" s="40" t="n"/>
      <c r="N111" s="41">
        <f>IF(AND(L111&lt;&gt;"",N(I111)&gt;0),IF(I111&gt;=PRs!D69,"PR!",""),"")</f>
        <v/>
      </c>
      <c r="O111" s="7" t="n"/>
    </row>
    <row r="112">
      <c r="C112" t="inlineStr">
        <is>
          <t xml:space="preserve">      Set 2</t>
        </is>
      </c>
      <c r="E112" t="n">
        <v>2</v>
      </c>
      <c r="H112" s="39">
        <f>IF(H110="","",H110)</f>
        <v/>
      </c>
      <c r="I112" s="7">
        <f>IF(H110="","",H110)</f>
        <v/>
      </c>
      <c r="J112" s="7" t="n">
        <v>2</v>
      </c>
      <c r="K112" s="7" t="n"/>
      <c r="L112" s="40" t="n"/>
      <c r="N112" s="41">
        <f>IF(AND(L112&lt;&gt;"",N(I112)&gt;0),IF(I112&gt;=PRs!D69,"PR!",""),"")</f>
        <v/>
      </c>
      <c r="O112" s="7" t="n"/>
    </row>
    <row r="113">
      <c r="C113" t="inlineStr">
        <is>
          <t xml:space="preserve">      Set 3</t>
        </is>
      </c>
      <c r="E113" t="n">
        <v>2</v>
      </c>
      <c r="H113" s="39">
        <f>IF(H110="","",H110)</f>
        <v/>
      </c>
      <c r="I113" s="7">
        <f>IF(H110="","",H110)</f>
        <v/>
      </c>
      <c r="J113" s="7" t="n">
        <v>2</v>
      </c>
      <c r="K113" s="7" t="n"/>
      <c r="L113" s="40" t="n"/>
      <c r="N113" s="41">
        <f>IF(AND(L113&lt;&gt;"",N(I113)&gt;0),IF(I113&gt;=PRs!D69,"PR!",""),"")</f>
        <v/>
      </c>
      <c r="O113" s="7" t="n"/>
    </row>
    <row r="114">
      <c r="A114" s="34" t="n"/>
      <c r="B114" s="34" t="n"/>
      <c r="C114" s="42" t="inlineStr">
        <is>
          <t>Snatch</t>
        </is>
      </c>
      <c r="D114" s="34" t="inlineStr">
        <is>
          <t>4 x 1</t>
        </is>
      </c>
      <c r="E114" s="34" t="n"/>
      <c r="F114" s="34" t="n">
        <v>90</v>
      </c>
      <c r="G114" s="36">
        <f>Maxes!H6</f>
        <v/>
      </c>
      <c r="H114" s="37">
        <f>IF(OR(G114="",F114=""),"",MROUND(G114*F114/100,'Start Here'!$B$7))</f>
        <v/>
      </c>
      <c r="I114" s="34" t="n"/>
      <c r="J114" s="34" t="n"/>
      <c r="K114" s="34" t="n"/>
      <c r="L114" s="34" t="n"/>
      <c r="M114" s="34" t="n"/>
      <c r="N114" s="34" t="n"/>
      <c r="O114" s="38" t="inlineStr"/>
    </row>
    <row r="115">
      <c r="C115" t="inlineStr">
        <is>
          <t xml:space="preserve">      Set 1</t>
        </is>
      </c>
      <c r="E115" t="n">
        <v>1</v>
      </c>
      <c r="H115" s="39">
        <f>IF(H114="","",H114)</f>
        <v/>
      </c>
      <c r="I115" s="7">
        <f>IF(H114="","",H114)</f>
        <v/>
      </c>
      <c r="J115" s="7" t="n">
        <v>1</v>
      </c>
      <c r="K115" s="7" t="n"/>
      <c r="L115" s="40" t="n"/>
      <c r="M115">
        <f>IF(AND(L115&lt;&gt;"",N(I115)&gt;0,N(J115)&gt;0),IF(J115=1,I115,ROUND(I115*(1+J115/30),1)),"")</f>
        <v/>
      </c>
      <c r="N115" s="41">
        <f>IF(M115="","",IF(M115&gt;=PRs!C6,"PR!",""))</f>
        <v/>
      </c>
      <c r="O115" s="7" t="n"/>
    </row>
    <row r="116">
      <c r="C116" t="inlineStr">
        <is>
          <t xml:space="preserve">      Set 2</t>
        </is>
      </c>
      <c r="E116" t="n">
        <v>1</v>
      </c>
      <c r="H116" s="39">
        <f>IF(H114="","",H114)</f>
        <v/>
      </c>
      <c r="I116" s="7">
        <f>IF(H114="","",H114)</f>
        <v/>
      </c>
      <c r="J116" s="7" t="n">
        <v>1</v>
      </c>
      <c r="K116" s="7" t="n"/>
      <c r="L116" s="40" t="n"/>
      <c r="M116">
        <f>IF(AND(L116&lt;&gt;"",N(I116)&gt;0,N(J116)&gt;0),IF(J116=1,I116,ROUND(I116*(1+J116/30),1)),"")</f>
        <v/>
      </c>
      <c r="N116" s="41">
        <f>IF(M116="","",IF(M116&gt;=PRs!C6,"PR!",""))</f>
        <v/>
      </c>
      <c r="O116" s="7" t="n"/>
    </row>
    <row r="117">
      <c r="C117" t="inlineStr">
        <is>
          <t xml:space="preserve">      Set 3</t>
        </is>
      </c>
      <c r="E117" t="n">
        <v>1</v>
      </c>
      <c r="H117" s="39">
        <f>IF(H114="","",H114)</f>
        <v/>
      </c>
      <c r="I117" s="7">
        <f>IF(H114="","",H114)</f>
        <v/>
      </c>
      <c r="J117" s="7" t="n">
        <v>1</v>
      </c>
      <c r="K117" s="7" t="n"/>
      <c r="L117" s="40" t="n"/>
      <c r="M117">
        <f>IF(AND(L117&lt;&gt;"",N(I117)&gt;0,N(J117)&gt;0),IF(J117=1,I117,ROUND(I117*(1+J117/30),1)),"")</f>
        <v/>
      </c>
      <c r="N117" s="41">
        <f>IF(M117="","",IF(M117&gt;=PRs!C6,"PR!",""))</f>
        <v/>
      </c>
      <c r="O117" s="7" t="n"/>
    </row>
    <row r="118">
      <c r="C118" t="inlineStr">
        <is>
          <t xml:space="preserve">      Set 4</t>
        </is>
      </c>
      <c r="E118" t="n">
        <v>1</v>
      </c>
      <c r="H118" s="39">
        <f>IF(H114="","",H114)</f>
        <v/>
      </c>
      <c r="I118" s="7">
        <f>IF(H114="","",H114)</f>
        <v/>
      </c>
      <c r="J118" s="7" t="n">
        <v>1</v>
      </c>
      <c r="K118" s="7" t="n"/>
      <c r="L118" s="40" t="n"/>
      <c r="M118">
        <f>IF(AND(L118&lt;&gt;"",N(I118)&gt;0,N(J118)&gt;0),IF(J118=1,I118,ROUND(I118*(1+J118/30),1)),"")</f>
        <v/>
      </c>
      <c r="N118" s="41">
        <f>IF(M118="","",IF(M118&gt;=PRs!C6,"PR!",""))</f>
        <v/>
      </c>
      <c r="O118" s="7" t="n"/>
    </row>
    <row r="119">
      <c r="A119" s="34" t="n"/>
      <c r="B119" s="34" t="n"/>
      <c r="C119" s="42" t="inlineStr">
        <is>
          <t>Squat</t>
        </is>
      </c>
      <c r="D119" s="34" t="inlineStr">
        <is>
          <t>4 x 2</t>
        </is>
      </c>
      <c r="E119" s="34" t="n"/>
      <c r="F119" s="34" t="n">
        <v>90</v>
      </c>
      <c r="G119" s="36">
        <f>Maxes!H2</f>
        <v/>
      </c>
      <c r="H119" s="37">
        <f>IF(OR(G119="",F119=""),"",MROUND(G119*F119/100,'Start Here'!$B$7))</f>
        <v/>
      </c>
      <c r="I119" s="34" t="n"/>
      <c r="J119" s="34" t="n"/>
      <c r="K119" s="34" t="n"/>
      <c r="L119" s="34" t="n"/>
      <c r="M119" s="34" t="n"/>
      <c r="N119" s="34" t="n"/>
      <c r="O119" s="38" t="inlineStr"/>
    </row>
    <row r="120">
      <c r="C120" t="inlineStr">
        <is>
          <t xml:space="preserve">      Set 1</t>
        </is>
      </c>
      <c r="E120" t="n">
        <v>2</v>
      </c>
      <c r="H120" s="39">
        <f>IF(H119="","",H119)</f>
        <v/>
      </c>
      <c r="I120" s="7">
        <f>IF(H119="","",H119)</f>
        <v/>
      </c>
      <c r="J120" s="7" t="n">
        <v>2</v>
      </c>
      <c r="K120" s="7" t="n"/>
      <c r="L120" s="40" t="n"/>
      <c r="M120">
        <f>IF(AND(L120&lt;&gt;"",N(I120)&gt;0,N(J120)&gt;0),IF(J120=1,I120,ROUND(I120*(1+J120/30),1)),"")</f>
        <v/>
      </c>
      <c r="N120" s="41">
        <f>IF(M120="","",IF(M120&gt;=PRs!C2,"PR!",""))</f>
        <v/>
      </c>
      <c r="O120" s="7" t="n"/>
    </row>
    <row r="121">
      <c r="C121" t="inlineStr">
        <is>
          <t xml:space="preserve">      Set 2</t>
        </is>
      </c>
      <c r="E121" t="n">
        <v>2</v>
      </c>
      <c r="H121" s="39">
        <f>IF(H119="","",H119)</f>
        <v/>
      </c>
      <c r="I121" s="7">
        <f>IF(H119="","",H119)</f>
        <v/>
      </c>
      <c r="J121" s="7" t="n">
        <v>2</v>
      </c>
      <c r="K121" s="7" t="n"/>
      <c r="L121" s="40" t="n"/>
      <c r="M121">
        <f>IF(AND(L121&lt;&gt;"",N(I121)&gt;0,N(J121)&gt;0),IF(J121=1,I121,ROUND(I121*(1+J121/30),1)),"")</f>
        <v/>
      </c>
      <c r="N121" s="41">
        <f>IF(M121="","",IF(M121&gt;=PRs!C2,"PR!",""))</f>
        <v/>
      </c>
      <c r="O121" s="7" t="n"/>
    </row>
    <row r="122">
      <c r="C122" t="inlineStr">
        <is>
          <t xml:space="preserve">      Set 3</t>
        </is>
      </c>
      <c r="E122" t="n">
        <v>2</v>
      </c>
      <c r="H122" s="39">
        <f>IF(H119="","",H119)</f>
        <v/>
      </c>
      <c r="I122" s="7">
        <f>IF(H119="","",H119)</f>
        <v/>
      </c>
      <c r="J122" s="7" t="n">
        <v>2</v>
      </c>
      <c r="K122" s="7" t="n"/>
      <c r="L122" s="40" t="n"/>
      <c r="M122">
        <f>IF(AND(L122&lt;&gt;"",N(I122)&gt;0,N(J122)&gt;0),IF(J122=1,I122,ROUND(I122*(1+J122/30),1)),"")</f>
        <v/>
      </c>
      <c r="N122" s="41">
        <f>IF(M122="","",IF(M122&gt;=PRs!C2,"PR!",""))</f>
        <v/>
      </c>
      <c r="O122" s="7" t="n"/>
    </row>
    <row r="123">
      <c r="C123" t="inlineStr">
        <is>
          <t xml:space="preserve">      Set 4</t>
        </is>
      </c>
      <c r="E123" t="n">
        <v>2</v>
      </c>
      <c r="H123" s="39">
        <f>IF(H119="","",H119)</f>
        <v/>
      </c>
      <c r="I123" s="7">
        <f>IF(H119="","",H119)</f>
        <v/>
      </c>
      <c r="J123" s="7" t="n">
        <v>2</v>
      </c>
      <c r="K123" s="7" t="n"/>
      <c r="L123" s="40" t="n"/>
      <c r="M123">
        <f>IF(AND(L123&lt;&gt;"",N(I123)&gt;0,N(J123)&gt;0),IF(J123=1,I123,ROUND(I123*(1+J123/30),1)),"")</f>
        <v/>
      </c>
      <c r="N123" s="41">
        <f>IF(M123="","",IF(M123&gt;=PRs!C2,"PR!",""))</f>
        <v/>
      </c>
      <c r="O123" s="7" t="n"/>
    </row>
    <row r="124">
      <c r="A124" s="34" t="n"/>
      <c r="B124" s="34" t="n"/>
      <c r="C124" s="42" t="inlineStr">
        <is>
          <t>Bench Press</t>
        </is>
      </c>
      <c r="D124" s="34" t="inlineStr">
        <is>
          <t>4 x 2</t>
        </is>
      </c>
      <c r="E124" s="34" t="n"/>
      <c r="F124" s="34" t="n">
        <v>90</v>
      </c>
      <c r="G124" s="36">
        <f>Maxes!H3</f>
        <v/>
      </c>
      <c r="H124" s="37">
        <f>IF(OR(G124="",F124=""),"",MROUND(G124*F124/100,'Start Here'!$B$7))</f>
        <v/>
      </c>
      <c r="I124" s="34" t="n"/>
      <c r="J124" s="34" t="n"/>
      <c r="K124" s="34" t="n"/>
      <c r="L124" s="34" t="n"/>
      <c r="M124" s="34" t="n"/>
      <c r="N124" s="34" t="n"/>
      <c r="O124" s="38" t="inlineStr"/>
    </row>
    <row r="125">
      <c r="C125" t="inlineStr">
        <is>
          <t xml:space="preserve">      Set 1</t>
        </is>
      </c>
      <c r="E125" t="n">
        <v>2</v>
      </c>
      <c r="H125" s="39">
        <f>IF(H124="","",H124)</f>
        <v/>
      </c>
      <c r="I125" s="7">
        <f>IF(H124="","",H124)</f>
        <v/>
      </c>
      <c r="J125" s="7" t="n">
        <v>2</v>
      </c>
      <c r="K125" s="7" t="n"/>
      <c r="L125" s="40" t="n"/>
      <c r="M125">
        <f>IF(AND(L125&lt;&gt;"",N(I125)&gt;0,N(J125)&gt;0),IF(J125=1,I125,ROUND(I125*(1+J125/30),1)),"")</f>
        <v/>
      </c>
      <c r="N125" s="41">
        <f>IF(M125="","",IF(M125&gt;=PRs!C3,"PR!",""))</f>
        <v/>
      </c>
      <c r="O125" s="7" t="n"/>
    </row>
    <row r="126">
      <c r="C126" t="inlineStr">
        <is>
          <t xml:space="preserve">      Set 2</t>
        </is>
      </c>
      <c r="E126" t="n">
        <v>2</v>
      </c>
      <c r="H126" s="39">
        <f>IF(H124="","",H124)</f>
        <v/>
      </c>
      <c r="I126" s="7">
        <f>IF(H124="","",H124)</f>
        <v/>
      </c>
      <c r="J126" s="7" t="n">
        <v>2</v>
      </c>
      <c r="K126" s="7" t="n"/>
      <c r="L126" s="40" t="n"/>
      <c r="M126">
        <f>IF(AND(L126&lt;&gt;"",N(I126)&gt;0,N(J126)&gt;0),IF(J126=1,I126,ROUND(I126*(1+J126/30),1)),"")</f>
        <v/>
      </c>
      <c r="N126" s="41">
        <f>IF(M126="","",IF(M126&gt;=PRs!C3,"PR!",""))</f>
        <v/>
      </c>
      <c r="O126" s="7" t="n"/>
    </row>
    <row r="127">
      <c r="C127" t="inlineStr">
        <is>
          <t xml:space="preserve">      Set 3</t>
        </is>
      </c>
      <c r="E127" t="n">
        <v>2</v>
      </c>
      <c r="H127" s="39">
        <f>IF(H124="","",H124)</f>
        <v/>
      </c>
      <c r="I127" s="7">
        <f>IF(H124="","",H124)</f>
        <v/>
      </c>
      <c r="J127" s="7" t="n">
        <v>2</v>
      </c>
      <c r="K127" s="7" t="n"/>
      <c r="L127" s="40" t="n"/>
      <c r="M127">
        <f>IF(AND(L127&lt;&gt;"",N(I127)&gt;0,N(J127)&gt;0),IF(J127=1,I127,ROUND(I127*(1+J127/30),1)),"")</f>
        <v/>
      </c>
      <c r="N127" s="41">
        <f>IF(M127="","",IF(M127&gt;=PRs!C3,"PR!",""))</f>
        <v/>
      </c>
      <c r="O127" s="7" t="n"/>
    </row>
    <row r="128">
      <c r="C128" t="inlineStr">
        <is>
          <t xml:space="preserve">      Set 4</t>
        </is>
      </c>
      <c r="E128" t="n">
        <v>2</v>
      </c>
      <c r="H128" s="39">
        <f>IF(H124="","",H124)</f>
        <v/>
      </c>
      <c r="I128" s="7">
        <f>IF(H124="","",H124)</f>
        <v/>
      </c>
      <c r="J128" s="7" t="n">
        <v>2</v>
      </c>
      <c r="K128" s="7" t="n"/>
      <c r="L128" s="40" t="n"/>
      <c r="M128">
        <f>IF(AND(L128&lt;&gt;"",N(I128)&gt;0,N(J128)&gt;0),IF(J128=1,I128,ROUND(I128*(1+J128/30),1)),"")</f>
        <v/>
      </c>
      <c r="N128" s="41">
        <f>IF(M128="","",IF(M128&gt;=PRs!C3,"PR!",""))</f>
        <v/>
      </c>
      <c r="O128" s="7" t="n"/>
    </row>
    <row r="129">
      <c r="A129" s="34" t="n"/>
      <c r="B129" s="34" t="n"/>
      <c r="C129" s="43" t="inlineStr">
        <is>
          <t>Barbell Row</t>
        </is>
      </c>
      <c r="D129" s="34" t="inlineStr">
        <is>
          <t>3 x 8-10</t>
        </is>
      </c>
      <c r="E129" s="34" t="n"/>
      <c r="F129" s="34" t="n"/>
      <c r="G129" s="36" t="n"/>
      <c r="H129" s="37" t="n"/>
      <c r="I129" s="34" t="n"/>
      <c r="J129" s="34" t="n"/>
      <c r="K129" s="34" t="n"/>
      <c r="L129" s="34" t="n"/>
      <c r="M129" s="34" t="n"/>
      <c r="N129" s="34" t="n"/>
      <c r="O129" s="38" t="inlineStr">
        <is>
          <t>Leave 1-2 reps in the tank; add weight when you hit the top of the range</t>
        </is>
      </c>
    </row>
    <row r="130">
      <c r="C130" t="inlineStr">
        <is>
          <t xml:space="preserve">      Set 1</t>
        </is>
      </c>
      <c r="E130" t="n">
        <v>8</v>
      </c>
      <c r="H130" s="39">
        <f>IF(H129="","",H129)</f>
        <v/>
      </c>
      <c r="I130" s="7">
        <f>IF(H129="","",H129)</f>
        <v/>
      </c>
      <c r="J130" s="7" t="n">
        <v>8</v>
      </c>
      <c r="K130" s="7" t="n"/>
      <c r="L130" s="40" t="n"/>
      <c r="M130">
        <f>IF(AND(L130&lt;&gt;"",N(I130)&gt;0,N(J130)&gt;0),IF(J130=1,I130,ROUND(I130*(1+J130/30),1)),"")</f>
        <v/>
      </c>
      <c r="N130" s="41">
        <f>IF(M130="","",IF(M130&gt;=PRs!C50,"PR!",""))</f>
        <v/>
      </c>
      <c r="O130" s="7" t="n"/>
    </row>
    <row r="131">
      <c r="C131" t="inlineStr">
        <is>
          <t xml:space="preserve">      Set 2</t>
        </is>
      </c>
      <c r="E131" t="n">
        <v>8</v>
      </c>
      <c r="H131" s="39">
        <f>IF(H129="","",H129)</f>
        <v/>
      </c>
      <c r="I131" s="7">
        <f>IF(H129="","",H129)</f>
        <v/>
      </c>
      <c r="J131" s="7" t="n">
        <v>8</v>
      </c>
      <c r="K131" s="7" t="n"/>
      <c r="L131" s="40" t="n"/>
      <c r="M131">
        <f>IF(AND(L131&lt;&gt;"",N(I131)&gt;0,N(J131)&gt;0),IF(J131=1,I131,ROUND(I131*(1+J131/30),1)),"")</f>
        <v/>
      </c>
      <c r="N131" s="41">
        <f>IF(M131="","",IF(M131&gt;=PRs!C50,"PR!",""))</f>
        <v/>
      </c>
      <c r="O131" s="7" t="n"/>
    </row>
    <row r="132">
      <c r="C132" t="inlineStr">
        <is>
          <t xml:space="preserve">      Set 3</t>
        </is>
      </c>
      <c r="E132" t="n">
        <v>8</v>
      </c>
      <c r="H132" s="39">
        <f>IF(H129="","",H129)</f>
        <v/>
      </c>
      <c r="I132" s="7">
        <f>IF(H129="","",H129)</f>
        <v/>
      </c>
      <c r="J132" s="7" t="n">
        <v>8</v>
      </c>
      <c r="K132" s="7" t="n"/>
      <c r="L132" s="40" t="n"/>
      <c r="M132">
        <f>IF(AND(L132&lt;&gt;"",N(I132)&gt;0,N(J132)&gt;0),IF(J132=1,I132,ROUND(I132*(1+J132/30),1)),"")</f>
        <v/>
      </c>
      <c r="N132" s="41">
        <f>IF(M132="","",IF(M132&gt;=PRs!C50,"PR!",""))</f>
        <v/>
      </c>
      <c r="O132" s="7" t="n"/>
    </row>
    <row r="133">
      <c r="A133" s="34" t="n"/>
      <c r="B133" s="34" t="n"/>
      <c r="C133" s="43" t="inlineStr">
        <is>
          <t>Face Pull</t>
        </is>
      </c>
      <c r="D133" s="34" t="inlineStr">
        <is>
          <t>3 x 12-15</t>
        </is>
      </c>
      <c r="E133" s="34" t="n"/>
      <c r="F133" s="34" t="n"/>
      <c r="G133" s="36" t="n"/>
      <c r="H133" s="37" t="n"/>
      <c r="I133" s="34" t="n"/>
      <c r="J133" s="34" t="n"/>
      <c r="K133" s="34" t="n"/>
      <c r="L133" s="34" t="n"/>
      <c r="M133" s="34" t="n"/>
      <c r="N133" s="34" t="n"/>
      <c r="O133" s="38" t="inlineStr">
        <is>
          <t>Leave 1-2 reps in the tank; add weight when you hit the top of the range</t>
        </is>
      </c>
    </row>
    <row r="134">
      <c r="C134" t="inlineStr">
        <is>
          <t xml:space="preserve">      Set 1</t>
        </is>
      </c>
      <c r="E134" t="n">
        <v>12</v>
      </c>
      <c r="H134" s="39">
        <f>IF(H133="","",H133)</f>
        <v/>
      </c>
      <c r="I134" s="7">
        <f>IF(H133="","",H133)</f>
        <v/>
      </c>
      <c r="J134" s="7" t="n">
        <v>12</v>
      </c>
      <c r="K134" s="7" t="n"/>
      <c r="L134" s="40" t="n"/>
      <c r="M134">
        <f>IF(AND(L134&lt;&gt;"",N(I134)&gt;0,N(J134)&gt;0),IF(J134=1,I134,ROUND(I134*(1+J134/30),1)),"")</f>
        <v/>
      </c>
      <c r="N134" s="41">
        <f>IF(M134="","",IF(M134&gt;=PRs!C51,"PR!",""))</f>
        <v/>
      </c>
      <c r="O134" s="7" t="n"/>
    </row>
    <row r="135">
      <c r="C135" t="inlineStr">
        <is>
          <t xml:space="preserve">      Set 2</t>
        </is>
      </c>
      <c r="E135" t="n">
        <v>12</v>
      </c>
      <c r="H135" s="39">
        <f>IF(H133="","",H133)</f>
        <v/>
      </c>
      <c r="I135" s="7">
        <f>IF(H133="","",H133)</f>
        <v/>
      </c>
      <c r="J135" s="7" t="n">
        <v>12</v>
      </c>
      <c r="K135" s="7" t="n"/>
      <c r="L135" s="40" t="n"/>
      <c r="M135">
        <f>IF(AND(L135&lt;&gt;"",N(I135)&gt;0,N(J135)&gt;0),IF(J135=1,I135,ROUND(I135*(1+J135/30),1)),"")</f>
        <v/>
      </c>
      <c r="N135" s="41">
        <f>IF(M135="","",IF(M135&gt;=PRs!C51,"PR!",""))</f>
        <v/>
      </c>
      <c r="O135" s="7" t="n"/>
    </row>
    <row r="136">
      <c r="C136" t="inlineStr">
        <is>
          <t xml:space="preserve">      Set 3</t>
        </is>
      </c>
      <c r="E136" t="n">
        <v>12</v>
      </c>
      <c r="H136" s="39">
        <f>IF(H133="","",H133)</f>
        <v/>
      </c>
      <c r="I136" s="7">
        <f>IF(H133="","",H133)</f>
        <v/>
      </c>
      <c r="J136" s="7" t="n">
        <v>12</v>
      </c>
      <c r="K136" s="7" t="n"/>
      <c r="L136" s="40" t="n"/>
      <c r="M136">
        <f>IF(AND(L136&lt;&gt;"",N(I136)&gt;0,N(J136)&gt;0),IF(J136=1,I136,ROUND(I136*(1+J136/30),1)),"")</f>
        <v/>
      </c>
      <c r="N136" s="41">
        <f>IF(M136="","",IF(M136&gt;=PRs!C51,"PR!",""))</f>
        <v/>
      </c>
      <c r="O136" s="7" t="n"/>
    </row>
    <row r="137">
      <c r="A137" s="31" t="inlineStr">
        <is>
          <t>Day 2 - Light</t>
        </is>
      </c>
      <c r="B137" s="32">
        <f>'Start Here'!$B$8+317</f>
        <v/>
      </c>
      <c r="C137" s="33" t="n"/>
      <c r="D137" s="33" t="n"/>
      <c r="E137" s="33" t="n"/>
      <c r="F137" s="33" t="n"/>
      <c r="G137" s="33" t="n"/>
      <c r="H137" s="33" t="n"/>
      <c r="I137" s="33" t="n"/>
      <c r="J137" s="33" t="n"/>
      <c r="K137" s="33" t="n"/>
      <c r="L137" s="33" t="n"/>
      <c r="M137" s="33" t="n"/>
      <c r="N137" s="33" t="n"/>
      <c r="O137" s="33" t="n"/>
    </row>
    <row r="138">
      <c r="A138" s="34" t="n"/>
      <c r="B138" s="34" t="n"/>
      <c r="C138" s="35" t="inlineStr">
        <is>
          <t>Broad Jump</t>
        </is>
      </c>
      <c r="D138" s="34" t="inlineStr">
        <is>
          <t>3 x 2</t>
        </is>
      </c>
      <c r="E138" s="34" t="n"/>
      <c r="F138" s="34" t="n"/>
      <c r="G138" s="36" t="n"/>
      <c r="H138" s="37">
        <f>IF(N(Maxes!H70)&gt;0,Maxes!H70,"")</f>
        <v/>
      </c>
      <c r="I138" s="34" t="n"/>
      <c r="J138" s="34" t="n"/>
      <c r="K138" s="34" t="n"/>
      <c r="L138" s="34" t="n"/>
      <c r="M138" s="34" t="n"/>
      <c r="N138" s="34" t="n"/>
      <c r="O138" s="38" t="inlineStr">
        <is>
          <t>Standing two-foot jump forward, stick the landing. Measure toe line to the back of the nearest heel.</t>
        </is>
      </c>
    </row>
    <row r="139">
      <c r="C139" t="inlineStr">
        <is>
          <t xml:space="preserve">      Set 1</t>
        </is>
      </c>
      <c r="E139" t="n">
        <v>2</v>
      </c>
      <c r="H139" s="39">
        <f>IF(H138="","",H138)</f>
        <v/>
      </c>
      <c r="I139" s="7">
        <f>IF(H138="","",H138)</f>
        <v/>
      </c>
      <c r="J139" s="7" t="n">
        <v>2</v>
      </c>
      <c r="K139" s="7" t="n"/>
      <c r="L139" s="40" t="n"/>
      <c r="N139" s="41">
        <f>IF(AND(L139&lt;&gt;"",N(I139)&gt;0),IF(I139&gt;=PRs!D70,"PR!",""),"")</f>
        <v/>
      </c>
      <c r="O139" s="7" t="n"/>
    </row>
    <row r="140">
      <c r="C140" t="inlineStr">
        <is>
          <t xml:space="preserve">      Set 2</t>
        </is>
      </c>
      <c r="E140" t="n">
        <v>2</v>
      </c>
      <c r="H140" s="39">
        <f>IF(H138="","",H138)</f>
        <v/>
      </c>
      <c r="I140" s="7">
        <f>IF(H138="","",H138)</f>
        <v/>
      </c>
      <c r="J140" s="7" t="n">
        <v>2</v>
      </c>
      <c r="K140" s="7" t="n"/>
      <c r="L140" s="40" t="n"/>
      <c r="N140" s="41">
        <f>IF(AND(L140&lt;&gt;"",N(I140)&gt;0),IF(I140&gt;=PRs!D70,"PR!",""),"")</f>
        <v/>
      </c>
      <c r="O140" s="7" t="n"/>
    </row>
    <row r="141">
      <c r="C141" t="inlineStr">
        <is>
          <t xml:space="preserve">      Set 3</t>
        </is>
      </c>
      <c r="E141" t="n">
        <v>2</v>
      </c>
      <c r="H141" s="39">
        <f>IF(H138="","",H138)</f>
        <v/>
      </c>
      <c r="I141" s="7">
        <f>IF(H138="","",H138)</f>
        <v/>
      </c>
      <c r="J141" s="7" t="n">
        <v>2</v>
      </c>
      <c r="K141" s="7" t="n"/>
      <c r="L141" s="40" t="n"/>
      <c r="N141" s="41">
        <f>IF(AND(L141&lt;&gt;"",N(I141)&gt;0),IF(I141&gt;=PRs!D70,"PR!",""),"")</f>
        <v/>
      </c>
      <c r="O141" s="7" t="n"/>
    </row>
    <row r="142">
      <c r="A142" s="34" t="n"/>
      <c r="B142" s="34" t="n"/>
      <c r="C142" s="35" t="inlineStr">
        <is>
          <t>Med Ball Chest Pass</t>
        </is>
      </c>
      <c r="D142" s="34" t="inlineStr">
        <is>
          <t>2 x 5</t>
        </is>
      </c>
      <c r="E142" s="34" t="n"/>
      <c r="F142" s="34" t="n"/>
      <c r="G142" s="36" t="n"/>
      <c r="H142" s="37">
        <f>IF(N(Maxes!H77)&gt;0,Maxes!H77,"")</f>
        <v/>
      </c>
      <c r="I142" s="34" t="n"/>
      <c r="J142" s="34" t="n"/>
      <c r="K142" s="34" t="n"/>
      <c r="L142" s="34" t="n"/>
      <c r="M142" s="34" t="n"/>
      <c r="N142" s="34" t="n"/>
      <c r="O142" s="38" t="inlineStr">
        <is>
          <t>Kneeling or standing chest pass for distance with a 6-10 lb / 3-5 kg ball. Log the distance.</t>
        </is>
      </c>
    </row>
    <row r="143">
      <c r="C143" t="inlineStr">
        <is>
          <t xml:space="preserve">      Set 1</t>
        </is>
      </c>
      <c r="E143" t="n">
        <v>5</v>
      </c>
      <c r="H143" s="39">
        <f>IF(H142="","",H142)</f>
        <v/>
      </c>
      <c r="I143" s="7">
        <f>IF(H142="","",H142)</f>
        <v/>
      </c>
      <c r="J143" s="7" t="n">
        <v>5</v>
      </c>
      <c r="K143" s="7" t="n"/>
      <c r="L143" s="40" t="n"/>
      <c r="N143" s="41">
        <f>IF(AND(L143&lt;&gt;"",N(I143)&gt;0),IF(I143&gt;=PRs!D77,"PR!",""),"")</f>
        <v/>
      </c>
      <c r="O143" s="7" t="n"/>
    </row>
    <row r="144">
      <c r="C144" t="inlineStr">
        <is>
          <t xml:space="preserve">      Set 2</t>
        </is>
      </c>
      <c r="E144" t="n">
        <v>5</v>
      </c>
      <c r="H144" s="39">
        <f>IF(H142="","",H142)</f>
        <v/>
      </c>
      <c r="I144" s="7">
        <f>IF(H142="","",H142)</f>
        <v/>
      </c>
      <c r="J144" s="7" t="n">
        <v>5</v>
      </c>
      <c r="K144" s="7" t="n"/>
      <c r="L144" s="40" t="n"/>
      <c r="N144" s="41">
        <f>IF(AND(L144&lt;&gt;"",N(I144)&gt;0),IF(I144&gt;=PRs!D77,"PR!",""),"")</f>
        <v/>
      </c>
      <c r="O144" s="7" t="n"/>
    </row>
    <row r="145">
      <c r="A145" s="34" t="n"/>
      <c r="B145" s="34" t="n"/>
      <c r="C145" s="42" t="inlineStr">
        <is>
          <t>Clean &amp; Jerk</t>
        </is>
      </c>
      <c r="D145" s="34" t="inlineStr">
        <is>
          <t>4 x 1</t>
        </is>
      </c>
      <c r="E145" s="34" t="n"/>
      <c r="F145" s="34" t="n">
        <v>90</v>
      </c>
      <c r="G145" s="36">
        <f>Maxes!H7</f>
        <v/>
      </c>
      <c r="H145" s="37">
        <f>IF(OR(G145="",F145=""),"",MROUND(G145*F145/100,'Start Here'!$B$7))</f>
        <v/>
      </c>
      <c r="I145" s="34" t="n"/>
      <c r="J145" s="34" t="n"/>
      <c r="K145" s="34" t="n"/>
      <c r="L145" s="34" t="n"/>
      <c r="M145" s="34" t="n"/>
      <c r="N145" s="34" t="n"/>
      <c r="O145" s="38" t="inlineStr"/>
    </row>
    <row r="146">
      <c r="C146" t="inlineStr">
        <is>
          <t xml:space="preserve">      Set 1</t>
        </is>
      </c>
      <c r="E146" t="n">
        <v>1</v>
      </c>
      <c r="H146" s="39">
        <f>IF(H145="","",H145)</f>
        <v/>
      </c>
      <c r="I146" s="7">
        <f>IF(H145="","",H145)</f>
        <v/>
      </c>
      <c r="J146" s="7" t="n">
        <v>1</v>
      </c>
      <c r="K146" s="7" t="n"/>
      <c r="L146" s="40" t="n"/>
      <c r="M146">
        <f>IF(AND(L146&lt;&gt;"",N(I146)&gt;0,N(J146)&gt;0),IF(J146=1,I146,ROUND(I146*(1+J146/30),1)),"")</f>
        <v/>
      </c>
      <c r="N146" s="41">
        <f>IF(M146="","",IF(M146&gt;=PRs!C7,"PR!",""))</f>
        <v/>
      </c>
      <c r="O146" s="7" t="n"/>
    </row>
    <row r="147">
      <c r="C147" t="inlineStr">
        <is>
          <t xml:space="preserve">      Set 2</t>
        </is>
      </c>
      <c r="E147" t="n">
        <v>1</v>
      </c>
      <c r="H147" s="39">
        <f>IF(H145="","",H145)</f>
        <v/>
      </c>
      <c r="I147" s="7">
        <f>IF(H145="","",H145)</f>
        <v/>
      </c>
      <c r="J147" s="7" t="n">
        <v>1</v>
      </c>
      <c r="K147" s="7" t="n"/>
      <c r="L147" s="40" t="n"/>
      <c r="M147">
        <f>IF(AND(L147&lt;&gt;"",N(I147)&gt;0,N(J147)&gt;0),IF(J147=1,I147,ROUND(I147*(1+J147/30),1)),"")</f>
        <v/>
      </c>
      <c r="N147" s="41">
        <f>IF(M147="","",IF(M147&gt;=PRs!C7,"PR!",""))</f>
        <v/>
      </c>
      <c r="O147" s="7" t="n"/>
    </row>
    <row r="148">
      <c r="C148" t="inlineStr">
        <is>
          <t xml:space="preserve">      Set 3</t>
        </is>
      </c>
      <c r="E148" t="n">
        <v>1</v>
      </c>
      <c r="H148" s="39">
        <f>IF(H145="","",H145)</f>
        <v/>
      </c>
      <c r="I148" s="7">
        <f>IF(H145="","",H145)</f>
        <v/>
      </c>
      <c r="J148" s="7" t="n">
        <v>1</v>
      </c>
      <c r="K148" s="7" t="n"/>
      <c r="L148" s="40" t="n"/>
      <c r="M148">
        <f>IF(AND(L148&lt;&gt;"",N(I148)&gt;0,N(J148)&gt;0),IF(J148=1,I148,ROUND(I148*(1+J148/30),1)),"")</f>
        <v/>
      </c>
      <c r="N148" s="41">
        <f>IF(M148="","",IF(M148&gt;=PRs!C7,"PR!",""))</f>
        <v/>
      </c>
      <c r="O148" s="7" t="n"/>
    </row>
    <row r="149">
      <c r="C149" t="inlineStr">
        <is>
          <t xml:space="preserve">      Set 4</t>
        </is>
      </c>
      <c r="E149" t="n">
        <v>1</v>
      </c>
      <c r="H149" s="39">
        <f>IF(H145="","",H145)</f>
        <v/>
      </c>
      <c r="I149" s="7">
        <f>IF(H145="","",H145)</f>
        <v/>
      </c>
      <c r="J149" s="7" t="n">
        <v>1</v>
      </c>
      <c r="K149" s="7" t="n"/>
      <c r="L149" s="40" t="n"/>
      <c r="M149">
        <f>IF(AND(L149&lt;&gt;"",N(I149)&gt;0,N(J149)&gt;0),IF(J149=1,I149,ROUND(I149*(1+J149/30),1)),"")</f>
        <v/>
      </c>
      <c r="N149" s="41">
        <f>IF(M149="","",IF(M149&gt;=PRs!C7,"PR!",""))</f>
        <v/>
      </c>
      <c r="O149" s="7" t="n"/>
    </row>
    <row r="150">
      <c r="A150" s="34" t="n"/>
      <c r="B150" s="34" t="n"/>
      <c r="C150" s="42" t="inlineStr">
        <is>
          <t>Squat</t>
        </is>
      </c>
      <c r="D150" s="34" t="inlineStr">
        <is>
          <t>3 x 5</t>
        </is>
      </c>
      <c r="E150" s="34" t="n"/>
      <c r="F150" s="34" t="n">
        <v>70</v>
      </c>
      <c r="G150" s="36">
        <f>Maxes!H2</f>
        <v/>
      </c>
      <c r="H150" s="37">
        <f>IF(OR(G150="",F150=""),"",MROUND(G150*F150/100,'Start Here'!$B$7))</f>
        <v/>
      </c>
      <c r="I150" s="34" t="n"/>
      <c r="J150" s="34" t="n"/>
      <c r="K150" s="34" t="n"/>
      <c r="L150" s="34" t="n"/>
      <c r="M150" s="34" t="n"/>
      <c r="N150" s="34" t="n"/>
      <c r="O150" s="38" t="inlineStr"/>
    </row>
    <row r="151">
      <c r="C151" t="inlineStr">
        <is>
          <t xml:space="preserve">      Set 1</t>
        </is>
      </c>
      <c r="E151" t="n">
        <v>5</v>
      </c>
      <c r="H151" s="39">
        <f>IF(H150="","",H150)</f>
        <v/>
      </c>
      <c r="I151" s="7">
        <f>IF(H150="","",H150)</f>
        <v/>
      </c>
      <c r="J151" s="7" t="n">
        <v>5</v>
      </c>
      <c r="K151" s="7" t="n"/>
      <c r="L151" s="40" t="n"/>
      <c r="M151">
        <f>IF(AND(L151&lt;&gt;"",N(I151)&gt;0,N(J151)&gt;0),IF(J151=1,I151,ROUND(I151*(1+J151/30),1)),"")</f>
        <v/>
      </c>
      <c r="N151" s="41">
        <f>IF(M151="","",IF(M151&gt;=PRs!C2,"PR!",""))</f>
        <v/>
      </c>
      <c r="O151" s="7" t="n"/>
    </row>
    <row r="152">
      <c r="C152" t="inlineStr">
        <is>
          <t xml:space="preserve">      Set 2</t>
        </is>
      </c>
      <c r="E152" t="n">
        <v>5</v>
      </c>
      <c r="H152" s="39">
        <f>IF(H150="","",H150)</f>
        <v/>
      </c>
      <c r="I152" s="7">
        <f>IF(H150="","",H150)</f>
        <v/>
      </c>
      <c r="J152" s="7" t="n">
        <v>5</v>
      </c>
      <c r="K152" s="7" t="n"/>
      <c r="L152" s="40" t="n"/>
      <c r="M152">
        <f>IF(AND(L152&lt;&gt;"",N(I152)&gt;0,N(J152)&gt;0),IF(J152=1,I152,ROUND(I152*(1+J152/30),1)),"")</f>
        <v/>
      </c>
      <c r="N152" s="41">
        <f>IF(M152="","",IF(M152&gt;=PRs!C2,"PR!",""))</f>
        <v/>
      </c>
      <c r="O152" s="7" t="n"/>
    </row>
    <row r="153">
      <c r="C153" t="inlineStr">
        <is>
          <t xml:space="preserve">      Set 3</t>
        </is>
      </c>
      <c r="E153" t="n">
        <v>5</v>
      </c>
      <c r="H153" s="39">
        <f>IF(H150="","",H150)</f>
        <v/>
      </c>
      <c r="I153" s="7">
        <f>IF(H150="","",H150)</f>
        <v/>
      </c>
      <c r="J153" s="7" t="n">
        <v>5</v>
      </c>
      <c r="K153" s="7" t="n"/>
      <c r="L153" s="40" t="n"/>
      <c r="M153">
        <f>IF(AND(L153&lt;&gt;"",N(I153)&gt;0,N(J153)&gt;0),IF(J153=1,I153,ROUND(I153*(1+J153/30),1)),"")</f>
        <v/>
      </c>
      <c r="N153" s="41">
        <f>IF(M153="","",IF(M153&gt;=PRs!C2,"PR!",""))</f>
        <v/>
      </c>
      <c r="O153" s="7" t="n"/>
    </row>
    <row r="154">
      <c r="A154" s="34" t="n"/>
      <c r="B154" s="34" t="n"/>
      <c r="C154" s="42" t="inlineStr">
        <is>
          <t>Overhead Press</t>
        </is>
      </c>
      <c r="D154" s="34" t="inlineStr">
        <is>
          <t>5 x 3</t>
        </is>
      </c>
      <c r="E154" s="34" t="n"/>
      <c r="F154" s="34" t="n">
        <v>80</v>
      </c>
      <c r="G154" s="36">
        <f>Maxes!H5</f>
        <v/>
      </c>
      <c r="H154" s="37">
        <f>IF(OR(G154="",F154=""),"",MROUND(G154*F154/100,'Start Here'!$B$7))</f>
        <v/>
      </c>
      <c r="I154" s="34" t="n"/>
      <c r="J154" s="34" t="n"/>
      <c r="K154" s="34" t="n"/>
      <c r="L154" s="34" t="n"/>
      <c r="M154" s="34" t="n"/>
      <c r="N154" s="34" t="n"/>
      <c r="O154" s="38" t="inlineStr"/>
    </row>
    <row r="155">
      <c r="C155" t="inlineStr">
        <is>
          <t xml:space="preserve">      Set 1</t>
        </is>
      </c>
      <c r="E155" t="n">
        <v>3</v>
      </c>
      <c r="H155" s="39">
        <f>IF(H154="","",H154)</f>
        <v/>
      </c>
      <c r="I155" s="7">
        <f>IF(H154="","",H154)</f>
        <v/>
      </c>
      <c r="J155" s="7" t="n">
        <v>3</v>
      </c>
      <c r="K155" s="7" t="n"/>
      <c r="L155" s="40" t="n"/>
      <c r="M155">
        <f>IF(AND(L155&lt;&gt;"",N(I155)&gt;0,N(J155)&gt;0),IF(J155=1,I155,ROUND(I155*(1+J155/30),1)),"")</f>
        <v/>
      </c>
      <c r="N155" s="41">
        <f>IF(M155="","",IF(M155&gt;=PRs!C5,"PR!",""))</f>
        <v/>
      </c>
      <c r="O155" s="7" t="n"/>
    </row>
    <row r="156">
      <c r="C156" t="inlineStr">
        <is>
          <t xml:space="preserve">      Set 2</t>
        </is>
      </c>
      <c r="E156" t="n">
        <v>3</v>
      </c>
      <c r="H156" s="39">
        <f>IF(H154="","",H154)</f>
        <v/>
      </c>
      <c r="I156" s="7">
        <f>IF(H154="","",H154)</f>
        <v/>
      </c>
      <c r="J156" s="7" t="n">
        <v>3</v>
      </c>
      <c r="K156" s="7" t="n"/>
      <c r="L156" s="40" t="n"/>
      <c r="M156">
        <f>IF(AND(L156&lt;&gt;"",N(I156)&gt;0,N(J156)&gt;0),IF(J156=1,I156,ROUND(I156*(1+J156/30),1)),"")</f>
        <v/>
      </c>
      <c r="N156" s="41">
        <f>IF(M156="","",IF(M156&gt;=PRs!C5,"PR!",""))</f>
        <v/>
      </c>
      <c r="O156" s="7" t="n"/>
    </row>
    <row r="157">
      <c r="C157" t="inlineStr">
        <is>
          <t xml:space="preserve">      Set 3</t>
        </is>
      </c>
      <c r="E157" t="n">
        <v>3</v>
      </c>
      <c r="H157" s="39">
        <f>IF(H154="","",H154)</f>
        <v/>
      </c>
      <c r="I157" s="7">
        <f>IF(H154="","",H154)</f>
        <v/>
      </c>
      <c r="J157" s="7" t="n">
        <v>3</v>
      </c>
      <c r="K157" s="7" t="n"/>
      <c r="L157" s="40" t="n"/>
      <c r="M157">
        <f>IF(AND(L157&lt;&gt;"",N(I157)&gt;0,N(J157)&gt;0),IF(J157=1,I157,ROUND(I157*(1+J157/30),1)),"")</f>
        <v/>
      </c>
      <c r="N157" s="41">
        <f>IF(M157="","",IF(M157&gt;=PRs!C5,"PR!",""))</f>
        <v/>
      </c>
      <c r="O157" s="7" t="n"/>
    </row>
    <row r="158">
      <c r="C158" t="inlineStr">
        <is>
          <t xml:space="preserve">      Set 4</t>
        </is>
      </c>
      <c r="E158" t="n">
        <v>3</v>
      </c>
      <c r="H158" s="39">
        <f>IF(H154="","",H154)</f>
        <v/>
      </c>
      <c r="I158" s="7">
        <f>IF(H154="","",H154)</f>
        <v/>
      </c>
      <c r="J158" s="7" t="n">
        <v>3</v>
      </c>
      <c r="K158" s="7" t="n"/>
      <c r="L158" s="40" t="n"/>
      <c r="M158">
        <f>IF(AND(L158&lt;&gt;"",N(I158)&gt;0,N(J158)&gt;0),IF(J158=1,I158,ROUND(I158*(1+J158/30),1)),"")</f>
        <v/>
      </c>
      <c r="N158" s="41">
        <f>IF(M158="","",IF(M158&gt;=PRs!C5,"PR!",""))</f>
        <v/>
      </c>
      <c r="O158" s="7" t="n"/>
    </row>
    <row r="159">
      <c r="C159" t="inlineStr">
        <is>
          <t xml:space="preserve">      Set 5</t>
        </is>
      </c>
      <c r="E159" t="n">
        <v>3</v>
      </c>
      <c r="H159" s="39">
        <f>IF(H154="","",H154)</f>
        <v/>
      </c>
      <c r="I159" s="7">
        <f>IF(H154="","",H154)</f>
        <v/>
      </c>
      <c r="J159" s="7" t="n">
        <v>3</v>
      </c>
      <c r="K159" s="7" t="n"/>
      <c r="L159" s="40" t="n"/>
      <c r="M159">
        <f>IF(AND(L159&lt;&gt;"",N(I159)&gt;0,N(J159)&gt;0),IF(J159=1,I159,ROUND(I159*(1+J159/30),1)),"")</f>
        <v/>
      </c>
      <c r="N159" s="41">
        <f>IF(M159="","",IF(M159&gt;=PRs!C5,"PR!",""))</f>
        <v/>
      </c>
      <c r="O159" s="7" t="n"/>
    </row>
    <row r="160">
      <c r="A160" s="34" t="n"/>
      <c r="B160" s="34" t="n"/>
      <c r="C160" s="42" t="inlineStr">
        <is>
          <t>Deadlift</t>
        </is>
      </c>
      <c r="D160" s="34" t="inlineStr">
        <is>
          <t>4 x 3</t>
        </is>
      </c>
      <c r="E160" s="34" t="n"/>
      <c r="F160" s="34" t="n">
        <v>80</v>
      </c>
      <c r="G160" s="36">
        <f>Maxes!H4</f>
        <v/>
      </c>
      <c r="H160" s="37">
        <f>IF(OR(G160="",F160=""),"",MROUND(G160*F160/100,'Start Here'!$B$7))</f>
        <v/>
      </c>
      <c r="I160" s="34" t="n"/>
      <c r="J160" s="34" t="n"/>
      <c r="K160" s="34" t="n"/>
      <c r="L160" s="34" t="n"/>
      <c r="M160" s="34" t="n"/>
      <c r="N160" s="34" t="n"/>
      <c r="O160" s="38" t="inlineStr"/>
    </row>
    <row r="161">
      <c r="C161" t="inlineStr">
        <is>
          <t xml:space="preserve">      Set 1</t>
        </is>
      </c>
      <c r="E161" t="n">
        <v>3</v>
      </c>
      <c r="H161" s="39">
        <f>IF(H160="","",H160)</f>
        <v/>
      </c>
      <c r="I161" s="7">
        <f>IF(H160="","",H160)</f>
        <v/>
      </c>
      <c r="J161" s="7" t="n">
        <v>3</v>
      </c>
      <c r="K161" s="7" t="n"/>
      <c r="L161" s="40" t="n"/>
      <c r="M161">
        <f>IF(AND(L161&lt;&gt;"",N(I161)&gt;0,N(J161)&gt;0),IF(J161=1,I161,ROUND(I161*(1+J161/30),1)),"")</f>
        <v/>
      </c>
      <c r="N161" s="41">
        <f>IF(M161="","",IF(M161&gt;=PRs!C4,"PR!",""))</f>
        <v/>
      </c>
      <c r="O161" s="7" t="n"/>
    </row>
    <row r="162">
      <c r="C162" t="inlineStr">
        <is>
          <t xml:space="preserve">      Set 2</t>
        </is>
      </c>
      <c r="E162" t="n">
        <v>3</v>
      </c>
      <c r="H162" s="39">
        <f>IF(H160="","",H160)</f>
        <v/>
      </c>
      <c r="I162" s="7">
        <f>IF(H160="","",H160)</f>
        <v/>
      </c>
      <c r="J162" s="7" t="n">
        <v>3</v>
      </c>
      <c r="K162" s="7" t="n"/>
      <c r="L162" s="40" t="n"/>
      <c r="M162">
        <f>IF(AND(L162&lt;&gt;"",N(I162)&gt;0,N(J162)&gt;0),IF(J162=1,I162,ROUND(I162*(1+J162/30),1)),"")</f>
        <v/>
      </c>
      <c r="N162" s="41">
        <f>IF(M162="","",IF(M162&gt;=PRs!C4,"PR!",""))</f>
        <v/>
      </c>
      <c r="O162" s="7" t="n"/>
    </row>
    <row r="163">
      <c r="C163" t="inlineStr">
        <is>
          <t xml:space="preserve">      Set 3</t>
        </is>
      </c>
      <c r="E163" t="n">
        <v>3</v>
      </c>
      <c r="H163" s="39">
        <f>IF(H160="","",H160)</f>
        <v/>
      </c>
      <c r="I163" s="7">
        <f>IF(H160="","",H160)</f>
        <v/>
      </c>
      <c r="J163" s="7" t="n">
        <v>3</v>
      </c>
      <c r="K163" s="7" t="n"/>
      <c r="L163" s="40" t="n"/>
      <c r="M163">
        <f>IF(AND(L163&lt;&gt;"",N(I163)&gt;0,N(J163)&gt;0),IF(J163=1,I163,ROUND(I163*(1+J163/30),1)),"")</f>
        <v/>
      </c>
      <c r="N163" s="41">
        <f>IF(M163="","",IF(M163&gt;=PRs!C4,"PR!",""))</f>
        <v/>
      </c>
      <c r="O163" s="7" t="n"/>
    </row>
    <row r="164">
      <c r="C164" t="inlineStr">
        <is>
          <t xml:space="preserve">      Set 4</t>
        </is>
      </c>
      <c r="E164" t="n">
        <v>3</v>
      </c>
      <c r="H164" s="39">
        <f>IF(H160="","",H160)</f>
        <v/>
      </c>
      <c r="I164" s="7">
        <f>IF(H160="","",H160)</f>
        <v/>
      </c>
      <c r="J164" s="7" t="n">
        <v>3</v>
      </c>
      <c r="K164" s="7" t="n"/>
      <c r="L164" s="40" t="n"/>
      <c r="M164">
        <f>IF(AND(L164&lt;&gt;"",N(I164)&gt;0,N(J164)&gt;0),IF(J164=1,I164,ROUND(I164*(1+J164/30),1)),"")</f>
        <v/>
      </c>
      <c r="N164" s="41">
        <f>IF(M164="","",IF(M164&gt;=PRs!C4,"PR!",""))</f>
        <v/>
      </c>
      <c r="O164" s="7" t="n"/>
    </row>
    <row r="165">
      <c r="A165" s="34" t="n"/>
      <c r="B165" s="34" t="n"/>
      <c r="C165" s="43" t="inlineStr">
        <is>
          <t>Chin-up</t>
        </is>
      </c>
      <c r="D165" s="34" t="inlineStr">
        <is>
          <t>3 x 6-10</t>
        </is>
      </c>
      <c r="E165" s="34" t="n"/>
      <c r="F165" s="34" t="n"/>
      <c r="G165" s="36" t="n"/>
      <c r="H165" s="37" t="n"/>
      <c r="I165" s="34" t="n"/>
      <c r="J165" s="34" t="n"/>
      <c r="K165" s="34" t="n"/>
      <c r="L165" s="34" t="n"/>
      <c r="M165" s="34" t="n"/>
      <c r="N165" s="34" t="n"/>
      <c r="O165" s="38" t="inlineStr">
        <is>
          <t>Leave 1-2 reps in the tank; add weight when you hit the top of the range</t>
        </is>
      </c>
    </row>
    <row r="166">
      <c r="C166" t="inlineStr">
        <is>
          <t xml:space="preserve">      Set 1</t>
        </is>
      </c>
      <c r="E166" t="n">
        <v>6</v>
      </c>
      <c r="H166" s="39">
        <f>IF(H165="","",H165)</f>
        <v/>
      </c>
      <c r="I166" s="7">
        <f>IF(H165="","",H165)</f>
        <v/>
      </c>
      <c r="J166" s="7" t="n">
        <v>6</v>
      </c>
      <c r="K166" s="7" t="n"/>
      <c r="L166" s="40" t="n"/>
      <c r="M166">
        <f>IF(AND(L166&lt;&gt;"",N(I166)&gt;0,N(J166)&gt;0),IF(J166=1,I166,ROUND(I166*(1+J166/30),1)),"")</f>
        <v/>
      </c>
      <c r="N166" s="41">
        <f>IF(M166="","",IF(M166&gt;=PRs!C53,"PR!",""))</f>
        <v/>
      </c>
      <c r="O166" s="7" t="n"/>
    </row>
    <row r="167">
      <c r="C167" t="inlineStr">
        <is>
          <t xml:space="preserve">      Set 2</t>
        </is>
      </c>
      <c r="E167" t="n">
        <v>6</v>
      </c>
      <c r="H167" s="39">
        <f>IF(H165="","",H165)</f>
        <v/>
      </c>
      <c r="I167" s="7">
        <f>IF(H165="","",H165)</f>
        <v/>
      </c>
      <c r="J167" s="7" t="n">
        <v>6</v>
      </c>
      <c r="K167" s="7" t="n"/>
      <c r="L167" s="40" t="n"/>
      <c r="M167">
        <f>IF(AND(L167&lt;&gt;"",N(I167)&gt;0,N(J167)&gt;0),IF(J167=1,I167,ROUND(I167*(1+J167/30),1)),"")</f>
        <v/>
      </c>
      <c r="N167" s="41">
        <f>IF(M167="","",IF(M167&gt;=PRs!C53,"PR!",""))</f>
        <v/>
      </c>
      <c r="O167" s="7" t="n"/>
    </row>
    <row r="168">
      <c r="C168" t="inlineStr">
        <is>
          <t xml:space="preserve">      Set 3</t>
        </is>
      </c>
      <c r="E168" t="n">
        <v>6</v>
      </c>
      <c r="H168" s="39">
        <f>IF(H165="","",H165)</f>
        <v/>
      </c>
      <c r="I168" s="7">
        <f>IF(H165="","",H165)</f>
        <v/>
      </c>
      <c r="J168" s="7" t="n">
        <v>6</v>
      </c>
      <c r="K168" s="7" t="n"/>
      <c r="L168" s="40" t="n"/>
      <c r="M168">
        <f>IF(AND(L168&lt;&gt;"",N(I168)&gt;0,N(J168)&gt;0),IF(J168=1,I168,ROUND(I168*(1+J168/30),1)),"")</f>
        <v/>
      </c>
      <c r="N168" s="41">
        <f>IF(M168="","",IF(M168&gt;=PRs!C53,"PR!",""))</f>
        <v/>
      </c>
      <c r="O168" s="7" t="n"/>
    </row>
    <row r="169">
      <c r="A169" s="34" t="n"/>
      <c r="B169" s="34" t="n"/>
      <c r="C169" s="43" t="inlineStr">
        <is>
          <t>Plank</t>
        </is>
      </c>
      <c r="D169" s="34" t="inlineStr">
        <is>
          <t>3 x 30-60s</t>
        </is>
      </c>
      <c r="E169" s="34" t="n"/>
      <c r="F169" s="34" t="n"/>
      <c r="G169" s="36" t="n"/>
      <c r="H169" s="37" t="n"/>
      <c r="I169" s="34" t="n"/>
      <c r="J169" s="34" t="n"/>
      <c r="K169" s="34" t="n"/>
      <c r="L169" s="34" t="n"/>
      <c r="M169" s="34" t="n"/>
      <c r="N169" s="34" t="n"/>
      <c r="O169" s="38" t="inlineStr">
        <is>
          <t>Leave 1-2 reps in the tank; add weight when you hit the top of the range</t>
        </is>
      </c>
    </row>
    <row r="170">
      <c r="C170" t="inlineStr">
        <is>
          <t xml:space="preserve">      Set 1</t>
        </is>
      </c>
      <c r="E170" t="n">
        <v>30</v>
      </c>
      <c r="H170" s="39">
        <f>IF(H169="","",H169)</f>
        <v/>
      </c>
      <c r="I170" s="7">
        <f>IF(H169="","",H169)</f>
        <v/>
      </c>
      <c r="J170" s="7" t="n">
        <v>30</v>
      </c>
      <c r="K170" s="7" t="n"/>
      <c r="L170" s="40" t="n"/>
      <c r="M170">
        <f>IF(AND(L170&lt;&gt;"",N(I170)&gt;0,N(J170)&gt;0),IF(J170=1,I170,ROUND(I170*(1+J170/30),1)),"")</f>
        <v/>
      </c>
      <c r="N170" s="41">
        <f>IF(M170="","",IF(M170&gt;=PRs!C56,"PR!",""))</f>
        <v/>
      </c>
      <c r="O170" s="7" t="n"/>
    </row>
    <row r="171">
      <c r="C171" t="inlineStr">
        <is>
          <t xml:space="preserve">      Set 2</t>
        </is>
      </c>
      <c r="E171" t="n">
        <v>30</v>
      </c>
      <c r="H171" s="39">
        <f>IF(H169="","",H169)</f>
        <v/>
      </c>
      <c r="I171" s="7">
        <f>IF(H169="","",H169)</f>
        <v/>
      </c>
      <c r="J171" s="7" t="n">
        <v>30</v>
      </c>
      <c r="K171" s="7" t="n"/>
      <c r="L171" s="40" t="n"/>
      <c r="M171">
        <f>IF(AND(L171&lt;&gt;"",N(I171)&gt;0,N(J171)&gt;0),IF(J171=1,I171,ROUND(I171*(1+J171/30),1)),"")</f>
        <v/>
      </c>
      <c r="N171" s="41">
        <f>IF(M171="","",IF(M171&gt;=PRs!C56,"PR!",""))</f>
        <v/>
      </c>
      <c r="O171" s="7" t="n"/>
    </row>
    <row r="172">
      <c r="C172" t="inlineStr">
        <is>
          <t xml:space="preserve">      Set 3</t>
        </is>
      </c>
      <c r="E172" t="n">
        <v>30</v>
      </c>
      <c r="H172" s="39">
        <f>IF(H169="","",H169)</f>
        <v/>
      </c>
      <c r="I172" s="7">
        <f>IF(H169="","",H169)</f>
        <v/>
      </c>
      <c r="J172" s="7" t="n">
        <v>30</v>
      </c>
      <c r="K172" s="7" t="n"/>
      <c r="L172" s="40" t="n"/>
      <c r="M172">
        <f>IF(AND(L172&lt;&gt;"",N(I172)&gt;0,N(J172)&gt;0),IF(J172=1,I172,ROUND(I172*(1+J172/30),1)),"")</f>
        <v/>
      </c>
      <c r="N172" s="41">
        <f>IF(M172="","",IF(M172&gt;=PRs!C56,"PR!",""))</f>
        <v/>
      </c>
      <c r="O172" s="7" t="n"/>
    </row>
    <row r="173">
      <c r="A173" s="31" t="inlineStr">
        <is>
          <t>Day 3 - Variations</t>
        </is>
      </c>
      <c r="B173" s="32">
        <f>'Start Here'!$B$8+319</f>
        <v/>
      </c>
      <c r="C173" s="33" t="n"/>
      <c r="D173" s="33" t="n"/>
      <c r="E173" s="33" t="n"/>
      <c r="F173" s="33" t="n"/>
      <c r="G173" s="33" t="n"/>
      <c r="H173" s="33" t="n"/>
      <c r="I173" s="33" t="n"/>
      <c r="J173" s="33" t="n"/>
      <c r="K173" s="33" t="n"/>
      <c r="L173" s="33" t="n"/>
      <c r="M173" s="33" t="n"/>
      <c r="N173" s="33" t="n"/>
      <c r="O173" s="33" t="n"/>
    </row>
    <row r="174">
      <c r="A174" s="34" t="n"/>
      <c r="B174" s="34" t="n"/>
      <c r="C174" s="35" t="inlineStr">
        <is>
          <t>Seated Box Jump</t>
        </is>
      </c>
      <c r="D174" s="34" t="inlineStr">
        <is>
          <t>3 x 2</t>
        </is>
      </c>
      <c r="E174" s="34" t="n"/>
      <c r="F174" s="34" t="n"/>
      <c r="G174" s="36" t="n"/>
      <c r="H174" s="37">
        <f>IF(N(Maxes!H76)&gt;0,Maxes!H76,"")</f>
        <v/>
      </c>
      <c r="I174" s="34" t="n"/>
      <c r="J174" s="34" t="n"/>
      <c r="K174" s="34" t="n"/>
      <c r="L174" s="34" t="n"/>
      <c r="M174" s="34" t="n"/>
      <c r="N174" s="34" t="n"/>
      <c r="O174" s="38" t="inlineStr">
        <is>
          <t>Sit on a box, feet flat, then jump from seated onto a second box. Log the landing-box height.</t>
        </is>
      </c>
    </row>
    <row r="175">
      <c r="C175" t="inlineStr">
        <is>
          <t xml:space="preserve">      Set 1</t>
        </is>
      </c>
      <c r="E175" t="n">
        <v>2</v>
      </c>
      <c r="H175" s="39">
        <f>IF(H174="","",H174)</f>
        <v/>
      </c>
      <c r="I175" s="7">
        <f>IF(H174="","",H174)</f>
        <v/>
      </c>
      <c r="J175" s="7" t="n">
        <v>2</v>
      </c>
      <c r="K175" s="7" t="n"/>
      <c r="L175" s="40" t="n"/>
      <c r="N175" s="41">
        <f>IF(AND(L175&lt;&gt;"",N(I175)&gt;0),IF(I175&gt;=PRs!D76,"PR!",""),"")</f>
        <v/>
      </c>
      <c r="O175" s="7" t="n"/>
    </row>
    <row r="176">
      <c r="C176" t="inlineStr">
        <is>
          <t xml:space="preserve">      Set 2</t>
        </is>
      </c>
      <c r="E176" t="n">
        <v>2</v>
      </c>
      <c r="H176" s="39">
        <f>IF(H174="","",H174)</f>
        <v/>
      </c>
      <c r="I176" s="7">
        <f>IF(H174="","",H174)</f>
        <v/>
      </c>
      <c r="J176" s="7" t="n">
        <v>2</v>
      </c>
      <c r="K176" s="7" t="n"/>
      <c r="L176" s="40" t="n"/>
      <c r="N176" s="41">
        <f>IF(AND(L176&lt;&gt;"",N(I176)&gt;0),IF(I176&gt;=PRs!D76,"PR!",""),"")</f>
        <v/>
      </c>
      <c r="O176" s="7" t="n"/>
    </row>
    <row r="177">
      <c r="C177" t="inlineStr">
        <is>
          <t xml:space="preserve">      Set 3</t>
        </is>
      </c>
      <c r="E177" t="n">
        <v>2</v>
      </c>
      <c r="H177" s="39">
        <f>IF(H174="","",H174)</f>
        <v/>
      </c>
      <c r="I177" s="7">
        <f>IF(H174="","",H174)</f>
        <v/>
      </c>
      <c r="J177" s="7" t="n">
        <v>2</v>
      </c>
      <c r="K177" s="7" t="n"/>
      <c r="L177" s="40" t="n"/>
      <c r="N177" s="41">
        <f>IF(AND(L177&lt;&gt;"",N(I177)&gt;0),IF(I177&gt;=PRs!D76,"PR!",""),"")</f>
        <v/>
      </c>
      <c r="O177" s="7" t="n"/>
    </row>
    <row r="178">
      <c r="A178" s="34" t="n"/>
      <c r="B178" s="34" t="n"/>
      <c r="C178" s="42" t="inlineStr">
        <is>
          <t>Hang Clean</t>
        </is>
      </c>
      <c r="D178" s="34" t="inlineStr">
        <is>
          <t>5 x 2</t>
        </is>
      </c>
      <c r="E178" s="34" t="n"/>
      <c r="F178" s="34" t="n">
        <v>80</v>
      </c>
      <c r="G178" s="36">
        <f>Maxes!H43</f>
        <v/>
      </c>
      <c r="H178" s="37">
        <f>IF(OR(G178="",F178=""),"",MROUND(G178*F178/100,'Start Here'!$B$7))</f>
        <v/>
      </c>
      <c r="I178" s="34" t="n"/>
      <c r="J178" s="34" t="n"/>
      <c r="K178" s="34" t="n"/>
      <c r="L178" s="34" t="n"/>
      <c r="M178" s="34" t="n"/>
      <c r="N178" s="34" t="n"/>
      <c r="O178" s="38" t="inlineStr"/>
    </row>
    <row r="179">
      <c r="C179" t="inlineStr">
        <is>
          <t xml:space="preserve">      Set 1</t>
        </is>
      </c>
      <c r="E179" t="n">
        <v>2</v>
      </c>
      <c r="H179" s="39">
        <f>IF(H178="","",H178)</f>
        <v/>
      </c>
      <c r="I179" s="7">
        <f>IF(H178="","",H178)</f>
        <v/>
      </c>
      <c r="J179" s="7" t="n">
        <v>2</v>
      </c>
      <c r="K179" s="7" t="n"/>
      <c r="L179" s="40" t="n"/>
      <c r="M179">
        <f>IF(AND(L179&lt;&gt;"",N(I179)&gt;0,N(J179)&gt;0),IF(J179=1,I179,ROUND(I179*(1+J179/30),1)),"")</f>
        <v/>
      </c>
      <c r="N179" s="41">
        <f>IF(M179="","",IF(M179&gt;=PRs!C43,"PR!",""))</f>
        <v/>
      </c>
      <c r="O179" s="7" t="n"/>
    </row>
    <row r="180">
      <c r="C180" t="inlineStr">
        <is>
          <t xml:space="preserve">      Set 2</t>
        </is>
      </c>
      <c r="E180" t="n">
        <v>2</v>
      </c>
      <c r="H180" s="39">
        <f>IF(H178="","",H178)</f>
        <v/>
      </c>
      <c r="I180" s="7">
        <f>IF(H178="","",H178)</f>
        <v/>
      </c>
      <c r="J180" s="7" t="n">
        <v>2</v>
      </c>
      <c r="K180" s="7" t="n"/>
      <c r="L180" s="40" t="n"/>
      <c r="M180">
        <f>IF(AND(L180&lt;&gt;"",N(I180)&gt;0,N(J180)&gt;0),IF(J180=1,I180,ROUND(I180*(1+J180/30),1)),"")</f>
        <v/>
      </c>
      <c r="N180" s="41">
        <f>IF(M180="","",IF(M180&gt;=PRs!C43,"PR!",""))</f>
        <v/>
      </c>
      <c r="O180" s="7" t="n"/>
    </row>
    <row r="181">
      <c r="C181" t="inlineStr">
        <is>
          <t xml:space="preserve">      Set 3</t>
        </is>
      </c>
      <c r="E181" t="n">
        <v>2</v>
      </c>
      <c r="H181" s="39">
        <f>IF(H178="","",H178)</f>
        <v/>
      </c>
      <c r="I181" s="7">
        <f>IF(H178="","",H178)</f>
        <v/>
      </c>
      <c r="J181" s="7" t="n">
        <v>2</v>
      </c>
      <c r="K181" s="7" t="n"/>
      <c r="L181" s="40" t="n"/>
      <c r="M181">
        <f>IF(AND(L181&lt;&gt;"",N(I181)&gt;0,N(J181)&gt;0),IF(J181=1,I181,ROUND(I181*(1+J181/30),1)),"")</f>
        <v/>
      </c>
      <c r="N181" s="41">
        <f>IF(M181="","",IF(M181&gt;=PRs!C43,"PR!",""))</f>
        <v/>
      </c>
      <c r="O181" s="7" t="n"/>
    </row>
    <row r="182">
      <c r="C182" t="inlineStr">
        <is>
          <t xml:space="preserve">      Set 4</t>
        </is>
      </c>
      <c r="E182" t="n">
        <v>2</v>
      </c>
      <c r="H182" s="39">
        <f>IF(H178="","",H178)</f>
        <v/>
      </c>
      <c r="I182" s="7">
        <f>IF(H178="","",H178)</f>
        <v/>
      </c>
      <c r="J182" s="7" t="n">
        <v>2</v>
      </c>
      <c r="K182" s="7" t="n"/>
      <c r="L182" s="40" t="n"/>
      <c r="M182">
        <f>IF(AND(L182&lt;&gt;"",N(I182)&gt;0,N(J182)&gt;0),IF(J182=1,I182,ROUND(I182*(1+J182/30),1)),"")</f>
        <v/>
      </c>
      <c r="N182" s="41">
        <f>IF(M182="","",IF(M182&gt;=PRs!C43,"PR!",""))</f>
        <v/>
      </c>
      <c r="O182" s="7" t="n"/>
    </row>
    <row r="183">
      <c r="C183" t="inlineStr">
        <is>
          <t xml:space="preserve">      Set 5</t>
        </is>
      </c>
      <c r="E183" t="n">
        <v>2</v>
      </c>
      <c r="H183" s="39">
        <f>IF(H178="","",H178)</f>
        <v/>
      </c>
      <c r="I183" s="7">
        <f>IF(H178="","",H178)</f>
        <v/>
      </c>
      <c r="J183" s="7" t="n">
        <v>2</v>
      </c>
      <c r="K183" s="7" t="n"/>
      <c r="L183" s="40" t="n"/>
      <c r="M183">
        <f>IF(AND(L183&lt;&gt;"",N(I183)&gt;0,N(J183)&gt;0),IF(J183=1,I183,ROUND(I183*(1+J183/30),1)),"")</f>
        <v/>
      </c>
      <c r="N183" s="41">
        <f>IF(M183="","",IF(M183&gt;=PRs!C43,"PR!",""))</f>
        <v/>
      </c>
      <c r="O183" s="7" t="n"/>
    </row>
    <row r="184">
      <c r="A184" s="34" t="n"/>
      <c r="B184" s="34" t="n"/>
      <c r="C184" s="42" t="inlineStr">
        <is>
          <t>Pause Squat</t>
        </is>
      </c>
      <c r="D184" s="34" t="inlineStr">
        <is>
          <t>5 x 3</t>
        </is>
      </c>
      <c r="E184" s="34" t="n"/>
      <c r="F184" s="34" t="n">
        <v>80</v>
      </c>
      <c r="G184" s="36">
        <f>Maxes!H9</f>
        <v/>
      </c>
      <c r="H184" s="37">
        <f>IF(OR(G184="",F184=""),"",MROUND(G184*F184/100,'Start Here'!$B$7))</f>
        <v/>
      </c>
      <c r="I184" s="34" t="n"/>
      <c r="J184" s="34" t="n"/>
      <c r="K184" s="34" t="n"/>
      <c r="L184" s="34" t="n"/>
      <c r="M184" s="34" t="n"/>
      <c r="N184" s="34" t="n"/>
      <c r="O184" s="38" t="inlineStr"/>
    </row>
    <row r="185">
      <c r="C185" t="inlineStr">
        <is>
          <t xml:space="preserve">      Set 1</t>
        </is>
      </c>
      <c r="E185" t="n">
        <v>3</v>
      </c>
      <c r="H185" s="39">
        <f>IF(H184="","",H184)</f>
        <v/>
      </c>
      <c r="I185" s="7">
        <f>IF(H184="","",H184)</f>
        <v/>
      </c>
      <c r="J185" s="7" t="n">
        <v>3</v>
      </c>
      <c r="K185" s="7" t="n"/>
      <c r="L185" s="40" t="n"/>
      <c r="M185">
        <f>IF(AND(L185&lt;&gt;"",N(I185)&gt;0,N(J185)&gt;0),IF(J185=1,I185,ROUND(I185*(1+J185/30),1)),"")</f>
        <v/>
      </c>
      <c r="N185" s="41">
        <f>IF(M185="","",IF(M185&gt;=PRs!C9,"PR!",""))</f>
        <v/>
      </c>
      <c r="O185" s="7" t="n"/>
    </row>
    <row r="186">
      <c r="C186" t="inlineStr">
        <is>
          <t xml:space="preserve">      Set 2</t>
        </is>
      </c>
      <c r="E186" t="n">
        <v>3</v>
      </c>
      <c r="H186" s="39">
        <f>IF(H184="","",H184)</f>
        <v/>
      </c>
      <c r="I186" s="7">
        <f>IF(H184="","",H184)</f>
        <v/>
      </c>
      <c r="J186" s="7" t="n">
        <v>3</v>
      </c>
      <c r="K186" s="7" t="n"/>
      <c r="L186" s="40" t="n"/>
      <c r="M186">
        <f>IF(AND(L186&lt;&gt;"",N(I186)&gt;0,N(J186)&gt;0),IF(J186=1,I186,ROUND(I186*(1+J186/30),1)),"")</f>
        <v/>
      </c>
      <c r="N186" s="41">
        <f>IF(M186="","",IF(M186&gt;=PRs!C9,"PR!",""))</f>
        <v/>
      </c>
      <c r="O186" s="7" t="n"/>
    </row>
    <row r="187">
      <c r="C187" t="inlineStr">
        <is>
          <t xml:space="preserve">      Set 3</t>
        </is>
      </c>
      <c r="E187" t="n">
        <v>3</v>
      </c>
      <c r="H187" s="39">
        <f>IF(H184="","",H184)</f>
        <v/>
      </c>
      <c r="I187" s="7">
        <f>IF(H184="","",H184)</f>
        <v/>
      </c>
      <c r="J187" s="7" t="n">
        <v>3</v>
      </c>
      <c r="K187" s="7" t="n"/>
      <c r="L187" s="40" t="n"/>
      <c r="M187">
        <f>IF(AND(L187&lt;&gt;"",N(I187)&gt;0,N(J187)&gt;0),IF(J187=1,I187,ROUND(I187*(1+J187/30),1)),"")</f>
        <v/>
      </c>
      <c r="N187" s="41">
        <f>IF(M187="","",IF(M187&gt;=PRs!C9,"PR!",""))</f>
        <v/>
      </c>
      <c r="O187" s="7" t="n"/>
    </row>
    <row r="188">
      <c r="C188" t="inlineStr">
        <is>
          <t xml:space="preserve">      Set 4</t>
        </is>
      </c>
      <c r="E188" t="n">
        <v>3</v>
      </c>
      <c r="H188" s="39">
        <f>IF(H184="","",H184)</f>
        <v/>
      </c>
      <c r="I188" s="7">
        <f>IF(H184="","",H184)</f>
        <v/>
      </c>
      <c r="J188" s="7" t="n">
        <v>3</v>
      </c>
      <c r="K188" s="7" t="n"/>
      <c r="L188" s="40" t="n"/>
      <c r="M188">
        <f>IF(AND(L188&lt;&gt;"",N(I188)&gt;0,N(J188)&gt;0),IF(J188=1,I188,ROUND(I188*(1+J188/30),1)),"")</f>
        <v/>
      </c>
      <c r="N188" s="41">
        <f>IF(M188="","",IF(M188&gt;=PRs!C9,"PR!",""))</f>
        <v/>
      </c>
      <c r="O188" s="7" t="n"/>
    </row>
    <row r="189">
      <c r="C189" t="inlineStr">
        <is>
          <t xml:space="preserve">      Set 5</t>
        </is>
      </c>
      <c r="E189" t="n">
        <v>3</v>
      </c>
      <c r="H189" s="39">
        <f>IF(H184="","",H184)</f>
        <v/>
      </c>
      <c r="I189" s="7">
        <f>IF(H184="","",H184)</f>
        <v/>
      </c>
      <c r="J189" s="7" t="n">
        <v>3</v>
      </c>
      <c r="K189" s="7" t="n"/>
      <c r="L189" s="40" t="n"/>
      <c r="M189">
        <f>IF(AND(L189&lt;&gt;"",N(I189)&gt;0,N(J189)&gt;0),IF(J189=1,I189,ROUND(I189*(1+J189/30),1)),"")</f>
        <v/>
      </c>
      <c r="N189" s="41">
        <f>IF(M189="","",IF(M189&gt;=PRs!C9,"PR!",""))</f>
        <v/>
      </c>
      <c r="O189" s="7" t="n"/>
    </row>
    <row r="190">
      <c r="A190" s="34" t="n"/>
      <c r="B190" s="34" t="n"/>
      <c r="C190" s="42" t="inlineStr">
        <is>
          <t>Floor Press</t>
        </is>
      </c>
      <c r="D190" s="34" t="inlineStr">
        <is>
          <t>5 x 3</t>
        </is>
      </c>
      <c r="E190" s="34" t="n"/>
      <c r="F190" s="34" t="n">
        <v>80</v>
      </c>
      <c r="G190" s="36">
        <f>Maxes!H19</f>
        <v/>
      </c>
      <c r="H190" s="37">
        <f>IF(OR(G190="",F190=""),"",MROUND(G190*F190/100,'Start Here'!$B$7))</f>
        <v/>
      </c>
      <c r="I190" s="34" t="n"/>
      <c r="J190" s="34" t="n"/>
      <c r="K190" s="34" t="n"/>
      <c r="L190" s="34" t="n"/>
      <c r="M190" s="34" t="n"/>
      <c r="N190" s="34" t="n"/>
      <c r="O190" s="38" t="inlineStr"/>
    </row>
    <row r="191">
      <c r="C191" t="inlineStr">
        <is>
          <t xml:space="preserve">      Set 1</t>
        </is>
      </c>
      <c r="E191" t="n">
        <v>3</v>
      </c>
      <c r="H191" s="39">
        <f>IF(H190="","",H190)</f>
        <v/>
      </c>
      <c r="I191" s="7">
        <f>IF(H190="","",H190)</f>
        <v/>
      </c>
      <c r="J191" s="7" t="n">
        <v>3</v>
      </c>
      <c r="K191" s="7" t="n"/>
      <c r="L191" s="40" t="n"/>
      <c r="M191">
        <f>IF(AND(L191&lt;&gt;"",N(I191)&gt;0,N(J191)&gt;0),IF(J191=1,I191,ROUND(I191*(1+J191/30),1)),"")</f>
        <v/>
      </c>
      <c r="N191" s="41">
        <f>IF(M191="","",IF(M191&gt;=PRs!C19,"PR!",""))</f>
        <v/>
      </c>
      <c r="O191" s="7" t="n"/>
    </row>
    <row r="192">
      <c r="C192" t="inlineStr">
        <is>
          <t xml:space="preserve">      Set 2</t>
        </is>
      </c>
      <c r="E192" t="n">
        <v>3</v>
      </c>
      <c r="H192" s="39">
        <f>IF(H190="","",H190)</f>
        <v/>
      </c>
      <c r="I192" s="7">
        <f>IF(H190="","",H190)</f>
        <v/>
      </c>
      <c r="J192" s="7" t="n">
        <v>3</v>
      </c>
      <c r="K192" s="7" t="n"/>
      <c r="L192" s="40" t="n"/>
      <c r="M192">
        <f>IF(AND(L192&lt;&gt;"",N(I192)&gt;0,N(J192)&gt;0),IF(J192=1,I192,ROUND(I192*(1+J192/30),1)),"")</f>
        <v/>
      </c>
      <c r="N192" s="41">
        <f>IF(M192="","",IF(M192&gt;=PRs!C19,"PR!",""))</f>
        <v/>
      </c>
      <c r="O192" s="7" t="n"/>
    </row>
    <row r="193">
      <c r="C193" t="inlineStr">
        <is>
          <t xml:space="preserve">      Set 3</t>
        </is>
      </c>
      <c r="E193" t="n">
        <v>3</v>
      </c>
      <c r="H193" s="39">
        <f>IF(H190="","",H190)</f>
        <v/>
      </c>
      <c r="I193" s="7">
        <f>IF(H190="","",H190)</f>
        <v/>
      </c>
      <c r="J193" s="7" t="n">
        <v>3</v>
      </c>
      <c r="K193" s="7" t="n"/>
      <c r="L193" s="40" t="n"/>
      <c r="M193">
        <f>IF(AND(L193&lt;&gt;"",N(I193)&gt;0,N(J193)&gt;0),IF(J193=1,I193,ROUND(I193*(1+J193/30),1)),"")</f>
        <v/>
      </c>
      <c r="N193" s="41">
        <f>IF(M193="","",IF(M193&gt;=PRs!C19,"PR!",""))</f>
        <v/>
      </c>
      <c r="O193" s="7" t="n"/>
    </row>
    <row r="194">
      <c r="C194" t="inlineStr">
        <is>
          <t xml:space="preserve">      Set 4</t>
        </is>
      </c>
      <c r="E194" t="n">
        <v>3</v>
      </c>
      <c r="H194" s="39">
        <f>IF(H190="","",H190)</f>
        <v/>
      </c>
      <c r="I194" s="7">
        <f>IF(H190="","",H190)</f>
        <v/>
      </c>
      <c r="J194" s="7" t="n">
        <v>3</v>
      </c>
      <c r="K194" s="7" t="n"/>
      <c r="L194" s="40" t="n"/>
      <c r="M194">
        <f>IF(AND(L194&lt;&gt;"",N(I194)&gt;0,N(J194)&gt;0),IF(J194=1,I194,ROUND(I194*(1+J194/30),1)),"")</f>
        <v/>
      </c>
      <c r="N194" s="41">
        <f>IF(M194="","",IF(M194&gt;=PRs!C19,"PR!",""))</f>
        <v/>
      </c>
      <c r="O194" s="7" t="n"/>
    </row>
    <row r="195">
      <c r="C195" t="inlineStr">
        <is>
          <t xml:space="preserve">      Set 5</t>
        </is>
      </c>
      <c r="E195" t="n">
        <v>3</v>
      </c>
      <c r="H195" s="39">
        <f>IF(H190="","",H190)</f>
        <v/>
      </c>
      <c r="I195" s="7">
        <f>IF(H190="","",H190)</f>
        <v/>
      </c>
      <c r="J195" s="7" t="n">
        <v>3</v>
      </c>
      <c r="K195" s="7" t="n"/>
      <c r="L195" s="40" t="n"/>
      <c r="M195">
        <f>IF(AND(L195&lt;&gt;"",N(I195)&gt;0,N(J195)&gt;0),IF(J195=1,I195,ROUND(I195*(1+J195/30),1)),"")</f>
        <v/>
      </c>
      <c r="N195" s="41">
        <f>IF(M195="","",IF(M195&gt;=PRs!C19,"PR!",""))</f>
        <v/>
      </c>
      <c r="O195" s="7" t="n"/>
    </row>
    <row r="196">
      <c r="A196" s="34" t="n"/>
      <c r="B196" s="34" t="n"/>
      <c r="C196" s="42" t="inlineStr">
        <is>
          <t>Block Pull</t>
        </is>
      </c>
      <c r="D196" s="34" t="inlineStr">
        <is>
          <t>3 x 5</t>
        </is>
      </c>
      <c r="E196" s="34" t="n"/>
      <c r="F196" s="34" t="n">
        <v>70</v>
      </c>
      <c r="G196" s="36">
        <f>Maxes!H26</f>
        <v/>
      </c>
      <c r="H196" s="37">
        <f>IF(OR(G196="",F196=""),"",MROUND(G196*F196/100,'Start Here'!$B$7))</f>
        <v/>
      </c>
      <c r="I196" s="34" t="n"/>
      <c r="J196" s="34" t="n"/>
      <c r="K196" s="34" t="n"/>
      <c r="L196" s="34" t="n"/>
      <c r="M196" s="34" t="n"/>
      <c r="N196" s="34" t="n"/>
      <c r="O196" s="38" t="inlineStr"/>
    </row>
    <row r="197">
      <c r="C197" t="inlineStr">
        <is>
          <t xml:space="preserve">      Set 1</t>
        </is>
      </c>
      <c r="E197" t="n">
        <v>5</v>
      </c>
      <c r="H197" s="39">
        <f>IF(H196="","",H196)</f>
        <v/>
      </c>
      <c r="I197" s="7">
        <f>IF(H196="","",H196)</f>
        <v/>
      </c>
      <c r="J197" s="7" t="n">
        <v>5</v>
      </c>
      <c r="K197" s="7" t="n"/>
      <c r="L197" s="40" t="n"/>
      <c r="M197">
        <f>IF(AND(L197&lt;&gt;"",N(I197)&gt;0,N(J197)&gt;0),IF(J197=1,I197,ROUND(I197*(1+J197/30),1)),"")</f>
        <v/>
      </c>
      <c r="N197" s="41">
        <f>IF(M197="","",IF(M197&gt;=PRs!C26,"PR!",""))</f>
        <v/>
      </c>
      <c r="O197" s="7" t="n"/>
    </row>
    <row r="198">
      <c r="C198" t="inlineStr">
        <is>
          <t xml:space="preserve">      Set 2</t>
        </is>
      </c>
      <c r="E198" t="n">
        <v>5</v>
      </c>
      <c r="H198" s="39">
        <f>IF(H196="","",H196)</f>
        <v/>
      </c>
      <c r="I198" s="7">
        <f>IF(H196="","",H196)</f>
        <v/>
      </c>
      <c r="J198" s="7" t="n">
        <v>5</v>
      </c>
      <c r="K198" s="7" t="n"/>
      <c r="L198" s="40" t="n"/>
      <c r="M198">
        <f>IF(AND(L198&lt;&gt;"",N(I198)&gt;0,N(J198)&gt;0),IF(J198=1,I198,ROUND(I198*(1+J198/30),1)),"")</f>
        <v/>
      </c>
      <c r="N198" s="41">
        <f>IF(M198="","",IF(M198&gt;=PRs!C26,"PR!",""))</f>
        <v/>
      </c>
      <c r="O198" s="7" t="n"/>
    </row>
    <row r="199">
      <c r="C199" t="inlineStr">
        <is>
          <t xml:space="preserve">      Set 3</t>
        </is>
      </c>
      <c r="E199" t="n">
        <v>5</v>
      </c>
      <c r="H199" s="39">
        <f>IF(H196="","",H196)</f>
        <v/>
      </c>
      <c r="I199" s="7">
        <f>IF(H196="","",H196)</f>
        <v/>
      </c>
      <c r="J199" s="7" t="n">
        <v>5</v>
      </c>
      <c r="K199" s="7" t="n"/>
      <c r="L199" s="40" t="n"/>
      <c r="M199">
        <f>IF(AND(L199&lt;&gt;"",N(I199)&gt;0,N(J199)&gt;0),IF(J199=1,I199,ROUND(I199*(1+J199/30),1)),"")</f>
        <v/>
      </c>
      <c r="N199" s="41">
        <f>IF(M199="","",IF(M199&gt;=PRs!C26,"PR!",""))</f>
        <v/>
      </c>
      <c r="O199" s="7" t="n"/>
    </row>
    <row r="200">
      <c r="A200" s="34" t="n"/>
      <c r="B200" s="34" t="n"/>
      <c r="C200" s="43" t="inlineStr">
        <is>
          <t>Incline Dumbbell Press</t>
        </is>
      </c>
      <c r="D200" s="34" t="inlineStr">
        <is>
          <t>3 x 8-12</t>
        </is>
      </c>
      <c r="E200" s="34" t="n"/>
      <c r="F200" s="34" t="n"/>
      <c r="G200" s="36" t="n"/>
      <c r="H200" s="37" t="n"/>
      <c r="I200" s="34" t="n"/>
      <c r="J200" s="34" t="n"/>
      <c r="K200" s="34" t="n"/>
      <c r="L200" s="34" t="n"/>
      <c r="M200" s="34" t="n"/>
      <c r="N200" s="34" t="n"/>
      <c r="O200" s="38" t="inlineStr">
        <is>
          <t>Leave 1-2 reps in the tank; add weight when you hit the top of the range</t>
        </is>
      </c>
    </row>
    <row r="201">
      <c r="C201" t="inlineStr">
        <is>
          <t xml:space="preserve">      Set 1</t>
        </is>
      </c>
      <c r="E201" t="n">
        <v>8</v>
      </c>
      <c r="H201" s="39">
        <f>IF(H200="","",H200)</f>
        <v/>
      </c>
      <c r="I201" s="7">
        <f>IF(H200="","",H200)</f>
        <v/>
      </c>
      <c r="J201" s="7" t="n">
        <v>8</v>
      </c>
      <c r="K201" s="7" t="n"/>
      <c r="L201" s="40" t="n"/>
      <c r="M201">
        <f>IF(AND(L201&lt;&gt;"",N(I201)&gt;0,N(J201)&gt;0),IF(J201=1,I201,ROUND(I201*(1+J201/30),1)),"")</f>
        <v/>
      </c>
      <c r="N201" s="41">
        <f>IF(M201="","",IF(M201&gt;=PRs!C57,"PR!",""))</f>
        <v/>
      </c>
      <c r="O201" s="7" t="n"/>
    </row>
    <row r="202">
      <c r="C202" t="inlineStr">
        <is>
          <t xml:space="preserve">      Set 2</t>
        </is>
      </c>
      <c r="E202" t="n">
        <v>8</v>
      </c>
      <c r="H202" s="39">
        <f>IF(H200="","",H200)</f>
        <v/>
      </c>
      <c r="I202" s="7">
        <f>IF(H200="","",H200)</f>
        <v/>
      </c>
      <c r="J202" s="7" t="n">
        <v>8</v>
      </c>
      <c r="K202" s="7" t="n"/>
      <c r="L202" s="40" t="n"/>
      <c r="M202">
        <f>IF(AND(L202&lt;&gt;"",N(I202)&gt;0,N(J202)&gt;0),IF(J202=1,I202,ROUND(I202*(1+J202/30),1)),"")</f>
        <v/>
      </c>
      <c r="N202" s="41">
        <f>IF(M202="","",IF(M202&gt;=PRs!C57,"PR!",""))</f>
        <v/>
      </c>
      <c r="O202" s="7" t="n"/>
    </row>
    <row r="203">
      <c r="C203" t="inlineStr">
        <is>
          <t xml:space="preserve">      Set 3</t>
        </is>
      </c>
      <c r="E203" t="n">
        <v>8</v>
      </c>
      <c r="H203" s="39">
        <f>IF(H200="","",H200)</f>
        <v/>
      </c>
      <c r="I203" s="7">
        <f>IF(H200="","",H200)</f>
        <v/>
      </c>
      <c r="J203" s="7" t="n">
        <v>8</v>
      </c>
      <c r="K203" s="7" t="n"/>
      <c r="L203" s="40" t="n"/>
      <c r="M203">
        <f>IF(AND(L203&lt;&gt;"",N(I203)&gt;0,N(J203)&gt;0),IF(J203=1,I203,ROUND(I203*(1+J203/30),1)),"")</f>
        <v/>
      </c>
      <c r="N203" s="41">
        <f>IF(M203="","",IF(M203&gt;=PRs!C57,"PR!",""))</f>
        <v/>
      </c>
      <c r="O203" s="7" t="n"/>
    </row>
    <row r="204">
      <c r="A204" s="34" t="n"/>
      <c r="B204" s="34" t="n"/>
      <c r="C204" s="43" t="inlineStr">
        <is>
          <t>Triceps Pushdown</t>
        </is>
      </c>
      <c r="D204" s="34" t="inlineStr">
        <is>
          <t>3 x 10-15</t>
        </is>
      </c>
      <c r="E204" s="34" t="n"/>
      <c r="F204" s="34" t="n"/>
      <c r="G204" s="36" t="n"/>
      <c r="H204" s="37" t="n"/>
      <c r="I204" s="34" t="n"/>
      <c r="J204" s="34" t="n"/>
      <c r="K204" s="34" t="n"/>
      <c r="L204" s="34" t="n"/>
      <c r="M204" s="34" t="n"/>
      <c r="N204" s="34" t="n"/>
      <c r="O204" s="38" t="inlineStr">
        <is>
          <t>Leave 1-2 reps in the tank; add weight when you hit the top of the range</t>
        </is>
      </c>
    </row>
    <row r="205">
      <c r="C205" t="inlineStr">
        <is>
          <t xml:space="preserve">      Set 1</t>
        </is>
      </c>
      <c r="E205" t="n">
        <v>10</v>
      </c>
      <c r="H205" s="39">
        <f>IF(H204="","",H204)</f>
        <v/>
      </c>
      <c r="I205" s="7">
        <f>IF(H204="","",H204)</f>
        <v/>
      </c>
      <c r="J205" s="7" t="n">
        <v>10</v>
      </c>
      <c r="K205" s="7" t="n"/>
      <c r="L205" s="40" t="n"/>
      <c r="M205">
        <f>IF(AND(L205&lt;&gt;"",N(I205)&gt;0,N(J205)&gt;0),IF(J205=1,I205,ROUND(I205*(1+J205/30),1)),"")</f>
        <v/>
      </c>
      <c r="N205" s="41">
        <f>IF(M205="","",IF(M205&gt;=PRs!C59,"PR!",""))</f>
        <v/>
      </c>
      <c r="O205" s="7" t="n"/>
    </row>
    <row r="206">
      <c r="C206" t="inlineStr">
        <is>
          <t xml:space="preserve">      Set 2</t>
        </is>
      </c>
      <c r="E206" t="n">
        <v>10</v>
      </c>
      <c r="H206" s="39">
        <f>IF(H204="","",H204)</f>
        <v/>
      </c>
      <c r="I206" s="7">
        <f>IF(H204="","",H204)</f>
        <v/>
      </c>
      <c r="J206" s="7" t="n">
        <v>10</v>
      </c>
      <c r="K206" s="7" t="n"/>
      <c r="L206" s="40" t="n"/>
      <c r="M206">
        <f>IF(AND(L206&lt;&gt;"",N(I206)&gt;0,N(J206)&gt;0),IF(J206=1,I206,ROUND(I206*(1+J206/30),1)),"")</f>
        <v/>
      </c>
      <c r="N206" s="41">
        <f>IF(M206="","",IF(M206&gt;=PRs!C59,"PR!",""))</f>
        <v/>
      </c>
      <c r="O206" s="7" t="n"/>
    </row>
    <row r="207">
      <c r="C207" t="inlineStr">
        <is>
          <t xml:space="preserve">      Set 3</t>
        </is>
      </c>
      <c r="E207" t="n">
        <v>10</v>
      </c>
      <c r="H207" s="39">
        <f>IF(H204="","",H204)</f>
        <v/>
      </c>
      <c r="I207" s="7">
        <f>IF(H204="","",H204)</f>
        <v/>
      </c>
      <c r="J207" s="7" t="n">
        <v>10</v>
      </c>
      <c r="K207" s="7" t="n"/>
      <c r="L207" s="40" t="n"/>
      <c r="M207">
        <f>IF(AND(L207&lt;&gt;"",N(I207)&gt;0,N(J207)&gt;0),IF(J207=1,I207,ROUND(I207*(1+J207/30),1)),"")</f>
        <v/>
      </c>
      <c r="N207" s="41">
        <f>IF(M207="","",IF(M207&gt;=PRs!C59,"PR!",""))</f>
        <v/>
      </c>
      <c r="O207" s="7" t="n"/>
    </row>
    <row r="209">
      <c r="A209" s="28" t="inlineStr">
        <is>
          <t>WEEK 47 - CYCLE 4 - TAPER</t>
        </is>
      </c>
      <c r="B209" s="29" t="n"/>
      <c r="C209" s="29" t="n"/>
      <c r="D209" s="29" t="n"/>
      <c r="E209" s="29" t="n"/>
      <c r="F209" s="29" t="n"/>
      <c r="G209" s="29" t="n"/>
      <c r="H209" s="30" t="inlineStr">
        <is>
          <t>Bodyweight:</t>
        </is>
      </c>
      <c r="I209" s="7" t="n"/>
      <c r="J209" s="29" t="n"/>
      <c r="K209" s="29" t="n"/>
      <c r="L209" s="29" t="n"/>
      <c r="M209" s="29" t="n"/>
      <c r="N209" s="29" t="n"/>
      <c r="O209" s="29" t="n"/>
    </row>
    <row r="210">
      <c r="A210" s="31" t="inlineStr">
        <is>
          <t>Day 1 - Heavy</t>
        </is>
      </c>
      <c r="B210" s="32">
        <f>'Start Here'!$B$8+322</f>
        <v/>
      </c>
      <c r="C210" s="33" t="n"/>
      <c r="D210" s="33" t="n"/>
      <c r="E210" s="33" t="n"/>
      <c r="F210" s="33" t="n"/>
      <c r="G210" s="33" t="n"/>
      <c r="H210" s="33" t="n"/>
      <c r="I210" s="33" t="n"/>
      <c r="J210" s="33" t="n"/>
      <c r="K210" s="33" t="n"/>
      <c r="L210" s="33" t="n"/>
      <c r="M210" s="33" t="n"/>
      <c r="N210" s="33" t="n"/>
      <c r="O210" s="33" t="n"/>
    </row>
    <row r="211">
      <c r="A211" s="34" t="n"/>
      <c r="B211" s="34" t="n"/>
      <c r="C211" s="35" t="inlineStr">
        <is>
          <t>Box Jump</t>
        </is>
      </c>
      <c r="D211" s="34" t="inlineStr">
        <is>
          <t>2 x 2</t>
        </is>
      </c>
      <c r="E211" s="34" t="n"/>
      <c r="F211" s="34" t="n"/>
      <c r="G211" s="36" t="n"/>
      <c r="H211" s="37">
        <f>IF(N(Maxes!H69)&gt;0,Maxes!H69,'Start Here'!$G$16)</f>
        <v/>
      </c>
      <c r="I211" s="34" t="n"/>
      <c r="J211" s="34" t="n"/>
      <c r="K211" s="34" t="n"/>
      <c r="L211" s="34" t="n"/>
      <c r="M211" s="34" t="n"/>
      <c r="N211" s="34" t="n"/>
      <c r="O211" s="38" t="inlineStr">
        <is>
          <t>Two-foot jump onto a box, land soft in a quarter squat, STEP down. Log the box height (floor to top of box).</t>
        </is>
      </c>
    </row>
    <row r="212">
      <c r="C212" t="inlineStr">
        <is>
          <t xml:space="preserve">      Set 1</t>
        </is>
      </c>
      <c r="E212" t="n">
        <v>2</v>
      </c>
      <c r="H212" s="39">
        <f>IF(H211="","",H211)</f>
        <v/>
      </c>
      <c r="I212" s="7">
        <f>IF(H211="","",H211)</f>
        <v/>
      </c>
      <c r="J212" s="7" t="n">
        <v>2</v>
      </c>
      <c r="K212" s="7" t="n"/>
      <c r="L212" s="40" t="n"/>
      <c r="N212" s="41">
        <f>IF(AND(L212&lt;&gt;"",N(I212)&gt;0),IF(I212&gt;=PRs!D69,"PR!",""),"")</f>
        <v/>
      </c>
      <c r="O212" s="7" t="n"/>
    </row>
    <row r="213">
      <c r="C213" t="inlineStr">
        <is>
          <t xml:space="preserve">      Set 2</t>
        </is>
      </c>
      <c r="E213" t="n">
        <v>2</v>
      </c>
      <c r="H213" s="39">
        <f>IF(H211="","",H211)</f>
        <v/>
      </c>
      <c r="I213" s="7">
        <f>IF(H211="","",H211)</f>
        <v/>
      </c>
      <c r="J213" s="7" t="n">
        <v>2</v>
      </c>
      <c r="K213" s="7" t="n"/>
      <c r="L213" s="40" t="n"/>
      <c r="N213" s="41">
        <f>IF(AND(L213&lt;&gt;"",N(I213)&gt;0),IF(I213&gt;=PRs!D69,"PR!",""),"")</f>
        <v/>
      </c>
      <c r="O213" s="7" t="n"/>
    </row>
    <row r="214">
      <c r="A214" s="34" t="n"/>
      <c r="B214" s="34" t="n"/>
      <c r="C214" s="42" t="inlineStr">
        <is>
          <t>Snatch</t>
        </is>
      </c>
      <c r="D214" s="34" t="inlineStr">
        <is>
          <t>3 x 1</t>
        </is>
      </c>
      <c r="E214" s="34" t="n"/>
      <c r="F214" s="34" t="n">
        <v>80</v>
      </c>
      <c r="G214" s="36">
        <f>Maxes!H6</f>
        <v/>
      </c>
      <c r="H214" s="37">
        <f>IF(OR(G214="",F214=""),"",MROUND(G214*F214/100,'Start Here'!$B$7))</f>
        <v/>
      </c>
      <c r="I214" s="34" t="n"/>
      <c r="J214" s="34" t="n"/>
      <c r="K214" s="34" t="n"/>
      <c r="L214" s="34" t="n"/>
      <c r="M214" s="34" t="n"/>
      <c r="N214" s="34" t="n"/>
      <c r="O214" s="38" t="inlineStr">
        <is>
          <t>Keep it heavy but short - no grinding</t>
        </is>
      </c>
    </row>
    <row r="215">
      <c r="C215" t="inlineStr">
        <is>
          <t xml:space="preserve">      Set 1</t>
        </is>
      </c>
      <c r="E215" t="n">
        <v>1</v>
      </c>
      <c r="H215" s="39">
        <f>IF(H214="","",H214)</f>
        <v/>
      </c>
      <c r="I215" s="7">
        <f>IF(H214="","",H214)</f>
        <v/>
      </c>
      <c r="J215" s="7" t="n">
        <v>1</v>
      </c>
      <c r="K215" s="7" t="n"/>
      <c r="L215" s="40" t="n"/>
      <c r="M215">
        <f>IF(AND(L215&lt;&gt;"",N(I215)&gt;0,N(J215)&gt;0),IF(J215=1,I215,ROUND(I215*(1+J215/30),1)),"")</f>
        <v/>
      </c>
      <c r="N215" s="41">
        <f>IF(M215="","",IF(M215&gt;=PRs!C6,"PR!",""))</f>
        <v/>
      </c>
      <c r="O215" s="7" t="n"/>
    </row>
    <row r="216">
      <c r="C216" t="inlineStr">
        <is>
          <t xml:space="preserve">      Set 2</t>
        </is>
      </c>
      <c r="E216" t="n">
        <v>1</v>
      </c>
      <c r="H216" s="39">
        <f>IF(H214="","",H214)</f>
        <v/>
      </c>
      <c r="I216" s="7">
        <f>IF(H214="","",H214)</f>
        <v/>
      </c>
      <c r="J216" s="7" t="n">
        <v>1</v>
      </c>
      <c r="K216" s="7" t="n"/>
      <c r="L216" s="40" t="n"/>
      <c r="M216">
        <f>IF(AND(L216&lt;&gt;"",N(I216)&gt;0,N(J216)&gt;0),IF(J216=1,I216,ROUND(I216*(1+J216/30),1)),"")</f>
        <v/>
      </c>
      <c r="N216" s="41">
        <f>IF(M216="","",IF(M216&gt;=PRs!C6,"PR!",""))</f>
        <v/>
      </c>
      <c r="O216" s="7" t="n"/>
    </row>
    <row r="217">
      <c r="C217" t="inlineStr">
        <is>
          <t xml:space="preserve">      Set 3</t>
        </is>
      </c>
      <c r="E217" t="n">
        <v>1</v>
      </c>
      <c r="H217" s="39">
        <f>IF(H214="","",H214)</f>
        <v/>
      </c>
      <c r="I217" s="7">
        <f>IF(H214="","",H214)</f>
        <v/>
      </c>
      <c r="J217" s="7" t="n">
        <v>1</v>
      </c>
      <c r="K217" s="7" t="n"/>
      <c r="L217" s="40" t="n"/>
      <c r="M217">
        <f>IF(AND(L217&lt;&gt;"",N(I217)&gt;0,N(J217)&gt;0),IF(J217=1,I217,ROUND(I217*(1+J217/30),1)),"")</f>
        <v/>
      </c>
      <c r="N217" s="41">
        <f>IF(M217="","",IF(M217&gt;=PRs!C6,"PR!",""))</f>
        <v/>
      </c>
      <c r="O217" s="7" t="n"/>
    </row>
    <row r="218">
      <c r="A218" s="34" t="n"/>
      <c r="B218" s="34" t="n"/>
      <c r="C218" s="42" t="inlineStr">
        <is>
          <t>Squat</t>
        </is>
      </c>
      <c r="D218" s="34" t="inlineStr">
        <is>
          <t>3 x 2</t>
        </is>
      </c>
      <c r="E218" s="34" t="n"/>
      <c r="F218" s="34" t="n">
        <v>80</v>
      </c>
      <c r="G218" s="36">
        <f>Maxes!H2</f>
        <v/>
      </c>
      <c r="H218" s="37">
        <f>IF(OR(G218="",F218=""),"",MROUND(G218*F218/100,'Start Here'!$B$7))</f>
        <v/>
      </c>
      <c r="I218" s="34" t="n"/>
      <c r="J218" s="34" t="n"/>
      <c r="K218" s="34" t="n"/>
      <c r="L218" s="34" t="n"/>
      <c r="M218" s="34" t="n"/>
      <c r="N218" s="34" t="n"/>
      <c r="O218" s="38" t="inlineStr">
        <is>
          <t>Keep it heavy but short - no grinding</t>
        </is>
      </c>
    </row>
    <row r="219">
      <c r="C219" t="inlineStr">
        <is>
          <t xml:space="preserve">      Set 1</t>
        </is>
      </c>
      <c r="E219" t="n">
        <v>2</v>
      </c>
      <c r="H219" s="39">
        <f>IF(H218="","",H218)</f>
        <v/>
      </c>
      <c r="I219" s="7">
        <f>IF(H218="","",H218)</f>
        <v/>
      </c>
      <c r="J219" s="7" t="n">
        <v>2</v>
      </c>
      <c r="K219" s="7" t="n"/>
      <c r="L219" s="40" t="n"/>
      <c r="M219">
        <f>IF(AND(L219&lt;&gt;"",N(I219)&gt;0,N(J219)&gt;0),IF(J219=1,I219,ROUND(I219*(1+J219/30),1)),"")</f>
        <v/>
      </c>
      <c r="N219" s="41">
        <f>IF(M219="","",IF(M219&gt;=PRs!C2,"PR!",""))</f>
        <v/>
      </c>
      <c r="O219" s="7" t="n"/>
    </row>
    <row r="220">
      <c r="C220" t="inlineStr">
        <is>
          <t xml:space="preserve">      Set 2</t>
        </is>
      </c>
      <c r="E220" t="n">
        <v>2</v>
      </c>
      <c r="H220" s="39">
        <f>IF(H218="","",H218)</f>
        <v/>
      </c>
      <c r="I220" s="7">
        <f>IF(H218="","",H218)</f>
        <v/>
      </c>
      <c r="J220" s="7" t="n">
        <v>2</v>
      </c>
      <c r="K220" s="7" t="n"/>
      <c r="L220" s="40" t="n"/>
      <c r="M220">
        <f>IF(AND(L220&lt;&gt;"",N(I220)&gt;0,N(J220)&gt;0),IF(J220=1,I220,ROUND(I220*(1+J220/30),1)),"")</f>
        <v/>
      </c>
      <c r="N220" s="41">
        <f>IF(M220="","",IF(M220&gt;=PRs!C2,"PR!",""))</f>
        <v/>
      </c>
      <c r="O220" s="7" t="n"/>
    </row>
    <row r="221">
      <c r="C221" t="inlineStr">
        <is>
          <t xml:space="preserve">      Set 3</t>
        </is>
      </c>
      <c r="E221" t="n">
        <v>2</v>
      </c>
      <c r="H221" s="39">
        <f>IF(H218="","",H218)</f>
        <v/>
      </c>
      <c r="I221" s="7">
        <f>IF(H218="","",H218)</f>
        <v/>
      </c>
      <c r="J221" s="7" t="n">
        <v>2</v>
      </c>
      <c r="K221" s="7" t="n"/>
      <c r="L221" s="40" t="n"/>
      <c r="M221">
        <f>IF(AND(L221&lt;&gt;"",N(I221)&gt;0,N(J221)&gt;0),IF(J221=1,I221,ROUND(I221*(1+J221/30),1)),"")</f>
        <v/>
      </c>
      <c r="N221" s="41">
        <f>IF(M221="","",IF(M221&gt;=PRs!C2,"PR!",""))</f>
        <v/>
      </c>
      <c r="O221" s="7" t="n"/>
    </row>
    <row r="222">
      <c r="A222" s="34" t="n"/>
      <c r="B222" s="34" t="n"/>
      <c r="C222" s="42" t="inlineStr">
        <is>
          <t>Bench Press</t>
        </is>
      </c>
      <c r="D222" s="34" t="inlineStr">
        <is>
          <t>3 x 2</t>
        </is>
      </c>
      <c r="E222" s="34" t="n"/>
      <c r="F222" s="34" t="n">
        <v>80</v>
      </c>
      <c r="G222" s="36">
        <f>Maxes!H3</f>
        <v/>
      </c>
      <c r="H222" s="37">
        <f>IF(OR(G222="",F222=""),"",MROUND(G222*F222/100,'Start Here'!$B$7))</f>
        <v/>
      </c>
      <c r="I222" s="34" t="n"/>
      <c r="J222" s="34" t="n"/>
      <c r="K222" s="34" t="n"/>
      <c r="L222" s="34" t="n"/>
      <c r="M222" s="34" t="n"/>
      <c r="N222" s="34" t="n"/>
      <c r="O222" s="38" t="inlineStr">
        <is>
          <t>Keep it heavy but short - no grinding</t>
        </is>
      </c>
    </row>
    <row r="223">
      <c r="C223" t="inlineStr">
        <is>
          <t xml:space="preserve">      Set 1</t>
        </is>
      </c>
      <c r="E223" t="n">
        <v>2</v>
      </c>
      <c r="H223" s="39">
        <f>IF(H222="","",H222)</f>
        <v/>
      </c>
      <c r="I223" s="7">
        <f>IF(H222="","",H222)</f>
        <v/>
      </c>
      <c r="J223" s="7" t="n">
        <v>2</v>
      </c>
      <c r="K223" s="7" t="n"/>
      <c r="L223" s="40" t="n"/>
      <c r="M223">
        <f>IF(AND(L223&lt;&gt;"",N(I223)&gt;0,N(J223)&gt;0),IF(J223=1,I223,ROUND(I223*(1+J223/30),1)),"")</f>
        <v/>
      </c>
      <c r="N223" s="41">
        <f>IF(M223="","",IF(M223&gt;=PRs!C3,"PR!",""))</f>
        <v/>
      </c>
      <c r="O223" s="7" t="n"/>
    </row>
    <row r="224">
      <c r="C224" t="inlineStr">
        <is>
          <t xml:space="preserve">      Set 2</t>
        </is>
      </c>
      <c r="E224" t="n">
        <v>2</v>
      </c>
      <c r="H224" s="39">
        <f>IF(H222="","",H222)</f>
        <v/>
      </c>
      <c r="I224" s="7">
        <f>IF(H222="","",H222)</f>
        <v/>
      </c>
      <c r="J224" s="7" t="n">
        <v>2</v>
      </c>
      <c r="K224" s="7" t="n"/>
      <c r="L224" s="40" t="n"/>
      <c r="M224">
        <f>IF(AND(L224&lt;&gt;"",N(I224)&gt;0,N(J224)&gt;0),IF(J224=1,I224,ROUND(I224*(1+J224/30),1)),"")</f>
        <v/>
      </c>
      <c r="N224" s="41">
        <f>IF(M224="","",IF(M224&gt;=PRs!C3,"PR!",""))</f>
        <v/>
      </c>
      <c r="O224" s="7" t="n"/>
    </row>
    <row r="225">
      <c r="C225" t="inlineStr">
        <is>
          <t xml:space="preserve">      Set 3</t>
        </is>
      </c>
      <c r="E225" t="n">
        <v>2</v>
      </c>
      <c r="H225" s="39">
        <f>IF(H222="","",H222)</f>
        <v/>
      </c>
      <c r="I225" s="7">
        <f>IF(H222="","",H222)</f>
        <v/>
      </c>
      <c r="J225" s="7" t="n">
        <v>2</v>
      </c>
      <c r="K225" s="7" t="n"/>
      <c r="L225" s="40" t="n"/>
      <c r="M225">
        <f>IF(AND(L225&lt;&gt;"",N(I225)&gt;0,N(J225)&gt;0),IF(J225=1,I225,ROUND(I225*(1+J225/30),1)),"")</f>
        <v/>
      </c>
      <c r="N225" s="41">
        <f>IF(M225="","",IF(M225&gt;=PRs!C3,"PR!",""))</f>
        <v/>
      </c>
      <c r="O225" s="7" t="n"/>
    </row>
    <row r="226">
      <c r="A226" s="34" t="n"/>
      <c r="B226" s="34" t="n"/>
      <c r="C226" s="43" t="inlineStr">
        <is>
          <t>Barbell Row</t>
        </is>
      </c>
      <c r="D226" s="34" t="inlineStr">
        <is>
          <t>2 x 8-10</t>
        </is>
      </c>
      <c r="E226" s="34" t="n"/>
      <c r="F226" s="34" t="n"/>
      <c r="G226" s="36" t="n"/>
      <c r="H226" s="37" t="n"/>
      <c r="I226" s="34" t="n"/>
      <c r="J226" s="34" t="n"/>
      <c r="K226" s="34" t="n"/>
      <c r="L226" s="34" t="n"/>
      <c r="M226" s="34" t="n"/>
      <c r="N226" s="34" t="n"/>
      <c r="O226" s="38" t="inlineStr">
        <is>
          <t>Light - save energy for test week</t>
        </is>
      </c>
    </row>
    <row r="227">
      <c r="C227" t="inlineStr">
        <is>
          <t xml:space="preserve">      Set 1</t>
        </is>
      </c>
      <c r="E227" t="n">
        <v>8</v>
      </c>
      <c r="H227" s="39">
        <f>IF(H226="","",H226)</f>
        <v/>
      </c>
      <c r="I227" s="7">
        <f>IF(H226="","",H226)</f>
        <v/>
      </c>
      <c r="J227" s="7" t="n">
        <v>8</v>
      </c>
      <c r="K227" s="7" t="n"/>
      <c r="L227" s="40" t="n"/>
      <c r="M227">
        <f>IF(AND(L227&lt;&gt;"",N(I227)&gt;0,N(J227)&gt;0),IF(J227=1,I227,ROUND(I227*(1+J227/30),1)),"")</f>
        <v/>
      </c>
      <c r="N227" s="41">
        <f>IF(M227="","",IF(M227&gt;=PRs!C50,"PR!",""))</f>
        <v/>
      </c>
      <c r="O227" s="7" t="n"/>
    </row>
    <row r="228">
      <c r="C228" t="inlineStr">
        <is>
          <t xml:space="preserve">      Set 2</t>
        </is>
      </c>
      <c r="E228" t="n">
        <v>8</v>
      </c>
      <c r="H228" s="39">
        <f>IF(H226="","",H226)</f>
        <v/>
      </c>
      <c r="I228" s="7">
        <f>IF(H226="","",H226)</f>
        <v/>
      </c>
      <c r="J228" s="7" t="n">
        <v>8</v>
      </c>
      <c r="K228" s="7" t="n"/>
      <c r="L228" s="40" t="n"/>
      <c r="M228">
        <f>IF(AND(L228&lt;&gt;"",N(I228)&gt;0,N(J228)&gt;0),IF(J228=1,I228,ROUND(I228*(1+J228/30),1)),"")</f>
        <v/>
      </c>
      <c r="N228" s="41">
        <f>IF(M228="","",IF(M228&gt;=PRs!C50,"PR!",""))</f>
        <v/>
      </c>
      <c r="O228" s="7" t="n"/>
    </row>
    <row r="229">
      <c r="A229" s="34" t="n"/>
      <c r="B229" s="34" t="n"/>
      <c r="C229" s="43" t="inlineStr">
        <is>
          <t>Face Pull</t>
        </is>
      </c>
      <c r="D229" s="34" t="inlineStr">
        <is>
          <t>2 x 12-15</t>
        </is>
      </c>
      <c r="E229" s="34" t="n"/>
      <c r="F229" s="34" t="n"/>
      <c r="G229" s="36" t="n"/>
      <c r="H229" s="37" t="n"/>
      <c r="I229" s="34" t="n"/>
      <c r="J229" s="34" t="n"/>
      <c r="K229" s="34" t="n"/>
      <c r="L229" s="34" t="n"/>
      <c r="M229" s="34" t="n"/>
      <c r="N229" s="34" t="n"/>
      <c r="O229" s="38" t="inlineStr">
        <is>
          <t>Light - save energy for test week</t>
        </is>
      </c>
    </row>
    <row r="230">
      <c r="C230" t="inlineStr">
        <is>
          <t xml:space="preserve">      Set 1</t>
        </is>
      </c>
      <c r="E230" t="n">
        <v>12</v>
      </c>
      <c r="H230" s="39">
        <f>IF(H229="","",H229)</f>
        <v/>
      </c>
      <c r="I230" s="7">
        <f>IF(H229="","",H229)</f>
        <v/>
      </c>
      <c r="J230" s="7" t="n">
        <v>12</v>
      </c>
      <c r="K230" s="7" t="n"/>
      <c r="L230" s="40" t="n"/>
      <c r="M230">
        <f>IF(AND(L230&lt;&gt;"",N(I230)&gt;0,N(J230)&gt;0),IF(J230=1,I230,ROUND(I230*(1+J230/30),1)),"")</f>
        <v/>
      </c>
      <c r="N230" s="41">
        <f>IF(M230="","",IF(M230&gt;=PRs!C51,"PR!",""))</f>
        <v/>
      </c>
      <c r="O230" s="7" t="n"/>
    </row>
    <row r="231">
      <c r="C231" t="inlineStr">
        <is>
          <t xml:space="preserve">      Set 2</t>
        </is>
      </c>
      <c r="E231" t="n">
        <v>12</v>
      </c>
      <c r="H231" s="39">
        <f>IF(H229="","",H229)</f>
        <v/>
      </c>
      <c r="I231" s="7">
        <f>IF(H229="","",H229)</f>
        <v/>
      </c>
      <c r="J231" s="7" t="n">
        <v>12</v>
      </c>
      <c r="K231" s="7" t="n"/>
      <c r="L231" s="40" t="n"/>
      <c r="M231">
        <f>IF(AND(L231&lt;&gt;"",N(I231)&gt;0,N(J231)&gt;0),IF(J231=1,I231,ROUND(I231*(1+J231/30),1)),"")</f>
        <v/>
      </c>
      <c r="N231" s="41">
        <f>IF(M231="","",IF(M231&gt;=PRs!C51,"PR!",""))</f>
        <v/>
      </c>
      <c r="O231" s="7" t="n"/>
    </row>
    <row r="232">
      <c r="A232" s="31" t="inlineStr">
        <is>
          <t>Day 2 - Light</t>
        </is>
      </c>
      <c r="B232" s="32">
        <f>'Start Here'!$B$8+324</f>
        <v/>
      </c>
      <c r="C232" s="33" t="n"/>
      <c r="D232" s="33" t="n"/>
      <c r="E232" s="33" t="n"/>
      <c r="F232" s="33" t="n"/>
      <c r="G232" s="33" t="n"/>
      <c r="H232" s="33" t="n"/>
      <c r="I232" s="33" t="n"/>
      <c r="J232" s="33" t="n"/>
      <c r="K232" s="33" t="n"/>
      <c r="L232" s="33" t="n"/>
      <c r="M232" s="33" t="n"/>
      <c r="N232" s="33" t="n"/>
      <c r="O232" s="33" t="n"/>
    </row>
    <row r="233">
      <c r="A233" s="34" t="n"/>
      <c r="B233" s="34" t="n"/>
      <c r="C233" s="35" t="inlineStr">
        <is>
          <t>Broad Jump</t>
        </is>
      </c>
      <c r="D233" s="34" t="inlineStr">
        <is>
          <t>2 x 2</t>
        </is>
      </c>
      <c r="E233" s="34" t="n"/>
      <c r="F233" s="34" t="n"/>
      <c r="G233" s="36" t="n"/>
      <c r="H233" s="37">
        <f>IF(N(Maxes!H70)&gt;0,Maxes!H70,"")</f>
        <v/>
      </c>
      <c r="I233" s="34" t="n"/>
      <c r="J233" s="34" t="n"/>
      <c r="K233" s="34" t="n"/>
      <c r="L233" s="34" t="n"/>
      <c r="M233" s="34" t="n"/>
      <c r="N233" s="34" t="n"/>
      <c r="O233" s="38" t="inlineStr">
        <is>
          <t>Standing two-foot jump forward, stick the landing. Measure toe line to the back of the nearest heel.</t>
        </is>
      </c>
    </row>
    <row r="234">
      <c r="C234" t="inlineStr">
        <is>
          <t xml:space="preserve">      Set 1</t>
        </is>
      </c>
      <c r="E234" t="n">
        <v>2</v>
      </c>
      <c r="H234" s="39">
        <f>IF(H233="","",H233)</f>
        <v/>
      </c>
      <c r="I234" s="7">
        <f>IF(H233="","",H233)</f>
        <v/>
      </c>
      <c r="J234" s="7" t="n">
        <v>2</v>
      </c>
      <c r="K234" s="7" t="n"/>
      <c r="L234" s="40" t="n"/>
      <c r="N234" s="41">
        <f>IF(AND(L234&lt;&gt;"",N(I234)&gt;0),IF(I234&gt;=PRs!D70,"PR!",""),"")</f>
        <v/>
      </c>
      <c r="O234" s="7" t="n"/>
    </row>
    <row r="235">
      <c r="C235" t="inlineStr">
        <is>
          <t xml:space="preserve">      Set 2</t>
        </is>
      </c>
      <c r="E235" t="n">
        <v>2</v>
      </c>
      <c r="H235" s="39">
        <f>IF(H233="","",H233)</f>
        <v/>
      </c>
      <c r="I235" s="7">
        <f>IF(H233="","",H233)</f>
        <v/>
      </c>
      <c r="J235" s="7" t="n">
        <v>2</v>
      </c>
      <c r="K235" s="7" t="n"/>
      <c r="L235" s="40" t="n"/>
      <c r="N235" s="41">
        <f>IF(AND(L235&lt;&gt;"",N(I235)&gt;0),IF(I235&gt;=PRs!D70,"PR!",""),"")</f>
        <v/>
      </c>
      <c r="O235" s="7" t="n"/>
    </row>
    <row r="236">
      <c r="A236" s="34" t="n"/>
      <c r="B236" s="34" t="n"/>
      <c r="C236" s="35" t="inlineStr">
        <is>
          <t>Med Ball Chest Pass</t>
        </is>
      </c>
      <c r="D236" s="34" t="inlineStr">
        <is>
          <t>2 x 3</t>
        </is>
      </c>
      <c r="E236" s="34" t="n"/>
      <c r="F236" s="34" t="n"/>
      <c r="G236" s="36" t="n"/>
      <c r="H236" s="37">
        <f>IF(N(Maxes!H77)&gt;0,Maxes!H77,"")</f>
        <v/>
      </c>
      <c r="I236" s="34" t="n"/>
      <c r="J236" s="34" t="n"/>
      <c r="K236" s="34" t="n"/>
      <c r="L236" s="34" t="n"/>
      <c r="M236" s="34" t="n"/>
      <c r="N236" s="34" t="n"/>
      <c r="O236" s="38" t="inlineStr">
        <is>
          <t>Kneeling or standing chest pass for distance with a 6-10 lb / 3-5 kg ball. Log the distance.</t>
        </is>
      </c>
    </row>
    <row r="237">
      <c r="C237" t="inlineStr">
        <is>
          <t xml:space="preserve">      Set 1</t>
        </is>
      </c>
      <c r="E237" t="n">
        <v>3</v>
      </c>
      <c r="H237" s="39">
        <f>IF(H236="","",H236)</f>
        <v/>
      </c>
      <c r="I237" s="7">
        <f>IF(H236="","",H236)</f>
        <v/>
      </c>
      <c r="J237" s="7" t="n">
        <v>3</v>
      </c>
      <c r="K237" s="7" t="n"/>
      <c r="L237" s="40" t="n"/>
      <c r="N237" s="41">
        <f>IF(AND(L237&lt;&gt;"",N(I237)&gt;0),IF(I237&gt;=PRs!D77,"PR!",""),"")</f>
        <v/>
      </c>
      <c r="O237" s="7" t="n"/>
    </row>
    <row r="238">
      <c r="C238" t="inlineStr">
        <is>
          <t xml:space="preserve">      Set 2</t>
        </is>
      </c>
      <c r="E238" t="n">
        <v>3</v>
      </c>
      <c r="H238" s="39">
        <f>IF(H236="","",H236)</f>
        <v/>
      </c>
      <c r="I238" s="7">
        <f>IF(H236="","",H236)</f>
        <v/>
      </c>
      <c r="J238" s="7" t="n">
        <v>3</v>
      </c>
      <c r="K238" s="7" t="n"/>
      <c r="L238" s="40" t="n"/>
      <c r="N238" s="41">
        <f>IF(AND(L238&lt;&gt;"",N(I238)&gt;0),IF(I238&gt;=PRs!D77,"PR!",""),"")</f>
        <v/>
      </c>
      <c r="O238" s="7" t="n"/>
    </row>
    <row r="239">
      <c r="A239" s="34" t="n"/>
      <c r="B239" s="34" t="n"/>
      <c r="C239" s="42" t="inlineStr">
        <is>
          <t>Clean &amp; Jerk</t>
        </is>
      </c>
      <c r="D239" s="34" t="inlineStr">
        <is>
          <t>2 x 1</t>
        </is>
      </c>
      <c r="E239" s="34" t="n"/>
      <c r="F239" s="34" t="n">
        <v>80</v>
      </c>
      <c r="G239" s="36">
        <f>Maxes!H7</f>
        <v/>
      </c>
      <c r="H239" s="37">
        <f>IF(OR(G239="",F239=""),"",MROUND(G239*F239/100,'Start Here'!$B$7))</f>
        <v/>
      </c>
      <c r="I239" s="34" t="n"/>
      <c r="J239" s="34" t="n"/>
      <c r="K239" s="34" t="n"/>
      <c r="L239" s="34" t="n"/>
      <c r="M239" s="34" t="n"/>
      <c r="N239" s="34" t="n"/>
      <c r="O239" s="38" t="inlineStr">
        <is>
          <t>Keep it heavy but short - no grinding</t>
        </is>
      </c>
    </row>
    <row r="240">
      <c r="C240" t="inlineStr">
        <is>
          <t xml:space="preserve">      Set 1</t>
        </is>
      </c>
      <c r="E240" t="n">
        <v>1</v>
      </c>
      <c r="H240" s="39">
        <f>IF(H239="","",H239)</f>
        <v/>
      </c>
      <c r="I240" s="7">
        <f>IF(H239="","",H239)</f>
        <v/>
      </c>
      <c r="J240" s="7" t="n">
        <v>1</v>
      </c>
      <c r="K240" s="7" t="n"/>
      <c r="L240" s="40" t="n"/>
      <c r="M240">
        <f>IF(AND(L240&lt;&gt;"",N(I240)&gt;0,N(J240)&gt;0),IF(J240=1,I240,ROUND(I240*(1+J240/30),1)),"")</f>
        <v/>
      </c>
      <c r="N240" s="41">
        <f>IF(M240="","",IF(M240&gt;=PRs!C7,"PR!",""))</f>
        <v/>
      </c>
      <c r="O240" s="7" t="n"/>
    </row>
    <row r="241">
      <c r="C241" t="inlineStr">
        <is>
          <t xml:space="preserve">      Set 2</t>
        </is>
      </c>
      <c r="E241" t="n">
        <v>1</v>
      </c>
      <c r="H241" s="39">
        <f>IF(H239="","",H239)</f>
        <v/>
      </c>
      <c r="I241" s="7">
        <f>IF(H239="","",H239)</f>
        <v/>
      </c>
      <c r="J241" s="7" t="n">
        <v>1</v>
      </c>
      <c r="K241" s="7" t="n"/>
      <c r="L241" s="40" t="n"/>
      <c r="M241">
        <f>IF(AND(L241&lt;&gt;"",N(I241)&gt;0,N(J241)&gt;0),IF(J241=1,I241,ROUND(I241*(1+J241/30),1)),"")</f>
        <v/>
      </c>
      <c r="N241" s="41">
        <f>IF(M241="","",IF(M241&gt;=PRs!C7,"PR!",""))</f>
        <v/>
      </c>
      <c r="O241" s="7" t="n"/>
    </row>
    <row r="242">
      <c r="A242" s="34" t="n"/>
      <c r="B242" s="34" t="n"/>
      <c r="C242" s="42" t="inlineStr">
        <is>
          <t>Squat</t>
        </is>
      </c>
      <c r="D242" s="34" t="inlineStr">
        <is>
          <t>2 x 3</t>
        </is>
      </c>
      <c r="E242" s="34" t="n"/>
      <c r="F242" s="34" t="n">
        <v>65</v>
      </c>
      <c r="G242" s="36">
        <f>Maxes!H2</f>
        <v/>
      </c>
      <c r="H242" s="37">
        <f>IF(OR(G242="",F242=""),"",MROUND(G242*F242/100,'Start Here'!$B$7))</f>
        <v/>
      </c>
      <c r="I242" s="34" t="n"/>
      <c r="J242" s="34" t="n"/>
      <c r="K242" s="34" t="n"/>
      <c r="L242" s="34" t="n"/>
      <c r="M242" s="34" t="n"/>
      <c r="N242" s="34" t="n"/>
      <c r="O242" s="38" t="inlineStr">
        <is>
          <t>Easy</t>
        </is>
      </c>
    </row>
    <row r="243">
      <c r="C243" t="inlineStr">
        <is>
          <t xml:space="preserve">      Set 1</t>
        </is>
      </c>
      <c r="E243" t="n">
        <v>3</v>
      </c>
      <c r="H243" s="39">
        <f>IF(H242="","",H242)</f>
        <v/>
      </c>
      <c r="I243" s="7">
        <f>IF(H242="","",H242)</f>
        <v/>
      </c>
      <c r="J243" s="7" t="n">
        <v>3</v>
      </c>
      <c r="K243" s="7" t="n"/>
      <c r="L243" s="40" t="n"/>
      <c r="M243">
        <f>IF(AND(L243&lt;&gt;"",N(I243)&gt;0,N(J243)&gt;0),IF(J243=1,I243,ROUND(I243*(1+J243/30),1)),"")</f>
        <v/>
      </c>
      <c r="N243" s="41">
        <f>IF(M243="","",IF(M243&gt;=PRs!C2,"PR!",""))</f>
        <v/>
      </c>
      <c r="O243" s="7" t="n"/>
    </row>
    <row r="244">
      <c r="C244" t="inlineStr">
        <is>
          <t xml:space="preserve">      Set 2</t>
        </is>
      </c>
      <c r="E244" t="n">
        <v>3</v>
      </c>
      <c r="H244" s="39">
        <f>IF(H242="","",H242)</f>
        <v/>
      </c>
      <c r="I244" s="7">
        <f>IF(H242="","",H242)</f>
        <v/>
      </c>
      <c r="J244" s="7" t="n">
        <v>3</v>
      </c>
      <c r="K244" s="7" t="n"/>
      <c r="L244" s="40" t="n"/>
      <c r="M244">
        <f>IF(AND(L244&lt;&gt;"",N(I244)&gt;0,N(J244)&gt;0),IF(J244=1,I244,ROUND(I244*(1+J244/30),1)),"")</f>
        <v/>
      </c>
      <c r="N244" s="41">
        <f>IF(M244="","",IF(M244&gt;=PRs!C2,"PR!",""))</f>
        <v/>
      </c>
      <c r="O244" s="7" t="n"/>
    </row>
    <row r="245">
      <c r="A245" s="34" t="n"/>
      <c r="B245" s="34" t="n"/>
      <c r="C245" s="42" t="inlineStr">
        <is>
          <t>Overhead Press</t>
        </is>
      </c>
      <c r="D245" s="34" t="inlineStr">
        <is>
          <t>2 x 2</t>
        </is>
      </c>
      <c r="E245" s="34" t="n"/>
      <c r="F245" s="34" t="n">
        <v>80</v>
      </c>
      <c r="G245" s="36">
        <f>Maxes!H5</f>
        <v/>
      </c>
      <c r="H245" s="37">
        <f>IF(OR(G245="",F245=""),"",MROUND(G245*F245/100,'Start Here'!$B$7))</f>
        <v/>
      </c>
      <c r="I245" s="34" t="n"/>
      <c r="J245" s="34" t="n"/>
      <c r="K245" s="34" t="n"/>
      <c r="L245" s="34" t="n"/>
      <c r="M245" s="34" t="n"/>
      <c r="N245" s="34" t="n"/>
      <c r="O245" s="38" t="inlineStr">
        <is>
          <t>Keep it heavy but short - no grinding</t>
        </is>
      </c>
    </row>
    <row r="246">
      <c r="C246" t="inlineStr">
        <is>
          <t xml:space="preserve">      Set 1</t>
        </is>
      </c>
      <c r="E246" t="n">
        <v>2</v>
      </c>
      <c r="H246" s="39">
        <f>IF(H245="","",H245)</f>
        <v/>
      </c>
      <c r="I246" s="7">
        <f>IF(H245="","",H245)</f>
        <v/>
      </c>
      <c r="J246" s="7" t="n">
        <v>2</v>
      </c>
      <c r="K246" s="7" t="n"/>
      <c r="L246" s="40" t="n"/>
      <c r="M246">
        <f>IF(AND(L246&lt;&gt;"",N(I246)&gt;0,N(J246)&gt;0),IF(J246=1,I246,ROUND(I246*(1+J246/30),1)),"")</f>
        <v/>
      </c>
      <c r="N246" s="41">
        <f>IF(M246="","",IF(M246&gt;=PRs!C5,"PR!",""))</f>
        <v/>
      </c>
      <c r="O246" s="7" t="n"/>
    </row>
    <row r="247">
      <c r="C247" t="inlineStr">
        <is>
          <t xml:space="preserve">      Set 2</t>
        </is>
      </c>
      <c r="E247" t="n">
        <v>2</v>
      </c>
      <c r="H247" s="39">
        <f>IF(H245="","",H245)</f>
        <v/>
      </c>
      <c r="I247" s="7">
        <f>IF(H245="","",H245)</f>
        <v/>
      </c>
      <c r="J247" s="7" t="n">
        <v>2</v>
      </c>
      <c r="K247" s="7" t="n"/>
      <c r="L247" s="40" t="n"/>
      <c r="M247">
        <f>IF(AND(L247&lt;&gt;"",N(I247)&gt;0,N(J247)&gt;0),IF(J247=1,I247,ROUND(I247*(1+J247/30),1)),"")</f>
        <v/>
      </c>
      <c r="N247" s="41">
        <f>IF(M247="","",IF(M247&gt;=PRs!C5,"PR!",""))</f>
        <v/>
      </c>
      <c r="O247" s="7" t="n"/>
    </row>
    <row r="248">
      <c r="A248" s="34" t="n"/>
      <c r="B248" s="34" t="n"/>
      <c r="C248" s="42" t="inlineStr">
        <is>
          <t>Deadlift</t>
        </is>
      </c>
      <c r="D248" s="34" t="inlineStr">
        <is>
          <t>2 x 2</t>
        </is>
      </c>
      <c r="E248" s="34" t="n"/>
      <c r="F248" s="34" t="n">
        <v>80</v>
      </c>
      <c r="G248" s="36">
        <f>Maxes!H4</f>
        <v/>
      </c>
      <c r="H248" s="37">
        <f>IF(OR(G248="",F248=""),"",MROUND(G248*F248/100,'Start Here'!$B$7))</f>
        <v/>
      </c>
      <c r="I248" s="34" t="n"/>
      <c r="J248" s="34" t="n"/>
      <c r="K248" s="34" t="n"/>
      <c r="L248" s="34" t="n"/>
      <c r="M248" s="34" t="n"/>
      <c r="N248" s="34" t="n"/>
      <c r="O248" s="38" t="inlineStr">
        <is>
          <t>Keep it heavy but short - no grinding</t>
        </is>
      </c>
    </row>
    <row r="249">
      <c r="C249" t="inlineStr">
        <is>
          <t xml:space="preserve">      Set 1</t>
        </is>
      </c>
      <c r="E249" t="n">
        <v>2</v>
      </c>
      <c r="H249" s="39">
        <f>IF(H248="","",H248)</f>
        <v/>
      </c>
      <c r="I249" s="7">
        <f>IF(H248="","",H248)</f>
        <v/>
      </c>
      <c r="J249" s="7" t="n">
        <v>2</v>
      </c>
      <c r="K249" s="7" t="n"/>
      <c r="L249" s="40" t="n"/>
      <c r="M249">
        <f>IF(AND(L249&lt;&gt;"",N(I249)&gt;0,N(J249)&gt;0),IF(J249=1,I249,ROUND(I249*(1+J249/30),1)),"")</f>
        <v/>
      </c>
      <c r="N249" s="41">
        <f>IF(M249="","",IF(M249&gt;=PRs!C4,"PR!",""))</f>
        <v/>
      </c>
      <c r="O249" s="7" t="n"/>
    </row>
    <row r="250">
      <c r="C250" t="inlineStr">
        <is>
          <t xml:space="preserve">      Set 2</t>
        </is>
      </c>
      <c r="E250" t="n">
        <v>2</v>
      </c>
      <c r="H250" s="39">
        <f>IF(H248="","",H248)</f>
        <v/>
      </c>
      <c r="I250" s="7">
        <f>IF(H248="","",H248)</f>
        <v/>
      </c>
      <c r="J250" s="7" t="n">
        <v>2</v>
      </c>
      <c r="K250" s="7" t="n"/>
      <c r="L250" s="40" t="n"/>
      <c r="M250">
        <f>IF(AND(L250&lt;&gt;"",N(I250)&gt;0,N(J250)&gt;0),IF(J250=1,I250,ROUND(I250*(1+J250/30),1)),"")</f>
        <v/>
      </c>
      <c r="N250" s="41">
        <f>IF(M250="","",IF(M250&gt;=PRs!C4,"PR!",""))</f>
        <v/>
      </c>
      <c r="O250" s="7" t="n"/>
    </row>
    <row r="251">
      <c r="A251" s="34" t="n"/>
      <c r="B251" s="34" t="n"/>
      <c r="C251" s="43" t="inlineStr">
        <is>
          <t>Chin-up</t>
        </is>
      </c>
      <c r="D251" s="34" t="inlineStr">
        <is>
          <t>2 x 6-10</t>
        </is>
      </c>
      <c r="E251" s="34" t="n"/>
      <c r="F251" s="34" t="n"/>
      <c r="G251" s="36" t="n"/>
      <c r="H251" s="37" t="n"/>
      <c r="I251" s="34" t="n"/>
      <c r="J251" s="34" t="n"/>
      <c r="K251" s="34" t="n"/>
      <c r="L251" s="34" t="n"/>
      <c r="M251" s="34" t="n"/>
      <c r="N251" s="34" t="n"/>
      <c r="O251" s="38" t="inlineStr">
        <is>
          <t>Light - save energy for test week</t>
        </is>
      </c>
    </row>
    <row r="252">
      <c r="C252" t="inlineStr">
        <is>
          <t xml:space="preserve">      Set 1</t>
        </is>
      </c>
      <c r="E252" t="n">
        <v>6</v>
      </c>
      <c r="H252" s="39">
        <f>IF(H251="","",H251)</f>
        <v/>
      </c>
      <c r="I252" s="7">
        <f>IF(H251="","",H251)</f>
        <v/>
      </c>
      <c r="J252" s="7" t="n">
        <v>6</v>
      </c>
      <c r="K252" s="7" t="n"/>
      <c r="L252" s="40" t="n"/>
      <c r="M252">
        <f>IF(AND(L252&lt;&gt;"",N(I252)&gt;0,N(J252)&gt;0),IF(J252=1,I252,ROUND(I252*(1+J252/30),1)),"")</f>
        <v/>
      </c>
      <c r="N252" s="41">
        <f>IF(M252="","",IF(M252&gt;=PRs!C53,"PR!",""))</f>
        <v/>
      </c>
      <c r="O252" s="7" t="n"/>
    </row>
    <row r="253">
      <c r="C253" t="inlineStr">
        <is>
          <t xml:space="preserve">      Set 2</t>
        </is>
      </c>
      <c r="E253" t="n">
        <v>6</v>
      </c>
      <c r="H253" s="39">
        <f>IF(H251="","",H251)</f>
        <v/>
      </c>
      <c r="I253" s="7">
        <f>IF(H251="","",H251)</f>
        <v/>
      </c>
      <c r="J253" s="7" t="n">
        <v>6</v>
      </c>
      <c r="K253" s="7" t="n"/>
      <c r="L253" s="40" t="n"/>
      <c r="M253">
        <f>IF(AND(L253&lt;&gt;"",N(I253)&gt;0,N(J253)&gt;0),IF(J253=1,I253,ROUND(I253*(1+J253/30),1)),"")</f>
        <v/>
      </c>
      <c r="N253" s="41">
        <f>IF(M253="","",IF(M253&gt;=PRs!C53,"PR!",""))</f>
        <v/>
      </c>
      <c r="O253" s="7" t="n"/>
    </row>
    <row r="254">
      <c r="A254" s="34" t="n"/>
      <c r="B254" s="34" t="n"/>
      <c r="C254" s="43" t="inlineStr">
        <is>
          <t>Plank</t>
        </is>
      </c>
      <c r="D254" s="34" t="inlineStr">
        <is>
          <t>2 x 30-60s</t>
        </is>
      </c>
      <c r="E254" s="34" t="n"/>
      <c r="F254" s="34" t="n"/>
      <c r="G254" s="36" t="n"/>
      <c r="H254" s="37" t="n"/>
      <c r="I254" s="34" t="n"/>
      <c r="J254" s="34" t="n"/>
      <c r="K254" s="34" t="n"/>
      <c r="L254" s="34" t="n"/>
      <c r="M254" s="34" t="n"/>
      <c r="N254" s="34" t="n"/>
      <c r="O254" s="38" t="inlineStr">
        <is>
          <t>Light - save energy for test week</t>
        </is>
      </c>
    </row>
    <row r="255">
      <c r="C255" t="inlineStr">
        <is>
          <t xml:space="preserve">      Set 1</t>
        </is>
      </c>
      <c r="E255" t="n">
        <v>30</v>
      </c>
      <c r="H255" s="39">
        <f>IF(H254="","",H254)</f>
        <v/>
      </c>
      <c r="I255" s="7">
        <f>IF(H254="","",H254)</f>
        <v/>
      </c>
      <c r="J255" s="7" t="n">
        <v>30</v>
      </c>
      <c r="K255" s="7" t="n"/>
      <c r="L255" s="40" t="n"/>
      <c r="M255">
        <f>IF(AND(L255&lt;&gt;"",N(I255)&gt;0,N(J255)&gt;0),IF(J255=1,I255,ROUND(I255*(1+J255/30),1)),"")</f>
        <v/>
      </c>
      <c r="N255" s="41">
        <f>IF(M255="","",IF(M255&gt;=PRs!C56,"PR!",""))</f>
        <v/>
      </c>
      <c r="O255" s="7" t="n"/>
    </row>
    <row r="256">
      <c r="C256" t="inlineStr">
        <is>
          <t xml:space="preserve">      Set 2</t>
        </is>
      </c>
      <c r="E256" t="n">
        <v>30</v>
      </c>
      <c r="H256" s="39">
        <f>IF(H254="","",H254)</f>
        <v/>
      </c>
      <c r="I256" s="7">
        <f>IF(H254="","",H254)</f>
        <v/>
      </c>
      <c r="J256" s="7" t="n">
        <v>30</v>
      </c>
      <c r="K256" s="7" t="n"/>
      <c r="L256" s="40" t="n"/>
      <c r="M256">
        <f>IF(AND(L256&lt;&gt;"",N(I256)&gt;0,N(J256)&gt;0),IF(J256=1,I256,ROUND(I256*(1+J256/30),1)),"")</f>
        <v/>
      </c>
      <c r="N256" s="41">
        <f>IF(M256="","",IF(M256&gt;=PRs!C56,"PR!",""))</f>
        <v/>
      </c>
      <c r="O256" s="7" t="n"/>
    </row>
    <row r="257">
      <c r="A257" s="31" t="inlineStr">
        <is>
          <t>Day 3 - Variations</t>
        </is>
      </c>
      <c r="B257" s="32">
        <f>'Start Here'!$B$8+326</f>
        <v/>
      </c>
      <c r="C257" s="33" t="n"/>
      <c r="D257" s="33" t="n"/>
      <c r="E257" s="33" t="n"/>
      <c r="F257" s="33" t="n"/>
      <c r="G257" s="33" t="n"/>
      <c r="H257" s="33" t="n"/>
      <c r="I257" s="33" t="n"/>
      <c r="J257" s="33" t="n"/>
      <c r="K257" s="33" t="n"/>
      <c r="L257" s="33" t="n"/>
      <c r="M257" s="33" t="n"/>
      <c r="N257" s="33" t="n"/>
      <c r="O257" s="33" t="n"/>
    </row>
    <row r="258">
      <c r="A258" s="34" t="n"/>
      <c r="B258" s="34" t="n"/>
      <c r="C258" s="35" t="inlineStr">
        <is>
          <t>Seated Box Jump</t>
        </is>
      </c>
      <c r="D258" s="34" t="inlineStr">
        <is>
          <t>2 x 2</t>
        </is>
      </c>
      <c r="E258" s="34" t="n"/>
      <c r="F258" s="34" t="n"/>
      <c r="G258" s="36" t="n"/>
      <c r="H258" s="37">
        <f>IF(N(Maxes!H76)&gt;0,Maxes!H76,"")</f>
        <v/>
      </c>
      <c r="I258" s="34" t="n"/>
      <c r="J258" s="34" t="n"/>
      <c r="K258" s="34" t="n"/>
      <c r="L258" s="34" t="n"/>
      <c r="M258" s="34" t="n"/>
      <c r="N258" s="34" t="n"/>
      <c r="O258" s="38" t="inlineStr">
        <is>
          <t>Sit on a box, feet flat, then jump from seated onto a second box. Log the landing-box height.</t>
        </is>
      </c>
    </row>
    <row r="259">
      <c r="C259" t="inlineStr">
        <is>
          <t xml:space="preserve">      Set 1</t>
        </is>
      </c>
      <c r="E259" t="n">
        <v>2</v>
      </c>
      <c r="H259" s="39">
        <f>IF(H258="","",H258)</f>
        <v/>
      </c>
      <c r="I259" s="7">
        <f>IF(H258="","",H258)</f>
        <v/>
      </c>
      <c r="J259" s="7" t="n">
        <v>2</v>
      </c>
      <c r="K259" s="7" t="n"/>
      <c r="L259" s="40" t="n"/>
      <c r="N259" s="41">
        <f>IF(AND(L259&lt;&gt;"",N(I259)&gt;0),IF(I259&gt;=PRs!D76,"PR!",""),"")</f>
        <v/>
      </c>
      <c r="O259" s="7" t="n"/>
    </row>
    <row r="260">
      <c r="C260" t="inlineStr">
        <is>
          <t xml:space="preserve">      Set 2</t>
        </is>
      </c>
      <c r="E260" t="n">
        <v>2</v>
      </c>
      <c r="H260" s="39">
        <f>IF(H258="","",H258)</f>
        <v/>
      </c>
      <c r="I260" s="7">
        <f>IF(H258="","",H258)</f>
        <v/>
      </c>
      <c r="J260" s="7" t="n">
        <v>2</v>
      </c>
      <c r="K260" s="7" t="n"/>
      <c r="L260" s="40" t="n"/>
      <c r="N260" s="41">
        <f>IF(AND(L260&lt;&gt;"",N(I260)&gt;0),IF(I260&gt;=PRs!D76,"PR!",""),"")</f>
        <v/>
      </c>
      <c r="O260" s="7" t="n"/>
    </row>
    <row r="261">
      <c r="A261" s="34" t="n"/>
      <c r="B261" s="34" t="n"/>
      <c r="C261" s="42" t="inlineStr">
        <is>
          <t>Hang Clean</t>
        </is>
      </c>
      <c r="D261" s="34" t="inlineStr">
        <is>
          <t>2 x 2</t>
        </is>
      </c>
      <c r="E261" s="34" t="n"/>
      <c r="F261" s="34" t="n">
        <v>75</v>
      </c>
      <c r="G261" s="36">
        <f>Maxes!H43</f>
        <v/>
      </c>
      <c r="H261" s="37">
        <f>IF(OR(G261="",F261=""),"",MROUND(G261*F261/100,'Start Here'!$B$7))</f>
        <v/>
      </c>
      <c r="I261" s="34" t="n"/>
      <c r="J261" s="34" t="n"/>
      <c r="K261" s="34" t="n"/>
      <c r="L261" s="34" t="n"/>
      <c r="M261" s="34" t="n"/>
      <c r="N261" s="34" t="n"/>
      <c r="O261" s="38" t="inlineStr">
        <is>
          <t>Crisp and fast</t>
        </is>
      </c>
    </row>
    <row r="262">
      <c r="C262" t="inlineStr">
        <is>
          <t xml:space="preserve">      Set 1</t>
        </is>
      </c>
      <c r="E262" t="n">
        <v>2</v>
      </c>
      <c r="H262" s="39">
        <f>IF(H261="","",H261)</f>
        <v/>
      </c>
      <c r="I262" s="7">
        <f>IF(H261="","",H261)</f>
        <v/>
      </c>
      <c r="J262" s="7" t="n">
        <v>2</v>
      </c>
      <c r="K262" s="7" t="n"/>
      <c r="L262" s="40" t="n"/>
      <c r="M262">
        <f>IF(AND(L262&lt;&gt;"",N(I262)&gt;0,N(J262)&gt;0),IF(J262=1,I262,ROUND(I262*(1+J262/30),1)),"")</f>
        <v/>
      </c>
      <c r="N262" s="41">
        <f>IF(M262="","",IF(M262&gt;=PRs!C43,"PR!",""))</f>
        <v/>
      </c>
      <c r="O262" s="7" t="n"/>
    </row>
    <row r="263">
      <c r="C263" t="inlineStr">
        <is>
          <t xml:space="preserve">      Set 2</t>
        </is>
      </c>
      <c r="E263" t="n">
        <v>2</v>
      </c>
      <c r="H263" s="39">
        <f>IF(H261="","",H261)</f>
        <v/>
      </c>
      <c r="I263" s="7">
        <f>IF(H261="","",H261)</f>
        <v/>
      </c>
      <c r="J263" s="7" t="n">
        <v>2</v>
      </c>
      <c r="K263" s="7" t="n"/>
      <c r="L263" s="40" t="n"/>
      <c r="M263">
        <f>IF(AND(L263&lt;&gt;"",N(I263)&gt;0,N(J263)&gt;0),IF(J263=1,I263,ROUND(I263*(1+J263/30),1)),"")</f>
        <v/>
      </c>
      <c r="N263" s="41">
        <f>IF(M263="","",IF(M263&gt;=PRs!C43,"PR!",""))</f>
        <v/>
      </c>
      <c r="O263" s="7" t="n"/>
    </row>
    <row r="264">
      <c r="A264" s="34" t="n"/>
      <c r="B264" s="34" t="n"/>
      <c r="C264" s="42" t="inlineStr">
        <is>
          <t>Pause Squat</t>
        </is>
      </c>
      <c r="D264" s="34" t="inlineStr">
        <is>
          <t>2 x 3</t>
        </is>
      </c>
      <c r="E264" s="34" t="n"/>
      <c r="F264" s="34" t="n">
        <v>75</v>
      </c>
      <c r="G264" s="36">
        <f>Maxes!H9</f>
        <v/>
      </c>
      <c r="H264" s="37">
        <f>IF(OR(G264="",F264=""),"",MROUND(G264*F264/100,'Start Here'!$B$7))</f>
        <v/>
      </c>
      <c r="I264" s="34" t="n"/>
      <c r="J264" s="34" t="n"/>
      <c r="K264" s="34" t="n"/>
      <c r="L264" s="34" t="n"/>
      <c r="M264" s="34" t="n"/>
      <c r="N264" s="34" t="n"/>
      <c r="O264" s="38" t="inlineStr">
        <is>
          <t>Crisp and fast</t>
        </is>
      </c>
    </row>
    <row r="265">
      <c r="C265" t="inlineStr">
        <is>
          <t xml:space="preserve">      Set 1</t>
        </is>
      </c>
      <c r="E265" t="n">
        <v>3</v>
      </c>
      <c r="H265" s="39">
        <f>IF(H264="","",H264)</f>
        <v/>
      </c>
      <c r="I265" s="7">
        <f>IF(H264="","",H264)</f>
        <v/>
      </c>
      <c r="J265" s="7" t="n">
        <v>3</v>
      </c>
      <c r="K265" s="7" t="n"/>
      <c r="L265" s="40" t="n"/>
      <c r="M265">
        <f>IF(AND(L265&lt;&gt;"",N(I265)&gt;0,N(J265)&gt;0),IF(J265=1,I265,ROUND(I265*(1+J265/30),1)),"")</f>
        <v/>
      </c>
      <c r="N265" s="41">
        <f>IF(M265="","",IF(M265&gt;=PRs!C9,"PR!",""))</f>
        <v/>
      </c>
      <c r="O265" s="7" t="n"/>
    </row>
    <row r="266">
      <c r="C266" t="inlineStr">
        <is>
          <t xml:space="preserve">      Set 2</t>
        </is>
      </c>
      <c r="E266" t="n">
        <v>3</v>
      </c>
      <c r="H266" s="39">
        <f>IF(H264="","",H264)</f>
        <v/>
      </c>
      <c r="I266" s="7">
        <f>IF(H264="","",H264)</f>
        <v/>
      </c>
      <c r="J266" s="7" t="n">
        <v>3</v>
      </c>
      <c r="K266" s="7" t="n"/>
      <c r="L266" s="40" t="n"/>
      <c r="M266">
        <f>IF(AND(L266&lt;&gt;"",N(I266)&gt;0,N(J266)&gt;0),IF(J266=1,I266,ROUND(I266*(1+J266/30),1)),"")</f>
        <v/>
      </c>
      <c r="N266" s="41">
        <f>IF(M266="","",IF(M266&gt;=PRs!C9,"PR!",""))</f>
        <v/>
      </c>
      <c r="O266" s="7" t="n"/>
    </row>
    <row r="267">
      <c r="A267" s="34" t="n"/>
      <c r="B267" s="34" t="n"/>
      <c r="C267" s="42" t="inlineStr">
        <is>
          <t>Floor Press</t>
        </is>
      </c>
      <c r="D267" s="34" t="inlineStr">
        <is>
          <t>2 x 3</t>
        </is>
      </c>
      <c r="E267" s="34" t="n"/>
      <c r="F267" s="34" t="n">
        <v>75</v>
      </c>
      <c r="G267" s="36">
        <f>Maxes!H19</f>
        <v/>
      </c>
      <c r="H267" s="37">
        <f>IF(OR(G267="",F267=""),"",MROUND(G267*F267/100,'Start Here'!$B$7))</f>
        <v/>
      </c>
      <c r="I267" s="34" t="n"/>
      <c r="J267" s="34" t="n"/>
      <c r="K267" s="34" t="n"/>
      <c r="L267" s="34" t="n"/>
      <c r="M267" s="34" t="n"/>
      <c r="N267" s="34" t="n"/>
      <c r="O267" s="38" t="inlineStr">
        <is>
          <t>Crisp and fast</t>
        </is>
      </c>
    </row>
    <row r="268">
      <c r="C268" t="inlineStr">
        <is>
          <t xml:space="preserve">      Set 1</t>
        </is>
      </c>
      <c r="E268" t="n">
        <v>3</v>
      </c>
      <c r="H268" s="39">
        <f>IF(H267="","",H267)</f>
        <v/>
      </c>
      <c r="I268" s="7">
        <f>IF(H267="","",H267)</f>
        <v/>
      </c>
      <c r="J268" s="7" t="n">
        <v>3</v>
      </c>
      <c r="K268" s="7" t="n"/>
      <c r="L268" s="40" t="n"/>
      <c r="M268">
        <f>IF(AND(L268&lt;&gt;"",N(I268)&gt;0,N(J268)&gt;0),IF(J268=1,I268,ROUND(I268*(1+J268/30),1)),"")</f>
        <v/>
      </c>
      <c r="N268" s="41">
        <f>IF(M268="","",IF(M268&gt;=PRs!C19,"PR!",""))</f>
        <v/>
      </c>
      <c r="O268" s="7" t="n"/>
    </row>
    <row r="269">
      <c r="C269" t="inlineStr">
        <is>
          <t xml:space="preserve">      Set 2</t>
        </is>
      </c>
      <c r="E269" t="n">
        <v>3</v>
      </c>
      <c r="H269" s="39">
        <f>IF(H267="","",H267)</f>
        <v/>
      </c>
      <c r="I269" s="7">
        <f>IF(H267="","",H267)</f>
        <v/>
      </c>
      <c r="J269" s="7" t="n">
        <v>3</v>
      </c>
      <c r="K269" s="7" t="n"/>
      <c r="L269" s="40" t="n"/>
      <c r="M269">
        <f>IF(AND(L269&lt;&gt;"",N(I269)&gt;0,N(J269)&gt;0),IF(J269=1,I269,ROUND(I269*(1+J269/30),1)),"")</f>
        <v/>
      </c>
      <c r="N269" s="41">
        <f>IF(M269="","",IF(M269&gt;=PRs!C19,"PR!",""))</f>
        <v/>
      </c>
      <c r="O269" s="7" t="n"/>
    </row>
    <row r="270">
      <c r="A270" s="34" t="n"/>
      <c r="B270" s="34" t="n"/>
      <c r="C270" s="42" t="inlineStr">
        <is>
          <t>Block Pull</t>
        </is>
      </c>
      <c r="D270" s="34" t="inlineStr">
        <is>
          <t>2 x 3</t>
        </is>
      </c>
      <c r="E270" s="34" t="n"/>
      <c r="F270" s="34" t="n">
        <v>75</v>
      </c>
      <c r="G270" s="36">
        <f>Maxes!H26</f>
        <v/>
      </c>
      <c r="H270" s="37">
        <f>IF(OR(G270="",F270=""),"",MROUND(G270*F270/100,'Start Here'!$B$7))</f>
        <v/>
      </c>
      <c r="I270" s="34" t="n"/>
      <c r="J270" s="34" t="n"/>
      <c r="K270" s="34" t="n"/>
      <c r="L270" s="34" t="n"/>
      <c r="M270" s="34" t="n"/>
      <c r="N270" s="34" t="n"/>
      <c r="O270" s="38" t="inlineStr">
        <is>
          <t>Crisp and fast</t>
        </is>
      </c>
    </row>
    <row r="271">
      <c r="C271" t="inlineStr">
        <is>
          <t xml:space="preserve">      Set 1</t>
        </is>
      </c>
      <c r="E271" t="n">
        <v>3</v>
      </c>
      <c r="H271" s="39">
        <f>IF(H270="","",H270)</f>
        <v/>
      </c>
      <c r="I271" s="7">
        <f>IF(H270="","",H270)</f>
        <v/>
      </c>
      <c r="J271" s="7" t="n">
        <v>3</v>
      </c>
      <c r="K271" s="7" t="n"/>
      <c r="L271" s="40" t="n"/>
      <c r="M271">
        <f>IF(AND(L271&lt;&gt;"",N(I271)&gt;0,N(J271)&gt;0),IF(J271=1,I271,ROUND(I271*(1+J271/30),1)),"")</f>
        <v/>
      </c>
      <c r="N271" s="41">
        <f>IF(M271="","",IF(M271&gt;=PRs!C26,"PR!",""))</f>
        <v/>
      </c>
      <c r="O271" s="7" t="n"/>
    </row>
    <row r="272">
      <c r="C272" t="inlineStr">
        <is>
          <t xml:space="preserve">      Set 2</t>
        </is>
      </c>
      <c r="E272" t="n">
        <v>3</v>
      </c>
      <c r="H272" s="39">
        <f>IF(H270="","",H270)</f>
        <v/>
      </c>
      <c r="I272" s="7">
        <f>IF(H270="","",H270)</f>
        <v/>
      </c>
      <c r="J272" s="7" t="n">
        <v>3</v>
      </c>
      <c r="K272" s="7" t="n"/>
      <c r="L272" s="40" t="n"/>
      <c r="M272">
        <f>IF(AND(L272&lt;&gt;"",N(I272)&gt;0,N(J272)&gt;0),IF(J272=1,I272,ROUND(I272*(1+J272/30),1)),"")</f>
        <v/>
      </c>
      <c r="N272" s="41">
        <f>IF(M272="","",IF(M272&gt;=PRs!C26,"PR!",""))</f>
        <v/>
      </c>
      <c r="O272" s="7" t="n"/>
    </row>
    <row r="273">
      <c r="A273" s="34" t="n"/>
      <c r="B273" s="34" t="n"/>
      <c r="C273" s="43" t="inlineStr">
        <is>
          <t>Incline Dumbbell Press</t>
        </is>
      </c>
      <c r="D273" s="34" t="inlineStr">
        <is>
          <t>2 x 8-12</t>
        </is>
      </c>
      <c r="E273" s="34" t="n"/>
      <c r="F273" s="34" t="n"/>
      <c r="G273" s="36" t="n"/>
      <c r="H273" s="37" t="n"/>
      <c r="I273" s="34" t="n"/>
      <c r="J273" s="34" t="n"/>
      <c r="K273" s="34" t="n"/>
      <c r="L273" s="34" t="n"/>
      <c r="M273" s="34" t="n"/>
      <c r="N273" s="34" t="n"/>
      <c r="O273" s="38" t="inlineStr">
        <is>
          <t>Light - save energy for test week</t>
        </is>
      </c>
    </row>
    <row r="274">
      <c r="C274" t="inlineStr">
        <is>
          <t xml:space="preserve">      Set 1</t>
        </is>
      </c>
      <c r="E274" t="n">
        <v>8</v>
      </c>
      <c r="H274" s="39">
        <f>IF(H273="","",H273)</f>
        <v/>
      </c>
      <c r="I274" s="7">
        <f>IF(H273="","",H273)</f>
        <v/>
      </c>
      <c r="J274" s="7" t="n">
        <v>8</v>
      </c>
      <c r="K274" s="7" t="n"/>
      <c r="L274" s="40" t="n"/>
      <c r="M274">
        <f>IF(AND(L274&lt;&gt;"",N(I274)&gt;0,N(J274)&gt;0),IF(J274=1,I274,ROUND(I274*(1+J274/30),1)),"")</f>
        <v/>
      </c>
      <c r="N274" s="41">
        <f>IF(M274="","",IF(M274&gt;=PRs!C57,"PR!",""))</f>
        <v/>
      </c>
      <c r="O274" s="7" t="n"/>
    </row>
    <row r="275">
      <c r="C275" t="inlineStr">
        <is>
          <t xml:space="preserve">      Set 2</t>
        </is>
      </c>
      <c r="E275" t="n">
        <v>8</v>
      </c>
      <c r="H275" s="39">
        <f>IF(H273="","",H273)</f>
        <v/>
      </c>
      <c r="I275" s="7">
        <f>IF(H273="","",H273)</f>
        <v/>
      </c>
      <c r="J275" s="7" t="n">
        <v>8</v>
      </c>
      <c r="K275" s="7" t="n"/>
      <c r="L275" s="40" t="n"/>
      <c r="M275">
        <f>IF(AND(L275&lt;&gt;"",N(I275)&gt;0,N(J275)&gt;0),IF(J275=1,I275,ROUND(I275*(1+J275/30),1)),"")</f>
        <v/>
      </c>
      <c r="N275" s="41">
        <f>IF(M275="","",IF(M275&gt;=PRs!C57,"PR!",""))</f>
        <v/>
      </c>
      <c r="O275" s="7" t="n"/>
    </row>
    <row r="276">
      <c r="A276" s="34" t="n"/>
      <c r="B276" s="34" t="n"/>
      <c r="C276" s="43" t="inlineStr">
        <is>
          <t>Triceps Pushdown</t>
        </is>
      </c>
      <c r="D276" s="34" t="inlineStr">
        <is>
          <t>2 x 10-15</t>
        </is>
      </c>
      <c r="E276" s="34" t="n"/>
      <c r="F276" s="34" t="n"/>
      <c r="G276" s="36" t="n"/>
      <c r="H276" s="37" t="n"/>
      <c r="I276" s="34" t="n"/>
      <c r="J276" s="34" t="n"/>
      <c r="K276" s="34" t="n"/>
      <c r="L276" s="34" t="n"/>
      <c r="M276" s="34" t="n"/>
      <c r="N276" s="34" t="n"/>
      <c r="O276" s="38" t="inlineStr">
        <is>
          <t>Light - save energy for test week</t>
        </is>
      </c>
    </row>
    <row r="277">
      <c r="C277" t="inlineStr">
        <is>
          <t xml:space="preserve">      Set 1</t>
        </is>
      </c>
      <c r="E277" t="n">
        <v>10</v>
      </c>
      <c r="H277" s="39">
        <f>IF(H276="","",H276)</f>
        <v/>
      </c>
      <c r="I277" s="7">
        <f>IF(H276="","",H276)</f>
        <v/>
      </c>
      <c r="J277" s="7" t="n">
        <v>10</v>
      </c>
      <c r="K277" s="7" t="n"/>
      <c r="L277" s="40" t="n"/>
      <c r="M277">
        <f>IF(AND(L277&lt;&gt;"",N(I277)&gt;0,N(J277)&gt;0),IF(J277=1,I277,ROUND(I277*(1+J277/30),1)),"")</f>
        <v/>
      </c>
      <c r="N277" s="41">
        <f>IF(M277="","",IF(M277&gt;=PRs!C59,"PR!",""))</f>
        <v/>
      </c>
      <c r="O277" s="7" t="n"/>
    </row>
    <row r="278">
      <c r="C278" t="inlineStr">
        <is>
          <t xml:space="preserve">      Set 2</t>
        </is>
      </c>
      <c r="E278" t="n">
        <v>10</v>
      </c>
      <c r="H278" s="39">
        <f>IF(H276="","",H276)</f>
        <v/>
      </c>
      <c r="I278" s="7">
        <f>IF(H276="","",H276)</f>
        <v/>
      </c>
      <c r="J278" s="7" t="n">
        <v>10</v>
      </c>
      <c r="K278" s="7" t="n"/>
      <c r="L278" s="40" t="n"/>
      <c r="M278">
        <f>IF(AND(L278&lt;&gt;"",N(I278)&gt;0,N(J278)&gt;0),IF(J278=1,I278,ROUND(I278*(1+J278/30),1)),"")</f>
        <v/>
      </c>
      <c r="N278" s="41">
        <f>IF(M278="","",IF(M278&gt;=PRs!C59,"PR!",""))</f>
        <v/>
      </c>
      <c r="O278" s="7" t="n"/>
    </row>
    <row r="280">
      <c r="A280" s="57" t="inlineStr">
        <is>
          <t>WEEK 48 - CYCLE 4 - TEST</t>
        </is>
      </c>
      <c r="B280" s="58" t="n"/>
      <c r="C280" s="58" t="n"/>
      <c r="D280" s="58" t="n"/>
      <c r="E280" s="58" t="n"/>
      <c r="F280" s="58" t="n"/>
      <c r="G280" s="58" t="n"/>
      <c r="H280" s="59" t="inlineStr">
        <is>
          <t>Bodyweight:</t>
        </is>
      </c>
      <c r="I280" s="7" t="n"/>
      <c r="J280" s="58" t="n"/>
      <c r="K280" s="58" t="n"/>
      <c r="L280" s="58" t="n"/>
      <c r="M280" s="58" t="n"/>
      <c r="N280" s="58" t="n"/>
      <c r="O280" s="58" t="n"/>
    </row>
    <row r="281">
      <c r="A281" s="31" t="inlineStr">
        <is>
          <t>Day 1 - Heavy</t>
        </is>
      </c>
      <c r="B281" s="32">
        <f>'Start Here'!$B$8+329</f>
        <v/>
      </c>
      <c r="C281" s="33" t="n"/>
      <c r="D281" s="33" t="n"/>
      <c r="E281" s="33" t="n"/>
      <c r="F281" s="33" t="n"/>
      <c r="G281" s="33" t="n"/>
      <c r="H281" s="33" t="n"/>
      <c r="I281" s="33" t="n"/>
      <c r="J281" s="33" t="n"/>
      <c r="K281" s="33" t="n"/>
      <c r="L281" s="33" t="n"/>
      <c r="M281" s="33" t="n"/>
      <c r="N281" s="33" t="n"/>
      <c r="O281" s="33" t="n"/>
    </row>
    <row r="282">
      <c r="A282" s="34" t="n"/>
      <c r="B282" s="34" t="n"/>
      <c r="C282" s="35" t="inlineStr">
        <is>
          <t>Box Jump</t>
        </is>
      </c>
      <c r="D282" s="34" t="inlineStr">
        <is>
          <t>1 x Max</t>
        </is>
      </c>
      <c r="E282" s="34" t="n"/>
      <c r="F282" s="34" t="n"/>
      <c r="G282" s="36" t="n"/>
      <c r="H282" s="37">
        <f>IF(N(Maxes!H69)&gt;0,Maxes!H69,'Start Here'!$G$16)</f>
        <v/>
      </c>
      <c r="I282" s="34" t="n"/>
      <c r="J282" s="34" t="n"/>
      <c r="K282" s="34" t="n"/>
      <c r="L282" s="34" t="n"/>
      <c r="M282" s="34" t="n"/>
      <c r="N282" s="34" t="n"/>
      <c r="O282" s="38" t="inlineStr">
        <is>
          <t>Test day: work up box by box to the highest box you land cleanly. Log it and check the standards on Start Here</t>
        </is>
      </c>
    </row>
    <row r="283">
      <c r="C283" t="inlineStr">
        <is>
          <t xml:space="preserve">      Set 1</t>
        </is>
      </c>
      <c r="E283" t="n">
        <v>1</v>
      </c>
      <c r="H283" s="39">
        <f>IF(H282="","",H282)</f>
        <v/>
      </c>
      <c r="I283" s="7">
        <f>IF(H282="","",H282)</f>
        <v/>
      </c>
      <c r="J283" s="7" t="n">
        <v>1</v>
      </c>
      <c r="K283" s="7" t="n"/>
      <c r="L283" s="40" t="n"/>
      <c r="N283" s="41">
        <f>IF(AND(L283&lt;&gt;"",N(I283)&gt;0),IF(I283&gt;=PRs!D69,"PR!",""),"")</f>
        <v/>
      </c>
      <c r="O283" s="7" t="n"/>
    </row>
    <row r="284">
      <c r="A284" s="34" t="n"/>
      <c r="B284" s="34" t="n"/>
      <c r="C284" s="42" t="inlineStr">
        <is>
          <t>Snatch</t>
        </is>
      </c>
      <c r="D284" s="34" t="inlineStr">
        <is>
          <t>1 x Max</t>
        </is>
      </c>
      <c r="E284" s="34" t="n"/>
      <c r="F284" s="34" t="n"/>
      <c r="G284" s="36">
        <f>Maxes!H6</f>
        <v/>
      </c>
      <c r="H284" s="37">
        <f>IF(G284="","",MROUND(G284/1,'Start Here'!$B$7))</f>
        <v/>
      </c>
      <c r="I284" s="34" t="n"/>
      <c r="J284" s="34" t="n"/>
      <c r="K284" s="34" t="n"/>
      <c r="L284" s="34" t="n"/>
      <c r="M284" s="34" t="n"/>
      <c r="N284" s="34" t="n"/>
      <c r="O284" s="38" t="inlineStr">
        <is>
          <t>Work up in small jumps to a new max (1RM, or a 3RM/5RM if you prefer). Log it - it sets next cycle's weights</t>
        </is>
      </c>
    </row>
    <row r="285">
      <c r="C285" t="inlineStr">
        <is>
          <t xml:space="preserve">      Set 1</t>
        </is>
      </c>
      <c r="E285" t="n">
        <v>1</v>
      </c>
      <c r="H285" s="39">
        <f>IF(H284="","",H284)</f>
        <v/>
      </c>
      <c r="I285" s="7">
        <f>IF(H284="","",H284)</f>
        <v/>
      </c>
      <c r="J285" s="7" t="n">
        <v>1</v>
      </c>
      <c r="K285" s="7" t="n"/>
      <c r="L285" s="40" t="n"/>
      <c r="M285">
        <f>IF(AND(L285&lt;&gt;"",N(I285)&gt;0,N(J285)&gt;0),IF(J285=1,I285,ROUND(I285*(1+J285/30),1)),"")</f>
        <v/>
      </c>
      <c r="N285" s="41">
        <f>IF(M285="","",IF(M285&gt;=PRs!C6,"PR!",""))</f>
        <v/>
      </c>
      <c r="O285" s="7" t="n"/>
    </row>
    <row r="286">
      <c r="A286" s="34" t="n"/>
      <c r="B286" s="34" t="n"/>
      <c r="C286" s="42" t="inlineStr">
        <is>
          <t>Squat</t>
        </is>
      </c>
      <c r="D286" s="34" t="inlineStr">
        <is>
          <t>1 x Max</t>
        </is>
      </c>
      <c r="E286" s="34" t="n"/>
      <c r="F286" s="34" t="n"/>
      <c r="G286" s="36">
        <f>Maxes!H2</f>
        <v/>
      </c>
      <c r="H286" s="37">
        <f>IF(G286="","",MROUND(G286/1,'Start Here'!$B$7))</f>
        <v/>
      </c>
      <c r="I286" s="34" t="n"/>
      <c r="J286" s="34" t="n"/>
      <c r="K286" s="34" t="n"/>
      <c r="L286" s="34" t="n"/>
      <c r="M286" s="34" t="n"/>
      <c r="N286" s="34" t="n"/>
      <c r="O286" s="38" t="inlineStr">
        <is>
          <t>Work up in small jumps to a new max (1RM, or a 3RM/5RM if you prefer). Log it - it sets next cycle's weights</t>
        </is>
      </c>
    </row>
    <row r="287">
      <c r="C287" t="inlineStr">
        <is>
          <t xml:space="preserve">      Set 1</t>
        </is>
      </c>
      <c r="E287" t="n">
        <v>1</v>
      </c>
      <c r="H287" s="39">
        <f>IF(H286="","",H286)</f>
        <v/>
      </c>
      <c r="I287" s="7">
        <f>IF(H286="","",H286)</f>
        <v/>
      </c>
      <c r="J287" s="7" t="n">
        <v>1</v>
      </c>
      <c r="K287" s="7" t="n"/>
      <c r="L287" s="40" t="n"/>
      <c r="M287">
        <f>IF(AND(L287&lt;&gt;"",N(I287)&gt;0,N(J287)&gt;0),IF(J287=1,I287,ROUND(I287*(1+J287/30),1)),"")</f>
        <v/>
      </c>
      <c r="N287" s="41">
        <f>IF(M287="","",IF(M287&gt;=PRs!C2,"PR!",""))</f>
        <v/>
      </c>
      <c r="O287" s="7" t="n"/>
    </row>
    <row r="288">
      <c r="A288" s="34" t="n"/>
      <c r="B288" s="34" t="n"/>
      <c r="C288" s="42" t="inlineStr">
        <is>
          <t>Bench Press</t>
        </is>
      </c>
      <c r="D288" s="34" t="inlineStr">
        <is>
          <t>1 x Max</t>
        </is>
      </c>
      <c r="E288" s="34" t="n"/>
      <c r="F288" s="34" t="n"/>
      <c r="G288" s="36">
        <f>Maxes!H3</f>
        <v/>
      </c>
      <c r="H288" s="37">
        <f>IF(G288="","",MROUND(G288/1,'Start Here'!$B$7))</f>
        <v/>
      </c>
      <c r="I288" s="34" t="n"/>
      <c r="J288" s="34" t="n"/>
      <c r="K288" s="34" t="n"/>
      <c r="L288" s="34" t="n"/>
      <c r="M288" s="34" t="n"/>
      <c r="N288" s="34" t="n"/>
      <c r="O288" s="38" t="inlineStr">
        <is>
          <t>Work up in small jumps to a new max (1RM, or a 3RM/5RM if you prefer). Log it - it sets next cycle's weights</t>
        </is>
      </c>
    </row>
    <row r="289">
      <c r="C289" t="inlineStr">
        <is>
          <t xml:space="preserve">      Set 1</t>
        </is>
      </c>
      <c r="E289" t="n">
        <v>1</v>
      </c>
      <c r="H289" s="39">
        <f>IF(H288="","",H288)</f>
        <v/>
      </c>
      <c r="I289" s="7">
        <f>IF(H288="","",H288)</f>
        <v/>
      </c>
      <c r="J289" s="7" t="n">
        <v>1</v>
      </c>
      <c r="K289" s="7" t="n"/>
      <c r="L289" s="40" t="n"/>
      <c r="M289">
        <f>IF(AND(L289&lt;&gt;"",N(I289)&gt;0,N(J289)&gt;0),IF(J289=1,I289,ROUND(I289*(1+J289/30),1)),"")</f>
        <v/>
      </c>
      <c r="N289" s="41">
        <f>IF(M289="","",IF(M289&gt;=PRs!C3,"PR!",""))</f>
        <v/>
      </c>
      <c r="O289" s="7" t="n"/>
    </row>
    <row r="290">
      <c r="A290" s="34" t="n"/>
      <c r="B290" s="34" t="n"/>
      <c r="C290" s="43" t="inlineStr">
        <is>
          <t>Barbell Row</t>
        </is>
      </c>
      <c r="D290" s="34" t="inlineStr">
        <is>
          <t>2 x 8-10</t>
        </is>
      </c>
      <c r="E290" s="34" t="n"/>
      <c r="F290" s="34" t="n"/>
      <c r="G290" s="36" t="n"/>
      <c r="H290" s="37" t="n"/>
      <c r="I290" s="34" t="n"/>
      <c r="J290" s="34" t="n"/>
      <c r="K290" s="34" t="n"/>
      <c r="L290" s="34" t="n"/>
      <c r="M290" s="34" t="n"/>
      <c r="N290" s="34" t="n"/>
      <c r="O290" s="38" t="inlineStr">
        <is>
          <t>Light</t>
        </is>
      </c>
    </row>
    <row r="291">
      <c r="C291" t="inlineStr">
        <is>
          <t xml:space="preserve">      Set 1</t>
        </is>
      </c>
      <c r="E291" t="n">
        <v>8</v>
      </c>
      <c r="H291" s="39">
        <f>IF(H290="","",H290)</f>
        <v/>
      </c>
      <c r="I291" s="7">
        <f>IF(H290="","",H290)</f>
        <v/>
      </c>
      <c r="J291" s="7" t="n">
        <v>8</v>
      </c>
      <c r="K291" s="7" t="n"/>
      <c r="L291" s="40" t="n"/>
      <c r="M291">
        <f>IF(AND(L291&lt;&gt;"",N(I291)&gt;0,N(J291)&gt;0),IF(J291=1,I291,ROUND(I291*(1+J291/30),1)),"")</f>
        <v/>
      </c>
      <c r="N291" s="41">
        <f>IF(M291="","",IF(M291&gt;=PRs!C50,"PR!",""))</f>
        <v/>
      </c>
      <c r="O291" s="7" t="n"/>
    </row>
    <row r="292">
      <c r="C292" t="inlineStr">
        <is>
          <t xml:space="preserve">      Set 2</t>
        </is>
      </c>
      <c r="E292" t="n">
        <v>8</v>
      </c>
      <c r="H292" s="39">
        <f>IF(H290="","",H290)</f>
        <v/>
      </c>
      <c r="I292" s="7">
        <f>IF(H290="","",H290)</f>
        <v/>
      </c>
      <c r="J292" s="7" t="n">
        <v>8</v>
      </c>
      <c r="K292" s="7" t="n"/>
      <c r="L292" s="40" t="n"/>
      <c r="M292">
        <f>IF(AND(L292&lt;&gt;"",N(I292)&gt;0,N(J292)&gt;0),IF(J292=1,I292,ROUND(I292*(1+J292/30),1)),"")</f>
        <v/>
      </c>
      <c r="N292" s="41">
        <f>IF(M292="","",IF(M292&gt;=PRs!C50,"PR!",""))</f>
        <v/>
      </c>
      <c r="O292" s="7" t="n"/>
    </row>
    <row r="293">
      <c r="A293" s="34" t="n"/>
      <c r="B293" s="34" t="n"/>
      <c r="C293" s="43" t="inlineStr">
        <is>
          <t>Face Pull</t>
        </is>
      </c>
      <c r="D293" s="34" t="inlineStr">
        <is>
          <t>2 x 12-15</t>
        </is>
      </c>
      <c r="E293" s="34" t="n"/>
      <c r="F293" s="34" t="n"/>
      <c r="G293" s="36" t="n"/>
      <c r="H293" s="37" t="n"/>
      <c r="I293" s="34" t="n"/>
      <c r="J293" s="34" t="n"/>
      <c r="K293" s="34" t="n"/>
      <c r="L293" s="34" t="n"/>
      <c r="M293" s="34" t="n"/>
      <c r="N293" s="34" t="n"/>
      <c r="O293" s="38" t="inlineStr">
        <is>
          <t>Light</t>
        </is>
      </c>
    </row>
    <row r="294">
      <c r="C294" t="inlineStr">
        <is>
          <t xml:space="preserve">      Set 1</t>
        </is>
      </c>
      <c r="E294" t="n">
        <v>12</v>
      </c>
      <c r="H294" s="39">
        <f>IF(H293="","",H293)</f>
        <v/>
      </c>
      <c r="I294" s="7">
        <f>IF(H293="","",H293)</f>
        <v/>
      </c>
      <c r="J294" s="7" t="n">
        <v>12</v>
      </c>
      <c r="K294" s="7" t="n"/>
      <c r="L294" s="40" t="n"/>
      <c r="M294">
        <f>IF(AND(L294&lt;&gt;"",N(I294)&gt;0,N(J294)&gt;0),IF(J294=1,I294,ROUND(I294*(1+J294/30),1)),"")</f>
        <v/>
      </c>
      <c r="N294" s="41">
        <f>IF(M294="","",IF(M294&gt;=PRs!C51,"PR!",""))</f>
        <v/>
      </c>
      <c r="O294" s="7" t="n"/>
    </row>
    <row r="295">
      <c r="C295" t="inlineStr">
        <is>
          <t xml:space="preserve">      Set 2</t>
        </is>
      </c>
      <c r="E295" t="n">
        <v>12</v>
      </c>
      <c r="H295" s="39">
        <f>IF(H293="","",H293)</f>
        <v/>
      </c>
      <c r="I295" s="7">
        <f>IF(H293="","",H293)</f>
        <v/>
      </c>
      <c r="J295" s="7" t="n">
        <v>12</v>
      </c>
      <c r="K295" s="7" t="n"/>
      <c r="L295" s="40" t="n"/>
      <c r="M295">
        <f>IF(AND(L295&lt;&gt;"",N(I295)&gt;0,N(J295)&gt;0),IF(J295=1,I295,ROUND(I295*(1+J295/30),1)),"")</f>
        <v/>
      </c>
      <c r="N295" s="41">
        <f>IF(M295="","",IF(M295&gt;=PRs!C51,"PR!",""))</f>
        <v/>
      </c>
      <c r="O295" s="7" t="n"/>
    </row>
    <row r="296">
      <c r="A296" s="31" t="inlineStr">
        <is>
          <t>Day 2 - Light</t>
        </is>
      </c>
      <c r="B296" s="32">
        <f>'Start Here'!$B$8+331</f>
        <v/>
      </c>
      <c r="C296" s="33" t="n"/>
      <c r="D296" s="33" t="n"/>
      <c r="E296" s="33" t="n"/>
      <c r="F296" s="33" t="n"/>
      <c r="G296" s="33" t="n"/>
      <c r="H296" s="33" t="n"/>
      <c r="I296" s="33" t="n"/>
      <c r="J296" s="33" t="n"/>
      <c r="K296" s="33" t="n"/>
      <c r="L296" s="33" t="n"/>
      <c r="M296" s="33" t="n"/>
      <c r="N296" s="33" t="n"/>
      <c r="O296" s="33" t="n"/>
    </row>
    <row r="297">
      <c r="A297" s="34" t="n"/>
      <c r="B297" s="34" t="n"/>
      <c r="C297" s="35" t="inlineStr">
        <is>
          <t>Broad Jump</t>
        </is>
      </c>
      <c r="D297" s="34" t="inlineStr">
        <is>
          <t>1 x Max</t>
        </is>
      </c>
      <c r="E297" s="34" t="n"/>
      <c r="F297" s="34" t="n"/>
      <c r="G297" s="36" t="n"/>
      <c r="H297" s="37">
        <f>IF(N(Maxes!H70)&gt;0,Maxes!H70,"")</f>
        <v/>
      </c>
      <c r="I297" s="34" t="n"/>
      <c r="J297" s="34" t="n"/>
      <c r="K297" s="34" t="n"/>
      <c r="L297" s="34" t="n"/>
      <c r="M297" s="34" t="n"/>
      <c r="N297" s="34" t="n"/>
      <c r="O297" s="38" t="inlineStr">
        <is>
          <t>Test day: best of 3-5 jumps for distance. Log it and check the standards on Start Here</t>
        </is>
      </c>
    </row>
    <row r="298">
      <c r="C298" t="inlineStr">
        <is>
          <t xml:space="preserve">      Set 1</t>
        </is>
      </c>
      <c r="E298" t="n">
        <v>1</v>
      </c>
      <c r="H298" s="39">
        <f>IF(H297="","",H297)</f>
        <v/>
      </c>
      <c r="I298" s="7">
        <f>IF(H297="","",H297)</f>
        <v/>
      </c>
      <c r="J298" s="7" t="n">
        <v>1</v>
      </c>
      <c r="K298" s="7" t="n"/>
      <c r="L298" s="40" t="n"/>
      <c r="N298" s="41">
        <f>IF(AND(L298&lt;&gt;"",N(I298)&gt;0),IF(I298&gt;=PRs!D70,"PR!",""),"")</f>
        <v/>
      </c>
      <c r="O298" s="7" t="n"/>
    </row>
    <row r="299">
      <c r="A299" s="34" t="n"/>
      <c r="B299" s="34" t="n"/>
      <c r="C299" s="42" t="inlineStr">
        <is>
          <t>Clean &amp; Jerk</t>
        </is>
      </c>
      <c r="D299" s="34" t="inlineStr">
        <is>
          <t>1 x Max</t>
        </is>
      </c>
      <c r="E299" s="34" t="n"/>
      <c r="F299" s="34" t="n"/>
      <c r="G299" s="36">
        <f>Maxes!H7</f>
        <v/>
      </c>
      <c r="H299" s="37">
        <f>IF(G299="","",MROUND(G299/1,'Start Here'!$B$7))</f>
        <v/>
      </c>
      <c r="I299" s="34" t="n"/>
      <c r="J299" s="34" t="n"/>
      <c r="K299" s="34" t="n"/>
      <c r="L299" s="34" t="n"/>
      <c r="M299" s="34" t="n"/>
      <c r="N299" s="34" t="n"/>
      <c r="O299" s="38" t="inlineStr">
        <is>
          <t>Work up in small jumps to a new max (1RM, or a 3RM/5RM if you prefer). Log it - it sets next cycle's weights</t>
        </is>
      </c>
    </row>
    <row r="300">
      <c r="C300" t="inlineStr">
        <is>
          <t xml:space="preserve">      Set 1</t>
        </is>
      </c>
      <c r="E300" t="n">
        <v>1</v>
      </c>
      <c r="H300" s="39">
        <f>IF(H299="","",H299)</f>
        <v/>
      </c>
      <c r="I300" s="7">
        <f>IF(H299="","",H299)</f>
        <v/>
      </c>
      <c r="J300" s="7" t="n">
        <v>1</v>
      </c>
      <c r="K300" s="7" t="n"/>
      <c r="L300" s="40" t="n"/>
      <c r="M300">
        <f>IF(AND(L300&lt;&gt;"",N(I300)&gt;0,N(J300)&gt;0),IF(J300=1,I300,ROUND(I300*(1+J300/30),1)),"")</f>
        <v/>
      </c>
      <c r="N300" s="41">
        <f>IF(M300="","",IF(M300&gt;=PRs!C7,"PR!",""))</f>
        <v/>
      </c>
      <c r="O300" s="7" t="n"/>
    </row>
    <row r="301">
      <c r="A301" s="34" t="n"/>
      <c r="B301" s="34" t="n"/>
      <c r="C301" s="42" t="inlineStr">
        <is>
          <t>Squat</t>
        </is>
      </c>
      <c r="D301" s="34" t="inlineStr">
        <is>
          <t>2 x 3</t>
        </is>
      </c>
      <c r="E301" s="34" t="n"/>
      <c r="F301" s="34" t="n">
        <v>60</v>
      </c>
      <c r="G301" s="36">
        <f>Maxes!H2</f>
        <v/>
      </c>
      <c r="H301" s="37">
        <f>IF(OR(G301="",F301=""),"",MROUND(G301*F301/100,'Start Here'!$B$7))</f>
        <v/>
      </c>
      <c r="I301" s="34" t="n"/>
      <c r="J301" s="34" t="n"/>
      <c r="K301" s="34" t="n"/>
      <c r="L301" s="34" t="n"/>
      <c r="M301" s="34" t="n"/>
      <c r="N301" s="34" t="n"/>
      <c r="O301" s="38" t="inlineStr">
        <is>
          <t>Light technique work</t>
        </is>
      </c>
    </row>
    <row r="302">
      <c r="C302" t="inlineStr">
        <is>
          <t xml:space="preserve">      Set 1</t>
        </is>
      </c>
      <c r="E302" t="n">
        <v>3</v>
      </c>
      <c r="H302" s="39">
        <f>IF(H301="","",H301)</f>
        <v/>
      </c>
      <c r="I302" s="7">
        <f>IF(H301="","",H301)</f>
        <v/>
      </c>
      <c r="J302" s="7" t="n">
        <v>3</v>
      </c>
      <c r="K302" s="7" t="n"/>
      <c r="L302" s="40" t="n"/>
      <c r="M302">
        <f>IF(AND(L302&lt;&gt;"",N(I302)&gt;0,N(J302)&gt;0),IF(J302=1,I302,ROUND(I302*(1+J302/30),1)),"")</f>
        <v/>
      </c>
      <c r="N302" s="41">
        <f>IF(M302="","",IF(M302&gt;=PRs!C2,"PR!",""))</f>
        <v/>
      </c>
      <c r="O302" s="7" t="n"/>
    </row>
    <row r="303">
      <c r="C303" t="inlineStr">
        <is>
          <t xml:space="preserve">      Set 2</t>
        </is>
      </c>
      <c r="E303" t="n">
        <v>3</v>
      </c>
      <c r="H303" s="39">
        <f>IF(H301="","",H301)</f>
        <v/>
      </c>
      <c r="I303" s="7">
        <f>IF(H301="","",H301)</f>
        <v/>
      </c>
      <c r="J303" s="7" t="n">
        <v>3</v>
      </c>
      <c r="K303" s="7" t="n"/>
      <c r="L303" s="40" t="n"/>
      <c r="M303">
        <f>IF(AND(L303&lt;&gt;"",N(I303)&gt;0,N(J303)&gt;0),IF(J303=1,I303,ROUND(I303*(1+J303/30),1)),"")</f>
        <v/>
      </c>
      <c r="N303" s="41">
        <f>IF(M303="","",IF(M303&gt;=PRs!C2,"PR!",""))</f>
        <v/>
      </c>
      <c r="O303" s="7" t="n"/>
    </row>
    <row r="304">
      <c r="A304" s="34" t="n"/>
      <c r="B304" s="34" t="n"/>
      <c r="C304" s="42" t="inlineStr">
        <is>
          <t>Overhead Press</t>
        </is>
      </c>
      <c r="D304" s="34" t="inlineStr">
        <is>
          <t>1 x Max</t>
        </is>
      </c>
      <c r="E304" s="34" t="n"/>
      <c r="F304" s="34" t="n"/>
      <c r="G304" s="36">
        <f>Maxes!H5</f>
        <v/>
      </c>
      <c r="H304" s="37">
        <f>IF(G304="","",MROUND(G304/1,'Start Here'!$B$7))</f>
        <v/>
      </c>
      <c r="I304" s="34" t="n"/>
      <c r="J304" s="34" t="n"/>
      <c r="K304" s="34" t="n"/>
      <c r="L304" s="34" t="n"/>
      <c r="M304" s="34" t="n"/>
      <c r="N304" s="34" t="n"/>
      <c r="O304" s="38" t="inlineStr">
        <is>
          <t>Work up in small jumps to a new max (1RM, or a 3RM/5RM if you prefer). Log it - it sets next cycle's weights</t>
        </is>
      </c>
    </row>
    <row r="305">
      <c r="C305" t="inlineStr">
        <is>
          <t xml:space="preserve">      Set 1</t>
        </is>
      </c>
      <c r="E305" t="n">
        <v>1</v>
      </c>
      <c r="H305" s="39">
        <f>IF(H304="","",H304)</f>
        <v/>
      </c>
      <c r="I305" s="7">
        <f>IF(H304="","",H304)</f>
        <v/>
      </c>
      <c r="J305" s="7" t="n">
        <v>1</v>
      </c>
      <c r="K305" s="7" t="n"/>
      <c r="L305" s="40" t="n"/>
      <c r="M305">
        <f>IF(AND(L305&lt;&gt;"",N(I305)&gt;0,N(J305)&gt;0),IF(J305=1,I305,ROUND(I305*(1+J305/30),1)),"")</f>
        <v/>
      </c>
      <c r="N305" s="41">
        <f>IF(M305="","",IF(M305&gt;=PRs!C5,"PR!",""))</f>
        <v/>
      </c>
      <c r="O305" s="7" t="n"/>
    </row>
    <row r="306">
      <c r="A306" s="34" t="n"/>
      <c r="B306" s="34" t="n"/>
      <c r="C306" s="42" t="inlineStr">
        <is>
          <t>Deadlift</t>
        </is>
      </c>
      <c r="D306" s="34" t="inlineStr">
        <is>
          <t>1 x Max</t>
        </is>
      </c>
      <c r="E306" s="34" t="n"/>
      <c r="F306" s="34" t="n"/>
      <c r="G306" s="36">
        <f>Maxes!H4</f>
        <v/>
      </c>
      <c r="H306" s="37">
        <f>IF(G306="","",MROUND(G306/1,'Start Here'!$B$7))</f>
        <v/>
      </c>
      <c r="I306" s="34" t="n"/>
      <c r="J306" s="34" t="n"/>
      <c r="K306" s="34" t="n"/>
      <c r="L306" s="34" t="n"/>
      <c r="M306" s="34" t="n"/>
      <c r="N306" s="34" t="n"/>
      <c r="O306" s="38" t="inlineStr">
        <is>
          <t>Work up in small jumps to a new max (1RM, or a 3RM/5RM if you prefer). Log it - it sets next cycle's weights</t>
        </is>
      </c>
    </row>
    <row r="307">
      <c r="C307" t="inlineStr">
        <is>
          <t xml:space="preserve">      Set 1</t>
        </is>
      </c>
      <c r="E307" t="n">
        <v>1</v>
      </c>
      <c r="H307" s="39">
        <f>IF(H306="","",H306)</f>
        <v/>
      </c>
      <c r="I307" s="7">
        <f>IF(H306="","",H306)</f>
        <v/>
      </c>
      <c r="J307" s="7" t="n">
        <v>1</v>
      </c>
      <c r="K307" s="7" t="n"/>
      <c r="L307" s="40" t="n"/>
      <c r="M307">
        <f>IF(AND(L307&lt;&gt;"",N(I307)&gt;0,N(J307)&gt;0),IF(J307=1,I307,ROUND(I307*(1+J307/30),1)),"")</f>
        <v/>
      </c>
      <c r="N307" s="41">
        <f>IF(M307="","",IF(M307&gt;=PRs!C4,"PR!",""))</f>
        <v/>
      </c>
      <c r="O307" s="7" t="n"/>
    </row>
    <row r="308">
      <c r="A308" s="34" t="n"/>
      <c r="B308" s="34" t="n"/>
      <c r="C308" s="43" t="inlineStr">
        <is>
          <t>Chin-up</t>
        </is>
      </c>
      <c r="D308" s="34" t="inlineStr">
        <is>
          <t>2 x 6-10</t>
        </is>
      </c>
      <c r="E308" s="34" t="n"/>
      <c r="F308" s="34" t="n"/>
      <c r="G308" s="36" t="n"/>
      <c r="H308" s="37" t="n"/>
      <c r="I308" s="34" t="n"/>
      <c r="J308" s="34" t="n"/>
      <c r="K308" s="34" t="n"/>
      <c r="L308" s="34" t="n"/>
      <c r="M308" s="34" t="n"/>
      <c r="N308" s="34" t="n"/>
      <c r="O308" s="38" t="inlineStr">
        <is>
          <t>Light</t>
        </is>
      </c>
    </row>
    <row r="309">
      <c r="C309" t="inlineStr">
        <is>
          <t xml:space="preserve">      Set 1</t>
        </is>
      </c>
      <c r="E309" t="n">
        <v>6</v>
      </c>
      <c r="H309" s="39">
        <f>IF(H308="","",H308)</f>
        <v/>
      </c>
      <c r="I309" s="7">
        <f>IF(H308="","",H308)</f>
        <v/>
      </c>
      <c r="J309" s="7" t="n">
        <v>6</v>
      </c>
      <c r="K309" s="7" t="n"/>
      <c r="L309" s="40" t="n"/>
      <c r="M309">
        <f>IF(AND(L309&lt;&gt;"",N(I309)&gt;0,N(J309)&gt;0),IF(J309=1,I309,ROUND(I309*(1+J309/30),1)),"")</f>
        <v/>
      </c>
      <c r="N309" s="41">
        <f>IF(M309="","",IF(M309&gt;=PRs!C53,"PR!",""))</f>
        <v/>
      </c>
      <c r="O309" s="7" t="n"/>
    </row>
    <row r="310">
      <c r="C310" t="inlineStr">
        <is>
          <t xml:space="preserve">      Set 2</t>
        </is>
      </c>
      <c r="E310" t="n">
        <v>6</v>
      </c>
      <c r="H310" s="39">
        <f>IF(H308="","",H308)</f>
        <v/>
      </c>
      <c r="I310" s="7">
        <f>IF(H308="","",H308)</f>
        <v/>
      </c>
      <c r="J310" s="7" t="n">
        <v>6</v>
      </c>
      <c r="K310" s="7" t="n"/>
      <c r="L310" s="40" t="n"/>
      <c r="M310">
        <f>IF(AND(L310&lt;&gt;"",N(I310)&gt;0,N(J310)&gt;0),IF(J310=1,I310,ROUND(I310*(1+J310/30),1)),"")</f>
        <v/>
      </c>
      <c r="N310" s="41">
        <f>IF(M310="","",IF(M310&gt;=PRs!C53,"PR!",""))</f>
        <v/>
      </c>
      <c r="O310" s="7" t="n"/>
    </row>
    <row r="311">
      <c r="A311" s="34" t="n"/>
      <c r="B311" s="34" t="n"/>
      <c r="C311" s="43" t="inlineStr">
        <is>
          <t>Plank</t>
        </is>
      </c>
      <c r="D311" s="34" t="inlineStr">
        <is>
          <t>2 x 30-60s</t>
        </is>
      </c>
      <c r="E311" s="34" t="n"/>
      <c r="F311" s="34" t="n"/>
      <c r="G311" s="36" t="n"/>
      <c r="H311" s="37" t="n"/>
      <c r="I311" s="34" t="n"/>
      <c r="J311" s="34" t="n"/>
      <c r="K311" s="34" t="n"/>
      <c r="L311" s="34" t="n"/>
      <c r="M311" s="34" t="n"/>
      <c r="N311" s="34" t="n"/>
      <c r="O311" s="38" t="inlineStr">
        <is>
          <t>Light</t>
        </is>
      </c>
    </row>
    <row r="312">
      <c r="C312" t="inlineStr">
        <is>
          <t xml:space="preserve">      Set 1</t>
        </is>
      </c>
      <c r="E312" t="n">
        <v>30</v>
      </c>
      <c r="H312" s="39">
        <f>IF(H311="","",H311)</f>
        <v/>
      </c>
      <c r="I312" s="7">
        <f>IF(H311="","",H311)</f>
        <v/>
      </c>
      <c r="J312" s="7" t="n">
        <v>30</v>
      </c>
      <c r="K312" s="7" t="n"/>
      <c r="L312" s="40" t="n"/>
      <c r="M312">
        <f>IF(AND(L312&lt;&gt;"",N(I312)&gt;0,N(J312)&gt;0),IF(J312=1,I312,ROUND(I312*(1+J312/30),1)),"")</f>
        <v/>
      </c>
      <c r="N312" s="41">
        <f>IF(M312="","",IF(M312&gt;=PRs!C56,"PR!",""))</f>
        <v/>
      </c>
      <c r="O312" s="7" t="n"/>
    </row>
    <row r="313">
      <c r="C313" t="inlineStr">
        <is>
          <t xml:space="preserve">      Set 2</t>
        </is>
      </c>
      <c r="E313" t="n">
        <v>30</v>
      </c>
      <c r="H313" s="39">
        <f>IF(H311="","",H311)</f>
        <v/>
      </c>
      <c r="I313" s="7">
        <f>IF(H311="","",H311)</f>
        <v/>
      </c>
      <c r="J313" s="7" t="n">
        <v>30</v>
      </c>
      <c r="K313" s="7" t="n"/>
      <c r="L313" s="40" t="n"/>
      <c r="M313">
        <f>IF(AND(L313&lt;&gt;"",N(I313)&gt;0,N(J313)&gt;0),IF(J313=1,I313,ROUND(I313*(1+J313/30),1)),"")</f>
        <v/>
      </c>
      <c r="N313" s="41">
        <f>IF(M313="","",IF(M313&gt;=PRs!C56,"PR!",""))</f>
        <v/>
      </c>
      <c r="O313" s="7" t="n"/>
    </row>
    <row r="314">
      <c r="A314" s="31" t="inlineStr">
        <is>
          <t>Day 3 - Variations</t>
        </is>
      </c>
      <c r="B314" s="32">
        <f>'Start Here'!$B$8+333</f>
        <v/>
      </c>
      <c r="C314" s="33" t="n"/>
      <c r="D314" s="33" t="n"/>
      <c r="E314" s="33" t="n"/>
      <c r="F314" s="33" t="n"/>
      <c r="G314" s="33" t="n"/>
      <c r="H314" s="33" t="n"/>
      <c r="I314" s="33" t="n"/>
      <c r="J314" s="33" t="n"/>
      <c r="K314" s="33" t="n"/>
      <c r="L314" s="33" t="n"/>
      <c r="M314" s="33" t="n"/>
      <c r="N314" s="33" t="n"/>
      <c r="O314" s="33" t="n"/>
    </row>
    <row r="315">
      <c r="A315" s="34" t="n"/>
      <c r="B315" s="34" t="n"/>
      <c r="C315" s="35" t="inlineStr">
        <is>
          <t>Vertical Jump</t>
        </is>
      </c>
      <c r="D315" s="34" t="inlineStr">
        <is>
          <t>1 x Max</t>
        </is>
      </c>
      <c r="E315" s="34" t="n"/>
      <c r="F315" s="34" t="n"/>
      <c r="G315" s="36" t="n"/>
      <c r="H315" s="37">
        <f>IF(N(Maxes!H71)&gt;0,Maxes!H71,"")</f>
        <v/>
      </c>
      <c r="I315" s="34" t="n"/>
      <c r="J315" s="34" t="n"/>
      <c r="K315" s="34" t="n"/>
      <c r="L315" s="34" t="n"/>
      <c r="M315" s="34" t="n"/>
      <c r="N315" s="34" t="n"/>
      <c r="O315" s="38" t="inlineStr">
        <is>
          <t>Test day: best of 3-5 jumps (jump mark minus standing reach). Log it and check the standards on Start Here</t>
        </is>
      </c>
    </row>
    <row r="316">
      <c r="C316" t="inlineStr">
        <is>
          <t xml:space="preserve">      Set 1</t>
        </is>
      </c>
      <c r="E316" t="n">
        <v>1</v>
      </c>
      <c r="H316" s="39">
        <f>IF(H315="","",H315)</f>
        <v/>
      </c>
      <c r="I316" s="7">
        <f>IF(H315="","",H315)</f>
        <v/>
      </c>
      <c r="J316" s="7" t="n">
        <v>1</v>
      </c>
      <c r="K316" s="7" t="n"/>
      <c r="L316" s="40" t="n"/>
      <c r="N316" s="41">
        <f>IF(AND(L316&lt;&gt;"",N(I316)&gt;0),IF(I316&gt;=PRs!D71,"PR!",""),"")</f>
        <v/>
      </c>
      <c r="O316" s="7" t="n"/>
    </row>
    <row r="317">
      <c r="A317" s="34" t="n"/>
      <c r="B317" s="34" t="n"/>
      <c r="C317" s="42" t="inlineStr">
        <is>
          <t>Hang Clean</t>
        </is>
      </c>
      <c r="D317" s="34" t="inlineStr">
        <is>
          <t>1 x 1RM</t>
        </is>
      </c>
      <c r="E317" s="34" t="n"/>
      <c r="F317" s="34" t="n"/>
      <c r="G317" s="36">
        <f>Maxes!H43</f>
        <v/>
      </c>
      <c r="H317" s="37">
        <f>IF(G317="","",MROUND(G317/1,'Start Here'!$B$7))</f>
        <v/>
      </c>
      <c r="I317" s="34" t="n"/>
      <c r="J317" s="34" t="n"/>
      <c r="K317" s="34" t="n"/>
      <c r="L317" s="34" t="n"/>
      <c r="M317" s="34" t="n"/>
      <c r="N317" s="34" t="n"/>
      <c r="O317" s="38" t="inlineStr">
        <is>
          <t>Work up to a 1RM - tracked as its own PR</t>
        </is>
      </c>
    </row>
    <row r="318">
      <c r="C318" t="inlineStr">
        <is>
          <t xml:space="preserve">      Set 1</t>
        </is>
      </c>
      <c r="E318" t="n">
        <v>1</v>
      </c>
      <c r="H318" s="39">
        <f>IF(H317="","",H317)</f>
        <v/>
      </c>
      <c r="I318" s="7">
        <f>IF(H317="","",H317)</f>
        <v/>
      </c>
      <c r="J318" s="7" t="n">
        <v>1</v>
      </c>
      <c r="K318" s="7" t="n"/>
      <c r="L318" s="40" t="n"/>
      <c r="M318">
        <f>IF(AND(L318&lt;&gt;"",N(I318)&gt;0,N(J318)&gt;0),IF(J318=1,I318,ROUND(I318*(1+J318/30),1)),"")</f>
        <v/>
      </c>
      <c r="N318" s="41">
        <f>IF(M318="","",IF(M318&gt;=PRs!C43,"PR!",""))</f>
        <v/>
      </c>
      <c r="O318" s="7" t="n"/>
    </row>
    <row r="319">
      <c r="A319" s="34" t="n"/>
      <c r="B319" s="34" t="n"/>
      <c r="C319" s="42" t="inlineStr">
        <is>
          <t>Pause Squat</t>
        </is>
      </c>
      <c r="D319" s="34" t="inlineStr">
        <is>
          <t>1 x 3RM</t>
        </is>
      </c>
      <c r="E319" s="34" t="n"/>
      <c r="F319" s="34" t="n"/>
      <c r="G319" s="36">
        <f>Maxes!H9</f>
        <v/>
      </c>
      <c r="H319" s="37">
        <f>IF(G319="","",MROUND(G319/(1+3/30),'Start Here'!$B$7))</f>
        <v/>
      </c>
      <c r="I319" s="34" t="n"/>
      <c r="J319" s="34" t="n"/>
      <c r="K319" s="34" t="n"/>
      <c r="L319" s="34" t="n"/>
      <c r="M319" s="34" t="n"/>
      <c r="N319" s="34" t="n"/>
      <c r="O319" s="38" t="inlineStr">
        <is>
          <t>Work up to a 3RM - tracked as its own PR</t>
        </is>
      </c>
    </row>
    <row r="320">
      <c r="C320" t="inlineStr">
        <is>
          <t xml:space="preserve">      Set 1</t>
        </is>
      </c>
      <c r="E320" t="n">
        <v>3</v>
      </c>
      <c r="H320" s="39">
        <f>IF(H319="","",H319)</f>
        <v/>
      </c>
      <c r="I320" s="7">
        <f>IF(H319="","",H319)</f>
        <v/>
      </c>
      <c r="J320" s="7" t="n">
        <v>3</v>
      </c>
      <c r="K320" s="7" t="n"/>
      <c r="L320" s="40" t="n"/>
      <c r="M320">
        <f>IF(AND(L320&lt;&gt;"",N(I320)&gt;0,N(J320)&gt;0),IF(J320=1,I320,ROUND(I320*(1+J320/30),1)),"")</f>
        <v/>
      </c>
      <c r="N320" s="41">
        <f>IF(M320="","",IF(M320&gt;=PRs!C9,"PR!",""))</f>
        <v/>
      </c>
      <c r="O320" s="7" t="n"/>
    </row>
    <row r="321">
      <c r="A321" s="34" t="n"/>
      <c r="B321" s="34" t="n"/>
      <c r="C321" s="42" t="inlineStr">
        <is>
          <t>Floor Press</t>
        </is>
      </c>
      <c r="D321" s="34" t="inlineStr">
        <is>
          <t>1 x 3RM</t>
        </is>
      </c>
      <c r="E321" s="34" t="n"/>
      <c r="F321" s="34" t="n"/>
      <c r="G321" s="36">
        <f>Maxes!H19</f>
        <v/>
      </c>
      <c r="H321" s="37">
        <f>IF(G321="","",MROUND(G321/(1+3/30),'Start Here'!$B$7))</f>
        <v/>
      </c>
      <c r="I321" s="34" t="n"/>
      <c r="J321" s="34" t="n"/>
      <c r="K321" s="34" t="n"/>
      <c r="L321" s="34" t="n"/>
      <c r="M321" s="34" t="n"/>
      <c r="N321" s="34" t="n"/>
      <c r="O321" s="38" t="inlineStr">
        <is>
          <t>Work up to a 3RM - tracked as its own PR</t>
        </is>
      </c>
    </row>
    <row r="322">
      <c r="C322" t="inlineStr">
        <is>
          <t xml:space="preserve">      Set 1</t>
        </is>
      </c>
      <c r="E322" t="n">
        <v>3</v>
      </c>
      <c r="H322" s="39">
        <f>IF(H321="","",H321)</f>
        <v/>
      </c>
      <c r="I322" s="7">
        <f>IF(H321="","",H321)</f>
        <v/>
      </c>
      <c r="J322" s="7" t="n">
        <v>3</v>
      </c>
      <c r="K322" s="7" t="n"/>
      <c r="L322" s="40" t="n"/>
      <c r="M322">
        <f>IF(AND(L322&lt;&gt;"",N(I322)&gt;0,N(J322)&gt;0),IF(J322=1,I322,ROUND(I322*(1+J322/30),1)),"")</f>
        <v/>
      </c>
      <c r="N322" s="41">
        <f>IF(M322="","",IF(M322&gt;=PRs!C19,"PR!",""))</f>
        <v/>
      </c>
      <c r="O322" s="7" t="n"/>
    </row>
    <row r="323">
      <c r="A323" s="34" t="n"/>
      <c r="B323" s="34" t="n"/>
      <c r="C323" s="42" t="inlineStr">
        <is>
          <t>Block Pull</t>
        </is>
      </c>
      <c r="D323" s="34" t="inlineStr">
        <is>
          <t>1 x 3RM</t>
        </is>
      </c>
      <c r="E323" s="34" t="n"/>
      <c r="F323" s="34" t="n"/>
      <c r="G323" s="36">
        <f>Maxes!H26</f>
        <v/>
      </c>
      <c r="H323" s="37">
        <f>IF(G323="","",MROUND(G323/(1+3/30),'Start Here'!$B$7))</f>
        <v/>
      </c>
      <c r="I323" s="34" t="n"/>
      <c r="J323" s="34" t="n"/>
      <c r="K323" s="34" t="n"/>
      <c r="L323" s="34" t="n"/>
      <c r="M323" s="34" t="n"/>
      <c r="N323" s="34" t="n"/>
      <c r="O323" s="38" t="inlineStr">
        <is>
          <t>Work up to a 3RM - tracked as its own PR</t>
        </is>
      </c>
    </row>
    <row r="324">
      <c r="C324" t="inlineStr">
        <is>
          <t xml:space="preserve">      Set 1</t>
        </is>
      </c>
      <c r="E324" t="n">
        <v>3</v>
      </c>
      <c r="H324" s="39">
        <f>IF(H323="","",H323)</f>
        <v/>
      </c>
      <c r="I324" s="7">
        <f>IF(H323="","",H323)</f>
        <v/>
      </c>
      <c r="J324" s="7" t="n">
        <v>3</v>
      </c>
      <c r="K324" s="7" t="n"/>
      <c r="L324" s="40" t="n"/>
      <c r="M324">
        <f>IF(AND(L324&lt;&gt;"",N(I324)&gt;0,N(J324)&gt;0),IF(J324=1,I324,ROUND(I324*(1+J324/30),1)),"")</f>
        <v/>
      </c>
      <c r="N324" s="41">
        <f>IF(M324="","",IF(M324&gt;=PRs!C26,"PR!",""))</f>
        <v/>
      </c>
      <c r="O324" s="7" t="n"/>
    </row>
    <row r="325">
      <c r="A325" s="34" t="n"/>
      <c r="B325" s="34" t="n"/>
      <c r="C325" s="43" t="inlineStr">
        <is>
          <t>Incline Dumbbell Press</t>
        </is>
      </c>
      <c r="D325" s="34" t="inlineStr">
        <is>
          <t>2 x 8-12</t>
        </is>
      </c>
      <c r="E325" s="34" t="n"/>
      <c r="F325" s="34" t="n"/>
      <c r="G325" s="36" t="n"/>
      <c r="H325" s="37" t="n"/>
      <c r="I325" s="34" t="n"/>
      <c r="J325" s="34" t="n"/>
      <c r="K325" s="34" t="n"/>
      <c r="L325" s="34" t="n"/>
      <c r="M325" s="34" t="n"/>
      <c r="N325" s="34" t="n"/>
      <c r="O325" s="38" t="inlineStr">
        <is>
          <t>Light</t>
        </is>
      </c>
    </row>
    <row r="326">
      <c r="C326" t="inlineStr">
        <is>
          <t xml:space="preserve">      Set 1</t>
        </is>
      </c>
      <c r="E326" t="n">
        <v>8</v>
      </c>
      <c r="H326" s="39">
        <f>IF(H325="","",H325)</f>
        <v/>
      </c>
      <c r="I326" s="7">
        <f>IF(H325="","",H325)</f>
        <v/>
      </c>
      <c r="J326" s="7" t="n">
        <v>8</v>
      </c>
      <c r="K326" s="7" t="n"/>
      <c r="L326" s="40" t="n"/>
      <c r="M326">
        <f>IF(AND(L326&lt;&gt;"",N(I326)&gt;0,N(J326)&gt;0),IF(J326=1,I326,ROUND(I326*(1+J326/30),1)),"")</f>
        <v/>
      </c>
      <c r="N326" s="41">
        <f>IF(M326="","",IF(M326&gt;=PRs!C57,"PR!",""))</f>
        <v/>
      </c>
      <c r="O326" s="7" t="n"/>
    </row>
    <row r="327">
      <c r="C327" t="inlineStr">
        <is>
          <t xml:space="preserve">      Set 2</t>
        </is>
      </c>
      <c r="E327" t="n">
        <v>8</v>
      </c>
      <c r="H327" s="39">
        <f>IF(H325="","",H325)</f>
        <v/>
      </c>
      <c r="I327" s="7">
        <f>IF(H325="","",H325)</f>
        <v/>
      </c>
      <c r="J327" s="7" t="n">
        <v>8</v>
      </c>
      <c r="K327" s="7" t="n"/>
      <c r="L327" s="40" t="n"/>
      <c r="M327">
        <f>IF(AND(L327&lt;&gt;"",N(I327)&gt;0,N(J327)&gt;0),IF(J327=1,I327,ROUND(I327*(1+J327/30),1)),"")</f>
        <v/>
      </c>
      <c r="N327" s="41">
        <f>IF(M327="","",IF(M327&gt;=PRs!C57,"PR!",""))</f>
        <v/>
      </c>
      <c r="O327" s="7" t="n"/>
    </row>
    <row r="328">
      <c r="A328" s="34" t="n"/>
      <c r="B328" s="34" t="n"/>
      <c r="C328" s="43" t="inlineStr">
        <is>
          <t>Triceps Pushdown</t>
        </is>
      </c>
      <c r="D328" s="34" t="inlineStr">
        <is>
          <t>2 x 10-15</t>
        </is>
      </c>
      <c r="E328" s="34" t="n"/>
      <c r="F328" s="34" t="n"/>
      <c r="G328" s="36" t="n"/>
      <c r="H328" s="37" t="n"/>
      <c r="I328" s="34" t="n"/>
      <c r="J328" s="34" t="n"/>
      <c r="K328" s="34" t="n"/>
      <c r="L328" s="34" t="n"/>
      <c r="M328" s="34" t="n"/>
      <c r="N328" s="34" t="n"/>
      <c r="O328" s="38" t="inlineStr">
        <is>
          <t>Light</t>
        </is>
      </c>
    </row>
    <row r="329">
      <c r="C329" t="inlineStr">
        <is>
          <t xml:space="preserve">      Set 1</t>
        </is>
      </c>
      <c r="E329" t="n">
        <v>10</v>
      </c>
      <c r="H329" s="39">
        <f>IF(H328="","",H328)</f>
        <v/>
      </c>
      <c r="I329" s="7">
        <f>IF(H328="","",H328)</f>
        <v/>
      </c>
      <c r="J329" s="7" t="n">
        <v>10</v>
      </c>
      <c r="K329" s="7" t="n"/>
      <c r="L329" s="40" t="n"/>
      <c r="M329">
        <f>IF(AND(L329&lt;&gt;"",N(I329)&gt;0,N(J329)&gt;0),IF(J329=1,I329,ROUND(I329*(1+J329/30),1)),"")</f>
        <v/>
      </c>
      <c r="N329" s="41">
        <f>IF(M329="","",IF(M329&gt;=PRs!C59,"PR!",""))</f>
        <v/>
      </c>
      <c r="O329" s="7" t="n"/>
    </row>
    <row r="330">
      <c r="C330" t="inlineStr">
        <is>
          <t xml:space="preserve">      Set 2</t>
        </is>
      </c>
      <c r="E330" t="n">
        <v>10</v>
      </c>
      <c r="H330" s="39">
        <f>IF(H328="","",H328)</f>
        <v/>
      </c>
      <c r="I330" s="7">
        <f>IF(H328="","",H328)</f>
        <v/>
      </c>
      <c r="J330" s="7" t="n">
        <v>10</v>
      </c>
      <c r="K330" s="7" t="n"/>
      <c r="L330" s="40" t="n"/>
      <c r="M330">
        <f>IF(AND(L330&lt;&gt;"",N(I330)&gt;0,N(J330)&gt;0),IF(J330=1,I330,ROUND(I330*(1+J330/30),1)),"")</f>
        <v/>
      </c>
      <c r="N330" s="41">
        <f>IF(M330="","",IF(M330&gt;=PRs!C59,"PR!",""))</f>
        <v/>
      </c>
      <c r="O330" s="7" t="n"/>
    </row>
  </sheetData>
  <dataValidations count="3">
    <dataValidation sqref="H3" showDropDown="0" showInputMessage="0" showErrorMessage="0" allowBlank="1" type="list">
      <formula1>Lists!$B$1:$B$6</formula1>
    </dataValidation>
    <dataValidation sqref="L9 L10 L11 L13 L14 L15 L16 L17 L19 L20 L21 L22 L23 L25 L26 L27 L28 L29 L31 L32 L33 L35 L36 L37 L40 L41 L42 L44 L45 L47 L48 L49 L50 L51 L53 L54 L55 L56 L58 L59 L60 L61 L63 L64 L65 L67 L68 L69 L71 L72 L73 L76 L77 L78 L80 L81 L82 L83 L85 L86 L87 L88 L90 L91 L92 L93 L95 L96 L97 L98 L100 L101 L102 L104 L105 L106 L111 L112 L113 L115 L116 L117 L118 L120 L121 L122 L123 L125 L126 L127 L128 L130 L131 L132 L134 L135 L136 L139 L140 L141 L143 L144 L146 L147 L148 L149 L151 L152 L153 L155 L156 L157 L158 L159 L161 L162 L163 L164 L166 L167 L168 L170 L171 L172 L175 L176 L177 L179 L180 L181 L182 L183 L185 L186 L187 L188 L189 L191 L192 L193 L194 L195 L197 L198 L199 L201 L202 L203 L205 L206 L207 L212 L213 L215 L216 L217 L219 L220 L221 L223 L224 L225 L227 L228 L230 L231 L234 L235 L237 L238 L240 L241 L243 L244 L246 L247 L249 L250 L252 L253 L255 L256 L259 L260 L262 L263 L265 L266 L268 L269 L271 L272 L274 L275 L277 L278 L283 L285 L287 L289 L291 L292 L294 L295 L298 L300 L302 L303 L305 L307 L309 L310 L312 L313 L316 L318 L320 L322 L324 L326 L327 L329 L330" showDropDown="0" showInputMessage="0" showErrorMessage="0" allowBlank="1" type="list">
      <formula1>"✓"</formula1>
    </dataValidation>
    <dataValidation sqref="K9 K10 K11 K13 K14 K15 K16 K17 K19 K20 K21 K22 K23 K25 K26 K27 K28 K29 K31 K32 K33 K35 K36 K37 K40 K41 K42 K44 K45 K47 K48 K49 K50 K51 K53 K54 K55 K56 K58 K59 K60 K61 K63 K64 K65 K67 K68 K69 K71 K72 K73 K76 K77 K78 K80 K81 K82 K83 K85 K86 K87 K88 K90 K91 K92 K93 K95 K96 K97 K98 K100 K101 K102 K104 K105 K106 K111 K112 K113 K115 K116 K117 K118 K120 K121 K122 K123 K125 K126 K127 K128 K130 K131 K132 K134 K135 K136 K139 K140 K141 K143 K144 K146 K147 K148 K149 K151 K152 K153 K155 K156 K157 K158 K159 K161 K162 K163 K164 K166 K167 K168 K170 K171 K172 K175 K176 K177 K179 K180 K181 K182 K183 K185 K186 K187 K188 K189 K191 K192 K193 K194 K195 K197 K198 K199 K201 K202 K203 K205 K206 K207 K212 K213 K215 K216 K217 K219 K220 K221 K223 K224 K225 K227 K228 K230 K231 K234 K235 K237 K238 K240 K241 K243 K244 K246 K247 K249 K250 K252 K253 K255 K256 K259 K260 K262 K263 K265 K266 K268 K269 K271 K272 K274 K275 K277 K278 K283 K285 K287 K289 K291 K292 K294 K295 K298 K300 K302 K303 K305 K307 K309 K310 K312 K313 K316 K318 K320 K322 K324 K326 K327 K329 K330" showDropDown="0" showInputMessage="0" showErrorMessage="0" allowBlank="1" type="list">
      <formula1>"6,6.5,7,7.5,8,8.5,9,9.5,10"</formula1>
    </dataValidation>
  </dataValidations>
  <hyperlinks>
    <hyperlink ref="A2" location="'Month 11'!A1" display="&lt; Month 11"/>
    <hyperlink ref="C2" location="'Start Here'!A1" display="Start Here"/>
    <hyperlink ref="E2" location="'Month 13'!A1" display="Month 13 &gt;"/>
    <hyperlink ref="L3" location="'Body'!A1" display="How to test"/>
  </hyperlinks>
  <pageMargins left="0.75" right="0.75" top="1" bottom="1" header="0.5" footer="0.5"/>
  <pageSetup orientation="landscape" fitToHeight="0" fitToWidth="1"/>
</worksheet>
</file>

<file path=xl/worksheets/sheet15.xml><?xml version="1.0" encoding="utf-8"?>
<worksheet xmlns="http://schemas.openxmlformats.org/spreadsheetml/2006/main">
  <sheetPr>
    <tabColor rgb="00E6E2DA"/>
    <outlinePr summaryBelow="1" summaryRight="1"/>
    <pageSetUpPr fitToPage="1"/>
  </sheetPr>
  <dimension ref="A1:O354"/>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26" customWidth="1" min="3" max="3"/>
    <col width="10" customWidth="1" min="4" max="4"/>
    <col width="7" customWidth="1" min="5" max="5"/>
    <col width="6" customWidth="1" min="6" max="6"/>
    <col width="9" customWidth="1" min="7" max="7"/>
    <col width="9" customWidth="1" min="8" max="8"/>
    <col width="12" customWidth="1" min="9" max="9"/>
    <col width="8" customWidth="1" min="10" max="10"/>
    <col width="6" customWidth="1" min="11" max="11"/>
    <col width="6" customWidth="1" min="12" max="12"/>
    <col width="9" customWidth="1" min="13" max="13"/>
    <col width="5" customWidth="1" min="14" max="14"/>
    <col width="60" customWidth="1" min="15" max="15"/>
  </cols>
  <sheetData>
    <row r="1">
      <c r="A1" s="25" t="inlineStr">
        <is>
          <t>MONTH 13  -  weeks 49-52  -  Transition</t>
        </is>
      </c>
    </row>
    <row r="2">
      <c r="A2" s="26" t="inlineStr">
        <is>
          <t>&lt; Month 12</t>
        </is>
      </c>
      <c r="C2" s="26" t="inlineStr">
        <is>
          <t>Start Here</t>
        </is>
      </c>
    </row>
    <row r="3">
      <c r="A3" s="41" t="inlineStr">
        <is>
          <t>BODY FAT (once this month)</t>
        </is>
      </c>
      <c r="C3" s="44" t="inlineStr">
        <is>
          <t>Date</t>
        </is>
      </c>
      <c r="D3" s="12" t="n"/>
      <c r="E3" s="44" t="inlineStr">
        <is>
          <t>Body fat %</t>
        </is>
      </c>
      <c r="F3" s="7" t="n"/>
      <c r="G3" s="44" t="inlineStr">
        <is>
          <t>Method</t>
        </is>
      </c>
      <c r="H3" s="7" t="n"/>
      <c r="I3" s="44" t="inlineStr">
        <is>
          <t>Weight at test</t>
        </is>
      </c>
      <c r="J3" s="7" t="n"/>
      <c r="L3" s="26" t="inlineStr">
        <is>
          <t>How to test</t>
        </is>
      </c>
    </row>
    <row r="4">
      <c r="A4" s="27" t="inlineStr">
        <is>
          <t>Every set is filled in with the plan. Change what was different, mark Done. Enter bodyweight once per week on the purple week rows.</t>
        </is>
      </c>
    </row>
    <row r="5">
      <c r="A5" s="8" t="inlineStr">
        <is>
          <t>Day</t>
        </is>
      </c>
      <c r="B5" s="8" t="inlineStr">
        <is>
          <t>Date</t>
        </is>
      </c>
      <c r="C5" s="8" t="inlineStr">
        <is>
          <t>Exercise / set</t>
        </is>
      </c>
      <c r="D5" s="8" t="inlineStr">
        <is>
          <t>Scheme</t>
        </is>
      </c>
      <c r="E5" s="8" t="inlineStr">
        <is>
          <t>Target reps</t>
        </is>
      </c>
      <c r="F5" s="8" t="inlineStr">
        <is>
          <t>% TM</t>
        </is>
      </c>
      <c r="G5" s="8" t="inlineStr">
        <is>
          <t>Training max</t>
        </is>
      </c>
      <c r="H5" s="8" t="inlineStr">
        <is>
          <t>Target</t>
        </is>
      </c>
      <c r="I5" s="8" t="inlineStr">
        <is>
          <t>Actual weight / height</t>
        </is>
      </c>
      <c r="J5" s="8" t="inlineStr">
        <is>
          <t>Actual reps</t>
        </is>
      </c>
      <c r="K5" s="8" t="inlineStr">
        <is>
          <t>RPE</t>
        </is>
      </c>
      <c r="L5" s="8" t="inlineStr">
        <is>
          <t>Done</t>
        </is>
      </c>
      <c r="M5" s="8" t="inlineStr">
        <is>
          <t>Est. 1RM</t>
        </is>
      </c>
      <c r="N5" s="8" t="inlineStr">
        <is>
          <t>PR</t>
        </is>
      </c>
      <c r="O5" s="8" t="inlineStr">
        <is>
          <t>Notes / guidance</t>
        </is>
      </c>
    </row>
    <row r="6">
      <c r="A6" s="60" t="inlineStr">
        <is>
          <t>WEEK 49 - TRANSITION</t>
        </is>
      </c>
      <c r="B6" s="61" t="n"/>
      <c r="C6" s="61" t="n"/>
      <c r="D6" s="61" t="n"/>
      <c r="E6" s="61" t="n"/>
      <c r="F6" s="61" t="n"/>
      <c r="G6" s="61" t="n"/>
      <c r="H6" s="62" t="inlineStr">
        <is>
          <t>Bodyweight:</t>
        </is>
      </c>
      <c r="I6" s="7" t="n"/>
      <c r="J6" s="61" t="n"/>
      <c r="K6" s="61" t="n"/>
      <c r="L6" s="61" t="n"/>
      <c r="M6" s="61" t="n"/>
      <c r="N6" s="61" t="n"/>
      <c r="O6" s="61" t="n"/>
    </row>
    <row r="7">
      <c r="A7" s="31" t="inlineStr">
        <is>
          <t>Day 1 - Heavy</t>
        </is>
      </c>
      <c r="B7" s="32">
        <f>'Start Here'!$B$8+336</f>
        <v/>
      </c>
      <c r="C7" s="33" t="n"/>
      <c r="D7" s="33" t="n"/>
      <c r="E7" s="33" t="n"/>
      <c r="F7" s="33" t="n"/>
      <c r="G7" s="33" t="n"/>
      <c r="H7" s="33" t="n"/>
      <c r="I7" s="33" t="n"/>
      <c r="J7" s="33" t="n"/>
      <c r="K7" s="33" t="n"/>
      <c r="L7" s="33" t="n"/>
      <c r="M7" s="33" t="n"/>
      <c r="N7" s="33" t="n"/>
      <c r="O7" s="33" t="n"/>
    </row>
    <row r="8">
      <c r="A8" s="34" t="n"/>
      <c r="B8" s="34" t="n"/>
      <c r="C8" s="35" t="inlineStr">
        <is>
          <t>Box Jump</t>
        </is>
      </c>
      <c r="D8" s="34" t="inlineStr">
        <is>
          <t>3 x 3</t>
        </is>
      </c>
      <c r="E8" s="34" t="n"/>
      <c r="F8" s="34" t="n"/>
      <c r="G8" s="36" t="n"/>
      <c r="H8" s="37">
        <f>IF(N(Maxes!I69)&gt;0,Maxes!I69,'Start Here'!$G$16)</f>
        <v/>
      </c>
      <c r="I8" s="34" t="n"/>
      <c r="J8" s="34" t="n"/>
      <c r="K8" s="34" t="n"/>
      <c r="L8" s="34" t="n"/>
      <c r="M8" s="34" t="n"/>
      <c r="N8" s="34" t="n"/>
      <c r="O8" s="38" t="inlineStr">
        <is>
          <t>Two-foot jump onto a box, land soft in a quarter squat, STEP down. Log the box height (floor to top of box).</t>
        </is>
      </c>
    </row>
    <row r="9">
      <c r="C9" t="inlineStr">
        <is>
          <t xml:space="preserve">      Set 1</t>
        </is>
      </c>
      <c r="E9" t="n">
        <v>3</v>
      </c>
      <c r="H9" s="39">
        <f>IF(H8="","",H8)</f>
        <v/>
      </c>
      <c r="I9" s="7">
        <f>IF(H8="","",H8)</f>
        <v/>
      </c>
      <c r="J9" s="7" t="n">
        <v>3</v>
      </c>
      <c r="K9" s="7" t="n"/>
      <c r="L9" s="40" t="n"/>
      <c r="N9" s="41">
        <f>IF(AND(L9&lt;&gt;"",N(I9)&gt;0),IF(I9&gt;=PRs!D69,"PR!",""),"")</f>
        <v/>
      </c>
      <c r="O9" s="7" t="n"/>
    </row>
    <row r="10">
      <c r="C10" t="inlineStr">
        <is>
          <t xml:space="preserve">      Set 2</t>
        </is>
      </c>
      <c r="E10" t="n">
        <v>3</v>
      </c>
      <c r="H10" s="39">
        <f>IF(H8="","",H8)</f>
        <v/>
      </c>
      <c r="I10" s="7">
        <f>IF(H8="","",H8)</f>
        <v/>
      </c>
      <c r="J10" s="7" t="n">
        <v>3</v>
      </c>
      <c r="K10" s="7" t="n"/>
      <c r="L10" s="40" t="n"/>
      <c r="N10" s="41">
        <f>IF(AND(L10&lt;&gt;"",N(I10)&gt;0),IF(I10&gt;=PRs!D69,"PR!",""),"")</f>
        <v/>
      </c>
      <c r="O10" s="7" t="n"/>
    </row>
    <row r="11">
      <c r="C11" t="inlineStr">
        <is>
          <t xml:space="preserve">      Set 3</t>
        </is>
      </c>
      <c r="E11" t="n">
        <v>3</v>
      </c>
      <c r="H11" s="39">
        <f>IF(H8="","",H8)</f>
        <v/>
      </c>
      <c r="I11" s="7">
        <f>IF(H8="","",H8)</f>
        <v/>
      </c>
      <c r="J11" s="7" t="n">
        <v>3</v>
      </c>
      <c r="K11" s="7" t="n"/>
      <c r="L11" s="40" t="n"/>
      <c r="N11" s="41">
        <f>IF(AND(L11&lt;&gt;"",N(I11)&gt;0),IF(I11&gt;=PRs!D69,"PR!",""),"")</f>
        <v/>
      </c>
      <c r="O11" s="7" t="n"/>
    </row>
    <row r="12">
      <c r="A12" s="34" t="n"/>
      <c r="B12" s="34" t="n"/>
      <c r="C12" s="42" t="inlineStr">
        <is>
          <t>Snatch</t>
        </is>
      </c>
      <c r="D12" s="34" t="inlineStr">
        <is>
          <t>3 x 3</t>
        </is>
      </c>
      <c r="E12" s="34" t="n"/>
      <c r="F12" s="34" t="n">
        <v>60</v>
      </c>
      <c r="G12" s="36">
        <f>Maxes!I6</f>
        <v/>
      </c>
      <c r="H12" s="37">
        <f>IF(OR(G12="",F12=""),"",MROUND(G12*F12/100,'Start Here'!$B$7))</f>
        <v/>
      </c>
      <c r="I12" s="34" t="n"/>
      <c r="J12" s="34" t="n"/>
      <c r="K12" s="34" t="n"/>
      <c r="L12" s="34" t="n"/>
      <c r="M12" s="34" t="n"/>
      <c r="N12" s="34" t="n"/>
      <c r="O12" s="38" t="inlineStr">
        <is>
          <t>Easy volume - stay 3+ reps from failure</t>
        </is>
      </c>
    </row>
    <row r="13">
      <c r="C13" t="inlineStr">
        <is>
          <t xml:space="preserve">      Set 1</t>
        </is>
      </c>
      <c r="E13" t="n">
        <v>3</v>
      </c>
      <c r="H13" s="39">
        <f>IF(H12="","",H12)</f>
        <v/>
      </c>
      <c r="I13" s="7">
        <f>IF(H12="","",H12)</f>
        <v/>
      </c>
      <c r="J13" s="7" t="n">
        <v>3</v>
      </c>
      <c r="K13" s="7" t="n"/>
      <c r="L13" s="40" t="n"/>
      <c r="M13">
        <f>IF(AND(L13&lt;&gt;"",N(I13)&gt;0,N(J13)&gt;0),IF(J13=1,I13,ROUND(I13*(1+J13/30),1)),"")</f>
        <v/>
      </c>
      <c r="N13" s="41">
        <f>IF(M13="","",IF(M13&gt;=PRs!C6,"PR!",""))</f>
        <v/>
      </c>
      <c r="O13" s="7" t="n"/>
    </row>
    <row r="14">
      <c r="C14" t="inlineStr">
        <is>
          <t xml:space="preserve">      Set 2</t>
        </is>
      </c>
      <c r="E14" t="n">
        <v>3</v>
      </c>
      <c r="H14" s="39">
        <f>IF(H12="","",H12)</f>
        <v/>
      </c>
      <c r="I14" s="7">
        <f>IF(H12="","",H12)</f>
        <v/>
      </c>
      <c r="J14" s="7" t="n">
        <v>3</v>
      </c>
      <c r="K14" s="7" t="n"/>
      <c r="L14" s="40" t="n"/>
      <c r="M14">
        <f>IF(AND(L14&lt;&gt;"",N(I14)&gt;0,N(J14)&gt;0),IF(J14=1,I14,ROUND(I14*(1+J14/30),1)),"")</f>
        <v/>
      </c>
      <c r="N14" s="41">
        <f>IF(M14="","",IF(M14&gt;=PRs!C6,"PR!",""))</f>
        <v/>
      </c>
      <c r="O14" s="7" t="n"/>
    </row>
    <row r="15">
      <c r="C15" t="inlineStr">
        <is>
          <t xml:space="preserve">      Set 3</t>
        </is>
      </c>
      <c r="E15" t="n">
        <v>3</v>
      </c>
      <c r="H15" s="39">
        <f>IF(H12="","",H12)</f>
        <v/>
      </c>
      <c r="I15" s="7">
        <f>IF(H12="","",H12)</f>
        <v/>
      </c>
      <c r="J15" s="7" t="n">
        <v>3</v>
      </c>
      <c r="K15" s="7" t="n"/>
      <c r="L15" s="40" t="n"/>
      <c r="M15">
        <f>IF(AND(L15&lt;&gt;"",N(I15)&gt;0,N(J15)&gt;0),IF(J15=1,I15,ROUND(I15*(1+J15/30),1)),"")</f>
        <v/>
      </c>
      <c r="N15" s="41">
        <f>IF(M15="","",IF(M15&gt;=PRs!C6,"PR!",""))</f>
        <v/>
      </c>
      <c r="O15" s="7" t="n"/>
    </row>
    <row r="16">
      <c r="A16" s="34" t="n"/>
      <c r="B16" s="34" t="n"/>
      <c r="C16" s="42" t="inlineStr">
        <is>
          <t>Squat</t>
        </is>
      </c>
      <c r="D16" s="34" t="inlineStr">
        <is>
          <t>3 x 8</t>
        </is>
      </c>
      <c r="E16" s="34" t="n"/>
      <c r="F16" s="34" t="n">
        <v>60</v>
      </c>
      <c r="G16" s="36">
        <f>Maxes!I2</f>
        <v/>
      </c>
      <c r="H16" s="37">
        <f>IF(OR(G16="",F16=""),"",MROUND(G16*F16/100,'Start Here'!$B$7))</f>
        <v/>
      </c>
      <c r="I16" s="34" t="n"/>
      <c r="J16" s="34" t="n"/>
      <c r="K16" s="34" t="n"/>
      <c r="L16" s="34" t="n"/>
      <c r="M16" s="34" t="n"/>
      <c r="N16" s="34" t="n"/>
      <c r="O16" s="38" t="inlineStr">
        <is>
          <t>Easy volume - stay 3+ reps from failure</t>
        </is>
      </c>
    </row>
    <row r="17">
      <c r="C17" t="inlineStr">
        <is>
          <t xml:space="preserve">      Set 1</t>
        </is>
      </c>
      <c r="E17" t="n">
        <v>8</v>
      </c>
      <c r="H17" s="39">
        <f>IF(H16="","",H16)</f>
        <v/>
      </c>
      <c r="I17" s="7">
        <f>IF(H16="","",H16)</f>
        <v/>
      </c>
      <c r="J17" s="7" t="n">
        <v>8</v>
      </c>
      <c r="K17" s="7" t="n"/>
      <c r="L17" s="40" t="n"/>
      <c r="M17">
        <f>IF(AND(L17&lt;&gt;"",N(I17)&gt;0,N(J17)&gt;0),IF(J17=1,I17,ROUND(I17*(1+J17/30),1)),"")</f>
        <v/>
      </c>
      <c r="N17" s="41">
        <f>IF(M17="","",IF(M17&gt;=PRs!C2,"PR!",""))</f>
        <v/>
      </c>
      <c r="O17" s="7" t="n"/>
    </row>
    <row r="18">
      <c r="C18" t="inlineStr">
        <is>
          <t xml:space="preserve">      Set 2</t>
        </is>
      </c>
      <c r="E18" t="n">
        <v>8</v>
      </c>
      <c r="H18" s="39">
        <f>IF(H16="","",H16)</f>
        <v/>
      </c>
      <c r="I18" s="7">
        <f>IF(H16="","",H16)</f>
        <v/>
      </c>
      <c r="J18" s="7" t="n">
        <v>8</v>
      </c>
      <c r="K18" s="7" t="n"/>
      <c r="L18" s="40" t="n"/>
      <c r="M18">
        <f>IF(AND(L18&lt;&gt;"",N(I18)&gt;0,N(J18)&gt;0),IF(J18=1,I18,ROUND(I18*(1+J18/30),1)),"")</f>
        <v/>
      </c>
      <c r="N18" s="41">
        <f>IF(M18="","",IF(M18&gt;=PRs!C2,"PR!",""))</f>
        <v/>
      </c>
      <c r="O18" s="7" t="n"/>
    </row>
    <row r="19">
      <c r="C19" t="inlineStr">
        <is>
          <t xml:space="preserve">      Set 3</t>
        </is>
      </c>
      <c r="E19" t="n">
        <v>8</v>
      </c>
      <c r="H19" s="39">
        <f>IF(H16="","",H16)</f>
        <v/>
      </c>
      <c r="I19" s="7">
        <f>IF(H16="","",H16)</f>
        <v/>
      </c>
      <c r="J19" s="7" t="n">
        <v>8</v>
      </c>
      <c r="K19" s="7" t="n"/>
      <c r="L19" s="40" t="n"/>
      <c r="M19">
        <f>IF(AND(L19&lt;&gt;"",N(I19)&gt;0,N(J19)&gt;0),IF(J19=1,I19,ROUND(I19*(1+J19/30),1)),"")</f>
        <v/>
      </c>
      <c r="N19" s="41">
        <f>IF(M19="","",IF(M19&gt;=PRs!C2,"PR!",""))</f>
        <v/>
      </c>
      <c r="O19" s="7" t="n"/>
    </row>
    <row r="20">
      <c r="A20" s="34" t="n"/>
      <c r="B20" s="34" t="n"/>
      <c r="C20" s="42" t="inlineStr">
        <is>
          <t>Bench Press</t>
        </is>
      </c>
      <c r="D20" s="34" t="inlineStr">
        <is>
          <t>3 x 8</t>
        </is>
      </c>
      <c r="E20" s="34" t="n"/>
      <c r="F20" s="34" t="n">
        <v>60</v>
      </c>
      <c r="G20" s="36">
        <f>Maxes!I3</f>
        <v/>
      </c>
      <c r="H20" s="37">
        <f>IF(OR(G20="",F20=""),"",MROUND(G20*F20/100,'Start Here'!$B$7))</f>
        <v/>
      </c>
      <c r="I20" s="34" t="n"/>
      <c r="J20" s="34" t="n"/>
      <c r="K20" s="34" t="n"/>
      <c r="L20" s="34" t="n"/>
      <c r="M20" s="34" t="n"/>
      <c r="N20" s="34" t="n"/>
      <c r="O20" s="38" t="inlineStr">
        <is>
          <t>Easy volume - stay 3+ reps from failure</t>
        </is>
      </c>
    </row>
    <row r="21">
      <c r="C21" t="inlineStr">
        <is>
          <t xml:space="preserve">      Set 1</t>
        </is>
      </c>
      <c r="E21" t="n">
        <v>8</v>
      </c>
      <c r="H21" s="39">
        <f>IF(H20="","",H20)</f>
        <v/>
      </c>
      <c r="I21" s="7">
        <f>IF(H20="","",H20)</f>
        <v/>
      </c>
      <c r="J21" s="7" t="n">
        <v>8</v>
      </c>
      <c r="K21" s="7" t="n"/>
      <c r="L21" s="40" t="n"/>
      <c r="M21">
        <f>IF(AND(L21&lt;&gt;"",N(I21)&gt;0,N(J21)&gt;0),IF(J21=1,I21,ROUND(I21*(1+J21/30),1)),"")</f>
        <v/>
      </c>
      <c r="N21" s="41">
        <f>IF(M21="","",IF(M21&gt;=PRs!C3,"PR!",""))</f>
        <v/>
      </c>
      <c r="O21" s="7" t="n"/>
    </row>
    <row r="22">
      <c r="C22" t="inlineStr">
        <is>
          <t xml:space="preserve">      Set 2</t>
        </is>
      </c>
      <c r="E22" t="n">
        <v>8</v>
      </c>
      <c r="H22" s="39">
        <f>IF(H20="","",H20)</f>
        <v/>
      </c>
      <c r="I22" s="7">
        <f>IF(H20="","",H20)</f>
        <v/>
      </c>
      <c r="J22" s="7" t="n">
        <v>8</v>
      </c>
      <c r="K22" s="7" t="n"/>
      <c r="L22" s="40" t="n"/>
      <c r="M22">
        <f>IF(AND(L22&lt;&gt;"",N(I22)&gt;0,N(J22)&gt;0),IF(J22=1,I22,ROUND(I22*(1+J22/30),1)),"")</f>
        <v/>
      </c>
      <c r="N22" s="41">
        <f>IF(M22="","",IF(M22&gt;=PRs!C3,"PR!",""))</f>
        <v/>
      </c>
      <c r="O22" s="7" t="n"/>
    </row>
    <row r="23">
      <c r="C23" t="inlineStr">
        <is>
          <t xml:space="preserve">      Set 3</t>
        </is>
      </c>
      <c r="E23" t="n">
        <v>8</v>
      </c>
      <c r="H23" s="39">
        <f>IF(H20="","",H20)</f>
        <v/>
      </c>
      <c r="I23" s="7">
        <f>IF(H20="","",H20)</f>
        <v/>
      </c>
      <c r="J23" s="7" t="n">
        <v>8</v>
      </c>
      <c r="K23" s="7" t="n"/>
      <c r="L23" s="40" t="n"/>
      <c r="M23">
        <f>IF(AND(L23&lt;&gt;"",N(I23)&gt;0,N(J23)&gt;0),IF(J23=1,I23,ROUND(I23*(1+J23/30),1)),"")</f>
        <v/>
      </c>
      <c r="N23" s="41">
        <f>IF(M23="","",IF(M23&gt;=PRs!C3,"PR!",""))</f>
        <v/>
      </c>
      <c r="O23" s="7" t="n"/>
    </row>
    <row r="24">
      <c r="A24" s="34" t="n"/>
      <c r="B24" s="34" t="n"/>
      <c r="C24" s="43" t="inlineStr">
        <is>
          <t>Barbell Row</t>
        </is>
      </c>
      <c r="D24" s="34" t="inlineStr">
        <is>
          <t>4 x 8-10</t>
        </is>
      </c>
      <c r="E24" s="34" t="n"/>
      <c r="F24" s="34" t="n"/>
      <c r="G24" s="36" t="n"/>
      <c r="H24" s="37" t="n"/>
      <c r="I24" s="34" t="n"/>
      <c r="J24" s="34" t="n"/>
      <c r="K24" s="34" t="n"/>
      <c r="L24" s="34" t="n"/>
      <c r="M24" s="34" t="n"/>
      <c r="N24" s="34" t="n"/>
      <c r="O24" s="38" t="inlineStr">
        <is>
          <t>Leave 1-2 reps in the tank; add weight when you hit the top of the range</t>
        </is>
      </c>
    </row>
    <row r="25">
      <c r="C25" t="inlineStr">
        <is>
          <t xml:space="preserve">      Set 1</t>
        </is>
      </c>
      <c r="E25" t="n">
        <v>8</v>
      </c>
      <c r="H25" s="39">
        <f>IF(H24="","",H24)</f>
        <v/>
      </c>
      <c r="I25" s="7">
        <f>IF(H24="","",H24)</f>
        <v/>
      </c>
      <c r="J25" s="7" t="n">
        <v>8</v>
      </c>
      <c r="K25" s="7" t="n"/>
      <c r="L25" s="40" t="n"/>
      <c r="M25">
        <f>IF(AND(L25&lt;&gt;"",N(I25)&gt;0,N(J25)&gt;0),IF(J25=1,I25,ROUND(I25*(1+J25/30),1)),"")</f>
        <v/>
      </c>
      <c r="N25" s="41">
        <f>IF(M25="","",IF(M25&gt;=PRs!C50,"PR!",""))</f>
        <v/>
      </c>
      <c r="O25" s="7" t="n"/>
    </row>
    <row r="26">
      <c r="C26" t="inlineStr">
        <is>
          <t xml:space="preserve">      Set 2</t>
        </is>
      </c>
      <c r="E26" t="n">
        <v>8</v>
      </c>
      <c r="H26" s="39">
        <f>IF(H24="","",H24)</f>
        <v/>
      </c>
      <c r="I26" s="7">
        <f>IF(H24="","",H24)</f>
        <v/>
      </c>
      <c r="J26" s="7" t="n">
        <v>8</v>
      </c>
      <c r="K26" s="7" t="n"/>
      <c r="L26" s="40" t="n"/>
      <c r="M26">
        <f>IF(AND(L26&lt;&gt;"",N(I26)&gt;0,N(J26)&gt;0),IF(J26=1,I26,ROUND(I26*(1+J26/30),1)),"")</f>
        <v/>
      </c>
      <c r="N26" s="41">
        <f>IF(M26="","",IF(M26&gt;=PRs!C50,"PR!",""))</f>
        <v/>
      </c>
      <c r="O26" s="7" t="n"/>
    </row>
    <row r="27">
      <c r="C27" t="inlineStr">
        <is>
          <t xml:space="preserve">      Set 3</t>
        </is>
      </c>
      <c r="E27" t="n">
        <v>8</v>
      </c>
      <c r="H27" s="39">
        <f>IF(H24="","",H24)</f>
        <v/>
      </c>
      <c r="I27" s="7">
        <f>IF(H24="","",H24)</f>
        <v/>
      </c>
      <c r="J27" s="7" t="n">
        <v>8</v>
      </c>
      <c r="K27" s="7" t="n"/>
      <c r="L27" s="40" t="n"/>
      <c r="M27">
        <f>IF(AND(L27&lt;&gt;"",N(I27)&gt;0,N(J27)&gt;0),IF(J27=1,I27,ROUND(I27*(1+J27/30),1)),"")</f>
        <v/>
      </c>
      <c r="N27" s="41">
        <f>IF(M27="","",IF(M27&gt;=PRs!C50,"PR!",""))</f>
        <v/>
      </c>
      <c r="O27" s="7" t="n"/>
    </row>
    <row r="28">
      <c r="C28" t="inlineStr">
        <is>
          <t xml:space="preserve">      Set 4</t>
        </is>
      </c>
      <c r="E28" t="n">
        <v>8</v>
      </c>
      <c r="H28" s="39">
        <f>IF(H24="","",H24)</f>
        <v/>
      </c>
      <c r="I28" s="7">
        <f>IF(H24="","",H24)</f>
        <v/>
      </c>
      <c r="J28" s="7" t="n">
        <v>8</v>
      </c>
      <c r="K28" s="7" t="n"/>
      <c r="L28" s="40" t="n"/>
      <c r="M28">
        <f>IF(AND(L28&lt;&gt;"",N(I28)&gt;0,N(J28)&gt;0),IF(J28=1,I28,ROUND(I28*(1+J28/30),1)),"")</f>
        <v/>
      </c>
      <c r="N28" s="41">
        <f>IF(M28="","",IF(M28&gt;=PRs!C50,"PR!",""))</f>
        <v/>
      </c>
      <c r="O28" s="7" t="n"/>
    </row>
    <row r="29">
      <c r="A29" s="34" t="n"/>
      <c r="B29" s="34" t="n"/>
      <c r="C29" s="43" t="inlineStr">
        <is>
          <t>Face Pull</t>
        </is>
      </c>
      <c r="D29" s="34" t="inlineStr">
        <is>
          <t>4 x 12-15</t>
        </is>
      </c>
      <c r="E29" s="34" t="n"/>
      <c r="F29" s="34" t="n"/>
      <c r="G29" s="36" t="n"/>
      <c r="H29" s="37" t="n"/>
      <c r="I29" s="34" t="n"/>
      <c r="J29" s="34" t="n"/>
      <c r="K29" s="34" t="n"/>
      <c r="L29" s="34" t="n"/>
      <c r="M29" s="34" t="n"/>
      <c r="N29" s="34" t="n"/>
      <c r="O29" s="38" t="inlineStr">
        <is>
          <t>Leave 1-2 reps in the tank; add weight when you hit the top of the range</t>
        </is>
      </c>
    </row>
    <row r="30">
      <c r="C30" t="inlineStr">
        <is>
          <t xml:space="preserve">      Set 1</t>
        </is>
      </c>
      <c r="E30" t="n">
        <v>12</v>
      </c>
      <c r="H30" s="39">
        <f>IF(H29="","",H29)</f>
        <v/>
      </c>
      <c r="I30" s="7">
        <f>IF(H29="","",H29)</f>
        <v/>
      </c>
      <c r="J30" s="7" t="n">
        <v>12</v>
      </c>
      <c r="K30" s="7" t="n"/>
      <c r="L30" s="40" t="n"/>
      <c r="M30">
        <f>IF(AND(L30&lt;&gt;"",N(I30)&gt;0,N(J30)&gt;0),IF(J30=1,I30,ROUND(I30*(1+J30/30),1)),"")</f>
        <v/>
      </c>
      <c r="N30" s="41">
        <f>IF(M30="","",IF(M30&gt;=PRs!C51,"PR!",""))</f>
        <v/>
      </c>
      <c r="O30" s="7" t="n"/>
    </row>
    <row r="31">
      <c r="C31" t="inlineStr">
        <is>
          <t xml:space="preserve">      Set 2</t>
        </is>
      </c>
      <c r="E31" t="n">
        <v>12</v>
      </c>
      <c r="H31" s="39">
        <f>IF(H29="","",H29)</f>
        <v/>
      </c>
      <c r="I31" s="7">
        <f>IF(H29="","",H29)</f>
        <v/>
      </c>
      <c r="J31" s="7" t="n">
        <v>12</v>
      </c>
      <c r="K31" s="7" t="n"/>
      <c r="L31" s="40" t="n"/>
      <c r="M31">
        <f>IF(AND(L31&lt;&gt;"",N(I31)&gt;0,N(J31)&gt;0),IF(J31=1,I31,ROUND(I31*(1+J31/30),1)),"")</f>
        <v/>
      </c>
      <c r="N31" s="41">
        <f>IF(M31="","",IF(M31&gt;=PRs!C51,"PR!",""))</f>
        <v/>
      </c>
      <c r="O31" s="7" t="n"/>
    </row>
    <row r="32">
      <c r="C32" t="inlineStr">
        <is>
          <t xml:space="preserve">      Set 3</t>
        </is>
      </c>
      <c r="E32" t="n">
        <v>12</v>
      </c>
      <c r="H32" s="39">
        <f>IF(H29="","",H29)</f>
        <v/>
      </c>
      <c r="I32" s="7">
        <f>IF(H29="","",H29)</f>
        <v/>
      </c>
      <c r="J32" s="7" t="n">
        <v>12</v>
      </c>
      <c r="K32" s="7" t="n"/>
      <c r="L32" s="40" t="n"/>
      <c r="M32">
        <f>IF(AND(L32&lt;&gt;"",N(I32)&gt;0,N(J32)&gt;0),IF(J32=1,I32,ROUND(I32*(1+J32/30),1)),"")</f>
        <v/>
      </c>
      <c r="N32" s="41">
        <f>IF(M32="","",IF(M32&gt;=PRs!C51,"PR!",""))</f>
        <v/>
      </c>
      <c r="O32" s="7" t="n"/>
    </row>
    <row r="33">
      <c r="C33" t="inlineStr">
        <is>
          <t xml:space="preserve">      Set 4</t>
        </is>
      </c>
      <c r="E33" t="n">
        <v>12</v>
      </c>
      <c r="H33" s="39">
        <f>IF(H29="","",H29)</f>
        <v/>
      </c>
      <c r="I33" s="7">
        <f>IF(H29="","",H29)</f>
        <v/>
      </c>
      <c r="J33" s="7" t="n">
        <v>12</v>
      </c>
      <c r="K33" s="7" t="n"/>
      <c r="L33" s="40" t="n"/>
      <c r="M33">
        <f>IF(AND(L33&lt;&gt;"",N(I33)&gt;0,N(J33)&gt;0),IF(J33=1,I33,ROUND(I33*(1+J33/30),1)),"")</f>
        <v/>
      </c>
      <c r="N33" s="41">
        <f>IF(M33="","",IF(M33&gt;=PRs!C51,"PR!",""))</f>
        <v/>
      </c>
      <c r="O33" s="7" t="n"/>
    </row>
    <row r="34">
      <c r="A34" s="31" t="inlineStr">
        <is>
          <t>Day 2 - Light</t>
        </is>
      </c>
      <c r="B34" s="32">
        <f>'Start Here'!$B$8+338</f>
        <v/>
      </c>
      <c r="C34" s="33" t="n"/>
      <c r="D34" s="33" t="n"/>
      <c r="E34" s="33" t="n"/>
      <c r="F34" s="33" t="n"/>
      <c r="G34" s="33" t="n"/>
      <c r="H34" s="33" t="n"/>
      <c r="I34" s="33" t="n"/>
      <c r="J34" s="33" t="n"/>
      <c r="K34" s="33" t="n"/>
      <c r="L34" s="33" t="n"/>
      <c r="M34" s="33" t="n"/>
      <c r="N34" s="33" t="n"/>
      <c r="O34" s="33" t="n"/>
    </row>
    <row r="35">
      <c r="A35" s="34" t="n"/>
      <c r="B35" s="34" t="n"/>
      <c r="C35" s="35" t="inlineStr">
        <is>
          <t>Broad Jump</t>
        </is>
      </c>
      <c r="D35" s="34" t="inlineStr">
        <is>
          <t>3 x 3</t>
        </is>
      </c>
      <c r="E35" s="34" t="n"/>
      <c r="F35" s="34" t="n"/>
      <c r="G35" s="36" t="n"/>
      <c r="H35" s="37">
        <f>IF(N(Maxes!I70)&gt;0,Maxes!I70,"")</f>
        <v/>
      </c>
      <c r="I35" s="34" t="n"/>
      <c r="J35" s="34" t="n"/>
      <c r="K35" s="34" t="n"/>
      <c r="L35" s="34" t="n"/>
      <c r="M35" s="34" t="n"/>
      <c r="N35" s="34" t="n"/>
      <c r="O35" s="38" t="inlineStr">
        <is>
          <t>Standing two-foot jump forward, stick the landing. Measure toe line to the back of the nearest heel.</t>
        </is>
      </c>
    </row>
    <row r="36">
      <c r="C36" t="inlineStr">
        <is>
          <t xml:space="preserve">      Set 1</t>
        </is>
      </c>
      <c r="E36" t="n">
        <v>3</v>
      </c>
      <c r="H36" s="39">
        <f>IF(H35="","",H35)</f>
        <v/>
      </c>
      <c r="I36" s="7">
        <f>IF(H35="","",H35)</f>
        <v/>
      </c>
      <c r="J36" s="7" t="n">
        <v>3</v>
      </c>
      <c r="K36" s="7" t="n"/>
      <c r="L36" s="40" t="n"/>
      <c r="N36" s="41">
        <f>IF(AND(L36&lt;&gt;"",N(I36)&gt;0),IF(I36&gt;=PRs!D70,"PR!",""),"")</f>
        <v/>
      </c>
      <c r="O36" s="7" t="n"/>
    </row>
    <row r="37">
      <c r="C37" t="inlineStr">
        <is>
          <t xml:space="preserve">      Set 2</t>
        </is>
      </c>
      <c r="E37" t="n">
        <v>3</v>
      </c>
      <c r="H37" s="39">
        <f>IF(H35="","",H35)</f>
        <v/>
      </c>
      <c r="I37" s="7">
        <f>IF(H35="","",H35)</f>
        <v/>
      </c>
      <c r="J37" s="7" t="n">
        <v>3</v>
      </c>
      <c r="K37" s="7" t="n"/>
      <c r="L37" s="40" t="n"/>
      <c r="N37" s="41">
        <f>IF(AND(L37&lt;&gt;"",N(I37)&gt;0),IF(I37&gt;=PRs!D70,"PR!",""),"")</f>
        <v/>
      </c>
      <c r="O37" s="7" t="n"/>
    </row>
    <row r="38">
      <c r="C38" t="inlineStr">
        <is>
          <t xml:space="preserve">      Set 3</t>
        </is>
      </c>
      <c r="E38" t="n">
        <v>3</v>
      </c>
      <c r="H38" s="39">
        <f>IF(H35="","",H35)</f>
        <v/>
      </c>
      <c r="I38" s="7">
        <f>IF(H35="","",H35)</f>
        <v/>
      </c>
      <c r="J38" s="7" t="n">
        <v>3</v>
      </c>
      <c r="K38" s="7" t="n"/>
      <c r="L38" s="40" t="n"/>
      <c r="N38" s="41">
        <f>IF(AND(L38&lt;&gt;"",N(I38)&gt;0),IF(I38&gt;=PRs!D70,"PR!",""),"")</f>
        <v/>
      </c>
      <c r="O38" s="7" t="n"/>
    </row>
    <row r="39">
      <c r="A39" s="34" t="n"/>
      <c r="B39" s="34" t="n"/>
      <c r="C39" s="35" t="inlineStr">
        <is>
          <t>Med Ball Chest Pass</t>
        </is>
      </c>
      <c r="D39" s="34" t="inlineStr">
        <is>
          <t>2 x 5</t>
        </is>
      </c>
      <c r="E39" s="34" t="n"/>
      <c r="F39" s="34" t="n"/>
      <c r="G39" s="36" t="n"/>
      <c r="H39" s="37">
        <f>IF(N(Maxes!I77)&gt;0,Maxes!I77,"")</f>
        <v/>
      </c>
      <c r="I39" s="34" t="n"/>
      <c r="J39" s="34" t="n"/>
      <c r="K39" s="34" t="n"/>
      <c r="L39" s="34" t="n"/>
      <c r="M39" s="34" t="n"/>
      <c r="N39" s="34" t="n"/>
      <c r="O39" s="38" t="inlineStr">
        <is>
          <t>Kneeling or standing chest pass for distance with a 6-10 lb / 3-5 kg ball. Log the distance.</t>
        </is>
      </c>
    </row>
    <row r="40">
      <c r="C40" t="inlineStr">
        <is>
          <t xml:space="preserve">      Set 1</t>
        </is>
      </c>
      <c r="E40" t="n">
        <v>5</v>
      </c>
      <c r="H40" s="39">
        <f>IF(H39="","",H39)</f>
        <v/>
      </c>
      <c r="I40" s="7">
        <f>IF(H39="","",H39)</f>
        <v/>
      </c>
      <c r="J40" s="7" t="n">
        <v>5</v>
      </c>
      <c r="K40" s="7" t="n"/>
      <c r="L40" s="40" t="n"/>
      <c r="N40" s="41">
        <f>IF(AND(L40&lt;&gt;"",N(I40)&gt;0),IF(I40&gt;=PRs!D77,"PR!",""),"")</f>
        <v/>
      </c>
      <c r="O40" s="7" t="n"/>
    </row>
    <row r="41">
      <c r="C41" t="inlineStr">
        <is>
          <t xml:space="preserve">      Set 2</t>
        </is>
      </c>
      <c r="E41" t="n">
        <v>5</v>
      </c>
      <c r="H41" s="39">
        <f>IF(H39="","",H39)</f>
        <v/>
      </c>
      <c r="I41" s="7">
        <f>IF(H39="","",H39)</f>
        <v/>
      </c>
      <c r="J41" s="7" t="n">
        <v>5</v>
      </c>
      <c r="K41" s="7" t="n"/>
      <c r="L41" s="40" t="n"/>
      <c r="N41" s="41">
        <f>IF(AND(L41&lt;&gt;"",N(I41)&gt;0),IF(I41&gt;=PRs!D77,"PR!",""),"")</f>
        <v/>
      </c>
      <c r="O41" s="7" t="n"/>
    </row>
    <row r="42">
      <c r="A42" s="34" t="n"/>
      <c r="B42" s="34" t="n"/>
      <c r="C42" s="42" t="inlineStr">
        <is>
          <t>Clean &amp; Jerk</t>
        </is>
      </c>
      <c r="D42" s="34" t="inlineStr">
        <is>
          <t>3 x 3</t>
        </is>
      </c>
      <c r="E42" s="34" t="n"/>
      <c r="F42" s="34" t="n">
        <v>60</v>
      </c>
      <c r="G42" s="36">
        <f>Maxes!I7</f>
        <v/>
      </c>
      <c r="H42" s="37">
        <f>IF(OR(G42="",F42=""),"",MROUND(G42*F42/100,'Start Here'!$B$7))</f>
        <v/>
      </c>
      <c r="I42" s="34" t="n"/>
      <c r="J42" s="34" t="n"/>
      <c r="K42" s="34" t="n"/>
      <c r="L42" s="34" t="n"/>
      <c r="M42" s="34" t="n"/>
      <c r="N42" s="34" t="n"/>
      <c r="O42" s="38" t="inlineStr">
        <is>
          <t>Easy volume - stay 3+ reps from failure</t>
        </is>
      </c>
    </row>
    <row r="43">
      <c r="C43" t="inlineStr">
        <is>
          <t xml:space="preserve">      Set 1</t>
        </is>
      </c>
      <c r="E43" t="n">
        <v>3</v>
      </c>
      <c r="H43" s="39">
        <f>IF(H42="","",H42)</f>
        <v/>
      </c>
      <c r="I43" s="7">
        <f>IF(H42="","",H42)</f>
        <v/>
      </c>
      <c r="J43" s="7" t="n">
        <v>3</v>
      </c>
      <c r="K43" s="7" t="n"/>
      <c r="L43" s="40" t="n"/>
      <c r="M43">
        <f>IF(AND(L43&lt;&gt;"",N(I43)&gt;0,N(J43)&gt;0),IF(J43=1,I43,ROUND(I43*(1+J43/30),1)),"")</f>
        <v/>
      </c>
      <c r="N43" s="41">
        <f>IF(M43="","",IF(M43&gt;=PRs!C7,"PR!",""))</f>
        <v/>
      </c>
      <c r="O43" s="7" t="n"/>
    </row>
    <row r="44">
      <c r="C44" t="inlineStr">
        <is>
          <t xml:space="preserve">      Set 2</t>
        </is>
      </c>
      <c r="E44" t="n">
        <v>3</v>
      </c>
      <c r="H44" s="39">
        <f>IF(H42="","",H42)</f>
        <v/>
      </c>
      <c r="I44" s="7">
        <f>IF(H42="","",H42)</f>
        <v/>
      </c>
      <c r="J44" s="7" t="n">
        <v>3</v>
      </c>
      <c r="K44" s="7" t="n"/>
      <c r="L44" s="40" t="n"/>
      <c r="M44">
        <f>IF(AND(L44&lt;&gt;"",N(I44)&gt;0,N(J44)&gt;0),IF(J44=1,I44,ROUND(I44*(1+J44/30),1)),"")</f>
        <v/>
      </c>
      <c r="N44" s="41">
        <f>IF(M44="","",IF(M44&gt;=PRs!C7,"PR!",""))</f>
        <v/>
      </c>
      <c r="O44" s="7" t="n"/>
    </row>
    <row r="45">
      <c r="C45" t="inlineStr">
        <is>
          <t xml:space="preserve">      Set 3</t>
        </is>
      </c>
      <c r="E45" t="n">
        <v>3</v>
      </c>
      <c r="H45" s="39">
        <f>IF(H42="","",H42)</f>
        <v/>
      </c>
      <c r="I45" s="7">
        <f>IF(H42="","",H42)</f>
        <v/>
      </c>
      <c r="J45" s="7" t="n">
        <v>3</v>
      </c>
      <c r="K45" s="7" t="n"/>
      <c r="L45" s="40" t="n"/>
      <c r="M45">
        <f>IF(AND(L45&lt;&gt;"",N(I45)&gt;0,N(J45)&gt;0),IF(J45=1,I45,ROUND(I45*(1+J45/30),1)),"")</f>
        <v/>
      </c>
      <c r="N45" s="41">
        <f>IF(M45="","",IF(M45&gt;=PRs!C7,"PR!",""))</f>
        <v/>
      </c>
      <c r="O45" s="7" t="n"/>
    </row>
    <row r="46">
      <c r="A46" s="34" t="n"/>
      <c r="B46" s="34" t="n"/>
      <c r="C46" s="42" t="inlineStr">
        <is>
          <t>Squat</t>
        </is>
      </c>
      <c r="D46" s="34" t="inlineStr">
        <is>
          <t>3 x 8</t>
        </is>
      </c>
      <c r="E46" s="34" t="n"/>
      <c r="F46" s="34" t="n">
        <v>60</v>
      </c>
      <c r="G46" s="36">
        <f>Maxes!I2</f>
        <v/>
      </c>
      <c r="H46" s="37">
        <f>IF(OR(G46="",F46=""),"",MROUND(G46*F46/100,'Start Here'!$B$7))</f>
        <v/>
      </c>
      <c r="I46" s="34" t="n"/>
      <c r="J46" s="34" t="n"/>
      <c r="K46" s="34" t="n"/>
      <c r="L46" s="34" t="n"/>
      <c r="M46" s="34" t="n"/>
      <c r="N46" s="34" t="n"/>
      <c r="O46" s="38" t="inlineStr">
        <is>
          <t>Easy volume - stay 3+ reps from failure</t>
        </is>
      </c>
    </row>
    <row r="47">
      <c r="C47" t="inlineStr">
        <is>
          <t xml:space="preserve">      Set 1</t>
        </is>
      </c>
      <c r="E47" t="n">
        <v>8</v>
      </c>
      <c r="H47" s="39">
        <f>IF(H46="","",H46)</f>
        <v/>
      </c>
      <c r="I47" s="7">
        <f>IF(H46="","",H46)</f>
        <v/>
      </c>
      <c r="J47" s="7" t="n">
        <v>8</v>
      </c>
      <c r="K47" s="7" t="n"/>
      <c r="L47" s="40" t="n"/>
      <c r="M47">
        <f>IF(AND(L47&lt;&gt;"",N(I47)&gt;0,N(J47)&gt;0),IF(J47=1,I47,ROUND(I47*(1+J47/30),1)),"")</f>
        <v/>
      </c>
      <c r="N47" s="41">
        <f>IF(M47="","",IF(M47&gt;=PRs!C2,"PR!",""))</f>
        <v/>
      </c>
      <c r="O47" s="7" t="n"/>
    </row>
    <row r="48">
      <c r="C48" t="inlineStr">
        <is>
          <t xml:space="preserve">      Set 2</t>
        </is>
      </c>
      <c r="E48" t="n">
        <v>8</v>
      </c>
      <c r="H48" s="39">
        <f>IF(H46="","",H46)</f>
        <v/>
      </c>
      <c r="I48" s="7">
        <f>IF(H46="","",H46)</f>
        <v/>
      </c>
      <c r="J48" s="7" t="n">
        <v>8</v>
      </c>
      <c r="K48" s="7" t="n"/>
      <c r="L48" s="40" t="n"/>
      <c r="M48">
        <f>IF(AND(L48&lt;&gt;"",N(I48)&gt;0,N(J48)&gt;0),IF(J48=1,I48,ROUND(I48*(1+J48/30),1)),"")</f>
        <v/>
      </c>
      <c r="N48" s="41">
        <f>IF(M48="","",IF(M48&gt;=PRs!C2,"PR!",""))</f>
        <v/>
      </c>
      <c r="O48" s="7" t="n"/>
    </row>
    <row r="49">
      <c r="C49" t="inlineStr">
        <is>
          <t xml:space="preserve">      Set 3</t>
        </is>
      </c>
      <c r="E49" t="n">
        <v>8</v>
      </c>
      <c r="H49" s="39">
        <f>IF(H46="","",H46)</f>
        <v/>
      </c>
      <c r="I49" s="7">
        <f>IF(H46="","",H46)</f>
        <v/>
      </c>
      <c r="J49" s="7" t="n">
        <v>8</v>
      </c>
      <c r="K49" s="7" t="n"/>
      <c r="L49" s="40" t="n"/>
      <c r="M49">
        <f>IF(AND(L49&lt;&gt;"",N(I49)&gt;0,N(J49)&gt;0),IF(J49=1,I49,ROUND(I49*(1+J49/30),1)),"")</f>
        <v/>
      </c>
      <c r="N49" s="41">
        <f>IF(M49="","",IF(M49&gt;=PRs!C2,"PR!",""))</f>
        <v/>
      </c>
      <c r="O49" s="7" t="n"/>
    </row>
    <row r="50">
      <c r="A50" s="34" t="n"/>
      <c r="B50" s="34" t="n"/>
      <c r="C50" s="42" t="inlineStr">
        <is>
          <t>Overhead Press</t>
        </is>
      </c>
      <c r="D50" s="34" t="inlineStr">
        <is>
          <t>3 x 8</t>
        </is>
      </c>
      <c r="E50" s="34" t="n"/>
      <c r="F50" s="34" t="n">
        <v>60</v>
      </c>
      <c r="G50" s="36">
        <f>Maxes!I5</f>
        <v/>
      </c>
      <c r="H50" s="37">
        <f>IF(OR(G50="",F50=""),"",MROUND(G50*F50/100,'Start Here'!$B$7))</f>
        <v/>
      </c>
      <c r="I50" s="34" t="n"/>
      <c r="J50" s="34" t="n"/>
      <c r="K50" s="34" t="n"/>
      <c r="L50" s="34" t="n"/>
      <c r="M50" s="34" t="n"/>
      <c r="N50" s="34" t="n"/>
      <c r="O50" s="38" t="inlineStr">
        <is>
          <t>Easy volume - stay 3+ reps from failure</t>
        </is>
      </c>
    </row>
    <row r="51">
      <c r="C51" t="inlineStr">
        <is>
          <t xml:space="preserve">      Set 1</t>
        </is>
      </c>
      <c r="E51" t="n">
        <v>8</v>
      </c>
      <c r="H51" s="39">
        <f>IF(H50="","",H50)</f>
        <v/>
      </c>
      <c r="I51" s="7">
        <f>IF(H50="","",H50)</f>
        <v/>
      </c>
      <c r="J51" s="7" t="n">
        <v>8</v>
      </c>
      <c r="K51" s="7" t="n"/>
      <c r="L51" s="40" t="n"/>
      <c r="M51">
        <f>IF(AND(L51&lt;&gt;"",N(I51)&gt;0,N(J51)&gt;0),IF(J51=1,I51,ROUND(I51*(1+J51/30),1)),"")</f>
        <v/>
      </c>
      <c r="N51" s="41">
        <f>IF(M51="","",IF(M51&gt;=PRs!C5,"PR!",""))</f>
        <v/>
      </c>
      <c r="O51" s="7" t="n"/>
    </row>
    <row r="52">
      <c r="C52" t="inlineStr">
        <is>
          <t xml:space="preserve">      Set 2</t>
        </is>
      </c>
      <c r="E52" t="n">
        <v>8</v>
      </c>
      <c r="H52" s="39">
        <f>IF(H50="","",H50)</f>
        <v/>
      </c>
      <c r="I52" s="7">
        <f>IF(H50="","",H50)</f>
        <v/>
      </c>
      <c r="J52" s="7" t="n">
        <v>8</v>
      </c>
      <c r="K52" s="7" t="n"/>
      <c r="L52" s="40" t="n"/>
      <c r="M52">
        <f>IF(AND(L52&lt;&gt;"",N(I52)&gt;0,N(J52)&gt;0),IF(J52=1,I52,ROUND(I52*(1+J52/30),1)),"")</f>
        <v/>
      </c>
      <c r="N52" s="41">
        <f>IF(M52="","",IF(M52&gt;=PRs!C5,"PR!",""))</f>
        <v/>
      </c>
      <c r="O52" s="7" t="n"/>
    </row>
    <row r="53">
      <c r="C53" t="inlineStr">
        <is>
          <t xml:space="preserve">      Set 3</t>
        </is>
      </c>
      <c r="E53" t="n">
        <v>8</v>
      </c>
      <c r="H53" s="39">
        <f>IF(H50="","",H50)</f>
        <v/>
      </c>
      <c r="I53" s="7">
        <f>IF(H50="","",H50)</f>
        <v/>
      </c>
      <c r="J53" s="7" t="n">
        <v>8</v>
      </c>
      <c r="K53" s="7" t="n"/>
      <c r="L53" s="40" t="n"/>
      <c r="M53">
        <f>IF(AND(L53&lt;&gt;"",N(I53)&gt;0,N(J53)&gt;0),IF(J53=1,I53,ROUND(I53*(1+J53/30),1)),"")</f>
        <v/>
      </c>
      <c r="N53" s="41">
        <f>IF(M53="","",IF(M53&gt;=PRs!C5,"PR!",""))</f>
        <v/>
      </c>
      <c r="O53" s="7" t="n"/>
    </row>
    <row r="54">
      <c r="A54" s="34" t="n"/>
      <c r="B54" s="34" t="n"/>
      <c r="C54" s="42" t="inlineStr">
        <is>
          <t>Deadlift</t>
        </is>
      </c>
      <c r="D54" s="34" t="inlineStr">
        <is>
          <t>3 x 8</t>
        </is>
      </c>
      <c r="E54" s="34" t="n"/>
      <c r="F54" s="34" t="n">
        <v>60</v>
      </c>
      <c r="G54" s="36">
        <f>Maxes!I4</f>
        <v/>
      </c>
      <c r="H54" s="37">
        <f>IF(OR(G54="",F54=""),"",MROUND(G54*F54/100,'Start Here'!$B$7))</f>
        <v/>
      </c>
      <c r="I54" s="34" t="n"/>
      <c r="J54" s="34" t="n"/>
      <c r="K54" s="34" t="n"/>
      <c r="L54" s="34" t="n"/>
      <c r="M54" s="34" t="n"/>
      <c r="N54" s="34" t="n"/>
      <c r="O54" s="38" t="inlineStr">
        <is>
          <t>Easy volume - stay 3+ reps from failure</t>
        </is>
      </c>
    </row>
    <row r="55">
      <c r="C55" t="inlineStr">
        <is>
          <t xml:space="preserve">      Set 1</t>
        </is>
      </c>
      <c r="E55" t="n">
        <v>8</v>
      </c>
      <c r="H55" s="39">
        <f>IF(H54="","",H54)</f>
        <v/>
      </c>
      <c r="I55" s="7">
        <f>IF(H54="","",H54)</f>
        <v/>
      </c>
      <c r="J55" s="7" t="n">
        <v>8</v>
      </c>
      <c r="K55" s="7" t="n"/>
      <c r="L55" s="40" t="n"/>
      <c r="M55">
        <f>IF(AND(L55&lt;&gt;"",N(I55)&gt;0,N(J55)&gt;0),IF(J55=1,I55,ROUND(I55*(1+J55/30),1)),"")</f>
        <v/>
      </c>
      <c r="N55" s="41">
        <f>IF(M55="","",IF(M55&gt;=PRs!C4,"PR!",""))</f>
        <v/>
      </c>
      <c r="O55" s="7" t="n"/>
    </row>
    <row r="56">
      <c r="C56" t="inlineStr">
        <is>
          <t xml:space="preserve">      Set 2</t>
        </is>
      </c>
      <c r="E56" t="n">
        <v>8</v>
      </c>
      <c r="H56" s="39">
        <f>IF(H54="","",H54)</f>
        <v/>
      </c>
      <c r="I56" s="7">
        <f>IF(H54="","",H54)</f>
        <v/>
      </c>
      <c r="J56" s="7" t="n">
        <v>8</v>
      </c>
      <c r="K56" s="7" t="n"/>
      <c r="L56" s="40" t="n"/>
      <c r="M56">
        <f>IF(AND(L56&lt;&gt;"",N(I56)&gt;0,N(J56)&gt;0),IF(J56=1,I56,ROUND(I56*(1+J56/30),1)),"")</f>
        <v/>
      </c>
      <c r="N56" s="41">
        <f>IF(M56="","",IF(M56&gt;=PRs!C4,"PR!",""))</f>
        <v/>
      </c>
      <c r="O56" s="7" t="n"/>
    </row>
    <row r="57">
      <c r="C57" t="inlineStr">
        <is>
          <t xml:space="preserve">      Set 3</t>
        </is>
      </c>
      <c r="E57" t="n">
        <v>8</v>
      </c>
      <c r="H57" s="39">
        <f>IF(H54="","",H54)</f>
        <v/>
      </c>
      <c r="I57" s="7">
        <f>IF(H54="","",H54)</f>
        <v/>
      </c>
      <c r="J57" s="7" t="n">
        <v>8</v>
      </c>
      <c r="K57" s="7" t="n"/>
      <c r="L57" s="40" t="n"/>
      <c r="M57">
        <f>IF(AND(L57&lt;&gt;"",N(I57)&gt;0,N(J57)&gt;0),IF(J57=1,I57,ROUND(I57*(1+J57/30),1)),"")</f>
        <v/>
      </c>
      <c r="N57" s="41">
        <f>IF(M57="","",IF(M57&gt;=PRs!C4,"PR!",""))</f>
        <v/>
      </c>
      <c r="O57" s="7" t="n"/>
    </row>
    <row r="58">
      <c r="A58" s="34" t="n"/>
      <c r="B58" s="34" t="n"/>
      <c r="C58" s="43" t="inlineStr">
        <is>
          <t>Chin-up</t>
        </is>
      </c>
      <c r="D58" s="34" t="inlineStr">
        <is>
          <t>4 x 6-10</t>
        </is>
      </c>
      <c r="E58" s="34" t="n"/>
      <c r="F58" s="34" t="n"/>
      <c r="G58" s="36" t="n"/>
      <c r="H58" s="37" t="n"/>
      <c r="I58" s="34" t="n"/>
      <c r="J58" s="34" t="n"/>
      <c r="K58" s="34" t="n"/>
      <c r="L58" s="34" t="n"/>
      <c r="M58" s="34" t="n"/>
      <c r="N58" s="34" t="n"/>
      <c r="O58" s="38" t="inlineStr">
        <is>
          <t>Leave 1-2 reps in the tank; add weight when you hit the top of the range</t>
        </is>
      </c>
    </row>
    <row r="59">
      <c r="C59" t="inlineStr">
        <is>
          <t xml:space="preserve">      Set 1</t>
        </is>
      </c>
      <c r="E59" t="n">
        <v>6</v>
      </c>
      <c r="H59" s="39">
        <f>IF(H58="","",H58)</f>
        <v/>
      </c>
      <c r="I59" s="7">
        <f>IF(H58="","",H58)</f>
        <v/>
      </c>
      <c r="J59" s="7" t="n">
        <v>6</v>
      </c>
      <c r="K59" s="7" t="n"/>
      <c r="L59" s="40" t="n"/>
      <c r="M59">
        <f>IF(AND(L59&lt;&gt;"",N(I59)&gt;0,N(J59)&gt;0),IF(J59=1,I59,ROUND(I59*(1+J59/30),1)),"")</f>
        <v/>
      </c>
      <c r="N59" s="41">
        <f>IF(M59="","",IF(M59&gt;=PRs!C53,"PR!",""))</f>
        <v/>
      </c>
      <c r="O59" s="7" t="n"/>
    </row>
    <row r="60">
      <c r="C60" t="inlineStr">
        <is>
          <t xml:space="preserve">      Set 2</t>
        </is>
      </c>
      <c r="E60" t="n">
        <v>6</v>
      </c>
      <c r="H60" s="39">
        <f>IF(H58="","",H58)</f>
        <v/>
      </c>
      <c r="I60" s="7">
        <f>IF(H58="","",H58)</f>
        <v/>
      </c>
      <c r="J60" s="7" t="n">
        <v>6</v>
      </c>
      <c r="K60" s="7" t="n"/>
      <c r="L60" s="40" t="n"/>
      <c r="M60">
        <f>IF(AND(L60&lt;&gt;"",N(I60)&gt;0,N(J60)&gt;0),IF(J60=1,I60,ROUND(I60*(1+J60/30),1)),"")</f>
        <v/>
      </c>
      <c r="N60" s="41">
        <f>IF(M60="","",IF(M60&gt;=PRs!C53,"PR!",""))</f>
        <v/>
      </c>
      <c r="O60" s="7" t="n"/>
    </row>
    <row r="61">
      <c r="C61" t="inlineStr">
        <is>
          <t xml:space="preserve">      Set 3</t>
        </is>
      </c>
      <c r="E61" t="n">
        <v>6</v>
      </c>
      <c r="H61" s="39">
        <f>IF(H58="","",H58)</f>
        <v/>
      </c>
      <c r="I61" s="7">
        <f>IF(H58="","",H58)</f>
        <v/>
      </c>
      <c r="J61" s="7" t="n">
        <v>6</v>
      </c>
      <c r="K61" s="7" t="n"/>
      <c r="L61" s="40" t="n"/>
      <c r="M61">
        <f>IF(AND(L61&lt;&gt;"",N(I61)&gt;0,N(J61)&gt;0),IF(J61=1,I61,ROUND(I61*(1+J61/30),1)),"")</f>
        <v/>
      </c>
      <c r="N61" s="41">
        <f>IF(M61="","",IF(M61&gt;=PRs!C53,"PR!",""))</f>
        <v/>
      </c>
      <c r="O61" s="7" t="n"/>
    </row>
    <row r="62">
      <c r="C62" t="inlineStr">
        <is>
          <t xml:space="preserve">      Set 4</t>
        </is>
      </c>
      <c r="E62" t="n">
        <v>6</v>
      </c>
      <c r="H62" s="39">
        <f>IF(H58="","",H58)</f>
        <v/>
      </c>
      <c r="I62" s="7">
        <f>IF(H58="","",H58)</f>
        <v/>
      </c>
      <c r="J62" s="7" t="n">
        <v>6</v>
      </c>
      <c r="K62" s="7" t="n"/>
      <c r="L62" s="40" t="n"/>
      <c r="M62">
        <f>IF(AND(L62&lt;&gt;"",N(I62)&gt;0,N(J62)&gt;0),IF(J62=1,I62,ROUND(I62*(1+J62/30),1)),"")</f>
        <v/>
      </c>
      <c r="N62" s="41">
        <f>IF(M62="","",IF(M62&gt;=PRs!C53,"PR!",""))</f>
        <v/>
      </c>
      <c r="O62" s="7" t="n"/>
    </row>
    <row r="63">
      <c r="A63" s="34" t="n"/>
      <c r="B63" s="34" t="n"/>
      <c r="C63" s="43" t="inlineStr">
        <is>
          <t>Plank</t>
        </is>
      </c>
      <c r="D63" s="34" t="inlineStr">
        <is>
          <t>4 x 30-60s</t>
        </is>
      </c>
      <c r="E63" s="34" t="n"/>
      <c r="F63" s="34" t="n"/>
      <c r="G63" s="36" t="n"/>
      <c r="H63" s="37" t="n"/>
      <c r="I63" s="34" t="n"/>
      <c r="J63" s="34" t="n"/>
      <c r="K63" s="34" t="n"/>
      <c r="L63" s="34" t="n"/>
      <c r="M63" s="34" t="n"/>
      <c r="N63" s="34" t="n"/>
      <c r="O63" s="38" t="inlineStr">
        <is>
          <t>Leave 1-2 reps in the tank; add weight when you hit the top of the range</t>
        </is>
      </c>
    </row>
    <row r="64">
      <c r="C64" t="inlineStr">
        <is>
          <t xml:space="preserve">      Set 1</t>
        </is>
      </c>
      <c r="E64" t="n">
        <v>30</v>
      </c>
      <c r="H64" s="39">
        <f>IF(H63="","",H63)</f>
        <v/>
      </c>
      <c r="I64" s="7">
        <f>IF(H63="","",H63)</f>
        <v/>
      </c>
      <c r="J64" s="7" t="n">
        <v>30</v>
      </c>
      <c r="K64" s="7" t="n"/>
      <c r="L64" s="40" t="n"/>
      <c r="M64">
        <f>IF(AND(L64&lt;&gt;"",N(I64)&gt;0,N(J64)&gt;0),IF(J64=1,I64,ROUND(I64*(1+J64/30),1)),"")</f>
        <v/>
      </c>
      <c r="N64" s="41">
        <f>IF(M64="","",IF(M64&gt;=PRs!C56,"PR!",""))</f>
        <v/>
      </c>
      <c r="O64" s="7" t="n"/>
    </row>
    <row r="65">
      <c r="C65" t="inlineStr">
        <is>
          <t xml:space="preserve">      Set 2</t>
        </is>
      </c>
      <c r="E65" t="n">
        <v>30</v>
      </c>
      <c r="H65" s="39">
        <f>IF(H63="","",H63)</f>
        <v/>
      </c>
      <c r="I65" s="7">
        <f>IF(H63="","",H63)</f>
        <v/>
      </c>
      <c r="J65" s="7" t="n">
        <v>30</v>
      </c>
      <c r="K65" s="7" t="n"/>
      <c r="L65" s="40" t="n"/>
      <c r="M65">
        <f>IF(AND(L65&lt;&gt;"",N(I65)&gt;0,N(J65)&gt;0),IF(J65=1,I65,ROUND(I65*(1+J65/30),1)),"")</f>
        <v/>
      </c>
      <c r="N65" s="41">
        <f>IF(M65="","",IF(M65&gt;=PRs!C56,"PR!",""))</f>
        <v/>
      </c>
      <c r="O65" s="7" t="n"/>
    </row>
    <row r="66">
      <c r="C66" t="inlineStr">
        <is>
          <t xml:space="preserve">      Set 3</t>
        </is>
      </c>
      <c r="E66" t="n">
        <v>30</v>
      </c>
      <c r="H66" s="39">
        <f>IF(H63="","",H63)</f>
        <v/>
      </c>
      <c r="I66" s="7">
        <f>IF(H63="","",H63)</f>
        <v/>
      </c>
      <c r="J66" s="7" t="n">
        <v>30</v>
      </c>
      <c r="K66" s="7" t="n"/>
      <c r="L66" s="40" t="n"/>
      <c r="M66">
        <f>IF(AND(L66&lt;&gt;"",N(I66)&gt;0,N(J66)&gt;0),IF(J66=1,I66,ROUND(I66*(1+J66/30),1)),"")</f>
        <v/>
      </c>
      <c r="N66" s="41">
        <f>IF(M66="","",IF(M66&gt;=PRs!C56,"PR!",""))</f>
        <v/>
      </c>
      <c r="O66" s="7" t="n"/>
    </row>
    <row r="67">
      <c r="C67" t="inlineStr">
        <is>
          <t xml:space="preserve">      Set 4</t>
        </is>
      </c>
      <c r="E67" t="n">
        <v>30</v>
      </c>
      <c r="H67" s="39">
        <f>IF(H63="","",H63)</f>
        <v/>
      </c>
      <c r="I67" s="7">
        <f>IF(H63="","",H63)</f>
        <v/>
      </c>
      <c r="J67" s="7" t="n">
        <v>30</v>
      </c>
      <c r="K67" s="7" t="n"/>
      <c r="L67" s="40" t="n"/>
      <c r="M67">
        <f>IF(AND(L67&lt;&gt;"",N(I67)&gt;0,N(J67)&gt;0),IF(J67=1,I67,ROUND(I67*(1+J67/30),1)),"")</f>
        <v/>
      </c>
      <c r="N67" s="41">
        <f>IF(M67="","",IF(M67&gt;=PRs!C56,"PR!",""))</f>
        <v/>
      </c>
      <c r="O67" s="7" t="n"/>
    </row>
    <row r="68">
      <c r="A68" s="31" t="inlineStr">
        <is>
          <t>Day 3 - Variations</t>
        </is>
      </c>
      <c r="B68" s="32">
        <f>'Start Here'!$B$8+340</f>
        <v/>
      </c>
      <c r="C68" s="33" t="n"/>
      <c r="D68" s="33" t="n"/>
      <c r="E68" s="33" t="n"/>
      <c r="F68" s="33" t="n"/>
      <c r="G68" s="33" t="n"/>
      <c r="H68" s="33" t="n"/>
      <c r="I68" s="33" t="n"/>
      <c r="J68" s="33" t="n"/>
      <c r="K68" s="33" t="n"/>
      <c r="L68" s="33" t="n"/>
      <c r="M68" s="33" t="n"/>
      <c r="N68" s="33" t="n"/>
      <c r="O68" s="33" t="n"/>
    </row>
    <row r="69">
      <c r="A69" s="34" t="n"/>
      <c r="B69" s="34" t="n"/>
      <c r="C69" s="35" t="inlineStr">
        <is>
          <t>Depth Jump</t>
        </is>
      </c>
      <c r="D69" s="34" t="inlineStr">
        <is>
          <t>3 x 3</t>
        </is>
      </c>
      <c r="E69" s="34" t="n"/>
      <c r="F69" s="34" t="n"/>
      <c r="G69" s="36" t="n"/>
      <c r="H69" s="37">
        <f>IF(N(Maxes!I72)&gt;0,Maxes!I72,"")</f>
        <v/>
      </c>
      <c r="I69" s="34" t="n"/>
      <c r="J69" s="34" t="n"/>
      <c r="K69" s="34" t="n"/>
      <c r="L69" s="34" t="n"/>
      <c r="M69" s="34" t="n"/>
      <c r="N69" s="34" t="n"/>
      <c r="O69" s="38" t="inlineStr">
        <is>
          <t>Step off a low box (12-18 in / 30-45 cm), land and rebound straight up as fast as possible. Log the drop-box height.</t>
        </is>
      </c>
    </row>
    <row r="70">
      <c r="C70" t="inlineStr">
        <is>
          <t xml:space="preserve">      Set 1</t>
        </is>
      </c>
      <c r="E70" t="n">
        <v>3</v>
      </c>
      <c r="H70" s="39">
        <f>IF(H69="","",H69)</f>
        <v/>
      </c>
      <c r="I70" s="7">
        <f>IF(H69="","",H69)</f>
        <v/>
      </c>
      <c r="J70" s="7" t="n">
        <v>3</v>
      </c>
      <c r="K70" s="7" t="n"/>
      <c r="L70" s="40" t="n"/>
      <c r="N70" s="41">
        <f>IF(AND(L70&lt;&gt;"",N(I70)&gt;0),IF(I70&gt;=PRs!D72,"PR!",""),"")</f>
        <v/>
      </c>
      <c r="O70" s="7" t="n"/>
    </row>
    <row r="71">
      <c r="C71" t="inlineStr">
        <is>
          <t xml:space="preserve">      Set 2</t>
        </is>
      </c>
      <c r="E71" t="n">
        <v>3</v>
      </c>
      <c r="H71" s="39">
        <f>IF(H69="","",H69)</f>
        <v/>
      </c>
      <c r="I71" s="7">
        <f>IF(H69="","",H69)</f>
        <v/>
      </c>
      <c r="J71" s="7" t="n">
        <v>3</v>
      </c>
      <c r="K71" s="7" t="n"/>
      <c r="L71" s="40" t="n"/>
      <c r="N71" s="41">
        <f>IF(AND(L71&lt;&gt;"",N(I71)&gt;0),IF(I71&gt;=PRs!D72,"PR!",""),"")</f>
        <v/>
      </c>
      <c r="O71" s="7" t="n"/>
    </row>
    <row r="72">
      <c r="C72" t="inlineStr">
        <is>
          <t xml:space="preserve">      Set 3</t>
        </is>
      </c>
      <c r="E72" t="n">
        <v>3</v>
      </c>
      <c r="H72" s="39">
        <f>IF(H69="","",H69)</f>
        <v/>
      </c>
      <c r="I72" s="7">
        <f>IF(H69="","",H69)</f>
        <v/>
      </c>
      <c r="J72" s="7" t="n">
        <v>3</v>
      </c>
      <c r="K72" s="7" t="n"/>
      <c r="L72" s="40" t="n"/>
      <c r="N72" s="41">
        <f>IF(AND(L72&lt;&gt;"",N(I72)&gt;0),IF(I72&gt;=PRs!D72,"PR!",""),"")</f>
        <v/>
      </c>
      <c r="O72" s="7" t="n"/>
    </row>
    <row r="73">
      <c r="A73" s="34" t="n"/>
      <c r="B73" s="34" t="n"/>
      <c r="C73" s="42" t="inlineStr">
        <is>
          <t>Snatch Balance</t>
        </is>
      </c>
      <c r="D73" s="34" t="inlineStr">
        <is>
          <t>3 x 3</t>
        </is>
      </c>
      <c r="E73" s="34" t="n"/>
      <c r="F73" s="34" t="n">
        <v>60</v>
      </c>
      <c r="G73" s="36">
        <f>Maxes!I38</f>
        <v/>
      </c>
      <c r="H73" s="37">
        <f>IF(OR(G73="",F73=""),"",MROUND(G73*F73/100,'Start Here'!$B$7))</f>
        <v/>
      </c>
      <c r="I73" s="34" t="n"/>
      <c r="J73" s="34" t="n"/>
      <c r="K73" s="34" t="n"/>
      <c r="L73" s="34" t="n"/>
      <c r="M73" s="34" t="n"/>
      <c r="N73" s="34" t="n"/>
      <c r="O73" s="38" t="inlineStr">
        <is>
          <t>Easy volume - stay 3+ reps from failure</t>
        </is>
      </c>
    </row>
    <row r="74">
      <c r="C74" t="inlineStr">
        <is>
          <t xml:space="preserve">      Set 1</t>
        </is>
      </c>
      <c r="E74" t="n">
        <v>3</v>
      </c>
      <c r="H74" s="39">
        <f>IF(H73="","",H73)</f>
        <v/>
      </c>
      <c r="I74" s="7">
        <f>IF(H73="","",H73)</f>
        <v/>
      </c>
      <c r="J74" s="7" t="n">
        <v>3</v>
      </c>
      <c r="K74" s="7" t="n"/>
      <c r="L74" s="40" t="n"/>
      <c r="M74">
        <f>IF(AND(L74&lt;&gt;"",N(I74)&gt;0,N(J74)&gt;0),IF(J74=1,I74,ROUND(I74*(1+J74/30),1)),"")</f>
        <v/>
      </c>
      <c r="N74" s="41">
        <f>IF(M74="","",IF(M74&gt;=PRs!C38,"PR!",""))</f>
        <v/>
      </c>
      <c r="O74" s="7" t="n"/>
    </row>
    <row r="75">
      <c r="C75" t="inlineStr">
        <is>
          <t xml:space="preserve">      Set 2</t>
        </is>
      </c>
      <c r="E75" t="n">
        <v>3</v>
      </c>
      <c r="H75" s="39">
        <f>IF(H73="","",H73)</f>
        <v/>
      </c>
      <c r="I75" s="7">
        <f>IF(H73="","",H73)</f>
        <v/>
      </c>
      <c r="J75" s="7" t="n">
        <v>3</v>
      </c>
      <c r="K75" s="7" t="n"/>
      <c r="L75" s="40" t="n"/>
      <c r="M75">
        <f>IF(AND(L75&lt;&gt;"",N(I75)&gt;0,N(J75)&gt;0),IF(J75=1,I75,ROUND(I75*(1+J75/30),1)),"")</f>
        <v/>
      </c>
      <c r="N75" s="41">
        <f>IF(M75="","",IF(M75&gt;=PRs!C38,"PR!",""))</f>
        <v/>
      </c>
      <c r="O75" s="7" t="n"/>
    </row>
    <row r="76">
      <c r="C76" t="inlineStr">
        <is>
          <t xml:space="preserve">      Set 3</t>
        </is>
      </c>
      <c r="E76" t="n">
        <v>3</v>
      </c>
      <c r="H76" s="39">
        <f>IF(H73="","",H73)</f>
        <v/>
      </c>
      <c r="I76" s="7">
        <f>IF(H73="","",H73)</f>
        <v/>
      </c>
      <c r="J76" s="7" t="n">
        <v>3</v>
      </c>
      <c r="K76" s="7" t="n"/>
      <c r="L76" s="40" t="n"/>
      <c r="M76">
        <f>IF(AND(L76&lt;&gt;"",N(I76)&gt;0,N(J76)&gt;0),IF(J76=1,I76,ROUND(I76*(1+J76/30),1)),"")</f>
        <v/>
      </c>
      <c r="N76" s="41">
        <f>IF(M76="","",IF(M76&gt;=PRs!C38,"PR!",""))</f>
        <v/>
      </c>
      <c r="O76" s="7" t="n"/>
    </row>
    <row r="77">
      <c r="A77" s="34" t="n"/>
      <c r="B77" s="34" t="n"/>
      <c r="C77" s="42" t="inlineStr">
        <is>
          <t>Front Squat</t>
        </is>
      </c>
      <c r="D77" s="34" t="inlineStr">
        <is>
          <t>3 x 8</t>
        </is>
      </c>
      <c r="E77" s="34" t="n"/>
      <c r="F77" s="34" t="n">
        <v>60</v>
      </c>
      <c r="G77" s="36">
        <f>Maxes!I10</f>
        <v/>
      </c>
      <c r="H77" s="37">
        <f>IF(OR(G77="",F77=""),"",MROUND(G77*F77/100,'Start Here'!$B$7))</f>
        <v/>
      </c>
      <c r="I77" s="34" t="n"/>
      <c r="J77" s="34" t="n"/>
      <c r="K77" s="34" t="n"/>
      <c r="L77" s="34" t="n"/>
      <c r="M77" s="34" t="n"/>
      <c r="N77" s="34" t="n"/>
      <c r="O77" s="38" t="inlineStr">
        <is>
          <t>Easy volume - stay 3+ reps from failure</t>
        </is>
      </c>
    </row>
    <row r="78">
      <c r="C78" t="inlineStr">
        <is>
          <t xml:space="preserve">      Set 1</t>
        </is>
      </c>
      <c r="E78" t="n">
        <v>8</v>
      </c>
      <c r="H78" s="39">
        <f>IF(H77="","",H77)</f>
        <v/>
      </c>
      <c r="I78" s="7">
        <f>IF(H77="","",H77)</f>
        <v/>
      </c>
      <c r="J78" s="7" t="n">
        <v>8</v>
      </c>
      <c r="K78" s="7" t="n"/>
      <c r="L78" s="40" t="n"/>
      <c r="M78">
        <f>IF(AND(L78&lt;&gt;"",N(I78)&gt;0,N(J78)&gt;0),IF(J78=1,I78,ROUND(I78*(1+J78/30),1)),"")</f>
        <v/>
      </c>
      <c r="N78" s="41">
        <f>IF(M78="","",IF(M78&gt;=PRs!C10,"PR!",""))</f>
        <v/>
      </c>
      <c r="O78" s="7" t="n"/>
    </row>
    <row r="79">
      <c r="C79" t="inlineStr">
        <is>
          <t xml:space="preserve">      Set 2</t>
        </is>
      </c>
      <c r="E79" t="n">
        <v>8</v>
      </c>
      <c r="H79" s="39">
        <f>IF(H77="","",H77)</f>
        <v/>
      </c>
      <c r="I79" s="7">
        <f>IF(H77="","",H77)</f>
        <v/>
      </c>
      <c r="J79" s="7" t="n">
        <v>8</v>
      </c>
      <c r="K79" s="7" t="n"/>
      <c r="L79" s="40" t="n"/>
      <c r="M79">
        <f>IF(AND(L79&lt;&gt;"",N(I79)&gt;0,N(J79)&gt;0),IF(J79=1,I79,ROUND(I79*(1+J79/30),1)),"")</f>
        <v/>
      </c>
      <c r="N79" s="41">
        <f>IF(M79="","",IF(M79&gt;=PRs!C10,"PR!",""))</f>
        <v/>
      </c>
      <c r="O79" s="7" t="n"/>
    </row>
    <row r="80">
      <c r="C80" t="inlineStr">
        <is>
          <t xml:space="preserve">      Set 3</t>
        </is>
      </c>
      <c r="E80" t="n">
        <v>8</v>
      </c>
      <c r="H80" s="39">
        <f>IF(H77="","",H77)</f>
        <v/>
      </c>
      <c r="I80" s="7">
        <f>IF(H77="","",H77)</f>
        <v/>
      </c>
      <c r="J80" s="7" t="n">
        <v>8</v>
      </c>
      <c r="K80" s="7" t="n"/>
      <c r="L80" s="40" t="n"/>
      <c r="M80">
        <f>IF(AND(L80&lt;&gt;"",N(I80)&gt;0,N(J80)&gt;0),IF(J80=1,I80,ROUND(I80*(1+J80/30),1)),"")</f>
        <v/>
      </c>
      <c r="N80" s="41">
        <f>IF(M80="","",IF(M80&gt;=PRs!C10,"PR!",""))</f>
        <v/>
      </c>
      <c r="O80" s="7" t="n"/>
    </row>
    <row r="81">
      <c r="A81" s="34" t="n"/>
      <c r="B81" s="34" t="n"/>
      <c r="C81" s="42" t="inlineStr">
        <is>
          <t>3-Board Press</t>
        </is>
      </c>
      <c r="D81" s="34" t="inlineStr">
        <is>
          <t>3 x 8</t>
        </is>
      </c>
      <c r="E81" s="34" t="n"/>
      <c r="F81" s="34" t="n">
        <v>60</v>
      </c>
      <c r="G81" s="36">
        <f>Maxes!I17</f>
        <v/>
      </c>
      <c r="H81" s="37">
        <f>IF(OR(G81="",F81=""),"",MROUND(G81*F81/100,'Start Here'!$B$7))</f>
        <v/>
      </c>
      <c r="I81" s="34" t="n"/>
      <c r="J81" s="34" t="n"/>
      <c r="K81" s="34" t="n"/>
      <c r="L81" s="34" t="n"/>
      <c r="M81" s="34" t="n"/>
      <c r="N81" s="34" t="n"/>
      <c r="O81" s="38" t="inlineStr">
        <is>
          <t>Easy volume - stay 3+ reps from failure</t>
        </is>
      </c>
    </row>
    <row r="82">
      <c r="C82" t="inlineStr">
        <is>
          <t xml:space="preserve">      Set 1</t>
        </is>
      </c>
      <c r="E82" t="n">
        <v>8</v>
      </c>
      <c r="H82" s="39">
        <f>IF(H81="","",H81)</f>
        <v/>
      </c>
      <c r="I82" s="7">
        <f>IF(H81="","",H81)</f>
        <v/>
      </c>
      <c r="J82" s="7" t="n">
        <v>8</v>
      </c>
      <c r="K82" s="7" t="n"/>
      <c r="L82" s="40" t="n"/>
      <c r="M82">
        <f>IF(AND(L82&lt;&gt;"",N(I82)&gt;0,N(J82)&gt;0),IF(J82=1,I82,ROUND(I82*(1+J82/30),1)),"")</f>
        <v/>
      </c>
      <c r="N82" s="41">
        <f>IF(M82="","",IF(M82&gt;=PRs!C17,"PR!",""))</f>
        <v/>
      </c>
      <c r="O82" s="7" t="n"/>
    </row>
    <row r="83">
      <c r="C83" t="inlineStr">
        <is>
          <t xml:space="preserve">      Set 2</t>
        </is>
      </c>
      <c r="E83" t="n">
        <v>8</v>
      </c>
      <c r="H83" s="39">
        <f>IF(H81="","",H81)</f>
        <v/>
      </c>
      <c r="I83" s="7">
        <f>IF(H81="","",H81)</f>
        <v/>
      </c>
      <c r="J83" s="7" t="n">
        <v>8</v>
      </c>
      <c r="K83" s="7" t="n"/>
      <c r="L83" s="40" t="n"/>
      <c r="M83">
        <f>IF(AND(L83&lt;&gt;"",N(I83)&gt;0,N(J83)&gt;0),IF(J83=1,I83,ROUND(I83*(1+J83/30),1)),"")</f>
        <v/>
      </c>
      <c r="N83" s="41">
        <f>IF(M83="","",IF(M83&gt;=PRs!C17,"PR!",""))</f>
        <v/>
      </c>
      <c r="O83" s="7" t="n"/>
    </row>
    <row r="84">
      <c r="C84" t="inlineStr">
        <is>
          <t xml:space="preserve">      Set 3</t>
        </is>
      </c>
      <c r="E84" t="n">
        <v>8</v>
      </c>
      <c r="H84" s="39">
        <f>IF(H81="","",H81)</f>
        <v/>
      </c>
      <c r="I84" s="7">
        <f>IF(H81="","",H81)</f>
        <v/>
      </c>
      <c r="J84" s="7" t="n">
        <v>8</v>
      </c>
      <c r="K84" s="7" t="n"/>
      <c r="L84" s="40" t="n"/>
      <c r="M84">
        <f>IF(AND(L84&lt;&gt;"",N(I84)&gt;0,N(J84)&gt;0),IF(J84=1,I84,ROUND(I84*(1+J84/30),1)),"")</f>
        <v/>
      </c>
      <c r="N84" s="41">
        <f>IF(M84="","",IF(M84&gt;=PRs!C17,"PR!",""))</f>
        <v/>
      </c>
      <c r="O84" s="7" t="n"/>
    </row>
    <row r="85">
      <c r="A85" s="34" t="n"/>
      <c r="B85" s="34" t="n"/>
      <c r="C85" s="42" t="inlineStr">
        <is>
          <t>Romanian Deadlift</t>
        </is>
      </c>
      <c r="D85" s="34" t="inlineStr">
        <is>
          <t>3 x 8</t>
        </is>
      </c>
      <c r="E85" s="34" t="n"/>
      <c r="F85" s="34" t="n">
        <v>60</v>
      </c>
      <c r="G85" s="36">
        <f>Maxes!I23</f>
        <v/>
      </c>
      <c r="H85" s="37">
        <f>IF(OR(G85="",F85=""),"",MROUND(G85*F85/100,'Start Here'!$B$7))</f>
        <v/>
      </c>
      <c r="I85" s="34" t="n"/>
      <c r="J85" s="34" t="n"/>
      <c r="K85" s="34" t="n"/>
      <c r="L85" s="34" t="n"/>
      <c r="M85" s="34" t="n"/>
      <c r="N85" s="34" t="n"/>
      <c r="O85" s="38" t="inlineStr">
        <is>
          <t>Easy volume - stay 3+ reps from failure</t>
        </is>
      </c>
    </row>
    <row r="86">
      <c r="C86" t="inlineStr">
        <is>
          <t xml:space="preserve">      Set 1</t>
        </is>
      </c>
      <c r="E86" t="n">
        <v>8</v>
      </c>
      <c r="H86" s="39">
        <f>IF(H85="","",H85)</f>
        <v/>
      </c>
      <c r="I86" s="7">
        <f>IF(H85="","",H85)</f>
        <v/>
      </c>
      <c r="J86" s="7" t="n">
        <v>8</v>
      </c>
      <c r="K86" s="7" t="n"/>
      <c r="L86" s="40" t="n"/>
      <c r="M86">
        <f>IF(AND(L86&lt;&gt;"",N(I86)&gt;0,N(J86)&gt;0),IF(J86=1,I86,ROUND(I86*(1+J86/30),1)),"")</f>
        <v/>
      </c>
      <c r="N86" s="41">
        <f>IF(M86="","",IF(M86&gt;=PRs!C23,"PR!",""))</f>
        <v/>
      </c>
      <c r="O86" s="7" t="n"/>
    </row>
    <row r="87">
      <c r="C87" t="inlineStr">
        <is>
          <t xml:space="preserve">      Set 2</t>
        </is>
      </c>
      <c r="E87" t="n">
        <v>8</v>
      </c>
      <c r="H87" s="39">
        <f>IF(H85="","",H85)</f>
        <v/>
      </c>
      <c r="I87" s="7">
        <f>IF(H85="","",H85)</f>
        <v/>
      </c>
      <c r="J87" s="7" t="n">
        <v>8</v>
      </c>
      <c r="K87" s="7" t="n"/>
      <c r="L87" s="40" t="n"/>
      <c r="M87">
        <f>IF(AND(L87&lt;&gt;"",N(I87)&gt;0,N(J87)&gt;0),IF(J87=1,I87,ROUND(I87*(1+J87/30),1)),"")</f>
        <v/>
      </c>
      <c r="N87" s="41">
        <f>IF(M87="","",IF(M87&gt;=PRs!C23,"PR!",""))</f>
        <v/>
      </c>
      <c r="O87" s="7" t="n"/>
    </row>
    <row r="88">
      <c r="C88" t="inlineStr">
        <is>
          <t xml:space="preserve">      Set 3</t>
        </is>
      </c>
      <c r="E88" t="n">
        <v>8</v>
      </c>
      <c r="H88" s="39">
        <f>IF(H85="","",H85)</f>
        <v/>
      </c>
      <c r="I88" s="7">
        <f>IF(H85="","",H85)</f>
        <v/>
      </c>
      <c r="J88" s="7" t="n">
        <v>8</v>
      </c>
      <c r="K88" s="7" t="n"/>
      <c r="L88" s="40" t="n"/>
      <c r="M88">
        <f>IF(AND(L88&lt;&gt;"",N(I88)&gt;0,N(J88)&gt;0),IF(J88=1,I88,ROUND(I88*(1+J88/30),1)),"")</f>
        <v/>
      </c>
      <c r="N88" s="41">
        <f>IF(M88="","",IF(M88&gt;=PRs!C23,"PR!",""))</f>
        <v/>
      </c>
      <c r="O88" s="7" t="n"/>
    </row>
    <row r="89">
      <c r="A89" s="34" t="n"/>
      <c r="B89" s="34" t="n"/>
      <c r="C89" s="43" t="inlineStr">
        <is>
          <t>Incline Dumbbell Press</t>
        </is>
      </c>
      <c r="D89" s="34" t="inlineStr">
        <is>
          <t>4 x 8-12</t>
        </is>
      </c>
      <c r="E89" s="34" t="n"/>
      <c r="F89" s="34" t="n"/>
      <c r="G89" s="36" t="n"/>
      <c r="H89" s="37" t="n"/>
      <c r="I89" s="34" t="n"/>
      <c r="J89" s="34" t="n"/>
      <c r="K89" s="34" t="n"/>
      <c r="L89" s="34" t="n"/>
      <c r="M89" s="34" t="n"/>
      <c r="N89" s="34" t="n"/>
      <c r="O89" s="38" t="inlineStr">
        <is>
          <t>Leave 1-2 reps in the tank; add weight when you hit the top of the range</t>
        </is>
      </c>
    </row>
    <row r="90">
      <c r="C90" t="inlineStr">
        <is>
          <t xml:space="preserve">      Set 1</t>
        </is>
      </c>
      <c r="E90" t="n">
        <v>8</v>
      </c>
      <c r="H90" s="39">
        <f>IF(H89="","",H89)</f>
        <v/>
      </c>
      <c r="I90" s="7">
        <f>IF(H89="","",H89)</f>
        <v/>
      </c>
      <c r="J90" s="7" t="n">
        <v>8</v>
      </c>
      <c r="K90" s="7" t="n"/>
      <c r="L90" s="40" t="n"/>
      <c r="M90">
        <f>IF(AND(L90&lt;&gt;"",N(I90)&gt;0,N(J90)&gt;0),IF(J90=1,I90,ROUND(I90*(1+J90/30),1)),"")</f>
        <v/>
      </c>
      <c r="N90" s="41">
        <f>IF(M90="","",IF(M90&gt;=PRs!C57,"PR!",""))</f>
        <v/>
      </c>
      <c r="O90" s="7" t="n"/>
    </row>
    <row r="91">
      <c r="C91" t="inlineStr">
        <is>
          <t xml:space="preserve">      Set 2</t>
        </is>
      </c>
      <c r="E91" t="n">
        <v>8</v>
      </c>
      <c r="H91" s="39">
        <f>IF(H89="","",H89)</f>
        <v/>
      </c>
      <c r="I91" s="7">
        <f>IF(H89="","",H89)</f>
        <v/>
      </c>
      <c r="J91" s="7" t="n">
        <v>8</v>
      </c>
      <c r="K91" s="7" t="n"/>
      <c r="L91" s="40" t="n"/>
      <c r="M91">
        <f>IF(AND(L91&lt;&gt;"",N(I91)&gt;0,N(J91)&gt;0),IF(J91=1,I91,ROUND(I91*(1+J91/30),1)),"")</f>
        <v/>
      </c>
      <c r="N91" s="41">
        <f>IF(M91="","",IF(M91&gt;=PRs!C57,"PR!",""))</f>
        <v/>
      </c>
      <c r="O91" s="7" t="n"/>
    </row>
    <row r="92">
      <c r="C92" t="inlineStr">
        <is>
          <t xml:space="preserve">      Set 3</t>
        </is>
      </c>
      <c r="E92" t="n">
        <v>8</v>
      </c>
      <c r="H92" s="39">
        <f>IF(H89="","",H89)</f>
        <v/>
      </c>
      <c r="I92" s="7">
        <f>IF(H89="","",H89)</f>
        <v/>
      </c>
      <c r="J92" s="7" t="n">
        <v>8</v>
      </c>
      <c r="K92" s="7" t="n"/>
      <c r="L92" s="40" t="n"/>
      <c r="M92">
        <f>IF(AND(L92&lt;&gt;"",N(I92)&gt;0,N(J92)&gt;0),IF(J92=1,I92,ROUND(I92*(1+J92/30),1)),"")</f>
        <v/>
      </c>
      <c r="N92" s="41">
        <f>IF(M92="","",IF(M92&gt;=PRs!C57,"PR!",""))</f>
        <v/>
      </c>
      <c r="O92" s="7" t="n"/>
    </row>
    <row r="93">
      <c r="C93" t="inlineStr">
        <is>
          <t xml:space="preserve">      Set 4</t>
        </is>
      </c>
      <c r="E93" t="n">
        <v>8</v>
      </c>
      <c r="H93" s="39">
        <f>IF(H89="","",H89)</f>
        <v/>
      </c>
      <c r="I93" s="7">
        <f>IF(H89="","",H89)</f>
        <v/>
      </c>
      <c r="J93" s="7" t="n">
        <v>8</v>
      </c>
      <c r="K93" s="7" t="n"/>
      <c r="L93" s="40" t="n"/>
      <c r="M93">
        <f>IF(AND(L93&lt;&gt;"",N(I93)&gt;0,N(J93)&gt;0),IF(J93=1,I93,ROUND(I93*(1+J93/30),1)),"")</f>
        <v/>
      </c>
      <c r="N93" s="41">
        <f>IF(M93="","",IF(M93&gt;=PRs!C57,"PR!",""))</f>
        <v/>
      </c>
      <c r="O93" s="7" t="n"/>
    </row>
    <row r="94">
      <c r="A94" s="34" t="n"/>
      <c r="B94" s="34" t="n"/>
      <c r="C94" s="43" t="inlineStr">
        <is>
          <t>Triceps Pushdown</t>
        </is>
      </c>
      <c r="D94" s="34" t="inlineStr">
        <is>
          <t>4 x 10-15</t>
        </is>
      </c>
      <c r="E94" s="34" t="n"/>
      <c r="F94" s="34" t="n"/>
      <c r="G94" s="36" t="n"/>
      <c r="H94" s="37" t="n"/>
      <c r="I94" s="34" t="n"/>
      <c r="J94" s="34" t="n"/>
      <c r="K94" s="34" t="n"/>
      <c r="L94" s="34" t="n"/>
      <c r="M94" s="34" t="n"/>
      <c r="N94" s="34" t="n"/>
      <c r="O94" s="38" t="inlineStr">
        <is>
          <t>Leave 1-2 reps in the tank; add weight when you hit the top of the range</t>
        </is>
      </c>
    </row>
    <row r="95">
      <c r="C95" t="inlineStr">
        <is>
          <t xml:space="preserve">      Set 1</t>
        </is>
      </c>
      <c r="E95" t="n">
        <v>10</v>
      </c>
      <c r="H95" s="39">
        <f>IF(H94="","",H94)</f>
        <v/>
      </c>
      <c r="I95" s="7">
        <f>IF(H94="","",H94)</f>
        <v/>
      </c>
      <c r="J95" s="7" t="n">
        <v>10</v>
      </c>
      <c r="K95" s="7" t="n"/>
      <c r="L95" s="40" t="n"/>
      <c r="M95">
        <f>IF(AND(L95&lt;&gt;"",N(I95)&gt;0,N(J95)&gt;0),IF(J95=1,I95,ROUND(I95*(1+J95/30),1)),"")</f>
        <v/>
      </c>
      <c r="N95" s="41">
        <f>IF(M95="","",IF(M95&gt;=PRs!C59,"PR!",""))</f>
        <v/>
      </c>
      <c r="O95" s="7" t="n"/>
    </row>
    <row r="96">
      <c r="C96" t="inlineStr">
        <is>
          <t xml:space="preserve">      Set 2</t>
        </is>
      </c>
      <c r="E96" t="n">
        <v>10</v>
      </c>
      <c r="H96" s="39">
        <f>IF(H94="","",H94)</f>
        <v/>
      </c>
      <c r="I96" s="7">
        <f>IF(H94="","",H94)</f>
        <v/>
      </c>
      <c r="J96" s="7" t="n">
        <v>10</v>
      </c>
      <c r="K96" s="7" t="n"/>
      <c r="L96" s="40" t="n"/>
      <c r="M96">
        <f>IF(AND(L96&lt;&gt;"",N(I96)&gt;0,N(J96)&gt;0),IF(J96=1,I96,ROUND(I96*(1+J96/30),1)),"")</f>
        <v/>
      </c>
      <c r="N96" s="41">
        <f>IF(M96="","",IF(M96&gt;=PRs!C59,"PR!",""))</f>
        <v/>
      </c>
      <c r="O96" s="7" t="n"/>
    </row>
    <row r="97">
      <c r="C97" t="inlineStr">
        <is>
          <t xml:space="preserve">      Set 3</t>
        </is>
      </c>
      <c r="E97" t="n">
        <v>10</v>
      </c>
      <c r="H97" s="39">
        <f>IF(H94="","",H94)</f>
        <v/>
      </c>
      <c r="I97" s="7">
        <f>IF(H94="","",H94)</f>
        <v/>
      </c>
      <c r="J97" s="7" t="n">
        <v>10</v>
      </c>
      <c r="K97" s="7" t="n"/>
      <c r="L97" s="40" t="n"/>
      <c r="M97">
        <f>IF(AND(L97&lt;&gt;"",N(I97)&gt;0,N(J97)&gt;0),IF(J97=1,I97,ROUND(I97*(1+J97/30),1)),"")</f>
        <v/>
      </c>
      <c r="N97" s="41">
        <f>IF(M97="","",IF(M97&gt;=PRs!C59,"PR!",""))</f>
        <v/>
      </c>
      <c r="O97" s="7" t="n"/>
    </row>
    <row r="98">
      <c r="C98" t="inlineStr">
        <is>
          <t xml:space="preserve">      Set 4</t>
        </is>
      </c>
      <c r="E98" t="n">
        <v>10</v>
      </c>
      <c r="H98" s="39">
        <f>IF(H94="","",H94)</f>
        <v/>
      </c>
      <c r="I98" s="7">
        <f>IF(H94="","",H94)</f>
        <v/>
      </c>
      <c r="J98" s="7" t="n">
        <v>10</v>
      </c>
      <c r="K98" s="7" t="n"/>
      <c r="L98" s="40" t="n"/>
      <c r="M98">
        <f>IF(AND(L98&lt;&gt;"",N(I98)&gt;0,N(J98)&gt;0),IF(J98=1,I98,ROUND(I98*(1+J98/30),1)),"")</f>
        <v/>
      </c>
      <c r="N98" s="41">
        <f>IF(M98="","",IF(M98&gt;=PRs!C59,"PR!",""))</f>
        <v/>
      </c>
      <c r="O98" s="7" t="n"/>
    </row>
    <row r="100">
      <c r="A100" s="60" t="inlineStr">
        <is>
          <t>WEEK 50 - TRANSITION</t>
        </is>
      </c>
      <c r="B100" s="61" t="n"/>
      <c r="C100" s="61" t="n"/>
      <c r="D100" s="61" t="n"/>
      <c r="E100" s="61" t="n"/>
      <c r="F100" s="61" t="n"/>
      <c r="G100" s="61" t="n"/>
      <c r="H100" s="62" t="inlineStr">
        <is>
          <t>Bodyweight:</t>
        </is>
      </c>
      <c r="I100" s="7" t="n"/>
      <c r="J100" s="61" t="n"/>
      <c r="K100" s="61" t="n"/>
      <c r="L100" s="61" t="n"/>
      <c r="M100" s="61" t="n"/>
      <c r="N100" s="61" t="n"/>
      <c r="O100" s="61" t="n"/>
    </row>
    <row r="101">
      <c r="A101" s="31" t="inlineStr">
        <is>
          <t>Day 1 - Heavy</t>
        </is>
      </c>
      <c r="B101" s="32">
        <f>'Start Here'!$B$8+343</f>
        <v/>
      </c>
      <c r="C101" s="33" t="n"/>
      <c r="D101" s="33" t="n"/>
      <c r="E101" s="33" t="n"/>
      <c r="F101" s="33" t="n"/>
      <c r="G101" s="33" t="n"/>
      <c r="H101" s="33" t="n"/>
      <c r="I101" s="33" t="n"/>
      <c r="J101" s="33" t="n"/>
      <c r="K101" s="33" t="n"/>
      <c r="L101" s="33" t="n"/>
      <c r="M101" s="33" t="n"/>
      <c r="N101" s="33" t="n"/>
      <c r="O101" s="33" t="n"/>
    </row>
    <row r="102">
      <c r="A102" s="34" t="n"/>
      <c r="B102" s="34" t="n"/>
      <c r="C102" s="35" t="inlineStr">
        <is>
          <t>Box Jump</t>
        </is>
      </c>
      <c r="D102" s="34" t="inlineStr">
        <is>
          <t>3 x 3</t>
        </is>
      </c>
      <c r="E102" s="34" t="n"/>
      <c r="F102" s="34" t="n"/>
      <c r="G102" s="36" t="n"/>
      <c r="H102" s="37">
        <f>IF(N(Maxes!I69)&gt;0,Maxes!I69,'Start Here'!$G$16)</f>
        <v/>
      </c>
      <c r="I102" s="34" t="n"/>
      <c r="J102" s="34" t="n"/>
      <c r="K102" s="34" t="n"/>
      <c r="L102" s="34" t="n"/>
      <c r="M102" s="34" t="n"/>
      <c r="N102" s="34" t="n"/>
      <c r="O102" s="38" t="inlineStr">
        <is>
          <t>Two-foot jump onto a box, land soft in a quarter squat, STEP down. Log the box height (floor to top of box).</t>
        </is>
      </c>
    </row>
    <row r="103">
      <c r="C103" t="inlineStr">
        <is>
          <t xml:space="preserve">      Set 1</t>
        </is>
      </c>
      <c r="E103" t="n">
        <v>3</v>
      </c>
      <c r="H103" s="39">
        <f>IF(H102="","",H102)</f>
        <v/>
      </c>
      <c r="I103" s="7">
        <f>IF(H102="","",H102)</f>
        <v/>
      </c>
      <c r="J103" s="7" t="n">
        <v>3</v>
      </c>
      <c r="K103" s="7" t="n"/>
      <c r="L103" s="40" t="n"/>
      <c r="N103" s="41">
        <f>IF(AND(L103&lt;&gt;"",N(I103)&gt;0),IF(I103&gt;=PRs!D69,"PR!",""),"")</f>
        <v/>
      </c>
      <c r="O103" s="7" t="n"/>
    </row>
    <row r="104">
      <c r="C104" t="inlineStr">
        <is>
          <t xml:space="preserve">      Set 2</t>
        </is>
      </c>
      <c r="E104" t="n">
        <v>3</v>
      </c>
      <c r="H104" s="39">
        <f>IF(H102="","",H102)</f>
        <v/>
      </c>
      <c r="I104" s="7">
        <f>IF(H102="","",H102)</f>
        <v/>
      </c>
      <c r="J104" s="7" t="n">
        <v>3</v>
      </c>
      <c r="K104" s="7" t="n"/>
      <c r="L104" s="40" t="n"/>
      <c r="N104" s="41">
        <f>IF(AND(L104&lt;&gt;"",N(I104)&gt;0),IF(I104&gt;=PRs!D69,"PR!",""),"")</f>
        <v/>
      </c>
      <c r="O104" s="7" t="n"/>
    </row>
    <row r="105">
      <c r="C105" t="inlineStr">
        <is>
          <t xml:space="preserve">      Set 3</t>
        </is>
      </c>
      <c r="E105" t="n">
        <v>3</v>
      </c>
      <c r="H105" s="39">
        <f>IF(H102="","",H102)</f>
        <v/>
      </c>
      <c r="I105" s="7">
        <f>IF(H102="","",H102)</f>
        <v/>
      </c>
      <c r="J105" s="7" t="n">
        <v>3</v>
      </c>
      <c r="K105" s="7" t="n"/>
      <c r="L105" s="40" t="n"/>
      <c r="N105" s="41">
        <f>IF(AND(L105&lt;&gt;"",N(I105)&gt;0),IF(I105&gt;=PRs!D69,"PR!",""),"")</f>
        <v/>
      </c>
      <c r="O105" s="7" t="n"/>
    </row>
    <row r="106">
      <c r="A106" s="34" t="n"/>
      <c r="B106" s="34" t="n"/>
      <c r="C106" s="42" t="inlineStr">
        <is>
          <t>Snatch</t>
        </is>
      </c>
      <c r="D106" s="34" t="inlineStr">
        <is>
          <t>3 x 3</t>
        </is>
      </c>
      <c r="E106" s="34" t="n"/>
      <c r="F106" s="34" t="n">
        <v>62.5</v>
      </c>
      <c r="G106" s="36">
        <f>Maxes!I6</f>
        <v/>
      </c>
      <c r="H106" s="37">
        <f>IF(OR(G106="",F106=""),"",MROUND(G106*F106/100,'Start Here'!$B$7))</f>
        <v/>
      </c>
      <c r="I106" s="34" t="n"/>
      <c r="J106" s="34" t="n"/>
      <c r="K106" s="34" t="n"/>
      <c r="L106" s="34" t="n"/>
      <c r="M106" s="34" t="n"/>
      <c r="N106" s="34" t="n"/>
      <c r="O106" s="38" t="inlineStr">
        <is>
          <t>Easy volume - stay 3+ reps from failure</t>
        </is>
      </c>
    </row>
    <row r="107">
      <c r="C107" t="inlineStr">
        <is>
          <t xml:space="preserve">      Set 1</t>
        </is>
      </c>
      <c r="E107" t="n">
        <v>3</v>
      </c>
      <c r="H107" s="39">
        <f>IF(H106="","",H106)</f>
        <v/>
      </c>
      <c r="I107" s="7">
        <f>IF(H106="","",H106)</f>
        <v/>
      </c>
      <c r="J107" s="7" t="n">
        <v>3</v>
      </c>
      <c r="K107" s="7" t="n"/>
      <c r="L107" s="40" t="n"/>
      <c r="M107">
        <f>IF(AND(L107&lt;&gt;"",N(I107)&gt;0,N(J107)&gt;0),IF(J107=1,I107,ROUND(I107*(1+J107/30),1)),"")</f>
        <v/>
      </c>
      <c r="N107" s="41">
        <f>IF(M107="","",IF(M107&gt;=PRs!C6,"PR!",""))</f>
        <v/>
      </c>
      <c r="O107" s="7" t="n"/>
    </row>
    <row r="108">
      <c r="C108" t="inlineStr">
        <is>
          <t xml:space="preserve">      Set 2</t>
        </is>
      </c>
      <c r="E108" t="n">
        <v>3</v>
      </c>
      <c r="H108" s="39">
        <f>IF(H106="","",H106)</f>
        <v/>
      </c>
      <c r="I108" s="7">
        <f>IF(H106="","",H106)</f>
        <v/>
      </c>
      <c r="J108" s="7" t="n">
        <v>3</v>
      </c>
      <c r="K108" s="7" t="n"/>
      <c r="L108" s="40" t="n"/>
      <c r="M108">
        <f>IF(AND(L108&lt;&gt;"",N(I108)&gt;0,N(J108)&gt;0),IF(J108=1,I108,ROUND(I108*(1+J108/30),1)),"")</f>
        <v/>
      </c>
      <c r="N108" s="41">
        <f>IF(M108="","",IF(M108&gt;=PRs!C6,"PR!",""))</f>
        <v/>
      </c>
      <c r="O108" s="7" t="n"/>
    </row>
    <row r="109">
      <c r="C109" t="inlineStr">
        <is>
          <t xml:space="preserve">      Set 3</t>
        </is>
      </c>
      <c r="E109" t="n">
        <v>3</v>
      </c>
      <c r="H109" s="39">
        <f>IF(H106="","",H106)</f>
        <v/>
      </c>
      <c r="I109" s="7">
        <f>IF(H106="","",H106)</f>
        <v/>
      </c>
      <c r="J109" s="7" t="n">
        <v>3</v>
      </c>
      <c r="K109" s="7" t="n"/>
      <c r="L109" s="40" t="n"/>
      <c r="M109">
        <f>IF(AND(L109&lt;&gt;"",N(I109)&gt;0,N(J109)&gt;0),IF(J109=1,I109,ROUND(I109*(1+J109/30),1)),"")</f>
        <v/>
      </c>
      <c r="N109" s="41">
        <f>IF(M109="","",IF(M109&gt;=PRs!C6,"PR!",""))</f>
        <v/>
      </c>
      <c r="O109" s="7" t="n"/>
    </row>
    <row r="110">
      <c r="A110" s="34" t="n"/>
      <c r="B110" s="34" t="n"/>
      <c r="C110" s="42" t="inlineStr">
        <is>
          <t>Squat</t>
        </is>
      </c>
      <c r="D110" s="34" t="inlineStr">
        <is>
          <t>3 x 8</t>
        </is>
      </c>
      <c r="E110" s="34" t="n"/>
      <c r="F110" s="34" t="n">
        <v>62.5</v>
      </c>
      <c r="G110" s="36">
        <f>Maxes!I2</f>
        <v/>
      </c>
      <c r="H110" s="37">
        <f>IF(OR(G110="",F110=""),"",MROUND(G110*F110/100,'Start Here'!$B$7))</f>
        <v/>
      </c>
      <c r="I110" s="34" t="n"/>
      <c r="J110" s="34" t="n"/>
      <c r="K110" s="34" t="n"/>
      <c r="L110" s="34" t="n"/>
      <c r="M110" s="34" t="n"/>
      <c r="N110" s="34" t="n"/>
      <c r="O110" s="38" t="inlineStr">
        <is>
          <t>Easy volume - stay 3+ reps from failure</t>
        </is>
      </c>
    </row>
    <row r="111">
      <c r="C111" t="inlineStr">
        <is>
          <t xml:space="preserve">      Set 1</t>
        </is>
      </c>
      <c r="E111" t="n">
        <v>8</v>
      </c>
      <c r="H111" s="39">
        <f>IF(H110="","",H110)</f>
        <v/>
      </c>
      <c r="I111" s="7">
        <f>IF(H110="","",H110)</f>
        <v/>
      </c>
      <c r="J111" s="7" t="n">
        <v>8</v>
      </c>
      <c r="K111" s="7" t="n"/>
      <c r="L111" s="40" t="n"/>
      <c r="M111">
        <f>IF(AND(L111&lt;&gt;"",N(I111)&gt;0,N(J111)&gt;0),IF(J111=1,I111,ROUND(I111*(1+J111/30),1)),"")</f>
        <v/>
      </c>
      <c r="N111" s="41">
        <f>IF(M111="","",IF(M111&gt;=PRs!C2,"PR!",""))</f>
        <v/>
      </c>
      <c r="O111" s="7" t="n"/>
    </row>
    <row r="112">
      <c r="C112" t="inlineStr">
        <is>
          <t xml:space="preserve">      Set 2</t>
        </is>
      </c>
      <c r="E112" t="n">
        <v>8</v>
      </c>
      <c r="H112" s="39">
        <f>IF(H110="","",H110)</f>
        <v/>
      </c>
      <c r="I112" s="7">
        <f>IF(H110="","",H110)</f>
        <v/>
      </c>
      <c r="J112" s="7" t="n">
        <v>8</v>
      </c>
      <c r="K112" s="7" t="n"/>
      <c r="L112" s="40" t="n"/>
      <c r="M112">
        <f>IF(AND(L112&lt;&gt;"",N(I112)&gt;0,N(J112)&gt;0),IF(J112=1,I112,ROUND(I112*(1+J112/30),1)),"")</f>
        <v/>
      </c>
      <c r="N112" s="41">
        <f>IF(M112="","",IF(M112&gt;=PRs!C2,"PR!",""))</f>
        <v/>
      </c>
      <c r="O112" s="7" t="n"/>
    </row>
    <row r="113">
      <c r="C113" t="inlineStr">
        <is>
          <t xml:space="preserve">      Set 3</t>
        </is>
      </c>
      <c r="E113" t="n">
        <v>8</v>
      </c>
      <c r="H113" s="39">
        <f>IF(H110="","",H110)</f>
        <v/>
      </c>
      <c r="I113" s="7">
        <f>IF(H110="","",H110)</f>
        <v/>
      </c>
      <c r="J113" s="7" t="n">
        <v>8</v>
      </c>
      <c r="K113" s="7" t="n"/>
      <c r="L113" s="40" t="n"/>
      <c r="M113">
        <f>IF(AND(L113&lt;&gt;"",N(I113)&gt;0,N(J113)&gt;0),IF(J113=1,I113,ROUND(I113*(1+J113/30),1)),"")</f>
        <v/>
      </c>
      <c r="N113" s="41">
        <f>IF(M113="","",IF(M113&gt;=PRs!C2,"PR!",""))</f>
        <v/>
      </c>
      <c r="O113" s="7" t="n"/>
    </row>
    <row r="114">
      <c r="A114" s="34" t="n"/>
      <c r="B114" s="34" t="n"/>
      <c r="C114" s="42" t="inlineStr">
        <is>
          <t>Bench Press</t>
        </is>
      </c>
      <c r="D114" s="34" t="inlineStr">
        <is>
          <t>3 x 8</t>
        </is>
      </c>
      <c r="E114" s="34" t="n"/>
      <c r="F114" s="34" t="n">
        <v>62.5</v>
      </c>
      <c r="G114" s="36">
        <f>Maxes!I3</f>
        <v/>
      </c>
      <c r="H114" s="37">
        <f>IF(OR(G114="",F114=""),"",MROUND(G114*F114/100,'Start Here'!$B$7))</f>
        <v/>
      </c>
      <c r="I114" s="34" t="n"/>
      <c r="J114" s="34" t="n"/>
      <c r="K114" s="34" t="n"/>
      <c r="L114" s="34" t="n"/>
      <c r="M114" s="34" t="n"/>
      <c r="N114" s="34" t="n"/>
      <c r="O114" s="38" t="inlineStr">
        <is>
          <t>Easy volume - stay 3+ reps from failure</t>
        </is>
      </c>
    </row>
    <row r="115">
      <c r="C115" t="inlineStr">
        <is>
          <t xml:space="preserve">      Set 1</t>
        </is>
      </c>
      <c r="E115" t="n">
        <v>8</v>
      </c>
      <c r="H115" s="39">
        <f>IF(H114="","",H114)</f>
        <v/>
      </c>
      <c r="I115" s="7">
        <f>IF(H114="","",H114)</f>
        <v/>
      </c>
      <c r="J115" s="7" t="n">
        <v>8</v>
      </c>
      <c r="K115" s="7" t="n"/>
      <c r="L115" s="40" t="n"/>
      <c r="M115">
        <f>IF(AND(L115&lt;&gt;"",N(I115)&gt;0,N(J115)&gt;0),IF(J115=1,I115,ROUND(I115*(1+J115/30),1)),"")</f>
        <v/>
      </c>
      <c r="N115" s="41">
        <f>IF(M115="","",IF(M115&gt;=PRs!C3,"PR!",""))</f>
        <v/>
      </c>
      <c r="O115" s="7" t="n"/>
    </row>
    <row r="116">
      <c r="C116" t="inlineStr">
        <is>
          <t xml:space="preserve">      Set 2</t>
        </is>
      </c>
      <c r="E116" t="n">
        <v>8</v>
      </c>
      <c r="H116" s="39">
        <f>IF(H114="","",H114)</f>
        <v/>
      </c>
      <c r="I116" s="7">
        <f>IF(H114="","",H114)</f>
        <v/>
      </c>
      <c r="J116" s="7" t="n">
        <v>8</v>
      </c>
      <c r="K116" s="7" t="n"/>
      <c r="L116" s="40" t="n"/>
      <c r="M116">
        <f>IF(AND(L116&lt;&gt;"",N(I116)&gt;0,N(J116)&gt;0),IF(J116=1,I116,ROUND(I116*(1+J116/30),1)),"")</f>
        <v/>
      </c>
      <c r="N116" s="41">
        <f>IF(M116="","",IF(M116&gt;=PRs!C3,"PR!",""))</f>
        <v/>
      </c>
      <c r="O116" s="7" t="n"/>
    </row>
    <row r="117">
      <c r="C117" t="inlineStr">
        <is>
          <t xml:space="preserve">      Set 3</t>
        </is>
      </c>
      <c r="E117" t="n">
        <v>8</v>
      </c>
      <c r="H117" s="39">
        <f>IF(H114="","",H114)</f>
        <v/>
      </c>
      <c r="I117" s="7">
        <f>IF(H114="","",H114)</f>
        <v/>
      </c>
      <c r="J117" s="7" t="n">
        <v>8</v>
      </c>
      <c r="K117" s="7" t="n"/>
      <c r="L117" s="40" t="n"/>
      <c r="M117">
        <f>IF(AND(L117&lt;&gt;"",N(I117)&gt;0,N(J117)&gt;0),IF(J117=1,I117,ROUND(I117*(1+J117/30),1)),"")</f>
        <v/>
      </c>
      <c r="N117" s="41">
        <f>IF(M117="","",IF(M117&gt;=PRs!C3,"PR!",""))</f>
        <v/>
      </c>
      <c r="O117" s="7" t="n"/>
    </row>
    <row r="118">
      <c r="A118" s="34" t="n"/>
      <c r="B118" s="34" t="n"/>
      <c r="C118" s="43" t="inlineStr">
        <is>
          <t>Barbell Row</t>
        </is>
      </c>
      <c r="D118" s="34" t="inlineStr">
        <is>
          <t>4 x 8-10</t>
        </is>
      </c>
      <c r="E118" s="34" t="n"/>
      <c r="F118" s="34" t="n"/>
      <c r="G118" s="36" t="n"/>
      <c r="H118" s="37" t="n"/>
      <c r="I118" s="34" t="n"/>
      <c r="J118" s="34" t="n"/>
      <c r="K118" s="34" t="n"/>
      <c r="L118" s="34" t="n"/>
      <c r="M118" s="34" t="n"/>
      <c r="N118" s="34" t="n"/>
      <c r="O118" s="38" t="inlineStr">
        <is>
          <t>Leave 1-2 reps in the tank; add weight when you hit the top of the range</t>
        </is>
      </c>
    </row>
    <row r="119">
      <c r="C119" t="inlineStr">
        <is>
          <t xml:space="preserve">      Set 1</t>
        </is>
      </c>
      <c r="E119" t="n">
        <v>8</v>
      </c>
      <c r="H119" s="39">
        <f>IF(H118="","",H118)</f>
        <v/>
      </c>
      <c r="I119" s="7">
        <f>IF(H118="","",H118)</f>
        <v/>
      </c>
      <c r="J119" s="7" t="n">
        <v>8</v>
      </c>
      <c r="K119" s="7" t="n"/>
      <c r="L119" s="40" t="n"/>
      <c r="M119">
        <f>IF(AND(L119&lt;&gt;"",N(I119)&gt;0,N(J119)&gt;0),IF(J119=1,I119,ROUND(I119*(1+J119/30),1)),"")</f>
        <v/>
      </c>
      <c r="N119" s="41">
        <f>IF(M119="","",IF(M119&gt;=PRs!C50,"PR!",""))</f>
        <v/>
      </c>
      <c r="O119" s="7" t="n"/>
    </row>
    <row r="120">
      <c r="C120" t="inlineStr">
        <is>
          <t xml:space="preserve">      Set 2</t>
        </is>
      </c>
      <c r="E120" t="n">
        <v>8</v>
      </c>
      <c r="H120" s="39">
        <f>IF(H118="","",H118)</f>
        <v/>
      </c>
      <c r="I120" s="7">
        <f>IF(H118="","",H118)</f>
        <v/>
      </c>
      <c r="J120" s="7" t="n">
        <v>8</v>
      </c>
      <c r="K120" s="7" t="n"/>
      <c r="L120" s="40" t="n"/>
      <c r="M120">
        <f>IF(AND(L120&lt;&gt;"",N(I120)&gt;0,N(J120)&gt;0),IF(J120=1,I120,ROUND(I120*(1+J120/30),1)),"")</f>
        <v/>
      </c>
      <c r="N120" s="41">
        <f>IF(M120="","",IF(M120&gt;=PRs!C50,"PR!",""))</f>
        <v/>
      </c>
      <c r="O120" s="7" t="n"/>
    </row>
    <row r="121">
      <c r="C121" t="inlineStr">
        <is>
          <t xml:space="preserve">      Set 3</t>
        </is>
      </c>
      <c r="E121" t="n">
        <v>8</v>
      </c>
      <c r="H121" s="39">
        <f>IF(H118="","",H118)</f>
        <v/>
      </c>
      <c r="I121" s="7">
        <f>IF(H118="","",H118)</f>
        <v/>
      </c>
      <c r="J121" s="7" t="n">
        <v>8</v>
      </c>
      <c r="K121" s="7" t="n"/>
      <c r="L121" s="40" t="n"/>
      <c r="M121">
        <f>IF(AND(L121&lt;&gt;"",N(I121)&gt;0,N(J121)&gt;0),IF(J121=1,I121,ROUND(I121*(1+J121/30),1)),"")</f>
        <v/>
      </c>
      <c r="N121" s="41">
        <f>IF(M121="","",IF(M121&gt;=PRs!C50,"PR!",""))</f>
        <v/>
      </c>
      <c r="O121" s="7" t="n"/>
    </row>
    <row r="122">
      <c r="C122" t="inlineStr">
        <is>
          <t xml:space="preserve">      Set 4</t>
        </is>
      </c>
      <c r="E122" t="n">
        <v>8</v>
      </c>
      <c r="H122" s="39">
        <f>IF(H118="","",H118)</f>
        <v/>
      </c>
      <c r="I122" s="7">
        <f>IF(H118="","",H118)</f>
        <v/>
      </c>
      <c r="J122" s="7" t="n">
        <v>8</v>
      </c>
      <c r="K122" s="7" t="n"/>
      <c r="L122" s="40" t="n"/>
      <c r="M122">
        <f>IF(AND(L122&lt;&gt;"",N(I122)&gt;0,N(J122)&gt;0),IF(J122=1,I122,ROUND(I122*(1+J122/30),1)),"")</f>
        <v/>
      </c>
      <c r="N122" s="41">
        <f>IF(M122="","",IF(M122&gt;=PRs!C50,"PR!",""))</f>
        <v/>
      </c>
      <c r="O122" s="7" t="n"/>
    </row>
    <row r="123">
      <c r="A123" s="34" t="n"/>
      <c r="B123" s="34" t="n"/>
      <c r="C123" s="43" t="inlineStr">
        <is>
          <t>Face Pull</t>
        </is>
      </c>
      <c r="D123" s="34" t="inlineStr">
        <is>
          <t>4 x 12-15</t>
        </is>
      </c>
      <c r="E123" s="34" t="n"/>
      <c r="F123" s="34" t="n"/>
      <c r="G123" s="36" t="n"/>
      <c r="H123" s="37" t="n"/>
      <c r="I123" s="34" t="n"/>
      <c r="J123" s="34" t="n"/>
      <c r="K123" s="34" t="n"/>
      <c r="L123" s="34" t="n"/>
      <c r="M123" s="34" t="n"/>
      <c r="N123" s="34" t="n"/>
      <c r="O123" s="38" t="inlineStr">
        <is>
          <t>Leave 1-2 reps in the tank; add weight when you hit the top of the range</t>
        </is>
      </c>
    </row>
    <row r="124">
      <c r="C124" t="inlineStr">
        <is>
          <t xml:space="preserve">      Set 1</t>
        </is>
      </c>
      <c r="E124" t="n">
        <v>12</v>
      </c>
      <c r="H124" s="39">
        <f>IF(H123="","",H123)</f>
        <v/>
      </c>
      <c r="I124" s="7">
        <f>IF(H123="","",H123)</f>
        <v/>
      </c>
      <c r="J124" s="7" t="n">
        <v>12</v>
      </c>
      <c r="K124" s="7" t="n"/>
      <c r="L124" s="40" t="n"/>
      <c r="M124">
        <f>IF(AND(L124&lt;&gt;"",N(I124)&gt;0,N(J124)&gt;0),IF(J124=1,I124,ROUND(I124*(1+J124/30),1)),"")</f>
        <v/>
      </c>
      <c r="N124" s="41">
        <f>IF(M124="","",IF(M124&gt;=PRs!C51,"PR!",""))</f>
        <v/>
      </c>
      <c r="O124" s="7" t="n"/>
    </row>
    <row r="125">
      <c r="C125" t="inlineStr">
        <is>
          <t xml:space="preserve">      Set 2</t>
        </is>
      </c>
      <c r="E125" t="n">
        <v>12</v>
      </c>
      <c r="H125" s="39">
        <f>IF(H123="","",H123)</f>
        <v/>
      </c>
      <c r="I125" s="7">
        <f>IF(H123="","",H123)</f>
        <v/>
      </c>
      <c r="J125" s="7" t="n">
        <v>12</v>
      </c>
      <c r="K125" s="7" t="n"/>
      <c r="L125" s="40" t="n"/>
      <c r="M125">
        <f>IF(AND(L125&lt;&gt;"",N(I125)&gt;0,N(J125)&gt;0),IF(J125=1,I125,ROUND(I125*(1+J125/30),1)),"")</f>
        <v/>
      </c>
      <c r="N125" s="41">
        <f>IF(M125="","",IF(M125&gt;=PRs!C51,"PR!",""))</f>
        <v/>
      </c>
      <c r="O125" s="7" t="n"/>
    </row>
    <row r="126">
      <c r="C126" t="inlineStr">
        <is>
          <t xml:space="preserve">      Set 3</t>
        </is>
      </c>
      <c r="E126" t="n">
        <v>12</v>
      </c>
      <c r="H126" s="39">
        <f>IF(H123="","",H123)</f>
        <v/>
      </c>
      <c r="I126" s="7">
        <f>IF(H123="","",H123)</f>
        <v/>
      </c>
      <c r="J126" s="7" t="n">
        <v>12</v>
      </c>
      <c r="K126" s="7" t="n"/>
      <c r="L126" s="40" t="n"/>
      <c r="M126">
        <f>IF(AND(L126&lt;&gt;"",N(I126)&gt;0,N(J126)&gt;0),IF(J126=1,I126,ROUND(I126*(1+J126/30),1)),"")</f>
        <v/>
      </c>
      <c r="N126" s="41">
        <f>IF(M126="","",IF(M126&gt;=PRs!C51,"PR!",""))</f>
        <v/>
      </c>
      <c r="O126" s="7" t="n"/>
    </row>
    <row r="127">
      <c r="C127" t="inlineStr">
        <is>
          <t xml:space="preserve">      Set 4</t>
        </is>
      </c>
      <c r="E127" t="n">
        <v>12</v>
      </c>
      <c r="H127" s="39">
        <f>IF(H123="","",H123)</f>
        <v/>
      </c>
      <c r="I127" s="7">
        <f>IF(H123="","",H123)</f>
        <v/>
      </c>
      <c r="J127" s="7" t="n">
        <v>12</v>
      </c>
      <c r="K127" s="7" t="n"/>
      <c r="L127" s="40" t="n"/>
      <c r="M127">
        <f>IF(AND(L127&lt;&gt;"",N(I127)&gt;0,N(J127)&gt;0),IF(J127=1,I127,ROUND(I127*(1+J127/30),1)),"")</f>
        <v/>
      </c>
      <c r="N127" s="41">
        <f>IF(M127="","",IF(M127&gt;=PRs!C51,"PR!",""))</f>
        <v/>
      </c>
      <c r="O127" s="7" t="n"/>
    </row>
    <row r="128">
      <c r="A128" s="31" t="inlineStr">
        <is>
          <t>Day 2 - Light</t>
        </is>
      </c>
      <c r="B128" s="32">
        <f>'Start Here'!$B$8+345</f>
        <v/>
      </c>
      <c r="C128" s="33" t="n"/>
      <c r="D128" s="33" t="n"/>
      <c r="E128" s="33" t="n"/>
      <c r="F128" s="33" t="n"/>
      <c r="G128" s="33" t="n"/>
      <c r="H128" s="33" t="n"/>
      <c r="I128" s="33" t="n"/>
      <c r="J128" s="33" t="n"/>
      <c r="K128" s="33" t="n"/>
      <c r="L128" s="33" t="n"/>
      <c r="M128" s="33" t="n"/>
      <c r="N128" s="33" t="n"/>
      <c r="O128" s="33" t="n"/>
    </row>
    <row r="129">
      <c r="A129" s="34" t="n"/>
      <c r="B129" s="34" t="n"/>
      <c r="C129" s="35" t="inlineStr">
        <is>
          <t>Broad Jump</t>
        </is>
      </c>
      <c r="D129" s="34" t="inlineStr">
        <is>
          <t>3 x 3</t>
        </is>
      </c>
      <c r="E129" s="34" t="n"/>
      <c r="F129" s="34" t="n"/>
      <c r="G129" s="36" t="n"/>
      <c r="H129" s="37">
        <f>IF(N(Maxes!I70)&gt;0,Maxes!I70,"")</f>
        <v/>
      </c>
      <c r="I129" s="34" t="n"/>
      <c r="J129" s="34" t="n"/>
      <c r="K129" s="34" t="n"/>
      <c r="L129" s="34" t="n"/>
      <c r="M129" s="34" t="n"/>
      <c r="N129" s="34" t="n"/>
      <c r="O129" s="38" t="inlineStr">
        <is>
          <t>Standing two-foot jump forward, stick the landing. Measure toe line to the back of the nearest heel.</t>
        </is>
      </c>
    </row>
    <row r="130">
      <c r="C130" t="inlineStr">
        <is>
          <t xml:space="preserve">      Set 1</t>
        </is>
      </c>
      <c r="E130" t="n">
        <v>3</v>
      </c>
      <c r="H130" s="39">
        <f>IF(H129="","",H129)</f>
        <v/>
      </c>
      <c r="I130" s="7">
        <f>IF(H129="","",H129)</f>
        <v/>
      </c>
      <c r="J130" s="7" t="n">
        <v>3</v>
      </c>
      <c r="K130" s="7" t="n"/>
      <c r="L130" s="40" t="n"/>
      <c r="N130" s="41">
        <f>IF(AND(L130&lt;&gt;"",N(I130)&gt;0),IF(I130&gt;=PRs!D70,"PR!",""),"")</f>
        <v/>
      </c>
      <c r="O130" s="7" t="n"/>
    </row>
    <row r="131">
      <c r="C131" t="inlineStr">
        <is>
          <t xml:space="preserve">      Set 2</t>
        </is>
      </c>
      <c r="E131" t="n">
        <v>3</v>
      </c>
      <c r="H131" s="39">
        <f>IF(H129="","",H129)</f>
        <v/>
      </c>
      <c r="I131" s="7">
        <f>IF(H129="","",H129)</f>
        <v/>
      </c>
      <c r="J131" s="7" t="n">
        <v>3</v>
      </c>
      <c r="K131" s="7" t="n"/>
      <c r="L131" s="40" t="n"/>
      <c r="N131" s="41">
        <f>IF(AND(L131&lt;&gt;"",N(I131)&gt;0),IF(I131&gt;=PRs!D70,"PR!",""),"")</f>
        <v/>
      </c>
      <c r="O131" s="7" t="n"/>
    </row>
    <row r="132">
      <c r="C132" t="inlineStr">
        <is>
          <t xml:space="preserve">      Set 3</t>
        </is>
      </c>
      <c r="E132" t="n">
        <v>3</v>
      </c>
      <c r="H132" s="39">
        <f>IF(H129="","",H129)</f>
        <v/>
      </c>
      <c r="I132" s="7">
        <f>IF(H129="","",H129)</f>
        <v/>
      </c>
      <c r="J132" s="7" t="n">
        <v>3</v>
      </c>
      <c r="K132" s="7" t="n"/>
      <c r="L132" s="40" t="n"/>
      <c r="N132" s="41">
        <f>IF(AND(L132&lt;&gt;"",N(I132)&gt;0),IF(I132&gt;=PRs!D70,"PR!",""),"")</f>
        <v/>
      </c>
      <c r="O132" s="7" t="n"/>
    </row>
    <row r="133">
      <c r="A133" s="34" t="n"/>
      <c r="B133" s="34" t="n"/>
      <c r="C133" s="35" t="inlineStr">
        <is>
          <t>Med Ball Chest Pass</t>
        </is>
      </c>
      <c r="D133" s="34" t="inlineStr">
        <is>
          <t>2 x 5</t>
        </is>
      </c>
      <c r="E133" s="34" t="n"/>
      <c r="F133" s="34" t="n"/>
      <c r="G133" s="36" t="n"/>
      <c r="H133" s="37">
        <f>IF(N(Maxes!I77)&gt;0,Maxes!I77,"")</f>
        <v/>
      </c>
      <c r="I133" s="34" t="n"/>
      <c r="J133" s="34" t="n"/>
      <c r="K133" s="34" t="n"/>
      <c r="L133" s="34" t="n"/>
      <c r="M133" s="34" t="n"/>
      <c r="N133" s="34" t="n"/>
      <c r="O133" s="38" t="inlineStr">
        <is>
          <t>Kneeling or standing chest pass for distance with a 6-10 lb / 3-5 kg ball. Log the distance.</t>
        </is>
      </c>
    </row>
    <row r="134">
      <c r="C134" t="inlineStr">
        <is>
          <t xml:space="preserve">      Set 1</t>
        </is>
      </c>
      <c r="E134" t="n">
        <v>5</v>
      </c>
      <c r="H134" s="39">
        <f>IF(H133="","",H133)</f>
        <v/>
      </c>
      <c r="I134" s="7">
        <f>IF(H133="","",H133)</f>
        <v/>
      </c>
      <c r="J134" s="7" t="n">
        <v>5</v>
      </c>
      <c r="K134" s="7" t="n"/>
      <c r="L134" s="40" t="n"/>
      <c r="N134" s="41">
        <f>IF(AND(L134&lt;&gt;"",N(I134)&gt;0),IF(I134&gt;=PRs!D77,"PR!",""),"")</f>
        <v/>
      </c>
      <c r="O134" s="7" t="n"/>
    </row>
    <row r="135">
      <c r="C135" t="inlineStr">
        <is>
          <t xml:space="preserve">      Set 2</t>
        </is>
      </c>
      <c r="E135" t="n">
        <v>5</v>
      </c>
      <c r="H135" s="39">
        <f>IF(H133="","",H133)</f>
        <v/>
      </c>
      <c r="I135" s="7">
        <f>IF(H133="","",H133)</f>
        <v/>
      </c>
      <c r="J135" s="7" t="n">
        <v>5</v>
      </c>
      <c r="K135" s="7" t="n"/>
      <c r="L135" s="40" t="n"/>
      <c r="N135" s="41">
        <f>IF(AND(L135&lt;&gt;"",N(I135)&gt;0),IF(I135&gt;=PRs!D77,"PR!",""),"")</f>
        <v/>
      </c>
      <c r="O135" s="7" t="n"/>
    </row>
    <row r="136">
      <c r="A136" s="34" t="n"/>
      <c r="B136" s="34" t="n"/>
      <c r="C136" s="42" t="inlineStr">
        <is>
          <t>Clean &amp; Jerk</t>
        </is>
      </c>
      <c r="D136" s="34" t="inlineStr">
        <is>
          <t>3 x 3</t>
        </is>
      </c>
      <c r="E136" s="34" t="n"/>
      <c r="F136" s="34" t="n">
        <v>62.5</v>
      </c>
      <c r="G136" s="36">
        <f>Maxes!I7</f>
        <v/>
      </c>
      <c r="H136" s="37">
        <f>IF(OR(G136="",F136=""),"",MROUND(G136*F136/100,'Start Here'!$B$7))</f>
        <v/>
      </c>
      <c r="I136" s="34" t="n"/>
      <c r="J136" s="34" t="n"/>
      <c r="K136" s="34" t="n"/>
      <c r="L136" s="34" t="n"/>
      <c r="M136" s="34" t="n"/>
      <c r="N136" s="34" t="n"/>
      <c r="O136" s="38" t="inlineStr">
        <is>
          <t>Easy volume - stay 3+ reps from failure</t>
        </is>
      </c>
    </row>
    <row r="137">
      <c r="C137" t="inlineStr">
        <is>
          <t xml:space="preserve">      Set 1</t>
        </is>
      </c>
      <c r="E137" t="n">
        <v>3</v>
      </c>
      <c r="H137" s="39">
        <f>IF(H136="","",H136)</f>
        <v/>
      </c>
      <c r="I137" s="7">
        <f>IF(H136="","",H136)</f>
        <v/>
      </c>
      <c r="J137" s="7" t="n">
        <v>3</v>
      </c>
      <c r="K137" s="7" t="n"/>
      <c r="L137" s="40" t="n"/>
      <c r="M137">
        <f>IF(AND(L137&lt;&gt;"",N(I137)&gt;0,N(J137)&gt;0),IF(J137=1,I137,ROUND(I137*(1+J137/30),1)),"")</f>
        <v/>
      </c>
      <c r="N137" s="41">
        <f>IF(M137="","",IF(M137&gt;=PRs!C7,"PR!",""))</f>
        <v/>
      </c>
      <c r="O137" s="7" t="n"/>
    </row>
    <row r="138">
      <c r="C138" t="inlineStr">
        <is>
          <t xml:space="preserve">      Set 2</t>
        </is>
      </c>
      <c r="E138" t="n">
        <v>3</v>
      </c>
      <c r="H138" s="39">
        <f>IF(H136="","",H136)</f>
        <v/>
      </c>
      <c r="I138" s="7">
        <f>IF(H136="","",H136)</f>
        <v/>
      </c>
      <c r="J138" s="7" t="n">
        <v>3</v>
      </c>
      <c r="K138" s="7" t="n"/>
      <c r="L138" s="40" t="n"/>
      <c r="M138">
        <f>IF(AND(L138&lt;&gt;"",N(I138)&gt;0,N(J138)&gt;0),IF(J138=1,I138,ROUND(I138*(1+J138/30),1)),"")</f>
        <v/>
      </c>
      <c r="N138" s="41">
        <f>IF(M138="","",IF(M138&gt;=PRs!C7,"PR!",""))</f>
        <v/>
      </c>
      <c r="O138" s="7" t="n"/>
    </row>
    <row r="139">
      <c r="C139" t="inlineStr">
        <is>
          <t xml:space="preserve">      Set 3</t>
        </is>
      </c>
      <c r="E139" t="n">
        <v>3</v>
      </c>
      <c r="H139" s="39">
        <f>IF(H136="","",H136)</f>
        <v/>
      </c>
      <c r="I139" s="7">
        <f>IF(H136="","",H136)</f>
        <v/>
      </c>
      <c r="J139" s="7" t="n">
        <v>3</v>
      </c>
      <c r="K139" s="7" t="n"/>
      <c r="L139" s="40" t="n"/>
      <c r="M139">
        <f>IF(AND(L139&lt;&gt;"",N(I139)&gt;0,N(J139)&gt;0),IF(J139=1,I139,ROUND(I139*(1+J139/30),1)),"")</f>
        <v/>
      </c>
      <c r="N139" s="41">
        <f>IF(M139="","",IF(M139&gt;=PRs!C7,"PR!",""))</f>
        <v/>
      </c>
      <c r="O139" s="7" t="n"/>
    </row>
    <row r="140">
      <c r="A140" s="34" t="n"/>
      <c r="B140" s="34" t="n"/>
      <c r="C140" s="42" t="inlineStr">
        <is>
          <t>Squat</t>
        </is>
      </c>
      <c r="D140" s="34" t="inlineStr">
        <is>
          <t>3 x 8</t>
        </is>
      </c>
      <c r="E140" s="34" t="n"/>
      <c r="F140" s="34" t="n">
        <v>62.5</v>
      </c>
      <c r="G140" s="36">
        <f>Maxes!I2</f>
        <v/>
      </c>
      <c r="H140" s="37">
        <f>IF(OR(G140="",F140=""),"",MROUND(G140*F140/100,'Start Here'!$B$7))</f>
        <v/>
      </c>
      <c r="I140" s="34" t="n"/>
      <c r="J140" s="34" t="n"/>
      <c r="K140" s="34" t="n"/>
      <c r="L140" s="34" t="n"/>
      <c r="M140" s="34" t="n"/>
      <c r="N140" s="34" t="n"/>
      <c r="O140" s="38" t="inlineStr">
        <is>
          <t>Easy volume - stay 3+ reps from failure</t>
        </is>
      </c>
    </row>
    <row r="141">
      <c r="C141" t="inlineStr">
        <is>
          <t xml:space="preserve">      Set 1</t>
        </is>
      </c>
      <c r="E141" t="n">
        <v>8</v>
      </c>
      <c r="H141" s="39">
        <f>IF(H140="","",H140)</f>
        <v/>
      </c>
      <c r="I141" s="7">
        <f>IF(H140="","",H140)</f>
        <v/>
      </c>
      <c r="J141" s="7" t="n">
        <v>8</v>
      </c>
      <c r="K141" s="7" t="n"/>
      <c r="L141" s="40" t="n"/>
      <c r="M141">
        <f>IF(AND(L141&lt;&gt;"",N(I141)&gt;0,N(J141)&gt;0),IF(J141=1,I141,ROUND(I141*(1+J141/30),1)),"")</f>
        <v/>
      </c>
      <c r="N141" s="41">
        <f>IF(M141="","",IF(M141&gt;=PRs!C2,"PR!",""))</f>
        <v/>
      </c>
      <c r="O141" s="7" t="n"/>
    </row>
    <row r="142">
      <c r="C142" t="inlineStr">
        <is>
          <t xml:space="preserve">      Set 2</t>
        </is>
      </c>
      <c r="E142" t="n">
        <v>8</v>
      </c>
      <c r="H142" s="39">
        <f>IF(H140="","",H140)</f>
        <v/>
      </c>
      <c r="I142" s="7">
        <f>IF(H140="","",H140)</f>
        <v/>
      </c>
      <c r="J142" s="7" t="n">
        <v>8</v>
      </c>
      <c r="K142" s="7" t="n"/>
      <c r="L142" s="40" t="n"/>
      <c r="M142">
        <f>IF(AND(L142&lt;&gt;"",N(I142)&gt;0,N(J142)&gt;0),IF(J142=1,I142,ROUND(I142*(1+J142/30),1)),"")</f>
        <v/>
      </c>
      <c r="N142" s="41">
        <f>IF(M142="","",IF(M142&gt;=PRs!C2,"PR!",""))</f>
        <v/>
      </c>
      <c r="O142" s="7" t="n"/>
    </row>
    <row r="143">
      <c r="C143" t="inlineStr">
        <is>
          <t xml:space="preserve">      Set 3</t>
        </is>
      </c>
      <c r="E143" t="n">
        <v>8</v>
      </c>
      <c r="H143" s="39">
        <f>IF(H140="","",H140)</f>
        <v/>
      </c>
      <c r="I143" s="7">
        <f>IF(H140="","",H140)</f>
        <v/>
      </c>
      <c r="J143" s="7" t="n">
        <v>8</v>
      </c>
      <c r="K143" s="7" t="n"/>
      <c r="L143" s="40" t="n"/>
      <c r="M143">
        <f>IF(AND(L143&lt;&gt;"",N(I143)&gt;0,N(J143)&gt;0),IF(J143=1,I143,ROUND(I143*(1+J143/30),1)),"")</f>
        <v/>
      </c>
      <c r="N143" s="41">
        <f>IF(M143="","",IF(M143&gt;=PRs!C2,"PR!",""))</f>
        <v/>
      </c>
      <c r="O143" s="7" t="n"/>
    </row>
    <row r="144">
      <c r="A144" s="34" t="n"/>
      <c r="B144" s="34" t="n"/>
      <c r="C144" s="42" t="inlineStr">
        <is>
          <t>Overhead Press</t>
        </is>
      </c>
      <c r="D144" s="34" t="inlineStr">
        <is>
          <t>3 x 8</t>
        </is>
      </c>
      <c r="E144" s="34" t="n"/>
      <c r="F144" s="34" t="n">
        <v>62.5</v>
      </c>
      <c r="G144" s="36">
        <f>Maxes!I5</f>
        <v/>
      </c>
      <c r="H144" s="37">
        <f>IF(OR(G144="",F144=""),"",MROUND(G144*F144/100,'Start Here'!$B$7))</f>
        <v/>
      </c>
      <c r="I144" s="34" t="n"/>
      <c r="J144" s="34" t="n"/>
      <c r="K144" s="34" t="n"/>
      <c r="L144" s="34" t="n"/>
      <c r="M144" s="34" t="n"/>
      <c r="N144" s="34" t="n"/>
      <c r="O144" s="38" t="inlineStr">
        <is>
          <t>Easy volume - stay 3+ reps from failure</t>
        </is>
      </c>
    </row>
    <row r="145">
      <c r="C145" t="inlineStr">
        <is>
          <t xml:space="preserve">      Set 1</t>
        </is>
      </c>
      <c r="E145" t="n">
        <v>8</v>
      </c>
      <c r="H145" s="39">
        <f>IF(H144="","",H144)</f>
        <v/>
      </c>
      <c r="I145" s="7">
        <f>IF(H144="","",H144)</f>
        <v/>
      </c>
      <c r="J145" s="7" t="n">
        <v>8</v>
      </c>
      <c r="K145" s="7" t="n"/>
      <c r="L145" s="40" t="n"/>
      <c r="M145">
        <f>IF(AND(L145&lt;&gt;"",N(I145)&gt;0,N(J145)&gt;0),IF(J145=1,I145,ROUND(I145*(1+J145/30),1)),"")</f>
        <v/>
      </c>
      <c r="N145" s="41">
        <f>IF(M145="","",IF(M145&gt;=PRs!C5,"PR!",""))</f>
        <v/>
      </c>
      <c r="O145" s="7" t="n"/>
    </row>
    <row r="146">
      <c r="C146" t="inlineStr">
        <is>
          <t xml:space="preserve">      Set 2</t>
        </is>
      </c>
      <c r="E146" t="n">
        <v>8</v>
      </c>
      <c r="H146" s="39">
        <f>IF(H144="","",H144)</f>
        <v/>
      </c>
      <c r="I146" s="7">
        <f>IF(H144="","",H144)</f>
        <v/>
      </c>
      <c r="J146" s="7" t="n">
        <v>8</v>
      </c>
      <c r="K146" s="7" t="n"/>
      <c r="L146" s="40" t="n"/>
      <c r="M146">
        <f>IF(AND(L146&lt;&gt;"",N(I146)&gt;0,N(J146)&gt;0),IF(J146=1,I146,ROUND(I146*(1+J146/30),1)),"")</f>
        <v/>
      </c>
      <c r="N146" s="41">
        <f>IF(M146="","",IF(M146&gt;=PRs!C5,"PR!",""))</f>
        <v/>
      </c>
      <c r="O146" s="7" t="n"/>
    </row>
    <row r="147">
      <c r="C147" t="inlineStr">
        <is>
          <t xml:space="preserve">      Set 3</t>
        </is>
      </c>
      <c r="E147" t="n">
        <v>8</v>
      </c>
      <c r="H147" s="39">
        <f>IF(H144="","",H144)</f>
        <v/>
      </c>
      <c r="I147" s="7">
        <f>IF(H144="","",H144)</f>
        <v/>
      </c>
      <c r="J147" s="7" t="n">
        <v>8</v>
      </c>
      <c r="K147" s="7" t="n"/>
      <c r="L147" s="40" t="n"/>
      <c r="M147">
        <f>IF(AND(L147&lt;&gt;"",N(I147)&gt;0,N(J147)&gt;0),IF(J147=1,I147,ROUND(I147*(1+J147/30),1)),"")</f>
        <v/>
      </c>
      <c r="N147" s="41">
        <f>IF(M147="","",IF(M147&gt;=PRs!C5,"PR!",""))</f>
        <v/>
      </c>
      <c r="O147" s="7" t="n"/>
    </row>
    <row r="148">
      <c r="A148" s="34" t="n"/>
      <c r="B148" s="34" t="n"/>
      <c r="C148" s="42" t="inlineStr">
        <is>
          <t>Deadlift</t>
        </is>
      </c>
      <c r="D148" s="34" t="inlineStr">
        <is>
          <t>3 x 8</t>
        </is>
      </c>
      <c r="E148" s="34" t="n"/>
      <c r="F148" s="34" t="n">
        <v>62.5</v>
      </c>
      <c r="G148" s="36">
        <f>Maxes!I4</f>
        <v/>
      </c>
      <c r="H148" s="37">
        <f>IF(OR(G148="",F148=""),"",MROUND(G148*F148/100,'Start Here'!$B$7))</f>
        <v/>
      </c>
      <c r="I148" s="34" t="n"/>
      <c r="J148" s="34" t="n"/>
      <c r="K148" s="34" t="n"/>
      <c r="L148" s="34" t="n"/>
      <c r="M148" s="34" t="n"/>
      <c r="N148" s="34" t="n"/>
      <c r="O148" s="38" t="inlineStr">
        <is>
          <t>Easy volume - stay 3+ reps from failure</t>
        </is>
      </c>
    </row>
    <row r="149">
      <c r="C149" t="inlineStr">
        <is>
          <t xml:space="preserve">      Set 1</t>
        </is>
      </c>
      <c r="E149" t="n">
        <v>8</v>
      </c>
      <c r="H149" s="39">
        <f>IF(H148="","",H148)</f>
        <v/>
      </c>
      <c r="I149" s="7">
        <f>IF(H148="","",H148)</f>
        <v/>
      </c>
      <c r="J149" s="7" t="n">
        <v>8</v>
      </c>
      <c r="K149" s="7" t="n"/>
      <c r="L149" s="40" t="n"/>
      <c r="M149">
        <f>IF(AND(L149&lt;&gt;"",N(I149)&gt;0,N(J149)&gt;0),IF(J149=1,I149,ROUND(I149*(1+J149/30),1)),"")</f>
        <v/>
      </c>
      <c r="N149" s="41">
        <f>IF(M149="","",IF(M149&gt;=PRs!C4,"PR!",""))</f>
        <v/>
      </c>
      <c r="O149" s="7" t="n"/>
    </row>
    <row r="150">
      <c r="C150" t="inlineStr">
        <is>
          <t xml:space="preserve">      Set 2</t>
        </is>
      </c>
      <c r="E150" t="n">
        <v>8</v>
      </c>
      <c r="H150" s="39">
        <f>IF(H148="","",H148)</f>
        <v/>
      </c>
      <c r="I150" s="7">
        <f>IF(H148="","",H148)</f>
        <v/>
      </c>
      <c r="J150" s="7" t="n">
        <v>8</v>
      </c>
      <c r="K150" s="7" t="n"/>
      <c r="L150" s="40" t="n"/>
      <c r="M150">
        <f>IF(AND(L150&lt;&gt;"",N(I150)&gt;0,N(J150)&gt;0),IF(J150=1,I150,ROUND(I150*(1+J150/30),1)),"")</f>
        <v/>
      </c>
      <c r="N150" s="41">
        <f>IF(M150="","",IF(M150&gt;=PRs!C4,"PR!",""))</f>
        <v/>
      </c>
      <c r="O150" s="7" t="n"/>
    </row>
    <row r="151">
      <c r="C151" t="inlineStr">
        <is>
          <t xml:space="preserve">      Set 3</t>
        </is>
      </c>
      <c r="E151" t="n">
        <v>8</v>
      </c>
      <c r="H151" s="39">
        <f>IF(H148="","",H148)</f>
        <v/>
      </c>
      <c r="I151" s="7">
        <f>IF(H148="","",H148)</f>
        <v/>
      </c>
      <c r="J151" s="7" t="n">
        <v>8</v>
      </c>
      <c r="K151" s="7" t="n"/>
      <c r="L151" s="40" t="n"/>
      <c r="M151">
        <f>IF(AND(L151&lt;&gt;"",N(I151)&gt;0,N(J151)&gt;0),IF(J151=1,I151,ROUND(I151*(1+J151/30),1)),"")</f>
        <v/>
      </c>
      <c r="N151" s="41">
        <f>IF(M151="","",IF(M151&gt;=PRs!C4,"PR!",""))</f>
        <v/>
      </c>
      <c r="O151" s="7" t="n"/>
    </row>
    <row r="152">
      <c r="A152" s="34" t="n"/>
      <c r="B152" s="34" t="n"/>
      <c r="C152" s="43" t="inlineStr">
        <is>
          <t>Chin-up</t>
        </is>
      </c>
      <c r="D152" s="34" t="inlineStr">
        <is>
          <t>4 x 6-10</t>
        </is>
      </c>
      <c r="E152" s="34" t="n"/>
      <c r="F152" s="34" t="n"/>
      <c r="G152" s="36" t="n"/>
      <c r="H152" s="37" t="n"/>
      <c r="I152" s="34" t="n"/>
      <c r="J152" s="34" t="n"/>
      <c r="K152" s="34" t="n"/>
      <c r="L152" s="34" t="n"/>
      <c r="M152" s="34" t="n"/>
      <c r="N152" s="34" t="n"/>
      <c r="O152" s="38" t="inlineStr">
        <is>
          <t>Leave 1-2 reps in the tank; add weight when you hit the top of the range</t>
        </is>
      </c>
    </row>
    <row r="153">
      <c r="C153" t="inlineStr">
        <is>
          <t xml:space="preserve">      Set 1</t>
        </is>
      </c>
      <c r="E153" t="n">
        <v>6</v>
      </c>
      <c r="H153" s="39">
        <f>IF(H152="","",H152)</f>
        <v/>
      </c>
      <c r="I153" s="7">
        <f>IF(H152="","",H152)</f>
        <v/>
      </c>
      <c r="J153" s="7" t="n">
        <v>6</v>
      </c>
      <c r="K153" s="7" t="n"/>
      <c r="L153" s="40" t="n"/>
      <c r="M153">
        <f>IF(AND(L153&lt;&gt;"",N(I153)&gt;0,N(J153)&gt;0),IF(J153=1,I153,ROUND(I153*(1+J153/30),1)),"")</f>
        <v/>
      </c>
      <c r="N153" s="41">
        <f>IF(M153="","",IF(M153&gt;=PRs!C53,"PR!",""))</f>
        <v/>
      </c>
      <c r="O153" s="7" t="n"/>
    </row>
    <row r="154">
      <c r="C154" t="inlineStr">
        <is>
          <t xml:space="preserve">      Set 2</t>
        </is>
      </c>
      <c r="E154" t="n">
        <v>6</v>
      </c>
      <c r="H154" s="39">
        <f>IF(H152="","",H152)</f>
        <v/>
      </c>
      <c r="I154" s="7">
        <f>IF(H152="","",H152)</f>
        <v/>
      </c>
      <c r="J154" s="7" t="n">
        <v>6</v>
      </c>
      <c r="K154" s="7" t="n"/>
      <c r="L154" s="40" t="n"/>
      <c r="M154">
        <f>IF(AND(L154&lt;&gt;"",N(I154)&gt;0,N(J154)&gt;0),IF(J154=1,I154,ROUND(I154*(1+J154/30),1)),"")</f>
        <v/>
      </c>
      <c r="N154" s="41">
        <f>IF(M154="","",IF(M154&gt;=PRs!C53,"PR!",""))</f>
        <v/>
      </c>
      <c r="O154" s="7" t="n"/>
    </row>
    <row r="155">
      <c r="C155" t="inlineStr">
        <is>
          <t xml:space="preserve">      Set 3</t>
        </is>
      </c>
      <c r="E155" t="n">
        <v>6</v>
      </c>
      <c r="H155" s="39">
        <f>IF(H152="","",H152)</f>
        <v/>
      </c>
      <c r="I155" s="7">
        <f>IF(H152="","",H152)</f>
        <v/>
      </c>
      <c r="J155" s="7" t="n">
        <v>6</v>
      </c>
      <c r="K155" s="7" t="n"/>
      <c r="L155" s="40" t="n"/>
      <c r="M155">
        <f>IF(AND(L155&lt;&gt;"",N(I155)&gt;0,N(J155)&gt;0),IF(J155=1,I155,ROUND(I155*(1+J155/30),1)),"")</f>
        <v/>
      </c>
      <c r="N155" s="41">
        <f>IF(M155="","",IF(M155&gt;=PRs!C53,"PR!",""))</f>
        <v/>
      </c>
      <c r="O155" s="7" t="n"/>
    </row>
    <row r="156">
      <c r="C156" t="inlineStr">
        <is>
          <t xml:space="preserve">      Set 4</t>
        </is>
      </c>
      <c r="E156" t="n">
        <v>6</v>
      </c>
      <c r="H156" s="39">
        <f>IF(H152="","",H152)</f>
        <v/>
      </c>
      <c r="I156" s="7">
        <f>IF(H152="","",H152)</f>
        <v/>
      </c>
      <c r="J156" s="7" t="n">
        <v>6</v>
      </c>
      <c r="K156" s="7" t="n"/>
      <c r="L156" s="40" t="n"/>
      <c r="M156">
        <f>IF(AND(L156&lt;&gt;"",N(I156)&gt;0,N(J156)&gt;0),IF(J156=1,I156,ROUND(I156*(1+J156/30),1)),"")</f>
        <v/>
      </c>
      <c r="N156" s="41">
        <f>IF(M156="","",IF(M156&gt;=PRs!C53,"PR!",""))</f>
        <v/>
      </c>
      <c r="O156" s="7" t="n"/>
    </row>
    <row r="157">
      <c r="A157" s="34" t="n"/>
      <c r="B157" s="34" t="n"/>
      <c r="C157" s="43" t="inlineStr">
        <is>
          <t>Plank</t>
        </is>
      </c>
      <c r="D157" s="34" t="inlineStr">
        <is>
          <t>4 x 30-60s</t>
        </is>
      </c>
      <c r="E157" s="34" t="n"/>
      <c r="F157" s="34" t="n"/>
      <c r="G157" s="36" t="n"/>
      <c r="H157" s="37" t="n"/>
      <c r="I157" s="34" t="n"/>
      <c r="J157" s="34" t="n"/>
      <c r="K157" s="34" t="n"/>
      <c r="L157" s="34" t="n"/>
      <c r="M157" s="34" t="n"/>
      <c r="N157" s="34" t="n"/>
      <c r="O157" s="38" t="inlineStr">
        <is>
          <t>Leave 1-2 reps in the tank; add weight when you hit the top of the range</t>
        </is>
      </c>
    </row>
    <row r="158">
      <c r="C158" t="inlineStr">
        <is>
          <t xml:space="preserve">      Set 1</t>
        </is>
      </c>
      <c r="E158" t="n">
        <v>30</v>
      </c>
      <c r="H158" s="39">
        <f>IF(H157="","",H157)</f>
        <v/>
      </c>
      <c r="I158" s="7">
        <f>IF(H157="","",H157)</f>
        <v/>
      </c>
      <c r="J158" s="7" t="n">
        <v>30</v>
      </c>
      <c r="K158" s="7" t="n"/>
      <c r="L158" s="40" t="n"/>
      <c r="M158">
        <f>IF(AND(L158&lt;&gt;"",N(I158)&gt;0,N(J158)&gt;0),IF(J158=1,I158,ROUND(I158*(1+J158/30),1)),"")</f>
        <v/>
      </c>
      <c r="N158" s="41">
        <f>IF(M158="","",IF(M158&gt;=PRs!C56,"PR!",""))</f>
        <v/>
      </c>
      <c r="O158" s="7" t="n"/>
    </row>
    <row r="159">
      <c r="C159" t="inlineStr">
        <is>
          <t xml:space="preserve">      Set 2</t>
        </is>
      </c>
      <c r="E159" t="n">
        <v>30</v>
      </c>
      <c r="H159" s="39">
        <f>IF(H157="","",H157)</f>
        <v/>
      </c>
      <c r="I159" s="7">
        <f>IF(H157="","",H157)</f>
        <v/>
      </c>
      <c r="J159" s="7" t="n">
        <v>30</v>
      </c>
      <c r="K159" s="7" t="n"/>
      <c r="L159" s="40" t="n"/>
      <c r="M159">
        <f>IF(AND(L159&lt;&gt;"",N(I159)&gt;0,N(J159)&gt;0),IF(J159=1,I159,ROUND(I159*(1+J159/30),1)),"")</f>
        <v/>
      </c>
      <c r="N159" s="41">
        <f>IF(M159="","",IF(M159&gt;=PRs!C56,"PR!",""))</f>
        <v/>
      </c>
      <c r="O159" s="7" t="n"/>
    </row>
    <row r="160">
      <c r="C160" t="inlineStr">
        <is>
          <t xml:space="preserve">      Set 3</t>
        </is>
      </c>
      <c r="E160" t="n">
        <v>30</v>
      </c>
      <c r="H160" s="39">
        <f>IF(H157="","",H157)</f>
        <v/>
      </c>
      <c r="I160" s="7">
        <f>IF(H157="","",H157)</f>
        <v/>
      </c>
      <c r="J160" s="7" t="n">
        <v>30</v>
      </c>
      <c r="K160" s="7" t="n"/>
      <c r="L160" s="40" t="n"/>
      <c r="M160">
        <f>IF(AND(L160&lt;&gt;"",N(I160)&gt;0,N(J160)&gt;0),IF(J160=1,I160,ROUND(I160*(1+J160/30),1)),"")</f>
        <v/>
      </c>
      <c r="N160" s="41">
        <f>IF(M160="","",IF(M160&gt;=PRs!C56,"PR!",""))</f>
        <v/>
      </c>
      <c r="O160" s="7" t="n"/>
    </row>
    <row r="161">
      <c r="C161" t="inlineStr">
        <is>
          <t xml:space="preserve">      Set 4</t>
        </is>
      </c>
      <c r="E161" t="n">
        <v>30</v>
      </c>
      <c r="H161" s="39">
        <f>IF(H157="","",H157)</f>
        <v/>
      </c>
      <c r="I161" s="7">
        <f>IF(H157="","",H157)</f>
        <v/>
      </c>
      <c r="J161" s="7" t="n">
        <v>30</v>
      </c>
      <c r="K161" s="7" t="n"/>
      <c r="L161" s="40" t="n"/>
      <c r="M161">
        <f>IF(AND(L161&lt;&gt;"",N(I161)&gt;0,N(J161)&gt;0),IF(J161=1,I161,ROUND(I161*(1+J161/30),1)),"")</f>
        <v/>
      </c>
      <c r="N161" s="41">
        <f>IF(M161="","",IF(M161&gt;=PRs!C56,"PR!",""))</f>
        <v/>
      </c>
      <c r="O161" s="7" t="n"/>
    </row>
    <row r="162">
      <c r="A162" s="31" t="inlineStr">
        <is>
          <t>Day 3 - Variations</t>
        </is>
      </c>
      <c r="B162" s="32">
        <f>'Start Here'!$B$8+347</f>
        <v/>
      </c>
      <c r="C162" s="33" t="n"/>
      <c r="D162" s="33" t="n"/>
      <c r="E162" s="33" t="n"/>
      <c r="F162" s="33" t="n"/>
      <c r="G162" s="33" t="n"/>
      <c r="H162" s="33" t="n"/>
      <c r="I162" s="33" t="n"/>
      <c r="J162" s="33" t="n"/>
      <c r="K162" s="33" t="n"/>
      <c r="L162" s="33" t="n"/>
      <c r="M162" s="33" t="n"/>
      <c r="N162" s="33" t="n"/>
      <c r="O162" s="33" t="n"/>
    </row>
    <row r="163">
      <c r="A163" s="34" t="n"/>
      <c r="B163" s="34" t="n"/>
      <c r="C163" s="35" t="inlineStr">
        <is>
          <t>Depth Jump</t>
        </is>
      </c>
      <c r="D163" s="34" t="inlineStr">
        <is>
          <t>3 x 3</t>
        </is>
      </c>
      <c r="E163" s="34" t="n"/>
      <c r="F163" s="34" t="n"/>
      <c r="G163" s="36" t="n"/>
      <c r="H163" s="37">
        <f>IF(N(Maxes!I72)&gt;0,Maxes!I72,"")</f>
        <v/>
      </c>
      <c r="I163" s="34" t="n"/>
      <c r="J163" s="34" t="n"/>
      <c r="K163" s="34" t="n"/>
      <c r="L163" s="34" t="n"/>
      <c r="M163" s="34" t="n"/>
      <c r="N163" s="34" t="n"/>
      <c r="O163" s="38" t="inlineStr">
        <is>
          <t>Step off a low box (12-18 in / 30-45 cm), land and rebound straight up as fast as possible. Log the drop-box height.</t>
        </is>
      </c>
    </row>
    <row r="164">
      <c r="C164" t="inlineStr">
        <is>
          <t xml:space="preserve">      Set 1</t>
        </is>
      </c>
      <c r="E164" t="n">
        <v>3</v>
      </c>
      <c r="H164" s="39">
        <f>IF(H163="","",H163)</f>
        <v/>
      </c>
      <c r="I164" s="7">
        <f>IF(H163="","",H163)</f>
        <v/>
      </c>
      <c r="J164" s="7" t="n">
        <v>3</v>
      </c>
      <c r="K164" s="7" t="n"/>
      <c r="L164" s="40" t="n"/>
      <c r="N164" s="41">
        <f>IF(AND(L164&lt;&gt;"",N(I164)&gt;0),IF(I164&gt;=PRs!D72,"PR!",""),"")</f>
        <v/>
      </c>
      <c r="O164" s="7" t="n"/>
    </row>
    <row r="165">
      <c r="C165" t="inlineStr">
        <is>
          <t xml:space="preserve">      Set 2</t>
        </is>
      </c>
      <c r="E165" t="n">
        <v>3</v>
      </c>
      <c r="H165" s="39">
        <f>IF(H163="","",H163)</f>
        <v/>
      </c>
      <c r="I165" s="7">
        <f>IF(H163="","",H163)</f>
        <v/>
      </c>
      <c r="J165" s="7" t="n">
        <v>3</v>
      </c>
      <c r="K165" s="7" t="n"/>
      <c r="L165" s="40" t="n"/>
      <c r="N165" s="41">
        <f>IF(AND(L165&lt;&gt;"",N(I165)&gt;0),IF(I165&gt;=PRs!D72,"PR!",""),"")</f>
        <v/>
      </c>
      <c r="O165" s="7" t="n"/>
    </row>
    <row r="166">
      <c r="C166" t="inlineStr">
        <is>
          <t xml:space="preserve">      Set 3</t>
        </is>
      </c>
      <c r="E166" t="n">
        <v>3</v>
      </c>
      <c r="H166" s="39">
        <f>IF(H163="","",H163)</f>
        <v/>
      </c>
      <c r="I166" s="7">
        <f>IF(H163="","",H163)</f>
        <v/>
      </c>
      <c r="J166" s="7" t="n">
        <v>3</v>
      </c>
      <c r="K166" s="7" t="n"/>
      <c r="L166" s="40" t="n"/>
      <c r="N166" s="41">
        <f>IF(AND(L166&lt;&gt;"",N(I166)&gt;0),IF(I166&gt;=PRs!D72,"PR!",""),"")</f>
        <v/>
      </c>
      <c r="O166" s="7" t="n"/>
    </row>
    <row r="167">
      <c r="A167" s="34" t="n"/>
      <c r="B167" s="34" t="n"/>
      <c r="C167" s="42" t="inlineStr">
        <is>
          <t>Snatch Balance</t>
        </is>
      </c>
      <c r="D167" s="34" t="inlineStr">
        <is>
          <t>3 x 3</t>
        </is>
      </c>
      <c r="E167" s="34" t="n"/>
      <c r="F167" s="34" t="n">
        <v>62.5</v>
      </c>
      <c r="G167" s="36">
        <f>Maxes!I38</f>
        <v/>
      </c>
      <c r="H167" s="37">
        <f>IF(OR(G167="",F167=""),"",MROUND(G167*F167/100,'Start Here'!$B$7))</f>
        <v/>
      </c>
      <c r="I167" s="34" t="n"/>
      <c r="J167" s="34" t="n"/>
      <c r="K167" s="34" t="n"/>
      <c r="L167" s="34" t="n"/>
      <c r="M167" s="34" t="n"/>
      <c r="N167" s="34" t="n"/>
      <c r="O167" s="38" t="inlineStr">
        <is>
          <t>Easy volume - stay 3+ reps from failure</t>
        </is>
      </c>
    </row>
    <row r="168">
      <c r="C168" t="inlineStr">
        <is>
          <t xml:space="preserve">      Set 1</t>
        </is>
      </c>
      <c r="E168" t="n">
        <v>3</v>
      </c>
      <c r="H168" s="39">
        <f>IF(H167="","",H167)</f>
        <v/>
      </c>
      <c r="I168" s="7">
        <f>IF(H167="","",H167)</f>
        <v/>
      </c>
      <c r="J168" s="7" t="n">
        <v>3</v>
      </c>
      <c r="K168" s="7" t="n"/>
      <c r="L168" s="40" t="n"/>
      <c r="M168">
        <f>IF(AND(L168&lt;&gt;"",N(I168)&gt;0,N(J168)&gt;0),IF(J168=1,I168,ROUND(I168*(1+J168/30),1)),"")</f>
        <v/>
      </c>
      <c r="N168" s="41">
        <f>IF(M168="","",IF(M168&gt;=PRs!C38,"PR!",""))</f>
        <v/>
      </c>
      <c r="O168" s="7" t="n"/>
    </row>
    <row r="169">
      <c r="C169" t="inlineStr">
        <is>
          <t xml:space="preserve">      Set 2</t>
        </is>
      </c>
      <c r="E169" t="n">
        <v>3</v>
      </c>
      <c r="H169" s="39">
        <f>IF(H167="","",H167)</f>
        <v/>
      </c>
      <c r="I169" s="7">
        <f>IF(H167="","",H167)</f>
        <v/>
      </c>
      <c r="J169" s="7" t="n">
        <v>3</v>
      </c>
      <c r="K169" s="7" t="n"/>
      <c r="L169" s="40" t="n"/>
      <c r="M169">
        <f>IF(AND(L169&lt;&gt;"",N(I169)&gt;0,N(J169)&gt;0),IF(J169=1,I169,ROUND(I169*(1+J169/30),1)),"")</f>
        <v/>
      </c>
      <c r="N169" s="41">
        <f>IF(M169="","",IF(M169&gt;=PRs!C38,"PR!",""))</f>
        <v/>
      </c>
      <c r="O169" s="7" t="n"/>
    </row>
    <row r="170">
      <c r="C170" t="inlineStr">
        <is>
          <t xml:space="preserve">      Set 3</t>
        </is>
      </c>
      <c r="E170" t="n">
        <v>3</v>
      </c>
      <c r="H170" s="39">
        <f>IF(H167="","",H167)</f>
        <v/>
      </c>
      <c r="I170" s="7">
        <f>IF(H167="","",H167)</f>
        <v/>
      </c>
      <c r="J170" s="7" t="n">
        <v>3</v>
      </c>
      <c r="K170" s="7" t="n"/>
      <c r="L170" s="40" t="n"/>
      <c r="M170">
        <f>IF(AND(L170&lt;&gt;"",N(I170)&gt;0,N(J170)&gt;0),IF(J170=1,I170,ROUND(I170*(1+J170/30),1)),"")</f>
        <v/>
      </c>
      <c r="N170" s="41">
        <f>IF(M170="","",IF(M170&gt;=PRs!C38,"PR!",""))</f>
        <v/>
      </c>
      <c r="O170" s="7" t="n"/>
    </row>
    <row r="171">
      <c r="A171" s="34" t="n"/>
      <c r="B171" s="34" t="n"/>
      <c r="C171" s="42" t="inlineStr">
        <is>
          <t>Front Squat</t>
        </is>
      </c>
      <c r="D171" s="34" t="inlineStr">
        <is>
          <t>3 x 8</t>
        </is>
      </c>
      <c r="E171" s="34" t="n"/>
      <c r="F171" s="34" t="n">
        <v>62.5</v>
      </c>
      <c r="G171" s="36">
        <f>Maxes!I10</f>
        <v/>
      </c>
      <c r="H171" s="37">
        <f>IF(OR(G171="",F171=""),"",MROUND(G171*F171/100,'Start Here'!$B$7))</f>
        <v/>
      </c>
      <c r="I171" s="34" t="n"/>
      <c r="J171" s="34" t="n"/>
      <c r="K171" s="34" t="n"/>
      <c r="L171" s="34" t="n"/>
      <c r="M171" s="34" t="n"/>
      <c r="N171" s="34" t="n"/>
      <c r="O171" s="38" t="inlineStr">
        <is>
          <t>Easy volume - stay 3+ reps from failure</t>
        </is>
      </c>
    </row>
    <row r="172">
      <c r="C172" t="inlineStr">
        <is>
          <t xml:space="preserve">      Set 1</t>
        </is>
      </c>
      <c r="E172" t="n">
        <v>8</v>
      </c>
      <c r="H172" s="39">
        <f>IF(H171="","",H171)</f>
        <v/>
      </c>
      <c r="I172" s="7">
        <f>IF(H171="","",H171)</f>
        <v/>
      </c>
      <c r="J172" s="7" t="n">
        <v>8</v>
      </c>
      <c r="K172" s="7" t="n"/>
      <c r="L172" s="40" t="n"/>
      <c r="M172">
        <f>IF(AND(L172&lt;&gt;"",N(I172)&gt;0,N(J172)&gt;0),IF(J172=1,I172,ROUND(I172*(1+J172/30),1)),"")</f>
        <v/>
      </c>
      <c r="N172" s="41">
        <f>IF(M172="","",IF(M172&gt;=PRs!C10,"PR!",""))</f>
        <v/>
      </c>
      <c r="O172" s="7" t="n"/>
    </row>
    <row r="173">
      <c r="C173" t="inlineStr">
        <is>
          <t xml:space="preserve">      Set 2</t>
        </is>
      </c>
      <c r="E173" t="n">
        <v>8</v>
      </c>
      <c r="H173" s="39">
        <f>IF(H171="","",H171)</f>
        <v/>
      </c>
      <c r="I173" s="7">
        <f>IF(H171="","",H171)</f>
        <v/>
      </c>
      <c r="J173" s="7" t="n">
        <v>8</v>
      </c>
      <c r="K173" s="7" t="n"/>
      <c r="L173" s="40" t="n"/>
      <c r="M173">
        <f>IF(AND(L173&lt;&gt;"",N(I173)&gt;0,N(J173)&gt;0),IF(J173=1,I173,ROUND(I173*(1+J173/30),1)),"")</f>
        <v/>
      </c>
      <c r="N173" s="41">
        <f>IF(M173="","",IF(M173&gt;=PRs!C10,"PR!",""))</f>
        <v/>
      </c>
      <c r="O173" s="7" t="n"/>
    </row>
    <row r="174">
      <c r="C174" t="inlineStr">
        <is>
          <t xml:space="preserve">      Set 3</t>
        </is>
      </c>
      <c r="E174" t="n">
        <v>8</v>
      </c>
      <c r="H174" s="39">
        <f>IF(H171="","",H171)</f>
        <v/>
      </c>
      <c r="I174" s="7">
        <f>IF(H171="","",H171)</f>
        <v/>
      </c>
      <c r="J174" s="7" t="n">
        <v>8</v>
      </c>
      <c r="K174" s="7" t="n"/>
      <c r="L174" s="40" t="n"/>
      <c r="M174">
        <f>IF(AND(L174&lt;&gt;"",N(I174)&gt;0,N(J174)&gt;0),IF(J174=1,I174,ROUND(I174*(1+J174/30),1)),"")</f>
        <v/>
      </c>
      <c r="N174" s="41">
        <f>IF(M174="","",IF(M174&gt;=PRs!C10,"PR!",""))</f>
        <v/>
      </c>
      <c r="O174" s="7" t="n"/>
    </row>
    <row r="175">
      <c r="A175" s="34" t="n"/>
      <c r="B175" s="34" t="n"/>
      <c r="C175" s="42" t="inlineStr">
        <is>
          <t>3-Board Press</t>
        </is>
      </c>
      <c r="D175" s="34" t="inlineStr">
        <is>
          <t>3 x 8</t>
        </is>
      </c>
      <c r="E175" s="34" t="n"/>
      <c r="F175" s="34" t="n">
        <v>62.5</v>
      </c>
      <c r="G175" s="36">
        <f>Maxes!I17</f>
        <v/>
      </c>
      <c r="H175" s="37">
        <f>IF(OR(G175="",F175=""),"",MROUND(G175*F175/100,'Start Here'!$B$7))</f>
        <v/>
      </c>
      <c r="I175" s="34" t="n"/>
      <c r="J175" s="34" t="n"/>
      <c r="K175" s="34" t="n"/>
      <c r="L175" s="34" t="n"/>
      <c r="M175" s="34" t="n"/>
      <c r="N175" s="34" t="n"/>
      <c r="O175" s="38" t="inlineStr">
        <is>
          <t>Easy volume - stay 3+ reps from failure</t>
        </is>
      </c>
    </row>
    <row r="176">
      <c r="C176" t="inlineStr">
        <is>
          <t xml:space="preserve">      Set 1</t>
        </is>
      </c>
      <c r="E176" t="n">
        <v>8</v>
      </c>
      <c r="H176" s="39">
        <f>IF(H175="","",H175)</f>
        <v/>
      </c>
      <c r="I176" s="7">
        <f>IF(H175="","",H175)</f>
        <v/>
      </c>
      <c r="J176" s="7" t="n">
        <v>8</v>
      </c>
      <c r="K176" s="7" t="n"/>
      <c r="L176" s="40" t="n"/>
      <c r="M176">
        <f>IF(AND(L176&lt;&gt;"",N(I176)&gt;0,N(J176)&gt;0),IF(J176=1,I176,ROUND(I176*(1+J176/30),1)),"")</f>
        <v/>
      </c>
      <c r="N176" s="41">
        <f>IF(M176="","",IF(M176&gt;=PRs!C17,"PR!",""))</f>
        <v/>
      </c>
      <c r="O176" s="7" t="n"/>
    </row>
    <row r="177">
      <c r="C177" t="inlineStr">
        <is>
          <t xml:space="preserve">      Set 2</t>
        </is>
      </c>
      <c r="E177" t="n">
        <v>8</v>
      </c>
      <c r="H177" s="39">
        <f>IF(H175="","",H175)</f>
        <v/>
      </c>
      <c r="I177" s="7">
        <f>IF(H175="","",H175)</f>
        <v/>
      </c>
      <c r="J177" s="7" t="n">
        <v>8</v>
      </c>
      <c r="K177" s="7" t="n"/>
      <c r="L177" s="40" t="n"/>
      <c r="M177">
        <f>IF(AND(L177&lt;&gt;"",N(I177)&gt;0,N(J177)&gt;0),IF(J177=1,I177,ROUND(I177*(1+J177/30),1)),"")</f>
        <v/>
      </c>
      <c r="N177" s="41">
        <f>IF(M177="","",IF(M177&gt;=PRs!C17,"PR!",""))</f>
        <v/>
      </c>
      <c r="O177" s="7" t="n"/>
    </row>
    <row r="178">
      <c r="C178" t="inlineStr">
        <is>
          <t xml:space="preserve">      Set 3</t>
        </is>
      </c>
      <c r="E178" t="n">
        <v>8</v>
      </c>
      <c r="H178" s="39">
        <f>IF(H175="","",H175)</f>
        <v/>
      </c>
      <c r="I178" s="7">
        <f>IF(H175="","",H175)</f>
        <v/>
      </c>
      <c r="J178" s="7" t="n">
        <v>8</v>
      </c>
      <c r="K178" s="7" t="n"/>
      <c r="L178" s="40" t="n"/>
      <c r="M178">
        <f>IF(AND(L178&lt;&gt;"",N(I178)&gt;0,N(J178)&gt;0),IF(J178=1,I178,ROUND(I178*(1+J178/30),1)),"")</f>
        <v/>
      </c>
      <c r="N178" s="41">
        <f>IF(M178="","",IF(M178&gt;=PRs!C17,"PR!",""))</f>
        <v/>
      </c>
      <c r="O178" s="7" t="n"/>
    </row>
    <row r="179">
      <c r="A179" s="34" t="n"/>
      <c r="B179" s="34" t="n"/>
      <c r="C179" s="42" t="inlineStr">
        <is>
          <t>Romanian Deadlift</t>
        </is>
      </c>
      <c r="D179" s="34" t="inlineStr">
        <is>
          <t>3 x 8</t>
        </is>
      </c>
      <c r="E179" s="34" t="n"/>
      <c r="F179" s="34" t="n">
        <v>62.5</v>
      </c>
      <c r="G179" s="36">
        <f>Maxes!I23</f>
        <v/>
      </c>
      <c r="H179" s="37">
        <f>IF(OR(G179="",F179=""),"",MROUND(G179*F179/100,'Start Here'!$B$7))</f>
        <v/>
      </c>
      <c r="I179" s="34" t="n"/>
      <c r="J179" s="34" t="n"/>
      <c r="K179" s="34" t="n"/>
      <c r="L179" s="34" t="n"/>
      <c r="M179" s="34" t="n"/>
      <c r="N179" s="34" t="n"/>
      <c r="O179" s="38" t="inlineStr">
        <is>
          <t>Easy volume - stay 3+ reps from failure</t>
        </is>
      </c>
    </row>
    <row r="180">
      <c r="C180" t="inlineStr">
        <is>
          <t xml:space="preserve">      Set 1</t>
        </is>
      </c>
      <c r="E180" t="n">
        <v>8</v>
      </c>
      <c r="H180" s="39">
        <f>IF(H179="","",H179)</f>
        <v/>
      </c>
      <c r="I180" s="7">
        <f>IF(H179="","",H179)</f>
        <v/>
      </c>
      <c r="J180" s="7" t="n">
        <v>8</v>
      </c>
      <c r="K180" s="7" t="n"/>
      <c r="L180" s="40" t="n"/>
      <c r="M180">
        <f>IF(AND(L180&lt;&gt;"",N(I180)&gt;0,N(J180)&gt;0),IF(J180=1,I180,ROUND(I180*(1+J180/30),1)),"")</f>
        <v/>
      </c>
      <c r="N180" s="41">
        <f>IF(M180="","",IF(M180&gt;=PRs!C23,"PR!",""))</f>
        <v/>
      </c>
      <c r="O180" s="7" t="n"/>
    </row>
    <row r="181">
      <c r="C181" t="inlineStr">
        <is>
          <t xml:space="preserve">      Set 2</t>
        </is>
      </c>
      <c r="E181" t="n">
        <v>8</v>
      </c>
      <c r="H181" s="39">
        <f>IF(H179="","",H179)</f>
        <v/>
      </c>
      <c r="I181" s="7">
        <f>IF(H179="","",H179)</f>
        <v/>
      </c>
      <c r="J181" s="7" t="n">
        <v>8</v>
      </c>
      <c r="K181" s="7" t="n"/>
      <c r="L181" s="40" t="n"/>
      <c r="M181">
        <f>IF(AND(L181&lt;&gt;"",N(I181)&gt;0,N(J181)&gt;0),IF(J181=1,I181,ROUND(I181*(1+J181/30),1)),"")</f>
        <v/>
      </c>
      <c r="N181" s="41">
        <f>IF(M181="","",IF(M181&gt;=PRs!C23,"PR!",""))</f>
        <v/>
      </c>
      <c r="O181" s="7" t="n"/>
    </row>
    <row r="182">
      <c r="C182" t="inlineStr">
        <is>
          <t xml:space="preserve">      Set 3</t>
        </is>
      </c>
      <c r="E182" t="n">
        <v>8</v>
      </c>
      <c r="H182" s="39">
        <f>IF(H179="","",H179)</f>
        <v/>
      </c>
      <c r="I182" s="7">
        <f>IF(H179="","",H179)</f>
        <v/>
      </c>
      <c r="J182" s="7" t="n">
        <v>8</v>
      </c>
      <c r="K182" s="7" t="n"/>
      <c r="L182" s="40" t="n"/>
      <c r="M182">
        <f>IF(AND(L182&lt;&gt;"",N(I182)&gt;0,N(J182)&gt;0),IF(J182=1,I182,ROUND(I182*(1+J182/30),1)),"")</f>
        <v/>
      </c>
      <c r="N182" s="41">
        <f>IF(M182="","",IF(M182&gt;=PRs!C23,"PR!",""))</f>
        <v/>
      </c>
      <c r="O182" s="7" t="n"/>
    </row>
    <row r="183">
      <c r="A183" s="34" t="n"/>
      <c r="B183" s="34" t="n"/>
      <c r="C183" s="43" t="inlineStr">
        <is>
          <t>Incline Dumbbell Press</t>
        </is>
      </c>
      <c r="D183" s="34" t="inlineStr">
        <is>
          <t>4 x 8-12</t>
        </is>
      </c>
      <c r="E183" s="34" t="n"/>
      <c r="F183" s="34" t="n"/>
      <c r="G183" s="36" t="n"/>
      <c r="H183" s="37" t="n"/>
      <c r="I183" s="34" t="n"/>
      <c r="J183" s="34" t="n"/>
      <c r="K183" s="34" t="n"/>
      <c r="L183" s="34" t="n"/>
      <c r="M183" s="34" t="n"/>
      <c r="N183" s="34" t="n"/>
      <c r="O183" s="38" t="inlineStr">
        <is>
          <t>Leave 1-2 reps in the tank; add weight when you hit the top of the range</t>
        </is>
      </c>
    </row>
    <row r="184">
      <c r="C184" t="inlineStr">
        <is>
          <t xml:space="preserve">      Set 1</t>
        </is>
      </c>
      <c r="E184" t="n">
        <v>8</v>
      </c>
      <c r="H184" s="39">
        <f>IF(H183="","",H183)</f>
        <v/>
      </c>
      <c r="I184" s="7">
        <f>IF(H183="","",H183)</f>
        <v/>
      </c>
      <c r="J184" s="7" t="n">
        <v>8</v>
      </c>
      <c r="K184" s="7" t="n"/>
      <c r="L184" s="40" t="n"/>
      <c r="M184">
        <f>IF(AND(L184&lt;&gt;"",N(I184)&gt;0,N(J184)&gt;0),IF(J184=1,I184,ROUND(I184*(1+J184/30),1)),"")</f>
        <v/>
      </c>
      <c r="N184" s="41">
        <f>IF(M184="","",IF(M184&gt;=PRs!C57,"PR!",""))</f>
        <v/>
      </c>
      <c r="O184" s="7" t="n"/>
    </row>
    <row r="185">
      <c r="C185" t="inlineStr">
        <is>
          <t xml:space="preserve">      Set 2</t>
        </is>
      </c>
      <c r="E185" t="n">
        <v>8</v>
      </c>
      <c r="H185" s="39">
        <f>IF(H183="","",H183)</f>
        <v/>
      </c>
      <c r="I185" s="7">
        <f>IF(H183="","",H183)</f>
        <v/>
      </c>
      <c r="J185" s="7" t="n">
        <v>8</v>
      </c>
      <c r="K185" s="7" t="n"/>
      <c r="L185" s="40" t="n"/>
      <c r="M185">
        <f>IF(AND(L185&lt;&gt;"",N(I185)&gt;0,N(J185)&gt;0),IF(J185=1,I185,ROUND(I185*(1+J185/30),1)),"")</f>
        <v/>
      </c>
      <c r="N185" s="41">
        <f>IF(M185="","",IF(M185&gt;=PRs!C57,"PR!",""))</f>
        <v/>
      </c>
      <c r="O185" s="7" t="n"/>
    </row>
    <row r="186">
      <c r="C186" t="inlineStr">
        <is>
          <t xml:space="preserve">      Set 3</t>
        </is>
      </c>
      <c r="E186" t="n">
        <v>8</v>
      </c>
      <c r="H186" s="39">
        <f>IF(H183="","",H183)</f>
        <v/>
      </c>
      <c r="I186" s="7">
        <f>IF(H183="","",H183)</f>
        <v/>
      </c>
      <c r="J186" s="7" t="n">
        <v>8</v>
      </c>
      <c r="K186" s="7" t="n"/>
      <c r="L186" s="40" t="n"/>
      <c r="M186">
        <f>IF(AND(L186&lt;&gt;"",N(I186)&gt;0,N(J186)&gt;0),IF(J186=1,I186,ROUND(I186*(1+J186/30),1)),"")</f>
        <v/>
      </c>
      <c r="N186" s="41">
        <f>IF(M186="","",IF(M186&gt;=PRs!C57,"PR!",""))</f>
        <v/>
      </c>
      <c r="O186" s="7" t="n"/>
    </row>
    <row r="187">
      <c r="C187" t="inlineStr">
        <is>
          <t xml:space="preserve">      Set 4</t>
        </is>
      </c>
      <c r="E187" t="n">
        <v>8</v>
      </c>
      <c r="H187" s="39">
        <f>IF(H183="","",H183)</f>
        <v/>
      </c>
      <c r="I187" s="7">
        <f>IF(H183="","",H183)</f>
        <v/>
      </c>
      <c r="J187" s="7" t="n">
        <v>8</v>
      </c>
      <c r="K187" s="7" t="n"/>
      <c r="L187" s="40" t="n"/>
      <c r="M187">
        <f>IF(AND(L187&lt;&gt;"",N(I187)&gt;0,N(J187)&gt;0),IF(J187=1,I187,ROUND(I187*(1+J187/30),1)),"")</f>
        <v/>
      </c>
      <c r="N187" s="41">
        <f>IF(M187="","",IF(M187&gt;=PRs!C57,"PR!",""))</f>
        <v/>
      </c>
      <c r="O187" s="7" t="n"/>
    </row>
    <row r="188">
      <c r="A188" s="34" t="n"/>
      <c r="B188" s="34" t="n"/>
      <c r="C188" s="43" t="inlineStr">
        <is>
          <t>Triceps Pushdown</t>
        </is>
      </c>
      <c r="D188" s="34" t="inlineStr">
        <is>
          <t>4 x 10-15</t>
        </is>
      </c>
      <c r="E188" s="34" t="n"/>
      <c r="F188" s="34" t="n"/>
      <c r="G188" s="36" t="n"/>
      <c r="H188" s="37" t="n"/>
      <c r="I188" s="34" t="n"/>
      <c r="J188" s="34" t="n"/>
      <c r="K188" s="34" t="n"/>
      <c r="L188" s="34" t="n"/>
      <c r="M188" s="34" t="n"/>
      <c r="N188" s="34" t="n"/>
      <c r="O188" s="38" t="inlineStr">
        <is>
          <t>Leave 1-2 reps in the tank; add weight when you hit the top of the range</t>
        </is>
      </c>
    </row>
    <row r="189">
      <c r="C189" t="inlineStr">
        <is>
          <t xml:space="preserve">      Set 1</t>
        </is>
      </c>
      <c r="E189" t="n">
        <v>10</v>
      </c>
      <c r="H189" s="39">
        <f>IF(H188="","",H188)</f>
        <v/>
      </c>
      <c r="I189" s="7">
        <f>IF(H188="","",H188)</f>
        <v/>
      </c>
      <c r="J189" s="7" t="n">
        <v>10</v>
      </c>
      <c r="K189" s="7" t="n"/>
      <c r="L189" s="40" t="n"/>
      <c r="M189">
        <f>IF(AND(L189&lt;&gt;"",N(I189)&gt;0,N(J189)&gt;0),IF(J189=1,I189,ROUND(I189*(1+J189/30),1)),"")</f>
        <v/>
      </c>
      <c r="N189" s="41">
        <f>IF(M189="","",IF(M189&gt;=PRs!C59,"PR!",""))</f>
        <v/>
      </c>
      <c r="O189" s="7" t="n"/>
    </row>
    <row r="190">
      <c r="C190" t="inlineStr">
        <is>
          <t xml:space="preserve">      Set 2</t>
        </is>
      </c>
      <c r="E190" t="n">
        <v>10</v>
      </c>
      <c r="H190" s="39">
        <f>IF(H188="","",H188)</f>
        <v/>
      </c>
      <c r="I190" s="7">
        <f>IF(H188="","",H188)</f>
        <v/>
      </c>
      <c r="J190" s="7" t="n">
        <v>10</v>
      </c>
      <c r="K190" s="7" t="n"/>
      <c r="L190" s="40" t="n"/>
      <c r="M190">
        <f>IF(AND(L190&lt;&gt;"",N(I190)&gt;0,N(J190)&gt;0),IF(J190=1,I190,ROUND(I190*(1+J190/30),1)),"")</f>
        <v/>
      </c>
      <c r="N190" s="41">
        <f>IF(M190="","",IF(M190&gt;=PRs!C59,"PR!",""))</f>
        <v/>
      </c>
      <c r="O190" s="7" t="n"/>
    </row>
    <row r="191">
      <c r="C191" t="inlineStr">
        <is>
          <t xml:space="preserve">      Set 3</t>
        </is>
      </c>
      <c r="E191" t="n">
        <v>10</v>
      </c>
      <c r="H191" s="39">
        <f>IF(H188="","",H188)</f>
        <v/>
      </c>
      <c r="I191" s="7">
        <f>IF(H188="","",H188)</f>
        <v/>
      </c>
      <c r="J191" s="7" t="n">
        <v>10</v>
      </c>
      <c r="K191" s="7" t="n"/>
      <c r="L191" s="40" t="n"/>
      <c r="M191">
        <f>IF(AND(L191&lt;&gt;"",N(I191)&gt;0,N(J191)&gt;0),IF(J191=1,I191,ROUND(I191*(1+J191/30),1)),"")</f>
        <v/>
      </c>
      <c r="N191" s="41">
        <f>IF(M191="","",IF(M191&gt;=PRs!C59,"PR!",""))</f>
        <v/>
      </c>
      <c r="O191" s="7" t="n"/>
    </row>
    <row r="192">
      <c r="C192" t="inlineStr">
        <is>
          <t xml:space="preserve">      Set 4</t>
        </is>
      </c>
      <c r="E192" t="n">
        <v>10</v>
      </c>
      <c r="H192" s="39">
        <f>IF(H188="","",H188)</f>
        <v/>
      </c>
      <c r="I192" s="7">
        <f>IF(H188="","",H188)</f>
        <v/>
      </c>
      <c r="J192" s="7" t="n">
        <v>10</v>
      </c>
      <c r="K192" s="7" t="n"/>
      <c r="L192" s="40" t="n"/>
      <c r="M192">
        <f>IF(AND(L192&lt;&gt;"",N(I192)&gt;0,N(J192)&gt;0),IF(J192=1,I192,ROUND(I192*(1+J192/30),1)),"")</f>
        <v/>
      </c>
      <c r="N192" s="41">
        <f>IF(M192="","",IF(M192&gt;=PRs!C59,"PR!",""))</f>
        <v/>
      </c>
      <c r="O192" s="7" t="n"/>
    </row>
    <row r="194">
      <c r="A194" s="60" t="inlineStr">
        <is>
          <t>WEEK 51 - TRANSITION</t>
        </is>
      </c>
      <c r="B194" s="61" t="n"/>
      <c r="C194" s="61" t="n"/>
      <c r="D194" s="61" t="n"/>
      <c r="E194" s="61" t="n"/>
      <c r="F194" s="61" t="n"/>
      <c r="G194" s="61" t="n"/>
      <c r="H194" s="62" t="inlineStr">
        <is>
          <t>Bodyweight:</t>
        </is>
      </c>
      <c r="I194" s="7" t="n"/>
      <c r="J194" s="61" t="n"/>
      <c r="K194" s="61" t="n"/>
      <c r="L194" s="61" t="n"/>
      <c r="M194" s="61" t="n"/>
      <c r="N194" s="61" t="n"/>
      <c r="O194" s="61" t="n"/>
    </row>
    <row r="195">
      <c r="A195" s="31" t="inlineStr">
        <is>
          <t>Day 1 - Heavy</t>
        </is>
      </c>
      <c r="B195" s="32">
        <f>'Start Here'!$B$8+350</f>
        <v/>
      </c>
      <c r="C195" s="33" t="n"/>
      <c r="D195" s="33" t="n"/>
      <c r="E195" s="33" t="n"/>
      <c r="F195" s="33" t="n"/>
      <c r="G195" s="33" t="n"/>
      <c r="H195" s="33" t="n"/>
      <c r="I195" s="33" t="n"/>
      <c r="J195" s="33" t="n"/>
      <c r="K195" s="33" t="n"/>
      <c r="L195" s="33" t="n"/>
      <c r="M195" s="33" t="n"/>
      <c r="N195" s="33" t="n"/>
      <c r="O195" s="33" t="n"/>
    </row>
    <row r="196">
      <c r="A196" s="34" t="n"/>
      <c r="B196" s="34" t="n"/>
      <c r="C196" s="35" t="inlineStr">
        <is>
          <t>Box Jump</t>
        </is>
      </c>
      <c r="D196" s="34" t="inlineStr">
        <is>
          <t>3 x 3</t>
        </is>
      </c>
      <c r="E196" s="34" t="n"/>
      <c r="F196" s="34" t="n"/>
      <c r="G196" s="36" t="n"/>
      <c r="H196" s="37">
        <f>IF(N(Maxes!I69)&gt;0,Maxes!I69,'Start Here'!$G$16)</f>
        <v/>
      </c>
      <c r="I196" s="34" t="n"/>
      <c r="J196" s="34" t="n"/>
      <c r="K196" s="34" t="n"/>
      <c r="L196" s="34" t="n"/>
      <c r="M196" s="34" t="n"/>
      <c r="N196" s="34" t="n"/>
      <c r="O196" s="38" t="inlineStr">
        <is>
          <t>Two-foot jump onto a box, land soft in a quarter squat, STEP down. Log the box height (floor to top of box).</t>
        </is>
      </c>
    </row>
    <row r="197">
      <c r="C197" t="inlineStr">
        <is>
          <t xml:space="preserve">      Set 1</t>
        </is>
      </c>
      <c r="E197" t="n">
        <v>3</v>
      </c>
      <c r="H197" s="39">
        <f>IF(H196="","",H196)</f>
        <v/>
      </c>
      <c r="I197" s="7">
        <f>IF(H196="","",H196)</f>
        <v/>
      </c>
      <c r="J197" s="7" t="n">
        <v>3</v>
      </c>
      <c r="K197" s="7" t="n"/>
      <c r="L197" s="40" t="n"/>
      <c r="N197" s="41">
        <f>IF(AND(L197&lt;&gt;"",N(I197)&gt;0),IF(I197&gt;=PRs!D69,"PR!",""),"")</f>
        <v/>
      </c>
      <c r="O197" s="7" t="n"/>
    </row>
    <row r="198">
      <c r="C198" t="inlineStr">
        <is>
          <t xml:space="preserve">      Set 2</t>
        </is>
      </c>
      <c r="E198" t="n">
        <v>3</v>
      </c>
      <c r="H198" s="39">
        <f>IF(H196="","",H196)</f>
        <v/>
      </c>
      <c r="I198" s="7">
        <f>IF(H196="","",H196)</f>
        <v/>
      </c>
      <c r="J198" s="7" t="n">
        <v>3</v>
      </c>
      <c r="K198" s="7" t="n"/>
      <c r="L198" s="40" t="n"/>
      <c r="N198" s="41">
        <f>IF(AND(L198&lt;&gt;"",N(I198)&gt;0),IF(I198&gt;=PRs!D69,"PR!",""),"")</f>
        <v/>
      </c>
      <c r="O198" s="7" t="n"/>
    </row>
    <row r="199">
      <c r="C199" t="inlineStr">
        <is>
          <t xml:space="preserve">      Set 3</t>
        </is>
      </c>
      <c r="E199" t="n">
        <v>3</v>
      </c>
      <c r="H199" s="39">
        <f>IF(H196="","",H196)</f>
        <v/>
      </c>
      <c r="I199" s="7">
        <f>IF(H196="","",H196)</f>
        <v/>
      </c>
      <c r="J199" s="7" t="n">
        <v>3</v>
      </c>
      <c r="K199" s="7" t="n"/>
      <c r="L199" s="40" t="n"/>
      <c r="N199" s="41">
        <f>IF(AND(L199&lt;&gt;"",N(I199)&gt;0),IF(I199&gt;=PRs!D69,"PR!",""),"")</f>
        <v/>
      </c>
      <c r="O199" s="7" t="n"/>
    </row>
    <row r="200">
      <c r="A200" s="34" t="n"/>
      <c r="B200" s="34" t="n"/>
      <c r="C200" s="42" t="inlineStr">
        <is>
          <t>Snatch</t>
        </is>
      </c>
      <c r="D200" s="34" t="inlineStr">
        <is>
          <t>3 x 3</t>
        </is>
      </c>
      <c r="E200" s="34" t="n"/>
      <c r="F200" s="34" t="n">
        <v>65</v>
      </c>
      <c r="G200" s="36">
        <f>Maxes!I6</f>
        <v/>
      </c>
      <c r="H200" s="37">
        <f>IF(OR(G200="",F200=""),"",MROUND(G200*F200/100,'Start Here'!$B$7))</f>
        <v/>
      </c>
      <c r="I200" s="34" t="n"/>
      <c r="J200" s="34" t="n"/>
      <c r="K200" s="34" t="n"/>
      <c r="L200" s="34" t="n"/>
      <c r="M200" s="34" t="n"/>
      <c r="N200" s="34" t="n"/>
      <c r="O200" s="38" t="inlineStr">
        <is>
          <t>Easy volume - stay 3+ reps from failure</t>
        </is>
      </c>
    </row>
    <row r="201">
      <c r="C201" t="inlineStr">
        <is>
          <t xml:space="preserve">      Set 1</t>
        </is>
      </c>
      <c r="E201" t="n">
        <v>3</v>
      </c>
      <c r="H201" s="39">
        <f>IF(H200="","",H200)</f>
        <v/>
      </c>
      <c r="I201" s="7">
        <f>IF(H200="","",H200)</f>
        <v/>
      </c>
      <c r="J201" s="7" t="n">
        <v>3</v>
      </c>
      <c r="K201" s="7" t="n"/>
      <c r="L201" s="40" t="n"/>
      <c r="M201">
        <f>IF(AND(L201&lt;&gt;"",N(I201)&gt;0,N(J201)&gt;0),IF(J201=1,I201,ROUND(I201*(1+J201/30),1)),"")</f>
        <v/>
      </c>
      <c r="N201" s="41">
        <f>IF(M201="","",IF(M201&gt;=PRs!C6,"PR!",""))</f>
        <v/>
      </c>
      <c r="O201" s="7" t="n"/>
    </row>
    <row r="202">
      <c r="C202" t="inlineStr">
        <is>
          <t xml:space="preserve">      Set 2</t>
        </is>
      </c>
      <c r="E202" t="n">
        <v>3</v>
      </c>
      <c r="H202" s="39">
        <f>IF(H200="","",H200)</f>
        <v/>
      </c>
      <c r="I202" s="7">
        <f>IF(H200="","",H200)</f>
        <v/>
      </c>
      <c r="J202" s="7" t="n">
        <v>3</v>
      </c>
      <c r="K202" s="7" t="n"/>
      <c r="L202" s="40" t="n"/>
      <c r="M202">
        <f>IF(AND(L202&lt;&gt;"",N(I202)&gt;0,N(J202)&gt;0),IF(J202=1,I202,ROUND(I202*(1+J202/30),1)),"")</f>
        <v/>
      </c>
      <c r="N202" s="41">
        <f>IF(M202="","",IF(M202&gt;=PRs!C6,"PR!",""))</f>
        <v/>
      </c>
      <c r="O202" s="7" t="n"/>
    </row>
    <row r="203">
      <c r="C203" t="inlineStr">
        <is>
          <t xml:space="preserve">      Set 3</t>
        </is>
      </c>
      <c r="E203" t="n">
        <v>3</v>
      </c>
      <c r="H203" s="39">
        <f>IF(H200="","",H200)</f>
        <v/>
      </c>
      <c r="I203" s="7">
        <f>IF(H200="","",H200)</f>
        <v/>
      </c>
      <c r="J203" s="7" t="n">
        <v>3</v>
      </c>
      <c r="K203" s="7" t="n"/>
      <c r="L203" s="40" t="n"/>
      <c r="M203">
        <f>IF(AND(L203&lt;&gt;"",N(I203)&gt;0,N(J203)&gt;0),IF(J203=1,I203,ROUND(I203*(1+J203/30),1)),"")</f>
        <v/>
      </c>
      <c r="N203" s="41">
        <f>IF(M203="","",IF(M203&gt;=PRs!C6,"PR!",""))</f>
        <v/>
      </c>
      <c r="O203" s="7" t="n"/>
    </row>
    <row r="204">
      <c r="A204" s="34" t="n"/>
      <c r="B204" s="34" t="n"/>
      <c r="C204" s="42" t="inlineStr">
        <is>
          <t>Squat</t>
        </is>
      </c>
      <c r="D204" s="34" t="inlineStr">
        <is>
          <t>3 x 8</t>
        </is>
      </c>
      <c r="E204" s="34" t="n"/>
      <c r="F204" s="34" t="n">
        <v>65</v>
      </c>
      <c r="G204" s="36">
        <f>Maxes!I2</f>
        <v/>
      </c>
      <c r="H204" s="37">
        <f>IF(OR(G204="",F204=""),"",MROUND(G204*F204/100,'Start Here'!$B$7))</f>
        <v/>
      </c>
      <c r="I204" s="34" t="n"/>
      <c r="J204" s="34" t="n"/>
      <c r="K204" s="34" t="n"/>
      <c r="L204" s="34" t="n"/>
      <c r="M204" s="34" t="n"/>
      <c r="N204" s="34" t="n"/>
      <c r="O204" s="38" t="inlineStr">
        <is>
          <t>Easy volume - stay 3+ reps from failure</t>
        </is>
      </c>
    </row>
    <row r="205">
      <c r="C205" t="inlineStr">
        <is>
          <t xml:space="preserve">      Set 1</t>
        </is>
      </c>
      <c r="E205" t="n">
        <v>8</v>
      </c>
      <c r="H205" s="39">
        <f>IF(H204="","",H204)</f>
        <v/>
      </c>
      <c r="I205" s="7">
        <f>IF(H204="","",H204)</f>
        <v/>
      </c>
      <c r="J205" s="7" t="n">
        <v>8</v>
      </c>
      <c r="K205" s="7" t="n"/>
      <c r="L205" s="40" t="n"/>
      <c r="M205">
        <f>IF(AND(L205&lt;&gt;"",N(I205)&gt;0,N(J205)&gt;0),IF(J205=1,I205,ROUND(I205*(1+J205/30),1)),"")</f>
        <v/>
      </c>
      <c r="N205" s="41">
        <f>IF(M205="","",IF(M205&gt;=PRs!C2,"PR!",""))</f>
        <v/>
      </c>
      <c r="O205" s="7" t="n"/>
    </row>
    <row r="206">
      <c r="C206" t="inlineStr">
        <is>
          <t xml:space="preserve">      Set 2</t>
        </is>
      </c>
      <c r="E206" t="n">
        <v>8</v>
      </c>
      <c r="H206" s="39">
        <f>IF(H204="","",H204)</f>
        <v/>
      </c>
      <c r="I206" s="7">
        <f>IF(H204="","",H204)</f>
        <v/>
      </c>
      <c r="J206" s="7" t="n">
        <v>8</v>
      </c>
      <c r="K206" s="7" t="n"/>
      <c r="L206" s="40" t="n"/>
      <c r="M206">
        <f>IF(AND(L206&lt;&gt;"",N(I206)&gt;0,N(J206)&gt;0),IF(J206=1,I206,ROUND(I206*(1+J206/30),1)),"")</f>
        <v/>
      </c>
      <c r="N206" s="41">
        <f>IF(M206="","",IF(M206&gt;=PRs!C2,"PR!",""))</f>
        <v/>
      </c>
      <c r="O206" s="7" t="n"/>
    </row>
    <row r="207">
      <c r="C207" t="inlineStr">
        <is>
          <t xml:space="preserve">      Set 3</t>
        </is>
      </c>
      <c r="E207" t="n">
        <v>8</v>
      </c>
      <c r="H207" s="39">
        <f>IF(H204="","",H204)</f>
        <v/>
      </c>
      <c r="I207" s="7">
        <f>IF(H204="","",H204)</f>
        <v/>
      </c>
      <c r="J207" s="7" t="n">
        <v>8</v>
      </c>
      <c r="K207" s="7" t="n"/>
      <c r="L207" s="40" t="n"/>
      <c r="M207">
        <f>IF(AND(L207&lt;&gt;"",N(I207)&gt;0,N(J207)&gt;0),IF(J207=1,I207,ROUND(I207*(1+J207/30),1)),"")</f>
        <v/>
      </c>
      <c r="N207" s="41">
        <f>IF(M207="","",IF(M207&gt;=PRs!C2,"PR!",""))</f>
        <v/>
      </c>
      <c r="O207" s="7" t="n"/>
    </row>
    <row r="208">
      <c r="A208" s="34" t="n"/>
      <c r="B208" s="34" t="n"/>
      <c r="C208" s="42" t="inlineStr">
        <is>
          <t>Bench Press</t>
        </is>
      </c>
      <c r="D208" s="34" t="inlineStr">
        <is>
          <t>3 x 8</t>
        </is>
      </c>
      <c r="E208" s="34" t="n"/>
      <c r="F208" s="34" t="n">
        <v>65</v>
      </c>
      <c r="G208" s="36">
        <f>Maxes!I3</f>
        <v/>
      </c>
      <c r="H208" s="37">
        <f>IF(OR(G208="",F208=""),"",MROUND(G208*F208/100,'Start Here'!$B$7))</f>
        <v/>
      </c>
      <c r="I208" s="34" t="n"/>
      <c r="J208" s="34" t="n"/>
      <c r="K208" s="34" t="n"/>
      <c r="L208" s="34" t="n"/>
      <c r="M208" s="34" t="n"/>
      <c r="N208" s="34" t="n"/>
      <c r="O208" s="38" t="inlineStr">
        <is>
          <t>Easy volume - stay 3+ reps from failure</t>
        </is>
      </c>
    </row>
    <row r="209">
      <c r="C209" t="inlineStr">
        <is>
          <t xml:space="preserve">      Set 1</t>
        </is>
      </c>
      <c r="E209" t="n">
        <v>8</v>
      </c>
      <c r="H209" s="39">
        <f>IF(H208="","",H208)</f>
        <v/>
      </c>
      <c r="I209" s="7">
        <f>IF(H208="","",H208)</f>
        <v/>
      </c>
      <c r="J209" s="7" t="n">
        <v>8</v>
      </c>
      <c r="K209" s="7" t="n"/>
      <c r="L209" s="40" t="n"/>
      <c r="M209">
        <f>IF(AND(L209&lt;&gt;"",N(I209)&gt;0,N(J209)&gt;0),IF(J209=1,I209,ROUND(I209*(1+J209/30),1)),"")</f>
        <v/>
      </c>
      <c r="N209" s="41">
        <f>IF(M209="","",IF(M209&gt;=PRs!C3,"PR!",""))</f>
        <v/>
      </c>
      <c r="O209" s="7" t="n"/>
    </row>
    <row r="210">
      <c r="C210" t="inlineStr">
        <is>
          <t xml:space="preserve">      Set 2</t>
        </is>
      </c>
      <c r="E210" t="n">
        <v>8</v>
      </c>
      <c r="H210" s="39">
        <f>IF(H208="","",H208)</f>
        <v/>
      </c>
      <c r="I210" s="7">
        <f>IF(H208="","",H208)</f>
        <v/>
      </c>
      <c r="J210" s="7" t="n">
        <v>8</v>
      </c>
      <c r="K210" s="7" t="n"/>
      <c r="L210" s="40" t="n"/>
      <c r="M210">
        <f>IF(AND(L210&lt;&gt;"",N(I210)&gt;0,N(J210)&gt;0),IF(J210=1,I210,ROUND(I210*(1+J210/30),1)),"")</f>
        <v/>
      </c>
      <c r="N210" s="41">
        <f>IF(M210="","",IF(M210&gt;=PRs!C3,"PR!",""))</f>
        <v/>
      </c>
      <c r="O210" s="7" t="n"/>
    </row>
    <row r="211">
      <c r="C211" t="inlineStr">
        <is>
          <t xml:space="preserve">      Set 3</t>
        </is>
      </c>
      <c r="E211" t="n">
        <v>8</v>
      </c>
      <c r="H211" s="39">
        <f>IF(H208="","",H208)</f>
        <v/>
      </c>
      <c r="I211" s="7">
        <f>IF(H208="","",H208)</f>
        <v/>
      </c>
      <c r="J211" s="7" t="n">
        <v>8</v>
      </c>
      <c r="K211" s="7" t="n"/>
      <c r="L211" s="40" t="n"/>
      <c r="M211">
        <f>IF(AND(L211&lt;&gt;"",N(I211)&gt;0,N(J211)&gt;0),IF(J211=1,I211,ROUND(I211*(1+J211/30),1)),"")</f>
        <v/>
      </c>
      <c r="N211" s="41">
        <f>IF(M211="","",IF(M211&gt;=PRs!C3,"PR!",""))</f>
        <v/>
      </c>
      <c r="O211" s="7" t="n"/>
    </row>
    <row r="212">
      <c r="A212" s="34" t="n"/>
      <c r="B212" s="34" t="n"/>
      <c r="C212" s="43" t="inlineStr">
        <is>
          <t>Barbell Row</t>
        </is>
      </c>
      <c r="D212" s="34" t="inlineStr">
        <is>
          <t>4 x 8-10</t>
        </is>
      </c>
      <c r="E212" s="34" t="n"/>
      <c r="F212" s="34" t="n"/>
      <c r="G212" s="36" t="n"/>
      <c r="H212" s="37" t="n"/>
      <c r="I212" s="34" t="n"/>
      <c r="J212" s="34" t="n"/>
      <c r="K212" s="34" t="n"/>
      <c r="L212" s="34" t="n"/>
      <c r="M212" s="34" t="n"/>
      <c r="N212" s="34" t="n"/>
      <c r="O212" s="38" t="inlineStr">
        <is>
          <t>Leave 1-2 reps in the tank; add weight when you hit the top of the range</t>
        </is>
      </c>
    </row>
    <row r="213">
      <c r="C213" t="inlineStr">
        <is>
          <t xml:space="preserve">      Set 1</t>
        </is>
      </c>
      <c r="E213" t="n">
        <v>8</v>
      </c>
      <c r="H213" s="39">
        <f>IF(H212="","",H212)</f>
        <v/>
      </c>
      <c r="I213" s="7">
        <f>IF(H212="","",H212)</f>
        <v/>
      </c>
      <c r="J213" s="7" t="n">
        <v>8</v>
      </c>
      <c r="K213" s="7" t="n"/>
      <c r="L213" s="40" t="n"/>
      <c r="M213">
        <f>IF(AND(L213&lt;&gt;"",N(I213)&gt;0,N(J213)&gt;0),IF(J213=1,I213,ROUND(I213*(1+J213/30),1)),"")</f>
        <v/>
      </c>
      <c r="N213" s="41">
        <f>IF(M213="","",IF(M213&gt;=PRs!C50,"PR!",""))</f>
        <v/>
      </c>
      <c r="O213" s="7" t="n"/>
    </row>
    <row r="214">
      <c r="C214" t="inlineStr">
        <is>
          <t xml:space="preserve">      Set 2</t>
        </is>
      </c>
      <c r="E214" t="n">
        <v>8</v>
      </c>
      <c r="H214" s="39">
        <f>IF(H212="","",H212)</f>
        <v/>
      </c>
      <c r="I214" s="7">
        <f>IF(H212="","",H212)</f>
        <v/>
      </c>
      <c r="J214" s="7" t="n">
        <v>8</v>
      </c>
      <c r="K214" s="7" t="n"/>
      <c r="L214" s="40" t="n"/>
      <c r="M214">
        <f>IF(AND(L214&lt;&gt;"",N(I214)&gt;0,N(J214)&gt;0),IF(J214=1,I214,ROUND(I214*(1+J214/30),1)),"")</f>
        <v/>
      </c>
      <c r="N214" s="41">
        <f>IF(M214="","",IF(M214&gt;=PRs!C50,"PR!",""))</f>
        <v/>
      </c>
      <c r="O214" s="7" t="n"/>
    </row>
    <row r="215">
      <c r="C215" t="inlineStr">
        <is>
          <t xml:space="preserve">      Set 3</t>
        </is>
      </c>
      <c r="E215" t="n">
        <v>8</v>
      </c>
      <c r="H215" s="39">
        <f>IF(H212="","",H212)</f>
        <v/>
      </c>
      <c r="I215" s="7">
        <f>IF(H212="","",H212)</f>
        <v/>
      </c>
      <c r="J215" s="7" t="n">
        <v>8</v>
      </c>
      <c r="K215" s="7" t="n"/>
      <c r="L215" s="40" t="n"/>
      <c r="M215">
        <f>IF(AND(L215&lt;&gt;"",N(I215)&gt;0,N(J215)&gt;0),IF(J215=1,I215,ROUND(I215*(1+J215/30),1)),"")</f>
        <v/>
      </c>
      <c r="N215" s="41">
        <f>IF(M215="","",IF(M215&gt;=PRs!C50,"PR!",""))</f>
        <v/>
      </c>
      <c r="O215" s="7" t="n"/>
    </row>
    <row r="216">
      <c r="C216" t="inlineStr">
        <is>
          <t xml:space="preserve">      Set 4</t>
        </is>
      </c>
      <c r="E216" t="n">
        <v>8</v>
      </c>
      <c r="H216" s="39">
        <f>IF(H212="","",H212)</f>
        <v/>
      </c>
      <c r="I216" s="7">
        <f>IF(H212="","",H212)</f>
        <v/>
      </c>
      <c r="J216" s="7" t="n">
        <v>8</v>
      </c>
      <c r="K216" s="7" t="n"/>
      <c r="L216" s="40" t="n"/>
      <c r="M216">
        <f>IF(AND(L216&lt;&gt;"",N(I216)&gt;0,N(J216)&gt;0),IF(J216=1,I216,ROUND(I216*(1+J216/30),1)),"")</f>
        <v/>
      </c>
      <c r="N216" s="41">
        <f>IF(M216="","",IF(M216&gt;=PRs!C50,"PR!",""))</f>
        <v/>
      </c>
      <c r="O216" s="7" t="n"/>
    </row>
    <row r="217">
      <c r="A217" s="34" t="n"/>
      <c r="B217" s="34" t="n"/>
      <c r="C217" s="43" t="inlineStr">
        <is>
          <t>Face Pull</t>
        </is>
      </c>
      <c r="D217" s="34" t="inlineStr">
        <is>
          <t>4 x 12-15</t>
        </is>
      </c>
      <c r="E217" s="34" t="n"/>
      <c r="F217" s="34" t="n"/>
      <c r="G217" s="36" t="n"/>
      <c r="H217" s="37" t="n"/>
      <c r="I217" s="34" t="n"/>
      <c r="J217" s="34" t="n"/>
      <c r="K217" s="34" t="n"/>
      <c r="L217" s="34" t="n"/>
      <c r="M217" s="34" t="n"/>
      <c r="N217" s="34" t="n"/>
      <c r="O217" s="38" t="inlineStr">
        <is>
          <t>Leave 1-2 reps in the tank; add weight when you hit the top of the range</t>
        </is>
      </c>
    </row>
    <row r="218">
      <c r="C218" t="inlineStr">
        <is>
          <t xml:space="preserve">      Set 1</t>
        </is>
      </c>
      <c r="E218" t="n">
        <v>12</v>
      </c>
      <c r="H218" s="39">
        <f>IF(H217="","",H217)</f>
        <v/>
      </c>
      <c r="I218" s="7">
        <f>IF(H217="","",H217)</f>
        <v/>
      </c>
      <c r="J218" s="7" t="n">
        <v>12</v>
      </c>
      <c r="K218" s="7" t="n"/>
      <c r="L218" s="40" t="n"/>
      <c r="M218">
        <f>IF(AND(L218&lt;&gt;"",N(I218)&gt;0,N(J218)&gt;0),IF(J218=1,I218,ROUND(I218*(1+J218/30),1)),"")</f>
        <v/>
      </c>
      <c r="N218" s="41">
        <f>IF(M218="","",IF(M218&gt;=PRs!C51,"PR!",""))</f>
        <v/>
      </c>
      <c r="O218" s="7" t="n"/>
    </row>
    <row r="219">
      <c r="C219" t="inlineStr">
        <is>
          <t xml:space="preserve">      Set 2</t>
        </is>
      </c>
      <c r="E219" t="n">
        <v>12</v>
      </c>
      <c r="H219" s="39">
        <f>IF(H217="","",H217)</f>
        <v/>
      </c>
      <c r="I219" s="7">
        <f>IF(H217="","",H217)</f>
        <v/>
      </c>
      <c r="J219" s="7" t="n">
        <v>12</v>
      </c>
      <c r="K219" s="7" t="n"/>
      <c r="L219" s="40" t="n"/>
      <c r="M219">
        <f>IF(AND(L219&lt;&gt;"",N(I219)&gt;0,N(J219)&gt;0),IF(J219=1,I219,ROUND(I219*(1+J219/30),1)),"")</f>
        <v/>
      </c>
      <c r="N219" s="41">
        <f>IF(M219="","",IF(M219&gt;=PRs!C51,"PR!",""))</f>
        <v/>
      </c>
      <c r="O219" s="7" t="n"/>
    </row>
    <row r="220">
      <c r="C220" t="inlineStr">
        <is>
          <t xml:space="preserve">      Set 3</t>
        </is>
      </c>
      <c r="E220" t="n">
        <v>12</v>
      </c>
      <c r="H220" s="39">
        <f>IF(H217="","",H217)</f>
        <v/>
      </c>
      <c r="I220" s="7">
        <f>IF(H217="","",H217)</f>
        <v/>
      </c>
      <c r="J220" s="7" t="n">
        <v>12</v>
      </c>
      <c r="K220" s="7" t="n"/>
      <c r="L220" s="40" t="n"/>
      <c r="M220">
        <f>IF(AND(L220&lt;&gt;"",N(I220)&gt;0,N(J220)&gt;0),IF(J220=1,I220,ROUND(I220*(1+J220/30),1)),"")</f>
        <v/>
      </c>
      <c r="N220" s="41">
        <f>IF(M220="","",IF(M220&gt;=PRs!C51,"PR!",""))</f>
        <v/>
      </c>
      <c r="O220" s="7" t="n"/>
    </row>
    <row r="221">
      <c r="C221" t="inlineStr">
        <is>
          <t xml:space="preserve">      Set 4</t>
        </is>
      </c>
      <c r="E221" t="n">
        <v>12</v>
      </c>
      <c r="H221" s="39">
        <f>IF(H217="","",H217)</f>
        <v/>
      </c>
      <c r="I221" s="7">
        <f>IF(H217="","",H217)</f>
        <v/>
      </c>
      <c r="J221" s="7" t="n">
        <v>12</v>
      </c>
      <c r="K221" s="7" t="n"/>
      <c r="L221" s="40" t="n"/>
      <c r="M221">
        <f>IF(AND(L221&lt;&gt;"",N(I221)&gt;0,N(J221)&gt;0),IF(J221=1,I221,ROUND(I221*(1+J221/30),1)),"")</f>
        <v/>
      </c>
      <c r="N221" s="41">
        <f>IF(M221="","",IF(M221&gt;=PRs!C51,"PR!",""))</f>
        <v/>
      </c>
      <c r="O221" s="7" t="n"/>
    </row>
    <row r="222">
      <c r="A222" s="31" t="inlineStr">
        <is>
          <t>Day 2 - Light</t>
        </is>
      </c>
      <c r="B222" s="32">
        <f>'Start Here'!$B$8+352</f>
        <v/>
      </c>
      <c r="C222" s="33" t="n"/>
      <c r="D222" s="33" t="n"/>
      <c r="E222" s="33" t="n"/>
      <c r="F222" s="33" t="n"/>
      <c r="G222" s="33" t="n"/>
      <c r="H222" s="33" t="n"/>
      <c r="I222" s="33" t="n"/>
      <c r="J222" s="33" t="n"/>
      <c r="K222" s="33" t="n"/>
      <c r="L222" s="33" t="n"/>
      <c r="M222" s="33" t="n"/>
      <c r="N222" s="33" t="n"/>
      <c r="O222" s="33" t="n"/>
    </row>
    <row r="223">
      <c r="A223" s="34" t="n"/>
      <c r="B223" s="34" t="n"/>
      <c r="C223" s="35" t="inlineStr">
        <is>
          <t>Broad Jump</t>
        </is>
      </c>
      <c r="D223" s="34" t="inlineStr">
        <is>
          <t>3 x 3</t>
        </is>
      </c>
      <c r="E223" s="34" t="n"/>
      <c r="F223" s="34" t="n"/>
      <c r="G223" s="36" t="n"/>
      <c r="H223" s="37">
        <f>IF(N(Maxes!I70)&gt;0,Maxes!I70,"")</f>
        <v/>
      </c>
      <c r="I223" s="34" t="n"/>
      <c r="J223" s="34" t="n"/>
      <c r="K223" s="34" t="n"/>
      <c r="L223" s="34" t="n"/>
      <c r="M223" s="34" t="n"/>
      <c r="N223" s="34" t="n"/>
      <c r="O223" s="38" t="inlineStr">
        <is>
          <t>Standing two-foot jump forward, stick the landing. Measure toe line to the back of the nearest heel.</t>
        </is>
      </c>
    </row>
    <row r="224">
      <c r="C224" t="inlineStr">
        <is>
          <t xml:space="preserve">      Set 1</t>
        </is>
      </c>
      <c r="E224" t="n">
        <v>3</v>
      </c>
      <c r="H224" s="39">
        <f>IF(H223="","",H223)</f>
        <v/>
      </c>
      <c r="I224" s="7">
        <f>IF(H223="","",H223)</f>
        <v/>
      </c>
      <c r="J224" s="7" t="n">
        <v>3</v>
      </c>
      <c r="K224" s="7" t="n"/>
      <c r="L224" s="40" t="n"/>
      <c r="N224" s="41">
        <f>IF(AND(L224&lt;&gt;"",N(I224)&gt;0),IF(I224&gt;=PRs!D70,"PR!",""),"")</f>
        <v/>
      </c>
      <c r="O224" s="7" t="n"/>
    </row>
    <row r="225">
      <c r="C225" t="inlineStr">
        <is>
          <t xml:space="preserve">      Set 2</t>
        </is>
      </c>
      <c r="E225" t="n">
        <v>3</v>
      </c>
      <c r="H225" s="39">
        <f>IF(H223="","",H223)</f>
        <v/>
      </c>
      <c r="I225" s="7">
        <f>IF(H223="","",H223)</f>
        <v/>
      </c>
      <c r="J225" s="7" t="n">
        <v>3</v>
      </c>
      <c r="K225" s="7" t="n"/>
      <c r="L225" s="40" t="n"/>
      <c r="N225" s="41">
        <f>IF(AND(L225&lt;&gt;"",N(I225)&gt;0),IF(I225&gt;=PRs!D70,"PR!",""),"")</f>
        <v/>
      </c>
      <c r="O225" s="7" t="n"/>
    </row>
    <row r="226">
      <c r="C226" t="inlineStr">
        <is>
          <t xml:space="preserve">      Set 3</t>
        </is>
      </c>
      <c r="E226" t="n">
        <v>3</v>
      </c>
      <c r="H226" s="39">
        <f>IF(H223="","",H223)</f>
        <v/>
      </c>
      <c r="I226" s="7">
        <f>IF(H223="","",H223)</f>
        <v/>
      </c>
      <c r="J226" s="7" t="n">
        <v>3</v>
      </c>
      <c r="K226" s="7" t="n"/>
      <c r="L226" s="40" t="n"/>
      <c r="N226" s="41">
        <f>IF(AND(L226&lt;&gt;"",N(I226)&gt;0),IF(I226&gt;=PRs!D70,"PR!",""),"")</f>
        <v/>
      </c>
      <c r="O226" s="7" t="n"/>
    </row>
    <row r="227">
      <c r="A227" s="34" t="n"/>
      <c r="B227" s="34" t="n"/>
      <c r="C227" s="35" t="inlineStr">
        <is>
          <t>Med Ball Chest Pass</t>
        </is>
      </c>
      <c r="D227" s="34" t="inlineStr">
        <is>
          <t>2 x 5</t>
        </is>
      </c>
      <c r="E227" s="34" t="n"/>
      <c r="F227" s="34" t="n"/>
      <c r="G227" s="36" t="n"/>
      <c r="H227" s="37">
        <f>IF(N(Maxes!I77)&gt;0,Maxes!I77,"")</f>
        <v/>
      </c>
      <c r="I227" s="34" t="n"/>
      <c r="J227" s="34" t="n"/>
      <c r="K227" s="34" t="n"/>
      <c r="L227" s="34" t="n"/>
      <c r="M227" s="34" t="n"/>
      <c r="N227" s="34" t="n"/>
      <c r="O227" s="38" t="inlineStr">
        <is>
          <t>Kneeling or standing chest pass for distance with a 6-10 lb / 3-5 kg ball. Log the distance.</t>
        </is>
      </c>
    </row>
    <row r="228">
      <c r="C228" t="inlineStr">
        <is>
          <t xml:space="preserve">      Set 1</t>
        </is>
      </c>
      <c r="E228" t="n">
        <v>5</v>
      </c>
      <c r="H228" s="39">
        <f>IF(H227="","",H227)</f>
        <v/>
      </c>
      <c r="I228" s="7">
        <f>IF(H227="","",H227)</f>
        <v/>
      </c>
      <c r="J228" s="7" t="n">
        <v>5</v>
      </c>
      <c r="K228" s="7" t="n"/>
      <c r="L228" s="40" t="n"/>
      <c r="N228" s="41">
        <f>IF(AND(L228&lt;&gt;"",N(I228)&gt;0),IF(I228&gt;=PRs!D77,"PR!",""),"")</f>
        <v/>
      </c>
      <c r="O228" s="7" t="n"/>
    </row>
    <row r="229">
      <c r="C229" t="inlineStr">
        <is>
          <t xml:space="preserve">      Set 2</t>
        </is>
      </c>
      <c r="E229" t="n">
        <v>5</v>
      </c>
      <c r="H229" s="39">
        <f>IF(H227="","",H227)</f>
        <v/>
      </c>
      <c r="I229" s="7">
        <f>IF(H227="","",H227)</f>
        <v/>
      </c>
      <c r="J229" s="7" t="n">
        <v>5</v>
      </c>
      <c r="K229" s="7" t="n"/>
      <c r="L229" s="40" t="n"/>
      <c r="N229" s="41">
        <f>IF(AND(L229&lt;&gt;"",N(I229)&gt;0),IF(I229&gt;=PRs!D77,"PR!",""),"")</f>
        <v/>
      </c>
      <c r="O229" s="7" t="n"/>
    </row>
    <row r="230">
      <c r="A230" s="34" t="n"/>
      <c r="B230" s="34" t="n"/>
      <c r="C230" s="42" t="inlineStr">
        <is>
          <t>Clean &amp; Jerk</t>
        </is>
      </c>
      <c r="D230" s="34" t="inlineStr">
        <is>
          <t>3 x 3</t>
        </is>
      </c>
      <c r="E230" s="34" t="n"/>
      <c r="F230" s="34" t="n">
        <v>65</v>
      </c>
      <c r="G230" s="36">
        <f>Maxes!I7</f>
        <v/>
      </c>
      <c r="H230" s="37">
        <f>IF(OR(G230="",F230=""),"",MROUND(G230*F230/100,'Start Here'!$B$7))</f>
        <v/>
      </c>
      <c r="I230" s="34" t="n"/>
      <c r="J230" s="34" t="n"/>
      <c r="K230" s="34" t="n"/>
      <c r="L230" s="34" t="n"/>
      <c r="M230" s="34" t="n"/>
      <c r="N230" s="34" t="n"/>
      <c r="O230" s="38" t="inlineStr">
        <is>
          <t>Easy volume - stay 3+ reps from failure</t>
        </is>
      </c>
    </row>
    <row r="231">
      <c r="C231" t="inlineStr">
        <is>
          <t xml:space="preserve">      Set 1</t>
        </is>
      </c>
      <c r="E231" t="n">
        <v>3</v>
      </c>
      <c r="H231" s="39">
        <f>IF(H230="","",H230)</f>
        <v/>
      </c>
      <c r="I231" s="7">
        <f>IF(H230="","",H230)</f>
        <v/>
      </c>
      <c r="J231" s="7" t="n">
        <v>3</v>
      </c>
      <c r="K231" s="7" t="n"/>
      <c r="L231" s="40" t="n"/>
      <c r="M231">
        <f>IF(AND(L231&lt;&gt;"",N(I231)&gt;0,N(J231)&gt;0),IF(J231=1,I231,ROUND(I231*(1+J231/30),1)),"")</f>
        <v/>
      </c>
      <c r="N231" s="41">
        <f>IF(M231="","",IF(M231&gt;=PRs!C7,"PR!",""))</f>
        <v/>
      </c>
      <c r="O231" s="7" t="n"/>
    </row>
    <row r="232">
      <c r="C232" t="inlineStr">
        <is>
          <t xml:space="preserve">      Set 2</t>
        </is>
      </c>
      <c r="E232" t="n">
        <v>3</v>
      </c>
      <c r="H232" s="39">
        <f>IF(H230="","",H230)</f>
        <v/>
      </c>
      <c r="I232" s="7">
        <f>IF(H230="","",H230)</f>
        <v/>
      </c>
      <c r="J232" s="7" t="n">
        <v>3</v>
      </c>
      <c r="K232" s="7" t="n"/>
      <c r="L232" s="40" t="n"/>
      <c r="M232">
        <f>IF(AND(L232&lt;&gt;"",N(I232)&gt;0,N(J232)&gt;0),IF(J232=1,I232,ROUND(I232*(1+J232/30),1)),"")</f>
        <v/>
      </c>
      <c r="N232" s="41">
        <f>IF(M232="","",IF(M232&gt;=PRs!C7,"PR!",""))</f>
        <v/>
      </c>
      <c r="O232" s="7" t="n"/>
    </row>
    <row r="233">
      <c r="C233" t="inlineStr">
        <is>
          <t xml:space="preserve">      Set 3</t>
        </is>
      </c>
      <c r="E233" t="n">
        <v>3</v>
      </c>
      <c r="H233" s="39">
        <f>IF(H230="","",H230)</f>
        <v/>
      </c>
      <c r="I233" s="7">
        <f>IF(H230="","",H230)</f>
        <v/>
      </c>
      <c r="J233" s="7" t="n">
        <v>3</v>
      </c>
      <c r="K233" s="7" t="n"/>
      <c r="L233" s="40" t="n"/>
      <c r="M233">
        <f>IF(AND(L233&lt;&gt;"",N(I233)&gt;0,N(J233)&gt;0),IF(J233=1,I233,ROUND(I233*(1+J233/30),1)),"")</f>
        <v/>
      </c>
      <c r="N233" s="41">
        <f>IF(M233="","",IF(M233&gt;=PRs!C7,"PR!",""))</f>
        <v/>
      </c>
      <c r="O233" s="7" t="n"/>
    </row>
    <row r="234">
      <c r="A234" s="34" t="n"/>
      <c r="B234" s="34" t="n"/>
      <c r="C234" s="42" t="inlineStr">
        <is>
          <t>Squat</t>
        </is>
      </c>
      <c r="D234" s="34" t="inlineStr">
        <is>
          <t>3 x 8</t>
        </is>
      </c>
      <c r="E234" s="34" t="n"/>
      <c r="F234" s="34" t="n">
        <v>65</v>
      </c>
      <c r="G234" s="36">
        <f>Maxes!I2</f>
        <v/>
      </c>
      <c r="H234" s="37">
        <f>IF(OR(G234="",F234=""),"",MROUND(G234*F234/100,'Start Here'!$B$7))</f>
        <v/>
      </c>
      <c r="I234" s="34" t="n"/>
      <c r="J234" s="34" t="n"/>
      <c r="K234" s="34" t="n"/>
      <c r="L234" s="34" t="n"/>
      <c r="M234" s="34" t="n"/>
      <c r="N234" s="34" t="n"/>
      <c r="O234" s="38" t="inlineStr">
        <is>
          <t>Easy volume - stay 3+ reps from failure</t>
        </is>
      </c>
    </row>
    <row r="235">
      <c r="C235" t="inlineStr">
        <is>
          <t xml:space="preserve">      Set 1</t>
        </is>
      </c>
      <c r="E235" t="n">
        <v>8</v>
      </c>
      <c r="H235" s="39">
        <f>IF(H234="","",H234)</f>
        <v/>
      </c>
      <c r="I235" s="7">
        <f>IF(H234="","",H234)</f>
        <v/>
      </c>
      <c r="J235" s="7" t="n">
        <v>8</v>
      </c>
      <c r="K235" s="7" t="n"/>
      <c r="L235" s="40" t="n"/>
      <c r="M235">
        <f>IF(AND(L235&lt;&gt;"",N(I235)&gt;0,N(J235)&gt;0),IF(J235=1,I235,ROUND(I235*(1+J235/30),1)),"")</f>
        <v/>
      </c>
      <c r="N235" s="41">
        <f>IF(M235="","",IF(M235&gt;=PRs!C2,"PR!",""))</f>
        <v/>
      </c>
      <c r="O235" s="7" t="n"/>
    </row>
    <row r="236">
      <c r="C236" t="inlineStr">
        <is>
          <t xml:space="preserve">      Set 2</t>
        </is>
      </c>
      <c r="E236" t="n">
        <v>8</v>
      </c>
      <c r="H236" s="39">
        <f>IF(H234="","",H234)</f>
        <v/>
      </c>
      <c r="I236" s="7">
        <f>IF(H234="","",H234)</f>
        <v/>
      </c>
      <c r="J236" s="7" t="n">
        <v>8</v>
      </c>
      <c r="K236" s="7" t="n"/>
      <c r="L236" s="40" t="n"/>
      <c r="M236">
        <f>IF(AND(L236&lt;&gt;"",N(I236)&gt;0,N(J236)&gt;0),IF(J236=1,I236,ROUND(I236*(1+J236/30),1)),"")</f>
        <v/>
      </c>
      <c r="N236" s="41">
        <f>IF(M236="","",IF(M236&gt;=PRs!C2,"PR!",""))</f>
        <v/>
      </c>
      <c r="O236" s="7" t="n"/>
    </row>
    <row r="237">
      <c r="C237" t="inlineStr">
        <is>
          <t xml:space="preserve">      Set 3</t>
        </is>
      </c>
      <c r="E237" t="n">
        <v>8</v>
      </c>
      <c r="H237" s="39">
        <f>IF(H234="","",H234)</f>
        <v/>
      </c>
      <c r="I237" s="7">
        <f>IF(H234="","",H234)</f>
        <v/>
      </c>
      <c r="J237" s="7" t="n">
        <v>8</v>
      </c>
      <c r="K237" s="7" t="n"/>
      <c r="L237" s="40" t="n"/>
      <c r="M237">
        <f>IF(AND(L237&lt;&gt;"",N(I237)&gt;0,N(J237)&gt;0),IF(J237=1,I237,ROUND(I237*(1+J237/30),1)),"")</f>
        <v/>
      </c>
      <c r="N237" s="41">
        <f>IF(M237="","",IF(M237&gt;=PRs!C2,"PR!",""))</f>
        <v/>
      </c>
      <c r="O237" s="7" t="n"/>
    </row>
    <row r="238">
      <c r="A238" s="34" t="n"/>
      <c r="B238" s="34" t="n"/>
      <c r="C238" s="42" t="inlineStr">
        <is>
          <t>Overhead Press</t>
        </is>
      </c>
      <c r="D238" s="34" t="inlineStr">
        <is>
          <t>3 x 8</t>
        </is>
      </c>
      <c r="E238" s="34" t="n"/>
      <c r="F238" s="34" t="n">
        <v>65</v>
      </c>
      <c r="G238" s="36">
        <f>Maxes!I5</f>
        <v/>
      </c>
      <c r="H238" s="37">
        <f>IF(OR(G238="",F238=""),"",MROUND(G238*F238/100,'Start Here'!$B$7))</f>
        <v/>
      </c>
      <c r="I238" s="34" t="n"/>
      <c r="J238" s="34" t="n"/>
      <c r="K238" s="34" t="n"/>
      <c r="L238" s="34" t="n"/>
      <c r="M238" s="34" t="n"/>
      <c r="N238" s="34" t="n"/>
      <c r="O238" s="38" t="inlineStr">
        <is>
          <t>Easy volume - stay 3+ reps from failure</t>
        </is>
      </c>
    </row>
    <row r="239">
      <c r="C239" t="inlineStr">
        <is>
          <t xml:space="preserve">      Set 1</t>
        </is>
      </c>
      <c r="E239" t="n">
        <v>8</v>
      </c>
      <c r="H239" s="39">
        <f>IF(H238="","",H238)</f>
        <v/>
      </c>
      <c r="I239" s="7">
        <f>IF(H238="","",H238)</f>
        <v/>
      </c>
      <c r="J239" s="7" t="n">
        <v>8</v>
      </c>
      <c r="K239" s="7" t="n"/>
      <c r="L239" s="40" t="n"/>
      <c r="M239">
        <f>IF(AND(L239&lt;&gt;"",N(I239)&gt;0,N(J239)&gt;0),IF(J239=1,I239,ROUND(I239*(1+J239/30),1)),"")</f>
        <v/>
      </c>
      <c r="N239" s="41">
        <f>IF(M239="","",IF(M239&gt;=PRs!C5,"PR!",""))</f>
        <v/>
      </c>
      <c r="O239" s="7" t="n"/>
    </row>
    <row r="240">
      <c r="C240" t="inlineStr">
        <is>
          <t xml:space="preserve">      Set 2</t>
        </is>
      </c>
      <c r="E240" t="n">
        <v>8</v>
      </c>
      <c r="H240" s="39">
        <f>IF(H238="","",H238)</f>
        <v/>
      </c>
      <c r="I240" s="7">
        <f>IF(H238="","",H238)</f>
        <v/>
      </c>
      <c r="J240" s="7" t="n">
        <v>8</v>
      </c>
      <c r="K240" s="7" t="n"/>
      <c r="L240" s="40" t="n"/>
      <c r="M240">
        <f>IF(AND(L240&lt;&gt;"",N(I240)&gt;0,N(J240)&gt;0),IF(J240=1,I240,ROUND(I240*(1+J240/30),1)),"")</f>
        <v/>
      </c>
      <c r="N240" s="41">
        <f>IF(M240="","",IF(M240&gt;=PRs!C5,"PR!",""))</f>
        <v/>
      </c>
      <c r="O240" s="7" t="n"/>
    </row>
    <row r="241">
      <c r="C241" t="inlineStr">
        <is>
          <t xml:space="preserve">      Set 3</t>
        </is>
      </c>
      <c r="E241" t="n">
        <v>8</v>
      </c>
      <c r="H241" s="39">
        <f>IF(H238="","",H238)</f>
        <v/>
      </c>
      <c r="I241" s="7">
        <f>IF(H238="","",H238)</f>
        <v/>
      </c>
      <c r="J241" s="7" t="n">
        <v>8</v>
      </c>
      <c r="K241" s="7" t="n"/>
      <c r="L241" s="40" t="n"/>
      <c r="M241">
        <f>IF(AND(L241&lt;&gt;"",N(I241)&gt;0,N(J241)&gt;0),IF(J241=1,I241,ROUND(I241*(1+J241/30),1)),"")</f>
        <v/>
      </c>
      <c r="N241" s="41">
        <f>IF(M241="","",IF(M241&gt;=PRs!C5,"PR!",""))</f>
        <v/>
      </c>
      <c r="O241" s="7" t="n"/>
    </row>
    <row r="242">
      <c r="A242" s="34" t="n"/>
      <c r="B242" s="34" t="n"/>
      <c r="C242" s="42" t="inlineStr">
        <is>
          <t>Deadlift</t>
        </is>
      </c>
      <c r="D242" s="34" t="inlineStr">
        <is>
          <t>3 x 8</t>
        </is>
      </c>
      <c r="E242" s="34" t="n"/>
      <c r="F242" s="34" t="n">
        <v>65</v>
      </c>
      <c r="G242" s="36">
        <f>Maxes!I4</f>
        <v/>
      </c>
      <c r="H242" s="37">
        <f>IF(OR(G242="",F242=""),"",MROUND(G242*F242/100,'Start Here'!$B$7))</f>
        <v/>
      </c>
      <c r="I242" s="34" t="n"/>
      <c r="J242" s="34" t="n"/>
      <c r="K242" s="34" t="n"/>
      <c r="L242" s="34" t="n"/>
      <c r="M242" s="34" t="n"/>
      <c r="N242" s="34" t="n"/>
      <c r="O242" s="38" t="inlineStr">
        <is>
          <t>Easy volume - stay 3+ reps from failure</t>
        </is>
      </c>
    </row>
    <row r="243">
      <c r="C243" t="inlineStr">
        <is>
          <t xml:space="preserve">      Set 1</t>
        </is>
      </c>
      <c r="E243" t="n">
        <v>8</v>
      </c>
      <c r="H243" s="39">
        <f>IF(H242="","",H242)</f>
        <v/>
      </c>
      <c r="I243" s="7">
        <f>IF(H242="","",H242)</f>
        <v/>
      </c>
      <c r="J243" s="7" t="n">
        <v>8</v>
      </c>
      <c r="K243" s="7" t="n"/>
      <c r="L243" s="40" t="n"/>
      <c r="M243">
        <f>IF(AND(L243&lt;&gt;"",N(I243)&gt;0,N(J243)&gt;0),IF(J243=1,I243,ROUND(I243*(1+J243/30),1)),"")</f>
        <v/>
      </c>
      <c r="N243" s="41">
        <f>IF(M243="","",IF(M243&gt;=PRs!C4,"PR!",""))</f>
        <v/>
      </c>
      <c r="O243" s="7" t="n"/>
    </row>
    <row r="244">
      <c r="C244" t="inlineStr">
        <is>
          <t xml:space="preserve">      Set 2</t>
        </is>
      </c>
      <c r="E244" t="n">
        <v>8</v>
      </c>
      <c r="H244" s="39">
        <f>IF(H242="","",H242)</f>
        <v/>
      </c>
      <c r="I244" s="7">
        <f>IF(H242="","",H242)</f>
        <v/>
      </c>
      <c r="J244" s="7" t="n">
        <v>8</v>
      </c>
      <c r="K244" s="7" t="n"/>
      <c r="L244" s="40" t="n"/>
      <c r="M244">
        <f>IF(AND(L244&lt;&gt;"",N(I244)&gt;0,N(J244)&gt;0),IF(J244=1,I244,ROUND(I244*(1+J244/30),1)),"")</f>
        <v/>
      </c>
      <c r="N244" s="41">
        <f>IF(M244="","",IF(M244&gt;=PRs!C4,"PR!",""))</f>
        <v/>
      </c>
      <c r="O244" s="7" t="n"/>
    </row>
    <row r="245">
      <c r="C245" t="inlineStr">
        <is>
          <t xml:space="preserve">      Set 3</t>
        </is>
      </c>
      <c r="E245" t="n">
        <v>8</v>
      </c>
      <c r="H245" s="39">
        <f>IF(H242="","",H242)</f>
        <v/>
      </c>
      <c r="I245" s="7">
        <f>IF(H242="","",H242)</f>
        <v/>
      </c>
      <c r="J245" s="7" t="n">
        <v>8</v>
      </c>
      <c r="K245" s="7" t="n"/>
      <c r="L245" s="40" t="n"/>
      <c r="M245">
        <f>IF(AND(L245&lt;&gt;"",N(I245)&gt;0,N(J245)&gt;0),IF(J245=1,I245,ROUND(I245*(1+J245/30),1)),"")</f>
        <v/>
      </c>
      <c r="N245" s="41">
        <f>IF(M245="","",IF(M245&gt;=PRs!C4,"PR!",""))</f>
        <v/>
      </c>
      <c r="O245" s="7" t="n"/>
    </row>
    <row r="246">
      <c r="A246" s="34" t="n"/>
      <c r="B246" s="34" t="n"/>
      <c r="C246" s="43" t="inlineStr">
        <is>
          <t>Chin-up</t>
        </is>
      </c>
      <c r="D246" s="34" t="inlineStr">
        <is>
          <t>4 x 6-10</t>
        </is>
      </c>
      <c r="E246" s="34" t="n"/>
      <c r="F246" s="34" t="n"/>
      <c r="G246" s="36" t="n"/>
      <c r="H246" s="37" t="n"/>
      <c r="I246" s="34" t="n"/>
      <c r="J246" s="34" t="n"/>
      <c r="K246" s="34" t="n"/>
      <c r="L246" s="34" t="n"/>
      <c r="M246" s="34" t="n"/>
      <c r="N246" s="34" t="n"/>
      <c r="O246" s="38" t="inlineStr">
        <is>
          <t>Leave 1-2 reps in the tank; add weight when you hit the top of the range</t>
        </is>
      </c>
    </row>
    <row r="247">
      <c r="C247" t="inlineStr">
        <is>
          <t xml:space="preserve">      Set 1</t>
        </is>
      </c>
      <c r="E247" t="n">
        <v>6</v>
      </c>
      <c r="H247" s="39">
        <f>IF(H246="","",H246)</f>
        <v/>
      </c>
      <c r="I247" s="7">
        <f>IF(H246="","",H246)</f>
        <v/>
      </c>
      <c r="J247" s="7" t="n">
        <v>6</v>
      </c>
      <c r="K247" s="7" t="n"/>
      <c r="L247" s="40" t="n"/>
      <c r="M247">
        <f>IF(AND(L247&lt;&gt;"",N(I247)&gt;0,N(J247)&gt;0),IF(J247=1,I247,ROUND(I247*(1+J247/30),1)),"")</f>
        <v/>
      </c>
      <c r="N247" s="41">
        <f>IF(M247="","",IF(M247&gt;=PRs!C53,"PR!",""))</f>
        <v/>
      </c>
      <c r="O247" s="7" t="n"/>
    </row>
    <row r="248">
      <c r="C248" t="inlineStr">
        <is>
          <t xml:space="preserve">      Set 2</t>
        </is>
      </c>
      <c r="E248" t="n">
        <v>6</v>
      </c>
      <c r="H248" s="39">
        <f>IF(H246="","",H246)</f>
        <v/>
      </c>
      <c r="I248" s="7">
        <f>IF(H246="","",H246)</f>
        <v/>
      </c>
      <c r="J248" s="7" t="n">
        <v>6</v>
      </c>
      <c r="K248" s="7" t="n"/>
      <c r="L248" s="40" t="n"/>
      <c r="M248">
        <f>IF(AND(L248&lt;&gt;"",N(I248)&gt;0,N(J248)&gt;0),IF(J248=1,I248,ROUND(I248*(1+J248/30),1)),"")</f>
        <v/>
      </c>
      <c r="N248" s="41">
        <f>IF(M248="","",IF(M248&gt;=PRs!C53,"PR!",""))</f>
        <v/>
      </c>
      <c r="O248" s="7" t="n"/>
    </row>
    <row r="249">
      <c r="C249" t="inlineStr">
        <is>
          <t xml:space="preserve">      Set 3</t>
        </is>
      </c>
      <c r="E249" t="n">
        <v>6</v>
      </c>
      <c r="H249" s="39">
        <f>IF(H246="","",H246)</f>
        <v/>
      </c>
      <c r="I249" s="7">
        <f>IF(H246="","",H246)</f>
        <v/>
      </c>
      <c r="J249" s="7" t="n">
        <v>6</v>
      </c>
      <c r="K249" s="7" t="n"/>
      <c r="L249" s="40" t="n"/>
      <c r="M249">
        <f>IF(AND(L249&lt;&gt;"",N(I249)&gt;0,N(J249)&gt;0),IF(J249=1,I249,ROUND(I249*(1+J249/30),1)),"")</f>
        <v/>
      </c>
      <c r="N249" s="41">
        <f>IF(M249="","",IF(M249&gt;=PRs!C53,"PR!",""))</f>
        <v/>
      </c>
      <c r="O249" s="7" t="n"/>
    </row>
    <row r="250">
      <c r="C250" t="inlineStr">
        <is>
          <t xml:space="preserve">      Set 4</t>
        </is>
      </c>
      <c r="E250" t="n">
        <v>6</v>
      </c>
      <c r="H250" s="39">
        <f>IF(H246="","",H246)</f>
        <v/>
      </c>
      <c r="I250" s="7">
        <f>IF(H246="","",H246)</f>
        <v/>
      </c>
      <c r="J250" s="7" t="n">
        <v>6</v>
      </c>
      <c r="K250" s="7" t="n"/>
      <c r="L250" s="40" t="n"/>
      <c r="M250">
        <f>IF(AND(L250&lt;&gt;"",N(I250)&gt;0,N(J250)&gt;0),IF(J250=1,I250,ROUND(I250*(1+J250/30),1)),"")</f>
        <v/>
      </c>
      <c r="N250" s="41">
        <f>IF(M250="","",IF(M250&gt;=PRs!C53,"PR!",""))</f>
        <v/>
      </c>
      <c r="O250" s="7" t="n"/>
    </row>
    <row r="251">
      <c r="A251" s="34" t="n"/>
      <c r="B251" s="34" t="n"/>
      <c r="C251" s="43" t="inlineStr">
        <is>
          <t>Plank</t>
        </is>
      </c>
      <c r="D251" s="34" t="inlineStr">
        <is>
          <t>4 x 30-60s</t>
        </is>
      </c>
      <c r="E251" s="34" t="n"/>
      <c r="F251" s="34" t="n"/>
      <c r="G251" s="36" t="n"/>
      <c r="H251" s="37" t="n"/>
      <c r="I251" s="34" t="n"/>
      <c r="J251" s="34" t="n"/>
      <c r="K251" s="34" t="n"/>
      <c r="L251" s="34" t="n"/>
      <c r="M251" s="34" t="n"/>
      <c r="N251" s="34" t="n"/>
      <c r="O251" s="38" t="inlineStr">
        <is>
          <t>Leave 1-2 reps in the tank; add weight when you hit the top of the range</t>
        </is>
      </c>
    </row>
    <row r="252">
      <c r="C252" t="inlineStr">
        <is>
          <t xml:space="preserve">      Set 1</t>
        </is>
      </c>
      <c r="E252" t="n">
        <v>30</v>
      </c>
      <c r="H252" s="39">
        <f>IF(H251="","",H251)</f>
        <v/>
      </c>
      <c r="I252" s="7">
        <f>IF(H251="","",H251)</f>
        <v/>
      </c>
      <c r="J252" s="7" t="n">
        <v>30</v>
      </c>
      <c r="K252" s="7" t="n"/>
      <c r="L252" s="40" t="n"/>
      <c r="M252">
        <f>IF(AND(L252&lt;&gt;"",N(I252)&gt;0,N(J252)&gt;0),IF(J252=1,I252,ROUND(I252*(1+J252/30),1)),"")</f>
        <v/>
      </c>
      <c r="N252" s="41">
        <f>IF(M252="","",IF(M252&gt;=PRs!C56,"PR!",""))</f>
        <v/>
      </c>
      <c r="O252" s="7" t="n"/>
    </row>
    <row r="253">
      <c r="C253" t="inlineStr">
        <is>
          <t xml:space="preserve">      Set 2</t>
        </is>
      </c>
      <c r="E253" t="n">
        <v>30</v>
      </c>
      <c r="H253" s="39">
        <f>IF(H251="","",H251)</f>
        <v/>
      </c>
      <c r="I253" s="7">
        <f>IF(H251="","",H251)</f>
        <v/>
      </c>
      <c r="J253" s="7" t="n">
        <v>30</v>
      </c>
      <c r="K253" s="7" t="n"/>
      <c r="L253" s="40" t="n"/>
      <c r="M253">
        <f>IF(AND(L253&lt;&gt;"",N(I253)&gt;0,N(J253)&gt;0),IF(J253=1,I253,ROUND(I253*(1+J253/30),1)),"")</f>
        <v/>
      </c>
      <c r="N253" s="41">
        <f>IF(M253="","",IF(M253&gt;=PRs!C56,"PR!",""))</f>
        <v/>
      </c>
      <c r="O253" s="7" t="n"/>
    </row>
    <row r="254">
      <c r="C254" t="inlineStr">
        <is>
          <t xml:space="preserve">      Set 3</t>
        </is>
      </c>
      <c r="E254" t="n">
        <v>30</v>
      </c>
      <c r="H254" s="39">
        <f>IF(H251="","",H251)</f>
        <v/>
      </c>
      <c r="I254" s="7">
        <f>IF(H251="","",H251)</f>
        <v/>
      </c>
      <c r="J254" s="7" t="n">
        <v>30</v>
      </c>
      <c r="K254" s="7" t="n"/>
      <c r="L254" s="40" t="n"/>
      <c r="M254">
        <f>IF(AND(L254&lt;&gt;"",N(I254)&gt;0,N(J254)&gt;0),IF(J254=1,I254,ROUND(I254*(1+J254/30),1)),"")</f>
        <v/>
      </c>
      <c r="N254" s="41">
        <f>IF(M254="","",IF(M254&gt;=PRs!C56,"PR!",""))</f>
        <v/>
      </c>
      <c r="O254" s="7" t="n"/>
    </row>
    <row r="255">
      <c r="C255" t="inlineStr">
        <is>
          <t xml:space="preserve">      Set 4</t>
        </is>
      </c>
      <c r="E255" t="n">
        <v>30</v>
      </c>
      <c r="H255" s="39">
        <f>IF(H251="","",H251)</f>
        <v/>
      </c>
      <c r="I255" s="7">
        <f>IF(H251="","",H251)</f>
        <v/>
      </c>
      <c r="J255" s="7" t="n">
        <v>30</v>
      </c>
      <c r="K255" s="7" t="n"/>
      <c r="L255" s="40" t="n"/>
      <c r="M255">
        <f>IF(AND(L255&lt;&gt;"",N(I255)&gt;0,N(J255)&gt;0),IF(J255=1,I255,ROUND(I255*(1+J255/30),1)),"")</f>
        <v/>
      </c>
      <c r="N255" s="41">
        <f>IF(M255="","",IF(M255&gt;=PRs!C56,"PR!",""))</f>
        <v/>
      </c>
      <c r="O255" s="7" t="n"/>
    </row>
    <row r="256">
      <c r="A256" s="31" t="inlineStr">
        <is>
          <t>Day 3 - Variations</t>
        </is>
      </c>
      <c r="B256" s="32">
        <f>'Start Here'!$B$8+354</f>
        <v/>
      </c>
      <c r="C256" s="33" t="n"/>
      <c r="D256" s="33" t="n"/>
      <c r="E256" s="33" t="n"/>
      <c r="F256" s="33" t="n"/>
      <c r="G256" s="33" t="n"/>
      <c r="H256" s="33" t="n"/>
      <c r="I256" s="33" t="n"/>
      <c r="J256" s="33" t="n"/>
      <c r="K256" s="33" t="n"/>
      <c r="L256" s="33" t="n"/>
      <c r="M256" s="33" t="n"/>
      <c r="N256" s="33" t="n"/>
      <c r="O256" s="33" t="n"/>
    </row>
    <row r="257">
      <c r="A257" s="34" t="n"/>
      <c r="B257" s="34" t="n"/>
      <c r="C257" s="35" t="inlineStr">
        <is>
          <t>Depth Jump</t>
        </is>
      </c>
      <c r="D257" s="34" t="inlineStr">
        <is>
          <t>3 x 3</t>
        </is>
      </c>
      <c r="E257" s="34" t="n"/>
      <c r="F257" s="34" t="n"/>
      <c r="G257" s="36" t="n"/>
      <c r="H257" s="37">
        <f>IF(N(Maxes!I72)&gt;0,Maxes!I72,"")</f>
        <v/>
      </c>
      <c r="I257" s="34" t="n"/>
      <c r="J257" s="34" t="n"/>
      <c r="K257" s="34" t="n"/>
      <c r="L257" s="34" t="n"/>
      <c r="M257" s="34" t="n"/>
      <c r="N257" s="34" t="n"/>
      <c r="O257" s="38" t="inlineStr">
        <is>
          <t>Step off a low box (12-18 in / 30-45 cm), land and rebound straight up as fast as possible. Log the drop-box height.</t>
        </is>
      </c>
    </row>
    <row r="258">
      <c r="C258" t="inlineStr">
        <is>
          <t xml:space="preserve">      Set 1</t>
        </is>
      </c>
      <c r="E258" t="n">
        <v>3</v>
      </c>
      <c r="H258" s="39">
        <f>IF(H257="","",H257)</f>
        <v/>
      </c>
      <c r="I258" s="7">
        <f>IF(H257="","",H257)</f>
        <v/>
      </c>
      <c r="J258" s="7" t="n">
        <v>3</v>
      </c>
      <c r="K258" s="7" t="n"/>
      <c r="L258" s="40" t="n"/>
      <c r="N258" s="41">
        <f>IF(AND(L258&lt;&gt;"",N(I258)&gt;0),IF(I258&gt;=PRs!D72,"PR!",""),"")</f>
        <v/>
      </c>
      <c r="O258" s="7" t="n"/>
    </row>
    <row r="259">
      <c r="C259" t="inlineStr">
        <is>
          <t xml:space="preserve">      Set 2</t>
        </is>
      </c>
      <c r="E259" t="n">
        <v>3</v>
      </c>
      <c r="H259" s="39">
        <f>IF(H257="","",H257)</f>
        <v/>
      </c>
      <c r="I259" s="7">
        <f>IF(H257="","",H257)</f>
        <v/>
      </c>
      <c r="J259" s="7" t="n">
        <v>3</v>
      </c>
      <c r="K259" s="7" t="n"/>
      <c r="L259" s="40" t="n"/>
      <c r="N259" s="41">
        <f>IF(AND(L259&lt;&gt;"",N(I259)&gt;0),IF(I259&gt;=PRs!D72,"PR!",""),"")</f>
        <v/>
      </c>
      <c r="O259" s="7" t="n"/>
    </row>
    <row r="260">
      <c r="C260" t="inlineStr">
        <is>
          <t xml:space="preserve">      Set 3</t>
        </is>
      </c>
      <c r="E260" t="n">
        <v>3</v>
      </c>
      <c r="H260" s="39">
        <f>IF(H257="","",H257)</f>
        <v/>
      </c>
      <c r="I260" s="7">
        <f>IF(H257="","",H257)</f>
        <v/>
      </c>
      <c r="J260" s="7" t="n">
        <v>3</v>
      </c>
      <c r="K260" s="7" t="n"/>
      <c r="L260" s="40" t="n"/>
      <c r="N260" s="41">
        <f>IF(AND(L260&lt;&gt;"",N(I260)&gt;0),IF(I260&gt;=PRs!D72,"PR!",""),"")</f>
        <v/>
      </c>
      <c r="O260" s="7" t="n"/>
    </row>
    <row r="261">
      <c r="A261" s="34" t="n"/>
      <c r="B261" s="34" t="n"/>
      <c r="C261" s="42" t="inlineStr">
        <is>
          <t>Snatch Balance</t>
        </is>
      </c>
      <c r="D261" s="34" t="inlineStr">
        <is>
          <t>3 x 3</t>
        </is>
      </c>
      <c r="E261" s="34" t="n"/>
      <c r="F261" s="34" t="n">
        <v>65</v>
      </c>
      <c r="G261" s="36">
        <f>Maxes!I38</f>
        <v/>
      </c>
      <c r="H261" s="37">
        <f>IF(OR(G261="",F261=""),"",MROUND(G261*F261/100,'Start Here'!$B$7))</f>
        <v/>
      </c>
      <c r="I261" s="34" t="n"/>
      <c r="J261" s="34" t="n"/>
      <c r="K261" s="34" t="n"/>
      <c r="L261" s="34" t="n"/>
      <c r="M261" s="34" t="n"/>
      <c r="N261" s="34" t="n"/>
      <c r="O261" s="38" t="inlineStr">
        <is>
          <t>Easy volume - stay 3+ reps from failure</t>
        </is>
      </c>
    </row>
    <row r="262">
      <c r="C262" t="inlineStr">
        <is>
          <t xml:space="preserve">      Set 1</t>
        </is>
      </c>
      <c r="E262" t="n">
        <v>3</v>
      </c>
      <c r="H262" s="39">
        <f>IF(H261="","",H261)</f>
        <v/>
      </c>
      <c r="I262" s="7">
        <f>IF(H261="","",H261)</f>
        <v/>
      </c>
      <c r="J262" s="7" t="n">
        <v>3</v>
      </c>
      <c r="K262" s="7" t="n"/>
      <c r="L262" s="40" t="n"/>
      <c r="M262">
        <f>IF(AND(L262&lt;&gt;"",N(I262)&gt;0,N(J262)&gt;0),IF(J262=1,I262,ROUND(I262*(1+J262/30),1)),"")</f>
        <v/>
      </c>
      <c r="N262" s="41">
        <f>IF(M262="","",IF(M262&gt;=PRs!C38,"PR!",""))</f>
        <v/>
      </c>
      <c r="O262" s="7" t="n"/>
    </row>
    <row r="263">
      <c r="C263" t="inlineStr">
        <is>
          <t xml:space="preserve">      Set 2</t>
        </is>
      </c>
      <c r="E263" t="n">
        <v>3</v>
      </c>
      <c r="H263" s="39">
        <f>IF(H261="","",H261)</f>
        <v/>
      </c>
      <c r="I263" s="7">
        <f>IF(H261="","",H261)</f>
        <v/>
      </c>
      <c r="J263" s="7" t="n">
        <v>3</v>
      </c>
      <c r="K263" s="7" t="n"/>
      <c r="L263" s="40" t="n"/>
      <c r="M263">
        <f>IF(AND(L263&lt;&gt;"",N(I263)&gt;0,N(J263)&gt;0),IF(J263=1,I263,ROUND(I263*(1+J263/30),1)),"")</f>
        <v/>
      </c>
      <c r="N263" s="41">
        <f>IF(M263="","",IF(M263&gt;=PRs!C38,"PR!",""))</f>
        <v/>
      </c>
      <c r="O263" s="7" t="n"/>
    </row>
    <row r="264">
      <c r="C264" t="inlineStr">
        <is>
          <t xml:space="preserve">      Set 3</t>
        </is>
      </c>
      <c r="E264" t="n">
        <v>3</v>
      </c>
      <c r="H264" s="39">
        <f>IF(H261="","",H261)</f>
        <v/>
      </c>
      <c r="I264" s="7">
        <f>IF(H261="","",H261)</f>
        <v/>
      </c>
      <c r="J264" s="7" t="n">
        <v>3</v>
      </c>
      <c r="K264" s="7" t="n"/>
      <c r="L264" s="40" t="n"/>
      <c r="M264">
        <f>IF(AND(L264&lt;&gt;"",N(I264)&gt;0,N(J264)&gt;0),IF(J264=1,I264,ROUND(I264*(1+J264/30),1)),"")</f>
        <v/>
      </c>
      <c r="N264" s="41">
        <f>IF(M264="","",IF(M264&gt;=PRs!C38,"PR!",""))</f>
        <v/>
      </c>
      <c r="O264" s="7" t="n"/>
    </row>
    <row r="265">
      <c r="A265" s="34" t="n"/>
      <c r="B265" s="34" t="n"/>
      <c r="C265" s="42" t="inlineStr">
        <is>
          <t>Front Squat</t>
        </is>
      </c>
      <c r="D265" s="34" t="inlineStr">
        <is>
          <t>3 x 8</t>
        </is>
      </c>
      <c r="E265" s="34" t="n"/>
      <c r="F265" s="34" t="n">
        <v>65</v>
      </c>
      <c r="G265" s="36">
        <f>Maxes!I10</f>
        <v/>
      </c>
      <c r="H265" s="37">
        <f>IF(OR(G265="",F265=""),"",MROUND(G265*F265/100,'Start Here'!$B$7))</f>
        <v/>
      </c>
      <c r="I265" s="34" t="n"/>
      <c r="J265" s="34" t="n"/>
      <c r="K265" s="34" t="n"/>
      <c r="L265" s="34" t="n"/>
      <c r="M265" s="34" t="n"/>
      <c r="N265" s="34" t="n"/>
      <c r="O265" s="38" t="inlineStr">
        <is>
          <t>Easy volume - stay 3+ reps from failure</t>
        </is>
      </c>
    </row>
    <row r="266">
      <c r="C266" t="inlineStr">
        <is>
          <t xml:space="preserve">      Set 1</t>
        </is>
      </c>
      <c r="E266" t="n">
        <v>8</v>
      </c>
      <c r="H266" s="39">
        <f>IF(H265="","",H265)</f>
        <v/>
      </c>
      <c r="I266" s="7">
        <f>IF(H265="","",H265)</f>
        <v/>
      </c>
      <c r="J266" s="7" t="n">
        <v>8</v>
      </c>
      <c r="K266" s="7" t="n"/>
      <c r="L266" s="40" t="n"/>
      <c r="M266">
        <f>IF(AND(L266&lt;&gt;"",N(I266)&gt;0,N(J266)&gt;0),IF(J266=1,I266,ROUND(I266*(1+J266/30),1)),"")</f>
        <v/>
      </c>
      <c r="N266" s="41">
        <f>IF(M266="","",IF(M266&gt;=PRs!C10,"PR!",""))</f>
        <v/>
      </c>
      <c r="O266" s="7" t="n"/>
    </row>
    <row r="267">
      <c r="C267" t="inlineStr">
        <is>
          <t xml:space="preserve">      Set 2</t>
        </is>
      </c>
      <c r="E267" t="n">
        <v>8</v>
      </c>
      <c r="H267" s="39">
        <f>IF(H265="","",H265)</f>
        <v/>
      </c>
      <c r="I267" s="7">
        <f>IF(H265="","",H265)</f>
        <v/>
      </c>
      <c r="J267" s="7" t="n">
        <v>8</v>
      </c>
      <c r="K267" s="7" t="n"/>
      <c r="L267" s="40" t="n"/>
      <c r="M267">
        <f>IF(AND(L267&lt;&gt;"",N(I267)&gt;0,N(J267)&gt;0),IF(J267=1,I267,ROUND(I267*(1+J267/30),1)),"")</f>
        <v/>
      </c>
      <c r="N267" s="41">
        <f>IF(M267="","",IF(M267&gt;=PRs!C10,"PR!",""))</f>
        <v/>
      </c>
      <c r="O267" s="7" t="n"/>
    </row>
    <row r="268">
      <c r="C268" t="inlineStr">
        <is>
          <t xml:space="preserve">      Set 3</t>
        </is>
      </c>
      <c r="E268" t="n">
        <v>8</v>
      </c>
      <c r="H268" s="39">
        <f>IF(H265="","",H265)</f>
        <v/>
      </c>
      <c r="I268" s="7">
        <f>IF(H265="","",H265)</f>
        <v/>
      </c>
      <c r="J268" s="7" t="n">
        <v>8</v>
      </c>
      <c r="K268" s="7" t="n"/>
      <c r="L268" s="40" t="n"/>
      <c r="M268">
        <f>IF(AND(L268&lt;&gt;"",N(I268)&gt;0,N(J268)&gt;0),IF(J268=1,I268,ROUND(I268*(1+J268/30),1)),"")</f>
        <v/>
      </c>
      <c r="N268" s="41">
        <f>IF(M268="","",IF(M268&gt;=PRs!C10,"PR!",""))</f>
        <v/>
      </c>
      <c r="O268" s="7" t="n"/>
    </row>
    <row r="269">
      <c r="A269" s="34" t="n"/>
      <c r="B269" s="34" t="n"/>
      <c r="C269" s="42" t="inlineStr">
        <is>
          <t>3-Board Press</t>
        </is>
      </c>
      <c r="D269" s="34" t="inlineStr">
        <is>
          <t>3 x 8</t>
        </is>
      </c>
      <c r="E269" s="34" t="n"/>
      <c r="F269" s="34" t="n">
        <v>65</v>
      </c>
      <c r="G269" s="36">
        <f>Maxes!I17</f>
        <v/>
      </c>
      <c r="H269" s="37">
        <f>IF(OR(G269="",F269=""),"",MROUND(G269*F269/100,'Start Here'!$B$7))</f>
        <v/>
      </c>
      <c r="I269" s="34" t="n"/>
      <c r="J269" s="34" t="n"/>
      <c r="K269" s="34" t="n"/>
      <c r="L269" s="34" t="n"/>
      <c r="M269" s="34" t="n"/>
      <c r="N269" s="34" t="n"/>
      <c r="O269" s="38" t="inlineStr">
        <is>
          <t>Easy volume - stay 3+ reps from failure</t>
        </is>
      </c>
    </row>
    <row r="270">
      <c r="C270" t="inlineStr">
        <is>
          <t xml:space="preserve">      Set 1</t>
        </is>
      </c>
      <c r="E270" t="n">
        <v>8</v>
      </c>
      <c r="H270" s="39">
        <f>IF(H269="","",H269)</f>
        <v/>
      </c>
      <c r="I270" s="7">
        <f>IF(H269="","",H269)</f>
        <v/>
      </c>
      <c r="J270" s="7" t="n">
        <v>8</v>
      </c>
      <c r="K270" s="7" t="n"/>
      <c r="L270" s="40" t="n"/>
      <c r="M270">
        <f>IF(AND(L270&lt;&gt;"",N(I270)&gt;0,N(J270)&gt;0),IF(J270=1,I270,ROUND(I270*(1+J270/30),1)),"")</f>
        <v/>
      </c>
      <c r="N270" s="41">
        <f>IF(M270="","",IF(M270&gt;=PRs!C17,"PR!",""))</f>
        <v/>
      </c>
      <c r="O270" s="7" t="n"/>
    </row>
    <row r="271">
      <c r="C271" t="inlineStr">
        <is>
          <t xml:space="preserve">      Set 2</t>
        </is>
      </c>
      <c r="E271" t="n">
        <v>8</v>
      </c>
      <c r="H271" s="39">
        <f>IF(H269="","",H269)</f>
        <v/>
      </c>
      <c r="I271" s="7">
        <f>IF(H269="","",H269)</f>
        <v/>
      </c>
      <c r="J271" s="7" t="n">
        <v>8</v>
      </c>
      <c r="K271" s="7" t="n"/>
      <c r="L271" s="40" t="n"/>
      <c r="M271">
        <f>IF(AND(L271&lt;&gt;"",N(I271)&gt;0,N(J271)&gt;0),IF(J271=1,I271,ROUND(I271*(1+J271/30),1)),"")</f>
        <v/>
      </c>
      <c r="N271" s="41">
        <f>IF(M271="","",IF(M271&gt;=PRs!C17,"PR!",""))</f>
        <v/>
      </c>
      <c r="O271" s="7" t="n"/>
    </row>
    <row r="272">
      <c r="C272" t="inlineStr">
        <is>
          <t xml:space="preserve">      Set 3</t>
        </is>
      </c>
      <c r="E272" t="n">
        <v>8</v>
      </c>
      <c r="H272" s="39">
        <f>IF(H269="","",H269)</f>
        <v/>
      </c>
      <c r="I272" s="7">
        <f>IF(H269="","",H269)</f>
        <v/>
      </c>
      <c r="J272" s="7" t="n">
        <v>8</v>
      </c>
      <c r="K272" s="7" t="n"/>
      <c r="L272" s="40" t="n"/>
      <c r="M272">
        <f>IF(AND(L272&lt;&gt;"",N(I272)&gt;0,N(J272)&gt;0),IF(J272=1,I272,ROUND(I272*(1+J272/30),1)),"")</f>
        <v/>
      </c>
      <c r="N272" s="41">
        <f>IF(M272="","",IF(M272&gt;=PRs!C17,"PR!",""))</f>
        <v/>
      </c>
      <c r="O272" s="7" t="n"/>
    </row>
    <row r="273">
      <c r="A273" s="34" t="n"/>
      <c r="B273" s="34" t="n"/>
      <c r="C273" s="42" t="inlineStr">
        <is>
          <t>Romanian Deadlift</t>
        </is>
      </c>
      <c r="D273" s="34" t="inlineStr">
        <is>
          <t>3 x 8</t>
        </is>
      </c>
      <c r="E273" s="34" t="n"/>
      <c r="F273" s="34" t="n">
        <v>65</v>
      </c>
      <c r="G273" s="36">
        <f>Maxes!I23</f>
        <v/>
      </c>
      <c r="H273" s="37">
        <f>IF(OR(G273="",F273=""),"",MROUND(G273*F273/100,'Start Here'!$B$7))</f>
        <v/>
      </c>
      <c r="I273" s="34" t="n"/>
      <c r="J273" s="34" t="n"/>
      <c r="K273" s="34" t="n"/>
      <c r="L273" s="34" t="n"/>
      <c r="M273" s="34" t="n"/>
      <c r="N273" s="34" t="n"/>
      <c r="O273" s="38" t="inlineStr">
        <is>
          <t>Easy volume - stay 3+ reps from failure</t>
        </is>
      </c>
    </row>
    <row r="274">
      <c r="C274" t="inlineStr">
        <is>
          <t xml:space="preserve">      Set 1</t>
        </is>
      </c>
      <c r="E274" t="n">
        <v>8</v>
      </c>
      <c r="H274" s="39">
        <f>IF(H273="","",H273)</f>
        <v/>
      </c>
      <c r="I274" s="7">
        <f>IF(H273="","",H273)</f>
        <v/>
      </c>
      <c r="J274" s="7" t="n">
        <v>8</v>
      </c>
      <c r="K274" s="7" t="n"/>
      <c r="L274" s="40" t="n"/>
      <c r="M274">
        <f>IF(AND(L274&lt;&gt;"",N(I274)&gt;0,N(J274)&gt;0),IF(J274=1,I274,ROUND(I274*(1+J274/30),1)),"")</f>
        <v/>
      </c>
      <c r="N274" s="41">
        <f>IF(M274="","",IF(M274&gt;=PRs!C23,"PR!",""))</f>
        <v/>
      </c>
      <c r="O274" s="7" t="n"/>
    </row>
    <row r="275">
      <c r="C275" t="inlineStr">
        <is>
          <t xml:space="preserve">      Set 2</t>
        </is>
      </c>
      <c r="E275" t="n">
        <v>8</v>
      </c>
      <c r="H275" s="39">
        <f>IF(H273="","",H273)</f>
        <v/>
      </c>
      <c r="I275" s="7">
        <f>IF(H273="","",H273)</f>
        <v/>
      </c>
      <c r="J275" s="7" t="n">
        <v>8</v>
      </c>
      <c r="K275" s="7" t="n"/>
      <c r="L275" s="40" t="n"/>
      <c r="M275">
        <f>IF(AND(L275&lt;&gt;"",N(I275)&gt;0,N(J275)&gt;0),IF(J275=1,I275,ROUND(I275*(1+J275/30),1)),"")</f>
        <v/>
      </c>
      <c r="N275" s="41">
        <f>IF(M275="","",IF(M275&gt;=PRs!C23,"PR!",""))</f>
        <v/>
      </c>
      <c r="O275" s="7" t="n"/>
    </row>
    <row r="276">
      <c r="C276" t="inlineStr">
        <is>
          <t xml:space="preserve">      Set 3</t>
        </is>
      </c>
      <c r="E276" t="n">
        <v>8</v>
      </c>
      <c r="H276" s="39">
        <f>IF(H273="","",H273)</f>
        <v/>
      </c>
      <c r="I276" s="7">
        <f>IF(H273="","",H273)</f>
        <v/>
      </c>
      <c r="J276" s="7" t="n">
        <v>8</v>
      </c>
      <c r="K276" s="7" t="n"/>
      <c r="L276" s="40" t="n"/>
      <c r="M276">
        <f>IF(AND(L276&lt;&gt;"",N(I276)&gt;0,N(J276)&gt;0),IF(J276=1,I276,ROUND(I276*(1+J276/30),1)),"")</f>
        <v/>
      </c>
      <c r="N276" s="41">
        <f>IF(M276="","",IF(M276&gt;=PRs!C23,"PR!",""))</f>
        <v/>
      </c>
      <c r="O276" s="7" t="n"/>
    </row>
    <row r="277">
      <c r="A277" s="34" t="n"/>
      <c r="B277" s="34" t="n"/>
      <c r="C277" s="43" t="inlineStr">
        <is>
          <t>Incline Dumbbell Press</t>
        </is>
      </c>
      <c r="D277" s="34" t="inlineStr">
        <is>
          <t>4 x 8-12</t>
        </is>
      </c>
      <c r="E277" s="34" t="n"/>
      <c r="F277" s="34" t="n"/>
      <c r="G277" s="36" t="n"/>
      <c r="H277" s="37" t="n"/>
      <c r="I277" s="34" t="n"/>
      <c r="J277" s="34" t="n"/>
      <c r="K277" s="34" t="n"/>
      <c r="L277" s="34" t="n"/>
      <c r="M277" s="34" t="n"/>
      <c r="N277" s="34" t="n"/>
      <c r="O277" s="38" t="inlineStr">
        <is>
          <t>Leave 1-2 reps in the tank; add weight when you hit the top of the range</t>
        </is>
      </c>
    </row>
    <row r="278">
      <c r="C278" t="inlineStr">
        <is>
          <t xml:space="preserve">      Set 1</t>
        </is>
      </c>
      <c r="E278" t="n">
        <v>8</v>
      </c>
      <c r="H278" s="39">
        <f>IF(H277="","",H277)</f>
        <v/>
      </c>
      <c r="I278" s="7">
        <f>IF(H277="","",H277)</f>
        <v/>
      </c>
      <c r="J278" s="7" t="n">
        <v>8</v>
      </c>
      <c r="K278" s="7" t="n"/>
      <c r="L278" s="40" t="n"/>
      <c r="M278">
        <f>IF(AND(L278&lt;&gt;"",N(I278)&gt;0,N(J278)&gt;0),IF(J278=1,I278,ROUND(I278*(1+J278/30),1)),"")</f>
        <v/>
      </c>
      <c r="N278" s="41">
        <f>IF(M278="","",IF(M278&gt;=PRs!C57,"PR!",""))</f>
        <v/>
      </c>
      <c r="O278" s="7" t="n"/>
    </row>
    <row r="279">
      <c r="C279" t="inlineStr">
        <is>
          <t xml:space="preserve">      Set 2</t>
        </is>
      </c>
      <c r="E279" t="n">
        <v>8</v>
      </c>
      <c r="H279" s="39">
        <f>IF(H277="","",H277)</f>
        <v/>
      </c>
      <c r="I279" s="7">
        <f>IF(H277="","",H277)</f>
        <v/>
      </c>
      <c r="J279" s="7" t="n">
        <v>8</v>
      </c>
      <c r="K279" s="7" t="n"/>
      <c r="L279" s="40" t="n"/>
      <c r="M279">
        <f>IF(AND(L279&lt;&gt;"",N(I279)&gt;0,N(J279)&gt;0),IF(J279=1,I279,ROUND(I279*(1+J279/30),1)),"")</f>
        <v/>
      </c>
      <c r="N279" s="41">
        <f>IF(M279="","",IF(M279&gt;=PRs!C57,"PR!",""))</f>
        <v/>
      </c>
      <c r="O279" s="7" t="n"/>
    </row>
    <row r="280">
      <c r="C280" t="inlineStr">
        <is>
          <t xml:space="preserve">      Set 3</t>
        </is>
      </c>
      <c r="E280" t="n">
        <v>8</v>
      </c>
      <c r="H280" s="39">
        <f>IF(H277="","",H277)</f>
        <v/>
      </c>
      <c r="I280" s="7">
        <f>IF(H277="","",H277)</f>
        <v/>
      </c>
      <c r="J280" s="7" t="n">
        <v>8</v>
      </c>
      <c r="K280" s="7" t="n"/>
      <c r="L280" s="40" t="n"/>
      <c r="M280">
        <f>IF(AND(L280&lt;&gt;"",N(I280)&gt;0,N(J280)&gt;0),IF(J280=1,I280,ROUND(I280*(1+J280/30),1)),"")</f>
        <v/>
      </c>
      <c r="N280" s="41">
        <f>IF(M280="","",IF(M280&gt;=PRs!C57,"PR!",""))</f>
        <v/>
      </c>
      <c r="O280" s="7" t="n"/>
    </row>
    <row r="281">
      <c r="C281" t="inlineStr">
        <is>
          <t xml:space="preserve">      Set 4</t>
        </is>
      </c>
      <c r="E281" t="n">
        <v>8</v>
      </c>
      <c r="H281" s="39">
        <f>IF(H277="","",H277)</f>
        <v/>
      </c>
      <c r="I281" s="7">
        <f>IF(H277="","",H277)</f>
        <v/>
      </c>
      <c r="J281" s="7" t="n">
        <v>8</v>
      </c>
      <c r="K281" s="7" t="n"/>
      <c r="L281" s="40" t="n"/>
      <c r="M281">
        <f>IF(AND(L281&lt;&gt;"",N(I281)&gt;0,N(J281)&gt;0),IF(J281=1,I281,ROUND(I281*(1+J281/30),1)),"")</f>
        <v/>
      </c>
      <c r="N281" s="41">
        <f>IF(M281="","",IF(M281&gt;=PRs!C57,"PR!",""))</f>
        <v/>
      </c>
      <c r="O281" s="7" t="n"/>
    </row>
    <row r="282">
      <c r="A282" s="34" t="n"/>
      <c r="B282" s="34" t="n"/>
      <c r="C282" s="43" t="inlineStr">
        <is>
          <t>Triceps Pushdown</t>
        </is>
      </c>
      <c r="D282" s="34" t="inlineStr">
        <is>
          <t>4 x 10-15</t>
        </is>
      </c>
      <c r="E282" s="34" t="n"/>
      <c r="F282" s="34" t="n"/>
      <c r="G282" s="36" t="n"/>
      <c r="H282" s="37" t="n"/>
      <c r="I282" s="34" t="n"/>
      <c r="J282" s="34" t="n"/>
      <c r="K282" s="34" t="n"/>
      <c r="L282" s="34" t="n"/>
      <c r="M282" s="34" t="n"/>
      <c r="N282" s="34" t="n"/>
      <c r="O282" s="38" t="inlineStr">
        <is>
          <t>Leave 1-2 reps in the tank; add weight when you hit the top of the range</t>
        </is>
      </c>
    </row>
    <row r="283">
      <c r="C283" t="inlineStr">
        <is>
          <t xml:space="preserve">      Set 1</t>
        </is>
      </c>
      <c r="E283" t="n">
        <v>10</v>
      </c>
      <c r="H283" s="39">
        <f>IF(H282="","",H282)</f>
        <v/>
      </c>
      <c r="I283" s="7">
        <f>IF(H282="","",H282)</f>
        <v/>
      </c>
      <c r="J283" s="7" t="n">
        <v>10</v>
      </c>
      <c r="K283" s="7" t="n"/>
      <c r="L283" s="40" t="n"/>
      <c r="M283">
        <f>IF(AND(L283&lt;&gt;"",N(I283)&gt;0,N(J283)&gt;0),IF(J283=1,I283,ROUND(I283*(1+J283/30),1)),"")</f>
        <v/>
      </c>
      <c r="N283" s="41">
        <f>IF(M283="","",IF(M283&gt;=PRs!C59,"PR!",""))</f>
        <v/>
      </c>
      <c r="O283" s="7" t="n"/>
    </row>
    <row r="284">
      <c r="C284" t="inlineStr">
        <is>
          <t xml:space="preserve">      Set 2</t>
        </is>
      </c>
      <c r="E284" t="n">
        <v>10</v>
      </c>
      <c r="H284" s="39">
        <f>IF(H282="","",H282)</f>
        <v/>
      </c>
      <c r="I284" s="7">
        <f>IF(H282="","",H282)</f>
        <v/>
      </c>
      <c r="J284" s="7" t="n">
        <v>10</v>
      </c>
      <c r="K284" s="7" t="n"/>
      <c r="L284" s="40" t="n"/>
      <c r="M284">
        <f>IF(AND(L284&lt;&gt;"",N(I284)&gt;0,N(J284)&gt;0),IF(J284=1,I284,ROUND(I284*(1+J284/30),1)),"")</f>
        <v/>
      </c>
      <c r="N284" s="41">
        <f>IF(M284="","",IF(M284&gt;=PRs!C59,"PR!",""))</f>
        <v/>
      </c>
      <c r="O284" s="7" t="n"/>
    </row>
    <row r="285">
      <c r="C285" t="inlineStr">
        <is>
          <t xml:space="preserve">      Set 3</t>
        </is>
      </c>
      <c r="E285" t="n">
        <v>10</v>
      </c>
      <c r="H285" s="39">
        <f>IF(H282="","",H282)</f>
        <v/>
      </c>
      <c r="I285" s="7">
        <f>IF(H282="","",H282)</f>
        <v/>
      </c>
      <c r="J285" s="7" t="n">
        <v>10</v>
      </c>
      <c r="K285" s="7" t="n"/>
      <c r="L285" s="40" t="n"/>
      <c r="M285">
        <f>IF(AND(L285&lt;&gt;"",N(I285)&gt;0,N(J285)&gt;0),IF(J285=1,I285,ROUND(I285*(1+J285/30),1)),"")</f>
        <v/>
      </c>
      <c r="N285" s="41">
        <f>IF(M285="","",IF(M285&gt;=PRs!C59,"PR!",""))</f>
        <v/>
      </c>
      <c r="O285" s="7" t="n"/>
    </row>
    <row r="286">
      <c r="C286" t="inlineStr">
        <is>
          <t xml:space="preserve">      Set 4</t>
        </is>
      </c>
      <c r="E286" t="n">
        <v>10</v>
      </c>
      <c r="H286" s="39">
        <f>IF(H282="","",H282)</f>
        <v/>
      </c>
      <c r="I286" s="7">
        <f>IF(H282="","",H282)</f>
        <v/>
      </c>
      <c r="J286" s="7" t="n">
        <v>10</v>
      </c>
      <c r="K286" s="7" t="n"/>
      <c r="L286" s="40" t="n"/>
      <c r="M286">
        <f>IF(AND(L286&lt;&gt;"",N(I286)&gt;0,N(J286)&gt;0),IF(J286=1,I286,ROUND(I286*(1+J286/30),1)),"")</f>
        <v/>
      </c>
      <c r="N286" s="41">
        <f>IF(M286="","",IF(M286&gt;=PRs!C59,"PR!",""))</f>
        <v/>
      </c>
      <c r="O286" s="7" t="n"/>
    </row>
    <row r="288">
      <c r="A288" s="48" t="inlineStr">
        <is>
          <t>WEEK 52 - TRANSITION - DELOAD</t>
        </is>
      </c>
      <c r="B288" s="49" t="n"/>
      <c r="C288" s="49" t="n"/>
      <c r="D288" s="49" t="n"/>
      <c r="E288" s="49" t="n"/>
      <c r="F288" s="49" t="n"/>
      <c r="G288" s="49" t="n"/>
      <c r="H288" s="50" t="inlineStr">
        <is>
          <t>Bodyweight:</t>
        </is>
      </c>
      <c r="I288" s="7" t="n"/>
      <c r="J288" s="49" t="n"/>
      <c r="K288" s="49" t="n"/>
      <c r="L288" s="49" t="n"/>
      <c r="M288" s="49" t="n"/>
      <c r="N288" s="49" t="n"/>
      <c r="O288" s="49" t="n"/>
    </row>
    <row r="289">
      <c r="A289" s="31" t="inlineStr">
        <is>
          <t>Day 1 - Heavy</t>
        </is>
      </c>
      <c r="B289" s="32">
        <f>'Start Here'!$B$8+357</f>
        <v/>
      </c>
      <c r="C289" s="33" t="n"/>
      <c r="D289" s="33" t="n"/>
      <c r="E289" s="33" t="n"/>
      <c r="F289" s="33" t="n"/>
      <c r="G289" s="33" t="n"/>
      <c r="H289" s="33" t="n"/>
      <c r="I289" s="33" t="n"/>
      <c r="J289" s="33" t="n"/>
      <c r="K289" s="33" t="n"/>
      <c r="L289" s="33" t="n"/>
      <c r="M289" s="33" t="n"/>
      <c r="N289" s="33" t="n"/>
      <c r="O289" s="33" t="n"/>
    </row>
    <row r="290">
      <c r="A290" s="34" t="n"/>
      <c r="B290" s="34" t="n"/>
      <c r="C290" s="35" t="inlineStr">
        <is>
          <t>Box Jump</t>
        </is>
      </c>
      <c r="D290" s="34" t="inlineStr">
        <is>
          <t>2 x 3</t>
        </is>
      </c>
      <c r="E290" s="34" t="n"/>
      <c r="F290" s="34" t="n"/>
      <c r="G290" s="36" t="n"/>
      <c r="H290" s="37">
        <f>IF(N(Maxes!I69)&gt;0,Maxes!I69,'Start Here'!$G$16)</f>
        <v/>
      </c>
      <c r="I290" s="34" t="n"/>
      <c r="J290" s="34" t="n"/>
      <c r="K290" s="34" t="n"/>
      <c r="L290" s="34" t="n"/>
      <c r="M290" s="34" t="n"/>
      <c r="N290" s="34" t="n"/>
      <c r="O290" s="38" t="inlineStr">
        <is>
          <t>Two-foot jump onto a box, land soft in a quarter squat, STEP down. Log the box height (floor to top of box).</t>
        </is>
      </c>
    </row>
    <row r="291">
      <c r="C291" t="inlineStr">
        <is>
          <t xml:space="preserve">      Set 1</t>
        </is>
      </c>
      <c r="E291" t="n">
        <v>3</v>
      </c>
      <c r="H291" s="39">
        <f>IF(H290="","",H290)</f>
        <v/>
      </c>
      <c r="I291" s="7">
        <f>IF(H290="","",H290)</f>
        <v/>
      </c>
      <c r="J291" s="7" t="n">
        <v>3</v>
      </c>
      <c r="K291" s="7" t="n"/>
      <c r="L291" s="40" t="n"/>
      <c r="N291" s="41">
        <f>IF(AND(L291&lt;&gt;"",N(I291)&gt;0),IF(I291&gt;=PRs!D69,"PR!",""),"")</f>
        <v/>
      </c>
      <c r="O291" s="7" t="n"/>
    </row>
    <row r="292">
      <c r="C292" t="inlineStr">
        <is>
          <t xml:space="preserve">      Set 2</t>
        </is>
      </c>
      <c r="E292" t="n">
        <v>3</v>
      </c>
      <c r="H292" s="39">
        <f>IF(H290="","",H290)</f>
        <v/>
      </c>
      <c r="I292" s="7">
        <f>IF(H290="","",H290)</f>
        <v/>
      </c>
      <c r="J292" s="7" t="n">
        <v>3</v>
      </c>
      <c r="K292" s="7" t="n"/>
      <c r="L292" s="40" t="n"/>
      <c r="N292" s="41">
        <f>IF(AND(L292&lt;&gt;"",N(I292)&gt;0),IF(I292&gt;=PRs!D69,"PR!",""),"")</f>
        <v/>
      </c>
      <c r="O292" s="7" t="n"/>
    </row>
    <row r="293">
      <c r="A293" s="34" t="n"/>
      <c r="B293" s="34" t="n"/>
      <c r="C293" s="42" t="inlineStr">
        <is>
          <t>Snatch</t>
        </is>
      </c>
      <c r="D293" s="34" t="inlineStr">
        <is>
          <t>2 x 2</t>
        </is>
      </c>
      <c r="E293" s="34" t="n"/>
      <c r="F293" s="34" t="n">
        <v>55</v>
      </c>
      <c r="G293" s="36">
        <f>Maxes!I6</f>
        <v/>
      </c>
      <c r="H293" s="37">
        <f>IF(OR(G293="",F293=""),"",MROUND(G293*F293/100,'Start Here'!$B$7))</f>
        <v/>
      </c>
      <c r="I293" s="34" t="n"/>
      <c r="J293" s="34" t="n"/>
      <c r="K293" s="34" t="n"/>
      <c r="L293" s="34" t="n"/>
      <c r="M293" s="34" t="n"/>
      <c r="N293" s="34" t="n"/>
      <c r="O293" s="38" t="inlineStr">
        <is>
          <t>Full recovery week before the next year</t>
        </is>
      </c>
    </row>
    <row r="294">
      <c r="C294" t="inlineStr">
        <is>
          <t xml:space="preserve">      Set 1</t>
        </is>
      </c>
      <c r="E294" t="n">
        <v>2</v>
      </c>
      <c r="H294" s="39">
        <f>IF(H293="","",H293)</f>
        <v/>
      </c>
      <c r="I294" s="7">
        <f>IF(H293="","",H293)</f>
        <v/>
      </c>
      <c r="J294" s="7" t="n">
        <v>2</v>
      </c>
      <c r="K294" s="7" t="n"/>
      <c r="L294" s="40" t="n"/>
      <c r="M294">
        <f>IF(AND(L294&lt;&gt;"",N(I294)&gt;0,N(J294)&gt;0),IF(J294=1,I294,ROUND(I294*(1+J294/30),1)),"")</f>
        <v/>
      </c>
      <c r="N294" s="41">
        <f>IF(M294="","",IF(M294&gt;=PRs!C6,"PR!",""))</f>
        <v/>
      </c>
      <c r="O294" s="7" t="n"/>
    </row>
    <row r="295">
      <c r="C295" t="inlineStr">
        <is>
          <t xml:space="preserve">      Set 2</t>
        </is>
      </c>
      <c r="E295" t="n">
        <v>2</v>
      </c>
      <c r="H295" s="39">
        <f>IF(H293="","",H293)</f>
        <v/>
      </c>
      <c r="I295" s="7">
        <f>IF(H293="","",H293)</f>
        <v/>
      </c>
      <c r="J295" s="7" t="n">
        <v>2</v>
      </c>
      <c r="K295" s="7" t="n"/>
      <c r="L295" s="40" t="n"/>
      <c r="M295">
        <f>IF(AND(L295&lt;&gt;"",N(I295)&gt;0,N(J295)&gt;0),IF(J295=1,I295,ROUND(I295*(1+J295/30),1)),"")</f>
        <v/>
      </c>
      <c r="N295" s="41">
        <f>IF(M295="","",IF(M295&gt;=PRs!C6,"PR!",""))</f>
        <v/>
      </c>
      <c r="O295" s="7" t="n"/>
    </row>
    <row r="296">
      <c r="A296" s="34" t="n"/>
      <c r="B296" s="34" t="n"/>
      <c r="C296" s="42" t="inlineStr">
        <is>
          <t>Squat</t>
        </is>
      </c>
      <c r="D296" s="34" t="inlineStr">
        <is>
          <t>2 x 5</t>
        </is>
      </c>
      <c r="E296" s="34" t="n"/>
      <c r="F296" s="34" t="n">
        <v>55</v>
      </c>
      <c r="G296" s="36">
        <f>Maxes!I2</f>
        <v/>
      </c>
      <c r="H296" s="37">
        <f>IF(OR(G296="",F296=""),"",MROUND(G296*F296/100,'Start Here'!$B$7))</f>
        <v/>
      </c>
      <c r="I296" s="34" t="n"/>
      <c r="J296" s="34" t="n"/>
      <c r="K296" s="34" t="n"/>
      <c r="L296" s="34" t="n"/>
      <c r="M296" s="34" t="n"/>
      <c r="N296" s="34" t="n"/>
      <c r="O296" s="38" t="inlineStr">
        <is>
          <t>Full recovery week before the next year</t>
        </is>
      </c>
    </row>
    <row r="297">
      <c r="C297" t="inlineStr">
        <is>
          <t xml:space="preserve">      Set 1</t>
        </is>
      </c>
      <c r="E297" t="n">
        <v>5</v>
      </c>
      <c r="H297" s="39">
        <f>IF(H296="","",H296)</f>
        <v/>
      </c>
      <c r="I297" s="7">
        <f>IF(H296="","",H296)</f>
        <v/>
      </c>
      <c r="J297" s="7" t="n">
        <v>5</v>
      </c>
      <c r="K297" s="7" t="n"/>
      <c r="L297" s="40" t="n"/>
      <c r="M297">
        <f>IF(AND(L297&lt;&gt;"",N(I297)&gt;0,N(J297)&gt;0),IF(J297=1,I297,ROUND(I297*(1+J297/30),1)),"")</f>
        <v/>
      </c>
      <c r="N297" s="41">
        <f>IF(M297="","",IF(M297&gt;=PRs!C2,"PR!",""))</f>
        <v/>
      </c>
      <c r="O297" s="7" t="n"/>
    </row>
    <row r="298">
      <c r="C298" t="inlineStr">
        <is>
          <t xml:space="preserve">      Set 2</t>
        </is>
      </c>
      <c r="E298" t="n">
        <v>5</v>
      </c>
      <c r="H298" s="39">
        <f>IF(H296="","",H296)</f>
        <v/>
      </c>
      <c r="I298" s="7">
        <f>IF(H296="","",H296)</f>
        <v/>
      </c>
      <c r="J298" s="7" t="n">
        <v>5</v>
      </c>
      <c r="K298" s="7" t="n"/>
      <c r="L298" s="40" t="n"/>
      <c r="M298">
        <f>IF(AND(L298&lt;&gt;"",N(I298)&gt;0,N(J298)&gt;0),IF(J298=1,I298,ROUND(I298*(1+J298/30),1)),"")</f>
        <v/>
      </c>
      <c r="N298" s="41">
        <f>IF(M298="","",IF(M298&gt;=PRs!C2,"PR!",""))</f>
        <v/>
      </c>
      <c r="O298" s="7" t="n"/>
    </row>
    <row r="299">
      <c r="A299" s="34" t="n"/>
      <c r="B299" s="34" t="n"/>
      <c r="C299" s="42" t="inlineStr">
        <is>
          <t>Bench Press</t>
        </is>
      </c>
      <c r="D299" s="34" t="inlineStr">
        <is>
          <t>2 x 5</t>
        </is>
      </c>
      <c r="E299" s="34" t="n"/>
      <c r="F299" s="34" t="n">
        <v>55</v>
      </c>
      <c r="G299" s="36">
        <f>Maxes!I3</f>
        <v/>
      </c>
      <c r="H299" s="37">
        <f>IF(OR(G299="",F299=""),"",MROUND(G299*F299/100,'Start Here'!$B$7))</f>
        <v/>
      </c>
      <c r="I299" s="34" t="n"/>
      <c r="J299" s="34" t="n"/>
      <c r="K299" s="34" t="n"/>
      <c r="L299" s="34" t="n"/>
      <c r="M299" s="34" t="n"/>
      <c r="N299" s="34" t="n"/>
      <c r="O299" s="38" t="inlineStr">
        <is>
          <t>Full recovery week before the next year</t>
        </is>
      </c>
    </row>
    <row r="300">
      <c r="C300" t="inlineStr">
        <is>
          <t xml:space="preserve">      Set 1</t>
        </is>
      </c>
      <c r="E300" t="n">
        <v>5</v>
      </c>
      <c r="H300" s="39">
        <f>IF(H299="","",H299)</f>
        <v/>
      </c>
      <c r="I300" s="7">
        <f>IF(H299="","",H299)</f>
        <v/>
      </c>
      <c r="J300" s="7" t="n">
        <v>5</v>
      </c>
      <c r="K300" s="7" t="n"/>
      <c r="L300" s="40" t="n"/>
      <c r="M300">
        <f>IF(AND(L300&lt;&gt;"",N(I300)&gt;0,N(J300)&gt;0),IF(J300=1,I300,ROUND(I300*(1+J300/30),1)),"")</f>
        <v/>
      </c>
      <c r="N300" s="41">
        <f>IF(M300="","",IF(M300&gt;=PRs!C3,"PR!",""))</f>
        <v/>
      </c>
      <c r="O300" s="7" t="n"/>
    </row>
    <row r="301">
      <c r="C301" t="inlineStr">
        <is>
          <t xml:space="preserve">      Set 2</t>
        </is>
      </c>
      <c r="E301" t="n">
        <v>5</v>
      </c>
      <c r="H301" s="39">
        <f>IF(H299="","",H299)</f>
        <v/>
      </c>
      <c r="I301" s="7">
        <f>IF(H299="","",H299)</f>
        <v/>
      </c>
      <c r="J301" s="7" t="n">
        <v>5</v>
      </c>
      <c r="K301" s="7" t="n"/>
      <c r="L301" s="40" t="n"/>
      <c r="M301">
        <f>IF(AND(L301&lt;&gt;"",N(I301)&gt;0,N(J301)&gt;0),IF(J301=1,I301,ROUND(I301*(1+J301/30),1)),"")</f>
        <v/>
      </c>
      <c r="N301" s="41">
        <f>IF(M301="","",IF(M301&gt;=PRs!C3,"PR!",""))</f>
        <v/>
      </c>
      <c r="O301" s="7" t="n"/>
    </row>
    <row r="302">
      <c r="A302" s="34" t="n"/>
      <c r="B302" s="34" t="n"/>
      <c r="C302" s="43" t="inlineStr">
        <is>
          <t>Barbell Row</t>
        </is>
      </c>
      <c r="D302" s="34" t="inlineStr">
        <is>
          <t>2 x 8-10</t>
        </is>
      </c>
      <c r="E302" s="34" t="n"/>
      <c r="F302" s="34" t="n"/>
      <c r="G302" s="36" t="n"/>
      <c r="H302" s="37" t="n"/>
      <c r="I302" s="34" t="n"/>
      <c r="J302" s="34" t="n"/>
      <c r="K302" s="34" t="n"/>
      <c r="L302" s="34" t="n"/>
      <c r="M302" s="34" t="n"/>
      <c r="N302" s="34" t="n"/>
      <c r="O302" s="38" t="inlineStr">
        <is>
          <t>Easy</t>
        </is>
      </c>
    </row>
    <row r="303">
      <c r="C303" t="inlineStr">
        <is>
          <t xml:space="preserve">      Set 1</t>
        </is>
      </c>
      <c r="E303" t="n">
        <v>8</v>
      </c>
      <c r="H303" s="39">
        <f>IF(H302="","",H302)</f>
        <v/>
      </c>
      <c r="I303" s="7">
        <f>IF(H302="","",H302)</f>
        <v/>
      </c>
      <c r="J303" s="7" t="n">
        <v>8</v>
      </c>
      <c r="K303" s="7" t="n"/>
      <c r="L303" s="40" t="n"/>
      <c r="M303">
        <f>IF(AND(L303&lt;&gt;"",N(I303)&gt;0,N(J303)&gt;0),IF(J303=1,I303,ROUND(I303*(1+J303/30),1)),"")</f>
        <v/>
      </c>
      <c r="N303" s="41">
        <f>IF(M303="","",IF(M303&gt;=PRs!C50,"PR!",""))</f>
        <v/>
      </c>
      <c r="O303" s="7" t="n"/>
    </row>
    <row r="304">
      <c r="C304" t="inlineStr">
        <is>
          <t xml:space="preserve">      Set 2</t>
        </is>
      </c>
      <c r="E304" t="n">
        <v>8</v>
      </c>
      <c r="H304" s="39">
        <f>IF(H302="","",H302)</f>
        <v/>
      </c>
      <c r="I304" s="7">
        <f>IF(H302="","",H302)</f>
        <v/>
      </c>
      <c r="J304" s="7" t="n">
        <v>8</v>
      </c>
      <c r="K304" s="7" t="n"/>
      <c r="L304" s="40" t="n"/>
      <c r="M304">
        <f>IF(AND(L304&lt;&gt;"",N(I304)&gt;0,N(J304)&gt;0),IF(J304=1,I304,ROUND(I304*(1+J304/30),1)),"")</f>
        <v/>
      </c>
      <c r="N304" s="41">
        <f>IF(M304="","",IF(M304&gt;=PRs!C50,"PR!",""))</f>
        <v/>
      </c>
      <c r="O304" s="7" t="n"/>
    </row>
    <row r="305">
      <c r="A305" s="34" t="n"/>
      <c r="B305" s="34" t="n"/>
      <c r="C305" s="43" t="inlineStr">
        <is>
          <t>Face Pull</t>
        </is>
      </c>
      <c r="D305" s="34" t="inlineStr">
        <is>
          <t>2 x 12-15</t>
        </is>
      </c>
      <c r="E305" s="34" t="n"/>
      <c r="F305" s="34" t="n"/>
      <c r="G305" s="36" t="n"/>
      <c r="H305" s="37" t="n"/>
      <c r="I305" s="34" t="n"/>
      <c r="J305" s="34" t="n"/>
      <c r="K305" s="34" t="n"/>
      <c r="L305" s="34" t="n"/>
      <c r="M305" s="34" t="n"/>
      <c r="N305" s="34" t="n"/>
      <c r="O305" s="38" t="inlineStr">
        <is>
          <t>Easy</t>
        </is>
      </c>
    </row>
    <row r="306">
      <c r="C306" t="inlineStr">
        <is>
          <t xml:space="preserve">      Set 1</t>
        </is>
      </c>
      <c r="E306" t="n">
        <v>12</v>
      </c>
      <c r="H306" s="39">
        <f>IF(H305="","",H305)</f>
        <v/>
      </c>
      <c r="I306" s="7">
        <f>IF(H305="","",H305)</f>
        <v/>
      </c>
      <c r="J306" s="7" t="n">
        <v>12</v>
      </c>
      <c r="K306" s="7" t="n"/>
      <c r="L306" s="40" t="n"/>
      <c r="M306">
        <f>IF(AND(L306&lt;&gt;"",N(I306)&gt;0,N(J306)&gt;0),IF(J306=1,I306,ROUND(I306*(1+J306/30),1)),"")</f>
        <v/>
      </c>
      <c r="N306" s="41">
        <f>IF(M306="","",IF(M306&gt;=PRs!C51,"PR!",""))</f>
        <v/>
      </c>
      <c r="O306" s="7" t="n"/>
    </row>
    <row r="307">
      <c r="C307" t="inlineStr">
        <is>
          <t xml:space="preserve">      Set 2</t>
        </is>
      </c>
      <c r="E307" t="n">
        <v>12</v>
      </c>
      <c r="H307" s="39">
        <f>IF(H305="","",H305)</f>
        <v/>
      </c>
      <c r="I307" s="7">
        <f>IF(H305="","",H305)</f>
        <v/>
      </c>
      <c r="J307" s="7" t="n">
        <v>12</v>
      </c>
      <c r="K307" s="7" t="n"/>
      <c r="L307" s="40" t="n"/>
      <c r="M307">
        <f>IF(AND(L307&lt;&gt;"",N(I307)&gt;0,N(J307)&gt;0),IF(J307=1,I307,ROUND(I307*(1+J307/30),1)),"")</f>
        <v/>
      </c>
      <c r="N307" s="41">
        <f>IF(M307="","",IF(M307&gt;=PRs!C51,"PR!",""))</f>
        <v/>
      </c>
      <c r="O307" s="7" t="n"/>
    </row>
    <row r="308">
      <c r="A308" s="31" t="inlineStr">
        <is>
          <t>Day 2 - Light</t>
        </is>
      </c>
      <c r="B308" s="32">
        <f>'Start Here'!$B$8+359</f>
        <v/>
      </c>
      <c r="C308" s="33" t="n"/>
      <c r="D308" s="33" t="n"/>
      <c r="E308" s="33" t="n"/>
      <c r="F308" s="33" t="n"/>
      <c r="G308" s="33" t="n"/>
      <c r="H308" s="33" t="n"/>
      <c r="I308" s="33" t="n"/>
      <c r="J308" s="33" t="n"/>
      <c r="K308" s="33" t="n"/>
      <c r="L308" s="33" t="n"/>
      <c r="M308" s="33" t="n"/>
      <c r="N308" s="33" t="n"/>
      <c r="O308" s="33" t="n"/>
    </row>
    <row r="309">
      <c r="A309" s="34" t="n"/>
      <c r="B309" s="34" t="n"/>
      <c r="C309" s="35" t="inlineStr">
        <is>
          <t>Broad Jump</t>
        </is>
      </c>
      <c r="D309" s="34" t="inlineStr">
        <is>
          <t>2 x 3</t>
        </is>
      </c>
      <c r="E309" s="34" t="n"/>
      <c r="F309" s="34" t="n"/>
      <c r="G309" s="36" t="n"/>
      <c r="H309" s="37">
        <f>IF(N(Maxes!I70)&gt;0,Maxes!I70,"")</f>
        <v/>
      </c>
      <c r="I309" s="34" t="n"/>
      <c r="J309" s="34" t="n"/>
      <c r="K309" s="34" t="n"/>
      <c r="L309" s="34" t="n"/>
      <c r="M309" s="34" t="n"/>
      <c r="N309" s="34" t="n"/>
      <c r="O309" s="38" t="inlineStr">
        <is>
          <t>Standing two-foot jump forward, stick the landing. Measure toe line to the back of the nearest heel.</t>
        </is>
      </c>
    </row>
    <row r="310">
      <c r="C310" t="inlineStr">
        <is>
          <t xml:space="preserve">      Set 1</t>
        </is>
      </c>
      <c r="E310" t="n">
        <v>3</v>
      </c>
      <c r="H310" s="39">
        <f>IF(H309="","",H309)</f>
        <v/>
      </c>
      <c r="I310" s="7">
        <f>IF(H309="","",H309)</f>
        <v/>
      </c>
      <c r="J310" s="7" t="n">
        <v>3</v>
      </c>
      <c r="K310" s="7" t="n"/>
      <c r="L310" s="40" t="n"/>
      <c r="N310" s="41">
        <f>IF(AND(L310&lt;&gt;"",N(I310)&gt;0),IF(I310&gt;=PRs!D70,"PR!",""),"")</f>
        <v/>
      </c>
      <c r="O310" s="7" t="n"/>
    </row>
    <row r="311">
      <c r="C311" t="inlineStr">
        <is>
          <t xml:space="preserve">      Set 2</t>
        </is>
      </c>
      <c r="E311" t="n">
        <v>3</v>
      </c>
      <c r="H311" s="39">
        <f>IF(H309="","",H309)</f>
        <v/>
      </c>
      <c r="I311" s="7">
        <f>IF(H309="","",H309)</f>
        <v/>
      </c>
      <c r="J311" s="7" t="n">
        <v>3</v>
      </c>
      <c r="K311" s="7" t="n"/>
      <c r="L311" s="40" t="n"/>
      <c r="N311" s="41">
        <f>IF(AND(L311&lt;&gt;"",N(I311)&gt;0),IF(I311&gt;=PRs!D70,"PR!",""),"")</f>
        <v/>
      </c>
      <c r="O311" s="7" t="n"/>
    </row>
    <row r="312">
      <c r="A312" s="34" t="n"/>
      <c r="B312" s="34" t="n"/>
      <c r="C312" s="35" t="inlineStr">
        <is>
          <t>Med Ball Chest Pass</t>
        </is>
      </c>
      <c r="D312" s="34" t="inlineStr">
        <is>
          <t>2 x 3</t>
        </is>
      </c>
      <c r="E312" s="34" t="n"/>
      <c r="F312" s="34" t="n"/>
      <c r="G312" s="36" t="n"/>
      <c r="H312" s="37">
        <f>IF(N(Maxes!I77)&gt;0,Maxes!I77,"")</f>
        <v/>
      </c>
      <c r="I312" s="34" t="n"/>
      <c r="J312" s="34" t="n"/>
      <c r="K312" s="34" t="n"/>
      <c r="L312" s="34" t="n"/>
      <c r="M312" s="34" t="n"/>
      <c r="N312" s="34" t="n"/>
      <c r="O312" s="38" t="inlineStr">
        <is>
          <t>Kneeling or standing chest pass for distance with a 6-10 lb / 3-5 kg ball. Log the distance.</t>
        </is>
      </c>
    </row>
    <row r="313">
      <c r="C313" t="inlineStr">
        <is>
          <t xml:space="preserve">      Set 1</t>
        </is>
      </c>
      <c r="E313" t="n">
        <v>3</v>
      </c>
      <c r="H313" s="39">
        <f>IF(H312="","",H312)</f>
        <v/>
      </c>
      <c r="I313" s="7">
        <f>IF(H312="","",H312)</f>
        <v/>
      </c>
      <c r="J313" s="7" t="n">
        <v>3</v>
      </c>
      <c r="K313" s="7" t="n"/>
      <c r="L313" s="40" t="n"/>
      <c r="N313" s="41">
        <f>IF(AND(L313&lt;&gt;"",N(I313)&gt;0),IF(I313&gt;=PRs!D77,"PR!",""),"")</f>
        <v/>
      </c>
      <c r="O313" s="7" t="n"/>
    </row>
    <row r="314">
      <c r="C314" t="inlineStr">
        <is>
          <t xml:space="preserve">      Set 2</t>
        </is>
      </c>
      <c r="E314" t="n">
        <v>3</v>
      </c>
      <c r="H314" s="39">
        <f>IF(H312="","",H312)</f>
        <v/>
      </c>
      <c r="I314" s="7">
        <f>IF(H312="","",H312)</f>
        <v/>
      </c>
      <c r="J314" s="7" t="n">
        <v>3</v>
      </c>
      <c r="K314" s="7" t="n"/>
      <c r="L314" s="40" t="n"/>
      <c r="N314" s="41">
        <f>IF(AND(L314&lt;&gt;"",N(I314)&gt;0),IF(I314&gt;=PRs!D77,"PR!",""),"")</f>
        <v/>
      </c>
      <c r="O314" s="7" t="n"/>
    </row>
    <row r="315">
      <c r="A315" s="34" t="n"/>
      <c r="B315" s="34" t="n"/>
      <c r="C315" s="42" t="inlineStr">
        <is>
          <t>Clean &amp; Jerk</t>
        </is>
      </c>
      <c r="D315" s="34" t="inlineStr">
        <is>
          <t>2 x 2</t>
        </is>
      </c>
      <c r="E315" s="34" t="n"/>
      <c r="F315" s="34" t="n">
        <v>55</v>
      </c>
      <c r="G315" s="36">
        <f>Maxes!I7</f>
        <v/>
      </c>
      <c r="H315" s="37">
        <f>IF(OR(G315="",F315=""),"",MROUND(G315*F315/100,'Start Here'!$B$7))</f>
        <v/>
      </c>
      <c r="I315" s="34" t="n"/>
      <c r="J315" s="34" t="n"/>
      <c r="K315" s="34" t="n"/>
      <c r="L315" s="34" t="n"/>
      <c r="M315" s="34" t="n"/>
      <c r="N315" s="34" t="n"/>
      <c r="O315" s="38" t="inlineStr">
        <is>
          <t>Full recovery week before the next year</t>
        </is>
      </c>
    </row>
    <row r="316">
      <c r="C316" t="inlineStr">
        <is>
          <t xml:space="preserve">      Set 1</t>
        </is>
      </c>
      <c r="E316" t="n">
        <v>2</v>
      </c>
      <c r="H316" s="39">
        <f>IF(H315="","",H315)</f>
        <v/>
      </c>
      <c r="I316" s="7">
        <f>IF(H315="","",H315)</f>
        <v/>
      </c>
      <c r="J316" s="7" t="n">
        <v>2</v>
      </c>
      <c r="K316" s="7" t="n"/>
      <c r="L316" s="40" t="n"/>
      <c r="M316">
        <f>IF(AND(L316&lt;&gt;"",N(I316)&gt;0,N(J316)&gt;0),IF(J316=1,I316,ROUND(I316*(1+J316/30),1)),"")</f>
        <v/>
      </c>
      <c r="N316" s="41">
        <f>IF(M316="","",IF(M316&gt;=PRs!C7,"PR!",""))</f>
        <v/>
      </c>
      <c r="O316" s="7" t="n"/>
    </row>
    <row r="317">
      <c r="C317" t="inlineStr">
        <is>
          <t xml:space="preserve">      Set 2</t>
        </is>
      </c>
      <c r="E317" t="n">
        <v>2</v>
      </c>
      <c r="H317" s="39">
        <f>IF(H315="","",H315)</f>
        <v/>
      </c>
      <c r="I317" s="7">
        <f>IF(H315="","",H315)</f>
        <v/>
      </c>
      <c r="J317" s="7" t="n">
        <v>2</v>
      </c>
      <c r="K317" s="7" t="n"/>
      <c r="L317" s="40" t="n"/>
      <c r="M317">
        <f>IF(AND(L317&lt;&gt;"",N(I317)&gt;0,N(J317)&gt;0),IF(J317=1,I317,ROUND(I317*(1+J317/30),1)),"")</f>
        <v/>
      </c>
      <c r="N317" s="41">
        <f>IF(M317="","",IF(M317&gt;=PRs!C7,"PR!",""))</f>
        <v/>
      </c>
      <c r="O317" s="7" t="n"/>
    </row>
    <row r="318">
      <c r="A318" s="34" t="n"/>
      <c r="B318" s="34" t="n"/>
      <c r="C318" s="42" t="inlineStr">
        <is>
          <t>Squat</t>
        </is>
      </c>
      <c r="D318" s="34" t="inlineStr">
        <is>
          <t>2 x 5</t>
        </is>
      </c>
      <c r="E318" s="34" t="n"/>
      <c r="F318" s="34" t="n">
        <v>55</v>
      </c>
      <c r="G318" s="36">
        <f>Maxes!I2</f>
        <v/>
      </c>
      <c r="H318" s="37">
        <f>IF(OR(G318="",F318=""),"",MROUND(G318*F318/100,'Start Here'!$B$7))</f>
        <v/>
      </c>
      <c r="I318" s="34" t="n"/>
      <c r="J318" s="34" t="n"/>
      <c r="K318" s="34" t="n"/>
      <c r="L318" s="34" t="n"/>
      <c r="M318" s="34" t="n"/>
      <c r="N318" s="34" t="n"/>
      <c r="O318" s="38" t="inlineStr">
        <is>
          <t>Full recovery week before the next year</t>
        </is>
      </c>
    </row>
    <row r="319">
      <c r="C319" t="inlineStr">
        <is>
          <t xml:space="preserve">      Set 1</t>
        </is>
      </c>
      <c r="E319" t="n">
        <v>5</v>
      </c>
      <c r="H319" s="39">
        <f>IF(H318="","",H318)</f>
        <v/>
      </c>
      <c r="I319" s="7">
        <f>IF(H318="","",H318)</f>
        <v/>
      </c>
      <c r="J319" s="7" t="n">
        <v>5</v>
      </c>
      <c r="K319" s="7" t="n"/>
      <c r="L319" s="40" t="n"/>
      <c r="M319">
        <f>IF(AND(L319&lt;&gt;"",N(I319)&gt;0,N(J319)&gt;0),IF(J319=1,I319,ROUND(I319*(1+J319/30),1)),"")</f>
        <v/>
      </c>
      <c r="N319" s="41">
        <f>IF(M319="","",IF(M319&gt;=PRs!C2,"PR!",""))</f>
        <v/>
      </c>
      <c r="O319" s="7" t="n"/>
    </row>
    <row r="320">
      <c r="C320" t="inlineStr">
        <is>
          <t xml:space="preserve">      Set 2</t>
        </is>
      </c>
      <c r="E320" t="n">
        <v>5</v>
      </c>
      <c r="H320" s="39">
        <f>IF(H318="","",H318)</f>
        <v/>
      </c>
      <c r="I320" s="7">
        <f>IF(H318="","",H318)</f>
        <v/>
      </c>
      <c r="J320" s="7" t="n">
        <v>5</v>
      </c>
      <c r="K320" s="7" t="n"/>
      <c r="L320" s="40" t="n"/>
      <c r="M320">
        <f>IF(AND(L320&lt;&gt;"",N(I320)&gt;0,N(J320)&gt;0),IF(J320=1,I320,ROUND(I320*(1+J320/30),1)),"")</f>
        <v/>
      </c>
      <c r="N320" s="41">
        <f>IF(M320="","",IF(M320&gt;=PRs!C2,"PR!",""))</f>
        <v/>
      </c>
      <c r="O320" s="7" t="n"/>
    </row>
    <row r="321">
      <c r="A321" s="34" t="n"/>
      <c r="B321" s="34" t="n"/>
      <c r="C321" s="42" t="inlineStr">
        <is>
          <t>Overhead Press</t>
        </is>
      </c>
      <c r="D321" s="34" t="inlineStr">
        <is>
          <t>2 x 5</t>
        </is>
      </c>
      <c r="E321" s="34" t="n"/>
      <c r="F321" s="34" t="n">
        <v>55</v>
      </c>
      <c r="G321" s="36">
        <f>Maxes!I5</f>
        <v/>
      </c>
      <c r="H321" s="37">
        <f>IF(OR(G321="",F321=""),"",MROUND(G321*F321/100,'Start Here'!$B$7))</f>
        <v/>
      </c>
      <c r="I321" s="34" t="n"/>
      <c r="J321" s="34" t="n"/>
      <c r="K321" s="34" t="n"/>
      <c r="L321" s="34" t="n"/>
      <c r="M321" s="34" t="n"/>
      <c r="N321" s="34" t="n"/>
      <c r="O321" s="38" t="inlineStr">
        <is>
          <t>Full recovery week before the next year</t>
        </is>
      </c>
    </row>
    <row r="322">
      <c r="C322" t="inlineStr">
        <is>
          <t xml:space="preserve">      Set 1</t>
        </is>
      </c>
      <c r="E322" t="n">
        <v>5</v>
      </c>
      <c r="H322" s="39">
        <f>IF(H321="","",H321)</f>
        <v/>
      </c>
      <c r="I322" s="7">
        <f>IF(H321="","",H321)</f>
        <v/>
      </c>
      <c r="J322" s="7" t="n">
        <v>5</v>
      </c>
      <c r="K322" s="7" t="n"/>
      <c r="L322" s="40" t="n"/>
      <c r="M322">
        <f>IF(AND(L322&lt;&gt;"",N(I322)&gt;0,N(J322)&gt;0),IF(J322=1,I322,ROUND(I322*(1+J322/30),1)),"")</f>
        <v/>
      </c>
      <c r="N322" s="41">
        <f>IF(M322="","",IF(M322&gt;=PRs!C5,"PR!",""))</f>
        <v/>
      </c>
      <c r="O322" s="7" t="n"/>
    </row>
    <row r="323">
      <c r="C323" t="inlineStr">
        <is>
          <t xml:space="preserve">      Set 2</t>
        </is>
      </c>
      <c r="E323" t="n">
        <v>5</v>
      </c>
      <c r="H323" s="39">
        <f>IF(H321="","",H321)</f>
        <v/>
      </c>
      <c r="I323" s="7">
        <f>IF(H321="","",H321)</f>
        <v/>
      </c>
      <c r="J323" s="7" t="n">
        <v>5</v>
      </c>
      <c r="K323" s="7" t="n"/>
      <c r="L323" s="40" t="n"/>
      <c r="M323">
        <f>IF(AND(L323&lt;&gt;"",N(I323)&gt;0,N(J323)&gt;0),IF(J323=1,I323,ROUND(I323*(1+J323/30),1)),"")</f>
        <v/>
      </c>
      <c r="N323" s="41">
        <f>IF(M323="","",IF(M323&gt;=PRs!C5,"PR!",""))</f>
        <v/>
      </c>
      <c r="O323" s="7" t="n"/>
    </row>
    <row r="324">
      <c r="A324" s="34" t="n"/>
      <c r="B324" s="34" t="n"/>
      <c r="C324" s="42" t="inlineStr">
        <is>
          <t>Deadlift</t>
        </is>
      </c>
      <c r="D324" s="34" t="inlineStr">
        <is>
          <t>2 x 5</t>
        </is>
      </c>
      <c r="E324" s="34" t="n"/>
      <c r="F324" s="34" t="n">
        <v>55</v>
      </c>
      <c r="G324" s="36">
        <f>Maxes!I4</f>
        <v/>
      </c>
      <c r="H324" s="37">
        <f>IF(OR(G324="",F324=""),"",MROUND(G324*F324/100,'Start Here'!$B$7))</f>
        <v/>
      </c>
      <c r="I324" s="34" t="n"/>
      <c r="J324" s="34" t="n"/>
      <c r="K324" s="34" t="n"/>
      <c r="L324" s="34" t="n"/>
      <c r="M324" s="34" t="n"/>
      <c r="N324" s="34" t="n"/>
      <c r="O324" s="38" t="inlineStr">
        <is>
          <t>Full recovery week before the next year</t>
        </is>
      </c>
    </row>
    <row r="325">
      <c r="C325" t="inlineStr">
        <is>
          <t xml:space="preserve">      Set 1</t>
        </is>
      </c>
      <c r="E325" t="n">
        <v>5</v>
      </c>
      <c r="H325" s="39">
        <f>IF(H324="","",H324)</f>
        <v/>
      </c>
      <c r="I325" s="7">
        <f>IF(H324="","",H324)</f>
        <v/>
      </c>
      <c r="J325" s="7" t="n">
        <v>5</v>
      </c>
      <c r="K325" s="7" t="n"/>
      <c r="L325" s="40" t="n"/>
      <c r="M325">
        <f>IF(AND(L325&lt;&gt;"",N(I325)&gt;0,N(J325)&gt;0),IF(J325=1,I325,ROUND(I325*(1+J325/30),1)),"")</f>
        <v/>
      </c>
      <c r="N325" s="41">
        <f>IF(M325="","",IF(M325&gt;=PRs!C4,"PR!",""))</f>
        <v/>
      </c>
      <c r="O325" s="7" t="n"/>
    </row>
    <row r="326">
      <c r="C326" t="inlineStr">
        <is>
          <t xml:space="preserve">      Set 2</t>
        </is>
      </c>
      <c r="E326" t="n">
        <v>5</v>
      </c>
      <c r="H326" s="39">
        <f>IF(H324="","",H324)</f>
        <v/>
      </c>
      <c r="I326" s="7">
        <f>IF(H324="","",H324)</f>
        <v/>
      </c>
      <c r="J326" s="7" t="n">
        <v>5</v>
      </c>
      <c r="K326" s="7" t="n"/>
      <c r="L326" s="40" t="n"/>
      <c r="M326">
        <f>IF(AND(L326&lt;&gt;"",N(I326)&gt;0,N(J326)&gt;0),IF(J326=1,I326,ROUND(I326*(1+J326/30),1)),"")</f>
        <v/>
      </c>
      <c r="N326" s="41">
        <f>IF(M326="","",IF(M326&gt;=PRs!C4,"PR!",""))</f>
        <v/>
      </c>
      <c r="O326" s="7" t="n"/>
    </row>
    <row r="327">
      <c r="A327" s="34" t="n"/>
      <c r="B327" s="34" t="n"/>
      <c r="C327" s="43" t="inlineStr">
        <is>
          <t>Chin-up</t>
        </is>
      </c>
      <c r="D327" s="34" t="inlineStr">
        <is>
          <t>2 x 6-10</t>
        </is>
      </c>
      <c r="E327" s="34" t="n"/>
      <c r="F327" s="34" t="n"/>
      <c r="G327" s="36" t="n"/>
      <c r="H327" s="37" t="n"/>
      <c r="I327" s="34" t="n"/>
      <c r="J327" s="34" t="n"/>
      <c r="K327" s="34" t="n"/>
      <c r="L327" s="34" t="n"/>
      <c r="M327" s="34" t="n"/>
      <c r="N327" s="34" t="n"/>
      <c r="O327" s="38" t="inlineStr">
        <is>
          <t>Easy</t>
        </is>
      </c>
    </row>
    <row r="328">
      <c r="C328" t="inlineStr">
        <is>
          <t xml:space="preserve">      Set 1</t>
        </is>
      </c>
      <c r="E328" t="n">
        <v>6</v>
      </c>
      <c r="H328" s="39">
        <f>IF(H327="","",H327)</f>
        <v/>
      </c>
      <c r="I328" s="7">
        <f>IF(H327="","",H327)</f>
        <v/>
      </c>
      <c r="J328" s="7" t="n">
        <v>6</v>
      </c>
      <c r="K328" s="7" t="n"/>
      <c r="L328" s="40" t="n"/>
      <c r="M328">
        <f>IF(AND(L328&lt;&gt;"",N(I328)&gt;0,N(J328)&gt;0),IF(J328=1,I328,ROUND(I328*(1+J328/30),1)),"")</f>
        <v/>
      </c>
      <c r="N328" s="41">
        <f>IF(M328="","",IF(M328&gt;=PRs!C53,"PR!",""))</f>
        <v/>
      </c>
      <c r="O328" s="7" t="n"/>
    </row>
    <row r="329">
      <c r="C329" t="inlineStr">
        <is>
          <t xml:space="preserve">      Set 2</t>
        </is>
      </c>
      <c r="E329" t="n">
        <v>6</v>
      </c>
      <c r="H329" s="39">
        <f>IF(H327="","",H327)</f>
        <v/>
      </c>
      <c r="I329" s="7">
        <f>IF(H327="","",H327)</f>
        <v/>
      </c>
      <c r="J329" s="7" t="n">
        <v>6</v>
      </c>
      <c r="K329" s="7" t="n"/>
      <c r="L329" s="40" t="n"/>
      <c r="M329">
        <f>IF(AND(L329&lt;&gt;"",N(I329)&gt;0,N(J329)&gt;0),IF(J329=1,I329,ROUND(I329*(1+J329/30),1)),"")</f>
        <v/>
      </c>
      <c r="N329" s="41">
        <f>IF(M329="","",IF(M329&gt;=PRs!C53,"PR!",""))</f>
        <v/>
      </c>
      <c r="O329" s="7" t="n"/>
    </row>
    <row r="330">
      <c r="A330" s="34" t="n"/>
      <c r="B330" s="34" t="n"/>
      <c r="C330" s="43" t="inlineStr">
        <is>
          <t>Plank</t>
        </is>
      </c>
      <c r="D330" s="34" t="inlineStr">
        <is>
          <t>2 x 30-60s</t>
        </is>
      </c>
      <c r="E330" s="34" t="n"/>
      <c r="F330" s="34" t="n"/>
      <c r="G330" s="36" t="n"/>
      <c r="H330" s="37" t="n"/>
      <c r="I330" s="34" t="n"/>
      <c r="J330" s="34" t="n"/>
      <c r="K330" s="34" t="n"/>
      <c r="L330" s="34" t="n"/>
      <c r="M330" s="34" t="n"/>
      <c r="N330" s="34" t="n"/>
      <c r="O330" s="38" t="inlineStr">
        <is>
          <t>Easy</t>
        </is>
      </c>
    </row>
    <row r="331">
      <c r="C331" t="inlineStr">
        <is>
          <t xml:space="preserve">      Set 1</t>
        </is>
      </c>
      <c r="E331" t="n">
        <v>30</v>
      </c>
      <c r="H331" s="39">
        <f>IF(H330="","",H330)</f>
        <v/>
      </c>
      <c r="I331" s="7">
        <f>IF(H330="","",H330)</f>
        <v/>
      </c>
      <c r="J331" s="7" t="n">
        <v>30</v>
      </c>
      <c r="K331" s="7" t="n"/>
      <c r="L331" s="40" t="n"/>
      <c r="M331">
        <f>IF(AND(L331&lt;&gt;"",N(I331)&gt;0,N(J331)&gt;0),IF(J331=1,I331,ROUND(I331*(1+J331/30),1)),"")</f>
        <v/>
      </c>
      <c r="N331" s="41">
        <f>IF(M331="","",IF(M331&gt;=PRs!C56,"PR!",""))</f>
        <v/>
      </c>
      <c r="O331" s="7" t="n"/>
    </row>
    <row r="332">
      <c r="C332" t="inlineStr">
        <is>
          <t xml:space="preserve">      Set 2</t>
        </is>
      </c>
      <c r="E332" t="n">
        <v>30</v>
      </c>
      <c r="H332" s="39">
        <f>IF(H330="","",H330)</f>
        <v/>
      </c>
      <c r="I332" s="7">
        <f>IF(H330="","",H330)</f>
        <v/>
      </c>
      <c r="J332" s="7" t="n">
        <v>30</v>
      </c>
      <c r="K332" s="7" t="n"/>
      <c r="L332" s="40" t="n"/>
      <c r="M332">
        <f>IF(AND(L332&lt;&gt;"",N(I332)&gt;0,N(J332)&gt;0),IF(J332=1,I332,ROUND(I332*(1+J332/30),1)),"")</f>
        <v/>
      </c>
      <c r="N332" s="41">
        <f>IF(M332="","",IF(M332&gt;=PRs!C56,"PR!",""))</f>
        <v/>
      </c>
      <c r="O332" s="7" t="n"/>
    </row>
    <row r="333">
      <c r="A333" s="31" t="inlineStr">
        <is>
          <t>Day 3 - Variations</t>
        </is>
      </c>
      <c r="B333" s="32">
        <f>'Start Here'!$B$8+361</f>
        <v/>
      </c>
      <c r="C333" s="33" t="n"/>
      <c r="D333" s="33" t="n"/>
      <c r="E333" s="33" t="n"/>
      <c r="F333" s="33" t="n"/>
      <c r="G333" s="33" t="n"/>
      <c r="H333" s="33" t="n"/>
      <c r="I333" s="33" t="n"/>
      <c r="J333" s="33" t="n"/>
      <c r="K333" s="33" t="n"/>
      <c r="L333" s="33" t="n"/>
      <c r="M333" s="33" t="n"/>
      <c r="N333" s="33" t="n"/>
      <c r="O333" s="33" t="n"/>
    </row>
    <row r="334">
      <c r="A334" s="34" t="n"/>
      <c r="B334" s="34" t="n"/>
      <c r="C334" s="35" t="inlineStr">
        <is>
          <t>Depth Jump</t>
        </is>
      </c>
      <c r="D334" s="34" t="inlineStr">
        <is>
          <t>2 x 3</t>
        </is>
      </c>
      <c r="E334" s="34" t="n"/>
      <c r="F334" s="34" t="n"/>
      <c r="G334" s="36" t="n"/>
      <c r="H334" s="37">
        <f>IF(N(Maxes!I72)&gt;0,Maxes!I72,"")</f>
        <v/>
      </c>
      <c r="I334" s="34" t="n"/>
      <c r="J334" s="34" t="n"/>
      <c r="K334" s="34" t="n"/>
      <c r="L334" s="34" t="n"/>
      <c r="M334" s="34" t="n"/>
      <c r="N334" s="34" t="n"/>
      <c r="O334" s="38" t="inlineStr">
        <is>
          <t>Step off a low box (12-18 in / 30-45 cm), land and rebound straight up as fast as possible. Log the drop-box height.</t>
        </is>
      </c>
    </row>
    <row r="335">
      <c r="C335" t="inlineStr">
        <is>
          <t xml:space="preserve">      Set 1</t>
        </is>
      </c>
      <c r="E335" t="n">
        <v>3</v>
      </c>
      <c r="H335" s="39">
        <f>IF(H334="","",H334)</f>
        <v/>
      </c>
      <c r="I335" s="7">
        <f>IF(H334="","",H334)</f>
        <v/>
      </c>
      <c r="J335" s="7" t="n">
        <v>3</v>
      </c>
      <c r="K335" s="7" t="n"/>
      <c r="L335" s="40" t="n"/>
      <c r="N335" s="41">
        <f>IF(AND(L335&lt;&gt;"",N(I335)&gt;0),IF(I335&gt;=PRs!D72,"PR!",""),"")</f>
        <v/>
      </c>
      <c r="O335" s="7" t="n"/>
    </row>
    <row r="336">
      <c r="C336" t="inlineStr">
        <is>
          <t xml:space="preserve">      Set 2</t>
        </is>
      </c>
      <c r="E336" t="n">
        <v>3</v>
      </c>
      <c r="H336" s="39">
        <f>IF(H334="","",H334)</f>
        <v/>
      </c>
      <c r="I336" s="7">
        <f>IF(H334="","",H334)</f>
        <v/>
      </c>
      <c r="J336" s="7" t="n">
        <v>3</v>
      </c>
      <c r="K336" s="7" t="n"/>
      <c r="L336" s="40" t="n"/>
      <c r="N336" s="41">
        <f>IF(AND(L336&lt;&gt;"",N(I336)&gt;0),IF(I336&gt;=PRs!D72,"PR!",""),"")</f>
        <v/>
      </c>
      <c r="O336" s="7" t="n"/>
    </row>
    <row r="337">
      <c r="A337" s="34" t="n"/>
      <c r="B337" s="34" t="n"/>
      <c r="C337" s="42" t="inlineStr">
        <is>
          <t>Snatch Balance</t>
        </is>
      </c>
      <c r="D337" s="34" t="inlineStr">
        <is>
          <t>2 x 2</t>
        </is>
      </c>
      <c r="E337" s="34" t="n"/>
      <c r="F337" s="34" t="n">
        <v>55</v>
      </c>
      <c r="G337" s="36">
        <f>Maxes!I38</f>
        <v/>
      </c>
      <c r="H337" s="37">
        <f>IF(OR(G337="",F337=""),"",MROUND(G337*F337/100,'Start Here'!$B$7))</f>
        <v/>
      </c>
      <c r="I337" s="34" t="n"/>
      <c r="J337" s="34" t="n"/>
      <c r="K337" s="34" t="n"/>
      <c r="L337" s="34" t="n"/>
      <c r="M337" s="34" t="n"/>
      <c r="N337" s="34" t="n"/>
      <c r="O337" s="38" t="inlineStr">
        <is>
          <t>Full recovery week before the next year</t>
        </is>
      </c>
    </row>
    <row r="338">
      <c r="C338" t="inlineStr">
        <is>
          <t xml:space="preserve">      Set 1</t>
        </is>
      </c>
      <c r="E338" t="n">
        <v>2</v>
      </c>
      <c r="H338" s="39">
        <f>IF(H337="","",H337)</f>
        <v/>
      </c>
      <c r="I338" s="7">
        <f>IF(H337="","",H337)</f>
        <v/>
      </c>
      <c r="J338" s="7" t="n">
        <v>2</v>
      </c>
      <c r="K338" s="7" t="n"/>
      <c r="L338" s="40" t="n"/>
      <c r="M338">
        <f>IF(AND(L338&lt;&gt;"",N(I338)&gt;0,N(J338)&gt;0),IF(J338=1,I338,ROUND(I338*(1+J338/30),1)),"")</f>
        <v/>
      </c>
      <c r="N338" s="41">
        <f>IF(M338="","",IF(M338&gt;=PRs!C38,"PR!",""))</f>
        <v/>
      </c>
      <c r="O338" s="7" t="n"/>
    </row>
    <row r="339">
      <c r="C339" t="inlineStr">
        <is>
          <t xml:space="preserve">      Set 2</t>
        </is>
      </c>
      <c r="E339" t="n">
        <v>2</v>
      </c>
      <c r="H339" s="39">
        <f>IF(H337="","",H337)</f>
        <v/>
      </c>
      <c r="I339" s="7">
        <f>IF(H337="","",H337)</f>
        <v/>
      </c>
      <c r="J339" s="7" t="n">
        <v>2</v>
      </c>
      <c r="K339" s="7" t="n"/>
      <c r="L339" s="40" t="n"/>
      <c r="M339">
        <f>IF(AND(L339&lt;&gt;"",N(I339)&gt;0,N(J339)&gt;0),IF(J339=1,I339,ROUND(I339*(1+J339/30),1)),"")</f>
        <v/>
      </c>
      <c r="N339" s="41">
        <f>IF(M339="","",IF(M339&gt;=PRs!C38,"PR!",""))</f>
        <v/>
      </c>
      <c r="O339" s="7" t="n"/>
    </row>
    <row r="340">
      <c r="A340" s="34" t="n"/>
      <c r="B340" s="34" t="n"/>
      <c r="C340" s="42" t="inlineStr">
        <is>
          <t>Front Squat</t>
        </is>
      </c>
      <c r="D340" s="34" t="inlineStr">
        <is>
          <t>2 x 5</t>
        </is>
      </c>
      <c r="E340" s="34" t="n"/>
      <c r="F340" s="34" t="n">
        <v>55</v>
      </c>
      <c r="G340" s="36">
        <f>Maxes!I10</f>
        <v/>
      </c>
      <c r="H340" s="37">
        <f>IF(OR(G340="",F340=""),"",MROUND(G340*F340/100,'Start Here'!$B$7))</f>
        <v/>
      </c>
      <c r="I340" s="34" t="n"/>
      <c r="J340" s="34" t="n"/>
      <c r="K340" s="34" t="n"/>
      <c r="L340" s="34" t="n"/>
      <c r="M340" s="34" t="n"/>
      <c r="N340" s="34" t="n"/>
      <c r="O340" s="38" t="inlineStr">
        <is>
          <t>Full recovery week before the next year</t>
        </is>
      </c>
    </row>
    <row r="341">
      <c r="C341" t="inlineStr">
        <is>
          <t xml:space="preserve">      Set 1</t>
        </is>
      </c>
      <c r="E341" t="n">
        <v>5</v>
      </c>
      <c r="H341" s="39">
        <f>IF(H340="","",H340)</f>
        <v/>
      </c>
      <c r="I341" s="7">
        <f>IF(H340="","",H340)</f>
        <v/>
      </c>
      <c r="J341" s="7" t="n">
        <v>5</v>
      </c>
      <c r="K341" s="7" t="n"/>
      <c r="L341" s="40" t="n"/>
      <c r="M341">
        <f>IF(AND(L341&lt;&gt;"",N(I341)&gt;0,N(J341)&gt;0),IF(J341=1,I341,ROUND(I341*(1+J341/30),1)),"")</f>
        <v/>
      </c>
      <c r="N341" s="41">
        <f>IF(M341="","",IF(M341&gt;=PRs!C10,"PR!",""))</f>
        <v/>
      </c>
      <c r="O341" s="7" t="n"/>
    </row>
    <row r="342">
      <c r="C342" t="inlineStr">
        <is>
          <t xml:space="preserve">      Set 2</t>
        </is>
      </c>
      <c r="E342" t="n">
        <v>5</v>
      </c>
      <c r="H342" s="39">
        <f>IF(H340="","",H340)</f>
        <v/>
      </c>
      <c r="I342" s="7">
        <f>IF(H340="","",H340)</f>
        <v/>
      </c>
      <c r="J342" s="7" t="n">
        <v>5</v>
      </c>
      <c r="K342" s="7" t="n"/>
      <c r="L342" s="40" t="n"/>
      <c r="M342">
        <f>IF(AND(L342&lt;&gt;"",N(I342)&gt;0,N(J342)&gt;0),IF(J342=1,I342,ROUND(I342*(1+J342/30),1)),"")</f>
        <v/>
      </c>
      <c r="N342" s="41">
        <f>IF(M342="","",IF(M342&gt;=PRs!C10,"PR!",""))</f>
        <v/>
      </c>
      <c r="O342" s="7" t="n"/>
    </row>
    <row r="343">
      <c r="A343" s="34" t="n"/>
      <c r="B343" s="34" t="n"/>
      <c r="C343" s="42" t="inlineStr">
        <is>
          <t>3-Board Press</t>
        </is>
      </c>
      <c r="D343" s="34" t="inlineStr">
        <is>
          <t>2 x 5</t>
        </is>
      </c>
      <c r="E343" s="34" t="n"/>
      <c r="F343" s="34" t="n">
        <v>55</v>
      </c>
      <c r="G343" s="36">
        <f>Maxes!I17</f>
        <v/>
      </c>
      <c r="H343" s="37">
        <f>IF(OR(G343="",F343=""),"",MROUND(G343*F343/100,'Start Here'!$B$7))</f>
        <v/>
      </c>
      <c r="I343" s="34" t="n"/>
      <c r="J343" s="34" t="n"/>
      <c r="K343" s="34" t="n"/>
      <c r="L343" s="34" t="n"/>
      <c r="M343" s="34" t="n"/>
      <c r="N343" s="34" t="n"/>
      <c r="O343" s="38" t="inlineStr">
        <is>
          <t>Full recovery week before the next year</t>
        </is>
      </c>
    </row>
    <row r="344">
      <c r="C344" t="inlineStr">
        <is>
          <t xml:space="preserve">      Set 1</t>
        </is>
      </c>
      <c r="E344" t="n">
        <v>5</v>
      </c>
      <c r="H344" s="39">
        <f>IF(H343="","",H343)</f>
        <v/>
      </c>
      <c r="I344" s="7">
        <f>IF(H343="","",H343)</f>
        <v/>
      </c>
      <c r="J344" s="7" t="n">
        <v>5</v>
      </c>
      <c r="K344" s="7" t="n"/>
      <c r="L344" s="40" t="n"/>
      <c r="M344">
        <f>IF(AND(L344&lt;&gt;"",N(I344)&gt;0,N(J344)&gt;0),IF(J344=1,I344,ROUND(I344*(1+J344/30),1)),"")</f>
        <v/>
      </c>
      <c r="N344" s="41">
        <f>IF(M344="","",IF(M344&gt;=PRs!C17,"PR!",""))</f>
        <v/>
      </c>
      <c r="O344" s="7" t="n"/>
    </row>
    <row r="345">
      <c r="C345" t="inlineStr">
        <is>
          <t xml:space="preserve">      Set 2</t>
        </is>
      </c>
      <c r="E345" t="n">
        <v>5</v>
      </c>
      <c r="H345" s="39">
        <f>IF(H343="","",H343)</f>
        <v/>
      </c>
      <c r="I345" s="7">
        <f>IF(H343="","",H343)</f>
        <v/>
      </c>
      <c r="J345" s="7" t="n">
        <v>5</v>
      </c>
      <c r="K345" s="7" t="n"/>
      <c r="L345" s="40" t="n"/>
      <c r="M345">
        <f>IF(AND(L345&lt;&gt;"",N(I345)&gt;0,N(J345)&gt;0),IF(J345=1,I345,ROUND(I345*(1+J345/30),1)),"")</f>
        <v/>
      </c>
      <c r="N345" s="41">
        <f>IF(M345="","",IF(M345&gt;=PRs!C17,"PR!",""))</f>
        <v/>
      </c>
      <c r="O345" s="7" t="n"/>
    </row>
    <row r="346">
      <c r="A346" s="34" t="n"/>
      <c r="B346" s="34" t="n"/>
      <c r="C346" s="42" t="inlineStr">
        <is>
          <t>Romanian Deadlift</t>
        </is>
      </c>
      <c r="D346" s="34" t="inlineStr">
        <is>
          <t>2 x 5</t>
        </is>
      </c>
      <c r="E346" s="34" t="n"/>
      <c r="F346" s="34" t="n">
        <v>55</v>
      </c>
      <c r="G346" s="36">
        <f>Maxes!I23</f>
        <v/>
      </c>
      <c r="H346" s="37">
        <f>IF(OR(G346="",F346=""),"",MROUND(G346*F346/100,'Start Here'!$B$7))</f>
        <v/>
      </c>
      <c r="I346" s="34" t="n"/>
      <c r="J346" s="34" t="n"/>
      <c r="K346" s="34" t="n"/>
      <c r="L346" s="34" t="n"/>
      <c r="M346" s="34" t="n"/>
      <c r="N346" s="34" t="n"/>
      <c r="O346" s="38" t="inlineStr">
        <is>
          <t>Full recovery week before the next year</t>
        </is>
      </c>
    </row>
    <row r="347">
      <c r="C347" t="inlineStr">
        <is>
          <t xml:space="preserve">      Set 1</t>
        </is>
      </c>
      <c r="E347" t="n">
        <v>5</v>
      </c>
      <c r="H347" s="39">
        <f>IF(H346="","",H346)</f>
        <v/>
      </c>
      <c r="I347" s="7">
        <f>IF(H346="","",H346)</f>
        <v/>
      </c>
      <c r="J347" s="7" t="n">
        <v>5</v>
      </c>
      <c r="K347" s="7" t="n"/>
      <c r="L347" s="40" t="n"/>
      <c r="M347">
        <f>IF(AND(L347&lt;&gt;"",N(I347)&gt;0,N(J347)&gt;0),IF(J347=1,I347,ROUND(I347*(1+J347/30),1)),"")</f>
        <v/>
      </c>
      <c r="N347" s="41">
        <f>IF(M347="","",IF(M347&gt;=PRs!C23,"PR!",""))</f>
        <v/>
      </c>
      <c r="O347" s="7" t="n"/>
    </row>
    <row r="348">
      <c r="C348" t="inlineStr">
        <is>
          <t xml:space="preserve">      Set 2</t>
        </is>
      </c>
      <c r="E348" t="n">
        <v>5</v>
      </c>
      <c r="H348" s="39">
        <f>IF(H346="","",H346)</f>
        <v/>
      </c>
      <c r="I348" s="7">
        <f>IF(H346="","",H346)</f>
        <v/>
      </c>
      <c r="J348" s="7" t="n">
        <v>5</v>
      </c>
      <c r="K348" s="7" t="n"/>
      <c r="L348" s="40" t="n"/>
      <c r="M348">
        <f>IF(AND(L348&lt;&gt;"",N(I348)&gt;0,N(J348)&gt;0),IF(J348=1,I348,ROUND(I348*(1+J348/30),1)),"")</f>
        <v/>
      </c>
      <c r="N348" s="41">
        <f>IF(M348="","",IF(M348&gt;=PRs!C23,"PR!",""))</f>
        <v/>
      </c>
      <c r="O348" s="7" t="n"/>
    </row>
    <row r="349">
      <c r="A349" s="34" t="n"/>
      <c r="B349" s="34" t="n"/>
      <c r="C349" s="43" t="inlineStr">
        <is>
          <t>Incline Dumbbell Press</t>
        </is>
      </c>
      <c r="D349" s="34" t="inlineStr">
        <is>
          <t>2 x 8-12</t>
        </is>
      </c>
      <c r="E349" s="34" t="n"/>
      <c r="F349" s="34" t="n"/>
      <c r="G349" s="36" t="n"/>
      <c r="H349" s="37" t="n"/>
      <c r="I349" s="34" t="n"/>
      <c r="J349" s="34" t="n"/>
      <c r="K349" s="34" t="n"/>
      <c r="L349" s="34" t="n"/>
      <c r="M349" s="34" t="n"/>
      <c r="N349" s="34" t="n"/>
      <c r="O349" s="38" t="inlineStr">
        <is>
          <t>Easy</t>
        </is>
      </c>
    </row>
    <row r="350">
      <c r="C350" t="inlineStr">
        <is>
          <t xml:space="preserve">      Set 1</t>
        </is>
      </c>
      <c r="E350" t="n">
        <v>8</v>
      </c>
      <c r="H350" s="39">
        <f>IF(H349="","",H349)</f>
        <v/>
      </c>
      <c r="I350" s="7">
        <f>IF(H349="","",H349)</f>
        <v/>
      </c>
      <c r="J350" s="7" t="n">
        <v>8</v>
      </c>
      <c r="K350" s="7" t="n"/>
      <c r="L350" s="40" t="n"/>
      <c r="M350">
        <f>IF(AND(L350&lt;&gt;"",N(I350)&gt;0,N(J350)&gt;0),IF(J350=1,I350,ROUND(I350*(1+J350/30),1)),"")</f>
        <v/>
      </c>
      <c r="N350" s="41">
        <f>IF(M350="","",IF(M350&gt;=PRs!C57,"PR!",""))</f>
        <v/>
      </c>
      <c r="O350" s="7" t="n"/>
    </row>
    <row r="351">
      <c r="C351" t="inlineStr">
        <is>
          <t xml:space="preserve">      Set 2</t>
        </is>
      </c>
      <c r="E351" t="n">
        <v>8</v>
      </c>
      <c r="H351" s="39">
        <f>IF(H349="","",H349)</f>
        <v/>
      </c>
      <c r="I351" s="7">
        <f>IF(H349="","",H349)</f>
        <v/>
      </c>
      <c r="J351" s="7" t="n">
        <v>8</v>
      </c>
      <c r="K351" s="7" t="n"/>
      <c r="L351" s="40" t="n"/>
      <c r="M351">
        <f>IF(AND(L351&lt;&gt;"",N(I351)&gt;0,N(J351)&gt;0),IF(J351=1,I351,ROUND(I351*(1+J351/30),1)),"")</f>
        <v/>
      </c>
      <c r="N351" s="41">
        <f>IF(M351="","",IF(M351&gt;=PRs!C57,"PR!",""))</f>
        <v/>
      </c>
      <c r="O351" s="7" t="n"/>
    </row>
    <row r="352">
      <c r="A352" s="34" t="n"/>
      <c r="B352" s="34" t="n"/>
      <c r="C352" s="43" t="inlineStr">
        <is>
          <t>Triceps Pushdown</t>
        </is>
      </c>
      <c r="D352" s="34" t="inlineStr">
        <is>
          <t>2 x 10-15</t>
        </is>
      </c>
      <c r="E352" s="34" t="n"/>
      <c r="F352" s="34" t="n"/>
      <c r="G352" s="36" t="n"/>
      <c r="H352" s="37" t="n"/>
      <c r="I352" s="34" t="n"/>
      <c r="J352" s="34" t="n"/>
      <c r="K352" s="34" t="n"/>
      <c r="L352" s="34" t="n"/>
      <c r="M352" s="34" t="n"/>
      <c r="N352" s="34" t="n"/>
      <c r="O352" s="38" t="inlineStr">
        <is>
          <t>Easy</t>
        </is>
      </c>
    </row>
    <row r="353">
      <c r="C353" t="inlineStr">
        <is>
          <t xml:space="preserve">      Set 1</t>
        </is>
      </c>
      <c r="E353" t="n">
        <v>10</v>
      </c>
      <c r="H353" s="39">
        <f>IF(H352="","",H352)</f>
        <v/>
      </c>
      <c r="I353" s="7">
        <f>IF(H352="","",H352)</f>
        <v/>
      </c>
      <c r="J353" s="7" t="n">
        <v>10</v>
      </c>
      <c r="K353" s="7" t="n"/>
      <c r="L353" s="40" t="n"/>
      <c r="M353">
        <f>IF(AND(L353&lt;&gt;"",N(I353)&gt;0,N(J353)&gt;0),IF(J353=1,I353,ROUND(I353*(1+J353/30),1)),"")</f>
        <v/>
      </c>
      <c r="N353" s="41">
        <f>IF(M353="","",IF(M353&gt;=PRs!C59,"PR!",""))</f>
        <v/>
      </c>
      <c r="O353" s="7" t="n"/>
    </row>
    <row r="354">
      <c r="C354" t="inlineStr">
        <is>
          <t xml:space="preserve">      Set 2</t>
        </is>
      </c>
      <c r="E354" t="n">
        <v>10</v>
      </c>
      <c r="H354" s="39">
        <f>IF(H352="","",H352)</f>
        <v/>
      </c>
      <c r="I354" s="7">
        <f>IF(H352="","",H352)</f>
        <v/>
      </c>
      <c r="J354" s="7" t="n">
        <v>10</v>
      </c>
      <c r="K354" s="7" t="n"/>
      <c r="L354" s="40" t="n"/>
      <c r="M354">
        <f>IF(AND(L354&lt;&gt;"",N(I354)&gt;0,N(J354)&gt;0),IF(J354=1,I354,ROUND(I354*(1+J354/30),1)),"")</f>
        <v/>
      </c>
      <c r="N354" s="41">
        <f>IF(M354="","",IF(M354&gt;=PRs!C59,"PR!",""))</f>
        <v/>
      </c>
      <c r="O354" s="7" t="n"/>
    </row>
  </sheetData>
  <dataValidations count="3">
    <dataValidation sqref="H3" showDropDown="0" showInputMessage="0" showErrorMessage="0" allowBlank="1" type="list">
      <formula1>Lists!$B$1:$B$6</formula1>
    </dataValidation>
    <dataValidation sqref="L9 L10 L11 L13 L14 L15 L17 L18 L19 L21 L22 L23 L25 L26 L27 L28 L30 L31 L32 L33 L36 L37 L38 L40 L41 L43 L44 L45 L47 L48 L49 L51 L52 L53 L55 L56 L57 L59 L60 L61 L62 L64 L65 L66 L67 L70 L71 L72 L74 L75 L76 L78 L79 L80 L82 L83 L84 L86 L87 L88 L90 L91 L92 L93 L95 L96 L97 L98 L103 L104 L105 L107 L108 L109 L111 L112 L113 L115 L116 L117 L119 L120 L121 L122 L124 L125 L126 L127 L130 L131 L132 L134 L135 L137 L138 L139 L141 L142 L143 L145 L146 L147 L149 L150 L151 L153 L154 L155 L156 L158 L159 L160 L161 L164 L165 L166 L168 L169 L170 L172 L173 L174 L176 L177 L178 L180 L181 L182 L184 L185 L186 L187 L189 L190 L191 L192 L197 L198 L199 L201 L202 L203 L205 L206 L207 L209 L210 L211 L213 L214 L215 L216 L218 L219 L220 L221 L224 L225 L226 L228 L229 L231 L232 L233 L235 L236 L237 L239 L240 L241 L243 L244 L245 L247 L248 L249 L250 L252 L253 L254 L255 L258 L259 L260 L262 L263 L264 L266 L267 L268 L270 L271 L272 L274 L275 L276 L278 L279 L280 L281 L283 L284 L285 L286 L291 L292 L294 L295 L297 L298 L300 L301 L303 L304 L306 L307 L310 L311 L313 L314 L316 L317 L319 L320 L322 L323 L325 L326 L328 L329 L331 L332 L335 L336 L338 L339 L341 L342 L344 L345 L347 L348 L350 L351 L353 L354" showDropDown="0" showInputMessage="0" showErrorMessage="0" allowBlank="1" type="list">
      <formula1>"✓"</formula1>
    </dataValidation>
    <dataValidation sqref="K9 K10 K11 K13 K14 K15 K17 K18 K19 K21 K22 K23 K25 K26 K27 K28 K30 K31 K32 K33 K36 K37 K38 K40 K41 K43 K44 K45 K47 K48 K49 K51 K52 K53 K55 K56 K57 K59 K60 K61 K62 K64 K65 K66 K67 K70 K71 K72 K74 K75 K76 K78 K79 K80 K82 K83 K84 K86 K87 K88 K90 K91 K92 K93 K95 K96 K97 K98 K103 K104 K105 K107 K108 K109 K111 K112 K113 K115 K116 K117 K119 K120 K121 K122 K124 K125 K126 K127 K130 K131 K132 K134 K135 K137 K138 K139 K141 K142 K143 K145 K146 K147 K149 K150 K151 K153 K154 K155 K156 K158 K159 K160 K161 K164 K165 K166 K168 K169 K170 K172 K173 K174 K176 K177 K178 K180 K181 K182 K184 K185 K186 K187 K189 K190 K191 K192 K197 K198 K199 K201 K202 K203 K205 K206 K207 K209 K210 K211 K213 K214 K215 K216 K218 K219 K220 K221 K224 K225 K226 K228 K229 K231 K232 K233 K235 K236 K237 K239 K240 K241 K243 K244 K245 K247 K248 K249 K250 K252 K253 K254 K255 K258 K259 K260 K262 K263 K264 K266 K267 K268 K270 K271 K272 K274 K275 K276 K278 K279 K280 K281 K283 K284 K285 K286 K291 K292 K294 K295 K297 K298 K300 K301 K303 K304 K306 K307 K310 K311 K313 K314 K316 K317 K319 K320 K322 K323 K325 K326 K328 K329 K331 K332 K335 K336 K338 K339 K341 K342 K344 K345 K347 K348 K350 K351 K353 K354" showDropDown="0" showInputMessage="0" showErrorMessage="0" allowBlank="1" type="list">
      <formula1>"6,6.5,7,7.5,8,8.5,9,9.5,10"</formula1>
    </dataValidation>
  </dataValidations>
  <hyperlinks>
    <hyperlink ref="A2" location="'Month 12'!A1" display="&lt; Month 12"/>
    <hyperlink ref="C2" location="'Start Here'!A1" display="Start Here"/>
    <hyperlink ref="L3" location="'Body'!A1" display="How to test"/>
  </hyperlinks>
  <pageMargins left="0.75" right="0.75" top="1" bottom="1" header="0.5" footer="0.5"/>
  <pageSetup orientation="landscape" fitToHeight="0" fitToWidth="1"/>
</worksheet>
</file>

<file path=xl/worksheets/sheet16.xml><?xml version="1.0" encoding="utf-8"?>
<worksheet xmlns="http://schemas.openxmlformats.org/spreadsheetml/2006/main">
  <sheetPr>
    <tabColor rgb="00C9A227"/>
    <outlinePr summaryBelow="1" summaryRight="1"/>
    <pageSetUpPr/>
  </sheetPr>
  <dimension ref="A1:F1001"/>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7" customWidth="1" min="4" max="4"/>
    <col width="10" customWidth="1" min="5" max="5"/>
    <col width="40" customWidth="1" min="6" max="6"/>
  </cols>
  <sheetData>
    <row r="1">
      <c r="A1" s="8" t="inlineStr">
        <is>
          <t>Date</t>
        </is>
      </c>
      <c r="B1" s="8" t="inlineStr">
        <is>
          <t>Exercise</t>
        </is>
      </c>
      <c r="C1" s="8" t="inlineStr">
        <is>
          <t>Weight / height</t>
        </is>
      </c>
      <c r="D1" s="8" t="inlineStr">
        <is>
          <t>Reps</t>
        </is>
      </c>
      <c r="E1" s="8" t="inlineStr">
        <is>
          <t>Est. 1RM</t>
        </is>
      </c>
      <c r="F1" s="8" t="inlineStr">
        <is>
          <t>Notes</t>
        </is>
      </c>
    </row>
    <row r="2">
      <c r="A2" s="12" t="n"/>
      <c r="B2" s="7" t="n"/>
      <c r="C2" s="7" t="n"/>
      <c r="D2" s="7" t="n"/>
      <c r="E2" s="6">
        <f>IF(OR(C2="",D2=""),"",IF(D2=1,C2,ROUND(C2*(1+D2/30),1)))</f>
        <v/>
      </c>
      <c r="F2" s="7" t="n"/>
    </row>
    <row r="3">
      <c r="A3" s="12" t="n"/>
      <c r="B3" s="7" t="n"/>
      <c r="C3" s="7" t="n"/>
      <c r="D3" s="7" t="n"/>
      <c r="E3" s="6">
        <f>IF(OR(C3="",D3=""),"",IF(D3=1,C3,ROUND(C3*(1+D3/30),1)))</f>
        <v/>
      </c>
      <c r="F3" s="7" t="n"/>
    </row>
    <row r="4">
      <c r="A4" s="12" t="n"/>
      <c r="B4" s="7" t="n"/>
      <c r="C4" s="7" t="n"/>
      <c r="D4" s="7" t="n"/>
      <c r="E4" s="6">
        <f>IF(OR(C4="",D4=""),"",IF(D4=1,C4,ROUND(C4*(1+D4/30),1)))</f>
        <v/>
      </c>
      <c r="F4" s="7" t="n"/>
    </row>
    <row r="5">
      <c r="A5" s="12" t="n"/>
      <c r="B5" s="7" t="n"/>
      <c r="C5" s="7" t="n"/>
      <c r="D5" s="7" t="n"/>
      <c r="E5" s="6">
        <f>IF(OR(C5="",D5=""),"",IF(D5=1,C5,ROUND(C5*(1+D5/30),1)))</f>
        <v/>
      </c>
      <c r="F5" s="7" t="n"/>
    </row>
    <row r="6">
      <c r="A6" s="12" t="n"/>
      <c r="B6" s="7" t="n"/>
      <c r="C6" s="7" t="n"/>
      <c r="D6" s="7" t="n"/>
      <c r="E6" s="6">
        <f>IF(OR(C6="",D6=""),"",IF(D6=1,C6,ROUND(C6*(1+D6/30),1)))</f>
        <v/>
      </c>
      <c r="F6" s="7" t="n"/>
    </row>
    <row r="7">
      <c r="A7" s="12" t="n"/>
      <c r="B7" s="7" t="n"/>
      <c r="C7" s="7" t="n"/>
      <c r="D7" s="7" t="n"/>
      <c r="E7" s="6">
        <f>IF(OR(C7="",D7=""),"",IF(D7=1,C7,ROUND(C7*(1+D7/30),1)))</f>
        <v/>
      </c>
      <c r="F7" s="7" t="n"/>
    </row>
    <row r="8">
      <c r="A8" s="12" t="n"/>
      <c r="B8" s="7" t="n"/>
      <c r="C8" s="7" t="n"/>
      <c r="D8" s="7" t="n"/>
      <c r="E8" s="6">
        <f>IF(OR(C8="",D8=""),"",IF(D8=1,C8,ROUND(C8*(1+D8/30),1)))</f>
        <v/>
      </c>
      <c r="F8" s="7" t="n"/>
    </row>
    <row r="9">
      <c r="A9" s="12" t="n"/>
      <c r="B9" s="7" t="n"/>
      <c r="C9" s="7" t="n"/>
      <c r="D9" s="7" t="n"/>
      <c r="E9" s="6">
        <f>IF(OR(C9="",D9=""),"",IF(D9=1,C9,ROUND(C9*(1+D9/30),1)))</f>
        <v/>
      </c>
      <c r="F9" s="7" t="n"/>
    </row>
    <row r="10">
      <c r="A10" s="12" t="n"/>
      <c r="B10" s="7" t="n"/>
      <c r="C10" s="7" t="n"/>
      <c r="D10" s="7" t="n"/>
      <c r="E10" s="6">
        <f>IF(OR(C10="",D10=""),"",IF(D10=1,C10,ROUND(C10*(1+D10/30),1)))</f>
        <v/>
      </c>
      <c r="F10" s="7" t="n"/>
    </row>
    <row r="11">
      <c r="A11" s="12" t="n"/>
      <c r="B11" s="7" t="n"/>
      <c r="C11" s="7" t="n"/>
      <c r="D11" s="7" t="n"/>
      <c r="E11" s="6">
        <f>IF(OR(C11="",D11=""),"",IF(D11=1,C11,ROUND(C11*(1+D11/30),1)))</f>
        <v/>
      </c>
      <c r="F11" s="7" t="n"/>
    </row>
    <row r="12">
      <c r="A12" s="12" t="n"/>
      <c r="B12" s="7" t="n"/>
      <c r="C12" s="7" t="n"/>
      <c r="D12" s="7" t="n"/>
      <c r="E12" s="6">
        <f>IF(OR(C12="",D12=""),"",IF(D12=1,C12,ROUND(C12*(1+D12/30),1)))</f>
        <v/>
      </c>
      <c r="F12" s="7" t="n"/>
    </row>
    <row r="13">
      <c r="A13" s="12" t="n"/>
      <c r="B13" s="7" t="n"/>
      <c r="C13" s="7" t="n"/>
      <c r="D13" s="7" t="n"/>
      <c r="E13" s="6">
        <f>IF(OR(C13="",D13=""),"",IF(D13=1,C13,ROUND(C13*(1+D13/30),1)))</f>
        <v/>
      </c>
      <c r="F13" s="7" t="n"/>
    </row>
    <row r="14">
      <c r="A14" s="12" t="n"/>
      <c r="B14" s="7" t="n"/>
      <c r="C14" s="7" t="n"/>
      <c r="D14" s="7" t="n"/>
      <c r="E14" s="6">
        <f>IF(OR(C14="",D14=""),"",IF(D14=1,C14,ROUND(C14*(1+D14/30),1)))</f>
        <v/>
      </c>
      <c r="F14" s="7" t="n"/>
    </row>
    <row r="15">
      <c r="A15" s="12" t="n"/>
      <c r="B15" s="7" t="n"/>
      <c r="C15" s="7" t="n"/>
      <c r="D15" s="7" t="n"/>
      <c r="E15" s="6">
        <f>IF(OR(C15="",D15=""),"",IF(D15=1,C15,ROUND(C15*(1+D15/30),1)))</f>
        <v/>
      </c>
      <c r="F15" s="7" t="n"/>
    </row>
    <row r="16">
      <c r="A16" s="12" t="n"/>
      <c r="B16" s="7" t="n"/>
      <c r="C16" s="7" t="n"/>
      <c r="D16" s="7" t="n"/>
      <c r="E16" s="6">
        <f>IF(OR(C16="",D16=""),"",IF(D16=1,C16,ROUND(C16*(1+D16/30),1)))</f>
        <v/>
      </c>
      <c r="F16" s="7" t="n"/>
    </row>
    <row r="17">
      <c r="A17" s="12" t="n"/>
      <c r="B17" s="7" t="n"/>
      <c r="C17" s="7" t="n"/>
      <c r="D17" s="7" t="n"/>
      <c r="E17" s="6">
        <f>IF(OR(C17="",D17=""),"",IF(D17=1,C17,ROUND(C17*(1+D17/30),1)))</f>
        <v/>
      </c>
      <c r="F17" s="7" t="n"/>
    </row>
    <row r="18">
      <c r="A18" s="12" t="n"/>
      <c r="B18" s="7" t="n"/>
      <c r="C18" s="7" t="n"/>
      <c r="D18" s="7" t="n"/>
      <c r="E18" s="6">
        <f>IF(OR(C18="",D18=""),"",IF(D18=1,C18,ROUND(C18*(1+D18/30),1)))</f>
        <v/>
      </c>
      <c r="F18" s="7" t="n"/>
    </row>
    <row r="19">
      <c r="A19" s="12" t="n"/>
      <c r="B19" s="7" t="n"/>
      <c r="C19" s="7" t="n"/>
      <c r="D19" s="7" t="n"/>
      <c r="E19" s="6">
        <f>IF(OR(C19="",D19=""),"",IF(D19=1,C19,ROUND(C19*(1+D19/30),1)))</f>
        <v/>
      </c>
      <c r="F19" s="7" t="n"/>
    </row>
    <row r="20">
      <c r="A20" s="12" t="n"/>
      <c r="B20" s="7" t="n"/>
      <c r="C20" s="7" t="n"/>
      <c r="D20" s="7" t="n"/>
      <c r="E20" s="6">
        <f>IF(OR(C20="",D20=""),"",IF(D20=1,C20,ROUND(C20*(1+D20/30),1)))</f>
        <v/>
      </c>
      <c r="F20" s="7" t="n"/>
    </row>
    <row r="21">
      <c r="A21" s="12" t="n"/>
      <c r="B21" s="7" t="n"/>
      <c r="C21" s="7" t="n"/>
      <c r="D21" s="7" t="n"/>
      <c r="E21" s="6">
        <f>IF(OR(C21="",D21=""),"",IF(D21=1,C21,ROUND(C21*(1+D21/30),1)))</f>
        <v/>
      </c>
      <c r="F21" s="7" t="n"/>
    </row>
    <row r="22">
      <c r="A22" s="12" t="n"/>
      <c r="B22" s="7" t="n"/>
      <c r="C22" s="7" t="n"/>
      <c r="D22" s="7" t="n"/>
      <c r="E22" s="6">
        <f>IF(OR(C22="",D22=""),"",IF(D22=1,C22,ROUND(C22*(1+D22/30),1)))</f>
        <v/>
      </c>
      <c r="F22" s="7" t="n"/>
    </row>
    <row r="23">
      <c r="A23" s="12" t="n"/>
      <c r="B23" s="7" t="n"/>
      <c r="C23" s="7" t="n"/>
      <c r="D23" s="7" t="n"/>
      <c r="E23" s="6">
        <f>IF(OR(C23="",D23=""),"",IF(D23=1,C23,ROUND(C23*(1+D23/30),1)))</f>
        <v/>
      </c>
      <c r="F23" s="7" t="n"/>
    </row>
    <row r="24">
      <c r="A24" s="12" t="n"/>
      <c r="B24" s="7" t="n"/>
      <c r="C24" s="7" t="n"/>
      <c r="D24" s="7" t="n"/>
      <c r="E24" s="6">
        <f>IF(OR(C24="",D24=""),"",IF(D24=1,C24,ROUND(C24*(1+D24/30),1)))</f>
        <v/>
      </c>
      <c r="F24" s="7" t="n"/>
    </row>
    <row r="25">
      <c r="A25" s="12" t="n"/>
      <c r="B25" s="7" t="n"/>
      <c r="C25" s="7" t="n"/>
      <c r="D25" s="7" t="n"/>
      <c r="E25" s="6">
        <f>IF(OR(C25="",D25=""),"",IF(D25=1,C25,ROUND(C25*(1+D25/30),1)))</f>
        <v/>
      </c>
      <c r="F25" s="7" t="n"/>
    </row>
    <row r="26">
      <c r="A26" s="12" t="n"/>
      <c r="B26" s="7" t="n"/>
      <c r="C26" s="7" t="n"/>
      <c r="D26" s="7" t="n"/>
      <c r="E26" s="6">
        <f>IF(OR(C26="",D26=""),"",IF(D26=1,C26,ROUND(C26*(1+D26/30),1)))</f>
        <v/>
      </c>
      <c r="F26" s="7" t="n"/>
    </row>
    <row r="27">
      <c r="A27" s="12" t="n"/>
      <c r="B27" s="7" t="n"/>
      <c r="C27" s="7" t="n"/>
      <c r="D27" s="7" t="n"/>
      <c r="E27" s="6">
        <f>IF(OR(C27="",D27=""),"",IF(D27=1,C27,ROUND(C27*(1+D27/30),1)))</f>
        <v/>
      </c>
      <c r="F27" s="7" t="n"/>
    </row>
    <row r="28">
      <c r="A28" s="12" t="n"/>
      <c r="B28" s="7" t="n"/>
      <c r="C28" s="7" t="n"/>
      <c r="D28" s="7" t="n"/>
      <c r="E28" s="6">
        <f>IF(OR(C28="",D28=""),"",IF(D28=1,C28,ROUND(C28*(1+D28/30),1)))</f>
        <v/>
      </c>
      <c r="F28" s="7" t="n"/>
    </row>
    <row r="29">
      <c r="A29" s="12" t="n"/>
      <c r="B29" s="7" t="n"/>
      <c r="C29" s="7" t="n"/>
      <c r="D29" s="7" t="n"/>
      <c r="E29" s="6">
        <f>IF(OR(C29="",D29=""),"",IF(D29=1,C29,ROUND(C29*(1+D29/30),1)))</f>
        <v/>
      </c>
      <c r="F29" s="7" t="n"/>
    </row>
    <row r="30">
      <c r="A30" s="12" t="n"/>
      <c r="B30" s="7" t="n"/>
      <c r="C30" s="7" t="n"/>
      <c r="D30" s="7" t="n"/>
      <c r="E30" s="6">
        <f>IF(OR(C30="",D30=""),"",IF(D30=1,C30,ROUND(C30*(1+D30/30),1)))</f>
        <v/>
      </c>
      <c r="F30" s="7" t="n"/>
    </row>
    <row r="31">
      <c r="A31" s="12" t="n"/>
      <c r="B31" s="7" t="n"/>
      <c r="C31" s="7" t="n"/>
      <c r="D31" s="7" t="n"/>
      <c r="E31" s="6">
        <f>IF(OR(C31="",D31=""),"",IF(D31=1,C31,ROUND(C31*(1+D31/30),1)))</f>
        <v/>
      </c>
      <c r="F31" s="7" t="n"/>
    </row>
    <row r="32">
      <c r="A32" s="12" t="n"/>
      <c r="B32" s="7" t="n"/>
      <c r="C32" s="7" t="n"/>
      <c r="D32" s="7" t="n"/>
      <c r="E32" s="6">
        <f>IF(OR(C32="",D32=""),"",IF(D32=1,C32,ROUND(C32*(1+D32/30),1)))</f>
        <v/>
      </c>
      <c r="F32" s="7" t="n"/>
    </row>
    <row r="33">
      <c r="A33" s="12" t="n"/>
      <c r="B33" s="7" t="n"/>
      <c r="C33" s="7" t="n"/>
      <c r="D33" s="7" t="n"/>
      <c r="E33" s="6">
        <f>IF(OR(C33="",D33=""),"",IF(D33=1,C33,ROUND(C33*(1+D33/30),1)))</f>
        <v/>
      </c>
      <c r="F33" s="7" t="n"/>
    </row>
    <row r="34">
      <c r="A34" s="12" t="n"/>
      <c r="B34" s="7" t="n"/>
      <c r="C34" s="7" t="n"/>
      <c r="D34" s="7" t="n"/>
      <c r="E34" s="6">
        <f>IF(OR(C34="",D34=""),"",IF(D34=1,C34,ROUND(C34*(1+D34/30),1)))</f>
        <v/>
      </c>
      <c r="F34" s="7" t="n"/>
    </row>
    <row r="35">
      <c r="A35" s="12" t="n"/>
      <c r="B35" s="7" t="n"/>
      <c r="C35" s="7" t="n"/>
      <c r="D35" s="7" t="n"/>
      <c r="E35" s="6">
        <f>IF(OR(C35="",D35=""),"",IF(D35=1,C35,ROUND(C35*(1+D35/30),1)))</f>
        <v/>
      </c>
      <c r="F35" s="7" t="n"/>
    </row>
    <row r="36">
      <c r="A36" s="12" t="n"/>
      <c r="B36" s="7" t="n"/>
      <c r="C36" s="7" t="n"/>
      <c r="D36" s="7" t="n"/>
      <c r="E36" s="6">
        <f>IF(OR(C36="",D36=""),"",IF(D36=1,C36,ROUND(C36*(1+D36/30),1)))</f>
        <v/>
      </c>
      <c r="F36" s="7" t="n"/>
    </row>
    <row r="37">
      <c r="A37" s="12" t="n"/>
      <c r="B37" s="7" t="n"/>
      <c r="C37" s="7" t="n"/>
      <c r="D37" s="7" t="n"/>
      <c r="E37" s="6">
        <f>IF(OR(C37="",D37=""),"",IF(D37=1,C37,ROUND(C37*(1+D37/30),1)))</f>
        <v/>
      </c>
      <c r="F37" s="7" t="n"/>
    </row>
    <row r="38">
      <c r="A38" s="12" t="n"/>
      <c r="B38" s="7" t="n"/>
      <c r="C38" s="7" t="n"/>
      <c r="D38" s="7" t="n"/>
      <c r="E38" s="6">
        <f>IF(OR(C38="",D38=""),"",IF(D38=1,C38,ROUND(C38*(1+D38/30),1)))</f>
        <v/>
      </c>
      <c r="F38" s="7" t="n"/>
    </row>
    <row r="39">
      <c r="A39" s="12" t="n"/>
      <c r="B39" s="7" t="n"/>
      <c r="C39" s="7" t="n"/>
      <c r="D39" s="7" t="n"/>
      <c r="E39" s="6">
        <f>IF(OR(C39="",D39=""),"",IF(D39=1,C39,ROUND(C39*(1+D39/30),1)))</f>
        <v/>
      </c>
      <c r="F39" s="7" t="n"/>
    </row>
    <row r="40">
      <c r="A40" s="12" t="n"/>
      <c r="B40" s="7" t="n"/>
      <c r="C40" s="7" t="n"/>
      <c r="D40" s="7" t="n"/>
      <c r="E40" s="6">
        <f>IF(OR(C40="",D40=""),"",IF(D40=1,C40,ROUND(C40*(1+D40/30),1)))</f>
        <v/>
      </c>
      <c r="F40" s="7" t="n"/>
    </row>
    <row r="41">
      <c r="A41" s="12" t="n"/>
      <c r="B41" s="7" t="n"/>
      <c r="C41" s="7" t="n"/>
      <c r="D41" s="7" t="n"/>
      <c r="E41" s="6">
        <f>IF(OR(C41="",D41=""),"",IF(D41=1,C41,ROUND(C41*(1+D41/30),1)))</f>
        <v/>
      </c>
      <c r="F41" s="7" t="n"/>
    </row>
    <row r="42">
      <c r="A42" s="12" t="n"/>
      <c r="B42" s="7" t="n"/>
      <c r="C42" s="7" t="n"/>
      <c r="D42" s="7" t="n"/>
      <c r="E42" s="6">
        <f>IF(OR(C42="",D42=""),"",IF(D42=1,C42,ROUND(C42*(1+D42/30),1)))</f>
        <v/>
      </c>
      <c r="F42" s="7" t="n"/>
    </row>
    <row r="43">
      <c r="A43" s="12" t="n"/>
      <c r="B43" s="7" t="n"/>
      <c r="C43" s="7" t="n"/>
      <c r="D43" s="7" t="n"/>
      <c r="E43" s="6">
        <f>IF(OR(C43="",D43=""),"",IF(D43=1,C43,ROUND(C43*(1+D43/30),1)))</f>
        <v/>
      </c>
      <c r="F43" s="7" t="n"/>
    </row>
    <row r="44">
      <c r="A44" s="12" t="n"/>
      <c r="B44" s="7" t="n"/>
      <c r="C44" s="7" t="n"/>
      <c r="D44" s="7" t="n"/>
      <c r="E44" s="6">
        <f>IF(OR(C44="",D44=""),"",IF(D44=1,C44,ROUND(C44*(1+D44/30),1)))</f>
        <v/>
      </c>
      <c r="F44" s="7" t="n"/>
    </row>
    <row r="45">
      <c r="A45" s="12" t="n"/>
      <c r="B45" s="7" t="n"/>
      <c r="C45" s="7" t="n"/>
      <c r="D45" s="7" t="n"/>
      <c r="E45" s="6">
        <f>IF(OR(C45="",D45=""),"",IF(D45=1,C45,ROUND(C45*(1+D45/30),1)))</f>
        <v/>
      </c>
      <c r="F45" s="7" t="n"/>
    </row>
    <row r="46">
      <c r="A46" s="12" t="n"/>
      <c r="B46" s="7" t="n"/>
      <c r="C46" s="7" t="n"/>
      <c r="D46" s="7" t="n"/>
      <c r="E46" s="6">
        <f>IF(OR(C46="",D46=""),"",IF(D46=1,C46,ROUND(C46*(1+D46/30),1)))</f>
        <v/>
      </c>
      <c r="F46" s="7" t="n"/>
    </row>
    <row r="47">
      <c r="A47" s="12" t="n"/>
      <c r="B47" s="7" t="n"/>
      <c r="C47" s="7" t="n"/>
      <c r="D47" s="7" t="n"/>
      <c r="E47" s="6">
        <f>IF(OR(C47="",D47=""),"",IF(D47=1,C47,ROUND(C47*(1+D47/30),1)))</f>
        <v/>
      </c>
      <c r="F47" s="7" t="n"/>
    </row>
    <row r="48">
      <c r="A48" s="12" t="n"/>
      <c r="B48" s="7" t="n"/>
      <c r="C48" s="7" t="n"/>
      <c r="D48" s="7" t="n"/>
      <c r="E48" s="6">
        <f>IF(OR(C48="",D48=""),"",IF(D48=1,C48,ROUND(C48*(1+D48/30),1)))</f>
        <v/>
      </c>
      <c r="F48" s="7" t="n"/>
    </row>
    <row r="49">
      <c r="A49" s="12" t="n"/>
      <c r="B49" s="7" t="n"/>
      <c r="C49" s="7" t="n"/>
      <c r="D49" s="7" t="n"/>
      <c r="E49" s="6">
        <f>IF(OR(C49="",D49=""),"",IF(D49=1,C49,ROUND(C49*(1+D49/30),1)))</f>
        <v/>
      </c>
      <c r="F49" s="7" t="n"/>
    </row>
    <row r="50">
      <c r="A50" s="12" t="n"/>
      <c r="B50" s="7" t="n"/>
      <c r="C50" s="7" t="n"/>
      <c r="D50" s="7" t="n"/>
      <c r="E50" s="6">
        <f>IF(OR(C50="",D50=""),"",IF(D50=1,C50,ROUND(C50*(1+D50/30),1)))</f>
        <v/>
      </c>
      <c r="F50" s="7" t="n"/>
    </row>
    <row r="51">
      <c r="A51" s="12" t="n"/>
      <c r="B51" s="7" t="n"/>
      <c r="C51" s="7" t="n"/>
      <c r="D51" s="7" t="n"/>
      <c r="E51" s="6">
        <f>IF(OR(C51="",D51=""),"",IF(D51=1,C51,ROUND(C51*(1+D51/30),1)))</f>
        <v/>
      </c>
      <c r="F51" s="7" t="n"/>
    </row>
    <row r="52">
      <c r="A52" s="12" t="n"/>
      <c r="B52" s="7" t="n"/>
      <c r="C52" s="7" t="n"/>
      <c r="D52" s="7" t="n"/>
      <c r="E52" s="6">
        <f>IF(OR(C52="",D52=""),"",IF(D52=1,C52,ROUND(C52*(1+D52/30),1)))</f>
        <v/>
      </c>
      <c r="F52" s="7" t="n"/>
    </row>
    <row r="53">
      <c r="A53" s="12" t="n"/>
      <c r="B53" s="7" t="n"/>
      <c r="C53" s="7" t="n"/>
      <c r="D53" s="7" t="n"/>
      <c r="E53" s="6">
        <f>IF(OR(C53="",D53=""),"",IF(D53=1,C53,ROUND(C53*(1+D53/30),1)))</f>
        <v/>
      </c>
      <c r="F53" s="7" t="n"/>
    </row>
    <row r="54">
      <c r="A54" s="12" t="n"/>
      <c r="B54" s="7" t="n"/>
      <c r="C54" s="7" t="n"/>
      <c r="D54" s="7" t="n"/>
      <c r="E54" s="6">
        <f>IF(OR(C54="",D54=""),"",IF(D54=1,C54,ROUND(C54*(1+D54/30),1)))</f>
        <v/>
      </c>
      <c r="F54" s="7" t="n"/>
    </row>
    <row r="55">
      <c r="A55" s="12" t="n"/>
      <c r="B55" s="7" t="n"/>
      <c r="C55" s="7" t="n"/>
      <c r="D55" s="7" t="n"/>
      <c r="E55" s="6">
        <f>IF(OR(C55="",D55=""),"",IF(D55=1,C55,ROUND(C55*(1+D55/30),1)))</f>
        <v/>
      </c>
      <c r="F55" s="7" t="n"/>
    </row>
    <row r="56">
      <c r="A56" s="12" t="n"/>
      <c r="B56" s="7" t="n"/>
      <c r="C56" s="7" t="n"/>
      <c r="D56" s="7" t="n"/>
      <c r="E56" s="6">
        <f>IF(OR(C56="",D56=""),"",IF(D56=1,C56,ROUND(C56*(1+D56/30),1)))</f>
        <v/>
      </c>
      <c r="F56" s="7" t="n"/>
    </row>
    <row r="57">
      <c r="A57" s="12" t="n"/>
      <c r="B57" s="7" t="n"/>
      <c r="C57" s="7" t="n"/>
      <c r="D57" s="7" t="n"/>
      <c r="E57" s="6">
        <f>IF(OR(C57="",D57=""),"",IF(D57=1,C57,ROUND(C57*(1+D57/30),1)))</f>
        <v/>
      </c>
      <c r="F57" s="7" t="n"/>
    </row>
    <row r="58">
      <c r="A58" s="12" t="n"/>
      <c r="B58" s="7" t="n"/>
      <c r="C58" s="7" t="n"/>
      <c r="D58" s="7" t="n"/>
      <c r="E58" s="6">
        <f>IF(OR(C58="",D58=""),"",IF(D58=1,C58,ROUND(C58*(1+D58/30),1)))</f>
        <v/>
      </c>
      <c r="F58" s="7" t="n"/>
    </row>
    <row r="59">
      <c r="A59" s="12" t="n"/>
      <c r="B59" s="7" t="n"/>
      <c r="C59" s="7" t="n"/>
      <c r="D59" s="7" t="n"/>
      <c r="E59" s="6">
        <f>IF(OR(C59="",D59=""),"",IF(D59=1,C59,ROUND(C59*(1+D59/30),1)))</f>
        <v/>
      </c>
      <c r="F59" s="7" t="n"/>
    </row>
    <row r="60">
      <c r="A60" s="12" t="n"/>
      <c r="B60" s="7" t="n"/>
      <c r="C60" s="7" t="n"/>
      <c r="D60" s="7" t="n"/>
      <c r="E60" s="6">
        <f>IF(OR(C60="",D60=""),"",IF(D60=1,C60,ROUND(C60*(1+D60/30),1)))</f>
        <v/>
      </c>
      <c r="F60" s="7" t="n"/>
    </row>
    <row r="61">
      <c r="A61" s="12" t="n"/>
      <c r="B61" s="7" t="n"/>
      <c r="C61" s="7" t="n"/>
      <c r="D61" s="7" t="n"/>
      <c r="E61" s="6">
        <f>IF(OR(C61="",D61=""),"",IF(D61=1,C61,ROUND(C61*(1+D61/30),1)))</f>
        <v/>
      </c>
      <c r="F61" s="7" t="n"/>
    </row>
    <row r="62">
      <c r="A62" s="12" t="n"/>
      <c r="B62" s="7" t="n"/>
      <c r="C62" s="7" t="n"/>
      <c r="D62" s="7" t="n"/>
      <c r="E62" s="6">
        <f>IF(OR(C62="",D62=""),"",IF(D62=1,C62,ROUND(C62*(1+D62/30),1)))</f>
        <v/>
      </c>
      <c r="F62" s="7" t="n"/>
    </row>
    <row r="63">
      <c r="A63" s="12" t="n"/>
      <c r="B63" s="7" t="n"/>
      <c r="C63" s="7" t="n"/>
      <c r="D63" s="7" t="n"/>
      <c r="E63" s="6">
        <f>IF(OR(C63="",D63=""),"",IF(D63=1,C63,ROUND(C63*(1+D63/30),1)))</f>
        <v/>
      </c>
      <c r="F63" s="7" t="n"/>
    </row>
    <row r="64">
      <c r="A64" s="12" t="n"/>
      <c r="B64" s="7" t="n"/>
      <c r="C64" s="7" t="n"/>
      <c r="D64" s="7" t="n"/>
      <c r="E64" s="6">
        <f>IF(OR(C64="",D64=""),"",IF(D64=1,C64,ROUND(C64*(1+D64/30),1)))</f>
        <v/>
      </c>
      <c r="F64" s="7" t="n"/>
    </row>
    <row r="65">
      <c r="A65" s="12" t="n"/>
      <c r="B65" s="7" t="n"/>
      <c r="C65" s="7" t="n"/>
      <c r="D65" s="7" t="n"/>
      <c r="E65" s="6">
        <f>IF(OR(C65="",D65=""),"",IF(D65=1,C65,ROUND(C65*(1+D65/30),1)))</f>
        <v/>
      </c>
      <c r="F65" s="7" t="n"/>
    </row>
    <row r="66">
      <c r="A66" s="12" t="n"/>
      <c r="B66" s="7" t="n"/>
      <c r="C66" s="7" t="n"/>
      <c r="D66" s="7" t="n"/>
      <c r="E66" s="6">
        <f>IF(OR(C66="",D66=""),"",IF(D66=1,C66,ROUND(C66*(1+D66/30),1)))</f>
        <v/>
      </c>
      <c r="F66" s="7" t="n"/>
    </row>
    <row r="67">
      <c r="A67" s="12" t="n"/>
      <c r="B67" s="7" t="n"/>
      <c r="C67" s="7" t="n"/>
      <c r="D67" s="7" t="n"/>
      <c r="E67" s="6">
        <f>IF(OR(C67="",D67=""),"",IF(D67=1,C67,ROUND(C67*(1+D67/30),1)))</f>
        <v/>
      </c>
      <c r="F67" s="7" t="n"/>
    </row>
    <row r="68">
      <c r="A68" s="12" t="n"/>
      <c r="B68" s="7" t="n"/>
      <c r="C68" s="7" t="n"/>
      <c r="D68" s="7" t="n"/>
      <c r="E68" s="6">
        <f>IF(OR(C68="",D68=""),"",IF(D68=1,C68,ROUND(C68*(1+D68/30),1)))</f>
        <v/>
      </c>
      <c r="F68" s="7" t="n"/>
    </row>
    <row r="69">
      <c r="A69" s="12" t="n"/>
      <c r="B69" s="7" t="n"/>
      <c r="C69" s="7" t="n"/>
      <c r="D69" s="7" t="n"/>
      <c r="E69" s="6">
        <f>IF(OR(C69="",D69=""),"",IF(D69=1,C69,ROUND(C69*(1+D69/30),1)))</f>
        <v/>
      </c>
      <c r="F69" s="7" t="n"/>
    </row>
    <row r="70">
      <c r="A70" s="12" t="n"/>
      <c r="B70" s="7" t="n"/>
      <c r="C70" s="7" t="n"/>
      <c r="D70" s="7" t="n"/>
      <c r="E70" s="6">
        <f>IF(OR(C70="",D70=""),"",IF(D70=1,C70,ROUND(C70*(1+D70/30),1)))</f>
        <v/>
      </c>
      <c r="F70" s="7" t="n"/>
    </row>
    <row r="71">
      <c r="A71" s="12" t="n"/>
      <c r="B71" s="7" t="n"/>
      <c r="C71" s="7" t="n"/>
      <c r="D71" s="7" t="n"/>
      <c r="E71" s="6">
        <f>IF(OR(C71="",D71=""),"",IF(D71=1,C71,ROUND(C71*(1+D71/30),1)))</f>
        <v/>
      </c>
      <c r="F71" s="7" t="n"/>
    </row>
    <row r="72">
      <c r="A72" s="12" t="n"/>
      <c r="B72" s="7" t="n"/>
      <c r="C72" s="7" t="n"/>
      <c r="D72" s="7" t="n"/>
      <c r="E72" s="6">
        <f>IF(OR(C72="",D72=""),"",IF(D72=1,C72,ROUND(C72*(1+D72/30),1)))</f>
        <v/>
      </c>
      <c r="F72" s="7" t="n"/>
    </row>
    <row r="73">
      <c r="A73" s="12" t="n"/>
      <c r="B73" s="7" t="n"/>
      <c r="C73" s="7" t="n"/>
      <c r="D73" s="7" t="n"/>
      <c r="E73" s="6">
        <f>IF(OR(C73="",D73=""),"",IF(D73=1,C73,ROUND(C73*(1+D73/30),1)))</f>
        <v/>
      </c>
      <c r="F73" s="7" t="n"/>
    </row>
    <row r="74">
      <c r="A74" s="12" t="n"/>
      <c r="B74" s="7" t="n"/>
      <c r="C74" s="7" t="n"/>
      <c r="D74" s="7" t="n"/>
      <c r="E74" s="6">
        <f>IF(OR(C74="",D74=""),"",IF(D74=1,C74,ROUND(C74*(1+D74/30),1)))</f>
        <v/>
      </c>
      <c r="F74" s="7" t="n"/>
    </row>
    <row r="75">
      <c r="A75" s="12" t="n"/>
      <c r="B75" s="7" t="n"/>
      <c r="C75" s="7" t="n"/>
      <c r="D75" s="7" t="n"/>
      <c r="E75" s="6">
        <f>IF(OR(C75="",D75=""),"",IF(D75=1,C75,ROUND(C75*(1+D75/30),1)))</f>
        <v/>
      </c>
      <c r="F75" s="7" t="n"/>
    </row>
    <row r="76">
      <c r="A76" s="12" t="n"/>
      <c r="B76" s="7" t="n"/>
      <c r="C76" s="7" t="n"/>
      <c r="D76" s="7" t="n"/>
      <c r="E76" s="6">
        <f>IF(OR(C76="",D76=""),"",IF(D76=1,C76,ROUND(C76*(1+D76/30),1)))</f>
        <v/>
      </c>
      <c r="F76" s="7" t="n"/>
    </row>
    <row r="77">
      <c r="A77" s="12" t="n"/>
      <c r="B77" s="7" t="n"/>
      <c r="C77" s="7" t="n"/>
      <c r="D77" s="7" t="n"/>
      <c r="E77" s="6">
        <f>IF(OR(C77="",D77=""),"",IF(D77=1,C77,ROUND(C77*(1+D77/30),1)))</f>
        <v/>
      </c>
      <c r="F77" s="7" t="n"/>
    </row>
    <row r="78">
      <c r="A78" s="12" t="n"/>
      <c r="B78" s="7" t="n"/>
      <c r="C78" s="7" t="n"/>
      <c r="D78" s="7" t="n"/>
      <c r="E78" s="6">
        <f>IF(OR(C78="",D78=""),"",IF(D78=1,C78,ROUND(C78*(1+D78/30),1)))</f>
        <v/>
      </c>
      <c r="F78" s="7" t="n"/>
    </row>
    <row r="79">
      <c r="A79" s="12" t="n"/>
      <c r="B79" s="7" t="n"/>
      <c r="C79" s="7" t="n"/>
      <c r="D79" s="7" t="n"/>
      <c r="E79" s="6">
        <f>IF(OR(C79="",D79=""),"",IF(D79=1,C79,ROUND(C79*(1+D79/30),1)))</f>
        <v/>
      </c>
      <c r="F79" s="7" t="n"/>
    </row>
    <row r="80">
      <c r="A80" s="12" t="n"/>
      <c r="B80" s="7" t="n"/>
      <c r="C80" s="7" t="n"/>
      <c r="D80" s="7" t="n"/>
      <c r="E80" s="6">
        <f>IF(OR(C80="",D80=""),"",IF(D80=1,C80,ROUND(C80*(1+D80/30),1)))</f>
        <v/>
      </c>
      <c r="F80" s="7" t="n"/>
    </row>
    <row r="81">
      <c r="A81" s="12" t="n"/>
      <c r="B81" s="7" t="n"/>
      <c r="C81" s="7" t="n"/>
      <c r="D81" s="7" t="n"/>
      <c r="E81" s="6">
        <f>IF(OR(C81="",D81=""),"",IF(D81=1,C81,ROUND(C81*(1+D81/30),1)))</f>
        <v/>
      </c>
      <c r="F81" s="7" t="n"/>
    </row>
    <row r="82">
      <c r="A82" s="12" t="n"/>
      <c r="B82" s="7" t="n"/>
      <c r="C82" s="7" t="n"/>
      <c r="D82" s="7" t="n"/>
      <c r="E82" s="6">
        <f>IF(OR(C82="",D82=""),"",IF(D82=1,C82,ROUND(C82*(1+D82/30),1)))</f>
        <v/>
      </c>
      <c r="F82" s="7" t="n"/>
    </row>
    <row r="83">
      <c r="A83" s="12" t="n"/>
      <c r="B83" s="7" t="n"/>
      <c r="C83" s="7" t="n"/>
      <c r="D83" s="7" t="n"/>
      <c r="E83" s="6">
        <f>IF(OR(C83="",D83=""),"",IF(D83=1,C83,ROUND(C83*(1+D83/30),1)))</f>
        <v/>
      </c>
      <c r="F83" s="7" t="n"/>
    </row>
    <row r="84">
      <c r="A84" s="12" t="n"/>
      <c r="B84" s="7" t="n"/>
      <c r="C84" s="7" t="n"/>
      <c r="D84" s="7" t="n"/>
      <c r="E84" s="6">
        <f>IF(OR(C84="",D84=""),"",IF(D84=1,C84,ROUND(C84*(1+D84/30),1)))</f>
        <v/>
      </c>
      <c r="F84" s="7" t="n"/>
    </row>
    <row r="85">
      <c r="A85" s="12" t="n"/>
      <c r="B85" s="7" t="n"/>
      <c r="C85" s="7" t="n"/>
      <c r="D85" s="7" t="n"/>
      <c r="E85" s="6">
        <f>IF(OR(C85="",D85=""),"",IF(D85=1,C85,ROUND(C85*(1+D85/30),1)))</f>
        <v/>
      </c>
      <c r="F85" s="7" t="n"/>
    </row>
    <row r="86">
      <c r="A86" s="12" t="n"/>
      <c r="B86" s="7" t="n"/>
      <c r="C86" s="7" t="n"/>
      <c r="D86" s="7" t="n"/>
      <c r="E86" s="6">
        <f>IF(OR(C86="",D86=""),"",IF(D86=1,C86,ROUND(C86*(1+D86/30),1)))</f>
        <v/>
      </c>
      <c r="F86" s="7" t="n"/>
    </row>
    <row r="87">
      <c r="A87" s="12" t="n"/>
      <c r="B87" s="7" t="n"/>
      <c r="C87" s="7" t="n"/>
      <c r="D87" s="7" t="n"/>
      <c r="E87" s="6">
        <f>IF(OR(C87="",D87=""),"",IF(D87=1,C87,ROUND(C87*(1+D87/30),1)))</f>
        <v/>
      </c>
      <c r="F87" s="7" t="n"/>
    </row>
    <row r="88">
      <c r="A88" s="12" t="n"/>
      <c r="B88" s="7" t="n"/>
      <c r="C88" s="7" t="n"/>
      <c r="D88" s="7" t="n"/>
      <c r="E88" s="6">
        <f>IF(OR(C88="",D88=""),"",IF(D88=1,C88,ROUND(C88*(1+D88/30),1)))</f>
        <v/>
      </c>
      <c r="F88" s="7" t="n"/>
    </row>
    <row r="89">
      <c r="A89" s="12" t="n"/>
      <c r="B89" s="7" t="n"/>
      <c r="C89" s="7" t="n"/>
      <c r="D89" s="7" t="n"/>
      <c r="E89" s="6">
        <f>IF(OR(C89="",D89=""),"",IF(D89=1,C89,ROUND(C89*(1+D89/30),1)))</f>
        <v/>
      </c>
      <c r="F89" s="7" t="n"/>
    </row>
    <row r="90">
      <c r="A90" s="12" t="n"/>
      <c r="B90" s="7" t="n"/>
      <c r="C90" s="7" t="n"/>
      <c r="D90" s="7" t="n"/>
      <c r="E90" s="6">
        <f>IF(OR(C90="",D90=""),"",IF(D90=1,C90,ROUND(C90*(1+D90/30),1)))</f>
        <v/>
      </c>
      <c r="F90" s="7" t="n"/>
    </row>
    <row r="91">
      <c r="A91" s="12" t="n"/>
      <c r="B91" s="7" t="n"/>
      <c r="C91" s="7" t="n"/>
      <c r="D91" s="7" t="n"/>
      <c r="E91" s="6">
        <f>IF(OR(C91="",D91=""),"",IF(D91=1,C91,ROUND(C91*(1+D91/30),1)))</f>
        <v/>
      </c>
      <c r="F91" s="7" t="n"/>
    </row>
    <row r="92">
      <c r="A92" s="12" t="n"/>
      <c r="B92" s="7" t="n"/>
      <c r="C92" s="7" t="n"/>
      <c r="D92" s="7" t="n"/>
      <c r="E92" s="6">
        <f>IF(OR(C92="",D92=""),"",IF(D92=1,C92,ROUND(C92*(1+D92/30),1)))</f>
        <v/>
      </c>
      <c r="F92" s="7" t="n"/>
    </row>
    <row r="93">
      <c r="A93" s="12" t="n"/>
      <c r="B93" s="7" t="n"/>
      <c r="C93" s="7" t="n"/>
      <c r="D93" s="7" t="n"/>
      <c r="E93" s="6">
        <f>IF(OR(C93="",D93=""),"",IF(D93=1,C93,ROUND(C93*(1+D93/30),1)))</f>
        <v/>
      </c>
      <c r="F93" s="7" t="n"/>
    </row>
    <row r="94">
      <c r="A94" s="12" t="n"/>
      <c r="B94" s="7" t="n"/>
      <c r="C94" s="7" t="n"/>
      <c r="D94" s="7" t="n"/>
      <c r="E94" s="6">
        <f>IF(OR(C94="",D94=""),"",IF(D94=1,C94,ROUND(C94*(1+D94/30),1)))</f>
        <v/>
      </c>
      <c r="F94" s="7" t="n"/>
    </row>
    <row r="95">
      <c r="A95" s="12" t="n"/>
      <c r="B95" s="7" t="n"/>
      <c r="C95" s="7" t="n"/>
      <c r="D95" s="7" t="n"/>
      <c r="E95" s="6">
        <f>IF(OR(C95="",D95=""),"",IF(D95=1,C95,ROUND(C95*(1+D95/30),1)))</f>
        <v/>
      </c>
      <c r="F95" s="7" t="n"/>
    </row>
    <row r="96">
      <c r="A96" s="12" t="n"/>
      <c r="B96" s="7" t="n"/>
      <c r="C96" s="7" t="n"/>
      <c r="D96" s="7" t="n"/>
      <c r="E96" s="6">
        <f>IF(OR(C96="",D96=""),"",IF(D96=1,C96,ROUND(C96*(1+D96/30),1)))</f>
        <v/>
      </c>
      <c r="F96" s="7" t="n"/>
    </row>
    <row r="97">
      <c r="A97" s="12" t="n"/>
      <c r="B97" s="7" t="n"/>
      <c r="C97" s="7" t="n"/>
      <c r="D97" s="7" t="n"/>
      <c r="E97" s="6">
        <f>IF(OR(C97="",D97=""),"",IF(D97=1,C97,ROUND(C97*(1+D97/30),1)))</f>
        <v/>
      </c>
      <c r="F97" s="7" t="n"/>
    </row>
    <row r="98">
      <c r="A98" s="12" t="n"/>
      <c r="B98" s="7" t="n"/>
      <c r="C98" s="7" t="n"/>
      <c r="D98" s="7" t="n"/>
      <c r="E98" s="6">
        <f>IF(OR(C98="",D98=""),"",IF(D98=1,C98,ROUND(C98*(1+D98/30),1)))</f>
        <v/>
      </c>
      <c r="F98" s="7" t="n"/>
    </row>
    <row r="99">
      <c r="A99" s="12" t="n"/>
      <c r="B99" s="7" t="n"/>
      <c r="C99" s="7" t="n"/>
      <c r="D99" s="7" t="n"/>
      <c r="E99" s="6">
        <f>IF(OR(C99="",D99=""),"",IF(D99=1,C99,ROUND(C99*(1+D99/30),1)))</f>
        <v/>
      </c>
      <c r="F99" s="7" t="n"/>
    </row>
    <row r="100">
      <c r="A100" s="12" t="n"/>
      <c r="B100" s="7" t="n"/>
      <c r="C100" s="7" t="n"/>
      <c r="D100" s="7" t="n"/>
      <c r="E100" s="6">
        <f>IF(OR(C100="",D100=""),"",IF(D100=1,C100,ROUND(C100*(1+D100/30),1)))</f>
        <v/>
      </c>
      <c r="F100" s="7" t="n"/>
    </row>
    <row r="101">
      <c r="A101" s="12" t="n"/>
      <c r="B101" s="7" t="n"/>
      <c r="C101" s="7" t="n"/>
      <c r="D101" s="7" t="n"/>
      <c r="E101" s="6">
        <f>IF(OR(C101="",D101=""),"",IF(D101=1,C101,ROUND(C101*(1+D101/30),1)))</f>
        <v/>
      </c>
      <c r="F101" s="7" t="n"/>
    </row>
    <row r="102">
      <c r="A102" s="12" t="n"/>
      <c r="B102" s="7" t="n"/>
      <c r="C102" s="7" t="n"/>
      <c r="D102" s="7" t="n"/>
      <c r="E102" s="6">
        <f>IF(OR(C102="",D102=""),"",IF(D102=1,C102,ROUND(C102*(1+D102/30),1)))</f>
        <v/>
      </c>
      <c r="F102" s="7" t="n"/>
    </row>
    <row r="103">
      <c r="A103" s="12" t="n"/>
      <c r="B103" s="7" t="n"/>
      <c r="C103" s="7" t="n"/>
      <c r="D103" s="7" t="n"/>
      <c r="E103" s="6">
        <f>IF(OR(C103="",D103=""),"",IF(D103=1,C103,ROUND(C103*(1+D103/30),1)))</f>
        <v/>
      </c>
      <c r="F103" s="7" t="n"/>
    </row>
    <row r="104">
      <c r="A104" s="12" t="n"/>
      <c r="B104" s="7" t="n"/>
      <c r="C104" s="7" t="n"/>
      <c r="D104" s="7" t="n"/>
      <c r="E104" s="6">
        <f>IF(OR(C104="",D104=""),"",IF(D104=1,C104,ROUND(C104*(1+D104/30),1)))</f>
        <v/>
      </c>
      <c r="F104" s="7" t="n"/>
    </row>
    <row r="105">
      <c r="A105" s="12" t="n"/>
      <c r="B105" s="7" t="n"/>
      <c r="C105" s="7" t="n"/>
      <c r="D105" s="7" t="n"/>
      <c r="E105" s="6">
        <f>IF(OR(C105="",D105=""),"",IF(D105=1,C105,ROUND(C105*(1+D105/30),1)))</f>
        <v/>
      </c>
      <c r="F105" s="7" t="n"/>
    </row>
    <row r="106">
      <c r="A106" s="12" t="n"/>
      <c r="B106" s="7" t="n"/>
      <c r="C106" s="7" t="n"/>
      <c r="D106" s="7" t="n"/>
      <c r="E106" s="6">
        <f>IF(OR(C106="",D106=""),"",IF(D106=1,C106,ROUND(C106*(1+D106/30),1)))</f>
        <v/>
      </c>
      <c r="F106" s="7" t="n"/>
    </row>
    <row r="107">
      <c r="A107" s="12" t="n"/>
      <c r="B107" s="7" t="n"/>
      <c r="C107" s="7" t="n"/>
      <c r="D107" s="7" t="n"/>
      <c r="E107" s="6">
        <f>IF(OR(C107="",D107=""),"",IF(D107=1,C107,ROUND(C107*(1+D107/30),1)))</f>
        <v/>
      </c>
      <c r="F107" s="7" t="n"/>
    </row>
    <row r="108">
      <c r="A108" s="12" t="n"/>
      <c r="B108" s="7" t="n"/>
      <c r="C108" s="7" t="n"/>
      <c r="D108" s="7" t="n"/>
      <c r="E108" s="6">
        <f>IF(OR(C108="",D108=""),"",IF(D108=1,C108,ROUND(C108*(1+D108/30),1)))</f>
        <v/>
      </c>
      <c r="F108" s="7" t="n"/>
    </row>
    <row r="109">
      <c r="A109" s="12" t="n"/>
      <c r="B109" s="7" t="n"/>
      <c r="C109" s="7" t="n"/>
      <c r="D109" s="7" t="n"/>
      <c r="E109" s="6">
        <f>IF(OR(C109="",D109=""),"",IF(D109=1,C109,ROUND(C109*(1+D109/30),1)))</f>
        <v/>
      </c>
      <c r="F109" s="7" t="n"/>
    </row>
    <row r="110">
      <c r="A110" s="12" t="n"/>
      <c r="B110" s="7" t="n"/>
      <c r="C110" s="7" t="n"/>
      <c r="D110" s="7" t="n"/>
      <c r="E110" s="6">
        <f>IF(OR(C110="",D110=""),"",IF(D110=1,C110,ROUND(C110*(1+D110/30),1)))</f>
        <v/>
      </c>
      <c r="F110" s="7" t="n"/>
    </row>
    <row r="111">
      <c r="A111" s="12" t="n"/>
      <c r="B111" s="7" t="n"/>
      <c r="C111" s="7" t="n"/>
      <c r="D111" s="7" t="n"/>
      <c r="E111" s="6">
        <f>IF(OR(C111="",D111=""),"",IF(D111=1,C111,ROUND(C111*(1+D111/30),1)))</f>
        <v/>
      </c>
      <c r="F111" s="7" t="n"/>
    </row>
    <row r="112">
      <c r="A112" s="12" t="n"/>
      <c r="B112" s="7" t="n"/>
      <c r="C112" s="7" t="n"/>
      <c r="D112" s="7" t="n"/>
      <c r="E112" s="6">
        <f>IF(OR(C112="",D112=""),"",IF(D112=1,C112,ROUND(C112*(1+D112/30),1)))</f>
        <v/>
      </c>
      <c r="F112" s="7" t="n"/>
    </row>
    <row r="113">
      <c r="A113" s="12" t="n"/>
      <c r="B113" s="7" t="n"/>
      <c r="C113" s="7" t="n"/>
      <c r="D113" s="7" t="n"/>
      <c r="E113" s="6">
        <f>IF(OR(C113="",D113=""),"",IF(D113=1,C113,ROUND(C113*(1+D113/30),1)))</f>
        <v/>
      </c>
      <c r="F113" s="7" t="n"/>
    </row>
    <row r="114">
      <c r="A114" s="12" t="n"/>
      <c r="B114" s="7" t="n"/>
      <c r="C114" s="7" t="n"/>
      <c r="D114" s="7" t="n"/>
      <c r="E114" s="6">
        <f>IF(OR(C114="",D114=""),"",IF(D114=1,C114,ROUND(C114*(1+D114/30),1)))</f>
        <v/>
      </c>
      <c r="F114" s="7" t="n"/>
    </row>
    <row r="115">
      <c r="A115" s="12" t="n"/>
      <c r="B115" s="7" t="n"/>
      <c r="C115" s="7" t="n"/>
      <c r="D115" s="7" t="n"/>
      <c r="E115" s="6">
        <f>IF(OR(C115="",D115=""),"",IF(D115=1,C115,ROUND(C115*(1+D115/30),1)))</f>
        <v/>
      </c>
      <c r="F115" s="7" t="n"/>
    </row>
    <row r="116">
      <c r="A116" s="12" t="n"/>
      <c r="B116" s="7" t="n"/>
      <c r="C116" s="7" t="n"/>
      <c r="D116" s="7" t="n"/>
      <c r="E116" s="6">
        <f>IF(OR(C116="",D116=""),"",IF(D116=1,C116,ROUND(C116*(1+D116/30),1)))</f>
        <v/>
      </c>
      <c r="F116" s="7" t="n"/>
    </row>
    <row r="117">
      <c r="A117" s="12" t="n"/>
      <c r="B117" s="7" t="n"/>
      <c r="C117" s="7" t="n"/>
      <c r="D117" s="7" t="n"/>
      <c r="E117" s="6">
        <f>IF(OR(C117="",D117=""),"",IF(D117=1,C117,ROUND(C117*(1+D117/30),1)))</f>
        <v/>
      </c>
      <c r="F117" s="7" t="n"/>
    </row>
    <row r="118">
      <c r="A118" s="12" t="n"/>
      <c r="B118" s="7" t="n"/>
      <c r="C118" s="7" t="n"/>
      <c r="D118" s="7" t="n"/>
      <c r="E118" s="6">
        <f>IF(OR(C118="",D118=""),"",IF(D118=1,C118,ROUND(C118*(1+D118/30),1)))</f>
        <v/>
      </c>
      <c r="F118" s="7" t="n"/>
    </row>
    <row r="119">
      <c r="A119" s="12" t="n"/>
      <c r="B119" s="7" t="n"/>
      <c r="C119" s="7" t="n"/>
      <c r="D119" s="7" t="n"/>
      <c r="E119" s="6">
        <f>IF(OR(C119="",D119=""),"",IF(D119=1,C119,ROUND(C119*(1+D119/30),1)))</f>
        <v/>
      </c>
      <c r="F119" s="7" t="n"/>
    </row>
    <row r="120">
      <c r="A120" s="12" t="n"/>
      <c r="B120" s="7" t="n"/>
      <c r="C120" s="7" t="n"/>
      <c r="D120" s="7" t="n"/>
      <c r="E120" s="6">
        <f>IF(OR(C120="",D120=""),"",IF(D120=1,C120,ROUND(C120*(1+D120/30),1)))</f>
        <v/>
      </c>
      <c r="F120" s="7" t="n"/>
    </row>
    <row r="121">
      <c r="A121" s="12" t="n"/>
      <c r="B121" s="7" t="n"/>
      <c r="C121" s="7" t="n"/>
      <c r="D121" s="7" t="n"/>
      <c r="E121" s="6">
        <f>IF(OR(C121="",D121=""),"",IF(D121=1,C121,ROUND(C121*(1+D121/30),1)))</f>
        <v/>
      </c>
      <c r="F121" s="7" t="n"/>
    </row>
    <row r="122">
      <c r="A122" s="12" t="n"/>
      <c r="B122" s="7" t="n"/>
      <c r="C122" s="7" t="n"/>
      <c r="D122" s="7" t="n"/>
      <c r="E122" s="6">
        <f>IF(OR(C122="",D122=""),"",IF(D122=1,C122,ROUND(C122*(1+D122/30),1)))</f>
        <v/>
      </c>
      <c r="F122" s="7" t="n"/>
    </row>
    <row r="123">
      <c r="A123" s="12" t="n"/>
      <c r="B123" s="7" t="n"/>
      <c r="C123" s="7" t="n"/>
      <c r="D123" s="7" t="n"/>
      <c r="E123" s="6">
        <f>IF(OR(C123="",D123=""),"",IF(D123=1,C123,ROUND(C123*(1+D123/30),1)))</f>
        <v/>
      </c>
      <c r="F123" s="7" t="n"/>
    </row>
    <row r="124">
      <c r="A124" s="12" t="n"/>
      <c r="B124" s="7" t="n"/>
      <c r="C124" s="7" t="n"/>
      <c r="D124" s="7" t="n"/>
      <c r="E124" s="6">
        <f>IF(OR(C124="",D124=""),"",IF(D124=1,C124,ROUND(C124*(1+D124/30),1)))</f>
        <v/>
      </c>
      <c r="F124" s="7" t="n"/>
    </row>
    <row r="125">
      <c r="A125" s="12" t="n"/>
      <c r="B125" s="7" t="n"/>
      <c r="C125" s="7" t="n"/>
      <c r="D125" s="7" t="n"/>
      <c r="E125" s="6">
        <f>IF(OR(C125="",D125=""),"",IF(D125=1,C125,ROUND(C125*(1+D125/30),1)))</f>
        <v/>
      </c>
      <c r="F125" s="7" t="n"/>
    </row>
    <row r="126">
      <c r="A126" s="12" t="n"/>
      <c r="B126" s="7" t="n"/>
      <c r="C126" s="7" t="n"/>
      <c r="D126" s="7" t="n"/>
      <c r="E126" s="6">
        <f>IF(OR(C126="",D126=""),"",IF(D126=1,C126,ROUND(C126*(1+D126/30),1)))</f>
        <v/>
      </c>
      <c r="F126" s="7" t="n"/>
    </row>
    <row r="127">
      <c r="A127" s="12" t="n"/>
      <c r="B127" s="7" t="n"/>
      <c r="C127" s="7" t="n"/>
      <c r="D127" s="7" t="n"/>
      <c r="E127" s="6">
        <f>IF(OR(C127="",D127=""),"",IF(D127=1,C127,ROUND(C127*(1+D127/30),1)))</f>
        <v/>
      </c>
      <c r="F127" s="7" t="n"/>
    </row>
    <row r="128">
      <c r="A128" s="12" t="n"/>
      <c r="B128" s="7" t="n"/>
      <c r="C128" s="7" t="n"/>
      <c r="D128" s="7" t="n"/>
      <c r="E128" s="6">
        <f>IF(OR(C128="",D128=""),"",IF(D128=1,C128,ROUND(C128*(1+D128/30),1)))</f>
        <v/>
      </c>
      <c r="F128" s="7" t="n"/>
    </row>
    <row r="129">
      <c r="A129" s="12" t="n"/>
      <c r="B129" s="7" t="n"/>
      <c r="C129" s="7" t="n"/>
      <c r="D129" s="7" t="n"/>
      <c r="E129" s="6">
        <f>IF(OR(C129="",D129=""),"",IF(D129=1,C129,ROUND(C129*(1+D129/30),1)))</f>
        <v/>
      </c>
      <c r="F129" s="7" t="n"/>
    </row>
    <row r="130">
      <c r="A130" s="12" t="n"/>
      <c r="B130" s="7" t="n"/>
      <c r="C130" s="7" t="n"/>
      <c r="D130" s="7" t="n"/>
      <c r="E130" s="6">
        <f>IF(OR(C130="",D130=""),"",IF(D130=1,C130,ROUND(C130*(1+D130/30),1)))</f>
        <v/>
      </c>
      <c r="F130" s="7" t="n"/>
    </row>
    <row r="131">
      <c r="A131" s="12" t="n"/>
      <c r="B131" s="7" t="n"/>
      <c r="C131" s="7" t="n"/>
      <c r="D131" s="7" t="n"/>
      <c r="E131" s="6">
        <f>IF(OR(C131="",D131=""),"",IF(D131=1,C131,ROUND(C131*(1+D131/30),1)))</f>
        <v/>
      </c>
      <c r="F131" s="7" t="n"/>
    </row>
    <row r="132">
      <c r="A132" s="12" t="n"/>
      <c r="B132" s="7" t="n"/>
      <c r="C132" s="7" t="n"/>
      <c r="D132" s="7" t="n"/>
      <c r="E132" s="6">
        <f>IF(OR(C132="",D132=""),"",IF(D132=1,C132,ROUND(C132*(1+D132/30),1)))</f>
        <v/>
      </c>
      <c r="F132" s="7" t="n"/>
    </row>
    <row r="133">
      <c r="A133" s="12" t="n"/>
      <c r="B133" s="7" t="n"/>
      <c r="C133" s="7" t="n"/>
      <c r="D133" s="7" t="n"/>
      <c r="E133" s="6">
        <f>IF(OR(C133="",D133=""),"",IF(D133=1,C133,ROUND(C133*(1+D133/30),1)))</f>
        <v/>
      </c>
      <c r="F133" s="7" t="n"/>
    </row>
    <row r="134">
      <c r="A134" s="12" t="n"/>
      <c r="B134" s="7" t="n"/>
      <c r="C134" s="7" t="n"/>
      <c r="D134" s="7" t="n"/>
      <c r="E134" s="6">
        <f>IF(OR(C134="",D134=""),"",IF(D134=1,C134,ROUND(C134*(1+D134/30),1)))</f>
        <v/>
      </c>
      <c r="F134" s="7" t="n"/>
    </row>
    <row r="135">
      <c r="A135" s="12" t="n"/>
      <c r="B135" s="7" t="n"/>
      <c r="C135" s="7" t="n"/>
      <c r="D135" s="7" t="n"/>
      <c r="E135" s="6">
        <f>IF(OR(C135="",D135=""),"",IF(D135=1,C135,ROUND(C135*(1+D135/30),1)))</f>
        <v/>
      </c>
      <c r="F135" s="7" t="n"/>
    </row>
    <row r="136">
      <c r="A136" s="12" t="n"/>
      <c r="B136" s="7" t="n"/>
      <c r="C136" s="7" t="n"/>
      <c r="D136" s="7" t="n"/>
      <c r="E136" s="6">
        <f>IF(OR(C136="",D136=""),"",IF(D136=1,C136,ROUND(C136*(1+D136/30),1)))</f>
        <v/>
      </c>
      <c r="F136" s="7" t="n"/>
    </row>
    <row r="137">
      <c r="A137" s="12" t="n"/>
      <c r="B137" s="7" t="n"/>
      <c r="C137" s="7" t="n"/>
      <c r="D137" s="7" t="n"/>
      <c r="E137" s="6">
        <f>IF(OR(C137="",D137=""),"",IF(D137=1,C137,ROUND(C137*(1+D137/30),1)))</f>
        <v/>
      </c>
      <c r="F137" s="7" t="n"/>
    </row>
    <row r="138">
      <c r="A138" s="12" t="n"/>
      <c r="B138" s="7" t="n"/>
      <c r="C138" s="7" t="n"/>
      <c r="D138" s="7" t="n"/>
      <c r="E138" s="6">
        <f>IF(OR(C138="",D138=""),"",IF(D138=1,C138,ROUND(C138*(1+D138/30),1)))</f>
        <v/>
      </c>
      <c r="F138" s="7" t="n"/>
    </row>
    <row r="139">
      <c r="A139" s="12" t="n"/>
      <c r="B139" s="7" t="n"/>
      <c r="C139" s="7" t="n"/>
      <c r="D139" s="7" t="n"/>
      <c r="E139" s="6">
        <f>IF(OR(C139="",D139=""),"",IF(D139=1,C139,ROUND(C139*(1+D139/30),1)))</f>
        <v/>
      </c>
      <c r="F139" s="7" t="n"/>
    </row>
    <row r="140">
      <c r="A140" s="12" t="n"/>
      <c r="B140" s="7" t="n"/>
      <c r="C140" s="7" t="n"/>
      <c r="D140" s="7" t="n"/>
      <c r="E140" s="6">
        <f>IF(OR(C140="",D140=""),"",IF(D140=1,C140,ROUND(C140*(1+D140/30),1)))</f>
        <v/>
      </c>
      <c r="F140" s="7" t="n"/>
    </row>
    <row r="141">
      <c r="A141" s="12" t="n"/>
      <c r="B141" s="7" t="n"/>
      <c r="C141" s="7" t="n"/>
      <c r="D141" s="7" t="n"/>
      <c r="E141" s="6">
        <f>IF(OR(C141="",D141=""),"",IF(D141=1,C141,ROUND(C141*(1+D141/30),1)))</f>
        <v/>
      </c>
      <c r="F141" s="7" t="n"/>
    </row>
    <row r="142">
      <c r="A142" s="12" t="n"/>
      <c r="B142" s="7" t="n"/>
      <c r="C142" s="7" t="n"/>
      <c r="D142" s="7" t="n"/>
      <c r="E142" s="6">
        <f>IF(OR(C142="",D142=""),"",IF(D142=1,C142,ROUND(C142*(1+D142/30),1)))</f>
        <v/>
      </c>
      <c r="F142" s="7" t="n"/>
    </row>
    <row r="143">
      <c r="A143" s="12" t="n"/>
      <c r="B143" s="7" t="n"/>
      <c r="C143" s="7" t="n"/>
      <c r="D143" s="7" t="n"/>
      <c r="E143" s="6">
        <f>IF(OR(C143="",D143=""),"",IF(D143=1,C143,ROUND(C143*(1+D143/30),1)))</f>
        <v/>
      </c>
      <c r="F143" s="7" t="n"/>
    </row>
    <row r="144">
      <c r="A144" s="12" t="n"/>
      <c r="B144" s="7" t="n"/>
      <c r="C144" s="7" t="n"/>
      <c r="D144" s="7" t="n"/>
      <c r="E144" s="6">
        <f>IF(OR(C144="",D144=""),"",IF(D144=1,C144,ROUND(C144*(1+D144/30),1)))</f>
        <v/>
      </c>
      <c r="F144" s="7" t="n"/>
    </row>
    <row r="145">
      <c r="A145" s="12" t="n"/>
      <c r="B145" s="7" t="n"/>
      <c r="C145" s="7" t="n"/>
      <c r="D145" s="7" t="n"/>
      <c r="E145" s="6">
        <f>IF(OR(C145="",D145=""),"",IF(D145=1,C145,ROUND(C145*(1+D145/30),1)))</f>
        <v/>
      </c>
      <c r="F145" s="7" t="n"/>
    </row>
    <row r="146">
      <c r="A146" s="12" t="n"/>
      <c r="B146" s="7" t="n"/>
      <c r="C146" s="7" t="n"/>
      <c r="D146" s="7" t="n"/>
      <c r="E146" s="6">
        <f>IF(OR(C146="",D146=""),"",IF(D146=1,C146,ROUND(C146*(1+D146/30),1)))</f>
        <v/>
      </c>
      <c r="F146" s="7" t="n"/>
    </row>
    <row r="147">
      <c r="A147" s="12" t="n"/>
      <c r="B147" s="7" t="n"/>
      <c r="C147" s="7" t="n"/>
      <c r="D147" s="7" t="n"/>
      <c r="E147" s="6">
        <f>IF(OR(C147="",D147=""),"",IF(D147=1,C147,ROUND(C147*(1+D147/30),1)))</f>
        <v/>
      </c>
      <c r="F147" s="7" t="n"/>
    </row>
    <row r="148">
      <c r="A148" s="12" t="n"/>
      <c r="B148" s="7" t="n"/>
      <c r="C148" s="7" t="n"/>
      <c r="D148" s="7" t="n"/>
      <c r="E148" s="6">
        <f>IF(OR(C148="",D148=""),"",IF(D148=1,C148,ROUND(C148*(1+D148/30),1)))</f>
        <v/>
      </c>
      <c r="F148" s="7" t="n"/>
    </row>
    <row r="149">
      <c r="A149" s="12" t="n"/>
      <c r="B149" s="7" t="n"/>
      <c r="C149" s="7" t="n"/>
      <c r="D149" s="7" t="n"/>
      <c r="E149" s="6">
        <f>IF(OR(C149="",D149=""),"",IF(D149=1,C149,ROUND(C149*(1+D149/30),1)))</f>
        <v/>
      </c>
      <c r="F149" s="7" t="n"/>
    </row>
    <row r="150">
      <c r="A150" s="12" t="n"/>
      <c r="B150" s="7" t="n"/>
      <c r="C150" s="7" t="n"/>
      <c r="D150" s="7" t="n"/>
      <c r="E150" s="6">
        <f>IF(OR(C150="",D150=""),"",IF(D150=1,C150,ROUND(C150*(1+D150/30),1)))</f>
        <v/>
      </c>
      <c r="F150" s="7" t="n"/>
    </row>
    <row r="151">
      <c r="A151" s="12" t="n"/>
      <c r="B151" s="7" t="n"/>
      <c r="C151" s="7" t="n"/>
      <c r="D151" s="7" t="n"/>
      <c r="E151" s="6">
        <f>IF(OR(C151="",D151=""),"",IF(D151=1,C151,ROUND(C151*(1+D151/30),1)))</f>
        <v/>
      </c>
      <c r="F151" s="7" t="n"/>
    </row>
    <row r="152">
      <c r="A152" s="12" t="n"/>
      <c r="B152" s="7" t="n"/>
      <c r="C152" s="7" t="n"/>
      <c r="D152" s="7" t="n"/>
      <c r="E152" s="6">
        <f>IF(OR(C152="",D152=""),"",IF(D152=1,C152,ROUND(C152*(1+D152/30),1)))</f>
        <v/>
      </c>
      <c r="F152" s="7" t="n"/>
    </row>
    <row r="153">
      <c r="A153" s="12" t="n"/>
      <c r="B153" s="7" t="n"/>
      <c r="C153" s="7" t="n"/>
      <c r="D153" s="7" t="n"/>
      <c r="E153" s="6">
        <f>IF(OR(C153="",D153=""),"",IF(D153=1,C153,ROUND(C153*(1+D153/30),1)))</f>
        <v/>
      </c>
      <c r="F153" s="7" t="n"/>
    </row>
    <row r="154">
      <c r="A154" s="12" t="n"/>
      <c r="B154" s="7" t="n"/>
      <c r="C154" s="7" t="n"/>
      <c r="D154" s="7" t="n"/>
      <c r="E154" s="6">
        <f>IF(OR(C154="",D154=""),"",IF(D154=1,C154,ROUND(C154*(1+D154/30),1)))</f>
        <v/>
      </c>
      <c r="F154" s="7" t="n"/>
    </row>
    <row r="155">
      <c r="A155" s="12" t="n"/>
      <c r="B155" s="7" t="n"/>
      <c r="C155" s="7" t="n"/>
      <c r="D155" s="7" t="n"/>
      <c r="E155" s="6">
        <f>IF(OR(C155="",D155=""),"",IF(D155=1,C155,ROUND(C155*(1+D155/30),1)))</f>
        <v/>
      </c>
      <c r="F155" s="7" t="n"/>
    </row>
    <row r="156">
      <c r="A156" s="12" t="n"/>
      <c r="B156" s="7" t="n"/>
      <c r="C156" s="7" t="n"/>
      <c r="D156" s="7" t="n"/>
      <c r="E156" s="6">
        <f>IF(OR(C156="",D156=""),"",IF(D156=1,C156,ROUND(C156*(1+D156/30),1)))</f>
        <v/>
      </c>
      <c r="F156" s="7" t="n"/>
    </row>
    <row r="157">
      <c r="A157" s="12" t="n"/>
      <c r="B157" s="7" t="n"/>
      <c r="C157" s="7" t="n"/>
      <c r="D157" s="7" t="n"/>
      <c r="E157" s="6">
        <f>IF(OR(C157="",D157=""),"",IF(D157=1,C157,ROUND(C157*(1+D157/30),1)))</f>
        <v/>
      </c>
      <c r="F157" s="7" t="n"/>
    </row>
    <row r="158">
      <c r="A158" s="12" t="n"/>
      <c r="B158" s="7" t="n"/>
      <c r="C158" s="7" t="n"/>
      <c r="D158" s="7" t="n"/>
      <c r="E158" s="6">
        <f>IF(OR(C158="",D158=""),"",IF(D158=1,C158,ROUND(C158*(1+D158/30),1)))</f>
        <v/>
      </c>
      <c r="F158" s="7" t="n"/>
    </row>
    <row r="159">
      <c r="A159" s="12" t="n"/>
      <c r="B159" s="7" t="n"/>
      <c r="C159" s="7" t="n"/>
      <c r="D159" s="7" t="n"/>
      <c r="E159" s="6">
        <f>IF(OR(C159="",D159=""),"",IF(D159=1,C159,ROUND(C159*(1+D159/30),1)))</f>
        <v/>
      </c>
      <c r="F159" s="7" t="n"/>
    </row>
    <row r="160">
      <c r="A160" s="12" t="n"/>
      <c r="B160" s="7" t="n"/>
      <c r="C160" s="7" t="n"/>
      <c r="D160" s="7" t="n"/>
      <c r="E160" s="6">
        <f>IF(OR(C160="",D160=""),"",IF(D160=1,C160,ROUND(C160*(1+D160/30),1)))</f>
        <v/>
      </c>
      <c r="F160" s="7" t="n"/>
    </row>
    <row r="161">
      <c r="A161" s="12" t="n"/>
      <c r="B161" s="7" t="n"/>
      <c r="C161" s="7" t="n"/>
      <c r="D161" s="7" t="n"/>
      <c r="E161" s="6">
        <f>IF(OR(C161="",D161=""),"",IF(D161=1,C161,ROUND(C161*(1+D161/30),1)))</f>
        <v/>
      </c>
      <c r="F161" s="7" t="n"/>
    </row>
    <row r="162">
      <c r="A162" s="12" t="n"/>
      <c r="B162" s="7" t="n"/>
      <c r="C162" s="7" t="n"/>
      <c r="D162" s="7" t="n"/>
      <c r="E162" s="6">
        <f>IF(OR(C162="",D162=""),"",IF(D162=1,C162,ROUND(C162*(1+D162/30),1)))</f>
        <v/>
      </c>
      <c r="F162" s="7" t="n"/>
    </row>
    <row r="163">
      <c r="A163" s="12" t="n"/>
      <c r="B163" s="7" t="n"/>
      <c r="C163" s="7" t="n"/>
      <c r="D163" s="7" t="n"/>
      <c r="E163" s="6">
        <f>IF(OR(C163="",D163=""),"",IF(D163=1,C163,ROUND(C163*(1+D163/30),1)))</f>
        <v/>
      </c>
      <c r="F163" s="7" t="n"/>
    </row>
    <row r="164">
      <c r="A164" s="12" t="n"/>
      <c r="B164" s="7" t="n"/>
      <c r="C164" s="7" t="n"/>
      <c r="D164" s="7" t="n"/>
      <c r="E164" s="6">
        <f>IF(OR(C164="",D164=""),"",IF(D164=1,C164,ROUND(C164*(1+D164/30),1)))</f>
        <v/>
      </c>
      <c r="F164" s="7" t="n"/>
    </row>
    <row r="165">
      <c r="A165" s="12" t="n"/>
      <c r="B165" s="7" t="n"/>
      <c r="C165" s="7" t="n"/>
      <c r="D165" s="7" t="n"/>
      <c r="E165" s="6">
        <f>IF(OR(C165="",D165=""),"",IF(D165=1,C165,ROUND(C165*(1+D165/30),1)))</f>
        <v/>
      </c>
      <c r="F165" s="7" t="n"/>
    </row>
    <row r="166">
      <c r="A166" s="12" t="n"/>
      <c r="B166" s="7" t="n"/>
      <c r="C166" s="7" t="n"/>
      <c r="D166" s="7" t="n"/>
      <c r="E166" s="6">
        <f>IF(OR(C166="",D166=""),"",IF(D166=1,C166,ROUND(C166*(1+D166/30),1)))</f>
        <v/>
      </c>
      <c r="F166" s="7" t="n"/>
    </row>
    <row r="167">
      <c r="A167" s="12" t="n"/>
      <c r="B167" s="7" t="n"/>
      <c r="C167" s="7" t="n"/>
      <c r="D167" s="7" t="n"/>
      <c r="E167" s="6">
        <f>IF(OR(C167="",D167=""),"",IF(D167=1,C167,ROUND(C167*(1+D167/30),1)))</f>
        <v/>
      </c>
      <c r="F167" s="7" t="n"/>
    </row>
    <row r="168">
      <c r="A168" s="12" t="n"/>
      <c r="B168" s="7" t="n"/>
      <c r="C168" s="7" t="n"/>
      <c r="D168" s="7" t="n"/>
      <c r="E168" s="6">
        <f>IF(OR(C168="",D168=""),"",IF(D168=1,C168,ROUND(C168*(1+D168/30),1)))</f>
        <v/>
      </c>
      <c r="F168" s="7" t="n"/>
    </row>
    <row r="169">
      <c r="A169" s="12" t="n"/>
      <c r="B169" s="7" t="n"/>
      <c r="C169" s="7" t="n"/>
      <c r="D169" s="7" t="n"/>
      <c r="E169" s="6">
        <f>IF(OR(C169="",D169=""),"",IF(D169=1,C169,ROUND(C169*(1+D169/30),1)))</f>
        <v/>
      </c>
      <c r="F169" s="7" t="n"/>
    </row>
    <row r="170">
      <c r="A170" s="12" t="n"/>
      <c r="B170" s="7" t="n"/>
      <c r="C170" s="7" t="n"/>
      <c r="D170" s="7" t="n"/>
      <c r="E170" s="6">
        <f>IF(OR(C170="",D170=""),"",IF(D170=1,C170,ROUND(C170*(1+D170/30),1)))</f>
        <v/>
      </c>
      <c r="F170" s="7" t="n"/>
    </row>
    <row r="171">
      <c r="A171" s="12" t="n"/>
      <c r="B171" s="7" t="n"/>
      <c r="C171" s="7" t="n"/>
      <c r="D171" s="7" t="n"/>
      <c r="E171" s="6">
        <f>IF(OR(C171="",D171=""),"",IF(D171=1,C171,ROUND(C171*(1+D171/30),1)))</f>
        <v/>
      </c>
      <c r="F171" s="7" t="n"/>
    </row>
    <row r="172">
      <c r="A172" s="12" t="n"/>
      <c r="B172" s="7" t="n"/>
      <c r="C172" s="7" t="n"/>
      <c r="D172" s="7" t="n"/>
      <c r="E172" s="6">
        <f>IF(OR(C172="",D172=""),"",IF(D172=1,C172,ROUND(C172*(1+D172/30),1)))</f>
        <v/>
      </c>
      <c r="F172" s="7" t="n"/>
    </row>
    <row r="173">
      <c r="A173" s="12" t="n"/>
      <c r="B173" s="7" t="n"/>
      <c r="C173" s="7" t="n"/>
      <c r="D173" s="7" t="n"/>
      <c r="E173" s="6">
        <f>IF(OR(C173="",D173=""),"",IF(D173=1,C173,ROUND(C173*(1+D173/30),1)))</f>
        <v/>
      </c>
      <c r="F173" s="7" t="n"/>
    </row>
    <row r="174">
      <c r="A174" s="12" t="n"/>
      <c r="B174" s="7" t="n"/>
      <c r="C174" s="7" t="n"/>
      <c r="D174" s="7" t="n"/>
      <c r="E174" s="6">
        <f>IF(OR(C174="",D174=""),"",IF(D174=1,C174,ROUND(C174*(1+D174/30),1)))</f>
        <v/>
      </c>
      <c r="F174" s="7" t="n"/>
    </row>
    <row r="175">
      <c r="A175" s="12" t="n"/>
      <c r="B175" s="7" t="n"/>
      <c r="C175" s="7" t="n"/>
      <c r="D175" s="7" t="n"/>
      <c r="E175" s="6">
        <f>IF(OR(C175="",D175=""),"",IF(D175=1,C175,ROUND(C175*(1+D175/30),1)))</f>
        <v/>
      </c>
      <c r="F175" s="7" t="n"/>
    </row>
    <row r="176">
      <c r="A176" s="12" t="n"/>
      <c r="B176" s="7" t="n"/>
      <c r="C176" s="7" t="n"/>
      <c r="D176" s="7" t="n"/>
      <c r="E176" s="6">
        <f>IF(OR(C176="",D176=""),"",IF(D176=1,C176,ROUND(C176*(1+D176/30),1)))</f>
        <v/>
      </c>
      <c r="F176" s="7" t="n"/>
    </row>
    <row r="177">
      <c r="A177" s="12" t="n"/>
      <c r="B177" s="7" t="n"/>
      <c r="C177" s="7" t="n"/>
      <c r="D177" s="7" t="n"/>
      <c r="E177" s="6">
        <f>IF(OR(C177="",D177=""),"",IF(D177=1,C177,ROUND(C177*(1+D177/30),1)))</f>
        <v/>
      </c>
      <c r="F177" s="7" t="n"/>
    </row>
    <row r="178">
      <c r="A178" s="12" t="n"/>
      <c r="B178" s="7" t="n"/>
      <c r="C178" s="7" t="n"/>
      <c r="D178" s="7" t="n"/>
      <c r="E178" s="6">
        <f>IF(OR(C178="",D178=""),"",IF(D178=1,C178,ROUND(C178*(1+D178/30),1)))</f>
        <v/>
      </c>
      <c r="F178" s="7" t="n"/>
    </row>
    <row r="179">
      <c r="A179" s="12" t="n"/>
      <c r="B179" s="7" t="n"/>
      <c r="C179" s="7" t="n"/>
      <c r="D179" s="7" t="n"/>
      <c r="E179" s="6">
        <f>IF(OR(C179="",D179=""),"",IF(D179=1,C179,ROUND(C179*(1+D179/30),1)))</f>
        <v/>
      </c>
      <c r="F179" s="7" t="n"/>
    </row>
    <row r="180">
      <c r="A180" s="12" t="n"/>
      <c r="B180" s="7" t="n"/>
      <c r="C180" s="7" t="n"/>
      <c r="D180" s="7" t="n"/>
      <c r="E180" s="6">
        <f>IF(OR(C180="",D180=""),"",IF(D180=1,C180,ROUND(C180*(1+D180/30),1)))</f>
        <v/>
      </c>
      <c r="F180" s="7" t="n"/>
    </row>
    <row r="181">
      <c r="A181" s="12" t="n"/>
      <c r="B181" s="7" t="n"/>
      <c r="C181" s="7" t="n"/>
      <c r="D181" s="7" t="n"/>
      <c r="E181" s="6">
        <f>IF(OR(C181="",D181=""),"",IF(D181=1,C181,ROUND(C181*(1+D181/30),1)))</f>
        <v/>
      </c>
      <c r="F181" s="7" t="n"/>
    </row>
    <row r="182">
      <c r="A182" s="12" t="n"/>
      <c r="B182" s="7" t="n"/>
      <c r="C182" s="7" t="n"/>
      <c r="D182" s="7" t="n"/>
      <c r="E182" s="6">
        <f>IF(OR(C182="",D182=""),"",IF(D182=1,C182,ROUND(C182*(1+D182/30),1)))</f>
        <v/>
      </c>
      <c r="F182" s="7" t="n"/>
    </row>
    <row r="183">
      <c r="A183" s="12" t="n"/>
      <c r="B183" s="7" t="n"/>
      <c r="C183" s="7" t="n"/>
      <c r="D183" s="7" t="n"/>
      <c r="E183" s="6">
        <f>IF(OR(C183="",D183=""),"",IF(D183=1,C183,ROUND(C183*(1+D183/30),1)))</f>
        <v/>
      </c>
      <c r="F183" s="7" t="n"/>
    </row>
    <row r="184">
      <c r="A184" s="12" t="n"/>
      <c r="B184" s="7" t="n"/>
      <c r="C184" s="7" t="n"/>
      <c r="D184" s="7" t="n"/>
      <c r="E184" s="6">
        <f>IF(OR(C184="",D184=""),"",IF(D184=1,C184,ROUND(C184*(1+D184/30),1)))</f>
        <v/>
      </c>
      <c r="F184" s="7" t="n"/>
    </row>
    <row r="185">
      <c r="A185" s="12" t="n"/>
      <c r="B185" s="7" t="n"/>
      <c r="C185" s="7" t="n"/>
      <c r="D185" s="7" t="n"/>
      <c r="E185" s="6">
        <f>IF(OR(C185="",D185=""),"",IF(D185=1,C185,ROUND(C185*(1+D185/30),1)))</f>
        <v/>
      </c>
      <c r="F185" s="7" t="n"/>
    </row>
    <row r="186">
      <c r="A186" s="12" t="n"/>
      <c r="B186" s="7" t="n"/>
      <c r="C186" s="7" t="n"/>
      <c r="D186" s="7" t="n"/>
      <c r="E186" s="6">
        <f>IF(OR(C186="",D186=""),"",IF(D186=1,C186,ROUND(C186*(1+D186/30),1)))</f>
        <v/>
      </c>
      <c r="F186" s="7" t="n"/>
    </row>
    <row r="187">
      <c r="A187" s="12" t="n"/>
      <c r="B187" s="7" t="n"/>
      <c r="C187" s="7" t="n"/>
      <c r="D187" s="7" t="n"/>
      <c r="E187" s="6">
        <f>IF(OR(C187="",D187=""),"",IF(D187=1,C187,ROUND(C187*(1+D187/30),1)))</f>
        <v/>
      </c>
      <c r="F187" s="7" t="n"/>
    </row>
    <row r="188">
      <c r="A188" s="12" t="n"/>
      <c r="B188" s="7" t="n"/>
      <c r="C188" s="7" t="n"/>
      <c r="D188" s="7" t="n"/>
      <c r="E188" s="6">
        <f>IF(OR(C188="",D188=""),"",IF(D188=1,C188,ROUND(C188*(1+D188/30),1)))</f>
        <v/>
      </c>
      <c r="F188" s="7" t="n"/>
    </row>
    <row r="189">
      <c r="A189" s="12" t="n"/>
      <c r="B189" s="7" t="n"/>
      <c r="C189" s="7" t="n"/>
      <c r="D189" s="7" t="n"/>
      <c r="E189" s="6">
        <f>IF(OR(C189="",D189=""),"",IF(D189=1,C189,ROUND(C189*(1+D189/30),1)))</f>
        <v/>
      </c>
      <c r="F189" s="7" t="n"/>
    </row>
    <row r="190">
      <c r="A190" s="12" t="n"/>
      <c r="B190" s="7" t="n"/>
      <c r="C190" s="7" t="n"/>
      <c r="D190" s="7" t="n"/>
      <c r="E190" s="6">
        <f>IF(OR(C190="",D190=""),"",IF(D190=1,C190,ROUND(C190*(1+D190/30),1)))</f>
        <v/>
      </c>
      <c r="F190" s="7" t="n"/>
    </row>
    <row r="191">
      <c r="A191" s="12" t="n"/>
      <c r="B191" s="7" t="n"/>
      <c r="C191" s="7" t="n"/>
      <c r="D191" s="7" t="n"/>
      <c r="E191" s="6">
        <f>IF(OR(C191="",D191=""),"",IF(D191=1,C191,ROUND(C191*(1+D191/30),1)))</f>
        <v/>
      </c>
      <c r="F191" s="7" t="n"/>
    </row>
    <row r="192">
      <c r="A192" s="12" t="n"/>
      <c r="B192" s="7" t="n"/>
      <c r="C192" s="7" t="n"/>
      <c r="D192" s="7" t="n"/>
      <c r="E192" s="6">
        <f>IF(OR(C192="",D192=""),"",IF(D192=1,C192,ROUND(C192*(1+D192/30),1)))</f>
        <v/>
      </c>
      <c r="F192" s="7" t="n"/>
    </row>
    <row r="193">
      <c r="A193" s="12" t="n"/>
      <c r="B193" s="7" t="n"/>
      <c r="C193" s="7" t="n"/>
      <c r="D193" s="7" t="n"/>
      <c r="E193" s="6">
        <f>IF(OR(C193="",D193=""),"",IF(D193=1,C193,ROUND(C193*(1+D193/30),1)))</f>
        <v/>
      </c>
      <c r="F193" s="7" t="n"/>
    </row>
    <row r="194">
      <c r="A194" s="12" t="n"/>
      <c r="B194" s="7" t="n"/>
      <c r="C194" s="7" t="n"/>
      <c r="D194" s="7" t="n"/>
      <c r="E194" s="6">
        <f>IF(OR(C194="",D194=""),"",IF(D194=1,C194,ROUND(C194*(1+D194/30),1)))</f>
        <v/>
      </c>
      <c r="F194" s="7" t="n"/>
    </row>
    <row r="195">
      <c r="A195" s="12" t="n"/>
      <c r="B195" s="7" t="n"/>
      <c r="C195" s="7" t="n"/>
      <c r="D195" s="7" t="n"/>
      <c r="E195" s="6">
        <f>IF(OR(C195="",D195=""),"",IF(D195=1,C195,ROUND(C195*(1+D195/30),1)))</f>
        <v/>
      </c>
      <c r="F195" s="7" t="n"/>
    </row>
    <row r="196">
      <c r="A196" s="12" t="n"/>
      <c r="B196" s="7" t="n"/>
      <c r="C196" s="7" t="n"/>
      <c r="D196" s="7" t="n"/>
      <c r="E196" s="6">
        <f>IF(OR(C196="",D196=""),"",IF(D196=1,C196,ROUND(C196*(1+D196/30),1)))</f>
        <v/>
      </c>
      <c r="F196" s="7" t="n"/>
    </row>
    <row r="197">
      <c r="A197" s="12" t="n"/>
      <c r="B197" s="7" t="n"/>
      <c r="C197" s="7" t="n"/>
      <c r="D197" s="7" t="n"/>
      <c r="E197" s="6">
        <f>IF(OR(C197="",D197=""),"",IF(D197=1,C197,ROUND(C197*(1+D197/30),1)))</f>
        <v/>
      </c>
      <c r="F197" s="7" t="n"/>
    </row>
    <row r="198">
      <c r="A198" s="12" t="n"/>
      <c r="B198" s="7" t="n"/>
      <c r="C198" s="7" t="n"/>
      <c r="D198" s="7" t="n"/>
      <c r="E198" s="6">
        <f>IF(OR(C198="",D198=""),"",IF(D198=1,C198,ROUND(C198*(1+D198/30),1)))</f>
        <v/>
      </c>
      <c r="F198" s="7" t="n"/>
    </row>
    <row r="199">
      <c r="A199" s="12" t="n"/>
      <c r="B199" s="7" t="n"/>
      <c r="C199" s="7" t="n"/>
      <c r="D199" s="7" t="n"/>
      <c r="E199" s="6">
        <f>IF(OR(C199="",D199=""),"",IF(D199=1,C199,ROUND(C199*(1+D199/30),1)))</f>
        <v/>
      </c>
      <c r="F199" s="7" t="n"/>
    </row>
    <row r="200">
      <c r="A200" s="12" t="n"/>
      <c r="B200" s="7" t="n"/>
      <c r="C200" s="7" t="n"/>
      <c r="D200" s="7" t="n"/>
      <c r="E200" s="6">
        <f>IF(OR(C200="",D200=""),"",IF(D200=1,C200,ROUND(C200*(1+D200/30),1)))</f>
        <v/>
      </c>
      <c r="F200" s="7" t="n"/>
    </row>
    <row r="201">
      <c r="A201" s="12" t="n"/>
      <c r="B201" s="7" t="n"/>
      <c r="C201" s="7" t="n"/>
      <c r="D201" s="7" t="n"/>
      <c r="E201" s="6">
        <f>IF(OR(C201="",D201=""),"",IF(D201=1,C201,ROUND(C201*(1+D201/30),1)))</f>
        <v/>
      </c>
      <c r="F201" s="7" t="n"/>
    </row>
    <row r="202">
      <c r="A202" s="12" t="n"/>
      <c r="B202" s="7" t="n"/>
      <c r="C202" s="7" t="n"/>
      <c r="D202" s="7" t="n"/>
      <c r="E202" s="6">
        <f>IF(OR(C202="",D202=""),"",IF(D202=1,C202,ROUND(C202*(1+D202/30),1)))</f>
        <v/>
      </c>
      <c r="F202" s="7" t="n"/>
    </row>
    <row r="203">
      <c r="A203" s="12" t="n"/>
      <c r="B203" s="7" t="n"/>
      <c r="C203" s="7" t="n"/>
      <c r="D203" s="7" t="n"/>
      <c r="E203" s="6">
        <f>IF(OR(C203="",D203=""),"",IF(D203=1,C203,ROUND(C203*(1+D203/30),1)))</f>
        <v/>
      </c>
      <c r="F203" s="7" t="n"/>
    </row>
    <row r="204">
      <c r="A204" s="12" t="n"/>
      <c r="B204" s="7" t="n"/>
      <c r="C204" s="7" t="n"/>
      <c r="D204" s="7" t="n"/>
      <c r="E204" s="6">
        <f>IF(OR(C204="",D204=""),"",IF(D204=1,C204,ROUND(C204*(1+D204/30),1)))</f>
        <v/>
      </c>
      <c r="F204" s="7" t="n"/>
    </row>
    <row r="205">
      <c r="A205" s="12" t="n"/>
      <c r="B205" s="7" t="n"/>
      <c r="C205" s="7" t="n"/>
      <c r="D205" s="7" t="n"/>
      <c r="E205" s="6">
        <f>IF(OR(C205="",D205=""),"",IF(D205=1,C205,ROUND(C205*(1+D205/30),1)))</f>
        <v/>
      </c>
      <c r="F205" s="7" t="n"/>
    </row>
    <row r="206">
      <c r="A206" s="12" t="n"/>
      <c r="B206" s="7" t="n"/>
      <c r="C206" s="7" t="n"/>
      <c r="D206" s="7" t="n"/>
      <c r="E206" s="6">
        <f>IF(OR(C206="",D206=""),"",IF(D206=1,C206,ROUND(C206*(1+D206/30),1)))</f>
        <v/>
      </c>
      <c r="F206" s="7" t="n"/>
    </row>
    <row r="207">
      <c r="A207" s="12" t="n"/>
      <c r="B207" s="7" t="n"/>
      <c r="C207" s="7" t="n"/>
      <c r="D207" s="7" t="n"/>
      <c r="E207" s="6">
        <f>IF(OR(C207="",D207=""),"",IF(D207=1,C207,ROUND(C207*(1+D207/30),1)))</f>
        <v/>
      </c>
      <c r="F207" s="7" t="n"/>
    </row>
    <row r="208">
      <c r="A208" s="12" t="n"/>
      <c r="B208" s="7" t="n"/>
      <c r="C208" s="7" t="n"/>
      <c r="D208" s="7" t="n"/>
      <c r="E208" s="6">
        <f>IF(OR(C208="",D208=""),"",IF(D208=1,C208,ROUND(C208*(1+D208/30),1)))</f>
        <v/>
      </c>
      <c r="F208" s="7" t="n"/>
    </row>
    <row r="209">
      <c r="A209" s="12" t="n"/>
      <c r="B209" s="7" t="n"/>
      <c r="C209" s="7" t="n"/>
      <c r="D209" s="7" t="n"/>
      <c r="E209" s="6">
        <f>IF(OR(C209="",D209=""),"",IF(D209=1,C209,ROUND(C209*(1+D209/30),1)))</f>
        <v/>
      </c>
      <c r="F209" s="7" t="n"/>
    </row>
    <row r="210">
      <c r="A210" s="12" t="n"/>
      <c r="B210" s="7" t="n"/>
      <c r="C210" s="7" t="n"/>
      <c r="D210" s="7" t="n"/>
      <c r="E210" s="6">
        <f>IF(OR(C210="",D210=""),"",IF(D210=1,C210,ROUND(C210*(1+D210/30),1)))</f>
        <v/>
      </c>
      <c r="F210" s="7" t="n"/>
    </row>
    <row r="211">
      <c r="A211" s="12" t="n"/>
      <c r="B211" s="7" t="n"/>
      <c r="C211" s="7" t="n"/>
      <c r="D211" s="7" t="n"/>
      <c r="E211" s="6">
        <f>IF(OR(C211="",D211=""),"",IF(D211=1,C211,ROUND(C211*(1+D211/30),1)))</f>
        <v/>
      </c>
      <c r="F211" s="7" t="n"/>
    </row>
    <row r="212">
      <c r="A212" s="12" t="n"/>
      <c r="B212" s="7" t="n"/>
      <c r="C212" s="7" t="n"/>
      <c r="D212" s="7" t="n"/>
      <c r="E212" s="6">
        <f>IF(OR(C212="",D212=""),"",IF(D212=1,C212,ROUND(C212*(1+D212/30),1)))</f>
        <v/>
      </c>
      <c r="F212" s="7" t="n"/>
    </row>
    <row r="213">
      <c r="A213" s="12" t="n"/>
      <c r="B213" s="7" t="n"/>
      <c r="C213" s="7" t="n"/>
      <c r="D213" s="7" t="n"/>
      <c r="E213" s="6">
        <f>IF(OR(C213="",D213=""),"",IF(D213=1,C213,ROUND(C213*(1+D213/30),1)))</f>
        <v/>
      </c>
      <c r="F213" s="7" t="n"/>
    </row>
    <row r="214">
      <c r="A214" s="12" t="n"/>
      <c r="B214" s="7" t="n"/>
      <c r="C214" s="7" t="n"/>
      <c r="D214" s="7" t="n"/>
      <c r="E214" s="6">
        <f>IF(OR(C214="",D214=""),"",IF(D214=1,C214,ROUND(C214*(1+D214/30),1)))</f>
        <v/>
      </c>
      <c r="F214" s="7" t="n"/>
    </row>
    <row r="215">
      <c r="A215" s="12" t="n"/>
      <c r="B215" s="7" t="n"/>
      <c r="C215" s="7" t="n"/>
      <c r="D215" s="7" t="n"/>
      <c r="E215" s="6">
        <f>IF(OR(C215="",D215=""),"",IF(D215=1,C215,ROUND(C215*(1+D215/30),1)))</f>
        <v/>
      </c>
      <c r="F215" s="7" t="n"/>
    </row>
    <row r="216">
      <c r="A216" s="12" t="n"/>
      <c r="B216" s="7" t="n"/>
      <c r="C216" s="7" t="n"/>
      <c r="D216" s="7" t="n"/>
      <c r="E216" s="6">
        <f>IF(OR(C216="",D216=""),"",IF(D216=1,C216,ROUND(C216*(1+D216/30),1)))</f>
        <v/>
      </c>
      <c r="F216" s="7" t="n"/>
    </row>
    <row r="217">
      <c r="A217" s="12" t="n"/>
      <c r="B217" s="7" t="n"/>
      <c r="C217" s="7" t="n"/>
      <c r="D217" s="7" t="n"/>
      <c r="E217" s="6">
        <f>IF(OR(C217="",D217=""),"",IF(D217=1,C217,ROUND(C217*(1+D217/30),1)))</f>
        <v/>
      </c>
      <c r="F217" s="7" t="n"/>
    </row>
    <row r="218">
      <c r="A218" s="12" t="n"/>
      <c r="B218" s="7" t="n"/>
      <c r="C218" s="7" t="n"/>
      <c r="D218" s="7" t="n"/>
      <c r="E218" s="6">
        <f>IF(OR(C218="",D218=""),"",IF(D218=1,C218,ROUND(C218*(1+D218/30),1)))</f>
        <v/>
      </c>
      <c r="F218" s="7" t="n"/>
    </row>
    <row r="219">
      <c r="A219" s="12" t="n"/>
      <c r="B219" s="7" t="n"/>
      <c r="C219" s="7" t="n"/>
      <c r="D219" s="7" t="n"/>
      <c r="E219" s="6">
        <f>IF(OR(C219="",D219=""),"",IF(D219=1,C219,ROUND(C219*(1+D219/30),1)))</f>
        <v/>
      </c>
      <c r="F219" s="7" t="n"/>
    </row>
    <row r="220">
      <c r="A220" s="12" t="n"/>
      <c r="B220" s="7" t="n"/>
      <c r="C220" s="7" t="n"/>
      <c r="D220" s="7" t="n"/>
      <c r="E220" s="6">
        <f>IF(OR(C220="",D220=""),"",IF(D220=1,C220,ROUND(C220*(1+D220/30),1)))</f>
        <v/>
      </c>
      <c r="F220" s="7" t="n"/>
    </row>
    <row r="221">
      <c r="A221" s="12" t="n"/>
      <c r="B221" s="7" t="n"/>
      <c r="C221" s="7" t="n"/>
      <c r="D221" s="7" t="n"/>
      <c r="E221" s="6">
        <f>IF(OR(C221="",D221=""),"",IF(D221=1,C221,ROUND(C221*(1+D221/30),1)))</f>
        <v/>
      </c>
      <c r="F221" s="7" t="n"/>
    </row>
    <row r="222">
      <c r="A222" s="12" t="n"/>
      <c r="B222" s="7" t="n"/>
      <c r="C222" s="7" t="n"/>
      <c r="D222" s="7" t="n"/>
      <c r="E222" s="6">
        <f>IF(OR(C222="",D222=""),"",IF(D222=1,C222,ROUND(C222*(1+D222/30),1)))</f>
        <v/>
      </c>
      <c r="F222" s="7" t="n"/>
    </row>
    <row r="223">
      <c r="A223" s="12" t="n"/>
      <c r="B223" s="7" t="n"/>
      <c r="C223" s="7" t="n"/>
      <c r="D223" s="7" t="n"/>
      <c r="E223" s="6">
        <f>IF(OR(C223="",D223=""),"",IF(D223=1,C223,ROUND(C223*(1+D223/30),1)))</f>
        <v/>
      </c>
      <c r="F223" s="7" t="n"/>
    </row>
    <row r="224">
      <c r="A224" s="12" t="n"/>
      <c r="B224" s="7" t="n"/>
      <c r="C224" s="7" t="n"/>
      <c r="D224" s="7" t="n"/>
      <c r="E224" s="6">
        <f>IF(OR(C224="",D224=""),"",IF(D224=1,C224,ROUND(C224*(1+D224/30),1)))</f>
        <v/>
      </c>
      <c r="F224" s="7" t="n"/>
    </row>
    <row r="225">
      <c r="A225" s="12" t="n"/>
      <c r="B225" s="7" t="n"/>
      <c r="C225" s="7" t="n"/>
      <c r="D225" s="7" t="n"/>
      <c r="E225" s="6">
        <f>IF(OR(C225="",D225=""),"",IF(D225=1,C225,ROUND(C225*(1+D225/30),1)))</f>
        <v/>
      </c>
      <c r="F225" s="7" t="n"/>
    </row>
    <row r="226">
      <c r="A226" s="12" t="n"/>
      <c r="B226" s="7" t="n"/>
      <c r="C226" s="7" t="n"/>
      <c r="D226" s="7" t="n"/>
      <c r="E226" s="6">
        <f>IF(OR(C226="",D226=""),"",IF(D226=1,C226,ROUND(C226*(1+D226/30),1)))</f>
        <v/>
      </c>
      <c r="F226" s="7" t="n"/>
    </row>
    <row r="227">
      <c r="A227" s="12" t="n"/>
      <c r="B227" s="7" t="n"/>
      <c r="C227" s="7" t="n"/>
      <c r="D227" s="7" t="n"/>
      <c r="E227" s="6">
        <f>IF(OR(C227="",D227=""),"",IF(D227=1,C227,ROUND(C227*(1+D227/30),1)))</f>
        <v/>
      </c>
      <c r="F227" s="7" t="n"/>
    </row>
    <row r="228">
      <c r="A228" s="12" t="n"/>
      <c r="B228" s="7" t="n"/>
      <c r="C228" s="7" t="n"/>
      <c r="D228" s="7" t="n"/>
      <c r="E228" s="6">
        <f>IF(OR(C228="",D228=""),"",IF(D228=1,C228,ROUND(C228*(1+D228/30),1)))</f>
        <v/>
      </c>
      <c r="F228" s="7" t="n"/>
    </row>
    <row r="229">
      <c r="A229" s="12" t="n"/>
      <c r="B229" s="7" t="n"/>
      <c r="C229" s="7" t="n"/>
      <c r="D229" s="7" t="n"/>
      <c r="E229" s="6">
        <f>IF(OR(C229="",D229=""),"",IF(D229=1,C229,ROUND(C229*(1+D229/30),1)))</f>
        <v/>
      </c>
      <c r="F229" s="7" t="n"/>
    </row>
    <row r="230">
      <c r="A230" s="12" t="n"/>
      <c r="B230" s="7" t="n"/>
      <c r="C230" s="7" t="n"/>
      <c r="D230" s="7" t="n"/>
      <c r="E230" s="6">
        <f>IF(OR(C230="",D230=""),"",IF(D230=1,C230,ROUND(C230*(1+D230/30),1)))</f>
        <v/>
      </c>
      <c r="F230" s="7" t="n"/>
    </row>
    <row r="231">
      <c r="A231" s="12" t="n"/>
      <c r="B231" s="7" t="n"/>
      <c r="C231" s="7" t="n"/>
      <c r="D231" s="7" t="n"/>
      <c r="E231" s="6">
        <f>IF(OR(C231="",D231=""),"",IF(D231=1,C231,ROUND(C231*(1+D231/30),1)))</f>
        <v/>
      </c>
      <c r="F231" s="7" t="n"/>
    </row>
    <row r="232">
      <c r="A232" s="12" t="n"/>
      <c r="B232" s="7" t="n"/>
      <c r="C232" s="7" t="n"/>
      <c r="D232" s="7" t="n"/>
      <c r="E232" s="6">
        <f>IF(OR(C232="",D232=""),"",IF(D232=1,C232,ROUND(C232*(1+D232/30),1)))</f>
        <v/>
      </c>
      <c r="F232" s="7" t="n"/>
    </row>
    <row r="233">
      <c r="A233" s="12" t="n"/>
      <c r="B233" s="7" t="n"/>
      <c r="C233" s="7" t="n"/>
      <c r="D233" s="7" t="n"/>
      <c r="E233" s="6">
        <f>IF(OR(C233="",D233=""),"",IF(D233=1,C233,ROUND(C233*(1+D233/30),1)))</f>
        <v/>
      </c>
      <c r="F233" s="7" t="n"/>
    </row>
    <row r="234">
      <c r="A234" s="12" t="n"/>
      <c r="B234" s="7" t="n"/>
      <c r="C234" s="7" t="n"/>
      <c r="D234" s="7" t="n"/>
      <c r="E234" s="6">
        <f>IF(OR(C234="",D234=""),"",IF(D234=1,C234,ROUND(C234*(1+D234/30),1)))</f>
        <v/>
      </c>
      <c r="F234" s="7" t="n"/>
    </row>
    <row r="235">
      <c r="A235" s="12" t="n"/>
      <c r="B235" s="7" t="n"/>
      <c r="C235" s="7" t="n"/>
      <c r="D235" s="7" t="n"/>
      <c r="E235" s="6">
        <f>IF(OR(C235="",D235=""),"",IF(D235=1,C235,ROUND(C235*(1+D235/30),1)))</f>
        <v/>
      </c>
      <c r="F235" s="7" t="n"/>
    </row>
    <row r="236">
      <c r="A236" s="12" t="n"/>
      <c r="B236" s="7" t="n"/>
      <c r="C236" s="7" t="n"/>
      <c r="D236" s="7" t="n"/>
      <c r="E236" s="6">
        <f>IF(OR(C236="",D236=""),"",IF(D236=1,C236,ROUND(C236*(1+D236/30),1)))</f>
        <v/>
      </c>
      <c r="F236" s="7" t="n"/>
    </row>
    <row r="237">
      <c r="A237" s="12" t="n"/>
      <c r="B237" s="7" t="n"/>
      <c r="C237" s="7" t="n"/>
      <c r="D237" s="7" t="n"/>
      <c r="E237" s="6">
        <f>IF(OR(C237="",D237=""),"",IF(D237=1,C237,ROUND(C237*(1+D237/30),1)))</f>
        <v/>
      </c>
      <c r="F237" s="7" t="n"/>
    </row>
    <row r="238">
      <c r="A238" s="12" t="n"/>
      <c r="B238" s="7" t="n"/>
      <c r="C238" s="7" t="n"/>
      <c r="D238" s="7" t="n"/>
      <c r="E238" s="6">
        <f>IF(OR(C238="",D238=""),"",IF(D238=1,C238,ROUND(C238*(1+D238/30),1)))</f>
        <v/>
      </c>
      <c r="F238" s="7" t="n"/>
    </row>
    <row r="239">
      <c r="A239" s="12" t="n"/>
      <c r="B239" s="7" t="n"/>
      <c r="C239" s="7" t="n"/>
      <c r="D239" s="7" t="n"/>
      <c r="E239" s="6">
        <f>IF(OR(C239="",D239=""),"",IF(D239=1,C239,ROUND(C239*(1+D239/30),1)))</f>
        <v/>
      </c>
      <c r="F239" s="7" t="n"/>
    </row>
    <row r="240">
      <c r="A240" s="12" t="n"/>
      <c r="B240" s="7" t="n"/>
      <c r="C240" s="7" t="n"/>
      <c r="D240" s="7" t="n"/>
      <c r="E240" s="6">
        <f>IF(OR(C240="",D240=""),"",IF(D240=1,C240,ROUND(C240*(1+D240/30),1)))</f>
        <v/>
      </c>
      <c r="F240" s="7" t="n"/>
    </row>
    <row r="241">
      <c r="A241" s="12" t="n"/>
      <c r="B241" s="7" t="n"/>
      <c r="C241" s="7" t="n"/>
      <c r="D241" s="7" t="n"/>
      <c r="E241" s="6">
        <f>IF(OR(C241="",D241=""),"",IF(D241=1,C241,ROUND(C241*(1+D241/30),1)))</f>
        <v/>
      </c>
      <c r="F241" s="7" t="n"/>
    </row>
    <row r="242">
      <c r="A242" s="12" t="n"/>
      <c r="B242" s="7" t="n"/>
      <c r="C242" s="7" t="n"/>
      <c r="D242" s="7" t="n"/>
      <c r="E242" s="6">
        <f>IF(OR(C242="",D242=""),"",IF(D242=1,C242,ROUND(C242*(1+D242/30),1)))</f>
        <v/>
      </c>
      <c r="F242" s="7" t="n"/>
    </row>
    <row r="243">
      <c r="A243" s="12" t="n"/>
      <c r="B243" s="7" t="n"/>
      <c r="C243" s="7" t="n"/>
      <c r="D243" s="7" t="n"/>
      <c r="E243" s="6">
        <f>IF(OR(C243="",D243=""),"",IF(D243=1,C243,ROUND(C243*(1+D243/30),1)))</f>
        <v/>
      </c>
      <c r="F243" s="7" t="n"/>
    </row>
    <row r="244">
      <c r="A244" s="12" t="n"/>
      <c r="B244" s="7" t="n"/>
      <c r="C244" s="7" t="n"/>
      <c r="D244" s="7" t="n"/>
      <c r="E244" s="6">
        <f>IF(OR(C244="",D244=""),"",IF(D244=1,C244,ROUND(C244*(1+D244/30),1)))</f>
        <v/>
      </c>
      <c r="F244" s="7" t="n"/>
    </row>
    <row r="245">
      <c r="A245" s="12" t="n"/>
      <c r="B245" s="7" t="n"/>
      <c r="C245" s="7" t="n"/>
      <c r="D245" s="7" t="n"/>
      <c r="E245" s="6">
        <f>IF(OR(C245="",D245=""),"",IF(D245=1,C245,ROUND(C245*(1+D245/30),1)))</f>
        <v/>
      </c>
      <c r="F245" s="7" t="n"/>
    </row>
    <row r="246">
      <c r="A246" s="12" t="n"/>
      <c r="B246" s="7" t="n"/>
      <c r="C246" s="7" t="n"/>
      <c r="D246" s="7" t="n"/>
      <c r="E246" s="6">
        <f>IF(OR(C246="",D246=""),"",IF(D246=1,C246,ROUND(C246*(1+D246/30),1)))</f>
        <v/>
      </c>
      <c r="F246" s="7" t="n"/>
    </row>
    <row r="247">
      <c r="A247" s="12" t="n"/>
      <c r="B247" s="7" t="n"/>
      <c r="C247" s="7" t="n"/>
      <c r="D247" s="7" t="n"/>
      <c r="E247" s="6">
        <f>IF(OR(C247="",D247=""),"",IF(D247=1,C247,ROUND(C247*(1+D247/30),1)))</f>
        <v/>
      </c>
      <c r="F247" s="7" t="n"/>
    </row>
    <row r="248">
      <c r="A248" s="12" t="n"/>
      <c r="B248" s="7" t="n"/>
      <c r="C248" s="7" t="n"/>
      <c r="D248" s="7" t="n"/>
      <c r="E248" s="6">
        <f>IF(OR(C248="",D248=""),"",IF(D248=1,C248,ROUND(C248*(1+D248/30),1)))</f>
        <v/>
      </c>
      <c r="F248" s="7" t="n"/>
    </row>
    <row r="249">
      <c r="A249" s="12" t="n"/>
      <c r="B249" s="7" t="n"/>
      <c r="C249" s="7" t="n"/>
      <c r="D249" s="7" t="n"/>
      <c r="E249" s="6">
        <f>IF(OR(C249="",D249=""),"",IF(D249=1,C249,ROUND(C249*(1+D249/30),1)))</f>
        <v/>
      </c>
      <c r="F249" s="7" t="n"/>
    </row>
    <row r="250">
      <c r="A250" s="12" t="n"/>
      <c r="B250" s="7" t="n"/>
      <c r="C250" s="7" t="n"/>
      <c r="D250" s="7" t="n"/>
      <c r="E250" s="6">
        <f>IF(OR(C250="",D250=""),"",IF(D250=1,C250,ROUND(C250*(1+D250/30),1)))</f>
        <v/>
      </c>
      <c r="F250" s="7" t="n"/>
    </row>
    <row r="251">
      <c r="A251" s="12" t="n"/>
      <c r="B251" s="7" t="n"/>
      <c r="C251" s="7" t="n"/>
      <c r="D251" s="7" t="n"/>
      <c r="E251" s="6">
        <f>IF(OR(C251="",D251=""),"",IF(D251=1,C251,ROUND(C251*(1+D251/30),1)))</f>
        <v/>
      </c>
      <c r="F251" s="7" t="n"/>
    </row>
    <row r="252">
      <c r="A252" s="12" t="n"/>
      <c r="B252" s="7" t="n"/>
      <c r="C252" s="7" t="n"/>
      <c r="D252" s="7" t="n"/>
      <c r="E252" s="6">
        <f>IF(OR(C252="",D252=""),"",IF(D252=1,C252,ROUND(C252*(1+D252/30),1)))</f>
        <v/>
      </c>
      <c r="F252" s="7" t="n"/>
    </row>
    <row r="253">
      <c r="A253" s="12" t="n"/>
      <c r="B253" s="7" t="n"/>
      <c r="C253" s="7" t="n"/>
      <c r="D253" s="7" t="n"/>
      <c r="E253" s="6">
        <f>IF(OR(C253="",D253=""),"",IF(D253=1,C253,ROUND(C253*(1+D253/30),1)))</f>
        <v/>
      </c>
      <c r="F253" s="7" t="n"/>
    </row>
    <row r="254">
      <c r="A254" s="12" t="n"/>
      <c r="B254" s="7" t="n"/>
      <c r="C254" s="7" t="n"/>
      <c r="D254" s="7" t="n"/>
      <c r="E254" s="6">
        <f>IF(OR(C254="",D254=""),"",IF(D254=1,C254,ROUND(C254*(1+D254/30),1)))</f>
        <v/>
      </c>
      <c r="F254" s="7" t="n"/>
    </row>
    <row r="255">
      <c r="A255" s="12" t="n"/>
      <c r="B255" s="7" t="n"/>
      <c r="C255" s="7" t="n"/>
      <c r="D255" s="7" t="n"/>
      <c r="E255" s="6">
        <f>IF(OR(C255="",D255=""),"",IF(D255=1,C255,ROUND(C255*(1+D255/30),1)))</f>
        <v/>
      </c>
      <c r="F255" s="7" t="n"/>
    </row>
    <row r="256">
      <c r="A256" s="12" t="n"/>
      <c r="B256" s="7" t="n"/>
      <c r="C256" s="7" t="n"/>
      <c r="D256" s="7" t="n"/>
      <c r="E256" s="6">
        <f>IF(OR(C256="",D256=""),"",IF(D256=1,C256,ROUND(C256*(1+D256/30),1)))</f>
        <v/>
      </c>
      <c r="F256" s="7" t="n"/>
    </row>
    <row r="257">
      <c r="A257" s="12" t="n"/>
      <c r="B257" s="7" t="n"/>
      <c r="C257" s="7" t="n"/>
      <c r="D257" s="7" t="n"/>
      <c r="E257" s="6">
        <f>IF(OR(C257="",D257=""),"",IF(D257=1,C257,ROUND(C257*(1+D257/30),1)))</f>
        <v/>
      </c>
      <c r="F257" s="7" t="n"/>
    </row>
    <row r="258">
      <c r="A258" s="12" t="n"/>
      <c r="B258" s="7" t="n"/>
      <c r="C258" s="7" t="n"/>
      <c r="D258" s="7" t="n"/>
      <c r="E258" s="6">
        <f>IF(OR(C258="",D258=""),"",IF(D258=1,C258,ROUND(C258*(1+D258/30),1)))</f>
        <v/>
      </c>
      <c r="F258" s="7" t="n"/>
    </row>
    <row r="259">
      <c r="A259" s="12" t="n"/>
      <c r="B259" s="7" t="n"/>
      <c r="C259" s="7" t="n"/>
      <c r="D259" s="7" t="n"/>
      <c r="E259" s="6">
        <f>IF(OR(C259="",D259=""),"",IF(D259=1,C259,ROUND(C259*(1+D259/30),1)))</f>
        <v/>
      </c>
      <c r="F259" s="7" t="n"/>
    </row>
    <row r="260">
      <c r="A260" s="12" t="n"/>
      <c r="B260" s="7" t="n"/>
      <c r="C260" s="7" t="n"/>
      <c r="D260" s="7" t="n"/>
      <c r="E260" s="6">
        <f>IF(OR(C260="",D260=""),"",IF(D260=1,C260,ROUND(C260*(1+D260/30),1)))</f>
        <v/>
      </c>
      <c r="F260" s="7" t="n"/>
    </row>
    <row r="261">
      <c r="A261" s="12" t="n"/>
      <c r="B261" s="7" t="n"/>
      <c r="C261" s="7" t="n"/>
      <c r="D261" s="7" t="n"/>
      <c r="E261" s="6">
        <f>IF(OR(C261="",D261=""),"",IF(D261=1,C261,ROUND(C261*(1+D261/30),1)))</f>
        <v/>
      </c>
      <c r="F261" s="7" t="n"/>
    </row>
    <row r="262">
      <c r="A262" s="12" t="n"/>
      <c r="B262" s="7" t="n"/>
      <c r="C262" s="7" t="n"/>
      <c r="D262" s="7" t="n"/>
      <c r="E262" s="6">
        <f>IF(OR(C262="",D262=""),"",IF(D262=1,C262,ROUND(C262*(1+D262/30),1)))</f>
        <v/>
      </c>
      <c r="F262" s="7" t="n"/>
    </row>
    <row r="263">
      <c r="A263" s="12" t="n"/>
      <c r="B263" s="7" t="n"/>
      <c r="C263" s="7" t="n"/>
      <c r="D263" s="7" t="n"/>
      <c r="E263" s="6">
        <f>IF(OR(C263="",D263=""),"",IF(D263=1,C263,ROUND(C263*(1+D263/30),1)))</f>
        <v/>
      </c>
      <c r="F263" s="7" t="n"/>
    </row>
    <row r="264">
      <c r="A264" s="12" t="n"/>
      <c r="B264" s="7" t="n"/>
      <c r="C264" s="7" t="n"/>
      <c r="D264" s="7" t="n"/>
      <c r="E264" s="6">
        <f>IF(OR(C264="",D264=""),"",IF(D264=1,C264,ROUND(C264*(1+D264/30),1)))</f>
        <v/>
      </c>
      <c r="F264" s="7" t="n"/>
    </row>
    <row r="265">
      <c r="A265" s="12" t="n"/>
      <c r="B265" s="7" t="n"/>
      <c r="C265" s="7" t="n"/>
      <c r="D265" s="7" t="n"/>
      <c r="E265" s="6">
        <f>IF(OR(C265="",D265=""),"",IF(D265=1,C265,ROUND(C265*(1+D265/30),1)))</f>
        <v/>
      </c>
      <c r="F265" s="7" t="n"/>
    </row>
    <row r="266">
      <c r="A266" s="12" t="n"/>
      <c r="B266" s="7" t="n"/>
      <c r="C266" s="7" t="n"/>
      <c r="D266" s="7" t="n"/>
      <c r="E266" s="6">
        <f>IF(OR(C266="",D266=""),"",IF(D266=1,C266,ROUND(C266*(1+D266/30),1)))</f>
        <v/>
      </c>
      <c r="F266" s="7" t="n"/>
    </row>
    <row r="267">
      <c r="A267" s="12" t="n"/>
      <c r="B267" s="7" t="n"/>
      <c r="C267" s="7" t="n"/>
      <c r="D267" s="7" t="n"/>
      <c r="E267" s="6">
        <f>IF(OR(C267="",D267=""),"",IF(D267=1,C267,ROUND(C267*(1+D267/30),1)))</f>
        <v/>
      </c>
      <c r="F267" s="7" t="n"/>
    </row>
    <row r="268">
      <c r="A268" s="12" t="n"/>
      <c r="B268" s="7" t="n"/>
      <c r="C268" s="7" t="n"/>
      <c r="D268" s="7" t="n"/>
      <c r="E268" s="6">
        <f>IF(OR(C268="",D268=""),"",IF(D268=1,C268,ROUND(C268*(1+D268/30),1)))</f>
        <v/>
      </c>
      <c r="F268" s="7" t="n"/>
    </row>
    <row r="269">
      <c r="A269" s="12" t="n"/>
      <c r="B269" s="7" t="n"/>
      <c r="C269" s="7" t="n"/>
      <c r="D269" s="7" t="n"/>
      <c r="E269" s="6">
        <f>IF(OR(C269="",D269=""),"",IF(D269=1,C269,ROUND(C269*(1+D269/30),1)))</f>
        <v/>
      </c>
      <c r="F269" s="7" t="n"/>
    </row>
    <row r="270">
      <c r="A270" s="12" t="n"/>
      <c r="B270" s="7" t="n"/>
      <c r="C270" s="7" t="n"/>
      <c r="D270" s="7" t="n"/>
      <c r="E270" s="6">
        <f>IF(OR(C270="",D270=""),"",IF(D270=1,C270,ROUND(C270*(1+D270/30),1)))</f>
        <v/>
      </c>
      <c r="F270" s="7" t="n"/>
    </row>
    <row r="271">
      <c r="A271" s="12" t="n"/>
      <c r="B271" s="7" t="n"/>
      <c r="C271" s="7" t="n"/>
      <c r="D271" s="7" t="n"/>
      <c r="E271" s="6">
        <f>IF(OR(C271="",D271=""),"",IF(D271=1,C271,ROUND(C271*(1+D271/30),1)))</f>
        <v/>
      </c>
      <c r="F271" s="7" t="n"/>
    </row>
    <row r="272">
      <c r="A272" s="12" t="n"/>
      <c r="B272" s="7" t="n"/>
      <c r="C272" s="7" t="n"/>
      <c r="D272" s="7" t="n"/>
      <c r="E272" s="6">
        <f>IF(OR(C272="",D272=""),"",IF(D272=1,C272,ROUND(C272*(1+D272/30),1)))</f>
        <v/>
      </c>
      <c r="F272" s="7" t="n"/>
    </row>
    <row r="273">
      <c r="A273" s="12" t="n"/>
      <c r="B273" s="7" t="n"/>
      <c r="C273" s="7" t="n"/>
      <c r="D273" s="7" t="n"/>
      <c r="E273" s="6">
        <f>IF(OR(C273="",D273=""),"",IF(D273=1,C273,ROUND(C273*(1+D273/30),1)))</f>
        <v/>
      </c>
      <c r="F273" s="7" t="n"/>
    </row>
    <row r="274">
      <c r="A274" s="12" t="n"/>
      <c r="B274" s="7" t="n"/>
      <c r="C274" s="7" t="n"/>
      <c r="D274" s="7" t="n"/>
      <c r="E274" s="6">
        <f>IF(OR(C274="",D274=""),"",IF(D274=1,C274,ROUND(C274*(1+D274/30),1)))</f>
        <v/>
      </c>
      <c r="F274" s="7" t="n"/>
    </row>
    <row r="275">
      <c r="A275" s="12" t="n"/>
      <c r="B275" s="7" t="n"/>
      <c r="C275" s="7" t="n"/>
      <c r="D275" s="7" t="n"/>
      <c r="E275" s="6">
        <f>IF(OR(C275="",D275=""),"",IF(D275=1,C275,ROUND(C275*(1+D275/30),1)))</f>
        <v/>
      </c>
      <c r="F275" s="7" t="n"/>
    </row>
    <row r="276">
      <c r="A276" s="12" t="n"/>
      <c r="B276" s="7" t="n"/>
      <c r="C276" s="7" t="n"/>
      <c r="D276" s="7" t="n"/>
      <c r="E276" s="6">
        <f>IF(OR(C276="",D276=""),"",IF(D276=1,C276,ROUND(C276*(1+D276/30),1)))</f>
        <v/>
      </c>
      <c r="F276" s="7" t="n"/>
    </row>
    <row r="277">
      <c r="A277" s="12" t="n"/>
      <c r="B277" s="7" t="n"/>
      <c r="C277" s="7" t="n"/>
      <c r="D277" s="7" t="n"/>
      <c r="E277" s="6">
        <f>IF(OR(C277="",D277=""),"",IF(D277=1,C277,ROUND(C277*(1+D277/30),1)))</f>
        <v/>
      </c>
      <c r="F277" s="7" t="n"/>
    </row>
    <row r="278">
      <c r="A278" s="12" t="n"/>
      <c r="B278" s="7" t="n"/>
      <c r="C278" s="7" t="n"/>
      <c r="D278" s="7" t="n"/>
      <c r="E278" s="6">
        <f>IF(OR(C278="",D278=""),"",IF(D278=1,C278,ROUND(C278*(1+D278/30),1)))</f>
        <v/>
      </c>
      <c r="F278" s="7" t="n"/>
    </row>
    <row r="279">
      <c r="A279" s="12" t="n"/>
      <c r="B279" s="7" t="n"/>
      <c r="C279" s="7" t="n"/>
      <c r="D279" s="7" t="n"/>
      <c r="E279" s="6">
        <f>IF(OR(C279="",D279=""),"",IF(D279=1,C279,ROUND(C279*(1+D279/30),1)))</f>
        <v/>
      </c>
      <c r="F279" s="7" t="n"/>
    </row>
    <row r="280">
      <c r="A280" s="12" t="n"/>
      <c r="B280" s="7" t="n"/>
      <c r="C280" s="7" t="n"/>
      <c r="D280" s="7" t="n"/>
      <c r="E280" s="6">
        <f>IF(OR(C280="",D280=""),"",IF(D280=1,C280,ROUND(C280*(1+D280/30),1)))</f>
        <v/>
      </c>
      <c r="F280" s="7" t="n"/>
    </row>
    <row r="281">
      <c r="A281" s="12" t="n"/>
      <c r="B281" s="7" t="n"/>
      <c r="C281" s="7" t="n"/>
      <c r="D281" s="7" t="n"/>
      <c r="E281" s="6">
        <f>IF(OR(C281="",D281=""),"",IF(D281=1,C281,ROUND(C281*(1+D281/30),1)))</f>
        <v/>
      </c>
      <c r="F281" s="7" t="n"/>
    </row>
    <row r="282">
      <c r="A282" s="12" t="n"/>
      <c r="B282" s="7" t="n"/>
      <c r="C282" s="7" t="n"/>
      <c r="D282" s="7" t="n"/>
      <c r="E282" s="6">
        <f>IF(OR(C282="",D282=""),"",IF(D282=1,C282,ROUND(C282*(1+D282/30),1)))</f>
        <v/>
      </c>
      <c r="F282" s="7" t="n"/>
    </row>
    <row r="283">
      <c r="A283" s="12" t="n"/>
      <c r="B283" s="7" t="n"/>
      <c r="C283" s="7" t="n"/>
      <c r="D283" s="7" t="n"/>
      <c r="E283" s="6">
        <f>IF(OR(C283="",D283=""),"",IF(D283=1,C283,ROUND(C283*(1+D283/30),1)))</f>
        <v/>
      </c>
      <c r="F283" s="7" t="n"/>
    </row>
    <row r="284">
      <c r="A284" s="12" t="n"/>
      <c r="B284" s="7" t="n"/>
      <c r="C284" s="7" t="n"/>
      <c r="D284" s="7" t="n"/>
      <c r="E284" s="6">
        <f>IF(OR(C284="",D284=""),"",IF(D284=1,C284,ROUND(C284*(1+D284/30),1)))</f>
        <v/>
      </c>
      <c r="F284" s="7" t="n"/>
    </row>
    <row r="285">
      <c r="A285" s="12" t="n"/>
      <c r="B285" s="7" t="n"/>
      <c r="C285" s="7" t="n"/>
      <c r="D285" s="7" t="n"/>
      <c r="E285" s="6">
        <f>IF(OR(C285="",D285=""),"",IF(D285=1,C285,ROUND(C285*(1+D285/30),1)))</f>
        <v/>
      </c>
      <c r="F285" s="7" t="n"/>
    </row>
    <row r="286">
      <c r="A286" s="12" t="n"/>
      <c r="B286" s="7" t="n"/>
      <c r="C286" s="7" t="n"/>
      <c r="D286" s="7" t="n"/>
      <c r="E286" s="6">
        <f>IF(OR(C286="",D286=""),"",IF(D286=1,C286,ROUND(C286*(1+D286/30),1)))</f>
        <v/>
      </c>
      <c r="F286" s="7" t="n"/>
    </row>
    <row r="287">
      <c r="A287" s="12" t="n"/>
      <c r="B287" s="7" t="n"/>
      <c r="C287" s="7" t="n"/>
      <c r="D287" s="7" t="n"/>
      <c r="E287" s="6">
        <f>IF(OR(C287="",D287=""),"",IF(D287=1,C287,ROUND(C287*(1+D287/30),1)))</f>
        <v/>
      </c>
      <c r="F287" s="7" t="n"/>
    </row>
    <row r="288">
      <c r="A288" s="12" t="n"/>
      <c r="B288" s="7" t="n"/>
      <c r="C288" s="7" t="n"/>
      <c r="D288" s="7" t="n"/>
      <c r="E288" s="6">
        <f>IF(OR(C288="",D288=""),"",IF(D288=1,C288,ROUND(C288*(1+D288/30),1)))</f>
        <v/>
      </c>
      <c r="F288" s="7" t="n"/>
    </row>
    <row r="289">
      <c r="A289" s="12" t="n"/>
      <c r="B289" s="7" t="n"/>
      <c r="C289" s="7" t="n"/>
      <c r="D289" s="7" t="n"/>
      <c r="E289" s="6">
        <f>IF(OR(C289="",D289=""),"",IF(D289=1,C289,ROUND(C289*(1+D289/30),1)))</f>
        <v/>
      </c>
      <c r="F289" s="7" t="n"/>
    </row>
    <row r="290">
      <c r="A290" s="12" t="n"/>
      <c r="B290" s="7" t="n"/>
      <c r="C290" s="7" t="n"/>
      <c r="D290" s="7" t="n"/>
      <c r="E290" s="6">
        <f>IF(OR(C290="",D290=""),"",IF(D290=1,C290,ROUND(C290*(1+D290/30),1)))</f>
        <v/>
      </c>
      <c r="F290" s="7" t="n"/>
    </row>
    <row r="291">
      <c r="A291" s="12" t="n"/>
      <c r="B291" s="7" t="n"/>
      <c r="C291" s="7" t="n"/>
      <c r="D291" s="7" t="n"/>
      <c r="E291" s="6">
        <f>IF(OR(C291="",D291=""),"",IF(D291=1,C291,ROUND(C291*(1+D291/30),1)))</f>
        <v/>
      </c>
      <c r="F291" s="7" t="n"/>
    </row>
    <row r="292">
      <c r="A292" s="12" t="n"/>
      <c r="B292" s="7" t="n"/>
      <c r="C292" s="7" t="n"/>
      <c r="D292" s="7" t="n"/>
      <c r="E292" s="6">
        <f>IF(OR(C292="",D292=""),"",IF(D292=1,C292,ROUND(C292*(1+D292/30),1)))</f>
        <v/>
      </c>
      <c r="F292" s="7" t="n"/>
    </row>
    <row r="293">
      <c r="A293" s="12" t="n"/>
      <c r="B293" s="7" t="n"/>
      <c r="C293" s="7" t="n"/>
      <c r="D293" s="7" t="n"/>
      <c r="E293" s="6">
        <f>IF(OR(C293="",D293=""),"",IF(D293=1,C293,ROUND(C293*(1+D293/30),1)))</f>
        <v/>
      </c>
      <c r="F293" s="7" t="n"/>
    </row>
    <row r="294">
      <c r="A294" s="12" t="n"/>
      <c r="B294" s="7" t="n"/>
      <c r="C294" s="7" t="n"/>
      <c r="D294" s="7" t="n"/>
      <c r="E294" s="6">
        <f>IF(OR(C294="",D294=""),"",IF(D294=1,C294,ROUND(C294*(1+D294/30),1)))</f>
        <v/>
      </c>
      <c r="F294" s="7" t="n"/>
    </row>
    <row r="295">
      <c r="A295" s="12" t="n"/>
      <c r="B295" s="7" t="n"/>
      <c r="C295" s="7" t="n"/>
      <c r="D295" s="7" t="n"/>
      <c r="E295" s="6">
        <f>IF(OR(C295="",D295=""),"",IF(D295=1,C295,ROUND(C295*(1+D295/30),1)))</f>
        <v/>
      </c>
      <c r="F295" s="7" t="n"/>
    </row>
    <row r="296">
      <c r="A296" s="12" t="n"/>
      <c r="B296" s="7" t="n"/>
      <c r="C296" s="7" t="n"/>
      <c r="D296" s="7" t="n"/>
      <c r="E296" s="6">
        <f>IF(OR(C296="",D296=""),"",IF(D296=1,C296,ROUND(C296*(1+D296/30),1)))</f>
        <v/>
      </c>
      <c r="F296" s="7" t="n"/>
    </row>
    <row r="297">
      <c r="A297" s="12" t="n"/>
      <c r="B297" s="7" t="n"/>
      <c r="C297" s="7" t="n"/>
      <c r="D297" s="7" t="n"/>
      <c r="E297" s="6">
        <f>IF(OR(C297="",D297=""),"",IF(D297=1,C297,ROUND(C297*(1+D297/30),1)))</f>
        <v/>
      </c>
      <c r="F297" s="7" t="n"/>
    </row>
    <row r="298">
      <c r="A298" s="12" t="n"/>
      <c r="B298" s="7" t="n"/>
      <c r="C298" s="7" t="n"/>
      <c r="D298" s="7" t="n"/>
      <c r="E298" s="6">
        <f>IF(OR(C298="",D298=""),"",IF(D298=1,C298,ROUND(C298*(1+D298/30),1)))</f>
        <v/>
      </c>
      <c r="F298" s="7" t="n"/>
    </row>
    <row r="299">
      <c r="A299" s="12" t="n"/>
      <c r="B299" s="7" t="n"/>
      <c r="C299" s="7" t="n"/>
      <c r="D299" s="7" t="n"/>
      <c r="E299" s="6">
        <f>IF(OR(C299="",D299=""),"",IF(D299=1,C299,ROUND(C299*(1+D299/30),1)))</f>
        <v/>
      </c>
      <c r="F299" s="7" t="n"/>
    </row>
    <row r="300">
      <c r="A300" s="12" t="n"/>
      <c r="B300" s="7" t="n"/>
      <c r="C300" s="7" t="n"/>
      <c r="D300" s="7" t="n"/>
      <c r="E300" s="6">
        <f>IF(OR(C300="",D300=""),"",IF(D300=1,C300,ROUND(C300*(1+D300/30),1)))</f>
        <v/>
      </c>
      <c r="F300" s="7" t="n"/>
    </row>
    <row r="301">
      <c r="A301" s="12" t="n"/>
      <c r="B301" s="7" t="n"/>
      <c r="C301" s="7" t="n"/>
      <c r="D301" s="7" t="n"/>
      <c r="E301" s="6">
        <f>IF(OR(C301="",D301=""),"",IF(D301=1,C301,ROUND(C301*(1+D301/30),1)))</f>
        <v/>
      </c>
      <c r="F301" s="7" t="n"/>
    </row>
    <row r="302">
      <c r="A302" s="12" t="n"/>
      <c r="B302" s="7" t="n"/>
      <c r="C302" s="7" t="n"/>
      <c r="D302" s="7" t="n"/>
      <c r="E302" s="6">
        <f>IF(OR(C302="",D302=""),"",IF(D302=1,C302,ROUND(C302*(1+D302/30),1)))</f>
        <v/>
      </c>
      <c r="F302" s="7" t="n"/>
    </row>
    <row r="303">
      <c r="A303" s="12" t="n"/>
      <c r="B303" s="7" t="n"/>
      <c r="C303" s="7" t="n"/>
      <c r="D303" s="7" t="n"/>
      <c r="E303" s="6">
        <f>IF(OR(C303="",D303=""),"",IF(D303=1,C303,ROUND(C303*(1+D303/30),1)))</f>
        <v/>
      </c>
      <c r="F303" s="7" t="n"/>
    </row>
    <row r="304">
      <c r="A304" s="12" t="n"/>
      <c r="B304" s="7" t="n"/>
      <c r="C304" s="7" t="n"/>
      <c r="D304" s="7" t="n"/>
      <c r="E304" s="6">
        <f>IF(OR(C304="",D304=""),"",IF(D304=1,C304,ROUND(C304*(1+D304/30),1)))</f>
        <v/>
      </c>
      <c r="F304" s="7" t="n"/>
    </row>
    <row r="305">
      <c r="A305" s="12" t="n"/>
      <c r="B305" s="7" t="n"/>
      <c r="C305" s="7" t="n"/>
      <c r="D305" s="7" t="n"/>
      <c r="E305" s="6">
        <f>IF(OR(C305="",D305=""),"",IF(D305=1,C305,ROUND(C305*(1+D305/30),1)))</f>
        <v/>
      </c>
      <c r="F305" s="7" t="n"/>
    </row>
    <row r="306">
      <c r="A306" s="12" t="n"/>
      <c r="B306" s="7" t="n"/>
      <c r="C306" s="7" t="n"/>
      <c r="D306" s="7" t="n"/>
      <c r="E306" s="6">
        <f>IF(OR(C306="",D306=""),"",IF(D306=1,C306,ROUND(C306*(1+D306/30),1)))</f>
        <v/>
      </c>
      <c r="F306" s="7" t="n"/>
    </row>
    <row r="307">
      <c r="A307" s="12" t="n"/>
      <c r="B307" s="7" t="n"/>
      <c r="C307" s="7" t="n"/>
      <c r="D307" s="7" t="n"/>
      <c r="E307" s="6">
        <f>IF(OR(C307="",D307=""),"",IF(D307=1,C307,ROUND(C307*(1+D307/30),1)))</f>
        <v/>
      </c>
      <c r="F307" s="7" t="n"/>
    </row>
    <row r="308">
      <c r="A308" s="12" t="n"/>
      <c r="B308" s="7" t="n"/>
      <c r="C308" s="7" t="n"/>
      <c r="D308" s="7" t="n"/>
      <c r="E308" s="6">
        <f>IF(OR(C308="",D308=""),"",IF(D308=1,C308,ROUND(C308*(1+D308/30),1)))</f>
        <v/>
      </c>
      <c r="F308" s="7" t="n"/>
    </row>
    <row r="309">
      <c r="A309" s="12" t="n"/>
      <c r="B309" s="7" t="n"/>
      <c r="C309" s="7" t="n"/>
      <c r="D309" s="7" t="n"/>
      <c r="E309" s="6">
        <f>IF(OR(C309="",D309=""),"",IF(D309=1,C309,ROUND(C309*(1+D309/30),1)))</f>
        <v/>
      </c>
      <c r="F309" s="7" t="n"/>
    </row>
    <row r="310">
      <c r="A310" s="12" t="n"/>
      <c r="B310" s="7" t="n"/>
      <c r="C310" s="7" t="n"/>
      <c r="D310" s="7" t="n"/>
      <c r="E310" s="6">
        <f>IF(OR(C310="",D310=""),"",IF(D310=1,C310,ROUND(C310*(1+D310/30),1)))</f>
        <v/>
      </c>
      <c r="F310" s="7" t="n"/>
    </row>
    <row r="311">
      <c r="A311" s="12" t="n"/>
      <c r="B311" s="7" t="n"/>
      <c r="C311" s="7" t="n"/>
      <c r="D311" s="7" t="n"/>
      <c r="E311" s="6">
        <f>IF(OR(C311="",D311=""),"",IF(D311=1,C311,ROUND(C311*(1+D311/30),1)))</f>
        <v/>
      </c>
      <c r="F311" s="7" t="n"/>
    </row>
    <row r="312">
      <c r="A312" s="12" t="n"/>
      <c r="B312" s="7" t="n"/>
      <c r="C312" s="7" t="n"/>
      <c r="D312" s="7" t="n"/>
      <c r="E312" s="6">
        <f>IF(OR(C312="",D312=""),"",IF(D312=1,C312,ROUND(C312*(1+D312/30),1)))</f>
        <v/>
      </c>
      <c r="F312" s="7" t="n"/>
    </row>
    <row r="313">
      <c r="A313" s="12" t="n"/>
      <c r="B313" s="7" t="n"/>
      <c r="C313" s="7" t="n"/>
      <c r="D313" s="7" t="n"/>
      <c r="E313" s="6">
        <f>IF(OR(C313="",D313=""),"",IF(D313=1,C313,ROUND(C313*(1+D313/30),1)))</f>
        <v/>
      </c>
      <c r="F313" s="7" t="n"/>
    </row>
    <row r="314">
      <c r="A314" s="12" t="n"/>
      <c r="B314" s="7" t="n"/>
      <c r="C314" s="7" t="n"/>
      <c r="D314" s="7" t="n"/>
      <c r="E314" s="6">
        <f>IF(OR(C314="",D314=""),"",IF(D314=1,C314,ROUND(C314*(1+D314/30),1)))</f>
        <v/>
      </c>
      <c r="F314" s="7" t="n"/>
    </row>
    <row r="315">
      <c r="A315" s="12" t="n"/>
      <c r="B315" s="7" t="n"/>
      <c r="C315" s="7" t="n"/>
      <c r="D315" s="7" t="n"/>
      <c r="E315" s="6">
        <f>IF(OR(C315="",D315=""),"",IF(D315=1,C315,ROUND(C315*(1+D315/30),1)))</f>
        <v/>
      </c>
      <c r="F315" s="7" t="n"/>
    </row>
    <row r="316">
      <c r="A316" s="12" t="n"/>
      <c r="B316" s="7" t="n"/>
      <c r="C316" s="7" t="n"/>
      <c r="D316" s="7" t="n"/>
      <c r="E316" s="6">
        <f>IF(OR(C316="",D316=""),"",IF(D316=1,C316,ROUND(C316*(1+D316/30),1)))</f>
        <v/>
      </c>
      <c r="F316" s="7" t="n"/>
    </row>
    <row r="317">
      <c r="A317" s="12" t="n"/>
      <c r="B317" s="7" t="n"/>
      <c r="C317" s="7" t="n"/>
      <c r="D317" s="7" t="n"/>
      <c r="E317" s="6">
        <f>IF(OR(C317="",D317=""),"",IF(D317=1,C317,ROUND(C317*(1+D317/30),1)))</f>
        <v/>
      </c>
      <c r="F317" s="7" t="n"/>
    </row>
    <row r="318">
      <c r="A318" s="12" t="n"/>
      <c r="B318" s="7" t="n"/>
      <c r="C318" s="7" t="n"/>
      <c r="D318" s="7" t="n"/>
      <c r="E318" s="6">
        <f>IF(OR(C318="",D318=""),"",IF(D318=1,C318,ROUND(C318*(1+D318/30),1)))</f>
        <v/>
      </c>
      <c r="F318" s="7" t="n"/>
    </row>
    <row r="319">
      <c r="A319" s="12" t="n"/>
      <c r="B319" s="7" t="n"/>
      <c r="C319" s="7" t="n"/>
      <c r="D319" s="7" t="n"/>
      <c r="E319" s="6">
        <f>IF(OR(C319="",D319=""),"",IF(D319=1,C319,ROUND(C319*(1+D319/30),1)))</f>
        <v/>
      </c>
      <c r="F319" s="7" t="n"/>
    </row>
    <row r="320">
      <c r="A320" s="12" t="n"/>
      <c r="B320" s="7" t="n"/>
      <c r="C320" s="7" t="n"/>
      <c r="D320" s="7" t="n"/>
      <c r="E320" s="6">
        <f>IF(OR(C320="",D320=""),"",IF(D320=1,C320,ROUND(C320*(1+D320/30),1)))</f>
        <v/>
      </c>
      <c r="F320" s="7" t="n"/>
    </row>
    <row r="321">
      <c r="A321" s="12" t="n"/>
      <c r="B321" s="7" t="n"/>
      <c r="C321" s="7" t="n"/>
      <c r="D321" s="7" t="n"/>
      <c r="E321" s="6">
        <f>IF(OR(C321="",D321=""),"",IF(D321=1,C321,ROUND(C321*(1+D321/30),1)))</f>
        <v/>
      </c>
      <c r="F321" s="7" t="n"/>
    </row>
    <row r="322">
      <c r="A322" s="12" t="n"/>
      <c r="B322" s="7" t="n"/>
      <c r="C322" s="7" t="n"/>
      <c r="D322" s="7" t="n"/>
      <c r="E322" s="6">
        <f>IF(OR(C322="",D322=""),"",IF(D322=1,C322,ROUND(C322*(1+D322/30),1)))</f>
        <v/>
      </c>
      <c r="F322" s="7" t="n"/>
    </row>
    <row r="323">
      <c r="A323" s="12" t="n"/>
      <c r="B323" s="7" t="n"/>
      <c r="C323" s="7" t="n"/>
      <c r="D323" s="7" t="n"/>
      <c r="E323" s="6">
        <f>IF(OR(C323="",D323=""),"",IF(D323=1,C323,ROUND(C323*(1+D323/30),1)))</f>
        <v/>
      </c>
      <c r="F323" s="7" t="n"/>
    </row>
    <row r="324">
      <c r="A324" s="12" t="n"/>
      <c r="B324" s="7" t="n"/>
      <c r="C324" s="7" t="n"/>
      <c r="D324" s="7" t="n"/>
      <c r="E324" s="6">
        <f>IF(OR(C324="",D324=""),"",IF(D324=1,C324,ROUND(C324*(1+D324/30),1)))</f>
        <v/>
      </c>
      <c r="F324" s="7" t="n"/>
    </row>
    <row r="325">
      <c r="A325" s="12" t="n"/>
      <c r="B325" s="7" t="n"/>
      <c r="C325" s="7" t="n"/>
      <c r="D325" s="7" t="n"/>
      <c r="E325" s="6">
        <f>IF(OR(C325="",D325=""),"",IF(D325=1,C325,ROUND(C325*(1+D325/30),1)))</f>
        <v/>
      </c>
      <c r="F325" s="7" t="n"/>
    </row>
    <row r="326">
      <c r="A326" s="12" t="n"/>
      <c r="B326" s="7" t="n"/>
      <c r="C326" s="7" t="n"/>
      <c r="D326" s="7" t="n"/>
      <c r="E326" s="6">
        <f>IF(OR(C326="",D326=""),"",IF(D326=1,C326,ROUND(C326*(1+D326/30),1)))</f>
        <v/>
      </c>
      <c r="F326" s="7" t="n"/>
    </row>
    <row r="327">
      <c r="A327" s="12" t="n"/>
      <c r="B327" s="7" t="n"/>
      <c r="C327" s="7" t="n"/>
      <c r="D327" s="7" t="n"/>
      <c r="E327" s="6">
        <f>IF(OR(C327="",D327=""),"",IF(D327=1,C327,ROUND(C327*(1+D327/30),1)))</f>
        <v/>
      </c>
      <c r="F327" s="7" t="n"/>
    </row>
    <row r="328">
      <c r="A328" s="12" t="n"/>
      <c r="B328" s="7" t="n"/>
      <c r="C328" s="7" t="n"/>
      <c r="D328" s="7" t="n"/>
      <c r="E328" s="6">
        <f>IF(OR(C328="",D328=""),"",IF(D328=1,C328,ROUND(C328*(1+D328/30),1)))</f>
        <v/>
      </c>
      <c r="F328" s="7" t="n"/>
    </row>
    <row r="329">
      <c r="A329" s="12" t="n"/>
      <c r="B329" s="7" t="n"/>
      <c r="C329" s="7" t="n"/>
      <c r="D329" s="7" t="n"/>
      <c r="E329" s="6">
        <f>IF(OR(C329="",D329=""),"",IF(D329=1,C329,ROUND(C329*(1+D329/30),1)))</f>
        <v/>
      </c>
      <c r="F329" s="7" t="n"/>
    </row>
    <row r="330">
      <c r="A330" s="12" t="n"/>
      <c r="B330" s="7" t="n"/>
      <c r="C330" s="7" t="n"/>
      <c r="D330" s="7" t="n"/>
      <c r="E330" s="6">
        <f>IF(OR(C330="",D330=""),"",IF(D330=1,C330,ROUND(C330*(1+D330/30),1)))</f>
        <v/>
      </c>
      <c r="F330" s="7" t="n"/>
    </row>
    <row r="331">
      <c r="A331" s="12" t="n"/>
      <c r="B331" s="7" t="n"/>
      <c r="C331" s="7" t="n"/>
      <c r="D331" s="7" t="n"/>
      <c r="E331" s="6">
        <f>IF(OR(C331="",D331=""),"",IF(D331=1,C331,ROUND(C331*(1+D331/30),1)))</f>
        <v/>
      </c>
      <c r="F331" s="7" t="n"/>
    </row>
    <row r="332">
      <c r="A332" s="12" t="n"/>
      <c r="B332" s="7" t="n"/>
      <c r="C332" s="7" t="n"/>
      <c r="D332" s="7" t="n"/>
      <c r="E332" s="6">
        <f>IF(OR(C332="",D332=""),"",IF(D332=1,C332,ROUND(C332*(1+D332/30),1)))</f>
        <v/>
      </c>
      <c r="F332" s="7" t="n"/>
    </row>
    <row r="333">
      <c r="A333" s="12" t="n"/>
      <c r="B333" s="7" t="n"/>
      <c r="C333" s="7" t="n"/>
      <c r="D333" s="7" t="n"/>
      <c r="E333" s="6">
        <f>IF(OR(C333="",D333=""),"",IF(D333=1,C333,ROUND(C333*(1+D333/30),1)))</f>
        <v/>
      </c>
      <c r="F333" s="7" t="n"/>
    </row>
    <row r="334">
      <c r="A334" s="12" t="n"/>
      <c r="B334" s="7" t="n"/>
      <c r="C334" s="7" t="n"/>
      <c r="D334" s="7" t="n"/>
      <c r="E334" s="6">
        <f>IF(OR(C334="",D334=""),"",IF(D334=1,C334,ROUND(C334*(1+D334/30),1)))</f>
        <v/>
      </c>
      <c r="F334" s="7" t="n"/>
    </row>
    <row r="335">
      <c r="A335" s="12" t="n"/>
      <c r="B335" s="7" t="n"/>
      <c r="C335" s="7" t="n"/>
      <c r="D335" s="7" t="n"/>
      <c r="E335" s="6">
        <f>IF(OR(C335="",D335=""),"",IF(D335=1,C335,ROUND(C335*(1+D335/30),1)))</f>
        <v/>
      </c>
      <c r="F335" s="7" t="n"/>
    </row>
    <row r="336">
      <c r="A336" s="12" t="n"/>
      <c r="B336" s="7" t="n"/>
      <c r="C336" s="7" t="n"/>
      <c r="D336" s="7" t="n"/>
      <c r="E336" s="6">
        <f>IF(OR(C336="",D336=""),"",IF(D336=1,C336,ROUND(C336*(1+D336/30),1)))</f>
        <v/>
      </c>
      <c r="F336" s="7" t="n"/>
    </row>
    <row r="337">
      <c r="A337" s="12" t="n"/>
      <c r="B337" s="7" t="n"/>
      <c r="C337" s="7" t="n"/>
      <c r="D337" s="7" t="n"/>
      <c r="E337" s="6">
        <f>IF(OR(C337="",D337=""),"",IF(D337=1,C337,ROUND(C337*(1+D337/30),1)))</f>
        <v/>
      </c>
      <c r="F337" s="7" t="n"/>
    </row>
    <row r="338">
      <c r="A338" s="12" t="n"/>
      <c r="B338" s="7" t="n"/>
      <c r="C338" s="7" t="n"/>
      <c r="D338" s="7" t="n"/>
      <c r="E338" s="6">
        <f>IF(OR(C338="",D338=""),"",IF(D338=1,C338,ROUND(C338*(1+D338/30),1)))</f>
        <v/>
      </c>
      <c r="F338" s="7" t="n"/>
    </row>
    <row r="339">
      <c r="A339" s="12" t="n"/>
      <c r="B339" s="7" t="n"/>
      <c r="C339" s="7" t="n"/>
      <c r="D339" s="7" t="n"/>
      <c r="E339" s="6">
        <f>IF(OR(C339="",D339=""),"",IF(D339=1,C339,ROUND(C339*(1+D339/30),1)))</f>
        <v/>
      </c>
      <c r="F339" s="7" t="n"/>
    </row>
    <row r="340">
      <c r="A340" s="12" t="n"/>
      <c r="B340" s="7" t="n"/>
      <c r="C340" s="7" t="n"/>
      <c r="D340" s="7" t="n"/>
      <c r="E340" s="6">
        <f>IF(OR(C340="",D340=""),"",IF(D340=1,C340,ROUND(C340*(1+D340/30),1)))</f>
        <v/>
      </c>
      <c r="F340" s="7" t="n"/>
    </row>
    <row r="341">
      <c r="A341" s="12" t="n"/>
      <c r="B341" s="7" t="n"/>
      <c r="C341" s="7" t="n"/>
      <c r="D341" s="7" t="n"/>
      <c r="E341" s="6">
        <f>IF(OR(C341="",D341=""),"",IF(D341=1,C341,ROUND(C341*(1+D341/30),1)))</f>
        <v/>
      </c>
      <c r="F341" s="7" t="n"/>
    </row>
    <row r="342">
      <c r="A342" s="12" t="n"/>
      <c r="B342" s="7" t="n"/>
      <c r="C342" s="7" t="n"/>
      <c r="D342" s="7" t="n"/>
      <c r="E342" s="6">
        <f>IF(OR(C342="",D342=""),"",IF(D342=1,C342,ROUND(C342*(1+D342/30),1)))</f>
        <v/>
      </c>
      <c r="F342" s="7" t="n"/>
    </row>
    <row r="343">
      <c r="A343" s="12" t="n"/>
      <c r="B343" s="7" t="n"/>
      <c r="C343" s="7" t="n"/>
      <c r="D343" s="7" t="n"/>
      <c r="E343" s="6">
        <f>IF(OR(C343="",D343=""),"",IF(D343=1,C343,ROUND(C343*(1+D343/30),1)))</f>
        <v/>
      </c>
      <c r="F343" s="7" t="n"/>
    </row>
    <row r="344">
      <c r="A344" s="12" t="n"/>
      <c r="B344" s="7" t="n"/>
      <c r="C344" s="7" t="n"/>
      <c r="D344" s="7" t="n"/>
      <c r="E344" s="6">
        <f>IF(OR(C344="",D344=""),"",IF(D344=1,C344,ROUND(C344*(1+D344/30),1)))</f>
        <v/>
      </c>
      <c r="F344" s="7" t="n"/>
    </row>
    <row r="345">
      <c r="A345" s="12" t="n"/>
      <c r="B345" s="7" t="n"/>
      <c r="C345" s="7" t="n"/>
      <c r="D345" s="7" t="n"/>
      <c r="E345" s="6">
        <f>IF(OR(C345="",D345=""),"",IF(D345=1,C345,ROUND(C345*(1+D345/30),1)))</f>
        <v/>
      </c>
      <c r="F345" s="7" t="n"/>
    </row>
    <row r="346">
      <c r="A346" s="12" t="n"/>
      <c r="B346" s="7" t="n"/>
      <c r="C346" s="7" t="n"/>
      <c r="D346" s="7" t="n"/>
      <c r="E346" s="6">
        <f>IF(OR(C346="",D346=""),"",IF(D346=1,C346,ROUND(C346*(1+D346/30),1)))</f>
        <v/>
      </c>
      <c r="F346" s="7" t="n"/>
    </row>
    <row r="347">
      <c r="A347" s="12" t="n"/>
      <c r="B347" s="7" t="n"/>
      <c r="C347" s="7" t="n"/>
      <c r="D347" s="7" t="n"/>
      <c r="E347" s="6">
        <f>IF(OR(C347="",D347=""),"",IF(D347=1,C347,ROUND(C347*(1+D347/30),1)))</f>
        <v/>
      </c>
      <c r="F347" s="7" t="n"/>
    </row>
    <row r="348">
      <c r="A348" s="12" t="n"/>
      <c r="B348" s="7" t="n"/>
      <c r="C348" s="7" t="n"/>
      <c r="D348" s="7" t="n"/>
      <c r="E348" s="6">
        <f>IF(OR(C348="",D348=""),"",IF(D348=1,C348,ROUND(C348*(1+D348/30),1)))</f>
        <v/>
      </c>
      <c r="F348" s="7" t="n"/>
    </row>
    <row r="349">
      <c r="A349" s="12" t="n"/>
      <c r="B349" s="7" t="n"/>
      <c r="C349" s="7" t="n"/>
      <c r="D349" s="7" t="n"/>
      <c r="E349" s="6">
        <f>IF(OR(C349="",D349=""),"",IF(D349=1,C349,ROUND(C349*(1+D349/30),1)))</f>
        <v/>
      </c>
      <c r="F349" s="7" t="n"/>
    </row>
    <row r="350">
      <c r="A350" s="12" t="n"/>
      <c r="B350" s="7" t="n"/>
      <c r="C350" s="7" t="n"/>
      <c r="D350" s="7" t="n"/>
      <c r="E350" s="6">
        <f>IF(OR(C350="",D350=""),"",IF(D350=1,C350,ROUND(C350*(1+D350/30),1)))</f>
        <v/>
      </c>
      <c r="F350" s="7" t="n"/>
    </row>
    <row r="351">
      <c r="A351" s="12" t="n"/>
      <c r="B351" s="7" t="n"/>
      <c r="C351" s="7" t="n"/>
      <c r="D351" s="7" t="n"/>
      <c r="E351" s="6">
        <f>IF(OR(C351="",D351=""),"",IF(D351=1,C351,ROUND(C351*(1+D351/30),1)))</f>
        <v/>
      </c>
      <c r="F351" s="7" t="n"/>
    </row>
    <row r="352">
      <c r="A352" s="12" t="n"/>
      <c r="B352" s="7" t="n"/>
      <c r="C352" s="7" t="n"/>
      <c r="D352" s="7" t="n"/>
      <c r="E352" s="6">
        <f>IF(OR(C352="",D352=""),"",IF(D352=1,C352,ROUND(C352*(1+D352/30),1)))</f>
        <v/>
      </c>
      <c r="F352" s="7" t="n"/>
    </row>
    <row r="353">
      <c r="A353" s="12" t="n"/>
      <c r="B353" s="7" t="n"/>
      <c r="C353" s="7" t="n"/>
      <c r="D353" s="7" t="n"/>
      <c r="E353" s="6">
        <f>IF(OR(C353="",D353=""),"",IF(D353=1,C353,ROUND(C353*(1+D353/30),1)))</f>
        <v/>
      </c>
      <c r="F353" s="7" t="n"/>
    </row>
    <row r="354">
      <c r="A354" s="12" t="n"/>
      <c r="B354" s="7" t="n"/>
      <c r="C354" s="7" t="n"/>
      <c r="D354" s="7" t="n"/>
      <c r="E354" s="6">
        <f>IF(OR(C354="",D354=""),"",IF(D354=1,C354,ROUND(C354*(1+D354/30),1)))</f>
        <v/>
      </c>
      <c r="F354" s="7" t="n"/>
    </row>
    <row r="355">
      <c r="A355" s="12" t="n"/>
      <c r="B355" s="7" t="n"/>
      <c r="C355" s="7" t="n"/>
      <c r="D355" s="7" t="n"/>
      <c r="E355" s="6">
        <f>IF(OR(C355="",D355=""),"",IF(D355=1,C355,ROUND(C355*(1+D355/30),1)))</f>
        <v/>
      </c>
      <c r="F355" s="7" t="n"/>
    </row>
    <row r="356">
      <c r="A356" s="12" t="n"/>
      <c r="B356" s="7" t="n"/>
      <c r="C356" s="7" t="n"/>
      <c r="D356" s="7" t="n"/>
      <c r="E356" s="6">
        <f>IF(OR(C356="",D356=""),"",IF(D356=1,C356,ROUND(C356*(1+D356/30),1)))</f>
        <v/>
      </c>
      <c r="F356" s="7" t="n"/>
    </row>
    <row r="357">
      <c r="A357" s="12" t="n"/>
      <c r="B357" s="7" t="n"/>
      <c r="C357" s="7" t="n"/>
      <c r="D357" s="7" t="n"/>
      <c r="E357" s="6">
        <f>IF(OR(C357="",D357=""),"",IF(D357=1,C357,ROUND(C357*(1+D357/30),1)))</f>
        <v/>
      </c>
      <c r="F357" s="7" t="n"/>
    </row>
    <row r="358">
      <c r="A358" s="12" t="n"/>
      <c r="B358" s="7" t="n"/>
      <c r="C358" s="7" t="n"/>
      <c r="D358" s="7" t="n"/>
      <c r="E358" s="6">
        <f>IF(OR(C358="",D358=""),"",IF(D358=1,C358,ROUND(C358*(1+D358/30),1)))</f>
        <v/>
      </c>
      <c r="F358" s="7" t="n"/>
    </row>
    <row r="359">
      <c r="A359" s="12" t="n"/>
      <c r="B359" s="7" t="n"/>
      <c r="C359" s="7" t="n"/>
      <c r="D359" s="7" t="n"/>
      <c r="E359" s="6">
        <f>IF(OR(C359="",D359=""),"",IF(D359=1,C359,ROUND(C359*(1+D359/30),1)))</f>
        <v/>
      </c>
      <c r="F359" s="7" t="n"/>
    </row>
    <row r="360">
      <c r="A360" s="12" t="n"/>
      <c r="B360" s="7" t="n"/>
      <c r="C360" s="7" t="n"/>
      <c r="D360" s="7" t="n"/>
      <c r="E360" s="6">
        <f>IF(OR(C360="",D360=""),"",IF(D360=1,C360,ROUND(C360*(1+D360/30),1)))</f>
        <v/>
      </c>
      <c r="F360" s="7" t="n"/>
    </row>
    <row r="361">
      <c r="A361" s="12" t="n"/>
      <c r="B361" s="7" t="n"/>
      <c r="C361" s="7" t="n"/>
      <c r="D361" s="7" t="n"/>
      <c r="E361" s="6">
        <f>IF(OR(C361="",D361=""),"",IF(D361=1,C361,ROUND(C361*(1+D361/30),1)))</f>
        <v/>
      </c>
      <c r="F361" s="7" t="n"/>
    </row>
    <row r="362">
      <c r="A362" s="12" t="n"/>
      <c r="B362" s="7" t="n"/>
      <c r="C362" s="7" t="n"/>
      <c r="D362" s="7" t="n"/>
      <c r="E362" s="6">
        <f>IF(OR(C362="",D362=""),"",IF(D362=1,C362,ROUND(C362*(1+D362/30),1)))</f>
        <v/>
      </c>
      <c r="F362" s="7" t="n"/>
    </row>
    <row r="363">
      <c r="A363" s="12" t="n"/>
      <c r="B363" s="7" t="n"/>
      <c r="C363" s="7" t="n"/>
      <c r="D363" s="7" t="n"/>
      <c r="E363" s="6">
        <f>IF(OR(C363="",D363=""),"",IF(D363=1,C363,ROUND(C363*(1+D363/30),1)))</f>
        <v/>
      </c>
      <c r="F363" s="7" t="n"/>
    </row>
    <row r="364">
      <c r="A364" s="12" t="n"/>
      <c r="B364" s="7" t="n"/>
      <c r="C364" s="7" t="n"/>
      <c r="D364" s="7" t="n"/>
      <c r="E364" s="6">
        <f>IF(OR(C364="",D364=""),"",IF(D364=1,C364,ROUND(C364*(1+D364/30),1)))</f>
        <v/>
      </c>
      <c r="F364" s="7" t="n"/>
    </row>
    <row r="365">
      <c r="A365" s="12" t="n"/>
      <c r="B365" s="7" t="n"/>
      <c r="C365" s="7" t="n"/>
      <c r="D365" s="7" t="n"/>
      <c r="E365" s="6">
        <f>IF(OR(C365="",D365=""),"",IF(D365=1,C365,ROUND(C365*(1+D365/30),1)))</f>
        <v/>
      </c>
      <c r="F365" s="7" t="n"/>
    </row>
    <row r="366">
      <c r="A366" s="12" t="n"/>
      <c r="B366" s="7" t="n"/>
      <c r="C366" s="7" t="n"/>
      <c r="D366" s="7" t="n"/>
      <c r="E366" s="6">
        <f>IF(OR(C366="",D366=""),"",IF(D366=1,C366,ROUND(C366*(1+D366/30),1)))</f>
        <v/>
      </c>
      <c r="F366" s="7" t="n"/>
    </row>
    <row r="367">
      <c r="A367" s="12" t="n"/>
      <c r="B367" s="7" t="n"/>
      <c r="C367" s="7" t="n"/>
      <c r="D367" s="7" t="n"/>
      <c r="E367" s="6">
        <f>IF(OR(C367="",D367=""),"",IF(D367=1,C367,ROUND(C367*(1+D367/30),1)))</f>
        <v/>
      </c>
      <c r="F367" s="7" t="n"/>
    </row>
    <row r="368">
      <c r="A368" s="12" t="n"/>
      <c r="B368" s="7" t="n"/>
      <c r="C368" s="7" t="n"/>
      <c r="D368" s="7" t="n"/>
      <c r="E368" s="6">
        <f>IF(OR(C368="",D368=""),"",IF(D368=1,C368,ROUND(C368*(1+D368/30),1)))</f>
        <v/>
      </c>
      <c r="F368" s="7" t="n"/>
    </row>
    <row r="369">
      <c r="A369" s="12" t="n"/>
      <c r="B369" s="7" t="n"/>
      <c r="C369" s="7" t="n"/>
      <c r="D369" s="7" t="n"/>
      <c r="E369" s="6">
        <f>IF(OR(C369="",D369=""),"",IF(D369=1,C369,ROUND(C369*(1+D369/30),1)))</f>
        <v/>
      </c>
      <c r="F369" s="7" t="n"/>
    </row>
    <row r="370">
      <c r="A370" s="12" t="n"/>
      <c r="B370" s="7" t="n"/>
      <c r="C370" s="7" t="n"/>
      <c r="D370" s="7" t="n"/>
      <c r="E370" s="6">
        <f>IF(OR(C370="",D370=""),"",IF(D370=1,C370,ROUND(C370*(1+D370/30),1)))</f>
        <v/>
      </c>
      <c r="F370" s="7" t="n"/>
    </row>
    <row r="371">
      <c r="A371" s="12" t="n"/>
      <c r="B371" s="7" t="n"/>
      <c r="C371" s="7" t="n"/>
      <c r="D371" s="7" t="n"/>
      <c r="E371" s="6">
        <f>IF(OR(C371="",D371=""),"",IF(D371=1,C371,ROUND(C371*(1+D371/30),1)))</f>
        <v/>
      </c>
      <c r="F371" s="7" t="n"/>
    </row>
    <row r="372">
      <c r="A372" s="12" t="n"/>
      <c r="B372" s="7" t="n"/>
      <c r="C372" s="7" t="n"/>
      <c r="D372" s="7" t="n"/>
      <c r="E372" s="6">
        <f>IF(OR(C372="",D372=""),"",IF(D372=1,C372,ROUND(C372*(1+D372/30),1)))</f>
        <v/>
      </c>
      <c r="F372" s="7" t="n"/>
    </row>
    <row r="373">
      <c r="A373" s="12" t="n"/>
      <c r="B373" s="7" t="n"/>
      <c r="C373" s="7" t="n"/>
      <c r="D373" s="7" t="n"/>
      <c r="E373" s="6">
        <f>IF(OR(C373="",D373=""),"",IF(D373=1,C373,ROUND(C373*(1+D373/30),1)))</f>
        <v/>
      </c>
      <c r="F373" s="7" t="n"/>
    </row>
    <row r="374">
      <c r="A374" s="12" t="n"/>
      <c r="B374" s="7" t="n"/>
      <c r="C374" s="7" t="n"/>
      <c r="D374" s="7" t="n"/>
      <c r="E374" s="6">
        <f>IF(OR(C374="",D374=""),"",IF(D374=1,C374,ROUND(C374*(1+D374/30),1)))</f>
        <v/>
      </c>
      <c r="F374" s="7" t="n"/>
    </row>
    <row r="375">
      <c r="A375" s="12" t="n"/>
      <c r="B375" s="7" t="n"/>
      <c r="C375" s="7" t="n"/>
      <c r="D375" s="7" t="n"/>
      <c r="E375" s="6">
        <f>IF(OR(C375="",D375=""),"",IF(D375=1,C375,ROUND(C375*(1+D375/30),1)))</f>
        <v/>
      </c>
      <c r="F375" s="7" t="n"/>
    </row>
    <row r="376">
      <c r="A376" s="12" t="n"/>
      <c r="B376" s="7" t="n"/>
      <c r="C376" s="7" t="n"/>
      <c r="D376" s="7" t="n"/>
      <c r="E376" s="6">
        <f>IF(OR(C376="",D376=""),"",IF(D376=1,C376,ROUND(C376*(1+D376/30),1)))</f>
        <v/>
      </c>
      <c r="F376" s="7" t="n"/>
    </row>
    <row r="377">
      <c r="A377" s="12" t="n"/>
      <c r="B377" s="7" t="n"/>
      <c r="C377" s="7" t="n"/>
      <c r="D377" s="7" t="n"/>
      <c r="E377" s="6">
        <f>IF(OR(C377="",D377=""),"",IF(D377=1,C377,ROUND(C377*(1+D377/30),1)))</f>
        <v/>
      </c>
      <c r="F377" s="7" t="n"/>
    </row>
    <row r="378">
      <c r="A378" s="12" t="n"/>
      <c r="B378" s="7" t="n"/>
      <c r="C378" s="7" t="n"/>
      <c r="D378" s="7" t="n"/>
      <c r="E378" s="6">
        <f>IF(OR(C378="",D378=""),"",IF(D378=1,C378,ROUND(C378*(1+D378/30),1)))</f>
        <v/>
      </c>
      <c r="F378" s="7" t="n"/>
    </row>
    <row r="379">
      <c r="A379" s="12" t="n"/>
      <c r="B379" s="7" t="n"/>
      <c r="C379" s="7" t="n"/>
      <c r="D379" s="7" t="n"/>
      <c r="E379" s="6">
        <f>IF(OR(C379="",D379=""),"",IF(D379=1,C379,ROUND(C379*(1+D379/30),1)))</f>
        <v/>
      </c>
      <c r="F379" s="7" t="n"/>
    </row>
    <row r="380">
      <c r="A380" s="12" t="n"/>
      <c r="B380" s="7" t="n"/>
      <c r="C380" s="7" t="n"/>
      <c r="D380" s="7" t="n"/>
      <c r="E380" s="6">
        <f>IF(OR(C380="",D380=""),"",IF(D380=1,C380,ROUND(C380*(1+D380/30),1)))</f>
        <v/>
      </c>
      <c r="F380" s="7" t="n"/>
    </row>
    <row r="381">
      <c r="A381" s="12" t="n"/>
      <c r="B381" s="7" t="n"/>
      <c r="C381" s="7" t="n"/>
      <c r="D381" s="7" t="n"/>
      <c r="E381" s="6">
        <f>IF(OR(C381="",D381=""),"",IF(D381=1,C381,ROUND(C381*(1+D381/30),1)))</f>
        <v/>
      </c>
      <c r="F381" s="7" t="n"/>
    </row>
    <row r="382">
      <c r="A382" s="12" t="n"/>
      <c r="B382" s="7" t="n"/>
      <c r="C382" s="7" t="n"/>
      <c r="D382" s="7" t="n"/>
      <c r="E382" s="6">
        <f>IF(OR(C382="",D382=""),"",IF(D382=1,C382,ROUND(C382*(1+D382/30),1)))</f>
        <v/>
      </c>
      <c r="F382" s="7" t="n"/>
    </row>
    <row r="383">
      <c r="A383" s="12" t="n"/>
      <c r="B383" s="7" t="n"/>
      <c r="C383" s="7" t="n"/>
      <c r="D383" s="7" t="n"/>
      <c r="E383" s="6">
        <f>IF(OR(C383="",D383=""),"",IF(D383=1,C383,ROUND(C383*(1+D383/30),1)))</f>
        <v/>
      </c>
      <c r="F383" s="7" t="n"/>
    </row>
    <row r="384">
      <c r="A384" s="12" t="n"/>
      <c r="B384" s="7" t="n"/>
      <c r="C384" s="7" t="n"/>
      <c r="D384" s="7" t="n"/>
      <c r="E384" s="6">
        <f>IF(OR(C384="",D384=""),"",IF(D384=1,C384,ROUND(C384*(1+D384/30),1)))</f>
        <v/>
      </c>
      <c r="F384" s="7" t="n"/>
    </row>
    <row r="385">
      <c r="A385" s="12" t="n"/>
      <c r="B385" s="7" t="n"/>
      <c r="C385" s="7" t="n"/>
      <c r="D385" s="7" t="n"/>
      <c r="E385" s="6">
        <f>IF(OR(C385="",D385=""),"",IF(D385=1,C385,ROUND(C385*(1+D385/30),1)))</f>
        <v/>
      </c>
      <c r="F385" s="7" t="n"/>
    </row>
    <row r="386">
      <c r="A386" s="12" t="n"/>
      <c r="B386" s="7" t="n"/>
      <c r="C386" s="7" t="n"/>
      <c r="D386" s="7" t="n"/>
      <c r="E386" s="6">
        <f>IF(OR(C386="",D386=""),"",IF(D386=1,C386,ROUND(C386*(1+D386/30),1)))</f>
        <v/>
      </c>
      <c r="F386" s="7" t="n"/>
    </row>
    <row r="387">
      <c r="A387" s="12" t="n"/>
      <c r="B387" s="7" t="n"/>
      <c r="C387" s="7" t="n"/>
      <c r="D387" s="7" t="n"/>
      <c r="E387" s="6">
        <f>IF(OR(C387="",D387=""),"",IF(D387=1,C387,ROUND(C387*(1+D387/30),1)))</f>
        <v/>
      </c>
      <c r="F387" s="7" t="n"/>
    </row>
    <row r="388">
      <c r="A388" s="12" t="n"/>
      <c r="B388" s="7" t="n"/>
      <c r="C388" s="7" t="n"/>
      <c r="D388" s="7" t="n"/>
      <c r="E388" s="6">
        <f>IF(OR(C388="",D388=""),"",IF(D388=1,C388,ROUND(C388*(1+D388/30),1)))</f>
        <v/>
      </c>
      <c r="F388" s="7" t="n"/>
    </row>
    <row r="389">
      <c r="A389" s="12" t="n"/>
      <c r="B389" s="7" t="n"/>
      <c r="C389" s="7" t="n"/>
      <c r="D389" s="7" t="n"/>
      <c r="E389" s="6">
        <f>IF(OR(C389="",D389=""),"",IF(D389=1,C389,ROUND(C389*(1+D389/30),1)))</f>
        <v/>
      </c>
      <c r="F389" s="7" t="n"/>
    </row>
    <row r="390">
      <c r="A390" s="12" t="n"/>
      <c r="B390" s="7" t="n"/>
      <c r="C390" s="7" t="n"/>
      <c r="D390" s="7" t="n"/>
      <c r="E390" s="6">
        <f>IF(OR(C390="",D390=""),"",IF(D390=1,C390,ROUND(C390*(1+D390/30),1)))</f>
        <v/>
      </c>
      <c r="F390" s="7" t="n"/>
    </row>
    <row r="391">
      <c r="A391" s="12" t="n"/>
      <c r="B391" s="7" t="n"/>
      <c r="C391" s="7" t="n"/>
      <c r="D391" s="7" t="n"/>
      <c r="E391" s="6">
        <f>IF(OR(C391="",D391=""),"",IF(D391=1,C391,ROUND(C391*(1+D391/30),1)))</f>
        <v/>
      </c>
      <c r="F391" s="7" t="n"/>
    </row>
    <row r="392">
      <c r="A392" s="12" t="n"/>
      <c r="B392" s="7" t="n"/>
      <c r="C392" s="7" t="n"/>
      <c r="D392" s="7" t="n"/>
      <c r="E392" s="6">
        <f>IF(OR(C392="",D392=""),"",IF(D392=1,C392,ROUND(C392*(1+D392/30),1)))</f>
        <v/>
      </c>
      <c r="F392" s="7" t="n"/>
    </row>
    <row r="393">
      <c r="A393" s="12" t="n"/>
      <c r="B393" s="7" t="n"/>
      <c r="C393" s="7" t="n"/>
      <c r="D393" s="7" t="n"/>
      <c r="E393" s="6">
        <f>IF(OR(C393="",D393=""),"",IF(D393=1,C393,ROUND(C393*(1+D393/30),1)))</f>
        <v/>
      </c>
      <c r="F393" s="7" t="n"/>
    </row>
    <row r="394">
      <c r="A394" s="12" t="n"/>
      <c r="B394" s="7" t="n"/>
      <c r="C394" s="7" t="n"/>
      <c r="D394" s="7" t="n"/>
      <c r="E394" s="6">
        <f>IF(OR(C394="",D394=""),"",IF(D394=1,C394,ROUND(C394*(1+D394/30),1)))</f>
        <v/>
      </c>
      <c r="F394" s="7" t="n"/>
    </row>
    <row r="395">
      <c r="A395" s="12" t="n"/>
      <c r="B395" s="7" t="n"/>
      <c r="C395" s="7" t="n"/>
      <c r="D395" s="7" t="n"/>
      <c r="E395" s="6">
        <f>IF(OR(C395="",D395=""),"",IF(D395=1,C395,ROUND(C395*(1+D395/30),1)))</f>
        <v/>
      </c>
      <c r="F395" s="7" t="n"/>
    </row>
    <row r="396">
      <c r="A396" s="12" t="n"/>
      <c r="B396" s="7" t="n"/>
      <c r="C396" s="7" t="n"/>
      <c r="D396" s="7" t="n"/>
      <c r="E396" s="6">
        <f>IF(OR(C396="",D396=""),"",IF(D396=1,C396,ROUND(C396*(1+D396/30),1)))</f>
        <v/>
      </c>
      <c r="F396" s="7" t="n"/>
    </row>
    <row r="397">
      <c r="A397" s="12" t="n"/>
      <c r="B397" s="7" t="n"/>
      <c r="C397" s="7" t="n"/>
      <c r="D397" s="7" t="n"/>
      <c r="E397" s="6">
        <f>IF(OR(C397="",D397=""),"",IF(D397=1,C397,ROUND(C397*(1+D397/30),1)))</f>
        <v/>
      </c>
      <c r="F397" s="7" t="n"/>
    </row>
    <row r="398">
      <c r="A398" s="12" t="n"/>
      <c r="B398" s="7" t="n"/>
      <c r="C398" s="7" t="n"/>
      <c r="D398" s="7" t="n"/>
      <c r="E398" s="6">
        <f>IF(OR(C398="",D398=""),"",IF(D398=1,C398,ROUND(C398*(1+D398/30),1)))</f>
        <v/>
      </c>
      <c r="F398" s="7" t="n"/>
    </row>
    <row r="399">
      <c r="A399" s="12" t="n"/>
      <c r="B399" s="7" t="n"/>
      <c r="C399" s="7" t="n"/>
      <c r="D399" s="7" t="n"/>
      <c r="E399" s="6">
        <f>IF(OR(C399="",D399=""),"",IF(D399=1,C399,ROUND(C399*(1+D399/30),1)))</f>
        <v/>
      </c>
      <c r="F399" s="7" t="n"/>
    </row>
    <row r="400">
      <c r="A400" s="12" t="n"/>
      <c r="B400" s="7" t="n"/>
      <c r="C400" s="7" t="n"/>
      <c r="D400" s="7" t="n"/>
      <c r="E400" s="6">
        <f>IF(OR(C400="",D400=""),"",IF(D400=1,C400,ROUND(C400*(1+D400/30),1)))</f>
        <v/>
      </c>
      <c r="F400" s="7" t="n"/>
    </row>
    <row r="401">
      <c r="A401" s="12" t="n"/>
      <c r="B401" s="7" t="n"/>
      <c r="C401" s="7" t="n"/>
      <c r="D401" s="7" t="n"/>
      <c r="E401" s="6">
        <f>IF(OR(C401="",D401=""),"",IF(D401=1,C401,ROUND(C401*(1+D401/30),1)))</f>
        <v/>
      </c>
      <c r="F401" s="7" t="n"/>
    </row>
    <row r="402">
      <c r="A402" s="12" t="n"/>
      <c r="B402" s="7" t="n"/>
      <c r="C402" s="7" t="n"/>
      <c r="D402" s="7" t="n"/>
      <c r="E402" s="6">
        <f>IF(OR(C402="",D402=""),"",IF(D402=1,C402,ROUND(C402*(1+D402/30),1)))</f>
        <v/>
      </c>
      <c r="F402" s="7" t="n"/>
    </row>
    <row r="403">
      <c r="A403" s="12" t="n"/>
      <c r="B403" s="7" t="n"/>
      <c r="C403" s="7" t="n"/>
      <c r="D403" s="7" t="n"/>
      <c r="E403" s="6">
        <f>IF(OR(C403="",D403=""),"",IF(D403=1,C403,ROUND(C403*(1+D403/30),1)))</f>
        <v/>
      </c>
      <c r="F403" s="7" t="n"/>
    </row>
    <row r="404">
      <c r="A404" s="12" t="n"/>
      <c r="B404" s="7" t="n"/>
      <c r="C404" s="7" t="n"/>
      <c r="D404" s="7" t="n"/>
      <c r="E404" s="6">
        <f>IF(OR(C404="",D404=""),"",IF(D404=1,C404,ROUND(C404*(1+D404/30),1)))</f>
        <v/>
      </c>
      <c r="F404" s="7" t="n"/>
    </row>
    <row r="405">
      <c r="A405" s="12" t="n"/>
      <c r="B405" s="7" t="n"/>
      <c r="C405" s="7" t="n"/>
      <c r="D405" s="7" t="n"/>
      <c r="E405" s="6">
        <f>IF(OR(C405="",D405=""),"",IF(D405=1,C405,ROUND(C405*(1+D405/30),1)))</f>
        <v/>
      </c>
      <c r="F405" s="7" t="n"/>
    </row>
    <row r="406">
      <c r="A406" s="12" t="n"/>
      <c r="B406" s="7" t="n"/>
      <c r="C406" s="7" t="n"/>
      <c r="D406" s="7" t="n"/>
      <c r="E406" s="6">
        <f>IF(OR(C406="",D406=""),"",IF(D406=1,C406,ROUND(C406*(1+D406/30),1)))</f>
        <v/>
      </c>
      <c r="F406" s="7" t="n"/>
    </row>
    <row r="407">
      <c r="A407" s="12" t="n"/>
      <c r="B407" s="7" t="n"/>
      <c r="C407" s="7" t="n"/>
      <c r="D407" s="7" t="n"/>
      <c r="E407" s="6">
        <f>IF(OR(C407="",D407=""),"",IF(D407=1,C407,ROUND(C407*(1+D407/30),1)))</f>
        <v/>
      </c>
      <c r="F407" s="7" t="n"/>
    </row>
    <row r="408">
      <c r="A408" s="12" t="n"/>
      <c r="B408" s="7" t="n"/>
      <c r="C408" s="7" t="n"/>
      <c r="D408" s="7" t="n"/>
      <c r="E408" s="6">
        <f>IF(OR(C408="",D408=""),"",IF(D408=1,C408,ROUND(C408*(1+D408/30),1)))</f>
        <v/>
      </c>
      <c r="F408" s="7" t="n"/>
    </row>
    <row r="409">
      <c r="A409" s="12" t="n"/>
      <c r="B409" s="7" t="n"/>
      <c r="C409" s="7" t="n"/>
      <c r="D409" s="7" t="n"/>
      <c r="E409" s="6">
        <f>IF(OR(C409="",D409=""),"",IF(D409=1,C409,ROUND(C409*(1+D409/30),1)))</f>
        <v/>
      </c>
      <c r="F409" s="7" t="n"/>
    </row>
    <row r="410">
      <c r="A410" s="12" t="n"/>
      <c r="B410" s="7" t="n"/>
      <c r="C410" s="7" t="n"/>
      <c r="D410" s="7" t="n"/>
      <c r="E410" s="6">
        <f>IF(OR(C410="",D410=""),"",IF(D410=1,C410,ROUND(C410*(1+D410/30),1)))</f>
        <v/>
      </c>
      <c r="F410" s="7" t="n"/>
    </row>
    <row r="411">
      <c r="A411" s="12" t="n"/>
      <c r="B411" s="7" t="n"/>
      <c r="C411" s="7" t="n"/>
      <c r="D411" s="7" t="n"/>
      <c r="E411" s="6">
        <f>IF(OR(C411="",D411=""),"",IF(D411=1,C411,ROUND(C411*(1+D411/30),1)))</f>
        <v/>
      </c>
      <c r="F411" s="7" t="n"/>
    </row>
    <row r="412">
      <c r="A412" s="12" t="n"/>
      <c r="B412" s="7" t="n"/>
      <c r="C412" s="7" t="n"/>
      <c r="D412" s="7" t="n"/>
      <c r="E412" s="6">
        <f>IF(OR(C412="",D412=""),"",IF(D412=1,C412,ROUND(C412*(1+D412/30),1)))</f>
        <v/>
      </c>
      <c r="F412" s="7" t="n"/>
    </row>
    <row r="413">
      <c r="A413" s="12" t="n"/>
      <c r="B413" s="7" t="n"/>
      <c r="C413" s="7" t="n"/>
      <c r="D413" s="7" t="n"/>
      <c r="E413" s="6">
        <f>IF(OR(C413="",D413=""),"",IF(D413=1,C413,ROUND(C413*(1+D413/30),1)))</f>
        <v/>
      </c>
      <c r="F413" s="7" t="n"/>
    </row>
    <row r="414">
      <c r="A414" s="12" t="n"/>
      <c r="B414" s="7" t="n"/>
      <c r="C414" s="7" t="n"/>
      <c r="D414" s="7" t="n"/>
      <c r="E414" s="6">
        <f>IF(OR(C414="",D414=""),"",IF(D414=1,C414,ROUND(C414*(1+D414/30),1)))</f>
        <v/>
      </c>
      <c r="F414" s="7" t="n"/>
    </row>
    <row r="415">
      <c r="A415" s="12" t="n"/>
      <c r="B415" s="7" t="n"/>
      <c r="C415" s="7" t="n"/>
      <c r="D415" s="7" t="n"/>
      <c r="E415" s="6">
        <f>IF(OR(C415="",D415=""),"",IF(D415=1,C415,ROUND(C415*(1+D415/30),1)))</f>
        <v/>
      </c>
      <c r="F415" s="7" t="n"/>
    </row>
    <row r="416">
      <c r="A416" s="12" t="n"/>
      <c r="B416" s="7" t="n"/>
      <c r="C416" s="7" t="n"/>
      <c r="D416" s="7" t="n"/>
      <c r="E416" s="6">
        <f>IF(OR(C416="",D416=""),"",IF(D416=1,C416,ROUND(C416*(1+D416/30),1)))</f>
        <v/>
      </c>
      <c r="F416" s="7" t="n"/>
    </row>
    <row r="417">
      <c r="A417" s="12" t="n"/>
      <c r="B417" s="7" t="n"/>
      <c r="C417" s="7" t="n"/>
      <c r="D417" s="7" t="n"/>
      <c r="E417" s="6">
        <f>IF(OR(C417="",D417=""),"",IF(D417=1,C417,ROUND(C417*(1+D417/30),1)))</f>
        <v/>
      </c>
      <c r="F417" s="7" t="n"/>
    </row>
    <row r="418">
      <c r="A418" s="12" t="n"/>
      <c r="B418" s="7" t="n"/>
      <c r="C418" s="7" t="n"/>
      <c r="D418" s="7" t="n"/>
      <c r="E418" s="6">
        <f>IF(OR(C418="",D418=""),"",IF(D418=1,C418,ROUND(C418*(1+D418/30),1)))</f>
        <v/>
      </c>
      <c r="F418" s="7" t="n"/>
    </row>
    <row r="419">
      <c r="A419" s="12" t="n"/>
      <c r="B419" s="7" t="n"/>
      <c r="C419" s="7" t="n"/>
      <c r="D419" s="7" t="n"/>
      <c r="E419" s="6">
        <f>IF(OR(C419="",D419=""),"",IF(D419=1,C419,ROUND(C419*(1+D419/30),1)))</f>
        <v/>
      </c>
      <c r="F419" s="7" t="n"/>
    </row>
    <row r="420">
      <c r="A420" s="12" t="n"/>
      <c r="B420" s="7" t="n"/>
      <c r="C420" s="7" t="n"/>
      <c r="D420" s="7" t="n"/>
      <c r="E420" s="6">
        <f>IF(OR(C420="",D420=""),"",IF(D420=1,C420,ROUND(C420*(1+D420/30),1)))</f>
        <v/>
      </c>
      <c r="F420" s="7" t="n"/>
    </row>
    <row r="421">
      <c r="A421" s="12" t="n"/>
      <c r="B421" s="7" t="n"/>
      <c r="C421" s="7" t="n"/>
      <c r="D421" s="7" t="n"/>
      <c r="E421" s="6">
        <f>IF(OR(C421="",D421=""),"",IF(D421=1,C421,ROUND(C421*(1+D421/30),1)))</f>
        <v/>
      </c>
      <c r="F421" s="7" t="n"/>
    </row>
    <row r="422">
      <c r="A422" s="12" t="n"/>
      <c r="B422" s="7" t="n"/>
      <c r="C422" s="7" t="n"/>
      <c r="D422" s="7" t="n"/>
      <c r="E422" s="6">
        <f>IF(OR(C422="",D422=""),"",IF(D422=1,C422,ROUND(C422*(1+D422/30),1)))</f>
        <v/>
      </c>
      <c r="F422" s="7" t="n"/>
    </row>
    <row r="423">
      <c r="A423" s="12" t="n"/>
      <c r="B423" s="7" t="n"/>
      <c r="C423" s="7" t="n"/>
      <c r="D423" s="7" t="n"/>
      <c r="E423" s="6">
        <f>IF(OR(C423="",D423=""),"",IF(D423=1,C423,ROUND(C423*(1+D423/30),1)))</f>
        <v/>
      </c>
      <c r="F423" s="7" t="n"/>
    </row>
    <row r="424">
      <c r="A424" s="12" t="n"/>
      <c r="B424" s="7" t="n"/>
      <c r="C424" s="7" t="n"/>
      <c r="D424" s="7" t="n"/>
      <c r="E424" s="6">
        <f>IF(OR(C424="",D424=""),"",IF(D424=1,C424,ROUND(C424*(1+D424/30),1)))</f>
        <v/>
      </c>
      <c r="F424" s="7" t="n"/>
    </row>
    <row r="425">
      <c r="A425" s="12" t="n"/>
      <c r="B425" s="7" t="n"/>
      <c r="C425" s="7" t="n"/>
      <c r="D425" s="7" t="n"/>
      <c r="E425" s="6">
        <f>IF(OR(C425="",D425=""),"",IF(D425=1,C425,ROUND(C425*(1+D425/30),1)))</f>
        <v/>
      </c>
      <c r="F425" s="7" t="n"/>
    </row>
    <row r="426">
      <c r="A426" s="12" t="n"/>
      <c r="B426" s="7" t="n"/>
      <c r="C426" s="7" t="n"/>
      <c r="D426" s="7" t="n"/>
      <c r="E426" s="6">
        <f>IF(OR(C426="",D426=""),"",IF(D426=1,C426,ROUND(C426*(1+D426/30),1)))</f>
        <v/>
      </c>
      <c r="F426" s="7" t="n"/>
    </row>
    <row r="427">
      <c r="A427" s="12" t="n"/>
      <c r="B427" s="7" t="n"/>
      <c r="C427" s="7" t="n"/>
      <c r="D427" s="7" t="n"/>
      <c r="E427" s="6">
        <f>IF(OR(C427="",D427=""),"",IF(D427=1,C427,ROUND(C427*(1+D427/30),1)))</f>
        <v/>
      </c>
      <c r="F427" s="7" t="n"/>
    </row>
    <row r="428">
      <c r="A428" s="12" t="n"/>
      <c r="B428" s="7" t="n"/>
      <c r="C428" s="7" t="n"/>
      <c r="D428" s="7" t="n"/>
      <c r="E428" s="6">
        <f>IF(OR(C428="",D428=""),"",IF(D428=1,C428,ROUND(C428*(1+D428/30),1)))</f>
        <v/>
      </c>
      <c r="F428" s="7" t="n"/>
    </row>
    <row r="429">
      <c r="A429" s="12" t="n"/>
      <c r="B429" s="7" t="n"/>
      <c r="C429" s="7" t="n"/>
      <c r="D429" s="7" t="n"/>
      <c r="E429" s="6">
        <f>IF(OR(C429="",D429=""),"",IF(D429=1,C429,ROUND(C429*(1+D429/30),1)))</f>
        <v/>
      </c>
      <c r="F429" s="7" t="n"/>
    </row>
    <row r="430">
      <c r="A430" s="12" t="n"/>
      <c r="B430" s="7" t="n"/>
      <c r="C430" s="7" t="n"/>
      <c r="D430" s="7" t="n"/>
      <c r="E430" s="6">
        <f>IF(OR(C430="",D430=""),"",IF(D430=1,C430,ROUND(C430*(1+D430/30),1)))</f>
        <v/>
      </c>
      <c r="F430" s="7" t="n"/>
    </row>
    <row r="431">
      <c r="A431" s="12" t="n"/>
      <c r="B431" s="7" t="n"/>
      <c r="C431" s="7" t="n"/>
      <c r="D431" s="7" t="n"/>
      <c r="E431" s="6">
        <f>IF(OR(C431="",D431=""),"",IF(D431=1,C431,ROUND(C431*(1+D431/30),1)))</f>
        <v/>
      </c>
      <c r="F431" s="7" t="n"/>
    </row>
    <row r="432">
      <c r="A432" s="12" t="n"/>
      <c r="B432" s="7" t="n"/>
      <c r="C432" s="7" t="n"/>
      <c r="D432" s="7" t="n"/>
      <c r="E432" s="6">
        <f>IF(OR(C432="",D432=""),"",IF(D432=1,C432,ROUND(C432*(1+D432/30),1)))</f>
        <v/>
      </c>
      <c r="F432" s="7" t="n"/>
    </row>
    <row r="433">
      <c r="A433" s="12" t="n"/>
      <c r="B433" s="7" t="n"/>
      <c r="C433" s="7" t="n"/>
      <c r="D433" s="7" t="n"/>
      <c r="E433" s="6">
        <f>IF(OR(C433="",D433=""),"",IF(D433=1,C433,ROUND(C433*(1+D433/30),1)))</f>
        <v/>
      </c>
      <c r="F433" s="7" t="n"/>
    </row>
    <row r="434">
      <c r="A434" s="12" t="n"/>
      <c r="B434" s="7" t="n"/>
      <c r="C434" s="7" t="n"/>
      <c r="D434" s="7" t="n"/>
      <c r="E434" s="6">
        <f>IF(OR(C434="",D434=""),"",IF(D434=1,C434,ROUND(C434*(1+D434/30),1)))</f>
        <v/>
      </c>
      <c r="F434" s="7" t="n"/>
    </row>
    <row r="435">
      <c r="A435" s="12" t="n"/>
      <c r="B435" s="7" t="n"/>
      <c r="C435" s="7" t="n"/>
      <c r="D435" s="7" t="n"/>
      <c r="E435" s="6">
        <f>IF(OR(C435="",D435=""),"",IF(D435=1,C435,ROUND(C435*(1+D435/30),1)))</f>
        <v/>
      </c>
      <c r="F435" s="7" t="n"/>
    </row>
    <row r="436">
      <c r="A436" s="12" t="n"/>
      <c r="B436" s="7" t="n"/>
      <c r="C436" s="7" t="n"/>
      <c r="D436" s="7" t="n"/>
      <c r="E436" s="6">
        <f>IF(OR(C436="",D436=""),"",IF(D436=1,C436,ROUND(C436*(1+D436/30),1)))</f>
        <v/>
      </c>
      <c r="F436" s="7" t="n"/>
    </row>
    <row r="437">
      <c r="A437" s="12" t="n"/>
      <c r="B437" s="7" t="n"/>
      <c r="C437" s="7" t="n"/>
      <c r="D437" s="7" t="n"/>
      <c r="E437" s="6">
        <f>IF(OR(C437="",D437=""),"",IF(D437=1,C437,ROUND(C437*(1+D437/30),1)))</f>
        <v/>
      </c>
      <c r="F437" s="7" t="n"/>
    </row>
    <row r="438">
      <c r="A438" s="12" t="n"/>
      <c r="B438" s="7" t="n"/>
      <c r="C438" s="7" t="n"/>
      <c r="D438" s="7" t="n"/>
      <c r="E438" s="6">
        <f>IF(OR(C438="",D438=""),"",IF(D438=1,C438,ROUND(C438*(1+D438/30),1)))</f>
        <v/>
      </c>
      <c r="F438" s="7" t="n"/>
    </row>
    <row r="439">
      <c r="A439" s="12" t="n"/>
      <c r="B439" s="7" t="n"/>
      <c r="C439" s="7" t="n"/>
      <c r="D439" s="7" t="n"/>
      <c r="E439" s="6">
        <f>IF(OR(C439="",D439=""),"",IF(D439=1,C439,ROUND(C439*(1+D439/30),1)))</f>
        <v/>
      </c>
      <c r="F439" s="7" t="n"/>
    </row>
    <row r="440">
      <c r="A440" s="12" t="n"/>
      <c r="B440" s="7" t="n"/>
      <c r="C440" s="7" t="n"/>
      <c r="D440" s="7" t="n"/>
      <c r="E440" s="6">
        <f>IF(OR(C440="",D440=""),"",IF(D440=1,C440,ROUND(C440*(1+D440/30),1)))</f>
        <v/>
      </c>
      <c r="F440" s="7" t="n"/>
    </row>
    <row r="441">
      <c r="A441" s="12" t="n"/>
      <c r="B441" s="7" t="n"/>
      <c r="C441" s="7" t="n"/>
      <c r="D441" s="7" t="n"/>
      <c r="E441" s="6">
        <f>IF(OR(C441="",D441=""),"",IF(D441=1,C441,ROUND(C441*(1+D441/30),1)))</f>
        <v/>
      </c>
      <c r="F441" s="7" t="n"/>
    </row>
    <row r="442">
      <c r="A442" s="12" t="n"/>
      <c r="B442" s="7" t="n"/>
      <c r="C442" s="7" t="n"/>
      <c r="D442" s="7" t="n"/>
      <c r="E442" s="6">
        <f>IF(OR(C442="",D442=""),"",IF(D442=1,C442,ROUND(C442*(1+D442/30),1)))</f>
        <v/>
      </c>
      <c r="F442" s="7" t="n"/>
    </row>
    <row r="443">
      <c r="A443" s="12" t="n"/>
      <c r="B443" s="7" t="n"/>
      <c r="C443" s="7" t="n"/>
      <c r="D443" s="7" t="n"/>
      <c r="E443" s="6">
        <f>IF(OR(C443="",D443=""),"",IF(D443=1,C443,ROUND(C443*(1+D443/30),1)))</f>
        <v/>
      </c>
      <c r="F443" s="7" t="n"/>
    </row>
    <row r="444">
      <c r="A444" s="12" t="n"/>
      <c r="B444" s="7" t="n"/>
      <c r="C444" s="7" t="n"/>
      <c r="D444" s="7" t="n"/>
      <c r="E444" s="6">
        <f>IF(OR(C444="",D444=""),"",IF(D444=1,C444,ROUND(C444*(1+D444/30),1)))</f>
        <v/>
      </c>
      <c r="F444" s="7" t="n"/>
    </row>
    <row r="445">
      <c r="A445" s="12" t="n"/>
      <c r="B445" s="7" t="n"/>
      <c r="C445" s="7" t="n"/>
      <c r="D445" s="7" t="n"/>
      <c r="E445" s="6">
        <f>IF(OR(C445="",D445=""),"",IF(D445=1,C445,ROUND(C445*(1+D445/30),1)))</f>
        <v/>
      </c>
      <c r="F445" s="7" t="n"/>
    </row>
    <row r="446">
      <c r="A446" s="12" t="n"/>
      <c r="B446" s="7" t="n"/>
      <c r="C446" s="7" t="n"/>
      <c r="D446" s="7" t="n"/>
      <c r="E446" s="6">
        <f>IF(OR(C446="",D446=""),"",IF(D446=1,C446,ROUND(C446*(1+D446/30),1)))</f>
        <v/>
      </c>
      <c r="F446" s="7" t="n"/>
    </row>
    <row r="447">
      <c r="A447" s="12" t="n"/>
      <c r="B447" s="7" t="n"/>
      <c r="C447" s="7" t="n"/>
      <c r="D447" s="7" t="n"/>
      <c r="E447" s="6">
        <f>IF(OR(C447="",D447=""),"",IF(D447=1,C447,ROUND(C447*(1+D447/30),1)))</f>
        <v/>
      </c>
      <c r="F447" s="7" t="n"/>
    </row>
    <row r="448">
      <c r="A448" s="12" t="n"/>
      <c r="B448" s="7" t="n"/>
      <c r="C448" s="7" t="n"/>
      <c r="D448" s="7" t="n"/>
      <c r="E448" s="6">
        <f>IF(OR(C448="",D448=""),"",IF(D448=1,C448,ROUND(C448*(1+D448/30),1)))</f>
        <v/>
      </c>
      <c r="F448" s="7" t="n"/>
    </row>
    <row r="449">
      <c r="A449" s="12" t="n"/>
      <c r="B449" s="7" t="n"/>
      <c r="C449" s="7" t="n"/>
      <c r="D449" s="7" t="n"/>
      <c r="E449" s="6">
        <f>IF(OR(C449="",D449=""),"",IF(D449=1,C449,ROUND(C449*(1+D449/30),1)))</f>
        <v/>
      </c>
      <c r="F449" s="7" t="n"/>
    </row>
    <row r="450">
      <c r="A450" s="12" t="n"/>
      <c r="B450" s="7" t="n"/>
      <c r="C450" s="7" t="n"/>
      <c r="D450" s="7" t="n"/>
      <c r="E450" s="6">
        <f>IF(OR(C450="",D450=""),"",IF(D450=1,C450,ROUND(C450*(1+D450/30),1)))</f>
        <v/>
      </c>
      <c r="F450" s="7" t="n"/>
    </row>
    <row r="451">
      <c r="A451" s="12" t="n"/>
      <c r="B451" s="7" t="n"/>
      <c r="C451" s="7" t="n"/>
      <c r="D451" s="7" t="n"/>
      <c r="E451" s="6">
        <f>IF(OR(C451="",D451=""),"",IF(D451=1,C451,ROUND(C451*(1+D451/30),1)))</f>
        <v/>
      </c>
      <c r="F451" s="7" t="n"/>
    </row>
    <row r="452">
      <c r="A452" s="12" t="n"/>
      <c r="B452" s="7" t="n"/>
      <c r="C452" s="7" t="n"/>
      <c r="D452" s="7" t="n"/>
      <c r="E452" s="6">
        <f>IF(OR(C452="",D452=""),"",IF(D452=1,C452,ROUND(C452*(1+D452/30),1)))</f>
        <v/>
      </c>
      <c r="F452" s="7" t="n"/>
    </row>
    <row r="453">
      <c r="A453" s="12" t="n"/>
      <c r="B453" s="7" t="n"/>
      <c r="C453" s="7" t="n"/>
      <c r="D453" s="7" t="n"/>
      <c r="E453" s="6">
        <f>IF(OR(C453="",D453=""),"",IF(D453=1,C453,ROUND(C453*(1+D453/30),1)))</f>
        <v/>
      </c>
      <c r="F453" s="7" t="n"/>
    </row>
    <row r="454">
      <c r="A454" s="12" t="n"/>
      <c r="B454" s="7" t="n"/>
      <c r="C454" s="7" t="n"/>
      <c r="D454" s="7" t="n"/>
      <c r="E454" s="6">
        <f>IF(OR(C454="",D454=""),"",IF(D454=1,C454,ROUND(C454*(1+D454/30),1)))</f>
        <v/>
      </c>
      <c r="F454" s="7" t="n"/>
    </row>
    <row r="455">
      <c r="A455" s="12" t="n"/>
      <c r="B455" s="7" t="n"/>
      <c r="C455" s="7" t="n"/>
      <c r="D455" s="7" t="n"/>
      <c r="E455" s="6">
        <f>IF(OR(C455="",D455=""),"",IF(D455=1,C455,ROUND(C455*(1+D455/30),1)))</f>
        <v/>
      </c>
      <c r="F455" s="7" t="n"/>
    </row>
    <row r="456">
      <c r="A456" s="12" t="n"/>
      <c r="B456" s="7" t="n"/>
      <c r="C456" s="7" t="n"/>
      <c r="D456" s="7" t="n"/>
      <c r="E456" s="6">
        <f>IF(OR(C456="",D456=""),"",IF(D456=1,C456,ROUND(C456*(1+D456/30),1)))</f>
        <v/>
      </c>
      <c r="F456" s="7" t="n"/>
    </row>
    <row r="457">
      <c r="A457" s="12" t="n"/>
      <c r="B457" s="7" t="n"/>
      <c r="C457" s="7" t="n"/>
      <c r="D457" s="7" t="n"/>
      <c r="E457" s="6">
        <f>IF(OR(C457="",D457=""),"",IF(D457=1,C457,ROUND(C457*(1+D457/30),1)))</f>
        <v/>
      </c>
      <c r="F457" s="7" t="n"/>
    </row>
    <row r="458">
      <c r="A458" s="12" t="n"/>
      <c r="B458" s="7" t="n"/>
      <c r="C458" s="7" t="n"/>
      <c r="D458" s="7" t="n"/>
      <c r="E458" s="6">
        <f>IF(OR(C458="",D458=""),"",IF(D458=1,C458,ROUND(C458*(1+D458/30),1)))</f>
        <v/>
      </c>
      <c r="F458" s="7" t="n"/>
    </row>
    <row r="459">
      <c r="A459" s="12" t="n"/>
      <c r="B459" s="7" t="n"/>
      <c r="C459" s="7" t="n"/>
      <c r="D459" s="7" t="n"/>
      <c r="E459" s="6">
        <f>IF(OR(C459="",D459=""),"",IF(D459=1,C459,ROUND(C459*(1+D459/30),1)))</f>
        <v/>
      </c>
      <c r="F459" s="7" t="n"/>
    </row>
    <row r="460">
      <c r="A460" s="12" t="n"/>
      <c r="B460" s="7" t="n"/>
      <c r="C460" s="7" t="n"/>
      <c r="D460" s="7" t="n"/>
      <c r="E460" s="6">
        <f>IF(OR(C460="",D460=""),"",IF(D460=1,C460,ROUND(C460*(1+D460/30),1)))</f>
        <v/>
      </c>
      <c r="F460" s="7" t="n"/>
    </row>
    <row r="461">
      <c r="A461" s="12" t="n"/>
      <c r="B461" s="7" t="n"/>
      <c r="C461" s="7" t="n"/>
      <c r="D461" s="7" t="n"/>
      <c r="E461" s="6">
        <f>IF(OR(C461="",D461=""),"",IF(D461=1,C461,ROUND(C461*(1+D461/30),1)))</f>
        <v/>
      </c>
      <c r="F461" s="7" t="n"/>
    </row>
    <row r="462">
      <c r="A462" s="12" t="n"/>
      <c r="B462" s="7" t="n"/>
      <c r="C462" s="7" t="n"/>
      <c r="D462" s="7" t="n"/>
      <c r="E462" s="6">
        <f>IF(OR(C462="",D462=""),"",IF(D462=1,C462,ROUND(C462*(1+D462/30),1)))</f>
        <v/>
      </c>
      <c r="F462" s="7" t="n"/>
    </row>
    <row r="463">
      <c r="A463" s="12" t="n"/>
      <c r="B463" s="7" t="n"/>
      <c r="C463" s="7" t="n"/>
      <c r="D463" s="7" t="n"/>
      <c r="E463" s="6">
        <f>IF(OR(C463="",D463=""),"",IF(D463=1,C463,ROUND(C463*(1+D463/30),1)))</f>
        <v/>
      </c>
      <c r="F463" s="7" t="n"/>
    </row>
    <row r="464">
      <c r="A464" s="12" t="n"/>
      <c r="B464" s="7" t="n"/>
      <c r="C464" s="7" t="n"/>
      <c r="D464" s="7" t="n"/>
      <c r="E464" s="6">
        <f>IF(OR(C464="",D464=""),"",IF(D464=1,C464,ROUND(C464*(1+D464/30),1)))</f>
        <v/>
      </c>
      <c r="F464" s="7" t="n"/>
    </row>
    <row r="465">
      <c r="A465" s="12" t="n"/>
      <c r="B465" s="7" t="n"/>
      <c r="C465" s="7" t="n"/>
      <c r="D465" s="7" t="n"/>
      <c r="E465" s="6">
        <f>IF(OR(C465="",D465=""),"",IF(D465=1,C465,ROUND(C465*(1+D465/30),1)))</f>
        <v/>
      </c>
      <c r="F465" s="7" t="n"/>
    </row>
    <row r="466">
      <c r="A466" s="12" t="n"/>
      <c r="B466" s="7" t="n"/>
      <c r="C466" s="7" t="n"/>
      <c r="D466" s="7" t="n"/>
      <c r="E466" s="6">
        <f>IF(OR(C466="",D466=""),"",IF(D466=1,C466,ROUND(C466*(1+D466/30),1)))</f>
        <v/>
      </c>
      <c r="F466" s="7" t="n"/>
    </row>
    <row r="467">
      <c r="A467" s="12" t="n"/>
      <c r="B467" s="7" t="n"/>
      <c r="C467" s="7" t="n"/>
      <c r="D467" s="7" t="n"/>
      <c r="E467" s="6">
        <f>IF(OR(C467="",D467=""),"",IF(D467=1,C467,ROUND(C467*(1+D467/30),1)))</f>
        <v/>
      </c>
      <c r="F467" s="7" t="n"/>
    </row>
    <row r="468">
      <c r="A468" s="12" t="n"/>
      <c r="B468" s="7" t="n"/>
      <c r="C468" s="7" t="n"/>
      <c r="D468" s="7" t="n"/>
      <c r="E468" s="6">
        <f>IF(OR(C468="",D468=""),"",IF(D468=1,C468,ROUND(C468*(1+D468/30),1)))</f>
        <v/>
      </c>
      <c r="F468" s="7" t="n"/>
    </row>
    <row r="469">
      <c r="A469" s="12" t="n"/>
      <c r="B469" s="7" t="n"/>
      <c r="C469" s="7" t="n"/>
      <c r="D469" s="7" t="n"/>
      <c r="E469" s="6">
        <f>IF(OR(C469="",D469=""),"",IF(D469=1,C469,ROUND(C469*(1+D469/30),1)))</f>
        <v/>
      </c>
      <c r="F469" s="7" t="n"/>
    </row>
    <row r="470">
      <c r="A470" s="12" t="n"/>
      <c r="B470" s="7" t="n"/>
      <c r="C470" s="7" t="n"/>
      <c r="D470" s="7" t="n"/>
      <c r="E470" s="6">
        <f>IF(OR(C470="",D470=""),"",IF(D470=1,C470,ROUND(C470*(1+D470/30),1)))</f>
        <v/>
      </c>
      <c r="F470" s="7" t="n"/>
    </row>
    <row r="471">
      <c r="A471" s="12" t="n"/>
      <c r="B471" s="7" t="n"/>
      <c r="C471" s="7" t="n"/>
      <c r="D471" s="7" t="n"/>
      <c r="E471" s="6">
        <f>IF(OR(C471="",D471=""),"",IF(D471=1,C471,ROUND(C471*(1+D471/30),1)))</f>
        <v/>
      </c>
      <c r="F471" s="7" t="n"/>
    </row>
    <row r="472">
      <c r="A472" s="12" t="n"/>
      <c r="B472" s="7" t="n"/>
      <c r="C472" s="7" t="n"/>
      <c r="D472" s="7" t="n"/>
      <c r="E472" s="6">
        <f>IF(OR(C472="",D472=""),"",IF(D472=1,C472,ROUND(C472*(1+D472/30),1)))</f>
        <v/>
      </c>
      <c r="F472" s="7" t="n"/>
    </row>
    <row r="473">
      <c r="A473" s="12" t="n"/>
      <c r="B473" s="7" t="n"/>
      <c r="C473" s="7" t="n"/>
      <c r="D473" s="7" t="n"/>
      <c r="E473" s="6">
        <f>IF(OR(C473="",D473=""),"",IF(D473=1,C473,ROUND(C473*(1+D473/30),1)))</f>
        <v/>
      </c>
      <c r="F473" s="7" t="n"/>
    </row>
    <row r="474">
      <c r="A474" s="12" t="n"/>
      <c r="B474" s="7" t="n"/>
      <c r="C474" s="7" t="n"/>
      <c r="D474" s="7" t="n"/>
      <c r="E474" s="6">
        <f>IF(OR(C474="",D474=""),"",IF(D474=1,C474,ROUND(C474*(1+D474/30),1)))</f>
        <v/>
      </c>
      <c r="F474" s="7" t="n"/>
    </row>
    <row r="475">
      <c r="A475" s="12" t="n"/>
      <c r="B475" s="7" t="n"/>
      <c r="C475" s="7" t="n"/>
      <c r="D475" s="7" t="n"/>
      <c r="E475" s="6">
        <f>IF(OR(C475="",D475=""),"",IF(D475=1,C475,ROUND(C475*(1+D475/30),1)))</f>
        <v/>
      </c>
      <c r="F475" s="7" t="n"/>
    </row>
    <row r="476">
      <c r="A476" s="12" t="n"/>
      <c r="B476" s="7" t="n"/>
      <c r="C476" s="7" t="n"/>
      <c r="D476" s="7" t="n"/>
      <c r="E476" s="6">
        <f>IF(OR(C476="",D476=""),"",IF(D476=1,C476,ROUND(C476*(1+D476/30),1)))</f>
        <v/>
      </c>
      <c r="F476" s="7" t="n"/>
    </row>
    <row r="477">
      <c r="A477" s="12" t="n"/>
      <c r="B477" s="7" t="n"/>
      <c r="C477" s="7" t="n"/>
      <c r="D477" s="7" t="n"/>
      <c r="E477" s="6">
        <f>IF(OR(C477="",D477=""),"",IF(D477=1,C477,ROUND(C477*(1+D477/30),1)))</f>
        <v/>
      </c>
      <c r="F477" s="7" t="n"/>
    </row>
    <row r="478">
      <c r="A478" s="12" t="n"/>
      <c r="B478" s="7" t="n"/>
      <c r="C478" s="7" t="n"/>
      <c r="D478" s="7" t="n"/>
      <c r="E478" s="6">
        <f>IF(OR(C478="",D478=""),"",IF(D478=1,C478,ROUND(C478*(1+D478/30),1)))</f>
        <v/>
      </c>
      <c r="F478" s="7" t="n"/>
    </row>
    <row r="479">
      <c r="A479" s="12" t="n"/>
      <c r="B479" s="7" t="n"/>
      <c r="C479" s="7" t="n"/>
      <c r="D479" s="7" t="n"/>
      <c r="E479" s="6">
        <f>IF(OR(C479="",D479=""),"",IF(D479=1,C479,ROUND(C479*(1+D479/30),1)))</f>
        <v/>
      </c>
      <c r="F479" s="7" t="n"/>
    </row>
    <row r="480">
      <c r="A480" s="12" t="n"/>
      <c r="B480" s="7" t="n"/>
      <c r="C480" s="7" t="n"/>
      <c r="D480" s="7" t="n"/>
      <c r="E480" s="6">
        <f>IF(OR(C480="",D480=""),"",IF(D480=1,C480,ROUND(C480*(1+D480/30),1)))</f>
        <v/>
      </c>
      <c r="F480" s="7" t="n"/>
    </row>
    <row r="481">
      <c r="A481" s="12" t="n"/>
      <c r="B481" s="7" t="n"/>
      <c r="C481" s="7" t="n"/>
      <c r="D481" s="7" t="n"/>
      <c r="E481" s="6">
        <f>IF(OR(C481="",D481=""),"",IF(D481=1,C481,ROUND(C481*(1+D481/30),1)))</f>
        <v/>
      </c>
      <c r="F481" s="7" t="n"/>
    </row>
    <row r="482">
      <c r="A482" s="12" t="n"/>
      <c r="B482" s="7" t="n"/>
      <c r="C482" s="7" t="n"/>
      <c r="D482" s="7" t="n"/>
      <c r="E482" s="6">
        <f>IF(OR(C482="",D482=""),"",IF(D482=1,C482,ROUND(C482*(1+D482/30),1)))</f>
        <v/>
      </c>
      <c r="F482" s="7" t="n"/>
    </row>
    <row r="483">
      <c r="A483" s="12" t="n"/>
      <c r="B483" s="7" t="n"/>
      <c r="C483" s="7" t="n"/>
      <c r="D483" s="7" t="n"/>
      <c r="E483" s="6">
        <f>IF(OR(C483="",D483=""),"",IF(D483=1,C483,ROUND(C483*(1+D483/30),1)))</f>
        <v/>
      </c>
      <c r="F483" s="7" t="n"/>
    </row>
    <row r="484">
      <c r="A484" s="12" t="n"/>
      <c r="B484" s="7" t="n"/>
      <c r="C484" s="7" t="n"/>
      <c r="D484" s="7" t="n"/>
      <c r="E484" s="6">
        <f>IF(OR(C484="",D484=""),"",IF(D484=1,C484,ROUND(C484*(1+D484/30),1)))</f>
        <v/>
      </c>
      <c r="F484" s="7" t="n"/>
    </row>
    <row r="485">
      <c r="A485" s="12" t="n"/>
      <c r="B485" s="7" t="n"/>
      <c r="C485" s="7" t="n"/>
      <c r="D485" s="7" t="n"/>
      <c r="E485" s="6">
        <f>IF(OR(C485="",D485=""),"",IF(D485=1,C485,ROUND(C485*(1+D485/30),1)))</f>
        <v/>
      </c>
      <c r="F485" s="7" t="n"/>
    </row>
    <row r="486">
      <c r="A486" s="12" t="n"/>
      <c r="B486" s="7" t="n"/>
      <c r="C486" s="7" t="n"/>
      <c r="D486" s="7" t="n"/>
      <c r="E486" s="6">
        <f>IF(OR(C486="",D486=""),"",IF(D486=1,C486,ROUND(C486*(1+D486/30),1)))</f>
        <v/>
      </c>
      <c r="F486" s="7" t="n"/>
    </row>
    <row r="487">
      <c r="A487" s="12" t="n"/>
      <c r="B487" s="7" t="n"/>
      <c r="C487" s="7" t="n"/>
      <c r="D487" s="7" t="n"/>
      <c r="E487" s="6">
        <f>IF(OR(C487="",D487=""),"",IF(D487=1,C487,ROUND(C487*(1+D487/30),1)))</f>
        <v/>
      </c>
      <c r="F487" s="7" t="n"/>
    </row>
    <row r="488">
      <c r="A488" s="12" t="n"/>
      <c r="B488" s="7" t="n"/>
      <c r="C488" s="7" t="n"/>
      <c r="D488" s="7" t="n"/>
      <c r="E488" s="6">
        <f>IF(OR(C488="",D488=""),"",IF(D488=1,C488,ROUND(C488*(1+D488/30),1)))</f>
        <v/>
      </c>
      <c r="F488" s="7" t="n"/>
    </row>
    <row r="489">
      <c r="A489" s="12" t="n"/>
      <c r="B489" s="7" t="n"/>
      <c r="C489" s="7" t="n"/>
      <c r="D489" s="7" t="n"/>
      <c r="E489" s="6">
        <f>IF(OR(C489="",D489=""),"",IF(D489=1,C489,ROUND(C489*(1+D489/30),1)))</f>
        <v/>
      </c>
      <c r="F489" s="7" t="n"/>
    </row>
    <row r="490">
      <c r="A490" s="12" t="n"/>
      <c r="B490" s="7" t="n"/>
      <c r="C490" s="7" t="n"/>
      <c r="D490" s="7" t="n"/>
      <c r="E490" s="6">
        <f>IF(OR(C490="",D490=""),"",IF(D490=1,C490,ROUND(C490*(1+D490/30),1)))</f>
        <v/>
      </c>
      <c r="F490" s="7" t="n"/>
    </row>
    <row r="491">
      <c r="A491" s="12" t="n"/>
      <c r="B491" s="7" t="n"/>
      <c r="C491" s="7" t="n"/>
      <c r="D491" s="7" t="n"/>
      <c r="E491" s="6">
        <f>IF(OR(C491="",D491=""),"",IF(D491=1,C491,ROUND(C491*(1+D491/30),1)))</f>
        <v/>
      </c>
      <c r="F491" s="7" t="n"/>
    </row>
    <row r="492">
      <c r="A492" s="12" t="n"/>
      <c r="B492" s="7" t="n"/>
      <c r="C492" s="7" t="n"/>
      <c r="D492" s="7" t="n"/>
      <c r="E492" s="6">
        <f>IF(OR(C492="",D492=""),"",IF(D492=1,C492,ROUND(C492*(1+D492/30),1)))</f>
        <v/>
      </c>
      <c r="F492" s="7" t="n"/>
    </row>
    <row r="493">
      <c r="A493" s="12" t="n"/>
      <c r="B493" s="7" t="n"/>
      <c r="C493" s="7" t="n"/>
      <c r="D493" s="7" t="n"/>
      <c r="E493" s="6">
        <f>IF(OR(C493="",D493=""),"",IF(D493=1,C493,ROUND(C493*(1+D493/30),1)))</f>
        <v/>
      </c>
      <c r="F493" s="7" t="n"/>
    </row>
    <row r="494">
      <c r="A494" s="12" t="n"/>
      <c r="B494" s="7" t="n"/>
      <c r="C494" s="7" t="n"/>
      <c r="D494" s="7" t="n"/>
      <c r="E494" s="6">
        <f>IF(OR(C494="",D494=""),"",IF(D494=1,C494,ROUND(C494*(1+D494/30),1)))</f>
        <v/>
      </c>
      <c r="F494" s="7" t="n"/>
    </row>
    <row r="495">
      <c r="A495" s="12" t="n"/>
      <c r="B495" s="7" t="n"/>
      <c r="C495" s="7" t="n"/>
      <c r="D495" s="7" t="n"/>
      <c r="E495" s="6">
        <f>IF(OR(C495="",D495=""),"",IF(D495=1,C495,ROUND(C495*(1+D495/30),1)))</f>
        <v/>
      </c>
      <c r="F495" s="7" t="n"/>
    </row>
    <row r="496">
      <c r="A496" s="12" t="n"/>
      <c r="B496" s="7" t="n"/>
      <c r="C496" s="7" t="n"/>
      <c r="D496" s="7" t="n"/>
      <c r="E496" s="6">
        <f>IF(OR(C496="",D496=""),"",IF(D496=1,C496,ROUND(C496*(1+D496/30),1)))</f>
        <v/>
      </c>
      <c r="F496" s="7" t="n"/>
    </row>
    <row r="497">
      <c r="A497" s="12" t="n"/>
      <c r="B497" s="7" t="n"/>
      <c r="C497" s="7" t="n"/>
      <c r="D497" s="7" t="n"/>
      <c r="E497" s="6">
        <f>IF(OR(C497="",D497=""),"",IF(D497=1,C497,ROUND(C497*(1+D497/30),1)))</f>
        <v/>
      </c>
      <c r="F497" s="7" t="n"/>
    </row>
    <row r="498">
      <c r="A498" s="12" t="n"/>
      <c r="B498" s="7" t="n"/>
      <c r="C498" s="7" t="n"/>
      <c r="D498" s="7" t="n"/>
      <c r="E498" s="6">
        <f>IF(OR(C498="",D498=""),"",IF(D498=1,C498,ROUND(C498*(1+D498/30),1)))</f>
        <v/>
      </c>
      <c r="F498" s="7" t="n"/>
    </row>
    <row r="499">
      <c r="A499" s="12" t="n"/>
      <c r="B499" s="7" t="n"/>
      <c r="C499" s="7" t="n"/>
      <c r="D499" s="7" t="n"/>
      <c r="E499" s="6">
        <f>IF(OR(C499="",D499=""),"",IF(D499=1,C499,ROUND(C499*(1+D499/30),1)))</f>
        <v/>
      </c>
      <c r="F499" s="7" t="n"/>
    </row>
    <row r="500">
      <c r="A500" s="12" t="n"/>
      <c r="B500" s="7" t="n"/>
      <c r="C500" s="7" t="n"/>
      <c r="D500" s="7" t="n"/>
      <c r="E500" s="6">
        <f>IF(OR(C500="",D500=""),"",IF(D500=1,C500,ROUND(C500*(1+D500/30),1)))</f>
        <v/>
      </c>
      <c r="F500" s="7" t="n"/>
    </row>
    <row r="501">
      <c r="A501" s="12" t="n"/>
      <c r="B501" s="7" t="n"/>
      <c r="C501" s="7" t="n"/>
      <c r="D501" s="7" t="n"/>
      <c r="E501" s="6">
        <f>IF(OR(C501="",D501=""),"",IF(D501=1,C501,ROUND(C501*(1+D501/30),1)))</f>
        <v/>
      </c>
      <c r="F501" s="7" t="n"/>
    </row>
    <row r="502">
      <c r="A502" s="12" t="n"/>
      <c r="B502" s="7" t="n"/>
      <c r="C502" s="7" t="n"/>
      <c r="D502" s="7" t="n"/>
      <c r="E502" s="6">
        <f>IF(OR(C502="",D502=""),"",IF(D502=1,C502,ROUND(C502*(1+D502/30),1)))</f>
        <v/>
      </c>
      <c r="F502" s="7" t="n"/>
    </row>
    <row r="503">
      <c r="A503" s="12" t="n"/>
      <c r="B503" s="7" t="n"/>
      <c r="C503" s="7" t="n"/>
      <c r="D503" s="7" t="n"/>
      <c r="E503" s="6">
        <f>IF(OR(C503="",D503=""),"",IF(D503=1,C503,ROUND(C503*(1+D503/30),1)))</f>
        <v/>
      </c>
      <c r="F503" s="7" t="n"/>
    </row>
    <row r="504">
      <c r="A504" s="12" t="n"/>
      <c r="B504" s="7" t="n"/>
      <c r="C504" s="7" t="n"/>
      <c r="D504" s="7" t="n"/>
      <c r="E504" s="6">
        <f>IF(OR(C504="",D504=""),"",IF(D504=1,C504,ROUND(C504*(1+D504/30),1)))</f>
        <v/>
      </c>
      <c r="F504" s="7" t="n"/>
    </row>
    <row r="505">
      <c r="A505" s="12" t="n"/>
      <c r="B505" s="7" t="n"/>
      <c r="C505" s="7" t="n"/>
      <c r="D505" s="7" t="n"/>
      <c r="E505" s="6">
        <f>IF(OR(C505="",D505=""),"",IF(D505=1,C505,ROUND(C505*(1+D505/30),1)))</f>
        <v/>
      </c>
      <c r="F505" s="7" t="n"/>
    </row>
    <row r="506">
      <c r="A506" s="12" t="n"/>
      <c r="B506" s="7" t="n"/>
      <c r="C506" s="7" t="n"/>
      <c r="D506" s="7" t="n"/>
      <c r="E506" s="6">
        <f>IF(OR(C506="",D506=""),"",IF(D506=1,C506,ROUND(C506*(1+D506/30),1)))</f>
        <v/>
      </c>
      <c r="F506" s="7" t="n"/>
    </row>
    <row r="507">
      <c r="A507" s="12" t="n"/>
      <c r="B507" s="7" t="n"/>
      <c r="C507" s="7" t="n"/>
      <c r="D507" s="7" t="n"/>
      <c r="E507" s="6">
        <f>IF(OR(C507="",D507=""),"",IF(D507=1,C507,ROUND(C507*(1+D507/30),1)))</f>
        <v/>
      </c>
      <c r="F507" s="7" t="n"/>
    </row>
    <row r="508">
      <c r="A508" s="12" t="n"/>
      <c r="B508" s="7" t="n"/>
      <c r="C508" s="7" t="n"/>
      <c r="D508" s="7" t="n"/>
      <c r="E508" s="6">
        <f>IF(OR(C508="",D508=""),"",IF(D508=1,C508,ROUND(C508*(1+D508/30),1)))</f>
        <v/>
      </c>
      <c r="F508" s="7" t="n"/>
    </row>
    <row r="509">
      <c r="A509" s="12" t="n"/>
      <c r="B509" s="7" t="n"/>
      <c r="C509" s="7" t="n"/>
      <c r="D509" s="7" t="n"/>
      <c r="E509" s="6">
        <f>IF(OR(C509="",D509=""),"",IF(D509=1,C509,ROUND(C509*(1+D509/30),1)))</f>
        <v/>
      </c>
      <c r="F509" s="7" t="n"/>
    </row>
    <row r="510">
      <c r="A510" s="12" t="n"/>
      <c r="B510" s="7" t="n"/>
      <c r="C510" s="7" t="n"/>
      <c r="D510" s="7" t="n"/>
      <c r="E510" s="6">
        <f>IF(OR(C510="",D510=""),"",IF(D510=1,C510,ROUND(C510*(1+D510/30),1)))</f>
        <v/>
      </c>
      <c r="F510" s="7" t="n"/>
    </row>
    <row r="511">
      <c r="A511" s="12" t="n"/>
      <c r="B511" s="7" t="n"/>
      <c r="C511" s="7" t="n"/>
      <c r="D511" s="7" t="n"/>
      <c r="E511" s="6">
        <f>IF(OR(C511="",D511=""),"",IF(D511=1,C511,ROUND(C511*(1+D511/30),1)))</f>
        <v/>
      </c>
      <c r="F511" s="7" t="n"/>
    </row>
    <row r="512">
      <c r="A512" s="12" t="n"/>
      <c r="B512" s="7" t="n"/>
      <c r="C512" s="7" t="n"/>
      <c r="D512" s="7" t="n"/>
      <c r="E512" s="6">
        <f>IF(OR(C512="",D512=""),"",IF(D512=1,C512,ROUND(C512*(1+D512/30),1)))</f>
        <v/>
      </c>
      <c r="F512" s="7" t="n"/>
    </row>
    <row r="513">
      <c r="A513" s="12" t="n"/>
      <c r="B513" s="7" t="n"/>
      <c r="C513" s="7" t="n"/>
      <c r="D513" s="7" t="n"/>
      <c r="E513" s="6">
        <f>IF(OR(C513="",D513=""),"",IF(D513=1,C513,ROUND(C513*(1+D513/30),1)))</f>
        <v/>
      </c>
      <c r="F513" s="7" t="n"/>
    </row>
    <row r="514">
      <c r="A514" s="12" t="n"/>
      <c r="B514" s="7" t="n"/>
      <c r="C514" s="7" t="n"/>
      <c r="D514" s="7" t="n"/>
      <c r="E514" s="6">
        <f>IF(OR(C514="",D514=""),"",IF(D514=1,C514,ROUND(C514*(1+D514/30),1)))</f>
        <v/>
      </c>
      <c r="F514" s="7" t="n"/>
    </row>
    <row r="515">
      <c r="A515" s="12" t="n"/>
      <c r="B515" s="7" t="n"/>
      <c r="C515" s="7" t="n"/>
      <c r="D515" s="7" t="n"/>
      <c r="E515" s="6">
        <f>IF(OR(C515="",D515=""),"",IF(D515=1,C515,ROUND(C515*(1+D515/30),1)))</f>
        <v/>
      </c>
      <c r="F515" s="7" t="n"/>
    </row>
    <row r="516">
      <c r="A516" s="12" t="n"/>
      <c r="B516" s="7" t="n"/>
      <c r="C516" s="7" t="n"/>
      <c r="D516" s="7" t="n"/>
      <c r="E516" s="6">
        <f>IF(OR(C516="",D516=""),"",IF(D516=1,C516,ROUND(C516*(1+D516/30),1)))</f>
        <v/>
      </c>
      <c r="F516" s="7" t="n"/>
    </row>
    <row r="517">
      <c r="A517" s="12" t="n"/>
      <c r="B517" s="7" t="n"/>
      <c r="C517" s="7" t="n"/>
      <c r="D517" s="7" t="n"/>
      <c r="E517" s="6">
        <f>IF(OR(C517="",D517=""),"",IF(D517=1,C517,ROUND(C517*(1+D517/30),1)))</f>
        <v/>
      </c>
      <c r="F517" s="7" t="n"/>
    </row>
    <row r="518">
      <c r="A518" s="12" t="n"/>
      <c r="B518" s="7" t="n"/>
      <c r="C518" s="7" t="n"/>
      <c r="D518" s="7" t="n"/>
      <c r="E518" s="6">
        <f>IF(OR(C518="",D518=""),"",IF(D518=1,C518,ROUND(C518*(1+D518/30),1)))</f>
        <v/>
      </c>
      <c r="F518" s="7" t="n"/>
    </row>
    <row r="519">
      <c r="A519" s="12" t="n"/>
      <c r="B519" s="7" t="n"/>
      <c r="C519" s="7" t="n"/>
      <c r="D519" s="7" t="n"/>
      <c r="E519" s="6">
        <f>IF(OR(C519="",D519=""),"",IF(D519=1,C519,ROUND(C519*(1+D519/30),1)))</f>
        <v/>
      </c>
      <c r="F519" s="7" t="n"/>
    </row>
    <row r="520">
      <c r="A520" s="12" t="n"/>
      <c r="B520" s="7" t="n"/>
      <c r="C520" s="7" t="n"/>
      <c r="D520" s="7" t="n"/>
      <c r="E520" s="6">
        <f>IF(OR(C520="",D520=""),"",IF(D520=1,C520,ROUND(C520*(1+D520/30),1)))</f>
        <v/>
      </c>
      <c r="F520" s="7" t="n"/>
    </row>
    <row r="521">
      <c r="A521" s="12" t="n"/>
      <c r="B521" s="7" t="n"/>
      <c r="C521" s="7" t="n"/>
      <c r="D521" s="7" t="n"/>
      <c r="E521" s="6">
        <f>IF(OR(C521="",D521=""),"",IF(D521=1,C521,ROUND(C521*(1+D521/30),1)))</f>
        <v/>
      </c>
      <c r="F521" s="7" t="n"/>
    </row>
    <row r="522">
      <c r="A522" s="12" t="n"/>
      <c r="B522" s="7" t="n"/>
      <c r="C522" s="7" t="n"/>
      <c r="D522" s="7" t="n"/>
      <c r="E522" s="6">
        <f>IF(OR(C522="",D522=""),"",IF(D522=1,C522,ROUND(C522*(1+D522/30),1)))</f>
        <v/>
      </c>
      <c r="F522" s="7" t="n"/>
    </row>
    <row r="523">
      <c r="A523" s="12" t="n"/>
      <c r="B523" s="7" t="n"/>
      <c r="C523" s="7" t="n"/>
      <c r="D523" s="7" t="n"/>
      <c r="E523" s="6">
        <f>IF(OR(C523="",D523=""),"",IF(D523=1,C523,ROUND(C523*(1+D523/30),1)))</f>
        <v/>
      </c>
      <c r="F523" s="7" t="n"/>
    </row>
    <row r="524">
      <c r="A524" s="12" t="n"/>
      <c r="B524" s="7" t="n"/>
      <c r="C524" s="7" t="n"/>
      <c r="D524" s="7" t="n"/>
      <c r="E524" s="6">
        <f>IF(OR(C524="",D524=""),"",IF(D524=1,C524,ROUND(C524*(1+D524/30),1)))</f>
        <v/>
      </c>
      <c r="F524" s="7" t="n"/>
    </row>
    <row r="525">
      <c r="A525" s="12" t="n"/>
      <c r="B525" s="7" t="n"/>
      <c r="C525" s="7" t="n"/>
      <c r="D525" s="7" t="n"/>
      <c r="E525" s="6">
        <f>IF(OR(C525="",D525=""),"",IF(D525=1,C525,ROUND(C525*(1+D525/30),1)))</f>
        <v/>
      </c>
      <c r="F525" s="7" t="n"/>
    </row>
    <row r="526">
      <c r="A526" s="12" t="n"/>
      <c r="B526" s="7" t="n"/>
      <c r="C526" s="7" t="n"/>
      <c r="D526" s="7" t="n"/>
      <c r="E526" s="6">
        <f>IF(OR(C526="",D526=""),"",IF(D526=1,C526,ROUND(C526*(1+D526/30),1)))</f>
        <v/>
      </c>
      <c r="F526" s="7" t="n"/>
    </row>
    <row r="527">
      <c r="A527" s="12" t="n"/>
      <c r="B527" s="7" t="n"/>
      <c r="C527" s="7" t="n"/>
      <c r="D527" s="7" t="n"/>
      <c r="E527" s="6">
        <f>IF(OR(C527="",D527=""),"",IF(D527=1,C527,ROUND(C527*(1+D527/30),1)))</f>
        <v/>
      </c>
      <c r="F527" s="7" t="n"/>
    </row>
    <row r="528">
      <c r="A528" s="12" t="n"/>
      <c r="B528" s="7" t="n"/>
      <c r="C528" s="7" t="n"/>
      <c r="D528" s="7" t="n"/>
      <c r="E528" s="6">
        <f>IF(OR(C528="",D528=""),"",IF(D528=1,C528,ROUND(C528*(1+D528/30),1)))</f>
        <v/>
      </c>
      <c r="F528" s="7" t="n"/>
    </row>
    <row r="529">
      <c r="A529" s="12" t="n"/>
      <c r="B529" s="7" t="n"/>
      <c r="C529" s="7" t="n"/>
      <c r="D529" s="7" t="n"/>
      <c r="E529" s="6">
        <f>IF(OR(C529="",D529=""),"",IF(D529=1,C529,ROUND(C529*(1+D529/30),1)))</f>
        <v/>
      </c>
      <c r="F529" s="7" t="n"/>
    </row>
    <row r="530">
      <c r="A530" s="12" t="n"/>
      <c r="B530" s="7" t="n"/>
      <c r="C530" s="7" t="n"/>
      <c r="D530" s="7" t="n"/>
      <c r="E530" s="6">
        <f>IF(OR(C530="",D530=""),"",IF(D530=1,C530,ROUND(C530*(1+D530/30),1)))</f>
        <v/>
      </c>
      <c r="F530" s="7" t="n"/>
    </row>
    <row r="531">
      <c r="A531" s="12" t="n"/>
      <c r="B531" s="7" t="n"/>
      <c r="C531" s="7" t="n"/>
      <c r="D531" s="7" t="n"/>
      <c r="E531" s="6">
        <f>IF(OR(C531="",D531=""),"",IF(D531=1,C531,ROUND(C531*(1+D531/30),1)))</f>
        <v/>
      </c>
      <c r="F531" s="7" t="n"/>
    </row>
    <row r="532">
      <c r="A532" s="12" t="n"/>
      <c r="B532" s="7" t="n"/>
      <c r="C532" s="7" t="n"/>
      <c r="D532" s="7" t="n"/>
      <c r="E532" s="6">
        <f>IF(OR(C532="",D532=""),"",IF(D532=1,C532,ROUND(C532*(1+D532/30),1)))</f>
        <v/>
      </c>
      <c r="F532" s="7" t="n"/>
    </row>
    <row r="533">
      <c r="A533" s="12" t="n"/>
      <c r="B533" s="7" t="n"/>
      <c r="C533" s="7" t="n"/>
      <c r="D533" s="7" t="n"/>
      <c r="E533" s="6">
        <f>IF(OR(C533="",D533=""),"",IF(D533=1,C533,ROUND(C533*(1+D533/30),1)))</f>
        <v/>
      </c>
      <c r="F533" s="7" t="n"/>
    </row>
    <row r="534">
      <c r="A534" s="12" t="n"/>
      <c r="B534" s="7" t="n"/>
      <c r="C534" s="7" t="n"/>
      <c r="D534" s="7" t="n"/>
      <c r="E534" s="6">
        <f>IF(OR(C534="",D534=""),"",IF(D534=1,C534,ROUND(C534*(1+D534/30),1)))</f>
        <v/>
      </c>
      <c r="F534" s="7" t="n"/>
    </row>
    <row r="535">
      <c r="A535" s="12" t="n"/>
      <c r="B535" s="7" t="n"/>
      <c r="C535" s="7" t="n"/>
      <c r="D535" s="7" t="n"/>
      <c r="E535" s="6">
        <f>IF(OR(C535="",D535=""),"",IF(D535=1,C535,ROUND(C535*(1+D535/30),1)))</f>
        <v/>
      </c>
      <c r="F535" s="7" t="n"/>
    </row>
    <row r="536">
      <c r="A536" s="12" t="n"/>
      <c r="B536" s="7" t="n"/>
      <c r="C536" s="7" t="n"/>
      <c r="D536" s="7" t="n"/>
      <c r="E536" s="6">
        <f>IF(OR(C536="",D536=""),"",IF(D536=1,C536,ROUND(C536*(1+D536/30),1)))</f>
        <v/>
      </c>
      <c r="F536" s="7" t="n"/>
    </row>
    <row r="537">
      <c r="A537" s="12" t="n"/>
      <c r="B537" s="7" t="n"/>
      <c r="C537" s="7" t="n"/>
      <c r="D537" s="7" t="n"/>
      <c r="E537" s="6">
        <f>IF(OR(C537="",D537=""),"",IF(D537=1,C537,ROUND(C537*(1+D537/30),1)))</f>
        <v/>
      </c>
      <c r="F537" s="7" t="n"/>
    </row>
    <row r="538">
      <c r="A538" s="12" t="n"/>
      <c r="B538" s="7" t="n"/>
      <c r="C538" s="7" t="n"/>
      <c r="D538" s="7" t="n"/>
      <c r="E538" s="6">
        <f>IF(OR(C538="",D538=""),"",IF(D538=1,C538,ROUND(C538*(1+D538/30),1)))</f>
        <v/>
      </c>
      <c r="F538" s="7" t="n"/>
    </row>
    <row r="539">
      <c r="A539" s="12" t="n"/>
      <c r="B539" s="7" t="n"/>
      <c r="C539" s="7" t="n"/>
      <c r="D539" s="7" t="n"/>
      <c r="E539" s="6">
        <f>IF(OR(C539="",D539=""),"",IF(D539=1,C539,ROUND(C539*(1+D539/30),1)))</f>
        <v/>
      </c>
      <c r="F539" s="7" t="n"/>
    </row>
    <row r="540">
      <c r="A540" s="12" t="n"/>
      <c r="B540" s="7" t="n"/>
      <c r="C540" s="7" t="n"/>
      <c r="D540" s="7" t="n"/>
      <c r="E540" s="6">
        <f>IF(OR(C540="",D540=""),"",IF(D540=1,C540,ROUND(C540*(1+D540/30),1)))</f>
        <v/>
      </c>
      <c r="F540" s="7" t="n"/>
    </row>
    <row r="541">
      <c r="A541" s="12" t="n"/>
      <c r="B541" s="7" t="n"/>
      <c r="C541" s="7" t="n"/>
      <c r="D541" s="7" t="n"/>
      <c r="E541" s="6">
        <f>IF(OR(C541="",D541=""),"",IF(D541=1,C541,ROUND(C541*(1+D541/30),1)))</f>
        <v/>
      </c>
      <c r="F541" s="7" t="n"/>
    </row>
    <row r="542">
      <c r="A542" s="12" t="n"/>
      <c r="B542" s="7" t="n"/>
      <c r="C542" s="7" t="n"/>
      <c r="D542" s="7" t="n"/>
      <c r="E542" s="6">
        <f>IF(OR(C542="",D542=""),"",IF(D542=1,C542,ROUND(C542*(1+D542/30),1)))</f>
        <v/>
      </c>
      <c r="F542" s="7" t="n"/>
    </row>
    <row r="543">
      <c r="A543" s="12" t="n"/>
      <c r="B543" s="7" t="n"/>
      <c r="C543" s="7" t="n"/>
      <c r="D543" s="7" t="n"/>
      <c r="E543" s="6">
        <f>IF(OR(C543="",D543=""),"",IF(D543=1,C543,ROUND(C543*(1+D543/30),1)))</f>
        <v/>
      </c>
      <c r="F543" s="7" t="n"/>
    </row>
    <row r="544">
      <c r="A544" s="12" t="n"/>
      <c r="B544" s="7" t="n"/>
      <c r="C544" s="7" t="n"/>
      <c r="D544" s="7" t="n"/>
      <c r="E544" s="6">
        <f>IF(OR(C544="",D544=""),"",IF(D544=1,C544,ROUND(C544*(1+D544/30),1)))</f>
        <v/>
      </c>
      <c r="F544" s="7" t="n"/>
    </row>
    <row r="545">
      <c r="A545" s="12" t="n"/>
      <c r="B545" s="7" t="n"/>
      <c r="C545" s="7" t="n"/>
      <c r="D545" s="7" t="n"/>
      <c r="E545" s="6">
        <f>IF(OR(C545="",D545=""),"",IF(D545=1,C545,ROUND(C545*(1+D545/30),1)))</f>
        <v/>
      </c>
      <c r="F545" s="7" t="n"/>
    </row>
    <row r="546">
      <c r="A546" s="12" t="n"/>
      <c r="B546" s="7" t="n"/>
      <c r="C546" s="7" t="n"/>
      <c r="D546" s="7" t="n"/>
      <c r="E546" s="6">
        <f>IF(OR(C546="",D546=""),"",IF(D546=1,C546,ROUND(C546*(1+D546/30),1)))</f>
        <v/>
      </c>
      <c r="F546" s="7" t="n"/>
    </row>
    <row r="547">
      <c r="A547" s="12" t="n"/>
      <c r="B547" s="7" t="n"/>
      <c r="C547" s="7" t="n"/>
      <c r="D547" s="7" t="n"/>
      <c r="E547" s="6">
        <f>IF(OR(C547="",D547=""),"",IF(D547=1,C547,ROUND(C547*(1+D547/30),1)))</f>
        <v/>
      </c>
      <c r="F547" s="7" t="n"/>
    </row>
    <row r="548">
      <c r="A548" s="12" t="n"/>
      <c r="B548" s="7" t="n"/>
      <c r="C548" s="7" t="n"/>
      <c r="D548" s="7" t="n"/>
      <c r="E548" s="6">
        <f>IF(OR(C548="",D548=""),"",IF(D548=1,C548,ROUND(C548*(1+D548/30),1)))</f>
        <v/>
      </c>
      <c r="F548" s="7" t="n"/>
    </row>
    <row r="549">
      <c r="A549" s="12" t="n"/>
      <c r="B549" s="7" t="n"/>
      <c r="C549" s="7" t="n"/>
      <c r="D549" s="7" t="n"/>
      <c r="E549" s="6">
        <f>IF(OR(C549="",D549=""),"",IF(D549=1,C549,ROUND(C549*(1+D549/30),1)))</f>
        <v/>
      </c>
      <c r="F549" s="7" t="n"/>
    </row>
    <row r="550">
      <c r="A550" s="12" t="n"/>
      <c r="B550" s="7" t="n"/>
      <c r="C550" s="7" t="n"/>
      <c r="D550" s="7" t="n"/>
      <c r="E550" s="6">
        <f>IF(OR(C550="",D550=""),"",IF(D550=1,C550,ROUND(C550*(1+D550/30),1)))</f>
        <v/>
      </c>
      <c r="F550" s="7" t="n"/>
    </row>
    <row r="551">
      <c r="A551" s="12" t="n"/>
      <c r="B551" s="7" t="n"/>
      <c r="C551" s="7" t="n"/>
      <c r="D551" s="7" t="n"/>
      <c r="E551" s="6">
        <f>IF(OR(C551="",D551=""),"",IF(D551=1,C551,ROUND(C551*(1+D551/30),1)))</f>
        <v/>
      </c>
      <c r="F551" s="7" t="n"/>
    </row>
    <row r="552">
      <c r="A552" s="12" t="n"/>
      <c r="B552" s="7" t="n"/>
      <c r="C552" s="7" t="n"/>
      <c r="D552" s="7" t="n"/>
      <c r="E552" s="6">
        <f>IF(OR(C552="",D552=""),"",IF(D552=1,C552,ROUND(C552*(1+D552/30),1)))</f>
        <v/>
      </c>
      <c r="F552" s="7" t="n"/>
    </row>
    <row r="553">
      <c r="A553" s="12" t="n"/>
      <c r="B553" s="7" t="n"/>
      <c r="C553" s="7" t="n"/>
      <c r="D553" s="7" t="n"/>
      <c r="E553" s="6">
        <f>IF(OR(C553="",D553=""),"",IF(D553=1,C553,ROUND(C553*(1+D553/30),1)))</f>
        <v/>
      </c>
      <c r="F553" s="7" t="n"/>
    </row>
    <row r="554">
      <c r="A554" s="12" t="n"/>
      <c r="B554" s="7" t="n"/>
      <c r="C554" s="7" t="n"/>
      <c r="D554" s="7" t="n"/>
      <c r="E554" s="6">
        <f>IF(OR(C554="",D554=""),"",IF(D554=1,C554,ROUND(C554*(1+D554/30),1)))</f>
        <v/>
      </c>
      <c r="F554" s="7" t="n"/>
    </row>
    <row r="555">
      <c r="A555" s="12" t="n"/>
      <c r="B555" s="7" t="n"/>
      <c r="C555" s="7" t="n"/>
      <c r="D555" s="7" t="n"/>
      <c r="E555" s="6">
        <f>IF(OR(C555="",D555=""),"",IF(D555=1,C555,ROUND(C555*(1+D555/30),1)))</f>
        <v/>
      </c>
      <c r="F555" s="7" t="n"/>
    </row>
    <row r="556">
      <c r="A556" s="12" t="n"/>
      <c r="B556" s="7" t="n"/>
      <c r="C556" s="7" t="n"/>
      <c r="D556" s="7" t="n"/>
      <c r="E556" s="6">
        <f>IF(OR(C556="",D556=""),"",IF(D556=1,C556,ROUND(C556*(1+D556/30),1)))</f>
        <v/>
      </c>
      <c r="F556" s="7" t="n"/>
    </row>
    <row r="557">
      <c r="A557" s="12" t="n"/>
      <c r="B557" s="7" t="n"/>
      <c r="C557" s="7" t="n"/>
      <c r="D557" s="7" t="n"/>
      <c r="E557" s="6">
        <f>IF(OR(C557="",D557=""),"",IF(D557=1,C557,ROUND(C557*(1+D557/30),1)))</f>
        <v/>
      </c>
      <c r="F557" s="7" t="n"/>
    </row>
    <row r="558">
      <c r="A558" s="12" t="n"/>
      <c r="B558" s="7" t="n"/>
      <c r="C558" s="7" t="n"/>
      <c r="D558" s="7" t="n"/>
      <c r="E558" s="6">
        <f>IF(OR(C558="",D558=""),"",IF(D558=1,C558,ROUND(C558*(1+D558/30),1)))</f>
        <v/>
      </c>
      <c r="F558" s="7" t="n"/>
    </row>
    <row r="559">
      <c r="A559" s="12" t="n"/>
      <c r="B559" s="7" t="n"/>
      <c r="C559" s="7" t="n"/>
      <c r="D559" s="7" t="n"/>
      <c r="E559" s="6">
        <f>IF(OR(C559="",D559=""),"",IF(D559=1,C559,ROUND(C559*(1+D559/30),1)))</f>
        <v/>
      </c>
      <c r="F559" s="7" t="n"/>
    </row>
    <row r="560">
      <c r="A560" s="12" t="n"/>
      <c r="B560" s="7" t="n"/>
      <c r="C560" s="7" t="n"/>
      <c r="D560" s="7" t="n"/>
      <c r="E560" s="6">
        <f>IF(OR(C560="",D560=""),"",IF(D560=1,C560,ROUND(C560*(1+D560/30),1)))</f>
        <v/>
      </c>
      <c r="F560" s="7" t="n"/>
    </row>
    <row r="561">
      <c r="A561" s="12" t="n"/>
      <c r="B561" s="7" t="n"/>
      <c r="C561" s="7" t="n"/>
      <c r="D561" s="7" t="n"/>
      <c r="E561" s="6">
        <f>IF(OR(C561="",D561=""),"",IF(D561=1,C561,ROUND(C561*(1+D561/30),1)))</f>
        <v/>
      </c>
      <c r="F561" s="7" t="n"/>
    </row>
    <row r="562">
      <c r="A562" s="12" t="n"/>
      <c r="B562" s="7" t="n"/>
      <c r="C562" s="7" t="n"/>
      <c r="D562" s="7" t="n"/>
      <c r="E562" s="6">
        <f>IF(OR(C562="",D562=""),"",IF(D562=1,C562,ROUND(C562*(1+D562/30),1)))</f>
        <v/>
      </c>
      <c r="F562" s="7" t="n"/>
    </row>
    <row r="563">
      <c r="A563" s="12" t="n"/>
      <c r="B563" s="7" t="n"/>
      <c r="C563" s="7" t="n"/>
      <c r="D563" s="7" t="n"/>
      <c r="E563" s="6">
        <f>IF(OR(C563="",D563=""),"",IF(D563=1,C563,ROUND(C563*(1+D563/30),1)))</f>
        <v/>
      </c>
      <c r="F563" s="7" t="n"/>
    </row>
    <row r="564">
      <c r="A564" s="12" t="n"/>
      <c r="B564" s="7" t="n"/>
      <c r="C564" s="7" t="n"/>
      <c r="D564" s="7" t="n"/>
      <c r="E564" s="6">
        <f>IF(OR(C564="",D564=""),"",IF(D564=1,C564,ROUND(C564*(1+D564/30),1)))</f>
        <v/>
      </c>
      <c r="F564" s="7" t="n"/>
    </row>
    <row r="565">
      <c r="A565" s="12" t="n"/>
      <c r="B565" s="7" t="n"/>
      <c r="C565" s="7" t="n"/>
      <c r="D565" s="7" t="n"/>
      <c r="E565" s="6">
        <f>IF(OR(C565="",D565=""),"",IF(D565=1,C565,ROUND(C565*(1+D565/30),1)))</f>
        <v/>
      </c>
      <c r="F565" s="7" t="n"/>
    </row>
    <row r="566">
      <c r="A566" s="12" t="n"/>
      <c r="B566" s="7" t="n"/>
      <c r="C566" s="7" t="n"/>
      <c r="D566" s="7" t="n"/>
      <c r="E566" s="6">
        <f>IF(OR(C566="",D566=""),"",IF(D566=1,C566,ROUND(C566*(1+D566/30),1)))</f>
        <v/>
      </c>
      <c r="F566" s="7" t="n"/>
    </row>
    <row r="567">
      <c r="A567" s="12" t="n"/>
      <c r="B567" s="7" t="n"/>
      <c r="C567" s="7" t="n"/>
      <c r="D567" s="7" t="n"/>
      <c r="E567" s="6">
        <f>IF(OR(C567="",D567=""),"",IF(D567=1,C567,ROUND(C567*(1+D567/30),1)))</f>
        <v/>
      </c>
      <c r="F567" s="7" t="n"/>
    </row>
    <row r="568">
      <c r="A568" s="12" t="n"/>
      <c r="B568" s="7" t="n"/>
      <c r="C568" s="7" t="n"/>
      <c r="D568" s="7" t="n"/>
      <c r="E568" s="6">
        <f>IF(OR(C568="",D568=""),"",IF(D568=1,C568,ROUND(C568*(1+D568/30),1)))</f>
        <v/>
      </c>
      <c r="F568" s="7" t="n"/>
    </row>
    <row r="569">
      <c r="A569" s="12" t="n"/>
      <c r="B569" s="7" t="n"/>
      <c r="C569" s="7" t="n"/>
      <c r="D569" s="7" t="n"/>
      <c r="E569" s="6">
        <f>IF(OR(C569="",D569=""),"",IF(D569=1,C569,ROUND(C569*(1+D569/30),1)))</f>
        <v/>
      </c>
      <c r="F569" s="7" t="n"/>
    </row>
    <row r="570">
      <c r="A570" s="12" t="n"/>
      <c r="B570" s="7" t="n"/>
      <c r="C570" s="7" t="n"/>
      <c r="D570" s="7" t="n"/>
      <c r="E570" s="6">
        <f>IF(OR(C570="",D570=""),"",IF(D570=1,C570,ROUND(C570*(1+D570/30),1)))</f>
        <v/>
      </c>
      <c r="F570" s="7" t="n"/>
    </row>
    <row r="571">
      <c r="A571" s="12" t="n"/>
      <c r="B571" s="7" t="n"/>
      <c r="C571" s="7" t="n"/>
      <c r="D571" s="7" t="n"/>
      <c r="E571" s="6">
        <f>IF(OR(C571="",D571=""),"",IF(D571=1,C571,ROUND(C571*(1+D571/30),1)))</f>
        <v/>
      </c>
      <c r="F571" s="7" t="n"/>
    </row>
    <row r="572">
      <c r="A572" s="12" t="n"/>
      <c r="B572" s="7" t="n"/>
      <c r="C572" s="7" t="n"/>
      <c r="D572" s="7" t="n"/>
      <c r="E572" s="6">
        <f>IF(OR(C572="",D572=""),"",IF(D572=1,C572,ROUND(C572*(1+D572/30),1)))</f>
        <v/>
      </c>
      <c r="F572" s="7" t="n"/>
    </row>
    <row r="573">
      <c r="A573" s="12" t="n"/>
      <c r="B573" s="7" t="n"/>
      <c r="C573" s="7" t="n"/>
      <c r="D573" s="7" t="n"/>
      <c r="E573" s="6">
        <f>IF(OR(C573="",D573=""),"",IF(D573=1,C573,ROUND(C573*(1+D573/30),1)))</f>
        <v/>
      </c>
      <c r="F573" s="7" t="n"/>
    </row>
    <row r="574">
      <c r="A574" s="12" t="n"/>
      <c r="B574" s="7" t="n"/>
      <c r="C574" s="7" t="n"/>
      <c r="D574" s="7" t="n"/>
      <c r="E574" s="6">
        <f>IF(OR(C574="",D574=""),"",IF(D574=1,C574,ROUND(C574*(1+D574/30),1)))</f>
        <v/>
      </c>
      <c r="F574" s="7" t="n"/>
    </row>
    <row r="575">
      <c r="A575" s="12" t="n"/>
      <c r="B575" s="7" t="n"/>
      <c r="C575" s="7" t="n"/>
      <c r="D575" s="7" t="n"/>
      <c r="E575" s="6">
        <f>IF(OR(C575="",D575=""),"",IF(D575=1,C575,ROUND(C575*(1+D575/30),1)))</f>
        <v/>
      </c>
      <c r="F575" s="7" t="n"/>
    </row>
    <row r="576">
      <c r="A576" s="12" t="n"/>
      <c r="B576" s="7" t="n"/>
      <c r="C576" s="7" t="n"/>
      <c r="D576" s="7" t="n"/>
      <c r="E576" s="6">
        <f>IF(OR(C576="",D576=""),"",IF(D576=1,C576,ROUND(C576*(1+D576/30),1)))</f>
        <v/>
      </c>
      <c r="F576" s="7" t="n"/>
    </row>
    <row r="577">
      <c r="A577" s="12" t="n"/>
      <c r="B577" s="7" t="n"/>
      <c r="C577" s="7" t="n"/>
      <c r="D577" s="7" t="n"/>
      <c r="E577" s="6">
        <f>IF(OR(C577="",D577=""),"",IF(D577=1,C577,ROUND(C577*(1+D577/30),1)))</f>
        <v/>
      </c>
      <c r="F577" s="7" t="n"/>
    </row>
    <row r="578">
      <c r="A578" s="12" t="n"/>
      <c r="B578" s="7" t="n"/>
      <c r="C578" s="7" t="n"/>
      <c r="D578" s="7" t="n"/>
      <c r="E578" s="6">
        <f>IF(OR(C578="",D578=""),"",IF(D578=1,C578,ROUND(C578*(1+D578/30),1)))</f>
        <v/>
      </c>
      <c r="F578" s="7" t="n"/>
    </row>
    <row r="579">
      <c r="A579" s="12" t="n"/>
      <c r="B579" s="7" t="n"/>
      <c r="C579" s="7" t="n"/>
      <c r="D579" s="7" t="n"/>
      <c r="E579" s="6">
        <f>IF(OR(C579="",D579=""),"",IF(D579=1,C579,ROUND(C579*(1+D579/30),1)))</f>
        <v/>
      </c>
      <c r="F579" s="7" t="n"/>
    </row>
    <row r="580">
      <c r="A580" s="12" t="n"/>
      <c r="B580" s="7" t="n"/>
      <c r="C580" s="7" t="n"/>
      <c r="D580" s="7" t="n"/>
      <c r="E580" s="6">
        <f>IF(OR(C580="",D580=""),"",IF(D580=1,C580,ROUND(C580*(1+D580/30),1)))</f>
        <v/>
      </c>
      <c r="F580" s="7" t="n"/>
    </row>
    <row r="581">
      <c r="A581" s="12" t="n"/>
      <c r="B581" s="7" t="n"/>
      <c r="C581" s="7" t="n"/>
      <c r="D581" s="7" t="n"/>
      <c r="E581" s="6">
        <f>IF(OR(C581="",D581=""),"",IF(D581=1,C581,ROUND(C581*(1+D581/30),1)))</f>
        <v/>
      </c>
      <c r="F581" s="7" t="n"/>
    </row>
    <row r="582">
      <c r="A582" s="12" t="n"/>
      <c r="B582" s="7" t="n"/>
      <c r="C582" s="7" t="n"/>
      <c r="D582" s="7" t="n"/>
      <c r="E582" s="6">
        <f>IF(OR(C582="",D582=""),"",IF(D582=1,C582,ROUND(C582*(1+D582/30),1)))</f>
        <v/>
      </c>
      <c r="F582" s="7" t="n"/>
    </row>
    <row r="583">
      <c r="A583" s="12" t="n"/>
      <c r="B583" s="7" t="n"/>
      <c r="C583" s="7" t="n"/>
      <c r="D583" s="7" t="n"/>
      <c r="E583" s="6">
        <f>IF(OR(C583="",D583=""),"",IF(D583=1,C583,ROUND(C583*(1+D583/30),1)))</f>
        <v/>
      </c>
      <c r="F583" s="7" t="n"/>
    </row>
    <row r="584">
      <c r="A584" s="12" t="n"/>
      <c r="B584" s="7" t="n"/>
      <c r="C584" s="7" t="n"/>
      <c r="D584" s="7" t="n"/>
      <c r="E584" s="6">
        <f>IF(OR(C584="",D584=""),"",IF(D584=1,C584,ROUND(C584*(1+D584/30),1)))</f>
        <v/>
      </c>
      <c r="F584" s="7" t="n"/>
    </row>
    <row r="585">
      <c r="A585" s="12" t="n"/>
      <c r="B585" s="7" t="n"/>
      <c r="C585" s="7" t="n"/>
      <c r="D585" s="7" t="n"/>
      <c r="E585" s="6">
        <f>IF(OR(C585="",D585=""),"",IF(D585=1,C585,ROUND(C585*(1+D585/30),1)))</f>
        <v/>
      </c>
      <c r="F585" s="7" t="n"/>
    </row>
    <row r="586">
      <c r="A586" s="12" t="n"/>
      <c r="B586" s="7" t="n"/>
      <c r="C586" s="7" t="n"/>
      <c r="D586" s="7" t="n"/>
      <c r="E586" s="6">
        <f>IF(OR(C586="",D586=""),"",IF(D586=1,C586,ROUND(C586*(1+D586/30),1)))</f>
        <v/>
      </c>
      <c r="F586" s="7" t="n"/>
    </row>
    <row r="587">
      <c r="A587" s="12" t="n"/>
      <c r="B587" s="7" t="n"/>
      <c r="C587" s="7" t="n"/>
      <c r="D587" s="7" t="n"/>
      <c r="E587" s="6">
        <f>IF(OR(C587="",D587=""),"",IF(D587=1,C587,ROUND(C587*(1+D587/30),1)))</f>
        <v/>
      </c>
      <c r="F587" s="7" t="n"/>
    </row>
    <row r="588">
      <c r="A588" s="12" t="n"/>
      <c r="B588" s="7" t="n"/>
      <c r="C588" s="7" t="n"/>
      <c r="D588" s="7" t="n"/>
      <c r="E588" s="6">
        <f>IF(OR(C588="",D588=""),"",IF(D588=1,C588,ROUND(C588*(1+D588/30),1)))</f>
        <v/>
      </c>
      <c r="F588" s="7" t="n"/>
    </row>
    <row r="589">
      <c r="A589" s="12" t="n"/>
      <c r="B589" s="7" t="n"/>
      <c r="C589" s="7" t="n"/>
      <c r="D589" s="7" t="n"/>
      <c r="E589" s="6">
        <f>IF(OR(C589="",D589=""),"",IF(D589=1,C589,ROUND(C589*(1+D589/30),1)))</f>
        <v/>
      </c>
      <c r="F589" s="7" t="n"/>
    </row>
    <row r="590">
      <c r="A590" s="12" t="n"/>
      <c r="B590" s="7" t="n"/>
      <c r="C590" s="7" t="n"/>
      <c r="D590" s="7" t="n"/>
      <c r="E590" s="6">
        <f>IF(OR(C590="",D590=""),"",IF(D590=1,C590,ROUND(C590*(1+D590/30),1)))</f>
        <v/>
      </c>
      <c r="F590" s="7" t="n"/>
    </row>
    <row r="591">
      <c r="A591" s="12" t="n"/>
      <c r="B591" s="7" t="n"/>
      <c r="C591" s="7" t="n"/>
      <c r="D591" s="7" t="n"/>
      <c r="E591" s="6">
        <f>IF(OR(C591="",D591=""),"",IF(D591=1,C591,ROUND(C591*(1+D591/30),1)))</f>
        <v/>
      </c>
      <c r="F591" s="7" t="n"/>
    </row>
    <row r="592">
      <c r="A592" s="12" t="n"/>
      <c r="B592" s="7" t="n"/>
      <c r="C592" s="7" t="n"/>
      <c r="D592" s="7" t="n"/>
      <c r="E592" s="6">
        <f>IF(OR(C592="",D592=""),"",IF(D592=1,C592,ROUND(C592*(1+D592/30),1)))</f>
        <v/>
      </c>
      <c r="F592" s="7" t="n"/>
    </row>
    <row r="593">
      <c r="A593" s="12" t="n"/>
      <c r="B593" s="7" t="n"/>
      <c r="C593" s="7" t="n"/>
      <c r="D593" s="7" t="n"/>
      <c r="E593" s="6">
        <f>IF(OR(C593="",D593=""),"",IF(D593=1,C593,ROUND(C593*(1+D593/30),1)))</f>
        <v/>
      </c>
      <c r="F593" s="7" t="n"/>
    </row>
    <row r="594">
      <c r="A594" s="12" t="n"/>
      <c r="B594" s="7" t="n"/>
      <c r="C594" s="7" t="n"/>
      <c r="D594" s="7" t="n"/>
      <c r="E594" s="6">
        <f>IF(OR(C594="",D594=""),"",IF(D594=1,C594,ROUND(C594*(1+D594/30),1)))</f>
        <v/>
      </c>
      <c r="F594" s="7" t="n"/>
    </row>
    <row r="595">
      <c r="A595" s="12" t="n"/>
      <c r="B595" s="7" t="n"/>
      <c r="C595" s="7" t="n"/>
      <c r="D595" s="7" t="n"/>
      <c r="E595" s="6">
        <f>IF(OR(C595="",D595=""),"",IF(D595=1,C595,ROUND(C595*(1+D595/30),1)))</f>
        <v/>
      </c>
      <c r="F595" s="7" t="n"/>
    </row>
    <row r="596">
      <c r="A596" s="12" t="n"/>
      <c r="B596" s="7" t="n"/>
      <c r="C596" s="7" t="n"/>
      <c r="D596" s="7" t="n"/>
      <c r="E596" s="6">
        <f>IF(OR(C596="",D596=""),"",IF(D596=1,C596,ROUND(C596*(1+D596/30),1)))</f>
        <v/>
      </c>
      <c r="F596" s="7" t="n"/>
    </row>
    <row r="597">
      <c r="A597" s="12" t="n"/>
      <c r="B597" s="7" t="n"/>
      <c r="C597" s="7" t="n"/>
      <c r="D597" s="7" t="n"/>
      <c r="E597" s="6">
        <f>IF(OR(C597="",D597=""),"",IF(D597=1,C597,ROUND(C597*(1+D597/30),1)))</f>
        <v/>
      </c>
      <c r="F597" s="7" t="n"/>
    </row>
    <row r="598">
      <c r="A598" s="12" t="n"/>
      <c r="B598" s="7" t="n"/>
      <c r="C598" s="7" t="n"/>
      <c r="D598" s="7" t="n"/>
      <c r="E598" s="6">
        <f>IF(OR(C598="",D598=""),"",IF(D598=1,C598,ROUND(C598*(1+D598/30),1)))</f>
        <v/>
      </c>
      <c r="F598" s="7" t="n"/>
    </row>
    <row r="599">
      <c r="A599" s="12" t="n"/>
      <c r="B599" s="7" t="n"/>
      <c r="C599" s="7" t="n"/>
      <c r="D599" s="7" t="n"/>
      <c r="E599" s="6">
        <f>IF(OR(C599="",D599=""),"",IF(D599=1,C599,ROUND(C599*(1+D599/30),1)))</f>
        <v/>
      </c>
      <c r="F599" s="7" t="n"/>
    </row>
    <row r="600">
      <c r="A600" s="12" t="n"/>
      <c r="B600" s="7" t="n"/>
      <c r="C600" s="7" t="n"/>
      <c r="D600" s="7" t="n"/>
      <c r="E600" s="6">
        <f>IF(OR(C600="",D600=""),"",IF(D600=1,C600,ROUND(C600*(1+D600/30),1)))</f>
        <v/>
      </c>
      <c r="F600" s="7" t="n"/>
    </row>
    <row r="601">
      <c r="A601" s="12" t="n"/>
      <c r="B601" s="7" t="n"/>
      <c r="C601" s="7" t="n"/>
      <c r="D601" s="7" t="n"/>
      <c r="E601" s="6">
        <f>IF(OR(C601="",D601=""),"",IF(D601=1,C601,ROUND(C601*(1+D601/30),1)))</f>
        <v/>
      </c>
      <c r="F601" s="7" t="n"/>
    </row>
    <row r="602">
      <c r="A602" s="12" t="n"/>
      <c r="B602" s="7" t="n"/>
      <c r="C602" s="7" t="n"/>
      <c r="D602" s="7" t="n"/>
      <c r="E602" s="6">
        <f>IF(OR(C602="",D602=""),"",IF(D602=1,C602,ROUND(C602*(1+D602/30),1)))</f>
        <v/>
      </c>
      <c r="F602" s="7" t="n"/>
    </row>
    <row r="603">
      <c r="A603" s="12" t="n"/>
      <c r="B603" s="7" t="n"/>
      <c r="C603" s="7" t="n"/>
      <c r="D603" s="7" t="n"/>
      <c r="E603" s="6">
        <f>IF(OR(C603="",D603=""),"",IF(D603=1,C603,ROUND(C603*(1+D603/30),1)))</f>
        <v/>
      </c>
      <c r="F603" s="7" t="n"/>
    </row>
    <row r="604">
      <c r="A604" s="12" t="n"/>
      <c r="B604" s="7" t="n"/>
      <c r="C604" s="7" t="n"/>
      <c r="D604" s="7" t="n"/>
      <c r="E604" s="6">
        <f>IF(OR(C604="",D604=""),"",IF(D604=1,C604,ROUND(C604*(1+D604/30),1)))</f>
        <v/>
      </c>
      <c r="F604" s="7" t="n"/>
    </row>
    <row r="605">
      <c r="A605" s="12" t="n"/>
      <c r="B605" s="7" t="n"/>
      <c r="C605" s="7" t="n"/>
      <c r="D605" s="7" t="n"/>
      <c r="E605" s="6">
        <f>IF(OR(C605="",D605=""),"",IF(D605=1,C605,ROUND(C605*(1+D605/30),1)))</f>
        <v/>
      </c>
      <c r="F605" s="7" t="n"/>
    </row>
    <row r="606">
      <c r="A606" s="12" t="n"/>
      <c r="B606" s="7" t="n"/>
      <c r="C606" s="7" t="n"/>
      <c r="D606" s="7" t="n"/>
      <c r="E606" s="6">
        <f>IF(OR(C606="",D606=""),"",IF(D606=1,C606,ROUND(C606*(1+D606/30),1)))</f>
        <v/>
      </c>
      <c r="F606" s="7" t="n"/>
    </row>
    <row r="607">
      <c r="A607" s="12" t="n"/>
      <c r="B607" s="7" t="n"/>
      <c r="C607" s="7" t="n"/>
      <c r="D607" s="7" t="n"/>
      <c r="E607" s="6">
        <f>IF(OR(C607="",D607=""),"",IF(D607=1,C607,ROUND(C607*(1+D607/30),1)))</f>
        <v/>
      </c>
      <c r="F607" s="7" t="n"/>
    </row>
    <row r="608">
      <c r="A608" s="12" t="n"/>
      <c r="B608" s="7" t="n"/>
      <c r="C608" s="7" t="n"/>
      <c r="D608" s="7" t="n"/>
      <c r="E608" s="6">
        <f>IF(OR(C608="",D608=""),"",IF(D608=1,C608,ROUND(C608*(1+D608/30),1)))</f>
        <v/>
      </c>
      <c r="F608" s="7" t="n"/>
    </row>
    <row r="609">
      <c r="A609" s="12" t="n"/>
      <c r="B609" s="7" t="n"/>
      <c r="C609" s="7" t="n"/>
      <c r="D609" s="7" t="n"/>
      <c r="E609" s="6">
        <f>IF(OR(C609="",D609=""),"",IF(D609=1,C609,ROUND(C609*(1+D609/30),1)))</f>
        <v/>
      </c>
      <c r="F609" s="7" t="n"/>
    </row>
    <row r="610">
      <c r="A610" s="12" t="n"/>
      <c r="B610" s="7" t="n"/>
      <c r="C610" s="7" t="n"/>
      <c r="D610" s="7" t="n"/>
      <c r="E610" s="6">
        <f>IF(OR(C610="",D610=""),"",IF(D610=1,C610,ROUND(C610*(1+D610/30),1)))</f>
        <v/>
      </c>
      <c r="F610" s="7" t="n"/>
    </row>
    <row r="611">
      <c r="A611" s="12" t="n"/>
      <c r="B611" s="7" t="n"/>
      <c r="C611" s="7" t="n"/>
      <c r="D611" s="7" t="n"/>
      <c r="E611" s="6">
        <f>IF(OR(C611="",D611=""),"",IF(D611=1,C611,ROUND(C611*(1+D611/30),1)))</f>
        <v/>
      </c>
      <c r="F611" s="7" t="n"/>
    </row>
    <row r="612">
      <c r="A612" s="12" t="n"/>
      <c r="B612" s="7" t="n"/>
      <c r="C612" s="7" t="n"/>
      <c r="D612" s="7" t="n"/>
      <c r="E612" s="6">
        <f>IF(OR(C612="",D612=""),"",IF(D612=1,C612,ROUND(C612*(1+D612/30),1)))</f>
        <v/>
      </c>
      <c r="F612" s="7" t="n"/>
    </row>
    <row r="613">
      <c r="A613" s="12" t="n"/>
      <c r="B613" s="7" t="n"/>
      <c r="C613" s="7" t="n"/>
      <c r="D613" s="7" t="n"/>
      <c r="E613" s="6">
        <f>IF(OR(C613="",D613=""),"",IF(D613=1,C613,ROUND(C613*(1+D613/30),1)))</f>
        <v/>
      </c>
      <c r="F613" s="7" t="n"/>
    </row>
    <row r="614">
      <c r="A614" s="12" t="n"/>
      <c r="B614" s="7" t="n"/>
      <c r="C614" s="7" t="n"/>
      <c r="D614" s="7" t="n"/>
      <c r="E614" s="6">
        <f>IF(OR(C614="",D614=""),"",IF(D614=1,C614,ROUND(C614*(1+D614/30),1)))</f>
        <v/>
      </c>
      <c r="F614" s="7" t="n"/>
    </row>
    <row r="615">
      <c r="A615" s="12" t="n"/>
      <c r="B615" s="7" t="n"/>
      <c r="C615" s="7" t="n"/>
      <c r="D615" s="7" t="n"/>
      <c r="E615" s="6">
        <f>IF(OR(C615="",D615=""),"",IF(D615=1,C615,ROUND(C615*(1+D615/30),1)))</f>
        <v/>
      </c>
      <c r="F615" s="7" t="n"/>
    </row>
    <row r="616">
      <c r="A616" s="12" t="n"/>
      <c r="B616" s="7" t="n"/>
      <c r="C616" s="7" t="n"/>
      <c r="D616" s="7" t="n"/>
      <c r="E616" s="6">
        <f>IF(OR(C616="",D616=""),"",IF(D616=1,C616,ROUND(C616*(1+D616/30),1)))</f>
        <v/>
      </c>
      <c r="F616" s="7" t="n"/>
    </row>
    <row r="617">
      <c r="A617" s="12" t="n"/>
      <c r="B617" s="7" t="n"/>
      <c r="C617" s="7" t="n"/>
      <c r="D617" s="7" t="n"/>
      <c r="E617" s="6">
        <f>IF(OR(C617="",D617=""),"",IF(D617=1,C617,ROUND(C617*(1+D617/30),1)))</f>
        <v/>
      </c>
      <c r="F617" s="7" t="n"/>
    </row>
    <row r="618">
      <c r="A618" s="12" t="n"/>
      <c r="B618" s="7" t="n"/>
      <c r="C618" s="7" t="n"/>
      <c r="D618" s="7" t="n"/>
      <c r="E618" s="6">
        <f>IF(OR(C618="",D618=""),"",IF(D618=1,C618,ROUND(C618*(1+D618/30),1)))</f>
        <v/>
      </c>
      <c r="F618" s="7" t="n"/>
    </row>
    <row r="619">
      <c r="A619" s="12" t="n"/>
      <c r="B619" s="7" t="n"/>
      <c r="C619" s="7" t="n"/>
      <c r="D619" s="7" t="n"/>
      <c r="E619" s="6">
        <f>IF(OR(C619="",D619=""),"",IF(D619=1,C619,ROUND(C619*(1+D619/30),1)))</f>
        <v/>
      </c>
      <c r="F619" s="7" t="n"/>
    </row>
    <row r="620">
      <c r="A620" s="12" t="n"/>
      <c r="B620" s="7" t="n"/>
      <c r="C620" s="7" t="n"/>
      <c r="D620" s="7" t="n"/>
      <c r="E620" s="6">
        <f>IF(OR(C620="",D620=""),"",IF(D620=1,C620,ROUND(C620*(1+D620/30),1)))</f>
        <v/>
      </c>
      <c r="F620" s="7" t="n"/>
    </row>
    <row r="621">
      <c r="A621" s="12" t="n"/>
      <c r="B621" s="7" t="n"/>
      <c r="C621" s="7" t="n"/>
      <c r="D621" s="7" t="n"/>
      <c r="E621" s="6">
        <f>IF(OR(C621="",D621=""),"",IF(D621=1,C621,ROUND(C621*(1+D621/30),1)))</f>
        <v/>
      </c>
      <c r="F621" s="7" t="n"/>
    </row>
    <row r="622">
      <c r="A622" s="12" t="n"/>
      <c r="B622" s="7" t="n"/>
      <c r="C622" s="7" t="n"/>
      <c r="D622" s="7" t="n"/>
      <c r="E622" s="6">
        <f>IF(OR(C622="",D622=""),"",IF(D622=1,C622,ROUND(C622*(1+D622/30),1)))</f>
        <v/>
      </c>
      <c r="F622" s="7" t="n"/>
    </row>
    <row r="623">
      <c r="A623" s="12" t="n"/>
      <c r="B623" s="7" t="n"/>
      <c r="C623" s="7" t="n"/>
      <c r="D623" s="7" t="n"/>
      <c r="E623" s="6">
        <f>IF(OR(C623="",D623=""),"",IF(D623=1,C623,ROUND(C623*(1+D623/30),1)))</f>
        <v/>
      </c>
      <c r="F623" s="7" t="n"/>
    </row>
    <row r="624">
      <c r="A624" s="12" t="n"/>
      <c r="B624" s="7" t="n"/>
      <c r="C624" s="7" t="n"/>
      <c r="D624" s="7" t="n"/>
      <c r="E624" s="6">
        <f>IF(OR(C624="",D624=""),"",IF(D624=1,C624,ROUND(C624*(1+D624/30),1)))</f>
        <v/>
      </c>
      <c r="F624" s="7" t="n"/>
    </row>
    <row r="625">
      <c r="A625" s="12" t="n"/>
      <c r="B625" s="7" t="n"/>
      <c r="C625" s="7" t="n"/>
      <c r="D625" s="7" t="n"/>
      <c r="E625" s="6">
        <f>IF(OR(C625="",D625=""),"",IF(D625=1,C625,ROUND(C625*(1+D625/30),1)))</f>
        <v/>
      </c>
      <c r="F625" s="7" t="n"/>
    </row>
    <row r="626">
      <c r="A626" s="12" t="n"/>
      <c r="B626" s="7" t="n"/>
      <c r="C626" s="7" t="n"/>
      <c r="D626" s="7" t="n"/>
      <c r="E626" s="6">
        <f>IF(OR(C626="",D626=""),"",IF(D626=1,C626,ROUND(C626*(1+D626/30),1)))</f>
        <v/>
      </c>
      <c r="F626" s="7" t="n"/>
    </row>
    <row r="627">
      <c r="A627" s="12" t="n"/>
      <c r="B627" s="7" t="n"/>
      <c r="C627" s="7" t="n"/>
      <c r="D627" s="7" t="n"/>
      <c r="E627" s="6">
        <f>IF(OR(C627="",D627=""),"",IF(D627=1,C627,ROUND(C627*(1+D627/30),1)))</f>
        <v/>
      </c>
      <c r="F627" s="7" t="n"/>
    </row>
    <row r="628">
      <c r="A628" s="12" t="n"/>
      <c r="B628" s="7" t="n"/>
      <c r="C628" s="7" t="n"/>
      <c r="D628" s="7" t="n"/>
      <c r="E628" s="6">
        <f>IF(OR(C628="",D628=""),"",IF(D628=1,C628,ROUND(C628*(1+D628/30),1)))</f>
        <v/>
      </c>
      <c r="F628" s="7" t="n"/>
    </row>
    <row r="629">
      <c r="A629" s="12" t="n"/>
      <c r="B629" s="7" t="n"/>
      <c r="C629" s="7" t="n"/>
      <c r="D629" s="7" t="n"/>
      <c r="E629" s="6">
        <f>IF(OR(C629="",D629=""),"",IF(D629=1,C629,ROUND(C629*(1+D629/30),1)))</f>
        <v/>
      </c>
      <c r="F629" s="7" t="n"/>
    </row>
    <row r="630">
      <c r="A630" s="12" t="n"/>
      <c r="B630" s="7" t="n"/>
      <c r="C630" s="7" t="n"/>
      <c r="D630" s="7" t="n"/>
      <c r="E630" s="6">
        <f>IF(OR(C630="",D630=""),"",IF(D630=1,C630,ROUND(C630*(1+D630/30),1)))</f>
        <v/>
      </c>
      <c r="F630" s="7" t="n"/>
    </row>
    <row r="631">
      <c r="A631" s="12" t="n"/>
      <c r="B631" s="7" t="n"/>
      <c r="C631" s="7" t="n"/>
      <c r="D631" s="7" t="n"/>
      <c r="E631" s="6">
        <f>IF(OR(C631="",D631=""),"",IF(D631=1,C631,ROUND(C631*(1+D631/30),1)))</f>
        <v/>
      </c>
      <c r="F631" s="7" t="n"/>
    </row>
    <row r="632">
      <c r="A632" s="12" t="n"/>
      <c r="B632" s="7" t="n"/>
      <c r="C632" s="7" t="n"/>
      <c r="D632" s="7" t="n"/>
      <c r="E632" s="6">
        <f>IF(OR(C632="",D632=""),"",IF(D632=1,C632,ROUND(C632*(1+D632/30),1)))</f>
        <v/>
      </c>
      <c r="F632" s="7" t="n"/>
    </row>
    <row r="633">
      <c r="A633" s="12" t="n"/>
      <c r="B633" s="7" t="n"/>
      <c r="C633" s="7" t="n"/>
      <c r="D633" s="7" t="n"/>
      <c r="E633" s="6">
        <f>IF(OR(C633="",D633=""),"",IF(D633=1,C633,ROUND(C633*(1+D633/30),1)))</f>
        <v/>
      </c>
      <c r="F633" s="7" t="n"/>
    </row>
    <row r="634">
      <c r="A634" s="12" t="n"/>
      <c r="B634" s="7" t="n"/>
      <c r="C634" s="7" t="n"/>
      <c r="D634" s="7" t="n"/>
      <c r="E634" s="6">
        <f>IF(OR(C634="",D634=""),"",IF(D634=1,C634,ROUND(C634*(1+D634/30),1)))</f>
        <v/>
      </c>
      <c r="F634" s="7" t="n"/>
    </row>
    <row r="635">
      <c r="A635" s="12" t="n"/>
      <c r="B635" s="7" t="n"/>
      <c r="C635" s="7" t="n"/>
      <c r="D635" s="7" t="n"/>
      <c r="E635" s="6">
        <f>IF(OR(C635="",D635=""),"",IF(D635=1,C635,ROUND(C635*(1+D635/30),1)))</f>
        <v/>
      </c>
      <c r="F635" s="7" t="n"/>
    </row>
    <row r="636">
      <c r="A636" s="12" t="n"/>
      <c r="B636" s="7" t="n"/>
      <c r="C636" s="7" t="n"/>
      <c r="D636" s="7" t="n"/>
      <c r="E636" s="6">
        <f>IF(OR(C636="",D636=""),"",IF(D636=1,C636,ROUND(C636*(1+D636/30),1)))</f>
        <v/>
      </c>
      <c r="F636" s="7" t="n"/>
    </row>
    <row r="637">
      <c r="A637" s="12" t="n"/>
      <c r="B637" s="7" t="n"/>
      <c r="C637" s="7" t="n"/>
      <c r="D637" s="7" t="n"/>
      <c r="E637" s="6">
        <f>IF(OR(C637="",D637=""),"",IF(D637=1,C637,ROUND(C637*(1+D637/30),1)))</f>
        <v/>
      </c>
      <c r="F637" s="7" t="n"/>
    </row>
    <row r="638">
      <c r="A638" s="12" t="n"/>
      <c r="B638" s="7" t="n"/>
      <c r="C638" s="7" t="n"/>
      <c r="D638" s="7" t="n"/>
      <c r="E638" s="6">
        <f>IF(OR(C638="",D638=""),"",IF(D638=1,C638,ROUND(C638*(1+D638/30),1)))</f>
        <v/>
      </c>
      <c r="F638" s="7" t="n"/>
    </row>
    <row r="639">
      <c r="A639" s="12" t="n"/>
      <c r="B639" s="7" t="n"/>
      <c r="C639" s="7" t="n"/>
      <c r="D639" s="7" t="n"/>
      <c r="E639" s="6">
        <f>IF(OR(C639="",D639=""),"",IF(D639=1,C639,ROUND(C639*(1+D639/30),1)))</f>
        <v/>
      </c>
      <c r="F639" s="7" t="n"/>
    </row>
    <row r="640">
      <c r="A640" s="12" t="n"/>
      <c r="B640" s="7" t="n"/>
      <c r="C640" s="7" t="n"/>
      <c r="D640" s="7" t="n"/>
      <c r="E640" s="6">
        <f>IF(OR(C640="",D640=""),"",IF(D640=1,C640,ROUND(C640*(1+D640/30),1)))</f>
        <v/>
      </c>
      <c r="F640" s="7" t="n"/>
    </row>
    <row r="641">
      <c r="A641" s="12" t="n"/>
      <c r="B641" s="7" t="n"/>
      <c r="C641" s="7" t="n"/>
      <c r="D641" s="7" t="n"/>
      <c r="E641" s="6">
        <f>IF(OR(C641="",D641=""),"",IF(D641=1,C641,ROUND(C641*(1+D641/30),1)))</f>
        <v/>
      </c>
      <c r="F641" s="7" t="n"/>
    </row>
    <row r="642">
      <c r="A642" s="12" t="n"/>
      <c r="B642" s="7" t="n"/>
      <c r="C642" s="7" t="n"/>
      <c r="D642" s="7" t="n"/>
      <c r="E642" s="6">
        <f>IF(OR(C642="",D642=""),"",IF(D642=1,C642,ROUND(C642*(1+D642/30),1)))</f>
        <v/>
      </c>
      <c r="F642" s="7" t="n"/>
    </row>
    <row r="643">
      <c r="A643" s="12" t="n"/>
      <c r="B643" s="7" t="n"/>
      <c r="C643" s="7" t="n"/>
      <c r="D643" s="7" t="n"/>
      <c r="E643" s="6">
        <f>IF(OR(C643="",D643=""),"",IF(D643=1,C643,ROUND(C643*(1+D643/30),1)))</f>
        <v/>
      </c>
      <c r="F643" s="7" t="n"/>
    </row>
    <row r="644">
      <c r="A644" s="12" t="n"/>
      <c r="B644" s="7" t="n"/>
      <c r="C644" s="7" t="n"/>
      <c r="D644" s="7" t="n"/>
      <c r="E644" s="6">
        <f>IF(OR(C644="",D644=""),"",IF(D644=1,C644,ROUND(C644*(1+D644/30),1)))</f>
        <v/>
      </c>
      <c r="F644" s="7" t="n"/>
    </row>
    <row r="645">
      <c r="A645" s="12" t="n"/>
      <c r="B645" s="7" t="n"/>
      <c r="C645" s="7" t="n"/>
      <c r="D645" s="7" t="n"/>
      <c r="E645" s="6">
        <f>IF(OR(C645="",D645=""),"",IF(D645=1,C645,ROUND(C645*(1+D645/30),1)))</f>
        <v/>
      </c>
      <c r="F645" s="7" t="n"/>
    </row>
    <row r="646">
      <c r="A646" s="12" t="n"/>
      <c r="B646" s="7" t="n"/>
      <c r="C646" s="7" t="n"/>
      <c r="D646" s="7" t="n"/>
      <c r="E646" s="6">
        <f>IF(OR(C646="",D646=""),"",IF(D646=1,C646,ROUND(C646*(1+D646/30),1)))</f>
        <v/>
      </c>
      <c r="F646" s="7" t="n"/>
    </row>
    <row r="647">
      <c r="A647" s="12" t="n"/>
      <c r="B647" s="7" t="n"/>
      <c r="C647" s="7" t="n"/>
      <c r="D647" s="7" t="n"/>
      <c r="E647" s="6">
        <f>IF(OR(C647="",D647=""),"",IF(D647=1,C647,ROUND(C647*(1+D647/30),1)))</f>
        <v/>
      </c>
      <c r="F647" s="7" t="n"/>
    </row>
    <row r="648">
      <c r="A648" s="12" t="n"/>
      <c r="B648" s="7" t="n"/>
      <c r="C648" s="7" t="n"/>
      <c r="D648" s="7" t="n"/>
      <c r="E648" s="6">
        <f>IF(OR(C648="",D648=""),"",IF(D648=1,C648,ROUND(C648*(1+D648/30),1)))</f>
        <v/>
      </c>
      <c r="F648" s="7" t="n"/>
    </row>
    <row r="649">
      <c r="A649" s="12" t="n"/>
      <c r="B649" s="7" t="n"/>
      <c r="C649" s="7" t="n"/>
      <c r="D649" s="7" t="n"/>
      <c r="E649" s="6">
        <f>IF(OR(C649="",D649=""),"",IF(D649=1,C649,ROUND(C649*(1+D649/30),1)))</f>
        <v/>
      </c>
      <c r="F649" s="7" t="n"/>
    </row>
    <row r="650">
      <c r="A650" s="12" t="n"/>
      <c r="B650" s="7" t="n"/>
      <c r="C650" s="7" t="n"/>
      <c r="D650" s="7" t="n"/>
      <c r="E650" s="6">
        <f>IF(OR(C650="",D650=""),"",IF(D650=1,C650,ROUND(C650*(1+D650/30),1)))</f>
        <v/>
      </c>
      <c r="F650" s="7" t="n"/>
    </row>
    <row r="651">
      <c r="A651" s="12" t="n"/>
      <c r="B651" s="7" t="n"/>
      <c r="C651" s="7" t="n"/>
      <c r="D651" s="7" t="n"/>
      <c r="E651" s="6">
        <f>IF(OR(C651="",D651=""),"",IF(D651=1,C651,ROUND(C651*(1+D651/30),1)))</f>
        <v/>
      </c>
      <c r="F651" s="7" t="n"/>
    </row>
    <row r="652">
      <c r="A652" s="12" t="n"/>
      <c r="B652" s="7" t="n"/>
      <c r="C652" s="7" t="n"/>
      <c r="D652" s="7" t="n"/>
      <c r="E652" s="6">
        <f>IF(OR(C652="",D652=""),"",IF(D652=1,C652,ROUND(C652*(1+D652/30),1)))</f>
        <v/>
      </c>
      <c r="F652" s="7" t="n"/>
    </row>
    <row r="653">
      <c r="A653" s="12" t="n"/>
      <c r="B653" s="7" t="n"/>
      <c r="C653" s="7" t="n"/>
      <c r="D653" s="7" t="n"/>
      <c r="E653" s="6">
        <f>IF(OR(C653="",D653=""),"",IF(D653=1,C653,ROUND(C653*(1+D653/30),1)))</f>
        <v/>
      </c>
      <c r="F653" s="7" t="n"/>
    </row>
    <row r="654">
      <c r="A654" s="12" t="n"/>
      <c r="B654" s="7" t="n"/>
      <c r="C654" s="7" t="n"/>
      <c r="D654" s="7" t="n"/>
      <c r="E654" s="6">
        <f>IF(OR(C654="",D654=""),"",IF(D654=1,C654,ROUND(C654*(1+D654/30),1)))</f>
        <v/>
      </c>
      <c r="F654" s="7" t="n"/>
    </row>
    <row r="655">
      <c r="A655" s="12" t="n"/>
      <c r="B655" s="7" t="n"/>
      <c r="C655" s="7" t="n"/>
      <c r="D655" s="7" t="n"/>
      <c r="E655" s="6">
        <f>IF(OR(C655="",D655=""),"",IF(D655=1,C655,ROUND(C655*(1+D655/30),1)))</f>
        <v/>
      </c>
      <c r="F655" s="7" t="n"/>
    </row>
    <row r="656">
      <c r="A656" s="12" t="n"/>
      <c r="B656" s="7" t="n"/>
      <c r="C656" s="7" t="n"/>
      <c r="D656" s="7" t="n"/>
      <c r="E656" s="6">
        <f>IF(OR(C656="",D656=""),"",IF(D656=1,C656,ROUND(C656*(1+D656/30),1)))</f>
        <v/>
      </c>
      <c r="F656" s="7" t="n"/>
    </row>
    <row r="657">
      <c r="A657" s="12" t="n"/>
      <c r="B657" s="7" t="n"/>
      <c r="C657" s="7" t="n"/>
      <c r="D657" s="7" t="n"/>
      <c r="E657" s="6">
        <f>IF(OR(C657="",D657=""),"",IF(D657=1,C657,ROUND(C657*(1+D657/30),1)))</f>
        <v/>
      </c>
      <c r="F657" s="7" t="n"/>
    </row>
    <row r="658">
      <c r="A658" s="12" t="n"/>
      <c r="B658" s="7" t="n"/>
      <c r="C658" s="7" t="n"/>
      <c r="D658" s="7" t="n"/>
      <c r="E658" s="6">
        <f>IF(OR(C658="",D658=""),"",IF(D658=1,C658,ROUND(C658*(1+D658/30),1)))</f>
        <v/>
      </c>
      <c r="F658" s="7" t="n"/>
    </row>
    <row r="659">
      <c r="A659" s="12" t="n"/>
      <c r="B659" s="7" t="n"/>
      <c r="C659" s="7" t="n"/>
      <c r="D659" s="7" t="n"/>
      <c r="E659" s="6">
        <f>IF(OR(C659="",D659=""),"",IF(D659=1,C659,ROUND(C659*(1+D659/30),1)))</f>
        <v/>
      </c>
      <c r="F659" s="7" t="n"/>
    </row>
    <row r="660">
      <c r="A660" s="12" t="n"/>
      <c r="B660" s="7" t="n"/>
      <c r="C660" s="7" t="n"/>
      <c r="D660" s="7" t="n"/>
      <c r="E660" s="6">
        <f>IF(OR(C660="",D660=""),"",IF(D660=1,C660,ROUND(C660*(1+D660/30),1)))</f>
        <v/>
      </c>
      <c r="F660" s="7" t="n"/>
    </row>
    <row r="661">
      <c r="A661" s="12" t="n"/>
      <c r="B661" s="7" t="n"/>
      <c r="C661" s="7" t="n"/>
      <c r="D661" s="7" t="n"/>
      <c r="E661" s="6">
        <f>IF(OR(C661="",D661=""),"",IF(D661=1,C661,ROUND(C661*(1+D661/30),1)))</f>
        <v/>
      </c>
      <c r="F661" s="7" t="n"/>
    </row>
    <row r="662">
      <c r="A662" s="12" t="n"/>
      <c r="B662" s="7" t="n"/>
      <c r="C662" s="7" t="n"/>
      <c r="D662" s="7" t="n"/>
      <c r="E662" s="6">
        <f>IF(OR(C662="",D662=""),"",IF(D662=1,C662,ROUND(C662*(1+D662/30),1)))</f>
        <v/>
      </c>
      <c r="F662" s="7" t="n"/>
    </row>
    <row r="663">
      <c r="A663" s="12" t="n"/>
      <c r="B663" s="7" t="n"/>
      <c r="C663" s="7" t="n"/>
      <c r="D663" s="7" t="n"/>
      <c r="E663" s="6">
        <f>IF(OR(C663="",D663=""),"",IF(D663=1,C663,ROUND(C663*(1+D663/30),1)))</f>
        <v/>
      </c>
      <c r="F663" s="7" t="n"/>
    </row>
    <row r="664">
      <c r="A664" s="12" t="n"/>
      <c r="B664" s="7" t="n"/>
      <c r="C664" s="7" t="n"/>
      <c r="D664" s="7" t="n"/>
      <c r="E664" s="6">
        <f>IF(OR(C664="",D664=""),"",IF(D664=1,C664,ROUND(C664*(1+D664/30),1)))</f>
        <v/>
      </c>
      <c r="F664" s="7" t="n"/>
    </row>
    <row r="665">
      <c r="A665" s="12" t="n"/>
      <c r="B665" s="7" t="n"/>
      <c r="C665" s="7" t="n"/>
      <c r="D665" s="7" t="n"/>
      <c r="E665" s="6">
        <f>IF(OR(C665="",D665=""),"",IF(D665=1,C665,ROUND(C665*(1+D665/30),1)))</f>
        <v/>
      </c>
      <c r="F665" s="7" t="n"/>
    </row>
    <row r="666">
      <c r="A666" s="12" t="n"/>
      <c r="B666" s="7" t="n"/>
      <c r="C666" s="7" t="n"/>
      <c r="D666" s="7" t="n"/>
      <c r="E666" s="6">
        <f>IF(OR(C666="",D666=""),"",IF(D666=1,C666,ROUND(C666*(1+D666/30),1)))</f>
        <v/>
      </c>
      <c r="F666" s="7" t="n"/>
    </row>
    <row r="667">
      <c r="A667" s="12" t="n"/>
      <c r="B667" s="7" t="n"/>
      <c r="C667" s="7" t="n"/>
      <c r="D667" s="7" t="n"/>
      <c r="E667" s="6">
        <f>IF(OR(C667="",D667=""),"",IF(D667=1,C667,ROUND(C667*(1+D667/30),1)))</f>
        <v/>
      </c>
      <c r="F667" s="7" t="n"/>
    </row>
    <row r="668">
      <c r="A668" s="12" t="n"/>
      <c r="B668" s="7" t="n"/>
      <c r="C668" s="7" t="n"/>
      <c r="D668" s="7" t="n"/>
      <c r="E668" s="6">
        <f>IF(OR(C668="",D668=""),"",IF(D668=1,C668,ROUND(C668*(1+D668/30),1)))</f>
        <v/>
      </c>
      <c r="F668" s="7" t="n"/>
    </row>
    <row r="669">
      <c r="A669" s="12" t="n"/>
      <c r="B669" s="7" t="n"/>
      <c r="C669" s="7" t="n"/>
      <c r="D669" s="7" t="n"/>
      <c r="E669" s="6">
        <f>IF(OR(C669="",D669=""),"",IF(D669=1,C669,ROUND(C669*(1+D669/30),1)))</f>
        <v/>
      </c>
      <c r="F669" s="7" t="n"/>
    </row>
    <row r="670">
      <c r="A670" s="12" t="n"/>
      <c r="B670" s="7" t="n"/>
      <c r="C670" s="7" t="n"/>
      <c r="D670" s="7" t="n"/>
      <c r="E670" s="6">
        <f>IF(OR(C670="",D670=""),"",IF(D670=1,C670,ROUND(C670*(1+D670/30),1)))</f>
        <v/>
      </c>
      <c r="F670" s="7" t="n"/>
    </row>
    <row r="671">
      <c r="A671" s="12" t="n"/>
      <c r="B671" s="7" t="n"/>
      <c r="C671" s="7" t="n"/>
      <c r="D671" s="7" t="n"/>
      <c r="E671" s="6">
        <f>IF(OR(C671="",D671=""),"",IF(D671=1,C671,ROUND(C671*(1+D671/30),1)))</f>
        <v/>
      </c>
      <c r="F671" s="7" t="n"/>
    </row>
    <row r="672">
      <c r="A672" s="12" t="n"/>
      <c r="B672" s="7" t="n"/>
      <c r="C672" s="7" t="n"/>
      <c r="D672" s="7" t="n"/>
      <c r="E672" s="6">
        <f>IF(OR(C672="",D672=""),"",IF(D672=1,C672,ROUND(C672*(1+D672/30),1)))</f>
        <v/>
      </c>
      <c r="F672" s="7" t="n"/>
    </row>
    <row r="673">
      <c r="A673" s="12" t="n"/>
      <c r="B673" s="7" t="n"/>
      <c r="C673" s="7" t="n"/>
      <c r="D673" s="7" t="n"/>
      <c r="E673" s="6">
        <f>IF(OR(C673="",D673=""),"",IF(D673=1,C673,ROUND(C673*(1+D673/30),1)))</f>
        <v/>
      </c>
      <c r="F673" s="7" t="n"/>
    </row>
    <row r="674">
      <c r="A674" s="12" t="n"/>
      <c r="B674" s="7" t="n"/>
      <c r="C674" s="7" t="n"/>
      <c r="D674" s="7" t="n"/>
      <c r="E674" s="6">
        <f>IF(OR(C674="",D674=""),"",IF(D674=1,C674,ROUND(C674*(1+D674/30),1)))</f>
        <v/>
      </c>
      <c r="F674" s="7" t="n"/>
    </row>
    <row r="675">
      <c r="A675" s="12" t="n"/>
      <c r="B675" s="7" t="n"/>
      <c r="C675" s="7" t="n"/>
      <c r="D675" s="7" t="n"/>
      <c r="E675" s="6">
        <f>IF(OR(C675="",D675=""),"",IF(D675=1,C675,ROUND(C675*(1+D675/30),1)))</f>
        <v/>
      </c>
      <c r="F675" s="7" t="n"/>
    </row>
    <row r="676">
      <c r="A676" s="12" t="n"/>
      <c r="B676" s="7" t="n"/>
      <c r="C676" s="7" t="n"/>
      <c r="D676" s="7" t="n"/>
      <c r="E676" s="6">
        <f>IF(OR(C676="",D676=""),"",IF(D676=1,C676,ROUND(C676*(1+D676/30),1)))</f>
        <v/>
      </c>
      <c r="F676" s="7" t="n"/>
    </row>
    <row r="677">
      <c r="A677" s="12" t="n"/>
      <c r="B677" s="7" t="n"/>
      <c r="C677" s="7" t="n"/>
      <c r="D677" s="7" t="n"/>
      <c r="E677" s="6">
        <f>IF(OR(C677="",D677=""),"",IF(D677=1,C677,ROUND(C677*(1+D677/30),1)))</f>
        <v/>
      </c>
      <c r="F677" s="7" t="n"/>
    </row>
    <row r="678">
      <c r="A678" s="12" t="n"/>
      <c r="B678" s="7" t="n"/>
      <c r="C678" s="7" t="n"/>
      <c r="D678" s="7" t="n"/>
      <c r="E678" s="6">
        <f>IF(OR(C678="",D678=""),"",IF(D678=1,C678,ROUND(C678*(1+D678/30),1)))</f>
        <v/>
      </c>
      <c r="F678" s="7" t="n"/>
    </row>
    <row r="679">
      <c r="A679" s="12" t="n"/>
      <c r="B679" s="7" t="n"/>
      <c r="C679" s="7" t="n"/>
      <c r="D679" s="7" t="n"/>
      <c r="E679" s="6">
        <f>IF(OR(C679="",D679=""),"",IF(D679=1,C679,ROUND(C679*(1+D679/30),1)))</f>
        <v/>
      </c>
      <c r="F679" s="7" t="n"/>
    </row>
    <row r="680">
      <c r="A680" s="12" t="n"/>
      <c r="B680" s="7" t="n"/>
      <c r="C680" s="7" t="n"/>
      <c r="D680" s="7" t="n"/>
      <c r="E680" s="6">
        <f>IF(OR(C680="",D680=""),"",IF(D680=1,C680,ROUND(C680*(1+D680/30),1)))</f>
        <v/>
      </c>
      <c r="F680" s="7" t="n"/>
    </row>
    <row r="681">
      <c r="A681" s="12" t="n"/>
      <c r="B681" s="7" t="n"/>
      <c r="C681" s="7" t="n"/>
      <c r="D681" s="7" t="n"/>
      <c r="E681" s="6">
        <f>IF(OR(C681="",D681=""),"",IF(D681=1,C681,ROUND(C681*(1+D681/30),1)))</f>
        <v/>
      </c>
      <c r="F681" s="7" t="n"/>
    </row>
    <row r="682">
      <c r="A682" s="12" t="n"/>
      <c r="B682" s="7" t="n"/>
      <c r="C682" s="7" t="n"/>
      <c r="D682" s="7" t="n"/>
      <c r="E682" s="6">
        <f>IF(OR(C682="",D682=""),"",IF(D682=1,C682,ROUND(C682*(1+D682/30),1)))</f>
        <v/>
      </c>
      <c r="F682" s="7" t="n"/>
    </row>
    <row r="683">
      <c r="A683" s="12" t="n"/>
      <c r="B683" s="7" t="n"/>
      <c r="C683" s="7" t="n"/>
      <c r="D683" s="7" t="n"/>
      <c r="E683" s="6">
        <f>IF(OR(C683="",D683=""),"",IF(D683=1,C683,ROUND(C683*(1+D683/30),1)))</f>
        <v/>
      </c>
      <c r="F683" s="7" t="n"/>
    </row>
    <row r="684">
      <c r="A684" s="12" t="n"/>
      <c r="B684" s="7" t="n"/>
      <c r="C684" s="7" t="n"/>
      <c r="D684" s="7" t="n"/>
      <c r="E684" s="6">
        <f>IF(OR(C684="",D684=""),"",IF(D684=1,C684,ROUND(C684*(1+D684/30),1)))</f>
        <v/>
      </c>
      <c r="F684" s="7" t="n"/>
    </row>
    <row r="685">
      <c r="A685" s="12" t="n"/>
      <c r="B685" s="7" t="n"/>
      <c r="C685" s="7" t="n"/>
      <c r="D685" s="7" t="n"/>
      <c r="E685" s="6">
        <f>IF(OR(C685="",D685=""),"",IF(D685=1,C685,ROUND(C685*(1+D685/30),1)))</f>
        <v/>
      </c>
      <c r="F685" s="7" t="n"/>
    </row>
    <row r="686">
      <c r="A686" s="12" t="n"/>
      <c r="B686" s="7" t="n"/>
      <c r="C686" s="7" t="n"/>
      <c r="D686" s="7" t="n"/>
      <c r="E686" s="6">
        <f>IF(OR(C686="",D686=""),"",IF(D686=1,C686,ROUND(C686*(1+D686/30),1)))</f>
        <v/>
      </c>
      <c r="F686" s="7" t="n"/>
    </row>
    <row r="687">
      <c r="A687" s="12" t="n"/>
      <c r="B687" s="7" t="n"/>
      <c r="C687" s="7" t="n"/>
      <c r="D687" s="7" t="n"/>
      <c r="E687" s="6">
        <f>IF(OR(C687="",D687=""),"",IF(D687=1,C687,ROUND(C687*(1+D687/30),1)))</f>
        <v/>
      </c>
      <c r="F687" s="7" t="n"/>
    </row>
    <row r="688">
      <c r="A688" s="12" t="n"/>
      <c r="B688" s="7" t="n"/>
      <c r="C688" s="7" t="n"/>
      <c r="D688" s="7" t="n"/>
      <c r="E688" s="6">
        <f>IF(OR(C688="",D688=""),"",IF(D688=1,C688,ROUND(C688*(1+D688/30),1)))</f>
        <v/>
      </c>
      <c r="F688" s="7" t="n"/>
    </row>
    <row r="689">
      <c r="A689" s="12" t="n"/>
      <c r="B689" s="7" t="n"/>
      <c r="C689" s="7" t="n"/>
      <c r="D689" s="7" t="n"/>
      <c r="E689" s="6">
        <f>IF(OR(C689="",D689=""),"",IF(D689=1,C689,ROUND(C689*(1+D689/30),1)))</f>
        <v/>
      </c>
      <c r="F689" s="7" t="n"/>
    </row>
    <row r="690">
      <c r="A690" s="12" t="n"/>
      <c r="B690" s="7" t="n"/>
      <c r="C690" s="7" t="n"/>
      <c r="D690" s="7" t="n"/>
      <c r="E690" s="6">
        <f>IF(OR(C690="",D690=""),"",IF(D690=1,C690,ROUND(C690*(1+D690/30),1)))</f>
        <v/>
      </c>
      <c r="F690" s="7" t="n"/>
    </row>
    <row r="691">
      <c r="A691" s="12" t="n"/>
      <c r="B691" s="7" t="n"/>
      <c r="C691" s="7" t="n"/>
      <c r="D691" s="7" t="n"/>
      <c r="E691" s="6">
        <f>IF(OR(C691="",D691=""),"",IF(D691=1,C691,ROUND(C691*(1+D691/30),1)))</f>
        <v/>
      </c>
      <c r="F691" s="7" t="n"/>
    </row>
    <row r="692">
      <c r="A692" s="12" t="n"/>
      <c r="B692" s="7" t="n"/>
      <c r="C692" s="7" t="n"/>
      <c r="D692" s="7" t="n"/>
      <c r="E692" s="6">
        <f>IF(OR(C692="",D692=""),"",IF(D692=1,C692,ROUND(C692*(1+D692/30),1)))</f>
        <v/>
      </c>
      <c r="F692" s="7" t="n"/>
    </row>
    <row r="693">
      <c r="A693" s="12" t="n"/>
      <c r="B693" s="7" t="n"/>
      <c r="C693" s="7" t="n"/>
      <c r="D693" s="7" t="n"/>
      <c r="E693" s="6">
        <f>IF(OR(C693="",D693=""),"",IF(D693=1,C693,ROUND(C693*(1+D693/30),1)))</f>
        <v/>
      </c>
      <c r="F693" s="7" t="n"/>
    </row>
    <row r="694">
      <c r="A694" s="12" t="n"/>
      <c r="B694" s="7" t="n"/>
      <c r="C694" s="7" t="n"/>
      <c r="D694" s="7" t="n"/>
      <c r="E694" s="6">
        <f>IF(OR(C694="",D694=""),"",IF(D694=1,C694,ROUND(C694*(1+D694/30),1)))</f>
        <v/>
      </c>
      <c r="F694" s="7" t="n"/>
    </row>
    <row r="695">
      <c r="A695" s="12" t="n"/>
      <c r="B695" s="7" t="n"/>
      <c r="C695" s="7" t="n"/>
      <c r="D695" s="7" t="n"/>
      <c r="E695" s="6">
        <f>IF(OR(C695="",D695=""),"",IF(D695=1,C695,ROUND(C695*(1+D695/30),1)))</f>
        <v/>
      </c>
      <c r="F695" s="7" t="n"/>
    </row>
    <row r="696">
      <c r="A696" s="12" t="n"/>
      <c r="B696" s="7" t="n"/>
      <c r="C696" s="7" t="n"/>
      <c r="D696" s="7" t="n"/>
      <c r="E696" s="6">
        <f>IF(OR(C696="",D696=""),"",IF(D696=1,C696,ROUND(C696*(1+D696/30),1)))</f>
        <v/>
      </c>
      <c r="F696" s="7" t="n"/>
    </row>
    <row r="697">
      <c r="A697" s="12" t="n"/>
      <c r="B697" s="7" t="n"/>
      <c r="C697" s="7" t="n"/>
      <c r="D697" s="7" t="n"/>
      <c r="E697" s="6">
        <f>IF(OR(C697="",D697=""),"",IF(D697=1,C697,ROUND(C697*(1+D697/30),1)))</f>
        <v/>
      </c>
      <c r="F697" s="7" t="n"/>
    </row>
    <row r="698">
      <c r="A698" s="12" t="n"/>
      <c r="B698" s="7" t="n"/>
      <c r="C698" s="7" t="n"/>
      <c r="D698" s="7" t="n"/>
      <c r="E698" s="6">
        <f>IF(OR(C698="",D698=""),"",IF(D698=1,C698,ROUND(C698*(1+D698/30),1)))</f>
        <v/>
      </c>
      <c r="F698" s="7" t="n"/>
    </row>
    <row r="699">
      <c r="A699" s="12" t="n"/>
      <c r="B699" s="7" t="n"/>
      <c r="C699" s="7" t="n"/>
      <c r="D699" s="7" t="n"/>
      <c r="E699" s="6">
        <f>IF(OR(C699="",D699=""),"",IF(D699=1,C699,ROUND(C699*(1+D699/30),1)))</f>
        <v/>
      </c>
      <c r="F699" s="7" t="n"/>
    </row>
    <row r="700">
      <c r="A700" s="12" t="n"/>
      <c r="B700" s="7" t="n"/>
      <c r="C700" s="7" t="n"/>
      <c r="D700" s="7" t="n"/>
      <c r="E700" s="6">
        <f>IF(OR(C700="",D700=""),"",IF(D700=1,C700,ROUND(C700*(1+D700/30),1)))</f>
        <v/>
      </c>
      <c r="F700" s="7" t="n"/>
    </row>
    <row r="701">
      <c r="A701" s="12" t="n"/>
      <c r="B701" s="7" t="n"/>
      <c r="C701" s="7" t="n"/>
      <c r="D701" s="7" t="n"/>
      <c r="E701" s="6">
        <f>IF(OR(C701="",D701=""),"",IF(D701=1,C701,ROUND(C701*(1+D701/30),1)))</f>
        <v/>
      </c>
      <c r="F701" s="7" t="n"/>
    </row>
    <row r="702">
      <c r="A702" s="12" t="n"/>
      <c r="B702" s="7" t="n"/>
      <c r="C702" s="7" t="n"/>
      <c r="D702" s="7" t="n"/>
      <c r="E702" s="6">
        <f>IF(OR(C702="",D702=""),"",IF(D702=1,C702,ROUND(C702*(1+D702/30),1)))</f>
        <v/>
      </c>
      <c r="F702" s="7" t="n"/>
    </row>
    <row r="703">
      <c r="A703" s="12" t="n"/>
      <c r="B703" s="7" t="n"/>
      <c r="C703" s="7" t="n"/>
      <c r="D703" s="7" t="n"/>
      <c r="E703" s="6">
        <f>IF(OR(C703="",D703=""),"",IF(D703=1,C703,ROUND(C703*(1+D703/30),1)))</f>
        <v/>
      </c>
      <c r="F703" s="7" t="n"/>
    </row>
    <row r="704">
      <c r="A704" s="12" t="n"/>
      <c r="B704" s="7" t="n"/>
      <c r="C704" s="7" t="n"/>
      <c r="D704" s="7" t="n"/>
      <c r="E704" s="6">
        <f>IF(OR(C704="",D704=""),"",IF(D704=1,C704,ROUND(C704*(1+D704/30),1)))</f>
        <v/>
      </c>
      <c r="F704" s="7" t="n"/>
    </row>
    <row r="705">
      <c r="A705" s="12" t="n"/>
      <c r="B705" s="7" t="n"/>
      <c r="C705" s="7" t="n"/>
      <c r="D705" s="7" t="n"/>
      <c r="E705" s="6">
        <f>IF(OR(C705="",D705=""),"",IF(D705=1,C705,ROUND(C705*(1+D705/30),1)))</f>
        <v/>
      </c>
      <c r="F705" s="7" t="n"/>
    </row>
    <row r="706">
      <c r="A706" s="12" t="n"/>
      <c r="B706" s="7" t="n"/>
      <c r="C706" s="7" t="n"/>
      <c r="D706" s="7" t="n"/>
      <c r="E706" s="6">
        <f>IF(OR(C706="",D706=""),"",IF(D706=1,C706,ROUND(C706*(1+D706/30),1)))</f>
        <v/>
      </c>
      <c r="F706" s="7" t="n"/>
    </row>
    <row r="707">
      <c r="A707" s="12" t="n"/>
      <c r="B707" s="7" t="n"/>
      <c r="C707" s="7" t="n"/>
      <c r="D707" s="7" t="n"/>
      <c r="E707" s="6">
        <f>IF(OR(C707="",D707=""),"",IF(D707=1,C707,ROUND(C707*(1+D707/30),1)))</f>
        <v/>
      </c>
      <c r="F707" s="7" t="n"/>
    </row>
    <row r="708">
      <c r="A708" s="12" t="n"/>
      <c r="B708" s="7" t="n"/>
      <c r="C708" s="7" t="n"/>
      <c r="D708" s="7" t="n"/>
      <c r="E708" s="6">
        <f>IF(OR(C708="",D708=""),"",IF(D708=1,C708,ROUND(C708*(1+D708/30),1)))</f>
        <v/>
      </c>
      <c r="F708" s="7" t="n"/>
    </row>
    <row r="709">
      <c r="A709" s="12" t="n"/>
      <c r="B709" s="7" t="n"/>
      <c r="C709" s="7" t="n"/>
      <c r="D709" s="7" t="n"/>
      <c r="E709" s="6">
        <f>IF(OR(C709="",D709=""),"",IF(D709=1,C709,ROUND(C709*(1+D709/30),1)))</f>
        <v/>
      </c>
      <c r="F709" s="7" t="n"/>
    </row>
    <row r="710">
      <c r="A710" s="12" t="n"/>
      <c r="B710" s="7" t="n"/>
      <c r="C710" s="7" t="n"/>
      <c r="D710" s="7" t="n"/>
      <c r="E710" s="6">
        <f>IF(OR(C710="",D710=""),"",IF(D710=1,C710,ROUND(C710*(1+D710/30),1)))</f>
        <v/>
      </c>
      <c r="F710" s="7" t="n"/>
    </row>
    <row r="711">
      <c r="A711" s="12" t="n"/>
      <c r="B711" s="7" t="n"/>
      <c r="C711" s="7" t="n"/>
      <c r="D711" s="7" t="n"/>
      <c r="E711" s="6">
        <f>IF(OR(C711="",D711=""),"",IF(D711=1,C711,ROUND(C711*(1+D711/30),1)))</f>
        <v/>
      </c>
      <c r="F711" s="7" t="n"/>
    </row>
    <row r="712">
      <c r="A712" s="12" t="n"/>
      <c r="B712" s="7" t="n"/>
      <c r="C712" s="7" t="n"/>
      <c r="D712" s="7" t="n"/>
      <c r="E712" s="6">
        <f>IF(OR(C712="",D712=""),"",IF(D712=1,C712,ROUND(C712*(1+D712/30),1)))</f>
        <v/>
      </c>
      <c r="F712" s="7" t="n"/>
    </row>
    <row r="713">
      <c r="A713" s="12" t="n"/>
      <c r="B713" s="7" t="n"/>
      <c r="C713" s="7" t="n"/>
      <c r="D713" s="7" t="n"/>
      <c r="E713" s="6">
        <f>IF(OR(C713="",D713=""),"",IF(D713=1,C713,ROUND(C713*(1+D713/30),1)))</f>
        <v/>
      </c>
      <c r="F713" s="7" t="n"/>
    </row>
    <row r="714">
      <c r="A714" s="12" t="n"/>
      <c r="B714" s="7" t="n"/>
      <c r="C714" s="7" t="n"/>
      <c r="D714" s="7" t="n"/>
      <c r="E714" s="6">
        <f>IF(OR(C714="",D714=""),"",IF(D714=1,C714,ROUND(C714*(1+D714/30),1)))</f>
        <v/>
      </c>
      <c r="F714" s="7" t="n"/>
    </row>
    <row r="715">
      <c r="A715" s="12" t="n"/>
      <c r="B715" s="7" t="n"/>
      <c r="C715" s="7" t="n"/>
      <c r="D715" s="7" t="n"/>
      <c r="E715" s="6">
        <f>IF(OR(C715="",D715=""),"",IF(D715=1,C715,ROUND(C715*(1+D715/30),1)))</f>
        <v/>
      </c>
      <c r="F715" s="7" t="n"/>
    </row>
    <row r="716">
      <c r="A716" s="12" t="n"/>
      <c r="B716" s="7" t="n"/>
      <c r="C716" s="7" t="n"/>
      <c r="D716" s="7" t="n"/>
      <c r="E716" s="6">
        <f>IF(OR(C716="",D716=""),"",IF(D716=1,C716,ROUND(C716*(1+D716/30),1)))</f>
        <v/>
      </c>
      <c r="F716" s="7" t="n"/>
    </row>
    <row r="717">
      <c r="A717" s="12" t="n"/>
      <c r="B717" s="7" t="n"/>
      <c r="C717" s="7" t="n"/>
      <c r="D717" s="7" t="n"/>
      <c r="E717" s="6">
        <f>IF(OR(C717="",D717=""),"",IF(D717=1,C717,ROUND(C717*(1+D717/30),1)))</f>
        <v/>
      </c>
      <c r="F717" s="7" t="n"/>
    </row>
    <row r="718">
      <c r="A718" s="12" t="n"/>
      <c r="B718" s="7" t="n"/>
      <c r="C718" s="7" t="n"/>
      <c r="D718" s="7" t="n"/>
      <c r="E718" s="6">
        <f>IF(OR(C718="",D718=""),"",IF(D718=1,C718,ROUND(C718*(1+D718/30),1)))</f>
        <v/>
      </c>
      <c r="F718" s="7" t="n"/>
    </row>
    <row r="719">
      <c r="A719" s="12" t="n"/>
      <c r="B719" s="7" t="n"/>
      <c r="C719" s="7" t="n"/>
      <c r="D719" s="7" t="n"/>
      <c r="E719" s="6">
        <f>IF(OR(C719="",D719=""),"",IF(D719=1,C719,ROUND(C719*(1+D719/30),1)))</f>
        <v/>
      </c>
      <c r="F719" s="7" t="n"/>
    </row>
    <row r="720">
      <c r="A720" s="12" t="n"/>
      <c r="B720" s="7" t="n"/>
      <c r="C720" s="7" t="n"/>
      <c r="D720" s="7" t="n"/>
      <c r="E720" s="6">
        <f>IF(OR(C720="",D720=""),"",IF(D720=1,C720,ROUND(C720*(1+D720/30),1)))</f>
        <v/>
      </c>
      <c r="F720" s="7" t="n"/>
    </row>
    <row r="721">
      <c r="A721" s="12" t="n"/>
      <c r="B721" s="7" t="n"/>
      <c r="C721" s="7" t="n"/>
      <c r="D721" s="7" t="n"/>
      <c r="E721" s="6">
        <f>IF(OR(C721="",D721=""),"",IF(D721=1,C721,ROUND(C721*(1+D721/30),1)))</f>
        <v/>
      </c>
      <c r="F721" s="7" t="n"/>
    </row>
    <row r="722">
      <c r="A722" s="12" t="n"/>
      <c r="B722" s="7" t="n"/>
      <c r="C722" s="7" t="n"/>
      <c r="D722" s="7" t="n"/>
      <c r="E722" s="6">
        <f>IF(OR(C722="",D722=""),"",IF(D722=1,C722,ROUND(C722*(1+D722/30),1)))</f>
        <v/>
      </c>
      <c r="F722" s="7" t="n"/>
    </row>
    <row r="723">
      <c r="A723" s="12" t="n"/>
      <c r="B723" s="7" t="n"/>
      <c r="C723" s="7" t="n"/>
      <c r="D723" s="7" t="n"/>
      <c r="E723" s="6">
        <f>IF(OR(C723="",D723=""),"",IF(D723=1,C723,ROUND(C723*(1+D723/30),1)))</f>
        <v/>
      </c>
      <c r="F723" s="7" t="n"/>
    </row>
    <row r="724">
      <c r="A724" s="12" t="n"/>
      <c r="B724" s="7" t="n"/>
      <c r="C724" s="7" t="n"/>
      <c r="D724" s="7" t="n"/>
      <c r="E724" s="6">
        <f>IF(OR(C724="",D724=""),"",IF(D724=1,C724,ROUND(C724*(1+D724/30),1)))</f>
        <v/>
      </c>
      <c r="F724" s="7" t="n"/>
    </row>
    <row r="725">
      <c r="A725" s="12" t="n"/>
      <c r="B725" s="7" t="n"/>
      <c r="C725" s="7" t="n"/>
      <c r="D725" s="7" t="n"/>
      <c r="E725" s="6">
        <f>IF(OR(C725="",D725=""),"",IF(D725=1,C725,ROUND(C725*(1+D725/30),1)))</f>
        <v/>
      </c>
      <c r="F725" s="7" t="n"/>
    </row>
    <row r="726">
      <c r="A726" s="12" t="n"/>
      <c r="B726" s="7" t="n"/>
      <c r="C726" s="7" t="n"/>
      <c r="D726" s="7" t="n"/>
      <c r="E726" s="6">
        <f>IF(OR(C726="",D726=""),"",IF(D726=1,C726,ROUND(C726*(1+D726/30),1)))</f>
        <v/>
      </c>
      <c r="F726" s="7" t="n"/>
    </row>
    <row r="727">
      <c r="A727" s="12" t="n"/>
      <c r="B727" s="7" t="n"/>
      <c r="C727" s="7" t="n"/>
      <c r="D727" s="7" t="n"/>
      <c r="E727" s="6">
        <f>IF(OR(C727="",D727=""),"",IF(D727=1,C727,ROUND(C727*(1+D727/30),1)))</f>
        <v/>
      </c>
      <c r="F727" s="7" t="n"/>
    </row>
    <row r="728">
      <c r="A728" s="12" t="n"/>
      <c r="B728" s="7" t="n"/>
      <c r="C728" s="7" t="n"/>
      <c r="D728" s="7" t="n"/>
      <c r="E728" s="6">
        <f>IF(OR(C728="",D728=""),"",IF(D728=1,C728,ROUND(C728*(1+D728/30),1)))</f>
        <v/>
      </c>
      <c r="F728" s="7" t="n"/>
    </row>
    <row r="729">
      <c r="A729" s="12" t="n"/>
      <c r="B729" s="7" t="n"/>
      <c r="C729" s="7" t="n"/>
      <c r="D729" s="7" t="n"/>
      <c r="E729" s="6">
        <f>IF(OR(C729="",D729=""),"",IF(D729=1,C729,ROUND(C729*(1+D729/30),1)))</f>
        <v/>
      </c>
      <c r="F729" s="7" t="n"/>
    </row>
    <row r="730">
      <c r="A730" s="12" t="n"/>
      <c r="B730" s="7" t="n"/>
      <c r="C730" s="7" t="n"/>
      <c r="D730" s="7" t="n"/>
      <c r="E730" s="6">
        <f>IF(OR(C730="",D730=""),"",IF(D730=1,C730,ROUND(C730*(1+D730/30),1)))</f>
        <v/>
      </c>
      <c r="F730" s="7" t="n"/>
    </row>
    <row r="731">
      <c r="A731" s="12" t="n"/>
      <c r="B731" s="7" t="n"/>
      <c r="C731" s="7" t="n"/>
      <c r="D731" s="7" t="n"/>
      <c r="E731" s="6">
        <f>IF(OR(C731="",D731=""),"",IF(D731=1,C731,ROUND(C731*(1+D731/30),1)))</f>
        <v/>
      </c>
      <c r="F731" s="7" t="n"/>
    </row>
    <row r="732">
      <c r="A732" s="12" t="n"/>
      <c r="B732" s="7" t="n"/>
      <c r="C732" s="7" t="n"/>
      <c r="D732" s="7" t="n"/>
      <c r="E732" s="6">
        <f>IF(OR(C732="",D732=""),"",IF(D732=1,C732,ROUND(C732*(1+D732/30),1)))</f>
        <v/>
      </c>
      <c r="F732" s="7" t="n"/>
    </row>
    <row r="733">
      <c r="A733" s="12" t="n"/>
      <c r="B733" s="7" t="n"/>
      <c r="C733" s="7" t="n"/>
      <c r="D733" s="7" t="n"/>
      <c r="E733" s="6">
        <f>IF(OR(C733="",D733=""),"",IF(D733=1,C733,ROUND(C733*(1+D733/30),1)))</f>
        <v/>
      </c>
      <c r="F733" s="7" t="n"/>
    </row>
    <row r="734">
      <c r="A734" s="12" t="n"/>
      <c r="B734" s="7" t="n"/>
      <c r="C734" s="7" t="n"/>
      <c r="D734" s="7" t="n"/>
      <c r="E734" s="6">
        <f>IF(OR(C734="",D734=""),"",IF(D734=1,C734,ROUND(C734*(1+D734/30),1)))</f>
        <v/>
      </c>
      <c r="F734" s="7" t="n"/>
    </row>
    <row r="735">
      <c r="A735" s="12" t="n"/>
      <c r="B735" s="7" t="n"/>
      <c r="C735" s="7" t="n"/>
      <c r="D735" s="7" t="n"/>
      <c r="E735" s="6">
        <f>IF(OR(C735="",D735=""),"",IF(D735=1,C735,ROUND(C735*(1+D735/30),1)))</f>
        <v/>
      </c>
      <c r="F735" s="7" t="n"/>
    </row>
    <row r="736">
      <c r="A736" s="12" t="n"/>
      <c r="B736" s="7" t="n"/>
      <c r="C736" s="7" t="n"/>
      <c r="D736" s="7" t="n"/>
      <c r="E736" s="6">
        <f>IF(OR(C736="",D736=""),"",IF(D736=1,C736,ROUND(C736*(1+D736/30),1)))</f>
        <v/>
      </c>
      <c r="F736" s="7" t="n"/>
    </row>
    <row r="737">
      <c r="A737" s="12" t="n"/>
      <c r="B737" s="7" t="n"/>
      <c r="C737" s="7" t="n"/>
      <c r="D737" s="7" t="n"/>
      <c r="E737" s="6">
        <f>IF(OR(C737="",D737=""),"",IF(D737=1,C737,ROUND(C737*(1+D737/30),1)))</f>
        <v/>
      </c>
      <c r="F737" s="7" t="n"/>
    </row>
    <row r="738">
      <c r="A738" s="12" t="n"/>
      <c r="B738" s="7" t="n"/>
      <c r="C738" s="7" t="n"/>
      <c r="D738" s="7" t="n"/>
      <c r="E738" s="6">
        <f>IF(OR(C738="",D738=""),"",IF(D738=1,C738,ROUND(C738*(1+D738/30),1)))</f>
        <v/>
      </c>
      <c r="F738" s="7" t="n"/>
    </row>
    <row r="739">
      <c r="A739" s="12" t="n"/>
      <c r="B739" s="7" t="n"/>
      <c r="C739" s="7" t="n"/>
      <c r="D739" s="7" t="n"/>
      <c r="E739" s="6">
        <f>IF(OR(C739="",D739=""),"",IF(D739=1,C739,ROUND(C739*(1+D739/30),1)))</f>
        <v/>
      </c>
      <c r="F739" s="7" t="n"/>
    </row>
    <row r="740">
      <c r="A740" s="12" t="n"/>
      <c r="B740" s="7" t="n"/>
      <c r="C740" s="7" t="n"/>
      <c r="D740" s="7" t="n"/>
      <c r="E740" s="6">
        <f>IF(OR(C740="",D740=""),"",IF(D740=1,C740,ROUND(C740*(1+D740/30),1)))</f>
        <v/>
      </c>
      <c r="F740" s="7" t="n"/>
    </row>
    <row r="741">
      <c r="A741" s="12" t="n"/>
      <c r="B741" s="7" t="n"/>
      <c r="C741" s="7" t="n"/>
      <c r="D741" s="7" t="n"/>
      <c r="E741" s="6">
        <f>IF(OR(C741="",D741=""),"",IF(D741=1,C741,ROUND(C741*(1+D741/30),1)))</f>
        <v/>
      </c>
      <c r="F741" s="7" t="n"/>
    </row>
    <row r="742">
      <c r="A742" s="12" t="n"/>
      <c r="B742" s="7" t="n"/>
      <c r="C742" s="7" t="n"/>
      <c r="D742" s="7" t="n"/>
      <c r="E742" s="6">
        <f>IF(OR(C742="",D742=""),"",IF(D742=1,C742,ROUND(C742*(1+D742/30),1)))</f>
        <v/>
      </c>
      <c r="F742" s="7" t="n"/>
    </row>
    <row r="743">
      <c r="A743" s="12" t="n"/>
      <c r="B743" s="7" t="n"/>
      <c r="C743" s="7" t="n"/>
      <c r="D743" s="7" t="n"/>
      <c r="E743" s="6">
        <f>IF(OR(C743="",D743=""),"",IF(D743=1,C743,ROUND(C743*(1+D743/30),1)))</f>
        <v/>
      </c>
      <c r="F743" s="7" t="n"/>
    </row>
    <row r="744">
      <c r="A744" s="12" t="n"/>
      <c r="B744" s="7" t="n"/>
      <c r="C744" s="7" t="n"/>
      <c r="D744" s="7" t="n"/>
      <c r="E744" s="6">
        <f>IF(OR(C744="",D744=""),"",IF(D744=1,C744,ROUND(C744*(1+D744/30),1)))</f>
        <v/>
      </c>
      <c r="F744" s="7" t="n"/>
    </row>
    <row r="745">
      <c r="A745" s="12" t="n"/>
      <c r="B745" s="7" t="n"/>
      <c r="C745" s="7" t="n"/>
      <c r="D745" s="7" t="n"/>
      <c r="E745" s="6">
        <f>IF(OR(C745="",D745=""),"",IF(D745=1,C745,ROUND(C745*(1+D745/30),1)))</f>
        <v/>
      </c>
      <c r="F745" s="7" t="n"/>
    </row>
    <row r="746">
      <c r="A746" s="12" t="n"/>
      <c r="B746" s="7" t="n"/>
      <c r="C746" s="7" t="n"/>
      <c r="D746" s="7" t="n"/>
      <c r="E746" s="6">
        <f>IF(OR(C746="",D746=""),"",IF(D746=1,C746,ROUND(C746*(1+D746/30),1)))</f>
        <v/>
      </c>
      <c r="F746" s="7" t="n"/>
    </row>
    <row r="747">
      <c r="A747" s="12" t="n"/>
      <c r="B747" s="7" t="n"/>
      <c r="C747" s="7" t="n"/>
      <c r="D747" s="7" t="n"/>
      <c r="E747" s="6">
        <f>IF(OR(C747="",D747=""),"",IF(D747=1,C747,ROUND(C747*(1+D747/30),1)))</f>
        <v/>
      </c>
      <c r="F747" s="7" t="n"/>
    </row>
    <row r="748">
      <c r="A748" s="12" t="n"/>
      <c r="B748" s="7" t="n"/>
      <c r="C748" s="7" t="n"/>
      <c r="D748" s="7" t="n"/>
      <c r="E748" s="6">
        <f>IF(OR(C748="",D748=""),"",IF(D748=1,C748,ROUND(C748*(1+D748/30),1)))</f>
        <v/>
      </c>
      <c r="F748" s="7" t="n"/>
    </row>
    <row r="749">
      <c r="A749" s="12" t="n"/>
      <c r="B749" s="7" t="n"/>
      <c r="C749" s="7" t="n"/>
      <c r="D749" s="7" t="n"/>
      <c r="E749" s="6">
        <f>IF(OR(C749="",D749=""),"",IF(D749=1,C749,ROUND(C749*(1+D749/30),1)))</f>
        <v/>
      </c>
      <c r="F749" s="7" t="n"/>
    </row>
    <row r="750">
      <c r="A750" s="12" t="n"/>
      <c r="B750" s="7" t="n"/>
      <c r="C750" s="7" t="n"/>
      <c r="D750" s="7" t="n"/>
      <c r="E750" s="6">
        <f>IF(OR(C750="",D750=""),"",IF(D750=1,C750,ROUND(C750*(1+D750/30),1)))</f>
        <v/>
      </c>
      <c r="F750" s="7" t="n"/>
    </row>
    <row r="751">
      <c r="A751" s="12" t="n"/>
      <c r="B751" s="7" t="n"/>
      <c r="C751" s="7" t="n"/>
      <c r="D751" s="7" t="n"/>
      <c r="E751" s="6">
        <f>IF(OR(C751="",D751=""),"",IF(D751=1,C751,ROUND(C751*(1+D751/30),1)))</f>
        <v/>
      </c>
      <c r="F751" s="7" t="n"/>
    </row>
    <row r="752">
      <c r="A752" s="12" t="n"/>
      <c r="B752" s="7" t="n"/>
      <c r="C752" s="7" t="n"/>
      <c r="D752" s="7" t="n"/>
      <c r="E752" s="6">
        <f>IF(OR(C752="",D752=""),"",IF(D752=1,C752,ROUND(C752*(1+D752/30),1)))</f>
        <v/>
      </c>
      <c r="F752" s="7" t="n"/>
    </row>
    <row r="753">
      <c r="A753" s="12" t="n"/>
      <c r="B753" s="7" t="n"/>
      <c r="C753" s="7" t="n"/>
      <c r="D753" s="7" t="n"/>
      <c r="E753" s="6">
        <f>IF(OR(C753="",D753=""),"",IF(D753=1,C753,ROUND(C753*(1+D753/30),1)))</f>
        <v/>
      </c>
      <c r="F753" s="7" t="n"/>
    </row>
    <row r="754">
      <c r="A754" s="12" t="n"/>
      <c r="B754" s="7" t="n"/>
      <c r="C754" s="7" t="n"/>
      <c r="D754" s="7" t="n"/>
      <c r="E754" s="6">
        <f>IF(OR(C754="",D754=""),"",IF(D754=1,C754,ROUND(C754*(1+D754/30),1)))</f>
        <v/>
      </c>
      <c r="F754" s="7" t="n"/>
    </row>
    <row r="755">
      <c r="A755" s="12" t="n"/>
      <c r="B755" s="7" t="n"/>
      <c r="C755" s="7" t="n"/>
      <c r="D755" s="7" t="n"/>
      <c r="E755" s="6">
        <f>IF(OR(C755="",D755=""),"",IF(D755=1,C755,ROUND(C755*(1+D755/30),1)))</f>
        <v/>
      </c>
      <c r="F755" s="7" t="n"/>
    </row>
    <row r="756">
      <c r="A756" s="12" t="n"/>
      <c r="B756" s="7" t="n"/>
      <c r="C756" s="7" t="n"/>
      <c r="D756" s="7" t="n"/>
      <c r="E756" s="6">
        <f>IF(OR(C756="",D756=""),"",IF(D756=1,C756,ROUND(C756*(1+D756/30),1)))</f>
        <v/>
      </c>
      <c r="F756" s="7" t="n"/>
    </row>
    <row r="757">
      <c r="A757" s="12" t="n"/>
      <c r="B757" s="7" t="n"/>
      <c r="C757" s="7" t="n"/>
      <c r="D757" s="7" t="n"/>
      <c r="E757" s="6">
        <f>IF(OR(C757="",D757=""),"",IF(D757=1,C757,ROUND(C757*(1+D757/30),1)))</f>
        <v/>
      </c>
      <c r="F757" s="7" t="n"/>
    </row>
    <row r="758">
      <c r="A758" s="12" t="n"/>
      <c r="B758" s="7" t="n"/>
      <c r="C758" s="7" t="n"/>
      <c r="D758" s="7" t="n"/>
      <c r="E758" s="6">
        <f>IF(OR(C758="",D758=""),"",IF(D758=1,C758,ROUND(C758*(1+D758/30),1)))</f>
        <v/>
      </c>
      <c r="F758" s="7" t="n"/>
    </row>
    <row r="759">
      <c r="A759" s="12" t="n"/>
      <c r="B759" s="7" t="n"/>
      <c r="C759" s="7" t="n"/>
      <c r="D759" s="7" t="n"/>
      <c r="E759" s="6">
        <f>IF(OR(C759="",D759=""),"",IF(D759=1,C759,ROUND(C759*(1+D759/30),1)))</f>
        <v/>
      </c>
      <c r="F759" s="7" t="n"/>
    </row>
    <row r="760">
      <c r="A760" s="12" t="n"/>
      <c r="B760" s="7" t="n"/>
      <c r="C760" s="7" t="n"/>
      <c r="D760" s="7" t="n"/>
      <c r="E760" s="6">
        <f>IF(OR(C760="",D760=""),"",IF(D760=1,C760,ROUND(C760*(1+D760/30),1)))</f>
        <v/>
      </c>
      <c r="F760" s="7" t="n"/>
    </row>
    <row r="761">
      <c r="A761" s="12" t="n"/>
      <c r="B761" s="7" t="n"/>
      <c r="C761" s="7" t="n"/>
      <c r="D761" s="7" t="n"/>
      <c r="E761" s="6">
        <f>IF(OR(C761="",D761=""),"",IF(D761=1,C761,ROUND(C761*(1+D761/30),1)))</f>
        <v/>
      </c>
      <c r="F761" s="7" t="n"/>
    </row>
    <row r="762">
      <c r="A762" s="12" t="n"/>
      <c r="B762" s="7" t="n"/>
      <c r="C762" s="7" t="n"/>
      <c r="D762" s="7" t="n"/>
      <c r="E762" s="6">
        <f>IF(OR(C762="",D762=""),"",IF(D762=1,C762,ROUND(C762*(1+D762/30),1)))</f>
        <v/>
      </c>
      <c r="F762" s="7" t="n"/>
    </row>
    <row r="763">
      <c r="A763" s="12" t="n"/>
      <c r="B763" s="7" t="n"/>
      <c r="C763" s="7" t="n"/>
      <c r="D763" s="7" t="n"/>
      <c r="E763" s="6">
        <f>IF(OR(C763="",D763=""),"",IF(D763=1,C763,ROUND(C763*(1+D763/30),1)))</f>
        <v/>
      </c>
      <c r="F763" s="7" t="n"/>
    </row>
    <row r="764">
      <c r="A764" s="12" t="n"/>
      <c r="B764" s="7" t="n"/>
      <c r="C764" s="7" t="n"/>
      <c r="D764" s="7" t="n"/>
      <c r="E764" s="6">
        <f>IF(OR(C764="",D764=""),"",IF(D764=1,C764,ROUND(C764*(1+D764/30),1)))</f>
        <v/>
      </c>
      <c r="F764" s="7" t="n"/>
    </row>
    <row r="765">
      <c r="A765" s="12" t="n"/>
      <c r="B765" s="7" t="n"/>
      <c r="C765" s="7" t="n"/>
      <c r="D765" s="7" t="n"/>
      <c r="E765" s="6">
        <f>IF(OR(C765="",D765=""),"",IF(D765=1,C765,ROUND(C765*(1+D765/30),1)))</f>
        <v/>
      </c>
      <c r="F765" s="7" t="n"/>
    </row>
    <row r="766">
      <c r="A766" s="12" t="n"/>
      <c r="B766" s="7" t="n"/>
      <c r="C766" s="7" t="n"/>
      <c r="D766" s="7" t="n"/>
      <c r="E766" s="6">
        <f>IF(OR(C766="",D766=""),"",IF(D766=1,C766,ROUND(C766*(1+D766/30),1)))</f>
        <v/>
      </c>
      <c r="F766" s="7" t="n"/>
    </row>
    <row r="767">
      <c r="A767" s="12" t="n"/>
      <c r="B767" s="7" t="n"/>
      <c r="C767" s="7" t="n"/>
      <c r="D767" s="7" t="n"/>
      <c r="E767" s="6">
        <f>IF(OR(C767="",D767=""),"",IF(D767=1,C767,ROUND(C767*(1+D767/30),1)))</f>
        <v/>
      </c>
      <c r="F767" s="7" t="n"/>
    </row>
    <row r="768">
      <c r="A768" s="12" t="n"/>
      <c r="B768" s="7" t="n"/>
      <c r="C768" s="7" t="n"/>
      <c r="D768" s="7" t="n"/>
      <c r="E768" s="6">
        <f>IF(OR(C768="",D768=""),"",IF(D768=1,C768,ROUND(C768*(1+D768/30),1)))</f>
        <v/>
      </c>
      <c r="F768" s="7" t="n"/>
    </row>
    <row r="769">
      <c r="A769" s="12" t="n"/>
      <c r="B769" s="7" t="n"/>
      <c r="C769" s="7" t="n"/>
      <c r="D769" s="7" t="n"/>
      <c r="E769" s="6">
        <f>IF(OR(C769="",D769=""),"",IF(D769=1,C769,ROUND(C769*(1+D769/30),1)))</f>
        <v/>
      </c>
      <c r="F769" s="7" t="n"/>
    </row>
    <row r="770">
      <c r="A770" s="12" t="n"/>
      <c r="B770" s="7" t="n"/>
      <c r="C770" s="7" t="n"/>
      <c r="D770" s="7" t="n"/>
      <c r="E770" s="6">
        <f>IF(OR(C770="",D770=""),"",IF(D770=1,C770,ROUND(C770*(1+D770/30),1)))</f>
        <v/>
      </c>
      <c r="F770" s="7" t="n"/>
    </row>
    <row r="771">
      <c r="A771" s="12" t="n"/>
      <c r="B771" s="7" t="n"/>
      <c r="C771" s="7" t="n"/>
      <c r="D771" s="7" t="n"/>
      <c r="E771" s="6">
        <f>IF(OR(C771="",D771=""),"",IF(D771=1,C771,ROUND(C771*(1+D771/30),1)))</f>
        <v/>
      </c>
      <c r="F771" s="7" t="n"/>
    </row>
    <row r="772">
      <c r="A772" s="12" t="n"/>
      <c r="B772" s="7" t="n"/>
      <c r="C772" s="7" t="n"/>
      <c r="D772" s="7" t="n"/>
      <c r="E772" s="6">
        <f>IF(OR(C772="",D772=""),"",IF(D772=1,C772,ROUND(C772*(1+D772/30),1)))</f>
        <v/>
      </c>
      <c r="F772" s="7" t="n"/>
    </row>
    <row r="773">
      <c r="A773" s="12" t="n"/>
      <c r="B773" s="7" t="n"/>
      <c r="C773" s="7" t="n"/>
      <c r="D773" s="7" t="n"/>
      <c r="E773" s="6">
        <f>IF(OR(C773="",D773=""),"",IF(D773=1,C773,ROUND(C773*(1+D773/30),1)))</f>
        <v/>
      </c>
      <c r="F773" s="7" t="n"/>
    </row>
    <row r="774">
      <c r="A774" s="12" t="n"/>
      <c r="B774" s="7" t="n"/>
      <c r="C774" s="7" t="n"/>
      <c r="D774" s="7" t="n"/>
      <c r="E774" s="6">
        <f>IF(OR(C774="",D774=""),"",IF(D774=1,C774,ROUND(C774*(1+D774/30),1)))</f>
        <v/>
      </c>
      <c r="F774" s="7" t="n"/>
    </row>
    <row r="775">
      <c r="A775" s="12" t="n"/>
      <c r="B775" s="7" t="n"/>
      <c r="C775" s="7" t="n"/>
      <c r="D775" s="7" t="n"/>
      <c r="E775" s="6">
        <f>IF(OR(C775="",D775=""),"",IF(D775=1,C775,ROUND(C775*(1+D775/30),1)))</f>
        <v/>
      </c>
      <c r="F775" s="7" t="n"/>
    </row>
    <row r="776">
      <c r="A776" s="12" t="n"/>
      <c r="B776" s="7" t="n"/>
      <c r="C776" s="7" t="n"/>
      <c r="D776" s="7" t="n"/>
      <c r="E776" s="6">
        <f>IF(OR(C776="",D776=""),"",IF(D776=1,C776,ROUND(C776*(1+D776/30),1)))</f>
        <v/>
      </c>
      <c r="F776" s="7" t="n"/>
    </row>
    <row r="777">
      <c r="A777" s="12" t="n"/>
      <c r="B777" s="7" t="n"/>
      <c r="C777" s="7" t="n"/>
      <c r="D777" s="7" t="n"/>
      <c r="E777" s="6">
        <f>IF(OR(C777="",D777=""),"",IF(D777=1,C777,ROUND(C777*(1+D777/30),1)))</f>
        <v/>
      </c>
      <c r="F777" s="7" t="n"/>
    </row>
    <row r="778">
      <c r="A778" s="12" t="n"/>
      <c r="B778" s="7" t="n"/>
      <c r="C778" s="7" t="n"/>
      <c r="D778" s="7" t="n"/>
      <c r="E778" s="6">
        <f>IF(OR(C778="",D778=""),"",IF(D778=1,C778,ROUND(C778*(1+D778/30),1)))</f>
        <v/>
      </c>
      <c r="F778" s="7" t="n"/>
    </row>
    <row r="779">
      <c r="A779" s="12" t="n"/>
      <c r="B779" s="7" t="n"/>
      <c r="C779" s="7" t="n"/>
      <c r="D779" s="7" t="n"/>
      <c r="E779" s="6">
        <f>IF(OR(C779="",D779=""),"",IF(D779=1,C779,ROUND(C779*(1+D779/30),1)))</f>
        <v/>
      </c>
      <c r="F779" s="7" t="n"/>
    </row>
    <row r="780">
      <c r="A780" s="12" t="n"/>
      <c r="B780" s="7" t="n"/>
      <c r="C780" s="7" t="n"/>
      <c r="D780" s="7" t="n"/>
      <c r="E780" s="6">
        <f>IF(OR(C780="",D780=""),"",IF(D780=1,C780,ROUND(C780*(1+D780/30),1)))</f>
        <v/>
      </c>
      <c r="F780" s="7" t="n"/>
    </row>
    <row r="781">
      <c r="A781" s="12" t="n"/>
      <c r="B781" s="7" t="n"/>
      <c r="C781" s="7" t="n"/>
      <c r="D781" s="7" t="n"/>
      <c r="E781" s="6">
        <f>IF(OR(C781="",D781=""),"",IF(D781=1,C781,ROUND(C781*(1+D781/30),1)))</f>
        <v/>
      </c>
      <c r="F781" s="7" t="n"/>
    </row>
    <row r="782">
      <c r="A782" s="12" t="n"/>
      <c r="B782" s="7" t="n"/>
      <c r="C782" s="7" t="n"/>
      <c r="D782" s="7" t="n"/>
      <c r="E782" s="6">
        <f>IF(OR(C782="",D782=""),"",IF(D782=1,C782,ROUND(C782*(1+D782/30),1)))</f>
        <v/>
      </c>
      <c r="F782" s="7" t="n"/>
    </row>
    <row r="783">
      <c r="A783" s="12" t="n"/>
      <c r="B783" s="7" t="n"/>
      <c r="C783" s="7" t="n"/>
      <c r="D783" s="7" t="n"/>
      <c r="E783" s="6">
        <f>IF(OR(C783="",D783=""),"",IF(D783=1,C783,ROUND(C783*(1+D783/30),1)))</f>
        <v/>
      </c>
      <c r="F783" s="7" t="n"/>
    </row>
    <row r="784">
      <c r="A784" s="12" t="n"/>
      <c r="B784" s="7" t="n"/>
      <c r="C784" s="7" t="n"/>
      <c r="D784" s="7" t="n"/>
      <c r="E784" s="6">
        <f>IF(OR(C784="",D784=""),"",IF(D784=1,C784,ROUND(C784*(1+D784/30),1)))</f>
        <v/>
      </c>
      <c r="F784" s="7" t="n"/>
    </row>
    <row r="785">
      <c r="A785" s="12" t="n"/>
      <c r="B785" s="7" t="n"/>
      <c r="C785" s="7" t="n"/>
      <c r="D785" s="7" t="n"/>
      <c r="E785" s="6">
        <f>IF(OR(C785="",D785=""),"",IF(D785=1,C785,ROUND(C785*(1+D785/30),1)))</f>
        <v/>
      </c>
      <c r="F785" s="7" t="n"/>
    </row>
    <row r="786">
      <c r="A786" s="12" t="n"/>
      <c r="B786" s="7" t="n"/>
      <c r="C786" s="7" t="n"/>
      <c r="D786" s="7" t="n"/>
      <c r="E786" s="6">
        <f>IF(OR(C786="",D786=""),"",IF(D786=1,C786,ROUND(C786*(1+D786/30),1)))</f>
        <v/>
      </c>
      <c r="F786" s="7" t="n"/>
    </row>
    <row r="787">
      <c r="A787" s="12" t="n"/>
      <c r="B787" s="7" t="n"/>
      <c r="C787" s="7" t="n"/>
      <c r="D787" s="7" t="n"/>
      <c r="E787" s="6">
        <f>IF(OR(C787="",D787=""),"",IF(D787=1,C787,ROUND(C787*(1+D787/30),1)))</f>
        <v/>
      </c>
      <c r="F787" s="7" t="n"/>
    </row>
    <row r="788">
      <c r="A788" s="12" t="n"/>
      <c r="B788" s="7" t="n"/>
      <c r="C788" s="7" t="n"/>
      <c r="D788" s="7" t="n"/>
      <c r="E788" s="6">
        <f>IF(OR(C788="",D788=""),"",IF(D788=1,C788,ROUND(C788*(1+D788/30),1)))</f>
        <v/>
      </c>
      <c r="F788" s="7" t="n"/>
    </row>
    <row r="789">
      <c r="A789" s="12" t="n"/>
      <c r="B789" s="7" t="n"/>
      <c r="C789" s="7" t="n"/>
      <c r="D789" s="7" t="n"/>
      <c r="E789" s="6">
        <f>IF(OR(C789="",D789=""),"",IF(D789=1,C789,ROUND(C789*(1+D789/30),1)))</f>
        <v/>
      </c>
      <c r="F789" s="7" t="n"/>
    </row>
    <row r="790">
      <c r="A790" s="12" t="n"/>
      <c r="B790" s="7" t="n"/>
      <c r="C790" s="7" t="n"/>
      <c r="D790" s="7" t="n"/>
      <c r="E790" s="6">
        <f>IF(OR(C790="",D790=""),"",IF(D790=1,C790,ROUND(C790*(1+D790/30),1)))</f>
        <v/>
      </c>
      <c r="F790" s="7" t="n"/>
    </row>
    <row r="791">
      <c r="A791" s="12" t="n"/>
      <c r="B791" s="7" t="n"/>
      <c r="C791" s="7" t="n"/>
      <c r="D791" s="7" t="n"/>
      <c r="E791" s="6">
        <f>IF(OR(C791="",D791=""),"",IF(D791=1,C791,ROUND(C791*(1+D791/30),1)))</f>
        <v/>
      </c>
      <c r="F791" s="7" t="n"/>
    </row>
    <row r="792">
      <c r="A792" s="12" t="n"/>
      <c r="B792" s="7" t="n"/>
      <c r="C792" s="7" t="n"/>
      <c r="D792" s="7" t="n"/>
      <c r="E792" s="6">
        <f>IF(OR(C792="",D792=""),"",IF(D792=1,C792,ROUND(C792*(1+D792/30),1)))</f>
        <v/>
      </c>
      <c r="F792" s="7" t="n"/>
    </row>
    <row r="793">
      <c r="A793" s="12" t="n"/>
      <c r="B793" s="7" t="n"/>
      <c r="C793" s="7" t="n"/>
      <c r="D793" s="7" t="n"/>
      <c r="E793" s="6">
        <f>IF(OR(C793="",D793=""),"",IF(D793=1,C793,ROUND(C793*(1+D793/30),1)))</f>
        <v/>
      </c>
      <c r="F793" s="7" t="n"/>
    </row>
    <row r="794">
      <c r="A794" s="12" t="n"/>
      <c r="B794" s="7" t="n"/>
      <c r="C794" s="7" t="n"/>
      <c r="D794" s="7" t="n"/>
      <c r="E794" s="6">
        <f>IF(OR(C794="",D794=""),"",IF(D794=1,C794,ROUND(C794*(1+D794/30),1)))</f>
        <v/>
      </c>
      <c r="F794" s="7" t="n"/>
    </row>
    <row r="795">
      <c r="A795" s="12" t="n"/>
      <c r="B795" s="7" t="n"/>
      <c r="C795" s="7" t="n"/>
      <c r="D795" s="7" t="n"/>
      <c r="E795" s="6">
        <f>IF(OR(C795="",D795=""),"",IF(D795=1,C795,ROUND(C795*(1+D795/30),1)))</f>
        <v/>
      </c>
      <c r="F795" s="7" t="n"/>
    </row>
    <row r="796">
      <c r="A796" s="12" t="n"/>
      <c r="B796" s="7" t="n"/>
      <c r="C796" s="7" t="n"/>
      <c r="D796" s="7" t="n"/>
      <c r="E796" s="6">
        <f>IF(OR(C796="",D796=""),"",IF(D796=1,C796,ROUND(C796*(1+D796/30),1)))</f>
        <v/>
      </c>
      <c r="F796" s="7" t="n"/>
    </row>
    <row r="797">
      <c r="A797" s="12" t="n"/>
      <c r="B797" s="7" t="n"/>
      <c r="C797" s="7" t="n"/>
      <c r="D797" s="7" t="n"/>
      <c r="E797" s="6">
        <f>IF(OR(C797="",D797=""),"",IF(D797=1,C797,ROUND(C797*(1+D797/30),1)))</f>
        <v/>
      </c>
      <c r="F797" s="7" t="n"/>
    </row>
    <row r="798">
      <c r="A798" s="12" t="n"/>
      <c r="B798" s="7" t="n"/>
      <c r="C798" s="7" t="n"/>
      <c r="D798" s="7" t="n"/>
      <c r="E798" s="6">
        <f>IF(OR(C798="",D798=""),"",IF(D798=1,C798,ROUND(C798*(1+D798/30),1)))</f>
        <v/>
      </c>
      <c r="F798" s="7" t="n"/>
    </row>
    <row r="799">
      <c r="A799" s="12" t="n"/>
      <c r="B799" s="7" t="n"/>
      <c r="C799" s="7" t="n"/>
      <c r="D799" s="7" t="n"/>
      <c r="E799" s="6">
        <f>IF(OR(C799="",D799=""),"",IF(D799=1,C799,ROUND(C799*(1+D799/30),1)))</f>
        <v/>
      </c>
      <c r="F799" s="7" t="n"/>
    </row>
    <row r="800">
      <c r="A800" s="12" t="n"/>
      <c r="B800" s="7" t="n"/>
      <c r="C800" s="7" t="n"/>
      <c r="D800" s="7" t="n"/>
      <c r="E800" s="6">
        <f>IF(OR(C800="",D800=""),"",IF(D800=1,C800,ROUND(C800*(1+D800/30),1)))</f>
        <v/>
      </c>
      <c r="F800" s="7" t="n"/>
    </row>
    <row r="801">
      <c r="A801" s="12" t="n"/>
      <c r="B801" s="7" t="n"/>
      <c r="C801" s="7" t="n"/>
      <c r="D801" s="7" t="n"/>
      <c r="E801" s="6">
        <f>IF(OR(C801="",D801=""),"",IF(D801=1,C801,ROUND(C801*(1+D801/30),1)))</f>
        <v/>
      </c>
      <c r="F801" s="7" t="n"/>
    </row>
    <row r="802">
      <c r="A802" s="12" t="n"/>
      <c r="B802" s="7" t="n"/>
      <c r="C802" s="7" t="n"/>
      <c r="D802" s="7" t="n"/>
      <c r="E802" s="6">
        <f>IF(OR(C802="",D802=""),"",IF(D802=1,C802,ROUND(C802*(1+D802/30),1)))</f>
        <v/>
      </c>
      <c r="F802" s="7" t="n"/>
    </row>
    <row r="803">
      <c r="A803" s="12" t="n"/>
      <c r="B803" s="7" t="n"/>
      <c r="C803" s="7" t="n"/>
      <c r="D803" s="7" t="n"/>
      <c r="E803" s="6">
        <f>IF(OR(C803="",D803=""),"",IF(D803=1,C803,ROUND(C803*(1+D803/30),1)))</f>
        <v/>
      </c>
      <c r="F803" s="7" t="n"/>
    </row>
    <row r="804">
      <c r="A804" s="12" t="n"/>
      <c r="B804" s="7" t="n"/>
      <c r="C804" s="7" t="n"/>
      <c r="D804" s="7" t="n"/>
      <c r="E804" s="6">
        <f>IF(OR(C804="",D804=""),"",IF(D804=1,C804,ROUND(C804*(1+D804/30),1)))</f>
        <v/>
      </c>
      <c r="F804" s="7" t="n"/>
    </row>
    <row r="805">
      <c r="A805" s="12" t="n"/>
      <c r="B805" s="7" t="n"/>
      <c r="C805" s="7" t="n"/>
      <c r="D805" s="7" t="n"/>
      <c r="E805" s="6">
        <f>IF(OR(C805="",D805=""),"",IF(D805=1,C805,ROUND(C805*(1+D805/30),1)))</f>
        <v/>
      </c>
      <c r="F805" s="7" t="n"/>
    </row>
    <row r="806">
      <c r="A806" s="12" t="n"/>
      <c r="B806" s="7" t="n"/>
      <c r="C806" s="7" t="n"/>
      <c r="D806" s="7" t="n"/>
      <c r="E806" s="6">
        <f>IF(OR(C806="",D806=""),"",IF(D806=1,C806,ROUND(C806*(1+D806/30),1)))</f>
        <v/>
      </c>
      <c r="F806" s="7" t="n"/>
    </row>
    <row r="807">
      <c r="A807" s="12" t="n"/>
      <c r="B807" s="7" t="n"/>
      <c r="C807" s="7" t="n"/>
      <c r="D807" s="7" t="n"/>
      <c r="E807" s="6">
        <f>IF(OR(C807="",D807=""),"",IF(D807=1,C807,ROUND(C807*(1+D807/30),1)))</f>
        <v/>
      </c>
      <c r="F807" s="7" t="n"/>
    </row>
    <row r="808">
      <c r="A808" s="12" t="n"/>
      <c r="B808" s="7" t="n"/>
      <c r="C808" s="7" t="n"/>
      <c r="D808" s="7" t="n"/>
      <c r="E808" s="6">
        <f>IF(OR(C808="",D808=""),"",IF(D808=1,C808,ROUND(C808*(1+D808/30),1)))</f>
        <v/>
      </c>
      <c r="F808" s="7" t="n"/>
    </row>
    <row r="809">
      <c r="A809" s="12" t="n"/>
      <c r="B809" s="7" t="n"/>
      <c r="C809" s="7" t="n"/>
      <c r="D809" s="7" t="n"/>
      <c r="E809" s="6">
        <f>IF(OR(C809="",D809=""),"",IF(D809=1,C809,ROUND(C809*(1+D809/30),1)))</f>
        <v/>
      </c>
      <c r="F809" s="7" t="n"/>
    </row>
    <row r="810">
      <c r="A810" s="12" t="n"/>
      <c r="B810" s="7" t="n"/>
      <c r="C810" s="7" t="n"/>
      <c r="D810" s="7" t="n"/>
      <c r="E810" s="6">
        <f>IF(OR(C810="",D810=""),"",IF(D810=1,C810,ROUND(C810*(1+D810/30),1)))</f>
        <v/>
      </c>
      <c r="F810" s="7" t="n"/>
    </row>
    <row r="811">
      <c r="A811" s="12" t="n"/>
      <c r="B811" s="7" t="n"/>
      <c r="C811" s="7" t="n"/>
      <c r="D811" s="7" t="n"/>
      <c r="E811" s="6">
        <f>IF(OR(C811="",D811=""),"",IF(D811=1,C811,ROUND(C811*(1+D811/30),1)))</f>
        <v/>
      </c>
      <c r="F811" s="7" t="n"/>
    </row>
    <row r="812">
      <c r="A812" s="12" t="n"/>
      <c r="B812" s="7" t="n"/>
      <c r="C812" s="7" t="n"/>
      <c r="D812" s="7" t="n"/>
      <c r="E812" s="6">
        <f>IF(OR(C812="",D812=""),"",IF(D812=1,C812,ROUND(C812*(1+D812/30),1)))</f>
        <v/>
      </c>
      <c r="F812" s="7" t="n"/>
    </row>
    <row r="813">
      <c r="A813" s="12" t="n"/>
      <c r="B813" s="7" t="n"/>
      <c r="C813" s="7" t="n"/>
      <c r="D813" s="7" t="n"/>
      <c r="E813" s="6">
        <f>IF(OR(C813="",D813=""),"",IF(D813=1,C813,ROUND(C813*(1+D813/30),1)))</f>
        <v/>
      </c>
      <c r="F813" s="7" t="n"/>
    </row>
    <row r="814">
      <c r="A814" s="12" t="n"/>
      <c r="B814" s="7" t="n"/>
      <c r="C814" s="7" t="n"/>
      <c r="D814" s="7" t="n"/>
      <c r="E814" s="6">
        <f>IF(OR(C814="",D814=""),"",IF(D814=1,C814,ROUND(C814*(1+D814/30),1)))</f>
        <v/>
      </c>
      <c r="F814" s="7" t="n"/>
    </row>
    <row r="815">
      <c r="A815" s="12" t="n"/>
      <c r="B815" s="7" t="n"/>
      <c r="C815" s="7" t="n"/>
      <c r="D815" s="7" t="n"/>
      <c r="E815" s="6">
        <f>IF(OR(C815="",D815=""),"",IF(D815=1,C815,ROUND(C815*(1+D815/30),1)))</f>
        <v/>
      </c>
      <c r="F815" s="7" t="n"/>
    </row>
    <row r="816">
      <c r="A816" s="12" t="n"/>
      <c r="B816" s="7" t="n"/>
      <c r="C816" s="7" t="n"/>
      <c r="D816" s="7" t="n"/>
      <c r="E816" s="6">
        <f>IF(OR(C816="",D816=""),"",IF(D816=1,C816,ROUND(C816*(1+D816/30),1)))</f>
        <v/>
      </c>
      <c r="F816" s="7" t="n"/>
    </row>
    <row r="817">
      <c r="A817" s="12" t="n"/>
      <c r="B817" s="7" t="n"/>
      <c r="C817" s="7" t="n"/>
      <c r="D817" s="7" t="n"/>
      <c r="E817" s="6">
        <f>IF(OR(C817="",D817=""),"",IF(D817=1,C817,ROUND(C817*(1+D817/30),1)))</f>
        <v/>
      </c>
      <c r="F817" s="7" t="n"/>
    </row>
    <row r="818">
      <c r="A818" s="12" t="n"/>
      <c r="B818" s="7" t="n"/>
      <c r="C818" s="7" t="n"/>
      <c r="D818" s="7" t="n"/>
      <c r="E818" s="6">
        <f>IF(OR(C818="",D818=""),"",IF(D818=1,C818,ROUND(C818*(1+D818/30),1)))</f>
        <v/>
      </c>
      <c r="F818" s="7" t="n"/>
    </row>
    <row r="819">
      <c r="A819" s="12" t="n"/>
      <c r="B819" s="7" t="n"/>
      <c r="C819" s="7" t="n"/>
      <c r="D819" s="7" t="n"/>
      <c r="E819" s="6">
        <f>IF(OR(C819="",D819=""),"",IF(D819=1,C819,ROUND(C819*(1+D819/30),1)))</f>
        <v/>
      </c>
      <c r="F819" s="7" t="n"/>
    </row>
    <row r="820">
      <c r="A820" s="12" t="n"/>
      <c r="B820" s="7" t="n"/>
      <c r="C820" s="7" t="n"/>
      <c r="D820" s="7" t="n"/>
      <c r="E820" s="6">
        <f>IF(OR(C820="",D820=""),"",IF(D820=1,C820,ROUND(C820*(1+D820/30),1)))</f>
        <v/>
      </c>
      <c r="F820" s="7" t="n"/>
    </row>
    <row r="821">
      <c r="A821" s="12" t="n"/>
      <c r="B821" s="7" t="n"/>
      <c r="C821" s="7" t="n"/>
      <c r="D821" s="7" t="n"/>
      <c r="E821" s="6">
        <f>IF(OR(C821="",D821=""),"",IF(D821=1,C821,ROUND(C821*(1+D821/30),1)))</f>
        <v/>
      </c>
      <c r="F821" s="7" t="n"/>
    </row>
    <row r="822">
      <c r="A822" s="12" t="n"/>
      <c r="B822" s="7" t="n"/>
      <c r="C822" s="7" t="n"/>
      <c r="D822" s="7" t="n"/>
      <c r="E822" s="6">
        <f>IF(OR(C822="",D822=""),"",IF(D822=1,C822,ROUND(C822*(1+D822/30),1)))</f>
        <v/>
      </c>
      <c r="F822" s="7" t="n"/>
    </row>
    <row r="823">
      <c r="A823" s="12" t="n"/>
      <c r="B823" s="7" t="n"/>
      <c r="C823" s="7" t="n"/>
      <c r="D823" s="7" t="n"/>
      <c r="E823" s="6">
        <f>IF(OR(C823="",D823=""),"",IF(D823=1,C823,ROUND(C823*(1+D823/30),1)))</f>
        <v/>
      </c>
      <c r="F823" s="7" t="n"/>
    </row>
    <row r="824">
      <c r="A824" s="12" t="n"/>
      <c r="B824" s="7" t="n"/>
      <c r="C824" s="7" t="n"/>
      <c r="D824" s="7" t="n"/>
      <c r="E824" s="6">
        <f>IF(OR(C824="",D824=""),"",IF(D824=1,C824,ROUND(C824*(1+D824/30),1)))</f>
        <v/>
      </c>
      <c r="F824" s="7" t="n"/>
    </row>
    <row r="825">
      <c r="A825" s="12" t="n"/>
      <c r="B825" s="7" t="n"/>
      <c r="C825" s="7" t="n"/>
      <c r="D825" s="7" t="n"/>
      <c r="E825" s="6">
        <f>IF(OR(C825="",D825=""),"",IF(D825=1,C825,ROUND(C825*(1+D825/30),1)))</f>
        <v/>
      </c>
      <c r="F825" s="7" t="n"/>
    </row>
    <row r="826">
      <c r="A826" s="12" t="n"/>
      <c r="B826" s="7" t="n"/>
      <c r="C826" s="7" t="n"/>
      <c r="D826" s="7" t="n"/>
      <c r="E826" s="6">
        <f>IF(OR(C826="",D826=""),"",IF(D826=1,C826,ROUND(C826*(1+D826/30),1)))</f>
        <v/>
      </c>
      <c r="F826" s="7" t="n"/>
    </row>
    <row r="827">
      <c r="A827" s="12" t="n"/>
      <c r="B827" s="7" t="n"/>
      <c r="C827" s="7" t="n"/>
      <c r="D827" s="7" t="n"/>
      <c r="E827" s="6">
        <f>IF(OR(C827="",D827=""),"",IF(D827=1,C827,ROUND(C827*(1+D827/30),1)))</f>
        <v/>
      </c>
      <c r="F827" s="7" t="n"/>
    </row>
    <row r="828">
      <c r="A828" s="12" t="n"/>
      <c r="B828" s="7" t="n"/>
      <c r="C828" s="7" t="n"/>
      <c r="D828" s="7" t="n"/>
      <c r="E828" s="6">
        <f>IF(OR(C828="",D828=""),"",IF(D828=1,C828,ROUND(C828*(1+D828/30),1)))</f>
        <v/>
      </c>
      <c r="F828" s="7" t="n"/>
    </row>
    <row r="829">
      <c r="A829" s="12" t="n"/>
      <c r="B829" s="7" t="n"/>
      <c r="C829" s="7" t="n"/>
      <c r="D829" s="7" t="n"/>
      <c r="E829" s="6">
        <f>IF(OR(C829="",D829=""),"",IF(D829=1,C829,ROUND(C829*(1+D829/30),1)))</f>
        <v/>
      </c>
      <c r="F829" s="7" t="n"/>
    </row>
    <row r="830">
      <c r="A830" s="12" t="n"/>
      <c r="B830" s="7" t="n"/>
      <c r="C830" s="7" t="n"/>
      <c r="D830" s="7" t="n"/>
      <c r="E830" s="6">
        <f>IF(OR(C830="",D830=""),"",IF(D830=1,C830,ROUND(C830*(1+D830/30),1)))</f>
        <v/>
      </c>
      <c r="F830" s="7" t="n"/>
    </row>
    <row r="831">
      <c r="A831" s="12" t="n"/>
      <c r="B831" s="7" t="n"/>
      <c r="C831" s="7" t="n"/>
      <c r="D831" s="7" t="n"/>
      <c r="E831" s="6">
        <f>IF(OR(C831="",D831=""),"",IF(D831=1,C831,ROUND(C831*(1+D831/30),1)))</f>
        <v/>
      </c>
      <c r="F831" s="7" t="n"/>
    </row>
    <row r="832">
      <c r="A832" s="12" t="n"/>
      <c r="B832" s="7" t="n"/>
      <c r="C832" s="7" t="n"/>
      <c r="D832" s="7" t="n"/>
      <c r="E832" s="6">
        <f>IF(OR(C832="",D832=""),"",IF(D832=1,C832,ROUND(C832*(1+D832/30),1)))</f>
        <v/>
      </c>
      <c r="F832" s="7" t="n"/>
    </row>
    <row r="833">
      <c r="A833" s="12" t="n"/>
      <c r="B833" s="7" t="n"/>
      <c r="C833" s="7" t="n"/>
      <c r="D833" s="7" t="n"/>
      <c r="E833" s="6">
        <f>IF(OR(C833="",D833=""),"",IF(D833=1,C833,ROUND(C833*(1+D833/30),1)))</f>
        <v/>
      </c>
      <c r="F833" s="7" t="n"/>
    </row>
    <row r="834">
      <c r="A834" s="12" t="n"/>
      <c r="B834" s="7" t="n"/>
      <c r="C834" s="7" t="n"/>
      <c r="D834" s="7" t="n"/>
      <c r="E834" s="6">
        <f>IF(OR(C834="",D834=""),"",IF(D834=1,C834,ROUND(C834*(1+D834/30),1)))</f>
        <v/>
      </c>
      <c r="F834" s="7" t="n"/>
    </row>
    <row r="835">
      <c r="A835" s="12" t="n"/>
      <c r="B835" s="7" t="n"/>
      <c r="C835" s="7" t="n"/>
      <c r="D835" s="7" t="n"/>
      <c r="E835" s="6">
        <f>IF(OR(C835="",D835=""),"",IF(D835=1,C835,ROUND(C835*(1+D835/30),1)))</f>
        <v/>
      </c>
      <c r="F835" s="7" t="n"/>
    </row>
    <row r="836">
      <c r="A836" s="12" t="n"/>
      <c r="B836" s="7" t="n"/>
      <c r="C836" s="7" t="n"/>
      <c r="D836" s="7" t="n"/>
      <c r="E836" s="6">
        <f>IF(OR(C836="",D836=""),"",IF(D836=1,C836,ROUND(C836*(1+D836/30),1)))</f>
        <v/>
      </c>
      <c r="F836" s="7" t="n"/>
    </row>
    <row r="837">
      <c r="A837" s="12" t="n"/>
      <c r="B837" s="7" t="n"/>
      <c r="C837" s="7" t="n"/>
      <c r="D837" s="7" t="n"/>
      <c r="E837" s="6">
        <f>IF(OR(C837="",D837=""),"",IF(D837=1,C837,ROUND(C837*(1+D837/30),1)))</f>
        <v/>
      </c>
      <c r="F837" s="7" t="n"/>
    </row>
    <row r="838">
      <c r="A838" s="12" t="n"/>
      <c r="B838" s="7" t="n"/>
      <c r="C838" s="7" t="n"/>
      <c r="D838" s="7" t="n"/>
      <c r="E838" s="6">
        <f>IF(OR(C838="",D838=""),"",IF(D838=1,C838,ROUND(C838*(1+D838/30),1)))</f>
        <v/>
      </c>
      <c r="F838" s="7" t="n"/>
    </row>
    <row r="839">
      <c r="A839" s="12" t="n"/>
      <c r="B839" s="7" t="n"/>
      <c r="C839" s="7" t="n"/>
      <c r="D839" s="7" t="n"/>
      <c r="E839" s="6">
        <f>IF(OR(C839="",D839=""),"",IF(D839=1,C839,ROUND(C839*(1+D839/30),1)))</f>
        <v/>
      </c>
      <c r="F839" s="7" t="n"/>
    </row>
    <row r="840">
      <c r="A840" s="12" t="n"/>
      <c r="B840" s="7" t="n"/>
      <c r="C840" s="7" t="n"/>
      <c r="D840" s="7" t="n"/>
      <c r="E840" s="6">
        <f>IF(OR(C840="",D840=""),"",IF(D840=1,C840,ROUND(C840*(1+D840/30),1)))</f>
        <v/>
      </c>
      <c r="F840" s="7" t="n"/>
    </row>
    <row r="841">
      <c r="A841" s="12" t="n"/>
      <c r="B841" s="7" t="n"/>
      <c r="C841" s="7" t="n"/>
      <c r="D841" s="7" t="n"/>
      <c r="E841" s="6">
        <f>IF(OR(C841="",D841=""),"",IF(D841=1,C841,ROUND(C841*(1+D841/30),1)))</f>
        <v/>
      </c>
      <c r="F841" s="7" t="n"/>
    </row>
    <row r="842">
      <c r="A842" s="12" t="n"/>
      <c r="B842" s="7" t="n"/>
      <c r="C842" s="7" t="n"/>
      <c r="D842" s="7" t="n"/>
      <c r="E842" s="6">
        <f>IF(OR(C842="",D842=""),"",IF(D842=1,C842,ROUND(C842*(1+D842/30),1)))</f>
        <v/>
      </c>
      <c r="F842" s="7" t="n"/>
    </row>
    <row r="843">
      <c r="A843" s="12" t="n"/>
      <c r="B843" s="7" t="n"/>
      <c r="C843" s="7" t="n"/>
      <c r="D843" s="7" t="n"/>
      <c r="E843" s="6">
        <f>IF(OR(C843="",D843=""),"",IF(D843=1,C843,ROUND(C843*(1+D843/30),1)))</f>
        <v/>
      </c>
      <c r="F843" s="7" t="n"/>
    </row>
    <row r="844">
      <c r="A844" s="12" t="n"/>
      <c r="B844" s="7" t="n"/>
      <c r="C844" s="7" t="n"/>
      <c r="D844" s="7" t="n"/>
      <c r="E844" s="6">
        <f>IF(OR(C844="",D844=""),"",IF(D844=1,C844,ROUND(C844*(1+D844/30),1)))</f>
        <v/>
      </c>
      <c r="F844" s="7" t="n"/>
    </row>
    <row r="845">
      <c r="A845" s="12" t="n"/>
      <c r="B845" s="7" t="n"/>
      <c r="C845" s="7" t="n"/>
      <c r="D845" s="7" t="n"/>
      <c r="E845" s="6">
        <f>IF(OR(C845="",D845=""),"",IF(D845=1,C845,ROUND(C845*(1+D845/30),1)))</f>
        <v/>
      </c>
      <c r="F845" s="7" t="n"/>
    </row>
    <row r="846">
      <c r="A846" s="12" t="n"/>
      <c r="B846" s="7" t="n"/>
      <c r="C846" s="7" t="n"/>
      <c r="D846" s="7" t="n"/>
      <c r="E846" s="6">
        <f>IF(OR(C846="",D846=""),"",IF(D846=1,C846,ROUND(C846*(1+D846/30),1)))</f>
        <v/>
      </c>
      <c r="F846" s="7" t="n"/>
    </row>
    <row r="847">
      <c r="A847" s="12" t="n"/>
      <c r="B847" s="7" t="n"/>
      <c r="C847" s="7" t="n"/>
      <c r="D847" s="7" t="n"/>
      <c r="E847" s="6">
        <f>IF(OR(C847="",D847=""),"",IF(D847=1,C847,ROUND(C847*(1+D847/30),1)))</f>
        <v/>
      </c>
      <c r="F847" s="7" t="n"/>
    </row>
    <row r="848">
      <c r="A848" s="12" t="n"/>
      <c r="B848" s="7" t="n"/>
      <c r="C848" s="7" t="n"/>
      <c r="D848" s="7" t="n"/>
      <c r="E848" s="6">
        <f>IF(OR(C848="",D848=""),"",IF(D848=1,C848,ROUND(C848*(1+D848/30),1)))</f>
        <v/>
      </c>
      <c r="F848" s="7" t="n"/>
    </row>
    <row r="849">
      <c r="A849" s="12" t="n"/>
      <c r="B849" s="7" t="n"/>
      <c r="C849" s="7" t="n"/>
      <c r="D849" s="7" t="n"/>
      <c r="E849" s="6">
        <f>IF(OR(C849="",D849=""),"",IF(D849=1,C849,ROUND(C849*(1+D849/30),1)))</f>
        <v/>
      </c>
      <c r="F849" s="7" t="n"/>
    </row>
    <row r="850">
      <c r="A850" s="12" t="n"/>
      <c r="B850" s="7" t="n"/>
      <c r="C850" s="7" t="n"/>
      <c r="D850" s="7" t="n"/>
      <c r="E850" s="6">
        <f>IF(OR(C850="",D850=""),"",IF(D850=1,C850,ROUND(C850*(1+D850/30),1)))</f>
        <v/>
      </c>
      <c r="F850" s="7" t="n"/>
    </row>
    <row r="851">
      <c r="A851" s="12" t="n"/>
      <c r="B851" s="7" t="n"/>
      <c r="C851" s="7" t="n"/>
      <c r="D851" s="7" t="n"/>
      <c r="E851" s="6">
        <f>IF(OR(C851="",D851=""),"",IF(D851=1,C851,ROUND(C851*(1+D851/30),1)))</f>
        <v/>
      </c>
      <c r="F851" s="7" t="n"/>
    </row>
    <row r="852">
      <c r="A852" s="12" t="n"/>
      <c r="B852" s="7" t="n"/>
      <c r="C852" s="7" t="n"/>
      <c r="D852" s="7" t="n"/>
      <c r="E852" s="6">
        <f>IF(OR(C852="",D852=""),"",IF(D852=1,C852,ROUND(C852*(1+D852/30),1)))</f>
        <v/>
      </c>
      <c r="F852" s="7" t="n"/>
    </row>
    <row r="853">
      <c r="A853" s="12" t="n"/>
      <c r="B853" s="7" t="n"/>
      <c r="C853" s="7" t="n"/>
      <c r="D853" s="7" t="n"/>
      <c r="E853" s="6">
        <f>IF(OR(C853="",D853=""),"",IF(D853=1,C853,ROUND(C853*(1+D853/30),1)))</f>
        <v/>
      </c>
      <c r="F853" s="7" t="n"/>
    </row>
    <row r="854">
      <c r="A854" s="12" t="n"/>
      <c r="B854" s="7" t="n"/>
      <c r="C854" s="7" t="n"/>
      <c r="D854" s="7" t="n"/>
      <c r="E854" s="6">
        <f>IF(OR(C854="",D854=""),"",IF(D854=1,C854,ROUND(C854*(1+D854/30),1)))</f>
        <v/>
      </c>
      <c r="F854" s="7" t="n"/>
    </row>
    <row r="855">
      <c r="A855" s="12" t="n"/>
      <c r="B855" s="7" t="n"/>
      <c r="C855" s="7" t="n"/>
      <c r="D855" s="7" t="n"/>
      <c r="E855" s="6">
        <f>IF(OR(C855="",D855=""),"",IF(D855=1,C855,ROUND(C855*(1+D855/30),1)))</f>
        <v/>
      </c>
      <c r="F855" s="7" t="n"/>
    </row>
    <row r="856">
      <c r="A856" s="12" t="n"/>
      <c r="B856" s="7" t="n"/>
      <c r="C856" s="7" t="n"/>
      <c r="D856" s="7" t="n"/>
      <c r="E856" s="6">
        <f>IF(OR(C856="",D856=""),"",IF(D856=1,C856,ROUND(C856*(1+D856/30),1)))</f>
        <v/>
      </c>
      <c r="F856" s="7" t="n"/>
    </row>
    <row r="857">
      <c r="A857" s="12" t="n"/>
      <c r="B857" s="7" t="n"/>
      <c r="C857" s="7" t="n"/>
      <c r="D857" s="7" t="n"/>
      <c r="E857" s="6">
        <f>IF(OR(C857="",D857=""),"",IF(D857=1,C857,ROUND(C857*(1+D857/30),1)))</f>
        <v/>
      </c>
      <c r="F857" s="7" t="n"/>
    </row>
    <row r="858">
      <c r="A858" s="12" t="n"/>
      <c r="B858" s="7" t="n"/>
      <c r="C858" s="7" t="n"/>
      <c r="D858" s="7" t="n"/>
      <c r="E858" s="6">
        <f>IF(OR(C858="",D858=""),"",IF(D858=1,C858,ROUND(C858*(1+D858/30),1)))</f>
        <v/>
      </c>
      <c r="F858" s="7" t="n"/>
    </row>
    <row r="859">
      <c r="A859" s="12" t="n"/>
      <c r="B859" s="7" t="n"/>
      <c r="C859" s="7" t="n"/>
      <c r="D859" s="7" t="n"/>
      <c r="E859" s="6">
        <f>IF(OR(C859="",D859=""),"",IF(D859=1,C859,ROUND(C859*(1+D859/30),1)))</f>
        <v/>
      </c>
      <c r="F859" s="7" t="n"/>
    </row>
    <row r="860">
      <c r="A860" s="12" t="n"/>
      <c r="B860" s="7" t="n"/>
      <c r="C860" s="7" t="n"/>
      <c r="D860" s="7" t="n"/>
      <c r="E860" s="6">
        <f>IF(OR(C860="",D860=""),"",IF(D860=1,C860,ROUND(C860*(1+D860/30),1)))</f>
        <v/>
      </c>
      <c r="F860" s="7" t="n"/>
    </row>
    <row r="861">
      <c r="A861" s="12" t="n"/>
      <c r="B861" s="7" t="n"/>
      <c r="C861" s="7" t="n"/>
      <c r="D861" s="7" t="n"/>
      <c r="E861" s="6">
        <f>IF(OR(C861="",D861=""),"",IF(D861=1,C861,ROUND(C861*(1+D861/30),1)))</f>
        <v/>
      </c>
      <c r="F861" s="7" t="n"/>
    </row>
    <row r="862">
      <c r="A862" s="12" t="n"/>
      <c r="B862" s="7" t="n"/>
      <c r="C862" s="7" t="n"/>
      <c r="D862" s="7" t="n"/>
      <c r="E862" s="6">
        <f>IF(OR(C862="",D862=""),"",IF(D862=1,C862,ROUND(C862*(1+D862/30),1)))</f>
        <v/>
      </c>
      <c r="F862" s="7" t="n"/>
    </row>
    <row r="863">
      <c r="A863" s="12" t="n"/>
      <c r="B863" s="7" t="n"/>
      <c r="C863" s="7" t="n"/>
      <c r="D863" s="7" t="n"/>
      <c r="E863" s="6">
        <f>IF(OR(C863="",D863=""),"",IF(D863=1,C863,ROUND(C863*(1+D863/30),1)))</f>
        <v/>
      </c>
      <c r="F863" s="7" t="n"/>
    </row>
    <row r="864">
      <c r="A864" s="12" t="n"/>
      <c r="B864" s="7" t="n"/>
      <c r="C864" s="7" t="n"/>
      <c r="D864" s="7" t="n"/>
      <c r="E864" s="6">
        <f>IF(OR(C864="",D864=""),"",IF(D864=1,C864,ROUND(C864*(1+D864/30),1)))</f>
        <v/>
      </c>
      <c r="F864" s="7" t="n"/>
    </row>
    <row r="865">
      <c r="A865" s="12" t="n"/>
      <c r="B865" s="7" t="n"/>
      <c r="C865" s="7" t="n"/>
      <c r="D865" s="7" t="n"/>
      <c r="E865" s="6">
        <f>IF(OR(C865="",D865=""),"",IF(D865=1,C865,ROUND(C865*(1+D865/30),1)))</f>
        <v/>
      </c>
      <c r="F865" s="7" t="n"/>
    </row>
    <row r="866">
      <c r="A866" s="12" t="n"/>
      <c r="B866" s="7" t="n"/>
      <c r="C866" s="7" t="n"/>
      <c r="D866" s="7" t="n"/>
      <c r="E866" s="6">
        <f>IF(OR(C866="",D866=""),"",IF(D866=1,C866,ROUND(C866*(1+D866/30),1)))</f>
        <v/>
      </c>
      <c r="F866" s="7" t="n"/>
    </row>
    <row r="867">
      <c r="A867" s="12" t="n"/>
      <c r="B867" s="7" t="n"/>
      <c r="C867" s="7" t="n"/>
      <c r="D867" s="7" t="n"/>
      <c r="E867" s="6">
        <f>IF(OR(C867="",D867=""),"",IF(D867=1,C867,ROUND(C867*(1+D867/30),1)))</f>
        <v/>
      </c>
      <c r="F867" s="7" t="n"/>
    </row>
    <row r="868">
      <c r="A868" s="12" t="n"/>
      <c r="B868" s="7" t="n"/>
      <c r="C868" s="7" t="n"/>
      <c r="D868" s="7" t="n"/>
      <c r="E868" s="6">
        <f>IF(OR(C868="",D868=""),"",IF(D868=1,C868,ROUND(C868*(1+D868/30),1)))</f>
        <v/>
      </c>
      <c r="F868" s="7" t="n"/>
    </row>
    <row r="869">
      <c r="A869" s="12" t="n"/>
      <c r="B869" s="7" t="n"/>
      <c r="C869" s="7" t="n"/>
      <c r="D869" s="7" t="n"/>
      <c r="E869" s="6">
        <f>IF(OR(C869="",D869=""),"",IF(D869=1,C869,ROUND(C869*(1+D869/30),1)))</f>
        <v/>
      </c>
      <c r="F869" s="7" t="n"/>
    </row>
    <row r="870">
      <c r="A870" s="12" t="n"/>
      <c r="B870" s="7" t="n"/>
      <c r="C870" s="7" t="n"/>
      <c r="D870" s="7" t="n"/>
      <c r="E870" s="6">
        <f>IF(OR(C870="",D870=""),"",IF(D870=1,C870,ROUND(C870*(1+D870/30),1)))</f>
        <v/>
      </c>
      <c r="F870" s="7" t="n"/>
    </row>
    <row r="871">
      <c r="A871" s="12" t="n"/>
      <c r="B871" s="7" t="n"/>
      <c r="C871" s="7" t="n"/>
      <c r="D871" s="7" t="n"/>
      <c r="E871" s="6">
        <f>IF(OR(C871="",D871=""),"",IF(D871=1,C871,ROUND(C871*(1+D871/30),1)))</f>
        <v/>
      </c>
      <c r="F871" s="7" t="n"/>
    </row>
    <row r="872">
      <c r="A872" s="12" t="n"/>
      <c r="B872" s="7" t="n"/>
      <c r="C872" s="7" t="n"/>
      <c r="D872" s="7" t="n"/>
      <c r="E872" s="6">
        <f>IF(OR(C872="",D872=""),"",IF(D872=1,C872,ROUND(C872*(1+D872/30),1)))</f>
        <v/>
      </c>
      <c r="F872" s="7" t="n"/>
    </row>
    <row r="873">
      <c r="A873" s="12" t="n"/>
      <c r="B873" s="7" t="n"/>
      <c r="C873" s="7" t="n"/>
      <c r="D873" s="7" t="n"/>
      <c r="E873" s="6">
        <f>IF(OR(C873="",D873=""),"",IF(D873=1,C873,ROUND(C873*(1+D873/30),1)))</f>
        <v/>
      </c>
      <c r="F873" s="7" t="n"/>
    </row>
    <row r="874">
      <c r="A874" s="12" t="n"/>
      <c r="B874" s="7" t="n"/>
      <c r="C874" s="7" t="n"/>
      <c r="D874" s="7" t="n"/>
      <c r="E874" s="6">
        <f>IF(OR(C874="",D874=""),"",IF(D874=1,C874,ROUND(C874*(1+D874/30),1)))</f>
        <v/>
      </c>
      <c r="F874" s="7" t="n"/>
    </row>
    <row r="875">
      <c r="A875" s="12" t="n"/>
      <c r="B875" s="7" t="n"/>
      <c r="C875" s="7" t="n"/>
      <c r="D875" s="7" t="n"/>
      <c r="E875" s="6">
        <f>IF(OR(C875="",D875=""),"",IF(D875=1,C875,ROUND(C875*(1+D875/30),1)))</f>
        <v/>
      </c>
      <c r="F875" s="7" t="n"/>
    </row>
    <row r="876">
      <c r="A876" s="12" t="n"/>
      <c r="B876" s="7" t="n"/>
      <c r="C876" s="7" t="n"/>
      <c r="D876" s="7" t="n"/>
      <c r="E876" s="6">
        <f>IF(OR(C876="",D876=""),"",IF(D876=1,C876,ROUND(C876*(1+D876/30),1)))</f>
        <v/>
      </c>
      <c r="F876" s="7" t="n"/>
    </row>
    <row r="877">
      <c r="A877" s="12" t="n"/>
      <c r="B877" s="7" t="n"/>
      <c r="C877" s="7" t="n"/>
      <c r="D877" s="7" t="n"/>
      <c r="E877" s="6">
        <f>IF(OR(C877="",D877=""),"",IF(D877=1,C877,ROUND(C877*(1+D877/30),1)))</f>
        <v/>
      </c>
      <c r="F877" s="7" t="n"/>
    </row>
    <row r="878">
      <c r="A878" s="12" t="n"/>
      <c r="B878" s="7" t="n"/>
      <c r="C878" s="7" t="n"/>
      <c r="D878" s="7" t="n"/>
      <c r="E878" s="6">
        <f>IF(OR(C878="",D878=""),"",IF(D878=1,C878,ROUND(C878*(1+D878/30),1)))</f>
        <v/>
      </c>
      <c r="F878" s="7" t="n"/>
    </row>
    <row r="879">
      <c r="A879" s="12" t="n"/>
      <c r="B879" s="7" t="n"/>
      <c r="C879" s="7" t="n"/>
      <c r="D879" s="7" t="n"/>
      <c r="E879" s="6">
        <f>IF(OR(C879="",D879=""),"",IF(D879=1,C879,ROUND(C879*(1+D879/30),1)))</f>
        <v/>
      </c>
      <c r="F879" s="7" t="n"/>
    </row>
    <row r="880">
      <c r="A880" s="12" t="n"/>
      <c r="B880" s="7" t="n"/>
      <c r="C880" s="7" t="n"/>
      <c r="D880" s="7" t="n"/>
      <c r="E880" s="6">
        <f>IF(OR(C880="",D880=""),"",IF(D880=1,C880,ROUND(C880*(1+D880/30),1)))</f>
        <v/>
      </c>
      <c r="F880" s="7" t="n"/>
    </row>
    <row r="881">
      <c r="A881" s="12" t="n"/>
      <c r="B881" s="7" t="n"/>
      <c r="C881" s="7" t="n"/>
      <c r="D881" s="7" t="n"/>
      <c r="E881" s="6">
        <f>IF(OR(C881="",D881=""),"",IF(D881=1,C881,ROUND(C881*(1+D881/30),1)))</f>
        <v/>
      </c>
      <c r="F881" s="7" t="n"/>
    </row>
    <row r="882">
      <c r="A882" s="12" t="n"/>
      <c r="B882" s="7" t="n"/>
      <c r="C882" s="7" t="n"/>
      <c r="D882" s="7" t="n"/>
      <c r="E882" s="6">
        <f>IF(OR(C882="",D882=""),"",IF(D882=1,C882,ROUND(C882*(1+D882/30),1)))</f>
        <v/>
      </c>
      <c r="F882" s="7" t="n"/>
    </row>
    <row r="883">
      <c r="A883" s="12" t="n"/>
      <c r="B883" s="7" t="n"/>
      <c r="C883" s="7" t="n"/>
      <c r="D883" s="7" t="n"/>
      <c r="E883" s="6">
        <f>IF(OR(C883="",D883=""),"",IF(D883=1,C883,ROUND(C883*(1+D883/30),1)))</f>
        <v/>
      </c>
      <c r="F883" s="7" t="n"/>
    </row>
    <row r="884">
      <c r="A884" s="12" t="n"/>
      <c r="B884" s="7" t="n"/>
      <c r="C884" s="7" t="n"/>
      <c r="D884" s="7" t="n"/>
      <c r="E884" s="6">
        <f>IF(OR(C884="",D884=""),"",IF(D884=1,C884,ROUND(C884*(1+D884/30),1)))</f>
        <v/>
      </c>
      <c r="F884" s="7" t="n"/>
    </row>
    <row r="885">
      <c r="A885" s="12" t="n"/>
      <c r="B885" s="7" t="n"/>
      <c r="C885" s="7" t="n"/>
      <c r="D885" s="7" t="n"/>
      <c r="E885" s="6">
        <f>IF(OR(C885="",D885=""),"",IF(D885=1,C885,ROUND(C885*(1+D885/30),1)))</f>
        <v/>
      </c>
      <c r="F885" s="7" t="n"/>
    </row>
    <row r="886">
      <c r="A886" s="12" t="n"/>
      <c r="B886" s="7" t="n"/>
      <c r="C886" s="7" t="n"/>
      <c r="D886" s="7" t="n"/>
      <c r="E886" s="6">
        <f>IF(OR(C886="",D886=""),"",IF(D886=1,C886,ROUND(C886*(1+D886/30),1)))</f>
        <v/>
      </c>
      <c r="F886" s="7" t="n"/>
    </row>
    <row r="887">
      <c r="A887" s="12" t="n"/>
      <c r="B887" s="7" t="n"/>
      <c r="C887" s="7" t="n"/>
      <c r="D887" s="7" t="n"/>
      <c r="E887" s="6">
        <f>IF(OR(C887="",D887=""),"",IF(D887=1,C887,ROUND(C887*(1+D887/30),1)))</f>
        <v/>
      </c>
      <c r="F887" s="7" t="n"/>
    </row>
    <row r="888">
      <c r="A888" s="12" t="n"/>
      <c r="B888" s="7" t="n"/>
      <c r="C888" s="7" t="n"/>
      <c r="D888" s="7" t="n"/>
      <c r="E888" s="6">
        <f>IF(OR(C888="",D888=""),"",IF(D888=1,C888,ROUND(C888*(1+D888/30),1)))</f>
        <v/>
      </c>
      <c r="F888" s="7" t="n"/>
    </row>
    <row r="889">
      <c r="A889" s="12" t="n"/>
      <c r="B889" s="7" t="n"/>
      <c r="C889" s="7" t="n"/>
      <c r="D889" s="7" t="n"/>
      <c r="E889" s="6">
        <f>IF(OR(C889="",D889=""),"",IF(D889=1,C889,ROUND(C889*(1+D889/30),1)))</f>
        <v/>
      </c>
      <c r="F889" s="7" t="n"/>
    </row>
    <row r="890">
      <c r="A890" s="12" t="n"/>
      <c r="B890" s="7" t="n"/>
      <c r="C890" s="7" t="n"/>
      <c r="D890" s="7" t="n"/>
      <c r="E890" s="6">
        <f>IF(OR(C890="",D890=""),"",IF(D890=1,C890,ROUND(C890*(1+D890/30),1)))</f>
        <v/>
      </c>
      <c r="F890" s="7" t="n"/>
    </row>
    <row r="891">
      <c r="A891" s="12" t="n"/>
      <c r="B891" s="7" t="n"/>
      <c r="C891" s="7" t="n"/>
      <c r="D891" s="7" t="n"/>
      <c r="E891" s="6">
        <f>IF(OR(C891="",D891=""),"",IF(D891=1,C891,ROUND(C891*(1+D891/30),1)))</f>
        <v/>
      </c>
      <c r="F891" s="7" t="n"/>
    </row>
    <row r="892">
      <c r="A892" s="12" t="n"/>
      <c r="B892" s="7" t="n"/>
      <c r="C892" s="7" t="n"/>
      <c r="D892" s="7" t="n"/>
      <c r="E892" s="6">
        <f>IF(OR(C892="",D892=""),"",IF(D892=1,C892,ROUND(C892*(1+D892/30),1)))</f>
        <v/>
      </c>
      <c r="F892" s="7" t="n"/>
    </row>
    <row r="893">
      <c r="A893" s="12" t="n"/>
      <c r="B893" s="7" t="n"/>
      <c r="C893" s="7" t="n"/>
      <c r="D893" s="7" t="n"/>
      <c r="E893" s="6">
        <f>IF(OR(C893="",D893=""),"",IF(D893=1,C893,ROUND(C893*(1+D893/30),1)))</f>
        <v/>
      </c>
      <c r="F893" s="7" t="n"/>
    </row>
    <row r="894">
      <c r="A894" s="12" t="n"/>
      <c r="B894" s="7" t="n"/>
      <c r="C894" s="7" t="n"/>
      <c r="D894" s="7" t="n"/>
      <c r="E894" s="6">
        <f>IF(OR(C894="",D894=""),"",IF(D894=1,C894,ROUND(C894*(1+D894/30),1)))</f>
        <v/>
      </c>
      <c r="F894" s="7" t="n"/>
    </row>
    <row r="895">
      <c r="A895" s="12" t="n"/>
      <c r="B895" s="7" t="n"/>
      <c r="C895" s="7" t="n"/>
      <c r="D895" s="7" t="n"/>
      <c r="E895" s="6">
        <f>IF(OR(C895="",D895=""),"",IF(D895=1,C895,ROUND(C895*(1+D895/30),1)))</f>
        <v/>
      </c>
      <c r="F895" s="7" t="n"/>
    </row>
    <row r="896">
      <c r="A896" s="12" t="n"/>
      <c r="B896" s="7" t="n"/>
      <c r="C896" s="7" t="n"/>
      <c r="D896" s="7" t="n"/>
      <c r="E896" s="6">
        <f>IF(OR(C896="",D896=""),"",IF(D896=1,C896,ROUND(C896*(1+D896/30),1)))</f>
        <v/>
      </c>
      <c r="F896" s="7" t="n"/>
    </row>
    <row r="897">
      <c r="A897" s="12" t="n"/>
      <c r="B897" s="7" t="n"/>
      <c r="C897" s="7" t="n"/>
      <c r="D897" s="7" t="n"/>
      <c r="E897" s="6">
        <f>IF(OR(C897="",D897=""),"",IF(D897=1,C897,ROUND(C897*(1+D897/30),1)))</f>
        <v/>
      </c>
      <c r="F897" s="7" t="n"/>
    </row>
    <row r="898">
      <c r="A898" s="12" t="n"/>
      <c r="B898" s="7" t="n"/>
      <c r="C898" s="7" t="n"/>
      <c r="D898" s="7" t="n"/>
      <c r="E898" s="6">
        <f>IF(OR(C898="",D898=""),"",IF(D898=1,C898,ROUND(C898*(1+D898/30),1)))</f>
        <v/>
      </c>
      <c r="F898" s="7" t="n"/>
    </row>
    <row r="899">
      <c r="A899" s="12" t="n"/>
      <c r="B899" s="7" t="n"/>
      <c r="C899" s="7" t="n"/>
      <c r="D899" s="7" t="n"/>
      <c r="E899" s="6">
        <f>IF(OR(C899="",D899=""),"",IF(D899=1,C899,ROUND(C899*(1+D899/30),1)))</f>
        <v/>
      </c>
      <c r="F899" s="7" t="n"/>
    </row>
    <row r="900">
      <c r="A900" s="12" t="n"/>
      <c r="B900" s="7" t="n"/>
      <c r="C900" s="7" t="n"/>
      <c r="D900" s="7" t="n"/>
      <c r="E900" s="6">
        <f>IF(OR(C900="",D900=""),"",IF(D900=1,C900,ROUND(C900*(1+D900/30),1)))</f>
        <v/>
      </c>
      <c r="F900" s="7" t="n"/>
    </row>
    <row r="901">
      <c r="A901" s="12" t="n"/>
      <c r="B901" s="7" t="n"/>
      <c r="C901" s="7" t="n"/>
      <c r="D901" s="7" t="n"/>
      <c r="E901" s="6">
        <f>IF(OR(C901="",D901=""),"",IF(D901=1,C901,ROUND(C901*(1+D901/30),1)))</f>
        <v/>
      </c>
      <c r="F901" s="7" t="n"/>
    </row>
    <row r="902">
      <c r="A902" s="12" t="n"/>
      <c r="B902" s="7" t="n"/>
      <c r="C902" s="7" t="n"/>
      <c r="D902" s="7" t="n"/>
      <c r="E902" s="6">
        <f>IF(OR(C902="",D902=""),"",IF(D902=1,C902,ROUND(C902*(1+D902/30),1)))</f>
        <v/>
      </c>
      <c r="F902" s="7" t="n"/>
    </row>
    <row r="903">
      <c r="A903" s="12" t="n"/>
      <c r="B903" s="7" t="n"/>
      <c r="C903" s="7" t="n"/>
      <c r="D903" s="7" t="n"/>
      <c r="E903" s="6">
        <f>IF(OR(C903="",D903=""),"",IF(D903=1,C903,ROUND(C903*(1+D903/30),1)))</f>
        <v/>
      </c>
      <c r="F903" s="7" t="n"/>
    </row>
    <row r="904">
      <c r="A904" s="12" t="n"/>
      <c r="B904" s="7" t="n"/>
      <c r="C904" s="7" t="n"/>
      <c r="D904" s="7" t="n"/>
      <c r="E904" s="6">
        <f>IF(OR(C904="",D904=""),"",IF(D904=1,C904,ROUND(C904*(1+D904/30),1)))</f>
        <v/>
      </c>
      <c r="F904" s="7" t="n"/>
    </row>
    <row r="905">
      <c r="A905" s="12" t="n"/>
      <c r="B905" s="7" t="n"/>
      <c r="C905" s="7" t="n"/>
      <c r="D905" s="7" t="n"/>
      <c r="E905" s="6">
        <f>IF(OR(C905="",D905=""),"",IF(D905=1,C905,ROUND(C905*(1+D905/30),1)))</f>
        <v/>
      </c>
      <c r="F905" s="7" t="n"/>
    </row>
    <row r="906">
      <c r="A906" s="12" t="n"/>
      <c r="B906" s="7" t="n"/>
      <c r="C906" s="7" t="n"/>
      <c r="D906" s="7" t="n"/>
      <c r="E906" s="6">
        <f>IF(OR(C906="",D906=""),"",IF(D906=1,C906,ROUND(C906*(1+D906/30),1)))</f>
        <v/>
      </c>
      <c r="F906" s="7" t="n"/>
    </row>
    <row r="907">
      <c r="A907" s="12" t="n"/>
      <c r="B907" s="7" t="n"/>
      <c r="C907" s="7" t="n"/>
      <c r="D907" s="7" t="n"/>
      <c r="E907" s="6">
        <f>IF(OR(C907="",D907=""),"",IF(D907=1,C907,ROUND(C907*(1+D907/30),1)))</f>
        <v/>
      </c>
      <c r="F907" s="7" t="n"/>
    </row>
    <row r="908">
      <c r="A908" s="12" t="n"/>
      <c r="B908" s="7" t="n"/>
      <c r="C908" s="7" t="n"/>
      <c r="D908" s="7" t="n"/>
      <c r="E908" s="6">
        <f>IF(OR(C908="",D908=""),"",IF(D908=1,C908,ROUND(C908*(1+D908/30),1)))</f>
        <v/>
      </c>
      <c r="F908" s="7" t="n"/>
    </row>
    <row r="909">
      <c r="A909" s="12" t="n"/>
      <c r="B909" s="7" t="n"/>
      <c r="C909" s="7" t="n"/>
      <c r="D909" s="7" t="n"/>
      <c r="E909" s="6">
        <f>IF(OR(C909="",D909=""),"",IF(D909=1,C909,ROUND(C909*(1+D909/30),1)))</f>
        <v/>
      </c>
      <c r="F909" s="7" t="n"/>
    </row>
    <row r="910">
      <c r="A910" s="12" t="n"/>
      <c r="B910" s="7" t="n"/>
      <c r="C910" s="7" t="n"/>
      <c r="D910" s="7" t="n"/>
      <c r="E910" s="6">
        <f>IF(OR(C910="",D910=""),"",IF(D910=1,C910,ROUND(C910*(1+D910/30),1)))</f>
        <v/>
      </c>
      <c r="F910" s="7" t="n"/>
    </row>
    <row r="911">
      <c r="A911" s="12" t="n"/>
      <c r="B911" s="7" t="n"/>
      <c r="C911" s="7" t="n"/>
      <c r="D911" s="7" t="n"/>
      <c r="E911" s="6">
        <f>IF(OR(C911="",D911=""),"",IF(D911=1,C911,ROUND(C911*(1+D911/30),1)))</f>
        <v/>
      </c>
      <c r="F911" s="7" t="n"/>
    </row>
    <row r="912">
      <c r="A912" s="12" t="n"/>
      <c r="B912" s="7" t="n"/>
      <c r="C912" s="7" t="n"/>
      <c r="D912" s="7" t="n"/>
      <c r="E912" s="6">
        <f>IF(OR(C912="",D912=""),"",IF(D912=1,C912,ROUND(C912*(1+D912/30),1)))</f>
        <v/>
      </c>
      <c r="F912" s="7" t="n"/>
    </row>
    <row r="913">
      <c r="A913" s="12" t="n"/>
      <c r="B913" s="7" t="n"/>
      <c r="C913" s="7" t="n"/>
      <c r="D913" s="7" t="n"/>
      <c r="E913" s="6">
        <f>IF(OR(C913="",D913=""),"",IF(D913=1,C913,ROUND(C913*(1+D913/30),1)))</f>
        <v/>
      </c>
      <c r="F913" s="7" t="n"/>
    </row>
    <row r="914">
      <c r="A914" s="12" t="n"/>
      <c r="B914" s="7" t="n"/>
      <c r="C914" s="7" t="n"/>
      <c r="D914" s="7" t="n"/>
      <c r="E914" s="6">
        <f>IF(OR(C914="",D914=""),"",IF(D914=1,C914,ROUND(C914*(1+D914/30),1)))</f>
        <v/>
      </c>
      <c r="F914" s="7" t="n"/>
    </row>
    <row r="915">
      <c r="A915" s="12" t="n"/>
      <c r="B915" s="7" t="n"/>
      <c r="C915" s="7" t="n"/>
      <c r="D915" s="7" t="n"/>
      <c r="E915" s="6">
        <f>IF(OR(C915="",D915=""),"",IF(D915=1,C915,ROUND(C915*(1+D915/30),1)))</f>
        <v/>
      </c>
      <c r="F915" s="7" t="n"/>
    </row>
    <row r="916">
      <c r="A916" s="12" t="n"/>
      <c r="B916" s="7" t="n"/>
      <c r="C916" s="7" t="n"/>
      <c r="D916" s="7" t="n"/>
      <c r="E916" s="6">
        <f>IF(OR(C916="",D916=""),"",IF(D916=1,C916,ROUND(C916*(1+D916/30),1)))</f>
        <v/>
      </c>
      <c r="F916" s="7" t="n"/>
    </row>
    <row r="917">
      <c r="A917" s="12" t="n"/>
      <c r="B917" s="7" t="n"/>
      <c r="C917" s="7" t="n"/>
      <c r="D917" s="7" t="n"/>
      <c r="E917" s="6">
        <f>IF(OR(C917="",D917=""),"",IF(D917=1,C917,ROUND(C917*(1+D917/30),1)))</f>
        <v/>
      </c>
      <c r="F917" s="7" t="n"/>
    </row>
    <row r="918">
      <c r="A918" s="12" t="n"/>
      <c r="B918" s="7" t="n"/>
      <c r="C918" s="7" t="n"/>
      <c r="D918" s="7" t="n"/>
      <c r="E918" s="6">
        <f>IF(OR(C918="",D918=""),"",IF(D918=1,C918,ROUND(C918*(1+D918/30),1)))</f>
        <v/>
      </c>
      <c r="F918" s="7" t="n"/>
    </row>
    <row r="919">
      <c r="A919" s="12" t="n"/>
      <c r="B919" s="7" t="n"/>
      <c r="C919" s="7" t="n"/>
      <c r="D919" s="7" t="n"/>
      <c r="E919" s="6">
        <f>IF(OR(C919="",D919=""),"",IF(D919=1,C919,ROUND(C919*(1+D919/30),1)))</f>
        <v/>
      </c>
      <c r="F919" s="7" t="n"/>
    </row>
    <row r="920">
      <c r="A920" s="12" t="n"/>
      <c r="B920" s="7" t="n"/>
      <c r="C920" s="7" t="n"/>
      <c r="D920" s="7" t="n"/>
      <c r="E920" s="6">
        <f>IF(OR(C920="",D920=""),"",IF(D920=1,C920,ROUND(C920*(1+D920/30),1)))</f>
        <v/>
      </c>
      <c r="F920" s="7" t="n"/>
    </row>
    <row r="921">
      <c r="A921" s="12" t="n"/>
      <c r="B921" s="7" t="n"/>
      <c r="C921" s="7" t="n"/>
      <c r="D921" s="7" t="n"/>
      <c r="E921" s="6">
        <f>IF(OR(C921="",D921=""),"",IF(D921=1,C921,ROUND(C921*(1+D921/30),1)))</f>
        <v/>
      </c>
      <c r="F921" s="7" t="n"/>
    </row>
    <row r="922">
      <c r="A922" s="12" t="n"/>
      <c r="B922" s="7" t="n"/>
      <c r="C922" s="7" t="n"/>
      <c r="D922" s="7" t="n"/>
      <c r="E922" s="6">
        <f>IF(OR(C922="",D922=""),"",IF(D922=1,C922,ROUND(C922*(1+D922/30),1)))</f>
        <v/>
      </c>
      <c r="F922" s="7" t="n"/>
    </row>
    <row r="923">
      <c r="A923" s="12" t="n"/>
      <c r="B923" s="7" t="n"/>
      <c r="C923" s="7" t="n"/>
      <c r="D923" s="7" t="n"/>
      <c r="E923" s="6">
        <f>IF(OR(C923="",D923=""),"",IF(D923=1,C923,ROUND(C923*(1+D923/30),1)))</f>
        <v/>
      </c>
      <c r="F923" s="7" t="n"/>
    </row>
    <row r="924">
      <c r="A924" s="12" t="n"/>
      <c r="B924" s="7" t="n"/>
      <c r="C924" s="7" t="n"/>
      <c r="D924" s="7" t="n"/>
      <c r="E924" s="6">
        <f>IF(OR(C924="",D924=""),"",IF(D924=1,C924,ROUND(C924*(1+D924/30),1)))</f>
        <v/>
      </c>
      <c r="F924" s="7" t="n"/>
    </row>
    <row r="925">
      <c r="A925" s="12" t="n"/>
      <c r="B925" s="7" t="n"/>
      <c r="C925" s="7" t="n"/>
      <c r="D925" s="7" t="n"/>
      <c r="E925" s="6">
        <f>IF(OR(C925="",D925=""),"",IF(D925=1,C925,ROUND(C925*(1+D925/30),1)))</f>
        <v/>
      </c>
      <c r="F925" s="7" t="n"/>
    </row>
    <row r="926">
      <c r="A926" s="12" t="n"/>
      <c r="B926" s="7" t="n"/>
      <c r="C926" s="7" t="n"/>
      <c r="D926" s="7" t="n"/>
      <c r="E926" s="6">
        <f>IF(OR(C926="",D926=""),"",IF(D926=1,C926,ROUND(C926*(1+D926/30),1)))</f>
        <v/>
      </c>
      <c r="F926" s="7" t="n"/>
    </row>
    <row r="927">
      <c r="A927" s="12" t="n"/>
      <c r="B927" s="7" t="n"/>
      <c r="C927" s="7" t="n"/>
      <c r="D927" s="7" t="n"/>
      <c r="E927" s="6">
        <f>IF(OR(C927="",D927=""),"",IF(D927=1,C927,ROUND(C927*(1+D927/30),1)))</f>
        <v/>
      </c>
      <c r="F927" s="7" t="n"/>
    </row>
    <row r="928">
      <c r="A928" s="12" t="n"/>
      <c r="B928" s="7" t="n"/>
      <c r="C928" s="7" t="n"/>
      <c r="D928" s="7" t="n"/>
      <c r="E928" s="6">
        <f>IF(OR(C928="",D928=""),"",IF(D928=1,C928,ROUND(C928*(1+D928/30),1)))</f>
        <v/>
      </c>
      <c r="F928" s="7" t="n"/>
    </row>
    <row r="929">
      <c r="A929" s="12" t="n"/>
      <c r="B929" s="7" t="n"/>
      <c r="C929" s="7" t="n"/>
      <c r="D929" s="7" t="n"/>
      <c r="E929" s="6">
        <f>IF(OR(C929="",D929=""),"",IF(D929=1,C929,ROUND(C929*(1+D929/30),1)))</f>
        <v/>
      </c>
      <c r="F929" s="7" t="n"/>
    </row>
    <row r="930">
      <c r="A930" s="12" t="n"/>
      <c r="B930" s="7" t="n"/>
      <c r="C930" s="7" t="n"/>
      <c r="D930" s="7" t="n"/>
      <c r="E930" s="6">
        <f>IF(OR(C930="",D930=""),"",IF(D930=1,C930,ROUND(C930*(1+D930/30),1)))</f>
        <v/>
      </c>
      <c r="F930" s="7" t="n"/>
    </row>
    <row r="931">
      <c r="A931" s="12" t="n"/>
      <c r="B931" s="7" t="n"/>
      <c r="C931" s="7" t="n"/>
      <c r="D931" s="7" t="n"/>
      <c r="E931" s="6">
        <f>IF(OR(C931="",D931=""),"",IF(D931=1,C931,ROUND(C931*(1+D931/30),1)))</f>
        <v/>
      </c>
      <c r="F931" s="7" t="n"/>
    </row>
    <row r="932">
      <c r="A932" s="12" t="n"/>
      <c r="B932" s="7" t="n"/>
      <c r="C932" s="7" t="n"/>
      <c r="D932" s="7" t="n"/>
      <c r="E932" s="6">
        <f>IF(OR(C932="",D932=""),"",IF(D932=1,C932,ROUND(C932*(1+D932/30),1)))</f>
        <v/>
      </c>
      <c r="F932" s="7" t="n"/>
    </row>
    <row r="933">
      <c r="A933" s="12" t="n"/>
      <c r="B933" s="7" t="n"/>
      <c r="C933" s="7" t="n"/>
      <c r="D933" s="7" t="n"/>
      <c r="E933" s="6">
        <f>IF(OR(C933="",D933=""),"",IF(D933=1,C933,ROUND(C933*(1+D933/30),1)))</f>
        <v/>
      </c>
      <c r="F933" s="7" t="n"/>
    </row>
    <row r="934">
      <c r="A934" s="12" t="n"/>
      <c r="B934" s="7" t="n"/>
      <c r="C934" s="7" t="n"/>
      <c r="D934" s="7" t="n"/>
      <c r="E934" s="6">
        <f>IF(OR(C934="",D934=""),"",IF(D934=1,C934,ROUND(C934*(1+D934/30),1)))</f>
        <v/>
      </c>
      <c r="F934" s="7" t="n"/>
    </row>
    <row r="935">
      <c r="A935" s="12" t="n"/>
      <c r="B935" s="7" t="n"/>
      <c r="C935" s="7" t="n"/>
      <c r="D935" s="7" t="n"/>
      <c r="E935" s="6">
        <f>IF(OR(C935="",D935=""),"",IF(D935=1,C935,ROUND(C935*(1+D935/30),1)))</f>
        <v/>
      </c>
      <c r="F935" s="7" t="n"/>
    </row>
    <row r="936">
      <c r="A936" s="12" t="n"/>
      <c r="B936" s="7" t="n"/>
      <c r="C936" s="7" t="n"/>
      <c r="D936" s="7" t="n"/>
      <c r="E936" s="6">
        <f>IF(OR(C936="",D936=""),"",IF(D936=1,C936,ROUND(C936*(1+D936/30),1)))</f>
        <v/>
      </c>
      <c r="F936" s="7" t="n"/>
    </row>
    <row r="937">
      <c r="A937" s="12" t="n"/>
      <c r="B937" s="7" t="n"/>
      <c r="C937" s="7" t="n"/>
      <c r="D937" s="7" t="n"/>
      <c r="E937" s="6">
        <f>IF(OR(C937="",D937=""),"",IF(D937=1,C937,ROUND(C937*(1+D937/30),1)))</f>
        <v/>
      </c>
      <c r="F937" s="7" t="n"/>
    </row>
    <row r="938">
      <c r="A938" s="12" t="n"/>
      <c r="B938" s="7" t="n"/>
      <c r="C938" s="7" t="n"/>
      <c r="D938" s="7" t="n"/>
      <c r="E938" s="6">
        <f>IF(OR(C938="",D938=""),"",IF(D938=1,C938,ROUND(C938*(1+D938/30),1)))</f>
        <v/>
      </c>
      <c r="F938" s="7" t="n"/>
    </row>
    <row r="939">
      <c r="A939" s="12" t="n"/>
      <c r="B939" s="7" t="n"/>
      <c r="C939" s="7" t="n"/>
      <c r="D939" s="7" t="n"/>
      <c r="E939" s="6">
        <f>IF(OR(C939="",D939=""),"",IF(D939=1,C939,ROUND(C939*(1+D939/30),1)))</f>
        <v/>
      </c>
      <c r="F939" s="7" t="n"/>
    </row>
    <row r="940">
      <c r="A940" s="12" t="n"/>
      <c r="B940" s="7" t="n"/>
      <c r="C940" s="7" t="n"/>
      <c r="D940" s="7" t="n"/>
      <c r="E940" s="6">
        <f>IF(OR(C940="",D940=""),"",IF(D940=1,C940,ROUND(C940*(1+D940/30),1)))</f>
        <v/>
      </c>
      <c r="F940" s="7" t="n"/>
    </row>
    <row r="941">
      <c r="A941" s="12" t="n"/>
      <c r="B941" s="7" t="n"/>
      <c r="C941" s="7" t="n"/>
      <c r="D941" s="7" t="n"/>
      <c r="E941" s="6">
        <f>IF(OR(C941="",D941=""),"",IF(D941=1,C941,ROUND(C941*(1+D941/30),1)))</f>
        <v/>
      </c>
      <c r="F941" s="7" t="n"/>
    </row>
    <row r="942">
      <c r="A942" s="12" t="n"/>
      <c r="B942" s="7" t="n"/>
      <c r="C942" s="7" t="n"/>
      <c r="D942" s="7" t="n"/>
      <c r="E942" s="6">
        <f>IF(OR(C942="",D942=""),"",IF(D942=1,C942,ROUND(C942*(1+D942/30),1)))</f>
        <v/>
      </c>
      <c r="F942" s="7" t="n"/>
    </row>
    <row r="943">
      <c r="A943" s="12" t="n"/>
      <c r="B943" s="7" t="n"/>
      <c r="C943" s="7" t="n"/>
      <c r="D943" s="7" t="n"/>
      <c r="E943" s="6">
        <f>IF(OR(C943="",D943=""),"",IF(D943=1,C943,ROUND(C943*(1+D943/30),1)))</f>
        <v/>
      </c>
      <c r="F943" s="7" t="n"/>
    </row>
    <row r="944">
      <c r="A944" s="12" t="n"/>
      <c r="B944" s="7" t="n"/>
      <c r="C944" s="7" t="n"/>
      <c r="D944" s="7" t="n"/>
      <c r="E944" s="6">
        <f>IF(OR(C944="",D944=""),"",IF(D944=1,C944,ROUND(C944*(1+D944/30),1)))</f>
        <v/>
      </c>
      <c r="F944" s="7" t="n"/>
    </row>
    <row r="945">
      <c r="A945" s="12" t="n"/>
      <c r="B945" s="7" t="n"/>
      <c r="C945" s="7" t="n"/>
      <c r="D945" s="7" t="n"/>
      <c r="E945" s="6">
        <f>IF(OR(C945="",D945=""),"",IF(D945=1,C945,ROUND(C945*(1+D945/30),1)))</f>
        <v/>
      </c>
      <c r="F945" s="7" t="n"/>
    </row>
    <row r="946">
      <c r="A946" s="12" t="n"/>
      <c r="B946" s="7" t="n"/>
      <c r="C946" s="7" t="n"/>
      <c r="D946" s="7" t="n"/>
      <c r="E946" s="6">
        <f>IF(OR(C946="",D946=""),"",IF(D946=1,C946,ROUND(C946*(1+D946/30),1)))</f>
        <v/>
      </c>
      <c r="F946" s="7" t="n"/>
    </row>
    <row r="947">
      <c r="A947" s="12" t="n"/>
      <c r="B947" s="7" t="n"/>
      <c r="C947" s="7" t="n"/>
      <c r="D947" s="7" t="n"/>
      <c r="E947" s="6">
        <f>IF(OR(C947="",D947=""),"",IF(D947=1,C947,ROUND(C947*(1+D947/30),1)))</f>
        <v/>
      </c>
      <c r="F947" s="7" t="n"/>
    </row>
    <row r="948">
      <c r="A948" s="12" t="n"/>
      <c r="B948" s="7" t="n"/>
      <c r="C948" s="7" t="n"/>
      <c r="D948" s="7" t="n"/>
      <c r="E948" s="6">
        <f>IF(OR(C948="",D948=""),"",IF(D948=1,C948,ROUND(C948*(1+D948/30),1)))</f>
        <v/>
      </c>
      <c r="F948" s="7" t="n"/>
    </row>
    <row r="949">
      <c r="A949" s="12" t="n"/>
      <c r="B949" s="7" t="n"/>
      <c r="C949" s="7" t="n"/>
      <c r="D949" s="7" t="n"/>
      <c r="E949" s="6">
        <f>IF(OR(C949="",D949=""),"",IF(D949=1,C949,ROUND(C949*(1+D949/30),1)))</f>
        <v/>
      </c>
      <c r="F949" s="7" t="n"/>
    </row>
    <row r="950">
      <c r="A950" s="12" t="n"/>
      <c r="B950" s="7" t="n"/>
      <c r="C950" s="7" t="n"/>
      <c r="D950" s="7" t="n"/>
      <c r="E950" s="6">
        <f>IF(OR(C950="",D950=""),"",IF(D950=1,C950,ROUND(C950*(1+D950/30),1)))</f>
        <v/>
      </c>
      <c r="F950" s="7" t="n"/>
    </row>
    <row r="951">
      <c r="A951" s="12" t="n"/>
      <c r="B951" s="7" t="n"/>
      <c r="C951" s="7" t="n"/>
      <c r="D951" s="7" t="n"/>
      <c r="E951" s="6">
        <f>IF(OR(C951="",D951=""),"",IF(D951=1,C951,ROUND(C951*(1+D951/30),1)))</f>
        <v/>
      </c>
      <c r="F951" s="7" t="n"/>
    </row>
    <row r="952">
      <c r="A952" s="12" t="n"/>
      <c r="B952" s="7" t="n"/>
      <c r="C952" s="7" t="n"/>
      <c r="D952" s="7" t="n"/>
      <c r="E952" s="6">
        <f>IF(OR(C952="",D952=""),"",IF(D952=1,C952,ROUND(C952*(1+D952/30),1)))</f>
        <v/>
      </c>
      <c r="F952" s="7" t="n"/>
    </row>
    <row r="953">
      <c r="A953" s="12" t="n"/>
      <c r="B953" s="7" t="n"/>
      <c r="C953" s="7" t="n"/>
      <c r="D953" s="7" t="n"/>
      <c r="E953" s="6">
        <f>IF(OR(C953="",D953=""),"",IF(D953=1,C953,ROUND(C953*(1+D953/30),1)))</f>
        <v/>
      </c>
      <c r="F953" s="7" t="n"/>
    </row>
    <row r="954">
      <c r="A954" s="12" t="n"/>
      <c r="B954" s="7" t="n"/>
      <c r="C954" s="7" t="n"/>
      <c r="D954" s="7" t="n"/>
      <c r="E954" s="6">
        <f>IF(OR(C954="",D954=""),"",IF(D954=1,C954,ROUND(C954*(1+D954/30),1)))</f>
        <v/>
      </c>
      <c r="F954" s="7" t="n"/>
    </row>
    <row r="955">
      <c r="A955" s="12" t="n"/>
      <c r="B955" s="7" t="n"/>
      <c r="C955" s="7" t="n"/>
      <c r="D955" s="7" t="n"/>
      <c r="E955" s="6">
        <f>IF(OR(C955="",D955=""),"",IF(D955=1,C955,ROUND(C955*(1+D955/30),1)))</f>
        <v/>
      </c>
      <c r="F955" s="7" t="n"/>
    </row>
    <row r="956">
      <c r="A956" s="12" t="n"/>
      <c r="B956" s="7" t="n"/>
      <c r="C956" s="7" t="n"/>
      <c r="D956" s="7" t="n"/>
      <c r="E956" s="6">
        <f>IF(OR(C956="",D956=""),"",IF(D956=1,C956,ROUND(C956*(1+D956/30),1)))</f>
        <v/>
      </c>
      <c r="F956" s="7" t="n"/>
    </row>
    <row r="957">
      <c r="A957" s="12" t="n"/>
      <c r="B957" s="7" t="n"/>
      <c r="C957" s="7" t="n"/>
      <c r="D957" s="7" t="n"/>
      <c r="E957" s="6">
        <f>IF(OR(C957="",D957=""),"",IF(D957=1,C957,ROUND(C957*(1+D957/30),1)))</f>
        <v/>
      </c>
      <c r="F957" s="7" t="n"/>
    </row>
    <row r="958">
      <c r="A958" s="12" t="n"/>
      <c r="B958" s="7" t="n"/>
      <c r="C958" s="7" t="n"/>
      <c r="D958" s="7" t="n"/>
      <c r="E958" s="6">
        <f>IF(OR(C958="",D958=""),"",IF(D958=1,C958,ROUND(C958*(1+D958/30),1)))</f>
        <v/>
      </c>
      <c r="F958" s="7" t="n"/>
    </row>
    <row r="959">
      <c r="A959" s="12" t="n"/>
      <c r="B959" s="7" t="n"/>
      <c r="C959" s="7" t="n"/>
      <c r="D959" s="7" t="n"/>
      <c r="E959" s="6">
        <f>IF(OR(C959="",D959=""),"",IF(D959=1,C959,ROUND(C959*(1+D959/30),1)))</f>
        <v/>
      </c>
      <c r="F959" s="7" t="n"/>
    </row>
    <row r="960">
      <c r="A960" s="12" t="n"/>
      <c r="B960" s="7" t="n"/>
      <c r="C960" s="7" t="n"/>
      <c r="D960" s="7" t="n"/>
      <c r="E960" s="6">
        <f>IF(OR(C960="",D960=""),"",IF(D960=1,C960,ROUND(C960*(1+D960/30),1)))</f>
        <v/>
      </c>
      <c r="F960" s="7" t="n"/>
    </row>
    <row r="961">
      <c r="A961" s="12" t="n"/>
      <c r="B961" s="7" t="n"/>
      <c r="C961" s="7" t="n"/>
      <c r="D961" s="7" t="n"/>
      <c r="E961" s="6">
        <f>IF(OR(C961="",D961=""),"",IF(D961=1,C961,ROUND(C961*(1+D961/30),1)))</f>
        <v/>
      </c>
      <c r="F961" s="7" t="n"/>
    </row>
    <row r="962">
      <c r="A962" s="12" t="n"/>
      <c r="B962" s="7" t="n"/>
      <c r="C962" s="7" t="n"/>
      <c r="D962" s="7" t="n"/>
      <c r="E962" s="6">
        <f>IF(OR(C962="",D962=""),"",IF(D962=1,C962,ROUND(C962*(1+D962/30),1)))</f>
        <v/>
      </c>
      <c r="F962" s="7" t="n"/>
    </row>
    <row r="963">
      <c r="A963" s="12" t="n"/>
      <c r="B963" s="7" t="n"/>
      <c r="C963" s="7" t="n"/>
      <c r="D963" s="7" t="n"/>
      <c r="E963" s="6">
        <f>IF(OR(C963="",D963=""),"",IF(D963=1,C963,ROUND(C963*(1+D963/30),1)))</f>
        <v/>
      </c>
      <c r="F963" s="7" t="n"/>
    </row>
    <row r="964">
      <c r="A964" s="12" t="n"/>
      <c r="B964" s="7" t="n"/>
      <c r="C964" s="7" t="n"/>
      <c r="D964" s="7" t="n"/>
      <c r="E964" s="6">
        <f>IF(OR(C964="",D964=""),"",IF(D964=1,C964,ROUND(C964*(1+D964/30),1)))</f>
        <v/>
      </c>
      <c r="F964" s="7" t="n"/>
    </row>
    <row r="965">
      <c r="A965" s="12" t="n"/>
      <c r="B965" s="7" t="n"/>
      <c r="C965" s="7" t="n"/>
      <c r="D965" s="7" t="n"/>
      <c r="E965" s="6">
        <f>IF(OR(C965="",D965=""),"",IF(D965=1,C965,ROUND(C965*(1+D965/30),1)))</f>
        <v/>
      </c>
      <c r="F965" s="7" t="n"/>
    </row>
    <row r="966">
      <c r="A966" s="12" t="n"/>
      <c r="B966" s="7" t="n"/>
      <c r="C966" s="7" t="n"/>
      <c r="D966" s="7" t="n"/>
      <c r="E966" s="6">
        <f>IF(OR(C966="",D966=""),"",IF(D966=1,C966,ROUND(C966*(1+D966/30),1)))</f>
        <v/>
      </c>
      <c r="F966" s="7" t="n"/>
    </row>
    <row r="967">
      <c r="A967" s="12" t="n"/>
      <c r="B967" s="7" t="n"/>
      <c r="C967" s="7" t="n"/>
      <c r="D967" s="7" t="n"/>
      <c r="E967" s="6">
        <f>IF(OR(C967="",D967=""),"",IF(D967=1,C967,ROUND(C967*(1+D967/30),1)))</f>
        <v/>
      </c>
      <c r="F967" s="7" t="n"/>
    </row>
    <row r="968">
      <c r="A968" s="12" t="n"/>
      <c r="B968" s="7" t="n"/>
      <c r="C968" s="7" t="n"/>
      <c r="D968" s="7" t="n"/>
      <c r="E968" s="6">
        <f>IF(OR(C968="",D968=""),"",IF(D968=1,C968,ROUND(C968*(1+D968/30),1)))</f>
        <v/>
      </c>
      <c r="F968" s="7" t="n"/>
    </row>
    <row r="969">
      <c r="A969" s="12" t="n"/>
      <c r="B969" s="7" t="n"/>
      <c r="C969" s="7" t="n"/>
      <c r="D969" s="7" t="n"/>
      <c r="E969" s="6">
        <f>IF(OR(C969="",D969=""),"",IF(D969=1,C969,ROUND(C969*(1+D969/30),1)))</f>
        <v/>
      </c>
      <c r="F969" s="7" t="n"/>
    </row>
    <row r="970">
      <c r="A970" s="12" t="n"/>
      <c r="B970" s="7" t="n"/>
      <c r="C970" s="7" t="n"/>
      <c r="D970" s="7" t="n"/>
      <c r="E970" s="6">
        <f>IF(OR(C970="",D970=""),"",IF(D970=1,C970,ROUND(C970*(1+D970/30),1)))</f>
        <v/>
      </c>
      <c r="F970" s="7" t="n"/>
    </row>
    <row r="971">
      <c r="A971" s="12" t="n"/>
      <c r="B971" s="7" t="n"/>
      <c r="C971" s="7" t="n"/>
      <c r="D971" s="7" t="n"/>
      <c r="E971" s="6">
        <f>IF(OR(C971="",D971=""),"",IF(D971=1,C971,ROUND(C971*(1+D971/30),1)))</f>
        <v/>
      </c>
      <c r="F971" s="7" t="n"/>
    </row>
    <row r="972">
      <c r="A972" s="12" t="n"/>
      <c r="B972" s="7" t="n"/>
      <c r="C972" s="7" t="n"/>
      <c r="D972" s="7" t="n"/>
      <c r="E972" s="6">
        <f>IF(OR(C972="",D972=""),"",IF(D972=1,C972,ROUND(C972*(1+D972/30),1)))</f>
        <v/>
      </c>
      <c r="F972" s="7" t="n"/>
    </row>
    <row r="973">
      <c r="A973" s="12" t="n"/>
      <c r="B973" s="7" t="n"/>
      <c r="C973" s="7" t="n"/>
      <c r="D973" s="7" t="n"/>
      <c r="E973" s="6">
        <f>IF(OR(C973="",D973=""),"",IF(D973=1,C973,ROUND(C973*(1+D973/30),1)))</f>
        <v/>
      </c>
      <c r="F973" s="7" t="n"/>
    </row>
    <row r="974">
      <c r="A974" s="12" t="n"/>
      <c r="B974" s="7" t="n"/>
      <c r="C974" s="7" t="n"/>
      <c r="D974" s="7" t="n"/>
      <c r="E974" s="6">
        <f>IF(OR(C974="",D974=""),"",IF(D974=1,C974,ROUND(C974*(1+D974/30),1)))</f>
        <v/>
      </c>
      <c r="F974" s="7" t="n"/>
    </row>
    <row r="975">
      <c r="A975" s="12" t="n"/>
      <c r="B975" s="7" t="n"/>
      <c r="C975" s="7" t="n"/>
      <c r="D975" s="7" t="n"/>
      <c r="E975" s="6">
        <f>IF(OR(C975="",D975=""),"",IF(D975=1,C975,ROUND(C975*(1+D975/30),1)))</f>
        <v/>
      </c>
      <c r="F975" s="7" t="n"/>
    </row>
    <row r="976">
      <c r="A976" s="12" t="n"/>
      <c r="B976" s="7" t="n"/>
      <c r="C976" s="7" t="n"/>
      <c r="D976" s="7" t="n"/>
      <c r="E976" s="6">
        <f>IF(OR(C976="",D976=""),"",IF(D976=1,C976,ROUND(C976*(1+D976/30),1)))</f>
        <v/>
      </c>
      <c r="F976" s="7" t="n"/>
    </row>
    <row r="977">
      <c r="A977" s="12" t="n"/>
      <c r="B977" s="7" t="n"/>
      <c r="C977" s="7" t="n"/>
      <c r="D977" s="7" t="n"/>
      <c r="E977" s="6">
        <f>IF(OR(C977="",D977=""),"",IF(D977=1,C977,ROUND(C977*(1+D977/30),1)))</f>
        <v/>
      </c>
      <c r="F977" s="7" t="n"/>
    </row>
    <row r="978">
      <c r="A978" s="12" t="n"/>
      <c r="B978" s="7" t="n"/>
      <c r="C978" s="7" t="n"/>
      <c r="D978" s="7" t="n"/>
      <c r="E978" s="6">
        <f>IF(OR(C978="",D978=""),"",IF(D978=1,C978,ROUND(C978*(1+D978/30),1)))</f>
        <v/>
      </c>
      <c r="F978" s="7" t="n"/>
    </row>
    <row r="979">
      <c r="A979" s="12" t="n"/>
      <c r="B979" s="7" t="n"/>
      <c r="C979" s="7" t="n"/>
      <c r="D979" s="7" t="n"/>
      <c r="E979" s="6">
        <f>IF(OR(C979="",D979=""),"",IF(D979=1,C979,ROUND(C979*(1+D979/30),1)))</f>
        <v/>
      </c>
      <c r="F979" s="7" t="n"/>
    </row>
    <row r="980">
      <c r="A980" s="12" t="n"/>
      <c r="B980" s="7" t="n"/>
      <c r="C980" s="7" t="n"/>
      <c r="D980" s="7" t="n"/>
      <c r="E980" s="6">
        <f>IF(OR(C980="",D980=""),"",IF(D980=1,C980,ROUND(C980*(1+D980/30),1)))</f>
        <v/>
      </c>
      <c r="F980" s="7" t="n"/>
    </row>
    <row r="981">
      <c r="A981" s="12" t="n"/>
      <c r="B981" s="7" t="n"/>
      <c r="C981" s="7" t="n"/>
      <c r="D981" s="7" t="n"/>
      <c r="E981" s="6">
        <f>IF(OR(C981="",D981=""),"",IF(D981=1,C981,ROUND(C981*(1+D981/30),1)))</f>
        <v/>
      </c>
      <c r="F981" s="7" t="n"/>
    </row>
    <row r="982">
      <c r="A982" s="12" t="n"/>
      <c r="B982" s="7" t="n"/>
      <c r="C982" s="7" t="n"/>
      <c r="D982" s="7" t="n"/>
      <c r="E982" s="6">
        <f>IF(OR(C982="",D982=""),"",IF(D982=1,C982,ROUND(C982*(1+D982/30),1)))</f>
        <v/>
      </c>
      <c r="F982" s="7" t="n"/>
    </row>
    <row r="983">
      <c r="A983" s="12" t="n"/>
      <c r="B983" s="7" t="n"/>
      <c r="C983" s="7" t="n"/>
      <c r="D983" s="7" t="n"/>
      <c r="E983" s="6">
        <f>IF(OR(C983="",D983=""),"",IF(D983=1,C983,ROUND(C983*(1+D983/30),1)))</f>
        <v/>
      </c>
      <c r="F983" s="7" t="n"/>
    </row>
    <row r="984">
      <c r="A984" s="12" t="n"/>
      <c r="B984" s="7" t="n"/>
      <c r="C984" s="7" t="n"/>
      <c r="D984" s="7" t="n"/>
      <c r="E984" s="6">
        <f>IF(OR(C984="",D984=""),"",IF(D984=1,C984,ROUND(C984*(1+D984/30),1)))</f>
        <v/>
      </c>
      <c r="F984" s="7" t="n"/>
    </row>
    <row r="985">
      <c r="A985" s="12" t="n"/>
      <c r="B985" s="7" t="n"/>
      <c r="C985" s="7" t="n"/>
      <c r="D985" s="7" t="n"/>
      <c r="E985" s="6">
        <f>IF(OR(C985="",D985=""),"",IF(D985=1,C985,ROUND(C985*(1+D985/30),1)))</f>
        <v/>
      </c>
      <c r="F985" s="7" t="n"/>
    </row>
    <row r="986">
      <c r="A986" s="12" t="n"/>
      <c r="B986" s="7" t="n"/>
      <c r="C986" s="7" t="n"/>
      <c r="D986" s="7" t="n"/>
      <c r="E986" s="6">
        <f>IF(OR(C986="",D986=""),"",IF(D986=1,C986,ROUND(C986*(1+D986/30),1)))</f>
        <v/>
      </c>
      <c r="F986" s="7" t="n"/>
    </row>
    <row r="987">
      <c r="A987" s="12" t="n"/>
      <c r="B987" s="7" t="n"/>
      <c r="C987" s="7" t="n"/>
      <c r="D987" s="7" t="n"/>
      <c r="E987" s="6">
        <f>IF(OR(C987="",D987=""),"",IF(D987=1,C987,ROUND(C987*(1+D987/30),1)))</f>
        <v/>
      </c>
      <c r="F987" s="7" t="n"/>
    </row>
    <row r="988">
      <c r="A988" s="12" t="n"/>
      <c r="B988" s="7" t="n"/>
      <c r="C988" s="7" t="n"/>
      <c r="D988" s="7" t="n"/>
      <c r="E988" s="6">
        <f>IF(OR(C988="",D988=""),"",IF(D988=1,C988,ROUND(C988*(1+D988/30),1)))</f>
        <v/>
      </c>
      <c r="F988" s="7" t="n"/>
    </row>
    <row r="989">
      <c r="A989" s="12" t="n"/>
      <c r="B989" s="7" t="n"/>
      <c r="C989" s="7" t="n"/>
      <c r="D989" s="7" t="n"/>
      <c r="E989" s="6">
        <f>IF(OR(C989="",D989=""),"",IF(D989=1,C989,ROUND(C989*(1+D989/30),1)))</f>
        <v/>
      </c>
      <c r="F989" s="7" t="n"/>
    </row>
    <row r="990">
      <c r="A990" s="12" t="n"/>
      <c r="B990" s="7" t="n"/>
      <c r="C990" s="7" t="n"/>
      <c r="D990" s="7" t="n"/>
      <c r="E990" s="6">
        <f>IF(OR(C990="",D990=""),"",IF(D990=1,C990,ROUND(C990*(1+D990/30),1)))</f>
        <v/>
      </c>
      <c r="F990" s="7" t="n"/>
    </row>
    <row r="991">
      <c r="A991" s="12" t="n"/>
      <c r="B991" s="7" t="n"/>
      <c r="C991" s="7" t="n"/>
      <c r="D991" s="7" t="n"/>
      <c r="E991" s="6">
        <f>IF(OR(C991="",D991=""),"",IF(D991=1,C991,ROUND(C991*(1+D991/30),1)))</f>
        <v/>
      </c>
      <c r="F991" s="7" t="n"/>
    </row>
    <row r="992">
      <c r="A992" s="12" t="n"/>
      <c r="B992" s="7" t="n"/>
      <c r="C992" s="7" t="n"/>
      <c r="D992" s="7" t="n"/>
      <c r="E992" s="6">
        <f>IF(OR(C992="",D992=""),"",IF(D992=1,C992,ROUND(C992*(1+D992/30),1)))</f>
        <v/>
      </c>
      <c r="F992" s="7" t="n"/>
    </row>
    <row r="993">
      <c r="A993" s="12" t="n"/>
      <c r="B993" s="7" t="n"/>
      <c r="C993" s="7" t="n"/>
      <c r="D993" s="7" t="n"/>
      <c r="E993" s="6">
        <f>IF(OR(C993="",D993=""),"",IF(D993=1,C993,ROUND(C993*(1+D993/30),1)))</f>
        <v/>
      </c>
      <c r="F993" s="7" t="n"/>
    </row>
    <row r="994">
      <c r="A994" s="12" t="n"/>
      <c r="B994" s="7" t="n"/>
      <c r="C994" s="7" t="n"/>
      <c r="D994" s="7" t="n"/>
      <c r="E994" s="6">
        <f>IF(OR(C994="",D994=""),"",IF(D994=1,C994,ROUND(C994*(1+D994/30),1)))</f>
        <v/>
      </c>
      <c r="F994" s="7" t="n"/>
    </row>
    <row r="995">
      <c r="A995" s="12" t="n"/>
      <c r="B995" s="7" t="n"/>
      <c r="C995" s="7" t="n"/>
      <c r="D995" s="7" t="n"/>
      <c r="E995" s="6">
        <f>IF(OR(C995="",D995=""),"",IF(D995=1,C995,ROUND(C995*(1+D995/30),1)))</f>
        <v/>
      </c>
      <c r="F995" s="7" t="n"/>
    </row>
    <row r="996">
      <c r="A996" s="12" t="n"/>
      <c r="B996" s="7" t="n"/>
      <c r="C996" s="7" t="n"/>
      <c r="D996" s="7" t="n"/>
      <c r="E996" s="6">
        <f>IF(OR(C996="",D996=""),"",IF(D996=1,C996,ROUND(C996*(1+D996/30),1)))</f>
        <v/>
      </c>
      <c r="F996" s="7" t="n"/>
    </row>
    <row r="997">
      <c r="A997" s="12" t="n"/>
      <c r="B997" s="7" t="n"/>
      <c r="C997" s="7" t="n"/>
      <c r="D997" s="7" t="n"/>
      <c r="E997" s="6">
        <f>IF(OR(C997="",D997=""),"",IF(D997=1,C997,ROUND(C997*(1+D997/30),1)))</f>
        <v/>
      </c>
      <c r="F997" s="7" t="n"/>
    </row>
    <row r="998">
      <c r="A998" s="12" t="n"/>
      <c r="B998" s="7" t="n"/>
      <c r="C998" s="7" t="n"/>
      <c r="D998" s="7" t="n"/>
      <c r="E998" s="6">
        <f>IF(OR(C998="",D998=""),"",IF(D998=1,C998,ROUND(C998*(1+D998/30),1)))</f>
        <v/>
      </c>
      <c r="F998" s="7" t="n"/>
    </row>
    <row r="999">
      <c r="A999" s="12" t="n"/>
      <c r="B999" s="7" t="n"/>
      <c r="C999" s="7" t="n"/>
      <c r="D999" s="7" t="n"/>
      <c r="E999" s="6">
        <f>IF(OR(C999="",D999=""),"",IF(D999=1,C999,ROUND(C999*(1+D999/30),1)))</f>
        <v/>
      </c>
      <c r="F999" s="7" t="n"/>
    </row>
    <row r="1000">
      <c r="A1000" s="12" t="n"/>
      <c r="B1000" s="7" t="n"/>
      <c r="C1000" s="7" t="n"/>
      <c r="D1000" s="7" t="n"/>
      <c r="E1000" s="6">
        <f>IF(OR(C1000="",D1000=""),"",IF(D1000=1,C1000,ROUND(C1000*(1+D1000/30),1)))</f>
        <v/>
      </c>
      <c r="F1000" s="7" t="n"/>
    </row>
    <row r="1001">
      <c r="A1001" s="12" t="n"/>
      <c r="B1001" s="7" t="n"/>
      <c r="C1001" s="7" t="n"/>
      <c r="D1001" s="7" t="n"/>
      <c r="E1001" s="6">
        <f>IF(OR(C1001="",D1001=""),"",IF(D1001=1,C1001,ROUND(C1001*(1+D1001/30),1)))</f>
        <v/>
      </c>
      <c r="F1001" s="7" t="n"/>
    </row>
  </sheetData>
  <dataValidations count="1">
    <dataValidation sqref="B2:B1001" showDropDown="0" showInputMessage="0" showErrorMessage="0" allowBlank="1" type="list">
      <formula1>Lists!$A$1:$A$76</formula1>
    </dataValidation>
  </dataValidations>
  <pageMargins left="0.75" right="0.75" top="1" bottom="1" header="0.5" footer="0.5"/>
</worksheet>
</file>

<file path=xl/worksheets/sheet17.xml><?xml version="1.0" encoding="utf-8"?>
<worksheet xmlns="http://schemas.openxmlformats.org/spreadsheetml/2006/main">
  <sheetPr>
    <tabColor rgb="00C9A227"/>
    <outlinePr summaryBelow="1" summaryRight="1"/>
    <pageSetUpPr/>
  </sheetPr>
  <dimension ref="A1:L7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10" customWidth="1" min="2" max="2"/>
    <col width="13"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c r="A1" s="8" t="inlineStr">
        <is>
          <t>Exercise</t>
        </is>
      </c>
      <c r="B1" s="8" t="inlineStr">
        <is>
          <t>Type</t>
        </is>
      </c>
      <c r="C1" s="8" t="inlineStr">
        <is>
          <t>Best est. 1RM</t>
        </is>
      </c>
      <c r="D1" s="8" t="inlineStr">
        <is>
          <t>1RM</t>
        </is>
      </c>
      <c r="E1" s="8" t="inlineStr">
        <is>
          <t>2RM</t>
        </is>
      </c>
      <c r="F1" s="8" t="inlineStr">
        <is>
          <t>3RM</t>
        </is>
      </c>
      <c r="G1" s="8" t="inlineStr">
        <is>
          <t>4RM</t>
        </is>
      </c>
      <c r="H1" s="8" t="inlineStr">
        <is>
          <t>5RM</t>
        </is>
      </c>
      <c r="I1" s="8" t="inlineStr">
        <is>
          <t>6RM</t>
        </is>
      </c>
      <c r="J1" s="8" t="inlineStr">
        <is>
          <t>8RM</t>
        </is>
      </c>
      <c r="K1" s="8" t="inlineStr">
        <is>
          <t>10RM</t>
        </is>
      </c>
      <c r="L1" s="8" t="inlineStr">
        <is>
          <t>12RM</t>
        </is>
      </c>
    </row>
    <row r="2">
      <c r="A2" s="14" t="inlineStr">
        <is>
          <t>Squat</t>
        </is>
      </c>
      <c r="B2" t="inlineStr">
        <is>
          <t>main</t>
        </is>
      </c>
      <c r="C2" s="63">
        <f>MAX(_xlfn.MAXIFS('Start Here'!$D$19:$D$58,'Start Here'!$A$19:$A$58,$A2),_xlfn.MAXIFS(Sets!$E$2:$E$3300,Sets!$B$2:$B$3300,$A2),_xlfn.MAXIFS(Log!$E$2:$E$1001,Log!$B$2:$B$1001,$A2))</f>
        <v/>
      </c>
      <c r="D2" s="18">
        <f>MAX(_xlfn.MAXIFS('Start Here'!$B$19:$B$58,'Start Here'!$A$19:$A$58,$A2,'Start Here'!$C$19:$C$58,"&gt;=1"),_xlfn.MAXIFS(Sets!$C$2:$C$3300,Sets!$B$2:$B$3300,$A2,Sets!$D$2:$D$3300,"&gt;=1"),_xlfn.MAXIFS(Log!$C$2:$C$1001,Log!$B$2:$B$1001,$A2,Log!$D$2:$D$1001,"&gt;=1"))</f>
        <v/>
      </c>
      <c r="E2" s="18">
        <f>MAX(_xlfn.MAXIFS('Start Here'!$B$19:$B$58,'Start Here'!$A$19:$A$58,$A2,'Start Here'!$C$19:$C$58,"&gt;=2"),_xlfn.MAXIFS(Sets!$C$2:$C$3300,Sets!$B$2:$B$3300,$A2,Sets!$D$2:$D$3300,"&gt;=2"),_xlfn.MAXIFS(Log!$C$2:$C$1001,Log!$B$2:$B$1001,$A2,Log!$D$2:$D$1001,"&gt;=2"))</f>
        <v/>
      </c>
      <c r="F2" s="18">
        <f>MAX(_xlfn.MAXIFS('Start Here'!$B$19:$B$58,'Start Here'!$A$19:$A$58,$A2,'Start Here'!$C$19:$C$58,"&gt;=3"),_xlfn.MAXIFS(Sets!$C$2:$C$3300,Sets!$B$2:$B$3300,$A2,Sets!$D$2:$D$3300,"&gt;=3"),_xlfn.MAXIFS(Log!$C$2:$C$1001,Log!$B$2:$B$1001,$A2,Log!$D$2:$D$1001,"&gt;=3"))</f>
        <v/>
      </c>
      <c r="G2" s="18">
        <f>MAX(_xlfn.MAXIFS('Start Here'!$B$19:$B$58,'Start Here'!$A$19:$A$58,$A2,'Start Here'!$C$19:$C$58,"&gt;=4"),_xlfn.MAXIFS(Sets!$C$2:$C$3300,Sets!$B$2:$B$3300,$A2,Sets!$D$2:$D$3300,"&gt;=4"),_xlfn.MAXIFS(Log!$C$2:$C$1001,Log!$B$2:$B$1001,$A2,Log!$D$2:$D$1001,"&gt;=4"))</f>
        <v/>
      </c>
      <c r="H2" s="18">
        <f>MAX(_xlfn.MAXIFS('Start Here'!$B$19:$B$58,'Start Here'!$A$19:$A$58,$A2,'Start Here'!$C$19:$C$58,"&gt;=5"),_xlfn.MAXIFS(Sets!$C$2:$C$3300,Sets!$B$2:$B$3300,$A2,Sets!$D$2:$D$3300,"&gt;=5"),_xlfn.MAXIFS(Log!$C$2:$C$1001,Log!$B$2:$B$1001,$A2,Log!$D$2:$D$1001,"&gt;=5"))</f>
        <v/>
      </c>
      <c r="I2" s="18">
        <f>MAX(_xlfn.MAXIFS('Start Here'!$B$19:$B$58,'Start Here'!$A$19:$A$58,$A2,'Start Here'!$C$19:$C$58,"&gt;=6"),_xlfn.MAXIFS(Sets!$C$2:$C$3300,Sets!$B$2:$B$3300,$A2,Sets!$D$2:$D$3300,"&gt;=6"),_xlfn.MAXIFS(Log!$C$2:$C$1001,Log!$B$2:$B$1001,$A2,Log!$D$2:$D$1001,"&gt;=6"))</f>
        <v/>
      </c>
      <c r="J2" s="18">
        <f>MAX(_xlfn.MAXIFS('Start Here'!$B$19:$B$58,'Start Here'!$A$19:$A$58,$A2,'Start Here'!$C$19:$C$58,"&gt;=8"),_xlfn.MAXIFS(Sets!$C$2:$C$3300,Sets!$B$2:$B$3300,$A2,Sets!$D$2:$D$3300,"&gt;=8"),_xlfn.MAXIFS(Log!$C$2:$C$1001,Log!$B$2:$B$1001,$A2,Log!$D$2:$D$1001,"&gt;=8"))</f>
        <v/>
      </c>
      <c r="K2" s="18">
        <f>MAX(_xlfn.MAXIFS('Start Here'!$B$19:$B$58,'Start Here'!$A$19:$A$58,$A2,'Start Here'!$C$19:$C$58,"&gt;=10"),_xlfn.MAXIFS(Sets!$C$2:$C$3300,Sets!$B$2:$B$3300,$A2,Sets!$D$2:$D$3300,"&gt;=10"),_xlfn.MAXIFS(Log!$C$2:$C$1001,Log!$B$2:$B$1001,$A2,Log!$D$2:$D$1001,"&gt;=10"))</f>
        <v/>
      </c>
      <c r="L2" s="18">
        <f>MAX(_xlfn.MAXIFS('Start Here'!$B$19:$B$58,'Start Here'!$A$19:$A$58,$A2,'Start Here'!$C$19:$C$58,"&gt;=12"),_xlfn.MAXIFS(Sets!$C$2:$C$3300,Sets!$B$2:$B$3300,$A2,Sets!$D$2:$D$3300,"&gt;=12"),_xlfn.MAXIFS(Log!$C$2:$C$1001,Log!$B$2:$B$1001,$A2,Log!$D$2:$D$1001,"&gt;=12"))</f>
        <v/>
      </c>
    </row>
    <row r="3">
      <c r="A3" s="14" t="inlineStr">
        <is>
          <t>Bench Press</t>
        </is>
      </c>
      <c r="B3" t="inlineStr">
        <is>
          <t>main</t>
        </is>
      </c>
      <c r="C3" s="63">
        <f>MAX(_xlfn.MAXIFS('Start Here'!$D$19:$D$58,'Start Here'!$A$19:$A$58,$A3),_xlfn.MAXIFS(Sets!$E$2:$E$3300,Sets!$B$2:$B$3300,$A3),_xlfn.MAXIFS(Log!$E$2:$E$1001,Log!$B$2:$B$1001,$A3))</f>
        <v/>
      </c>
      <c r="D3" s="18">
        <f>MAX(_xlfn.MAXIFS('Start Here'!$B$19:$B$58,'Start Here'!$A$19:$A$58,$A3,'Start Here'!$C$19:$C$58,"&gt;=1"),_xlfn.MAXIFS(Sets!$C$2:$C$3300,Sets!$B$2:$B$3300,$A3,Sets!$D$2:$D$3300,"&gt;=1"),_xlfn.MAXIFS(Log!$C$2:$C$1001,Log!$B$2:$B$1001,$A3,Log!$D$2:$D$1001,"&gt;=1"))</f>
        <v/>
      </c>
      <c r="E3" s="18">
        <f>MAX(_xlfn.MAXIFS('Start Here'!$B$19:$B$58,'Start Here'!$A$19:$A$58,$A3,'Start Here'!$C$19:$C$58,"&gt;=2"),_xlfn.MAXIFS(Sets!$C$2:$C$3300,Sets!$B$2:$B$3300,$A3,Sets!$D$2:$D$3300,"&gt;=2"),_xlfn.MAXIFS(Log!$C$2:$C$1001,Log!$B$2:$B$1001,$A3,Log!$D$2:$D$1001,"&gt;=2"))</f>
        <v/>
      </c>
      <c r="F3" s="18">
        <f>MAX(_xlfn.MAXIFS('Start Here'!$B$19:$B$58,'Start Here'!$A$19:$A$58,$A3,'Start Here'!$C$19:$C$58,"&gt;=3"),_xlfn.MAXIFS(Sets!$C$2:$C$3300,Sets!$B$2:$B$3300,$A3,Sets!$D$2:$D$3300,"&gt;=3"),_xlfn.MAXIFS(Log!$C$2:$C$1001,Log!$B$2:$B$1001,$A3,Log!$D$2:$D$1001,"&gt;=3"))</f>
        <v/>
      </c>
      <c r="G3" s="18">
        <f>MAX(_xlfn.MAXIFS('Start Here'!$B$19:$B$58,'Start Here'!$A$19:$A$58,$A3,'Start Here'!$C$19:$C$58,"&gt;=4"),_xlfn.MAXIFS(Sets!$C$2:$C$3300,Sets!$B$2:$B$3300,$A3,Sets!$D$2:$D$3300,"&gt;=4"),_xlfn.MAXIFS(Log!$C$2:$C$1001,Log!$B$2:$B$1001,$A3,Log!$D$2:$D$1001,"&gt;=4"))</f>
        <v/>
      </c>
      <c r="H3" s="18">
        <f>MAX(_xlfn.MAXIFS('Start Here'!$B$19:$B$58,'Start Here'!$A$19:$A$58,$A3,'Start Here'!$C$19:$C$58,"&gt;=5"),_xlfn.MAXIFS(Sets!$C$2:$C$3300,Sets!$B$2:$B$3300,$A3,Sets!$D$2:$D$3300,"&gt;=5"),_xlfn.MAXIFS(Log!$C$2:$C$1001,Log!$B$2:$B$1001,$A3,Log!$D$2:$D$1001,"&gt;=5"))</f>
        <v/>
      </c>
      <c r="I3" s="18">
        <f>MAX(_xlfn.MAXIFS('Start Here'!$B$19:$B$58,'Start Here'!$A$19:$A$58,$A3,'Start Here'!$C$19:$C$58,"&gt;=6"),_xlfn.MAXIFS(Sets!$C$2:$C$3300,Sets!$B$2:$B$3300,$A3,Sets!$D$2:$D$3300,"&gt;=6"),_xlfn.MAXIFS(Log!$C$2:$C$1001,Log!$B$2:$B$1001,$A3,Log!$D$2:$D$1001,"&gt;=6"))</f>
        <v/>
      </c>
      <c r="J3" s="18">
        <f>MAX(_xlfn.MAXIFS('Start Here'!$B$19:$B$58,'Start Here'!$A$19:$A$58,$A3,'Start Here'!$C$19:$C$58,"&gt;=8"),_xlfn.MAXIFS(Sets!$C$2:$C$3300,Sets!$B$2:$B$3300,$A3,Sets!$D$2:$D$3300,"&gt;=8"),_xlfn.MAXIFS(Log!$C$2:$C$1001,Log!$B$2:$B$1001,$A3,Log!$D$2:$D$1001,"&gt;=8"))</f>
        <v/>
      </c>
      <c r="K3" s="18">
        <f>MAX(_xlfn.MAXIFS('Start Here'!$B$19:$B$58,'Start Here'!$A$19:$A$58,$A3,'Start Here'!$C$19:$C$58,"&gt;=10"),_xlfn.MAXIFS(Sets!$C$2:$C$3300,Sets!$B$2:$B$3300,$A3,Sets!$D$2:$D$3300,"&gt;=10"),_xlfn.MAXIFS(Log!$C$2:$C$1001,Log!$B$2:$B$1001,$A3,Log!$D$2:$D$1001,"&gt;=10"))</f>
        <v/>
      </c>
      <c r="L3" s="18">
        <f>MAX(_xlfn.MAXIFS('Start Here'!$B$19:$B$58,'Start Here'!$A$19:$A$58,$A3,'Start Here'!$C$19:$C$58,"&gt;=12"),_xlfn.MAXIFS(Sets!$C$2:$C$3300,Sets!$B$2:$B$3300,$A3,Sets!$D$2:$D$3300,"&gt;=12"),_xlfn.MAXIFS(Log!$C$2:$C$1001,Log!$B$2:$B$1001,$A3,Log!$D$2:$D$1001,"&gt;=12"))</f>
        <v/>
      </c>
    </row>
    <row r="4">
      <c r="A4" s="14" t="inlineStr">
        <is>
          <t>Deadlift</t>
        </is>
      </c>
      <c r="B4" t="inlineStr">
        <is>
          <t>main</t>
        </is>
      </c>
      <c r="C4" s="63">
        <f>MAX(_xlfn.MAXIFS('Start Here'!$D$19:$D$58,'Start Here'!$A$19:$A$58,$A4),_xlfn.MAXIFS(Sets!$E$2:$E$3300,Sets!$B$2:$B$3300,$A4),_xlfn.MAXIFS(Log!$E$2:$E$1001,Log!$B$2:$B$1001,$A4))</f>
        <v/>
      </c>
      <c r="D4" s="18">
        <f>MAX(_xlfn.MAXIFS('Start Here'!$B$19:$B$58,'Start Here'!$A$19:$A$58,$A4,'Start Here'!$C$19:$C$58,"&gt;=1"),_xlfn.MAXIFS(Sets!$C$2:$C$3300,Sets!$B$2:$B$3300,$A4,Sets!$D$2:$D$3300,"&gt;=1"),_xlfn.MAXIFS(Log!$C$2:$C$1001,Log!$B$2:$B$1001,$A4,Log!$D$2:$D$1001,"&gt;=1"))</f>
        <v/>
      </c>
      <c r="E4" s="18">
        <f>MAX(_xlfn.MAXIFS('Start Here'!$B$19:$B$58,'Start Here'!$A$19:$A$58,$A4,'Start Here'!$C$19:$C$58,"&gt;=2"),_xlfn.MAXIFS(Sets!$C$2:$C$3300,Sets!$B$2:$B$3300,$A4,Sets!$D$2:$D$3300,"&gt;=2"),_xlfn.MAXIFS(Log!$C$2:$C$1001,Log!$B$2:$B$1001,$A4,Log!$D$2:$D$1001,"&gt;=2"))</f>
        <v/>
      </c>
      <c r="F4" s="18">
        <f>MAX(_xlfn.MAXIFS('Start Here'!$B$19:$B$58,'Start Here'!$A$19:$A$58,$A4,'Start Here'!$C$19:$C$58,"&gt;=3"),_xlfn.MAXIFS(Sets!$C$2:$C$3300,Sets!$B$2:$B$3300,$A4,Sets!$D$2:$D$3300,"&gt;=3"),_xlfn.MAXIFS(Log!$C$2:$C$1001,Log!$B$2:$B$1001,$A4,Log!$D$2:$D$1001,"&gt;=3"))</f>
        <v/>
      </c>
      <c r="G4" s="18">
        <f>MAX(_xlfn.MAXIFS('Start Here'!$B$19:$B$58,'Start Here'!$A$19:$A$58,$A4,'Start Here'!$C$19:$C$58,"&gt;=4"),_xlfn.MAXIFS(Sets!$C$2:$C$3300,Sets!$B$2:$B$3300,$A4,Sets!$D$2:$D$3300,"&gt;=4"),_xlfn.MAXIFS(Log!$C$2:$C$1001,Log!$B$2:$B$1001,$A4,Log!$D$2:$D$1001,"&gt;=4"))</f>
        <v/>
      </c>
      <c r="H4" s="18">
        <f>MAX(_xlfn.MAXIFS('Start Here'!$B$19:$B$58,'Start Here'!$A$19:$A$58,$A4,'Start Here'!$C$19:$C$58,"&gt;=5"),_xlfn.MAXIFS(Sets!$C$2:$C$3300,Sets!$B$2:$B$3300,$A4,Sets!$D$2:$D$3300,"&gt;=5"),_xlfn.MAXIFS(Log!$C$2:$C$1001,Log!$B$2:$B$1001,$A4,Log!$D$2:$D$1001,"&gt;=5"))</f>
        <v/>
      </c>
      <c r="I4" s="18">
        <f>MAX(_xlfn.MAXIFS('Start Here'!$B$19:$B$58,'Start Here'!$A$19:$A$58,$A4,'Start Here'!$C$19:$C$58,"&gt;=6"),_xlfn.MAXIFS(Sets!$C$2:$C$3300,Sets!$B$2:$B$3300,$A4,Sets!$D$2:$D$3300,"&gt;=6"),_xlfn.MAXIFS(Log!$C$2:$C$1001,Log!$B$2:$B$1001,$A4,Log!$D$2:$D$1001,"&gt;=6"))</f>
        <v/>
      </c>
      <c r="J4" s="18">
        <f>MAX(_xlfn.MAXIFS('Start Here'!$B$19:$B$58,'Start Here'!$A$19:$A$58,$A4,'Start Here'!$C$19:$C$58,"&gt;=8"),_xlfn.MAXIFS(Sets!$C$2:$C$3300,Sets!$B$2:$B$3300,$A4,Sets!$D$2:$D$3300,"&gt;=8"),_xlfn.MAXIFS(Log!$C$2:$C$1001,Log!$B$2:$B$1001,$A4,Log!$D$2:$D$1001,"&gt;=8"))</f>
        <v/>
      </c>
      <c r="K4" s="18">
        <f>MAX(_xlfn.MAXIFS('Start Here'!$B$19:$B$58,'Start Here'!$A$19:$A$58,$A4,'Start Here'!$C$19:$C$58,"&gt;=10"),_xlfn.MAXIFS(Sets!$C$2:$C$3300,Sets!$B$2:$B$3300,$A4,Sets!$D$2:$D$3300,"&gt;=10"),_xlfn.MAXIFS(Log!$C$2:$C$1001,Log!$B$2:$B$1001,$A4,Log!$D$2:$D$1001,"&gt;=10"))</f>
        <v/>
      </c>
      <c r="L4" s="18">
        <f>MAX(_xlfn.MAXIFS('Start Here'!$B$19:$B$58,'Start Here'!$A$19:$A$58,$A4,'Start Here'!$C$19:$C$58,"&gt;=12"),_xlfn.MAXIFS(Sets!$C$2:$C$3300,Sets!$B$2:$B$3300,$A4,Sets!$D$2:$D$3300,"&gt;=12"),_xlfn.MAXIFS(Log!$C$2:$C$1001,Log!$B$2:$B$1001,$A4,Log!$D$2:$D$1001,"&gt;=12"))</f>
        <v/>
      </c>
    </row>
    <row r="5">
      <c r="A5" s="14" t="inlineStr">
        <is>
          <t>Overhead Press</t>
        </is>
      </c>
      <c r="B5" t="inlineStr">
        <is>
          <t>main</t>
        </is>
      </c>
      <c r="C5" s="63">
        <f>MAX(_xlfn.MAXIFS('Start Here'!$D$19:$D$58,'Start Here'!$A$19:$A$58,$A5),_xlfn.MAXIFS(Sets!$E$2:$E$3300,Sets!$B$2:$B$3300,$A5),_xlfn.MAXIFS(Log!$E$2:$E$1001,Log!$B$2:$B$1001,$A5))</f>
        <v/>
      </c>
      <c r="D5" s="18">
        <f>MAX(_xlfn.MAXIFS('Start Here'!$B$19:$B$58,'Start Here'!$A$19:$A$58,$A5,'Start Here'!$C$19:$C$58,"&gt;=1"),_xlfn.MAXIFS(Sets!$C$2:$C$3300,Sets!$B$2:$B$3300,$A5,Sets!$D$2:$D$3300,"&gt;=1"),_xlfn.MAXIFS(Log!$C$2:$C$1001,Log!$B$2:$B$1001,$A5,Log!$D$2:$D$1001,"&gt;=1"))</f>
        <v/>
      </c>
      <c r="E5" s="18">
        <f>MAX(_xlfn.MAXIFS('Start Here'!$B$19:$B$58,'Start Here'!$A$19:$A$58,$A5,'Start Here'!$C$19:$C$58,"&gt;=2"),_xlfn.MAXIFS(Sets!$C$2:$C$3300,Sets!$B$2:$B$3300,$A5,Sets!$D$2:$D$3300,"&gt;=2"),_xlfn.MAXIFS(Log!$C$2:$C$1001,Log!$B$2:$B$1001,$A5,Log!$D$2:$D$1001,"&gt;=2"))</f>
        <v/>
      </c>
      <c r="F5" s="18">
        <f>MAX(_xlfn.MAXIFS('Start Here'!$B$19:$B$58,'Start Here'!$A$19:$A$58,$A5,'Start Here'!$C$19:$C$58,"&gt;=3"),_xlfn.MAXIFS(Sets!$C$2:$C$3300,Sets!$B$2:$B$3300,$A5,Sets!$D$2:$D$3300,"&gt;=3"),_xlfn.MAXIFS(Log!$C$2:$C$1001,Log!$B$2:$B$1001,$A5,Log!$D$2:$D$1001,"&gt;=3"))</f>
        <v/>
      </c>
      <c r="G5" s="18">
        <f>MAX(_xlfn.MAXIFS('Start Here'!$B$19:$B$58,'Start Here'!$A$19:$A$58,$A5,'Start Here'!$C$19:$C$58,"&gt;=4"),_xlfn.MAXIFS(Sets!$C$2:$C$3300,Sets!$B$2:$B$3300,$A5,Sets!$D$2:$D$3300,"&gt;=4"),_xlfn.MAXIFS(Log!$C$2:$C$1001,Log!$B$2:$B$1001,$A5,Log!$D$2:$D$1001,"&gt;=4"))</f>
        <v/>
      </c>
      <c r="H5" s="18">
        <f>MAX(_xlfn.MAXIFS('Start Here'!$B$19:$B$58,'Start Here'!$A$19:$A$58,$A5,'Start Here'!$C$19:$C$58,"&gt;=5"),_xlfn.MAXIFS(Sets!$C$2:$C$3300,Sets!$B$2:$B$3300,$A5,Sets!$D$2:$D$3300,"&gt;=5"),_xlfn.MAXIFS(Log!$C$2:$C$1001,Log!$B$2:$B$1001,$A5,Log!$D$2:$D$1001,"&gt;=5"))</f>
        <v/>
      </c>
      <c r="I5" s="18">
        <f>MAX(_xlfn.MAXIFS('Start Here'!$B$19:$B$58,'Start Here'!$A$19:$A$58,$A5,'Start Here'!$C$19:$C$58,"&gt;=6"),_xlfn.MAXIFS(Sets!$C$2:$C$3300,Sets!$B$2:$B$3300,$A5,Sets!$D$2:$D$3300,"&gt;=6"),_xlfn.MAXIFS(Log!$C$2:$C$1001,Log!$B$2:$B$1001,$A5,Log!$D$2:$D$1001,"&gt;=6"))</f>
        <v/>
      </c>
      <c r="J5" s="18">
        <f>MAX(_xlfn.MAXIFS('Start Here'!$B$19:$B$58,'Start Here'!$A$19:$A$58,$A5,'Start Here'!$C$19:$C$58,"&gt;=8"),_xlfn.MAXIFS(Sets!$C$2:$C$3300,Sets!$B$2:$B$3300,$A5,Sets!$D$2:$D$3300,"&gt;=8"),_xlfn.MAXIFS(Log!$C$2:$C$1001,Log!$B$2:$B$1001,$A5,Log!$D$2:$D$1001,"&gt;=8"))</f>
        <v/>
      </c>
      <c r="K5" s="18">
        <f>MAX(_xlfn.MAXIFS('Start Here'!$B$19:$B$58,'Start Here'!$A$19:$A$58,$A5,'Start Here'!$C$19:$C$58,"&gt;=10"),_xlfn.MAXIFS(Sets!$C$2:$C$3300,Sets!$B$2:$B$3300,$A5,Sets!$D$2:$D$3300,"&gt;=10"),_xlfn.MAXIFS(Log!$C$2:$C$1001,Log!$B$2:$B$1001,$A5,Log!$D$2:$D$1001,"&gt;=10"))</f>
        <v/>
      </c>
      <c r="L5" s="18">
        <f>MAX(_xlfn.MAXIFS('Start Here'!$B$19:$B$58,'Start Here'!$A$19:$A$58,$A5,'Start Here'!$C$19:$C$58,"&gt;=12"),_xlfn.MAXIFS(Sets!$C$2:$C$3300,Sets!$B$2:$B$3300,$A5,Sets!$D$2:$D$3300,"&gt;=12"),_xlfn.MAXIFS(Log!$C$2:$C$1001,Log!$B$2:$B$1001,$A5,Log!$D$2:$D$1001,"&gt;=12"))</f>
        <v/>
      </c>
    </row>
    <row r="6">
      <c r="A6" s="14" t="inlineStr">
        <is>
          <t>Snatch</t>
        </is>
      </c>
      <c r="B6" t="inlineStr">
        <is>
          <t>main</t>
        </is>
      </c>
      <c r="C6" s="63">
        <f>MAX(_xlfn.MAXIFS('Start Here'!$D$19:$D$58,'Start Here'!$A$19:$A$58,$A6),_xlfn.MAXIFS(Sets!$E$2:$E$3300,Sets!$B$2:$B$3300,$A6),_xlfn.MAXIFS(Log!$E$2:$E$1001,Log!$B$2:$B$1001,$A6))</f>
        <v/>
      </c>
      <c r="D6" s="18">
        <f>MAX(_xlfn.MAXIFS('Start Here'!$B$19:$B$58,'Start Here'!$A$19:$A$58,$A6,'Start Here'!$C$19:$C$58,"&gt;=1"),_xlfn.MAXIFS(Sets!$C$2:$C$3300,Sets!$B$2:$B$3300,$A6,Sets!$D$2:$D$3300,"&gt;=1"),_xlfn.MAXIFS(Log!$C$2:$C$1001,Log!$B$2:$B$1001,$A6,Log!$D$2:$D$1001,"&gt;=1"))</f>
        <v/>
      </c>
      <c r="E6" s="18">
        <f>MAX(_xlfn.MAXIFS('Start Here'!$B$19:$B$58,'Start Here'!$A$19:$A$58,$A6,'Start Here'!$C$19:$C$58,"&gt;=2"),_xlfn.MAXIFS(Sets!$C$2:$C$3300,Sets!$B$2:$B$3300,$A6,Sets!$D$2:$D$3300,"&gt;=2"),_xlfn.MAXIFS(Log!$C$2:$C$1001,Log!$B$2:$B$1001,$A6,Log!$D$2:$D$1001,"&gt;=2"))</f>
        <v/>
      </c>
      <c r="F6" s="18">
        <f>MAX(_xlfn.MAXIFS('Start Here'!$B$19:$B$58,'Start Here'!$A$19:$A$58,$A6,'Start Here'!$C$19:$C$58,"&gt;=3"),_xlfn.MAXIFS(Sets!$C$2:$C$3300,Sets!$B$2:$B$3300,$A6,Sets!$D$2:$D$3300,"&gt;=3"),_xlfn.MAXIFS(Log!$C$2:$C$1001,Log!$B$2:$B$1001,$A6,Log!$D$2:$D$1001,"&gt;=3"))</f>
        <v/>
      </c>
      <c r="G6" s="18">
        <f>MAX(_xlfn.MAXIFS('Start Here'!$B$19:$B$58,'Start Here'!$A$19:$A$58,$A6,'Start Here'!$C$19:$C$58,"&gt;=4"),_xlfn.MAXIFS(Sets!$C$2:$C$3300,Sets!$B$2:$B$3300,$A6,Sets!$D$2:$D$3300,"&gt;=4"),_xlfn.MAXIFS(Log!$C$2:$C$1001,Log!$B$2:$B$1001,$A6,Log!$D$2:$D$1001,"&gt;=4"))</f>
        <v/>
      </c>
      <c r="H6" s="18">
        <f>MAX(_xlfn.MAXIFS('Start Here'!$B$19:$B$58,'Start Here'!$A$19:$A$58,$A6,'Start Here'!$C$19:$C$58,"&gt;=5"),_xlfn.MAXIFS(Sets!$C$2:$C$3300,Sets!$B$2:$B$3300,$A6,Sets!$D$2:$D$3300,"&gt;=5"),_xlfn.MAXIFS(Log!$C$2:$C$1001,Log!$B$2:$B$1001,$A6,Log!$D$2:$D$1001,"&gt;=5"))</f>
        <v/>
      </c>
      <c r="I6" s="18">
        <f>MAX(_xlfn.MAXIFS('Start Here'!$B$19:$B$58,'Start Here'!$A$19:$A$58,$A6,'Start Here'!$C$19:$C$58,"&gt;=6"),_xlfn.MAXIFS(Sets!$C$2:$C$3300,Sets!$B$2:$B$3300,$A6,Sets!$D$2:$D$3300,"&gt;=6"),_xlfn.MAXIFS(Log!$C$2:$C$1001,Log!$B$2:$B$1001,$A6,Log!$D$2:$D$1001,"&gt;=6"))</f>
        <v/>
      </c>
      <c r="J6" s="18">
        <f>MAX(_xlfn.MAXIFS('Start Here'!$B$19:$B$58,'Start Here'!$A$19:$A$58,$A6,'Start Here'!$C$19:$C$58,"&gt;=8"),_xlfn.MAXIFS(Sets!$C$2:$C$3300,Sets!$B$2:$B$3300,$A6,Sets!$D$2:$D$3300,"&gt;=8"),_xlfn.MAXIFS(Log!$C$2:$C$1001,Log!$B$2:$B$1001,$A6,Log!$D$2:$D$1001,"&gt;=8"))</f>
        <v/>
      </c>
      <c r="K6" s="18">
        <f>MAX(_xlfn.MAXIFS('Start Here'!$B$19:$B$58,'Start Here'!$A$19:$A$58,$A6,'Start Here'!$C$19:$C$58,"&gt;=10"),_xlfn.MAXIFS(Sets!$C$2:$C$3300,Sets!$B$2:$B$3300,$A6,Sets!$D$2:$D$3300,"&gt;=10"),_xlfn.MAXIFS(Log!$C$2:$C$1001,Log!$B$2:$B$1001,$A6,Log!$D$2:$D$1001,"&gt;=10"))</f>
        <v/>
      </c>
      <c r="L6" s="18">
        <f>MAX(_xlfn.MAXIFS('Start Here'!$B$19:$B$58,'Start Here'!$A$19:$A$58,$A6,'Start Here'!$C$19:$C$58,"&gt;=12"),_xlfn.MAXIFS(Sets!$C$2:$C$3300,Sets!$B$2:$B$3300,$A6,Sets!$D$2:$D$3300,"&gt;=12"),_xlfn.MAXIFS(Log!$C$2:$C$1001,Log!$B$2:$B$1001,$A6,Log!$D$2:$D$1001,"&gt;=12"))</f>
        <v/>
      </c>
    </row>
    <row r="7">
      <c r="A7" s="14" t="inlineStr">
        <is>
          <t>Clean &amp; Jerk</t>
        </is>
      </c>
      <c r="B7" t="inlineStr">
        <is>
          <t>main</t>
        </is>
      </c>
      <c r="C7" s="63">
        <f>MAX(_xlfn.MAXIFS('Start Here'!$D$19:$D$58,'Start Here'!$A$19:$A$58,$A7),_xlfn.MAXIFS(Sets!$E$2:$E$3300,Sets!$B$2:$B$3300,$A7),_xlfn.MAXIFS(Log!$E$2:$E$1001,Log!$B$2:$B$1001,$A7))</f>
        <v/>
      </c>
      <c r="D7" s="18">
        <f>MAX(_xlfn.MAXIFS('Start Here'!$B$19:$B$58,'Start Here'!$A$19:$A$58,$A7,'Start Here'!$C$19:$C$58,"&gt;=1"),_xlfn.MAXIFS(Sets!$C$2:$C$3300,Sets!$B$2:$B$3300,$A7,Sets!$D$2:$D$3300,"&gt;=1"),_xlfn.MAXIFS(Log!$C$2:$C$1001,Log!$B$2:$B$1001,$A7,Log!$D$2:$D$1001,"&gt;=1"))</f>
        <v/>
      </c>
      <c r="E7" s="18">
        <f>MAX(_xlfn.MAXIFS('Start Here'!$B$19:$B$58,'Start Here'!$A$19:$A$58,$A7,'Start Here'!$C$19:$C$58,"&gt;=2"),_xlfn.MAXIFS(Sets!$C$2:$C$3300,Sets!$B$2:$B$3300,$A7,Sets!$D$2:$D$3300,"&gt;=2"),_xlfn.MAXIFS(Log!$C$2:$C$1001,Log!$B$2:$B$1001,$A7,Log!$D$2:$D$1001,"&gt;=2"))</f>
        <v/>
      </c>
      <c r="F7" s="18">
        <f>MAX(_xlfn.MAXIFS('Start Here'!$B$19:$B$58,'Start Here'!$A$19:$A$58,$A7,'Start Here'!$C$19:$C$58,"&gt;=3"),_xlfn.MAXIFS(Sets!$C$2:$C$3300,Sets!$B$2:$B$3300,$A7,Sets!$D$2:$D$3300,"&gt;=3"),_xlfn.MAXIFS(Log!$C$2:$C$1001,Log!$B$2:$B$1001,$A7,Log!$D$2:$D$1001,"&gt;=3"))</f>
        <v/>
      </c>
      <c r="G7" s="18">
        <f>MAX(_xlfn.MAXIFS('Start Here'!$B$19:$B$58,'Start Here'!$A$19:$A$58,$A7,'Start Here'!$C$19:$C$58,"&gt;=4"),_xlfn.MAXIFS(Sets!$C$2:$C$3300,Sets!$B$2:$B$3300,$A7,Sets!$D$2:$D$3300,"&gt;=4"),_xlfn.MAXIFS(Log!$C$2:$C$1001,Log!$B$2:$B$1001,$A7,Log!$D$2:$D$1001,"&gt;=4"))</f>
        <v/>
      </c>
      <c r="H7" s="18">
        <f>MAX(_xlfn.MAXIFS('Start Here'!$B$19:$B$58,'Start Here'!$A$19:$A$58,$A7,'Start Here'!$C$19:$C$58,"&gt;=5"),_xlfn.MAXIFS(Sets!$C$2:$C$3300,Sets!$B$2:$B$3300,$A7,Sets!$D$2:$D$3300,"&gt;=5"),_xlfn.MAXIFS(Log!$C$2:$C$1001,Log!$B$2:$B$1001,$A7,Log!$D$2:$D$1001,"&gt;=5"))</f>
        <v/>
      </c>
      <c r="I7" s="18">
        <f>MAX(_xlfn.MAXIFS('Start Here'!$B$19:$B$58,'Start Here'!$A$19:$A$58,$A7,'Start Here'!$C$19:$C$58,"&gt;=6"),_xlfn.MAXIFS(Sets!$C$2:$C$3300,Sets!$B$2:$B$3300,$A7,Sets!$D$2:$D$3300,"&gt;=6"),_xlfn.MAXIFS(Log!$C$2:$C$1001,Log!$B$2:$B$1001,$A7,Log!$D$2:$D$1001,"&gt;=6"))</f>
        <v/>
      </c>
      <c r="J7" s="18">
        <f>MAX(_xlfn.MAXIFS('Start Here'!$B$19:$B$58,'Start Here'!$A$19:$A$58,$A7,'Start Here'!$C$19:$C$58,"&gt;=8"),_xlfn.MAXIFS(Sets!$C$2:$C$3300,Sets!$B$2:$B$3300,$A7,Sets!$D$2:$D$3300,"&gt;=8"),_xlfn.MAXIFS(Log!$C$2:$C$1001,Log!$B$2:$B$1001,$A7,Log!$D$2:$D$1001,"&gt;=8"))</f>
        <v/>
      </c>
      <c r="K7" s="18">
        <f>MAX(_xlfn.MAXIFS('Start Here'!$B$19:$B$58,'Start Here'!$A$19:$A$58,$A7,'Start Here'!$C$19:$C$58,"&gt;=10"),_xlfn.MAXIFS(Sets!$C$2:$C$3300,Sets!$B$2:$B$3300,$A7,Sets!$D$2:$D$3300,"&gt;=10"),_xlfn.MAXIFS(Log!$C$2:$C$1001,Log!$B$2:$B$1001,$A7,Log!$D$2:$D$1001,"&gt;=10"))</f>
        <v/>
      </c>
      <c r="L7" s="18">
        <f>MAX(_xlfn.MAXIFS('Start Here'!$B$19:$B$58,'Start Here'!$A$19:$A$58,$A7,'Start Here'!$C$19:$C$58,"&gt;=12"),_xlfn.MAXIFS(Sets!$C$2:$C$3300,Sets!$B$2:$B$3300,$A7,Sets!$D$2:$D$3300,"&gt;=12"),_xlfn.MAXIFS(Log!$C$2:$C$1001,Log!$B$2:$B$1001,$A7,Log!$D$2:$D$1001,"&gt;=12"))</f>
        <v/>
      </c>
    </row>
    <row r="8">
      <c r="A8" s="24" t="inlineStr">
        <is>
          <t>Box Squat</t>
        </is>
      </c>
      <c r="B8" t="inlineStr">
        <is>
          <t>variation</t>
        </is>
      </c>
      <c r="C8" s="63">
        <f>MAX(_xlfn.MAXIFS('Start Here'!$D$19:$D$58,'Start Here'!$A$19:$A$58,$A8),_xlfn.MAXIFS(Sets!$E$2:$E$3300,Sets!$B$2:$B$3300,$A8),_xlfn.MAXIFS(Log!$E$2:$E$1001,Log!$B$2:$B$1001,$A8))</f>
        <v/>
      </c>
      <c r="D8" s="18">
        <f>MAX(_xlfn.MAXIFS('Start Here'!$B$19:$B$58,'Start Here'!$A$19:$A$58,$A8,'Start Here'!$C$19:$C$58,"&gt;=1"),_xlfn.MAXIFS(Sets!$C$2:$C$3300,Sets!$B$2:$B$3300,$A8,Sets!$D$2:$D$3300,"&gt;=1"),_xlfn.MAXIFS(Log!$C$2:$C$1001,Log!$B$2:$B$1001,$A8,Log!$D$2:$D$1001,"&gt;=1"))</f>
        <v/>
      </c>
      <c r="E8" s="18">
        <f>MAX(_xlfn.MAXIFS('Start Here'!$B$19:$B$58,'Start Here'!$A$19:$A$58,$A8,'Start Here'!$C$19:$C$58,"&gt;=2"),_xlfn.MAXIFS(Sets!$C$2:$C$3300,Sets!$B$2:$B$3300,$A8,Sets!$D$2:$D$3300,"&gt;=2"),_xlfn.MAXIFS(Log!$C$2:$C$1001,Log!$B$2:$B$1001,$A8,Log!$D$2:$D$1001,"&gt;=2"))</f>
        <v/>
      </c>
      <c r="F8" s="18">
        <f>MAX(_xlfn.MAXIFS('Start Here'!$B$19:$B$58,'Start Here'!$A$19:$A$58,$A8,'Start Here'!$C$19:$C$58,"&gt;=3"),_xlfn.MAXIFS(Sets!$C$2:$C$3300,Sets!$B$2:$B$3300,$A8,Sets!$D$2:$D$3300,"&gt;=3"),_xlfn.MAXIFS(Log!$C$2:$C$1001,Log!$B$2:$B$1001,$A8,Log!$D$2:$D$1001,"&gt;=3"))</f>
        <v/>
      </c>
      <c r="G8" s="18">
        <f>MAX(_xlfn.MAXIFS('Start Here'!$B$19:$B$58,'Start Here'!$A$19:$A$58,$A8,'Start Here'!$C$19:$C$58,"&gt;=4"),_xlfn.MAXIFS(Sets!$C$2:$C$3300,Sets!$B$2:$B$3300,$A8,Sets!$D$2:$D$3300,"&gt;=4"),_xlfn.MAXIFS(Log!$C$2:$C$1001,Log!$B$2:$B$1001,$A8,Log!$D$2:$D$1001,"&gt;=4"))</f>
        <v/>
      </c>
      <c r="H8" s="18">
        <f>MAX(_xlfn.MAXIFS('Start Here'!$B$19:$B$58,'Start Here'!$A$19:$A$58,$A8,'Start Here'!$C$19:$C$58,"&gt;=5"),_xlfn.MAXIFS(Sets!$C$2:$C$3300,Sets!$B$2:$B$3300,$A8,Sets!$D$2:$D$3300,"&gt;=5"),_xlfn.MAXIFS(Log!$C$2:$C$1001,Log!$B$2:$B$1001,$A8,Log!$D$2:$D$1001,"&gt;=5"))</f>
        <v/>
      </c>
      <c r="I8" s="18">
        <f>MAX(_xlfn.MAXIFS('Start Here'!$B$19:$B$58,'Start Here'!$A$19:$A$58,$A8,'Start Here'!$C$19:$C$58,"&gt;=6"),_xlfn.MAXIFS(Sets!$C$2:$C$3300,Sets!$B$2:$B$3300,$A8,Sets!$D$2:$D$3300,"&gt;=6"),_xlfn.MAXIFS(Log!$C$2:$C$1001,Log!$B$2:$B$1001,$A8,Log!$D$2:$D$1001,"&gt;=6"))</f>
        <v/>
      </c>
      <c r="J8" s="18">
        <f>MAX(_xlfn.MAXIFS('Start Here'!$B$19:$B$58,'Start Here'!$A$19:$A$58,$A8,'Start Here'!$C$19:$C$58,"&gt;=8"),_xlfn.MAXIFS(Sets!$C$2:$C$3300,Sets!$B$2:$B$3300,$A8,Sets!$D$2:$D$3300,"&gt;=8"),_xlfn.MAXIFS(Log!$C$2:$C$1001,Log!$B$2:$B$1001,$A8,Log!$D$2:$D$1001,"&gt;=8"))</f>
        <v/>
      </c>
      <c r="K8" s="18">
        <f>MAX(_xlfn.MAXIFS('Start Here'!$B$19:$B$58,'Start Here'!$A$19:$A$58,$A8,'Start Here'!$C$19:$C$58,"&gt;=10"),_xlfn.MAXIFS(Sets!$C$2:$C$3300,Sets!$B$2:$B$3300,$A8,Sets!$D$2:$D$3300,"&gt;=10"),_xlfn.MAXIFS(Log!$C$2:$C$1001,Log!$B$2:$B$1001,$A8,Log!$D$2:$D$1001,"&gt;=10"))</f>
        <v/>
      </c>
      <c r="L8" s="18">
        <f>MAX(_xlfn.MAXIFS('Start Here'!$B$19:$B$58,'Start Here'!$A$19:$A$58,$A8,'Start Here'!$C$19:$C$58,"&gt;=12"),_xlfn.MAXIFS(Sets!$C$2:$C$3300,Sets!$B$2:$B$3300,$A8,Sets!$D$2:$D$3300,"&gt;=12"),_xlfn.MAXIFS(Log!$C$2:$C$1001,Log!$B$2:$B$1001,$A8,Log!$D$2:$D$1001,"&gt;=12"))</f>
        <v/>
      </c>
    </row>
    <row r="9">
      <c r="A9" s="24" t="inlineStr">
        <is>
          <t>Pause Squat</t>
        </is>
      </c>
      <c r="B9" t="inlineStr">
        <is>
          <t>variation</t>
        </is>
      </c>
      <c r="C9" s="63">
        <f>MAX(_xlfn.MAXIFS('Start Here'!$D$19:$D$58,'Start Here'!$A$19:$A$58,$A9),_xlfn.MAXIFS(Sets!$E$2:$E$3300,Sets!$B$2:$B$3300,$A9),_xlfn.MAXIFS(Log!$E$2:$E$1001,Log!$B$2:$B$1001,$A9))</f>
        <v/>
      </c>
      <c r="D9" s="18">
        <f>MAX(_xlfn.MAXIFS('Start Here'!$B$19:$B$58,'Start Here'!$A$19:$A$58,$A9,'Start Here'!$C$19:$C$58,"&gt;=1"),_xlfn.MAXIFS(Sets!$C$2:$C$3300,Sets!$B$2:$B$3300,$A9,Sets!$D$2:$D$3300,"&gt;=1"),_xlfn.MAXIFS(Log!$C$2:$C$1001,Log!$B$2:$B$1001,$A9,Log!$D$2:$D$1001,"&gt;=1"))</f>
        <v/>
      </c>
      <c r="E9" s="18">
        <f>MAX(_xlfn.MAXIFS('Start Here'!$B$19:$B$58,'Start Here'!$A$19:$A$58,$A9,'Start Here'!$C$19:$C$58,"&gt;=2"),_xlfn.MAXIFS(Sets!$C$2:$C$3300,Sets!$B$2:$B$3300,$A9,Sets!$D$2:$D$3300,"&gt;=2"),_xlfn.MAXIFS(Log!$C$2:$C$1001,Log!$B$2:$B$1001,$A9,Log!$D$2:$D$1001,"&gt;=2"))</f>
        <v/>
      </c>
      <c r="F9" s="18">
        <f>MAX(_xlfn.MAXIFS('Start Here'!$B$19:$B$58,'Start Here'!$A$19:$A$58,$A9,'Start Here'!$C$19:$C$58,"&gt;=3"),_xlfn.MAXIFS(Sets!$C$2:$C$3300,Sets!$B$2:$B$3300,$A9,Sets!$D$2:$D$3300,"&gt;=3"),_xlfn.MAXIFS(Log!$C$2:$C$1001,Log!$B$2:$B$1001,$A9,Log!$D$2:$D$1001,"&gt;=3"))</f>
        <v/>
      </c>
      <c r="G9" s="18">
        <f>MAX(_xlfn.MAXIFS('Start Here'!$B$19:$B$58,'Start Here'!$A$19:$A$58,$A9,'Start Here'!$C$19:$C$58,"&gt;=4"),_xlfn.MAXIFS(Sets!$C$2:$C$3300,Sets!$B$2:$B$3300,$A9,Sets!$D$2:$D$3300,"&gt;=4"),_xlfn.MAXIFS(Log!$C$2:$C$1001,Log!$B$2:$B$1001,$A9,Log!$D$2:$D$1001,"&gt;=4"))</f>
        <v/>
      </c>
      <c r="H9" s="18">
        <f>MAX(_xlfn.MAXIFS('Start Here'!$B$19:$B$58,'Start Here'!$A$19:$A$58,$A9,'Start Here'!$C$19:$C$58,"&gt;=5"),_xlfn.MAXIFS(Sets!$C$2:$C$3300,Sets!$B$2:$B$3300,$A9,Sets!$D$2:$D$3300,"&gt;=5"),_xlfn.MAXIFS(Log!$C$2:$C$1001,Log!$B$2:$B$1001,$A9,Log!$D$2:$D$1001,"&gt;=5"))</f>
        <v/>
      </c>
      <c r="I9" s="18">
        <f>MAX(_xlfn.MAXIFS('Start Here'!$B$19:$B$58,'Start Here'!$A$19:$A$58,$A9,'Start Here'!$C$19:$C$58,"&gt;=6"),_xlfn.MAXIFS(Sets!$C$2:$C$3300,Sets!$B$2:$B$3300,$A9,Sets!$D$2:$D$3300,"&gt;=6"),_xlfn.MAXIFS(Log!$C$2:$C$1001,Log!$B$2:$B$1001,$A9,Log!$D$2:$D$1001,"&gt;=6"))</f>
        <v/>
      </c>
      <c r="J9" s="18">
        <f>MAX(_xlfn.MAXIFS('Start Here'!$B$19:$B$58,'Start Here'!$A$19:$A$58,$A9,'Start Here'!$C$19:$C$58,"&gt;=8"),_xlfn.MAXIFS(Sets!$C$2:$C$3300,Sets!$B$2:$B$3300,$A9,Sets!$D$2:$D$3300,"&gt;=8"),_xlfn.MAXIFS(Log!$C$2:$C$1001,Log!$B$2:$B$1001,$A9,Log!$D$2:$D$1001,"&gt;=8"))</f>
        <v/>
      </c>
      <c r="K9" s="18">
        <f>MAX(_xlfn.MAXIFS('Start Here'!$B$19:$B$58,'Start Here'!$A$19:$A$58,$A9,'Start Here'!$C$19:$C$58,"&gt;=10"),_xlfn.MAXIFS(Sets!$C$2:$C$3300,Sets!$B$2:$B$3300,$A9,Sets!$D$2:$D$3300,"&gt;=10"),_xlfn.MAXIFS(Log!$C$2:$C$1001,Log!$B$2:$B$1001,$A9,Log!$D$2:$D$1001,"&gt;=10"))</f>
        <v/>
      </c>
      <c r="L9" s="18">
        <f>MAX(_xlfn.MAXIFS('Start Here'!$B$19:$B$58,'Start Here'!$A$19:$A$58,$A9,'Start Here'!$C$19:$C$58,"&gt;=12"),_xlfn.MAXIFS(Sets!$C$2:$C$3300,Sets!$B$2:$B$3300,$A9,Sets!$D$2:$D$3300,"&gt;=12"),_xlfn.MAXIFS(Log!$C$2:$C$1001,Log!$B$2:$B$1001,$A9,Log!$D$2:$D$1001,"&gt;=12"))</f>
        <v/>
      </c>
    </row>
    <row r="10">
      <c r="A10" s="24" t="inlineStr">
        <is>
          <t>Front Squat</t>
        </is>
      </c>
      <c r="B10" t="inlineStr">
        <is>
          <t>variation</t>
        </is>
      </c>
      <c r="C10" s="63">
        <f>MAX(_xlfn.MAXIFS('Start Here'!$D$19:$D$58,'Start Here'!$A$19:$A$58,$A10),_xlfn.MAXIFS(Sets!$E$2:$E$3300,Sets!$B$2:$B$3300,$A10),_xlfn.MAXIFS(Log!$E$2:$E$1001,Log!$B$2:$B$1001,$A10))</f>
        <v/>
      </c>
      <c r="D10" s="18">
        <f>MAX(_xlfn.MAXIFS('Start Here'!$B$19:$B$58,'Start Here'!$A$19:$A$58,$A10,'Start Here'!$C$19:$C$58,"&gt;=1"),_xlfn.MAXIFS(Sets!$C$2:$C$3300,Sets!$B$2:$B$3300,$A10,Sets!$D$2:$D$3300,"&gt;=1"),_xlfn.MAXIFS(Log!$C$2:$C$1001,Log!$B$2:$B$1001,$A10,Log!$D$2:$D$1001,"&gt;=1"))</f>
        <v/>
      </c>
      <c r="E10" s="18">
        <f>MAX(_xlfn.MAXIFS('Start Here'!$B$19:$B$58,'Start Here'!$A$19:$A$58,$A10,'Start Here'!$C$19:$C$58,"&gt;=2"),_xlfn.MAXIFS(Sets!$C$2:$C$3300,Sets!$B$2:$B$3300,$A10,Sets!$D$2:$D$3300,"&gt;=2"),_xlfn.MAXIFS(Log!$C$2:$C$1001,Log!$B$2:$B$1001,$A10,Log!$D$2:$D$1001,"&gt;=2"))</f>
        <v/>
      </c>
      <c r="F10" s="18">
        <f>MAX(_xlfn.MAXIFS('Start Here'!$B$19:$B$58,'Start Here'!$A$19:$A$58,$A10,'Start Here'!$C$19:$C$58,"&gt;=3"),_xlfn.MAXIFS(Sets!$C$2:$C$3300,Sets!$B$2:$B$3300,$A10,Sets!$D$2:$D$3300,"&gt;=3"),_xlfn.MAXIFS(Log!$C$2:$C$1001,Log!$B$2:$B$1001,$A10,Log!$D$2:$D$1001,"&gt;=3"))</f>
        <v/>
      </c>
      <c r="G10" s="18">
        <f>MAX(_xlfn.MAXIFS('Start Here'!$B$19:$B$58,'Start Here'!$A$19:$A$58,$A10,'Start Here'!$C$19:$C$58,"&gt;=4"),_xlfn.MAXIFS(Sets!$C$2:$C$3300,Sets!$B$2:$B$3300,$A10,Sets!$D$2:$D$3300,"&gt;=4"),_xlfn.MAXIFS(Log!$C$2:$C$1001,Log!$B$2:$B$1001,$A10,Log!$D$2:$D$1001,"&gt;=4"))</f>
        <v/>
      </c>
      <c r="H10" s="18">
        <f>MAX(_xlfn.MAXIFS('Start Here'!$B$19:$B$58,'Start Here'!$A$19:$A$58,$A10,'Start Here'!$C$19:$C$58,"&gt;=5"),_xlfn.MAXIFS(Sets!$C$2:$C$3300,Sets!$B$2:$B$3300,$A10,Sets!$D$2:$D$3300,"&gt;=5"),_xlfn.MAXIFS(Log!$C$2:$C$1001,Log!$B$2:$B$1001,$A10,Log!$D$2:$D$1001,"&gt;=5"))</f>
        <v/>
      </c>
      <c r="I10" s="18">
        <f>MAX(_xlfn.MAXIFS('Start Here'!$B$19:$B$58,'Start Here'!$A$19:$A$58,$A10,'Start Here'!$C$19:$C$58,"&gt;=6"),_xlfn.MAXIFS(Sets!$C$2:$C$3300,Sets!$B$2:$B$3300,$A10,Sets!$D$2:$D$3300,"&gt;=6"),_xlfn.MAXIFS(Log!$C$2:$C$1001,Log!$B$2:$B$1001,$A10,Log!$D$2:$D$1001,"&gt;=6"))</f>
        <v/>
      </c>
      <c r="J10" s="18">
        <f>MAX(_xlfn.MAXIFS('Start Here'!$B$19:$B$58,'Start Here'!$A$19:$A$58,$A10,'Start Here'!$C$19:$C$58,"&gt;=8"),_xlfn.MAXIFS(Sets!$C$2:$C$3300,Sets!$B$2:$B$3300,$A10,Sets!$D$2:$D$3300,"&gt;=8"),_xlfn.MAXIFS(Log!$C$2:$C$1001,Log!$B$2:$B$1001,$A10,Log!$D$2:$D$1001,"&gt;=8"))</f>
        <v/>
      </c>
      <c r="K10" s="18">
        <f>MAX(_xlfn.MAXIFS('Start Here'!$B$19:$B$58,'Start Here'!$A$19:$A$58,$A10,'Start Here'!$C$19:$C$58,"&gt;=10"),_xlfn.MAXIFS(Sets!$C$2:$C$3300,Sets!$B$2:$B$3300,$A10,Sets!$D$2:$D$3300,"&gt;=10"),_xlfn.MAXIFS(Log!$C$2:$C$1001,Log!$B$2:$B$1001,$A10,Log!$D$2:$D$1001,"&gt;=10"))</f>
        <v/>
      </c>
      <c r="L10" s="18">
        <f>MAX(_xlfn.MAXIFS('Start Here'!$B$19:$B$58,'Start Here'!$A$19:$A$58,$A10,'Start Here'!$C$19:$C$58,"&gt;=12"),_xlfn.MAXIFS(Sets!$C$2:$C$3300,Sets!$B$2:$B$3300,$A10,Sets!$D$2:$D$3300,"&gt;=12"),_xlfn.MAXIFS(Log!$C$2:$C$1001,Log!$B$2:$B$1001,$A10,Log!$D$2:$D$1001,"&gt;=12"))</f>
        <v/>
      </c>
    </row>
    <row r="11">
      <c r="A11" s="24" t="inlineStr">
        <is>
          <t>Safety Bar Squat</t>
        </is>
      </c>
      <c r="B11" t="inlineStr">
        <is>
          <t>variation</t>
        </is>
      </c>
      <c r="C11" s="63">
        <f>MAX(_xlfn.MAXIFS('Start Here'!$D$19:$D$58,'Start Here'!$A$19:$A$58,$A11),_xlfn.MAXIFS(Sets!$E$2:$E$3300,Sets!$B$2:$B$3300,$A11),_xlfn.MAXIFS(Log!$E$2:$E$1001,Log!$B$2:$B$1001,$A11))</f>
        <v/>
      </c>
      <c r="D11" s="18">
        <f>MAX(_xlfn.MAXIFS('Start Here'!$B$19:$B$58,'Start Here'!$A$19:$A$58,$A11,'Start Here'!$C$19:$C$58,"&gt;=1"),_xlfn.MAXIFS(Sets!$C$2:$C$3300,Sets!$B$2:$B$3300,$A11,Sets!$D$2:$D$3300,"&gt;=1"),_xlfn.MAXIFS(Log!$C$2:$C$1001,Log!$B$2:$B$1001,$A11,Log!$D$2:$D$1001,"&gt;=1"))</f>
        <v/>
      </c>
      <c r="E11" s="18">
        <f>MAX(_xlfn.MAXIFS('Start Here'!$B$19:$B$58,'Start Here'!$A$19:$A$58,$A11,'Start Here'!$C$19:$C$58,"&gt;=2"),_xlfn.MAXIFS(Sets!$C$2:$C$3300,Sets!$B$2:$B$3300,$A11,Sets!$D$2:$D$3300,"&gt;=2"),_xlfn.MAXIFS(Log!$C$2:$C$1001,Log!$B$2:$B$1001,$A11,Log!$D$2:$D$1001,"&gt;=2"))</f>
        <v/>
      </c>
      <c r="F11" s="18">
        <f>MAX(_xlfn.MAXIFS('Start Here'!$B$19:$B$58,'Start Here'!$A$19:$A$58,$A11,'Start Here'!$C$19:$C$58,"&gt;=3"),_xlfn.MAXIFS(Sets!$C$2:$C$3300,Sets!$B$2:$B$3300,$A11,Sets!$D$2:$D$3300,"&gt;=3"),_xlfn.MAXIFS(Log!$C$2:$C$1001,Log!$B$2:$B$1001,$A11,Log!$D$2:$D$1001,"&gt;=3"))</f>
        <v/>
      </c>
      <c r="G11" s="18">
        <f>MAX(_xlfn.MAXIFS('Start Here'!$B$19:$B$58,'Start Here'!$A$19:$A$58,$A11,'Start Here'!$C$19:$C$58,"&gt;=4"),_xlfn.MAXIFS(Sets!$C$2:$C$3300,Sets!$B$2:$B$3300,$A11,Sets!$D$2:$D$3300,"&gt;=4"),_xlfn.MAXIFS(Log!$C$2:$C$1001,Log!$B$2:$B$1001,$A11,Log!$D$2:$D$1001,"&gt;=4"))</f>
        <v/>
      </c>
      <c r="H11" s="18">
        <f>MAX(_xlfn.MAXIFS('Start Here'!$B$19:$B$58,'Start Here'!$A$19:$A$58,$A11,'Start Here'!$C$19:$C$58,"&gt;=5"),_xlfn.MAXIFS(Sets!$C$2:$C$3300,Sets!$B$2:$B$3300,$A11,Sets!$D$2:$D$3300,"&gt;=5"),_xlfn.MAXIFS(Log!$C$2:$C$1001,Log!$B$2:$B$1001,$A11,Log!$D$2:$D$1001,"&gt;=5"))</f>
        <v/>
      </c>
      <c r="I11" s="18">
        <f>MAX(_xlfn.MAXIFS('Start Here'!$B$19:$B$58,'Start Here'!$A$19:$A$58,$A11,'Start Here'!$C$19:$C$58,"&gt;=6"),_xlfn.MAXIFS(Sets!$C$2:$C$3300,Sets!$B$2:$B$3300,$A11,Sets!$D$2:$D$3300,"&gt;=6"),_xlfn.MAXIFS(Log!$C$2:$C$1001,Log!$B$2:$B$1001,$A11,Log!$D$2:$D$1001,"&gt;=6"))</f>
        <v/>
      </c>
      <c r="J11" s="18">
        <f>MAX(_xlfn.MAXIFS('Start Here'!$B$19:$B$58,'Start Here'!$A$19:$A$58,$A11,'Start Here'!$C$19:$C$58,"&gt;=8"),_xlfn.MAXIFS(Sets!$C$2:$C$3300,Sets!$B$2:$B$3300,$A11,Sets!$D$2:$D$3300,"&gt;=8"),_xlfn.MAXIFS(Log!$C$2:$C$1001,Log!$B$2:$B$1001,$A11,Log!$D$2:$D$1001,"&gt;=8"))</f>
        <v/>
      </c>
      <c r="K11" s="18">
        <f>MAX(_xlfn.MAXIFS('Start Here'!$B$19:$B$58,'Start Here'!$A$19:$A$58,$A11,'Start Here'!$C$19:$C$58,"&gt;=10"),_xlfn.MAXIFS(Sets!$C$2:$C$3300,Sets!$B$2:$B$3300,$A11,Sets!$D$2:$D$3300,"&gt;=10"),_xlfn.MAXIFS(Log!$C$2:$C$1001,Log!$B$2:$B$1001,$A11,Log!$D$2:$D$1001,"&gt;=10"))</f>
        <v/>
      </c>
      <c r="L11" s="18">
        <f>MAX(_xlfn.MAXIFS('Start Here'!$B$19:$B$58,'Start Here'!$A$19:$A$58,$A11,'Start Here'!$C$19:$C$58,"&gt;=12"),_xlfn.MAXIFS(Sets!$C$2:$C$3300,Sets!$B$2:$B$3300,$A11,Sets!$D$2:$D$3300,"&gt;=12"),_xlfn.MAXIFS(Log!$C$2:$C$1001,Log!$B$2:$B$1001,$A11,Log!$D$2:$D$1001,"&gt;=12"))</f>
        <v/>
      </c>
    </row>
    <row r="12">
      <c r="A12" s="24" t="inlineStr">
        <is>
          <t>Pin Squat</t>
        </is>
      </c>
      <c r="B12" t="inlineStr">
        <is>
          <t>variation</t>
        </is>
      </c>
      <c r="C12" s="63">
        <f>MAX(_xlfn.MAXIFS('Start Here'!$D$19:$D$58,'Start Here'!$A$19:$A$58,$A12),_xlfn.MAXIFS(Sets!$E$2:$E$3300,Sets!$B$2:$B$3300,$A12),_xlfn.MAXIFS(Log!$E$2:$E$1001,Log!$B$2:$B$1001,$A12))</f>
        <v/>
      </c>
      <c r="D12" s="18">
        <f>MAX(_xlfn.MAXIFS('Start Here'!$B$19:$B$58,'Start Here'!$A$19:$A$58,$A12,'Start Here'!$C$19:$C$58,"&gt;=1"),_xlfn.MAXIFS(Sets!$C$2:$C$3300,Sets!$B$2:$B$3300,$A12,Sets!$D$2:$D$3300,"&gt;=1"),_xlfn.MAXIFS(Log!$C$2:$C$1001,Log!$B$2:$B$1001,$A12,Log!$D$2:$D$1001,"&gt;=1"))</f>
        <v/>
      </c>
      <c r="E12" s="18">
        <f>MAX(_xlfn.MAXIFS('Start Here'!$B$19:$B$58,'Start Here'!$A$19:$A$58,$A12,'Start Here'!$C$19:$C$58,"&gt;=2"),_xlfn.MAXIFS(Sets!$C$2:$C$3300,Sets!$B$2:$B$3300,$A12,Sets!$D$2:$D$3300,"&gt;=2"),_xlfn.MAXIFS(Log!$C$2:$C$1001,Log!$B$2:$B$1001,$A12,Log!$D$2:$D$1001,"&gt;=2"))</f>
        <v/>
      </c>
      <c r="F12" s="18">
        <f>MAX(_xlfn.MAXIFS('Start Here'!$B$19:$B$58,'Start Here'!$A$19:$A$58,$A12,'Start Here'!$C$19:$C$58,"&gt;=3"),_xlfn.MAXIFS(Sets!$C$2:$C$3300,Sets!$B$2:$B$3300,$A12,Sets!$D$2:$D$3300,"&gt;=3"),_xlfn.MAXIFS(Log!$C$2:$C$1001,Log!$B$2:$B$1001,$A12,Log!$D$2:$D$1001,"&gt;=3"))</f>
        <v/>
      </c>
      <c r="G12" s="18">
        <f>MAX(_xlfn.MAXIFS('Start Here'!$B$19:$B$58,'Start Here'!$A$19:$A$58,$A12,'Start Here'!$C$19:$C$58,"&gt;=4"),_xlfn.MAXIFS(Sets!$C$2:$C$3300,Sets!$B$2:$B$3300,$A12,Sets!$D$2:$D$3300,"&gt;=4"),_xlfn.MAXIFS(Log!$C$2:$C$1001,Log!$B$2:$B$1001,$A12,Log!$D$2:$D$1001,"&gt;=4"))</f>
        <v/>
      </c>
      <c r="H12" s="18">
        <f>MAX(_xlfn.MAXIFS('Start Here'!$B$19:$B$58,'Start Here'!$A$19:$A$58,$A12,'Start Here'!$C$19:$C$58,"&gt;=5"),_xlfn.MAXIFS(Sets!$C$2:$C$3300,Sets!$B$2:$B$3300,$A12,Sets!$D$2:$D$3300,"&gt;=5"),_xlfn.MAXIFS(Log!$C$2:$C$1001,Log!$B$2:$B$1001,$A12,Log!$D$2:$D$1001,"&gt;=5"))</f>
        <v/>
      </c>
      <c r="I12" s="18">
        <f>MAX(_xlfn.MAXIFS('Start Here'!$B$19:$B$58,'Start Here'!$A$19:$A$58,$A12,'Start Here'!$C$19:$C$58,"&gt;=6"),_xlfn.MAXIFS(Sets!$C$2:$C$3300,Sets!$B$2:$B$3300,$A12,Sets!$D$2:$D$3300,"&gt;=6"),_xlfn.MAXIFS(Log!$C$2:$C$1001,Log!$B$2:$B$1001,$A12,Log!$D$2:$D$1001,"&gt;=6"))</f>
        <v/>
      </c>
      <c r="J12" s="18">
        <f>MAX(_xlfn.MAXIFS('Start Here'!$B$19:$B$58,'Start Here'!$A$19:$A$58,$A12,'Start Here'!$C$19:$C$58,"&gt;=8"),_xlfn.MAXIFS(Sets!$C$2:$C$3300,Sets!$B$2:$B$3300,$A12,Sets!$D$2:$D$3300,"&gt;=8"),_xlfn.MAXIFS(Log!$C$2:$C$1001,Log!$B$2:$B$1001,$A12,Log!$D$2:$D$1001,"&gt;=8"))</f>
        <v/>
      </c>
      <c r="K12" s="18">
        <f>MAX(_xlfn.MAXIFS('Start Here'!$B$19:$B$58,'Start Here'!$A$19:$A$58,$A12,'Start Here'!$C$19:$C$58,"&gt;=10"),_xlfn.MAXIFS(Sets!$C$2:$C$3300,Sets!$B$2:$B$3300,$A12,Sets!$D$2:$D$3300,"&gt;=10"),_xlfn.MAXIFS(Log!$C$2:$C$1001,Log!$B$2:$B$1001,$A12,Log!$D$2:$D$1001,"&gt;=10"))</f>
        <v/>
      </c>
      <c r="L12" s="18">
        <f>MAX(_xlfn.MAXIFS('Start Here'!$B$19:$B$58,'Start Here'!$A$19:$A$58,$A12,'Start Here'!$C$19:$C$58,"&gt;=12"),_xlfn.MAXIFS(Sets!$C$2:$C$3300,Sets!$B$2:$B$3300,$A12,Sets!$D$2:$D$3300,"&gt;=12"),_xlfn.MAXIFS(Log!$C$2:$C$1001,Log!$B$2:$B$1001,$A12,Log!$D$2:$D$1001,"&gt;=12"))</f>
        <v/>
      </c>
    </row>
    <row r="13">
      <c r="A13" s="24" t="inlineStr">
        <is>
          <t>Tempo Squat</t>
        </is>
      </c>
      <c r="B13" t="inlineStr">
        <is>
          <t>variation</t>
        </is>
      </c>
      <c r="C13" s="63">
        <f>MAX(_xlfn.MAXIFS('Start Here'!$D$19:$D$58,'Start Here'!$A$19:$A$58,$A13),_xlfn.MAXIFS(Sets!$E$2:$E$3300,Sets!$B$2:$B$3300,$A13),_xlfn.MAXIFS(Log!$E$2:$E$1001,Log!$B$2:$B$1001,$A13))</f>
        <v/>
      </c>
      <c r="D13" s="18">
        <f>MAX(_xlfn.MAXIFS('Start Here'!$B$19:$B$58,'Start Here'!$A$19:$A$58,$A13,'Start Here'!$C$19:$C$58,"&gt;=1"),_xlfn.MAXIFS(Sets!$C$2:$C$3300,Sets!$B$2:$B$3300,$A13,Sets!$D$2:$D$3300,"&gt;=1"),_xlfn.MAXIFS(Log!$C$2:$C$1001,Log!$B$2:$B$1001,$A13,Log!$D$2:$D$1001,"&gt;=1"))</f>
        <v/>
      </c>
      <c r="E13" s="18">
        <f>MAX(_xlfn.MAXIFS('Start Here'!$B$19:$B$58,'Start Here'!$A$19:$A$58,$A13,'Start Here'!$C$19:$C$58,"&gt;=2"),_xlfn.MAXIFS(Sets!$C$2:$C$3300,Sets!$B$2:$B$3300,$A13,Sets!$D$2:$D$3300,"&gt;=2"),_xlfn.MAXIFS(Log!$C$2:$C$1001,Log!$B$2:$B$1001,$A13,Log!$D$2:$D$1001,"&gt;=2"))</f>
        <v/>
      </c>
      <c r="F13" s="18">
        <f>MAX(_xlfn.MAXIFS('Start Here'!$B$19:$B$58,'Start Here'!$A$19:$A$58,$A13,'Start Here'!$C$19:$C$58,"&gt;=3"),_xlfn.MAXIFS(Sets!$C$2:$C$3300,Sets!$B$2:$B$3300,$A13,Sets!$D$2:$D$3300,"&gt;=3"),_xlfn.MAXIFS(Log!$C$2:$C$1001,Log!$B$2:$B$1001,$A13,Log!$D$2:$D$1001,"&gt;=3"))</f>
        <v/>
      </c>
      <c r="G13" s="18">
        <f>MAX(_xlfn.MAXIFS('Start Here'!$B$19:$B$58,'Start Here'!$A$19:$A$58,$A13,'Start Here'!$C$19:$C$58,"&gt;=4"),_xlfn.MAXIFS(Sets!$C$2:$C$3300,Sets!$B$2:$B$3300,$A13,Sets!$D$2:$D$3300,"&gt;=4"),_xlfn.MAXIFS(Log!$C$2:$C$1001,Log!$B$2:$B$1001,$A13,Log!$D$2:$D$1001,"&gt;=4"))</f>
        <v/>
      </c>
      <c r="H13" s="18">
        <f>MAX(_xlfn.MAXIFS('Start Here'!$B$19:$B$58,'Start Here'!$A$19:$A$58,$A13,'Start Here'!$C$19:$C$58,"&gt;=5"),_xlfn.MAXIFS(Sets!$C$2:$C$3300,Sets!$B$2:$B$3300,$A13,Sets!$D$2:$D$3300,"&gt;=5"),_xlfn.MAXIFS(Log!$C$2:$C$1001,Log!$B$2:$B$1001,$A13,Log!$D$2:$D$1001,"&gt;=5"))</f>
        <v/>
      </c>
      <c r="I13" s="18">
        <f>MAX(_xlfn.MAXIFS('Start Here'!$B$19:$B$58,'Start Here'!$A$19:$A$58,$A13,'Start Here'!$C$19:$C$58,"&gt;=6"),_xlfn.MAXIFS(Sets!$C$2:$C$3300,Sets!$B$2:$B$3300,$A13,Sets!$D$2:$D$3300,"&gt;=6"),_xlfn.MAXIFS(Log!$C$2:$C$1001,Log!$B$2:$B$1001,$A13,Log!$D$2:$D$1001,"&gt;=6"))</f>
        <v/>
      </c>
      <c r="J13" s="18">
        <f>MAX(_xlfn.MAXIFS('Start Here'!$B$19:$B$58,'Start Here'!$A$19:$A$58,$A13,'Start Here'!$C$19:$C$58,"&gt;=8"),_xlfn.MAXIFS(Sets!$C$2:$C$3300,Sets!$B$2:$B$3300,$A13,Sets!$D$2:$D$3300,"&gt;=8"),_xlfn.MAXIFS(Log!$C$2:$C$1001,Log!$B$2:$B$1001,$A13,Log!$D$2:$D$1001,"&gt;=8"))</f>
        <v/>
      </c>
      <c r="K13" s="18">
        <f>MAX(_xlfn.MAXIFS('Start Here'!$B$19:$B$58,'Start Here'!$A$19:$A$58,$A13,'Start Here'!$C$19:$C$58,"&gt;=10"),_xlfn.MAXIFS(Sets!$C$2:$C$3300,Sets!$B$2:$B$3300,$A13,Sets!$D$2:$D$3300,"&gt;=10"),_xlfn.MAXIFS(Log!$C$2:$C$1001,Log!$B$2:$B$1001,$A13,Log!$D$2:$D$1001,"&gt;=10"))</f>
        <v/>
      </c>
      <c r="L13" s="18">
        <f>MAX(_xlfn.MAXIFS('Start Here'!$B$19:$B$58,'Start Here'!$A$19:$A$58,$A13,'Start Here'!$C$19:$C$58,"&gt;=12"),_xlfn.MAXIFS(Sets!$C$2:$C$3300,Sets!$B$2:$B$3300,$A13,Sets!$D$2:$D$3300,"&gt;=12"),_xlfn.MAXIFS(Log!$C$2:$C$1001,Log!$B$2:$B$1001,$A13,Log!$D$2:$D$1001,"&gt;=12"))</f>
        <v/>
      </c>
    </row>
    <row r="14">
      <c r="A14" s="24" t="inlineStr">
        <is>
          <t>Close-Grip Bench Press</t>
        </is>
      </c>
      <c r="B14" t="inlineStr">
        <is>
          <t>variation</t>
        </is>
      </c>
      <c r="C14" s="63">
        <f>MAX(_xlfn.MAXIFS('Start Here'!$D$19:$D$58,'Start Here'!$A$19:$A$58,$A14),_xlfn.MAXIFS(Sets!$E$2:$E$3300,Sets!$B$2:$B$3300,$A14),_xlfn.MAXIFS(Log!$E$2:$E$1001,Log!$B$2:$B$1001,$A14))</f>
        <v/>
      </c>
      <c r="D14" s="18">
        <f>MAX(_xlfn.MAXIFS('Start Here'!$B$19:$B$58,'Start Here'!$A$19:$A$58,$A14,'Start Here'!$C$19:$C$58,"&gt;=1"),_xlfn.MAXIFS(Sets!$C$2:$C$3300,Sets!$B$2:$B$3300,$A14,Sets!$D$2:$D$3300,"&gt;=1"),_xlfn.MAXIFS(Log!$C$2:$C$1001,Log!$B$2:$B$1001,$A14,Log!$D$2:$D$1001,"&gt;=1"))</f>
        <v/>
      </c>
      <c r="E14" s="18">
        <f>MAX(_xlfn.MAXIFS('Start Here'!$B$19:$B$58,'Start Here'!$A$19:$A$58,$A14,'Start Here'!$C$19:$C$58,"&gt;=2"),_xlfn.MAXIFS(Sets!$C$2:$C$3300,Sets!$B$2:$B$3300,$A14,Sets!$D$2:$D$3300,"&gt;=2"),_xlfn.MAXIFS(Log!$C$2:$C$1001,Log!$B$2:$B$1001,$A14,Log!$D$2:$D$1001,"&gt;=2"))</f>
        <v/>
      </c>
      <c r="F14" s="18">
        <f>MAX(_xlfn.MAXIFS('Start Here'!$B$19:$B$58,'Start Here'!$A$19:$A$58,$A14,'Start Here'!$C$19:$C$58,"&gt;=3"),_xlfn.MAXIFS(Sets!$C$2:$C$3300,Sets!$B$2:$B$3300,$A14,Sets!$D$2:$D$3300,"&gt;=3"),_xlfn.MAXIFS(Log!$C$2:$C$1001,Log!$B$2:$B$1001,$A14,Log!$D$2:$D$1001,"&gt;=3"))</f>
        <v/>
      </c>
      <c r="G14" s="18">
        <f>MAX(_xlfn.MAXIFS('Start Here'!$B$19:$B$58,'Start Here'!$A$19:$A$58,$A14,'Start Here'!$C$19:$C$58,"&gt;=4"),_xlfn.MAXIFS(Sets!$C$2:$C$3300,Sets!$B$2:$B$3300,$A14,Sets!$D$2:$D$3300,"&gt;=4"),_xlfn.MAXIFS(Log!$C$2:$C$1001,Log!$B$2:$B$1001,$A14,Log!$D$2:$D$1001,"&gt;=4"))</f>
        <v/>
      </c>
      <c r="H14" s="18">
        <f>MAX(_xlfn.MAXIFS('Start Here'!$B$19:$B$58,'Start Here'!$A$19:$A$58,$A14,'Start Here'!$C$19:$C$58,"&gt;=5"),_xlfn.MAXIFS(Sets!$C$2:$C$3300,Sets!$B$2:$B$3300,$A14,Sets!$D$2:$D$3300,"&gt;=5"),_xlfn.MAXIFS(Log!$C$2:$C$1001,Log!$B$2:$B$1001,$A14,Log!$D$2:$D$1001,"&gt;=5"))</f>
        <v/>
      </c>
      <c r="I14" s="18">
        <f>MAX(_xlfn.MAXIFS('Start Here'!$B$19:$B$58,'Start Here'!$A$19:$A$58,$A14,'Start Here'!$C$19:$C$58,"&gt;=6"),_xlfn.MAXIFS(Sets!$C$2:$C$3300,Sets!$B$2:$B$3300,$A14,Sets!$D$2:$D$3300,"&gt;=6"),_xlfn.MAXIFS(Log!$C$2:$C$1001,Log!$B$2:$B$1001,$A14,Log!$D$2:$D$1001,"&gt;=6"))</f>
        <v/>
      </c>
      <c r="J14" s="18">
        <f>MAX(_xlfn.MAXIFS('Start Here'!$B$19:$B$58,'Start Here'!$A$19:$A$58,$A14,'Start Here'!$C$19:$C$58,"&gt;=8"),_xlfn.MAXIFS(Sets!$C$2:$C$3300,Sets!$B$2:$B$3300,$A14,Sets!$D$2:$D$3300,"&gt;=8"),_xlfn.MAXIFS(Log!$C$2:$C$1001,Log!$B$2:$B$1001,$A14,Log!$D$2:$D$1001,"&gt;=8"))</f>
        <v/>
      </c>
      <c r="K14" s="18">
        <f>MAX(_xlfn.MAXIFS('Start Here'!$B$19:$B$58,'Start Here'!$A$19:$A$58,$A14,'Start Here'!$C$19:$C$58,"&gt;=10"),_xlfn.MAXIFS(Sets!$C$2:$C$3300,Sets!$B$2:$B$3300,$A14,Sets!$D$2:$D$3300,"&gt;=10"),_xlfn.MAXIFS(Log!$C$2:$C$1001,Log!$B$2:$B$1001,$A14,Log!$D$2:$D$1001,"&gt;=10"))</f>
        <v/>
      </c>
      <c r="L14" s="18">
        <f>MAX(_xlfn.MAXIFS('Start Here'!$B$19:$B$58,'Start Here'!$A$19:$A$58,$A14,'Start Here'!$C$19:$C$58,"&gt;=12"),_xlfn.MAXIFS(Sets!$C$2:$C$3300,Sets!$B$2:$B$3300,$A14,Sets!$D$2:$D$3300,"&gt;=12"),_xlfn.MAXIFS(Log!$C$2:$C$1001,Log!$B$2:$B$1001,$A14,Log!$D$2:$D$1001,"&gt;=12"))</f>
        <v/>
      </c>
    </row>
    <row r="15">
      <c r="A15" s="24" t="inlineStr">
        <is>
          <t>1-Board Press</t>
        </is>
      </c>
      <c r="B15" t="inlineStr">
        <is>
          <t>variation</t>
        </is>
      </c>
      <c r="C15" s="63">
        <f>MAX(_xlfn.MAXIFS('Start Here'!$D$19:$D$58,'Start Here'!$A$19:$A$58,$A15),_xlfn.MAXIFS(Sets!$E$2:$E$3300,Sets!$B$2:$B$3300,$A15),_xlfn.MAXIFS(Log!$E$2:$E$1001,Log!$B$2:$B$1001,$A15))</f>
        <v/>
      </c>
      <c r="D15" s="18">
        <f>MAX(_xlfn.MAXIFS('Start Here'!$B$19:$B$58,'Start Here'!$A$19:$A$58,$A15,'Start Here'!$C$19:$C$58,"&gt;=1"),_xlfn.MAXIFS(Sets!$C$2:$C$3300,Sets!$B$2:$B$3300,$A15,Sets!$D$2:$D$3300,"&gt;=1"),_xlfn.MAXIFS(Log!$C$2:$C$1001,Log!$B$2:$B$1001,$A15,Log!$D$2:$D$1001,"&gt;=1"))</f>
        <v/>
      </c>
      <c r="E15" s="18">
        <f>MAX(_xlfn.MAXIFS('Start Here'!$B$19:$B$58,'Start Here'!$A$19:$A$58,$A15,'Start Here'!$C$19:$C$58,"&gt;=2"),_xlfn.MAXIFS(Sets!$C$2:$C$3300,Sets!$B$2:$B$3300,$A15,Sets!$D$2:$D$3300,"&gt;=2"),_xlfn.MAXIFS(Log!$C$2:$C$1001,Log!$B$2:$B$1001,$A15,Log!$D$2:$D$1001,"&gt;=2"))</f>
        <v/>
      </c>
      <c r="F15" s="18">
        <f>MAX(_xlfn.MAXIFS('Start Here'!$B$19:$B$58,'Start Here'!$A$19:$A$58,$A15,'Start Here'!$C$19:$C$58,"&gt;=3"),_xlfn.MAXIFS(Sets!$C$2:$C$3300,Sets!$B$2:$B$3300,$A15,Sets!$D$2:$D$3300,"&gt;=3"),_xlfn.MAXIFS(Log!$C$2:$C$1001,Log!$B$2:$B$1001,$A15,Log!$D$2:$D$1001,"&gt;=3"))</f>
        <v/>
      </c>
      <c r="G15" s="18">
        <f>MAX(_xlfn.MAXIFS('Start Here'!$B$19:$B$58,'Start Here'!$A$19:$A$58,$A15,'Start Here'!$C$19:$C$58,"&gt;=4"),_xlfn.MAXIFS(Sets!$C$2:$C$3300,Sets!$B$2:$B$3300,$A15,Sets!$D$2:$D$3300,"&gt;=4"),_xlfn.MAXIFS(Log!$C$2:$C$1001,Log!$B$2:$B$1001,$A15,Log!$D$2:$D$1001,"&gt;=4"))</f>
        <v/>
      </c>
      <c r="H15" s="18">
        <f>MAX(_xlfn.MAXIFS('Start Here'!$B$19:$B$58,'Start Here'!$A$19:$A$58,$A15,'Start Here'!$C$19:$C$58,"&gt;=5"),_xlfn.MAXIFS(Sets!$C$2:$C$3300,Sets!$B$2:$B$3300,$A15,Sets!$D$2:$D$3300,"&gt;=5"),_xlfn.MAXIFS(Log!$C$2:$C$1001,Log!$B$2:$B$1001,$A15,Log!$D$2:$D$1001,"&gt;=5"))</f>
        <v/>
      </c>
      <c r="I15" s="18">
        <f>MAX(_xlfn.MAXIFS('Start Here'!$B$19:$B$58,'Start Here'!$A$19:$A$58,$A15,'Start Here'!$C$19:$C$58,"&gt;=6"),_xlfn.MAXIFS(Sets!$C$2:$C$3300,Sets!$B$2:$B$3300,$A15,Sets!$D$2:$D$3300,"&gt;=6"),_xlfn.MAXIFS(Log!$C$2:$C$1001,Log!$B$2:$B$1001,$A15,Log!$D$2:$D$1001,"&gt;=6"))</f>
        <v/>
      </c>
      <c r="J15" s="18">
        <f>MAX(_xlfn.MAXIFS('Start Here'!$B$19:$B$58,'Start Here'!$A$19:$A$58,$A15,'Start Here'!$C$19:$C$58,"&gt;=8"),_xlfn.MAXIFS(Sets!$C$2:$C$3300,Sets!$B$2:$B$3300,$A15,Sets!$D$2:$D$3300,"&gt;=8"),_xlfn.MAXIFS(Log!$C$2:$C$1001,Log!$B$2:$B$1001,$A15,Log!$D$2:$D$1001,"&gt;=8"))</f>
        <v/>
      </c>
      <c r="K15" s="18">
        <f>MAX(_xlfn.MAXIFS('Start Here'!$B$19:$B$58,'Start Here'!$A$19:$A$58,$A15,'Start Here'!$C$19:$C$58,"&gt;=10"),_xlfn.MAXIFS(Sets!$C$2:$C$3300,Sets!$B$2:$B$3300,$A15,Sets!$D$2:$D$3300,"&gt;=10"),_xlfn.MAXIFS(Log!$C$2:$C$1001,Log!$B$2:$B$1001,$A15,Log!$D$2:$D$1001,"&gt;=10"))</f>
        <v/>
      </c>
      <c r="L15" s="18">
        <f>MAX(_xlfn.MAXIFS('Start Here'!$B$19:$B$58,'Start Here'!$A$19:$A$58,$A15,'Start Here'!$C$19:$C$58,"&gt;=12"),_xlfn.MAXIFS(Sets!$C$2:$C$3300,Sets!$B$2:$B$3300,$A15,Sets!$D$2:$D$3300,"&gt;=12"),_xlfn.MAXIFS(Log!$C$2:$C$1001,Log!$B$2:$B$1001,$A15,Log!$D$2:$D$1001,"&gt;=12"))</f>
        <v/>
      </c>
    </row>
    <row r="16">
      <c r="A16" s="24" t="inlineStr">
        <is>
          <t>2-Board Press</t>
        </is>
      </c>
      <c r="B16" t="inlineStr">
        <is>
          <t>variation</t>
        </is>
      </c>
      <c r="C16" s="63">
        <f>MAX(_xlfn.MAXIFS('Start Here'!$D$19:$D$58,'Start Here'!$A$19:$A$58,$A16),_xlfn.MAXIFS(Sets!$E$2:$E$3300,Sets!$B$2:$B$3300,$A16),_xlfn.MAXIFS(Log!$E$2:$E$1001,Log!$B$2:$B$1001,$A16))</f>
        <v/>
      </c>
      <c r="D16" s="18">
        <f>MAX(_xlfn.MAXIFS('Start Here'!$B$19:$B$58,'Start Here'!$A$19:$A$58,$A16,'Start Here'!$C$19:$C$58,"&gt;=1"),_xlfn.MAXIFS(Sets!$C$2:$C$3300,Sets!$B$2:$B$3300,$A16,Sets!$D$2:$D$3300,"&gt;=1"),_xlfn.MAXIFS(Log!$C$2:$C$1001,Log!$B$2:$B$1001,$A16,Log!$D$2:$D$1001,"&gt;=1"))</f>
        <v/>
      </c>
      <c r="E16" s="18">
        <f>MAX(_xlfn.MAXIFS('Start Here'!$B$19:$B$58,'Start Here'!$A$19:$A$58,$A16,'Start Here'!$C$19:$C$58,"&gt;=2"),_xlfn.MAXIFS(Sets!$C$2:$C$3300,Sets!$B$2:$B$3300,$A16,Sets!$D$2:$D$3300,"&gt;=2"),_xlfn.MAXIFS(Log!$C$2:$C$1001,Log!$B$2:$B$1001,$A16,Log!$D$2:$D$1001,"&gt;=2"))</f>
        <v/>
      </c>
      <c r="F16" s="18">
        <f>MAX(_xlfn.MAXIFS('Start Here'!$B$19:$B$58,'Start Here'!$A$19:$A$58,$A16,'Start Here'!$C$19:$C$58,"&gt;=3"),_xlfn.MAXIFS(Sets!$C$2:$C$3300,Sets!$B$2:$B$3300,$A16,Sets!$D$2:$D$3300,"&gt;=3"),_xlfn.MAXIFS(Log!$C$2:$C$1001,Log!$B$2:$B$1001,$A16,Log!$D$2:$D$1001,"&gt;=3"))</f>
        <v/>
      </c>
      <c r="G16" s="18">
        <f>MAX(_xlfn.MAXIFS('Start Here'!$B$19:$B$58,'Start Here'!$A$19:$A$58,$A16,'Start Here'!$C$19:$C$58,"&gt;=4"),_xlfn.MAXIFS(Sets!$C$2:$C$3300,Sets!$B$2:$B$3300,$A16,Sets!$D$2:$D$3300,"&gt;=4"),_xlfn.MAXIFS(Log!$C$2:$C$1001,Log!$B$2:$B$1001,$A16,Log!$D$2:$D$1001,"&gt;=4"))</f>
        <v/>
      </c>
      <c r="H16" s="18">
        <f>MAX(_xlfn.MAXIFS('Start Here'!$B$19:$B$58,'Start Here'!$A$19:$A$58,$A16,'Start Here'!$C$19:$C$58,"&gt;=5"),_xlfn.MAXIFS(Sets!$C$2:$C$3300,Sets!$B$2:$B$3300,$A16,Sets!$D$2:$D$3300,"&gt;=5"),_xlfn.MAXIFS(Log!$C$2:$C$1001,Log!$B$2:$B$1001,$A16,Log!$D$2:$D$1001,"&gt;=5"))</f>
        <v/>
      </c>
      <c r="I16" s="18">
        <f>MAX(_xlfn.MAXIFS('Start Here'!$B$19:$B$58,'Start Here'!$A$19:$A$58,$A16,'Start Here'!$C$19:$C$58,"&gt;=6"),_xlfn.MAXIFS(Sets!$C$2:$C$3300,Sets!$B$2:$B$3300,$A16,Sets!$D$2:$D$3300,"&gt;=6"),_xlfn.MAXIFS(Log!$C$2:$C$1001,Log!$B$2:$B$1001,$A16,Log!$D$2:$D$1001,"&gt;=6"))</f>
        <v/>
      </c>
      <c r="J16" s="18">
        <f>MAX(_xlfn.MAXIFS('Start Here'!$B$19:$B$58,'Start Here'!$A$19:$A$58,$A16,'Start Here'!$C$19:$C$58,"&gt;=8"),_xlfn.MAXIFS(Sets!$C$2:$C$3300,Sets!$B$2:$B$3300,$A16,Sets!$D$2:$D$3300,"&gt;=8"),_xlfn.MAXIFS(Log!$C$2:$C$1001,Log!$B$2:$B$1001,$A16,Log!$D$2:$D$1001,"&gt;=8"))</f>
        <v/>
      </c>
      <c r="K16" s="18">
        <f>MAX(_xlfn.MAXIFS('Start Here'!$B$19:$B$58,'Start Here'!$A$19:$A$58,$A16,'Start Here'!$C$19:$C$58,"&gt;=10"),_xlfn.MAXIFS(Sets!$C$2:$C$3300,Sets!$B$2:$B$3300,$A16,Sets!$D$2:$D$3300,"&gt;=10"),_xlfn.MAXIFS(Log!$C$2:$C$1001,Log!$B$2:$B$1001,$A16,Log!$D$2:$D$1001,"&gt;=10"))</f>
        <v/>
      </c>
      <c r="L16" s="18">
        <f>MAX(_xlfn.MAXIFS('Start Here'!$B$19:$B$58,'Start Here'!$A$19:$A$58,$A16,'Start Here'!$C$19:$C$58,"&gt;=12"),_xlfn.MAXIFS(Sets!$C$2:$C$3300,Sets!$B$2:$B$3300,$A16,Sets!$D$2:$D$3300,"&gt;=12"),_xlfn.MAXIFS(Log!$C$2:$C$1001,Log!$B$2:$B$1001,$A16,Log!$D$2:$D$1001,"&gt;=12"))</f>
        <v/>
      </c>
    </row>
    <row r="17">
      <c r="A17" s="24" t="inlineStr">
        <is>
          <t>3-Board Press</t>
        </is>
      </c>
      <c r="B17" t="inlineStr">
        <is>
          <t>variation</t>
        </is>
      </c>
      <c r="C17" s="63">
        <f>MAX(_xlfn.MAXIFS('Start Here'!$D$19:$D$58,'Start Here'!$A$19:$A$58,$A17),_xlfn.MAXIFS(Sets!$E$2:$E$3300,Sets!$B$2:$B$3300,$A17),_xlfn.MAXIFS(Log!$E$2:$E$1001,Log!$B$2:$B$1001,$A17))</f>
        <v/>
      </c>
      <c r="D17" s="18">
        <f>MAX(_xlfn.MAXIFS('Start Here'!$B$19:$B$58,'Start Here'!$A$19:$A$58,$A17,'Start Here'!$C$19:$C$58,"&gt;=1"),_xlfn.MAXIFS(Sets!$C$2:$C$3300,Sets!$B$2:$B$3300,$A17,Sets!$D$2:$D$3300,"&gt;=1"),_xlfn.MAXIFS(Log!$C$2:$C$1001,Log!$B$2:$B$1001,$A17,Log!$D$2:$D$1001,"&gt;=1"))</f>
        <v/>
      </c>
      <c r="E17" s="18">
        <f>MAX(_xlfn.MAXIFS('Start Here'!$B$19:$B$58,'Start Here'!$A$19:$A$58,$A17,'Start Here'!$C$19:$C$58,"&gt;=2"),_xlfn.MAXIFS(Sets!$C$2:$C$3300,Sets!$B$2:$B$3300,$A17,Sets!$D$2:$D$3300,"&gt;=2"),_xlfn.MAXIFS(Log!$C$2:$C$1001,Log!$B$2:$B$1001,$A17,Log!$D$2:$D$1001,"&gt;=2"))</f>
        <v/>
      </c>
      <c r="F17" s="18">
        <f>MAX(_xlfn.MAXIFS('Start Here'!$B$19:$B$58,'Start Here'!$A$19:$A$58,$A17,'Start Here'!$C$19:$C$58,"&gt;=3"),_xlfn.MAXIFS(Sets!$C$2:$C$3300,Sets!$B$2:$B$3300,$A17,Sets!$D$2:$D$3300,"&gt;=3"),_xlfn.MAXIFS(Log!$C$2:$C$1001,Log!$B$2:$B$1001,$A17,Log!$D$2:$D$1001,"&gt;=3"))</f>
        <v/>
      </c>
      <c r="G17" s="18">
        <f>MAX(_xlfn.MAXIFS('Start Here'!$B$19:$B$58,'Start Here'!$A$19:$A$58,$A17,'Start Here'!$C$19:$C$58,"&gt;=4"),_xlfn.MAXIFS(Sets!$C$2:$C$3300,Sets!$B$2:$B$3300,$A17,Sets!$D$2:$D$3300,"&gt;=4"),_xlfn.MAXIFS(Log!$C$2:$C$1001,Log!$B$2:$B$1001,$A17,Log!$D$2:$D$1001,"&gt;=4"))</f>
        <v/>
      </c>
      <c r="H17" s="18">
        <f>MAX(_xlfn.MAXIFS('Start Here'!$B$19:$B$58,'Start Here'!$A$19:$A$58,$A17,'Start Here'!$C$19:$C$58,"&gt;=5"),_xlfn.MAXIFS(Sets!$C$2:$C$3300,Sets!$B$2:$B$3300,$A17,Sets!$D$2:$D$3300,"&gt;=5"),_xlfn.MAXIFS(Log!$C$2:$C$1001,Log!$B$2:$B$1001,$A17,Log!$D$2:$D$1001,"&gt;=5"))</f>
        <v/>
      </c>
      <c r="I17" s="18">
        <f>MAX(_xlfn.MAXIFS('Start Here'!$B$19:$B$58,'Start Here'!$A$19:$A$58,$A17,'Start Here'!$C$19:$C$58,"&gt;=6"),_xlfn.MAXIFS(Sets!$C$2:$C$3300,Sets!$B$2:$B$3300,$A17,Sets!$D$2:$D$3300,"&gt;=6"),_xlfn.MAXIFS(Log!$C$2:$C$1001,Log!$B$2:$B$1001,$A17,Log!$D$2:$D$1001,"&gt;=6"))</f>
        <v/>
      </c>
      <c r="J17" s="18">
        <f>MAX(_xlfn.MAXIFS('Start Here'!$B$19:$B$58,'Start Here'!$A$19:$A$58,$A17,'Start Here'!$C$19:$C$58,"&gt;=8"),_xlfn.MAXIFS(Sets!$C$2:$C$3300,Sets!$B$2:$B$3300,$A17,Sets!$D$2:$D$3300,"&gt;=8"),_xlfn.MAXIFS(Log!$C$2:$C$1001,Log!$B$2:$B$1001,$A17,Log!$D$2:$D$1001,"&gt;=8"))</f>
        <v/>
      </c>
      <c r="K17" s="18">
        <f>MAX(_xlfn.MAXIFS('Start Here'!$B$19:$B$58,'Start Here'!$A$19:$A$58,$A17,'Start Here'!$C$19:$C$58,"&gt;=10"),_xlfn.MAXIFS(Sets!$C$2:$C$3300,Sets!$B$2:$B$3300,$A17,Sets!$D$2:$D$3300,"&gt;=10"),_xlfn.MAXIFS(Log!$C$2:$C$1001,Log!$B$2:$B$1001,$A17,Log!$D$2:$D$1001,"&gt;=10"))</f>
        <v/>
      </c>
      <c r="L17" s="18">
        <f>MAX(_xlfn.MAXIFS('Start Here'!$B$19:$B$58,'Start Here'!$A$19:$A$58,$A17,'Start Here'!$C$19:$C$58,"&gt;=12"),_xlfn.MAXIFS(Sets!$C$2:$C$3300,Sets!$B$2:$B$3300,$A17,Sets!$D$2:$D$3300,"&gt;=12"),_xlfn.MAXIFS(Log!$C$2:$C$1001,Log!$B$2:$B$1001,$A17,Log!$D$2:$D$1001,"&gt;=12"))</f>
        <v/>
      </c>
    </row>
    <row r="18">
      <c r="A18" s="24" t="inlineStr">
        <is>
          <t>Pause Bench Press</t>
        </is>
      </c>
      <c r="B18" t="inlineStr">
        <is>
          <t>variation</t>
        </is>
      </c>
      <c r="C18" s="63">
        <f>MAX(_xlfn.MAXIFS('Start Here'!$D$19:$D$58,'Start Here'!$A$19:$A$58,$A18),_xlfn.MAXIFS(Sets!$E$2:$E$3300,Sets!$B$2:$B$3300,$A18),_xlfn.MAXIFS(Log!$E$2:$E$1001,Log!$B$2:$B$1001,$A18))</f>
        <v/>
      </c>
      <c r="D18" s="18">
        <f>MAX(_xlfn.MAXIFS('Start Here'!$B$19:$B$58,'Start Here'!$A$19:$A$58,$A18,'Start Here'!$C$19:$C$58,"&gt;=1"),_xlfn.MAXIFS(Sets!$C$2:$C$3300,Sets!$B$2:$B$3300,$A18,Sets!$D$2:$D$3300,"&gt;=1"),_xlfn.MAXIFS(Log!$C$2:$C$1001,Log!$B$2:$B$1001,$A18,Log!$D$2:$D$1001,"&gt;=1"))</f>
        <v/>
      </c>
      <c r="E18" s="18">
        <f>MAX(_xlfn.MAXIFS('Start Here'!$B$19:$B$58,'Start Here'!$A$19:$A$58,$A18,'Start Here'!$C$19:$C$58,"&gt;=2"),_xlfn.MAXIFS(Sets!$C$2:$C$3300,Sets!$B$2:$B$3300,$A18,Sets!$D$2:$D$3300,"&gt;=2"),_xlfn.MAXIFS(Log!$C$2:$C$1001,Log!$B$2:$B$1001,$A18,Log!$D$2:$D$1001,"&gt;=2"))</f>
        <v/>
      </c>
      <c r="F18" s="18">
        <f>MAX(_xlfn.MAXIFS('Start Here'!$B$19:$B$58,'Start Here'!$A$19:$A$58,$A18,'Start Here'!$C$19:$C$58,"&gt;=3"),_xlfn.MAXIFS(Sets!$C$2:$C$3300,Sets!$B$2:$B$3300,$A18,Sets!$D$2:$D$3300,"&gt;=3"),_xlfn.MAXIFS(Log!$C$2:$C$1001,Log!$B$2:$B$1001,$A18,Log!$D$2:$D$1001,"&gt;=3"))</f>
        <v/>
      </c>
      <c r="G18" s="18">
        <f>MAX(_xlfn.MAXIFS('Start Here'!$B$19:$B$58,'Start Here'!$A$19:$A$58,$A18,'Start Here'!$C$19:$C$58,"&gt;=4"),_xlfn.MAXIFS(Sets!$C$2:$C$3300,Sets!$B$2:$B$3300,$A18,Sets!$D$2:$D$3300,"&gt;=4"),_xlfn.MAXIFS(Log!$C$2:$C$1001,Log!$B$2:$B$1001,$A18,Log!$D$2:$D$1001,"&gt;=4"))</f>
        <v/>
      </c>
      <c r="H18" s="18">
        <f>MAX(_xlfn.MAXIFS('Start Here'!$B$19:$B$58,'Start Here'!$A$19:$A$58,$A18,'Start Here'!$C$19:$C$58,"&gt;=5"),_xlfn.MAXIFS(Sets!$C$2:$C$3300,Sets!$B$2:$B$3300,$A18,Sets!$D$2:$D$3300,"&gt;=5"),_xlfn.MAXIFS(Log!$C$2:$C$1001,Log!$B$2:$B$1001,$A18,Log!$D$2:$D$1001,"&gt;=5"))</f>
        <v/>
      </c>
      <c r="I18" s="18">
        <f>MAX(_xlfn.MAXIFS('Start Here'!$B$19:$B$58,'Start Here'!$A$19:$A$58,$A18,'Start Here'!$C$19:$C$58,"&gt;=6"),_xlfn.MAXIFS(Sets!$C$2:$C$3300,Sets!$B$2:$B$3300,$A18,Sets!$D$2:$D$3300,"&gt;=6"),_xlfn.MAXIFS(Log!$C$2:$C$1001,Log!$B$2:$B$1001,$A18,Log!$D$2:$D$1001,"&gt;=6"))</f>
        <v/>
      </c>
      <c r="J18" s="18">
        <f>MAX(_xlfn.MAXIFS('Start Here'!$B$19:$B$58,'Start Here'!$A$19:$A$58,$A18,'Start Here'!$C$19:$C$58,"&gt;=8"),_xlfn.MAXIFS(Sets!$C$2:$C$3300,Sets!$B$2:$B$3300,$A18,Sets!$D$2:$D$3300,"&gt;=8"),_xlfn.MAXIFS(Log!$C$2:$C$1001,Log!$B$2:$B$1001,$A18,Log!$D$2:$D$1001,"&gt;=8"))</f>
        <v/>
      </c>
      <c r="K18" s="18">
        <f>MAX(_xlfn.MAXIFS('Start Here'!$B$19:$B$58,'Start Here'!$A$19:$A$58,$A18,'Start Here'!$C$19:$C$58,"&gt;=10"),_xlfn.MAXIFS(Sets!$C$2:$C$3300,Sets!$B$2:$B$3300,$A18,Sets!$D$2:$D$3300,"&gt;=10"),_xlfn.MAXIFS(Log!$C$2:$C$1001,Log!$B$2:$B$1001,$A18,Log!$D$2:$D$1001,"&gt;=10"))</f>
        <v/>
      </c>
      <c r="L18" s="18">
        <f>MAX(_xlfn.MAXIFS('Start Here'!$B$19:$B$58,'Start Here'!$A$19:$A$58,$A18,'Start Here'!$C$19:$C$58,"&gt;=12"),_xlfn.MAXIFS(Sets!$C$2:$C$3300,Sets!$B$2:$B$3300,$A18,Sets!$D$2:$D$3300,"&gt;=12"),_xlfn.MAXIFS(Log!$C$2:$C$1001,Log!$B$2:$B$1001,$A18,Log!$D$2:$D$1001,"&gt;=12"))</f>
        <v/>
      </c>
    </row>
    <row r="19">
      <c r="A19" s="24" t="inlineStr">
        <is>
          <t>Floor Press</t>
        </is>
      </c>
      <c r="B19" t="inlineStr">
        <is>
          <t>variation</t>
        </is>
      </c>
      <c r="C19" s="63">
        <f>MAX(_xlfn.MAXIFS('Start Here'!$D$19:$D$58,'Start Here'!$A$19:$A$58,$A19),_xlfn.MAXIFS(Sets!$E$2:$E$3300,Sets!$B$2:$B$3300,$A19),_xlfn.MAXIFS(Log!$E$2:$E$1001,Log!$B$2:$B$1001,$A19))</f>
        <v/>
      </c>
      <c r="D19" s="18">
        <f>MAX(_xlfn.MAXIFS('Start Here'!$B$19:$B$58,'Start Here'!$A$19:$A$58,$A19,'Start Here'!$C$19:$C$58,"&gt;=1"),_xlfn.MAXIFS(Sets!$C$2:$C$3300,Sets!$B$2:$B$3300,$A19,Sets!$D$2:$D$3300,"&gt;=1"),_xlfn.MAXIFS(Log!$C$2:$C$1001,Log!$B$2:$B$1001,$A19,Log!$D$2:$D$1001,"&gt;=1"))</f>
        <v/>
      </c>
      <c r="E19" s="18">
        <f>MAX(_xlfn.MAXIFS('Start Here'!$B$19:$B$58,'Start Here'!$A$19:$A$58,$A19,'Start Here'!$C$19:$C$58,"&gt;=2"),_xlfn.MAXIFS(Sets!$C$2:$C$3300,Sets!$B$2:$B$3300,$A19,Sets!$D$2:$D$3300,"&gt;=2"),_xlfn.MAXIFS(Log!$C$2:$C$1001,Log!$B$2:$B$1001,$A19,Log!$D$2:$D$1001,"&gt;=2"))</f>
        <v/>
      </c>
      <c r="F19" s="18">
        <f>MAX(_xlfn.MAXIFS('Start Here'!$B$19:$B$58,'Start Here'!$A$19:$A$58,$A19,'Start Here'!$C$19:$C$58,"&gt;=3"),_xlfn.MAXIFS(Sets!$C$2:$C$3300,Sets!$B$2:$B$3300,$A19,Sets!$D$2:$D$3300,"&gt;=3"),_xlfn.MAXIFS(Log!$C$2:$C$1001,Log!$B$2:$B$1001,$A19,Log!$D$2:$D$1001,"&gt;=3"))</f>
        <v/>
      </c>
      <c r="G19" s="18">
        <f>MAX(_xlfn.MAXIFS('Start Here'!$B$19:$B$58,'Start Here'!$A$19:$A$58,$A19,'Start Here'!$C$19:$C$58,"&gt;=4"),_xlfn.MAXIFS(Sets!$C$2:$C$3300,Sets!$B$2:$B$3300,$A19,Sets!$D$2:$D$3300,"&gt;=4"),_xlfn.MAXIFS(Log!$C$2:$C$1001,Log!$B$2:$B$1001,$A19,Log!$D$2:$D$1001,"&gt;=4"))</f>
        <v/>
      </c>
      <c r="H19" s="18">
        <f>MAX(_xlfn.MAXIFS('Start Here'!$B$19:$B$58,'Start Here'!$A$19:$A$58,$A19,'Start Here'!$C$19:$C$58,"&gt;=5"),_xlfn.MAXIFS(Sets!$C$2:$C$3300,Sets!$B$2:$B$3300,$A19,Sets!$D$2:$D$3300,"&gt;=5"),_xlfn.MAXIFS(Log!$C$2:$C$1001,Log!$B$2:$B$1001,$A19,Log!$D$2:$D$1001,"&gt;=5"))</f>
        <v/>
      </c>
      <c r="I19" s="18">
        <f>MAX(_xlfn.MAXIFS('Start Here'!$B$19:$B$58,'Start Here'!$A$19:$A$58,$A19,'Start Here'!$C$19:$C$58,"&gt;=6"),_xlfn.MAXIFS(Sets!$C$2:$C$3300,Sets!$B$2:$B$3300,$A19,Sets!$D$2:$D$3300,"&gt;=6"),_xlfn.MAXIFS(Log!$C$2:$C$1001,Log!$B$2:$B$1001,$A19,Log!$D$2:$D$1001,"&gt;=6"))</f>
        <v/>
      </c>
      <c r="J19" s="18">
        <f>MAX(_xlfn.MAXIFS('Start Here'!$B$19:$B$58,'Start Here'!$A$19:$A$58,$A19,'Start Here'!$C$19:$C$58,"&gt;=8"),_xlfn.MAXIFS(Sets!$C$2:$C$3300,Sets!$B$2:$B$3300,$A19,Sets!$D$2:$D$3300,"&gt;=8"),_xlfn.MAXIFS(Log!$C$2:$C$1001,Log!$B$2:$B$1001,$A19,Log!$D$2:$D$1001,"&gt;=8"))</f>
        <v/>
      </c>
      <c r="K19" s="18">
        <f>MAX(_xlfn.MAXIFS('Start Here'!$B$19:$B$58,'Start Here'!$A$19:$A$58,$A19,'Start Here'!$C$19:$C$58,"&gt;=10"),_xlfn.MAXIFS(Sets!$C$2:$C$3300,Sets!$B$2:$B$3300,$A19,Sets!$D$2:$D$3300,"&gt;=10"),_xlfn.MAXIFS(Log!$C$2:$C$1001,Log!$B$2:$B$1001,$A19,Log!$D$2:$D$1001,"&gt;=10"))</f>
        <v/>
      </c>
      <c r="L19" s="18">
        <f>MAX(_xlfn.MAXIFS('Start Here'!$B$19:$B$58,'Start Here'!$A$19:$A$58,$A19,'Start Here'!$C$19:$C$58,"&gt;=12"),_xlfn.MAXIFS(Sets!$C$2:$C$3300,Sets!$B$2:$B$3300,$A19,Sets!$D$2:$D$3300,"&gt;=12"),_xlfn.MAXIFS(Log!$C$2:$C$1001,Log!$B$2:$B$1001,$A19,Log!$D$2:$D$1001,"&gt;=12"))</f>
        <v/>
      </c>
    </row>
    <row r="20">
      <c r="A20" s="24" t="inlineStr">
        <is>
          <t>Pin Press</t>
        </is>
      </c>
      <c r="B20" t="inlineStr">
        <is>
          <t>variation</t>
        </is>
      </c>
      <c r="C20" s="63">
        <f>MAX(_xlfn.MAXIFS('Start Here'!$D$19:$D$58,'Start Here'!$A$19:$A$58,$A20),_xlfn.MAXIFS(Sets!$E$2:$E$3300,Sets!$B$2:$B$3300,$A20),_xlfn.MAXIFS(Log!$E$2:$E$1001,Log!$B$2:$B$1001,$A20))</f>
        <v/>
      </c>
      <c r="D20" s="18">
        <f>MAX(_xlfn.MAXIFS('Start Here'!$B$19:$B$58,'Start Here'!$A$19:$A$58,$A20,'Start Here'!$C$19:$C$58,"&gt;=1"),_xlfn.MAXIFS(Sets!$C$2:$C$3300,Sets!$B$2:$B$3300,$A20,Sets!$D$2:$D$3300,"&gt;=1"),_xlfn.MAXIFS(Log!$C$2:$C$1001,Log!$B$2:$B$1001,$A20,Log!$D$2:$D$1001,"&gt;=1"))</f>
        <v/>
      </c>
      <c r="E20" s="18">
        <f>MAX(_xlfn.MAXIFS('Start Here'!$B$19:$B$58,'Start Here'!$A$19:$A$58,$A20,'Start Here'!$C$19:$C$58,"&gt;=2"),_xlfn.MAXIFS(Sets!$C$2:$C$3300,Sets!$B$2:$B$3300,$A20,Sets!$D$2:$D$3300,"&gt;=2"),_xlfn.MAXIFS(Log!$C$2:$C$1001,Log!$B$2:$B$1001,$A20,Log!$D$2:$D$1001,"&gt;=2"))</f>
        <v/>
      </c>
      <c r="F20" s="18">
        <f>MAX(_xlfn.MAXIFS('Start Here'!$B$19:$B$58,'Start Here'!$A$19:$A$58,$A20,'Start Here'!$C$19:$C$58,"&gt;=3"),_xlfn.MAXIFS(Sets!$C$2:$C$3300,Sets!$B$2:$B$3300,$A20,Sets!$D$2:$D$3300,"&gt;=3"),_xlfn.MAXIFS(Log!$C$2:$C$1001,Log!$B$2:$B$1001,$A20,Log!$D$2:$D$1001,"&gt;=3"))</f>
        <v/>
      </c>
      <c r="G20" s="18">
        <f>MAX(_xlfn.MAXIFS('Start Here'!$B$19:$B$58,'Start Here'!$A$19:$A$58,$A20,'Start Here'!$C$19:$C$58,"&gt;=4"),_xlfn.MAXIFS(Sets!$C$2:$C$3300,Sets!$B$2:$B$3300,$A20,Sets!$D$2:$D$3300,"&gt;=4"),_xlfn.MAXIFS(Log!$C$2:$C$1001,Log!$B$2:$B$1001,$A20,Log!$D$2:$D$1001,"&gt;=4"))</f>
        <v/>
      </c>
      <c r="H20" s="18">
        <f>MAX(_xlfn.MAXIFS('Start Here'!$B$19:$B$58,'Start Here'!$A$19:$A$58,$A20,'Start Here'!$C$19:$C$58,"&gt;=5"),_xlfn.MAXIFS(Sets!$C$2:$C$3300,Sets!$B$2:$B$3300,$A20,Sets!$D$2:$D$3300,"&gt;=5"),_xlfn.MAXIFS(Log!$C$2:$C$1001,Log!$B$2:$B$1001,$A20,Log!$D$2:$D$1001,"&gt;=5"))</f>
        <v/>
      </c>
      <c r="I20" s="18">
        <f>MAX(_xlfn.MAXIFS('Start Here'!$B$19:$B$58,'Start Here'!$A$19:$A$58,$A20,'Start Here'!$C$19:$C$58,"&gt;=6"),_xlfn.MAXIFS(Sets!$C$2:$C$3300,Sets!$B$2:$B$3300,$A20,Sets!$D$2:$D$3300,"&gt;=6"),_xlfn.MAXIFS(Log!$C$2:$C$1001,Log!$B$2:$B$1001,$A20,Log!$D$2:$D$1001,"&gt;=6"))</f>
        <v/>
      </c>
      <c r="J20" s="18">
        <f>MAX(_xlfn.MAXIFS('Start Here'!$B$19:$B$58,'Start Here'!$A$19:$A$58,$A20,'Start Here'!$C$19:$C$58,"&gt;=8"),_xlfn.MAXIFS(Sets!$C$2:$C$3300,Sets!$B$2:$B$3300,$A20,Sets!$D$2:$D$3300,"&gt;=8"),_xlfn.MAXIFS(Log!$C$2:$C$1001,Log!$B$2:$B$1001,$A20,Log!$D$2:$D$1001,"&gt;=8"))</f>
        <v/>
      </c>
      <c r="K20" s="18">
        <f>MAX(_xlfn.MAXIFS('Start Here'!$B$19:$B$58,'Start Here'!$A$19:$A$58,$A20,'Start Here'!$C$19:$C$58,"&gt;=10"),_xlfn.MAXIFS(Sets!$C$2:$C$3300,Sets!$B$2:$B$3300,$A20,Sets!$D$2:$D$3300,"&gt;=10"),_xlfn.MAXIFS(Log!$C$2:$C$1001,Log!$B$2:$B$1001,$A20,Log!$D$2:$D$1001,"&gt;=10"))</f>
        <v/>
      </c>
      <c r="L20" s="18">
        <f>MAX(_xlfn.MAXIFS('Start Here'!$B$19:$B$58,'Start Here'!$A$19:$A$58,$A20,'Start Here'!$C$19:$C$58,"&gt;=12"),_xlfn.MAXIFS(Sets!$C$2:$C$3300,Sets!$B$2:$B$3300,$A20,Sets!$D$2:$D$3300,"&gt;=12"),_xlfn.MAXIFS(Log!$C$2:$C$1001,Log!$B$2:$B$1001,$A20,Log!$D$2:$D$1001,"&gt;=12"))</f>
        <v/>
      </c>
    </row>
    <row r="21">
      <c r="A21" s="24" t="inlineStr">
        <is>
          <t>Spoto Press</t>
        </is>
      </c>
      <c r="B21" t="inlineStr">
        <is>
          <t>variation</t>
        </is>
      </c>
      <c r="C21" s="63">
        <f>MAX(_xlfn.MAXIFS('Start Here'!$D$19:$D$58,'Start Here'!$A$19:$A$58,$A21),_xlfn.MAXIFS(Sets!$E$2:$E$3300,Sets!$B$2:$B$3300,$A21),_xlfn.MAXIFS(Log!$E$2:$E$1001,Log!$B$2:$B$1001,$A21))</f>
        <v/>
      </c>
      <c r="D21" s="18">
        <f>MAX(_xlfn.MAXIFS('Start Here'!$B$19:$B$58,'Start Here'!$A$19:$A$58,$A21,'Start Here'!$C$19:$C$58,"&gt;=1"),_xlfn.MAXIFS(Sets!$C$2:$C$3300,Sets!$B$2:$B$3300,$A21,Sets!$D$2:$D$3300,"&gt;=1"),_xlfn.MAXIFS(Log!$C$2:$C$1001,Log!$B$2:$B$1001,$A21,Log!$D$2:$D$1001,"&gt;=1"))</f>
        <v/>
      </c>
      <c r="E21" s="18">
        <f>MAX(_xlfn.MAXIFS('Start Here'!$B$19:$B$58,'Start Here'!$A$19:$A$58,$A21,'Start Here'!$C$19:$C$58,"&gt;=2"),_xlfn.MAXIFS(Sets!$C$2:$C$3300,Sets!$B$2:$B$3300,$A21,Sets!$D$2:$D$3300,"&gt;=2"),_xlfn.MAXIFS(Log!$C$2:$C$1001,Log!$B$2:$B$1001,$A21,Log!$D$2:$D$1001,"&gt;=2"))</f>
        <v/>
      </c>
      <c r="F21" s="18">
        <f>MAX(_xlfn.MAXIFS('Start Here'!$B$19:$B$58,'Start Here'!$A$19:$A$58,$A21,'Start Here'!$C$19:$C$58,"&gt;=3"),_xlfn.MAXIFS(Sets!$C$2:$C$3300,Sets!$B$2:$B$3300,$A21,Sets!$D$2:$D$3300,"&gt;=3"),_xlfn.MAXIFS(Log!$C$2:$C$1001,Log!$B$2:$B$1001,$A21,Log!$D$2:$D$1001,"&gt;=3"))</f>
        <v/>
      </c>
      <c r="G21" s="18">
        <f>MAX(_xlfn.MAXIFS('Start Here'!$B$19:$B$58,'Start Here'!$A$19:$A$58,$A21,'Start Here'!$C$19:$C$58,"&gt;=4"),_xlfn.MAXIFS(Sets!$C$2:$C$3300,Sets!$B$2:$B$3300,$A21,Sets!$D$2:$D$3300,"&gt;=4"),_xlfn.MAXIFS(Log!$C$2:$C$1001,Log!$B$2:$B$1001,$A21,Log!$D$2:$D$1001,"&gt;=4"))</f>
        <v/>
      </c>
      <c r="H21" s="18">
        <f>MAX(_xlfn.MAXIFS('Start Here'!$B$19:$B$58,'Start Here'!$A$19:$A$58,$A21,'Start Here'!$C$19:$C$58,"&gt;=5"),_xlfn.MAXIFS(Sets!$C$2:$C$3300,Sets!$B$2:$B$3300,$A21,Sets!$D$2:$D$3300,"&gt;=5"),_xlfn.MAXIFS(Log!$C$2:$C$1001,Log!$B$2:$B$1001,$A21,Log!$D$2:$D$1001,"&gt;=5"))</f>
        <v/>
      </c>
      <c r="I21" s="18">
        <f>MAX(_xlfn.MAXIFS('Start Here'!$B$19:$B$58,'Start Here'!$A$19:$A$58,$A21,'Start Here'!$C$19:$C$58,"&gt;=6"),_xlfn.MAXIFS(Sets!$C$2:$C$3300,Sets!$B$2:$B$3300,$A21,Sets!$D$2:$D$3300,"&gt;=6"),_xlfn.MAXIFS(Log!$C$2:$C$1001,Log!$B$2:$B$1001,$A21,Log!$D$2:$D$1001,"&gt;=6"))</f>
        <v/>
      </c>
      <c r="J21" s="18">
        <f>MAX(_xlfn.MAXIFS('Start Here'!$B$19:$B$58,'Start Here'!$A$19:$A$58,$A21,'Start Here'!$C$19:$C$58,"&gt;=8"),_xlfn.MAXIFS(Sets!$C$2:$C$3300,Sets!$B$2:$B$3300,$A21,Sets!$D$2:$D$3300,"&gt;=8"),_xlfn.MAXIFS(Log!$C$2:$C$1001,Log!$B$2:$B$1001,$A21,Log!$D$2:$D$1001,"&gt;=8"))</f>
        <v/>
      </c>
      <c r="K21" s="18">
        <f>MAX(_xlfn.MAXIFS('Start Here'!$B$19:$B$58,'Start Here'!$A$19:$A$58,$A21,'Start Here'!$C$19:$C$58,"&gt;=10"),_xlfn.MAXIFS(Sets!$C$2:$C$3300,Sets!$B$2:$B$3300,$A21,Sets!$D$2:$D$3300,"&gt;=10"),_xlfn.MAXIFS(Log!$C$2:$C$1001,Log!$B$2:$B$1001,$A21,Log!$D$2:$D$1001,"&gt;=10"))</f>
        <v/>
      </c>
      <c r="L21" s="18">
        <f>MAX(_xlfn.MAXIFS('Start Here'!$B$19:$B$58,'Start Here'!$A$19:$A$58,$A21,'Start Here'!$C$19:$C$58,"&gt;=12"),_xlfn.MAXIFS(Sets!$C$2:$C$3300,Sets!$B$2:$B$3300,$A21,Sets!$D$2:$D$3300,"&gt;=12"),_xlfn.MAXIFS(Log!$C$2:$C$1001,Log!$B$2:$B$1001,$A21,Log!$D$2:$D$1001,"&gt;=12"))</f>
        <v/>
      </c>
    </row>
    <row r="22">
      <c r="A22" s="24" t="inlineStr">
        <is>
          <t>Incline Bench Press</t>
        </is>
      </c>
      <c r="B22" t="inlineStr">
        <is>
          <t>variation</t>
        </is>
      </c>
      <c r="C22" s="63">
        <f>MAX(_xlfn.MAXIFS('Start Here'!$D$19:$D$58,'Start Here'!$A$19:$A$58,$A22),_xlfn.MAXIFS(Sets!$E$2:$E$3300,Sets!$B$2:$B$3300,$A22),_xlfn.MAXIFS(Log!$E$2:$E$1001,Log!$B$2:$B$1001,$A22))</f>
        <v/>
      </c>
      <c r="D22" s="18">
        <f>MAX(_xlfn.MAXIFS('Start Here'!$B$19:$B$58,'Start Here'!$A$19:$A$58,$A22,'Start Here'!$C$19:$C$58,"&gt;=1"),_xlfn.MAXIFS(Sets!$C$2:$C$3300,Sets!$B$2:$B$3300,$A22,Sets!$D$2:$D$3300,"&gt;=1"),_xlfn.MAXIFS(Log!$C$2:$C$1001,Log!$B$2:$B$1001,$A22,Log!$D$2:$D$1001,"&gt;=1"))</f>
        <v/>
      </c>
      <c r="E22" s="18">
        <f>MAX(_xlfn.MAXIFS('Start Here'!$B$19:$B$58,'Start Here'!$A$19:$A$58,$A22,'Start Here'!$C$19:$C$58,"&gt;=2"),_xlfn.MAXIFS(Sets!$C$2:$C$3300,Sets!$B$2:$B$3300,$A22,Sets!$D$2:$D$3300,"&gt;=2"),_xlfn.MAXIFS(Log!$C$2:$C$1001,Log!$B$2:$B$1001,$A22,Log!$D$2:$D$1001,"&gt;=2"))</f>
        <v/>
      </c>
      <c r="F22" s="18">
        <f>MAX(_xlfn.MAXIFS('Start Here'!$B$19:$B$58,'Start Here'!$A$19:$A$58,$A22,'Start Here'!$C$19:$C$58,"&gt;=3"),_xlfn.MAXIFS(Sets!$C$2:$C$3300,Sets!$B$2:$B$3300,$A22,Sets!$D$2:$D$3300,"&gt;=3"),_xlfn.MAXIFS(Log!$C$2:$C$1001,Log!$B$2:$B$1001,$A22,Log!$D$2:$D$1001,"&gt;=3"))</f>
        <v/>
      </c>
      <c r="G22" s="18">
        <f>MAX(_xlfn.MAXIFS('Start Here'!$B$19:$B$58,'Start Here'!$A$19:$A$58,$A22,'Start Here'!$C$19:$C$58,"&gt;=4"),_xlfn.MAXIFS(Sets!$C$2:$C$3300,Sets!$B$2:$B$3300,$A22,Sets!$D$2:$D$3300,"&gt;=4"),_xlfn.MAXIFS(Log!$C$2:$C$1001,Log!$B$2:$B$1001,$A22,Log!$D$2:$D$1001,"&gt;=4"))</f>
        <v/>
      </c>
      <c r="H22" s="18">
        <f>MAX(_xlfn.MAXIFS('Start Here'!$B$19:$B$58,'Start Here'!$A$19:$A$58,$A22,'Start Here'!$C$19:$C$58,"&gt;=5"),_xlfn.MAXIFS(Sets!$C$2:$C$3300,Sets!$B$2:$B$3300,$A22,Sets!$D$2:$D$3300,"&gt;=5"),_xlfn.MAXIFS(Log!$C$2:$C$1001,Log!$B$2:$B$1001,$A22,Log!$D$2:$D$1001,"&gt;=5"))</f>
        <v/>
      </c>
      <c r="I22" s="18">
        <f>MAX(_xlfn.MAXIFS('Start Here'!$B$19:$B$58,'Start Here'!$A$19:$A$58,$A22,'Start Here'!$C$19:$C$58,"&gt;=6"),_xlfn.MAXIFS(Sets!$C$2:$C$3300,Sets!$B$2:$B$3300,$A22,Sets!$D$2:$D$3300,"&gt;=6"),_xlfn.MAXIFS(Log!$C$2:$C$1001,Log!$B$2:$B$1001,$A22,Log!$D$2:$D$1001,"&gt;=6"))</f>
        <v/>
      </c>
      <c r="J22" s="18">
        <f>MAX(_xlfn.MAXIFS('Start Here'!$B$19:$B$58,'Start Here'!$A$19:$A$58,$A22,'Start Here'!$C$19:$C$58,"&gt;=8"),_xlfn.MAXIFS(Sets!$C$2:$C$3300,Sets!$B$2:$B$3300,$A22,Sets!$D$2:$D$3300,"&gt;=8"),_xlfn.MAXIFS(Log!$C$2:$C$1001,Log!$B$2:$B$1001,$A22,Log!$D$2:$D$1001,"&gt;=8"))</f>
        <v/>
      </c>
      <c r="K22" s="18">
        <f>MAX(_xlfn.MAXIFS('Start Here'!$B$19:$B$58,'Start Here'!$A$19:$A$58,$A22,'Start Here'!$C$19:$C$58,"&gt;=10"),_xlfn.MAXIFS(Sets!$C$2:$C$3300,Sets!$B$2:$B$3300,$A22,Sets!$D$2:$D$3300,"&gt;=10"),_xlfn.MAXIFS(Log!$C$2:$C$1001,Log!$B$2:$B$1001,$A22,Log!$D$2:$D$1001,"&gt;=10"))</f>
        <v/>
      </c>
      <c r="L22" s="18">
        <f>MAX(_xlfn.MAXIFS('Start Here'!$B$19:$B$58,'Start Here'!$A$19:$A$58,$A22,'Start Here'!$C$19:$C$58,"&gt;=12"),_xlfn.MAXIFS(Sets!$C$2:$C$3300,Sets!$B$2:$B$3300,$A22,Sets!$D$2:$D$3300,"&gt;=12"),_xlfn.MAXIFS(Log!$C$2:$C$1001,Log!$B$2:$B$1001,$A22,Log!$D$2:$D$1001,"&gt;=12"))</f>
        <v/>
      </c>
    </row>
    <row r="23">
      <c r="A23" s="24" t="inlineStr">
        <is>
          <t>Romanian Deadlift</t>
        </is>
      </c>
      <c r="B23" t="inlineStr">
        <is>
          <t>variation</t>
        </is>
      </c>
      <c r="C23" s="63">
        <f>MAX(_xlfn.MAXIFS('Start Here'!$D$19:$D$58,'Start Here'!$A$19:$A$58,$A23),_xlfn.MAXIFS(Sets!$E$2:$E$3300,Sets!$B$2:$B$3300,$A23),_xlfn.MAXIFS(Log!$E$2:$E$1001,Log!$B$2:$B$1001,$A23))</f>
        <v/>
      </c>
      <c r="D23" s="18">
        <f>MAX(_xlfn.MAXIFS('Start Here'!$B$19:$B$58,'Start Here'!$A$19:$A$58,$A23,'Start Here'!$C$19:$C$58,"&gt;=1"),_xlfn.MAXIFS(Sets!$C$2:$C$3300,Sets!$B$2:$B$3300,$A23,Sets!$D$2:$D$3300,"&gt;=1"),_xlfn.MAXIFS(Log!$C$2:$C$1001,Log!$B$2:$B$1001,$A23,Log!$D$2:$D$1001,"&gt;=1"))</f>
        <v/>
      </c>
      <c r="E23" s="18">
        <f>MAX(_xlfn.MAXIFS('Start Here'!$B$19:$B$58,'Start Here'!$A$19:$A$58,$A23,'Start Here'!$C$19:$C$58,"&gt;=2"),_xlfn.MAXIFS(Sets!$C$2:$C$3300,Sets!$B$2:$B$3300,$A23,Sets!$D$2:$D$3300,"&gt;=2"),_xlfn.MAXIFS(Log!$C$2:$C$1001,Log!$B$2:$B$1001,$A23,Log!$D$2:$D$1001,"&gt;=2"))</f>
        <v/>
      </c>
      <c r="F23" s="18">
        <f>MAX(_xlfn.MAXIFS('Start Here'!$B$19:$B$58,'Start Here'!$A$19:$A$58,$A23,'Start Here'!$C$19:$C$58,"&gt;=3"),_xlfn.MAXIFS(Sets!$C$2:$C$3300,Sets!$B$2:$B$3300,$A23,Sets!$D$2:$D$3300,"&gt;=3"),_xlfn.MAXIFS(Log!$C$2:$C$1001,Log!$B$2:$B$1001,$A23,Log!$D$2:$D$1001,"&gt;=3"))</f>
        <v/>
      </c>
      <c r="G23" s="18">
        <f>MAX(_xlfn.MAXIFS('Start Here'!$B$19:$B$58,'Start Here'!$A$19:$A$58,$A23,'Start Here'!$C$19:$C$58,"&gt;=4"),_xlfn.MAXIFS(Sets!$C$2:$C$3300,Sets!$B$2:$B$3300,$A23,Sets!$D$2:$D$3300,"&gt;=4"),_xlfn.MAXIFS(Log!$C$2:$C$1001,Log!$B$2:$B$1001,$A23,Log!$D$2:$D$1001,"&gt;=4"))</f>
        <v/>
      </c>
      <c r="H23" s="18">
        <f>MAX(_xlfn.MAXIFS('Start Here'!$B$19:$B$58,'Start Here'!$A$19:$A$58,$A23,'Start Here'!$C$19:$C$58,"&gt;=5"),_xlfn.MAXIFS(Sets!$C$2:$C$3300,Sets!$B$2:$B$3300,$A23,Sets!$D$2:$D$3300,"&gt;=5"),_xlfn.MAXIFS(Log!$C$2:$C$1001,Log!$B$2:$B$1001,$A23,Log!$D$2:$D$1001,"&gt;=5"))</f>
        <v/>
      </c>
      <c r="I23" s="18">
        <f>MAX(_xlfn.MAXIFS('Start Here'!$B$19:$B$58,'Start Here'!$A$19:$A$58,$A23,'Start Here'!$C$19:$C$58,"&gt;=6"),_xlfn.MAXIFS(Sets!$C$2:$C$3300,Sets!$B$2:$B$3300,$A23,Sets!$D$2:$D$3300,"&gt;=6"),_xlfn.MAXIFS(Log!$C$2:$C$1001,Log!$B$2:$B$1001,$A23,Log!$D$2:$D$1001,"&gt;=6"))</f>
        <v/>
      </c>
      <c r="J23" s="18">
        <f>MAX(_xlfn.MAXIFS('Start Here'!$B$19:$B$58,'Start Here'!$A$19:$A$58,$A23,'Start Here'!$C$19:$C$58,"&gt;=8"),_xlfn.MAXIFS(Sets!$C$2:$C$3300,Sets!$B$2:$B$3300,$A23,Sets!$D$2:$D$3300,"&gt;=8"),_xlfn.MAXIFS(Log!$C$2:$C$1001,Log!$B$2:$B$1001,$A23,Log!$D$2:$D$1001,"&gt;=8"))</f>
        <v/>
      </c>
      <c r="K23" s="18">
        <f>MAX(_xlfn.MAXIFS('Start Here'!$B$19:$B$58,'Start Here'!$A$19:$A$58,$A23,'Start Here'!$C$19:$C$58,"&gt;=10"),_xlfn.MAXIFS(Sets!$C$2:$C$3300,Sets!$B$2:$B$3300,$A23,Sets!$D$2:$D$3300,"&gt;=10"),_xlfn.MAXIFS(Log!$C$2:$C$1001,Log!$B$2:$B$1001,$A23,Log!$D$2:$D$1001,"&gt;=10"))</f>
        <v/>
      </c>
      <c r="L23" s="18">
        <f>MAX(_xlfn.MAXIFS('Start Here'!$B$19:$B$58,'Start Here'!$A$19:$A$58,$A23,'Start Here'!$C$19:$C$58,"&gt;=12"),_xlfn.MAXIFS(Sets!$C$2:$C$3300,Sets!$B$2:$B$3300,$A23,Sets!$D$2:$D$3300,"&gt;=12"),_xlfn.MAXIFS(Log!$C$2:$C$1001,Log!$B$2:$B$1001,$A23,Log!$D$2:$D$1001,"&gt;=12"))</f>
        <v/>
      </c>
    </row>
    <row r="24">
      <c r="A24" s="24" t="inlineStr">
        <is>
          <t>Deficit Deadlift</t>
        </is>
      </c>
      <c r="B24" t="inlineStr">
        <is>
          <t>variation</t>
        </is>
      </c>
      <c r="C24" s="63">
        <f>MAX(_xlfn.MAXIFS('Start Here'!$D$19:$D$58,'Start Here'!$A$19:$A$58,$A24),_xlfn.MAXIFS(Sets!$E$2:$E$3300,Sets!$B$2:$B$3300,$A24),_xlfn.MAXIFS(Log!$E$2:$E$1001,Log!$B$2:$B$1001,$A24))</f>
        <v/>
      </c>
      <c r="D24" s="18">
        <f>MAX(_xlfn.MAXIFS('Start Here'!$B$19:$B$58,'Start Here'!$A$19:$A$58,$A24,'Start Here'!$C$19:$C$58,"&gt;=1"),_xlfn.MAXIFS(Sets!$C$2:$C$3300,Sets!$B$2:$B$3300,$A24,Sets!$D$2:$D$3300,"&gt;=1"),_xlfn.MAXIFS(Log!$C$2:$C$1001,Log!$B$2:$B$1001,$A24,Log!$D$2:$D$1001,"&gt;=1"))</f>
        <v/>
      </c>
      <c r="E24" s="18">
        <f>MAX(_xlfn.MAXIFS('Start Here'!$B$19:$B$58,'Start Here'!$A$19:$A$58,$A24,'Start Here'!$C$19:$C$58,"&gt;=2"),_xlfn.MAXIFS(Sets!$C$2:$C$3300,Sets!$B$2:$B$3300,$A24,Sets!$D$2:$D$3300,"&gt;=2"),_xlfn.MAXIFS(Log!$C$2:$C$1001,Log!$B$2:$B$1001,$A24,Log!$D$2:$D$1001,"&gt;=2"))</f>
        <v/>
      </c>
      <c r="F24" s="18">
        <f>MAX(_xlfn.MAXIFS('Start Here'!$B$19:$B$58,'Start Here'!$A$19:$A$58,$A24,'Start Here'!$C$19:$C$58,"&gt;=3"),_xlfn.MAXIFS(Sets!$C$2:$C$3300,Sets!$B$2:$B$3300,$A24,Sets!$D$2:$D$3300,"&gt;=3"),_xlfn.MAXIFS(Log!$C$2:$C$1001,Log!$B$2:$B$1001,$A24,Log!$D$2:$D$1001,"&gt;=3"))</f>
        <v/>
      </c>
      <c r="G24" s="18">
        <f>MAX(_xlfn.MAXIFS('Start Here'!$B$19:$B$58,'Start Here'!$A$19:$A$58,$A24,'Start Here'!$C$19:$C$58,"&gt;=4"),_xlfn.MAXIFS(Sets!$C$2:$C$3300,Sets!$B$2:$B$3300,$A24,Sets!$D$2:$D$3300,"&gt;=4"),_xlfn.MAXIFS(Log!$C$2:$C$1001,Log!$B$2:$B$1001,$A24,Log!$D$2:$D$1001,"&gt;=4"))</f>
        <v/>
      </c>
      <c r="H24" s="18">
        <f>MAX(_xlfn.MAXIFS('Start Here'!$B$19:$B$58,'Start Here'!$A$19:$A$58,$A24,'Start Here'!$C$19:$C$58,"&gt;=5"),_xlfn.MAXIFS(Sets!$C$2:$C$3300,Sets!$B$2:$B$3300,$A24,Sets!$D$2:$D$3300,"&gt;=5"),_xlfn.MAXIFS(Log!$C$2:$C$1001,Log!$B$2:$B$1001,$A24,Log!$D$2:$D$1001,"&gt;=5"))</f>
        <v/>
      </c>
      <c r="I24" s="18">
        <f>MAX(_xlfn.MAXIFS('Start Here'!$B$19:$B$58,'Start Here'!$A$19:$A$58,$A24,'Start Here'!$C$19:$C$58,"&gt;=6"),_xlfn.MAXIFS(Sets!$C$2:$C$3300,Sets!$B$2:$B$3300,$A24,Sets!$D$2:$D$3300,"&gt;=6"),_xlfn.MAXIFS(Log!$C$2:$C$1001,Log!$B$2:$B$1001,$A24,Log!$D$2:$D$1001,"&gt;=6"))</f>
        <v/>
      </c>
      <c r="J24" s="18">
        <f>MAX(_xlfn.MAXIFS('Start Here'!$B$19:$B$58,'Start Here'!$A$19:$A$58,$A24,'Start Here'!$C$19:$C$58,"&gt;=8"),_xlfn.MAXIFS(Sets!$C$2:$C$3300,Sets!$B$2:$B$3300,$A24,Sets!$D$2:$D$3300,"&gt;=8"),_xlfn.MAXIFS(Log!$C$2:$C$1001,Log!$B$2:$B$1001,$A24,Log!$D$2:$D$1001,"&gt;=8"))</f>
        <v/>
      </c>
      <c r="K24" s="18">
        <f>MAX(_xlfn.MAXIFS('Start Here'!$B$19:$B$58,'Start Here'!$A$19:$A$58,$A24,'Start Here'!$C$19:$C$58,"&gt;=10"),_xlfn.MAXIFS(Sets!$C$2:$C$3300,Sets!$B$2:$B$3300,$A24,Sets!$D$2:$D$3300,"&gt;=10"),_xlfn.MAXIFS(Log!$C$2:$C$1001,Log!$B$2:$B$1001,$A24,Log!$D$2:$D$1001,"&gt;=10"))</f>
        <v/>
      </c>
      <c r="L24" s="18">
        <f>MAX(_xlfn.MAXIFS('Start Here'!$B$19:$B$58,'Start Here'!$A$19:$A$58,$A24,'Start Here'!$C$19:$C$58,"&gt;=12"),_xlfn.MAXIFS(Sets!$C$2:$C$3300,Sets!$B$2:$B$3300,$A24,Sets!$D$2:$D$3300,"&gt;=12"),_xlfn.MAXIFS(Log!$C$2:$C$1001,Log!$B$2:$B$1001,$A24,Log!$D$2:$D$1001,"&gt;=12"))</f>
        <v/>
      </c>
    </row>
    <row r="25">
      <c r="A25" s="24" t="inlineStr">
        <is>
          <t>Paused Deadlift</t>
        </is>
      </c>
      <c r="B25" t="inlineStr">
        <is>
          <t>variation</t>
        </is>
      </c>
      <c r="C25" s="63">
        <f>MAX(_xlfn.MAXIFS('Start Here'!$D$19:$D$58,'Start Here'!$A$19:$A$58,$A25),_xlfn.MAXIFS(Sets!$E$2:$E$3300,Sets!$B$2:$B$3300,$A25),_xlfn.MAXIFS(Log!$E$2:$E$1001,Log!$B$2:$B$1001,$A25))</f>
        <v/>
      </c>
      <c r="D25" s="18">
        <f>MAX(_xlfn.MAXIFS('Start Here'!$B$19:$B$58,'Start Here'!$A$19:$A$58,$A25,'Start Here'!$C$19:$C$58,"&gt;=1"),_xlfn.MAXIFS(Sets!$C$2:$C$3300,Sets!$B$2:$B$3300,$A25,Sets!$D$2:$D$3300,"&gt;=1"),_xlfn.MAXIFS(Log!$C$2:$C$1001,Log!$B$2:$B$1001,$A25,Log!$D$2:$D$1001,"&gt;=1"))</f>
        <v/>
      </c>
      <c r="E25" s="18">
        <f>MAX(_xlfn.MAXIFS('Start Here'!$B$19:$B$58,'Start Here'!$A$19:$A$58,$A25,'Start Here'!$C$19:$C$58,"&gt;=2"),_xlfn.MAXIFS(Sets!$C$2:$C$3300,Sets!$B$2:$B$3300,$A25,Sets!$D$2:$D$3300,"&gt;=2"),_xlfn.MAXIFS(Log!$C$2:$C$1001,Log!$B$2:$B$1001,$A25,Log!$D$2:$D$1001,"&gt;=2"))</f>
        <v/>
      </c>
      <c r="F25" s="18">
        <f>MAX(_xlfn.MAXIFS('Start Here'!$B$19:$B$58,'Start Here'!$A$19:$A$58,$A25,'Start Here'!$C$19:$C$58,"&gt;=3"),_xlfn.MAXIFS(Sets!$C$2:$C$3300,Sets!$B$2:$B$3300,$A25,Sets!$D$2:$D$3300,"&gt;=3"),_xlfn.MAXIFS(Log!$C$2:$C$1001,Log!$B$2:$B$1001,$A25,Log!$D$2:$D$1001,"&gt;=3"))</f>
        <v/>
      </c>
      <c r="G25" s="18">
        <f>MAX(_xlfn.MAXIFS('Start Here'!$B$19:$B$58,'Start Here'!$A$19:$A$58,$A25,'Start Here'!$C$19:$C$58,"&gt;=4"),_xlfn.MAXIFS(Sets!$C$2:$C$3300,Sets!$B$2:$B$3300,$A25,Sets!$D$2:$D$3300,"&gt;=4"),_xlfn.MAXIFS(Log!$C$2:$C$1001,Log!$B$2:$B$1001,$A25,Log!$D$2:$D$1001,"&gt;=4"))</f>
        <v/>
      </c>
      <c r="H25" s="18">
        <f>MAX(_xlfn.MAXIFS('Start Here'!$B$19:$B$58,'Start Here'!$A$19:$A$58,$A25,'Start Here'!$C$19:$C$58,"&gt;=5"),_xlfn.MAXIFS(Sets!$C$2:$C$3300,Sets!$B$2:$B$3300,$A25,Sets!$D$2:$D$3300,"&gt;=5"),_xlfn.MAXIFS(Log!$C$2:$C$1001,Log!$B$2:$B$1001,$A25,Log!$D$2:$D$1001,"&gt;=5"))</f>
        <v/>
      </c>
      <c r="I25" s="18">
        <f>MAX(_xlfn.MAXIFS('Start Here'!$B$19:$B$58,'Start Here'!$A$19:$A$58,$A25,'Start Here'!$C$19:$C$58,"&gt;=6"),_xlfn.MAXIFS(Sets!$C$2:$C$3300,Sets!$B$2:$B$3300,$A25,Sets!$D$2:$D$3300,"&gt;=6"),_xlfn.MAXIFS(Log!$C$2:$C$1001,Log!$B$2:$B$1001,$A25,Log!$D$2:$D$1001,"&gt;=6"))</f>
        <v/>
      </c>
      <c r="J25" s="18">
        <f>MAX(_xlfn.MAXIFS('Start Here'!$B$19:$B$58,'Start Here'!$A$19:$A$58,$A25,'Start Here'!$C$19:$C$58,"&gt;=8"),_xlfn.MAXIFS(Sets!$C$2:$C$3300,Sets!$B$2:$B$3300,$A25,Sets!$D$2:$D$3300,"&gt;=8"),_xlfn.MAXIFS(Log!$C$2:$C$1001,Log!$B$2:$B$1001,$A25,Log!$D$2:$D$1001,"&gt;=8"))</f>
        <v/>
      </c>
      <c r="K25" s="18">
        <f>MAX(_xlfn.MAXIFS('Start Here'!$B$19:$B$58,'Start Here'!$A$19:$A$58,$A25,'Start Here'!$C$19:$C$58,"&gt;=10"),_xlfn.MAXIFS(Sets!$C$2:$C$3300,Sets!$B$2:$B$3300,$A25,Sets!$D$2:$D$3300,"&gt;=10"),_xlfn.MAXIFS(Log!$C$2:$C$1001,Log!$B$2:$B$1001,$A25,Log!$D$2:$D$1001,"&gt;=10"))</f>
        <v/>
      </c>
      <c r="L25" s="18">
        <f>MAX(_xlfn.MAXIFS('Start Here'!$B$19:$B$58,'Start Here'!$A$19:$A$58,$A25,'Start Here'!$C$19:$C$58,"&gt;=12"),_xlfn.MAXIFS(Sets!$C$2:$C$3300,Sets!$B$2:$B$3300,$A25,Sets!$D$2:$D$3300,"&gt;=12"),_xlfn.MAXIFS(Log!$C$2:$C$1001,Log!$B$2:$B$1001,$A25,Log!$D$2:$D$1001,"&gt;=12"))</f>
        <v/>
      </c>
    </row>
    <row r="26">
      <c r="A26" s="24" t="inlineStr">
        <is>
          <t>Block Pull</t>
        </is>
      </c>
      <c r="B26" t="inlineStr">
        <is>
          <t>variation</t>
        </is>
      </c>
      <c r="C26" s="63">
        <f>MAX(_xlfn.MAXIFS('Start Here'!$D$19:$D$58,'Start Here'!$A$19:$A$58,$A26),_xlfn.MAXIFS(Sets!$E$2:$E$3300,Sets!$B$2:$B$3300,$A26),_xlfn.MAXIFS(Log!$E$2:$E$1001,Log!$B$2:$B$1001,$A26))</f>
        <v/>
      </c>
      <c r="D26" s="18">
        <f>MAX(_xlfn.MAXIFS('Start Here'!$B$19:$B$58,'Start Here'!$A$19:$A$58,$A26,'Start Here'!$C$19:$C$58,"&gt;=1"),_xlfn.MAXIFS(Sets!$C$2:$C$3300,Sets!$B$2:$B$3300,$A26,Sets!$D$2:$D$3300,"&gt;=1"),_xlfn.MAXIFS(Log!$C$2:$C$1001,Log!$B$2:$B$1001,$A26,Log!$D$2:$D$1001,"&gt;=1"))</f>
        <v/>
      </c>
      <c r="E26" s="18">
        <f>MAX(_xlfn.MAXIFS('Start Here'!$B$19:$B$58,'Start Here'!$A$19:$A$58,$A26,'Start Here'!$C$19:$C$58,"&gt;=2"),_xlfn.MAXIFS(Sets!$C$2:$C$3300,Sets!$B$2:$B$3300,$A26,Sets!$D$2:$D$3300,"&gt;=2"),_xlfn.MAXIFS(Log!$C$2:$C$1001,Log!$B$2:$B$1001,$A26,Log!$D$2:$D$1001,"&gt;=2"))</f>
        <v/>
      </c>
      <c r="F26" s="18">
        <f>MAX(_xlfn.MAXIFS('Start Here'!$B$19:$B$58,'Start Here'!$A$19:$A$58,$A26,'Start Here'!$C$19:$C$58,"&gt;=3"),_xlfn.MAXIFS(Sets!$C$2:$C$3300,Sets!$B$2:$B$3300,$A26,Sets!$D$2:$D$3300,"&gt;=3"),_xlfn.MAXIFS(Log!$C$2:$C$1001,Log!$B$2:$B$1001,$A26,Log!$D$2:$D$1001,"&gt;=3"))</f>
        <v/>
      </c>
      <c r="G26" s="18">
        <f>MAX(_xlfn.MAXIFS('Start Here'!$B$19:$B$58,'Start Here'!$A$19:$A$58,$A26,'Start Here'!$C$19:$C$58,"&gt;=4"),_xlfn.MAXIFS(Sets!$C$2:$C$3300,Sets!$B$2:$B$3300,$A26,Sets!$D$2:$D$3300,"&gt;=4"),_xlfn.MAXIFS(Log!$C$2:$C$1001,Log!$B$2:$B$1001,$A26,Log!$D$2:$D$1001,"&gt;=4"))</f>
        <v/>
      </c>
      <c r="H26" s="18">
        <f>MAX(_xlfn.MAXIFS('Start Here'!$B$19:$B$58,'Start Here'!$A$19:$A$58,$A26,'Start Here'!$C$19:$C$58,"&gt;=5"),_xlfn.MAXIFS(Sets!$C$2:$C$3300,Sets!$B$2:$B$3300,$A26,Sets!$D$2:$D$3300,"&gt;=5"),_xlfn.MAXIFS(Log!$C$2:$C$1001,Log!$B$2:$B$1001,$A26,Log!$D$2:$D$1001,"&gt;=5"))</f>
        <v/>
      </c>
      <c r="I26" s="18">
        <f>MAX(_xlfn.MAXIFS('Start Here'!$B$19:$B$58,'Start Here'!$A$19:$A$58,$A26,'Start Here'!$C$19:$C$58,"&gt;=6"),_xlfn.MAXIFS(Sets!$C$2:$C$3300,Sets!$B$2:$B$3300,$A26,Sets!$D$2:$D$3300,"&gt;=6"),_xlfn.MAXIFS(Log!$C$2:$C$1001,Log!$B$2:$B$1001,$A26,Log!$D$2:$D$1001,"&gt;=6"))</f>
        <v/>
      </c>
      <c r="J26" s="18">
        <f>MAX(_xlfn.MAXIFS('Start Here'!$B$19:$B$58,'Start Here'!$A$19:$A$58,$A26,'Start Here'!$C$19:$C$58,"&gt;=8"),_xlfn.MAXIFS(Sets!$C$2:$C$3300,Sets!$B$2:$B$3300,$A26,Sets!$D$2:$D$3300,"&gt;=8"),_xlfn.MAXIFS(Log!$C$2:$C$1001,Log!$B$2:$B$1001,$A26,Log!$D$2:$D$1001,"&gt;=8"))</f>
        <v/>
      </c>
      <c r="K26" s="18">
        <f>MAX(_xlfn.MAXIFS('Start Here'!$B$19:$B$58,'Start Here'!$A$19:$A$58,$A26,'Start Here'!$C$19:$C$58,"&gt;=10"),_xlfn.MAXIFS(Sets!$C$2:$C$3300,Sets!$B$2:$B$3300,$A26,Sets!$D$2:$D$3300,"&gt;=10"),_xlfn.MAXIFS(Log!$C$2:$C$1001,Log!$B$2:$B$1001,$A26,Log!$D$2:$D$1001,"&gt;=10"))</f>
        <v/>
      </c>
      <c r="L26" s="18">
        <f>MAX(_xlfn.MAXIFS('Start Here'!$B$19:$B$58,'Start Here'!$A$19:$A$58,$A26,'Start Here'!$C$19:$C$58,"&gt;=12"),_xlfn.MAXIFS(Sets!$C$2:$C$3300,Sets!$B$2:$B$3300,$A26,Sets!$D$2:$D$3300,"&gt;=12"),_xlfn.MAXIFS(Log!$C$2:$C$1001,Log!$B$2:$B$1001,$A26,Log!$D$2:$D$1001,"&gt;=12"))</f>
        <v/>
      </c>
    </row>
    <row r="27">
      <c r="A27" s="24" t="inlineStr">
        <is>
          <t>Rack Pull</t>
        </is>
      </c>
      <c r="B27" t="inlineStr">
        <is>
          <t>variation</t>
        </is>
      </c>
      <c r="C27" s="63">
        <f>MAX(_xlfn.MAXIFS('Start Here'!$D$19:$D$58,'Start Here'!$A$19:$A$58,$A27),_xlfn.MAXIFS(Sets!$E$2:$E$3300,Sets!$B$2:$B$3300,$A27),_xlfn.MAXIFS(Log!$E$2:$E$1001,Log!$B$2:$B$1001,$A27))</f>
        <v/>
      </c>
      <c r="D27" s="18">
        <f>MAX(_xlfn.MAXIFS('Start Here'!$B$19:$B$58,'Start Here'!$A$19:$A$58,$A27,'Start Here'!$C$19:$C$58,"&gt;=1"),_xlfn.MAXIFS(Sets!$C$2:$C$3300,Sets!$B$2:$B$3300,$A27,Sets!$D$2:$D$3300,"&gt;=1"),_xlfn.MAXIFS(Log!$C$2:$C$1001,Log!$B$2:$B$1001,$A27,Log!$D$2:$D$1001,"&gt;=1"))</f>
        <v/>
      </c>
      <c r="E27" s="18">
        <f>MAX(_xlfn.MAXIFS('Start Here'!$B$19:$B$58,'Start Here'!$A$19:$A$58,$A27,'Start Here'!$C$19:$C$58,"&gt;=2"),_xlfn.MAXIFS(Sets!$C$2:$C$3300,Sets!$B$2:$B$3300,$A27,Sets!$D$2:$D$3300,"&gt;=2"),_xlfn.MAXIFS(Log!$C$2:$C$1001,Log!$B$2:$B$1001,$A27,Log!$D$2:$D$1001,"&gt;=2"))</f>
        <v/>
      </c>
      <c r="F27" s="18">
        <f>MAX(_xlfn.MAXIFS('Start Here'!$B$19:$B$58,'Start Here'!$A$19:$A$58,$A27,'Start Here'!$C$19:$C$58,"&gt;=3"),_xlfn.MAXIFS(Sets!$C$2:$C$3300,Sets!$B$2:$B$3300,$A27,Sets!$D$2:$D$3300,"&gt;=3"),_xlfn.MAXIFS(Log!$C$2:$C$1001,Log!$B$2:$B$1001,$A27,Log!$D$2:$D$1001,"&gt;=3"))</f>
        <v/>
      </c>
      <c r="G27" s="18">
        <f>MAX(_xlfn.MAXIFS('Start Here'!$B$19:$B$58,'Start Here'!$A$19:$A$58,$A27,'Start Here'!$C$19:$C$58,"&gt;=4"),_xlfn.MAXIFS(Sets!$C$2:$C$3300,Sets!$B$2:$B$3300,$A27,Sets!$D$2:$D$3300,"&gt;=4"),_xlfn.MAXIFS(Log!$C$2:$C$1001,Log!$B$2:$B$1001,$A27,Log!$D$2:$D$1001,"&gt;=4"))</f>
        <v/>
      </c>
      <c r="H27" s="18">
        <f>MAX(_xlfn.MAXIFS('Start Here'!$B$19:$B$58,'Start Here'!$A$19:$A$58,$A27,'Start Here'!$C$19:$C$58,"&gt;=5"),_xlfn.MAXIFS(Sets!$C$2:$C$3300,Sets!$B$2:$B$3300,$A27,Sets!$D$2:$D$3300,"&gt;=5"),_xlfn.MAXIFS(Log!$C$2:$C$1001,Log!$B$2:$B$1001,$A27,Log!$D$2:$D$1001,"&gt;=5"))</f>
        <v/>
      </c>
      <c r="I27" s="18">
        <f>MAX(_xlfn.MAXIFS('Start Here'!$B$19:$B$58,'Start Here'!$A$19:$A$58,$A27,'Start Here'!$C$19:$C$58,"&gt;=6"),_xlfn.MAXIFS(Sets!$C$2:$C$3300,Sets!$B$2:$B$3300,$A27,Sets!$D$2:$D$3300,"&gt;=6"),_xlfn.MAXIFS(Log!$C$2:$C$1001,Log!$B$2:$B$1001,$A27,Log!$D$2:$D$1001,"&gt;=6"))</f>
        <v/>
      </c>
      <c r="J27" s="18">
        <f>MAX(_xlfn.MAXIFS('Start Here'!$B$19:$B$58,'Start Here'!$A$19:$A$58,$A27,'Start Here'!$C$19:$C$58,"&gt;=8"),_xlfn.MAXIFS(Sets!$C$2:$C$3300,Sets!$B$2:$B$3300,$A27,Sets!$D$2:$D$3300,"&gt;=8"),_xlfn.MAXIFS(Log!$C$2:$C$1001,Log!$B$2:$B$1001,$A27,Log!$D$2:$D$1001,"&gt;=8"))</f>
        <v/>
      </c>
      <c r="K27" s="18">
        <f>MAX(_xlfn.MAXIFS('Start Here'!$B$19:$B$58,'Start Here'!$A$19:$A$58,$A27,'Start Here'!$C$19:$C$58,"&gt;=10"),_xlfn.MAXIFS(Sets!$C$2:$C$3300,Sets!$B$2:$B$3300,$A27,Sets!$D$2:$D$3300,"&gt;=10"),_xlfn.MAXIFS(Log!$C$2:$C$1001,Log!$B$2:$B$1001,$A27,Log!$D$2:$D$1001,"&gt;=10"))</f>
        <v/>
      </c>
      <c r="L27" s="18">
        <f>MAX(_xlfn.MAXIFS('Start Here'!$B$19:$B$58,'Start Here'!$A$19:$A$58,$A27,'Start Here'!$C$19:$C$58,"&gt;=12"),_xlfn.MAXIFS(Sets!$C$2:$C$3300,Sets!$B$2:$B$3300,$A27,Sets!$D$2:$D$3300,"&gt;=12"),_xlfn.MAXIFS(Log!$C$2:$C$1001,Log!$B$2:$B$1001,$A27,Log!$D$2:$D$1001,"&gt;=12"))</f>
        <v/>
      </c>
    </row>
    <row r="28">
      <c r="A28" s="24" t="inlineStr">
        <is>
          <t>Sumo Deadlift</t>
        </is>
      </c>
      <c r="B28" t="inlineStr">
        <is>
          <t>variation</t>
        </is>
      </c>
      <c r="C28" s="63">
        <f>MAX(_xlfn.MAXIFS('Start Here'!$D$19:$D$58,'Start Here'!$A$19:$A$58,$A28),_xlfn.MAXIFS(Sets!$E$2:$E$3300,Sets!$B$2:$B$3300,$A28),_xlfn.MAXIFS(Log!$E$2:$E$1001,Log!$B$2:$B$1001,$A28))</f>
        <v/>
      </c>
      <c r="D28" s="18">
        <f>MAX(_xlfn.MAXIFS('Start Here'!$B$19:$B$58,'Start Here'!$A$19:$A$58,$A28,'Start Here'!$C$19:$C$58,"&gt;=1"),_xlfn.MAXIFS(Sets!$C$2:$C$3300,Sets!$B$2:$B$3300,$A28,Sets!$D$2:$D$3300,"&gt;=1"),_xlfn.MAXIFS(Log!$C$2:$C$1001,Log!$B$2:$B$1001,$A28,Log!$D$2:$D$1001,"&gt;=1"))</f>
        <v/>
      </c>
      <c r="E28" s="18">
        <f>MAX(_xlfn.MAXIFS('Start Here'!$B$19:$B$58,'Start Here'!$A$19:$A$58,$A28,'Start Here'!$C$19:$C$58,"&gt;=2"),_xlfn.MAXIFS(Sets!$C$2:$C$3300,Sets!$B$2:$B$3300,$A28,Sets!$D$2:$D$3300,"&gt;=2"),_xlfn.MAXIFS(Log!$C$2:$C$1001,Log!$B$2:$B$1001,$A28,Log!$D$2:$D$1001,"&gt;=2"))</f>
        <v/>
      </c>
      <c r="F28" s="18">
        <f>MAX(_xlfn.MAXIFS('Start Here'!$B$19:$B$58,'Start Here'!$A$19:$A$58,$A28,'Start Here'!$C$19:$C$58,"&gt;=3"),_xlfn.MAXIFS(Sets!$C$2:$C$3300,Sets!$B$2:$B$3300,$A28,Sets!$D$2:$D$3300,"&gt;=3"),_xlfn.MAXIFS(Log!$C$2:$C$1001,Log!$B$2:$B$1001,$A28,Log!$D$2:$D$1001,"&gt;=3"))</f>
        <v/>
      </c>
      <c r="G28" s="18">
        <f>MAX(_xlfn.MAXIFS('Start Here'!$B$19:$B$58,'Start Here'!$A$19:$A$58,$A28,'Start Here'!$C$19:$C$58,"&gt;=4"),_xlfn.MAXIFS(Sets!$C$2:$C$3300,Sets!$B$2:$B$3300,$A28,Sets!$D$2:$D$3300,"&gt;=4"),_xlfn.MAXIFS(Log!$C$2:$C$1001,Log!$B$2:$B$1001,$A28,Log!$D$2:$D$1001,"&gt;=4"))</f>
        <v/>
      </c>
      <c r="H28" s="18">
        <f>MAX(_xlfn.MAXIFS('Start Here'!$B$19:$B$58,'Start Here'!$A$19:$A$58,$A28,'Start Here'!$C$19:$C$58,"&gt;=5"),_xlfn.MAXIFS(Sets!$C$2:$C$3300,Sets!$B$2:$B$3300,$A28,Sets!$D$2:$D$3300,"&gt;=5"),_xlfn.MAXIFS(Log!$C$2:$C$1001,Log!$B$2:$B$1001,$A28,Log!$D$2:$D$1001,"&gt;=5"))</f>
        <v/>
      </c>
      <c r="I28" s="18">
        <f>MAX(_xlfn.MAXIFS('Start Here'!$B$19:$B$58,'Start Here'!$A$19:$A$58,$A28,'Start Here'!$C$19:$C$58,"&gt;=6"),_xlfn.MAXIFS(Sets!$C$2:$C$3300,Sets!$B$2:$B$3300,$A28,Sets!$D$2:$D$3300,"&gt;=6"),_xlfn.MAXIFS(Log!$C$2:$C$1001,Log!$B$2:$B$1001,$A28,Log!$D$2:$D$1001,"&gt;=6"))</f>
        <v/>
      </c>
      <c r="J28" s="18">
        <f>MAX(_xlfn.MAXIFS('Start Here'!$B$19:$B$58,'Start Here'!$A$19:$A$58,$A28,'Start Here'!$C$19:$C$58,"&gt;=8"),_xlfn.MAXIFS(Sets!$C$2:$C$3300,Sets!$B$2:$B$3300,$A28,Sets!$D$2:$D$3300,"&gt;=8"),_xlfn.MAXIFS(Log!$C$2:$C$1001,Log!$B$2:$B$1001,$A28,Log!$D$2:$D$1001,"&gt;=8"))</f>
        <v/>
      </c>
      <c r="K28" s="18">
        <f>MAX(_xlfn.MAXIFS('Start Here'!$B$19:$B$58,'Start Here'!$A$19:$A$58,$A28,'Start Here'!$C$19:$C$58,"&gt;=10"),_xlfn.MAXIFS(Sets!$C$2:$C$3300,Sets!$B$2:$B$3300,$A28,Sets!$D$2:$D$3300,"&gt;=10"),_xlfn.MAXIFS(Log!$C$2:$C$1001,Log!$B$2:$B$1001,$A28,Log!$D$2:$D$1001,"&gt;=10"))</f>
        <v/>
      </c>
      <c r="L28" s="18">
        <f>MAX(_xlfn.MAXIFS('Start Here'!$B$19:$B$58,'Start Here'!$A$19:$A$58,$A28,'Start Here'!$C$19:$C$58,"&gt;=12"),_xlfn.MAXIFS(Sets!$C$2:$C$3300,Sets!$B$2:$B$3300,$A28,Sets!$D$2:$D$3300,"&gt;=12"),_xlfn.MAXIFS(Log!$C$2:$C$1001,Log!$B$2:$B$1001,$A28,Log!$D$2:$D$1001,"&gt;=12"))</f>
        <v/>
      </c>
    </row>
    <row r="29">
      <c r="A29" s="24" t="inlineStr">
        <is>
          <t>Snatch-Grip Deadlift</t>
        </is>
      </c>
      <c r="B29" t="inlineStr">
        <is>
          <t>variation</t>
        </is>
      </c>
      <c r="C29" s="63">
        <f>MAX(_xlfn.MAXIFS('Start Here'!$D$19:$D$58,'Start Here'!$A$19:$A$58,$A29),_xlfn.MAXIFS(Sets!$E$2:$E$3300,Sets!$B$2:$B$3300,$A29),_xlfn.MAXIFS(Log!$E$2:$E$1001,Log!$B$2:$B$1001,$A29))</f>
        <v/>
      </c>
      <c r="D29" s="18">
        <f>MAX(_xlfn.MAXIFS('Start Here'!$B$19:$B$58,'Start Here'!$A$19:$A$58,$A29,'Start Here'!$C$19:$C$58,"&gt;=1"),_xlfn.MAXIFS(Sets!$C$2:$C$3300,Sets!$B$2:$B$3300,$A29,Sets!$D$2:$D$3300,"&gt;=1"),_xlfn.MAXIFS(Log!$C$2:$C$1001,Log!$B$2:$B$1001,$A29,Log!$D$2:$D$1001,"&gt;=1"))</f>
        <v/>
      </c>
      <c r="E29" s="18">
        <f>MAX(_xlfn.MAXIFS('Start Here'!$B$19:$B$58,'Start Here'!$A$19:$A$58,$A29,'Start Here'!$C$19:$C$58,"&gt;=2"),_xlfn.MAXIFS(Sets!$C$2:$C$3300,Sets!$B$2:$B$3300,$A29,Sets!$D$2:$D$3300,"&gt;=2"),_xlfn.MAXIFS(Log!$C$2:$C$1001,Log!$B$2:$B$1001,$A29,Log!$D$2:$D$1001,"&gt;=2"))</f>
        <v/>
      </c>
      <c r="F29" s="18">
        <f>MAX(_xlfn.MAXIFS('Start Here'!$B$19:$B$58,'Start Here'!$A$19:$A$58,$A29,'Start Here'!$C$19:$C$58,"&gt;=3"),_xlfn.MAXIFS(Sets!$C$2:$C$3300,Sets!$B$2:$B$3300,$A29,Sets!$D$2:$D$3300,"&gt;=3"),_xlfn.MAXIFS(Log!$C$2:$C$1001,Log!$B$2:$B$1001,$A29,Log!$D$2:$D$1001,"&gt;=3"))</f>
        <v/>
      </c>
      <c r="G29" s="18">
        <f>MAX(_xlfn.MAXIFS('Start Here'!$B$19:$B$58,'Start Here'!$A$19:$A$58,$A29,'Start Here'!$C$19:$C$58,"&gt;=4"),_xlfn.MAXIFS(Sets!$C$2:$C$3300,Sets!$B$2:$B$3300,$A29,Sets!$D$2:$D$3300,"&gt;=4"),_xlfn.MAXIFS(Log!$C$2:$C$1001,Log!$B$2:$B$1001,$A29,Log!$D$2:$D$1001,"&gt;=4"))</f>
        <v/>
      </c>
      <c r="H29" s="18">
        <f>MAX(_xlfn.MAXIFS('Start Here'!$B$19:$B$58,'Start Here'!$A$19:$A$58,$A29,'Start Here'!$C$19:$C$58,"&gt;=5"),_xlfn.MAXIFS(Sets!$C$2:$C$3300,Sets!$B$2:$B$3300,$A29,Sets!$D$2:$D$3300,"&gt;=5"),_xlfn.MAXIFS(Log!$C$2:$C$1001,Log!$B$2:$B$1001,$A29,Log!$D$2:$D$1001,"&gt;=5"))</f>
        <v/>
      </c>
      <c r="I29" s="18">
        <f>MAX(_xlfn.MAXIFS('Start Here'!$B$19:$B$58,'Start Here'!$A$19:$A$58,$A29,'Start Here'!$C$19:$C$58,"&gt;=6"),_xlfn.MAXIFS(Sets!$C$2:$C$3300,Sets!$B$2:$B$3300,$A29,Sets!$D$2:$D$3300,"&gt;=6"),_xlfn.MAXIFS(Log!$C$2:$C$1001,Log!$B$2:$B$1001,$A29,Log!$D$2:$D$1001,"&gt;=6"))</f>
        <v/>
      </c>
      <c r="J29" s="18">
        <f>MAX(_xlfn.MAXIFS('Start Here'!$B$19:$B$58,'Start Here'!$A$19:$A$58,$A29,'Start Here'!$C$19:$C$58,"&gt;=8"),_xlfn.MAXIFS(Sets!$C$2:$C$3300,Sets!$B$2:$B$3300,$A29,Sets!$D$2:$D$3300,"&gt;=8"),_xlfn.MAXIFS(Log!$C$2:$C$1001,Log!$B$2:$B$1001,$A29,Log!$D$2:$D$1001,"&gt;=8"))</f>
        <v/>
      </c>
      <c r="K29" s="18">
        <f>MAX(_xlfn.MAXIFS('Start Here'!$B$19:$B$58,'Start Here'!$A$19:$A$58,$A29,'Start Here'!$C$19:$C$58,"&gt;=10"),_xlfn.MAXIFS(Sets!$C$2:$C$3300,Sets!$B$2:$B$3300,$A29,Sets!$D$2:$D$3300,"&gt;=10"),_xlfn.MAXIFS(Log!$C$2:$C$1001,Log!$B$2:$B$1001,$A29,Log!$D$2:$D$1001,"&gt;=10"))</f>
        <v/>
      </c>
      <c r="L29" s="18">
        <f>MAX(_xlfn.MAXIFS('Start Here'!$B$19:$B$58,'Start Here'!$A$19:$A$58,$A29,'Start Here'!$C$19:$C$58,"&gt;=12"),_xlfn.MAXIFS(Sets!$C$2:$C$3300,Sets!$B$2:$B$3300,$A29,Sets!$D$2:$D$3300,"&gt;=12"),_xlfn.MAXIFS(Log!$C$2:$C$1001,Log!$B$2:$B$1001,$A29,Log!$D$2:$D$1001,"&gt;=12"))</f>
        <v/>
      </c>
    </row>
    <row r="30">
      <c r="A30" s="24" t="inlineStr">
        <is>
          <t>Push Press</t>
        </is>
      </c>
      <c r="B30" t="inlineStr">
        <is>
          <t>variation</t>
        </is>
      </c>
      <c r="C30" s="63">
        <f>MAX(_xlfn.MAXIFS('Start Here'!$D$19:$D$58,'Start Here'!$A$19:$A$58,$A30),_xlfn.MAXIFS(Sets!$E$2:$E$3300,Sets!$B$2:$B$3300,$A30),_xlfn.MAXIFS(Log!$E$2:$E$1001,Log!$B$2:$B$1001,$A30))</f>
        <v/>
      </c>
      <c r="D30" s="18">
        <f>MAX(_xlfn.MAXIFS('Start Here'!$B$19:$B$58,'Start Here'!$A$19:$A$58,$A30,'Start Here'!$C$19:$C$58,"&gt;=1"),_xlfn.MAXIFS(Sets!$C$2:$C$3300,Sets!$B$2:$B$3300,$A30,Sets!$D$2:$D$3300,"&gt;=1"),_xlfn.MAXIFS(Log!$C$2:$C$1001,Log!$B$2:$B$1001,$A30,Log!$D$2:$D$1001,"&gt;=1"))</f>
        <v/>
      </c>
      <c r="E30" s="18">
        <f>MAX(_xlfn.MAXIFS('Start Here'!$B$19:$B$58,'Start Here'!$A$19:$A$58,$A30,'Start Here'!$C$19:$C$58,"&gt;=2"),_xlfn.MAXIFS(Sets!$C$2:$C$3300,Sets!$B$2:$B$3300,$A30,Sets!$D$2:$D$3300,"&gt;=2"),_xlfn.MAXIFS(Log!$C$2:$C$1001,Log!$B$2:$B$1001,$A30,Log!$D$2:$D$1001,"&gt;=2"))</f>
        <v/>
      </c>
      <c r="F30" s="18">
        <f>MAX(_xlfn.MAXIFS('Start Here'!$B$19:$B$58,'Start Here'!$A$19:$A$58,$A30,'Start Here'!$C$19:$C$58,"&gt;=3"),_xlfn.MAXIFS(Sets!$C$2:$C$3300,Sets!$B$2:$B$3300,$A30,Sets!$D$2:$D$3300,"&gt;=3"),_xlfn.MAXIFS(Log!$C$2:$C$1001,Log!$B$2:$B$1001,$A30,Log!$D$2:$D$1001,"&gt;=3"))</f>
        <v/>
      </c>
      <c r="G30" s="18">
        <f>MAX(_xlfn.MAXIFS('Start Here'!$B$19:$B$58,'Start Here'!$A$19:$A$58,$A30,'Start Here'!$C$19:$C$58,"&gt;=4"),_xlfn.MAXIFS(Sets!$C$2:$C$3300,Sets!$B$2:$B$3300,$A30,Sets!$D$2:$D$3300,"&gt;=4"),_xlfn.MAXIFS(Log!$C$2:$C$1001,Log!$B$2:$B$1001,$A30,Log!$D$2:$D$1001,"&gt;=4"))</f>
        <v/>
      </c>
      <c r="H30" s="18">
        <f>MAX(_xlfn.MAXIFS('Start Here'!$B$19:$B$58,'Start Here'!$A$19:$A$58,$A30,'Start Here'!$C$19:$C$58,"&gt;=5"),_xlfn.MAXIFS(Sets!$C$2:$C$3300,Sets!$B$2:$B$3300,$A30,Sets!$D$2:$D$3300,"&gt;=5"),_xlfn.MAXIFS(Log!$C$2:$C$1001,Log!$B$2:$B$1001,$A30,Log!$D$2:$D$1001,"&gt;=5"))</f>
        <v/>
      </c>
      <c r="I30" s="18">
        <f>MAX(_xlfn.MAXIFS('Start Here'!$B$19:$B$58,'Start Here'!$A$19:$A$58,$A30,'Start Here'!$C$19:$C$58,"&gt;=6"),_xlfn.MAXIFS(Sets!$C$2:$C$3300,Sets!$B$2:$B$3300,$A30,Sets!$D$2:$D$3300,"&gt;=6"),_xlfn.MAXIFS(Log!$C$2:$C$1001,Log!$B$2:$B$1001,$A30,Log!$D$2:$D$1001,"&gt;=6"))</f>
        <v/>
      </c>
      <c r="J30" s="18">
        <f>MAX(_xlfn.MAXIFS('Start Here'!$B$19:$B$58,'Start Here'!$A$19:$A$58,$A30,'Start Here'!$C$19:$C$58,"&gt;=8"),_xlfn.MAXIFS(Sets!$C$2:$C$3300,Sets!$B$2:$B$3300,$A30,Sets!$D$2:$D$3300,"&gt;=8"),_xlfn.MAXIFS(Log!$C$2:$C$1001,Log!$B$2:$B$1001,$A30,Log!$D$2:$D$1001,"&gt;=8"))</f>
        <v/>
      </c>
      <c r="K30" s="18">
        <f>MAX(_xlfn.MAXIFS('Start Here'!$B$19:$B$58,'Start Here'!$A$19:$A$58,$A30,'Start Here'!$C$19:$C$58,"&gt;=10"),_xlfn.MAXIFS(Sets!$C$2:$C$3300,Sets!$B$2:$B$3300,$A30,Sets!$D$2:$D$3300,"&gt;=10"),_xlfn.MAXIFS(Log!$C$2:$C$1001,Log!$B$2:$B$1001,$A30,Log!$D$2:$D$1001,"&gt;=10"))</f>
        <v/>
      </c>
      <c r="L30" s="18">
        <f>MAX(_xlfn.MAXIFS('Start Here'!$B$19:$B$58,'Start Here'!$A$19:$A$58,$A30,'Start Here'!$C$19:$C$58,"&gt;=12"),_xlfn.MAXIFS(Sets!$C$2:$C$3300,Sets!$B$2:$B$3300,$A30,Sets!$D$2:$D$3300,"&gt;=12"),_xlfn.MAXIFS(Log!$C$2:$C$1001,Log!$B$2:$B$1001,$A30,Log!$D$2:$D$1001,"&gt;=12"))</f>
        <v/>
      </c>
    </row>
    <row r="31">
      <c r="A31" s="24" t="inlineStr">
        <is>
          <t>Seated Overhead Press</t>
        </is>
      </c>
      <c r="B31" t="inlineStr">
        <is>
          <t>variation</t>
        </is>
      </c>
      <c r="C31" s="63">
        <f>MAX(_xlfn.MAXIFS('Start Here'!$D$19:$D$58,'Start Here'!$A$19:$A$58,$A31),_xlfn.MAXIFS(Sets!$E$2:$E$3300,Sets!$B$2:$B$3300,$A31),_xlfn.MAXIFS(Log!$E$2:$E$1001,Log!$B$2:$B$1001,$A31))</f>
        <v/>
      </c>
      <c r="D31" s="18">
        <f>MAX(_xlfn.MAXIFS('Start Here'!$B$19:$B$58,'Start Here'!$A$19:$A$58,$A31,'Start Here'!$C$19:$C$58,"&gt;=1"),_xlfn.MAXIFS(Sets!$C$2:$C$3300,Sets!$B$2:$B$3300,$A31,Sets!$D$2:$D$3300,"&gt;=1"),_xlfn.MAXIFS(Log!$C$2:$C$1001,Log!$B$2:$B$1001,$A31,Log!$D$2:$D$1001,"&gt;=1"))</f>
        <v/>
      </c>
      <c r="E31" s="18">
        <f>MAX(_xlfn.MAXIFS('Start Here'!$B$19:$B$58,'Start Here'!$A$19:$A$58,$A31,'Start Here'!$C$19:$C$58,"&gt;=2"),_xlfn.MAXIFS(Sets!$C$2:$C$3300,Sets!$B$2:$B$3300,$A31,Sets!$D$2:$D$3300,"&gt;=2"),_xlfn.MAXIFS(Log!$C$2:$C$1001,Log!$B$2:$B$1001,$A31,Log!$D$2:$D$1001,"&gt;=2"))</f>
        <v/>
      </c>
      <c r="F31" s="18">
        <f>MAX(_xlfn.MAXIFS('Start Here'!$B$19:$B$58,'Start Here'!$A$19:$A$58,$A31,'Start Here'!$C$19:$C$58,"&gt;=3"),_xlfn.MAXIFS(Sets!$C$2:$C$3300,Sets!$B$2:$B$3300,$A31,Sets!$D$2:$D$3300,"&gt;=3"),_xlfn.MAXIFS(Log!$C$2:$C$1001,Log!$B$2:$B$1001,$A31,Log!$D$2:$D$1001,"&gt;=3"))</f>
        <v/>
      </c>
      <c r="G31" s="18">
        <f>MAX(_xlfn.MAXIFS('Start Here'!$B$19:$B$58,'Start Here'!$A$19:$A$58,$A31,'Start Here'!$C$19:$C$58,"&gt;=4"),_xlfn.MAXIFS(Sets!$C$2:$C$3300,Sets!$B$2:$B$3300,$A31,Sets!$D$2:$D$3300,"&gt;=4"),_xlfn.MAXIFS(Log!$C$2:$C$1001,Log!$B$2:$B$1001,$A31,Log!$D$2:$D$1001,"&gt;=4"))</f>
        <v/>
      </c>
      <c r="H31" s="18">
        <f>MAX(_xlfn.MAXIFS('Start Here'!$B$19:$B$58,'Start Here'!$A$19:$A$58,$A31,'Start Here'!$C$19:$C$58,"&gt;=5"),_xlfn.MAXIFS(Sets!$C$2:$C$3300,Sets!$B$2:$B$3300,$A31,Sets!$D$2:$D$3300,"&gt;=5"),_xlfn.MAXIFS(Log!$C$2:$C$1001,Log!$B$2:$B$1001,$A31,Log!$D$2:$D$1001,"&gt;=5"))</f>
        <v/>
      </c>
      <c r="I31" s="18">
        <f>MAX(_xlfn.MAXIFS('Start Here'!$B$19:$B$58,'Start Here'!$A$19:$A$58,$A31,'Start Here'!$C$19:$C$58,"&gt;=6"),_xlfn.MAXIFS(Sets!$C$2:$C$3300,Sets!$B$2:$B$3300,$A31,Sets!$D$2:$D$3300,"&gt;=6"),_xlfn.MAXIFS(Log!$C$2:$C$1001,Log!$B$2:$B$1001,$A31,Log!$D$2:$D$1001,"&gt;=6"))</f>
        <v/>
      </c>
      <c r="J31" s="18">
        <f>MAX(_xlfn.MAXIFS('Start Here'!$B$19:$B$58,'Start Here'!$A$19:$A$58,$A31,'Start Here'!$C$19:$C$58,"&gt;=8"),_xlfn.MAXIFS(Sets!$C$2:$C$3300,Sets!$B$2:$B$3300,$A31,Sets!$D$2:$D$3300,"&gt;=8"),_xlfn.MAXIFS(Log!$C$2:$C$1001,Log!$B$2:$B$1001,$A31,Log!$D$2:$D$1001,"&gt;=8"))</f>
        <v/>
      </c>
      <c r="K31" s="18">
        <f>MAX(_xlfn.MAXIFS('Start Here'!$B$19:$B$58,'Start Here'!$A$19:$A$58,$A31,'Start Here'!$C$19:$C$58,"&gt;=10"),_xlfn.MAXIFS(Sets!$C$2:$C$3300,Sets!$B$2:$B$3300,$A31,Sets!$D$2:$D$3300,"&gt;=10"),_xlfn.MAXIFS(Log!$C$2:$C$1001,Log!$B$2:$B$1001,$A31,Log!$D$2:$D$1001,"&gt;=10"))</f>
        <v/>
      </c>
      <c r="L31" s="18">
        <f>MAX(_xlfn.MAXIFS('Start Here'!$B$19:$B$58,'Start Here'!$A$19:$A$58,$A31,'Start Here'!$C$19:$C$58,"&gt;=12"),_xlfn.MAXIFS(Sets!$C$2:$C$3300,Sets!$B$2:$B$3300,$A31,Sets!$D$2:$D$3300,"&gt;=12"),_xlfn.MAXIFS(Log!$C$2:$C$1001,Log!$B$2:$B$1001,$A31,Log!$D$2:$D$1001,"&gt;=12"))</f>
        <v/>
      </c>
    </row>
    <row r="32">
      <c r="A32" s="24" t="inlineStr">
        <is>
          <t>Z Press</t>
        </is>
      </c>
      <c r="B32" t="inlineStr">
        <is>
          <t>variation</t>
        </is>
      </c>
      <c r="C32" s="63">
        <f>MAX(_xlfn.MAXIFS('Start Here'!$D$19:$D$58,'Start Here'!$A$19:$A$58,$A32),_xlfn.MAXIFS(Sets!$E$2:$E$3300,Sets!$B$2:$B$3300,$A32),_xlfn.MAXIFS(Log!$E$2:$E$1001,Log!$B$2:$B$1001,$A32))</f>
        <v/>
      </c>
      <c r="D32" s="18">
        <f>MAX(_xlfn.MAXIFS('Start Here'!$B$19:$B$58,'Start Here'!$A$19:$A$58,$A32,'Start Here'!$C$19:$C$58,"&gt;=1"),_xlfn.MAXIFS(Sets!$C$2:$C$3300,Sets!$B$2:$B$3300,$A32,Sets!$D$2:$D$3300,"&gt;=1"),_xlfn.MAXIFS(Log!$C$2:$C$1001,Log!$B$2:$B$1001,$A32,Log!$D$2:$D$1001,"&gt;=1"))</f>
        <v/>
      </c>
      <c r="E32" s="18">
        <f>MAX(_xlfn.MAXIFS('Start Here'!$B$19:$B$58,'Start Here'!$A$19:$A$58,$A32,'Start Here'!$C$19:$C$58,"&gt;=2"),_xlfn.MAXIFS(Sets!$C$2:$C$3300,Sets!$B$2:$B$3300,$A32,Sets!$D$2:$D$3300,"&gt;=2"),_xlfn.MAXIFS(Log!$C$2:$C$1001,Log!$B$2:$B$1001,$A32,Log!$D$2:$D$1001,"&gt;=2"))</f>
        <v/>
      </c>
      <c r="F32" s="18">
        <f>MAX(_xlfn.MAXIFS('Start Here'!$B$19:$B$58,'Start Here'!$A$19:$A$58,$A32,'Start Here'!$C$19:$C$58,"&gt;=3"),_xlfn.MAXIFS(Sets!$C$2:$C$3300,Sets!$B$2:$B$3300,$A32,Sets!$D$2:$D$3300,"&gt;=3"),_xlfn.MAXIFS(Log!$C$2:$C$1001,Log!$B$2:$B$1001,$A32,Log!$D$2:$D$1001,"&gt;=3"))</f>
        <v/>
      </c>
      <c r="G32" s="18">
        <f>MAX(_xlfn.MAXIFS('Start Here'!$B$19:$B$58,'Start Here'!$A$19:$A$58,$A32,'Start Here'!$C$19:$C$58,"&gt;=4"),_xlfn.MAXIFS(Sets!$C$2:$C$3300,Sets!$B$2:$B$3300,$A32,Sets!$D$2:$D$3300,"&gt;=4"),_xlfn.MAXIFS(Log!$C$2:$C$1001,Log!$B$2:$B$1001,$A32,Log!$D$2:$D$1001,"&gt;=4"))</f>
        <v/>
      </c>
      <c r="H32" s="18">
        <f>MAX(_xlfn.MAXIFS('Start Here'!$B$19:$B$58,'Start Here'!$A$19:$A$58,$A32,'Start Here'!$C$19:$C$58,"&gt;=5"),_xlfn.MAXIFS(Sets!$C$2:$C$3300,Sets!$B$2:$B$3300,$A32,Sets!$D$2:$D$3300,"&gt;=5"),_xlfn.MAXIFS(Log!$C$2:$C$1001,Log!$B$2:$B$1001,$A32,Log!$D$2:$D$1001,"&gt;=5"))</f>
        <v/>
      </c>
      <c r="I32" s="18">
        <f>MAX(_xlfn.MAXIFS('Start Here'!$B$19:$B$58,'Start Here'!$A$19:$A$58,$A32,'Start Here'!$C$19:$C$58,"&gt;=6"),_xlfn.MAXIFS(Sets!$C$2:$C$3300,Sets!$B$2:$B$3300,$A32,Sets!$D$2:$D$3300,"&gt;=6"),_xlfn.MAXIFS(Log!$C$2:$C$1001,Log!$B$2:$B$1001,$A32,Log!$D$2:$D$1001,"&gt;=6"))</f>
        <v/>
      </c>
      <c r="J32" s="18">
        <f>MAX(_xlfn.MAXIFS('Start Here'!$B$19:$B$58,'Start Here'!$A$19:$A$58,$A32,'Start Here'!$C$19:$C$58,"&gt;=8"),_xlfn.MAXIFS(Sets!$C$2:$C$3300,Sets!$B$2:$B$3300,$A32,Sets!$D$2:$D$3300,"&gt;=8"),_xlfn.MAXIFS(Log!$C$2:$C$1001,Log!$B$2:$B$1001,$A32,Log!$D$2:$D$1001,"&gt;=8"))</f>
        <v/>
      </c>
      <c r="K32" s="18">
        <f>MAX(_xlfn.MAXIFS('Start Here'!$B$19:$B$58,'Start Here'!$A$19:$A$58,$A32,'Start Here'!$C$19:$C$58,"&gt;=10"),_xlfn.MAXIFS(Sets!$C$2:$C$3300,Sets!$B$2:$B$3300,$A32,Sets!$D$2:$D$3300,"&gt;=10"),_xlfn.MAXIFS(Log!$C$2:$C$1001,Log!$B$2:$B$1001,$A32,Log!$D$2:$D$1001,"&gt;=10"))</f>
        <v/>
      </c>
      <c r="L32" s="18">
        <f>MAX(_xlfn.MAXIFS('Start Here'!$B$19:$B$58,'Start Here'!$A$19:$A$58,$A32,'Start Here'!$C$19:$C$58,"&gt;=12"),_xlfn.MAXIFS(Sets!$C$2:$C$3300,Sets!$B$2:$B$3300,$A32,Sets!$D$2:$D$3300,"&gt;=12"),_xlfn.MAXIFS(Log!$C$2:$C$1001,Log!$B$2:$B$1001,$A32,Log!$D$2:$D$1001,"&gt;=12"))</f>
        <v/>
      </c>
    </row>
    <row r="33">
      <c r="A33" s="24" t="inlineStr">
        <is>
          <t>Behind-the-Neck Press</t>
        </is>
      </c>
      <c r="B33" t="inlineStr">
        <is>
          <t>variation</t>
        </is>
      </c>
      <c r="C33" s="63">
        <f>MAX(_xlfn.MAXIFS('Start Here'!$D$19:$D$58,'Start Here'!$A$19:$A$58,$A33),_xlfn.MAXIFS(Sets!$E$2:$E$3300,Sets!$B$2:$B$3300,$A33),_xlfn.MAXIFS(Log!$E$2:$E$1001,Log!$B$2:$B$1001,$A33))</f>
        <v/>
      </c>
      <c r="D33" s="18">
        <f>MAX(_xlfn.MAXIFS('Start Here'!$B$19:$B$58,'Start Here'!$A$19:$A$58,$A33,'Start Here'!$C$19:$C$58,"&gt;=1"),_xlfn.MAXIFS(Sets!$C$2:$C$3300,Sets!$B$2:$B$3300,$A33,Sets!$D$2:$D$3300,"&gt;=1"),_xlfn.MAXIFS(Log!$C$2:$C$1001,Log!$B$2:$B$1001,$A33,Log!$D$2:$D$1001,"&gt;=1"))</f>
        <v/>
      </c>
      <c r="E33" s="18">
        <f>MAX(_xlfn.MAXIFS('Start Here'!$B$19:$B$58,'Start Here'!$A$19:$A$58,$A33,'Start Here'!$C$19:$C$58,"&gt;=2"),_xlfn.MAXIFS(Sets!$C$2:$C$3300,Sets!$B$2:$B$3300,$A33,Sets!$D$2:$D$3300,"&gt;=2"),_xlfn.MAXIFS(Log!$C$2:$C$1001,Log!$B$2:$B$1001,$A33,Log!$D$2:$D$1001,"&gt;=2"))</f>
        <v/>
      </c>
      <c r="F33" s="18">
        <f>MAX(_xlfn.MAXIFS('Start Here'!$B$19:$B$58,'Start Here'!$A$19:$A$58,$A33,'Start Here'!$C$19:$C$58,"&gt;=3"),_xlfn.MAXIFS(Sets!$C$2:$C$3300,Sets!$B$2:$B$3300,$A33,Sets!$D$2:$D$3300,"&gt;=3"),_xlfn.MAXIFS(Log!$C$2:$C$1001,Log!$B$2:$B$1001,$A33,Log!$D$2:$D$1001,"&gt;=3"))</f>
        <v/>
      </c>
      <c r="G33" s="18">
        <f>MAX(_xlfn.MAXIFS('Start Here'!$B$19:$B$58,'Start Here'!$A$19:$A$58,$A33,'Start Here'!$C$19:$C$58,"&gt;=4"),_xlfn.MAXIFS(Sets!$C$2:$C$3300,Sets!$B$2:$B$3300,$A33,Sets!$D$2:$D$3300,"&gt;=4"),_xlfn.MAXIFS(Log!$C$2:$C$1001,Log!$B$2:$B$1001,$A33,Log!$D$2:$D$1001,"&gt;=4"))</f>
        <v/>
      </c>
      <c r="H33" s="18">
        <f>MAX(_xlfn.MAXIFS('Start Here'!$B$19:$B$58,'Start Here'!$A$19:$A$58,$A33,'Start Here'!$C$19:$C$58,"&gt;=5"),_xlfn.MAXIFS(Sets!$C$2:$C$3300,Sets!$B$2:$B$3300,$A33,Sets!$D$2:$D$3300,"&gt;=5"),_xlfn.MAXIFS(Log!$C$2:$C$1001,Log!$B$2:$B$1001,$A33,Log!$D$2:$D$1001,"&gt;=5"))</f>
        <v/>
      </c>
      <c r="I33" s="18">
        <f>MAX(_xlfn.MAXIFS('Start Here'!$B$19:$B$58,'Start Here'!$A$19:$A$58,$A33,'Start Here'!$C$19:$C$58,"&gt;=6"),_xlfn.MAXIFS(Sets!$C$2:$C$3300,Sets!$B$2:$B$3300,$A33,Sets!$D$2:$D$3300,"&gt;=6"),_xlfn.MAXIFS(Log!$C$2:$C$1001,Log!$B$2:$B$1001,$A33,Log!$D$2:$D$1001,"&gt;=6"))</f>
        <v/>
      </c>
      <c r="J33" s="18">
        <f>MAX(_xlfn.MAXIFS('Start Here'!$B$19:$B$58,'Start Here'!$A$19:$A$58,$A33,'Start Here'!$C$19:$C$58,"&gt;=8"),_xlfn.MAXIFS(Sets!$C$2:$C$3300,Sets!$B$2:$B$3300,$A33,Sets!$D$2:$D$3300,"&gt;=8"),_xlfn.MAXIFS(Log!$C$2:$C$1001,Log!$B$2:$B$1001,$A33,Log!$D$2:$D$1001,"&gt;=8"))</f>
        <v/>
      </c>
      <c r="K33" s="18">
        <f>MAX(_xlfn.MAXIFS('Start Here'!$B$19:$B$58,'Start Here'!$A$19:$A$58,$A33,'Start Here'!$C$19:$C$58,"&gt;=10"),_xlfn.MAXIFS(Sets!$C$2:$C$3300,Sets!$B$2:$B$3300,$A33,Sets!$D$2:$D$3300,"&gt;=10"),_xlfn.MAXIFS(Log!$C$2:$C$1001,Log!$B$2:$B$1001,$A33,Log!$D$2:$D$1001,"&gt;=10"))</f>
        <v/>
      </c>
      <c r="L33" s="18">
        <f>MAX(_xlfn.MAXIFS('Start Here'!$B$19:$B$58,'Start Here'!$A$19:$A$58,$A33,'Start Here'!$C$19:$C$58,"&gt;=12"),_xlfn.MAXIFS(Sets!$C$2:$C$3300,Sets!$B$2:$B$3300,$A33,Sets!$D$2:$D$3300,"&gt;=12"),_xlfn.MAXIFS(Log!$C$2:$C$1001,Log!$B$2:$B$1001,$A33,Log!$D$2:$D$1001,"&gt;=12"))</f>
        <v/>
      </c>
    </row>
    <row r="34">
      <c r="A34" s="24" t="inlineStr">
        <is>
          <t>Power Snatch</t>
        </is>
      </c>
      <c r="B34" t="inlineStr">
        <is>
          <t>variation</t>
        </is>
      </c>
      <c r="C34" s="63">
        <f>MAX(_xlfn.MAXIFS('Start Here'!$D$19:$D$58,'Start Here'!$A$19:$A$58,$A34),_xlfn.MAXIFS(Sets!$E$2:$E$3300,Sets!$B$2:$B$3300,$A34),_xlfn.MAXIFS(Log!$E$2:$E$1001,Log!$B$2:$B$1001,$A34))</f>
        <v/>
      </c>
      <c r="D34" s="18">
        <f>MAX(_xlfn.MAXIFS('Start Here'!$B$19:$B$58,'Start Here'!$A$19:$A$58,$A34,'Start Here'!$C$19:$C$58,"&gt;=1"),_xlfn.MAXIFS(Sets!$C$2:$C$3300,Sets!$B$2:$B$3300,$A34,Sets!$D$2:$D$3300,"&gt;=1"),_xlfn.MAXIFS(Log!$C$2:$C$1001,Log!$B$2:$B$1001,$A34,Log!$D$2:$D$1001,"&gt;=1"))</f>
        <v/>
      </c>
      <c r="E34" s="18">
        <f>MAX(_xlfn.MAXIFS('Start Here'!$B$19:$B$58,'Start Here'!$A$19:$A$58,$A34,'Start Here'!$C$19:$C$58,"&gt;=2"),_xlfn.MAXIFS(Sets!$C$2:$C$3300,Sets!$B$2:$B$3300,$A34,Sets!$D$2:$D$3300,"&gt;=2"),_xlfn.MAXIFS(Log!$C$2:$C$1001,Log!$B$2:$B$1001,$A34,Log!$D$2:$D$1001,"&gt;=2"))</f>
        <v/>
      </c>
      <c r="F34" s="18">
        <f>MAX(_xlfn.MAXIFS('Start Here'!$B$19:$B$58,'Start Here'!$A$19:$A$58,$A34,'Start Here'!$C$19:$C$58,"&gt;=3"),_xlfn.MAXIFS(Sets!$C$2:$C$3300,Sets!$B$2:$B$3300,$A34,Sets!$D$2:$D$3300,"&gt;=3"),_xlfn.MAXIFS(Log!$C$2:$C$1001,Log!$B$2:$B$1001,$A34,Log!$D$2:$D$1001,"&gt;=3"))</f>
        <v/>
      </c>
      <c r="G34" s="18">
        <f>MAX(_xlfn.MAXIFS('Start Here'!$B$19:$B$58,'Start Here'!$A$19:$A$58,$A34,'Start Here'!$C$19:$C$58,"&gt;=4"),_xlfn.MAXIFS(Sets!$C$2:$C$3300,Sets!$B$2:$B$3300,$A34,Sets!$D$2:$D$3300,"&gt;=4"),_xlfn.MAXIFS(Log!$C$2:$C$1001,Log!$B$2:$B$1001,$A34,Log!$D$2:$D$1001,"&gt;=4"))</f>
        <v/>
      </c>
      <c r="H34" s="18">
        <f>MAX(_xlfn.MAXIFS('Start Here'!$B$19:$B$58,'Start Here'!$A$19:$A$58,$A34,'Start Here'!$C$19:$C$58,"&gt;=5"),_xlfn.MAXIFS(Sets!$C$2:$C$3300,Sets!$B$2:$B$3300,$A34,Sets!$D$2:$D$3300,"&gt;=5"),_xlfn.MAXIFS(Log!$C$2:$C$1001,Log!$B$2:$B$1001,$A34,Log!$D$2:$D$1001,"&gt;=5"))</f>
        <v/>
      </c>
      <c r="I34" s="18">
        <f>MAX(_xlfn.MAXIFS('Start Here'!$B$19:$B$58,'Start Here'!$A$19:$A$58,$A34,'Start Here'!$C$19:$C$58,"&gt;=6"),_xlfn.MAXIFS(Sets!$C$2:$C$3300,Sets!$B$2:$B$3300,$A34,Sets!$D$2:$D$3300,"&gt;=6"),_xlfn.MAXIFS(Log!$C$2:$C$1001,Log!$B$2:$B$1001,$A34,Log!$D$2:$D$1001,"&gt;=6"))</f>
        <v/>
      </c>
      <c r="J34" s="18">
        <f>MAX(_xlfn.MAXIFS('Start Here'!$B$19:$B$58,'Start Here'!$A$19:$A$58,$A34,'Start Here'!$C$19:$C$58,"&gt;=8"),_xlfn.MAXIFS(Sets!$C$2:$C$3300,Sets!$B$2:$B$3300,$A34,Sets!$D$2:$D$3300,"&gt;=8"),_xlfn.MAXIFS(Log!$C$2:$C$1001,Log!$B$2:$B$1001,$A34,Log!$D$2:$D$1001,"&gt;=8"))</f>
        <v/>
      </c>
      <c r="K34" s="18">
        <f>MAX(_xlfn.MAXIFS('Start Here'!$B$19:$B$58,'Start Here'!$A$19:$A$58,$A34,'Start Here'!$C$19:$C$58,"&gt;=10"),_xlfn.MAXIFS(Sets!$C$2:$C$3300,Sets!$B$2:$B$3300,$A34,Sets!$D$2:$D$3300,"&gt;=10"),_xlfn.MAXIFS(Log!$C$2:$C$1001,Log!$B$2:$B$1001,$A34,Log!$D$2:$D$1001,"&gt;=10"))</f>
        <v/>
      </c>
      <c r="L34" s="18">
        <f>MAX(_xlfn.MAXIFS('Start Here'!$B$19:$B$58,'Start Here'!$A$19:$A$58,$A34,'Start Here'!$C$19:$C$58,"&gt;=12"),_xlfn.MAXIFS(Sets!$C$2:$C$3300,Sets!$B$2:$B$3300,$A34,Sets!$D$2:$D$3300,"&gt;=12"),_xlfn.MAXIFS(Log!$C$2:$C$1001,Log!$B$2:$B$1001,$A34,Log!$D$2:$D$1001,"&gt;=12"))</f>
        <v/>
      </c>
    </row>
    <row r="35">
      <c r="A35" s="24" t="inlineStr">
        <is>
          <t>Hang Snatch</t>
        </is>
      </c>
      <c r="B35" t="inlineStr">
        <is>
          <t>variation</t>
        </is>
      </c>
      <c r="C35" s="63">
        <f>MAX(_xlfn.MAXIFS('Start Here'!$D$19:$D$58,'Start Here'!$A$19:$A$58,$A35),_xlfn.MAXIFS(Sets!$E$2:$E$3300,Sets!$B$2:$B$3300,$A35),_xlfn.MAXIFS(Log!$E$2:$E$1001,Log!$B$2:$B$1001,$A35))</f>
        <v/>
      </c>
      <c r="D35" s="18">
        <f>MAX(_xlfn.MAXIFS('Start Here'!$B$19:$B$58,'Start Here'!$A$19:$A$58,$A35,'Start Here'!$C$19:$C$58,"&gt;=1"),_xlfn.MAXIFS(Sets!$C$2:$C$3300,Sets!$B$2:$B$3300,$A35,Sets!$D$2:$D$3300,"&gt;=1"),_xlfn.MAXIFS(Log!$C$2:$C$1001,Log!$B$2:$B$1001,$A35,Log!$D$2:$D$1001,"&gt;=1"))</f>
        <v/>
      </c>
      <c r="E35" s="18">
        <f>MAX(_xlfn.MAXIFS('Start Here'!$B$19:$B$58,'Start Here'!$A$19:$A$58,$A35,'Start Here'!$C$19:$C$58,"&gt;=2"),_xlfn.MAXIFS(Sets!$C$2:$C$3300,Sets!$B$2:$B$3300,$A35,Sets!$D$2:$D$3300,"&gt;=2"),_xlfn.MAXIFS(Log!$C$2:$C$1001,Log!$B$2:$B$1001,$A35,Log!$D$2:$D$1001,"&gt;=2"))</f>
        <v/>
      </c>
      <c r="F35" s="18">
        <f>MAX(_xlfn.MAXIFS('Start Here'!$B$19:$B$58,'Start Here'!$A$19:$A$58,$A35,'Start Here'!$C$19:$C$58,"&gt;=3"),_xlfn.MAXIFS(Sets!$C$2:$C$3300,Sets!$B$2:$B$3300,$A35,Sets!$D$2:$D$3300,"&gt;=3"),_xlfn.MAXIFS(Log!$C$2:$C$1001,Log!$B$2:$B$1001,$A35,Log!$D$2:$D$1001,"&gt;=3"))</f>
        <v/>
      </c>
      <c r="G35" s="18">
        <f>MAX(_xlfn.MAXIFS('Start Here'!$B$19:$B$58,'Start Here'!$A$19:$A$58,$A35,'Start Here'!$C$19:$C$58,"&gt;=4"),_xlfn.MAXIFS(Sets!$C$2:$C$3300,Sets!$B$2:$B$3300,$A35,Sets!$D$2:$D$3300,"&gt;=4"),_xlfn.MAXIFS(Log!$C$2:$C$1001,Log!$B$2:$B$1001,$A35,Log!$D$2:$D$1001,"&gt;=4"))</f>
        <v/>
      </c>
      <c r="H35" s="18">
        <f>MAX(_xlfn.MAXIFS('Start Here'!$B$19:$B$58,'Start Here'!$A$19:$A$58,$A35,'Start Here'!$C$19:$C$58,"&gt;=5"),_xlfn.MAXIFS(Sets!$C$2:$C$3300,Sets!$B$2:$B$3300,$A35,Sets!$D$2:$D$3300,"&gt;=5"),_xlfn.MAXIFS(Log!$C$2:$C$1001,Log!$B$2:$B$1001,$A35,Log!$D$2:$D$1001,"&gt;=5"))</f>
        <v/>
      </c>
      <c r="I35" s="18">
        <f>MAX(_xlfn.MAXIFS('Start Here'!$B$19:$B$58,'Start Here'!$A$19:$A$58,$A35,'Start Here'!$C$19:$C$58,"&gt;=6"),_xlfn.MAXIFS(Sets!$C$2:$C$3300,Sets!$B$2:$B$3300,$A35,Sets!$D$2:$D$3300,"&gt;=6"),_xlfn.MAXIFS(Log!$C$2:$C$1001,Log!$B$2:$B$1001,$A35,Log!$D$2:$D$1001,"&gt;=6"))</f>
        <v/>
      </c>
      <c r="J35" s="18">
        <f>MAX(_xlfn.MAXIFS('Start Here'!$B$19:$B$58,'Start Here'!$A$19:$A$58,$A35,'Start Here'!$C$19:$C$58,"&gt;=8"),_xlfn.MAXIFS(Sets!$C$2:$C$3300,Sets!$B$2:$B$3300,$A35,Sets!$D$2:$D$3300,"&gt;=8"),_xlfn.MAXIFS(Log!$C$2:$C$1001,Log!$B$2:$B$1001,$A35,Log!$D$2:$D$1001,"&gt;=8"))</f>
        <v/>
      </c>
      <c r="K35" s="18">
        <f>MAX(_xlfn.MAXIFS('Start Here'!$B$19:$B$58,'Start Here'!$A$19:$A$58,$A35,'Start Here'!$C$19:$C$58,"&gt;=10"),_xlfn.MAXIFS(Sets!$C$2:$C$3300,Sets!$B$2:$B$3300,$A35,Sets!$D$2:$D$3300,"&gt;=10"),_xlfn.MAXIFS(Log!$C$2:$C$1001,Log!$B$2:$B$1001,$A35,Log!$D$2:$D$1001,"&gt;=10"))</f>
        <v/>
      </c>
      <c r="L35" s="18">
        <f>MAX(_xlfn.MAXIFS('Start Here'!$B$19:$B$58,'Start Here'!$A$19:$A$58,$A35,'Start Here'!$C$19:$C$58,"&gt;=12"),_xlfn.MAXIFS(Sets!$C$2:$C$3300,Sets!$B$2:$B$3300,$A35,Sets!$D$2:$D$3300,"&gt;=12"),_xlfn.MAXIFS(Log!$C$2:$C$1001,Log!$B$2:$B$1001,$A35,Log!$D$2:$D$1001,"&gt;=12"))</f>
        <v/>
      </c>
    </row>
    <row r="36">
      <c r="A36" s="24" t="inlineStr">
        <is>
          <t>Hang Power Snatch</t>
        </is>
      </c>
      <c r="B36" t="inlineStr">
        <is>
          <t>variation</t>
        </is>
      </c>
      <c r="C36" s="63">
        <f>MAX(_xlfn.MAXIFS('Start Here'!$D$19:$D$58,'Start Here'!$A$19:$A$58,$A36),_xlfn.MAXIFS(Sets!$E$2:$E$3300,Sets!$B$2:$B$3300,$A36),_xlfn.MAXIFS(Log!$E$2:$E$1001,Log!$B$2:$B$1001,$A36))</f>
        <v/>
      </c>
      <c r="D36" s="18">
        <f>MAX(_xlfn.MAXIFS('Start Here'!$B$19:$B$58,'Start Here'!$A$19:$A$58,$A36,'Start Here'!$C$19:$C$58,"&gt;=1"),_xlfn.MAXIFS(Sets!$C$2:$C$3300,Sets!$B$2:$B$3300,$A36,Sets!$D$2:$D$3300,"&gt;=1"),_xlfn.MAXIFS(Log!$C$2:$C$1001,Log!$B$2:$B$1001,$A36,Log!$D$2:$D$1001,"&gt;=1"))</f>
        <v/>
      </c>
      <c r="E36" s="18">
        <f>MAX(_xlfn.MAXIFS('Start Here'!$B$19:$B$58,'Start Here'!$A$19:$A$58,$A36,'Start Here'!$C$19:$C$58,"&gt;=2"),_xlfn.MAXIFS(Sets!$C$2:$C$3300,Sets!$B$2:$B$3300,$A36,Sets!$D$2:$D$3300,"&gt;=2"),_xlfn.MAXIFS(Log!$C$2:$C$1001,Log!$B$2:$B$1001,$A36,Log!$D$2:$D$1001,"&gt;=2"))</f>
        <v/>
      </c>
      <c r="F36" s="18">
        <f>MAX(_xlfn.MAXIFS('Start Here'!$B$19:$B$58,'Start Here'!$A$19:$A$58,$A36,'Start Here'!$C$19:$C$58,"&gt;=3"),_xlfn.MAXIFS(Sets!$C$2:$C$3300,Sets!$B$2:$B$3300,$A36,Sets!$D$2:$D$3300,"&gt;=3"),_xlfn.MAXIFS(Log!$C$2:$C$1001,Log!$B$2:$B$1001,$A36,Log!$D$2:$D$1001,"&gt;=3"))</f>
        <v/>
      </c>
      <c r="G36" s="18">
        <f>MAX(_xlfn.MAXIFS('Start Here'!$B$19:$B$58,'Start Here'!$A$19:$A$58,$A36,'Start Here'!$C$19:$C$58,"&gt;=4"),_xlfn.MAXIFS(Sets!$C$2:$C$3300,Sets!$B$2:$B$3300,$A36,Sets!$D$2:$D$3300,"&gt;=4"),_xlfn.MAXIFS(Log!$C$2:$C$1001,Log!$B$2:$B$1001,$A36,Log!$D$2:$D$1001,"&gt;=4"))</f>
        <v/>
      </c>
      <c r="H36" s="18">
        <f>MAX(_xlfn.MAXIFS('Start Here'!$B$19:$B$58,'Start Here'!$A$19:$A$58,$A36,'Start Here'!$C$19:$C$58,"&gt;=5"),_xlfn.MAXIFS(Sets!$C$2:$C$3300,Sets!$B$2:$B$3300,$A36,Sets!$D$2:$D$3300,"&gt;=5"),_xlfn.MAXIFS(Log!$C$2:$C$1001,Log!$B$2:$B$1001,$A36,Log!$D$2:$D$1001,"&gt;=5"))</f>
        <v/>
      </c>
      <c r="I36" s="18">
        <f>MAX(_xlfn.MAXIFS('Start Here'!$B$19:$B$58,'Start Here'!$A$19:$A$58,$A36,'Start Here'!$C$19:$C$58,"&gt;=6"),_xlfn.MAXIFS(Sets!$C$2:$C$3300,Sets!$B$2:$B$3300,$A36,Sets!$D$2:$D$3300,"&gt;=6"),_xlfn.MAXIFS(Log!$C$2:$C$1001,Log!$B$2:$B$1001,$A36,Log!$D$2:$D$1001,"&gt;=6"))</f>
        <v/>
      </c>
      <c r="J36" s="18">
        <f>MAX(_xlfn.MAXIFS('Start Here'!$B$19:$B$58,'Start Here'!$A$19:$A$58,$A36,'Start Here'!$C$19:$C$58,"&gt;=8"),_xlfn.MAXIFS(Sets!$C$2:$C$3300,Sets!$B$2:$B$3300,$A36,Sets!$D$2:$D$3300,"&gt;=8"),_xlfn.MAXIFS(Log!$C$2:$C$1001,Log!$B$2:$B$1001,$A36,Log!$D$2:$D$1001,"&gt;=8"))</f>
        <v/>
      </c>
      <c r="K36" s="18">
        <f>MAX(_xlfn.MAXIFS('Start Here'!$B$19:$B$58,'Start Here'!$A$19:$A$58,$A36,'Start Here'!$C$19:$C$58,"&gt;=10"),_xlfn.MAXIFS(Sets!$C$2:$C$3300,Sets!$B$2:$B$3300,$A36,Sets!$D$2:$D$3300,"&gt;=10"),_xlfn.MAXIFS(Log!$C$2:$C$1001,Log!$B$2:$B$1001,$A36,Log!$D$2:$D$1001,"&gt;=10"))</f>
        <v/>
      </c>
      <c r="L36" s="18">
        <f>MAX(_xlfn.MAXIFS('Start Here'!$B$19:$B$58,'Start Here'!$A$19:$A$58,$A36,'Start Here'!$C$19:$C$58,"&gt;=12"),_xlfn.MAXIFS(Sets!$C$2:$C$3300,Sets!$B$2:$B$3300,$A36,Sets!$D$2:$D$3300,"&gt;=12"),_xlfn.MAXIFS(Log!$C$2:$C$1001,Log!$B$2:$B$1001,$A36,Log!$D$2:$D$1001,"&gt;=12"))</f>
        <v/>
      </c>
    </row>
    <row r="37">
      <c r="A37" s="24" t="inlineStr">
        <is>
          <t>Muscle Snatch</t>
        </is>
      </c>
      <c r="B37" t="inlineStr">
        <is>
          <t>variation</t>
        </is>
      </c>
      <c r="C37" s="63">
        <f>MAX(_xlfn.MAXIFS('Start Here'!$D$19:$D$58,'Start Here'!$A$19:$A$58,$A37),_xlfn.MAXIFS(Sets!$E$2:$E$3300,Sets!$B$2:$B$3300,$A37),_xlfn.MAXIFS(Log!$E$2:$E$1001,Log!$B$2:$B$1001,$A37))</f>
        <v/>
      </c>
      <c r="D37" s="18">
        <f>MAX(_xlfn.MAXIFS('Start Here'!$B$19:$B$58,'Start Here'!$A$19:$A$58,$A37,'Start Here'!$C$19:$C$58,"&gt;=1"),_xlfn.MAXIFS(Sets!$C$2:$C$3300,Sets!$B$2:$B$3300,$A37,Sets!$D$2:$D$3300,"&gt;=1"),_xlfn.MAXIFS(Log!$C$2:$C$1001,Log!$B$2:$B$1001,$A37,Log!$D$2:$D$1001,"&gt;=1"))</f>
        <v/>
      </c>
      <c r="E37" s="18">
        <f>MAX(_xlfn.MAXIFS('Start Here'!$B$19:$B$58,'Start Here'!$A$19:$A$58,$A37,'Start Here'!$C$19:$C$58,"&gt;=2"),_xlfn.MAXIFS(Sets!$C$2:$C$3300,Sets!$B$2:$B$3300,$A37,Sets!$D$2:$D$3300,"&gt;=2"),_xlfn.MAXIFS(Log!$C$2:$C$1001,Log!$B$2:$B$1001,$A37,Log!$D$2:$D$1001,"&gt;=2"))</f>
        <v/>
      </c>
      <c r="F37" s="18">
        <f>MAX(_xlfn.MAXIFS('Start Here'!$B$19:$B$58,'Start Here'!$A$19:$A$58,$A37,'Start Here'!$C$19:$C$58,"&gt;=3"),_xlfn.MAXIFS(Sets!$C$2:$C$3300,Sets!$B$2:$B$3300,$A37,Sets!$D$2:$D$3300,"&gt;=3"),_xlfn.MAXIFS(Log!$C$2:$C$1001,Log!$B$2:$B$1001,$A37,Log!$D$2:$D$1001,"&gt;=3"))</f>
        <v/>
      </c>
      <c r="G37" s="18">
        <f>MAX(_xlfn.MAXIFS('Start Here'!$B$19:$B$58,'Start Here'!$A$19:$A$58,$A37,'Start Here'!$C$19:$C$58,"&gt;=4"),_xlfn.MAXIFS(Sets!$C$2:$C$3300,Sets!$B$2:$B$3300,$A37,Sets!$D$2:$D$3300,"&gt;=4"),_xlfn.MAXIFS(Log!$C$2:$C$1001,Log!$B$2:$B$1001,$A37,Log!$D$2:$D$1001,"&gt;=4"))</f>
        <v/>
      </c>
      <c r="H37" s="18">
        <f>MAX(_xlfn.MAXIFS('Start Here'!$B$19:$B$58,'Start Here'!$A$19:$A$58,$A37,'Start Here'!$C$19:$C$58,"&gt;=5"),_xlfn.MAXIFS(Sets!$C$2:$C$3300,Sets!$B$2:$B$3300,$A37,Sets!$D$2:$D$3300,"&gt;=5"),_xlfn.MAXIFS(Log!$C$2:$C$1001,Log!$B$2:$B$1001,$A37,Log!$D$2:$D$1001,"&gt;=5"))</f>
        <v/>
      </c>
      <c r="I37" s="18">
        <f>MAX(_xlfn.MAXIFS('Start Here'!$B$19:$B$58,'Start Here'!$A$19:$A$58,$A37,'Start Here'!$C$19:$C$58,"&gt;=6"),_xlfn.MAXIFS(Sets!$C$2:$C$3300,Sets!$B$2:$B$3300,$A37,Sets!$D$2:$D$3300,"&gt;=6"),_xlfn.MAXIFS(Log!$C$2:$C$1001,Log!$B$2:$B$1001,$A37,Log!$D$2:$D$1001,"&gt;=6"))</f>
        <v/>
      </c>
      <c r="J37" s="18">
        <f>MAX(_xlfn.MAXIFS('Start Here'!$B$19:$B$58,'Start Here'!$A$19:$A$58,$A37,'Start Here'!$C$19:$C$58,"&gt;=8"),_xlfn.MAXIFS(Sets!$C$2:$C$3300,Sets!$B$2:$B$3300,$A37,Sets!$D$2:$D$3300,"&gt;=8"),_xlfn.MAXIFS(Log!$C$2:$C$1001,Log!$B$2:$B$1001,$A37,Log!$D$2:$D$1001,"&gt;=8"))</f>
        <v/>
      </c>
      <c r="K37" s="18">
        <f>MAX(_xlfn.MAXIFS('Start Here'!$B$19:$B$58,'Start Here'!$A$19:$A$58,$A37,'Start Here'!$C$19:$C$58,"&gt;=10"),_xlfn.MAXIFS(Sets!$C$2:$C$3300,Sets!$B$2:$B$3300,$A37,Sets!$D$2:$D$3300,"&gt;=10"),_xlfn.MAXIFS(Log!$C$2:$C$1001,Log!$B$2:$B$1001,$A37,Log!$D$2:$D$1001,"&gt;=10"))</f>
        <v/>
      </c>
      <c r="L37" s="18">
        <f>MAX(_xlfn.MAXIFS('Start Here'!$B$19:$B$58,'Start Here'!$A$19:$A$58,$A37,'Start Here'!$C$19:$C$58,"&gt;=12"),_xlfn.MAXIFS(Sets!$C$2:$C$3300,Sets!$B$2:$B$3300,$A37,Sets!$D$2:$D$3300,"&gt;=12"),_xlfn.MAXIFS(Log!$C$2:$C$1001,Log!$B$2:$B$1001,$A37,Log!$D$2:$D$1001,"&gt;=12"))</f>
        <v/>
      </c>
    </row>
    <row r="38">
      <c r="A38" s="24" t="inlineStr">
        <is>
          <t>Snatch Balance</t>
        </is>
      </c>
      <c r="B38" t="inlineStr">
        <is>
          <t>variation</t>
        </is>
      </c>
      <c r="C38" s="63">
        <f>MAX(_xlfn.MAXIFS('Start Here'!$D$19:$D$58,'Start Here'!$A$19:$A$58,$A38),_xlfn.MAXIFS(Sets!$E$2:$E$3300,Sets!$B$2:$B$3300,$A38),_xlfn.MAXIFS(Log!$E$2:$E$1001,Log!$B$2:$B$1001,$A38))</f>
        <v/>
      </c>
      <c r="D38" s="18">
        <f>MAX(_xlfn.MAXIFS('Start Here'!$B$19:$B$58,'Start Here'!$A$19:$A$58,$A38,'Start Here'!$C$19:$C$58,"&gt;=1"),_xlfn.MAXIFS(Sets!$C$2:$C$3300,Sets!$B$2:$B$3300,$A38,Sets!$D$2:$D$3300,"&gt;=1"),_xlfn.MAXIFS(Log!$C$2:$C$1001,Log!$B$2:$B$1001,$A38,Log!$D$2:$D$1001,"&gt;=1"))</f>
        <v/>
      </c>
      <c r="E38" s="18">
        <f>MAX(_xlfn.MAXIFS('Start Here'!$B$19:$B$58,'Start Here'!$A$19:$A$58,$A38,'Start Here'!$C$19:$C$58,"&gt;=2"),_xlfn.MAXIFS(Sets!$C$2:$C$3300,Sets!$B$2:$B$3300,$A38,Sets!$D$2:$D$3300,"&gt;=2"),_xlfn.MAXIFS(Log!$C$2:$C$1001,Log!$B$2:$B$1001,$A38,Log!$D$2:$D$1001,"&gt;=2"))</f>
        <v/>
      </c>
      <c r="F38" s="18">
        <f>MAX(_xlfn.MAXIFS('Start Here'!$B$19:$B$58,'Start Here'!$A$19:$A$58,$A38,'Start Here'!$C$19:$C$58,"&gt;=3"),_xlfn.MAXIFS(Sets!$C$2:$C$3300,Sets!$B$2:$B$3300,$A38,Sets!$D$2:$D$3300,"&gt;=3"),_xlfn.MAXIFS(Log!$C$2:$C$1001,Log!$B$2:$B$1001,$A38,Log!$D$2:$D$1001,"&gt;=3"))</f>
        <v/>
      </c>
      <c r="G38" s="18">
        <f>MAX(_xlfn.MAXIFS('Start Here'!$B$19:$B$58,'Start Here'!$A$19:$A$58,$A38,'Start Here'!$C$19:$C$58,"&gt;=4"),_xlfn.MAXIFS(Sets!$C$2:$C$3300,Sets!$B$2:$B$3300,$A38,Sets!$D$2:$D$3300,"&gt;=4"),_xlfn.MAXIFS(Log!$C$2:$C$1001,Log!$B$2:$B$1001,$A38,Log!$D$2:$D$1001,"&gt;=4"))</f>
        <v/>
      </c>
      <c r="H38" s="18">
        <f>MAX(_xlfn.MAXIFS('Start Here'!$B$19:$B$58,'Start Here'!$A$19:$A$58,$A38,'Start Here'!$C$19:$C$58,"&gt;=5"),_xlfn.MAXIFS(Sets!$C$2:$C$3300,Sets!$B$2:$B$3300,$A38,Sets!$D$2:$D$3300,"&gt;=5"),_xlfn.MAXIFS(Log!$C$2:$C$1001,Log!$B$2:$B$1001,$A38,Log!$D$2:$D$1001,"&gt;=5"))</f>
        <v/>
      </c>
      <c r="I38" s="18">
        <f>MAX(_xlfn.MAXIFS('Start Here'!$B$19:$B$58,'Start Here'!$A$19:$A$58,$A38,'Start Here'!$C$19:$C$58,"&gt;=6"),_xlfn.MAXIFS(Sets!$C$2:$C$3300,Sets!$B$2:$B$3300,$A38,Sets!$D$2:$D$3300,"&gt;=6"),_xlfn.MAXIFS(Log!$C$2:$C$1001,Log!$B$2:$B$1001,$A38,Log!$D$2:$D$1001,"&gt;=6"))</f>
        <v/>
      </c>
      <c r="J38" s="18">
        <f>MAX(_xlfn.MAXIFS('Start Here'!$B$19:$B$58,'Start Here'!$A$19:$A$58,$A38,'Start Here'!$C$19:$C$58,"&gt;=8"),_xlfn.MAXIFS(Sets!$C$2:$C$3300,Sets!$B$2:$B$3300,$A38,Sets!$D$2:$D$3300,"&gt;=8"),_xlfn.MAXIFS(Log!$C$2:$C$1001,Log!$B$2:$B$1001,$A38,Log!$D$2:$D$1001,"&gt;=8"))</f>
        <v/>
      </c>
      <c r="K38" s="18">
        <f>MAX(_xlfn.MAXIFS('Start Here'!$B$19:$B$58,'Start Here'!$A$19:$A$58,$A38,'Start Here'!$C$19:$C$58,"&gt;=10"),_xlfn.MAXIFS(Sets!$C$2:$C$3300,Sets!$B$2:$B$3300,$A38,Sets!$D$2:$D$3300,"&gt;=10"),_xlfn.MAXIFS(Log!$C$2:$C$1001,Log!$B$2:$B$1001,$A38,Log!$D$2:$D$1001,"&gt;=10"))</f>
        <v/>
      </c>
      <c r="L38" s="18">
        <f>MAX(_xlfn.MAXIFS('Start Here'!$B$19:$B$58,'Start Here'!$A$19:$A$58,$A38,'Start Here'!$C$19:$C$58,"&gt;=12"),_xlfn.MAXIFS(Sets!$C$2:$C$3300,Sets!$B$2:$B$3300,$A38,Sets!$D$2:$D$3300,"&gt;=12"),_xlfn.MAXIFS(Log!$C$2:$C$1001,Log!$B$2:$B$1001,$A38,Log!$D$2:$D$1001,"&gt;=12"))</f>
        <v/>
      </c>
    </row>
    <row r="39">
      <c r="A39" s="24" t="inlineStr">
        <is>
          <t>Snatch Pull</t>
        </is>
      </c>
      <c r="B39" t="inlineStr">
        <is>
          <t>variation</t>
        </is>
      </c>
      <c r="C39" s="63">
        <f>MAX(_xlfn.MAXIFS('Start Here'!$D$19:$D$58,'Start Here'!$A$19:$A$58,$A39),_xlfn.MAXIFS(Sets!$E$2:$E$3300,Sets!$B$2:$B$3300,$A39),_xlfn.MAXIFS(Log!$E$2:$E$1001,Log!$B$2:$B$1001,$A39))</f>
        <v/>
      </c>
      <c r="D39" s="18">
        <f>MAX(_xlfn.MAXIFS('Start Here'!$B$19:$B$58,'Start Here'!$A$19:$A$58,$A39,'Start Here'!$C$19:$C$58,"&gt;=1"),_xlfn.MAXIFS(Sets!$C$2:$C$3300,Sets!$B$2:$B$3300,$A39,Sets!$D$2:$D$3300,"&gt;=1"),_xlfn.MAXIFS(Log!$C$2:$C$1001,Log!$B$2:$B$1001,$A39,Log!$D$2:$D$1001,"&gt;=1"))</f>
        <v/>
      </c>
      <c r="E39" s="18">
        <f>MAX(_xlfn.MAXIFS('Start Here'!$B$19:$B$58,'Start Here'!$A$19:$A$58,$A39,'Start Here'!$C$19:$C$58,"&gt;=2"),_xlfn.MAXIFS(Sets!$C$2:$C$3300,Sets!$B$2:$B$3300,$A39,Sets!$D$2:$D$3300,"&gt;=2"),_xlfn.MAXIFS(Log!$C$2:$C$1001,Log!$B$2:$B$1001,$A39,Log!$D$2:$D$1001,"&gt;=2"))</f>
        <v/>
      </c>
      <c r="F39" s="18">
        <f>MAX(_xlfn.MAXIFS('Start Here'!$B$19:$B$58,'Start Here'!$A$19:$A$58,$A39,'Start Here'!$C$19:$C$58,"&gt;=3"),_xlfn.MAXIFS(Sets!$C$2:$C$3300,Sets!$B$2:$B$3300,$A39,Sets!$D$2:$D$3300,"&gt;=3"),_xlfn.MAXIFS(Log!$C$2:$C$1001,Log!$B$2:$B$1001,$A39,Log!$D$2:$D$1001,"&gt;=3"))</f>
        <v/>
      </c>
      <c r="G39" s="18">
        <f>MAX(_xlfn.MAXIFS('Start Here'!$B$19:$B$58,'Start Here'!$A$19:$A$58,$A39,'Start Here'!$C$19:$C$58,"&gt;=4"),_xlfn.MAXIFS(Sets!$C$2:$C$3300,Sets!$B$2:$B$3300,$A39,Sets!$D$2:$D$3300,"&gt;=4"),_xlfn.MAXIFS(Log!$C$2:$C$1001,Log!$B$2:$B$1001,$A39,Log!$D$2:$D$1001,"&gt;=4"))</f>
        <v/>
      </c>
      <c r="H39" s="18">
        <f>MAX(_xlfn.MAXIFS('Start Here'!$B$19:$B$58,'Start Here'!$A$19:$A$58,$A39,'Start Here'!$C$19:$C$58,"&gt;=5"),_xlfn.MAXIFS(Sets!$C$2:$C$3300,Sets!$B$2:$B$3300,$A39,Sets!$D$2:$D$3300,"&gt;=5"),_xlfn.MAXIFS(Log!$C$2:$C$1001,Log!$B$2:$B$1001,$A39,Log!$D$2:$D$1001,"&gt;=5"))</f>
        <v/>
      </c>
      <c r="I39" s="18">
        <f>MAX(_xlfn.MAXIFS('Start Here'!$B$19:$B$58,'Start Here'!$A$19:$A$58,$A39,'Start Here'!$C$19:$C$58,"&gt;=6"),_xlfn.MAXIFS(Sets!$C$2:$C$3300,Sets!$B$2:$B$3300,$A39,Sets!$D$2:$D$3300,"&gt;=6"),_xlfn.MAXIFS(Log!$C$2:$C$1001,Log!$B$2:$B$1001,$A39,Log!$D$2:$D$1001,"&gt;=6"))</f>
        <v/>
      </c>
      <c r="J39" s="18">
        <f>MAX(_xlfn.MAXIFS('Start Here'!$B$19:$B$58,'Start Here'!$A$19:$A$58,$A39,'Start Here'!$C$19:$C$58,"&gt;=8"),_xlfn.MAXIFS(Sets!$C$2:$C$3300,Sets!$B$2:$B$3300,$A39,Sets!$D$2:$D$3300,"&gt;=8"),_xlfn.MAXIFS(Log!$C$2:$C$1001,Log!$B$2:$B$1001,$A39,Log!$D$2:$D$1001,"&gt;=8"))</f>
        <v/>
      </c>
      <c r="K39" s="18">
        <f>MAX(_xlfn.MAXIFS('Start Here'!$B$19:$B$58,'Start Here'!$A$19:$A$58,$A39,'Start Here'!$C$19:$C$58,"&gt;=10"),_xlfn.MAXIFS(Sets!$C$2:$C$3300,Sets!$B$2:$B$3300,$A39,Sets!$D$2:$D$3300,"&gt;=10"),_xlfn.MAXIFS(Log!$C$2:$C$1001,Log!$B$2:$B$1001,$A39,Log!$D$2:$D$1001,"&gt;=10"))</f>
        <v/>
      </c>
      <c r="L39" s="18">
        <f>MAX(_xlfn.MAXIFS('Start Here'!$B$19:$B$58,'Start Here'!$A$19:$A$58,$A39,'Start Here'!$C$19:$C$58,"&gt;=12"),_xlfn.MAXIFS(Sets!$C$2:$C$3300,Sets!$B$2:$B$3300,$A39,Sets!$D$2:$D$3300,"&gt;=12"),_xlfn.MAXIFS(Log!$C$2:$C$1001,Log!$B$2:$B$1001,$A39,Log!$D$2:$D$1001,"&gt;=12"))</f>
        <v/>
      </c>
    </row>
    <row r="40">
      <c r="A40" s="24" t="inlineStr">
        <is>
          <t>Block Snatch</t>
        </is>
      </c>
      <c r="B40" t="inlineStr">
        <is>
          <t>variation</t>
        </is>
      </c>
      <c r="C40" s="63">
        <f>MAX(_xlfn.MAXIFS('Start Here'!$D$19:$D$58,'Start Here'!$A$19:$A$58,$A40),_xlfn.MAXIFS(Sets!$E$2:$E$3300,Sets!$B$2:$B$3300,$A40),_xlfn.MAXIFS(Log!$E$2:$E$1001,Log!$B$2:$B$1001,$A40))</f>
        <v/>
      </c>
      <c r="D40" s="18">
        <f>MAX(_xlfn.MAXIFS('Start Here'!$B$19:$B$58,'Start Here'!$A$19:$A$58,$A40,'Start Here'!$C$19:$C$58,"&gt;=1"),_xlfn.MAXIFS(Sets!$C$2:$C$3300,Sets!$B$2:$B$3300,$A40,Sets!$D$2:$D$3300,"&gt;=1"),_xlfn.MAXIFS(Log!$C$2:$C$1001,Log!$B$2:$B$1001,$A40,Log!$D$2:$D$1001,"&gt;=1"))</f>
        <v/>
      </c>
      <c r="E40" s="18">
        <f>MAX(_xlfn.MAXIFS('Start Here'!$B$19:$B$58,'Start Here'!$A$19:$A$58,$A40,'Start Here'!$C$19:$C$58,"&gt;=2"),_xlfn.MAXIFS(Sets!$C$2:$C$3300,Sets!$B$2:$B$3300,$A40,Sets!$D$2:$D$3300,"&gt;=2"),_xlfn.MAXIFS(Log!$C$2:$C$1001,Log!$B$2:$B$1001,$A40,Log!$D$2:$D$1001,"&gt;=2"))</f>
        <v/>
      </c>
      <c r="F40" s="18">
        <f>MAX(_xlfn.MAXIFS('Start Here'!$B$19:$B$58,'Start Here'!$A$19:$A$58,$A40,'Start Here'!$C$19:$C$58,"&gt;=3"),_xlfn.MAXIFS(Sets!$C$2:$C$3300,Sets!$B$2:$B$3300,$A40,Sets!$D$2:$D$3300,"&gt;=3"),_xlfn.MAXIFS(Log!$C$2:$C$1001,Log!$B$2:$B$1001,$A40,Log!$D$2:$D$1001,"&gt;=3"))</f>
        <v/>
      </c>
      <c r="G40" s="18">
        <f>MAX(_xlfn.MAXIFS('Start Here'!$B$19:$B$58,'Start Here'!$A$19:$A$58,$A40,'Start Here'!$C$19:$C$58,"&gt;=4"),_xlfn.MAXIFS(Sets!$C$2:$C$3300,Sets!$B$2:$B$3300,$A40,Sets!$D$2:$D$3300,"&gt;=4"),_xlfn.MAXIFS(Log!$C$2:$C$1001,Log!$B$2:$B$1001,$A40,Log!$D$2:$D$1001,"&gt;=4"))</f>
        <v/>
      </c>
      <c r="H40" s="18">
        <f>MAX(_xlfn.MAXIFS('Start Here'!$B$19:$B$58,'Start Here'!$A$19:$A$58,$A40,'Start Here'!$C$19:$C$58,"&gt;=5"),_xlfn.MAXIFS(Sets!$C$2:$C$3300,Sets!$B$2:$B$3300,$A40,Sets!$D$2:$D$3300,"&gt;=5"),_xlfn.MAXIFS(Log!$C$2:$C$1001,Log!$B$2:$B$1001,$A40,Log!$D$2:$D$1001,"&gt;=5"))</f>
        <v/>
      </c>
      <c r="I40" s="18">
        <f>MAX(_xlfn.MAXIFS('Start Here'!$B$19:$B$58,'Start Here'!$A$19:$A$58,$A40,'Start Here'!$C$19:$C$58,"&gt;=6"),_xlfn.MAXIFS(Sets!$C$2:$C$3300,Sets!$B$2:$B$3300,$A40,Sets!$D$2:$D$3300,"&gt;=6"),_xlfn.MAXIFS(Log!$C$2:$C$1001,Log!$B$2:$B$1001,$A40,Log!$D$2:$D$1001,"&gt;=6"))</f>
        <v/>
      </c>
      <c r="J40" s="18">
        <f>MAX(_xlfn.MAXIFS('Start Here'!$B$19:$B$58,'Start Here'!$A$19:$A$58,$A40,'Start Here'!$C$19:$C$58,"&gt;=8"),_xlfn.MAXIFS(Sets!$C$2:$C$3300,Sets!$B$2:$B$3300,$A40,Sets!$D$2:$D$3300,"&gt;=8"),_xlfn.MAXIFS(Log!$C$2:$C$1001,Log!$B$2:$B$1001,$A40,Log!$D$2:$D$1001,"&gt;=8"))</f>
        <v/>
      </c>
      <c r="K40" s="18">
        <f>MAX(_xlfn.MAXIFS('Start Here'!$B$19:$B$58,'Start Here'!$A$19:$A$58,$A40,'Start Here'!$C$19:$C$58,"&gt;=10"),_xlfn.MAXIFS(Sets!$C$2:$C$3300,Sets!$B$2:$B$3300,$A40,Sets!$D$2:$D$3300,"&gt;=10"),_xlfn.MAXIFS(Log!$C$2:$C$1001,Log!$B$2:$B$1001,$A40,Log!$D$2:$D$1001,"&gt;=10"))</f>
        <v/>
      </c>
      <c r="L40" s="18">
        <f>MAX(_xlfn.MAXIFS('Start Here'!$B$19:$B$58,'Start Here'!$A$19:$A$58,$A40,'Start Here'!$C$19:$C$58,"&gt;=12"),_xlfn.MAXIFS(Sets!$C$2:$C$3300,Sets!$B$2:$B$3300,$A40,Sets!$D$2:$D$3300,"&gt;=12"),_xlfn.MAXIFS(Log!$C$2:$C$1001,Log!$B$2:$B$1001,$A40,Log!$D$2:$D$1001,"&gt;=12"))</f>
        <v/>
      </c>
    </row>
    <row r="41">
      <c r="A41" s="24" t="inlineStr">
        <is>
          <t>Clean</t>
        </is>
      </c>
      <c r="B41" t="inlineStr">
        <is>
          <t>variation</t>
        </is>
      </c>
      <c r="C41" s="63">
        <f>MAX(_xlfn.MAXIFS('Start Here'!$D$19:$D$58,'Start Here'!$A$19:$A$58,$A41),_xlfn.MAXIFS(Sets!$E$2:$E$3300,Sets!$B$2:$B$3300,$A41),_xlfn.MAXIFS(Log!$E$2:$E$1001,Log!$B$2:$B$1001,$A41))</f>
        <v/>
      </c>
      <c r="D41" s="18">
        <f>MAX(_xlfn.MAXIFS('Start Here'!$B$19:$B$58,'Start Here'!$A$19:$A$58,$A41,'Start Here'!$C$19:$C$58,"&gt;=1"),_xlfn.MAXIFS(Sets!$C$2:$C$3300,Sets!$B$2:$B$3300,$A41,Sets!$D$2:$D$3300,"&gt;=1"),_xlfn.MAXIFS(Log!$C$2:$C$1001,Log!$B$2:$B$1001,$A41,Log!$D$2:$D$1001,"&gt;=1"))</f>
        <v/>
      </c>
      <c r="E41" s="18">
        <f>MAX(_xlfn.MAXIFS('Start Here'!$B$19:$B$58,'Start Here'!$A$19:$A$58,$A41,'Start Here'!$C$19:$C$58,"&gt;=2"),_xlfn.MAXIFS(Sets!$C$2:$C$3300,Sets!$B$2:$B$3300,$A41,Sets!$D$2:$D$3300,"&gt;=2"),_xlfn.MAXIFS(Log!$C$2:$C$1001,Log!$B$2:$B$1001,$A41,Log!$D$2:$D$1001,"&gt;=2"))</f>
        <v/>
      </c>
      <c r="F41" s="18">
        <f>MAX(_xlfn.MAXIFS('Start Here'!$B$19:$B$58,'Start Here'!$A$19:$A$58,$A41,'Start Here'!$C$19:$C$58,"&gt;=3"),_xlfn.MAXIFS(Sets!$C$2:$C$3300,Sets!$B$2:$B$3300,$A41,Sets!$D$2:$D$3300,"&gt;=3"),_xlfn.MAXIFS(Log!$C$2:$C$1001,Log!$B$2:$B$1001,$A41,Log!$D$2:$D$1001,"&gt;=3"))</f>
        <v/>
      </c>
      <c r="G41" s="18">
        <f>MAX(_xlfn.MAXIFS('Start Here'!$B$19:$B$58,'Start Here'!$A$19:$A$58,$A41,'Start Here'!$C$19:$C$58,"&gt;=4"),_xlfn.MAXIFS(Sets!$C$2:$C$3300,Sets!$B$2:$B$3300,$A41,Sets!$D$2:$D$3300,"&gt;=4"),_xlfn.MAXIFS(Log!$C$2:$C$1001,Log!$B$2:$B$1001,$A41,Log!$D$2:$D$1001,"&gt;=4"))</f>
        <v/>
      </c>
      <c r="H41" s="18">
        <f>MAX(_xlfn.MAXIFS('Start Here'!$B$19:$B$58,'Start Here'!$A$19:$A$58,$A41,'Start Here'!$C$19:$C$58,"&gt;=5"),_xlfn.MAXIFS(Sets!$C$2:$C$3300,Sets!$B$2:$B$3300,$A41,Sets!$D$2:$D$3300,"&gt;=5"),_xlfn.MAXIFS(Log!$C$2:$C$1001,Log!$B$2:$B$1001,$A41,Log!$D$2:$D$1001,"&gt;=5"))</f>
        <v/>
      </c>
      <c r="I41" s="18">
        <f>MAX(_xlfn.MAXIFS('Start Here'!$B$19:$B$58,'Start Here'!$A$19:$A$58,$A41,'Start Here'!$C$19:$C$58,"&gt;=6"),_xlfn.MAXIFS(Sets!$C$2:$C$3300,Sets!$B$2:$B$3300,$A41,Sets!$D$2:$D$3300,"&gt;=6"),_xlfn.MAXIFS(Log!$C$2:$C$1001,Log!$B$2:$B$1001,$A41,Log!$D$2:$D$1001,"&gt;=6"))</f>
        <v/>
      </c>
      <c r="J41" s="18">
        <f>MAX(_xlfn.MAXIFS('Start Here'!$B$19:$B$58,'Start Here'!$A$19:$A$58,$A41,'Start Here'!$C$19:$C$58,"&gt;=8"),_xlfn.MAXIFS(Sets!$C$2:$C$3300,Sets!$B$2:$B$3300,$A41,Sets!$D$2:$D$3300,"&gt;=8"),_xlfn.MAXIFS(Log!$C$2:$C$1001,Log!$B$2:$B$1001,$A41,Log!$D$2:$D$1001,"&gt;=8"))</f>
        <v/>
      </c>
      <c r="K41" s="18">
        <f>MAX(_xlfn.MAXIFS('Start Here'!$B$19:$B$58,'Start Here'!$A$19:$A$58,$A41,'Start Here'!$C$19:$C$58,"&gt;=10"),_xlfn.MAXIFS(Sets!$C$2:$C$3300,Sets!$B$2:$B$3300,$A41,Sets!$D$2:$D$3300,"&gt;=10"),_xlfn.MAXIFS(Log!$C$2:$C$1001,Log!$B$2:$B$1001,$A41,Log!$D$2:$D$1001,"&gt;=10"))</f>
        <v/>
      </c>
      <c r="L41" s="18">
        <f>MAX(_xlfn.MAXIFS('Start Here'!$B$19:$B$58,'Start Here'!$A$19:$A$58,$A41,'Start Here'!$C$19:$C$58,"&gt;=12"),_xlfn.MAXIFS(Sets!$C$2:$C$3300,Sets!$B$2:$B$3300,$A41,Sets!$D$2:$D$3300,"&gt;=12"),_xlfn.MAXIFS(Log!$C$2:$C$1001,Log!$B$2:$B$1001,$A41,Log!$D$2:$D$1001,"&gt;=12"))</f>
        <v/>
      </c>
    </row>
    <row r="42">
      <c r="A42" s="24" t="inlineStr">
        <is>
          <t>Power Clean</t>
        </is>
      </c>
      <c r="B42" t="inlineStr">
        <is>
          <t>variation</t>
        </is>
      </c>
      <c r="C42" s="63">
        <f>MAX(_xlfn.MAXIFS('Start Here'!$D$19:$D$58,'Start Here'!$A$19:$A$58,$A42),_xlfn.MAXIFS(Sets!$E$2:$E$3300,Sets!$B$2:$B$3300,$A42),_xlfn.MAXIFS(Log!$E$2:$E$1001,Log!$B$2:$B$1001,$A42))</f>
        <v/>
      </c>
      <c r="D42" s="18">
        <f>MAX(_xlfn.MAXIFS('Start Here'!$B$19:$B$58,'Start Here'!$A$19:$A$58,$A42,'Start Here'!$C$19:$C$58,"&gt;=1"),_xlfn.MAXIFS(Sets!$C$2:$C$3300,Sets!$B$2:$B$3300,$A42,Sets!$D$2:$D$3300,"&gt;=1"),_xlfn.MAXIFS(Log!$C$2:$C$1001,Log!$B$2:$B$1001,$A42,Log!$D$2:$D$1001,"&gt;=1"))</f>
        <v/>
      </c>
      <c r="E42" s="18">
        <f>MAX(_xlfn.MAXIFS('Start Here'!$B$19:$B$58,'Start Here'!$A$19:$A$58,$A42,'Start Here'!$C$19:$C$58,"&gt;=2"),_xlfn.MAXIFS(Sets!$C$2:$C$3300,Sets!$B$2:$B$3300,$A42,Sets!$D$2:$D$3300,"&gt;=2"),_xlfn.MAXIFS(Log!$C$2:$C$1001,Log!$B$2:$B$1001,$A42,Log!$D$2:$D$1001,"&gt;=2"))</f>
        <v/>
      </c>
      <c r="F42" s="18">
        <f>MAX(_xlfn.MAXIFS('Start Here'!$B$19:$B$58,'Start Here'!$A$19:$A$58,$A42,'Start Here'!$C$19:$C$58,"&gt;=3"),_xlfn.MAXIFS(Sets!$C$2:$C$3300,Sets!$B$2:$B$3300,$A42,Sets!$D$2:$D$3300,"&gt;=3"),_xlfn.MAXIFS(Log!$C$2:$C$1001,Log!$B$2:$B$1001,$A42,Log!$D$2:$D$1001,"&gt;=3"))</f>
        <v/>
      </c>
      <c r="G42" s="18">
        <f>MAX(_xlfn.MAXIFS('Start Here'!$B$19:$B$58,'Start Here'!$A$19:$A$58,$A42,'Start Here'!$C$19:$C$58,"&gt;=4"),_xlfn.MAXIFS(Sets!$C$2:$C$3300,Sets!$B$2:$B$3300,$A42,Sets!$D$2:$D$3300,"&gt;=4"),_xlfn.MAXIFS(Log!$C$2:$C$1001,Log!$B$2:$B$1001,$A42,Log!$D$2:$D$1001,"&gt;=4"))</f>
        <v/>
      </c>
      <c r="H42" s="18">
        <f>MAX(_xlfn.MAXIFS('Start Here'!$B$19:$B$58,'Start Here'!$A$19:$A$58,$A42,'Start Here'!$C$19:$C$58,"&gt;=5"),_xlfn.MAXIFS(Sets!$C$2:$C$3300,Sets!$B$2:$B$3300,$A42,Sets!$D$2:$D$3300,"&gt;=5"),_xlfn.MAXIFS(Log!$C$2:$C$1001,Log!$B$2:$B$1001,$A42,Log!$D$2:$D$1001,"&gt;=5"))</f>
        <v/>
      </c>
      <c r="I42" s="18">
        <f>MAX(_xlfn.MAXIFS('Start Here'!$B$19:$B$58,'Start Here'!$A$19:$A$58,$A42,'Start Here'!$C$19:$C$58,"&gt;=6"),_xlfn.MAXIFS(Sets!$C$2:$C$3300,Sets!$B$2:$B$3300,$A42,Sets!$D$2:$D$3300,"&gt;=6"),_xlfn.MAXIFS(Log!$C$2:$C$1001,Log!$B$2:$B$1001,$A42,Log!$D$2:$D$1001,"&gt;=6"))</f>
        <v/>
      </c>
      <c r="J42" s="18">
        <f>MAX(_xlfn.MAXIFS('Start Here'!$B$19:$B$58,'Start Here'!$A$19:$A$58,$A42,'Start Here'!$C$19:$C$58,"&gt;=8"),_xlfn.MAXIFS(Sets!$C$2:$C$3300,Sets!$B$2:$B$3300,$A42,Sets!$D$2:$D$3300,"&gt;=8"),_xlfn.MAXIFS(Log!$C$2:$C$1001,Log!$B$2:$B$1001,$A42,Log!$D$2:$D$1001,"&gt;=8"))</f>
        <v/>
      </c>
      <c r="K42" s="18">
        <f>MAX(_xlfn.MAXIFS('Start Here'!$B$19:$B$58,'Start Here'!$A$19:$A$58,$A42,'Start Here'!$C$19:$C$58,"&gt;=10"),_xlfn.MAXIFS(Sets!$C$2:$C$3300,Sets!$B$2:$B$3300,$A42,Sets!$D$2:$D$3300,"&gt;=10"),_xlfn.MAXIFS(Log!$C$2:$C$1001,Log!$B$2:$B$1001,$A42,Log!$D$2:$D$1001,"&gt;=10"))</f>
        <v/>
      </c>
      <c r="L42" s="18">
        <f>MAX(_xlfn.MAXIFS('Start Here'!$B$19:$B$58,'Start Here'!$A$19:$A$58,$A42,'Start Here'!$C$19:$C$58,"&gt;=12"),_xlfn.MAXIFS(Sets!$C$2:$C$3300,Sets!$B$2:$B$3300,$A42,Sets!$D$2:$D$3300,"&gt;=12"),_xlfn.MAXIFS(Log!$C$2:$C$1001,Log!$B$2:$B$1001,$A42,Log!$D$2:$D$1001,"&gt;=12"))</f>
        <v/>
      </c>
    </row>
    <row r="43">
      <c r="A43" s="24" t="inlineStr">
        <is>
          <t>Hang Clean</t>
        </is>
      </c>
      <c r="B43" t="inlineStr">
        <is>
          <t>variation</t>
        </is>
      </c>
      <c r="C43" s="63">
        <f>MAX(_xlfn.MAXIFS('Start Here'!$D$19:$D$58,'Start Here'!$A$19:$A$58,$A43),_xlfn.MAXIFS(Sets!$E$2:$E$3300,Sets!$B$2:$B$3300,$A43),_xlfn.MAXIFS(Log!$E$2:$E$1001,Log!$B$2:$B$1001,$A43))</f>
        <v/>
      </c>
      <c r="D43" s="18">
        <f>MAX(_xlfn.MAXIFS('Start Here'!$B$19:$B$58,'Start Here'!$A$19:$A$58,$A43,'Start Here'!$C$19:$C$58,"&gt;=1"),_xlfn.MAXIFS(Sets!$C$2:$C$3300,Sets!$B$2:$B$3300,$A43,Sets!$D$2:$D$3300,"&gt;=1"),_xlfn.MAXIFS(Log!$C$2:$C$1001,Log!$B$2:$B$1001,$A43,Log!$D$2:$D$1001,"&gt;=1"))</f>
        <v/>
      </c>
      <c r="E43" s="18">
        <f>MAX(_xlfn.MAXIFS('Start Here'!$B$19:$B$58,'Start Here'!$A$19:$A$58,$A43,'Start Here'!$C$19:$C$58,"&gt;=2"),_xlfn.MAXIFS(Sets!$C$2:$C$3300,Sets!$B$2:$B$3300,$A43,Sets!$D$2:$D$3300,"&gt;=2"),_xlfn.MAXIFS(Log!$C$2:$C$1001,Log!$B$2:$B$1001,$A43,Log!$D$2:$D$1001,"&gt;=2"))</f>
        <v/>
      </c>
      <c r="F43" s="18">
        <f>MAX(_xlfn.MAXIFS('Start Here'!$B$19:$B$58,'Start Here'!$A$19:$A$58,$A43,'Start Here'!$C$19:$C$58,"&gt;=3"),_xlfn.MAXIFS(Sets!$C$2:$C$3300,Sets!$B$2:$B$3300,$A43,Sets!$D$2:$D$3300,"&gt;=3"),_xlfn.MAXIFS(Log!$C$2:$C$1001,Log!$B$2:$B$1001,$A43,Log!$D$2:$D$1001,"&gt;=3"))</f>
        <v/>
      </c>
      <c r="G43" s="18">
        <f>MAX(_xlfn.MAXIFS('Start Here'!$B$19:$B$58,'Start Here'!$A$19:$A$58,$A43,'Start Here'!$C$19:$C$58,"&gt;=4"),_xlfn.MAXIFS(Sets!$C$2:$C$3300,Sets!$B$2:$B$3300,$A43,Sets!$D$2:$D$3300,"&gt;=4"),_xlfn.MAXIFS(Log!$C$2:$C$1001,Log!$B$2:$B$1001,$A43,Log!$D$2:$D$1001,"&gt;=4"))</f>
        <v/>
      </c>
      <c r="H43" s="18">
        <f>MAX(_xlfn.MAXIFS('Start Here'!$B$19:$B$58,'Start Here'!$A$19:$A$58,$A43,'Start Here'!$C$19:$C$58,"&gt;=5"),_xlfn.MAXIFS(Sets!$C$2:$C$3300,Sets!$B$2:$B$3300,$A43,Sets!$D$2:$D$3300,"&gt;=5"),_xlfn.MAXIFS(Log!$C$2:$C$1001,Log!$B$2:$B$1001,$A43,Log!$D$2:$D$1001,"&gt;=5"))</f>
        <v/>
      </c>
      <c r="I43" s="18">
        <f>MAX(_xlfn.MAXIFS('Start Here'!$B$19:$B$58,'Start Here'!$A$19:$A$58,$A43,'Start Here'!$C$19:$C$58,"&gt;=6"),_xlfn.MAXIFS(Sets!$C$2:$C$3300,Sets!$B$2:$B$3300,$A43,Sets!$D$2:$D$3300,"&gt;=6"),_xlfn.MAXIFS(Log!$C$2:$C$1001,Log!$B$2:$B$1001,$A43,Log!$D$2:$D$1001,"&gt;=6"))</f>
        <v/>
      </c>
      <c r="J43" s="18">
        <f>MAX(_xlfn.MAXIFS('Start Here'!$B$19:$B$58,'Start Here'!$A$19:$A$58,$A43,'Start Here'!$C$19:$C$58,"&gt;=8"),_xlfn.MAXIFS(Sets!$C$2:$C$3300,Sets!$B$2:$B$3300,$A43,Sets!$D$2:$D$3300,"&gt;=8"),_xlfn.MAXIFS(Log!$C$2:$C$1001,Log!$B$2:$B$1001,$A43,Log!$D$2:$D$1001,"&gt;=8"))</f>
        <v/>
      </c>
      <c r="K43" s="18">
        <f>MAX(_xlfn.MAXIFS('Start Here'!$B$19:$B$58,'Start Here'!$A$19:$A$58,$A43,'Start Here'!$C$19:$C$58,"&gt;=10"),_xlfn.MAXIFS(Sets!$C$2:$C$3300,Sets!$B$2:$B$3300,$A43,Sets!$D$2:$D$3300,"&gt;=10"),_xlfn.MAXIFS(Log!$C$2:$C$1001,Log!$B$2:$B$1001,$A43,Log!$D$2:$D$1001,"&gt;=10"))</f>
        <v/>
      </c>
      <c r="L43" s="18">
        <f>MAX(_xlfn.MAXIFS('Start Here'!$B$19:$B$58,'Start Here'!$A$19:$A$58,$A43,'Start Here'!$C$19:$C$58,"&gt;=12"),_xlfn.MAXIFS(Sets!$C$2:$C$3300,Sets!$B$2:$B$3300,$A43,Sets!$D$2:$D$3300,"&gt;=12"),_xlfn.MAXIFS(Log!$C$2:$C$1001,Log!$B$2:$B$1001,$A43,Log!$D$2:$D$1001,"&gt;=12"))</f>
        <v/>
      </c>
    </row>
    <row r="44">
      <c r="A44" s="24" t="inlineStr">
        <is>
          <t>Hang Power Clean</t>
        </is>
      </c>
      <c r="B44" t="inlineStr">
        <is>
          <t>variation</t>
        </is>
      </c>
      <c r="C44" s="63">
        <f>MAX(_xlfn.MAXIFS('Start Here'!$D$19:$D$58,'Start Here'!$A$19:$A$58,$A44),_xlfn.MAXIFS(Sets!$E$2:$E$3300,Sets!$B$2:$B$3300,$A44),_xlfn.MAXIFS(Log!$E$2:$E$1001,Log!$B$2:$B$1001,$A44))</f>
        <v/>
      </c>
      <c r="D44" s="18">
        <f>MAX(_xlfn.MAXIFS('Start Here'!$B$19:$B$58,'Start Here'!$A$19:$A$58,$A44,'Start Here'!$C$19:$C$58,"&gt;=1"),_xlfn.MAXIFS(Sets!$C$2:$C$3300,Sets!$B$2:$B$3300,$A44,Sets!$D$2:$D$3300,"&gt;=1"),_xlfn.MAXIFS(Log!$C$2:$C$1001,Log!$B$2:$B$1001,$A44,Log!$D$2:$D$1001,"&gt;=1"))</f>
        <v/>
      </c>
      <c r="E44" s="18">
        <f>MAX(_xlfn.MAXIFS('Start Here'!$B$19:$B$58,'Start Here'!$A$19:$A$58,$A44,'Start Here'!$C$19:$C$58,"&gt;=2"),_xlfn.MAXIFS(Sets!$C$2:$C$3300,Sets!$B$2:$B$3300,$A44,Sets!$D$2:$D$3300,"&gt;=2"),_xlfn.MAXIFS(Log!$C$2:$C$1001,Log!$B$2:$B$1001,$A44,Log!$D$2:$D$1001,"&gt;=2"))</f>
        <v/>
      </c>
      <c r="F44" s="18">
        <f>MAX(_xlfn.MAXIFS('Start Here'!$B$19:$B$58,'Start Here'!$A$19:$A$58,$A44,'Start Here'!$C$19:$C$58,"&gt;=3"),_xlfn.MAXIFS(Sets!$C$2:$C$3300,Sets!$B$2:$B$3300,$A44,Sets!$D$2:$D$3300,"&gt;=3"),_xlfn.MAXIFS(Log!$C$2:$C$1001,Log!$B$2:$B$1001,$A44,Log!$D$2:$D$1001,"&gt;=3"))</f>
        <v/>
      </c>
      <c r="G44" s="18">
        <f>MAX(_xlfn.MAXIFS('Start Here'!$B$19:$B$58,'Start Here'!$A$19:$A$58,$A44,'Start Here'!$C$19:$C$58,"&gt;=4"),_xlfn.MAXIFS(Sets!$C$2:$C$3300,Sets!$B$2:$B$3300,$A44,Sets!$D$2:$D$3300,"&gt;=4"),_xlfn.MAXIFS(Log!$C$2:$C$1001,Log!$B$2:$B$1001,$A44,Log!$D$2:$D$1001,"&gt;=4"))</f>
        <v/>
      </c>
      <c r="H44" s="18">
        <f>MAX(_xlfn.MAXIFS('Start Here'!$B$19:$B$58,'Start Here'!$A$19:$A$58,$A44,'Start Here'!$C$19:$C$58,"&gt;=5"),_xlfn.MAXIFS(Sets!$C$2:$C$3300,Sets!$B$2:$B$3300,$A44,Sets!$D$2:$D$3300,"&gt;=5"),_xlfn.MAXIFS(Log!$C$2:$C$1001,Log!$B$2:$B$1001,$A44,Log!$D$2:$D$1001,"&gt;=5"))</f>
        <v/>
      </c>
      <c r="I44" s="18">
        <f>MAX(_xlfn.MAXIFS('Start Here'!$B$19:$B$58,'Start Here'!$A$19:$A$58,$A44,'Start Here'!$C$19:$C$58,"&gt;=6"),_xlfn.MAXIFS(Sets!$C$2:$C$3300,Sets!$B$2:$B$3300,$A44,Sets!$D$2:$D$3300,"&gt;=6"),_xlfn.MAXIFS(Log!$C$2:$C$1001,Log!$B$2:$B$1001,$A44,Log!$D$2:$D$1001,"&gt;=6"))</f>
        <v/>
      </c>
      <c r="J44" s="18">
        <f>MAX(_xlfn.MAXIFS('Start Here'!$B$19:$B$58,'Start Here'!$A$19:$A$58,$A44,'Start Here'!$C$19:$C$58,"&gt;=8"),_xlfn.MAXIFS(Sets!$C$2:$C$3300,Sets!$B$2:$B$3300,$A44,Sets!$D$2:$D$3300,"&gt;=8"),_xlfn.MAXIFS(Log!$C$2:$C$1001,Log!$B$2:$B$1001,$A44,Log!$D$2:$D$1001,"&gt;=8"))</f>
        <v/>
      </c>
      <c r="K44" s="18">
        <f>MAX(_xlfn.MAXIFS('Start Here'!$B$19:$B$58,'Start Here'!$A$19:$A$58,$A44,'Start Here'!$C$19:$C$58,"&gt;=10"),_xlfn.MAXIFS(Sets!$C$2:$C$3300,Sets!$B$2:$B$3300,$A44,Sets!$D$2:$D$3300,"&gt;=10"),_xlfn.MAXIFS(Log!$C$2:$C$1001,Log!$B$2:$B$1001,$A44,Log!$D$2:$D$1001,"&gt;=10"))</f>
        <v/>
      </c>
      <c r="L44" s="18">
        <f>MAX(_xlfn.MAXIFS('Start Here'!$B$19:$B$58,'Start Here'!$A$19:$A$58,$A44,'Start Here'!$C$19:$C$58,"&gt;=12"),_xlfn.MAXIFS(Sets!$C$2:$C$3300,Sets!$B$2:$B$3300,$A44,Sets!$D$2:$D$3300,"&gt;=12"),_xlfn.MAXIFS(Log!$C$2:$C$1001,Log!$B$2:$B$1001,$A44,Log!$D$2:$D$1001,"&gt;=12"))</f>
        <v/>
      </c>
    </row>
    <row r="45">
      <c r="A45" s="24" t="inlineStr">
        <is>
          <t>Push Jerk</t>
        </is>
      </c>
      <c r="B45" t="inlineStr">
        <is>
          <t>variation</t>
        </is>
      </c>
      <c r="C45" s="63">
        <f>MAX(_xlfn.MAXIFS('Start Here'!$D$19:$D$58,'Start Here'!$A$19:$A$58,$A45),_xlfn.MAXIFS(Sets!$E$2:$E$3300,Sets!$B$2:$B$3300,$A45),_xlfn.MAXIFS(Log!$E$2:$E$1001,Log!$B$2:$B$1001,$A45))</f>
        <v/>
      </c>
      <c r="D45" s="18">
        <f>MAX(_xlfn.MAXIFS('Start Here'!$B$19:$B$58,'Start Here'!$A$19:$A$58,$A45,'Start Here'!$C$19:$C$58,"&gt;=1"),_xlfn.MAXIFS(Sets!$C$2:$C$3300,Sets!$B$2:$B$3300,$A45,Sets!$D$2:$D$3300,"&gt;=1"),_xlfn.MAXIFS(Log!$C$2:$C$1001,Log!$B$2:$B$1001,$A45,Log!$D$2:$D$1001,"&gt;=1"))</f>
        <v/>
      </c>
      <c r="E45" s="18">
        <f>MAX(_xlfn.MAXIFS('Start Here'!$B$19:$B$58,'Start Here'!$A$19:$A$58,$A45,'Start Here'!$C$19:$C$58,"&gt;=2"),_xlfn.MAXIFS(Sets!$C$2:$C$3300,Sets!$B$2:$B$3300,$A45,Sets!$D$2:$D$3300,"&gt;=2"),_xlfn.MAXIFS(Log!$C$2:$C$1001,Log!$B$2:$B$1001,$A45,Log!$D$2:$D$1001,"&gt;=2"))</f>
        <v/>
      </c>
      <c r="F45" s="18">
        <f>MAX(_xlfn.MAXIFS('Start Here'!$B$19:$B$58,'Start Here'!$A$19:$A$58,$A45,'Start Here'!$C$19:$C$58,"&gt;=3"),_xlfn.MAXIFS(Sets!$C$2:$C$3300,Sets!$B$2:$B$3300,$A45,Sets!$D$2:$D$3300,"&gt;=3"),_xlfn.MAXIFS(Log!$C$2:$C$1001,Log!$B$2:$B$1001,$A45,Log!$D$2:$D$1001,"&gt;=3"))</f>
        <v/>
      </c>
      <c r="G45" s="18">
        <f>MAX(_xlfn.MAXIFS('Start Here'!$B$19:$B$58,'Start Here'!$A$19:$A$58,$A45,'Start Here'!$C$19:$C$58,"&gt;=4"),_xlfn.MAXIFS(Sets!$C$2:$C$3300,Sets!$B$2:$B$3300,$A45,Sets!$D$2:$D$3300,"&gt;=4"),_xlfn.MAXIFS(Log!$C$2:$C$1001,Log!$B$2:$B$1001,$A45,Log!$D$2:$D$1001,"&gt;=4"))</f>
        <v/>
      </c>
      <c r="H45" s="18">
        <f>MAX(_xlfn.MAXIFS('Start Here'!$B$19:$B$58,'Start Here'!$A$19:$A$58,$A45,'Start Here'!$C$19:$C$58,"&gt;=5"),_xlfn.MAXIFS(Sets!$C$2:$C$3300,Sets!$B$2:$B$3300,$A45,Sets!$D$2:$D$3300,"&gt;=5"),_xlfn.MAXIFS(Log!$C$2:$C$1001,Log!$B$2:$B$1001,$A45,Log!$D$2:$D$1001,"&gt;=5"))</f>
        <v/>
      </c>
      <c r="I45" s="18">
        <f>MAX(_xlfn.MAXIFS('Start Here'!$B$19:$B$58,'Start Here'!$A$19:$A$58,$A45,'Start Here'!$C$19:$C$58,"&gt;=6"),_xlfn.MAXIFS(Sets!$C$2:$C$3300,Sets!$B$2:$B$3300,$A45,Sets!$D$2:$D$3300,"&gt;=6"),_xlfn.MAXIFS(Log!$C$2:$C$1001,Log!$B$2:$B$1001,$A45,Log!$D$2:$D$1001,"&gt;=6"))</f>
        <v/>
      </c>
      <c r="J45" s="18">
        <f>MAX(_xlfn.MAXIFS('Start Here'!$B$19:$B$58,'Start Here'!$A$19:$A$58,$A45,'Start Here'!$C$19:$C$58,"&gt;=8"),_xlfn.MAXIFS(Sets!$C$2:$C$3300,Sets!$B$2:$B$3300,$A45,Sets!$D$2:$D$3300,"&gt;=8"),_xlfn.MAXIFS(Log!$C$2:$C$1001,Log!$B$2:$B$1001,$A45,Log!$D$2:$D$1001,"&gt;=8"))</f>
        <v/>
      </c>
      <c r="K45" s="18">
        <f>MAX(_xlfn.MAXIFS('Start Here'!$B$19:$B$58,'Start Here'!$A$19:$A$58,$A45,'Start Here'!$C$19:$C$58,"&gt;=10"),_xlfn.MAXIFS(Sets!$C$2:$C$3300,Sets!$B$2:$B$3300,$A45,Sets!$D$2:$D$3300,"&gt;=10"),_xlfn.MAXIFS(Log!$C$2:$C$1001,Log!$B$2:$B$1001,$A45,Log!$D$2:$D$1001,"&gt;=10"))</f>
        <v/>
      </c>
      <c r="L45" s="18">
        <f>MAX(_xlfn.MAXIFS('Start Here'!$B$19:$B$58,'Start Here'!$A$19:$A$58,$A45,'Start Here'!$C$19:$C$58,"&gt;=12"),_xlfn.MAXIFS(Sets!$C$2:$C$3300,Sets!$B$2:$B$3300,$A45,Sets!$D$2:$D$3300,"&gt;=12"),_xlfn.MAXIFS(Log!$C$2:$C$1001,Log!$B$2:$B$1001,$A45,Log!$D$2:$D$1001,"&gt;=12"))</f>
        <v/>
      </c>
    </row>
    <row r="46">
      <c r="A46" s="24" t="inlineStr">
        <is>
          <t>Split Jerk</t>
        </is>
      </c>
      <c r="B46" t="inlineStr">
        <is>
          <t>variation</t>
        </is>
      </c>
      <c r="C46" s="63">
        <f>MAX(_xlfn.MAXIFS('Start Here'!$D$19:$D$58,'Start Here'!$A$19:$A$58,$A46),_xlfn.MAXIFS(Sets!$E$2:$E$3300,Sets!$B$2:$B$3300,$A46),_xlfn.MAXIFS(Log!$E$2:$E$1001,Log!$B$2:$B$1001,$A46))</f>
        <v/>
      </c>
      <c r="D46" s="18">
        <f>MAX(_xlfn.MAXIFS('Start Here'!$B$19:$B$58,'Start Here'!$A$19:$A$58,$A46,'Start Here'!$C$19:$C$58,"&gt;=1"),_xlfn.MAXIFS(Sets!$C$2:$C$3300,Sets!$B$2:$B$3300,$A46,Sets!$D$2:$D$3300,"&gt;=1"),_xlfn.MAXIFS(Log!$C$2:$C$1001,Log!$B$2:$B$1001,$A46,Log!$D$2:$D$1001,"&gt;=1"))</f>
        <v/>
      </c>
      <c r="E46" s="18">
        <f>MAX(_xlfn.MAXIFS('Start Here'!$B$19:$B$58,'Start Here'!$A$19:$A$58,$A46,'Start Here'!$C$19:$C$58,"&gt;=2"),_xlfn.MAXIFS(Sets!$C$2:$C$3300,Sets!$B$2:$B$3300,$A46,Sets!$D$2:$D$3300,"&gt;=2"),_xlfn.MAXIFS(Log!$C$2:$C$1001,Log!$B$2:$B$1001,$A46,Log!$D$2:$D$1001,"&gt;=2"))</f>
        <v/>
      </c>
      <c r="F46" s="18">
        <f>MAX(_xlfn.MAXIFS('Start Here'!$B$19:$B$58,'Start Here'!$A$19:$A$58,$A46,'Start Here'!$C$19:$C$58,"&gt;=3"),_xlfn.MAXIFS(Sets!$C$2:$C$3300,Sets!$B$2:$B$3300,$A46,Sets!$D$2:$D$3300,"&gt;=3"),_xlfn.MAXIFS(Log!$C$2:$C$1001,Log!$B$2:$B$1001,$A46,Log!$D$2:$D$1001,"&gt;=3"))</f>
        <v/>
      </c>
      <c r="G46" s="18">
        <f>MAX(_xlfn.MAXIFS('Start Here'!$B$19:$B$58,'Start Here'!$A$19:$A$58,$A46,'Start Here'!$C$19:$C$58,"&gt;=4"),_xlfn.MAXIFS(Sets!$C$2:$C$3300,Sets!$B$2:$B$3300,$A46,Sets!$D$2:$D$3300,"&gt;=4"),_xlfn.MAXIFS(Log!$C$2:$C$1001,Log!$B$2:$B$1001,$A46,Log!$D$2:$D$1001,"&gt;=4"))</f>
        <v/>
      </c>
      <c r="H46" s="18">
        <f>MAX(_xlfn.MAXIFS('Start Here'!$B$19:$B$58,'Start Here'!$A$19:$A$58,$A46,'Start Here'!$C$19:$C$58,"&gt;=5"),_xlfn.MAXIFS(Sets!$C$2:$C$3300,Sets!$B$2:$B$3300,$A46,Sets!$D$2:$D$3300,"&gt;=5"),_xlfn.MAXIFS(Log!$C$2:$C$1001,Log!$B$2:$B$1001,$A46,Log!$D$2:$D$1001,"&gt;=5"))</f>
        <v/>
      </c>
      <c r="I46" s="18">
        <f>MAX(_xlfn.MAXIFS('Start Here'!$B$19:$B$58,'Start Here'!$A$19:$A$58,$A46,'Start Here'!$C$19:$C$58,"&gt;=6"),_xlfn.MAXIFS(Sets!$C$2:$C$3300,Sets!$B$2:$B$3300,$A46,Sets!$D$2:$D$3300,"&gt;=6"),_xlfn.MAXIFS(Log!$C$2:$C$1001,Log!$B$2:$B$1001,$A46,Log!$D$2:$D$1001,"&gt;=6"))</f>
        <v/>
      </c>
      <c r="J46" s="18">
        <f>MAX(_xlfn.MAXIFS('Start Here'!$B$19:$B$58,'Start Here'!$A$19:$A$58,$A46,'Start Here'!$C$19:$C$58,"&gt;=8"),_xlfn.MAXIFS(Sets!$C$2:$C$3300,Sets!$B$2:$B$3300,$A46,Sets!$D$2:$D$3300,"&gt;=8"),_xlfn.MAXIFS(Log!$C$2:$C$1001,Log!$B$2:$B$1001,$A46,Log!$D$2:$D$1001,"&gt;=8"))</f>
        <v/>
      </c>
      <c r="K46" s="18">
        <f>MAX(_xlfn.MAXIFS('Start Here'!$B$19:$B$58,'Start Here'!$A$19:$A$58,$A46,'Start Here'!$C$19:$C$58,"&gt;=10"),_xlfn.MAXIFS(Sets!$C$2:$C$3300,Sets!$B$2:$B$3300,$A46,Sets!$D$2:$D$3300,"&gt;=10"),_xlfn.MAXIFS(Log!$C$2:$C$1001,Log!$B$2:$B$1001,$A46,Log!$D$2:$D$1001,"&gt;=10"))</f>
        <v/>
      </c>
      <c r="L46" s="18">
        <f>MAX(_xlfn.MAXIFS('Start Here'!$B$19:$B$58,'Start Here'!$A$19:$A$58,$A46,'Start Here'!$C$19:$C$58,"&gt;=12"),_xlfn.MAXIFS(Sets!$C$2:$C$3300,Sets!$B$2:$B$3300,$A46,Sets!$D$2:$D$3300,"&gt;=12"),_xlfn.MAXIFS(Log!$C$2:$C$1001,Log!$B$2:$B$1001,$A46,Log!$D$2:$D$1001,"&gt;=12"))</f>
        <v/>
      </c>
    </row>
    <row r="47">
      <c r="A47" s="24" t="inlineStr">
        <is>
          <t>Push Press (Jerk Rack)</t>
        </is>
      </c>
      <c r="B47" t="inlineStr">
        <is>
          <t>variation</t>
        </is>
      </c>
      <c r="C47" s="63">
        <f>MAX(_xlfn.MAXIFS('Start Here'!$D$19:$D$58,'Start Here'!$A$19:$A$58,$A47),_xlfn.MAXIFS(Sets!$E$2:$E$3300,Sets!$B$2:$B$3300,$A47),_xlfn.MAXIFS(Log!$E$2:$E$1001,Log!$B$2:$B$1001,$A47))</f>
        <v/>
      </c>
      <c r="D47" s="18">
        <f>MAX(_xlfn.MAXIFS('Start Here'!$B$19:$B$58,'Start Here'!$A$19:$A$58,$A47,'Start Here'!$C$19:$C$58,"&gt;=1"),_xlfn.MAXIFS(Sets!$C$2:$C$3300,Sets!$B$2:$B$3300,$A47,Sets!$D$2:$D$3300,"&gt;=1"),_xlfn.MAXIFS(Log!$C$2:$C$1001,Log!$B$2:$B$1001,$A47,Log!$D$2:$D$1001,"&gt;=1"))</f>
        <v/>
      </c>
      <c r="E47" s="18">
        <f>MAX(_xlfn.MAXIFS('Start Here'!$B$19:$B$58,'Start Here'!$A$19:$A$58,$A47,'Start Here'!$C$19:$C$58,"&gt;=2"),_xlfn.MAXIFS(Sets!$C$2:$C$3300,Sets!$B$2:$B$3300,$A47,Sets!$D$2:$D$3300,"&gt;=2"),_xlfn.MAXIFS(Log!$C$2:$C$1001,Log!$B$2:$B$1001,$A47,Log!$D$2:$D$1001,"&gt;=2"))</f>
        <v/>
      </c>
      <c r="F47" s="18">
        <f>MAX(_xlfn.MAXIFS('Start Here'!$B$19:$B$58,'Start Here'!$A$19:$A$58,$A47,'Start Here'!$C$19:$C$58,"&gt;=3"),_xlfn.MAXIFS(Sets!$C$2:$C$3300,Sets!$B$2:$B$3300,$A47,Sets!$D$2:$D$3300,"&gt;=3"),_xlfn.MAXIFS(Log!$C$2:$C$1001,Log!$B$2:$B$1001,$A47,Log!$D$2:$D$1001,"&gt;=3"))</f>
        <v/>
      </c>
      <c r="G47" s="18">
        <f>MAX(_xlfn.MAXIFS('Start Here'!$B$19:$B$58,'Start Here'!$A$19:$A$58,$A47,'Start Here'!$C$19:$C$58,"&gt;=4"),_xlfn.MAXIFS(Sets!$C$2:$C$3300,Sets!$B$2:$B$3300,$A47,Sets!$D$2:$D$3300,"&gt;=4"),_xlfn.MAXIFS(Log!$C$2:$C$1001,Log!$B$2:$B$1001,$A47,Log!$D$2:$D$1001,"&gt;=4"))</f>
        <v/>
      </c>
      <c r="H47" s="18">
        <f>MAX(_xlfn.MAXIFS('Start Here'!$B$19:$B$58,'Start Here'!$A$19:$A$58,$A47,'Start Here'!$C$19:$C$58,"&gt;=5"),_xlfn.MAXIFS(Sets!$C$2:$C$3300,Sets!$B$2:$B$3300,$A47,Sets!$D$2:$D$3300,"&gt;=5"),_xlfn.MAXIFS(Log!$C$2:$C$1001,Log!$B$2:$B$1001,$A47,Log!$D$2:$D$1001,"&gt;=5"))</f>
        <v/>
      </c>
      <c r="I47" s="18">
        <f>MAX(_xlfn.MAXIFS('Start Here'!$B$19:$B$58,'Start Here'!$A$19:$A$58,$A47,'Start Here'!$C$19:$C$58,"&gt;=6"),_xlfn.MAXIFS(Sets!$C$2:$C$3300,Sets!$B$2:$B$3300,$A47,Sets!$D$2:$D$3300,"&gt;=6"),_xlfn.MAXIFS(Log!$C$2:$C$1001,Log!$B$2:$B$1001,$A47,Log!$D$2:$D$1001,"&gt;=6"))</f>
        <v/>
      </c>
      <c r="J47" s="18">
        <f>MAX(_xlfn.MAXIFS('Start Here'!$B$19:$B$58,'Start Here'!$A$19:$A$58,$A47,'Start Here'!$C$19:$C$58,"&gt;=8"),_xlfn.MAXIFS(Sets!$C$2:$C$3300,Sets!$B$2:$B$3300,$A47,Sets!$D$2:$D$3300,"&gt;=8"),_xlfn.MAXIFS(Log!$C$2:$C$1001,Log!$B$2:$B$1001,$A47,Log!$D$2:$D$1001,"&gt;=8"))</f>
        <v/>
      </c>
      <c r="K47" s="18">
        <f>MAX(_xlfn.MAXIFS('Start Here'!$B$19:$B$58,'Start Here'!$A$19:$A$58,$A47,'Start Here'!$C$19:$C$58,"&gt;=10"),_xlfn.MAXIFS(Sets!$C$2:$C$3300,Sets!$B$2:$B$3300,$A47,Sets!$D$2:$D$3300,"&gt;=10"),_xlfn.MAXIFS(Log!$C$2:$C$1001,Log!$B$2:$B$1001,$A47,Log!$D$2:$D$1001,"&gt;=10"))</f>
        <v/>
      </c>
      <c r="L47" s="18">
        <f>MAX(_xlfn.MAXIFS('Start Here'!$B$19:$B$58,'Start Here'!$A$19:$A$58,$A47,'Start Here'!$C$19:$C$58,"&gt;=12"),_xlfn.MAXIFS(Sets!$C$2:$C$3300,Sets!$B$2:$B$3300,$A47,Sets!$D$2:$D$3300,"&gt;=12"),_xlfn.MAXIFS(Log!$C$2:$C$1001,Log!$B$2:$B$1001,$A47,Log!$D$2:$D$1001,"&gt;=12"))</f>
        <v/>
      </c>
    </row>
    <row r="48">
      <c r="A48" s="24" t="inlineStr">
        <is>
          <t>Clean Pull</t>
        </is>
      </c>
      <c r="B48" t="inlineStr">
        <is>
          <t>variation</t>
        </is>
      </c>
      <c r="C48" s="63">
        <f>MAX(_xlfn.MAXIFS('Start Here'!$D$19:$D$58,'Start Here'!$A$19:$A$58,$A48),_xlfn.MAXIFS(Sets!$E$2:$E$3300,Sets!$B$2:$B$3300,$A48),_xlfn.MAXIFS(Log!$E$2:$E$1001,Log!$B$2:$B$1001,$A48))</f>
        <v/>
      </c>
      <c r="D48" s="18">
        <f>MAX(_xlfn.MAXIFS('Start Here'!$B$19:$B$58,'Start Here'!$A$19:$A$58,$A48,'Start Here'!$C$19:$C$58,"&gt;=1"),_xlfn.MAXIFS(Sets!$C$2:$C$3300,Sets!$B$2:$B$3300,$A48,Sets!$D$2:$D$3300,"&gt;=1"),_xlfn.MAXIFS(Log!$C$2:$C$1001,Log!$B$2:$B$1001,$A48,Log!$D$2:$D$1001,"&gt;=1"))</f>
        <v/>
      </c>
      <c r="E48" s="18">
        <f>MAX(_xlfn.MAXIFS('Start Here'!$B$19:$B$58,'Start Here'!$A$19:$A$58,$A48,'Start Here'!$C$19:$C$58,"&gt;=2"),_xlfn.MAXIFS(Sets!$C$2:$C$3300,Sets!$B$2:$B$3300,$A48,Sets!$D$2:$D$3300,"&gt;=2"),_xlfn.MAXIFS(Log!$C$2:$C$1001,Log!$B$2:$B$1001,$A48,Log!$D$2:$D$1001,"&gt;=2"))</f>
        <v/>
      </c>
      <c r="F48" s="18">
        <f>MAX(_xlfn.MAXIFS('Start Here'!$B$19:$B$58,'Start Here'!$A$19:$A$58,$A48,'Start Here'!$C$19:$C$58,"&gt;=3"),_xlfn.MAXIFS(Sets!$C$2:$C$3300,Sets!$B$2:$B$3300,$A48,Sets!$D$2:$D$3300,"&gt;=3"),_xlfn.MAXIFS(Log!$C$2:$C$1001,Log!$B$2:$B$1001,$A48,Log!$D$2:$D$1001,"&gt;=3"))</f>
        <v/>
      </c>
      <c r="G48" s="18">
        <f>MAX(_xlfn.MAXIFS('Start Here'!$B$19:$B$58,'Start Here'!$A$19:$A$58,$A48,'Start Here'!$C$19:$C$58,"&gt;=4"),_xlfn.MAXIFS(Sets!$C$2:$C$3300,Sets!$B$2:$B$3300,$A48,Sets!$D$2:$D$3300,"&gt;=4"),_xlfn.MAXIFS(Log!$C$2:$C$1001,Log!$B$2:$B$1001,$A48,Log!$D$2:$D$1001,"&gt;=4"))</f>
        <v/>
      </c>
      <c r="H48" s="18">
        <f>MAX(_xlfn.MAXIFS('Start Here'!$B$19:$B$58,'Start Here'!$A$19:$A$58,$A48,'Start Here'!$C$19:$C$58,"&gt;=5"),_xlfn.MAXIFS(Sets!$C$2:$C$3300,Sets!$B$2:$B$3300,$A48,Sets!$D$2:$D$3300,"&gt;=5"),_xlfn.MAXIFS(Log!$C$2:$C$1001,Log!$B$2:$B$1001,$A48,Log!$D$2:$D$1001,"&gt;=5"))</f>
        <v/>
      </c>
      <c r="I48" s="18">
        <f>MAX(_xlfn.MAXIFS('Start Here'!$B$19:$B$58,'Start Here'!$A$19:$A$58,$A48,'Start Here'!$C$19:$C$58,"&gt;=6"),_xlfn.MAXIFS(Sets!$C$2:$C$3300,Sets!$B$2:$B$3300,$A48,Sets!$D$2:$D$3300,"&gt;=6"),_xlfn.MAXIFS(Log!$C$2:$C$1001,Log!$B$2:$B$1001,$A48,Log!$D$2:$D$1001,"&gt;=6"))</f>
        <v/>
      </c>
      <c r="J48" s="18">
        <f>MAX(_xlfn.MAXIFS('Start Here'!$B$19:$B$58,'Start Here'!$A$19:$A$58,$A48,'Start Here'!$C$19:$C$58,"&gt;=8"),_xlfn.MAXIFS(Sets!$C$2:$C$3300,Sets!$B$2:$B$3300,$A48,Sets!$D$2:$D$3300,"&gt;=8"),_xlfn.MAXIFS(Log!$C$2:$C$1001,Log!$B$2:$B$1001,$A48,Log!$D$2:$D$1001,"&gt;=8"))</f>
        <v/>
      </c>
      <c r="K48" s="18">
        <f>MAX(_xlfn.MAXIFS('Start Here'!$B$19:$B$58,'Start Here'!$A$19:$A$58,$A48,'Start Here'!$C$19:$C$58,"&gt;=10"),_xlfn.MAXIFS(Sets!$C$2:$C$3300,Sets!$B$2:$B$3300,$A48,Sets!$D$2:$D$3300,"&gt;=10"),_xlfn.MAXIFS(Log!$C$2:$C$1001,Log!$B$2:$B$1001,$A48,Log!$D$2:$D$1001,"&gt;=10"))</f>
        <v/>
      </c>
      <c r="L48" s="18">
        <f>MAX(_xlfn.MAXIFS('Start Here'!$B$19:$B$58,'Start Here'!$A$19:$A$58,$A48,'Start Here'!$C$19:$C$58,"&gt;=12"),_xlfn.MAXIFS(Sets!$C$2:$C$3300,Sets!$B$2:$B$3300,$A48,Sets!$D$2:$D$3300,"&gt;=12"),_xlfn.MAXIFS(Log!$C$2:$C$1001,Log!$B$2:$B$1001,$A48,Log!$D$2:$D$1001,"&gt;=12"))</f>
        <v/>
      </c>
    </row>
    <row r="49">
      <c r="A49" s="24" t="inlineStr">
        <is>
          <t>Block Clean</t>
        </is>
      </c>
      <c r="B49" t="inlineStr">
        <is>
          <t>variation</t>
        </is>
      </c>
      <c r="C49" s="63">
        <f>MAX(_xlfn.MAXIFS('Start Here'!$D$19:$D$58,'Start Here'!$A$19:$A$58,$A49),_xlfn.MAXIFS(Sets!$E$2:$E$3300,Sets!$B$2:$B$3300,$A49),_xlfn.MAXIFS(Log!$E$2:$E$1001,Log!$B$2:$B$1001,$A49))</f>
        <v/>
      </c>
      <c r="D49" s="18">
        <f>MAX(_xlfn.MAXIFS('Start Here'!$B$19:$B$58,'Start Here'!$A$19:$A$58,$A49,'Start Here'!$C$19:$C$58,"&gt;=1"),_xlfn.MAXIFS(Sets!$C$2:$C$3300,Sets!$B$2:$B$3300,$A49,Sets!$D$2:$D$3300,"&gt;=1"),_xlfn.MAXIFS(Log!$C$2:$C$1001,Log!$B$2:$B$1001,$A49,Log!$D$2:$D$1001,"&gt;=1"))</f>
        <v/>
      </c>
      <c r="E49" s="18">
        <f>MAX(_xlfn.MAXIFS('Start Here'!$B$19:$B$58,'Start Here'!$A$19:$A$58,$A49,'Start Here'!$C$19:$C$58,"&gt;=2"),_xlfn.MAXIFS(Sets!$C$2:$C$3300,Sets!$B$2:$B$3300,$A49,Sets!$D$2:$D$3300,"&gt;=2"),_xlfn.MAXIFS(Log!$C$2:$C$1001,Log!$B$2:$B$1001,$A49,Log!$D$2:$D$1001,"&gt;=2"))</f>
        <v/>
      </c>
      <c r="F49" s="18">
        <f>MAX(_xlfn.MAXIFS('Start Here'!$B$19:$B$58,'Start Here'!$A$19:$A$58,$A49,'Start Here'!$C$19:$C$58,"&gt;=3"),_xlfn.MAXIFS(Sets!$C$2:$C$3300,Sets!$B$2:$B$3300,$A49,Sets!$D$2:$D$3300,"&gt;=3"),_xlfn.MAXIFS(Log!$C$2:$C$1001,Log!$B$2:$B$1001,$A49,Log!$D$2:$D$1001,"&gt;=3"))</f>
        <v/>
      </c>
      <c r="G49" s="18">
        <f>MAX(_xlfn.MAXIFS('Start Here'!$B$19:$B$58,'Start Here'!$A$19:$A$58,$A49,'Start Here'!$C$19:$C$58,"&gt;=4"),_xlfn.MAXIFS(Sets!$C$2:$C$3300,Sets!$B$2:$B$3300,$A49,Sets!$D$2:$D$3300,"&gt;=4"),_xlfn.MAXIFS(Log!$C$2:$C$1001,Log!$B$2:$B$1001,$A49,Log!$D$2:$D$1001,"&gt;=4"))</f>
        <v/>
      </c>
      <c r="H49" s="18">
        <f>MAX(_xlfn.MAXIFS('Start Here'!$B$19:$B$58,'Start Here'!$A$19:$A$58,$A49,'Start Here'!$C$19:$C$58,"&gt;=5"),_xlfn.MAXIFS(Sets!$C$2:$C$3300,Sets!$B$2:$B$3300,$A49,Sets!$D$2:$D$3300,"&gt;=5"),_xlfn.MAXIFS(Log!$C$2:$C$1001,Log!$B$2:$B$1001,$A49,Log!$D$2:$D$1001,"&gt;=5"))</f>
        <v/>
      </c>
      <c r="I49" s="18">
        <f>MAX(_xlfn.MAXIFS('Start Here'!$B$19:$B$58,'Start Here'!$A$19:$A$58,$A49,'Start Here'!$C$19:$C$58,"&gt;=6"),_xlfn.MAXIFS(Sets!$C$2:$C$3300,Sets!$B$2:$B$3300,$A49,Sets!$D$2:$D$3300,"&gt;=6"),_xlfn.MAXIFS(Log!$C$2:$C$1001,Log!$B$2:$B$1001,$A49,Log!$D$2:$D$1001,"&gt;=6"))</f>
        <v/>
      </c>
      <c r="J49" s="18">
        <f>MAX(_xlfn.MAXIFS('Start Here'!$B$19:$B$58,'Start Here'!$A$19:$A$58,$A49,'Start Here'!$C$19:$C$58,"&gt;=8"),_xlfn.MAXIFS(Sets!$C$2:$C$3300,Sets!$B$2:$B$3300,$A49,Sets!$D$2:$D$3300,"&gt;=8"),_xlfn.MAXIFS(Log!$C$2:$C$1001,Log!$B$2:$B$1001,$A49,Log!$D$2:$D$1001,"&gt;=8"))</f>
        <v/>
      </c>
      <c r="K49" s="18">
        <f>MAX(_xlfn.MAXIFS('Start Here'!$B$19:$B$58,'Start Here'!$A$19:$A$58,$A49,'Start Here'!$C$19:$C$58,"&gt;=10"),_xlfn.MAXIFS(Sets!$C$2:$C$3300,Sets!$B$2:$B$3300,$A49,Sets!$D$2:$D$3300,"&gt;=10"),_xlfn.MAXIFS(Log!$C$2:$C$1001,Log!$B$2:$B$1001,$A49,Log!$D$2:$D$1001,"&gt;=10"))</f>
        <v/>
      </c>
      <c r="L49" s="18">
        <f>MAX(_xlfn.MAXIFS('Start Here'!$B$19:$B$58,'Start Here'!$A$19:$A$58,$A49,'Start Here'!$C$19:$C$58,"&gt;=12"),_xlfn.MAXIFS(Sets!$C$2:$C$3300,Sets!$B$2:$B$3300,$A49,Sets!$D$2:$D$3300,"&gt;=12"),_xlfn.MAXIFS(Log!$C$2:$C$1001,Log!$B$2:$B$1001,$A49,Log!$D$2:$D$1001,"&gt;=12"))</f>
        <v/>
      </c>
    </row>
    <row r="50">
      <c r="A50" s="24" t="inlineStr">
        <is>
          <t>Barbell Row</t>
        </is>
      </c>
      <c r="B50" t="inlineStr">
        <is>
          <t>accessory</t>
        </is>
      </c>
      <c r="C50" s="63">
        <f>MAX(_xlfn.MAXIFS('Start Here'!$D$19:$D$58,'Start Here'!$A$19:$A$58,$A50),_xlfn.MAXIFS(Sets!$E$2:$E$3300,Sets!$B$2:$B$3300,$A50),_xlfn.MAXIFS(Log!$E$2:$E$1001,Log!$B$2:$B$1001,$A50))</f>
        <v/>
      </c>
      <c r="D50" s="18">
        <f>MAX(_xlfn.MAXIFS('Start Here'!$B$19:$B$58,'Start Here'!$A$19:$A$58,$A50,'Start Here'!$C$19:$C$58,"&gt;=1"),_xlfn.MAXIFS(Sets!$C$2:$C$3300,Sets!$B$2:$B$3300,$A50,Sets!$D$2:$D$3300,"&gt;=1"),_xlfn.MAXIFS(Log!$C$2:$C$1001,Log!$B$2:$B$1001,$A50,Log!$D$2:$D$1001,"&gt;=1"))</f>
        <v/>
      </c>
      <c r="E50" s="18">
        <f>MAX(_xlfn.MAXIFS('Start Here'!$B$19:$B$58,'Start Here'!$A$19:$A$58,$A50,'Start Here'!$C$19:$C$58,"&gt;=2"),_xlfn.MAXIFS(Sets!$C$2:$C$3300,Sets!$B$2:$B$3300,$A50,Sets!$D$2:$D$3300,"&gt;=2"),_xlfn.MAXIFS(Log!$C$2:$C$1001,Log!$B$2:$B$1001,$A50,Log!$D$2:$D$1001,"&gt;=2"))</f>
        <v/>
      </c>
      <c r="F50" s="18">
        <f>MAX(_xlfn.MAXIFS('Start Here'!$B$19:$B$58,'Start Here'!$A$19:$A$58,$A50,'Start Here'!$C$19:$C$58,"&gt;=3"),_xlfn.MAXIFS(Sets!$C$2:$C$3300,Sets!$B$2:$B$3300,$A50,Sets!$D$2:$D$3300,"&gt;=3"),_xlfn.MAXIFS(Log!$C$2:$C$1001,Log!$B$2:$B$1001,$A50,Log!$D$2:$D$1001,"&gt;=3"))</f>
        <v/>
      </c>
      <c r="G50" s="18">
        <f>MAX(_xlfn.MAXIFS('Start Here'!$B$19:$B$58,'Start Here'!$A$19:$A$58,$A50,'Start Here'!$C$19:$C$58,"&gt;=4"),_xlfn.MAXIFS(Sets!$C$2:$C$3300,Sets!$B$2:$B$3300,$A50,Sets!$D$2:$D$3300,"&gt;=4"),_xlfn.MAXIFS(Log!$C$2:$C$1001,Log!$B$2:$B$1001,$A50,Log!$D$2:$D$1001,"&gt;=4"))</f>
        <v/>
      </c>
      <c r="H50" s="18">
        <f>MAX(_xlfn.MAXIFS('Start Here'!$B$19:$B$58,'Start Here'!$A$19:$A$58,$A50,'Start Here'!$C$19:$C$58,"&gt;=5"),_xlfn.MAXIFS(Sets!$C$2:$C$3300,Sets!$B$2:$B$3300,$A50,Sets!$D$2:$D$3300,"&gt;=5"),_xlfn.MAXIFS(Log!$C$2:$C$1001,Log!$B$2:$B$1001,$A50,Log!$D$2:$D$1001,"&gt;=5"))</f>
        <v/>
      </c>
      <c r="I50" s="18">
        <f>MAX(_xlfn.MAXIFS('Start Here'!$B$19:$B$58,'Start Here'!$A$19:$A$58,$A50,'Start Here'!$C$19:$C$58,"&gt;=6"),_xlfn.MAXIFS(Sets!$C$2:$C$3300,Sets!$B$2:$B$3300,$A50,Sets!$D$2:$D$3300,"&gt;=6"),_xlfn.MAXIFS(Log!$C$2:$C$1001,Log!$B$2:$B$1001,$A50,Log!$D$2:$D$1001,"&gt;=6"))</f>
        <v/>
      </c>
      <c r="J50" s="18">
        <f>MAX(_xlfn.MAXIFS('Start Here'!$B$19:$B$58,'Start Here'!$A$19:$A$58,$A50,'Start Here'!$C$19:$C$58,"&gt;=8"),_xlfn.MAXIFS(Sets!$C$2:$C$3300,Sets!$B$2:$B$3300,$A50,Sets!$D$2:$D$3300,"&gt;=8"),_xlfn.MAXIFS(Log!$C$2:$C$1001,Log!$B$2:$B$1001,$A50,Log!$D$2:$D$1001,"&gt;=8"))</f>
        <v/>
      </c>
      <c r="K50" s="18">
        <f>MAX(_xlfn.MAXIFS('Start Here'!$B$19:$B$58,'Start Here'!$A$19:$A$58,$A50,'Start Here'!$C$19:$C$58,"&gt;=10"),_xlfn.MAXIFS(Sets!$C$2:$C$3300,Sets!$B$2:$B$3300,$A50,Sets!$D$2:$D$3300,"&gt;=10"),_xlfn.MAXIFS(Log!$C$2:$C$1001,Log!$B$2:$B$1001,$A50,Log!$D$2:$D$1001,"&gt;=10"))</f>
        <v/>
      </c>
      <c r="L50" s="18">
        <f>MAX(_xlfn.MAXIFS('Start Here'!$B$19:$B$58,'Start Here'!$A$19:$A$58,$A50,'Start Here'!$C$19:$C$58,"&gt;=12"),_xlfn.MAXIFS(Sets!$C$2:$C$3300,Sets!$B$2:$B$3300,$A50,Sets!$D$2:$D$3300,"&gt;=12"),_xlfn.MAXIFS(Log!$C$2:$C$1001,Log!$B$2:$B$1001,$A50,Log!$D$2:$D$1001,"&gt;=12"))</f>
        <v/>
      </c>
    </row>
    <row r="51">
      <c r="A51" s="24" t="inlineStr">
        <is>
          <t>Face Pull</t>
        </is>
      </c>
      <c r="B51" t="inlineStr">
        <is>
          <t>accessory</t>
        </is>
      </c>
      <c r="C51" s="63">
        <f>MAX(_xlfn.MAXIFS('Start Here'!$D$19:$D$58,'Start Here'!$A$19:$A$58,$A51),_xlfn.MAXIFS(Sets!$E$2:$E$3300,Sets!$B$2:$B$3300,$A51),_xlfn.MAXIFS(Log!$E$2:$E$1001,Log!$B$2:$B$1001,$A51))</f>
        <v/>
      </c>
      <c r="D51" s="18">
        <f>MAX(_xlfn.MAXIFS('Start Here'!$B$19:$B$58,'Start Here'!$A$19:$A$58,$A51,'Start Here'!$C$19:$C$58,"&gt;=1"),_xlfn.MAXIFS(Sets!$C$2:$C$3300,Sets!$B$2:$B$3300,$A51,Sets!$D$2:$D$3300,"&gt;=1"),_xlfn.MAXIFS(Log!$C$2:$C$1001,Log!$B$2:$B$1001,$A51,Log!$D$2:$D$1001,"&gt;=1"))</f>
        <v/>
      </c>
      <c r="E51" s="18">
        <f>MAX(_xlfn.MAXIFS('Start Here'!$B$19:$B$58,'Start Here'!$A$19:$A$58,$A51,'Start Here'!$C$19:$C$58,"&gt;=2"),_xlfn.MAXIFS(Sets!$C$2:$C$3300,Sets!$B$2:$B$3300,$A51,Sets!$D$2:$D$3300,"&gt;=2"),_xlfn.MAXIFS(Log!$C$2:$C$1001,Log!$B$2:$B$1001,$A51,Log!$D$2:$D$1001,"&gt;=2"))</f>
        <v/>
      </c>
      <c r="F51" s="18">
        <f>MAX(_xlfn.MAXIFS('Start Here'!$B$19:$B$58,'Start Here'!$A$19:$A$58,$A51,'Start Here'!$C$19:$C$58,"&gt;=3"),_xlfn.MAXIFS(Sets!$C$2:$C$3300,Sets!$B$2:$B$3300,$A51,Sets!$D$2:$D$3300,"&gt;=3"),_xlfn.MAXIFS(Log!$C$2:$C$1001,Log!$B$2:$B$1001,$A51,Log!$D$2:$D$1001,"&gt;=3"))</f>
        <v/>
      </c>
      <c r="G51" s="18">
        <f>MAX(_xlfn.MAXIFS('Start Here'!$B$19:$B$58,'Start Here'!$A$19:$A$58,$A51,'Start Here'!$C$19:$C$58,"&gt;=4"),_xlfn.MAXIFS(Sets!$C$2:$C$3300,Sets!$B$2:$B$3300,$A51,Sets!$D$2:$D$3300,"&gt;=4"),_xlfn.MAXIFS(Log!$C$2:$C$1001,Log!$B$2:$B$1001,$A51,Log!$D$2:$D$1001,"&gt;=4"))</f>
        <v/>
      </c>
      <c r="H51" s="18">
        <f>MAX(_xlfn.MAXIFS('Start Here'!$B$19:$B$58,'Start Here'!$A$19:$A$58,$A51,'Start Here'!$C$19:$C$58,"&gt;=5"),_xlfn.MAXIFS(Sets!$C$2:$C$3300,Sets!$B$2:$B$3300,$A51,Sets!$D$2:$D$3300,"&gt;=5"),_xlfn.MAXIFS(Log!$C$2:$C$1001,Log!$B$2:$B$1001,$A51,Log!$D$2:$D$1001,"&gt;=5"))</f>
        <v/>
      </c>
      <c r="I51" s="18">
        <f>MAX(_xlfn.MAXIFS('Start Here'!$B$19:$B$58,'Start Here'!$A$19:$A$58,$A51,'Start Here'!$C$19:$C$58,"&gt;=6"),_xlfn.MAXIFS(Sets!$C$2:$C$3300,Sets!$B$2:$B$3300,$A51,Sets!$D$2:$D$3300,"&gt;=6"),_xlfn.MAXIFS(Log!$C$2:$C$1001,Log!$B$2:$B$1001,$A51,Log!$D$2:$D$1001,"&gt;=6"))</f>
        <v/>
      </c>
      <c r="J51" s="18">
        <f>MAX(_xlfn.MAXIFS('Start Here'!$B$19:$B$58,'Start Here'!$A$19:$A$58,$A51,'Start Here'!$C$19:$C$58,"&gt;=8"),_xlfn.MAXIFS(Sets!$C$2:$C$3300,Sets!$B$2:$B$3300,$A51,Sets!$D$2:$D$3300,"&gt;=8"),_xlfn.MAXIFS(Log!$C$2:$C$1001,Log!$B$2:$B$1001,$A51,Log!$D$2:$D$1001,"&gt;=8"))</f>
        <v/>
      </c>
      <c r="K51" s="18">
        <f>MAX(_xlfn.MAXIFS('Start Here'!$B$19:$B$58,'Start Here'!$A$19:$A$58,$A51,'Start Here'!$C$19:$C$58,"&gt;=10"),_xlfn.MAXIFS(Sets!$C$2:$C$3300,Sets!$B$2:$B$3300,$A51,Sets!$D$2:$D$3300,"&gt;=10"),_xlfn.MAXIFS(Log!$C$2:$C$1001,Log!$B$2:$B$1001,$A51,Log!$D$2:$D$1001,"&gt;=10"))</f>
        <v/>
      </c>
      <c r="L51" s="18">
        <f>MAX(_xlfn.MAXIFS('Start Here'!$B$19:$B$58,'Start Here'!$A$19:$A$58,$A51,'Start Here'!$C$19:$C$58,"&gt;=12"),_xlfn.MAXIFS(Sets!$C$2:$C$3300,Sets!$B$2:$B$3300,$A51,Sets!$D$2:$D$3300,"&gt;=12"),_xlfn.MAXIFS(Log!$C$2:$C$1001,Log!$B$2:$B$1001,$A51,Log!$D$2:$D$1001,"&gt;=12"))</f>
        <v/>
      </c>
    </row>
    <row r="52">
      <c r="A52" s="24" t="inlineStr">
        <is>
          <t>Dumbbell Curl</t>
        </is>
      </c>
      <c r="B52" t="inlineStr">
        <is>
          <t>accessory</t>
        </is>
      </c>
      <c r="C52" s="63">
        <f>MAX(_xlfn.MAXIFS('Start Here'!$D$19:$D$58,'Start Here'!$A$19:$A$58,$A52),_xlfn.MAXIFS(Sets!$E$2:$E$3300,Sets!$B$2:$B$3300,$A52),_xlfn.MAXIFS(Log!$E$2:$E$1001,Log!$B$2:$B$1001,$A52))</f>
        <v/>
      </c>
      <c r="D52" s="18">
        <f>MAX(_xlfn.MAXIFS('Start Here'!$B$19:$B$58,'Start Here'!$A$19:$A$58,$A52,'Start Here'!$C$19:$C$58,"&gt;=1"),_xlfn.MAXIFS(Sets!$C$2:$C$3300,Sets!$B$2:$B$3300,$A52,Sets!$D$2:$D$3300,"&gt;=1"),_xlfn.MAXIFS(Log!$C$2:$C$1001,Log!$B$2:$B$1001,$A52,Log!$D$2:$D$1001,"&gt;=1"))</f>
        <v/>
      </c>
      <c r="E52" s="18">
        <f>MAX(_xlfn.MAXIFS('Start Here'!$B$19:$B$58,'Start Here'!$A$19:$A$58,$A52,'Start Here'!$C$19:$C$58,"&gt;=2"),_xlfn.MAXIFS(Sets!$C$2:$C$3300,Sets!$B$2:$B$3300,$A52,Sets!$D$2:$D$3300,"&gt;=2"),_xlfn.MAXIFS(Log!$C$2:$C$1001,Log!$B$2:$B$1001,$A52,Log!$D$2:$D$1001,"&gt;=2"))</f>
        <v/>
      </c>
      <c r="F52" s="18">
        <f>MAX(_xlfn.MAXIFS('Start Here'!$B$19:$B$58,'Start Here'!$A$19:$A$58,$A52,'Start Here'!$C$19:$C$58,"&gt;=3"),_xlfn.MAXIFS(Sets!$C$2:$C$3300,Sets!$B$2:$B$3300,$A52,Sets!$D$2:$D$3300,"&gt;=3"),_xlfn.MAXIFS(Log!$C$2:$C$1001,Log!$B$2:$B$1001,$A52,Log!$D$2:$D$1001,"&gt;=3"))</f>
        <v/>
      </c>
      <c r="G52" s="18">
        <f>MAX(_xlfn.MAXIFS('Start Here'!$B$19:$B$58,'Start Here'!$A$19:$A$58,$A52,'Start Here'!$C$19:$C$58,"&gt;=4"),_xlfn.MAXIFS(Sets!$C$2:$C$3300,Sets!$B$2:$B$3300,$A52,Sets!$D$2:$D$3300,"&gt;=4"),_xlfn.MAXIFS(Log!$C$2:$C$1001,Log!$B$2:$B$1001,$A52,Log!$D$2:$D$1001,"&gt;=4"))</f>
        <v/>
      </c>
      <c r="H52" s="18">
        <f>MAX(_xlfn.MAXIFS('Start Here'!$B$19:$B$58,'Start Here'!$A$19:$A$58,$A52,'Start Here'!$C$19:$C$58,"&gt;=5"),_xlfn.MAXIFS(Sets!$C$2:$C$3300,Sets!$B$2:$B$3300,$A52,Sets!$D$2:$D$3300,"&gt;=5"),_xlfn.MAXIFS(Log!$C$2:$C$1001,Log!$B$2:$B$1001,$A52,Log!$D$2:$D$1001,"&gt;=5"))</f>
        <v/>
      </c>
      <c r="I52" s="18">
        <f>MAX(_xlfn.MAXIFS('Start Here'!$B$19:$B$58,'Start Here'!$A$19:$A$58,$A52,'Start Here'!$C$19:$C$58,"&gt;=6"),_xlfn.MAXIFS(Sets!$C$2:$C$3300,Sets!$B$2:$B$3300,$A52,Sets!$D$2:$D$3300,"&gt;=6"),_xlfn.MAXIFS(Log!$C$2:$C$1001,Log!$B$2:$B$1001,$A52,Log!$D$2:$D$1001,"&gt;=6"))</f>
        <v/>
      </c>
      <c r="J52" s="18">
        <f>MAX(_xlfn.MAXIFS('Start Here'!$B$19:$B$58,'Start Here'!$A$19:$A$58,$A52,'Start Here'!$C$19:$C$58,"&gt;=8"),_xlfn.MAXIFS(Sets!$C$2:$C$3300,Sets!$B$2:$B$3300,$A52,Sets!$D$2:$D$3300,"&gt;=8"),_xlfn.MAXIFS(Log!$C$2:$C$1001,Log!$B$2:$B$1001,$A52,Log!$D$2:$D$1001,"&gt;=8"))</f>
        <v/>
      </c>
      <c r="K52" s="18">
        <f>MAX(_xlfn.MAXIFS('Start Here'!$B$19:$B$58,'Start Here'!$A$19:$A$58,$A52,'Start Here'!$C$19:$C$58,"&gt;=10"),_xlfn.MAXIFS(Sets!$C$2:$C$3300,Sets!$B$2:$B$3300,$A52,Sets!$D$2:$D$3300,"&gt;=10"),_xlfn.MAXIFS(Log!$C$2:$C$1001,Log!$B$2:$B$1001,$A52,Log!$D$2:$D$1001,"&gt;=10"))</f>
        <v/>
      </c>
      <c r="L52" s="18">
        <f>MAX(_xlfn.MAXIFS('Start Here'!$B$19:$B$58,'Start Here'!$A$19:$A$58,$A52,'Start Here'!$C$19:$C$58,"&gt;=12"),_xlfn.MAXIFS(Sets!$C$2:$C$3300,Sets!$B$2:$B$3300,$A52,Sets!$D$2:$D$3300,"&gt;=12"),_xlfn.MAXIFS(Log!$C$2:$C$1001,Log!$B$2:$B$1001,$A52,Log!$D$2:$D$1001,"&gt;=12"))</f>
        <v/>
      </c>
    </row>
    <row r="53">
      <c r="A53" s="24" t="inlineStr">
        <is>
          <t>Chin-up</t>
        </is>
      </c>
      <c r="B53" t="inlineStr">
        <is>
          <t>accessory</t>
        </is>
      </c>
      <c r="C53" s="63">
        <f>MAX(_xlfn.MAXIFS('Start Here'!$D$19:$D$58,'Start Here'!$A$19:$A$58,$A53),_xlfn.MAXIFS(Sets!$E$2:$E$3300,Sets!$B$2:$B$3300,$A53),_xlfn.MAXIFS(Log!$E$2:$E$1001,Log!$B$2:$B$1001,$A53))</f>
        <v/>
      </c>
      <c r="D53" s="18">
        <f>MAX(_xlfn.MAXIFS('Start Here'!$B$19:$B$58,'Start Here'!$A$19:$A$58,$A53,'Start Here'!$C$19:$C$58,"&gt;=1"),_xlfn.MAXIFS(Sets!$C$2:$C$3300,Sets!$B$2:$B$3300,$A53,Sets!$D$2:$D$3300,"&gt;=1"),_xlfn.MAXIFS(Log!$C$2:$C$1001,Log!$B$2:$B$1001,$A53,Log!$D$2:$D$1001,"&gt;=1"))</f>
        <v/>
      </c>
      <c r="E53" s="18">
        <f>MAX(_xlfn.MAXIFS('Start Here'!$B$19:$B$58,'Start Here'!$A$19:$A$58,$A53,'Start Here'!$C$19:$C$58,"&gt;=2"),_xlfn.MAXIFS(Sets!$C$2:$C$3300,Sets!$B$2:$B$3300,$A53,Sets!$D$2:$D$3300,"&gt;=2"),_xlfn.MAXIFS(Log!$C$2:$C$1001,Log!$B$2:$B$1001,$A53,Log!$D$2:$D$1001,"&gt;=2"))</f>
        <v/>
      </c>
      <c r="F53" s="18">
        <f>MAX(_xlfn.MAXIFS('Start Here'!$B$19:$B$58,'Start Here'!$A$19:$A$58,$A53,'Start Here'!$C$19:$C$58,"&gt;=3"),_xlfn.MAXIFS(Sets!$C$2:$C$3300,Sets!$B$2:$B$3300,$A53,Sets!$D$2:$D$3300,"&gt;=3"),_xlfn.MAXIFS(Log!$C$2:$C$1001,Log!$B$2:$B$1001,$A53,Log!$D$2:$D$1001,"&gt;=3"))</f>
        <v/>
      </c>
      <c r="G53" s="18">
        <f>MAX(_xlfn.MAXIFS('Start Here'!$B$19:$B$58,'Start Here'!$A$19:$A$58,$A53,'Start Here'!$C$19:$C$58,"&gt;=4"),_xlfn.MAXIFS(Sets!$C$2:$C$3300,Sets!$B$2:$B$3300,$A53,Sets!$D$2:$D$3300,"&gt;=4"),_xlfn.MAXIFS(Log!$C$2:$C$1001,Log!$B$2:$B$1001,$A53,Log!$D$2:$D$1001,"&gt;=4"))</f>
        <v/>
      </c>
      <c r="H53" s="18">
        <f>MAX(_xlfn.MAXIFS('Start Here'!$B$19:$B$58,'Start Here'!$A$19:$A$58,$A53,'Start Here'!$C$19:$C$58,"&gt;=5"),_xlfn.MAXIFS(Sets!$C$2:$C$3300,Sets!$B$2:$B$3300,$A53,Sets!$D$2:$D$3300,"&gt;=5"),_xlfn.MAXIFS(Log!$C$2:$C$1001,Log!$B$2:$B$1001,$A53,Log!$D$2:$D$1001,"&gt;=5"))</f>
        <v/>
      </c>
      <c r="I53" s="18">
        <f>MAX(_xlfn.MAXIFS('Start Here'!$B$19:$B$58,'Start Here'!$A$19:$A$58,$A53,'Start Here'!$C$19:$C$58,"&gt;=6"),_xlfn.MAXIFS(Sets!$C$2:$C$3300,Sets!$B$2:$B$3300,$A53,Sets!$D$2:$D$3300,"&gt;=6"),_xlfn.MAXIFS(Log!$C$2:$C$1001,Log!$B$2:$B$1001,$A53,Log!$D$2:$D$1001,"&gt;=6"))</f>
        <v/>
      </c>
      <c r="J53" s="18">
        <f>MAX(_xlfn.MAXIFS('Start Here'!$B$19:$B$58,'Start Here'!$A$19:$A$58,$A53,'Start Here'!$C$19:$C$58,"&gt;=8"),_xlfn.MAXIFS(Sets!$C$2:$C$3300,Sets!$B$2:$B$3300,$A53,Sets!$D$2:$D$3300,"&gt;=8"),_xlfn.MAXIFS(Log!$C$2:$C$1001,Log!$B$2:$B$1001,$A53,Log!$D$2:$D$1001,"&gt;=8"))</f>
        <v/>
      </c>
      <c r="K53" s="18">
        <f>MAX(_xlfn.MAXIFS('Start Here'!$B$19:$B$58,'Start Here'!$A$19:$A$58,$A53,'Start Here'!$C$19:$C$58,"&gt;=10"),_xlfn.MAXIFS(Sets!$C$2:$C$3300,Sets!$B$2:$B$3300,$A53,Sets!$D$2:$D$3300,"&gt;=10"),_xlfn.MAXIFS(Log!$C$2:$C$1001,Log!$B$2:$B$1001,$A53,Log!$D$2:$D$1001,"&gt;=10"))</f>
        <v/>
      </c>
      <c r="L53" s="18">
        <f>MAX(_xlfn.MAXIFS('Start Here'!$B$19:$B$58,'Start Here'!$A$19:$A$58,$A53,'Start Here'!$C$19:$C$58,"&gt;=12"),_xlfn.MAXIFS(Sets!$C$2:$C$3300,Sets!$B$2:$B$3300,$A53,Sets!$D$2:$D$3300,"&gt;=12"),_xlfn.MAXIFS(Log!$C$2:$C$1001,Log!$B$2:$B$1001,$A53,Log!$D$2:$D$1001,"&gt;=12"))</f>
        <v/>
      </c>
    </row>
    <row r="54">
      <c r="A54" s="24" t="inlineStr">
        <is>
          <t>Lat Pulldown</t>
        </is>
      </c>
      <c r="B54" t="inlineStr">
        <is>
          <t>accessory</t>
        </is>
      </c>
      <c r="C54" s="63">
        <f>MAX(_xlfn.MAXIFS('Start Here'!$D$19:$D$58,'Start Here'!$A$19:$A$58,$A54),_xlfn.MAXIFS(Sets!$E$2:$E$3300,Sets!$B$2:$B$3300,$A54),_xlfn.MAXIFS(Log!$E$2:$E$1001,Log!$B$2:$B$1001,$A54))</f>
        <v/>
      </c>
      <c r="D54" s="18">
        <f>MAX(_xlfn.MAXIFS('Start Here'!$B$19:$B$58,'Start Here'!$A$19:$A$58,$A54,'Start Here'!$C$19:$C$58,"&gt;=1"),_xlfn.MAXIFS(Sets!$C$2:$C$3300,Sets!$B$2:$B$3300,$A54,Sets!$D$2:$D$3300,"&gt;=1"),_xlfn.MAXIFS(Log!$C$2:$C$1001,Log!$B$2:$B$1001,$A54,Log!$D$2:$D$1001,"&gt;=1"))</f>
        <v/>
      </c>
      <c r="E54" s="18">
        <f>MAX(_xlfn.MAXIFS('Start Here'!$B$19:$B$58,'Start Here'!$A$19:$A$58,$A54,'Start Here'!$C$19:$C$58,"&gt;=2"),_xlfn.MAXIFS(Sets!$C$2:$C$3300,Sets!$B$2:$B$3300,$A54,Sets!$D$2:$D$3300,"&gt;=2"),_xlfn.MAXIFS(Log!$C$2:$C$1001,Log!$B$2:$B$1001,$A54,Log!$D$2:$D$1001,"&gt;=2"))</f>
        <v/>
      </c>
      <c r="F54" s="18">
        <f>MAX(_xlfn.MAXIFS('Start Here'!$B$19:$B$58,'Start Here'!$A$19:$A$58,$A54,'Start Here'!$C$19:$C$58,"&gt;=3"),_xlfn.MAXIFS(Sets!$C$2:$C$3300,Sets!$B$2:$B$3300,$A54,Sets!$D$2:$D$3300,"&gt;=3"),_xlfn.MAXIFS(Log!$C$2:$C$1001,Log!$B$2:$B$1001,$A54,Log!$D$2:$D$1001,"&gt;=3"))</f>
        <v/>
      </c>
      <c r="G54" s="18">
        <f>MAX(_xlfn.MAXIFS('Start Here'!$B$19:$B$58,'Start Here'!$A$19:$A$58,$A54,'Start Here'!$C$19:$C$58,"&gt;=4"),_xlfn.MAXIFS(Sets!$C$2:$C$3300,Sets!$B$2:$B$3300,$A54,Sets!$D$2:$D$3300,"&gt;=4"),_xlfn.MAXIFS(Log!$C$2:$C$1001,Log!$B$2:$B$1001,$A54,Log!$D$2:$D$1001,"&gt;=4"))</f>
        <v/>
      </c>
      <c r="H54" s="18">
        <f>MAX(_xlfn.MAXIFS('Start Here'!$B$19:$B$58,'Start Here'!$A$19:$A$58,$A54,'Start Here'!$C$19:$C$58,"&gt;=5"),_xlfn.MAXIFS(Sets!$C$2:$C$3300,Sets!$B$2:$B$3300,$A54,Sets!$D$2:$D$3300,"&gt;=5"),_xlfn.MAXIFS(Log!$C$2:$C$1001,Log!$B$2:$B$1001,$A54,Log!$D$2:$D$1001,"&gt;=5"))</f>
        <v/>
      </c>
      <c r="I54" s="18">
        <f>MAX(_xlfn.MAXIFS('Start Here'!$B$19:$B$58,'Start Here'!$A$19:$A$58,$A54,'Start Here'!$C$19:$C$58,"&gt;=6"),_xlfn.MAXIFS(Sets!$C$2:$C$3300,Sets!$B$2:$B$3300,$A54,Sets!$D$2:$D$3300,"&gt;=6"),_xlfn.MAXIFS(Log!$C$2:$C$1001,Log!$B$2:$B$1001,$A54,Log!$D$2:$D$1001,"&gt;=6"))</f>
        <v/>
      </c>
      <c r="J54" s="18">
        <f>MAX(_xlfn.MAXIFS('Start Here'!$B$19:$B$58,'Start Here'!$A$19:$A$58,$A54,'Start Here'!$C$19:$C$58,"&gt;=8"),_xlfn.MAXIFS(Sets!$C$2:$C$3300,Sets!$B$2:$B$3300,$A54,Sets!$D$2:$D$3300,"&gt;=8"),_xlfn.MAXIFS(Log!$C$2:$C$1001,Log!$B$2:$B$1001,$A54,Log!$D$2:$D$1001,"&gt;=8"))</f>
        <v/>
      </c>
      <c r="K54" s="18">
        <f>MAX(_xlfn.MAXIFS('Start Here'!$B$19:$B$58,'Start Here'!$A$19:$A$58,$A54,'Start Here'!$C$19:$C$58,"&gt;=10"),_xlfn.MAXIFS(Sets!$C$2:$C$3300,Sets!$B$2:$B$3300,$A54,Sets!$D$2:$D$3300,"&gt;=10"),_xlfn.MAXIFS(Log!$C$2:$C$1001,Log!$B$2:$B$1001,$A54,Log!$D$2:$D$1001,"&gt;=10"))</f>
        <v/>
      </c>
      <c r="L54" s="18">
        <f>MAX(_xlfn.MAXIFS('Start Here'!$B$19:$B$58,'Start Here'!$A$19:$A$58,$A54,'Start Here'!$C$19:$C$58,"&gt;=12"),_xlfn.MAXIFS(Sets!$C$2:$C$3300,Sets!$B$2:$B$3300,$A54,Sets!$D$2:$D$3300,"&gt;=12"),_xlfn.MAXIFS(Log!$C$2:$C$1001,Log!$B$2:$B$1001,$A54,Log!$D$2:$D$1001,"&gt;=12"))</f>
        <v/>
      </c>
    </row>
    <row r="55">
      <c r="A55" s="24" t="inlineStr">
        <is>
          <t>Back Extension</t>
        </is>
      </c>
      <c r="B55" t="inlineStr">
        <is>
          <t>accessory</t>
        </is>
      </c>
      <c r="C55" s="63">
        <f>MAX(_xlfn.MAXIFS('Start Here'!$D$19:$D$58,'Start Here'!$A$19:$A$58,$A55),_xlfn.MAXIFS(Sets!$E$2:$E$3300,Sets!$B$2:$B$3300,$A55),_xlfn.MAXIFS(Log!$E$2:$E$1001,Log!$B$2:$B$1001,$A55))</f>
        <v/>
      </c>
      <c r="D55" s="18">
        <f>MAX(_xlfn.MAXIFS('Start Here'!$B$19:$B$58,'Start Here'!$A$19:$A$58,$A55,'Start Here'!$C$19:$C$58,"&gt;=1"),_xlfn.MAXIFS(Sets!$C$2:$C$3300,Sets!$B$2:$B$3300,$A55,Sets!$D$2:$D$3300,"&gt;=1"),_xlfn.MAXIFS(Log!$C$2:$C$1001,Log!$B$2:$B$1001,$A55,Log!$D$2:$D$1001,"&gt;=1"))</f>
        <v/>
      </c>
      <c r="E55" s="18">
        <f>MAX(_xlfn.MAXIFS('Start Here'!$B$19:$B$58,'Start Here'!$A$19:$A$58,$A55,'Start Here'!$C$19:$C$58,"&gt;=2"),_xlfn.MAXIFS(Sets!$C$2:$C$3300,Sets!$B$2:$B$3300,$A55,Sets!$D$2:$D$3300,"&gt;=2"),_xlfn.MAXIFS(Log!$C$2:$C$1001,Log!$B$2:$B$1001,$A55,Log!$D$2:$D$1001,"&gt;=2"))</f>
        <v/>
      </c>
      <c r="F55" s="18">
        <f>MAX(_xlfn.MAXIFS('Start Here'!$B$19:$B$58,'Start Here'!$A$19:$A$58,$A55,'Start Here'!$C$19:$C$58,"&gt;=3"),_xlfn.MAXIFS(Sets!$C$2:$C$3300,Sets!$B$2:$B$3300,$A55,Sets!$D$2:$D$3300,"&gt;=3"),_xlfn.MAXIFS(Log!$C$2:$C$1001,Log!$B$2:$B$1001,$A55,Log!$D$2:$D$1001,"&gt;=3"))</f>
        <v/>
      </c>
      <c r="G55" s="18">
        <f>MAX(_xlfn.MAXIFS('Start Here'!$B$19:$B$58,'Start Here'!$A$19:$A$58,$A55,'Start Here'!$C$19:$C$58,"&gt;=4"),_xlfn.MAXIFS(Sets!$C$2:$C$3300,Sets!$B$2:$B$3300,$A55,Sets!$D$2:$D$3300,"&gt;=4"),_xlfn.MAXIFS(Log!$C$2:$C$1001,Log!$B$2:$B$1001,$A55,Log!$D$2:$D$1001,"&gt;=4"))</f>
        <v/>
      </c>
      <c r="H55" s="18">
        <f>MAX(_xlfn.MAXIFS('Start Here'!$B$19:$B$58,'Start Here'!$A$19:$A$58,$A55,'Start Here'!$C$19:$C$58,"&gt;=5"),_xlfn.MAXIFS(Sets!$C$2:$C$3300,Sets!$B$2:$B$3300,$A55,Sets!$D$2:$D$3300,"&gt;=5"),_xlfn.MAXIFS(Log!$C$2:$C$1001,Log!$B$2:$B$1001,$A55,Log!$D$2:$D$1001,"&gt;=5"))</f>
        <v/>
      </c>
      <c r="I55" s="18">
        <f>MAX(_xlfn.MAXIFS('Start Here'!$B$19:$B$58,'Start Here'!$A$19:$A$58,$A55,'Start Here'!$C$19:$C$58,"&gt;=6"),_xlfn.MAXIFS(Sets!$C$2:$C$3300,Sets!$B$2:$B$3300,$A55,Sets!$D$2:$D$3300,"&gt;=6"),_xlfn.MAXIFS(Log!$C$2:$C$1001,Log!$B$2:$B$1001,$A55,Log!$D$2:$D$1001,"&gt;=6"))</f>
        <v/>
      </c>
      <c r="J55" s="18">
        <f>MAX(_xlfn.MAXIFS('Start Here'!$B$19:$B$58,'Start Here'!$A$19:$A$58,$A55,'Start Here'!$C$19:$C$58,"&gt;=8"),_xlfn.MAXIFS(Sets!$C$2:$C$3300,Sets!$B$2:$B$3300,$A55,Sets!$D$2:$D$3300,"&gt;=8"),_xlfn.MAXIFS(Log!$C$2:$C$1001,Log!$B$2:$B$1001,$A55,Log!$D$2:$D$1001,"&gt;=8"))</f>
        <v/>
      </c>
      <c r="K55" s="18">
        <f>MAX(_xlfn.MAXIFS('Start Here'!$B$19:$B$58,'Start Here'!$A$19:$A$58,$A55,'Start Here'!$C$19:$C$58,"&gt;=10"),_xlfn.MAXIFS(Sets!$C$2:$C$3300,Sets!$B$2:$B$3300,$A55,Sets!$D$2:$D$3300,"&gt;=10"),_xlfn.MAXIFS(Log!$C$2:$C$1001,Log!$B$2:$B$1001,$A55,Log!$D$2:$D$1001,"&gt;=10"))</f>
        <v/>
      </c>
      <c r="L55" s="18">
        <f>MAX(_xlfn.MAXIFS('Start Here'!$B$19:$B$58,'Start Here'!$A$19:$A$58,$A55,'Start Here'!$C$19:$C$58,"&gt;=12"),_xlfn.MAXIFS(Sets!$C$2:$C$3300,Sets!$B$2:$B$3300,$A55,Sets!$D$2:$D$3300,"&gt;=12"),_xlfn.MAXIFS(Log!$C$2:$C$1001,Log!$B$2:$B$1001,$A55,Log!$D$2:$D$1001,"&gt;=12"))</f>
        <v/>
      </c>
    </row>
    <row r="56">
      <c r="A56" s="24" t="inlineStr">
        <is>
          <t>Plank</t>
        </is>
      </c>
      <c r="B56" t="inlineStr">
        <is>
          <t>accessory</t>
        </is>
      </c>
      <c r="C56" s="63">
        <f>MAX(_xlfn.MAXIFS('Start Here'!$D$19:$D$58,'Start Here'!$A$19:$A$58,$A56),_xlfn.MAXIFS(Sets!$E$2:$E$3300,Sets!$B$2:$B$3300,$A56),_xlfn.MAXIFS(Log!$E$2:$E$1001,Log!$B$2:$B$1001,$A56))</f>
        <v/>
      </c>
      <c r="D56" s="18">
        <f>MAX(_xlfn.MAXIFS('Start Here'!$B$19:$B$58,'Start Here'!$A$19:$A$58,$A56,'Start Here'!$C$19:$C$58,"&gt;=1"),_xlfn.MAXIFS(Sets!$C$2:$C$3300,Sets!$B$2:$B$3300,$A56,Sets!$D$2:$D$3300,"&gt;=1"),_xlfn.MAXIFS(Log!$C$2:$C$1001,Log!$B$2:$B$1001,$A56,Log!$D$2:$D$1001,"&gt;=1"))</f>
        <v/>
      </c>
      <c r="E56" s="18">
        <f>MAX(_xlfn.MAXIFS('Start Here'!$B$19:$B$58,'Start Here'!$A$19:$A$58,$A56,'Start Here'!$C$19:$C$58,"&gt;=2"),_xlfn.MAXIFS(Sets!$C$2:$C$3300,Sets!$B$2:$B$3300,$A56,Sets!$D$2:$D$3300,"&gt;=2"),_xlfn.MAXIFS(Log!$C$2:$C$1001,Log!$B$2:$B$1001,$A56,Log!$D$2:$D$1001,"&gt;=2"))</f>
        <v/>
      </c>
      <c r="F56" s="18">
        <f>MAX(_xlfn.MAXIFS('Start Here'!$B$19:$B$58,'Start Here'!$A$19:$A$58,$A56,'Start Here'!$C$19:$C$58,"&gt;=3"),_xlfn.MAXIFS(Sets!$C$2:$C$3300,Sets!$B$2:$B$3300,$A56,Sets!$D$2:$D$3300,"&gt;=3"),_xlfn.MAXIFS(Log!$C$2:$C$1001,Log!$B$2:$B$1001,$A56,Log!$D$2:$D$1001,"&gt;=3"))</f>
        <v/>
      </c>
      <c r="G56" s="18">
        <f>MAX(_xlfn.MAXIFS('Start Here'!$B$19:$B$58,'Start Here'!$A$19:$A$58,$A56,'Start Here'!$C$19:$C$58,"&gt;=4"),_xlfn.MAXIFS(Sets!$C$2:$C$3300,Sets!$B$2:$B$3300,$A56,Sets!$D$2:$D$3300,"&gt;=4"),_xlfn.MAXIFS(Log!$C$2:$C$1001,Log!$B$2:$B$1001,$A56,Log!$D$2:$D$1001,"&gt;=4"))</f>
        <v/>
      </c>
      <c r="H56" s="18">
        <f>MAX(_xlfn.MAXIFS('Start Here'!$B$19:$B$58,'Start Here'!$A$19:$A$58,$A56,'Start Here'!$C$19:$C$58,"&gt;=5"),_xlfn.MAXIFS(Sets!$C$2:$C$3300,Sets!$B$2:$B$3300,$A56,Sets!$D$2:$D$3300,"&gt;=5"),_xlfn.MAXIFS(Log!$C$2:$C$1001,Log!$B$2:$B$1001,$A56,Log!$D$2:$D$1001,"&gt;=5"))</f>
        <v/>
      </c>
      <c r="I56" s="18">
        <f>MAX(_xlfn.MAXIFS('Start Here'!$B$19:$B$58,'Start Here'!$A$19:$A$58,$A56,'Start Here'!$C$19:$C$58,"&gt;=6"),_xlfn.MAXIFS(Sets!$C$2:$C$3300,Sets!$B$2:$B$3300,$A56,Sets!$D$2:$D$3300,"&gt;=6"),_xlfn.MAXIFS(Log!$C$2:$C$1001,Log!$B$2:$B$1001,$A56,Log!$D$2:$D$1001,"&gt;=6"))</f>
        <v/>
      </c>
      <c r="J56" s="18">
        <f>MAX(_xlfn.MAXIFS('Start Here'!$B$19:$B$58,'Start Here'!$A$19:$A$58,$A56,'Start Here'!$C$19:$C$58,"&gt;=8"),_xlfn.MAXIFS(Sets!$C$2:$C$3300,Sets!$B$2:$B$3300,$A56,Sets!$D$2:$D$3300,"&gt;=8"),_xlfn.MAXIFS(Log!$C$2:$C$1001,Log!$B$2:$B$1001,$A56,Log!$D$2:$D$1001,"&gt;=8"))</f>
        <v/>
      </c>
      <c r="K56" s="18">
        <f>MAX(_xlfn.MAXIFS('Start Here'!$B$19:$B$58,'Start Here'!$A$19:$A$58,$A56,'Start Here'!$C$19:$C$58,"&gt;=10"),_xlfn.MAXIFS(Sets!$C$2:$C$3300,Sets!$B$2:$B$3300,$A56,Sets!$D$2:$D$3300,"&gt;=10"),_xlfn.MAXIFS(Log!$C$2:$C$1001,Log!$B$2:$B$1001,$A56,Log!$D$2:$D$1001,"&gt;=10"))</f>
        <v/>
      </c>
      <c r="L56" s="18">
        <f>MAX(_xlfn.MAXIFS('Start Here'!$B$19:$B$58,'Start Here'!$A$19:$A$58,$A56,'Start Here'!$C$19:$C$58,"&gt;=12"),_xlfn.MAXIFS(Sets!$C$2:$C$3300,Sets!$B$2:$B$3300,$A56,Sets!$D$2:$D$3300,"&gt;=12"),_xlfn.MAXIFS(Log!$C$2:$C$1001,Log!$B$2:$B$1001,$A56,Log!$D$2:$D$1001,"&gt;=12"))</f>
        <v/>
      </c>
    </row>
    <row r="57">
      <c r="A57" s="24" t="inlineStr">
        <is>
          <t>Incline Dumbbell Press</t>
        </is>
      </c>
      <c r="B57" t="inlineStr">
        <is>
          <t>accessory</t>
        </is>
      </c>
      <c r="C57" s="63">
        <f>MAX(_xlfn.MAXIFS('Start Here'!$D$19:$D$58,'Start Here'!$A$19:$A$58,$A57),_xlfn.MAXIFS(Sets!$E$2:$E$3300,Sets!$B$2:$B$3300,$A57),_xlfn.MAXIFS(Log!$E$2:$E$1001,Log!$B$2:$B$1001,$A57))</f>
        <v/>
      </c>
      <c r="D57" s="18">
        <f>MAX(_xlfn.MAXIFS('Start Here'!$B$19:$B$58,'Start Here'!$A$19:$A$58,$A57,'Start Here'!$C$19:$C$58,"&gt;=1"),_xlfn.MAXIFS(Sets!$C$2:$C$3300,Sets!$B$2:$B$3300,$A57,Sets!$D$2:$D$3300,"&gt;=1"),_xlfn.MAXIFS(Log!$C$2:$C$1001,Log!$B$2:$B$1001,$A57,Log!$D$2:$D$1001,"&gt;=1"))</f>
        <v/>
      </c>
      <c r="E57" s="18">
        <f>MAX(_xlfn.MAXIFS('Start Here'!$B$19:$B$58,'Start Here'!$A$19:$A$58,$A57,'Start Here'!$C$19:$C$58,"&gt;=2"),_xlfn.MAXIFS(Sets!$C$2:$C$3300,Sets!$B$2:$B$3300,$A57,Sets!$D$2:$D$3300,"&gt;=2"),_xlfn.MAXIFS(Log!$C$2:$C$1001,Log!$B$2:$B$1001,$A57,Log!$D$2:$D$1001,"&gt;=2"))</f>
        <v/>
      </c>
      <c r="F57" s="18">
        <f>MAX(_xlfn.MAXIFS('Start Here'!$B$19:$B$58,'Start Here'!$A$19:$A$58,$A57,'Start Here'!$C$19:$C$58,"&gt;=3"),_xlfn.MAXIFS(Sets!$C$2:$C$3300,Sets!$B$2:$B$3300,$A57,Sets!$D$2:$D$3300,"&gt;=3"),_xlfn.MAXIFS(Log!$C$2:$C$1001,Log!$B$2:$B$1001,$A57,Log!$D$2:$D$1001,"&gt;=3"))</f>
        <v/>
      </c>
      <c r="G57" s="18">
        <f>MAX(_xlfn.MAXIFS('Start Here'!$B$19:$B$58,'Start Here'!$A$19:$A$58,$A57,'Start Here'!$C$19:$C$58,"&gt;=4"),_xlfn.MAXIFS(Sets!$C$2:$C$3300,Sets!$B$2:$B$3300,$A57,Sets!$D$2:$D$3300,"&gt;=4"),_xlfn.MAXIFS(Log!$C$2:$C$1001,Log!$B$2:$B$1001,$A57,Log!$D$2:$D$1001,"&gt;=4"))</f>
        <v/>
      </c>
      <c r="H57" s="18">
        <f>MAX(_xlfn.MAXIFS('Start Here'!$B$19:$B$58,'Start Here'!$A$19:$A$58,$A57,'Start Here'!$C$19:$C$58,"&gt;=5"),_xlfn.MAXIFS(Sets!$C$2:$C$3300,Sets!$B$2:$B$3300,$A57,Sets!$D$2:$D$3300,"&gt;=5"),_xlfn.MAXIFS(Log!$C$2:$C$1001,Log!$B$2:$B$1001,$A57,Log!$D$2:$D$1001,"&gt;=5"))</f>
        <v/>
      </c>
      <c r="I57" s="18">
        <f>MAX(_xlfn.MAXIFS('Start Here'!$B$19:$B$58,'Start Here'!$A$19:$A$58,$A57,'Start Here'!$C$19:$C$58,"&gt;=6"),_xlfn.MAXIFS(Sets!$C$2:$C$3300,Sets!$B$2:$B$3300,$A57,Sets!$D$2:$D$3300,"&gt;=6"),_xlfn.MAXIFS(Log!$C$2:$C$1001,Log!$B$2:$B$1001,$A57,Log!$D$2:$D$1001,"&gt;=6"))</f>
        <v/>
      </c>
      <c r="J57" s="18">
        <f>MAX(_xlfn.MAXIFS('Start Here'!$B$19:$B$58,'Start Here'!$A$19:$A$58,$A57,'Start Here'!$C$19:$C$58,"&gt;=8"),_xlfn.MAXIFS(Sets!$C$2:$C$3300,Sets!$B$2:$B$3300,$A57,Sets!$D$2:$D$3300,"&gt;=8"),_xlfn.MAXIFS(Log!$C$2:$C$1001,Log!$B$2:$B$1001,$A57,Log!$D$2:$D$1001,"&gt;=8"))</f>
        <v/>
      </c>
      <c r="K57" s="18">
        <f>MAX(_xlfn.MAXIFS('Start Here'!$B$19:$B$58,'Start Here'!$A$19:$A$58,$A57,'Start Here'!$C$19:$C$58,"&gt;=10"),_xlfn.MAXIFS(Sets!$C$2:$C$3300,Sets!$B$2:$B$3300,$A57,Sets!$D$2:$D$3300,"&gt;=10"),_xlfn.MAXIFS(Log!$C$2:$C$1001,Log!$B$2:$B$1001,$A57,Log!$D$2:$D$1001,"&gt;=10"))</f>
        <v/>
      </c>
      <c r="L57" s="18">
        <f>MAX(_xlfn.MAXIFS('Start Here'!$B$19:$B$58,'Start Here'!$A$19:$A$58,$A57,'Start Here'!$C$19:$C$58,"&gt;=12"),_xlfn.MAXIFS(Sets!$C$2:$C$3300,Sets!$B$2:$B$3300,$A57,Sets!$D$2:$D$3300,"&gt;=12"),_xlfn.MAXIFS(Log!$C$2:$C$1001,Log!$B$2:$B$1001,$A57,Log!$D$2:$D$1001,"&gt;=12"))</f>
        <v/>
      </c>
    </row>
    <row r="58">
      <c r="A58" s="24" t="inlineStr">
        <is>
          <t>One-Arm Dumbbell Row</t>
        </is>
      </c>
      <c r="B58" t="inlineStr">
        <is>
          <t>accessory</t>
        </is>
      </c>
      <c r="C58" s="63">
        <f>MAX(_xlfn.MAXIFS('Start Here'!$D$19:$D$58,'Start Here'!$A$19:$A$58,$A58),_xlfn.MAXIFS(Sets!$E$2:$E$3300,Sets!$B$2:$B$3300,$A58),_xlfn.MAXIFS(Log!$E$2:$E$1001,Log!$B$2:$B$1001,$A58))</f>
        <v/>
      </c>
      <c r="D58" s="18">
        <f>MAX(_xlfn.MAXIFS('Start Here'!$B$19:$B$58,'Start Here'!$A$19:$A$58,$A58,'Start Here'!$C$19:$C$58,"&gt;=1"),_xlfn.MAXIFS(Sets!$C$2:$C$3300,Sets!$B$2:$B$3300,$A58,Sets!$D$2:$D$3300,"&gt;=1"),_xlfn.MAXIFS(Log!$C$2:$C$1001,Log!$B$2:$B$1001,$A58,Log!$D$2:$D$1001,"&gt;=1"))</f>
        <v/>
      </c>
      <c r="E58" s="18">
        <f>MAX(_xlfn.MAXIFS('Start Here'!$B$19:$B$58,'Start Here'!$A$19:$A$58,$A58,'Start Here'!$C$19:$C$58,"&gt;=2"),_xlfn.MAXIFS(Sets!$C$2:$C$3300,Sets!$B$2:$B$3300,$A58,Sets!$D$2:$D$3300,"&gt;=2"),_xlfn.MAXIFS(Log!$C$2:$C$1001,Log!$B$2:$B$1001,$A58,Log!$D$2:$D$1001,"&gt;=2"))</f>
        <v/>
      </c>
      <c r="F58" s="18">
        <f>MAX(_xlfn.MAXIFS('Start Here'!$B$19:$B$58,'Start Here'!$A$19:$A$58,$A58,'Start Here'!$C$19:$C$58,"&gt;=3"),_xlfn.MAXIFS(Sets!$C$2:$C$3300,Sets!$B$2:$B$3300,$A58,Sets!$D$2:$D$3300,"&gt;=3"),_xlfn.MAXIFS(Log!$C$2:$C$1001,Log!$B$2:$B$1001,$A58,Log!$D$2:$D$1001,"&gt;=3"))</f>
        <v/>
      </c>
      <c r="G58" s="18">
        <f>MAX(_xlfn.MAXIFS('Start Here'!$B$19:$B$58,'Start Here'!$A$19:$A$58,$A58,'Start Here'!$C$19:$C$58,"&gt;=4"),_xlfn.MAXIFS(Sets!$C$2:$C$3300,Sets!$B$2:$B$3300,$A58,Sets!$D$2:$D$3300,"&gt;=4"),_xlfn.MAXIFS(Log!$C$2:$C$1001,Log!$B$2:$B$1001,$A58,Log!$D$2:$D$1001,"&gt;=4"))</f>
        <v/>
      </c>
      <c r="H58" s="18">
        <f>MAX(_xlfn.MAXIFS('Start Here'!$B$19:$B$58,'Start Here'!$A$19:$A$58,$A58,'Start Here'!$C$19:$C$58,"&gt;=5"),_xlfn.MAXIFS(Sets!$C$2:$C$3300,Sets!$B$2:$B$3300,$A58,Sets!$D$2:$D$3300,"&gt;=5"),_xlfn.MAXIFS(Log!$C$2:$C$1001,Log!$B$2:$B$1001,$A58,Log!$D$2:$D$1001,"&gt;=5"))</f>
        <v/>
      </c>
      <c r="I58" s="18">
        <f>MAX(_xlfn.MAXIFS('Start Here'!$B$19:$B$58,'Start Here'!$A$19:$A$58,$A58,'Start Here'!$C$19:$C$58,"&gt;=6"),_xlfn.MAXIFS(Sets!$C$2:$C$3300,Sets!$B$2:$B$3300,$A58,Sets!$D$2:$D$3300,"&gt;=6"),_xlfn.MAXIFS(Log!$C$2:$C$1001,Log!$B$2:$B$1001,$A58,Log!$D$2:$D$1001,"&gt;=6"))</f>
        <v/>
      </c>
      <c r="J58" s="18">
        <f>MAX(_xlfn.MAXIFS('Start Here'!$B$19:$B$58,'Start Here'!$A$19:$A$58,$A58,'Start Here'!$C$19:$C$58,"&gt;=8"),_xlfn.MAXIFS(Sets!$C$2:$C$3300,Sets!$B$2:$B$3300,$A58,Sets!$D$2:$D$3300,"&gt;=8"),_xlfn.MAXIFS(Log!$C$2:$C$1001,Log!$B$2:$B$1001,$A58,Log!$D$2:$D$1001,"&gt;=8"))</f>
        <v/>
      </c>
      <c r="K58" s="18">
        <f>MAX(_xlfn.MAXIFS('Start Here'!$B$19:$B$58,'Start Here'!$A$19:$A$58,$A58,'Start Here'!$C$19:$C$58,"&gt;=10"),_xlfn.MAXIFS(Sets!$C$2:$C$3300,Sets!$B$2:$B$3300,$A58,Sets!$D$2:$D$3300,"&gt;=10"),_xlfn.MAXIFS(Log!$C$2:$C$1001,Log!$B$2:$B$1001,$A58,Log!$D$2:$D$1001,"&gt;=10"))</f>
        <v/>
      </c>
      <c r="L58" s="18">
        <f>MAX(_xlfn.MAXIFS('Start Here'!$B$19:$B$58,'Start Here'!$A$19:$A$58,$A58,'Start Here'!$C$19:$C$58,"&gt;=12"),_xlfn.MAXIFS(Sets!$C$2:$C$3300,Sets!$B$2:$B$3300,$A58,Sets!$D$2:$D$3300,"&gt;=12"),_xlfn.MAXIFS(Log!$C$2:$C$1001,Log!$B$2:$B$1001,$A58,Log!$D$2:$D$1001,"&gt;=12"))</f>
        <v/>
      </c>
    </row>
    <row r="59">
      <c r="A59" s="24" t="inlineStr">
        <is>
          <t>Triceps Pushdown</t>
        </is>
      </c>
      <c r="B59" t="inlineStr">
        <is>
          <t>accessory</t>
        </is>
      </c>
      <c r="C59" s="63">
        <f>MAX(_xlfn.MAXIFS('Start Here'!$D$19:$D$58,'Start Here'!$A$19:$A$58,$A59),_xlfn.MAXIFS(Sets!$E$2:$E$3300,Sets!$B$2:$B$3300,$A59),_xlfn.MAXIFS(Log!$E$2:$E$1001,Log!$B$2:$B$1001,$A59))</f>
        <v/>
      </c>
      <c r="D59" s="18">
        <f>MAX(_xlfn.MAXIFS('Start Here'!$B$19:$B$58,'Start Here'!$A$19:$A$58,$A59,'Start Here'!$C$19:$C$58,"&gt;=1"),_xlfn.MAXIFS(Sets!$C$2:$C$3300,Sets!$B$2:$B$3300,$A59,Sets!$D$2:$D$3300,"&gt;=1"),_xlfn.MAXIFS(Log!$C$2:$C$1001,Log!$B$2:$B$1001,$A59,Log!$D$2:$D$1001,"&gt;=1"))</f>
        <v/>
      </c>
      <c r="E59" s="18">
        <f>MAX(_xlfn.MAXIFS('Start Here'!$B$19:$B$58,'Start Here'!$A$19:$A$58,$A59,'Start Here'!$C$19:$C$58,"&gt;=2"),_xlfn.MAXIFS(Sets!$C$2:$C$3300,Sets!$B$2:$B$3300,$A59,Sets!$D$2:$D$3300,"&gt;=2"),_xlfn.MAXIFS(Log!$C$2:$C$1001,Log!$B$2:$B$1001,$A59,Log!$D$2:$D$1001,"&gt;=2"))</f>
        <v/>
      </c>
      <c r="F59" s="18">
        <f>MAX(_xlfn.MAXIFS('Start Here'!$B$19:$B$58,'Start Here'!$A$19:$A$58,$A59,'Start Here'!$C$19:$C$58,"&gt;=3"),_xlfn.MAXIFS(Sets!$C$2:$C$3300,Sets!$B$2:$B$3300,$A59,Sets!$D$2:$D$3300,"&gt;=3"),_xlfn.MAXIFS(Log!$C$2:$C$1001,Log!$B$2:$B$1001,$A59,Log!$D$2:$D$1001,"&gt;=3"))</f>
        <v/>
      </c>
      <c r="G59" s="18">
        <f>MAX(_xlfn.MAXIFS('Start Here'!$B$19:$B$58,'Start Here'!$A$19:$A$58,$A59,'Start Here'!$C$19:$C$58,"&gt;=4"),_xlfn.MAXIFS(Sets!$C$2:$C$3300,Sets!$B$2:$B$3300,$A59,Sets!$D$2:$D$3300,"&gt;=4"),_xlfn.MAXIFS(Log!$C$2:$C$1001,Log!$B$2:$B$1001,$A59,Log!$D$2:$D$1001,"&gt;=4"))</f>
        <v/>
      </c>
      <c r="H59" s="18">
        <f>MAX(_xlfn.MAXIFS('Start Here'!$B$19:$B$58,'Start Here'!$A$19:$A$58,$A59,'Start Here'!$C$19:$C$58,"&gt;=5"),_xlfn.MAXIFS(Sets!$C$2:$C$3300,Sets!$B$2:$B$3300,$A59,Sets!$D$2:$D$3300,"&gt;=5"),_xlfn.MAXIFS(Log!$C$2:$C$1001,Log!$B$2:$B$1001,$A59,Log!$D$2:$D$1001,"&gt;=5"))</f>
        <v/>
      </c>
      <c r="I59" s="18">
        <f>MAX(_xlfn.MAXIFS('Start Here'!$B$19:$B$58,'Start Here'!$A$19:$A$58,$A59,'Start Here'!$C$19:$C$58,"&gt;=6"),_xlfn.MAXIFS(Sets!$C$2:$C$3300,Sets!$B$2:$B$3300,$A59,Sets!$D$2:$D$3300,"&gt;=6"),_xlfn.MAXIFS(Log!$C$2:$C$1001,Log!$B$2:$B$1001,$A59,Log!$D$2:$D$1001,"&gt;=6"))</f>
        <v/>
      </c>
      <c r="J59" s="18">
        <f>MAX(_xlfn.MAXIFS('Start Here'!$B$19:$B$58,'Start Here'!$A$19:$A$58,$A59,'Start Here'!$C$19:$C$58,"&gt;=8"),_xlfn.MAXIFS(Sets!$C$2:$C$3300,Sets!$B$2:$B$3300,$A59,Sets!$D$2:$D$3300,"&gt;=8"),_xlfn.MAXIFS(Log!$C$2:$C$1001,Log!$B$2:$B$1001,$A59,Log!$D$2:$D$1001,"&gt;=8"))</f>
        <v/>
      </c>
      <c r="K59" s="18">
        <f>MAX(_xlfn.MAXIFS('Start Here'!$B$19:$B$58,'Start Here'!$A$19:$A$58,$A59,'Start Here'!$C$19:$C$58,"&gt;=10"),_xlfn.MAXIFS(Sets!$C$2:$C$3300,Sets!$B$2:$B$3300,$A59,Sets!$D$2:$D$3300,"&gt;=10"),_xlfn.MAXIFS(Log!$C$2:$C$1001,Log!$B$2:$B$1001,$A59,Log!$D$2:$D$1001,"&gt;=10"))</f>
        <v/>
      </c>
      <c r="L59" s="18">
        <f>MAX(_xlfn.MAXIFS('Start Here'!$B$19:$B$58,'Start Here'!$A$19:$A$58,$A59,'Start Here'!$C$19:$C$58,"&gt;=12"),_xlfn.MAXIFS(Sets!$C$2:$C$3300,Sets!$B$2:$B$3300,$A59,Sets!$D$2:$D$3300,"&gt;=12"),_xlfn.MAXIFS(Log!$C$2:$C$1001,Log!$B$2:$B$1001,$A59,Log!$D$2:$D$1001,"&gt;=12"))</f>
        <v/>
      </c>
    </row>
    <row r="60">
      <c r="A60" s="24" t="inlineStr">
        <is>
          <t>Walking Lunge</t>
        </is>
      </c>
      <c r="B60" t="inlineStr">
        <is>
          <t>accessory</t>
        </is>
      </c>
      <c r="C60" s="63">
        <f>MAX(_xlfn.MAXIFS('Start Here'!$D$19:$D$58,'Start Here'!$A$19:$A$58,$A60),_xlfn.MAXIFS(Sets!$E$2:$E$3300,Sets!$B$2:$B$3300,$A60),_xlfn.MAXIFS(Log!$E$2:$E$1001,Log!$B$2:$B$1001,$A60))</f>
        <v/>
      </c>
      <c r="D60" s="18">
        <f>MAX(_xlfn.MAXIFS('Start Here'!$B$19:$B$58,'Start Here'!$A$19:$A$58,$A60,'Start Here'!$C$19:$C$58,"&gt;=1"),_xlfn.MAXIFS(Sets!$C$2:$C$3300,Sets!$B$2:$B$3300,$A60,Sets!$D$2:$D$3300,"&gt;=1"),_xlfn.MAXIFS(Log!$C$2:$C$1001,Log!$B$2:$B$1001,$A60,Log!$D$2:$D$1001,"&gt;=1"))</f>
        <v/>
      </c>
      <c r="E60" s="18">
        <f>MAX(_xlfn.MAXIFS('Start Here'!$B$19:$B$58,'Start Here'!$A$19:$A$58,$A60,'Start Here'!$C$19:$C$58,"&gt;=2"),_xlfn.MAXIFS(Sets!$C$2:$C$3300,Sets!$B$2:$B$3300,$A60,Sets!$D$2:$D$3300,"&gt;=2"),_xlfn.MAXIFS(Log!$C$2:$C$1001,Log!$B$2:$B$1001,$A60,Log!$D$2:$D$1001,"&gt;=2"))</f>
        <v/>
      </c>
      <c r="F60" s="18">
        <f>MAX(_xlfn.MAXIFS('Start Here'!$B$19:$B$58,'Start Here'!$A$19:$A$58,$A60,'Start Here'!$C$19:$C$58,"&gt;=3"),_xlfn.MAXIFS(Sets!$C$2:$C$3300,Sets!$B$2:$B$3300,$A60,Sets!$D$2:$D$3300,"&gt;=3"),_xlfn.MAXIFS(Log!$C$2:$C$1001,Log!$B$2:$B$1001,$A60,Log!$D$2:$D$1001,"&gt;=3"))</f>
        <v/>
      </c>
      <c r="G60" s="18">
        <f>MAX(_xlfn.MAXIFS('Start Here'!$B$19:$B$58,'Start Here'!$A$19:$A$58,$A60,'Start Here'!$C$19:$C$58,"&gt;=4"),_xlfn.MAXIFS(Sets!$C$2:$C$3300,Sets!$B$2:$B$3300,$A60,Sets!$D$2:$D$3300,"&gt;=4"),_xlfn.MAXIFS(Log!$C$2:$C$1001,Log!$B$2:$B$1001,$A60,Log!$D$2:$D$1001,"&gt;=4"))</f>
        <v/>
      </c>
      <c r="H60" s="18">
        <f>MAX(_xlfn.MAXIFS('Start Here'!$B$19:$B$58,'Start Here'!$A$19:$A$58,$A60,'Start Here'!$C$19:$C$58,"&gt;=5"),_xlfn.MAXIFS(Sets!$C$2:$C$3300,Sets!$B$2:$B$3300,$A60,Sets!$D$2:$D$3300,"&gt;=5"),_xlfn.MAXIFS(Log!$C$2:$C$1001,Log!$B$2:$B$1001,$A60,Log!$D$2:$D$1001,"&gt;=5"))</f>
        <v/>
      </c>
      <c r="I60" s="18">
        <f>MAX(_xlfn.MAXIFS('Start Here'!$B$19:$B$58,'Start Here'!$A$19:$A$58,$A60,'Start Here'!$C$19:$C$58,"&gt;=6"),_xlfn.MAXIFS(Sets!$C$2:$C$3300,Sets!$B$2:$B$3300,$A60,Sets!$D$2:$D$3300,"&gt;=6"),_xlfn.MAXIFS(Log!$C$2:$C$1001,Log!$B$2:$B$1001,$A60,Log!$D$2:$D$1001,"&gt;=6"))</f>
        <v/>
      </c>
      <c r="J60" s="18">
        <f>MAX(_xlfn.MAXIFS('Start Here'!$B$19:$B$58,'Start Here'!$A$19:$A$58,$A60,'Start Here'!$C$19:$C$58,"&gt;=8"),_xlfn.MAXIFS(Sets!$C$2:$C$3300,Sets!$B$2:$B$3300,$A60,Sets!$D$2:$D$3300,"&gt;=8"),_xlfn.MAXIFS(Log!$C$2:$C$1001,Log!$B$2:$B$1001,$A60,Log!$D$2:$D$1001,"&gt;=8"))</f>
        <v/>
      </c>
      <c r="K60" s="18">
        <f>MAX(_xlfn.MAXIFS('Start Here'!$B$19:$B$58,'Start Here'!$A$19:$A$58,$A60,'Start Here'!$C$19:$C$58,"&gt;=10"),_xlfn.MAXIFS(Sets!$C$2:$C$3300,Sets!$B$2:$B$3300,$A60,Sets!$D$2:$D$3300,"&gt;=10"),_xlfn.MAXIFS(Log!$C$2:$C$1001,Log!$B$2:$B$1001,$A60,Log!$D$2:$D$1001,"&gt;=10"))</f>
        <v/>
      </c>
      <c r="L60" s="18">
        <f>MAX(_xlfn.MAXIFS('Start Here'!$B$19:$B$58,'Start Here'!$A$19:$A$58,$A60,'Start Here'!$C$19:$C$58,"&gt;=12"),_xlfn.MAXIFS(Sets!$C$2:$C$3300,Sets!$B$2:$B$3300,$A60,Sets!$D$2:$D$3300,"&gt;=12"),_xlfn.MAXIFS(Log!$C$2:$C$1001,Log!$B$2:$B$1001,$A60,Log!$D$2:$D$1001,"&gt;=12"))</f>
        <v/>
      </c>
    </row>
    <row r="61">
      <c r="A61" s="24" t="inlineStr">
        <is>
          <t>Leg Press</t>
        </is>
      </c>
      <c r="B61" t="inlineStr">
        <is>
          <t>accessory</t>
        </is>
      </c>
      <c r="C61" s="63">
        <f>MAX(_xlfn.MAXIFS('Start Here'!$D$19:$D$58,'Start Here'!$A$19:$A$58,$A61),_xlfn.MAXIFS(Sets!$E$2:$E$3300,Sets!$B$2:$B$3300,$A61),_xlfn.MAXIFS(Log!$E$2:$E$1001,Log!$B$2:$B$1001,$A61))</f>
        <v/>
      </c>
      <c r="D61" s="18">
        <f>MAX(_xlfn.MAXIFS('Start Here'!$B$19:$B$58,'Start Here'!$A$19:$A$58,$A61,'Start Here'!$C$19:$C$58,"&gt;=1"),_xlfn.MAXIFS(Sets!$C$2:$C$3300,Sets!$B$2:$B$3300,$A61,Sets!$D$2:$D$3300,"&gt;=1"),_xlfn.MAXIFS(Log!$C$2:$C$1001,Log!$B$2:$B$1001,$A61,Log!$D$2:$D$1001,"&gt;=1"))</f>
        <v/>
      </c>
      <c r="E61" s="18">
        <f>MAX(_xlfn.MAXIFS('Start Here'!$B$19:$B$58,'Start Here'!$A$19:$A$58,$A61,'Start Here'!$C$19:$C$58,"&gt;=2"),_xlfn.MAXIFS(Sets!$C$2:$C$3300,Sets!$B$2:$B$3300,$A61,Sets!$D$2:$D$3300,"&gt;=2"),_xlfn.MAXIFS(Log!$C$2:$C$1001,Log!$B$2:$B$1001,$A61,Log!$D$2:$D$1001,"&gt;=2"))</f>
        <v/>
      </c>
      <c r="F61" s="18">
        <f>MAX(_xlfn.MAXIFS('Start Here'!$B$19:$B$58,'Start Here'!$A$19:$A$58,$A61,'Start Here'!$C$19:$C$58,"&gt;=3"),_xlfn.MAXIFS(Sets!$C$2:$C$3300,Sets!$B$2:$B$3300,$A61,Sets!$D$2:$D$3300,"&gt;=3"),_xlfn.MAXIFS(Log!$C$2:$C$1001,Log!$B$2:$B$1001,$A61,Log!$D$2:$D$1001,"&gt;=3"))</f>
        <v/>
      </c>
      <c r="G61" s="18">
        <f>MAX(_xlfn.MAXIFS('Start Here'!$B$19:$B$58,'Start Here'!$A$19:$A$58,$A61,'Start Here'!$C$19:$C$58,"&gt;=4"),_xlfn.MAXIFS(Sets!$C$2:$C$3300,Sets!$B$2:$B$3300,$A61,Sets!$D$2:$D$3300,"&gt;=4"),_xlfn.MAXIFS(Log!$C$2:$C$1001,Log!$B$2:$B$1001,$A61,Log!$D$2:$D$1001,"&gt;=4"))</f>
        <v/>
      </c>
      <c r="H61" s="18">
        <f>MAX(_xlfn.MAXIFS('Start Here'!$B$19:$B$58,'Start Here'!$A$19:$A$58,$A61,'Start Here'!$C$19:$C$58,"&gt;=5"),_xlfn.MAXIFS(Sets!$C$2:$C$3300,Sets!$B$2:$B$3300,$A61,Sets!$D$2:$D$3300,"&gt;=5"),_xlfn.MAXIFS(Log!$C$2:$C$1001,Log!$B$2:$B$1001,$A61,Log!$D$2:$D$1001,"&gt;=5"))</f>
        <v/>
      </c>
      <c r="I61" s="18">
        <f>MAX(_xlfn.MAXIFS('Start Here'!$B$19:$B$58,'Start Here'!$A$19:$A$58,$A61,'Start Here'!$C$19:$C$58,"&gt;=6"),_xlfn.MAXIFS(Sets!$C$2:$C$3300,Sets!$B$2:$B$3300,$A61,Sets!$D$2:$D$3300,"&gt;=6"),_xlfn.MAXIFS(Log!$C$2:$C$1001,Log!$B$2:$B$1001,$A61,Log!$D$2:$D$1001,"&gt;=6"))</f>
        <v/>
      </c>
      <c r="J61" s="18">
        <f>MAX(_xlfn.MAXIFS('Start Here'!$B$19:$B$58,'Start Here'!$A$19:$A$58,$A61,'Start Here'!$C$19:$C$58,"&gt;=8"),_xlfn.MAXIFS(Sets!$C$2:$C$3300,Sets!$B$2:$B$3300,$A61,Sets!$D$2:$D$3300,"&gt;=8"),_xlfn.MAXIFS(Log!$C$2:$C$1001,Log!$B$2:$B$1001,$A61,Log!$D$2:$D$1001,"&gt;=8"))</f>
        <v/>
      </c>
      <c r="K61" s="18">
        <f>MAX(_xlfn.MAXIFS('Start Here'!$B$19:$B$58,'Start Here'!$A$19:$A$58,$A61,'Start Here'!$C$19:$C$58,"&gt;=10"),_xlfn.MAXIFS(Sets!$C$2:$C$3300,Sets!$B$2:$B$3300,$A61,Sets!$D$2:$D$3300,"&gt;=10"),_xlfn.MAXIFS(Log!$C$2:$C$1001,Log!$B$2:$B$1001,$A61,Log!$D$2:$D$1001,"&gt;=10"))</f>
        <v/>
      </c>
      <c r="L61" s="18">
        <f>MAX(_xlfn.MAXIFS('Start Here'!$B$19:$B$58,'Start Here'!$A$19:$A$58,$A61,'Start Here'!$C$19:$C$58,"&gt;=12"),_xlfn.MAXIFS(Sets!$C$2:$C$3300,Sets!$B$2:$B$3300,$A61,Sets!$D$2:$D$3300,"&gt;=12"),_xlfn.MAXIFS(Log!$C$2:$C$1001,Log!$B$2:$B$1001,$A61,Log!$D$2:$D$1001,"&gt;=12"))</f>
        <v/>
      </c>
    </row>
    <row r="62">
      <c r="A62" s="24" t="inlineStr">
        <is>
          <t>Hanging Leg Raise</t>
        </is>
      </c>
      <c r="B62" t="inlineStr">
        <is>
          <t>accessory</t>
        </is>
      </c>
      <c r="C62" s="63">
        <f>MAX(_xlfn.MAXIFS('Start Here'!$D$19:$D$58,'Start Here'!$A$19:$A$58,$A62),_xlfn.MAXIFS(Sets!$E$2:$E$3300,Sets!$B$2:$B$3300,$A62),_xlfn.MAXIFS(Log!$E$2:$E$1001,Log!$B$2:$B$1001,$A62))</f>
        <v/>
      </c>
      <c r="D62" s="18">
        <f>MAX(_xlfn.MAXIFS('Start Here'!$B$19:$B$58,'Start Here'!$A$19:$A$58,$A62,'Start Here'!$C$19:$C$58,"&gt;=1"),_xlfn.MAXIFS(Sets!$C$2:$C$3300,Sets!$B$2:$B$3300,$A62,Sets!$D$2:$D$3300,"&gt;=1"),_xlfn.MAXIFS(Log!$C$2:$C$1001,Log!$B$2:$B$1001,$A62,Log!$D$2:$D$1001,"&gt;=1"))</f>
        <v/>
      </c>
      <c r="E62" s="18">
        <f>MAX(_xlfn.MAXIFS('Start Here'!$B$19:$B$58,'Start Here'!$A$19:$A$58,$A62,'Start Here'!$C$19:$C$58,"&gt;=2"),_xlfn.MAXIFS(Sets!$C$2:$C$3300,Sets!$B$2:$B$3300,$A62,Sets!$D$2:$D$3300,"&gt;=2"),_xlfn.MAXIFS(Log!$C$2:$C$1001,Log!$B$2:$B$1001,$A62,Log!$D$2:$D$1001,"&gt;=2"))</f>
        <v/>
      </c>
      <c r="F62" s="18">
        <f>MAX(_xlfn.MAXIFS('Start Here'!$B$19:$B$58,'Start Here'!$A$19:$A$58,$A62,'Start Here'!$C$19:$C$58,"&gt;=3"),_xlfn.MAXIFS(Sets!$C$2:$C$3300,Sets!$B$2:$B$3300,$A62,Sets!$D$2:$D$3300,"&gt;=3"),_xlfn.MAXIFS(Log!$C$2:$C$1001,Log!$B$2:$B$1001,$A62,Log!$D$2:$D$1001,"&gt;=3"))</f>
        <v/>
      </c>
      <c r="G62" s="18">
        <f>MAX(_xlfn.MAXIFS('Start Here'!$B$19:$B$58,'Start Here'!$A$19:$A$58,$A62,'Start Here'!$C$19:$C$58,"&gt;=4"),_xlfn.MAXIFS(Sets!$C$2:$C$3300,Sets!$B$2:$B$3300,$A62,Sets!$D$2:$D$3300,"&gt;=4"),_xlfn.MAXIFS(Log!$C$2:$C$1001,Log!$B$2:$B$1001,$A62,Log!$D$2:$D$1001,"&gt;=4"))</f>
        <v/>
      </c>
      <c r="H62" s="18">
        <f>MAX(_xlfn.MAXIFS('Start Here'!$B$19:$B$58,'Start Here'!$A$19:$A$58,$A62,'Start Here'!$C$19:$C$58,"&gt;=5"),_xlfn.MAXIFS(Sets!$C$2:$C$3300,Sets!$B$2:$B$3300,$A62,Sets!$D$2:$D$3300,"&gt;=5"),_xlfn.MAXIFS(Log!$C$2:$C$1001,Log!$B$2:$B$1001,$A62,Log!$D$2:$D$1001,"&gt;=5"))</f>
        <v/>
      </c>
      <c r="I62" s="18">
        <f>MAX(_xlfn.MAXIFS('Start Here'!$B$19:$B$58,'Start Here'!$A$19:$A$58,$A62,'Start Here'!$C$19:$C$58,"&gt;=6"),_xlfn.MAXIFS(Sets!$C$2:$C$3300,Sets!$B$2:$B$3300,$A62,Sets!$D$2:$D$3300,"&gt;=6"),_xlfn.MAXIFS(Log!$C$2:$C$1001,Log!$B$2:$B$1001,$A62,Log!$D$2:$D$1001,"&gt;=6"))</f>
        <v/>
      </c>
      <c r="J62" s="18">
        <f>MAX(_xlfn.MAXIFS('Start Here'!$B$19:$B$58,'Start Here'!$A$19:$A$58,$A62,'Start Here'!$C$19:$C$58,"&gt;=8"),_xlfn.MAXIFS(Sets!$C$2:$C$3300,Sets!$B$2:$B$3300,$A62,Sets!$D$2:$D$3300,"&gt;=8"),_xlfn.MAXIFS(Log!$C$2:$C$1001,Log!$B$2:$B$1001,$A62,Log!$D$2:$D$1001,"&gt;=8"))</f>
        <v/>
      </c>
      <c r="K62" s="18">
        <f>MAX(_xlfn.MAXIFS('Start Here'!$B$19:$B$58,'Start Here'!$A$19:$A$58,$A62,'Start Here'!$C$19:$C$58,"&gt;=10"),_xlfn.MAXIFS(Sets!$C$2:$C$3300,Sets!$B$2:$B$3300,$A62,Sets!$D$2:$D$3300,"&gt;=10"),_xlfn.MAXIFS(Log!$C$2:$C$1001,Log!$B$2:$B$1001,$A62,Log!$D$2:$D$1001,"&gt;=10"))</f>
        <v/>
      </c>
      <c r="L62" s="18">
        <f>MAX(_xlfn.MAXIFS('Start Here'!$B$19:$B$58,'Start Here'!$A$19:$A$58,$A62,'Start Here'!$C$19:$C$58,"&gt;=12"),_xlfn.MAXIFS(Sets!$C$2:$C$3300,Sets!$B$2:$B$3300,$A62,Sets!$D$2:$D$3300,"&gt;=12"),_xlfn.MAXIFS(Log!$C$2:$C$1001,Log!$B$2:$B$1001,$A62,Log!$D$2:$D$1001,"&gt;=12"))</f>
        <v/>
      </c>
    </row>
    <row r="63">
      <c r="A63" s="24" t="inlineStr">
        <is>
          <t>Dip</t>
        </is>
      </c>
      <c r="B63" t="inlineStr">
        <is>
          <t>accessory</t>
        </is>
      </c>
      <c r="C63" s="63">
        <f>MAX(_xlfn.MAXIFS('Start Here'!$D$19:$D$58,'Start Here'!$A$19:$A$58,$A63),_xlfn.MAXIFS(Sets!$E$2:$E$3300,Sets!$B$2:$B$3300,$A63),_xlfn.MAXIFS(Log!$E$2:$E$1001,Log!$B$2:$B$1001,$A63))</f>
        <v/>
      </c>
      <c r="D63" s="18">
        <f>MAX(_xlfn.MAXIFS('Start Here'!$B$19:$B$58,'Start Here'!$A$19:$A$58,$A63,'Start Here'!$C$19:$C$58,"&gt;=1"),_xlfn.MAXIFS(Sets!$C$2:$C$3300,Sets!$B$2:$B$3300,$A63,Sets!$D$2:$D$3300,"&gt;=1"),_xlfn.MAXIFS(Log!$C$2:$C$1001,Log!$B$2:$B$1001,$A63,Log!$D$2:$D$1001,"&gt;=1"))</f>
        <v/>
      </c>
      <c r="E63" s="18">
        <f>MAX(_xlfn.MAXIFS('Start Here'!$B$19:$B$58,'Start Here'!$A$19:$A$58,$A63,'Start Here'!$C$19:$C$58,"&gt;=2"),_xlfn.MAXIFS(Sets!$C$2:$C$3300,Sets!$B$2:$B$3300,$A63,Sets!$D$2:$D$3300,"&gt;=2"),_xlfn.MAXIFS(Log!$C$2:$C$1001,Log!$B$2:$B$1001,$A63,Log!$D$2:$D$1001,"&gt;=2"))</f>
        <v/>
      </c>
      <c r="F63" s="18">
        <f>MAX(_xlfn.MAXIFS('Start Here'!$B$19:$B$58,'Start Here'!$A$19:$A$58,$A63,'Start Here'!$C$19:$C$58,"&gt;=3"),_xlfn.MAXIFS(Sets!$C$2:$C$3300,Sets!$B$2:$B$3300,$A63,Sets!$D$2:$D$3300,"&gt;=3"),_xlfn.MAXIFS(Log!$C$2:$C$1001,Log!$B$2:$B$1001,$A63,Log!$D$2:$D$1001,"&gt;=3"))</f>
        <v/>
      </c>
      <c r="G63" s="18">
        <f>MAX(_xlfn.MAXIFS('Start Here'!$B$19:$B$58,'Start Here'!$A$19:$A$58,$A63,'Start Here'!$C$19:$C$58,"&gt;=4"),_xlfn.MAXIFS(Sets!$C$2:$C$3300,Sets!$B$2:$B$3300,$A63,Sets!$D$2:$D$3300,"&gt;=4"),_xlfn.MAXIFS(Log!$C$2:$C$1001,Log!$B$2:$B$1001,$A63,Log!$D$2:$D$1001,"&gt;=4"))</f>
        <v/>
      </c>
      <c r="H63" s="18">
        <f>MAX(_xlfn.MAXIFS('Start Here'!$B$19:$B$58,'Start Here'!$A$19:$A$58,$A63,'Start Here'!$C$19:$C$58,"&gt;=5"),_xlfn.MAXIFS(Sets!$C$2:$C$3300,Sets!$B$2:$B$3300,$A63,Sets!$D$2:$D$3300,"&gt;=5"),_xlfn.MAXIFS(Log!$C$2:$C$1001,Log!$B$2:$B$1001,$A63,Log!$D$2:$D$1001,"&gt;=5"))</f>
        <v/>
      </c>
      <c r="I63" s="18">
        <f>MAX(_xlfn.MAXIFS('Start Here'!$B$19:$B$58,'Start Here'!$A$19:$A$58,$A63,'Start Here'!$C$19:$C$58,"&gt;=6"),_xlfn.MAXIFS(Sets!$C$2:$C$3300,Sets!$B$2:$B$3300,$A63,Sets!$D$2:$D$3300,"&gt;=6"),_xlfn.MAXIFS(Log!$C$2:$C$1001,Log!$B$2:$B$1001,$A63,Log!$D$2:$D$1001,"&gt;=6"))</f>
        <v/>
      </c>
      <c r="J63" s="18">
        <f>MAX(_xlfn.MAXIFS('Start Here'!$B$19:$B$58,'Start Here'!$A$19:$A$58,$A63,'Start Here'!$C$19:$C$58,"&gt;=8"),_xlfn.MAXIFS(Sets!$C$2:$C$3300,Sets!$B$2:$B$3300,$A63,Sets!$D$2:$D$3300,"&gt;=8"),_xlfn.MAXIFS(Log!$C$2:$C$1001,Log!$B$2:$B$1001,$A63,Log!$D$2:$D$1001,"&gt;=8"))</f>
        <v/>
      </c>
      <c r="K63" s="18">
        <f>MAX(_xlfn.MAXIFS('Start Here'!$B$19:$B$58,'Start Here'!$A$19:$A$58,$A63,'Start Here'!$C$19:$C$58,"&gt;=10"),_xlfn.MAXIFS(Sets!$C$2:$C$3300,Sets!$B$2:$B$3300,$A63,Sets!$D$2:$D$3300,"&gt;=10"),_xlfn.MAXIFS(Log!$C$2:$C$1001,Log!$B$2:$B$1001,$A63,Log!$D$2:$D$1001,"&gt;=10"))</f>
        <v/>
      </c>
      <c r="L63" s="18">
        <f>MAX(_xlfn.MAXIFS('Start Here'!$B$19:$B$58,'Start Here'!$A$19:$A$58,$A63,'Start Here'!$C$19:$C$58,"&gt;=12"),_xlfn.MAXIFS(Sets!$C$2:$C$3300,Sets!$B$2:$B$3300,$A63,Sets!$D$2:$D$3300,"&gt;=12"),_xlfn.MAXIFS(Log!$C$2:$C$1001,Log!$B$2:$B$1001,$A63,Log!$D$2:$D$1001,"&gt;=12"))</f>
        <v/>
      </c>
    </row>
    <row r="64">
      <c r="A64" s="24" t="inlineStr">
        <is>
          <t>Hammer Curl</t>
        </is>
      </c>
      <c r="B64" t="inlineStr">
        <is>
          <t>accessory</t>
        </is>
      </c>
      <c r="C64" s="63">
        <f>MAX(_xlfn.MAXIFS('Start Here'!$D$19:$D$58,'Start Here'!$A$19:$A$58,$A64),_xlfn.MAXIFS(Sets!$E$2:$E$3300,Sets!$B$2:$B$3300,$A64),_xlfn.MAXIFS(Log!$E$2:$E$1001,Log!$B$2:$B$1001,$A64))</f>
        <v/>
      </c>
      <c r="D64" s="18">
        <f>MAX(_xlfn.MAXIFS('Start Here'!$B$19:$B$58,'Start Here'!$A$19:$A$58,$A64,'Start Here'!$C$19:$C$58,"&gt;=1"),_xlfn.MAXIFS(Sets!$C$2:$C$3300,Sets!$B$2:$B$3300,$A64,Sets!$D$2:$D$3300,"&gt;=1"),_xlfn.MAXIFS(Log!$C$2:$C$1001,Log!$B$2:$B$1001,$A64,Log!$D$2:$D$1001,"&gt;=1"))</f>
        <v/>
      </c>
      <c r="E64" s="18">
        <f>MAX(_xlfn.MAXIFS('Start Here'!$B$19:$B$58,'Start Here'!$A$19:$A$58,$A64,'Start Here'!$C$19:$C$58,"&gt;=2"),_xlfn.MAXIFS(Sets!$C$2:$C$3300,Sets!$B$2:$B$3300,$A64,Sets!$D$2:$D$3300,"&gt;=2"),_xlfn.MAXIFS(Log!$C$2:$C$1001,Log!$B$2:$B$1001,$A64,Log!$D$2:$D$1001,"&gt;=2"))</f>
        <v/>
      </c>
      <c r="F64" s="18">
        <f>MAX(_xlfn.MAXIFS('Start Here'!$B$19:$B$58,'Start Here'!$A$19:$A$58,$A64,'Start Here'!$C$19:$C$58,"&gt;=3"),_xlfn.MAXIFS(Sets!$C$2:$C$3300,Sets!$B$2:$B$3300,$A64,Sets!$D$2:$D$3300,"&gt;=3"),_xlfn.MAXIFS(Log!$C$2:$C$1001,Log!$B$2:$B$1001,$A64,Log!$D$2:$D$1001,"&gt;=3"))</f>
        <v/>
      </c>
      <c r="G64" s="18">
        <f>MAX(_xlfn.MAXIFS('Start Here'!$B$19:$B$58,'Start Here'!$A$19:$A$58,$A64,'Start Here'!$C$19:$C$58,"&gt;=4"),_xlfn.MAXIFS(Sets!$C$2:$C$3300,Sets!$B$2:$B$3300,$A64,Sets!$D$2:$D$3300,"&gt;=4"),_xlfn.MAXIFS(Log!$C$2:$C$1001,Log!$B$2:$B$1001,$A64,Log!$D$2:$D$1001,"&gt;=4"))</f>
        <v/>
      </c>
      <c r="H64" s="18">
        <f>MAX(_xlfn.MAXIFS('Start Here'!$B$19:$B$58,'Start Here'!$A$19:$A$58,$A64,'Start Here'!$C$19:$C$58,"&gt;=5"),_xlfn.MAXIFS(Sets!$C$2:$C$3300,Sets!$B$2:$B$3300,$A64,Sets!$D$2:$D$3300,"&gt;=5"),_xlfn.MAXIFS(Log!$C$2:$C$1001,Log!$B$2:$B$1001,$A64,Log!$D$2:$D$1001,"&gt;=5"))</f>
        <v/>
      </c>
      <c r="I64" s="18">
        <f>MAX(_xlfn.MAXIFS('Start Here'!$B$19:$B$58,'Start Here'!$A$19:$A$58,$A64,'Start Here'!$C$19:$C$58,"&gt;=6"),_xlfn.MAXIFS(Sets!$C$2:$C$3300,Sets!$B$2:$B$3300,$A64,Sets!$D$2:$D$3300,"&gt;=6"),_xlfn.MAXIFS(Log!$C$2:$C$1001,Log!$B$2:$B$1001,$A64,Log!$D$2:$D$1001,"&gt;=6"))</f>
        <v/>
      </c>
      <c r="J64" s="18">
        <f>MAX(_xlfn.MAXIFS('Start Here'!$B$19:$B$58,'Start Here'!$A$19:$A$58,$A64,'Start Here'!$C$19:$C$58,"&gt;=8"),_xlfn.MAXIFS(Sets!$C$2:$C$3300,Sets!$B$2:$B$3300,$A64,Sets!$D$2:$D$3300,"&gt;=8"),_xlfn.MAXIFS(Log!$C$2:$C$1001,Log!$B$2:$B$1001,$A64,Log!$D$2:$D$1001,"&gt;=8"))</f>
        <v/>
      </c>
      <c r="K64" s="18">
        <f>MAX(_xlfn.MAXIFS('Start Here'!$B$19:$B$58,'Start Here'!$A$19:$A$58,$A64,'Start Here'!$C$19:$C$58,"&gt;=10"),_xlfn.MAXIFS(Sets!$C$2:$C$3300,Sets!$B$2:$B$3300,$A64,Sets!$D$2:$D$3300,"&gt;=10"),_xlfn.MAXIFS(Log!$C$2:$C$1001,Log!$B$2:$B$1001,$A64,Log!$D$2:$D$1001,"&gt;=10"))</f>
        <v/>
      </c>
      <c r="L64" s="18">
        <f>MAX(_xlfn.MAXIFS('Start Here'!$B$19:$B$58,'Start Here'!$A$19:$A$58,$A64,'Start Here'!$C$19:$C$58,"&gt;=12"),_xlfn.MAXIFS(Sets!$C$2:$C$3300,Sets!$B$2:$B$3300,$A64,Sets!$D$2:$D$3300,"&gt;=12"),_xlfn.MAXIFS(Log!$C$2:$C$1001,Log!$B$2:$B$1001,$A64,Log!$D$2:$D$1001,"&gt;=12"))</f>
        <v/>
      </c>
    </row>
    <row r="65">
      <c r="A65" s="24" t="inlineStr">
        <is>
          <t>Lateral Raise</t>
        </is>
      </c>
      <c r="B65" t="inlineStr">
        <is>
          <t>accessory</t>
        </is>
      </c>
      <c r="C65" s="63">
        <f>MAX(_xlfn.MAXIFS('Start Here'!$D$19:$D$58,'Start Here'!$A$19:$A$58,$A65),_xlfn.MAXIFS(Sets!$E$2:$E$3300,Sets!$B$2:$B$3300,$A65),_xlfn.MAXIFS(Log!$E$2:$E$1001,Log!$B$2:$B$1001,$A65))</f>
        <v/>
      </c>
      <c r="D65" s="18">
        <f>MAX(_xlfn.MAXIFS('Start Here'!$B$19:$B$58,'Start Here'!$A$19:$A$58,$A65,'Start Here'!$C$19:$C$58,"&gt;=1"),_xlfn.MAXIFS(Sets!$C$2:$C$3300,Sets!$B$2:$B$3300,$A65,Sets!$D$2:$D$3300,"&gt;=1"),_xlfn.MAXIFS(Log!$C$2:$C$1001,Log!$B$2:$B$1001,$A65,Log!$D$2:$D$1001,"&gt;=1"))</f>
        <v/>
      </c>
      <c r="E65" s="18">
        <f>MAX(_xlfn.MAXIFS('Start Here'!$B$19:$B$58,'Start Here'!$A$19:$A$58,$A65,'Start Here'!$C$19:$C$58,"&gt;=2"),_xlfn.MAXIFS(Sets!$C$2:$C$3300,Sets!$B$2:$B$3300,$A65,Sets!$D$2:$D$3300,"&gt;=2"),_xlfn.MAXIFS(Log!$C$2:$C$1001,Log!$B$2:$B$1001,$A65,Log!$D$2:$D$1001,"&gt;=2"))</f>
        <v/>
      </c>
      <c r="F65" s="18">
        <f>MAX(_xlfn.MAXIFS('Start Here'!$B$19:$B$58,'Start Here'!$A$19:$A$58,$A65,'Start Here'!$C$19:$C$58,"&gt;=3"),_xlfn.MAXIFS(Sets!$C$2:$C$3300,Sets!$B$2:$B$3300,$A65,Sets!$D$2:$D$3300,"&gt;=3"),_xlfn.MAXIFS(Log!$C$2:$C$1001,Log!$B$2:$B$1001,$A65,Log!$D$2:$D$1001,"&gt;=3"))</f>
        <v/>
      </c>
      <c r="G65" s="18">
        <f>MAX(_xlfn.MAXIFS('Start Here'!$B$19:$B$58,'Start Here'!$A$19:$A$58,$A65,'Start Here'!$C$19:$C$58,"&gt;=4"),_xlfn.MAXIFS(Sets!$C$2:$C$3300,Sets!$B$2:$B$3300,$A65,Sets!$D$2:$D$3300,"&gt;=4"),_xlfn.MAXIFS(Log!$C$2:$C$1001,Log!$B$2:$B$1001,$A65,Log!$D$2:$D$1001,"&gt;=4"))</f>
        <v/>
      </c>
      <c r="H65" s="18">
        <f>MAX(_xlfn.MAXIFS('Start Here'!$B$19:$B$58,'Start Here'!$A$19:$A$58,$A65,'Start Here'!$C$19:$C$58,"&gt;=5"),_xlfn.MAXIFS(Sets!$C$2:$C$3300,Sets!$B$2:$B$3300,$A65,Sets!$D$2:$D$3300,"&gt;=5"),_xlfn.MAXIFS(Log!$C$2:$C$1001,Log!$B$2:$B$1001,$A65,Log!$D$2:$D$1001,"&gt;=5"))</f>
        <v/>
      </c>
      <c r="I65" s="18">
        <f>MAX(_xlfn.MAXIFS('Start Here'!$B$19:$B$58,'Start Here'!$A$19:$A$58,$A65,'Start Here'!$C$19:$C$58,"&gt;=6"),_xlfn.MAXIFS(Sets!$C$2:$C$3300,Sets!$B$2:$B$3300,$A65,Sets!$D$2:$D$3300,"&gt;=6"),_xlfn.MAXIFS(Log!$C$2:$C$1001,Log!$B$2:$B$1001,$A65,Log!$D$2:$D$1001,"&gt;=6"))</f>
        <v/>
      </c>
      <c r="J65" s="18">
        <f>MAX(_xlfn.MAXIFS('Start Here'!$B$19:$B$58,'Start Here'!$A$19:$A$58,$A65,'Start Here'!$C$19:$C$58,"&gt;=8"),_xlfn.MAXIFS(Sets!$C$2:$C$3300,Sets!$B$2:$B$3300,$A65,Sets!$D$2:$D$3300,"&gt;=8"),_xlfn.MAXIFS(Log!$C$2:$C$1001,Log!$B$2:$B$1001,$A65,Log!$D$2:$D$1001,"&gt;=8"))</f>
        <v/>
      </c>
      <c r="K65" s="18">
        <f>MAX(_xlfn.MAXIFS('Start Here'!$B$19:$B$58,'Start Here'!$A$19:$A$58,$A65,'Start Here'!$C$19:$C$58,"&gt;=10"),_xlfn.MAXIFS(Sets!$C$2:$C$3300,Sets!$B$2:$B$3300,$A65,Sets!$D$2:$D$3300,"&gt;=10"),_xlfn.MAXIFS(Log!$C$2:$C$1001,Log!$B$2:$B$1001,$A65,Log!$D$2:$D$1001,"&gt;=10"))</f>
        <v/>
      </c>
      <c r="L65" s="18">
        <f>MAX(_xlfn.MAXIFS('Start Here'!$B$19:$B$58,'Start Here'!$A$19:$A$58,$A65,'Start Here'!$C$19:$C$58,"&gt;=12"),_xlfn.MAXIFS(Sets!$C$2:$C$3300,Sets!$B$2:$B$3300,$A65,Sets!$D$2:$D$3300,"&gt;=12"),_xlfn.MAXIFS(Log!$C$2:$C$1001,Log!$B$2:$B$1001,$A65,Log!$D$2:$D$1001,"&gt;=12"))</f>
        <v/>
      </c>
    </row>
    <row r="66">
      <c r="A66" s="24" t="inlineStr">
        <is>
          <t>Reverse Hyper</t>
        </is>
      </c>
      <c r="B66" t="inlineStr">
        <is>
          <t>accessory</t>
        </is>
      </c>
      <c r="C66" s="63">
        <f>MAX(_xlfn.MAXIFS('Start Here'!$D$19:$D$58,'Start Here'!$A$19:$A$58,$A66),_xlfn.MAXIFS(Sets!$E$2:$E$3300,Sets!$B$2:$B$3300,$A66),_xlfn.MAXIFS(Log!$E$2:$E$1001,Log!$B$2:$B$1001,$A66))</f>
        <v/>
      </c>
      <c r="D66" s="18">
        <f>MAX(_xlfn.MAXIFS('Start Here'!$B$19:$B$58,'Start Here'!$A$19:$A$58,$A66,'Start Here'!$C$19:$C$58,"&gt;=1"),_xlfn.MAXIFS(Sets!$C$2:$C$3300,Sets!$B$2:$B$3300,$A66,Sets!$D$2:$D$3300,"&gt;=1"),_xlfn.MAXIFS(Log!$C$2:$C$1001,Log!$B$2:$B$1001,$A66,Log!$D$2:$D$1001,"&gt;=1"))</f>
        <v/>
      </c>
      <c r="E66" s="18">
        <f>MAX(_xlfn.MAXIFS('Start Here'!$B$19:$B$58,'Start Here'!$A$19:$A$58,$A66,'Start Here'!$C$19:$C$58,"&gt;=2"),_xlfn.MAXIFS(Sets!$C$2:$C$3300,Sets!$B$2:$B$3300,$A66,Sets!$D$2:$D$3300,"&gt;=2"),_xlfn.MAXIFS(Log!$C$2:$C$1001,Log!$B$2:$B$1001,$A66,Log!$D$2:$D$1001,"&gt;=2"))</f>
        <v/>
      </c>
      <c r="F66" s="18">
        <f>MAX(_xlfn.MAXIFS('Start Here'!$B$19:$B$58,'Start Here'!$A$19:$A$58,$A66,'Start Here'!$C$19:$C$58,"&gt;=3"),_xlfn.MAXIFS(Sets!$C$2:$C$3300,Sets!$B$2:$B$3300,$A66,Sets!$D$2:$D$3300,"&gt;=3"),_xlfn.MAXIFS(Log!$C$2:$C$1001,Log!$B$2:$B$1001,$A66,Log!$D$2:$D$1001,"&gt;=3"))</f>
        <v/>
      </c>
      <c r="G66" s="18">
        <f>MAX(_xlfn.MAXIFS('Start Here'!$B$19:$B$58,'Start Here'!$A$19:$A$58,$A66,'Start Here'!$C$19:$C$58,"&gt;=4"),_xlfn.MAXIFS(Sets!$C$2:$C$3300,Sets!$B$2:$B$3300,$A66,Sets!$D$2:$D$3300,"&gt;=4"),_xlfn.MAXIFS(Log!$C$2:$C$1001,Log!$B$2:$B$1001,$A66,Log!$D$2:$D$1001,"&gt;=4"))</f>
        <v/>
      </c>
      <c r="H66" s="18">
        <f>MAX(_xlfn.MAXIFS('Start Here'!$B$19:$B$58,'Start Here'!$A$19:$A$58,$A66,'Start Here'!$C$19:$C$58,"&gt;=5"),_xlfn.MAXIFS(Sets!$C$2:$C$3300,Sets!$B$2:$B$3300,$A66,Sets!$D$2:$D$3300,"&gt;=5"),_xlfn.MAXIFS(Log!$C$2:$C$1001,Log!$B$2:$B$1001,$A66,Log!$D$2:$D$1001,"&gt;=5"))</f>
        <v/>
      </c>
      <c r="I66" s="18">
        <f>MAX(_xlfn.MAXIFS('Start Here'!$B$19:$B$58,'Start Here'!$A$19:$A$58,$A66,'Start Here'!$C$19:$C$58,"&gt;=6"),_xlfn.MAXIFS(Sets!$C$2:$C$3300,Sets!$B$2:$B$3300,$A66,Sets!$D$2:$D$3300,"&gt;=6"),_xlfn.MAXIFS(Log!$C$2:$C$1001,Log!$B$2:$B$1001,$A66,Log!$D$2:$D$1001,"&gt;=6"))</f>
        <v/>
      </c>
      <c r="J66" s="18">
        <f>MAX(_xlfn.MAXIFS('Start Here'!$B$19:$B$58,'Start Here'!$A$19:$A$58,$A66,'Start Here'!$C$19:$C$58,"&gt;=8"),_xlfn.MAXIFS(Sets!$C$2:$C$3300,Sets!$B$2:$B$3300,$A66,Sets!$D$2:$D$3300,"&gt;=8"),_xlfn.MAXIFS(Log!$C$2:$C$1001,Log!$B$2:$B$1001,$A66,Log!$D$2:$D$1001,"&gt;=8"))</f>
        <v/>
      </c>
      <c r="K66" s="18">
        <f>MAX(_xlfn.MAXIFS('Start Here'!$B$19:$B$58,'Start Here'!$A$19:$A$58,$A66,'Start Here'!$C$19:$C$58,"&gt;=10"),_xlfn.MAXIFS(Sets!$C$2:$C$3300,Sets!$B$2:$B$3300,$A66,Sets!$D$2:$D$3300,"&gt;=10"),_xlfn.MAXIFS(Log!$C$2:$C$1001,Log!$B$2:$B$1001,$A66,Log!$D$2:$D$1001,"&gt;=10"))</f>
        <v/>
      </c>
      <c r="L66" s="18">
        <f>MAX(_xlfn.MAXIFS('Start Here'!$B$19:$B$58,'Start Here'!$A$19:$A$58,$A66,'Start Here'!$C$19:$C$58,"&gt;=12"),_xlfn.MAXIFS(Sets!$C$2:$C$3300,Sets!$B$2:$B$3300,$A66,Sets!$D$2:$D$3300,"&gt;=12"),_xlfn.MAXIFS(Log!$C$2:$C$1001,Log!$B$2:$B$1001,$A66,Log!$D$2:$D$1001,"&gt;=12"))</f>
        <v/>
      </c>
    </row>
    <row r="67">
      <c r="A67" s="24" t="inlineStr">
        <is>
          <t>Good Morning</t>
        </is>
      </c>
      <c r="B67" t="inlineStr">
        <is>
          <t>accessory</t>
        </is>
      </c>
      <c r="C67" s="63">
        <f>MAX(_xlfn.MAXIFS('Start Here'!$D$19:$D$58,'Start Here'!$A$19:$A$58,$A67),_xlfn.MAXIFS(Sets!$E$2:$E$3300,Sets!$B$2:$B$3300,$A67),_xlfn.MAXIFS(Log!$E$2:$E$1001,Log!$B$2:$B$1001,$A67))</f>
        <v/>
      </c>
      <c r="D67" s="18">
        <f>MAX(_xlfn.MAXIFS('Start Here'!$B$19:$B$58,'Start Here'!$A$19:$A$58,$A67,'Start Here'!$C$19:$C$58,"&gt;=1"),_xlfn.MAXIFS(Sets!$C$2:$C$3300,Sets!$B$2:$B$3300,$A67,Sets!$D$2:$D$3300,"&gt;=1"),_xlfn.MAXIFS(Log!$C$2:$C$1001,Log!$B$2:$B$1001,$A67,Log!$D$2:$D$1001,"&gt;=1"))</f>
        <v/>
      </c>
      <c r="E67" s="18">
        <f>MAX(_xlfn.MAXIFS('Start Here'!$B$19:$B$58,'Start Here'!$A$19:$A$58,$A67,'Start Here'!$C$19:$C$58,"&gt;=2"),_xlfn.MAXIFS(Sets!$C$2:$C$3300,Sets!$B$2:$B$3300,$A67,Sets!$D$2:$D$3300,"&gt;=2"),_xlfn.MAXIFS(Log!$C$2:$C$1001,Log!$B$2:$B$1001,$A67,Log!$D$2:$D$1001,"&gt;=2"))</f>
        <v/>
      </c>
      <c r="F67" s="18">
        <f>MAX(_xlfn.MAXIFS('Start Here'!$B$19:$B$58,'Start Here'!$A$19:$A$58,$A67,'Start Here'!$C$19:$C$58,"&gt;=3"),_xlfn.MAXIFS(Sets!$C$2:$C$3300,Sets!$B$2:$B$3300,$A67,Sets!$D$2:$D$3300,"&gt;=3"),_xlfn.MAXIFS(Log!$C$2:$C$1001,Log!$B$2:$B$1001,$A67,Log!$D$2:$D$1001,"&gt;=3"))</f>
        <v/>
      </c>
      <c r="G67" s="18">
        <f>MAX(_xlfn.MAXIFS('Start Here'!$B$19:$B$58,'Start Here'!$A$19:$A$58,$A67,'Start Here'!$C$19:$C$58,"&gt;=4"),_xlfn.MAXIFS(Sets!$C$2:$C$3300,Sets!$B$2:$B$3300,$A67,Sets!$D$2:$D$3300,"&gt;=4"),_xlfn.MAXIFS(Log!$C$2:$C$1001,Log!$B$2:$B$1001,$A67,Log!$D$2:$D$1001,"&gt;=4"))</f>
        <v/>
      </c>
      <c r="H67" s="18">
        <f>MAX(_xlfn.MAXIFS('Start Here'!$B$19:$B$58,'Start Here'!$A$19:$A$58,$A67,'Start Here'!$C$19:$C$58,"&gt;=5"),_xlfn.MAXIFS(Sets!$C$2:$C$3300,Sets!$B$2:$B$3300,$A67,Sets!$D$2:$D$3300,"&gt;=5"),_xlfn.MAXIFS(Log!$C$2:$C$1001,Log!$B$2:$B$1001,$A67,Log!$D$2:$D$1001,"&gt;=5"))</f>
        <v/>
      </c>
      <c r="I67" s="18">
        <f>MAX(_xlfn.MAXIFS('Start Here'!$B$19:$B$58,'Start Here'!$A$19:$A$58,$A67,'Start Here'!$C$19:$C$58,"&gt;=6"),_xlfn.MAXIFS(Sets!$C$2:$C$3300,Sets!$B$2:$B$3300,$A67,Sets!$D$2:$D$3300,"&gt;=6"),_xlfn.MAXIFS(Log!$C$2:$C$1001,Log!$B$2:$B$1001,$A67,Log!$D$2:$D$1001,"&gt;=6"))</f>
        <v/>
      </c>
      <c r="J67" s="18">
        <f>MAX(_xlfn.MAXIFS('Start Here'!$B$19:$B$58,'Start Here'!$A$19:$A$58,$A67,'Start Here'!$C$19:$C$58,"&gt;=8"),_xlfn.MAXIFS(Sets!$C$2:$C$3300,Sets!$B$2:$B$3300,$A67,Sets!$D$2:$D$3300,"&gt;=8"),_xlfn.MAXIFS(Log!$C$2:$C$1001,Log!$B$2:$B$1001,$A67,Log!$D$2:$D$1001,"&gt;=8"))</f>
        <v/>
      </c>
      <c r="K67" s="18">
        <f>MAX(_xlfn.MAXIFS('Start Here'!$B$19:$B$58,'Start Here'!$A$19:$A$58,$A67,'Start Here'!$C$19:$C$58,"&gt;=10"),_xlfn.MAXIFS(Sets!$C$2:$C$3300,Sets!$B$2:$B$3300,$A67,Sets!$D$2:$D$3300,"&gt;=10"),_xlfn.MAXIFS(Log!$C$2:$C$1001,Log!$B$2:$B$1001,$A67,Log!$D$2:$D$1001,"&gt;=10"))</f>
        <v/>
      </c>
      <c r="L67" s="18">
        <f>MAX(_xlfn.MAXIFS('Start Here'!$B$19:$B$58,'Start Here'!$A$19:$A$58,$A67,'Start Here'!$C$19:$C$58,"&gt;=12"),_xlfn.MAXIFS(Sets!$C$2:$C$3300,Sets!$B$2:$B$3300,$A67,Sets!$D$2:$D$3300,"&gt;=12"),_xlfn.MAXIFS(Log!$C$2:$C$1001,Log!$B$2:$B$1001,$A67,Log!$D$2:$D$1001,"&gt;=12"))</f>
        <v/>
      </c>
    </row>
    <row r="68">
      <c r="A68" s="24" t="inlineStr">
        <is>
          <t>Glute-Ham Raise</t>
        </is>
      </c>
      <c r="B68" t="inlineStr">
        <is>
          <t>accessory</t>
        </is>
      </c>
      <c r="C68" s="63">
        <f>MAX(_xlfn.MAXIFS('Start Here'!$D$19:$D$58,'Start Here'!$A$19:$A$58,$A68),_xlfn.MAXIFS(Sets!$E$2:$E$3300,Sets!$B$2:$B$3300,$A68),_xlfn.MAXIFS(Log!$E$2:$E$1001,Log!$B$2:$B$1001,$A68))</f>
        <v/>
      </c>
      <c r="D68" s="18">
        <f>MAX(_xlfn.MAXIFS('Start Here'!$B$19:$B$58,'Start Here'!$A$19:$A$58,$A68,'Start Here'!$C$19:$C$58,"&gt;=1"),_xlfn.MAXIFS(Sets!$C$2:$C$3300,Sets!$B$2:$B$3300,$A68,Sets!$D$2:$D$3300,"&gt;=1"),_xlfn.MAXIFS(Log!$C$2:$C$1001,Log!$B$2:$B$1001,$A68,Log!$D$2:$D$1001,"&gt;=1"))</f>
        <v/>
      </c>
      <c r="E68" s="18">
        <f>MAX(_xlfn.MAXIFS('Start Here'!$B$19:$B$58,'Start Here'!$A$19:$A$58,$A68,'Start Here'!$C$19:$C$58,"&gt;=2"),_xlfn.MAXIFS(Sets!$C$2:$C$3300,Sets!$B$2:$B$3300,$A68,Sets!$D$2:$D$3300,"&gt;=2"),_xlfn.MAXIFS(Log!$C$2:$C$1001,Log!$B$2:$B$1001,$A68,Log!$D$2:$D$1001,"&gt;=2"))</f>
        <v/>
      </c>
      <c r="F68" s="18">
        <f>MAX(_xlfn.MAXIFS('Start Here'!$B$19:$B$58,'Start Here'!$A$19:$A$58,$A68,'Start Here'!$C$19:$C$58,"&gt;=3"),_xlfn.MAXIFS(Sets!$C$2:$C$3300,Sets!$B$2:$B$3300,$A68,Sets!$D$2:$D$3300,"&gt;=3"),_xlfn.MAXIFS(Log!$C$2:$C$1001,Log!$B$2:$B$1001,$A68,Log!$D$2:$D$1001,"&gt;=3"))</f>
        <v/>
      </c>
      <c r="G68" s="18">
        <f>MAX(_xlfn.MAXIFS('Start Here'!$B$19:$B$58,'Start Here'!$A$19:$A$58,$A68,'Start Here'!$C$19:$C$58,"&gt;=4"),_xlfn.MAXIFS(Sets!$C$2:$C$3300,Sets!$B$2:$B$3300,$A68,Sets!$D$2:$D$3300,"&gt;=4"),_xlfn.MAXIFS(Log!$C$2:$C$1001,Log!$B$2:$B$1001,$A68,Log!$D$2:$D$1001,"&gt;=4"))</f>
        <v/>
      </c>
      <c r="H68" s="18">
        <f>MAX(_xlfn.MAXIFS('Start Here'!$B$19:$B$58,'Start Here'!$A$19:$A$58,$A68,'Start Here'!$C$19:$C$58,"&gt;=5"),_xlfn.MAXIFS(Sets!$C$2:$C$3300,Sets!$B$2:$B$3300,$A68,Sets!$D$2:$D$3300,"&gt;=5"),_xlfn.MAXIFS(Log!$C$2:$C$1001,Log!$B$2:$B$1001,$A68,Log!$D$2:$D$1001,"&gt;=5"))</f>
        <v/>
      </c>
      <c r="I68" s="18">
        <f>MAX(_xlfn.MAXIFS('Start Here'!$B$19:$B$58,'Start Here'!$A$19:$A$58,$A68,'Start Here'!$C$19:$C$58,"&gt;=6"),_xlfn.MAXIFS(Sets!$C$2:$C$3300,Sets!$B$2:$B$3300,$A68,Sets!$D$2:$D$3300,"&gt;=6"),_xlfn.MAXIFS(Log!$C$2:$C$1001,Log!$B$2:$B$1001,$A68,Log!$D$2:$D$1001,"&gt;=6"))</f>
        <v/>
      </c>
      <c r="J68" s="18">
        <f>MAX(_xlfn.MAXIFS('Start Here'!$B$19:$B$58,'Start Here'!$A$19:$A$58,$A68,'Start Here'!$C$19:$C$58,"&gt;=8"),_xlfn.MAXIFS(Sets!$C$2:$C$3300,Sets!$B$2:$B$3300,$A68,Sets!$D$2:$D$3300,"&gt;=8"),_xlfn.MAXIFS(Log!$C$2:$C$1001,Log!$B$2:$B$1001,$A68,Log!$D$2:$D$1001,"&gt;=8"))</f>
        <v/>
      </c>
      <c r="K68" s="18">
        <f>MAX(_xlfn.MAXIFS('Start Here'!$B$19:$B$58,'Start Here'!$A$19:$A$58,$A68,'Start Here'!$C$19:$C$58,"&gt;=10"),_xlfn.MAXIFS(Sets!$C$2:$C$3300,Sets!$B$2:$B$3300,$A68,Sets!$D$2:$D$3300,"&gt;=10"),_xlfn.MAXIFS(Log!$C$2:$C$1001,Log!$B$2:$B$1001,$A68,Log!$D$2:$D$1001,"&gt;=10"))</f>
        <v/>
      </c>
      <c r="L68" s="18">
        <f>MAX(_xlfn.MAXIFS('Start Here'!$B$19:$B$58,'Start Here'!$A$19:$A$58,$A68,'Start Here'!$C$19:$C$58,"&gt;=12"),_xlfn.MAXIFS(Sets!$C$2:$C$3300,Sets!$B$2:$B$3300,$A68,Sets!$D$2:$D$3300,"&gt;=12"),_xlfn.MAXIFS(Log!$C$2:$C$1001,Log!$B$2:$B$1001,$A68,Log!$D$2:$D$1001,"&gt;=12"))</f>
        <v/>
      </c>
    </row>
    <row r="69">
      <c r="A69" s="24" t="inlineStr">
        <is>
          <t>Box Jump</t>
        </is>
      </c>
      <c r="B69" t="inlineStr">
        <is>
          <t>plyo</t>
        </is>
      </c>
      <c r="D69" s="18">
        <f>MAX(_xlfn.MAXIFS('Start Here'!$B$19:$B$58,'Start Here'!$A$19:$A$58,$A69,'Start Here'!$C$19:$C$58,"&gt;=1"),_xlfn.MAXIFS(Sets!$C$2:$C$3300,Sets!$B$2:$B$3300,$A69,Sets!$D$2:$D$3300,"&gt;=1"),_xlfn.MAXIFS(Log!$C$2:$C$1001,Log!$B$2:$B$1001,$A69,Log!$D$2:$D$1001,"&gt;=1"))</f>
        <v/>
      </c>
    </row>
    <row r="70">
      <c r="A70" s="24" t="inlineStr">
        <is>
          <t>Broad Jump</t>
        </is>
      </c>
      <c r="B70" t="inlineStr">
        <is>
          <t>plyo</t>
        </is>
      </c>
      <c r="D70" s="18">
        <f>MAX(_xlfn.MAXIFS('Start Here'!$B$19:$B$58,'Start Here'!$A$19:$A$58,$A70,'Start Here'!$C$19:$C$58,"&gt;=1"),_xlfn.MAXIFS(Sets!$C$2:$C$3300,Sets!$B$2:$B$3300,$A70,Sets!$D$2:$D$3300,"&gt;=1"),_xlfn.MAXIFS(Log!$C$2:$C$1001,Log!$B$2:$B$1001,$A70,Log!$D$2:$D$1001,"&gt;=1"))</f>
        <v/>
      </c>
    </row>
    <row r="71">
      <c r="A71" s="24" t="inlineStr">
        <is>
          <t>Vertical Jump</t>
        </is>
      </c>
      <c r="B71" t="inlineStr">
        <is>
          <t>plyo</t>
        </is>
      </c>
      <c r="D71" s="18">
        <f>MAX(_xlfn.MAXIFS('Start Here'!$B$19:$B$58,'Start Here'!$A$19:$A$58,$A71,'Start Here'!$C$19:$C$58,"&gt;=1"),_xlfn.MAXIFS(Sets!$C$2:$C$3300,Sets!$B$2:$B$3300,$A71,Sets!$D$2:$D$3300,"&gt;=1"),_xlfn.MAXIFS(Log!$C$2:$C$1001,Log!$B$2:$B$1001,$A71,Log!$D$2:$D$1001,"&gt;=1"))</f>
        <v/>
      </c>
    </row>
    <row r="72">
      <c r="A72" s="24" t="inlineStr">
        <is>
          <t>Depth Jump</t>
        </is>
      </c>
      <c r="B72" t="inlineStr">
        <is>
          <t>plyo</t>
        </is>
      </c>
      <c r="D72" s="18">
        <f>MAX(_xlfn.MAXIFS('Start Here'!$B$19:$B$58,'Start Here'!$A$19:$A$58,$A72,'Start Here'!$C$19:$C$58,"&gt;=1"),_xlfn.MAXIFS(Sets!$C$2:$C$3300,Sets!$B$2:$B$3300,$A72,Sets!$D$2:$D$3300,"&gt;=1"),_xlfn.MAXIFS(Log!$C$2:$C$1001,Log!$B$2:$B$1001,$A72,Log!$D$2:$D$1001,"&gt;=1"))</f>
        <v/>
      </c>
    </row>
    <row r="73">
      <c r="A73" s="24" t="inlineStr">
        <is>
          <t>Hurdle Hop</t>
        </is>
      </c>
      <c r="B73" t="inlineStr">
        <is>
          <t>plyo</t>
        </is>
      </c>
      <c r="D73" s="18">
        <f>MAX(_xlfn.MAXIFS('Start Here'!$B$19:$B$58,'Start Here'!$A$19:$A$58,$A73,'Start Here'!$C$19:$C$58,"&gt;=1"),_xlfn.MAXIFS(Sets!$C$2:$C$3300,Sets!$B$2:$B$3300,$A73,Sets!$D$2:$D$3300,"&gt;=1"),_xlfn.MAXIFS(Log!$C$2:$C$1001,Log!$B$2:$B$1001,$A73,Log!$D$2:$D$1001,"&gt;=1"))</f>
        <v/>
      </c>
    </row>
    <row r="74">
      <c r="A74" s="24" t="inlineStr">
        <is>
          <t>Lateral Bound</t>
        </is>
      </c>
      <c r="B74" t="inlineStr">
        <is>
          <t>plyo</t>
        </is>
      </c>
      <c r="D74" s="18">
        <f>MAX(_xlfn.MAXIFS('Start Here'!$B$19:$B$58,'Start Here'!$A$19:$A$58,$A74,'Start Here'!$C$19:$C$58,"&gt;=1"),_xlfn.MAXIFS(Sets!$C$2:$C$3300,Sets!$B$2:$B$3300,$A74,Sets!$D$2:$D$3300,"&gt;=1"),_xlfn.MAXIFS(Log!$C$2:$C$1001,Log!$B$2:$B$1001,$A74,Log!$D$2:$D$1001,"&gt;=1"))</f>
        <v/>
      </c>
    </row>
    <row r="75">
      <c r="A75" s="24" t="inlineStr">
        <is>
          <t>Plyo Push-up</t>
        </is>
      </c>
      <c r="B75" t="inlineStr">
        <is>
          <t>plyo</t>
        </is>
      </c>
      <c r="D75" s="18">
        <f>MAX(_xlfn.MAXIFS('Start Here'!$B$19:$B$58,'Start Here'!$A$19:$A$58,$A75,'Start Here'!$C$19:$C$58,"&gt;=1"),_xlfn.MAXIFS(Sets!$C$2:$C$3300,Sets!$B$2:$B$3300,$A75,Sets!$D$2:$D$3300,"&gt;=1"),_xlfn.MAXIFS(Log!$C$2:$C$1001,Log!$B$2:$B$1001,$A75,Log!$D$2:$D$1001,"&gt;=1"))</f>
        <v/>
      </c>
    </row>
    <row r="76">
      <c r="A76" s="24" t="inlineStr">
        <is>
          <t>Seated Box Jump</t>
        </is>
      </c>
      <c r="B76" t="inlineStr">
        <is>
          <t>plyo</t>
        </is>
      </c>
      <c r="D76" s="18">
        <f>MAX(_xlfn.MAXIFS('Start Here'!$B$19:$B$58,'Start Here'!$A$19:$A$58,$A76,'Start Here'!$C$19:$C$58,"&gt;=1"),_xlfn.MAXIFS(Sets!$C$2:$C$3300,Sets!$B$2:$B$3300,$A76,Sets!$D$2:$D$3300,"&gt;=1"),_xlfn.MAXIFS(Log!$C$2:$C$1001,Log!$B$2:$B$1001,$A76,Log!$D$2:$D$1001,"&gt;=1"))</f>
        <v/>
      </c>
    </row>
    <row r="77">
      <c r="A77" s="24" t="inlineStr">
        <is>
          <t>Med Ball Chest Pass</t>
        </is>
      </c>
      <c r="B77" t="inlineStr">
        <is>
          <t>plyo</t>
        </is>
      </c>
      <c r="D77" s="18">
        <f>MAX(_xlfn.MAXIFS('Start Here'!$B$19:$B$58,'Start Here'!$A$19:$A$58,$A77,'Start Here'!$C$19:$C$58,"&gt;=1"),_xlfn.MAXIFS(Sets!$C$2:$C$3300,Sets!$B$2:$B$3300,$A77,Sets!$D$2:$D$3300,"&gt;=1"),_xlfn.MAXIFS(Log!$C$2:$C$1001,Log!$B$2:$B$1001,$A77,Log!$D$2:$D$1001,"&gt;=1"))</f>
        <v/>
      </c>
    </row>
    <row r="79">
      <c r="A79" t="inlineStr">
        <is>
          <t>NRM = heaviest weight lifted for at least N reps (a 5-rep set also counts toward your 3RM). Plyos: the 1RM column is your best height / distance. Only sets marked Done count.</t>
        </is>
      </c>
    </row>
  </sheetData>
  <pageMargins left="0.75" right="0.75" top="1" bottom="1" header="0.5" footer="0.5"/>
</worksheet>
</file>

<file path=xl/worksheets/sheet18.xml><?xml version="1.0" encoding="utf-8"?>
<worksheet xmlns="http://schemas.openxmlformats.org/spreadsheetml/2006/main">
  <sheetPr>
    <tabColor rgb="00C9A227"/>
    <outlinePr summaryBelow="1" summaryRight="1"/>
    <pageSetUpPr/>
  </sheetPr>
  <dimension ref="A1:J7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26" customWidth="1" min="1" max="1"/>
    <col width="10" customWidth="1" min="2" max="2"/>
    <col width="15" customWidth="1" min="3" max="3"/>
    <col width="7" customWidth="1" min="4" max="4"/>
    <col width="12" customWidth="1" min="5" max="5"/>
    <col width="12" customWidth="1" min="6" max="6"/>
    <col width="12" customWidth="1" min="7" max="7"/>
    <col width="12" customWidth="1" min="8" max="8"/>
    <col width="13" customWidth="1" min="9" max="9"/>
    <col width="10" customWidth="1" min="10" max="10"/>
  </cols>
  <sheetData>
    <row r="1" ht="32" customHeight="1">
      <c r="A1" s="8" t="inlineStr">
        <is>
          <t>Exercise</t>
        </is>
      </c>
      <c r="B1" s="8" t="inlineStr">
        <is>
          <t>Type</t>
        </is>
      </c>
      <c r="C1" s="8" t="inlineStr">
        <is>
          <t>Parent lift</t>
        </is>
      </c>
      <c r="D1" s="8" t="inlineStr">
        <is>
          <t>Ratio</t>
        </is>
      </c>
      <c r="E1" s="8" t="inlineStr">
        <is>
          <t>Cycle 1
(weeks 1-12)</t>
        </is>
      </c>
      <c r="F1" s="8" t="inlineStr">
        <is>
          <t>Cycle 2
(weeks 13-24)</t>
        </is>
      </c>
      <c r="G1" s="8" t="inlineStr">
        <is>
          <t>Cycle 3
(weeks 25-36)</t>
        </is>
      </c>
      <c r="H1" s="8" t="inlineStr">
        <is>
          <t>Cycle 4
(weeks 37-48)</t>
        </is>
      </c>
      <c r="I1" s="8" t="inlineStr">
        <is>
          <t>Transition
(weeks 49-52)</t>
        </is>
      </c>
      <c r="J1" s="8" t="inlineStr">
        <is>
          <t>Source</t>
        </is>
      </c>
    </row>
    <row r="2">
      <c r="A2" s="14" t="inlineStr">
        <is>
          <t>Squat</t>
        </is>
      </c>
      <c r="B2" t="inlineStr">
        <is>
          <t>main</t>
        </is>
      </c>
      <c r="E2" s="64">
        <f>IF(MAX(_xlfn.MAXIFS('Start Here'!$D$19:$D$58,'Start Here'!$A$19:$A$58,$A2),_xlfn.MAXIFS(Sets!$E$2:$E$26,Sets!$B$2:$B$26,$A2),_xlfn.MAXIFS(Log!$E$2:$E$1001,Log!$B$2:$B$1001,$A2,Log!$A$2:$A$1001,"&lt;"&amp;('Start Here'!$B$8+0)))&gt;0,ROUND(MAX(_xlfn.MAXIFS('Start Here'!$D$19:$D$58,'Start Here'!$A$19:$A$58,$A2),_xlfn.MAXIFS(Sets!$E$2:$E$26,Sets!$B$2:$B$26,$A2),_xlfn.MAXIFS(Log!$E$2:$E$1001,Log!$B$2:$B$1001,$A2,Log!$A$2:$A$1001,"&lt;"&amp;('Start Here'!$B$8+0))),1),"")</f>
        <v/>
      </c>
      <c r="F2" s="64">
        <f>IF(MAX(_xlfn.MAXIFS('Start Here'!$D$19:$D$58,'Start Here'!$A$19:$A$58,$A2),_xlfn.MAXIFS(Sets!$E$2:$E$783,Sets!$B$2:$B$783,$A2),_xlfn.MAXIFS(Log!$E$2:$E$1001,Log!$B$2:$B$1001,$A2,Log!$A$2:$A$1001,"&lt;"&amp;('Start Here'!$B$8+84)))&gt;0,ROUND(MAX(_xlfn.MAXIFS('Start Here'!$D$19:$D$58,'Start Here'!$A$19:$A$58,$A2),_xlfn.MAXIFS(Sets!$E$2:$E$783,Sets!$B$2:$B$783,$A2),_xlfn.MAXIFS(Log!$E$2:$E$1001,Log!$B$2:$B$1001,$A2,Log!$A$2:$A$1001,"&lt;"&amp;('Start Here'!$B$8+84))),1),"")</f>
        <v/>
      </c>
      <c r="G2" s="64">
        <f>IF(MAX(_xlfn.MAXIFS('Start Here'!$D$19:$D$58,'Start Here'!$A$19:$A$58,$A2),_xlfn.MAXIFS(Sets!$E$2:$E$1540,Sets!$B$2:$B$1540,$A2),_xlfn.MAXIFS(Log!$E$2:$E$1001,Log!$B$2:$B$1001,$A2,Log!$A$2:$A$1001,"&lt;"&amp;('Start Here'!$B$8+168)))&gt;0,ROUND(MAX(_xlfn.MAXIFS('Start Here'!$D$19:$D$58,'Start Here'!$A$19:$A$58,$A2),_xlfn.MAXIFS(Sets!$E$2:$E$1540,Sets!$B$2:$B$1540,$A2),_xlfn.MAXIFS(Log!$E$2:$E$1001,Log!$B$2:$B$1001,$A2,Log!$A$2:$A$1001,"&lt;"&amp;('Start Here'!$B$8+168))),1),"")</f>
        <v/>
      </c>
      <c r="H2" s="64">
        <f>IF(MAX(_xlfn.MAXIFS('Start Here'!$D$19:$D$58,'Start Here'!$A$19:$A$58,$A2),_xlfn.MAXIFS(Sets!$E$2:$E$2297,Sets!$B$2:$B$2297,$A2),_xlfn.MAXIFS(Log!$E$2:$E$1001,Log!$B$2:$B$1001,$A2,Log!$A$2:$A$1001,"&lt;"&amp;('Start Here'!$B$8+252)))&gt;0,ROUND(MAX(_xlfn.MAXIFS('Start Here'!$D$19:$D$58,'Start Here'!$A$19:$A$58,$A2),_xlfn.MAXIFS(Sets!$E$2:$E$2297,Sets!$B$2:$B$2297,$A2),_xlfn.MAXIFS(Log!$E$2:$E$1001,Log!$B$2:$B$1001,$A2,Log!$A$2:$A$1001,"&lt;"&amp;('Start Here'!$B$8+252))),1),"")</f>
        <v/>
      </c>
      <c r="I2" s="64">
        <f>IF(MAX(_xlfn.MAXIFS('Start Here'!$D$19:$D$58,'Start Here'!$A$19:$A$58,$A2),_xlfn.MAXIFS(Sets!$E$2:$E$3054,Sets!$B$2:$B$3054,$A2),_xlfn.MAXIFS(Log!$E$2:$E$1001,Log!$B$2:$B$1001,$A2,Log!$A$2:$A$1001,"&lt;"&amp;('Start Here'!$B$8+336)))&gt;0,ROUND(MAX(_xlfn.MAXIFS('Start Here'!$D$19:$D$58,'Start Here'!$A$19:$A$58,$A2),_xlfn.MAXIFS(Sets!$E$2:$E$3054,Sets!$B$2:$B$3054,$A2),_xlfn.MAXIFS(Log!$E$2:$E$1001,Log!$B$2:$B$1001,$A2,Log!$A$2:$A$1001,"&lt;"&amp;('Start Here'!$B$8+336))),1),"")</f>
        <v/>
      </c>
      <c r="J2">
        <f>IF(PRs!C2&gt;0,"logged",IF($B2="variation","estimated",""))</f>
        <v/>
      </c>
    </row>
    <row r="3">
      <c r="A3" s="14" t="inlineStr">
        <is>
          <t>Bench Press</t>
        </is>
      </c>
      <c r="B3" t="inlineStr">
        <is>
          <t>main</t>
        </is>
      </c>
      <c r="E3" s="64">
        <f>IF(MAX(_xlfn.MAXIFS('Start Here'!$D$19:$D$58,'Start Here'!$A$19:$A$58,$A3),_xlfn.MAXIFS(Sets!$E$2:$E$26,Sets!$B$2:$B$26,$A3),_xlfn.MAXIFS(Log!$E$2:$E$1001,Log!$B$2:$B$1001,$A3,Log!$A$2:$A$1001,"&lt;"&amp;('Start Here'!$B$8+0)))&gt;0,ROUND(MAX(_xlfn.MAXIFS('Start Here'!$D$19:$D$58,'Start Here'!$A$19:$A$58,$A3),_xlfn.MAXIFS(Sets!$E$2:$E$26,Sets!$B$2:$B$26,$A3),_xlfn.MAXIFS(Log!$E$2:$E$1001,Log!$B$2:$B$1001,$A3,Log!$A$2:$A$1001,"&lt;"&amp;('Start Here'!$B$8+0))),1),"")</f>
        <v/>
      </c>
      <c r="F3" s="64">
        <f>IF(MAX(_xlfn.MAXIFS('Start Here'!$D$19:$D$58,'Start Here'!$A$19:$A$58,$A3),_xlfn.MAXIFS(Sets!$E$2:$E$783,Sets!$B$2:$B$783,$A3),_xlfn.MAXIFS(Log!$E$2:$E$1001,Log!$B$2:$B$1001,$A3,Log!$A$2:$A$1001,"&lt;"&amp;('Start Here'!$B$8+84)))&gt;0,ROUND(MAX(_xlfn.MAXIFS('Start Here'!$D$19:$D$58,'Start Here'!$A$19:$A$58,$A3),_xlfn.MAXIFS(Sets!$E$2:$E$783,Sets!$B$2:$B$783,$A3),_xlfn.MAXIFS(Log!$E$2:$E$1001,Log!$B$2:$B$1001,$A3,Log!$A$2:$A$1001,"&lt;"&amp;('Start Here'!$B$8+84))),1),"")</f>
        <v/>
      </c>
      <c r="G3" s="64">
        <f>IF(MAX(_xlfn.MAXIFS('Start Here'!$D$19:$D$58,'Start Here'!$A$19:$A$58,$A3),_xlfn.MAXIFS(Sets!$E$2:$E$1540,Sets!$B$2:$B$1540,$A3),_xlfn.MAXIFS(Log!$E$2:$E$1001,Log!$B$2:$B$1001,$A3,Log!$A$2:$A$1001,"&lt;"&amp;('Start Here'!$B$8+168)))&gt;0,ROUND(MAX(_xlfn.MAXIFS('Start Here'!$D$19:$D$58,'Start Here'!$A$19:$A$58,$A3),_xlfn.MAXIFS(Sets!$E$2:$E$1540,Sets!$B$2:$B$1540,$A3),_xlfn.MAXIFS(Log!$E$2:$E$1001,Log!$B$2:$B$1001,$A3,Log!$A$2:$A$1001,"&lt;"&amp;('Start Here'!$B$8+168))),1),"")</f>
        <v/>
      </c>
      <c r="H3" s="64">
        <f>IF(MAX(_xlfn.MAXIFS('Start Here'!$D$19:$D$58,'Start Here'!$A$19:$A$58,$A3),_xlfn.MAXIFS(Sets!$E$2:$E$2297,Sets!$B$2:$B$2297,$A3),_xlfn.MAXIFS(Log!$E$2:$E$1001,Log!$B$2:$B$1001,$A3,Log!$A$2:$A$1001,"&lt;"&amp;('Start Here'!$B$8+252)))&gt;0,ROUND(MAX(_xlfn.MAXIFS('Start Here'!$D$19:$D$58,'Start Here'!$A$19:$A$58,$A3),_xlfn.MAXIFS(Sets!$E$2:$E$2297,Sets!$B$2:$B$2297,$A3),_xlfn.MAXIFS(Log!$E$2:$E$1001,Log!$B$2:$B$1001,$A3,Log!$A$2:$A$1001,"&lt;"&amp;('Start Here'!$B$8+252))),1),"")</f>
        <v/>
      </c>
      <c r="I3" s="64">
        <f>IF(MAX(_xlfn.MAXIFS('Start Here'!$D$19:$D$58,'Start Here'!$A$19:$A$58,$A3),_xlfn.MAXIFS(Sets!$E$2:$E$3054,Sets!$B$2:$B$3054,$A3),_xlfn.MAXIFS(Log!$E$2:$E$1001,Log!$B$2:$B$1001,$A3,Log!$A$2:$A$1001,"&lt;"&amp;('Start Here'!$B$8+336)))&gt;0,ROUND(MAX(_xlfn.MAXIFS('Start Here'!$D$19:$D$58,'Start Here'!$A$19:$A$58,$A3),_xlfn.MAXIFS(Sets!$E$2:$E$3054,Sets!$B$2:$B$3054,$A3),_xlfn.MAXIFS(Log!$E$2:$E$1001,Log!$B$2:$B$1001,$A3,Log!$A$2:$A$1001,"&lt;"&amp;('Start Here'!$B$8+336))),1),"")</f>
        <v/>
      </c>
      <c r="J3">
        <f>IF(PRs!C3&gt;0,"logged",IF($B3="variation","estimated",""))</f>
        <v/>
      </c>
    </row>
    <row r="4">
      <c r="A4" s="14" t="inlineStr">
        <is>
          <t>Deadlift</t>
        </is>
      </c>
      <c r="B4" t="inlineStr">
        <is>
          <t>main</t>
        </is>
      </c>
      <c r="E4" s="64">
        <f>IF(MAX(_xlfn.MAXIFS('Start Here'!$D$19:$D$58,'Start Here'!$A$19:$A$58,$A4),_xlfn.MAXIFS(Sets!$E$2:$E$26,Sets!$B$2:$B$26,$A4),_xlfn.MAXIFS(Log!$E$2:$E$1001,Log!$B$2:$B$1001,$A4,Log!$A$2:$A$1001,"&lt;"&amp;('Start Here'!$B$8+0)))&gt;0,ROUND(MAX(_xlfn.MAXIFS('Start Here'!$D$19:$D$58,'Start Here'!$A$19:$A$58,$A4),_xlfn.MAXIFS(Sets!$E$2:$E$26,Sets!$B$2:$B$26,$A4),_xlfn.MAXIFS(Log!$E$2:$E$1001,Log!$B$2:$B$1001,$A4,Log!$A$2:$A$1001,"&lt;"&amp;('Start Here'!$B$8+0))),1),"")</f>
        <v/>
      </c>
      <c r="F4" s="64">
        <f>IF(MAX(_xlfn.MAXIFS('Start Here'!$D$19:$D$58,'Start Here'!$A$19:$A$58,$A4),_xlfn.MAXIFS(Sets!$E$2:$E$783,Sets!$B$2:$B$783,$A4),_xlfn.MAXIFS(Log!$E$2:$E$1001,Log!$B$2:$B$1001,$A4,Log!$A$2:$A$1001,"&lt;"&amp;('Start Here'!$B$8+84)))&gt;0,ROUND(MAX(_xlfn.MAXIFS('Start Here'!$D$19:$D$58,'Start Here'!$A$19:$A$58,$A4),_xlfn.MAXIFS(Sets!$E$2:$E$783,Sets!$B$2:$B$783,$A4),_xlfn.MAXIFS(Log!$E$2:$E$1001,Log!$B$2:$B$1001,$A4,Log!$A$2:$A$1001,"&lt;"&amp;('Start Here'!$B$8+84))),1),"")</f>
        <v/>
      </c>
      <c r="G4" s="64">
        <f>IF(MAX(_xlfn.MAXIFS('Start Here'!$D$19:$D$58,'Start Here'!$A$19:$A$58,$A4),_xlfn.MAXIFS(Sets!$E$2:$E$1540,Sets!$B$2:$B$1540,$A4),_xlfn.MAXIFS(Log!$E$2:$E$1001,Log!$B$2:$B$1001,$A4,Log!$A$2:$A$1001,"&lt;"&amp;('Start Here'!$B$8+168)))&gt;0,ROUND(MAX(_xlfn.MAXIFS('Start Here'!$D$19:$D$58,'Start Here'!$A$19:$A$58,$A4),_xlfn.MAXIFS(Sets!$E$2:$E$1540,Sets!$B$2:$B$1540,$A4),_xlfn.MAXIFS(Log!$E$2:$E$1001,Log!$B$2:$B$1001,$A4,Log!$A$2:$A$1001,"&lt;"&amp;('Start Here'!$B$8+168))),1),"")</f>
        <v/>
      </c>
      <c r="H4" s="64">
        <f>IF(MAX(_xlfn.MAXIFS('Start Here'!$D$19:$D$58,'Start Here'!$A$19:$A$58,$A4),_xlfn.MAXIFS(Sets!$E$2:$E$2297,Sets!$B$2:$B$2297,$A4),_xlfn.MAXIFS(Log!$E$2:$E$1001,Log!$B$2:$B$1001,$A4,Log!$A$2:$A$1001,"&lt;"&amp;('Start Here'!$B$8+252)))&gt;0,ROUND(MAX(_xlfn.MAXIFS('Start Here'!$D$19:$D$58,'Start Here'!$A$19:$A$58,$A4),_xlfn.MAXIFS(Sets!$E$2:$E$2297,Sets!$B$2:$B$2297,$A4),_xlfn.MAXIFS(Log!$E$2:$E$1001,Log!$B$2:$B$1001,$A4,Log!$A$2:$A$1001,"&lt;"&amp;('Start Here'!$B$8+252))),1),"")</f>
        <v/>
      </c>
      <c r="I4" s="64">
        <f>IF(MAX(_xlfn.MAXIFS('Start Here'!$D$19:$D$58,'Start Here'!$A$19:$A$58,$A4),_xlfn.MAXIFS(Sets!$E$2:$E$3054,Sets!$B$2:$B$3054,$A4),_xlfn.MAXIFS(Log!$E$2:$E$1001,Log!$B$2:$B$1001,$A4,Log!$A$2:$A$1001,"&lt;"&amp;('Start Here'!$B$8+336)))&gt;0,ROUND(MAX(_xlfn.MAXIFS('Start Here'!$D$19:$D$58,'Start Here'!$A$19:$A$58,$A4),_xlfn.MAXIFS(Sets!$E$2:$E$3054,Sets!$B$2:$B$3054,$A4),_xlfn.MAXIFS(Log!$E$2:$E$1001,Log!$B$2:$B$1001,$A4,Log!$A$2:$A$1001,"&lt;"&amp;('Start Here'!$B$8+336))),1),"")</f>
        <v/>
      </c>
      <c r="J4">
        <f>IF(PRs!C4&gt;0,"logged",IF($B4="variation","estimated",""))</f>
        <v/>
      </c>
    </row>
    <row r="5">
      <c r="A5" s="14" t="inlineStr">
        <is>
          <t>Overhead Press</t>
        </is>
      </c>
      <c r="B5" t="inlineStr">
        <is>
          <t>main</t>
        </is>
      </c>
      <c r="E5" s="64">
        <f>IF(MAX(_xlfn.MAXIFS('Start Here'!$D$19:$D$58,'Start Here'!$A$19:$A$58,$A5),_xlfn.MAXIFS(Sets!$E$2:$E$26,Sets!$B$2:$B$26,$A5),_xlfn.MAXIFS(Log!$E$2:$E$1001,Log!$B$2:$B$1001,$A5,Log!$A$2:$A$1001,"&lt;"&amp;('Start Here'!$B$8+0)))&gt;0,ROUND(MAX(_xlfn.MAXIFS('Start Here'!$D$19:$D$58,'Start Here'!$A$19:$A$58,$A5),_xlfn.MAXIFS(Sets!$E$2:$E$26,Sets!$B$2:$B$26,$A5),_xlfn.MAXIFS(Log!$E$2:$E$1001,Log!$B$2:$B$1001,$A5,Log!$A$2:$A$1001,"&lt;"&amp;('Start Here'!$B$8+0))),1),"")</f>
        <v/>
      </c>
      <c r="F5" s="64">
        <f>IF(MAX(_xlfn.MAXIFS('Start Here'!$D$19:$D$58,'Start Here'!$A$19:$A$58,$A5),_xlfn.MAXIFS(Sets!$E$2:$E$783,Sets!$B$2:$B$783,$A5),_xlfn.MAXIFS(Log!$E$2:$E$1001,Log!$B$2:$B$1001,$A5,Log!$A$2:$A$1001,"&lt;"&amp;('Start Here'!$B$8+84)))&gt;0,ROUND(MAX(_xlfn.MAXIFS('Start Here'!$D$19:$D$58,'Start Here'!$A$19:$A$58,$A5),_xlfn.MAXIFS(Sets!$E$2:$E$783,Sets!$B$2:$B$783,$A5),_xlfn.MAXIFS(Log!$E$2:$E$1001,Log!$B$2:$B$1001,$A5,Log!$A$2:$A$1001,"&lt;"&amp;('Start Here'!$B$8+84))),1),"")</f>
        <v/>
      </c>
      <c r="G5" s="64">
        <f>IF(MAX(_xlfn.MAXIFS('Start Here'!$D$19:$D$58,'Start Here'!$A$19:$A$58,$A5),_xlfn.MAXIFS(Sets!$E$2:$E$1540,Sets!$B$2:$B$1540,$A5),_xlfn.MAXIFS(Log!$E$2:$E$1001,Log!$B$2:$B$1001,$A5,Log!$A$2:$A$1001,"&lt;"&amp;('Start Here'!$B$8+168)))&gt;0,ROUND(MAX(_xlfn.MAXIFS('Start Here'!$D$19:$D$58,'Start Here'!$A$19:$A$58,$A5),_xlfn.MAXIFS(Sets!$E$2:$E$1540,Sets!$B$2:$B$1540,$A5),_xlfn.MAXIFS(Log!$E$2:$E$1001,Log!$B$2:$B$1001,$A5,Log!$A$2:$A$1001,"&lt;"&amp;('Start Here'!$B$8+168))),1),"")</f>
        <v/>
      </c>
      <c r="H5" s="64">
        <f>IF(MAX(_xlfn.MAXIFS('Start Here'!$D$19:$D$58,'Start Here'!$A$19:$A$58,$A5),_xlfn.MAXIFS(Sets!$E$2:$E$2297,Sets!$B$2:$B$2297,$A5),_xlfn.MAXIFS(Log!$E$2:$E$1001,Log!$B$2:$B$1001,$A5,Log!$A$2:$A$1001,"&lt;"&amp;('Start Here'!$B$8+252)))&gt;0,ROUND(MAX(_xlfn.MAXIFS('Start Here'!$D$19:$D$58,'Start Here'!$A$19:$A$58,$A5),_xlfn.MAXIFS(Sets!$E$2:$E$2297,Sets!$B$2:$B$2297,$A5),_xlfn.MAXIFS(Log!$E$2:$E$1001,Log!$B$2:$B$1001,$A5,Log!$A$2:$A$1001,"&lt;"&amp;('Start Here'!$B$8+252))),1),"")</f>
        <v/>
      </c>
      <c r="I5" s="64">
        <f>IF(MAX(_xlfn.MAXIFS('Start Here'!$D$19:$D$58,'Start Here'!$A$19:$A$58,$A5),_xlfn.MAXIFS(Sets!$E$2:$E$3054,Sets!$B$2:$B$3054,$A5),_xlfn.MAXIFS(Log!$E$2:$E$1001,Log!$B$2:$B$1001,$A5,Log!$A$2:$A$1001,"&lt;"&amp;('Start Here'!$B$8+336)))&gt;0,ROUND(MAX(_xlfn.MAXIFS('Start Here'!$D$19:$D$58,'Start Here'!$A$19:$A$58,$A5),_xlfn.MAXIFS(Sets!$E$2:$E$3054,Sets!$B$2:$B$3054,$A5),_xlfn.MAXIFS(Log!$E$2:$E$1001,Log!$B$2:$B$1001,$A5,Log!$A$2:$A$1001,"&lt;"&amp;('Start Here'!$B$8+336))),1),"")</f>
        <v/>
      </c>
      <c r="J5">
        <f>IF(PRs!C5&gt;0,"logged",IF($B5="variation","estimated",""))</f>
        <v/>
      </c>
    </row>
    <row r="6">
      <c r="A6" s="14" t="inlineStr">
        <is>
          <t>Snatch</t>
        </is>
      </c>
      <c r="B6" t="inlineStr">
        <is>
          <t>main</t>
        </is>
      </c>
      <c r="E6" s="64">
        <f>IF(MAX(_xlfn.MAXIFS('Start Here'!$D$19:$D$58,'Start Here'!$A$19:$A$58,$A6),_xlfn.MAXIFS(Sets!$E$2:$E$26,Sets!$B$2:$B$26,$A6),_xlfn.MAXIFS(Log!$E$2:$E$1001,Log!$B$2:$B$1001,$A6,Log!$A$2:$A$1001,"&lt;"&amp;('Start Here'!$B$8+0)))&gt;0,ROUND(MAX(_xlfn.MAXIFS('Start Here'!$D$19:$D$58,'Start Here'!$A$19:$A$58,$A6),_xlfn.MAXIFS(Sets!$E$2:$E$26,Sets!$B$2:$B$26,$A6),_xlfn.MAXIFS(Log!$E$2:$E$1001,Log!$B$2:$B$1001,$A6,Log!$A$2:$A$1001,"&lt;"&amp;('Start Here'!$B$8+0))),1),"")</f>
        <v/>
      </c>
      <c r="F6" s="64">
        <f>IF(MAX(_xlfn.MAXIFS('Start Here'!$D$19:$D$58,'Start Here'!$A$19:$A$58,$A6),_xlfn.MAXIFS(Sets!$E$2:$E$783,Sets!$B$2:$B$783,$A6),_xlfn.MAXIFS(Log!$E$2:$E$1001,Log!$B$2:$B$1001,$A6,Log!$A$2:$A$1001,"&lt;"&amp;('Start Here'!$B$8+84)))&gt;0,ROUND(MAX(_xlfn.MAXIFS('Start Here'!$D$19:$D$58,'Start Here'!$A$19:$A$58,$A6),_xlfn.MAXIFS(Sets!$E$2:$E$783,Sets!$B$2:$B$783,$A6),_xlfn.MAXIFS(Log!$E$2:$E$1001,Log!$B$2:$B$1001,$A6,Log!$A$2:$A$1001,"&lt;"&amp;('Start Here'!$B$8+84))),1),"")</f>
        <v/>
      </c>
      <c r="G6" s="64">
        <f>IF(MAX(_xlfn.MAXIFS('Start Here'!$D$19:$D$58,'Start Here'!$A$19:$A$58,$A6),_xlfn.MAXIFS(Sets!$E$2:$E$1540,Sets!$B$2:$B$1540,$A6),_xlfn.MAXIFS(Log!$E$2:$E$1001,Log!$B$2:$B$1001,$A6,Log!$A$2:$A$1001,"&lt;"&amp;('Start Here'!$B$8+168)))&gt;0,ROUND(MAX(_xlfn.MAXIFS('Start Here'!$D$19:$D$58,'Start Here'!$A$19:$A$58,$A6),_xlfn.MAXIFS(Sets!$E$2:$E$1540,Sets!$B$2:$B$1540,$A6),_xlfn.MAXIFS(Log!$E$2:$E$1001,Log!$B$2:$B$1001,$A6,Log!$A$2:$A$1001,"&lt;"&amp;('Start Here'!$B$8+168))),1),"")</f>
        <v/>
      </c>
      <c r="H6" s="64">
        <f>IF(MAX(_xlfn.MAXIFS('Start Here'!$D$19:$D$58,'Start Here'!$A$19:$A$58,$A6),_xlfn.MAXIFS(Sets!$E$2:$E$2297,Sets!$B$2:$B$2297,$A6),_xlfn.MAXIFS(Log!$E$2:$E$1001,Log!$B$2:$B$1001,$A6,Log!$A$2:$A$1001,"&lt;"&amp;('Start Here'!$B$8+252)))&gt;0,ROUND(MAX(_xlfn.MAXIFS('Start Here'!$D$19:$D$58,'Start Here'!$A$19:$A$58,$A6),_xlfn.MAXIFS(Sets!$E$2:$E$2297,Sets!$B$2:$B$2297,$A6),_xlfn.MAXIFS(Log!$E$2:$E$1001,Log!$B$2:$B$1001,$A6,Log!$A$2:$A$1001,"&lt;"&amp;('Start Here'!$B$8+252))),1),"")</f>
        <v/>
      </c>
      <c r="I6" s="64">
        <f>IF(MAX(_xlfn.MAXIFS('Start Here'!$D$19:$D$58,'Start Here'!$A$19:$A$58,$A6),_xlfn.MAXIFS(Sets!$E$2:$E$3054,Sets!$B$2:$B$3054,$A6),_xlfn.MAXIFS(Log!$E$2:$E$1001,Log!$B$2:$B$1001,$A6,Log!$A$2:$A$1001,"&lt;"&amp;('Start Here'!$B$8+336)))&gt;0,ROUND(MAX(_xlfn.MAXIFS('Start Here'!$D$19:$D$58,'Start Here'!$A$19:$A$58,$A6),_xlfn.MAXIFS(Sets!$E$2:$E$3054,Sets!$B$2:$B$3054,$A6),_xlfn.MAXIFS(Log!$E$2:$E$1001,Log!$B$2:$B$1001,$A6,Log!$A$2:$A$1001,"&lt;"&amp;('Start Here'!$B$8+336))),1),"")</f>
        <v/>
      </c>
      <c r="J6">
        <f>IF(PRs!C6&gt;0,"logged",IF($B6="variation","estimated",""))</f>
        <v/>
      </c>
    </row>
    <row r="7">
      <c r="A7" s="14" t="inlineStr">
        <is>
          <t>Clean &amp; Jerk</t>
        </is>
      </c>
      <c r="B7" t="inlineStr">
        <is>
          <t>main</t>
        </is>
      </c>
      <c r="E7" s="64">
        <f>IF(MAX(_xlfn.MAXIFS('Start Here'!$D$19:$D$58,'Start Here'!$A$19:$A$58,$A7),_xlfn.MAXIFS(Sets!$E$2:$E$26,Sets!$B$2:$B$26,$A7),_xlfn.MAXIFS(Log!$E$2:$E$1001,Log!$B$2:$B$1001,$A7,Log!$A$2:$A$1001,"&lt;"&amp;('Start Here'!$B$8+0)))&gt;0,ROUND(MAX(_xlfn.MAXIFS('Start Here'!$D$19:$D$58,'Start Here'!$A$19:$A$58,$A7),_xlfn.MAXIFS(Sets!$E$2:$E$26,Sets!$B$2:$B$26,$A7),_xlfn.MAXIFS(Log!$E$2:$E$1001,Log!$B$2:$B$1001,$A7,Log!$A$2:$A$1001,"&lt;"&amp;('Start Here'!$B$8+0))),1),"")</f>
        <v/>
      </c>
      <c r="F7" s="64">
        <f>IF(MAX(_xlfn.MAXIFS('Start Here'!$D$19:$D$58,'Start Here'!$A$19:$A$58,$A7),_xlfn.MAXIFS(Sets!$E$2:$E$783,Sets!$B$2:$B$783,$A7),_xlfn.MAXIFS(Log!$E$2:$E$1001,Log!$B$2:$B$1001,$A7,Log!$A$2:$A$1001,"&lt;"&amp;('Start Here'!$B$8+84)))&gt;0,ROUND(MAX(_xlfn.MAXIFS('Start Here'!$D$19:$D$58,'Start Here'!$A$19:$A$58,$A7),_xlfn.MAXIFS(Sets!$E$2:$E$783,Sets!$B$2:$B$783,$A7),_xlfn.MAXIFS(Log!$E$2:$E$1001,Log!$B$2:$B$1001,$A7,Log!$A$2:$A$1001,"&lt;"&amp;('Start Here'!$B$8+84))),1),"")</f>
        <v/>
      </c>
      <c r="G7" s="64">
        <f>IF(MAX(_xlfn.MAXIFS('Start Here'!$D$19:$D$58,'Start Here'!$A$19:$A$58,$A7),_xlfn.MAXIFS(Sets!$E$2:$E$1540,Sets!$B$2:$B$1540,$A7),_xlfn.MAXIFS(Log!$E$2:$E$1001,Log!$B$2:$B$1001,$A7,Log!$A$2:$A$1001,"&lt;"&amp;('Start Here'!$B$8+168)))&gt;0,ROUND(MAX(_xlfn.MAXIFS('Start Here'!$D$19:$D$58,'Start Here'!$A$19:$A$58,$A7),_xlfn.MAXIFS(Sets!$E$2:$E$1540,Sets!$B$2:$B$1540,$A7),_xlfn.MAXIFS(Log!$E$2:$E$1001,Log!$B$2:$B$1001,$A7,Log!$A$2:$A$1001,"&lt;"&amp;('Start Here'!$B$8+168))),1),"")</f>
        <v/>
      </c>
      <c r="H7" s="64">
        <f>IF(MAX(_xlfn.MAXIFS('Start Here'!$D$19:$D$58,'Start Here'!$A$19:$A$58,$A7),_xlfn.MAXIFS(Sets!$E$2:$E$2297,Sets!$B$2:$B$2297,$A7),_xlfn.MAXIFS(Log!$E$2:$E$1001,Log!$B$2:$B$1001,$A7,Log!$A$2:$A$1001,"&lt;"&amp;('Start Here'!$B$8+252)))&gt;0,ROUND(MAX(_xlfn.MAXIFS('Start Here'!$D$19:$D$58,'Start Here'!$A$19:$A$58,$A7),_xlfn.MAXIFS(Sets!$E$2:$E$2297,Sets!$B$2:$B$2297,$A7),_xlfn.MAXIFS(Log!$E$2:$E$1001,Log!$B$2:$B$1001,$A7,Log!$A$2:$A$1001,"&lt;"&amp;('Start Here'!$B$8+252))),1),"")</f>
        <v/>
      </c>
      <c r="I7" s="64">
        <f>IF(MAX(_xlfn.MAXIFS('Start Here'!$D$19:$D$58,'Start Here'!$A$19:$A$58,$A7),_xlfn.MAXIFS(Sets!$E$2:$E$3054,Sets!$B$2:$B$3054,$A7),_xlfn.MAXIFS(Log!$E$2:$E$1001,Log!$B$2:$B$1001,$A7,Log!$A$2:$A$1001,"&lt;"&amp;('Start Here'!$B$8+336)))&gt;0,ROUND(MAX(_xlfn.MAXIFS('Start Here'!$D$19:$D$58,'Start Here'!$A$19:$A$58,$A7),_xlfn.MAXIFS(Sets!$E$2:$E$3054,Sets!$B$2:$B$3054,$A7),_xlfn.MAXIFS(Log!$E$2:$E$1001,Log!$B$2:$B$1001,$A7,Log!$A$2:$A$1001,"&lt;"&amp;('Start Here'!$B$8+336))),1),"")</f>
        <v/>
      </c>
      <c r="J7">
        <f>IF(PRs!C7&gt;0,"logged",IF($B7="variation","estimated",""))</f>
        <v/>
      </c>
    </row>
    <row r="8">
      <c r="A8" s="24" t="inlineStr">
        <is>
          <t>Box Squat</t>
        </is>
      </c>
      <c r="B8" t="inlineStr">
        <is>
          <t>variation</t>
        </is>
      </c>
      <c r="C8" t="inlineStr">
        <is>
          <t>Squat</t>
        </is>
      </c>
      <c r="D8" t="n">
        <v>0.9</v>
      </c>
      <c r="E8" s="64">
        <f>IF(MAX(_xlfn.MAXIFS('Start Here'!$D$19:$D$58,'Start Here'!$A$19:$A$58,$A8),_xlfn.MAXIFS(Sets!$E$2:$E$26,Sets!$B$2:$B$26,$A8),_xlfn.MAXIFS(Log!$E$2:$E$1001,Log!$B$2:$B$1001,$A8,Log!$A$2:$A$1001,"&lt;"&amp;('Start Here'!$B$8+0)))&gt;0,ROUND(MAX(_xlfn.MAXIFS('Start Here'!$D$19:$D$58,'Start Here'!$A$19:$A$58,$A8),_xlfn.MAXIFS(Sets!$E$2:$E$26,Sets!$B$2:$B$26,$A8),_xlfn.MAXIFS(Log!$E$2:$E$1001,Log!$B$2:$B$1001,$A8,Log!$A$2:$A$1001,"&lt;"&amp;('Start Here'!$B$8+0))),1),IF(N(E2)&gt;0,ROUND(E2*$D8,1),""))</f>
        <v/>
      </c>
      <c r="F8" s="64">
        <f>IF(MAX(_xlfn.MAXIFS('Start Here'!$D$19:$D$58,'Start Here'!$A$19:$A$58,$A8),_xlfn.MAXIFS(Sets!$E$2:$E$783,Sets!$B$2:$B$783,$A8),_xlfn.MAXIFS(Log!$E$2:$E$1001,Log!$B$2:$B$1001,$A8,Log!$A$2:$A$1001,"&lt;"&amp;('Start Here'!$B$8+84)))&gt;0,ROUND(MAX(_xlfn.MAXIFS('Start Here'!$D$19:$D$58,'Start Here'!$A$19:$A$58,$A8),_xlfn.MAXIFS(Sets!$E$2:$E$783,Sets!$B$2:$B$783,$A8),_xlfn.MAXIFS(Log!$E$2:$E$1001,Log!$B$2:$B$1001,$A8,Log!$A$2:$A$1001,"&lt;"&amp;('Start Here'!$B$8+84))),1),IF(N(F2)&gt;0,ROUND(F2*$D8,1),""))</f>
        <v/>
      </c>
      <c r="G8" s="64">
        <f>IF(MAX(_xlfn.MAXIFS('Start Here'!$D$19:$D$58,'Start Here'!$A$19:$A$58,$A8),_xlfn.MAXIFS(Sets!$E$2:$E$1540,Sets!$B$2:$B$1540,$A8),_xlfn.MAXIFS(Log!$E$2:$E$1001,Log!$B$2:$B$1001,$A8,Log!$A$2:$A$1001,"&lt;"&amp;('Start Here'!$B$8+168)))&gt;0,ROUND(MAX(_xlfn.MAXIFS('Start Here'!$D$19:$D$58,'Start Here'!$A$19:$A$58,$A8),_xlfn.MAXIFS(Sets!$E$2:$E$1540,Sets!$B$2:$B$1540,$A8),_xlfn.MAXIFS(Log!$E$2:$E$1001,Log!$B$2:$B$1001,$A8,Log!$A$2:$A$1001,"&lt;"&amp;('Start Here'!$B$8+168))),1),IF(N(G2)&gt;0,ROUND(G2*$D8,1),""))</f>
        <v/>
      </c>
      <c r="H8" s="64">
        <f>IF(MAX(_xlfn.MAXIFS('Start Here'!$D$19:$D$58,'Start Here'!$A$19:$A$58,$A8),_xlfn.MAXIFS(Sets!$E$2:$E$2297,Sets!$B$2:$B$2297,$A8),_xlfn.MAXIFS(Log!$E$2:$E$1001,Log!$B$2:$B$1001,$A8,Log!$A$2:$A$1001,"&lt;"&amp;('Start Here'!$B$8+252)))&gt;0,ROUND(MAX(_xlfn.MAXIFS('Start Here'!$D$19:$D$58,'Start Here'!$A$19:$A$58,$A8),_xlfn.MAXIFS(Sets!$E$2:$E$2297,Sets!$B$2:$B$2297,$A8),_xlfn.MAXIFS(Log!$E$2:$E$1001,Log!$B$2:$B$1001,$A8,Log!$A$2:$A$1001,"&lt;"&amp;('Start Here'!$B$8+252))),1),IF(N(H2)&gt;0,ROUND(H2*$D8,1),""))</f>
        <v/>
      </c>
      <c r="I8" s="64">
        <f>IF(MAX(_xlfn.MAXIFS('Start Here'!$D$19:$D$58,'Start Here'!$A$19:$A$58,$A8),_xlfn.MAXIFS(Sets!$E$2:$E$3054,Sets!$B$2:$B$3054,$A8),_xlfn.MAXIFS(Log!$E$2:$E$1001,Log!$B$2:$B$1001,$A8,Log!$A$2:$A$1001,"&lt;"&amp;('Start Here'!$B$8+336)))&gt;0,ROUND(MAX(_xlfn.MAXIFS('Start Here'!$D$19:$D$58,'Start Here'!$A$19:$A$58,$A8),_xlfn.MAXIFS(Sets!$E$2:$E$3054,Sets!$B$2:$B$3054,$A8),_xlfn.MAXIFS(Log!$E$2:$E$1001,Log!$B$2:$B$1001,$A8,Log!$A$2:$A$1001,"&lt;"&amp;('Start Here'!$B$8+336))),1),IF(N(I2)&gt;0,ROUND(I2*$D8,1),""))</f>
        <v/>
      </c>
      <c r="J8">
        <f>IF(PRs!C8&gt;0,"logged",IF($B8="variation","estimated",""))</f>
        <v/>
      </c>
    </row>
    <row r="9">
      <c r="A9" s="24" t="inlineStr">
        <is>
          <t>Pause Squat</t>
        </is>
      </c>
      <c r="B9" t="inlineStr">
        <is>
          <t>variation</t>
        </is>
      </c>
      <c r="C9" t="inlineStr">
        <is>
          <t>Squat</t>
        </is>
      </c>
      <c r="D9" t="n">
        <v>0.85</v>
      </c>
      <c r="E9" s="64">
        <f>IF(MAX(_xlfn.MAXIFS('Start Here'!$D$19:$D$58,'Start Here'!$A$19:$A$58,$A9),_xlfn.MAXIFS(Sets!$E$2:$E$26,Sets!$B$2:$B$26,$A9),_xlfn.MAXIFS(Log!$E$2:$E$1001,Log!$B$2:$B$1001,$A9,Log!$A$2:$A$1001,"&lt;"&amp;('Start Here'!$B$8+0)))&gt;0,ROUND(MAX(_xlfn.MAXIFS('Start Here'!$D$19:$D$58,'Start Here'!$A$19:$A$58,$A9),_xlfn.MAXIFS(Sets!$E$2:$E$26,Sets!$B$2:$B$26,$A9),_xlfn.MAXIFS(Log!$E$2:$E$1001,Log!$B$2:$B$1001,$A9,Log!$A$2:$A$1001,"&lt;"&amp;('Start Here'!$B$8+0))),1),IF(N(E2)&gt;0,ROUND(E2*$D9,1),""))</f>
        <v/>
      </c>
      <c r="F9" s="64">
        <f>IF(MAX(_xlfn.MAXIFS('Start Here'!$D$19:$D$58,'Start Here'!$A$19:$A$58,$A9),_xlfn.MAXIFS(Sets!$E$2:$E$783,Sets!$B$2:$B$783,$A9),_xlfn.MAXIFS(Log!$E$2:$E$1001,Log!$B$2:$B$1001,$A9,Log!$A$2:$A$1001,"&lt;"&amp;('Start Here'!$B$8+84)))&gt;0,ROUND(MAX(_xlfn.MAXIFS('Start Here'!$D$19:$D$58,'Start Here'!$A$19:$A$58,$A9),_xlfn.MAXIFS(Sets!$E$2:$E$783,Sets!$B$2:$B$783,$A9),_xlfn.MAXIFS(Log!$E$2:$E$1001,Log!$B$2:$B$1001,$A9,Log!$A$2:$A$1001,"&lt;"&amp;('Start Here'!$B$8+84))),1),IF(N(F2)&gt;0,ROUND(F2*$D9,1),""))</f>
        <v/>
      </c>
      <c r="G9" s="64">
        <f>IF(MAX(_xlfn.MAXIFS('Start Here'!$D$19:$D$58,'Start Here'!$A$19:$A$58,$A9),_xlfn.MAXIFS(Sets!$E$2:$E$1540,Sets!$B$2:$B$1540,$A9),_xlfn.MAXIFS(Log!$E$2:$E$1001,Log!$B$2:$B$1001,$A9,Log!$A$2:$A$1001,"&lt;"&amp;('Start Here'!$B$8+168)))&gt;0,ROUND(MAX(_xlfn.MAXIFS('Start Here'!$D$19:$D$58,'Start Here'!$A$19:$A$58,$A9),_xlfn.MAXIFS(Sets!$E$2:$E$1540,Sets!$B$2:$B$1540,$A9),_xlfn.MAXIFS(Log!$E$2:$E$1001,Log!$B$2:$B$1001,$A9,Log!$A$2:$A$1001,"&lt;"&amp;('Start Here'!$B$8+168))),1),IF(N(G2)&gt;0,ROUND(G2*$D9,1),""))</f>
        <v/>
      </c>
      <c r="H9" s="64">
        <f>IF(MAX(_xlfn.MAXIFS('Start Here'!$D$19:$D$58,'Start Here'!$A$19:$A$58,$A9),_xlfn.MAXIFS(Sets!$E$2:$E$2297,Sets!$B$2:$B$2297,$A9),_xlfn.MAXIFS(Log!$E$2:$E$1001,Log!$B$2:$B$1001,$A9,Log!$A$2:$A$1001,"&lt;"&amp;('Start Here'!$B$8+252)))&gt;0,ROUND(MAX(_xlfn.MAXIFS('Start Here'!$D$19:$D$58,'Start Here'!$A$19:$A$58,$A9),_xlfn.MAXIFS(Sets!$E$2:$E$2297,Sets!$B$2:$B$2297,$A9),_xlfn.MAXIFS(Log!$E$2:$E$1001,Log!$B$2:$B$1001,$A9,Log!$A$2:$A$1001,"&lt;"&amp;('Start Here'!$B$8+252))),1),IF(N(H2)&gt;0,ROUND(H2*$D9,1),""))</f>
        <v/>
      </c>
      <c r="I9" s="64">
        <f>IF(MAX(_xlfn.MAXIFS('Start Here'!$D$19:$D$58,'Start Here'!$A$19:$A$58,$A9),_xlfn.MAXIFS(Sets!$E$2:$E$3054,Sets!$B$2:$B$3054,$A9),_xlfn.MAXIFS(Log!$E$2:$E$1001,Log!$B$2:$B$1001,$A9,Log!$A$2:$A$1001,"&lt;"&amp;('Start Here'!$B$8+336)))&gt;0,ROUND(MAX(_xlfn.MAXIFS('Start Here'!$D$19:$D$58,'Start Here'!$A$19:$A$58,$A9),_xlfn.MAXIFS(Sets!$E$2:$E$3054,Sets!$B$2:$B$3054,$A9),_xlfn.MAXIFS(Log!$E$2:$E$1001,Log!$B$2:$B$1001,$A9,Log!$A$2:$A$1001,"&lt;"&amp;('Start Here'!$B$8+336))),1),IF(N(I2)&gt;0,ROUND(I2*$D9,1),""))</f>
        <v/>
      </c>
      <c r="J9">
        <f>IF(PRs!C9&gt;0,"logged",IF($B9="variation","estimated",""))</f>
        <v/>
      </c>
    </row>
    <row r="10">
      <c r="A10" s="24" t="inlineStr">
        <is>
          <t>Front Squat</t>
        </is>
      </c>
      <c r="B10" t="inlineStr">
        <is>
          <t>variation</t>
        </is>
      </c>
      <c r="C10" t="inlineStr">
        <is>
          <t>Squat</t>
        </is>
      </c>
      <c r="D10" t="n">
        <v>0.8</v>
      </c>
      <c r="E10" s="64">
        <f>IF(MAX(_xlfn.MAXIFS('Start Here'!$D$19:$D$58,'Start Here'!$A$19:$A$58,$A10),_xlfn.MAXIFS(Sets!$E$2:$E$26,Sets!$B$2:$B$26,$A10),_xlfn.MAXIFS(Log!$E$2:$E$1001,Log!$B$2:$B$1001,$A10,Log!$A$2:$A$1001,"&lt;"&amp;('Start Here'!$B$8+0)))&gt;0,ROUND(MAX(_xlfn.MAXIFS('Start Here'!$D$19:$D$58,'Start Here'!$A$19:$A$58,$A10),_xlfn.MAXIFS(Sets!$E$2:$E$26,Sets!$B$2:$B$26,$A10),_xlfn.MAXIFS(Log!$E$2:$E$1001,Log!$B$2:$B$1001,$A10,Log!$A$2:$A$1001,"&lt;"&amp;('Start Here'!$B$8+0))),1),IF(N(E2)&gt;0,ROUND(E2*$D10,1),""))</f>
        <v/>
      </c>
      <c r="F10" s="64">
        <f>IF(MAX(_xlfn.MAXIFS('Start Here'!$D$19:$D$58,'Start Here'!$A$19:$A$58,$A10),_xlfn.MAXIFS(Sets!$E$2:$E$783,Sets!$B$2:$B$783,$A10),_xlfn.MAXIFS(Log!$E$2:$E$1001,Log!$B$2:$B$1001,$A10,Log!$A$2:$A$1001,"&lt;"&amp;('Start Here'!$B$8+84)))&gt;0,ROUND(MAX(_xlfn.MAXIFS('Start Here'!$D$19:$D$58,'Start Here'!$A$19:$A$58,$A10),_xlfn.MAXIFS(Sets!$E$2:$E$783,Sets!$B$2:$B$783,$A10),_xlfn.MAXIFS(Log!$E$2:$E$1001,Log!$B$2:$B$1001,$A10,Log!$A$2:$A$1001,"&lt;"&amp;('Start Here'!$B$8+84))),1),IF(N(F2)&gt;0,ROUND(F2*$D10,1),""))</f>
        <v/>
      </c>
      <c r="G10" s="64">
        <f>IF(MAX(_xlfn.MAXIFS('Start Here'!$D$19:$D$58,'Start Here'!$A$19:$A$58,$A10),_xlfn.MAXIFS(Sets!$E$2:$E$1540,Sets!$B$2:$B$1540,$A10),_xlfn.MAXIFS(Log!$E$2:$E$1001,Log!$B$2:$B$1001,$A10,Log!$A$2:$A$1001,"&lt;"&amp;('Start Here'!$B$8+168)))&gt;0,ROUND(MAX(_xlfn.MAXIFS('Start Here'!$D$19:$D$58,'Start Here'!$A$19:$A$58,$A10),_xlfn.MAXIFS(Sets!$E$2:$E$1540,Sets!$B$2:$B$1540,$A10),_xlfn.MAXIFS(Log!$E$2:$E$1001,Log!$B$2:$B$1001,$A10,Log!$A$2:$A$1001,"&lt;"&amp;('Start Here'!$B$8+168))),1),IF(N(G2)&gt;0,ROUND(G2*$D10,1),""))</f>
        <v/>
      </c>
      <c r="H10" s="64">
        <f>IF(MAX(_xlfn.MAXIFS('Start Here'!$D$19:$D$58,'Start Here'!$A$19:$A$58,$A10),_xlfn.MAXIFS(Sets!$E$2:$E$2297,Sets!$B$2:$B$2297,$A10),_xlfn.MAXIFS(Log!$E$2:$E$1001,Log!$B$2:$B$1001,$A10,Log!$A$2:$A$1001,"&lt;"&amp;('Start Here'!$B$8+252)))&gt;0,ROUND(MAX(_xlfn.MAXIFS('Start Here'!$D$19:$D$58,'Start Here'!$A$19:$A$58,$A10),_xlfn.MAXIFS(Sets!$E$2:$E$2297,Sets!$B$2:$B$2297,$A10),_xlfn.MAXIFS(Log!$E$2:$E$1001,Log!$B$2:$B$1001,$A10,Log!$A$2:$A$1001,"&lt;"&amp;('Start Here'!$B$8+252))),1),IF(N(H2)&gt;0,ROUND(H2*$D10,1),""))</f>
        <v/>
      </c>
      <c r="I10" s="64">
        <f>IF(MAX(_xlfn.MAXIFS('Start Here'!$D$19:$D$58,'Start Here'!$A$19:$A$58,$A10),_xlfn.MAXIFS(Sets!$E$2:$E$3054,Sets!$B$2:$B$3054,$A10),_xlfn.MAXIFS(Log!$E$2:$E$1001,Log!$B$2:$B$1001,$A10,Log!$A$2:$A$1001,"&lt;"&amp;('Start Here'!$B$8+336)))&gt;0,ROUND(MAX(_xlfn.MAXIFS('Start Here'!$D$19:$D$58,'Start Here'!$A$19:$A$58,$A10),_xlfn.MAXIFS(Sets!$E$2:$E$3054,Sets!$B$2:$B$3054,$A10),_xlfn.MAXIFS(Log!$E$2:$E$1001,Log!$B$2:$B$1001,$A10,Log!$A$2:$A$1001,"&lt;"&amp;('Start Here'!$B$8+336))),1),IF(N(I2)&gt;0,ROUND(I2*$D10,1),""))</f>
        <v/>
      </c>
      <c r="J10">
        <f>IF(PRs!C10&gt;0,"logged",IF($B10="variation","estimated",""))</f>
        <v/>
      </c>
    </row>
    <row r="11">
      <c r="A11" s="24" t="inlineStr">
        <is>
          <t>Safety Bar Squat</t>
        </is>
      </c>
      <c r="B11" t="inlineStr">
        <is>
          <t>variation</t>
        </is>
      </c>
      <c r="C11" t="inlineStr">
        <is>
          <t>Squat</t>
        </is>
      </c>
      <c r="D11" t="n">
        <v>0.9</v>
      </c>
      <c r="E11" s="64">
        <f>IF(MAX(_xlfn.MAXIFS('Start Here'!$D$19:$D$58,'Start Here'!$A$19:$A$58,$A11),_xlfn.MAXIFS(Sets!$E$2:$E$26,Sets!$B$2:$B$26,$A11),_xlfn.MAXIFS(Log!$E$2:$E$1001,Log!$B$2:$B$1001,$A11,Log!$A$2:$A$1001,"&lt;"&amp;('Start Here'!$B$8+0)))&gt;0,ROUND(MAX(_xlfn.MAXIFS('Start Here'!$D$19:$D$58,'Start Here'!$A$19:$A$58,$A11),_xlfn.MAXIFS(Sets!$E$2:$E$26,Sets!$B$2:$B$26,$A11),_xlfn.MAXIFS(Log!$E$2:$E$1001,Log!$B$2:$B$1001,$A11,Log!$A$2:$A$1001,"&lt;"&amp;('Start Here'!$B$8+0))),1),IF(N(E2)&gt;0,ROUND(E2*$D11,1),""))</f>
        <v/>
      </c>
      <c r="F11" s="64">
        <f>IF(MAX(_xlfn.MAXIFS('Start Here'!$D$19:$D$58,'Start Here'!$A$19:$A$58,$A11),_xlfn.MAXIFS(Sets!$E$2:$E$783,Sets!$B$2:$B$783,$A11),_xlfn.MAXIFS(Log!$E$2:$E$1001,Log!$B$2:$B$1001,$A11,Log!$A$2:$A$1001,"&lt;"&amp;('Start Here'!$B$8+84)))&gt;0,ROUND(MAX(_xlfn.MAXIFS('Start Here'!$D$19:$D$58,'Start Here'!$A$19:$A$58,$A11),_xlfn.MAXIFS(Sets!$E$2:$E$783,Sets!$B$2:$B$783,$A11),_xlfn.MAXIFS(Log!$E$2:$E$1001,Log!$B$2:$B$1001,$A11,Log!$A$2:$A$1001,"&lt;"&amp;('Start Here'!$B$8+84))),1),IF(N(F2)&gt;0,ROUND(F2*$D11,1),""))</f>
        <v/>
      </c>
      <c r="G11" s="64">
        <f>IF(MAX(_xlfn.MAXIFS('Start Here'!$D$19:$D$58,'Start Here'!$A$19:$A$58,$A11),_xlfn.MAXIFS(Sets!$E$2:$E$1540,Sets!$B$2:$B$1540,$A11),_xlfn.MAXIFS(Log!$E$2:$E$1001,Log!$B$2:$B$1001,$A11,Log!$A$2:$A$1001,"&lt;"&amp;('Start Here'!$B$8+168)))&gt;0,ROUND(MAX(_xlfn.MAXIFS('Start Here'!$D$19:$D$58,'Start Here'!$A$19:$A$58,$A11),_xlfn.MAXIFS(Sets!$E$2:$E$1540,Sets!$B$2:$B$1540,$A11),_xlfn.MAXIFS(Log!$E$2:$E$1001,Log!$B$2:$B$1001,$A11,Log!$A$2:$A$1001,"&lt;"&amp;('Start Here'!$B$8+168))),1),IF(N(G2)&gt;0,ROUND(G2*$D11,1),""))</f>
        <v/>
      </c>
      <c r="H11" s="64">
        <f>IF(MAX(_xlfn.MAXIFS('Start Here'!$D$19:$D$58,'Start Here'!$A$19:$A$58,$A11),_xlfn.MAXIFS(Sets!$E$2:$E$2297,Sets!$B$2:$B$2297,$A11),_xlfn.MAXIFS(Log!$E$2:$E$1001,Log!$B$2:$B$1001,$A11,Log!$A$2:$A$1001,"&lt;"&amp;('Start Here'!$B$8+252)))&gt;0,ROUND(MAX(_xlfn.MAXIFS('Start Here'!$D$19:$D$58,'Start Here'!$A$19:$A$58,$A11),_xlfn.MAXIFS(Sets!$E$2:$E$2297,Sets!$B$2:$B$2297,$A11),_xlfn.MAXIFS(Log!$E$2:$E$1001,Log!$B$2:$B$1001,$A11,Log!$A$2:$A$1001,"&lt;"&amp;('Start Here'!$B$8+252))),1),IF(N(H2)&gt;0,ROUND(H2*$D11,1),""))</f>
        <v/>
      </c>
      <c r="I11" s="64">
        <f>IF(MAX(_xlfn.MAXIFS('Start Here'!$D$19:$D$58,'Start Here'!$A$19:$A$58,$A11),_xlfn.MAXIFS(Sets!$E$2:$E$3054,Sets!$B$2:$B$3054,$A11),_xlfn.MAXIFS(Log!$E$2:$E$1001,Log!$B$2:$B$1001,$A11,Log!$A$2:$A$1001,"&lt;"&amp;('Start Here'!$B$8+336)))&gt;0,ROUND(MAX(_xlfn.MAXIFS('Start Here'!$D$19:$D$58,'Start Here'!$A$19:$A$58,$A11),_xlfn.MAXIFS(Sets!$E$2:$E$3054,Sets!$B$2:$B$3054,$A11),_xlfn.MAXIFS(Log!$E$2:$E$1001,Log!$B$2:$B$1001,$A11,Log!$A$2:$A$1001,"&lt;"&amp;('Start Here'!$B$8+336))),1),IF(N(I2)&gt;0,ROUND(I2*$D11,1),""))</f>
        <v/>
      </c>
      <c r="J11">
        <f>IF(PRs!C11&gt;0,"logged",IF($B11="variation","estimated",""))</f>
        <v/>
      </c>
    </row>
    <row r="12">
      <c r="A12" s="24" t="inlineStr">
        <is>
          <t>Pin Squat</t>
        </is>
      </c>
      <c r="B12" t="inlineStr">
        <is>
          <t>variation</t>
        </is>
      </c>
      <c r="C12" t="inlineStr">
        <is>
          <t>Squat</t>
        </is>
      </c>
      <c r="D12" t="n">
        <v>0.85</v>
      </c>
      <c r="E12" s="64">
        <f>IF(MAX(_xlfn.MAXIFS('Start Here'!$D$19:$D$58,'Start Here'!$A$19:$A$58,$A12),_xlfn.MAXIFS(Sets!$E$2:$E$26,Sets!$B$2:$B$26,$A12),_xlfn.MAXIFS(Log!$E$2:$E$1001,Log!$B$2:$B$1001,$A12,Log!$A$2:$A$1001,"&lt;"&amp;('Start Here'!$B$8+0)))&gt;0,ROUND(MAX(_xlfn.MAXIFS('Start Here'!$D$19:$D$58,'Start Here'!$A$19:$A$58,$A12),_xlfn.MAXIFS(Sets!$E$2:$E$26,Sets!$B$2:$B$26,$A12),_xlfn.MAXIFS(Log!$E$2:$E$1001,Log!$B$2:$B$1001,$A12,Log!$A$2:$A$1001,"&lt;"&amp;('Start Here'!$B$8+0))),1),IF(N(E2)&gt;0,ROUND(E2*$D12,1),""))</f>
        <v/>
      </c>
      <c r="F12" s="64">
        <f>IF(MAX(_xlfn.MAXIFS('Start Here'!$D$19:$D$58,'Start Here'!$A$19:$A$58,$A12),_xlfn.MAXIFS(Sets!$E$2:$E$783,Sets!$B$2:$B$783,$A12),_xlfn.MAXIFS(Log!$E$2:$E$1001,Log!$B$2:$B$1001,$A12,Log!$A$2:$A$1001,"&lt;"&amp;('Start Here'!$B$8+84)))&gt;0,ROUND(MAX(_xlfn.MAXIFS('Start Here'!$D$19:$D$58,'Start Here'!$A$19:$A$58,$A12),_xlfn.MAXIFS(Sets!$E$2:$E$783,Sets!$B$2:$B$783,$A12),_xlfn.MAXIFS(Log!$E$2:$E$1001,Log!$B$2:$B$1001,$A12,Log!$A$2:$A$1001,"&lt;"&amp;('Start Here'!$B$8+84))),1),IF(N(F2)&gt;0,ROUND(F2*$D12,1),""))</f>
        <v/>
      </c>
      <c r="G12" s="64">
        <f>IF(MAX(_xlfn.MAXIFS('Start Here'!$D$19:$D$58,'Start Here'!$A$19:$A$58,$A12),_xlfn.MAXIFS(Sets!$E$2:$E$1540,Sets!$B$2:$B$1540,$A12),_xlfn.MAXIFS(Log!$E$2:$E$1001,Log!$B$2:$B$1001,$A12,Log!$A$2:$A$1001,"&lt;"&amp;('Start Here'!$B$8+168)))&gt;0,ROUND(MAX(_xlfn.MAXIFS('Start Here'!$D$19:$D$58,'Start Here'!$A$19:$A$58,$A12),_xlfn.MAXIFS(Sets!$E$2:$E$1540,Sets!$B$2:$B$1540,$A12),_xlfn.MAXIFS(Log!$E$2:$E$1001,Log!$B$2:$B$1001,$A12,Log!$A$2:$A$1001,"&lt;"&amp;('Start Here'!$B$8+168))),1),IF(N(G2)&gt;0,ROUND(G2*$D12,1),""))</f>
        <v/>
      </c>
      <c r="H12" s="64">
        <f>IF(MAX(_xlfn.MAXIFS('Start Here'!$D$19:$D$58,'Start Here'!$A$19:$A$58,$A12),_xlfn.MAXIFS(Sets!$E$2:$E$2297,Sets!$B$2:$B$2297,$A12),_xlfn.MAXIFS(Log!$E$2:$E$1001,Log!$B$2:$B$1001,$A12,Log!$A$2:$A$1001,"&lt;"&amp;('Start Here'!$B$8+252)))&gt;0,ROUND(MAX(_xlfn.MAXIFS('Start Here'!$D$19:$D$58,'Start Here'!$A$19:$A$58,$A12),_xlfn.MAXIFS(Sets!$E$2:$E$2297,Sets!$B$2:$B$2297,$A12),_xlfn.MAXIFS(Log!$E$2:$E$1001,Log!$B$2:$B$1001,$A12,Log!$A$2:$A$1001,"&lt;"&amp;('Start Here'!$B$8+252))),1),IF(N(H2)&gt;0,ROUND(H2*$D12,1),""))</f>
        <v/>
      </c>
      <c r="I12" s="64">
        <f>IF(MAX(_xlfn.MAXIFS('Start Here'!$D$19:$D$58,'Start Here'!$A$19:$A$58,$A12),_xlfn.MAXIFS(Sets!$E$2:$E$3054,Sets!$B$2:$B$3054,$A12),_xlfn.MAXIFS(Log!$E$2:$E$1001,Log!$B$2:$B$1001,$A12,Log!$A$2:$A$1001,"&lt;"&amp;('Start Here'!$B$8+336)))&gt;0,ROUND(MAX(_xlfn.MAXIFS('Start Here'!$D$19:$D$58,'Start Here'!$A$19:$A$58,$A12),_xlfn.MAXIFS(Sets!$E$2:$E$3054,Sets!$B$2:$B$3054,$A12),_xlfn.MAXIFS(Log!$E$2:$E$1001,Log!$B$2:$B$1001,$A12,Log!$A$2:$A$1001,"&lt;"&amp;('Start Here'!$B$8+336))),1),IF(N(I2)&gt;0,ROUND(I2*$D12,1),""))</f>
        <v/>
      </c>
      <c r="J12">
        <f>IF(PRs!C12&gt;0,"logged",IF($B12="variation","estimated",""))</f>
        <v/>
      </c>
    </row>
    <row r="13">
      <c r="A13" s="24" t="inlineStr">
        <is>
          <t>Tempo Squat</t>
        </is>
      </c>
      <c r="B13" t="inlineStr">
        <is>
          <t>variation</t>
        </is>
      </c>
      <c r="C13" t="inlineStr">
        <is>
          <t>Squat</t>
        </is>
      </c>
      <c r="D13" t="n">
        <v>0.8</v>
      </c>
      <c r="E13" s="64">
        <f>IF(MAX(_xlfn.MAXIFS('Start Here'!$D$19:$D$58,'Start Here'!$A$19:$A$58,$A13),_xlfn.MAXIFS(Sets!$E$2:$E$26,Sets!$B$2:$B$26,$A13),_xlfn.MAXIFS(Log!$E$2:$E$1001,Log!$B$2:$B$1001,$A13,Log!$A$2:$A$1001,"&lt;"&amp;('Start Here'!$B$8+0)))&gt;0,ROUND(MAX(_xlfn.MAXIFS('Start Here'!$D$19:$D$58,'Start Here'!$A$19:$A$58,$A13),_xlfn.MAXIFS(Sets!$E$2:$E$26,Sets!$B$2:$B$26,$A13),_xlfn.MAXIFS(Log!$E$2:$E$1001,Log!$B$2:$B$1001,$A13,Log!$A$2:$A$1001,"&lt;"&amp;('Start Here'!$B$8+0))),1),IF(N(E2)&gt;0,ROUND(E2*$D13,1),""))</f>
        <v/>
      </c>
      <c r="F13" s="64">
        <f>IF(MAX(_xlfn.MAXIFS('Start Here'!$D$19:$D$58,'Start Here'!$A$19:$A$58,$A13),_xlfn.MAXIFS(Sets!$E$2:$E$783,Sets!$B$2:$B$783,$A13),_xlfn.MAXIFS(Log!$E$2:$E$1001,Log!$B$2:$B$1001,$A13,Log!$A$2:$A$1001,"&lt;"&amp;('Start Here'!$B$8+84)))&gt;0,ROUND(MAX(_xlfn.MAXIFS('Start Here'!$D$19:$D$58,'Start Here'!$A$19:$A$58,$A13),_xlfn.MAXIFS(Sets!$E$2:$E$783,Sets!$B$2:$B$783,$A13),_xlfn.MAXIFS(Log!$E$2:$E$1001,Log!$B$2:$B$1001,$A13,Log!$A$2:$A$1001,"&lt;"&amp;('Start Here'!$B$8+84))),1),IF(N(F2)&gt;0,ROUND(F2*$D13,1),""))</f>
        <v/>
      </c>
      <c r="G13" s="64">
        <f>IF(MAX(_xlfn.MAXIFS('Start Here'!$D$19:$D$58,'Start Here'!$A$19:$A$58,$A13),_xlfn.MAXIFS(Sets!$E$2:$E$1540,Sets!$B$2:$B$1540,$A13),_xlfn.MAXIFS(Log!$E$2:$E$1001,Log!$B$2:$B$1001,$A13,Log!$A$2:$A$1001,"&lt;"&amp;('Start Here'!$B$8+168)))&gt;0,ROUND(MAX(_xlfn.MAXIFS('Start Here'!$D$19:$D$58,'Start Here'!$A$19:$A$58,$A13),_xlfn.MAXIFS(Sets!$E$2:$E$1540,Sets!$B$2:$B$1540,$A13),_xlfn.MAXIFS(Log!$E$2:$E$1001,Log!$B$2:$B$1001,$A13,Log!$A$2:$A$1001,"&lt;"&amp;('Start Here'!$B$8+168))),1),IF(N(G2)&gt;0,ROUND(G2*$D13,1),""))</f>
        <v/>
      </c>
      <c r="H13" s="64">
        <f>IF(MAX(_xlfn.MAXIFS('Start Here'!$D$19:$D$58,'Start Here'!$A$19:$A$58,$A13),_xlfn.MAXIFS(Sets!$E$2:$E$2297,Sets!$B$2:$B$2297,$A13),_xlfn.MAXIFS(Log!$E$2:$E$1001,Log!$B$2:$B$1001,$A13,Log!$A$2:$A$1001,"&lt;"&amp;('Start Here'!$B$8+252)))&gt;0,ROUND(MAX(_xlfn.MAXIFS('Start Here'!$D$19:$D$58,'Start Here'!$A$19:$A$58,$A13),_xlfn.MAXIFS(Sets!$E$2:$E$2297,Sets!$B$2:$B$2297,$A13),_xlfn.MAXIFS(Log!$E$2:$E$1001,Log!$B$2:$B$1001,$A13,Log!$A$2:$A$1001,"&lt;"&amp;('Start Here'!$B$8+252))),1),IF(N(H2)&gt;0,ROUND(H2*$D13,1),""))</f>
        <v/>
      </c>
      <c r="I13" s="64">
        <f>IF(MAX(_xlfn.MAXIFS('Start Here'!$D$19:$D$58,'Start Here'!$A$19:$A$58,$A13),_xlfn.MAXIFS(Sets!$E$2:$E$3054,Sets!$B$2:$B$3054,$A13),_xlfn.MAXIFS(Log!$E$2:$E$1001,Log!$B$2:$B$1001,$A13,Log!$A$2:$A$1001,"&lt;"&amp;('Start Here'!$B$8+336)))&gt;0,ROUND(MAX(_xlfn.MAXIFS('Start Here'!$D$19:$D$58,'Start Here'!$A$19:$A$58,$A13),_xlfn.MAXIFS(Sets!$E$2:$E$3054,Sets!$B$2:$B$3054,$A13),_xlfn.MAXIFS(Log!$E$2:$E$1001,Log!$B$2:$B$1001,$A13,Log!$A$2:$A$1001,"&lt;"&amp;('Start Here'!$B$8+336))),1),IF(N(I2)&gt;0,ROUND(I2*$D13,1),""))</f>
        <v/>
      </c>
      <c r="J13">
        <f>IF(PRs!C13&gt;0,"logged",IF($B13="variation","estimated",""))</f>
        <v/>
      </c>
    </row>
    <row r="14">
      <c r="A14" s="24" t="inlineStr">
        <is>
          <t>Close-Grip Bench Press</t>
        </is>
      </c>
      <c r="B14" t="inlineStr">
        <is>
          <t>variation</t>
        </is>
      </c>
      <c r="C14" t="inlineStr">
        <is>
          <t>Bench Press</t>
        </is>
      </c>
      <c r="D14" t="n">
        <v>0.92</v>
      </c>
      <c r="E14" s="64">
        <f>IF(MAX(_xlfn.MAXIFS('Start Here'!$D$19:$D$58,'Start Here'!$A$19:$A$58,$A14),_xlfn.MAXIFS(Sets!$E$2:$E$26,Sets!$B$2:$B$26,$A14),_xlfn.MAXIFS(Log!$E$2:$E$1001,Log!$B$2:$B$1001,$A14,Log!$A$2:$A$1001,"&lt;"&amp;('Start Here'!$B$8+0)))&gt;0,ROUND(MAX(_xlfn.MAXIFS('Start Here'!$D$19:$D$58,'Start Here'!$A$19:$A$58,$A14),_xlfn.MAXIFS(Sets!$E$2:$E$26,Sets!$B$2:$B$26,$A14),_xlfn.MAXIFS(Log!$E$2:$E$1001,Log!$B$2:$B$1001,$A14,Log!$A$2:$A$1001,"&lt;"&amp;('Start Here'!$B$8+0))),1),IF(N(E3)&gt;0,ROUND(E3*$D14,1),""))</f>
        <v/>
      </c>
      <c r="F14" s="64">
        <f>IF(MAX(_xlfn.MAXIFS('Start Here'!$D$19:$D$58,'Start Here'!$A$19:$A$58,$A14),_xlfn.MAXIFS(Sets!$E$2:$E$783,Sets!$B$2:$B$783,$A14),_xlfn.MAXIFS(Log!$E$2:$E$1001,Log!$B$2:$B$1001,$A14,Log!$A$2:$A$1001,"&lt;"&amp;('Start Here'!$B$8+84)))&gt;0,ROUND(MAX(_xlfn.MAXIFS('Start Here'!$D$19:$D$58,'Start Here'!$A$19:$A$58,$A14),_xlfn.MAXIFS(Sets!$E$2:$E$783,Sets!$B$2:$B$783,$A14),_xlfn.MAXIFS(Log!$E$2:$E$1001,Log!$B$2:$B$1001,$A14,Log!$A$2:$A$1001,"&lt;"&amp;('Start Here'!$B$8+84))),1),IF(N(F3)&gt;0,ROUND(F3*$D14,1),""))</f>
        <v/>
      </c>
      <c r="G14" s="64">
        <f>IF(MAX(_xlfn.MAXIFS('Start Here'!$D$19:$D$58,'Start Here'!$A$19:$A$58,$A14),_xlfn.MAXIFS(Sets!$E$2:$E$1540,Sets!$B$2:$B$1540,$A14),_xlfn.MAXIFS(Log!$E$2:$E$1001,Log!$B$2:$B$1001,$A14,Log!$A$2:$A$1001,"&lt;"&amp;('Start Here'!$B$8+168)))&gt;0,ROUND(MAX(_xlfn.MAXIFS('Start Here'!$D$19:$D$58,'Start Here'!$A$19:$A$58,$A14),_xlfn.MAXIFS(Sets!$E$2:$E$1540,Sets!$B$2:$B$1540,$A14),_xlfn.MAXIFS(Log!$E$2:$E$1001,Log!$B$2:$B$1001,$A14,Log!$A$2:$A$1001,"&lt;"&amp;('Start Here'!$B$8+168))),1),IF(N(G3)&gt;0,ROUND(G3*$D14,1),""))</f>
        <v/>
      </c>
      <c r="H14" s="64">
        <f>IF(MAX(_xlfn.MAXIFS('Start Here'!$D$19:$D$58,'Start Here'!$A$19:$A$58,$A14),_xlfn.MAXIFS(Sets!$E$2:$E$2297,Sets!$B$2:$B$2297,$A14),_xlfn.MAXIFS(Log!$E$2:$E$1001,Log!$B$2:$B$1001,$A14,Log!$A$2:$A$1001,"&lt;"&amp;('Start Here'!$B$8+252)))&gt;0,ROUND(MAX(_xlfn.MAXIFS('Start Here'!$D$19:$D$58,'Start Here'!$A$19:$A$58,$A14),_xlfn.MAXIFS(Sets!$E$2:$E$2297,Sets!$B$2:$B$2297,$A14),_xlfn.MAXIFS(Log!$E$2:$E$1001,Log!$B$2:$B$1001,$A14,Log!$A$2:$A$1001,"&lt;"&amp;('Start Here'!$B$8+252))),1),IF(N(H3)&gt;0,ROUND(H3*$D14,1),""))</f>
        <v/>
      </c>
      <c r="I14" s="64">
        <f>IF(MAX(_xlfn.MAXIFS('Start Here'!$D$19:$D$58,'Start Here'!$A$19:$A$58,$A14),_xlfn.MAXIFS(Sets!$E$2:$E$3054,Sets!$B$2:$B$3054,$A14),_xlfn.MAXIFS(Log!$E$2:$E$1001,Log!$B$2:$B$1001,$A14,Log!$A$2:$A$1001,"&lt;"&amp;('Start Here'!$B$8+336)))&gt;0,ROUND(MAX(_xlfn.MAXIFS('Start Here'!$D$19:$D$58,'Start Here'!$A$19:$A$58,$A14),_xlfn.MAXIFS(Sets!$E$2:$E$3054,Sets!$B$2:$B$3054,$A14),_xlfn.MAXIFS(Log!$E$2:$E$1001,Log!$B$2:$B$1001,$A14,Log!$A$2:$A$1001,"&lt;"&amp;('Start Here'!$B$8+336))),1),IF(N(I3)&gt;0,ROUND(I3*$D14,1),""))</f>
        <v/>
      </c>
      <c r="J14">
        <f>IF(PRs!C14&gt;0,"logged",IF($B14="variation","estimated",""))</f>
        <v/>
      </c>
    </row>
    <row r="15">
      <c r="A15" s="24" t="inlineStr">
        <is>
          <t>1-Board Press</t>
        </is>
      </c>
      <c r="B15" t="inlineStr">
        <is>
          <t>variation</t>
        </is>
      </c>
      <c r="C15" t="inlineStr">
        <is>
          <t>Bench Press</t>
        </is>
      </c>
      <c r="D15" t="n">
        <v>1.03</v>
      </c>
      <c r="E15" s="64">
        <f>IF(MAX(_xlfn.MAXIFS('Start Here'!$D$19:$D$58,'Start Here'!$A$19:$A$58,$A15),_xlfn.MAXIFS(Sets!$E$2:$E$26,Sets!$B$2:$B$26,$A15),_xlfn.MAXIFS(Log!$E$2:$E$1001,Log!$B$2:$B$1001,$A15,Log!$A$2:$A$1001,"&lt;"&amp;('Start Here'!$B$8+0)))&gt;0,ROUND(MAX(_xlfn.MAXIFS('Start Here'!$D$19:$D$58,'Start Here'!$A$19:$A$58,$A15),_xlfn.MAXIFS(Sets!$E$2:$E$26,Sets!$B$2:$B$26,$A15),_xlfn.MAXIFS(Log!$E$2:$E$1001,Log!$B$2:$B$1001,$A15,Log!$A$2:$A$1001,"&lt;"&amp;('Start Here'!$B$8+0))),1),IF(N(E3)&gt;0,ROUND(E3*$D15,1),""))</f>
        <v/>
      </c>
      <c r="F15" s="64">
        <f>IF(MAX(_xlfn.MAXIFS('Start Here'!$D$19:$D$58,'Start Here'!$A$19:$A$58,$A15),_xlfn.MAXIFS(Sets!$E$2:$E$783,Sets!$B$2:$B$783,$A15),_xlfn.MAXIFS(Log!$E$2:$E$1001,Log!$B$2:$B$1001,$A15,Log!$A$2:$A$1001,"&lt;"&amp;('Start Here'!$B$8+84)))&gt;0,ROUND(MAX(_xlfn.MAXIFS('Start Here'!$D$19:$D$58,'Start Here'!$A$19:$A$58,$A15),_xlfn.MAXIFS(Sets!$E$2:$E$783,Sets!$B$2:$B$783,$A15),_xlfn.MAXIFS(Log!$E$2:$E$1001,Log!$B$2:$B$1001,$A15,Log!$A$2:$A$1001,"&lt;"&amp;('Start Here'!$B$8+84))),1),IF(N(F3)&gt;0,ROUND(F3*$D15,1),""))</f>
        <v/>
      </c>
      <c r="G15" s="64">
        <f>IF(MAX(_xlfn.MAXIFS('Start Here'!$D$19:$D$58,'Start Here'!$A$19:$A$58,$A15),_xlfn.MAXIFS(Sets!$E$2:$E$1540,Sets!$B$2:$B$1540,$A15),_xlfn.MAXIFS(Log!$E$2:$E$1001,Log!$B$2:$B$1001,$A15,Log!$A$2:$A$1001,"&lt;"&amp;('Start Here'!$B$8+168)))&gt;0,ROUND(MAX(_xlfn.MAXIFS('Start Here'!$D$19:$D$58,'Start Here'!$A$19:$A$58,$A15),_xlfn.MAXIFS(Sets!$E$2:$E$1540,Sets!$B$2:$B$1540,$A15),_xlfn.MAXIFS(Log!$E$2:$E$1001,Log!$B$2:$B$1001,$A15,Log!$A$2:$A$1001,"&lt;"&amp;('Start Here'!$B$8+168))),1),IF(N(G3)&gt;0,ROUND(G3*$D15,1),""))</f>
        <v/>
      </c>
      <c r="H15" s="64">
        <f>IF(MAX(_xlfn.MAXIFS('Start Here'!$D$19:$D$58,'Start Here'!$A$19:$A$58,$A15),_xlfn.MAXIFS(Sets!$E$2:$E$2297,Sets!$B$2:$B$2297,$A15),_xlfn.MAXIFS(Log!$E$2:$E$1001,Log!$B$2:$B$1001,$A15,Log!$A$2:$A$1001,"&lt;"&amp;('Start Here'!$B$8+252)))&gt;0,ROUND(MAX(_xlfn.MAXIFS('Start Here'!$D$19:$D$58,'Start Here'!$A$19:$A$58,$A15),_xlfn.MAXIFS(Sets!$E$2:$E$2297,Sets!$B$2:$B$2297,$A15),_xlfn.MAXIFS(Log!$E$2:$E$1001,Log!$B$2:$B$1001,$A15,Log!$A$2:$A$1001,"&lt;"&amp;('Start Here'!$B$8+252))),1),IF(N(H3)&gt;0,ROUND(H3*$D15,1),""))</f>
        <v/>
      </c>
      <c r="I15" s="64">
        <f>IF(MAX(_xlfn.MAXIFS('Start Here'!$D$19:$D$58,'Start Here'!$A$19:$A$58,$A15),_xlfn.MAXIFS(Sets!$E$2:$E$3054,Sets!$B$2:$B$3054,$A15),_xlfn.MAXIFS(Log!$E$2:$E$1001,Log!$B$2:$B$1001,$A15,Log!$A$2:$A$1001,"&lt;"&amp;('Start Here'!$B$8+336)))&gt;0,ROUND(MAX(_xlfn.MAXIFS('Start Here'!$D$19:$D$58,'Start Here'!$A$19:$A$58,$A15),_xlfn.MAXIFS(Sets!$E$2:$E$3054,Sets!$B$2:$B$3054,$A15),_xlfn.MAXIFS(Log!$E$2:$E$1001,Log!$B$2:$B$1001,$A15,Log!$A$2:$A$1001,"&lt;"&amp;('Start Here'!$B$8+336))),1),IF(N(I3)&gt;0,ROUND(I3*$D15,1),""))</f>
        <v/>
      </c>
      <c r="J15">
        <f>IF(PRs!C15&gt;0,"logged",IF($B15="variation","estimated",""))</f>
        <v/>
      </c>
    </row>
    <row r="16">
      <c r="A16" s="24" t="inlineStr">
        <is>
          <t>2-Board Press</t>
        </is>
      </c>
      <c r="B16" t="inlineStr">
        <is>
          <t>variation</t>
        </is>
      </c>
      <c r="C16" t="inlineStr">
        <is>
          <t>Bench Press</t>
        </is>
      </c>
      <c r="D16" t="n">
        <v>1.06</v>
      </c>
      <c r="E16" s="64">
        <f>IF(MAX(_xlfn.MAXIFS('Start Here'!$D$19:$D$58,'Start Here'!$A$19:$A$58,$A16),_xlfn.MAXIFS(Sets!$E$2:$E$26,Sets!$B$2:$B$26,$A16),_xlfn.MAXIFS(Log!$E$2:$E$1001,Log!$B$2:$B$1001,$A16,Log!$A$2:$A$1001,"&lt;"&amp;('Start Here'!$B$8+0)))&gt;0,ROUND(MAX(_xlfn.MAXIFS('Start Here'!$D$19:$D$58,'Start Here'!$A$19:$A$58,$A16),_xlfn.MAXIFS(Sets!$E$2:$E$26,Sets!$B$2:$B$26,$A16),_xlfn.MAXIFS(Log!$E$2:$E$1001,Log!$B$2:$B$1001,$A16,Log!$A$2:$A$1001,"&lt;"&amp;('Start Here'!$B$8+0))),1),IF(N(E3)&gt;0,ROUND(E3*$D16,1),""))</f>
        <v/>
      </c>
      <c r="F16" s="64">
        <f>IF(MAX(_xlfn.MAXIFS('Start Here'!$D$19:$D$58,'Start Here'!$A$19:$A$58,$A16),_xlfn.MAXIFS(Sets!$E$2:$E$783,Sets!$B$2:$B$783,$A16),_xlfn.MAXIFS(Log!$E$2:$E$1001,Log!$B$2:$B$1001,$A16,Log!$A$2:$A$1001,"&lt;"&amp;('Start Here'!$B$8+84)))&gt;0,ROUND(MAX(_xlfn.MAXIFS('Start Here'!$D$19:$D$58,'Start Here'!$A$19:$A$58,$A16),_xlfn.MAXIFS(Sets!$E$2:$E$783,Sets!$B$2:$B$783,$A16),_xlfn.MAXIFS(Log!$E$2:$E$1001,Log!$B$2:$B$1001,$A16,Log!$A$2:$A$1001,"&lt;"&amp;('Start Here'!$B$8+84))),1),IF(N(F3)&gt;0,ROUND(F3*$D16,1),""))</f>
        <v/>
      </c>
      <c r="G16" s="64">
        <f>IF(MAX(_xlfn.MAXIFS('Start Here'!$D$19:$D$58,'Start Here'!$A$19:$A$58,$A16),_xlfn.MAXIFS(Sets!$E$2:$E$1540,Sets!$B$2:$B$1540,$A16),_xlfn.MAXIFS(Log!$E$2:$E$1001,Log!$B$2:$B$1001,$A16,Log!$A$2:$A$1001,"&lt;"&amp;('Start Here'!$B$8+168)))&gt;0,ROUND(MAX(_xlfn.MAXIFS('Start Here'!$D$19:$D$58,'Start Here'!$A$19:$A$58,$A16),_xlfn.MAXIFS(Sets!$E$2:$E$1540,Sets!$B$2:$B$1540,$A16),_xlfn.MAXIFS(Log!$E$2:$E$1001,Log!$B$2:$B$1001,$A16,Log!$A$2:$A$1001,"&lt;"&amp;('Start Here'!$B$8+168))),1),IF(N(G3)&gt;0,ROUND(G3*$D16,1),""))</f>
        <v/>
      </c>
      <c r="H16" s="64">
        <f>IF(MAX(_xlfn.MAXIFS('Start Here'!$D$19:$D$58,'Start Here'!$A$19:$A$58,$A16),_xlfn.MAXIFS(Sets!$E$2:$E$2297,Sets!$B$2:$B$2297,$A16),_xlfn.MAXIFS(Log!$E$2:$E$1001,Log!$B$2:$B$1001,$A16,Log!$A$2:$A$1001,"&lt;"&amp;('Start Here'!$B$8+252)))&gt;0,ROUND(MAX(_xlfn.MAXIFS('Start Here'!$D$19:$D$58,'Start Here'!$A$19:$A$58,$A16),_xlfn.MAXIFS(Sets!$E$2:$E$2297,Sets!$B$2:$B$2297,$A16),_xlfn.MAXIFS(Log!$E$2:$E$1001,Log!$B$2:$B$1001,$A16,Log!$A$2:$A$1001,"&lt;"&amp;('Start Here'!$B$8+252))),1),IF(N(H3)&gt;0,ROUND(H3*$D16,1),""))</f>
        <v/>
      </c>
      <c r="I16" s="64">
        <f>IF(MAX(_xlfn.MAXIFS('Start Here'!$D$19:$D$58,'Start Here'!$A$19:$A$58,$A16),_xlfn.MAXIFS(Sets!$E$2:$E$3054,Sets!$B$2:$B$3054,$A16),_xlfn.MAXIFS(Log!$E$2:$E$1001,Log!$B$2:$B$1001,$A16,Log!$A$2:$A$1001,"&lt;"&amp;('Start Here'!$B$8+336)))&gt;0,ROUND(MAX(_xlfn.MAXIFS('Start Here'!$D$19:$D$58,'Start Here'!$A$19:$A$58,$A16),_xlfn.MAXIFS(Sets!$E$2:$E$3054,Sets!$B$2:$B$3054,$A16),_xlfn.MAXIFS(Log!$E$2:$E$1001,Log!$B$2:$B$1001,$A16,Log!$A$2:$A$1001,"&lt;"&amp;('Start Here'!$B$8+336))),1),IF(N(I3)&gt;0,ROUND(I3*$D16,1),""))</f>
        <v/>
      </c>
      <c r="J16">
        <f>IF(PRs!C16&gt;0,"logged",IF($B16="variation","estimated",""))</f>
        <v/>
      </c>
    </row>
    <row r="17">
      <c r="A17" s="24" t="inlineStr">
        <is>
          <t>3-Board Press</t>
        </is>
      </c>
      <c r="B17" t="inlineStr">
        <is>
          <t>variation</t>
        </is>
      </c>
      <c r="C17" t="inlineStr">
        <is>
          <t>Bench Press</t>
        </is>
      </c>
      <c r="D17" t="n">
        <v>1.1</v>
      </c>
      <c r="E17" s="64">
        <f>IF(MAX(_xlfn.MAXIFS('Start Here'!$D$19:$D$58,'Start Here'!$A$19:$A$58,$A17),_xlfn.MAXIFS(Sets!$E$2:$E$26,Sets!$B$2:$B$26,$A17),_xlfn.MAXIFS(Log!$E$2:$E$1001,Log!$B$2:$B$1001,$A17,Log!$A$2:$A$1001,"&lt;"&amp;('Start Here'!$B$8+0)))&gt;0,ROUND(MAX(_xlfn.MAXIFS('Start Here'!$D$19:$D$58,'Start Here'!$A$19:$A$58,$A17),_xlfn.MAXIFS(Sets!$E$2:$E$26,Sets!$B$2:$B$26,$A17),_xlfn.MAXIFS(Log!$E$2:$E$1001,Log!$B$2:$B$1001,$A17,Log!$A$2:$A$1001,"&lt;"&amp;('Start Here'!$B$8+0))),1),IF(N(E3)&gt;0,ROUND(E3*$D17,1),""))</f>
        <v/>
      </c>
      <c r="F17" s="64">
        <f>IF(MAX(_xlfn.MAXIFS('Start Here'!$D$19:$D$58,'Start Here'!$A$19:$A$58,$A17),_xlfn.MAXIFS(Sets!$E$2:$E$783,Sets!$B$2:$B$783,$A17),_xlfn.MAXIFS(Log!$E$2:$E$1001,Log!$B$2:$B$1001,$A17,Log!$A$2:$A$1001,"&lt;"&amp;('Start Here'!$B$8+84)))&gt;0,ROUND(MAX(_xlfn.MAXIFS('Start Here'!$D$19:$D$58,'Start Here'!$A$19:$A$58,$A17),_xlfn.MAXIFS(Sets!$E$2:$E$783,Sets!$B$2:$B$783,$A17),_xlfn.MAXIFS(Log!$E$2:$E$1001,Log!$B$2:$B$1001,$A17,Log!$A$2:$A$1001,"&lt;"&amp;('Start Here'!$B$8+84))),1),IF(N(F3)&gt;0,ROUND(F3*$D17,1),""))</f>
        <v/>
      </c>
      <c r="G17" s="64">
        <f>IF(MAX(_xlfn.MAXIFS('Start Here'!$D$19:$D$58,'Start Here'!$A$19:$A$58,$A17),_xlfn.MAXIFS(Sets!$E$2:$E$1540,Sets!$B$2:$B$1540,$A17),_xlfn.MAXIFS(Log!$E$2:$E$1001,Log!$B$2:$B$1001,$A17,Log!$A$2:$A$1001,"&lt;"&amp;('Start Here'!$B$8+168)))&gt;0,ROUND(MAX(_xlfn.MAXIFS('Start Here'!$D$19:$D$58,'Start Here'!$A$19:$A$58,$A17),_xlfn.MAXIFS(Sets!$E$2:$E$1540,Sets!$B$2:$B$1540,$A17),_xlfn.MAXIFS(Log!$E$2:$E$1001,Log!$B$2:$B$1001,$A17,Log!$A$2:$A$1001,"&lt;"&amp;('Start Here'!$B$8+168))),1),IF(N(G3)&gt;0,ROUND(G3*$D17,1),""))</f>
        <v/>
      </c>
      <c r="H17" s="64">
        <f>IF(MAX(_xlfn.MAXIFS('Start Here'!$D$19:$D$58,'Start Here'!$A$19:$A$58,$A17),_xlfn.MAXIFS(Sets!$E$2:$E$2297,Sets!$B$2:$B$2297,$A17),_xlfn.MAXIFS(Log!$E$2:$E$1001,Log!$B$2:$B$1001,$A17,Log!$A$2:$A$1001,"&lt;"&amp;('Start Here'!$B$8+252)))&gt;0,ROUND(MAX(_xlfn.MAXIFS('Start Here'!$D$19:$D$58,'Start Here'!$A$19:$A$58,$A17),_xlfn.MAXIFS(Sets!$E$2:$E$2297,Sets!$B$2:$B$2297,$A17),_xlfn.MAXIFS(Log!$E$2:$E$1001,Log!$B$2:$B$1001,$A17,Log!$A$2:$A$1001,"&lt;"&amp;('Start Here'!$B$8+252))),1),IF(N(H3)&gt;0,ROUND(H3*$D17,1),""))</f>
        <v/>
      </c>
      <c r="I17" s="64">
        <f>IF(MAX(_xlfn.MAXIFS('Start Here'!$D$19:$D$58,'Start Here'!$A$19:$A$58,$A17),_xlfn.MAXIFS(Sets!$E$2:$E$3054,Sets!$B$2:$B$3054,$A17),_xlfn.MAXIFS(Log!$E$2:$E$1001,Log!$B$2:$B$1001,$A17,Log!$A$2:$A$1001,"&lt;"&amp;('Start Here'!$B$8+336)))&gt;0,ROUND(MAX(_xlfn.MAXIFS('Start Here'!$D$19:$D$58,'Start Here'!$A$19:$A$58,$A17),_xlfn.MAXIFS(Sets!$E$2:$E$3054,Sets!$B$2:$B$3054,$A17),_xlfn.MAXIFS(Log!$E$2:$E$1001,Log!$B$2:$B$1001,$A17,Log!$A$2:$A$1001,"&lt;"&amp;('Start Here'!$B$8+336))),1),IF(N(I3)&gt;0,ROUND(I3*$D17,1),""))</f>
        <v/>
      </c>
      <c r="J17">
        <f>IF(PRs!C17&gt;0,"logged",IF($B17="variation","estimated",""))</f>
        <v/>
      </c>
    </row>
    <row r="18">
      <c r="A18" s="24" t="inlineStr">
        <is>
          <t>Pause Bench Press</t>
        </is>
      </c>
      <c r="B18" t="inlineStr">
        <is>
          <t>variation</t>
        </is>
      </c>
      <c r="C18" t="inlineStr">
        <is>
          <t>Bench Press</t>
        </is>
      </c>
      <c r="D18" t="n">
        <v>0.95</v>
      </c>
      <c r="E18" s="64">
        <f>IF(MAX(_xlfn.MAXIFS('Start Here'!$D$19:$D$58,'Start Here'!$A$19:$A$58,$A18),_xlfn.MAXIFS(Sets!$E$2:$E$26,Sets!$B$2:$B$26,$A18),_xlfn.MAXIFS(Log!$E$2:$E$1001,Log!$B$2:$B$1001,$A18,Log!$A$2:$A$1001,"&lt;"&amp;('Start Here'!$B$8+0)))&gt;0,ROUND(MAX(_xlfn.MAXIFS('Start Here'!$D$19:$D$58,'Start Here'!$A$19:$A$58,$A18),_xlfn.MAXIFS(Sets!$E$2:$E$26,Sets!$B$2:$B$26,$A18),_xlfn.MAXIFS(Log!$E$2:$E$1001,Log!$B$2:$B$1001,$A18,Log!$A$2:$A$1001,"&lt;"&amp;('Start Here'!$B$8+0))),1),IF(N(E3)&gt;0,ROUND(E3*$D18,1),""))</f>
        <v/>
      </c>
      <c r="F18" s="64">
        <f>IF(MAX(_xlfn.MAXIFS('Start Here'!$D$19:$D$58,'Start Here'!$A$19:$A$58,$A18),_xlfn.MAXIFS(Sets!$E$2:$E$783,Sets!$B$2:$B$783,$A18),_xlfn.MAXIFS(Log!$E$2:$E$1001,Log!$B$2:$B$1001,$A18,Log!$A$2:$A$1001,"&lt;"&amp;('Start Here'!$B$8+84)))&gt;0,ROUND(MAX(_xlfn.MAXIFS('Start Here'!$D$19:$D$58,'Start Here'!$A$19:$A$58,$A18),_xlfn.MAXIFS(Sets!$E$2:$E$783,Sets!$B$2:$B$783,$A18),_xlfn.MAXIFS(Log!$E$2:$E$1001,Log!$B$2:$B$1001,$A18,Log!$A$2:$A$1001,"&lt;"&amp;('Start Here'!$B$8+84))),1),IF(N(F3)&gt;0,ROUND(F3*$D18,1),""))</f>
        <v/>
      </c>
      <c r="G18" s="64">
        <f>IF(MAX(_xlfn.MAXIFS('Start Here'!$D$19:$D$58,'Start Here'!$A$19:$A$58,$A18),_xlfn.MAXIFS(Sets!$E$2:$E$1540,Sets!$B$2:$B$1540,$A18),_xlfn.MAXIFS(Log!$E$2:$E$1001,Log!$B$2:$B$1001,$A18,Log!$A$2:$A$1001,"&lt;"&amp;('Start Here'!$B$8+168)))&gt;0,ROUND(MAX(_xlfn.MAXIFS('Start Here'!$D$19:$D$58,'Start Here'!$A$19:$A$58,$A18),_xlfn.MAXIFS(Sets!$E$2:$E$1540,Sets!$B$2:$B$1540,$A18),_xlfn.MAXIFS(Log!$E$2:$E$1001,Log!$B$2:$B$1001,$A18,Log!$A$2:$A$1001,"&lt;"&amp;('Start Here'!$B$8+168))),1),IF(N(G3)&gt;0,ROUND(G3*$D18,1),""))</f>
        <v/>
      </c>
      <c r="H18" s="64">
        <f>IF(MAX(_xlfn.MAXIFS('Start Here'!$D$19:$D$58,'Start Here'!$A$19:$A$58,$A18),_xlfn.MAXIFS(Sets!$E$2:$E$2297,Sets!$B$2:$B$2297,$A18),_xlfn.MAXIFS(Log!$E$2:$E$1001,Log!$B$2:$B$1001,$A18,Log!$A$2:$A$1001,"&lt;"&amp;('Start Here'!$B$8+252)))&gt;0,ROUND(MAX(_xlfn.MAXIFS('Start Here'!$D$19:$D$58,'Start Here'!$A$19:$A$58,$A18),_xlfn.MAXIFS(Sets!$E$2:$E$2297,Sets!$B$2:$B$2297,$A18),_xlfn.MAXIFS(Log!$E$2:$E$1001,Log!$B$2:$B$1001,$A18,Log!$A$2:$A$1001,"&lt;"&amp;('Start Here'!$B$8+252))),1),IF(N(H3)&gt;0,ROUND(H3*$D18,1),""))</f>
        <v/>
      </c>
      <c r="I18" s="64">
        <f>IF(MAX(_xlfn.MAXIFS('Start Here'!$D$19:$D$58,'Start Here'!$A$19:$A$58,$A18),_xlfn.MAXIFS(Sets!$E$2:$E$3054,Sets!$B$2:$B$3054,$A18),_xlfn.MAXIFS(Log!$E$2:$E$1001,Log!$B$2:$B$1001,$A18,Log!$A$2:$A$1001,"&lt;"&amp;('Start Here'!$B$8+336)))&gt;0,ROUND(MAX(_xlfn.MAXIFS('Start Here'!$D$19:$D$58,'Start Here'!$A$19:$A$58,$A18),_xlfn.MAXIFS(Sets!$E$2:$E$3054,Sets!$B$2:$B$3054,$A18),_xlfn.MAXIFS(Log!$E$2:$E$1001,Log!$B$2:$B$1001,$A18,Log!$A$2:$A$1001,"&lt;"&amp;('Start Here'!$B$8+336))),1),IF(N(I3)&gt;0,ROUND(I3*$D18,1),""))</f>
        <v/>
      </c>
      <c r="J18">
        <f>IF(PRs!C18&gt;0,"logged",IF($B18="variation","estimated",""))</f>
        <v/>
      </c>
    </row>
    <row r="19">
      <c r="A19" s="24" t="inlineStr">
        <is>
          <t>Floor Press</t>
        </is>
      </c>
      <c r="B19" t="inlineStr">
        <is>
          <t>variation</t>
        </is>
      </c>
      <c r="C19" t="inlineStr">
        <is>
          <t>Bench Press</t>
        </is>
      </c>
      <c r="D19" t="n">
        <v>0.95</v>
      </c>
      <c r="E19" s="64">
        <f>IF(MAX(_xlfn.MAXIFS('Start Here'!$D$19:$D$58,'Start Here'!$A$19:$A$58,$A19),_xlfn.MAXIFS(Sets!$E$2:$E$26,Sets!$B$2:$B$26,$A19),_xlfn.MAXIFS(Log!$E$2:$E$1001,Log!$B$2:$B$1001,$A19,Log!$A$2:$A$1001,"&lt;"&amp;('Start Here'!$B$8+0)))&gt;0,ROUND(MAX(_xlfn.MAXIFS('Start Here'!$D$19:$D$58,'Start Here'!$A$19:$A$58,$A19),_xlfn.MAXIFS(Sets!$E$2:$E$26,Sets!$B$2:$B$26,$A19),_xlfn.MAXIFS(Log!$E$2:$E$1001,Log!$B$2:$B$1001,$A19,Log!$A$2:$A$1001,"&lt;"&amp;('Start Here'!$B$8+0))),1),IF(N(E3)&gt;0,ROUND(E3*$D19,1),""))</f>
        <v/>
      </c>
      <c r="F19" s="64">
        <f>IF(MAX(_xlfn.MAXIFS('Start Here'!$D$19:$D$58,'Start Here'!$A$19:$A$58,$A19),_xlfn.MAXIFS(Sets!$E$2:$E$783,Sets!$B$2:$B$783,$A19),_xlfn.MAXIFS(Log!$E$2:$E$1001,Log!$B$2:$B$1001,$A19,Log!$A$2:$A$1001,"&lt;"&amp;('Start Here'!$B$8+84)))&gt;0,ROUND(MAX(_xlfn.MAXIFS('Start Here'!$D$19:$D$58,'Start Here'!$A$19:$A$58,$A19),_xlfn.MAXIFS(Sets!$E$2:$E$783,Sets!$B$2:$B$783,$A19),_xlfn.MAXIFS(Log!$E$2:$E$1001,Log!$B$2:$B$1001,$A19,Log!$A$2:$A$1001,"&lt;"&amp;('Start Here'!$B$8+84))),1),IF(N(F3)&gt;0,ROUND(F3*$D19,1),""))</f>
        <v/>
      </c>
      <c r="G19" s="64">
        <f>IF(MAX(_xlfn.MAXIFS('Start Here'!$D$19:$D$58,'Start Here'!$A$19:$A$58,$A19),_xlfn.MAXIFS(Sets!$E$2:$E$1540,Sets!$B$2:$B$1540,$A19),_xlfn.MAXIFS(Log!$E$2:$E$1001,Log!$B$2:$B$1001,$A19,Log!$A$2:$A$1001,"&lt;"&amp;('Start Here'!$B$8+168)))&gt;0,ROUND(MAX(_xlfn.MAXIFS('Start Here'!$D$19:$D$58,'Start Here'!$A$19:$A$58,$A19),_xlfn.MAXIFS(Sets!$E$2:$E$1540,Sets!$B$2:$B$1540,$A19),_xlfn.MAXIFS(Log!$E$2:$E$1001,Log!$B$2:$B$1001,$A19,Log!$A$2:$A$1001,"&lt;"&amp;('Start Here'!$B$8+168))),1),IF(N(G3)&gt;0,ROUND(G3*$D19,1),""))</f>
        <v/>
      </c>
      <c r="H19" s="64">
        <f>IF(MAX(_xlfn.MAXIFS('Start Here'!$D$19:$D$58,'Start Here'!$A$19:$A$58,$A19),_xlfn.MAXIFS(Sets!$E$2:$E$2297,Sets!$B$2:$B$2297,$A19),_xlfn.MAXIFS(Log!$E$2:$E$1001,Log!$B$2:$B$1001,$A19,Log!$A$2:$A$1001,"&lt;"&amp;('Start Here'!$B$8+252)))&gt;0,ROUND(MAX(_xlfn.MAXIFS('Start Here'!$D$19:$D$58,'Start Here'!$A$19:$A$58,$A19),_xlfn.MAXIFS(Sets!$E$2:$E$2297,Sets!$B$2:$B$2297,$A19),_xlfn.MAXIFS(Log!$E$2:$E$1001,Log!$B$2:$B$1001,$A19,Log!$A$2:$A$1001,"&lt;"&amp;('Start Here'!$B$8+252))),1),IF(N(H3)&gt;0,ROUND(H3*$D19,1),""))</f>
        <v/>
      </c>
      <c r="I19" s="64">
        <f>IF(MAX(_xlfn.MAXIFS('Start Here'!$D$19:$D$58,'Start Here'!$A$19:$A$58,$A19),_xlfn.MAXIFS(Sets!$E$2:$E$3054,Sets!$B$2:$B$3054,$A19),_xlfn.MAXIFS(Log!$E$2:$E$1001,Log!$B$2:$B$1001,$A19,Log!$A$2:$A$1001,"&lt;"&amp;('Start Here'!$B$8+336)))&gt;0,ROUND(MAX(_xlfn.MAXIFS('Start Here'!$D$19:$D$58,'Start Here'!$A$19:$A$58,$A19),_xlfn.MAXIFS(Sets!$E$2:$E$3054,Sets!$B$2:$B$3054,$A19),_xlfn.MAXIFS(Log!$E$2:$E$1001,Log!$B$2:$B$1001,$A19,Log!$A$2:$A$1001,"&lt;"&amp;('Start Here'!$B$8+336))),1),IF(N(I3)&gt;0,ROUND(I3*$D19,1),""))</f>
        <v/>
      </c>
      <c r="J19">
        <f>IF(PRs!C19&gt;0,"logged",IF($B19="variation","estimated",""))</f>
        <v/>
      </c>
    </row>
    <row r="20">
      <c r="A20" s="24" t="inlineStr">
        <is>
          <t>Pin Press</t>
        </is>
      </c>
      <c r="B20" t="inlineStr">
        <is>
          <t>variation</t>
        </is>
      </c>
      <c r="C20" t="inlineStr">
        <is>
          <t>Bench Press</t>
        </is>
      </c>
      <c r="D20" t="n">
        <v>1</v>
      </c>
      <c r="E20" s="64">
        <f>IF(MAX(_xlfn.MAXIFS('Start Here'!$D$19:$D$58,'Start Here'!$A$19:$A$58,$A20),_xlfn.MAXIFS(Sets!$E$2:$E$26,Sets!$B$2:$B$26,$A20),_xlfn.MAXIFS(Log!$E$2:$E$1001,Log!$B$2:$B$1001,$A20,Log!$A$2:$A$1001,"&lt;"&amp;('Start Here'!$B$8+0)))&gt;0,ROUND(MAX(_xlfn.MAXIFS('Start Here'!$D$19:$D$58,'Start Here'!$A$19:$A$58,$A20),_xlfn.MAXIFS(Sets!$E$2:$E$26,Sets!$B$2:$B$26,$A20),_xlfn.MAXIFS(Log!$E$2:$E$1001,Log!$B$2:$B$1001,$A20,Log!$A$2:$A$1001,"&lt;"&amp;('Start Here'!$B$8+0))),1),IF(N(E3)&gt;0,ROUND(E3*$D20,1),""))</f>
        <v/>
      </c>
      <c r="F20" s="64">
        <f>IF(MAX(_xlfn.MAXIFS('Start Here'!$D$19:$D$58,'Start Here'!$A$19:$A$58,$A20),_xlfn.MAXIFS(Sets!$E$2:$E$783,Sets!$B$2:$B$783,$A20),_xlfn.MAXIFS(Log!$E$2:$E$1001,Log!$B$2:$B$1001,$A20,Log!$A$2:$A$1001,"&lt;"&amp;('Start Here'!$B$8+84)))&gt;0,ROUND(MAX(_xlfn.MAXIFS('Start Here'!$D$19:$D$58,'Start Here'!$A$19:$A$58,$A20),_xlfn.MAXIFS(Sets!$E$2:$E$783,Sets!$B$2:$B$783,$A20),_xlfn.MAXIFS(Log!$E$2:$E$1001,Log!$B$2:$B$1001,$A20,Log!$A$2:$A$1001,"&lt;"&amp;('Start Here'!$B$8+84))),1),IF(N(F3)&gt;0,ROUND(F3*$D20,1),""))</f>
        <v/>
      </c>
      <c r="G20" s="64">
        <f>IF(MAX(_xlfn.MAXIFS('Start Here'!$D$19:$D$58,'Start Here'!$A$19:$A$58,$A20),_xlfn.MAXIFS(Sets!$E$2:$E$1540,Sets!$B$2:$B$1540,$A20),_xlfn.MAXIFS(Log!$E$2:$E$1001,Log!$B$2:$B$1001,$A20,Log!$A$2:$A$1001,"&lt;"&amp;('Start Here'!$B$8+168)))&gt;0,ROUND(MAX(_xlfn.MAXIFS('Start Here'!$D$19:$D$58,'Start Here'!$A$19:$A$58,$A20),_xlfn.MAXIFS(Sets!$E$2:$E$1540,Sets!$B$2:$B$1540,$A20),_xlfn.MAXIFS(Log!$E$2:$E$1001,Log!$B$2:$B$1001,$A20,Log!$A$2:$A$1001,"&lt;"&amp;('Start Here'!$B$8+168))),1),IF(N(G3)&gt;0,ROUND(G3*$D20,1),""))</f>
        <v/>
      </c>
      <c r="H20" s="64">
        <f>IF(MAX(_xlfn.MAXIFS('Start Here'!$D$19:$D$58,'Start Here'!$A$19:$A$58,$A20),_xlfn.MAXIFS(Sets!$E$2:$E$2297,Sets!$B$2:$B$2297,$A20),_xlfn.MAXIFS(Log!$E$2:$E$1001,Log!$B$2:$B$1001,$A20,Log!$A$2:$A$1001,"&lt;"&amp;('Start Here'!$B$8+252)))&gt;0,ROUND(MAX(_xlfn.MAXIFS('Start Here'!$D$19:$D$58,'Start Here'!$A$19:$A$58,$A20),_xlfn.MAXIFS(Sets!$E$2:$E$2297,Sets!$B$2:$B$2297,$A20),_xlfn.MAXIFS(Log!$E$2:$E$1001,Log!$B$2:$B$1001,$A20,Log!$A$2:$A$1001,"&lt;"&amp;('Start Here'!$B$8+252))),1),IF(N(H3)&gt;0,ROUND(H3*$D20,1),""))</f>
        <v/>
      </c>
      <c r="I20" s="64">
        <f>IF(MAX(_xlfn.MAXIFS('Start Here'!$D$19:$D$58,'Start Here'!$A$19:$A$58,$A20),_xlfn.MAXIFS(Sets!$E$2:$E$3054,Sets!$B$2:$B$3054,$A20),_xlfn.MAXIFS(Log!$E$2:$E$1001,Log!$B$2:$B$1001,$A20,Log!$A$2:$A$1001,"&lt;"&amp;('Start Here'!$B$8+336)))&gt;0,ROUND(MAX(_xlfn.MAXIFS('Start Here'!$D$19:$D$58,'Start Here'!$A$19:$A$58,$A20),_xlfn.MAXIFS(Sets!$E$2:$E$3054,Sets!$B$2:$B$3054,$A20),_xlfn.MAXIFS(Log!$E$2:$E$1001,Log!$B$2:$B$1001,$A20,Log!$A$2:$A$1001,"&lt;"&amp;('Start Here'!$B$8+336))),1),IF(N(I3)&gt;0,ROUND(I3*$D20,1),""))</f>
        <v/>
      </c>
      <c r="J20">
        <f>IF(PRs!C20&gt;0,"logged",IF($B20="variation","estimated",""))</f>
        <v/>
      </c>
    </row>
    <row r="21">
      <c r="A21" s="24" t="inlineStr">
        <is>
          <t>Spoto Press</t>
        </is>
      </c>
      <c r="B21" t="inlineStr">
        <is>
          <t>variation</t>
        </is>
      </c>
      <c r="C21" t="inlineStr">
        <is>
          <t>Bench Press</t>
        </is>
      </c>
      <c r="D21" t="n">
        <v>0.93</v>
      </c>
      <c r="E21" s="64">
        <f>IF(MAX(_xlfn.MAXIFS('Start Here'!$D$19:$D$58,'Start Here'!$A$19:$A$58,$A21),_xlfn.MAXIFS(Sets!$E$2:$E$26,Sets!$B$2:$B$26,$A21),_xlfn.MAXIFS(Log!$E$2:$E$1001,Log!$B$2:$B$1001,$A21,Log!$A$2:$A$1001,"&lt;"&amp;('Start Here'!$B$8+0)))&gt;0,ROUND(MAX(_xlfn.MAXIFS('Start Here'!$D$19:$D$58,'Start Here'!$A$19:$A$58,$A21),_xlfn.MAXIFS(Sets!$E$2:$E$26,Sets!$B$2:$B$26,$A21),_xlfn.MAXIFS(Log!$E$2:$E$1001,Log!$B$2:$B$1001,$A21,Log!$A$2:$A$1001,"&lt;"&amp;('Start Here'!$B$8+0))),1),IF(N(E3)&gt;0,ROUND(E3*$D21,1),""))</f>
        <v/>
      </c>
      <c r="F21" s="64">
        <f>IF(MAX(_xlfn.MAXIFS('Start Here'!$D$19:$D$58,'Start Here'!$A$19:$A$58,$A21),_xlfn.MAXIFS(Sets!$E$2:$E$783,Sets!$B$2:$B$783,$A21),_xlfn.MAXIFS(Log!$E$2:$E$1001,Log!$B$2:$B$1001,$A21,Log!$A$2:$A$1001,"&lt;"&amp;('Start Here'!$B$8+84)))&gt;0,ROUND(MAX(_xlfn.MAXIFS('Start Here'!$D$19:$D$58,'Start Here'!$A$19:$A$58,$A21),_xlfn.MAXIFS(Sets!$E$2:$E$783,Sets!$B$2:$B$783,$A21),_xlfn.MAXIFS(Log!$E$2:$E$1001,Log!$B$2:$B$1001,$A21,Log!$A$2:$A$1001,"&lt;"&amp;('Start Here'!$B$8+84))),1),IF(N(F3)&gt;0,ROUND(F3*$D21,1),""))</f>
        <v/>
      </c>
      <c r="G21" s="64">
        <f>IF(MAX(_xlfn.MAXIFS('Start Here'!$D$19:$D$58,'Start Here'!$A$19:$A$58,$A21),_xlfn.MAXIFS(Sets!$E$2:$E$1540,Sets!$B$2:$B$1540,$A21),_xlfn.MAXIFS(Log!$E$2:$E$1001,Log!$B$2:$B$1001,$A21,Log!$A$2:$A$1001,"&lt;"&amp;('Start Here'!$B$8+168)))&gt;0,ROUND(MAX(_xlfn.MAXIFS('Start Here'!$D$19:$D$58,'Start Here'!$A$19:$A$58,$A21),_xlfn.MAXIFS(Sets!$E$2:$E$1540,Sets!$B$2:$B$1540,$A21),_xlfn.MAXIFS(Log!$E$2:$E$1001,Log!$B$2:$B$1001,$A21,Log!$A$2:$A$1001,"&lt;"&amp;('Start Here'!$B$8+168))),1),IF(N(G3)&gt;0,ROUND(G3*$D21,1),""))</f>
        <v/>
      </c>
      <c r="H21" s="64">
        <f>IF(MAX(_xlfn.MAXIFS('Start Here'!$D$19:$D$58,'Start Here'!$A$19:$A$58,$A21),_xlfn.MAXIFS(Sets!$E$2:$E$2297,Sets!$B$2:$B$2297,$A21),_xlfn.MAXIFS(Log!$E$2:$E$1001,Log!$B$2:$B$1001,$A21,Log!$A$2:$A$1001,"&lt;"&amp;('Start Here'!$B$8+252)))&gt;0,ROUND(MAX(_xlfn.MAXIFS('Start Here'!$D$19:$D$58,'Start Here'!$A$19:$A$58,$A21),_xlfn.MAXIFS(Sets!$E$2:$E$2297,Sets!$B$2:$B$2297,$A21),_xlfn.MAXIFS(Log!$E$2:$E$1001,Log!$B$2:$B$1001,$A21,Log!$A$2:$A$1001,"&lt;"&amp;('Start Here'!$B$8+252))),1),IF(N(H3)&gt;0,ROUND(H3*$D21,1),""))</f>
        <v/>
      </c>
      <c r="I21" s="64">
        <f>IF(MAX(_xlfn.MAXIFS('Start Here'!$D$19:$D$58,'Start Here'!$A$19:$A$58,$A21),_xlfn.MAXIFS(Sets!$E$2:$E$3054,Sets!$B$2:$B$3054,$A21),_xlfn.MAXIFS(Log!$E$2:$E$1001,Log!$B$2:$B$1001,$A21,Log!$A$2:$A$1001,"&lt;"&amp;('Start Here'!$B$8+336)))&gt;0,ROUND(MAX(_xlfn.MAXIFS('Start Here'!$D$19:$D$58,'Start Here'!$A$19:$A$58,$A21),_xlfn.MAXIFS(Sets!$E$2:$E$3054,Sets!$B$2:$B$3054,$A21),_xlfn.MAXIFS(Log!$E$2:$E$1001,Log!$B$2:$B$1001,$A21,Log!$A$2:$A$1001,"&lt;"&amp;('Start Here'!$B$8+336))),1),IF(N(I3)&gt;0,ROUND(I3*$D21,1),""))</f>
        <v/>
      </c>
      <c r="J21">
        <f>IF(PRs!C21&gt;0,"logged",IF($B21="variation","estimated",""))</f>
        <v/>
      </c>
    </row>
    <row r="22">
      <c r="A22" s="24" t="inlineStr">
        <is>
          <t>Incline Bench Press</t>
        </is>
      </c>
      <c r="B22" t="inlineStr">
        <is>
          <t>variation</t>
        </is>
      </c>
      <c r="C22" t="inlineStr">
        <is>
          <t>Bench Press</t>
        </is>
      </c>
      <c r="D22" t="n">
        <v>0.8</v>
      </c>
      <c r="E22" s="64">
        <f>IF(MAX(_xlfn.MAXIFS('Start Here'!$D$19:$D$58,'Start Here'!$A$19:$A$58,$A22),_xlfn.MAXIFS(Sets!$E$2:$E$26,Sets!$B$2:$B$26,$A22),_xlfn.MAXIFS(Log!$E$2:$E$1001,Log!$B$2:$B$1001,$A22,Log!$A$2:$A$1001,"&lt;"&amp;('Start Here'!$B$8+0)))&gt;0,ROUND(MAX(_xlfn.MAXIFS('Start Here'!$D$19:$D$58,'Start Here'!$A$19:$A$58,$A22),_xlfn.MAXIFS(Sets!$E$2:$E$26,Sets!$B$2:$B$26,$A22),_xlfn.MAXIFS(Log!$E$2:$E$1001,Log!$B$2:$B$1001,$A22,Log!$A$2:$A$1001,"&lt;"&amp;('Start Here'!$B$8+0))),1),IF(N(E3)&gt;0,ROUND(E3*$D22,1),""))</f>
        <v/>
      </c>
      <c r="F22" s="64">
        <f>IF(MAX(_xlfn.MAXIFS('Start Here'!$D$19:$D$58,'Start Here'!$A$19:$A$58,$A22),_xlfn.MAXIFS(Sets!$E$2:$E$783,Sets!$B$2:$B$783,$A22),_xlfn.MAXIFS(Log!$E$2:$E$1001,Log!$B$2:$B$1001,$A22,Log!$A$2:$A$1001,"&lt;"&amp;('Start Here'!$B$8+84)))&gt;0,ROUND(MAX(_xlfn.MAXIFS('Start Here'!$D$19:$D$58,'Start Here'!$A$19:$A$58,$A22),_xlfn.MAXIFS(Sets!$E$2:$E$783,Sets!$B$2:$B$783,$A22),_xlfn.MAXIFS(Log!$E$2:$E$1001,Log!$B$2:$B$1001,$A22,Log!$A$2:$A$1001,"&lt;"&amp;('Start Here'!$B$8+84))),1),IF(N(F3)&gt;0,ROUND(F3*$D22,1),""))</f>
        <v/>
      </c>
      <c r="G22" s="64">
        <f>IF(MAX(_xlfn.MAXIFS('Start Here'!$D$19:$D$58,'Start Here'!$A$19:$A$58,$A22),_xlfn.MAXIFS(Sets!$E$2:$E$1540,Sets!$B$2:$B$1540,$A22),_xlfn.MAXIFS(Log!$E$2:$E$1001,Log!$B$2:$B$1001,$A22,Log!$A$2:$A$1001,"&lt;"&amp;('Start Here'!$B$8+168)))&gt;0,ROUND(MAX(_xlfn.MAXIFS('Start Here'!$D$19:$D$58,'Start Here'!$A$19:$A$58,$A22),_xlfn.MAXIFS(Sets!$E$2:$E$1540,Sets!$B$2:$B$1540,$A22),_xlfn.MAXIFS(Log!$E$2:$E$1001,Log!$B$2:$B$1001,$A22,Log!$A$2:$A$1001,"&lt;"&amp;('Start Here'!$B$8+168))),1),IF(N(G3)&gt;0,ROUND(G3*$D22,1),""))</f>
        <v/>
      </c>
      <c r="H22" s="64">
        <f>IF(MAX(_xlfn.MAXIFS('Start Here'!$D$19:$D$58,'Start Here'!$A$19:$A$58,$A22),_xlfn.MAXIFS(Sets!$E$2:$E$2297,Sets!$B$2:$B$2297,$A22),_xlfn.MAXIFS(Log!$E$2:$E$1001,Log!$B$2:$B$1001,$A22,Log!$A$2:$A$1001,"&lt;"&amp;('Start Here'!$B$8+252)))&gt;0,ROUND(MAX(_xlfn.MAXIFS('Start Here'!$D$19:$D$58,'Start Here'!$A$19:$A$58,$A22),_xlfn.MAXIFS(Sets!$E$2:$E$2297,Sets!$B$2:$B$2297,$A22),_xlfn.MAXIFS(Log!$E$2:$E$1001,Log!$B$2:$B$1001,$A22,Log!$A$2:$A$1001,"&lt;"&amp;('Start Here'!$B$8+252))),1),IF(N(H3)&gt;0,ROUND(H3*$D22,1),""))</f>
        <v/>
      </c>
      <c r="I22" s="64">
        <f>IF(MAX(_xlfn.MAXIFS('Start Here'!$D$19:$D$58,'Start Here'!$A$19:$A$58,$A22),_xlfn.MAXIFS(Sets!$E$2:$E$3054,Sets!$B$2:$B$3054,$A22),_xlfn.MAXIFS(Log!$E$2:$E$1001,Log!$B$2:$B$1001,$A22,Log!$A$2:$A$1001,"&lt;"&amp;('Start Here'!$B$8+336)))&gt;0,ROUND(MAX(_xlfn.MAXIFS('Start Here'!$D$19:$D$58,'Start Here'!$A$19:$A$58,$A22),_xlfn.MAXIFS(Sets!$E$2:$E$3054,Sets!$B$2:$B$3054,$A22),_xlfn.MAXIFS(Log!$E$2:$E$1001,Log!$B$2:$B$1001,$A22,Log!$A$2:$A$1001,"&lt;"&amp;('Start Here'!$B$8+336))),1),IF(N(I3)&gt;0,ROUND(I3*$D22,1),""))</f>
        <v/>
      </c>
      <c r="J22">
        <f>IF(PRs!C22&gt;0,"logged",IF($B22="variation","estimated",""))</f>
        <v/>
      </c>
    </row>
    <row r="23">
      <c r="A23" s="24" t="inlineStr">
        <is>
          <t>Romanian Deadlift</t>
        </is>
      </c>
      <c r="B23" t="inlineStr">
        <is>
          <t>variation</t>
        </is>
      </c>
      <c r="C23" t="inlineStr">
        <is>
          <t>Deadlift</t>
        </is>
      </c>
      <c r="D23" t="n">
        <v>0.7</v>
      </c>
      <c r="E23" s="64">
        <f>IF(MAX(_xlfn.MAXIFS('Start Here'!$D$19:$D$58,'Start Here'!$A$19:$A$58,$A23),_xlfn.MAXIFS(Sets!$E$2:$E$26,Sets!$B$2:$B$26,$A23),_xlfn.MAXIFS(Log!$E$2:$E$1001,Log!$B$2:$B$1001,$A23,Log!$A$2:$A$1001,"&lt;"&amp;('Start Here'!$B$8+0)))&gt;0,ROUND(MAX(_xlfn.MAXIFS('Start Here'!$D$19:$D$58,'Start Here'!$A$19:$A$58,$A23),_xlfn.MAXIFS(Sets!$E$2:$E$26,Sets!$B$2:$B$26,$A23),_xlfn.MAXIFS(Log!$E$2:$E$1001,Log!$B$2:$B$1001,$A23,Log!$A$2:$A$1001,"&lt;"&amp;('Start Here'!$B$8+0))),1),IF(N(E4)&gt;0,ROUND(E4*$D23,1),""))</f>
        <v/>
      </c>
      <c r="F23" s="64">
        <f>IF(MAX(_xlfn.MAXIFS('Start Here'!$D$19:$D$58,'Start Here'!$A$19:$A$58,$A23),_xlfn.MAXIFS(Sets!$E$2:$E$783,Sets!$B$2:$B$783,$A23),_xlfn.MAXIFS(Log!$E$2:$E$1001,Log!$B$2:$B$1001,$A23,Log!$A$2:$A$1001,"&lt;"&amp;('Start Here'!$B$8+84)))&gt;0,ROUND(MAX(_xlfn.MAXIFS('Start Here'!$D$19:$D$58,'Start Here'!$A$19:$A$58,$A23),_xlfn.MAXIFS(Sets!$E$2:$E$783,Sets!$B$2:$B$783,$A23),_xlfn.MAXIFS(Log!$E$2:$E$1001,Log!$B$2:$B$1001,$A23,Log!$A$2:$A$1001,"&lt;"&amp;('Start Here'!$B$8+84))),1),IF(N(F4)&gt;0,ROUND(F4*$D23,1),""))</f>
        <v/>
      </c>
      <c r="G23" s="64">
        <f>IF(MAX(_xlfn.MAXIFS('Start Here'!$D$19:$D$58,'Start Here'!$A$19:$A$58,$A23),_xlfn.MAXIFS(Sets!$E$2:$E$1540,Sets!$B$2:$B$1540,$A23),_xlfn.MAXIFS(Log!$E$2:$E$1001,Log!$B$2:$B$1001,$A23,Log!$A$2:$A$1001,"&lt;"&amp;('Start Here'!$B$8+168)))&gt;0,ROUND(MAX(_xlfn.MAXIFS('Start Here'!$D$19:$D$58,'Start Here'!$A$19:$A$58,$A23),_xlfn.MAXIFS(Sets!$E$2:$E$1540,Sets!$B$2:$B$1540,$A23),_xlfn.MAXIFS(Log!$E$2:$E$1001,Log!$B$2:$B$1001,$A23,Log!$A$2:$A$1001,"&lt;"&amp;('Start Here'!$B$8+168))),1),IF(N(G4)&gt;0,ROUND(G4*$D23,1),""))</f>
        <v/>
      </c>
      <c r="H23" s="64">
        <f>IF(MAX(_xlfn.MAXIFS('Start Here'!$D$19:$D$58,'Start Here'!$A$19:$A$58,$A23),_xlfn.MAXIFS(Sets!$E$2:$E$2297,Sets!$B$2:$B$2297,$A23),_xlfn.MAXIFS(Log!$E$2:$E$1001,Log!$B$2:$B$1001,$A23,Log!$A$2:$A$1001,"&lt;"&amp;('Start Here'!$B$8+252)))&gt;0,ROUND(MAX(_xlfn.MAXIFS('Start Here'!$D$19:$D$58,'Start Here'!$A$19:$A$58,$A23),_xlfn.MAXIFS(Sets!$E$2:$E$2297,Sets!$B$2:$B$2297,$A23),_xlfn.MAXIFS(Log!$E$2:$E$1001,Log!$B$2:$B$1001,$A23,Log!$A$2:$A$1001,"&lt;"&amp;('Start Here'!$B$8+252))),1),IF(N(H4)&gt;0,ROUND(H4*$D23,1),""))</f>
        <v/>
      </c>
      <c r="I23" s="64">
        <f>IF(MAX(_xlfn.MAXIFS('Start Here'!$D$19:$D$58,'Start Here'!$A$19:$A$58,$A23),_xlfn.MAXIFS(Sets!$E$2:$E$3054,Sets!$B$2:$B$3054,$A23),_xlfn.MAXIFS(Log!$E$2:$E$1001,Log!$B$2:$B$1001,$A23,Log!$A$2:$A$1001,"&lt;"&amp;('Start Here'!$B$8+336)))&gt;0,ROUND(MAX(_xlfn.MAXIFS('Start Here'!$D$19:$D$58,'Start Here'!$A$19:$A$58,$A23),_xlfn.MAXIFS(Sets!$E$2:$E$3054,Sets!$B$2:$B$3054,$A23),_xlfn.MAXIFS(Log!$E$2:$E$1001,Log!$B$2:$B$1001,$A23,Log!$A$2:$A$1001,"&lt;"&amp;('Start Here'!$B$8+336))),1),IF(N(I4)&gt;0,ROUND(I4*$D23,1),""))</f>
        <v/>
      </c>
      <c r="J23">
        <f>IF(PRs!C23&gt;0,"logged",IF($B23="variation","estimated",""))</f>
        <v/>
      </c>
    </row>
    <row r="24">
      <c r="A24" s="24" t="inlineStr">
        <is>
          <t>Deficit Deadlift</t>
        </is>
      </c>
      <c r="B24" t="inlineStr">
        <is>
          <t>variation</t>
        </is>
      </c>
      <c r="C24" t="inlineStr">
        <is>
          <t>Deadlift</t>
        </is>
      </c>
      <c r="D24" t="n">
        <v>0.9</v>
      </c>
      <c r="E24" s="64">
        <f>IF(MAX(_xlfn.MAXIFS('Start Here'!$D$19:$D$58,'Start Here'!$A$19:$A$58,$A24),_xlfn.MAXIFS(Sets!$E$2:$E$26,Sets!$B$2:$B$26,$A24),_xlfn.MAXIFS(Log!$E$2:$E$1001,Log!$B$2:$B$1001,$A24,Log!$A$2:$A$1001,"&lt;"&amp;('Start Here'!$B$8+0)))&gt;0,ROUND(MAX(_xlfn.MAXIFS('Start Here'!$D$19:$D$58,'Start Here'!$A$19:$A$58,$A24),_xlfn.MAXIFS(Sets!$E$2:$E$26,Sets!$B$2:$B$26,$A24),_xlfn.MAXIFS(Log!$E$2:$E$1001,Log!$B$2:$B$1001,$A24,Log!$A$2:$A$1001,"&lt;"&amp;('Start Here'!$B$8+0))),1),IF(N(E4)&gt;0,ROUND(E4*$D24,1),""))</f>
        <v/>
      </c>
      <c r="F24" s="64">
        <f>IF(MAX(_xlfn.MAXIFS('Start Here'!$D$19:$D$58,'Start Here'!$A$19:$A$58,$A24),_xlfn.MAXIFS(Sets!$E$2:$E$783,Sets!$B$2:$B$783,$A24),_xlfn.MAXIFS(Log!$E$2:$E$1001,Log!$B$2:$B$1001,$A24,Log!$A$2:$A$1001,"&lt;"&amp;('Start Here'!$B$8+84)))&gt;0,ROUND(MAX(_xlfn.MAXIFS('Start Here'!$D$19:$D$58,'Start Here'!$A$19:$A$58,$A24),_xlfn.MAXIFS(Sets!$E$2:$E$783,Sets!$B$2:$B$783,$A24),_xlfn.MAXIFS(Log!$E$2:$E$1001,Log!$B$2:$B$1001,$A24,Log!$A$2:$A$1001,"&lt;"&amp;('Start Here'!$B$8+84))),1),IF(N(F4)&gt;0,ROUND(F4*$D24,1),""))</f>
        <v/>
      </c>
      <c r="G24" s="64">
        <f>IF(MAX(_xlfn.MAXIFS('Start Here'!$D$19:$D$58,'Start Here'!$A$19:$A$58,$A24),_xlfn.MAXIFS(Sets!$E$2:$E$1540,Sets!$B$2:$B$1540,$A24),_xlfn.MAXIFS(Log!$E$2:$E$1001,Log!$B$2:$B$1001,$A24,Log!$A$2:$A$1001,"&lt;"&amp;('Start Here'!$B$8+168)))&gt;0,ROUND(MAX(_xlfn.MAXIFS('Start Here'!$D$19:$D$58,'Start Here'!$A$19:$A$58,$A24),_xlfn.MAXIFS(Sets!$E$2:$E$1540,Sets!$B$2:$B$1540,$A24),_xlfn.MAXIFS(Log!$E$2:$E$1001,Log!$B$2:$B$1001,$A24,Log!$A$2:$A$1001,"&lt;"&amp;('Start Here'!$B$8+168))),1),IF(N(G4)&gt;0,ROUND(G4*$D24,1),""))</f>
        <v/>
      </c>
      <c r="H24" s="64">
        <f>IF(MAX(_xlfn.MAXIFS('Start Here'!$D$19:$D$58,'Start Here'!$A$19:$A$58,$A24),_xlfn.MAXIFS(Sets!$E$2:$E$2297,Sets!$B$2:$B$2297,$A24),_xlfn.MAXIFS(Log!$E$2:$E$1001,Log!$B$2:$B$1001,$A24,Log!$A$2:$A$1001,"&lt;"&amp;('Start Here'!$B$8+252)))&gt;0,ROUND(MAX(_xlfn.MAXIFS('Start Here'!$D$19:$D$58,'Start Here'!$A$19:$A$58,$A24),_xlfn.MAXIFS(Sets!$E$2:$E$2297,Sets!$B$2:$B$2297,$A24),_xlfn.MAXIFS(Log!$E$2:$E$1001,Log!$B$2:$B$1001,$A24,Log!$A$2:$A$1001,"&lt;"&amp;('Start Here'!$B$8+252))),1),IF(N(H4)&gt;0,ROUND(H4*$D24,1),""))</f>
        <v/>
      </c>
      <c r="I24" s="64">
        <f>IF(MAX(_xlfn.MAXIFS('Start Here'!$D$19:$D$58,'Start Here'!$A$19:$A$58,$A24),_xlfn.MAXIFS(Sets!$E$2:$E$3054,Sets!$B$2:$B$3054,$A24),_xlfn.MAXIFS(Log!$E$2:$E$1001,Log!$B$2:$B$1001,$A24,Log!$A$2:$A$1001,"&lt;"&amp;('Start Here'!$B$8+336)))&gt;0,ROUND(MAX(_xlfn.MAXIFS('Start Here'!$D$19:$D$58,'Start Here'!$A$19:$A$58,$A24),_xlfn.MAXIFS(Sets!$E$2:$E$3054,Sets!$B$2:$B$3054,$A24),_xlfn.MAXIFS(Log!$E$2:$E$1001,Log!$B$2:$B$1001,$A24,Log!$A$2:$A$1001,"&lt;"&amp;('Start Here'!$B$8+336))),1),IF(N(I4)&gt;0,ROUND(I4*$D24,1),""))</f>
        <v/>
      </c>
      <c r="J24">
        <f>IF(PRs!C24&gt;0,"logged",IF($B24="variation","estimated",""))</f>
        <v/>
      </c>
    </row>
    <row r="25">
      <c r="A25" s="24" t="inlineStr">
        <is>
          <t>Paused Deadlift</t>
        </is>
      </c>
      <c r="B25" t="inlineStr">
        <is>
          <t>variation</t>
        </is>
      </c>
      <c r="C25" t="inlineStr">
        <is>
          <t>Deadlift</t>
        </is>
      </c>
      <c r="D25" t="n">
        <v>0.85</v>
      </c>
      <c r="E25" s="64">
        <f>IF(MAX(_xlfn.MAXIFS('Start Here'!$D$19:$D$58,'Start Here'!$A$19:$A$58,$A25),_xlfn.MAXIFS(Sets!$E$2:$E$26,Sets!$B$2:$B$26,$A25),_xlfn.MAXIFS(Log!$E$2:$E$1001,Log!$B$2:$B$1001,$A25,Log!$A$2:$A$1001,"&lt;"&amp;('Start Here'!$B$8+0)))&gt;0,ROUND(MAX(_xlfn.MAXIFS('Start Here'!$D$19:$D$58,'Start Here'!$A$19:$A$58,$A25),_xlfn.MAXIFS(Sets!$E$2:$E$26,Sets!$B$2:$B$26,$A25),_xlfn.MAXIFS(Log!$E$2:$E$1001,Log!$B$2:$B$1001,$A25,Log!$A$2:$A$1001,"&lt;"&amp;('Start Here'!$B$8+0))),1),IF(N(E4)&gt;0,ROUND(E4*$D25,1),""))</f>
        <v/>
      </c>
      <c r="F25" s="64">
        <f>IF(MAX(_xlfn.MAXIFS('Start Here'!$D$19:$D$58,'Start Here'!$A$19:$A$58,$A25),_xlfn.MAXIFS(Sets!$E$2:$E$783,Sets!$B$2:$B$783,$A25),_xlfn.MAXIFS(Log!$E$2:$E$1001,Log!$B$2:$B$1001,$A25,Log!$A$2:$A$1001,"&lt;"&amp;('Start Here'!$B$8+84)))&gt;0,ROUND(MAX(_xlfn.MAXIFS('Start Here'!$D$19:$D$58,'Start Here'!$A$19:$A$58,$A25),_xlfn.MAXIFS(Sets!$E$2:$E$783,Sets!$B$2:$B$783,$A25),_xlfn.MAXIFS(Log!$E$2:$E$1001,Log!$B$2:$B$1001,$A25,Log!$A$2:$A$1001,"&lt;"&amp;('Start Here'!$B$8+84))),1),IF(N(F4)&gt;0,ROUND(F4*$D25,1),""))</f>
        <v/>
      </c>
      <c r="G25" s="64">
        <f>IF(MAX(_xlfn.MAXIFS('Start Here'!$D$19:$D$58,'Start Here'!$A$19:$A$58,$A25),_xlfn.MAXIFS(Sets!$E$2:$E$1540,Sets!$B$2:$B$1540,$A25),_xlfn.MAXIFS(Log!$E$2:$E$1001,Log!$B$2:$B$1001,$A25,Log!$A$2:$A$1001,"&lt;"&amp;('Start Here'!$B$8+168)))&gt;0,ROUND(MAX(_xlfn.MAXIFS('Start Here'!$D$19:$D$58,'Start Here'!$A$19:$A$58,$A25),_xlfn.MAXIFS(Sets!$E$2:$E$1540,Sets!$B$2:$B$1540,$A25),_xlfn.MAXIFS(Log!$E$2:$E$1001,Log!$B$2:$B$1001,$A25,Log!$A$2:$A$1001,"&lt;"&amp;('Start Here'!$B$8+168))),1),IF(N(G4)&gt;0,ROUND(G4*$D25,1),""))</f>
        <v/>
      </c>
      <c r="H25" s="64">
        <f>IF(MAX(_xlfn.MAXIFS('Start Here'!$D$19:$D$58,'Start Here'!$A$19:$A$58,$A25),_xlfn.MAXIFS(Sets!$E$2:$E$2297,Sets!$B$2:$B$2297,$A25),_xlfn.MAXIFS(Log!$E$2:$E$1001,Log!$B$2:$B$1001,$A25,Log!$A$2:$A$1001,"&lt;"&amp;('Start Here'!$B$8+252)))&gt;0,ROUND(MAX(_xlfn.MAXIFS('Start Here'!$D$19:$D$58,'Start Here'!$A$19:$A$58,$A25),_xlfn.MAXIFS(Sets!$E$2:$E$2297,Sets!$B$2:$B$2297,$A25),_xlfn.MAXIFS(Log!$E$2:$E$1001,Log!$B$2:$B$1001,$A25,Log!$A$2:$A$1001,"&lt;"&amp;('Start Here'!$B$8+252))),1),IF(N(H4)&gt;0,ROUND(H4*$D25,1),""))</f>
        <v/>
      </c>
      <c r="I25" s="64">
        <f>IF(MAX(_xlfn.MAXIFS('Start Here'!$D$19:$D$58,'Start Here'!$A$19:$A$58,$A25),_xlfn.MAXIFS(Sets!$E$2:$E$3054,Sets!$B$2:$B$3054,$A25),_xlfn.MAXIFS(Log!$E$2:$E$1001,Log!$B$2:$B$1001,$A25,Log!$A$2:$A$1001,"&lt;"&amp;('Start Here'!$B$8+336)))&gt;0,ROUND(MAX(_xlfn.MAXIFS('Start Here'!$D$19:$D$58,'Start Here'!$A$19:$A$58,$A25),_xlfn.MAXIFS(Sets!$E$2:$E$3054,Sets!$B$2:$B$3054,$A25),_xlfn.MAXIFS(Log!$E$2:$E$1001,Log!$B$2:$B$1001,$A25,Log!$A$2:$A$1001,"&lt;"&amp;('Start Here'!$B$8+336))),1),IF(N(I4)&gt;0,ROUND(I4*$D25,1),""))</f>
        <v/>
      </c>
      <c r="J25">
        <f>IF(PRs!C25&gt;0,"logged",IF($B25="variation","estimated",""))</f>
        <v/>
      </c>
    </row>
    <row r="26">
      <c r="A26" s="24" t="inlineStr">
        <is>
          <t>Block Pull</t>
        </is>
      </c>
      <c r="B26" t="inlineStr">
        <is>
          <t>variation</t>
        </is>
      </c>
      <c r="C26" t="inlineStr">
        <is>
          <t>Deadlift</t>
        </is>
      </c>
      <c r="D26" t="n">
        <v>1.05</v>
      </c>
      <c r="E26" s="64">
        <f>IF(MAX(_xlfn.MAXIFS('Start Here'!$D$19:$D$58,'Start Here'!$A$19:$A$58,$A26),_xlfn.MAXIFS(Sets!$E$2:$E$26,Sets!$B$2:$B$26,$A26),_xlfn.MAXIFS(Log!$E$2:$E$1001,Log!$B$2:$B$1001,$A26,Log!$A$2:$A$1001,"&lt;"&amp;('Start Here'!$B$8+0)))&gt;0,ROUND(MAX(_xlfn.MAXIFS('Start Here'!$D$19:$D$58,'Start Here'!$A$19:$A$58,$A26),_xlfn.MAXIFS(Sets!$E$2:$E$26,Sets!$B$2:$B$26,$A26),_xlfn.MAXIFS(Log!$E$2:$E$1001,Log!$B$2:$B$1001,$A26,Log!$A$2:$A$1001,"&lt;"&amp;('Start Here'!$B$8+0))),1),IF(N(E4)&gt;0,ROUND(E4*$D26,1),""))</f>
        <v/>
      </c>
      <c r="F26" s="64">
        <f>IF(MAX(_xlfn.MAXIFS('Start Here'!$D$19:$D$58,'Start Here'!$A$19:$A$58,$A26),_xlfn.MAXIFS(Sets!$E$2:$E$783,Sets!$B$2:$B$783,$A26),_xlfn.MAXIFS(Log!$E$2:$E$1001,Log!$B$2:$B$1001,$A26,Log!$A$2:$A$1001,"&lt;"&amp;('Start Here'!$B$8+84)))&gt;0,ROUND(MAX(_xlfn.MAXIFS('Start Here'!$D$19:$D$58,'Start Here'!$A$19:$A$58,$A26),_xlfn.MAXIFS(Sets!$E$2:$E$783,Sets!$B$2:$B$783,$A26),_xlfn.MAXIFS(Log!$E$2:$E$1001,Log!$B$2:$B$1001,$A26,Log!$A$2:$A$1001,"&lt;"&amp;('Start Here'!$B$8+84))),1),IF(N(F4)&gt;0,ROUND(F4*$D26,1),""))</f>
        <v/>
      </c>
      <c r="G26" s="64">
        <f>IF(MAX(_xlfn.MAXIFS('Start Here'!$D$19:$D$58,'Start Here'!$A$19:$A$58,$A26),_xlfn.MAXIFS(Sets!$E$2:$E$1540,Sets!$B$2:$B$1540,$A26),_xlfn.MAXIFS(Log!$E$2:$E$1001,Log!$B$2:$B$1001,$A26,Log!$A$2:$A$1001,"&lt;"&amp;('Start Here'!$B$8+168)))&gt;0,ROUND(MAX(_xlfn.MAXIFS('Start Here'!$D$19:$D$58,'Start Here'!$A$19:$A$58,$A26),_xlfn.MAXIFS(Sets!$E$2:$E$1540,Sets!$B$2:$B$1540,$A26),_xlfn.MAXIFS(Log!$E$2:$E$1001,Log!$B$2:$B$1001,$A26,Log!$A$2:$A$1001,"&lt;"&amp;('Start Here'!$B$8+168))),1),IF(N(G4)&gt;0,ROUND(G4*$D26,1),""))</f>
        <v/>
      </c>
      <c r="H26" s="64">
        <f>IF(MAX(_xlfn.MAXIFS('Start Here'!$D$19:$D$58,'Start Here'!$A$19:$A$58,$A26),_xlfn.MAXIFS(Sets!$E$2:$E$2297,Sets!$B$2:$B$2297,$A26),_xlfn.MAXIFS(Log!$E$2:$E$1001,Log!$B$2:$B$1001,$A26,Log!$A$2:$A$1001,"&lt;"&amp;('Start Here'!$B$8+252)))&gt;0,ROUND(MAX(_xlfn.MAXIFS('Start Here'!$D$19:$D$58,'Start Here'!$A$19:$A$58,$A26),_xlfn.MAXIFS(Sets!$E$2:$E$2297,Sets!$B$2:$B$2297,$A26),_xlfn.MAXIFS(Log!$E$2:$E$1001,Log!$B$2:$B$1001,$A26,Log!$A$2:$A$1001,"&lt;"&amp;('Start Here'!$B$8+252))),1),IF(N(H4)&gt;0,ROUND(H4*$D26,1),""))</f>
        <v/>
      </c>
      <c r="I26" s="64">
        <f>IF(MAX(_xlfn.MAXIFS('Start Here'!$D$19:$D$58,'Start Here'!$A$19:$A$58,$A26),_xlfn.MAXIFS(Sets!$E$2:$E$3054,Sets!$B$2:$B$3054,$A26),_xlfn.MAXIFS(Log!$E$2:$E$1001,Log!$B$2:$B$1001,$A26,Log!$A$2:$A$1001,"&lt;"&amp;('Start Here'!$B$8+336)))&gt;0,ROUND(MAX(_xlfn.MAXIFS('Start Here'!$D$19:$D$58,'Start Here'!$A$19:$A$58,$A26),_xlfn.MAXIFS(Sets!$E$2:$E$3054,Sets!$B$2:$B$3054,$A26),_xlfn.MAXIFS(Log!$E$2:$E$1001,Log!$B$2:$B$1001,$A26,Log!$A$2:$A$1001,"&lt;"&amp;('Start Here'!$B$8+336))),1),IF(N(I4)&gt;0,ROUND(I4*$D26,1),""))</f>
        <v/>
      </c>
      <c r="J26">
        <f>IF(PRs!C26&gt;0,"logged",IF($B26="variation","estimated",""))</f>
        <v/>
      </c>
    </row>
    <row r="27">
      <c r="A27" s="24" t="inlineStr">
        <is>
          <t>Rack Pull</t>
        </is>
      </c>
      <c r="B27" t="inlineStr">
        <is>
          <t>variation</t>
        </is>
      </c>
      <c r="C27" t="inlineStr">
        <is>
          <t>Deadlift</t>
        </is>
      </c>
      <c r="D27" t="n">
        <v>1.1</v>
      </c>
      <c r="E27" s="64">
        <f>IF(MAX(_xlfn.MAXIFS('Start Here'!$D$19:$D$58,'Start Here'!$A$19:$A$58,$A27),_xlfn.MAXIFS(Sets!$E$2:$E$26,Sets!$B$2:$B$26,$A27),_xlfn.MAXIFS(Log!$E$2:$E$1001,Log!$B$2:$B$1001,$A27,Log!$A$2:$A$1001,"&lt;"&amp;('Start Here'!$B$8+0)))&gt;0,ROUND(MAX(_xlfn.MAXIFS('Start Here'!$D$19:$D$58,'Start Here'!$A$19:$A$58,$A27),_xlfn.MAXIFS(Sets!$E$2:$E$26,Sets!$B$2:$B$26,$A27),_xlfn.MAXIFS(Log!$E$2:$E$1001,Log!$B$2:$B$1001,$A27,Log!$A$2:$A$1001,"&lt;"&amp;('Start Here'!$B$8+0))),1),IF(N(E4)&gt;0,ROUND(E4*$D27,1),""))</f>
        <v/>
      </c>
      <c r="F27" s="64">
        <f>IF(MAX(_xlfn.MAXIFS('Start Here'!$D$19:$D$58,'Start Here'!$A$19:$A$58,$A27),_xlfn.MAXIFS(Sets!$E$2:$E$783,Sets!$B$2:$B$783,$A27),_xlfn.MAXIFS(Log!$E$2:$E$1001,Log!$B$2:$B$1001,$A27,Log!$A$2:$A$1001,"&lt;"&amp;('Start Here'!$B$8+84)))&gt;0,ROUND(MAX(_xlfn.MAXIFS('Start Here'!$D$19:$D$58,'Start Here'!$A$19:$A$58,$A27),_xlfn.MAXIFS(Sets!$E$2:$E$783,Sets!$B$2:$B$783,$A27),_xlfn.MAXIFS(Log!$E$2:$E$1001,Log!$B$2:$B$1001,$A27,Log!$A$2:$A$1001,"&lt;"&amp;('Start Here'!$B$8+84))),1),IF(N(F4)&gt;0,ROUND(F4*$D27,1),""))</f>
        <v/>
      </c>
      <c r="G27" s="64">
        <f>IF(MAX(_xlfn.MAXIFS('Start Here'!$D$19:$D$58,'Start Here'!$A$19:$A$58,$A27),_xlfn.MAXIFS(Sets!$E$2:$E$1540,Sets!$B$2:$B$1540,$A27),_xlfn.MAXIFS(Log!$E$2:$E$1001,Log!$B$2:$B$1001,$A27,Log!$A$2:$A$1001,"&lt;"&amp;('Start Here'!$B$8+168)))&gt;0,ROUND(MAX(_xlfn.MAXIFS('Start Here'!$D$19:$D$58,'Start Here'!$A$19:$A$58,$A27),_xlfn.MAXIFS(Sets!$E$2:$E$1540,Sets!$B$2:$B$1540,$A27),_xlfn.MAXIFS(Log!$E$2:$E$1001,Log!$B$2:$B$1001,$A27,Log!$A$2:$A$1001,"&lt;"&amp;('Start Here'!$B$8+168))),1),IF(N(G4)&gt;0,ROUND(G4*$D27,1),""))</f>
        <v/>
      </c>
      <c r="H27" s="64">
        <f>IF(MAX(_xlfn.MAXIFS('Start Here'!$D$19:$D$58,'Start Here'!$A$19:$A$58,$A27),_xlfn.MAXIFS(Sets!$E$2:$E$2297,Sets!$B$2:$B$2297,$A27),_xlfn.MAXIFS(Log!$E$2:$E$1001,Log!$B$2:$B$1001,$A27,Log!$A$2:$A$1001,"&lt;"&amp;('Start Here'!$B$8+252)))&gt;0,ROUND(MAX(_xlfn.MAXIFS('Start Here'!$D$19:$D$58,'Start Here'!$A$19:$A$58,$A27),_xlfn.MAXIFS(Sets!$E$2:$E$2297,Sets!$B$2:$B$2297,$A27),_xlfn.MAXIFS(Log!$E$2:$E$1001,Log!$B$2:$B$1001,$A27,Log!$A$2:$A$1001,"&lt;"&amp;('Start Here'!$B$8+252))),1),IF(N(H4)&gt;0,ROUND(H4*$D27,1),""))</f>
        <v/>
      </c>
      <c r="I27" s="64">
        <f>IF(MAX(_xlfn.MAXIFS('Start Here'!$D$19:$D$58,'Start Here'!$A$19:$A$58,$A27),_xlfn.MAXIFS(Sets!$E$2:$E$3054,Sets!$B$2:$B$3054,$A27),_xlfn.MAXIFS(Log!$E$2:$E$1001,Log!$B$2:$B$1001,$A27,Log!$A$2:$A$1001,"&lt;"&amp;('Start Here'!$B$8+336)))&gt;0,ROUND(MAX(_xlfn.MAXIFS('Start Here'!$D$19:$D$58,'Start Here'!$A$19:$A$58,$A27),_xlfn.MAXIFS(Sets!$E$2:$E$3054,Sets!$B$2:$B$3054,$A27),_xlfn.MAXIFS(Log!$E$2:$E$1001,Log!$B$2:$B$1001,$A27,Log!$A$2:$A$1001,"&lt;"&amp;('Start Here'!$B$8+336))),1),IF(N(I4)&gt;0,ROUND(I4*$D27,1),""))</f>
        <v/>
      </c>
      <c r="J27">
        <f>IF(PRs!C27&gt;0,"logged",IF($B27="variation","estimated",""))</f>
        <v/>
      </c>
    </row>
    <row r="28">
      <c r="A28" s="24" t="inlineStr">
        <is>
          <t>Sumo Deadlift</t>
        </is>
      </c>
      <c r="B28" t="inlineStr">
        <is>
          <t>variation</t>
        </is>
      </c>
      <c r="C28" t="inlineStr">
        <is>
          <t>Deadlift</t>
        </is>
      </c>
      <c r="D28" t="n">
        <v>1</v>
      </c>
      <c r="E28" s="64">
        <f>IF(MAX(_xlfn.MAXIFS('Start Here'!$D$19:$D$58,'Start Here'!$A$19:$A$58,$A28),_xlfn.MAXIFS(Sets!$E$2:$E$26,Sets!$B$2:$B$26,$A28),_xlfn.MAXIFS(Log!$E$2:$E$1001,Log!$B$2:$B$1001,$A28,Log!$A$2:$A$1001,"&lt;"&amp;('Start Here'!$B$8+0)))&gt;0,ROUND(MAX(_xlfn.MAXIFS('Start Here'!$D$19:$D$58,'Start Here'!$A$19:$A$58,$A28),_xlfn.MAXIFS(Sets!$E$2:$E$26,Sets!$B$2:$B$26,$A28),_xlfn.MAXIFS(Log!$E$2:$E$1001,Log!$B$2:$B$1001,$A28,Log!$A$2:$A$1001,"&lt;"&amp;('Start Here'!$B$8+0))),1),IF(N(E4)&gt;0,ROUND(E4*$D28,1),""))</f>
        <v/>
      </c>
      <c r="F28" s="64">
        <f>IF(MAX(_xlfn.MAXIFS('Start Here'!$D$19:$D$58,'Start Here'!$A$19:$A$58,$A28),_xlfn.MAXIFS(Sets!$E$2:$E$783,Sets!$B$2:$B$783,$A28),_xlfn.MAXIFS(Log!$E$2:$E$1001,Log!$B$2:$B$1001,$A28,Log!$A$2:$A$1001,"&lt;"&amp;('Start Here'!$B$8+84)))&gt;0,ROUND(MAX(_xlfn.MAXIFS('Start Here'!$D$19:$D$58,'Start Here'!$A$19:$A$58,$A28),_xlfn.MAXIFS(Sets!$E$2:$E$783,Sets!$B$2:$B$783,$A28),_xlfn.MAXIFS(Log!$E$2:$E$1001,Log!$B$2:$B$1001,$A28,Log!$A$2:$A$1001,"&lt;"&amp;('Start Here'!$B$8+84))),1),IF(N(F4)&gt;0,ROUND(F4*$D28,1),""))</f>
        <v/>
      </c>
      <c r="G28" s="64">
        <f>IF(MAX(_xlfn.MAXIFS('Start Here'!$D$19:$D$58,'Start Here'!$A$19:$A$58,$A28),_xlfn.MAXIFS(Sets!$E$2:$E$1540,Sets!$B$2:$B$1540,$A28),_xlfn.MAXIFS(Log!$E$2:$E$1001,Log!$B$2:$B$1001,$A28,Log!$A$2:$A$1001,"&lt;"&amp;('Start Here'!$B$8+168)))&gt;0,ROUND(MAX(_xlfn.MAXIFS('Start Here'!$D$19:$D$58,'Start Here'!$A$19:$A$58,$A28),_xlfn.MAXIFS(Sets!$E$2:$E$1540,Sets!$B$2:$B$1540,$A28),_xlfn.MAXIFS(Log!$E$2:$E$1001,Log!$B$2:$B$1001,$A28,Log!$A$2:$A$1001,"&lt;"&amp;('Start Here'!$B$8+168))),1),IF(N(G4)&gt;0,ROUND(G4*$D28,1),""))</f>
        <v/>
      </c>
      <c r="H28" s="64">
        <f>IF(MAX(_xlfn.MAXIFS('Start Here'!$D$19:$D$58,'Start Here'!$A$19:$A$58,$A28),_xlfn.MAXIFS(Sets!$E$2:$E$2297,Sets!$B$2:$B$2297,$A28),_xlfn.MAXIFS(Log!$E$2:$E$1001,Log!$B$2:$B$1001,$A28,Log!$A$2:$A$1001,"&lt;"&amp;('Start Here'!$B$8+252)))&gt;0,ROUND(MAX(_xlfn.MAXIFS('Start Here'!$D$19:$D$58,'Start Here'!$A$19:$A$58,$A28),_xlfn.MAXIFS(Sets!$E$2:$E$2297,Sets!$B$2:$B$2297,$A28),_xlfn.MAXIFS(Log!$E$2:$E$1001,Log!$B$2:$B$1001,$A28,Log!$A$2:$A$1001,"&lt;"&amp;('Start Here'!$B$8+252))),1),IF(N(H4)&gt;0,ROUND(H4*$D28,1),""))</f>
        <v/>
      </c>
      <c r="I28" s="64">
        <f>IF(MAX(_xlfn.MAXIFS('Start Here'!$D$19:$D$58,'Start Here'!$A$19:$A$58,$A28),_xlfn.MAXIFS(Sets!$E$2:$E$3054,Sets!$B$2:$B$3054,$A28),_xlfn.MAXIFS(Log!$E$2:$E$1001,Log!$B$2:$B$1001,$A28,Log!$A$2:$A$1001,"&lt;"&amp;('Start Here'!$B$8+336)))&gt;0,ROUND(MAX(_xlfn.MAXIFS('Start Here'!$D$19:$D$58,'Start Here'!$A$19:$A$58,$A28),_xlfn.MAXIFS(Sets!$E$2:$E$3054,Sets!$B$2:$B$3054,$A28),_xlfn.MAXIFS(Log!$E$2:$E$1001,Log!$B$2:$B$1001,$A28,Log!$A$2:$A$1001,"&lt;"&amp;('Start Here'!$B$8+336))),1),IF(N(I4)&gt;0,ROUND(I4*$D28,1),""))</f>
        <v/>
      </c>
      <c r="J28">
        <f>IF(PRs!C28&gt;0,"logged",IF($B28="variation","estimated",""))</f>
        <v/>
      </c>
    </row>
    <row r="29">
      <c r="A29" s="24" t="inlineStr">
        <is>
          <t>Snatch-Grip Deadlift</t>
        </is>
      </c>
      <c r="B29" t="inlineStr">
        <is>
          <t>variation</t>
        </is>
      </c>
      <c r="C29" t="inlineStr">
        <is>
          <t>Deadlift</t>
        </is>
      </c>
      <c r="D29" t="n">
        <v>0.8</v>
      </c>
      <c r="E29" s="64">
        <f>IF(MAX(_xlfn.MAXIFS('Start Here'!$D$19:$D$58,'Start Here'!$A$19:$A$58,$A29),_xlfn.MAXIFS(Sets!$E$2:$E$26,Sets!$B$2:$B$26,$A29),_xlfn.MAXIFS(Log!$E$2:$E$1001,Log!$B$2:$B$1001,$A29,Log!$A$2:$A$1001,"&lt;"&amp;('Start Here'!$B$8+0)))&gt;0,ROUND(MAX(_xlfn.MAXIFS('Start Here'!$D$19:$D$58,'Start Here'!$A$19:$A$58,$A29),_xlfn.MAXIFS(Sets!$E$2:$E$26,Sets!$B$2:$B$26,$A29),_xlfn.MAXIFS(Log!$E$2:$E$1001,Log!$B$2:$B$1001,$A29,Log!$A$2:$A$1001,"&lt;"&amp;('Start Here'!$B$8+0))),1),IF(N(E4)&gt;0,ROUND(E4*$D29,1),""))</f>
        <v/>
      </c>
      <c r="F29" s="64">
        <f>IF(MAX(_xlfn.MAXIFS('Start Here'!$D$19:$D$58,'Start Here'!$A$19:$A$58,$A29),_xlfn.MAXIFS(Sets!$E$2:$E$783,Sets!$B$2:$B$783,$A29),_xlfn.MAXIFS(Log!$E$2:$E$1001,Log!$B$2:$B$1001,$A29,Log!$A$2:$A$1001,"&lt;"&amp;('Start Here'!$B$8+84)))&gt;0,ROUND(MAX(_xlfn.MAXIFS('Start Here'!$D$19:$D$58,'Start Here'!$A$19:$A$58,$A29),_xlfn.MAXIFS(Sets!$E$2:$E$783,Sets!$B$2:$B$783,$A29),_xlfn.MAXIFS(Log!$E$2:$E$1001,Log!$B$2:$B$1001,$A29,Log!$A$2:$A$1001,"&lt;"&amp;('Start Here'!$B$8+84))),1),IF(N(F4)&gt;0,ROUND(F4*$D29,1),""))</f>
        <v/>
      </c>
      <c r="G29" s="64">
        <f>IF(MAX(_xlfn.MAXIFS('Start Here'!$D$19:$D$58,'Start Here'!$A$19:$A$58,$A29),_xlfn.MAXIFS(Sets!$E$2:$E$1540,Sets!$B$2:$B$1540,$A29),_xlfn.MAXIFS(Log!$E$2:$E$1001,Log!$B$2:$B$1001,$A29,Log!$A$2:$A$1001,"&lt;"&amp;('Start Here'!$B$8+168)))&gt;0,ROUND(MAX(_xlfn.MAXIFS('Start Here'!$D$19:$D$58,'Start Here'!$A$19:$A$58,$A29),_xlfn.MAXIFS(Sets!$E$2:$E$1540,Sets!$B$2:$B$1540,$A29),_xlfn.MAXIFS(Log!$E$2:$E$1001,Log!$B$2:$B$1001,$A29,Log!$A$2:$A$1001,"&lt;"&amp;('Start Here'!$B$8+168))),1),IF(N(G4)&gt;0,ROUND(G4*$D29,1),""))</f>
        <v/>
      </c>
      <c r="H29" s="64">
        <f>IF(MAX(_xlfn.MAXIFS('Start Here'!$D$19:$D$58,'Start Here'!$A$19:$A$58,$A29),_xlfn.MAXIFS(Sets!$E$2:$E$2297,Sets!$B$2:$B$2297,$A29),_xlfn.MAXIFS(Log!$E$2:$E$1001,Log!$B$2:$B$1001,$A29,Log!$A$2:$A$1001,"&lt;"&amp;('Start Here'!$B$8+252)))&gt;0,ROUND(MAX(_xlfn.MAXIFS('Start Here'!$D$19:$D$58,'Start Here'!$A$19:$A$58,$A29),_xlfn.MAXIFS(Sets!$E$2:$E$2297,Sets!$B$2:$B$2297,$A29),_xlfn.MAXIFS(Log!$E$2:$E$1001,Log!$B$2:$B$1001,$A29,Log!$A$2:$A$1001,"&lt;"&amp;('Start Here'!$B$8+252))),1),IF(N(H4)&gt;0,ROUND(H4*$D29,1),""))</f>
        <v/>
      </c>
      <c r="I29" s="64">
        <f>IF(MAX(_xlfn.MAXIFS('Start Here'!$D$19:$D$58,'Start Here'!$A$19:$A$58,$A29),_xlfn.MAXIFS(Sets!$E$2:$E$3054,Sets!$B$2:$B$3054,$A29),_xlfn.MAXIFS(Log!$E$2:$E$1001,Log!$B$2:$B$1001,$A29,Log!$A$2:$A$1001,"&lt;"&amp;('Start Here'!$B$8+336)))&gt;0,ROUND(MAX(_xlfn.MAXIFS('Start Here'!$D$19:$D$58,'Start Here'!$A$19:$A$58,$A29),_xlfn.MAXIFS(Sets!$E$2:$E$3054,Sets!$B$2:$B$3054,$A29),_xlfn.MAXIFS(Log!$E$2:$E$1001,Log!$B$2:$B$1001,$A29,Log!$A$2:$A$1001,"&lt;"&amp;('Start Here'!$B$8+336))),1),IF(N(I4)&gt;0,ROUND(I4*$D29,1),""))</f>
        <v/>
      </c>
      <c r="J29">
        <f>IF(PRs!C29&gt;0,"logged",IF($B29="variation","estimated",""))</f>
        <v/>
      </c>
    </row>
    <row r="30">
      <c r="A30" s="24" t="inlineStr">
        <is>
          <t>Push Press</t>
        </is>
      </c>
      <c r="B30" t="inlineStr">
        <is>
          <t>variation</t>
        </is>
      </c>
      <c r="C30" t="inlineStr">
        <is>
          <t>Overhead Press</t>
        </is>
      </c>
      <c r="D30" t="n">
        <v>1.2</v>
      </c>
      <c r="E30" s="64">
        <f>IF(MAX(_xlfn.MAXIFS('Start Here'!$D$19:$D$58,'Start Here'!$A$19:$A$58,$A30),_xlfn.MAXIFS(Sets!$E$2:$E$26,Sets!$B$2:$B$26,$A30),_xlfn.MAXIFS(Log!$E$2:$E$1001,Log!$B$2:$B$1001,$A30,Log!$A$2:$A$1001,"&lt;"&amp;('Start Here'!$B$8+0)))&gt;0,ROUND(MAX(_xlfn.MAXIFS('Start Here'!$D$19:$D$58,'Start Here'!$A$19:$A$58,$A30),_xlfn.MAXIFS(Sets!$E$2:$E$26,Sets!$B$2:$B$26,$A30),_xlfn.MAXIFS(Log!$E$2:$E$1001,Log!$B$2:$B$1001,$A30,Log!$A$2:$A$1001,"&lt;"&amp;('Start Here'!$B$8+0))),1),IF(N(E5)&gt;0,ROUND(E5*$D30,1),""))</f>
        <v/>
      </c>
      <c r="F30" s="64">
        <f>IF(MAX(_xlfn.MAXIFS('Start Here'!$D$19:$D$58,'Start Here'!$A$19:$A$58,$A30),_xlfn.MAXIFS(Sets!$E$2:$E$783,Sets!$B$2:$B$783,$A30),_xlfn.MAXIFS(Log!$E$2:$E$1001,Log!$B$2:$B$1001,$A30,Log!$A$2:$A$1001,"&lt;"&amp;('Start Here'!$B$8+84)))&gt;0,ROUND(MAX(_xlfn.MAXIFS('Start Here'!$D$19:$D$58,'Start Here'!$A$19:$A$58,$A30),_xlfn.MAXIFS(Sets!$E$2:$E$783,Sets!$B$2:$B$783,$A30),_xlfn.MAXIFS(Log!$E$2:$E$1001,Log!$B$2:$B$1001,$A30,Log!$A$2:$A$1001,"&lt;"&amp;('Start Here'!$B$8+84))),1),IF(N(F5)&gt;0,ROUND(F5*$D30,1),""))</f>
        <v/>
      </c>
      <c r="G30" s="64">
        <f>IF(MAX(_xlfn.MAXIFS('Start Here'!$D$19:$D$58,'Start Here'!$A$19:$A$58,$A30),_xlfn.MAXIFS(Sets!$E$2:$E$1540,Sets!$B$2:$B$1540,$A30),_xlfn.MAXIFS(Log!$E$2:$E$1001,Log!$B$2:$B$1001,$A30,Log!$A$2:$A$1001,"&lt;"&amp;('Start Here'!$B$8+168)))&gt;0,ROUND(MAX(_xlfn.MAXIFS('Start Here'!$D$19:$D$58,'Start Here'!$A$19:$A$58,$A30),_xlfn.MAXIFS(Sets!$E$2:$E$1540,Sets!$B$2:$B$1540,$A30),_xlfn.MAXIFS(Log!$E$2:$E$1001,Log!$B$2:$B$1001,$A30,Log!$A$2:$A$1001,"&lt;"&amp;('Start Here'!$B$8+168))),1),IF(N(G5)&gt;0,ROUND(G5*$D30,1),""))</f>
        <v/>
      </c>
      <c r="H30" s="64">
        <f>IF(MAX(_xlfn.MAXIFS('Start Here'!$D$19:$D$58,'Start Here'!$A$19:$A$58,$A30),_xlfn.MAXIFS(Sets!$E$2:$E$2297,Sets!$B$2:$B$2297,$A30),_xlfn.MAXIFS(Log!$E$2:$E$1001,Log!$B$2:$B$1001,$A30,Log!$A$2:$A$1001,"&lt;"&amp;('Start Here'!$B$8+252)))&gt;0,ROUND(MAX(_xlfn.MAXIFS('Start Here'!$D$19:$D$58,'Start Here'!$A$19:$A$58,$A30),_xlfn.MAXIFS(Sets!$E$2:$E$2297,Sets!$B$2:$B$2297,$A30),_xlfn.MAXIFS(Log!$E$2:$E$1001,Log!$B$2:$B$1001,$A30,Log!$A$2:$A$1001,"&lt;"&amp;('Start Here'!$B$8+252))),1),IF(N(H5)&gt;0,ROUND(H5*$D30,1),""))</f>
        <v/>
      </c>
      <c r="I30" s="64">
        <f>IF(MAX(_xlfn.MAXIFS('Start Here'!$D$19:$D$58,'Start Here'!$A$19:$A$58,$A30),_xlfn.MAXIFS(Sets!$E$2:$E$3054,Sets!$B$2:$B$3054,$A30),_xlfn.MAXIFS(Log!$E$2:$E$1001,Log!$B$2:$B$1001,$A30,Log!$A$2:$A$1001,"&lt;"&amp;('Start Here'!$B$8+336)))&gt;0,ROUND(MAX(_xlfn.MAXIFS('Start Here'!$D$19:$D$58,'Start Here'!$A$19:$A$58,$A30),_xlfn.MAXIFS(Sets!$E$2:$E$3054,Sets!$B$2:$B$3054,$A30),_xlfn.MAXIFS(Log!$E$2:$E$1001,Log!$B$2:$B$1001,$A30,Log!$A$2:$A$1001,"&lt;"&amp;('Start Here'!$B$8+336))),1),IF(N(I5)&gt;0,ROUND(I5*$D30,1),""))</f>
        <v/>
      </c>
      <c r="J30">
        <f>IF(PRs!C30&gt;0,"logged",IF($B30="variation","estimated",""))</f>
        <v/>
      </c>
    </row>
    <row r="31">
      <c r="A31" s="24" t="inlineStr">
        <is>
          <t>Seated Overhead Press</t>
        </is>
      </c>
      <c r="B31" t="inlineStr">
        <is>
          <t>variation</t>
        </is>
      </c>
      <c r="C31" t="inlineStr">
        <is>
          <t>Overhead Press</t>
        </is>
      </c>
      <c r="D31" t="n">
        <v>0.9</v>
      </c>
      <c r="E31" s="64">
        <f>IF(MAX(_xlfn.MAXIFS('Start Here'!$D$19:$D$58,'Start Here'!$A$19:$A$58,$A31),_xlfn.MAXIFS(Sets!$E$2:$E$26,Sets!$B$2:$B$26,$A31),_xlfn.MAXIFS(Log!$E$2:$E$1001,Log!$B$2:$B$1001,$A31,Log!$A$2:$A$1001,"&lt;"&amp;('Start Here'!$B$8+0)))&gt;0,ROUND(MAX(_xlfn.MAXIFS('Start Here'!$D$19:$D$58,'Start Here'!$A$19:$A$58,$A31),_xlfn.MAXIFS(Sets!$E$2:$E$26,Sets!$B$2:$B$26,$A31),_xlfn.MAXIFS(Log!$E$2:$E$1001,Log!$B$2:$B$1001,$A31,Log!$A$2:$A$1001,"&lt;"&amp;('Start Here'!$B$8+0))),1),IF(N(E5)&gt;0,ROUND(E5*$D31,1),""))</f>
        <v/>
      </c>
      <c r="F31" s="64">
        <f>IF(MAX(_xlfn.MAXIFS('Start Here'!$D$19:$D$58,'Start Here'!$A$19:$A$58,$A31),_xlfn.MAXIFS(Sets!$E$2:$E$783,Sets!$B$2:$B$783,$A31),_xlfn.MAXIFS(Log!$E$2:$E$1001,Log!$B$2:$B$1001,$A31,Log!$A$2:$A$1001,"&lt;"&amp;('Start Here'!$B$8+84)))&gt;0,ROUND(MAX(_xlfn.MAXIFS('Start Here'!$D$19:$D$58,'Start Here'!$A$19:$A$58,$A31),_xlfn.MAXIFS(Sets!$E$2:$E$783,Sets!$B$2:$B$783,$A31),_xlfn.MAXIFS(Log!$E$2:$E$1001,Log!$B$2:$B$1001,$A31,Log!$A$2:$A$1001,"&lt;"&amp;('Start Here'!$B$8+84))),1),IF(N(F5)&gt;0,ROUND(F5*$D31,1),""))</f>
        <v/>
      </c>
      <c r="G31" s="64">
        <f>IF(MAX(_xlfn.MAXIFS('Start Here'!$D$19:$D$58,'Start Here'!$A$19:$A$58,$A31),_xlfn.MAXIFS(Sets!$E$2:$E$1540,Sets!$B$2:$B$1540,$A31),_xlfn.MAXIFS(Log!$E$2:$E$1001,Log!$B$2:$B$1001,$A31,Log!$A$2:$A$1001,"&lt;"&amp;('Start Here'!$B$8+168)))&gt;0,ROUND(MAX(_xlfn.MAXIFS('Start Here'!$D$19:$D$58,'Start Here'!$A$19:$A$58,$A31),_xlfn.MAXIFS(Sets!$E$2:$E$1540,Sets!$B$2:$B$1540,$A31),_xlfn.MAXIFS(Log!$E$2:$E$1001,Log!$B$2:$B$1001,$A31,Log!$A$2:$A$1001,"&lt;"&amp;('Start Here'!$B$8+168))),1),IF(N(G5)&gt;0,ROUND(G5*$D31,1),""))</f>
        <v/>
      </c>
      <c r="H31" s="64">
        <f>IF(MAX(_xlfn.MAXIFS('Start Here'!$D$19:$D$58,'Start Here'!$A$19:$A$58,$A31),_xlfn.MAXIFS(Sets!$E$2:$E$2297,Sets!$B$2:$B$2297,$A31),_xlfn.MAXIFS(Log!$E$2:$E$1001,Log!$B$2:$B$1001,$A31,Log!$A$2:$A$1001,"&lt;"&amp;('Start Here'!$B$8+252)))&gt;0,ROUND(MAX(_xlfn.MAXIFS('Start Here'!$D$19:$D$58,'Start Here'!$A$19:$A$58,$A31),_xlfn.MAXIFS(Sets!$E$2:$E$2297,Sets!$B$2:$B$2297,$A31),_xlfn.MAXIFS(Log!$E$2:$E$1001,Log!$B$2:$B$1001,$A31,Log!$A$2:$A$1001,"&lt;"&amp;('Start Here'!$B$8+252))),1),IF(N(H5)&gt;0,ROUND(H5*$D31,1),""))</f>
        <v/>
      </c>
      <c r="I31" s="64">
        <f>IF(MAX(_xlfn.MAXIFS('Start Here'!$D$19:$D$58,'Start Here'!$A$19:$A$58,$A31),_xlfn.MAXIFS(Sets!$E$2:$E$3054,Sets!$B$2:$B$3054,$A31),_xlfn.MAXIFS(Log!$E$2:$E$1001,Log!$B$2:$B$1001,$A31,Log!$A$2:$A$1001,"&lt;"&amp;('Start Here'!$B$8+336)))&gt;0,ROUND(MAX(_xlfn.MAXIFS('Start Here'!$D$19:$D$58,'Start Here'!$A$19:$A$58,$A31),_xlfn.MAXIFS(Sets!$E$2:$E$3054,Sets!$B$2:$B$3054,$A31),_xlfn.MAXIFS(Log!$E$2:$E$1001,Log!$B$2:$B$1001,$A31,Log!$A$2:$A$1001,"&lt;"&amp;('Start Here'!$B$8+336))),1),IF(N(I5)&gt;0,ROUND(I5*$D31,1),""))</f>
        <v/>
      </c>
      <c r="J31">
        <f>IF(PRs!C31&gt;0,"logged",IF($B31="variation","estimated",""))</f>
        <v/>
      </c>
    </row>
    <row r="32">
      <c r="A32" s="24" t="inlineStr">
        <is>
          <t>Z Press</t>
        </is>
      </c>
      <c r="B32" t="inlineStr">
        <is>
          <t>variation</t>
        </is>
      </c>
      <c r="C32" t="inlineStr">
        <is>
          <t>Overhead Press</t>
        </is>
      </c>
      <c r="D32" t="n">
        <v>0.8</v>
      </c>
      <c r="E32" s="64">
        <f>IF(MAX(_xlfn.MAXIFS('Start Here'!$D$19:$D$58,'Start Here'!$A$19:$A$58,$A32),_xlfn.MAXIFS(Sets!$E$2:$E$26,Sets!$B$2:$B$26,$A32),_xlfn.MAXIFS(Log!$E$2:$E$1001,Log!$B$2:$B$1001,$A32,Log!$A$2:$A$1001,"&lt;"&amp;('Start Here'!$B$8+0)))&gt;0,ROUND(MAX(_xlfn.MAXIFS('Start Here'!$D$19:$D$58,'Start Here'!$A$19:$A$58,$A32),_xlfn.MAXIFS(Sets!$E$2:$E$26,Sets!$B$2:$B$26,$A32),_xlfn.MAXIFS(Log!$E$2:$E$1001,Log!$B$2:$B$1001,$A32,Log!$A$2:$A$1001,"&lt;"&amp;('Start Here'!$B$8+0))),1),IF(N(E5)&gt;0,ROUND(E5*$D32,1),""))</f>
        <v/>
      </c>
      <c r="F32" s="64">
        <f>IF(MAX(_xlfn.MAXIFS('Start Here'!$D$19:$D$58,'Start Here'!$A$19:$A$58,$A32),_xlfn.MAXIFS(Sets!$E$2:$E$783,Sets!$B$2:$B$783,$A32),_xlfn.MAXIFS(Log!$E$2:$E$1001,Log!$B$2:$B$1001,$A32,Log!$A$2:$A$1001,"&lt;"&amp;('Start Here'!$B$8+84)))&gt;0,ROUND(MAX(_xlfn.MAXIFS('Start Here'!$D$19:$D$58,'Start Here'!$A$19:$A$58,$A32),_xlfn.MAXIFS(Sets!$E$2:$E$783,Sets!$B$2:$B$783,$A32),_xlfn.MAXIFS(Log!$E$2:$E$1001,Log!$B$2:$B$1001,$A32,Log!$A$2:$A$1001,"&lt;"&amp;('Start Here'!$B$8+84))),1),IF(N(F5)&gt;0,ROUND(F5*$D32,1),""))</f>
        <v/>
      </c>
      <c r="G32" s="64">
        <f>IF(MAX(_xlfn.MAXIFS('Start Here'!$D$19:$D$58,'Start Here'!$A$19:$A$58,$A32),_xlfn.MAXIFS(Sets!$E$2:$E$1540,Sets!$B$2:$B$1540,$A32),_xlfn.MAXIFS(Log!$E$2:$E$1001,Log!$B$2:$B$1001,$A32,Log!$A$2:$A$1001,"&lt;"&amp;('Start Here'!$B$8+168)))&gt;0,ROUND(MAX(_xlfn.MAXIFS('Start Here'!$D$19:$D$58,'Start Here'!$A$19:$A$58,$A32),_xlfn.MAXIFS(Sets!$E$2:$E$1540,Sets!$B$2:$B$1540,$A32),_xlfn.MAXIFS(Log!$E$2:$E$1001,Log!$B$2:$B$1001,$A32,Log!$A$2:$A$1001,"&lt;"&amp;('Start Here'!$B$8+168))),1),IF(N(G5)&gt;0,ROUND(G5*$D32,1),""))</f>
        <v/>
      </c>
      <c r="H32" s="64">
        <f>IF(MAX(_xlfn.MAXIFS('Start Here'!$D$19:$D$58,'Start Here'!$A$19:$A$58,$A32),_xlfn.MAXIFS(Sets!$E$2:$E$2297,Sets!$B$2:$B$2297,$A32),_xlfn.MAXIFS(Log!$E$2:$E$1001,Log!$B$2:$B$1001,$A32,Log!$A$2:$A$1001,"&lt;"&amp;('Start Here'!$B$8+252)))&gt;0,ROUND(MAX(_xlfn.MAXIFS('Start Here'!$D$19:$D$58,'Start Here'!$A$19:$A$58,$A32),_xlfn.MAXIFS(Sets!$E$2:$E$2297,Sets!$B$2:$B$2297,$A32),_xlfn.MAXIFS(Log!$E$2:$E$1001,Log!$B$2:$B$1001,$A32,Log!$A$2:$A$1001,"&lt;"&amp;('Start Here'!$B$8+252))),1),IF(N(H5)&gt;0,ROUND(H5*$D32,1),""))</f>
        <v/>
      </c>
      <c r="I32" s="64">
        <f>IF(MAX(_xlfn.MAXIFS('Start Here'!$D$19:$D$58,'Start Here'!$A$19:$A$58,$A32),_xlfn.MAXIFS(Sets!$E$2:$E$3054,Sets!$B$2:$B$3054,$A32),_xlfn.MAXIFS(Log!$E$2:$E$1001,Log!$B$2:$B$1001,$A32,Log!$A$2:$A$1001,"&lt;"&amp;('Start Here'!$B$8+336)))&gt;0,ROUND(MAX(_xlfn.MAXIFS('Start Here'!$D$19:$D$58,'Start Here'!$A$19:$A$58,$A32),_xlfn.MAXIFS(Sets!$E$2:$E$3054,Sets!$B$2:$B$3054,$A32),_xlfn.MAXIFS(Log!$E$2:$E$1001,Log!$B$2:$B$1001,$A32,Log!$A$2:$A$1001,"&lt;"&amp;('Start Here'!$B$8+336))),1),IF(N(I5)&gt;0,ROUND(I5*$D32,1),""))</f>
        <v/>
      </c>
      <c r="J32">
        <f>IF(PRs!C32&gt;0,"logged",IF($B32="variation","estimated",""))</f>
        <v/>
      </c>
    </row>
    <row r="33">
      <c r="A33" s="24" t="inlineStr">
        <is>
          <t>Behind-the-Neck Press</t>
        </is>
      </c>
      <c r="B33" t="inlineStr">
        <is>
          <t>variation</t>
        </is>
      </c>
      <c r="C33" t="inlineStr">
        <is>
          <t>Overhead Press</t>
        </is>
      </c>
      <c r="D33" t="n">
        <v>0.85</v>
      </c>
      <c r="E33" s="64">
        <f>IF(MAX(_xlfn.MAXIFS('Start Here'!$D$19:$D$58,'Start Here'!$A$19:$A$58,$A33),_xlfn.MAXIFS(Sets!$E$2:$E$26,Sets!$B$2:$B$26,$A33),_xlfn.MAXIFS(Log!$E$2:$E$1001,Log!$B$2:$B$1001,$A33,Log!$A$2:$A$1001,"&lt;"&amp;('Start Here'!$B$8+0)))&gt;0,ROUND(MAX(_xlfn.MAXIFS('Start Here'!$D$19:$D$58,'Start Here'!$A$19:$A$58,$A33),_xlfn.MAXIFS(Sets!$E$2:$E$26,Sets!$B$2:$B$26,$A33),_xlfn.MAXIFS(Log!$E$2:$E$1001,Log!$B$2:$B$1001,$A33,Log!$A$2:$A$1001,"&lt;"&amp;('Start Here'!$B$8+0))),1),IF(N(E5)&gt;0,ROUND(E5*$D33,1),""))</f>
        <v/>
      </c>
      <c r="F33" s="64">
        <f>IF(MAX(_xlfn.MAXIFS('Start Here'!$D$19:$D$58,'Start Here'!$A$19:$A$58,$A33),_xlfn.MAXIFS(Sets!$E$2:$E$783,Sets!$B$2:$B$783,$A33),_xlfn.MAXIFS(Log!$E$2:$E$1001,Log!$B$2:$B$1001,$A33,Log!$A$2:$A$1001,"&lt;"&amp;('Start Here'!$B$8+84)))&gt;0,ROUND(MAX(_xlfn.MAXIFS('Start Here'!$D$19:$D$58,'Start Here'!$A$19:$A$58,$A33),_xlfn.MAXIFS(Sets!$E$2:$E$783,Sets!$B$2:$B$783,$A33),_xlfn.MAXIFS(Log!$E$2:$E$1001,Log!$B$2:$B$1001,$A33,Log!$A$2:$A$1001,"&lt;"&amp;('Start Here'!$B$8+84))),1),IF(N(F5)&gt;0,ROUND(F5*$D33,1),""))</f>
        <v/>
      </c>
      <c r="G33" s="64">
        <f>IF(MAX(_xlfn.MAXIFS('Start Here'!$D$19:$D$58,'Start Here'!$A$19:$A$58,$A33),_xlfn.MAXIFS(Sets!$E$2:$E$1540,Sets!$B$2:$B$1540,$A33),_xlfn.MAXIFS(Log!$E$2:$E$1001,Log!$B$2:$B$1001,$A33,Log!$A$2:$A$1001,"&lt;"&amp;('Start Here'!$B$8+168)))&gt;0,ROUND(MAX(_xlfn.MAXIFS('Start Here'!$D$19:$D$58,'Start Here'!$A$19:$A$58,$A33),_xlfn.MAXIFS(Sets!$E$2:$E$1540,Sets!$B$2:$B$1540,$A33),_xlfn.MAXIFS(Log!$E$2:$E$1001,Log!$B$2:$B$1001,$A33,Log!$A$2:$A$1001,"&lt;"&amp;('Start Here'!$B$8+168))),1),IF(N(G5)&gt;0,ROUND(G5*$D33,1),""))</f>
        <v/>
      </c>
      <c r="H33" s="64">
        <f>IF(MAX(_xlfn.MAXIFS('Start Here'!$D$19:$D$58,'Start Here'!$A$19:$A$58,$A33),_xlfn.MAXIFS(Sets!$E$2:$E$2297,Sets!$B$2:$B$2297,$A33),_xlfn.MAXIFS(Log!$E$2:$E$1001,Log!$B$2:$B$1001,$A33,Log!$A$2:$A$1001,"&lt;"&amp;('Start Here'!$B$8+252)))&gt;0,ROUND(MAX(_xlfn.MAXIFS('Start Here'!$D$19:$D$58,'Start Here'!$A$19:$A$58,$A33),_xlfn.MAXIFS(Sets!$E$2:$E$2297,Sets!$B$2:$B$2297,$A33),_xlfn.MAXIFS(Log!$E$2:$E$1001,Log!$B$2:$B$1001,$A33,Log!$A$2:$A$1001,"&lt;"&amp;('Start Here'!$B$8+252))),1),IF(N(H5)&gt;0,ROUND(H5*$D33,1),""))</f>
        <v/>
      </c>
      <c r="I33" s="64">
        <f>IF(MAX(_xlfn.MAXIFS('Start Here'!$D$19:$D$58,'Start Here'!$A$19:$A$58,$A33),_xlfn.MAXIFS(Sets!$E$2:$E$3054,Sets!$B$2:$B$3054,$A33),_xlfn.MAXIFS(Log!$E$2:$E$1001,Log!$B$2:$B$1001,$A33,Log!$A$2:$A$1001,"&lt;"&amp;('Start Here'!$B$8+336)))&gt;0,ROUND(MAX(_xlfn.MAXIFS('Start Here'!$D$19:$D$58,'Start Here'!$A$19:$A$58,$A33),_xlfn.MAXIFS(Sets!$E$2:$E$3054,Sets!$B$2:$B$3054,$A33),_xlfn.MAXIFS(Log!$E$2:$E$1001,Log!$B$2:$B$1001,$A33,Log!$A$2:$A$1001,"&lt;"&amp;('Start Here'!$B$8+336))),1),IF(N(I5)&gt;0,ROUND(I5*$D33,1),""))</f>
        <v/>
      </c>
      <c r="J33">
        <f>IF(PRs!C33&gt;0,"logged",IF($B33="variation","estimated",""))</f>
        <v/>
      </c>
    </row>
    <row r="34">
      <c r="A34" s="24" t="inlineStr">
        <is>
          <t>Power Snatch</t>
        </is>
      </c>
      <c r="B34" t="inlineStr">
        <is>
          <t>variation</t>
        </is>
      </c>
      <c r="C34" t="inlineStr">
        <is>
          <t>Snatch</t>
        </is>
      </c>
      <c r="D34" t="n">
        <v>0.82</v>
      </c>
      <c r="E34" s="64">
        <f>IF(MAX(_xlfn.MAXIFS('Start Here'!$D$19:$D$58,'Start Here'!$A$19:$A$58,$A34),_xlfn.MAXIFS(Sets!$E$2:$E$26,Sets!$B$2:$B$26,$A34),_xlfn.MAXIFS(Log!$E$2:$E$1001,Log!$B$2:$B$1001,$A34,Log!$A$2:$A$1001,"&lt;"&amp;('Start Here'!$B$8+0)))&gt;0,ROUND(MAX(_xlfn.MAXIFS('Start Here'!$D$19:$D$58,'Start Here'!$A$19:$A$58,$A34),_xlfn.MAXIFS(Sets!$E$2:$E$26,Sets!$B$2:$B$26,$A34),_xlfn.MAXIFS(Log!$E$2:$E$1001,Log!$B$2:$B$1001,$A34,Log!$A$2:$A$1001,"&lt;"&amp;('Start Here'!$B$8+0))),1),IF(N(E6)&gt;0,ROUND(E6*$D34,1),""))</f>
        <v/>
      </c>
      <c r="F34" s="64">
        <f>IF(MAX(_xlfn.MAXIFS('Start Here'!$D$19:$D$58,'Start Here'!$A$19:$A$58,$A34),_xlfn.MAXIFS(Sets!$E$2:$E$783,Sets!$B$2:$B$783,$A34),_xlfn.MAXIFS(Log!$E$2:$E$1001,Log!$B$2:$B$1001,$A34,Log!$A$2:$A$1001,"&lt;"&amp;('Start Here'!$B$8+84)))&gt;0,ROUND(MAX(_xlfn.MAXIFS('Start Here'!$D$19:$D$58,'Start Here'!$A$19:$A$58,$A34),_xlfn.MAXIFS(Sets!$E$2:$E$783,Sets!$B$2:$B$783,$A34),_xlfn.MAXIFS(Log!$E$2:$E$1001,Log!$B$2:$B$1001,$A34,Log!$A$2:$A$1001,"&lt;"&amp;('Start Here'!$B$8+84))),1),IF(N(F6)&gt;0,ROUND(F6*$D34,1),""))</f>
        <v/>
      </c>
      <c r="G34" s="64">
        <f>IF(MAX(_xlfn.MAXIFS('Start Here'!$D$19:$D$58,'Start Here'!$A$19:$A$58,$A34),_xlfn.MAXIFS(Sets!$E$2:$E$1540,Sets!$B$2:$B$1540,$A34),_xlfn.MAXIFS(Log!$E$2:$E$1001,Log!$B$2:$B$1001,$A34,Log!$A$2:$A$1001,"&lt;"&amp;('Start Here'!$B$8+168)))&gt;0,ROUND(MAX(_xlfn.MAXIFS('Start Here'!$D$19:$D$58,'Start Here'!$A$19:$A$58,$A34),_xlfn.MAXIFS(Sets!$E$2:$E$1540,Sets!$B$2:$B$1540,$A34),_xlfn.MAXIFS(Log!$E$2:$E$1001,Log!$B$2:$B$1001,$A34,Log!$A$2:$A$1001,"&lt;"&amp;('Start Here'!$B$8+168))),1),IF(N(G6)&gt;0,ROUND(G6*$D34,1),""))</f>
        <v/>
      </c>
      <c r="H34" s="64">
        <f>IF(MAX(_xlfn.MAXIFS('Start Here'!$D$19:$D$58,'Start Here'!$A$19:$A$58,$A34),_xlfn.MAXIFS(Sets!$E$2:$E$2297,Sets!$B$2:$B$2297,$A34),_xlfn.MAXIFS(Log!$E$2:$E$1001,Log!$B$2:$B$1001,$A34,Log!$A$2:$A$1001,"&lt;"&amp;('Start Here'!$B$8+252)))&gt;0,ROUND(MAX(_xlfn.MAXIFS('Start Here'!$D$19:$D$58,'Start Here'!$A$19:$A$58,$A34),_xlfn.MAXIFS(Sets!$E$2:$E$2297,Sets!$B$2:$B$2297,$A34),_xlfn.MAXIFS(Log!$E$2:$E$1001,Log!$B$2:$B$1001,$A34,Log!$A$2:$A$1001,"&lt;"&amp;('Start Here'!$B$8+252))),1),IF(N(H6)&gt;0,ROUND(H6*$D34,1),""))</f>
        <v/>
      </c>
      <c r="I34" s="64">
        <f>IF(MAX(_xlfn.MAXIFS('Start Here'!$D$19:$D$58,'Start Here'!$A$19:$A$58,$A34),_xlfn.MAXIFS(Sets!$E$2:$E$3054,Sets!$B$2:$B$3054,$A34),_xlfn.MAXIFS(Log!$E$2:$E$1001,Log!$B$2:$B$1001,$A34,Log!$A$2:$A$1001,"&lt;"&amp;('Start Here'!$B$8+336)))&gt;0,ROUND(MAX(_xlfn.MAXIFS('Start Here'!$D$19:$D$58,'Start Here'!$A$19:$A$58,$A34),_xlfn.MAXIFS(Sets!$E$2:$E$3054,Sets!$B$2:$B$3054,$A34),_xlfn.MAXIFS(Log!$E$2:$E$1001,Log!$B$2:$B$1001,$A34,Log!$A$2:$A$1001,"&lt;"&amp;('Start Here'!$B$8+336))),1),IF(N(I6)&gt;0,ROUND(I6*$D34,1),""))</f>
        <v/>
      </c>
      <c r="J34">
        <f>IF(PRs!C34&gt;0,"logged",IF($B34="variation","estimated",""))</f>
        <v/>
      </c>
    </row>
    <row r="35">
      <c r="A35" s="24" t="inlineStr">
        <is>
          <t>Hang Snatch</t>
        </is>
      </c>
      <c r="B35" t="inlineStr">
        <is>
          <t>variation</t>
        </is>
      </c>
      <c r="C35" t="inlineStr">
        <is>
          <t>Snatch</t>
        </is>
      </c>
      <c r="D35" t="n">
        <v>0.95</v>
      </c>
      <c r="E35" s="64">
        <f>IF(MAX(_xlfn.MAXIFS('Start Here'!$D$19:$D$58,'Start Here'!$A$19:$A$58,$A35),_xlfn.MAXIFS(Sets!$E$2:$E$26,Sets!$B$2:$B$26,$A35),_xlfn.MAXIFS(Log!$E$2:$E$1001,Log!$B$2:$B$1001,$A35,Log!$A$2:$A$1001,"&lt;"&amp;('Start Here'!$B$8+0)))&gt;0,ROUND(MAX(_xlfn.MAXIFS('Start Here'!$D$19:$D$58,'Start Here'!$A$19:$A$58,$A35),_xlfn.MAXIFS(Sets!$E$2:$E$26,Sets!$B$2:$B$26,$A35),_xlfn.MAXIFS(Log!$E$2:$E$1001,Log!$B$2:$B$1001,$A35,Log!$A$2:$A$1001,"&lt;"&amp;('Start Here'!$B$8+0))),1),IF(N(E6)&gt;0,ROUND(E6*$D35,1),""))</f>
        <v/>
      </c>
      <c r="F35" s="64">
        <f>IF(MAX(_xlfn.MAXIFS('Start Here'!$D$19:$D$58,'Start Here'!$A$19:$A$58,$A35),_xlfn.MAXIFS(Sets!$E$2:$E$783,Sets!$B$2:$B$783,$A35),_xlfn.MAXIFS(Log!$E$2:$E$1001,Log!$B$2:$B$1001,$A35,Log!$A$2:$A$1001,"&lt;"&amp;('Start Here'!$B$8+84)))&gt;0,ROUND(MAX(_xlfn.MAXIFS('Start Here'!$D$19:$D$58,'Start Here'!$A$19:$A$58,$A35),_xlfn.MAXIFS(Sets!$E$2:$E$783,Sets!$B$2:$B$783,$A35),_xlfn.MAXIFS(Log!$E$2:$E$1001,Log!$B$2:$B$1001,$A35,Log!$A$2:$A$1001,"&lt;"&amp;('Start Here'!$B$8+84))),1),IF(N(F6)&gt;0,ROUND(F6*$D35,1),""))</f>
        <v/>
      </c>
      <c r="G35" s="64">
        <f>IF(MAX(_xlfn.MAXIFS('Start Here'!$D$19:$D$58,'Start Here'!$A$19:$A$58,$A35),_xlfn.MAXIFS(Sets!$E$2:$E$1540,Sets!$B$2:$B$1540,$A35),_xlfn.MAXIFS(Log!$E$2:$E$1001,Log!$B$2:$B$1001,$A35,Log!$A$2:$A$1001,"&lt;"&amp;('Start Here'!$B$8+168)))&gt;0,ROUND(MAX(_xlfn.MAXIFS('Start Here'!$D$19:$D$58,'Start Here'!$A$19:$A$58,$A35),_xlfn.MAXIFS(Sets!$E$2:$E$1540,Sets!$B$2:$B$1540,$A35),_xlfn.MAXIFS(Log!$E$2:$E$1001,Log!$B$2:$B$1001,$A35,Log!$A$2:$A$1001,"&lt;"&amp;('Start Here'!$B$8+168))),1),IF(N(G6)&gt;0,ROUND(G6*$D35,1),""))</f>
        <v/>
      </c>
      <c r="H35" s="64">
        <f>IF(MAX(_xlfn.MAXIFS('Start Here'!$D$19:$D$58,'Start Here'!$A$19:$A$58,$A35),_xlfn.MAXIFS(Sets!$E$2:$E$2297,Sets!$B$2:$B$2297,$A35),_xlfn.MAXIFS(Log!$E$2:$E$1001,Log!$B$2:$B$1001,$A35,Log!$A$2:$A$1001,"&lt;"&amp;('Start Here'!$B$8+252)))&gt;0,ROUND(MAX(_xlfn.MAXIFS('Start Here'!$D$19:$D$58,'Start Here'!$A$19:$A$58,$A35),_xlfn.MAXIFS(Sets!$E$2:$E$2297,Sets!$B$2:$B$2297,$A35),_xlfn.MAXIFS(Log!$E$2:$E$1001,Log!$B$2:$B$1001,$A35,Log!$A$2:$A$1001,"&lt;"&amp;('Start Here'!$B$8+252))),1),IF(N(H6)&gt;0,ROUND(H6*$D35,1),""))</f>
        <v/>
      </c>
      <c r="I35" s="64">
        <f>IF(MAX(_xlfn.MAXIFS('Start Here'!$D$19:$D$58,'Start Here'!$A$19:$A$58,$A35),_xlfn.MAXIFS(Sets!$E$2:$E$3054,Sets!$B$2:$B$3054,$A35),_xlfn.MAXIFS(Log!$E$2:$E$1001,Log!$B$2:$B$1001,$A35,Log!$A$2:$A$1001,"&lt;"&amp;('Start Here'!$B$8+336)))&gt;0,ROUND(MAX(_xlfn.MAXIFS('Start Here'!$D$19:$D$58,'Start Here'!$A$19:$A$58,$A35),_xlfn.MAXIFS(Sets!$E$2:$E$3054,Sets!$B$2:$B$3054,$A35),_xlfn.MAXIFS(Log!$E$2:$E$1001,Log!$B$2:$B$1001,$A35,Log!$A$2:$A$1001,"&lt;"&amp;('Start Here'!$B$8+336))),1),IF(N(I6)&gt;0,ROUND(I6*$D35,1),""))</f>
        <v/>
      </c>
      <c r="J35">
        <f>IF(PRs!C35&gt;0,"logged",IF($B35="variation","estimated",""))</f>
        <v/>
      </c>
    </row>
    <row r="36">
      <c r="A36" s="24" t="inlineStr">
        <is>
          <t>Hang Power Snatch</t>
        </is>
      </c>
      <c r="B36" t="inlineStr">
        <is>
          <t>variation</t>
        </is>
      </c>
      <c r="C36" t="inlineStr">
        <is>
          <t>Snatch</t>
        </is>
      </c>
      <c r="D36" t="n">
        <v>0.78</v>
      </c>
      <c r="E36" s="64">
        <f>IF(MAX(_xlfn.MAXIFS('Start Here'!$D$19:$D$58,'Start Here'!$A$19:$A$58,$A36),_xlfn.MAXIFS(Sets!$E$2:$E$26,Sets!$B$2:$B$26,$A36),_xlfn.MAXIFS(Log!$E$2:$E$1001,Log!$B$2:$B$1001,$A36,Log!$A$2:$A$1001,"&lt;"&amp;('Start Here'!$B$8+0)))&gt;0,ROUND(MAX(_xlfn.MAXIFS('Start Here'!$D$19:$D$58,'Start Here'!$A$19:$A$58,$A36),_xlfn.MAXIFS(Sets!$E$2:$E$26,Sets!$B$2:$B$26,$A36),_xlfn.MAXIFS(Log!$E$2:$E$1001,Log!$B$2:$B$1001,$A36,Log!$A$2:$A$1001,"&lt;"&amp;('Start Here'!$B$8+0))),1),IF(N(E6)&gt;0,ROUND(E6*$D36,1),""))</f>
        <v/>
      </c>
      <c r="F36" s="64">
        <f>IF(MAX(_xlfn.MAXIFS('Start Here'!$D$19:$D$58,'Start Here'!$A$19:$A$58,$A36),_xlfn.MAXIFS(Sets!$E$2:$E$783,Sets!$B$2:$B$783,$A36),_xlfn.MAXIFS(Log!$E$2:$E$1001,Log!$B$2:$B$1001,$A36,Log!$A$2:$A$1001,"&lt;"&amp;('Start Here'!$B$8+84)))&gt;0,ROUND(MAX(_xlfn.MAXIFS('Start Here'!$D$19:$D$58,'Start Here'!$A$19:$A$58,$A36),_xlfn.MAXIFS(Sets!$E$2:$E$783,Sets!$B$2:$B$783,$A36),_xlfn.MAXIFS(Log!$E$2:$E$1001,Log!$B$2:$B$1001,$A36,Log!$A$2:$A$1001,"&lt;"&amp;('Start Here'!$B$8+84))),1),IF(N(F6)&gt;0,ROUND(F6*$D36,1),""))</f>
        <v/>
      </c>
      <c r="G36" s="64">
        <f>IF(MAX(_xlfn.MAXIFS('Start Here'!$D$19:$D$58,'Start Here'!$A$19:$A$58,$A36),_xlfn.MAXIFS(Sets!$E$2:$E$1540,Sets!$B$2:$B$1540,$A36),_xlfn.MAXIFS(Log!$E$2:$E$1001,Log!$B$2:$B$1001,$A36,Log!$A$2:$A$1001,"&lt;"&amp;('Start Here'!$B$8+168)))&gt;0,ROUND(MAX(_xlfn.MAXIFS('Start Here'!$D$19:$D$58,'Start Here'!$A$19:$A$58,$A36),_xlfn.MAXIFS(Sets!$E$2:$E$1540,Sets!$B$2:$B$1540,$A36),_xlfn.MAXIFS(Log!$E$2:$E$1001,Log!$B$2:$B$1001,$A36,Log!$A$2:$A$1001,"&lt;"&amp;('Start Here'!$B$8+168))),1),IF(N(G6)&gt;0,ROUND(G6*$D36,1),""))</f>
        <v/>
      </c>
      <c r="H36" s="64">
        <f>IF(MAX(_xlfn.MAXIFS('Start Here'!$D$19:$D$58,'Start Here'!$A$19:$A$58,$A36),_xlfn.MAXIFS(Sets!$E$2:$E$2297,Sets!$B$2:$B$2297,$A36),_xlfn.MAXIFS(Log!$E$2:$E$1001,Log!$B$2:$B$1001,$A36,Log!$A$2:$A$1001,"&lt;"&amp;('Start Here'!$B$8+252)))&gt;0,ROUND(MAX(_xlfn.MAXIFS('Start Here'!$D$19:$D$58,'Start Here'!$A$19:$A$58,$A36),_xlfn.MAXIFS(Sets!$E$2:$E$2297,Sets!$B$2:$B$2297,$A36),_xlfn.MAXIFS(Log!$E$2:$E$1001,Log!$B$2:$B$1001,$A36,Log!$A$2:$A$1001,"&lt;"&amp;('Start Here'!$B$8+252))),1),IF(N(H6)&gt;0,ROUND(H6*$D36,1),""))</f>
        <v/>
      </c>
      <c r="I36" s="64">
        <f>IF(MAX(_xlfn.MAXIFS('Start Here'!$D$19:$D$58,'Start Here'!$A$19:$A$58,$A36),_xlfn.MAXIFS(Sets!$E$2:$E$3054,Sets!$B$2:$B$3054,$A36),_xlfn.MAXIFS(Log!$E$2:$E$1001,Log!$B$2:$B$1001,$A36,Log!$A$2:$A$1001,"&lt;"&amp;('Start Here'!$B$8+336)))&gt;0,ROUND(MAX(_xlfn.MAXIFS('Start Here'!$D$19:$D$58,'Start Here'!$A$19:$A$58,$A36),_xlfn.MAXIFS(Sets!$E$2:$E$3054,Sets!$B$2:$B$3054,$A36),_xlfn.MAXIFS(Log!$E$2:$E$1001,Log!$B$2:$B$1001,$A36,Log!$A$2:$A$1001,"&lt;"&amp;('Start Here'!$B$8+336))),1),IF(N(I6)&gt;0,ROUND(I6*$D36,1),""))</f>
        <v/>
      </c>
      <c r="J36">
        <f>IF(PRs!C36&gt;0,"logged",IF($B36="variation","estimated",""))</f>
        <v/>
      </c>
    </row>
    <row r="37">
      <c r="A37" s="24" t="inlineStr">
        <is>
          <t>Muscle Snatch</t>
        </is>
      </c>
      <c r="B37" t="inlineStr">
        <is>
          <t>variation</t>
        </is>
      </c>
      <c r="C37" t="inlineStr">
        <is>
          <t>Snatch</t>
        </is>
      </c>
      <c r="D37" t="n">
        <v>0.65</v>
      </c>
      <c r="E37" s="64">
        <f>IF(MAX(_xlfn.MAXIFS('Start Here'!$D$19:$D$58,'Start Here'!$A$19:$A$58,$A37),_xlfn.MAXIFS(Sets!$E$2:$E$26,Sets!$B$2:$B$26,$A37),_xlfn.MAXIFS(Log!$E$2:$E$1001,Log!$B$2:$B$1001,$A37,Log!$A$2:$A$1001,"&lt;"&amp;('Start Here'!$B$8+0)))&gt;0,ROUND(MAX(_xlfn.MAXIFS('Start Here'!$D$19:$D$58,'Start Here'!$A$19:$A$58,$A37),_xlfn.MAXIFS(Sets!$E$2:$E$26,Sets!$B$2:$B$26,$A37),_xlfn.MAXIFS(Log!$E$2:$E$1001,Log!$B$2:$B$1001,$A37,Log!$A$2:$A$1001,"&lt;"&amp;('Start Here'!$B$8+0))),1),IF(N(E6)&gt;0,ROUND(E6*$D37,1),""))</f>
        <v/>
      </c>
      <c r="F37" s="64">
        <f>IF(MAX(_xlfn.MAXIFS('Start Here'!$D$19:$D$58,'Start Here'!$A$19:$A$58,$A37),_xlfn.MAXIFS(Sets!$E$2:$E$783,Sets!$B$2:$B$783,$A37),_xlfn.MAXIFS(Log!$E$2:$E$1001,Log!$B$2:$B$1001,$A37,Log!$A$2:$A$1001,"&lt;"&amp;('Start Here'!$B$8+84)))&gt;0,ROUND(MAX(_xlfn.MAXIFS('Start Here'!$D$19:$D$58,'Start Here'!$A$19:$A$58,$A37),_xlfn.MAXIFS(Sets!$E$2:$E$783,Sets!$B$2:$B$783,$A37),_xlfn.MAXIFS(Log!$E$2:$E$1001,Log!$B$2:$B$1001,$A37,Log!$A$2:$A$1001,"&lt;"&amp;('Start Here'!$B$8+84))),1),IF(N(F6)&gt;0,ROUND(F6*$D37,1),""))</f>
        <v/>
      </c>
      <c r="G37" s="64">
        <f>IF(MAX(_xlfn.MAXIFS('Start Here'!$D$19:$D$58,'Start Here'!$A$19:$A$58,$A37),_xlfn.MAXIFS(Sets!$E$2:$E$1540,Sets!$B$2:$B$1540,$A37),_xlfn.MAXIFS(Log!$E$2:$E$1001,Log!$B$2:$B$1001,$A37,Log!$A$2:$A$1001,"&lt;"&amp;('Start Here'!$B$8+168)))&gt;0,ROUND(MAX(_xlfn.MAXIFS('Start Here'!$D$19:$D$58,'Start Here'!$A$19:$A$58,$A37),_xlfn.MAXIFS(Sets!$E$2:$E$1540,Sets!$B$2:$B$1540,$A37),_xlfn.MAXIFS(Log!$E$2:$E$1001,Log!$B$2:$B$1001,$A37,Log!$A$2:$A$1001,"&lt;"&amp;('Start Here'!$B$8+168))),1),IF(N(G6)&gt;0,ROUND(G6*$D37,1),""))</f>
        <v/>
      </c>
      <c r="H37" s="64">
        <f>IF(MAX(_xlfn.MAXIFS('Start Here'!$D$19:$D$58,'Start Here'!$A$19:$A$58,$A37),_xlfn.MAXIFS(Sets!$E$2:$E$2297,Sets!$B$2:$B$2297,$A37),_xlfn.MAXIFS(Log!$E$2:$E$1001,Log!$B$2:$B$1001,$A37,Log!$A$2:$A$1001,"&lt;"&amp;('Start Here'!$B$8+252)))&gt;0,ROUND(MAX(_xlfn.MAXIFS('Start Here'!$D$19:$D$58,'Start Here'!$A$19:$A$58,$A37),_xlfn.MAXIFS(Sets!$E$2:$E$2297,Sets!$B$2:$B$2297,$A37),_xlfn.MAXIFS(Log!$E$2:$E$1001,Log!$B$2:$B$1001,$A37,Log!$A$2:$A$1001,"&lt;"&amp;('Start Here'!$B$8+252))),1),IF(N(H6)&gt;0,ROUND(H6*$D37,1),""))</f>
        <v/>
      </c>
      <c r="I37" s="64">
        <f>IF(MAX(_xlfn.MAXIFS('Start Here'!$D$19:$D$58,'Start Here'!$A$19:$A$58,$A37),_xlfn.MAXIFS(Sets!$E$2:$E$3054,Sets!$B$2:$B$3054,$A37),_xlfn.MAXIFS(Log!$E$2:$E$1001,Log!$B$2:$B$1001,$A37,Log!$A$2:$A$1001,"&lt;"&amp;('Start Here'!$B$8+336)))&gt;0,ROUND(MAX(_xlfn.MAXIFS('Start Here'!$D$19:$D$58,'Start Here'!$A$19:$A$58,$A37),_xlfn.MAXIFS(Sets!$E$2:$E$3054,Sets!$B$2:$B$3054,$A37),_xlfn.MAXIFS(Log!$E$2:$E$1001,Log!$B$2:$B$1001,$A37,Log!$A$2:$A$1001,"&lt;"&amp;('Start Here'!$B$8+336))),1),IF(N(I6)&gt;0,ROUND(I6*$D37,1),""))</f>
        <v/>
      </c>
      <c r="J37">
        <f>IF(PRs!C37&gt;0,"logged",IF($B37="variation","estimated",""))</f>
        <v/>
      </c>
    </row>
    <row r="38">
      <c r="A38" s="24" t="inlineStr">
        <is>
          <t>Snatch Balance</t>
        </is>
      </c>
      <c r="B38" t="inlineStr">
        <is>
          <t>variation</t>
        </is>
      </c>
      <c r="C38" t="inlineStr">
        <is>
          <t>Snatch</t>
        </is>
      </c>
      <c r="D38" t="n">
        <v>1.05</v>
      </c>
      <c r="E38" s="64">
        <f>IF(MAX(_xlfn.MAXIFS('Start Here'!$D$19:$D$58,'Start Here'!$A$19:$A$58,$A38),_xlfn.MAXIFS(Sets!$E$2:$E$26,Sets!$B$2:$B$26,$A38),_xlfn.MAXIFS(Log!$E$2:$E$1001,Log!$B$2:$B$1001,$A38,Log!$A$2:$A$1001,"&lt;"&amp;('Start Here'!$B$8+0)))&gt;0,ROUND(MAX(_xlfn.MAXIFS('Start Here'!$D$19:$D$58,'Start Here'!$A$19:$A$58,$A38),_xlfn.MAXIFS(Sets!$E$2:$E$26,Sets!$B$2:$B$26,$A38),_xlfn.MAXIFS(Log!$E$2:$E$1001,Log!$B$2:$B$1001,$A38,Log!$A$2:$A$1001,"&lt;"&amp;('Start Here'!$B$8+0))),1),IF(N(E6)&gt;0,ROUND(E6*$D38,1),""))</f>
        <v/>
      </c>
      <c r="F38" s="64">
        <f>IF(MAX(_xlfn.MAXIFS('Start Here'!$D$19:$D$58,'Start Here'!$A$19:$A$58,$A38),_xlfn.MAXIFS(Sets!$E$2:$E$783,Sets!$B$2:$B$783,$A38),_xlfn.MAXIFS(Log!$E$2:$E$1001,Log!$B$2:$B$1001,$A38,Log!$A$2:$A$1001,"&lt;"&amp;('Start Here'!$B$8+84)))&gt;0,ROUND(MAX(_xlfn.MAXIFS('Start Here'!$D$19:$D$58,'Start Here'!$A$19:$A$58,$A38),_xlfn.MAXIFS(Sets!$E$2:$E$783,Sets!$B$2:$B$783,$A38),_xlfn.MAXIFS(Log!$E$2:$E$1001,Log!$B$2:$B$1001,$A38,Log!$A$2:$A$1001,"&lt;"&amp;('Start Here'!$B$8+84))),1),IF(N(F6)&gt;0,ROUND(F6*$D38,1),""))</f>
        <v/>
      </c>
      <c r="G38" s="64">
        <f>IF(MAX(_xlfn.MAXIFS('Start Here'!$D$19:$D$58,'Start Here'!$A$19:$A$58,$A38),_xlfn.MAXIFS(Sets!$E$2:$E$1540,Sets!$B$2:$B$1540,$A38),_xlfn.MAXIFS(Log!$E$2:$E$1001,Log!$B$2:$B$1001,$A38,Log!$A$2:$A$1001,"&lt;"&amp;('Start Here'!$B$8+168)))&gt;0,ROUND(MAX(_xlfn.MAXIFS('Start Here'!$D$19:$D$58,'Start Here'!$A$19:$A$58,$A38),_xlfn.MAXIFS(Sets!$E$2:$E$1540,Sets!$B$2:$B$1540,$A38),_xlfn.MAXIFS(Log!$E$2:$E$1001,Log!$B$2:$B$1001,$A38,Log!$A$2:$A$1001,"&lt;"&amp;('Start Here'!$B$8+168))),1),IF(N(G6)&gt;0,ROUND(G6*$D38,1),""))</f>
        <v/>
      </c>
      <c r="H38" s="64">
        <f>IF(MAX(_xlfn.MAXIFS('Start Here'!$D$19:$D$58,'Start Here'!$A$19:$A$58,$A38),_xlfn.MAXIFS(Sets!$E$2:$E$2297,Sets!$B$2:$B$2297,$A38),_xlfn.MAXIFS(Log!$E$2:$E$1001,Log!$B$2:$B$1001,$A38,Log!$A$2:$A$1001,"&lt;"&amp;('Start Here'!$B$8+252)))&gt;0,ROUND(MAX(_xlfn.MAXIFS('Start Here'!$D$19:$D$58,'Start Here'!$A$19:$A$58,$A38),_xlfn.MAXIFS(Sets!$E$2:$E$2297,Sets!$B$2:$B$2297,$A38),_xlfn.MAXIFS(Log!$E$2:$E$1001,Log!$B$2:$B$1001,$A38,Log!$A$2:$A$1001,"&lt;"&amp;('Start Here'!$B$8+252))),1),IF(N(H6)&gt;0,ROUND(H6*$D38,1),""))</f>
        <v/>
      </c>
      <c r="I38" s="64">
        <f>IF(MAX(_xlfn.MAXIFS('Start Here'!$D$19:$D$58,'Start Here'!$A$19:$A$58,$A38),_xlfn.MAXIFS(Sets!$E$2:$E$3054,Sets!$B$2:$B$3054,$A38),_xlfn.MAXIFS(Log!$E$2:$E$1001,Log!$B$2:$B$1001,$A38,Log!$A$2:$A$1001,"&lt;"&amp;('Start Here'!$B$8+336)))&gt;0,ROUND(MAX(_xlfn.MAXIFS('Start Here'!$D$19:$D$58,'Start Here'!$A$19:$A$58,$A38),_xlfn.MAXIFS(Sets!$E$2:$E$3054,Sets!$B$2:$B$3054,$A38),_xlfn.MAXIFS(Log!$E$2:$E$1001,Log!$B$2:$B$1001,$A38,Log!$A$2:$A$1001,"&lt;"&amp;('Start Here'!$B$8+336))),1),IF(N(I6)&gt;0,ROUND(I6*$D38,1),""))</f>
        <v/>
      </c>
      <c r="J38">
        <f>IF(PRs!C38&gt;0,"logged",IF($B38="variation","estimated",""))</f>
        <v/>
      </c>
    </row>
    <row r="39">
      <c r="A39" s="24" t="inlineStr">
        <is>
          <t>Snatch Pull</t>
        </is>
      </c>
      <c r="B39" t="inlineStr">
        <is>
          <t>variation</t>
        </is>
      </c>
      <c r="C39" t="inlineStr">
        <is>
          <t>Snatch</t>
        </is>
      </c>
      <c r="D39" t="n">
        <v>1.15</v>
      </c>
      <c r="E39" s="64">
        <f>IF(MAX(_xlfn.MAXIFS('Start Here'!$D$19:$D$58,'Start Here'!$A$19:$A$58,$A39),_xlfn.MAXIFS(Sets!$E$2:$E$26,Sets!$B$2:$B$26,$A39),_xlfn.MAXIFS(Log!$E$2:$E$1001,Log!$B$2:$B$1001,$A39,Log!$A$2:$A$1001,"&lt;"&amp;('Start Here'!$B$8+0)))&gt;0,ROUND(MAX(_xlfn.MAXIFS('Start Here'!$D$19:$D$58,'Start Here'!$A$19:$A$58,$A39),_xlfn.MAXIFS(Sets!$E$2:$E$26,Sets!$B$2:$B$26,$A39),_xlfn.MAXIFS(Log!$E$2:$E$1001,Log!$B$2:$B$1001,$A39,Log!$A$2:$A$1001,"&lt;"&amp;('Start Here'!$B$8+0))),1),IF(N(E6)&gt;0,ROUND(E6*$D39,1),""))</f>
        <v/>
      </c>
      <c r="F39" s="64">
        <f>IF(MAX(_xlfn.MAXIFS('Start Here'!$D$19:$D$58,'Start Here'!$A$19:$A$58,$A39),_xlfn.MAXIFS(Sets!$E$2:$E$783,Sets!$B$2:$B$783,$A39),_xlfn.MAXIFS(Log!$E$2:$E$1001,Log!$B$2:$B$1001,$A39,Log!$A$2:$A$1001,"&lt;"&amp;('Start Here'!$B$8+84)))&gt;0,ROUND(MAX(_xlfn.MAXIFS('Start Here'!$D$19:$D$58,'Start Here'!$A$19:$A$58,$A39),_xlfn.MAXIFS(Sets!$E$2:$E$783,Sets!$B$2:$B$783,$A39),_xlfn.MAXIFS(Log!$E$2:$E$1001,Log!$B$2:$B$1001,$A39,Log!$A$2:$A$1001,"&lt;"&amp;('Start Here'!$B$8+84))),1),IF(N(F6)&gt;0,ROUND(F6*$D39,1),""))</f>
        <v/>
      </c>
      <c r="G39" s="64">
        <f>IF(MAX(_xlfn.MAXIFS('Start Here'!$D$19:$D$58,'Start Here'!$A$19:$A$58,$A39),_xlfn.MAXIFS(Sets!$E$2:$E$1540,Sets!$B$2:$B$1540,$A39),_xlfn.MAXIFS(Log!$E$2:$E$1001,Log!$B$2:$B$1001,$A39,Log!$A$2:$A$1001,"&lt;"&amp;('Start Here'!$B$8+168)))&gt;0,ROUND(MAX(_xlfn.MAXIFS('Start Here'!$D$19:$D$58,'Start Here'!$A$19:$A$58,$A39),_xlfn.MAXIFS(Sets!$E$2:$E$1540,Sets!$B$2:$B$1540,$A39),_xlfn.MAXIFS(Log!$E$2:$E$1001,Log!$B$2:$B$1001,$A39,Log!$A$2:$A$1001,"&lt;"&amp;('Start Here'!$B$8+168))),1),IF(N(G6)&gt;0,ROUND(G6*$D39,1),""))</f>
        <v/>
      </c>
      <c r="H39" s="64">
        <f>IF(MAX(_xlfn.MAXIFS('Start Here'!$D$19:$D$58,'Start Here'!$A$19:$A$58,$A39),_xlfn.MAXIFS(Sets!$E$2:$E$2297,Sets!$B$2:$B$2297,$A39),_xlfn.MAXIFS(Log!$E$2:$E$1001,Log!$B$2:$B$1001,$A39,Log!$A$2:$A$1001,"&lt;"&amp;('Start Here'!$B$8+252)))&gt;0,ROUND(MAX(_xlfn.MAXIFS('Start Here'!$D$19:$D$58,'Start Here'!$A$19:$A$58,$A39),_xlfn.MAXIFS(Sets!$E$2:$E$2297,Sets!$B$2:$B$2297,$A39),_xlfn.MAXIFS(Log!$E$2:$E$1001,Log!$B$2:$B$1001,$A39,Log!$A$2:$A$1001,"&lt;"&amp;('Start Here'!$B$8+252))),1),IF(N(H6)&gt;0,ROUND(H6*$D39,1),""))</f>
        <v/>
      </c>
      <c r="I39" s="64">
        <f>IF(MAX(_xlfn.MAXIFS('Start Here'!$D$19:$D$58,'Start Here'!$A$19:$A$58,$A39),_xlfn.MAXIFS(Sets!$E$2:$E$3054,Sets!$B$2:$B$3054,$A39),_xlfn.MAXIFS(Log!$E$2:$E$1001,Log!$B$2:$B$1001,$A39,Log!$A$2:$A$1001,"&lt;"&amp;('Start Here'!$B$8+336)))&gt;0,ROUND(MAX(_xlfn.MAXIFS('Start Here'!$D$19:$D$58,'Start Here'!$A$19:$A$58,$A39),_xlfn.MAXIFS(Sets!$E$2:$E$3054,Sets!$B$2:$B$3054,$A39),_xlfn.MAXIFS(Log!$E$2:$E$1001,Log!$B$2:$B$1001,$A39,Log!$A$2:$A$1001,"&lt;"&amp;('Start Here'!$B$8+336))),1),IF(N(I6)&gt;0,ROUND(I6*$D39,1),""))</f>
        <v/>
      </c>
      <c r="J39">
        <f>IF(PRs!C39&gt;0,"logged",IF($B39="variation","estimated",""))</f>
        <v/>
      </c>
    </row>
    <row r="40">
      <c r="A40" s="24" t="inlineStr">
        <is>
          <t>Block Snatch</t>
        </is>
      </c>
      <c r="B40" t="inlineStr">
        <is>
          <t>variation</t>
        </is>
      </c>
      <c r="C40" t="inlineStr">
        <is>
          <t>Snatch</t>
        </is>
      </c>
      <c r="D40" t="n">
        <v>0.95</v>
      </c>
      <c r="E40" s="64">
        <f>IF(MAX(_xlfn.MAXIFS('Start Here'!$D$19:$D$58,'Start Here'!$A$19:$A$58,$A40),_xlfn.MAXIFS(Sets!$E$2:$E$26,Sets!$B$2:$B$26,$A40),_xlfn.MAXIFS(Log!$E$2:$E$1001,Log!$B$2:$B$1001,$A40,Log!$A$2:$A$1001,"&lt;"&amp;('Start Here'!$B$8+0)))&gt;0,ROUND(MAX(_xlfn.MAXIFS('Start Here'!$D$19:$D$58,'Start Here'!$A$19:$A$58,$A40),_xlfn.MAXIFS(Sets!$E$2:$E$26,Sets!$B$2:$B$26,$A40),_xlfn.MAXIFS(Log!$E$2:$E$1001,Log!$B$2:$B$1001,$A40,Log!$A$2:$A$1001,"&lt;"&amp;('Start Here'!$B$8+0))),1),IF(N(E6)&gt;0,ROUND(E6*$D40,1),""))</f>
        <v/>
      </c>
      <c r="F40" s="64">
        <f>IF(MAX(_xlfn.MAXIFS('Start Here'!$D$19:$D$58,'Start Here'!$A$19:$A$58,$A40),_xlfn.MAXIFS(Sets!$E$2:$E$783,Sets!$B$2:$B$783,$A40),_xlfn.MAXIFS(Log!$E$2:$E$1001,Log!$B$2:$B$1001,$A40,Log!$A$2:$A$1001,"&lt;"&amp;('Start Here'!$B$8+84)))&gt;0,ROUND(MAX(_xlfn.MAXIFS('Start Here'!$D$19:$D$58,'Start Here'!$A$19:$A$58,$A40),_xlfn.MAXIFS(Sets!$E$2:$E$783,Sets!$B$2:$B$783,$A40),_xlfn.MAXIFS(Log!$E$2:$E$1001,Log!$B$2:$B$1001,$A40,Log!$A$2:$A$1001,"&lt;"&amp;('Start Here'!$B$8+84))),1),IF(N(F6)&gt;0,ROUND(F6*$D40,1),""))</f>
        <v/>
      </c>
      <c r="G40" s="64">
        <f>IF(MAX(_xlfn.MAXIFS('Start Here'!$D$19:$D$58,'Start Here'!$A$19:$A$58,$A40),_xlfn.MAXIFS(Sets!$E$2:$E$1540,Sets!$B$2:$B$1540,$A40),_xlfn.MAXIFS(Log!$E$2:$E$1001,Log!$B$2:$B$1001,$A40,Log!$A$2:$A$1001,"&lt;"&amp;('Start Here'!$B$8+168)))&gt;0,ROUND(MAX(_xlfn.MAXIFS('Start Here'!$D$19:$D$58,'Start Here'!$A$19:$A$58,$A40),_xlfn.MAXIFS(Sets!$E$2:$E$1540,Sets!$B$2:$B$1540,$A40),_xlfn.MAXIFS(Log!$E$2:$E$1001,Log!$B$2:$B$1001,$A40,Log!$A$2:$A$1001,"&lt;"&amp;('Start Here'!$B$8+168))),1),IF(N(G6)&gt;0,ROUND(G6*$D40,1),""))</f>
        <v/>
      </c>
      <c r="H40" s="64">
        <f>IF(MAX(_xlfn.MAXIFS('Start Here'!$D$19:$D$58,'Start Here'!$A$19:$A$58,$A40),_xlfn.MAXIFS(Sets!$E$2:$E$2297,Sets!$B$2:$B$2297,$A40),_xlfn.MAXIFS(Log!$E$2:$E$1001,Log!$B$2:$B$1001,$A40,Log!$A$2:$A$1001,"&lt;"&amp;('Start Here'!$B$8+252)))&gt;0,ROUND(MAX(_xlfn.MAXIFS('Start Here'!$D$19:$D$58,'Start Here'!$A$19:$A$58,$A40),_xlfn.MAXIFS(Sets!$E$2:$E$2297,Sets!$B$2:$B$2297,$A40),_xlfn.MAXIFS(Log!$E$2:$E$1001,Log!$B$2:$B$1001,$A40,Log!$A$2:$A$1001,"&lt;"&amp;('Start Here'!$B$8+252))),1),IF(N(H6)&gt;0,ROUND(H6*$D40,1),""))</f>
        <v/>
      </c>
      <c r="I40" s="64">
        <f>IF(MAX(_xlfn.MAXIFS('Start Here'!$D$19:$D$58,'Start Here'!$A$19:$A$58,$A40),_xlfn.MAXIFS(Sets!$E$2:$E$3054,Sets!$B$2:$B$3054,$A40),_xlfn.MAXIFS(Log!$E$2:$E$1001,Log!$B$2:$B$1001,$A40,Log!$A$2:$A$1001,"&lt;"&amp;('Start Here'!$B$8+336)))&gt;0,ROUND(MAX(_xlfn.MAXIFS('Start Here'!$D$19:$D$58,'Start Here'!$A$19:$A$58,$A40),_xlfn.MAXIFS(Sets!$E$2:$E$3054,Sets!$B$2:$B$3054,$A40),_xlfn.MAXIFS(Log!$E$2:$E$1001,Log!$B$2:$B$1001,$A40,Log!$A$2:$A$1001,"&lt;"&amp;('Start Here'!$B$8+336))),1),IF(N(I6)&gt;0,ROUND(I6*$D40,1),""))</f>
        <v/>
      </c>
      <c r="J40">
        <f>IF(PRs!C40&gt;0,"logged",IF($B40="variation","estimated",""))</f>
        <v/>
      </c>
    </row>
    <row r="41">
      <c r="A41" s="24" t="inlineStr">
        <is>
          <t>Clean</t>
        </is>
      </c>
      <c r="B41" t="inlineStr">
        <is>
          <t>variation</t>
        </is>
      </c>
      <c r="C41" t="inlineStr">
        <is>
          <t>Clean &amp; Jerk</t>
        </is>
      </c>
      <c r="D41" t="n">
        <v>1.03</v>
      </c>
      <c r="E41" s="64">
        <f>IF(MAX(_xlfn.MAXIFS('Start Here'!$D$19:$D$58,'Start Here'!$A$19:$A$58,$A41),_xlfn.MAXIFS(Sets!$E$2:$E$26,Sets!$B$2:$B$26,$A41),_xlfn.MAXIFS(Log!$E$2:$E$1001,Log!$B$2:$B$1001,$A41,Log!$A$2:$A$1001,"&lt;"&amp;('Start Here'!$B$8+0)))&gt;0,ROUND(MAX(_xlfn.MAXIFS('Start Here'!$D$19:$D$58,'Start Here'!$A$19:$A$58,$A41),_xlfn.MAXIFS(Sets!$E$2:$E$26,Sets!$B$2:$B$26,$A41),_xlfn.MAXIFS(Log!$E$2:$E$1001,Log!$B$2:$B$1001,$A41,Log!$A$2:$A$1001,"&lt;"&amp;('Start Here'!$B$8+0))),1),IF(N(E7)&gt;0,ROUND(E7*$D41,1),""))</f>
        <v/>
      </c>
      <c r="F41" s="64">
        <f>IF(MAX(_xlfn.MAXIFS('Start Here'!$D$19:$D$58,'Start Here'!$A$19:$A$58,$A41),_xlfn.MAXIFS(Sets!$E$2:$E$783,Sets!$B$2:$B$783,$A41),_xlfn.MAXIFS(Log!$E$2:$E$1001,Log!$B$2:$B$1001,$A41,Log!$A$2:$A$1001,"&lt;"&amp;('Start Here'!$B$8+84)))&gt;0,ROUND(MAX(_xlfn.MAXIFS('Start Here'!$D$19:$D$58,'Start Here'!$A$19:$A$58,$A41),_xlfn.MAXIFS(Sets!$E$2:$E$783,Sets!$B$2:$B$783,$A41),_xlfn.MAXIFS(Log!$E$2:$E$1001,Log!$B$2:$B$1001,$A41,Log!$A$2:$A$1001,"&lt;"&amp;('Start Here'!$B$8+84))),1),IF(N(F7)&gt;0,ROUND(F7*$D41,1),""))</f>
        <v/>
      </c>
      <c r="G41" s="64">
        <f>IF(MAX(_xlfn.MAXIFS('Start Here'!$D$19:$D$58,'Start Here'!$A$19:$A$58,$A41),_xlfn.MAXIFS(Sets!$E$2:$E$1540,Sets!$B$2:$B$1540,$A41),_xlfn.MAXIFS(Log!$E$2:$E$1001,Log!$B$2:$B$1001,$A41,Log!$A$2:$A$1001,"&lt;"&amp;('Start Here'!$B$8+168)))&gt;0,ROUND(MAX(_xlfn.MAXIFS('Start Here'!$D$19:$D$58,'Start Here'!$A$19:$A$58,$A41),_xlfn.MAXIFS(Sets!$E$2:$E$1540,Sets!$B$2:$B$1540,$A41),_xlfn.MAXIFS(Log!$E$2:$E$1001,Log!$B$2:$B$1001,$A41,Log!$A$2:$A$1001,"&lt;"&amp;('Start Here'!$B$8+168))),1),IF(N(G7)&gt;0,ROUND(G7*$D41,1),""))</f>
        <v/>
      </c>
      <c r="H41" s="64">
        <f>IF(MAX(_xlfn.MAXIFS('Start Here'!$D$19:$D$58,'Start Here'!$A$19:$A$58,$A41),_xlfn.MAXIFS(Sets!$E$2:$E$2297,Sets!$B$2:$B$2297,$A41),_xlfn.MAXIFS(Log!$E$2:$E$1001,Log!$B$2:$B$1001,$A41,Log!$A$2:$A$1001,"&lt;"&amp;('Start Here'!$B$8+252)))&gt;0,ROUND(MAX(_xlfn.MAXIFS('Start Here'!$D$19:$D$58,'Start Here'!$A$19:$A$58,$A41),_xlfn.MAXIFS(Sets!$E$2:$E$2297,Sets!$B$2:$B$2297,$A41),_xlfn.MAXIFS(Log!$E$2:$E$1001,Log!$B$2:$B$1001,$A41,Log!$A$2:$A$1001,"&lt;"&amp;('Start Here'!$B$8+252))),1),IF(N(H7)&gt;0,ROUND(H7*$D41,1),""))</f>
        <v/>
      </c>
      <c r="I41" s="64">
        <f>IF(MAX(_xlfn.MAXIFS('Start Here'!$D$19:$D$58,'Start Here'!$A$19:$A$58,$A41),_xlfn.MAXIFS(Sets!$E$2:$E$3054,Sets!$B$2:$B$3054,$A41),_xlfn.MAXIFS(Log!$E$2:$E$1001,Log!$B$2:$B$1001,$A41,Log!$A$2:$A$1001,"&lt;"&amp;('Start Here'!$B$8+336)))&gt;0,ROUND(MAX(_xlfn.MAXIFS('Start Here'!$D$19:$D$58,'Start Here'!$A$19:$A$58,$A41),_xlfn.MAXIFS(Sets!$E$2:$E$3054,Sets!$B$2:$B$3054,$A41),_xlfn.MAXIFS(Log!$E$2:$E$1001,Log!$B$2:$B$1001,$A41,Log!$A$2:$A$1001,"&lt;"&amp;('Start Here'!$B$8+336))),1),IF(N(I7)&gt;0,ROUND(I7*$D41,1),""))</f>
        <v/>
      </c>
      <c r="J41">
        <f>IF(PRs!C41&gt;0,"logged",IF($B41="variation","estimated",""))</f>
        <v/>
      </c>
    </row>
    <row r="42">
      <c r="A42" s="24" t="inlineStr">
        <is>
          <t>Power Clean</t>
        </is>
      </c>
      <c r="B42" t="inlineStr">
        <is>
          <t>variation</t>
        </is>
      </c>
      <c r="C42" t="inlineStr">
        <is>
          <t>Clean &amp; Jerk</t>
        </is>
      </c>
      <c r="D42" t="n">
        <v>0.85</v>
      </c>
      <c r="E42" s="64">
        <f>IF(MAX(_xlfn.MAXIFS('Start Here'!$D$19:$D$58,'Start Here'!$A$19:$A$58,$A42),_xlfn.MAXIFS(Sets!$E$2:$E$26,Sets!$B$2:$B$26,$A42),_xlfn.MAXIFS(Log!$E$2:$E$1001,Log!$B$2:$B$1001,$A42,Log!$A$2:$A$1001,"&lt;"&amp;('Start Here'!$B$8+0)))&gt;0,ROUND(MAX(_xlfn.MAXIFS('Start Here'!$D$19:$D$58,'Start Here'!$A$19:$A$58,$A42),_xlfn.MAXIFS(Sets!$E$2:$E$26,Sets!$B$2:$B$26,$A42),_xlfn.MAXIFS(Log!$E$2:$E$1001,Log!$B$2:$B$1001,$A42,Log!$A$2:$A$1001,"&lt;"&amp;('Start Here'!$B$8+0))),1),IF(N(E7)&gt;0,ROUND(E7*$D42,1),""))</f>
        <v/>
      </c>
      <c r="F42" s="64">
        <f>IF(MAX(_xlfn.MAXIFS('Start Here'!$D$19:$D$58,'Start Here'!$A$19:$A$58,$A42),_xlfn.MAXIFS(Sets!$E$2:$E$783,Sets!$B$2:$B$783,$A42),_xlfn.MAXIFS(Log!$E$2:$E$1001,Log!$B$2:$B$1001,$A42,Log!$A$2:$A$1001,"&lt;"&amp;('Start Here'!$B$8+84)))&gt;0,ROUND(MAX(_xlfn.MAXIFS('Start Here'!$D$19:$D$58,'Start Here'!$A$19:$A$58,$A42),_xlfn.MAXIFS(Sets!$E$2:$E$783,Sets!$B$2:$B$783,$A42),_xlfn.MAXIFS(Log!$E$2:$E$1001,Log!$B$2:$B$1001,$A42,Log!$A$2:$A$1001,"&lt;"&amp;('Start Here'!$B$8+84))),1),IF(N(F7)&gt;0,ROUND(F7*$D42,1),""))</f>
        <v/>
      </c>
      <c r="G42" s="64">
        <f>IF(MAX(_xlfn.MAXIFS('Start Here'!$D$19:$D$58,'Start Here'!$A$19:$A$58,$A42),_xlfn.MAXIFS(Sets!$E$2:$E$1540,Sets!$B$2:$B$1540,$A42),_xlfn.MAXIFS(Log!$E$2:$E$1001,Log!$B$2:$B$1001,$A42,Log!$A$2:$A$1001,"&lt;"&amp;('Start Here'!$B$8+168)))&gt;0,ROUND(MAX(_xlfn.MAXIFS('Start Here'!$D$19:$D$58,'Start Here'!$A$19:$A$58,$A42),_xlfn.MAXIFS(Sets!$E$2:$E$1540,Sets!$B$2:$B$1540,$A42),_xlfn.MAXIFS(Log!$E$2:$E$1001,Log!$B$2:$B$1001,$A42,Log!$A$2:$A$1001,"&lt;"&amp;('Start Here'!$B$8+168))),1),IF(N(G7)&gt;0,ROUND(G7*$D42,1),""))</f>
        <v/>
      </c>
      <c r="H42" s="64">
        <f>IF(MAX(_xlfn.MAXIFS('Start Here'!$D$19:$D$58,'Start Here'!$A$19:$A$58,$A42),_xlfn.MAXIFS(Sets!$E$2:$E$2297,Sets!$B$2:$B$2297,$A42),_xlfn.MAXIFS(Log!$E$2:$E$1001,Log!$B$2:$B$1001,$A42,Log!$A$2:$A$1001,"&lt;"&amp;('Start Here'!$B$8+252)))&gt;0,ROUND(MAX(_xlfn.MAXIFS('Start Here'!$D$19:$D$58,'Start Here'!$A$19:$A$58,$A42),_xlfn.MAXIFS(Sets!$E$2:$E$2297,Sets!$B$2:$B$2297,$A42),_xlfn.MAXIFS(Log!$E$2:$E$1001,Log!$B$2:$B$1001,$A42,Log!$A$2:$A$1001,"&lt;"&amp;('Start Here'!$B$8+252))),1),IF(N(H7)&gt;0,ROUND(H7*$D42,1),""))</f>
        <v/>
      </c>
      <c r="I42" s="64">
        <f>IF(MAX(_xlfn.MAXIFS('Start Here'!$D$19:$D$58,'Start Here'!$A$19:$A$58,$A42),_xlfn.MAXIFS(Sets!$E$2:$E$3054,Sets!$B$2:$B$3054,$A42),_xlfn.MAXIFS(Log!$E$2:$E$1001,Log!$B$2:$B$1001,$A42,Log!$A$2:$A$1001,"&lt;"&amp;('Start Here'!$B$8+336)))&gt;0,ROUND(MAX(_xlfn.MAXIFS('Start Here'!$D$19:$D$58,'Start Here'!$A$19:$A$58,$A42),_xlfn.MAXIFS(Sets!$E$2:$E$3054,Sets!$B$2:$B$3054,$A42),_xlfn.MAXIFS(Log!$E$2:$E$1001,Log!$B$2:$B$1001,$A42,Log!$A$2:$A$1001,"&lt;"&amp;('Start Here'!$B$8+336))),1),IF(N(I7)&gt;0,ROUND(I7*$D42,1),""))</f>
        <v/>
      </c>
      <c r="J42">
        <f>IF(PRs!C42&gt;0,"logged",IF($B42="variation","estimated",""))</f>
        <v/>
      </c>
    </row>
    <row r="43">
      <c r="A43" s="24" t="inlineStr">
        <is>
          <t>Hang Clean</t>
        </is>
      </c>
      <c r="B43" t="inlineStr">
        <is>
          <t>variation</t>
        </is>
      </c>
      <c r="C43" t="inlineStr">
        <is>
          <t>Clean &amp; Jerk</t>
        </is>
      </c>
      <c r="D43" t="n">
        <v>0.95</v>
      </c>
      <c r="E43" s="64">
        <f>IF(MAX(_xlfn.MAXIFS('Start Here'!$D$19:$D$58,'Start Here'!$A$19:$A$58,$A43),_xlfn.MAXIFS(Sets!$E$2:$E$26,Sets!$B$2:$B$26,$A43),_xlfn.MAXIFS(Log!$E$2:$E$1001,Log!$B$2:$B$1001,$A43,Log!$A$2:$A$1001,"&lt;"&amp;('Start Here'!$B$8+0)))&gt;0,ROUND(MAX(_xlfn.MAXIFS('Start Here'!$D$19:$D$58,'Start Here'!$A$19:$A$58,$A43),_xlfn.MAXIFS(Sets!$E$2:$E$26,Sets!$B$2:$B$26,$A43),_xlfn.MAXIFS(Log!$E$2:$E$1001,Log!$B$2:$B$1001,$A43,Log!$A$2:$A$1001,"&lt;"&amp;('Start Here'!$B$8+0))),1),IF(N(E7)&gt;0,ROUND(E7*$D43,1),""))</f>
        <v/>
      </c>
      <c r="F43" s="64">
        <f>IF(MAX(_xlfn.MAXIFS('Start Here'!$D$19:$D$58,'Start Here'!$A$19:$A$58,$A43),_xlfn.MAXIFS(Sets!$E$2:$E$783,Sets!$B$2:$B$783,$A43),_xlfn.MAXIFS(Log!$E$2:$E$1001,Log!$B$2:$B$1001,$A43,Log!$A$2:$A$1001,"&lt;"&amp;('Start Here'!$B$8+84)))&gt;0,ROUND(MAX(_xlfn.MAXIFS('Start Here'!$D$19:$D$58,'Start Here'!$A$19:$A$58,$A43),_xlfn.MAXIFS(Sets!$E$2:$E$783,Sets!$B$2:$B$783,$A43),_xlfn.MAXIFS(Log!$E$2:$E$1001,Log!$B$2:$B$1001,$A43,Log!$A$2:$A$1001,"&lt;"&amp;('Start Here'!$B$8+84))),1),IF(N(F7)&gt;0,ROUND(F7*$D43,1),""))</f>
        <v/>
      </c>
      <c r="G43" s="64">
        <f>IF(MAX(_xlfn.MAXIFS('Start Here'!$D$19:$D$58,'Start Here'!$A$19:$A$58,$A43),_xlfn.MAXIFS(Sets!$E$2:$E$1540,Sets!$B$2:$B$1540,$A43),_xlfn.MAXIFS(Log!$E$2:$E$1001,Log!$B$2:$B$1001,$A43,Log!$A$2:$A$1001,"&lt;"&amp;('Start Here'!$B$8+168)))&gt;0,ROUND(MAX(_xlfn.MAXIFS('Start Here'!$D$19:$D$58,'Start Here'!$A$19:$A$58,$A43),_xlfn.MAXIFS(Sets!$E$2:$E$1540,Sets!$B$2:$B$1540,$A43),_xlfn.MAXIFS(Log!$E$2:$E$1001,Log!$B$2:$B$1001,$A43,Log!$A$2:$A$1001,"&lt;"&amp;('Start Here'!$B$8+168))),1),IF(N(G7)&gt;0,ROUND(G7*$D43,1),""))</f>
        <v/>
      </c>
      <c r="H43" s="64">
        <f>IF(MAX(_xlfn.MAXIFS('Start Here'!$D$19:$D$58,'Start Here'!$A$19:$A$58,$A43),_xlfn.MAXIFS(Sets!$E$2:$E$2297,Sets!$B$2:$B$2297,$A43),_xlfn.MAXIFS(Log!$E$2:$E$1001,Log!$B$2:$B$1001,$A43,Log!$A$2:$A$1001,"&lt;"&amp;('Start Here'!$B$8+252)))&gt;0,ROUND(MAX(_xlfn.MAXIFS('Start Here'!$D$19:$D$58,'Start Here'!$A$19:$A$58,$A43),_xlfn.MAXIFS(Sets!$E$2:$E$2297,Sets!$B$2:$B$2297,$A43),_xlfn.MAXIFS(Log!$E$2:$E$1001,Log!$B$2:$B$1001,$A43,Log!$A$2:$A$1001,"&lt;"&amp;('Start Here'!$B$8+252))),1),IF(N(H7)&gt;0,ROUND(H7*$D43,1),""))</f>
        <v/>
      </c>
      <c r="I43" s="64">
        <f>IF(MAX(_xlfn.MAXIFS('Start Here'!$D$19:$D$58,'Start Here'!$A$19:$A$58,$A43),_xlfn.MAXIFS(Sets!$E$2:$E$3054,Sets!$B$2:$B$3054,$A43),_xlfn.MAXIFS(Log!$E$2:$E$1001,Log!$B$2:$B$1001,$A43,Log!$A$2:$A$1001,"&lt;"&amp;('Start Here'!$B$8+336)))&gt;0,ROUND(MAX(_xlfn.MAXIFS('Start Here'!$D$19:$D$58,'Start Here'!$A$19:$A$58,$A43),_xlfn.MAXIFS(Sets!$E$2:$E$3054,Sets!$B$2:$B$3054,$A43),_xlfn.MAXIFS(Log!$E$2:$E$1001,Log!$B$2:$B$1001,$A43,Log!$A$2:$A$1001,"&lt;"&amp;('Start Here'!$B$8+336))),1),IF(N(I7)&gt;0,ROUND(I7*$D43,1),""))</f>
        <v/>
      </c>
      <c r="J43">
        <f>IF(PRs!C43&gt;0,"logged",IF($B43="variation","estimated",""))</f>
        <v/>
      </c>
    </row>
    <row r="44">
      <c r="A44" s="24" t="inlineStr">
        <is>
          <t>Hang Power Clean</t>
        </is>
      </c>
      <c r="B44" t="inlineStr">
        <is>
          <t>variation</t>
        </is>
      </c>
      <c r="C44" t="inlineStr">
        <is>
          <t>Clean &amp; Jerk</t>
        </is>
      </c>
      <c r="D44" t="n">
        <v>0.8</v>
      </c>
      <c r="E44" s="64">
        <f>IF(MAX(_xlfn.MAXIFS('Start Here'!$D$19:$D$58,'Start Here'!$A$19:$A$58,$A44),_xlfn.MAXIFS(Sets!$E$2:$E$26,Sets!$B$2:$B$26,$A44),_xlfn.MAXIFS(Log!$E$2:$E$1001,Log!$B$2:$B$1001,$A44,Log!$A$2:$A$1001,"&lt;"&amp;('Start Here'!$B$8+0)))&gt;0,ROUND(MAX(_xlfn.MAXIFS('Start Here'!$D$19:$D$58,'Start Here'!$A$19:$A$58,$A44),_xlfn.MAXIFS(Sets!$E$2:$E$26,Sets!$B$2:$B$26,$A44),_xlfn.MAXIFS(Log!$E$2:$E$1001,Log!$B$2:$B$1001,$A44,Log!$A$2:$A$1001,"&lt;"&amp;('Start Here'!$B$8+0))),1),IF(N(E7)&gt;0,ROUND(E7*$D44,1),""))</f>
        <v/>
      </c>
      <c r="F44" s="64">
        <f>IF(MAX(_xlfn.MAXIFS('Start Here'!$D$19:$D$58,'Start Here'!$A$19:$A$58,$A44),_xlfn.MAXIFS(Sets!$E$2:$E$783,Sets!$B$2:$B$783,$A44),_xlfn.MAXIFS(Log!$E$2:$E$1001,Log!$B$2:$B$1001,$A44,Log!$A$2:$A$1001,"&lt;"&amp;('Start Here'!$B$8+84)))&gt;0,ROUND(MAX(_xlfn.MAXIFS('Start Here'!$D$19:$D$58,'Start Here'!$A$19:$A$58,$A44),_xlfn.MAXIFS(Sets!$E$2:$E$783,Sets!$B$2:$B$783,$A44),_xlfn.MAXIFS(Log!$E$2:$E$1001,Log!$B$2:$B$1001,$A44,Log!$A$2:$A$1001,"&lt;"&amp;('Start Here'!$B$8+84))),1),IF(N(F7)&gt;0,ROUND(F7*$D44,1),""))</f>
        <v/>
      </c>
      <c r="G44" s="64">
        <f>IF(MAX(_xlfn.MAXIFS('Start Here'!$D$19:$D$58,'Start Here'!$A$19:$A$58,$A44),_xlfn.MAXIFS(Sets!$E$2:$E$1540,Sets!$B$2:$B$1540,$A44),_xlfn.MAXIFS(Log!$E$2:$E$1001,Log!$B$2:$B$1001,$A44,Log!$A$2:$A$1001,"&lt;"&amp;('Start Here'!$B$8+168)))&gt;0,ROUND(MAX(_xlfn.MAXIFS('Start Here'!$D$19:$D$58,'Start Here'!$A$19:$A$58,$A44),_xlfn.MAXIFS(Sets!$E$2:$E$1540,Sets!$B$2:$B$1540,$A44),_xlfn.MAXIFS(Log!$E$2:$E$1001,Log!$B$2:$B$1001,$A44,Log!$A$2:$A$1001,"&lt;"&amp;('Start Here'!$B$8+168))),1),IF(N(G7)&gt;0,ROUND(G7*$D44,1),""))</f>
        <v/>
      </c>
      <c r="H44" s="64">
        <f>IF(MAX(_xlfn.MAXIFS('Start Here'!$D$19:$D$58,'Start Here'!$A$19:$A$58,$A44),_xlfn.MAXIFS(Sets!$E$2:$E$2297,Sets!$B$2:$B$2297,$A44),_xlfn.MAXIFS(Log!$E$2:$E$1001,Log!$B$2:$B$1001,$A44,Log!$A$2:$A$1001,"&lt;"&amp;('Start Here'!$B$8+252)))&gt;0,ROUND(MAX(_xlfn.MAXIFS('Start Here'!$D$19:$D$58,'Start Here'!$A$19:$A$58,$A44),_xlfn.MAXIFS(Sets!$E$2:$E$2297,Sets!$B$2:$B$2297,$A44),_xlfn.MAXIFS(Log!$E$2:$E$1001,Log!$B$2:$B$1001,$A44,Log!$A$2:$A$1001,"&lt;"&amp;('Start Here'!$B$8+252))),1),IF(N(H7)&gt;0,ROUND(H7*$D44,1),""))</f>
        <v/>
      </c>
      <c r="I44" s="64">
        <f>IF(MAX(_xlfn.MAXIFS('Start Here'!$D$19:$D$58,'Start Here'!$A$19:$A$58,$A44),_xlfn.MAXIFS(Sets!$E$2:$E$3054,Sets!$B$2:$B$3054,$A44),_xlfn.MAXIFS(Log!$E$2:$E$1001,Log!$B$2:$B$1001,$A44,Log!$A$2:$A$1001,"&lt;"&amp;('Start Here'!$B$8+336)))&gt;0,ROUND(MAX(_xlfn.MAXIFS('Start Here'!$D$19:$D$58,'Start Here'!$A$19:$A$58,$A44),_xlfn.MAXIFS(Sets!$E$2:$E$3054,Sets!$B$2:$B$3054,$A44),_xlfn.MAXIFS(Log!$E$2:$E$1001,Log!$B$2:$B$1001,$A44,Log!$A$2:$A$1001,"&lt;"&amp;('Start Here'!$B$8+336))),1),IF(N(I7)&gt;0,ROUND(I7*$D44,1),""))</f>
        <v/>
      </c>
      <c r="J44">
        <f>IF(PRs!C44&gt;0,"logged",IF($B44="variation","estimated",""))</f>
        <v/>
      </c>
    </row>
    <row r="45">
      <c r="A45" s="24" t="inlineStr">
        <is>
          <t>Push Jerk</t>
        </is>
      </c>
      <c r="B45" t="inlineStr">
        <is>
          <t>variation</t>
        </is>
      </c>
      <c r="C45" t="inlineStr">
        <is>
          <t>Clean &amp; Jerk</t>
        </is>
      </c>
      <c r="D45" t="n">
        <v>1</v>
      </c>
      <c r="E45" s="64">
        <f>IF(MAX(_xlfn.MAXIFS('Start Here'!$D$19:$D$58,'Start Here'!$A$19:$A$58,$A45),_xlfn.MAXIFS(Sets!$E$2:$E$26,Sets!$B$2:$B$26,$A45),_xlfn.MAXIFS(Log!$E$2:$E$1001,Log!$B$2:$B$1001,$A45,Log!$A$2:$A$1001,"&lt;"&amp;('Start Here'!$B$8+0)))&gt;0,ROUND(MAX(_xlfn.MAXIFS('Start Here'!$D$19:$D$58,'Start Here'!$A$19:$A$58,$A45),_xlfn.MAXIFS(Sets!$E$2:$E$26,Sets!$B$2:$B$26,$A45),_xlfn.MAXIFS(Log!$E$2:$E$1001,Log!$B$2:$B$1001,$A45,Log!$A$2:$A$1001,"&lt;"&amp;('Start Here'!$B$8+0))),1),IF(N(E7)&gt;0,ROUND(E7*$D45,1),""))</f>
        <v/>
      </c>
      <c r="F45" s="64">
        <f>IF(MAX(_xlfn.MAXIFS('Start Here'!$D$19:$D$58,'Start Here'!$A$19:$A$58,$A45),_xlfn.MAXIFS(Sets!$E$2:$E$783,Sets!$B$2:$B$783,$A45),_xlfn.MAXIFS(Log!$E$2:$E$1001,Log!$B$2:$B$1001,$A45,Log!$A$2:$A$1001,"&lt;"&amp;('Start Here'!$B$8+84)))&gt;0,ROUND(MAX(_xlfn.MAXIFS('Start Here'!$D$19:$D$58,'Start Here'!$A$19:$A$58,$A45),_xlfn.MAXIFS(Sets!$E$2:$E$783,Sets!$B$2:$B$783,$A45),_xlfn.MAXIFS(Log!$E$2:$E$1001,Log!$B$2:$B$1001,$A45,Log!$A$2:$A$1001,"&lt;"&amp;('Start Here'!$B$8+84))),1),IF(N(F7)&gt;0,ROUND(F7*$D45,1),""))</f>
        <v/>
      </c>
      <c r="G45" s="64">
        <f>IF(MAX(_xlfn.MAXIFS('Start Here'!$D$19:$D$58,'Start Here'!$A$19:$A$58,$A45),_xlfn.MAXIFS(Sets!$E$2:$E$1540,Sets!$B$2:$B$1540,$A45),_xlfn.MAXIFS(Log!$E$2:$E$1001,Log!$B$2:$B$1001,$A45,Log!$A$2:$A$1001,"&lt;"&amp;('Start Here'!$B$8+168)))&gt;0,ROUND(MAX(_xlfn.MAXIFS('Start Here'!$D$19:$D$58,'Start Here'!$A$19:$A$58,$A45),_xlfn.MAXIFS(Sets!$E$2:$E$1540,Sets!$B$2:$B$1540,$A45),_xlfn.MAXIFS(Log!$E$2:$E$1001,Log!$B$2:$B$1001,$A45,Log!$A$2:$A$1001,"&lt;"&amp;('Start Here'!$B$8+168))),1),IF(N(G7)&gt;0,ROUND(G7*$D45,1),""))</f>
        <v/>
      </c>
      <c r="H45" s="64">
        <f>IF(MAX(_xlfn.MAXIFS('Start Here'!$D$19:$D$58,'Start Here'!$A$19:$A$58,$A45),_xlfn.MAXIFS(Sets!$E$2:$E$2297,Sets!$B$2:$B$2297,$A45),_xlfn.MAXIFS(Log!$E$2:$E$1001,Log!$B$2:$B$1001,$A45,Log!$A$2:$A$1001,"&lt;"&amp;('Start Here'!$B$8+252)))&gt;0,ROUND(MAX(_xlfn.MAXIFS('Start Here'!$D$19:$D$58,'Start Here'!$A$19:$A$58,$A45),_xlfn.MAXIFS(Sets!$E$2:$E$2297,Sets!$B$2:$B$2297,$A45),_xlfn.MAXIFS(Log!$E$2:$E$1001,Log!$B$2:$B$1001,$A45,Log!$A$2:$A$1001,"&lt;"&amp;('Start Here'!$B$8+252))),1),IF(N(H7)&gt;0,ROUND(H7*$D45,1),""))</f>
        <v/>
      </c>
      <c r="I45" s="64">
        <f>IF(MAX(_xlfn.MAXIFS('Start Here'!$D$19:$D$58,'Start Here'!$A$19:$A$58,$A45),_xlfn.MAXIFS(Sets!$E$2:$E$3054,Sets!$B$2:$B$3054,$A45),_xlfn.MAXIFS(Log!$E$2:$E$1001,Log!$B$2:$B$1001,$A45,Log!$A$2:$A$1001,"&lt;"&amp;('Start Here'!$B$8+336)))&gt;0,ROUND(MAX(_xlfn.MAXIFS('Start Here'!$D$19:$D$58,'Start Here'!$A$19:$A$58,$A45),_xlfn.MAXIFS(Sets!$E$2:$E$3054,Sets!$B$2:$B$3054,$A45),_xlfn.MAXIFS(Log!$E$2:$E$1001,Log!$B$2:$B$1001,$A45,Log!$A$2:$A$1001,"&lt;"&amp;('Start Here'!$B$8+336))),1),IF(N(I7)&gt;0,ROUND(I7*$D45,1),""))</f>
        <v/>
      </c>
      <c r="J45">
        <f>IF(PRs!C45&gt;0,"logged",IF($B45="variation","estimated",""))</f>
        <v/>
      </c>
    </row>
    <row r="46">
      <c r="A46" s="24" t="inlineStr">
        <is>
          <t>Split Jerk</t>
        </is>
      </c>
      <c r="B46" t="inlineStr">
        <is>
          <t>variation</t>
        </is>
      </c>
      <c r="C46" t="inlineStr">
        <is>
          <t>Clean &amp; Jerk</t>
        </is>
      </c>
      <c r="D46" t="n">
        <v>1.03</v>
      </c>
      <c r="E46" s="64">
        <f>IF(MAX(_xlfn.MAXIFS('Start Here'!$D$19:$D$58,'Start Here'!$A$19:$A$58,$A46),_xlfn.MAXIFS(Sets!$E$2:$E$26,Sets!$B$2:$B$26,$A46),_xlfn.MAXIFS(Log!$E$2:$E$1001,Log!$B$2:$B$1001,$A46,Log!$A$2:$A$1001,"&lt;"&amp;('Start Here'!$B$8+0)))&gt;0,ROUND(MAX(_xlfn.MAXIFS('Start Here'!$D$19:$D$58,'Start Here'!$A$19:$A$58,$A46),_xlfn.MAXIFS(Sets!$E$2:$E$26,Sets!$B$2:$B$26,$A46),_xlfn.MAXIFS(Log!$E$2:$E$1001,Log!$B$2:$B$1001,$A46,Log!$A$2:$A$1001,"&lt;"&amp;('Start Here'!$B$8+0))),1),IF(N(E7)&gt;0,ROUND(E7*$D46,1),""))</f>
        <v/>
      </c>
      <c r="F46" s="64">
        <f>IF(MAX(_xlfn.MAXIFS('Start Here'!$D$19:$D$58,'Start Here'!$A$19:$A$58,$A46),_xlfn.MAXIFS(Sets!$E$2:$E$783,Sets!$B$2:$B$783,$A46),_xlfn.MAXIFS(Log!$E$2:$E$1001,Log!$B$2:$B$1001,$A46,Log!$A$2:$A$1001,"&lt;"&amp;('Start Here'!$B$8+84)))&gt;0,ROUND(MAX(_xlfn.MAXIFS('Start Here'!$D$19:$D$58,'Start Here'!$A$19:$A$58,$A46),_xlfn.MAXIFS(Sets!$E$2:$E$783,Sets!$B$2:$B$783,$A46),_xlfn.MAXIFS(Log!$E$2:$E$1001,Log!$B$2:$B$1001,$A46,Log!$A$2:$A$1001,"&lt;"&amp;('Start Here'!$B$8+84))),1),IF(N(F7)&gt;0,ROUND(F7*$D46,1),""))</f>
        <v/>
      </c>
      <c r="G46" s="64">
        <f>IF(MAX(_xlfn.MAXIFS('Start Here'!$D$19:$D$58,'Start Here'!$A$19:$A$58,$A46),_xlfn.MAXIFS(Sets!$E$2:$E$1540,Sets!$B$2:$B$1540,$A46),_xlfn.MAXIFS(Log!$E$2:$E$1001,Log!$B$2:$B$1001,$A46,Log!$A$2:$A$1001,"&lt;"&amp;('Start Here'!$B$8+168)))&gt;0,ROUND(MAX(_xlfn.MAXIFS('Start Here'!$D$19:$D$58,'Start Here'!$A$19:$A$58,$A46),_xlfn.MAXIFS(Sets!$E$2:$E$1540,Sets!$B$2:$B$1540,$A46),_xlfn.MAXIFS(Log!$E$2:$E$1001,Log!$B$2:$B$1001,$A46,Log!$A$2:$A$1001,"&lt;"&amp;('Start Here'!$B$8+168))),1),IF(N(G7)&gt;0,ROUND(G7*$D46,1),""))</f>
        <v/>
      </c>
      <c r="H46" s="64">
        <f>IF(MAX(_xlfn.MAXIFS('Start Here'!$D$19:$D$58,'Start Here'!$A$19:$A$58,$A46),_xlfn.MAXIFS(Sets!$E$2:$E$2297,Sets!$B$2:$B$2297,$A46),_xlfn.MAXIFS(Log!$E$2:$E$1001,Log!$B$2:$B$1001,$A46,Log!$A$2:$A$1001,"&lt;"&amp;('Start Here'!$B$8+252)))&gt;0,ROUND(MAX(_xlfn.MAXIFS('Start Here'!$D$19:$D$58,'Start Here'!$A$19:$A$58,$A46),_xlfn.MAXIFS(Sets!$E$2:$E$2297,Sets!$B$2:$B$2297,$A46),_xlfn.MAXIFS(Log!$E$2:$E$1001,Log!$B$2:$B$1001,$A46,Log!$A$2:$A$1001,"&lt;"&amp;('Start Here'!$B$8+252))),1),IF(N(H7)&gt;0,ROUND(H7*$D46,1),""))</f>
        <v/>
      </c>
      <c r="I46" s="64">
        <f>IF(MAX(_xlfn.MAXIFS('Start Here'!$D$19:$D$58,'Start Here'!$A$19:$A$58,$A46),_xlfn.MAXIFS(Sets!$E$2:$E$3054,Sets!$B$2:$B$3054,$A46),_xlfn.MAXIFS(Log!$E$2:$E$1001,Log!$B$2:$B$1001,$A46,Log!$A$2:$A$1001,"&lt;"&amp;('Start Here'!$B$8+336)))&gt;0,ROUND(MAX(_xlfn.MAXIFS('Start Here'!$D$19:$D$58,'Start Here'!$A$19:$A$58,$A46),_xlfn.MAXIFS(Sets!$E$2:$E$3054,Sets!$B$2:$B$3054,$A46),_xlfn.MAXIFS(Log!$E$2:$E$1001,Log!$B$2:$B$1001,$A46,Log!$A$2:$A$1001,"&lt;"&amp;('Start Here'!$B$8+336))),1),IF(N(I7)&gt;0,ROUND(I7*$D46,1),""))</f>
        <v/>
      </c>
      <c r="J46">
        <f>IF(PRs!C46&gt;0,"logged",IF($B46="variation","estimated",""))</f>
        <v/>
      </c>
    </row>
    <row r="47">
      <c r="A47" s="24" t="inlineStr">
        <is>
          <t>Push Press (Jerk Rack)</t>
        </is>
      </c>
      <c r="B47" t="inlineStr">
        <is>
          <t>variation</t>
        </is>
      </c>
      <c r="C47" t="inlineStr">
        <is>
          <t>Clean &amp; Jerk</t>
        </is>
      </c>
      <c r="D47" t="n">
        <v>0.85</v>
      </c>
      <c r="E47" s="64">
        <f>IF(MAX(_xlfn.MAXIFS('Start Here'!$D$19:$D$58,'Start Here'!$A$19:$A$58,$A47),_xlfn.MAXIFS(Sets!$E$2:$E$26,Sets!$B$2:$B$26,$A47),_xlfn.MAXIFS(Log!$E$2:$E$1001,Log!$B$2:$B$1001,$A47,Log!$A$2:$A$1001,"&lt;"&amp;('Start Here'!$B$8+0)))&gt;0,ROUND(MAX(_xlfn.MAXIFS('Start Here'!$D$19:$D$58,'Start Here'!$A$19:$A$58,$A47),_xlfn.MAXIFS(Sets!$E$2:$E$26,Sets!$B$2:$B$26,$A47),_xlfn.MAXIFS(Log!$E$2:$E$1001,Log!$B$2:$B$1001,$A47,Log!$A$2:$A$1001,"&lt;"&amp;('Start Here'!$B$8+0))),1),IF(N(E7)&gt;0,ROUND(E7*$D47,1),""))</f>
        <v/>
      </c>
      <c r="F47" s="64">
        <f>IF(MAX(_xlfn.MAXIFS('Start Here'!$D$19:$D$58,'Start Here'!$A$19:$A$58,$A47),_xlfn.MAXIFS(Sets!$E$2:$E$783,Sets!$B$2:$B$783,$A47),_xlfn.MAXIFS(Log!$E$2:$E$1001,Log!$B$2:$B$1001,$A47,Log!$A$2:$A$1001,"&lt;"&amp;('Start Here'!$B$8+84)))&gt;0,ROUND(MAX(_xlfn.MAXIFS('Start Here'!$D$19:$D$58,'Start Here'!$A$19:$A$58,$A47),_xlfn.MAXIFS(Sets!$E$2:$E$783,Sets!$B$2:$B$783,$A47),_xlfn.MAXIFS(Log!$E$2:$E$1001,Log!$B$2:$B$1001,$A47,Log!$A$2:$A$1001,"&lt;"&amp;('Start Here'!$B$8+84))),1),IF(N(F7)&gt;0,ROUND(F7*$D47,1),""))</f>
        <v/>
      </c>
      <c r="G47" s="64">
        <f>IF(MAX(_xlfn.MAXIFS('Start Here'!$D$19:$D$58,'Start Here'!$A$19:$A$58,$A47),_xlfn.MAXIFS(Sets!$E$2:$E$1540,Sets!$B$2:$B$1540,$A47),_xlfn.MAXIFS(Log!$E$2:$E$1001,Log!$B$2:$B$1001,$A47,Log!$A$2:$A$1001,"&lt;"&amp;('Start Here'!$B$8+168)))&gt;0,ROUND(MAX(_xlfn.MAXIFS('Start Here'!$D$19:$D$58,'Start Here'!$A$19:$A$58,$A47),_xlfn.MAXIFS(Sets!$E$2:$E$1540,Sets!$B$2:$B$1540,$A47),_xlfn.MAXIFS(Log!$E$2:$E$1001,Log!$B$2:$B$1001,$A47,Log!$A$2:$A$1001,"&lt;"&amp;('Start Here'!$B$8+168))),1),IF(N(G7)&gt;0,ROUND(G7*$D47,1),""))</f>
        <v/>
      </c>
      <c r="H47" s="64">
        <f>IF(MAX(_xlfn.MAXIFS('Start Here'!$D$19:$D$58,'Start Here'!$A$19:$A$58,$A47),_xlfn.MAXIFS(Sets!$E$2:$E$2297,Sets!$B$2:$B$2297,$A47),_xlfn.MAXIFS(Log!$E$2:$E$1001,Log!$B$2:$B$1001,$A47,Log!$A$2:$A$1001,"&lt;"&amp;('Start Here'!$B$8+252)))&gt;0,ROUND(MAX(_xlfn.MAXIFS('Start Here'!$D$19:$D$58,'Start Here'!$A$19:$A$58,$A47),_xlfn.MAXIFS(Sets!$E$2:$E$2297,Sets!$B$2:$B$2297,$A47),_xlfn.MAXIFS(Log!$E$2:$E$1001,Log!$B$2:$B$1001,$A47,Log!$A$2:$A$1001,"&lt;"&amp;('Start Here'!$B$8+252))),1),IF(N(H7)&gt;0,ROUND(H7*$D47,1),""))</f>
        <v/>
      </c>
      <c r="I47" s="64">
        <f>IF(MAX(_xlfn.MAXIFS('Start Here'!$D$19:$D$58,'Start Here'!$A$19:$A$58,$A47),_xlfn.MAXIFS(Sets!$E$2:$E$3054,Sets!$B$2:$B$3054,$A47),_xlfn.MAXIFS(Log!$E$2:$E$1001,Log!$B$2:$B$1001,$A47,Log!$A$2:$A$1001,"&lt;"&amp;('Start Here'!$B$8+336)))&gt;0,ROUND(MAX(_xlfn.MAXIFS('Start Here'!$D$19:$D$58,'Start Here'!$A$19:$A$58,$A47),_xlfn.MAXIFS(Sets!$E$2:$E$3054,Sets!$B$2:$B$3054,$A47),_xlfn.MAXIFS(Log!$E$2:$E$1001,Log!$B$2:$B$1001,$A47,Log!$A$2:$A$1001,"&lt;"&amp;('Start Here'!$B$8+336))),1),IF(N(I7)&gt;0,ROUND(I7*$D47,1),""))</f>
        <v/>
      </c>
      <c r="J47">
        <f>IF(PRs!C47&gt;0,"logged",IF($B47="variation","estimated",""))</f>
        <v/>
      </c>
    </row>
    <row r="48">
      <c r="A48" s="24" t="inlineStr">
        <is>
          <t>Clean Pull</t>
        </is>
      </c>
      <c r="B48" t="inlineStr">
        <is>
          <t>variation</t>
        </is>
      </c>
      <c r="C48" t="inlineStr">
        <is>
          <t>Clean &amp; Jerk</t>
        </is>
      </c>
      <c r="D48" t="n">
        <v>1.2</v>
      </c>
      <c r="E48" s="64">
        <f>IF(MAX(_xlfn.MAXIFS('Start Here'!$D$19:$D$58,'Start Here'!$A$19:$A$58,$A48),_xlfn.MAXIFS(Sets!$E$2:$E$26,Sets!$B$2:$B$26,$A48),_xlfn.MAXIFS(Log!$E$2:$E$1001,Log!$B$2:$B$1001,$A48,Log!$A$2:$A$1001,"&lt;"&amp;('Start Here'!$B$8+0)))&gt;0,ROUND(MAX(_xlfn.MAXIFS('Start Here'!$D$19:$D$58,'Start Here'!$A$19:$A$58,$A48),_xlfn.MAXIFS(Sets!$E$2:$E$26,Sets!$B$2:$B$26,$A48),_xlfn.MAXIFS(Log!$E$2:$E$1001,Log!$B$2:$B$1001,$A48,Log!$A$2:$A$1001,"&lt;"&amp;('Start Here'!$B$8+0))),1),IF(N(E7)&gt;0,ROUND(E7*$D48,1),""))</f>
        <v/>
      </c>
      <c r="F48" s="64">
        <f>IF(MAX(_xlfn.MAXIFS('Start Here'!$D$19:$D$58,'Start Here'!$A$19:$A$58,$A48),_xlfn.MAXIFS(Sets!$E$2:$E$783,Sets!$B$2:$B$783,$A48),_xlfn.MAXIFS(Log!$E$2:$E$1001,Log!$B$2:$B$1001,$A48,Log!$A$2:$A$1001,"&lt;"&amp;('Start Here'!$B$8+84)))&gt;0,ROUND(MAX(_xlfn.MAXIFS('Start Here'!$D$19:$D$58,'Start Here'!$A$19:$A$58,$A48),_xlfn.MAXIFS(Sets!$E$2:$E$783,Sets!$B$2:$B$783,$A48),_xlfn.MAXIFS(Log!$E$2:$E$1001,Log!$B$2:$B$1001,$A48,Log!$A$2:$A$1001,"&lt;"&amp;('Start Here'!$B$8+84))),1),IF(N(F7)&gt;0,ROUND(F7*$D48,1),""))</f>
        <v/>
      </c>
      <c r="G48" s="64">
        <f>IF(MAX(_xlfn.MAXIFS('Start Here'!$D$19:$D$58,'Start Here'!$A$19:$A$58,$A48),_xlfn.MAXIFS(Sets!$E$2:$E$1540,Sets!$B$2:$B$1540,$A48),_xlfn.MAXIFS(Log!$E$2:$E$1001,Log!$B$2:$B$1001,$A48,Log!$A$2:$A$1001,"&lt;"&amp;('Start Here'!$B$8+168)))&gt;0,ROUND(MAX(_xlfn.MAXIFS('Start Here'!$D$19:$D$58,'Start Here'!$A$19:$A$58,$A48),_xlfn.MAXIFS(Sets!$E$2:$E$1540,Sets!$B$2:$B$1540,$A48),_xlfn.MAXIFS(Log!$E$2:$E$1001,Log!$B$2:$B$1001,$A48,Log!$A$2:$A$1001,"&lt;"&amp;('Start Here'!$B$8+168))),1),IF(N(G7)&gt;0,ROUND(G7*$D48,1),""))</f>
        <v/>
      </c>
      <c r="H48" s="64">
        <f>IF(MAX(_xlfn.MAXIFS('Start Here'!$D$19:$D$58,'Start Here'!$A$19:$A$58,$A48),_xlfn.MAXIFS(Sets!$E$2:$E$2297,Sets!$B$2:$B$2297,$A48),_xlfn.MAXIFS(Log!$E$2:$E$1001,Log!$B$2:$B$1001,$A48,Log!$A$2:$A$1001,"&lt;"&amp;('Start Here'!$B$8+252)))&gt;0,ROUND(MAX(_xlfn.MAXIFS('Start Here'!$D$19:$D$58,'Start Here'!$A$19:$A$58,$A48),_xlfn.MAXIFS(Sets!$E$2:$E$2297,Sets!$B$2:$B$2297,$A48),_xlfn.MAXIFS(Log!$E$2:$E$1001,Log!$B$2:$B$1001,$A48,Log!$A$2:$A$1001,"&lt;"&amp;('Start Here'!$B$8+252))),1),IF(N(H7)&gt;0,ROUND(H7*$D48,1),""))</f>
        <v/>
      </c>
      <c r="I48" s="64">
        <f>IF(MAX(_xlfn.MAXIFS('Start Here'!$D$19:$D$58,'Start Here'!$A$19:$A$58,$A48),_xlfn.MAXIFS(Sets!$E$2:$E$3054,Sets!$B$2:$B$3054,$A48),_xlfn.MAXIFS(Log!$E$2:$E$1001,Log!$B$2:$B$1001,$A48,Log!$A$2:$A$1001,"&lt;"&amp;('Start Here'!$B$8+336)))&gt;0,ROUND(MAX(_xlfn.MAXIFS('Start Here'!$D$19:$D$58,'Start Here'!$A$19:$A$58,$A48),_xlfn.MAXIFS(Sets!$E$2:$E$3054,Sets!$B$2:$B$3054,$A48),_xlfn.MAXIFS(Log!$E$2:$E$1001,Log!$B$2:$B$1001,$A48,Log!$A$2:$A$1001,"&lt;"&amp;('Start Here'!$B$8+336))),1),IF(N(I7)&gt;0,ROUND(I7*$D48,1),""))</f>
        <v/>
      </c>
      <c r="J48">
        <f>IF(PRs!C48&gt;0,"logged",IF($B48="variation","estimated",""))</f>
        <v/>
      </c>
    </row>
    <row r="49">
      <c r="A49" s="24" t="inlineStr">
        <is>
          <t>Block Clean</t>
        </is>
      </c>
      <c r="B49" t="inlineStr">
        <is>
          <t>variation</t>
        </is>
      </c>
      <c r="C49" t="inlineStr">
        <is>
          <t>Clean &amp; Jerk</t>
        </is>
      </c>
      <c r="D49" t="n">
        <v>0.95</v>
      </c>
      <c r="E49" s="64">
        <f>IF(MAX(_xlfn.MAXIFS('Start Here'!$D$19:$D$58,'Start Here'!$A$19:$A$58,$A49),_xlfn.MAXIFS(Sets!$E$2:$E$26,Sets!$B$2:$B$26,$A49),_xlfn.MAXIFS(Log!$E$2:$E$1001,Log!$B$2:$B$1001,$A49,Log!$A$2:$A$1001,"&lt;"&amp;('Start Here'!$B$8+0)))&gt;0,ROUND(MAX(_xlfn.MAXIFS('Start Here'!$D$19:$D$58,'Start Here'!$A$19:$A$58,$A49),_xlfn.MAXIFS(Sets!$E$2:$E$26,Sets!$B$2:$B$26,$A49),_xlfn.MAXIFS(Log!$E$2:$E$1001,Log!$B$2:$B$1001,$A49,Log!$A$2:$A$1001,"&lt;"&amp;('Start Here'!$B$8+0))),1),IF(N(E7)&gt;0,ROUND(E7*$D49,1),""))</f>
        <v/>
      </c>
      <c r="F49" s="64">
        <f>IF(MAX(_xlfn.MAXIFS('Start Here'!$D$19:$D$58,'Start Here'!$A$19:$A$58,$A49),_xlfn.MAXIFS(Sets!$E$2:$E$783,Sets!$B$2:$B$783,$A49),_xlfn.MAXIFS(Log!$E$2:$E$1001,Log!$B$2:$B$1001,$A49,Log!$A$2:$A$1001,"&lt;"&amp;('Start Here'!$B$8+84)))&gt;0,ROUND(MAX(_xlfn.MAXIFS('Start Here'!$D$19:$D$58,'Start Here'!$A$19:$A$58,$A49),_xlfn.MAXIFS(Sets!$E$2:$E$783,Sets!$B$2:$B$783,$A49),_xlfn.MAXIFS(Log!$E$2:$E$1001,Log!$B$2:$B$1001,$A49,Log!$A$2:$A$1001,"&lt;"&amp;('Start Here'!$B$8+84))),1),IF(N(F7)&gt;0,ROUND(F7*$D49,1),""))</f>
        <v/>
      </c>
      <c r="G49" s="64">
        <f>IF(MAX(_xlfn.MAXIFS('Start Here'!$D$19:$D$58,'Start Here'!$A$19:$A$58,$A49),_xlfn.MAXIFS(Sets!$E$2:$E$1540,Sets!$B$2:$B$1540,$A49),_xlfn.MAXIFS(Log!$E$2:$E$1001,Log!$B$2:$B$1001,$A49,Log!$A$2:$A$1001,"&lt;"&amp;('Start Here'!$B$8+168)))&gt;0,ROUND(MAX(_xlfn.MAXIFS('Start Here'!$D$19:$D$58,'Start Here'!$A$19:$A$58,$A49),_xlfn.MAXIFS(Sets!$E$2:$E$1540,Sets!$B$2:$B$1540,$A49),_xlfn.MAXIFS(Log!$E$2:$E$1001,Log!$B$2:$B$1001,$A49,Log!$A$2:$A$1001,"&lt;"&amp;('Start Here'!$B$8+168))),1),IF(N(G7)&gt;0,ROUND(G7*$D49,1),""))</f>
        <v/>
      </c>
      <c r="H49" s="64">
        <f>IF(MAX(_xlfn.MAXIFS('Start Here'!$D$19:$D$58,'Start Here'!$A$19:$A$58,$A49),_xlfn.MAXIFS(Sets!$E$2:$E$2297,Sets!$B$2:$B$2297,$A49),_xlfn.MAXIFS(Log!$E$2:$E$1001,Log!$B$2:$B$1001,$A49,Log!$A$2:$A$1001,"&lt;"&amp;('Start Here'!$B$8+252)))&gt;0,ROUND(MAX(_xlfn.MAXIFS('Start Here'!$D$19:$D$58,'Start Here'!$A$19:$A$58,$A49),_xlfn.MAXIFS(Sets!$E$2:$E$2297,Sets!$B$2:$B$2297,$A49),_xlfn.MAXIFS(Log!$E$2:$E$1001,Log!$B$2:$B$1001,$A49,Log!$A$2:$A$1001,"&lt;"&amp;('Start Here'!$B$8+252))),1),IF(N(H7)&gt;0,ROUND(H7*$D49,1),""))</f>
        <v/>
      </c>
      <c r="I49" s="64">
        <f>IF(MAX(_xlfn.MAXIFS('Start Here'!$D$19:$D$58,'Start Here'!$A$19:$A$58,$A49),_xlfn.MAXIFS(Sets!$E$2:$E$3054,Sets!$B$2:$B$3054,$A49),_xlfn.MAXIFS(Log!$E$2:$E$1001,Log!$B$2:$B$1001,$A49,Log!$A$2:$A$1001,"&lt;"&amp;('Start Here'!$B$8+336)))&gt;0,ROUND(MAX(_xlfn.MAXIFS('Start Here'!$D$19:$D$58,'Start Here'!$A$19:$A$58,$A49),_xlfn.MAXIFS(Sets!$E$2:$E$3054,Sets!$B$2:$B$3054,$A49),_xlfn.MAXIFS(Log!$E$2:$E$1001,Log!$B$2:$B$1001,$A49,Log!$A$2:$A$1001,"&lt;"&amp;('Start Here'!$B$8+336))),1),IF(N(I7)&gt;0,ROUND(I7*$D49,1),""))</f>
        <v/>
      </c>
      <c r="J49">
        <f>IF(PRs!C49&gt;0,"logged",IF($B49="variation","estimated",""))</f>
        <v/>
      </c>
    </row>
    <row r="50">
      <c r="A50" s="24" t="inlineStr">
        <is>
          <t>Barbell Row</t>
        </is>
      </c>
      <c r="B50" t="inlineStr">
        <is>
          <t>accessory</t>
        </is>
      </c>
    </row>
    <row r="51">
      <c r="A51" s="24" t="inlineStr">
        <is>
          <t>Face Pull</t>
        </is>
      </c>
      <c r="B51" t="inlineStr">
        <is>
          <t>accessory</t>
        </is>
      </c>
    </row>
    <row r="52">
      <c r="A52" s="24" t="inlineStr">
        <is>
          <t>Dumbbell Curl</t>
        </is>
      </c>
      <c r="B52" t="inlineStr">
        <is>
          <t>accessory</t>
        </is>
      </c>
    </row>
    <row r="53">
      <c r="A53" s="24" t="inlineStr">
        <is>
          <t>Chin-up</t>
        </is>
      </c>
      <c r="B53" t="inlineStr">
        <is>
          <t>accessory</t>
        </is>
      </c>
    </row>
    <row r="54">
      <c r="A54" s="24" t="inlineStr">
        <is>
          <t>Lat Pulldown</t>
        </is>
      </c>
      <c r="B54" t="inlineStr">
        <is>
          <t>accessory</t>
        </is>
      </c>
    </row>
    <row r="55">
      <c r="A55" s="24" t="inlineStr">
        <is>
          <t>Back Extension</t>
        </is>
      </c>
      <c r="B55" t="inlineStr">
        <is>
          <t>accessory</t>
        </is>
      </c>
    </row>
    <row r="56">
      <c r="A56" s="24" t="inlineStr">
        <is>
          <t>Plank</t>
        </is>
      </c>
      <c r="B56" t="inlineStr">
        <is>
          <t>accessory</t>
        </is>
      </c>
    </row>
    <row r="57">
      <c r="A57" s="24" t="inlineStr">
        <is>
          <t>Incline Dumbbell Press</t>
        </is>
      </c>
      <c r="B57" t="inlineStr">
        <is>
          <t>accessory</t>
        </is>
      </c>
    </row>
    <row r="58">
      <c r="A58" s="24" t="inlineStr">
        <is>
          <t>One-Arm Dumbbell Row</t>
        </is>
      </c>
      <c r="B58" t="inlineStr">
        <is>
          <t>accessory</t>
        </is>
      </c>
    </row>
    <row r="59">
      <c r="A59" s="24" t="inlineStr">
        <is>
          <t>Triceps Pushdown</t>
        </is>
      </c>
      <c r="B59" t="inlineStr">
        <is>
          <t>accessory</t>
        </is>
      </c>
    </row>
    <row r="60">
      <c r="A60" s="24" t="inlineStr">
        <is>
          <t>Walking Lunge</t>
        </is>
      </c>
      <c r="B60" t="inlineStr">
        <is>
          <t>accessory</t>
        </is>
      </c>
    </row>
    <row r="61">
      <c r="A61" s="24" t="inlineStr">
        <is>
          <t>Leg Press</t>
        </is>
      </c>
      <c r="B61" t="inlineStr">
        <is>
          <t>accessory</t>
        </is>
      </c>
    </row>
    <row r="62">
      <c r="A62" s="24" t="inlineStr">
        <is>
          <t>Hanging Leg Raise</t>
        </is>
      </c>
      <c r="B62" t="inlineStr">
        <is>
          <t>accessory</t>
        </is>
      </c>
    </row>
    <row r="63">
      <c r="A63" s="24" t="inlineStr">
        <is>
          <t>Dip</t>
        </is>
      </c>
      <c r="B63" t="inlineStr">
        <is>
          <t>accessory</t>
        </is>
      </c>
    </row>
    <row r="64">
      <c r="A64" s="24" t="inlineStr">
        <is>
          <t>Hammer Curl</t>
        </is>
      </c>
      <c r="B64" t="inlineStr">
        <is>
          <t>accessory</t>
        </is>
      </c>
    </row>
    <row r="65">
      <c r="A65" s="24" t="inlineStr">
        <is>
          <t>Lateral Raise</t>
        </is>
      </c>
      <c r="B65" t="inlineStr">
        <is>
          <t>accessory</t>
        </is>
      </c>
    </row>
    <row r="66">
      <c r="A66" s="24" t="inlineStr">
        <is>
          <t>Reverse Hyper</t>
        </is>
      </c>
      <c r="B66" t="inlineStr">
        <is>
          <t>accessory</t>
        </is>
      </c>
    </row>
    <row r="67">
      <c r="A67" s="24" t="inlineStr">
        <is>
          <t>Good Morning</t>
        </is>
      </c>
      <c r="B67" t="inlineStr">
        <is>
          <t>accessory</t>
        </is>
      </c>
    </row>
    <row r="68">
      <c r="A68" s="24" t="inlineStr">
        <is>
          <t>Glute-Ham Raise</t>
        </is>
      </c>
      <c r="B68" t="inlineStr">
        <is>
          <t>accessory</t>
        </is>
      </c>
    </row>
    <row r="69">
      <c r="A69" s="24" t="inlineStr">
        <is>
          <t>Box Jump</t>
        </is>
      </c>
      <c r="B69" t="inlineStr">
        <is>
          <t>plyo</t>
        </is>
      </c>
      <c r="E69" s="64">
        <f>IF(MAX(_xlfn.MAXIFS('Start Here'!$B$19:$B$58,'Start Here'!$A$19:$A$58,$A69),_xlfn.MAXIFS(Sets!$C$2:$C$26,Sets!$B$2:$B$26,$A69),_xlfn.MAXIFS(Log!$C$2:$C$1001,Log!$B$2:$B$1001,$A69,Log!$A$2:$A$1001,"&lt;"&amp;('Start Here'!$B$8+0)))&gt;0,ROUND(MAX(_xlfn.MAXIFS('Start Here'!$B$19:$B$58,'Start Here'!$A$19:$A$58,$A69),_xlfn.MAXIFS(Sets!$C$2:$C$26,Sets!$B$2:$B$26,$A69),_xlfn.MAXIFS(Log!$C$2:$C$1001,Log!$B$2:$B$1001,$A69,Log!$A$2:$A$1001,"&lt;"&amp;('Start Here'!$B$8+0))),1),"")</f>
        <v/>
      </c>
      <c r="F69" s="64">
        <f>IF(MAX(_xlfn.MAXIFS('Start Here'!$B$19:$B$58,'Start Here'!$A$19:$A$58,$A69),_xlfn.MAXIFS(Sets!$C$2:$C$783,Sets!$B$2:$B$783,$A69),_xlfn.MAXIFS(Log!$C$2:$C$1001,Log!$B$2:$B$1001,$A69,Log!$A$2:$A$1001,"&lt;"&amp;('Start Here'!$B$8+84)))&gt;0,ROUND(MAX(_xlfn.MAXIFS('Start Here'!$B$19:$B$58,'Start Here'!$A$19:$A$58,$A69),_xlfn.MAXIFS(Sets!$C$2:$C$783,Sets!$B$2:$B$783,$A69),_xlfn.MAXIFS(Log!$C$2:$C$1001,Log!$B$2:$B$1001,$A69,Log!$A$2:$A$1001,"&lt;"&amp;('Start Here'!$B$8+84))),1),"")</f>
        <v/>
      </c>
      <c r="G69" s="64">
        <f>IF(MAX(_xlfn.MAXIFS('Start Here'!$B$19:$B$58,'Start Here'!$A$19:$A$58,$A69),_xlfn.MAXIFS(Sets!$C$2:$C$1540,Sets!$B$2:$B$1540,$A69),_xlfn.MAXIFS(Log!$C$2:$C$1001,Log!$B$2:$B$1001,$A69,Log!$A$2:$A$1001,"&lt;"&amp;('Start Here'!$B$8+168)))&gt;0,ROUND(MAX(_xlfn.MAXIFS('Start Here'!$B$19:$B$58,'Start Here'!$A$19:$A$58,$A69),_xlfn.MAXIFS(Sets!$C$2:$C$1540,Sets!$B$2:$B$1540,$A69),_xlfn.MAXIFS(Log!$C$2:$C$1001,Log!$B$2:$B$1001,$A69,Log!$A$2:$A$1001,"&lt;"&amp;('Start Here'!$B$8+168))),1),"")</f>
        <v/>
      </c>
      <c r="H69" s="64">
        <f>IF(MAX(_xlfn.MAXIFS('Start Here'!$B$19:$B$58,'Start Here'!$A$19:$A$58,$A69),_xlfn.MAXIFS(Sets!$C$2:$C$2297,Sets!$B$2:$B$2297,$A69),_xlfn.MAXIFS(Log!$C$2:$C$1001,Log!$B$2:$B$1001,$A69,Log!$A$2:$A$1001,"&lt;"&amp;('Start Here'!$B$8+252)))&gt;0,ROUND(MAX(_xlfn.MAXIFS('Start Here'!$B$19:$B$58,'Start Here'!$A$19:$A$58,$A69),_xlfn.MAXIFS(Sets!$C$2:$C$2297,Sets!$B$2:$B$2297,$A69),_xlfn.MAXIFS(Log!$C$2:$C$1001,Log!$B$2:$B$1001,$A69,Log!$A$2:$A$1001,"&lt;"&amp;('Start Here'!$B$8+252))),1),"")</f>
        <v/>
      </c>
      <c r="I69" s="64">
        <f>IF(MAX(_xlfn.MAXIFS('Start Here'!$B$19:$B$58,'Start Here'!$A$19:$A$58,$A69),_xlfn.MAXIFS(Sets!$C$2:$C$3054,Sets!$B$2:$B$3054,$A69),_xlfn.MAXIFS(Log!$C$2:$C$1001,Log!$B$2:$B$1001,$A69,Log!$A$2:$A$1001,"&lt;"&amp;('Start Here'!$B$8+336)))&gt;0,ROUND(MAX(_xlfn.MAXIFS('Start Here'!$B$19:$B$58,'Start Here'!$A$19:$A$58,$A69),_xlfn.MAXIFS(Sets!$C$2:$C$3054,Sets!$B$2:$B$3054,$A69),_xlfn.MAXIFS(Log!$C$2:$C$1001,Log!$B$2:$B$1001,$A69,Log!$A$2:$A$1001,"&lt;"&amp;('Start Here'!$B$8+336))),1),"")</f>
        <v/>
      </c>
    </row>
    <row r="70">
      <c r="A70" s="24" t="inlineStr">
        <is>
          <t>Broad Jump</t>
        </is>
      </c>
      <c r="B70" t="inlineStr">
        <is>
          <t>plyo</t>
        </is>
      </c>
      <c r="E70" s="64">
        <f>IF(MAX(_xlfn.MAXIFS('Start Here'!$B$19:$B$58,'Start Here'!$A$19:$A$58,$A70),_xlfn.MAXIFS(Sets!$C$2:$C$26,Sets!$B$2:$B$26,$A70),_xlfn.MAXIFS(Log!$C$2:$C$1001,Log!$B$2:$B$1001,$A70,Log!$A$2:$A$1001,"&lt;"&amp;('Start Here'!$B$8+0)))&gt;0,ROUND(MAX(_xlfn.MAXIFS('Start Here'!$B$19:$B$58,'Start Here'!$A$19:$A$58,$A70),_xlfn.MAXIFS(Sets!$C$2:$C$26,Sets!$B$2:$B$26,$A70),_xlfn.MAXIFS(Log!$C$2:$C$1001,Log!$B$2:$B$1001,$A70,Log!$A$2:$A$1001,"&lt;"&amp;('Start Here'!$B$8+0))),1),"")</f>
        <v/>
      </c>
      <c r="F70" s="64">
        <f>IF(MAX(_xlfn.MAXIFS('Start Here'!$B$19:$B$58,'Start Here'!$A$19:$A$58,$A70),_xlfn.MAXIFS(Sets!$C$2:$C$783,Sets!$B$2:$B$783,$A70),_xlfn.MAXIFS(Log!$C$2:$C$1001,Log!$B$2:$B$1001,$A70,Log!$A$2:$A$1001,"&lt;"&amp;('Start Here'!$B$8+84)))&gt;0,ROUND(MAX(_xlfn.MAXIFS('Start Here'!$B$19:$B$58,'Start Here'!$A$19:$A$58,$A70),_xlfn.MAXIFS(Sets!$C$2:$C$783,Sets!$B$2:$B$783,$A70),_xlfn.MAXIFS(Log!$C$2:$C$1001,Log!$B$2:$B$1001,$A70,Log!$A$2:$A$1001,"&lt;"&amp;('Start Here'!$B$8+84))),1),"")</f>
        <v/>
      </c>
      <c r="G70" s="64">
        <f>IF(MAX(_xlfn.MAXIFS('Start Here'!$B$19:$B$58,'Start Here'!$A$19:$A$58,$A70),_xlfn.MAXIFS(Sets!$C$2:$C$1540,Sets!$B$2:$B$1540,$A70),_xlfn.MAXIFS(Log!$C$2:$C$1001,Log!$B$2:$B$1001,$A70,Log!$A$2:$A$1001,"&lt;"&amp;('Start Here'!$B$8+168)))&gt;0,ROUND(MAX(_xlfn.MAXIFS('Start Here'!$B$19:$B$58,'Start Here'!$A$19:$A$58,$A70),_xlfn.MAXIFS(Sets!$C$2:$C$1540,Sets!$B$2:$B$1540,$A70),_xlfn.MAXIFS(Log!$C$2:$C$1001,Log!$B$2:$B$1001,$A70,Log!$A$2:$A$1001,"&lt;"&amp;('Start Here'!$B$8+168))),1),"")</f>
        <v/>
      </c>
      <c r="H70" s="64">
        <f>IF(MAX(_xlfn.MAXIFS('Start Here'!$B$19:$B$58,'Start Here'!$A$19:$A$58,$A70),_xlfn.MAXIFS(Sets!$C$2:$C$2297,Sets!$B$2:$B$2297,$A70),_xlfn.MAXIFS(Log!$C$2:$C$1001,Log!$B$2:$B$1001,$A70,Log!$A$2:$A$1001,"&lt;"&amp;('Start Here'!$B$8+252)))&gt;0,ROUND(MAX(_xlfn.MAXIFS('Start Here'!$B$19:$B$58,'Start Here'!$A$19:$A$58,$A70),_xlfn.MAXIFS(Sets!$C$2:$C$2297,Sets!$B$2:$B$2297,$A70),_xlfn.MAXIFS(Log!$C$2:$C$1001,Log!$B$2:$B$1001,$A70,Log!$A$2:$A$1001,"&lt;"&amp;('Start Here'!$B$8+252))),1),"")</f>
        <v/>
      </c>
      <c r="I70" s="64">
        <f>IF(MAX(_xlfn.MAXIFS('Start Here'!$B$19:$B$58,'Start Here'!$A$19:$A$58,$A70),_xlfn.MAXIFS(Sets!$C$2:$C$3054,Sets!$B$2:$B$3054,$A70),_xlfn.MAXIFS(Log!$C$2:$C$1001,Log!$B$2:$B$1001,$A70,Log!$A$2:$A$1001,"&lt;"&amp;('Start Here'!$B$8+336)))&gt;0,ROUND(MAX(_xlfn.MAXIFS('Start Here'!$B$19:$B$58,'Start Here'!$A$19:$A$58,$A70),_xlfn.MAXIFS(Sets!$C$2:$C$3054,Sets!$B$2:$B$3054,$A70),_xlfn.MAXIFS(Log!$C$2:$C$1001,Log!$B$2:$B$1001,$A70,Log!$A$2:$A$1001,"&lt;"&amp;('Start Here'!$B$8+336))),1),"")</f>
        <v/>
      </c>
    </row>
    <row r="71">
      <c r="A71" s="24" t="inlineStr">
        <is>
          <t>Vertical Jump</t>
        </is>
      </c>
      <c r="B71" t="inlineStr">
        <is>
          <t>plyo</t>
        </is>
      </c>
      <c r="E71" s="64">
        <f>IF(MAX(_xlfn.MAXIFS('Start Here'!$B$19:$B$58,'Start Here'!$A$19:$A$58,$A71),_xlfn.MAXIFS(Sets!$C$2:$C$26,Sets!$B$2:$B$26,$A71),_xlfn.MAXIFS(Log!$C$2:$C$1001,Log!$B$2:$B$1001,$A71,Log!$A$2:$A$1001,"&lt;"&amp;('Start Here'!$B$8+0)))&gt;0,ROUND(MAX(_xlfn.MAXIFS('Start Here'!$B$19:$B$58,'Start Here'!$A$19:$A$58,$A71),_xlfn.MAXIFS(Sets!$C$2:$C$26,Sets!$B$2:$B$26,$A71),_xlfn.MAXIFS(Log!$C$2:$C$1001,Log!$B$2:$B$1001,$A71,Log!$A$2:$A$1001,"&lt;"&amp;('Start Here'!$B$8+0))),1),"")</f>
        <v/>
      </c>
      <c r="F71" s="64">
        <f>IF(MAX(_xlfn.MAXIFS('Start Here'!$B$19:$B$58,'Start Here'!$A$19:$A$58,$A71),_xlfn.MAXIFS(Sets!$C$2:$C$783,Sets!$B$2:$B$783,$A71),_xlfn.MAXIFS(Log!$C$2:$C$1001,Log!$B$2:$B$1001,$A71,Log!$A$2:$A$1001,"&lt;"&amp;('Start Here'!$B$8+84)))&gt;0,ROUND(MAX(_xlfn.MAXIFS('Start Here'!$B$19:$B$58,'Start Here'!$A$19:$A$58,$A71),_xlfn.MAXIFS(Sets!$C$2:$C$783,Sets!$B$2:$B$783,$A71),_xlfn.MAXIFS(Log!$C$2:$C$1001,Log!$B$2:$B$1001,$A71,Log!$A$2:$A$1001,"&lt;"&amp;('Start Here'!$B$8+84))),1),"")</f>
        <v/>
      </c>
      <c r="G71" s="64">
        <f>IF(MAX(_xlfn.MAXIFS('Start Here'!$B$19:$B$58,'Start Here'!$A$19:$A$58,$A71),_xlfn.MAXIFS(Sets!$C$2:$C$1540,Sets!$B$2:$B$1540,$A71),_xlfn.MAXIFS(Log!$C$2:$C$1001,Log!$B$2:$B$1001,$A71,Log!$A$2:$A$1001,"&lt;"&amp;('Start Here'!$B$8+168)))&gt;0,ROUND(MAX(_xlfn.MAXIFS('Start Here'!$B$19:$B$58,'Start Here'!$A$19:$A$58,$A71),_xlfn.MAXIFS(Sets!$C$2:$C$1540,Sets!$B$2:$B$1540,$A71),_xlfn.MAXIFS(Log!$C$2:$C$1001,Log!$B$2:$B$1001,$A71,Log!$A$2:$A$1001,"&lt;"&amp;('Start Here'!$B$8+168))),1),"")</f>
        <v/>
      </c>
      <c r="H71" s="64">
        <f>IF(MAX(_xlfn.MAXIFS('Start Here'!$B$19:$B$58,'Start Here'!$A$19:$A$58,$A71),_xlfn.MAXIFS(Sets!$C$2:$C$2297,Sets!$B$2:$B$2297,$A71),_xlfn.MAXIFS(Log!$C$2:$C$1001,Log!$B$2:$B$1001,$A71,Log!$A$2:$A$1001,"&lt;"&amp;('Start Here'!$B$8+252)))&gt;0,ROUND(MAX(_xlfn.MAXIFS('Start Here'!$B$19:$B$58,'Start Here'!$A$19:$A$58,$A71),_xlfn.MAXIFS(Sets!$C$2:$C$2297,Sets!$B$2:$B$2297,$A71),_xlfn.MAXIFS(Log!$C$2:$C$1001,Log!$B$2:$B$1001,$A71,Log!$A$2:$A$1001,"&lt;"&amp;('Start Here'!$B$8+252))),1),"")</f>
        <v/>
      </c>
      <c r="I71" s="64">
        <f>IF(MAX(_xlfn.MAXIFS('Start Here'!$B$19:$B$58,'Start Here'!$A$19:$A$58,$A71),_xlfn.MAXIFS(Sets!$C$2:$C$3054,Sets!$B$2:$B$3054,$A71),_xlfn.MAXIFS(Log!$C$2:$C$1001,Log!$B$2:$B$1001,$A71,Log!$A$2:$A$1001,"&lt;"&amp;('Start Here'!$B$8+336)))&gt;0,ROUND(MAX(_xlfn.MAXIFS('Start Here'!$B$19:$B$58,'Start Here'!$A$19:$A$58,$A71),_xlfn.MAXIFS(Sets!$C$2:$C$3054,Sets!$B$2:$B$3054,$A71),_xlfn.MAXIFS(Log!$C$2:$C$1001,Log!$B$2:$B$1001,$A71,Log!$A$2:$A$1001,"&lt;"&amp;('Start Here'!$B$8+336))),1),"")</f>
        <v/>
      </c>
    </row>
    <row r="72">
      <c r="A72" s="24" t="inlineStr">
        <is>
          <t>Depth Jump</t>
        </is>
      </c>
      <c r="B72" t="inlineStr">
        <is>
          <t>plyo</t>
        </is>
      </c>
      <c r="E72" s="64">
        <f>IF(MAX(_xlfn.MAXIFS('Start Here'!$B$19:$B$58,'Start Here'!$A$19:$A$58,$A72),_xlfn.MAXIFS(Sets!$C$2:$C$26,Sets!$B$2:$B$26,$A72),_xlfn.MAXIFS(Log!$C$2:$C$1001,Log!$B$2:$B$1001,$A72,Log!$A$2:$A$1001,"&lt;"&amp;('Start Here'!$B$8+0)))&gt;0,ROUND(MAX(_xlfn.MAXIFS('Start Here'!$B$19:$B$58,'Start Here'!$A$19:$A$58,$A72),_xlfn.MAXIFS(Sets!$C$2:$C$26,Sets!$B$2:$B$26,$A72),_xlfn.MAXIFS(Log!$C$2:$C$1001,Log!$B$2:$B$1001,$A72,Log!$A$2:$A$1001,"&lt;"&amp;('Start Here'!$B$8+0))),1),"")</f>
        <v/>
      </c>
      <c r="F72" s="64">
        <f>IF(MAX(_xlfn.MAXIFS('Start Here'!$B$19:$B$58,'Start Here'!$A$19:$A$58,$A72),_xlfn.MAXIFS(Sets!$C$2:$C$783,Sets!$B$2:$B$783,$A72),_xlfn.MAXIFS(Log!$C$2:$C$1001,Log!$B$2:$B$1001,$A72,Log!$A$2:$A$1001,"&lt;"&amp;('Start Here'!$B$8+84)))&gt;0,ROUND(MAX(_xlfn.MAXIFS('Start Here'!$B$19:$B$58,'Start Here'!$A$19:$A$58,$A72),_xlfn.MAXIFS(Sets!$C$2:$C$783,Sets!$B$2:$B$783,$A72),_xlfn.MAXIFS(Log!$C$2:$C$1001,Log!$B$2:$B$1001,$A72,Log!$A$2:$A$1001,"&lt;"&amp;('Start Here'!$B$8+84))),1),"")</f>
        <v/>
      </c>
      <c r="G72" s="64">
        <f>IF(MAX(_xlfn.MAXIFS('Start Here'!$B$19:$B$58,'Start Here'!$A$19:$A$58,$A72),_xlfn.MAXIFS(Sets!$C$2:$C$1540,Sets!$B$2:$B$1540,$A72),_xlfn.MAXIFS(Log!$C$2:$C$1001,Log!$B$2:$B$1001,$A72,Log!$A$2:$A$1001,"&lt;"&amp;('Start Here'!$B$8+168)))&gt;0,ROUND(MAX(_xlfn.MAXIFS('Start Here'!$B$19:$B$58,'Start Here'!$A$19:$A$58,$A72),_xlfn.MAXIFS(Sets!$C$2:$C$1540,Sets!$B$2:$B$1540,$A72),_xlfn.MAXIFS(Log!$C$2:$C$1001,Log!$B$2:$B$1001,$A72,Log!$A$2:$A$1001,"&lt;"&amp;('Start Here'!$B$8+168))),1),"")</f>
        <v/>
      </c>
      <c r="H72" s="64">
        <f>IF(MAX(_xlfn.MAXIFS('Start Here'!$B$19:$B$58,'Start Here'!$A$19:$A$58,$A72),_xlfn.MAXIFS(Sets!$C$2:$C$2297,Sets!$B$2:$B$2297,$A72),_xlfn.MAXIFS(Log!$C$2:$C$1001,Log!$B$2:$B$1001,$A72,Log!$A$2:$A$1001,"&lt;"&amp;('Start Here'!$B$8+252)))&gt;0,ROUND(MAX(_xlfn.MAXIFS('Start Here'!$B$19:$B$58,'Start Here'!$A$19:$A$58,$A72),_xlfn.MAXIFS(Sets!$C$2:$C$2297,Sets!$B$2:$B$2297,$A72),_xlfn.MAXIFS(Log!$C$2:$C$1001,Log!$B$2:$B$1001,$A72,Log!$A$2:$A$1001,"&lt;"&amp;('Start Here'!$B$8+252))),1),"")</f>
        <v/>
      </c>
      <c r="I72" s="64">
        <f>IF(MAX(_xlfn.MAXIFS('Start Here'!$B$19:$B$58,'Start Here'!$A$19:$A$58,$A72),_xlfn.MAXIFS(Sets!$C$2:$C$3054,Sets!$B$2:$B$3054,$A72),_xlfn.MAXIFS(Log!$C$2:$C$1001,Log!$B$2:$B$1001,$A72,Log!$A$2:$A$1001,"&lt;"&amp;('Start Here'!$B$8+336)))&gt;0,ROUND(MAX(_xlfn.MAXIFS('Start Here'!$B$19:$B$58,'Start Here'!$A$19:$A$58,$A72),_xlfn.MAXIFS(Sets!$C$2:$C$3054,Sets!$B$2:$B$3054,$A72),_xlfn.MAXIFS(Log!$C$2:$C$1001,Log!$B$2:$B$1001,$A72,Log!$A$2:$A$1001,"&lt;"&amp;('Start Here'!$B$8+336))),1),"")</f>
        <v/>
      </c>
    </row>
    <row r="73">
      <c r="A73" s="24" t="inlineStr">
        <is>
          <t>Hurdle Hop</t>
        </is>
      </c>
      <c r="B73" t="inlineStr">
        <is>
          <t>plyo</t>
        </is>
      </c>
      <c r="E73" s="64">
        <f>IF(MAX(_xlfn.MAXIFS('Start Here'!$B$19:$B$58,'Start Here'!$A$19:$A$58,$A73),_xlfn.MAXIFS(Sets!$C$2:$C$26,Sets!$B$2:$B$26,$A73),_xlfn.MAXIFS(Log!$C$2:$C$1001,Log!$B$2:$B$1001,$A73,Log!$A$2:$A$1001,"&lt;"&amp;('Start Here'!$B$8+0)))&gt;0,ROUND(MAX(_xlfn.MAXIFS('Start Here'!$B$19:$B$58,'Start Here'!$A$19:$A$58,$A73),_xlfn.MAXIFS(Sets!$C$2:$C$26,Sets!$B$2:$B$26,$A73),_xlfn.MAXIFS(Log!$C$2:$C$1001,Log!$B$2:$B$1001,$A73,Log!$A$2:$A$1001,"&lt;"&amp;('Start Here'!$B$8+0))),1),"")</f>
        <v/>
      </c>
      <c r="F73" s="64">
        <f>IF(MAX(_xlfn.MAXIFS('Start Here'!$B$19:$B$58,'Start Here'!$A$19:$A$58,$A73),_xlfn.MAXIFS(Sets!$C$2:$C$783,Sets!$B$2:$B$783,$A73),_xlfn.MAXIFS(Log!$C$2:$C$1001,Log!$B$2:$B$1001,$A73,Log!$A$2:$A$1001,"&lt;"&amp;('Start Here'!$B$8+84)))&gt;0,ROUND(MAX(_xlfn.MAXIFS('Start Here'!$B$19:$B$58,'Start Here'!$A$19:$A$58,$A73),_xlfn.MAXIFS(Sets!$C$2:$C$783,Sets!$B$2:$B$783,$A73),_xlfn.MAXIFS(Log!$C$2:$C$1001,Log!$B$2:$B$1001,$A73,Log!$A$2:$A$1001,"&lt;"&amp;('Start Here'!$B$8+84))),1),"")</f>
        <v/>
      </c>
      <c r="G73" s="64">
        <f>IF(MAX(_xlfn.MAXIFS('Start Here'!$B$19:$B$58,'Start Here'!$A$19:$A$58,$A73),_xlfn.MAXIFS(Sets!$C$2:$C$1540,Sets!$B$2:$B$1540,$A73),_xlfn.MAXIFS(Log!$C$2:$C$1001,Log!$B$2:$B$1001,$A73,Log!$A$2:$A$1001,"&lt;"&amp;('Start Here'!$B$8+168)))&gt;0,ROUND(MAX(_xlfn.MAXIFS('Start Here'!$B$19:$B$58,'Start Here'!$A$19:$A$58,$A73),_xlfn.MAXIFS(Sets!$C$2:$C$1540,Sets!$B$2:$B$1540,$A73),_xlfn.MAXIFS(Log!$C$2:$C$1001,Log!$B$2:$B$1001,$A73,Log!$A$2:$A$1001,"&lt;"&amp;('Start Here'!$B$8+168))),1),"")</f>
        <v/>
      </c>
      <c r="H73" s="64">
        <f>IF(MAX(_xlfn.MAXIFS('Start Here'!$B$19:$B$58,'Start Here'!$A$19:$A$58,$A73),_xlfn.MAXIFS(Sets!$C$2:$C$2297,Sets!$B$2:$B$2297,$A73),_xlfn.MAXIFS(Log!$C$2:$C$1001,Log!$B$2:$B$1001,$A73,Log!$A$2:$A$1001,"&lt;"&amp;('Start Here'!$B$8+252)))&gt;0,ROUND(MAX(_xlfn.MAXIFS('Start Here'!$B$19:$B$58,'Start Here'!$A$19:$A$58,$A73),_xlfn.MAXIFS(Sets!$C$2:$C$2297,Sets!$B$2:$B$2297,$A73),_xlfn.MAXIFS(Log!$C$2:$C$1001,Log!$B$2:$B$1001,$A73,Log!$A$2:$A$1001,"&lt;"&amp;('Start Here'!$B$8+252))),1),"")</f>
        <v/>
      </c>
      <c r="I73" s="64">
        <f>IF(MAX(_xlfn.MAXIFS('Start Here'!$B$19:$B$58,'Start Here'!$A$19:$A$58,$A73),_xlfn.MAXIFS(Sets!$C$2:$C$3054,Sets!$B$2:$B$3054,$A73),_xlfn.MAXIFS(Log!$C$2:$C$1001,Log!$B$2:$B$1001,$A73,Log!$A$2:$A$1001,"&lt;"&amp;('Start Here'!$B$8+336)))&gt;0,ROUND(MAX(_xlfn.MAXIFS('Start Here'!$B$19:$B$58,'Start Here'!$A$19:$A$58,$A73),_xlfn.MAXIFS(Sets!$C$2:$C$3054,Sets!$B$2:$B$3054,$A73),_xlfn.MAXIFS(Log!$C$2:$C$1001,Log!$B$2:$B$1001,$A73,Log!$A$2:$A$1001,"&lt;"&amp;('Start Here'!$B$8+336))),1),"")</f>
        <v/>
      </c>
    </row>
    <row r="74">
      <c r="A74" s="24" t="inlineStr">
        <is>
          <t>Lateral Bound</t>
        </is>
      </c>
      <c r="B74" t="inlineStr">
        <is>
          <t>plyo</t>
        </is>
      </c>
      <c r="E74" s="64">
        <f>IF(MAX(_xlfn.MAXIFS('Start Here'!$B$19:$B$58,'Start Here'!$A$19:$A$58,$A74),_xlfn.MAXIFS(Sets!$C$2:$C$26,Sets!$B$2:$B$26,$A74),_xlfn.MAXIFS(Log!$C$2:$C$1001,Log!$B$2:$B$1001,$A74,Log!$A$2:$A$1001,"&lt;"&amp;('Start Here'!$B$8+0)))&gt;0,ROUND(MAX(_xlfn.MAXIFS('Start Here'!$B$19:$B$58,'Start Here'!$A$19:$A$58,$A74),_xlfn.MAXIFS(Sets!$C$2:$C$26,Sets!$B$2:$B$26,$A74),_xlfn.MAXIFS(Log!$C$2:$C$1001,Log!$B$2:$B$1001,$A74,Log!$A$2:$A$1001,"&lt;"&amp;('Start Here'!$B$8+0))),1),"")</f>
        <v/>
      </c>
      <c r="F74" s="64">
        <f>IF(MAX(_xlfn.MAXIFS('Start Here'!$B$19:$B$58,'Start Here'!$A$19:$A$58,$A74),_xlfn.MAXIFS(Sets!$C$2:$C$783,Sets!$B$2:$B$783,$A74),_xlfn.MAXIFS(Log!$C$2:$C$1001,Log!$B$2:$B$1001,$A74,Log!$A$2:$A$1001,"&lt;"&amp;('Start Here'!$B$8+84)))&gt;0,ROUND(MAX(_xlfn.MAXIFS('Start Here'!$B$19:$B$58,'Start Here'!$A$19:$A$58,$A74),_xlfn.MAXIFS(Sets!$C$2:$C$783,Sets!$B$2:$B$783,$A74),_xlfn.MAXIFS(Log!$C$2:$C$1001,Log!$B$2:$B$1001,$A74,Log!$A$2:$A$1001,"&lt;"&amp;('Start Here'!$B$8+84))),1),"")</f>
        <v/>
      </c>
      <c r="G74" s="64">
        <f>IF(MAX(_xlfn.MAXIFS('Start Here'!$B$19:$B$58,'Start Here'!$A$19:$A$58,$A74),_xlfn.MAXIFS(Sets!$C$2:$C$1540,Sets!$B$2:$B$1540,$A74),_xlfn.MAXIFS(Log!$C$2:$C$1001,Log!$B$2:$B$1001,$A74,Log!$A$2:$A$1001,"&lt;"&amp;('Start Here'!$B$8+168)))&gt;0,ROUND(MAX(_xlfn.MAXIFS('Start Here'!$B$19:$B$58,'Start Here'!$A$19:$A$58,$A74),_xlfn.MAXIFS(Sets!$C$2:$C$1540,Sets!$B$2:$B$1540,$A74),_xlfn.MAXIFS(Log!$C$2:$C$1001,Log!$B$2:$B$1001,$A74,Log!$A$2:$A$1001,"&lt;"&amp;('Start Here'!$B$8+168))),1),"")</f>
        <v/>
      </c>
      <c r="H74" s="64">
        <f>IF(MAX(_xlfn.MAXIFS('Start Here'!$B$19:$B$58,'Start Here'!$A$19:$A$58,$A74),_xlfn.MAXIFS(Sets!$C$2:$C$2297,Sets!$B$2:$B$2297,$A74),_xlfn.MAXIFS(Log!$C$2:$C$1001,Log!$B$2:$B$1001,$A74,Log!$A$2:$A$1001,"&lt;"&amp;('Start Here'!$B$8+252)))&gt;0,ROUND(MAX(_xlfn.MAXIFS('Start Here'!$B$19:$B$58,'Start Here'!$A$19:$A$58,$A74),_xlfn.MAXIFS(Sets!$C$2:$C$2297,Sets!$B$2:$B$2297,$A74),_xlfn.MAXIFS(Log!$C$2:$C$1001,Log!$B$2:$B$1001,$A74,Log!$A$2:$A$1001,"&lt;"&amp;('Start Here'!$B$8+252))),1),"")</f>
        <v/>
      </c>
      <c r="I74" s="64">
        <f>IF(MAX(_xlfn.MAXIFS('Start Here'!$B$19:$B$58,'Start Here'!$A$19:$A$58,$A74),_xlfn.MAXIFS(Sets!$C$2:$C$3054,Sets!$B$2:$B$3054,$A74),_xlfn.MAXIFS(Log!$C$2:$C$1001,Log!$B$2:$B$1001,$A74,Log!$A$2:$A$1001,"&lt;"&amp;('Start Here'!$B$8+336)))&gt;0,ROUND(MAX(_xlfn.MAXIFS('Start Here'!$B$19:$B$58,'Start Here'!$A$19:$A$58,$A74),_xlfn.MAXIFS(Sets!$C$2:$C$3054,Sets!$B$2:$B$3054,$A74),_xlfn.MAXIFS(Log!$C$2:$C$1001,Log!$B$2:$B$1001,$A74,Log!$A$2:$A$1001,"&lt;"&amp;('Start Here'!$B$8+336))),1),"")</f>
        <v/>
      </c>
    </row>
    <row r="75">
      <c r="A75" s="24" t="inlineStr">
        <is>
          <t>Plyo Push-up</t>
        </is>
      </c>
      <c r="B75" t="inlineStr">
        <is>
          <t>plyo</t>
        </is>
      </c>
      <c r="E75" s="64">
        <f>IF(MAX(_xlfn.MAXIFS('Start Here'!$B$19:$B$58,'Start Here'!$A$19:$A$58,$A75),_xlfn.MAXIFS(Sets!$C$2:$C$26,Sets!$B$2:$B$26,$A75),_xlfn.MAXIFS(Log!$C$2:$C$1001,Log!$B$2:$B$1001,$A75,Log!$A$2:$A$1001,"&lt;"&amp;('Start Here'!$B$8+0)))&gt;0,ROUND(MAX(_xlfn.MAXIFS('Start Here'!$B$19:$B$58,'Start Here'!$A$19:$A$58,$A75),_xlfn.MAXIFS(Sets!$C$2:$C$26,Sets!$B$2:$B$26,$A75),_xlfn.MAXIFS(Log!$C$2:$C$1001,Log!$B$2:$B$1001,$A75,Log!$A$2:$A$1001,"&lt;"&amp;('Start Here'!$B$8+0))),1),"")</f>
        <v/>
      </c>
      <c r="F75" s="64">
        <f>IF(MAX(_xlfn.MAXIFS('Start Here'!$B$19:$B$58,'Start Here'!$A$19:$A$58,$A75),_xlfn.MAXIFS(Sets!$C$2:$C$783,Sets!$B$2:$B$783,$A75),_xlfn.MAXIFS(Log!$C$2:$C$1001,Log!$B$2:$B$1001,$A75,Log!$A$2:$A$1001,"&lt;"&amp;('Start Here'!$B$8+84)))&gt;0,ROUND(MAX(_xlfn.MAXIFS('Start Here'!$B$19:$B$58,'Start Here'!$A$19:$A$58,$A75),_xlfn.MAXIFS(Sets!$C$2:$C$783,Sets!$B$2:$B$783,$A75),_xlfn.MAXIFS(Log!$C$2:$C$1001,Log!$B$2:$B$1001,$A75,Log!$A$2:$A$1001,"&lt;"&amp;('Start Here'!$B$8+84))),1),"")</f>
        <v/>
      </c>
      <c r="G75" s="64">
        <f>IF(MAX(_xlfn.MAXIFS('Start Here'!$B$19:$B$58,'Start Here'!$A$19:$A$58,$A75),_xlfn.MAXIFS(Sets!$C$2:$C$1540,Sets!$B$2:$B$1540,$A75),_xlfn.MAXIFS(Log!$C$2:$C$1001,Log!$B$2:$B$1001,$A75,Log!$A$2:$A$1001,"&lt;"&amp;('Start Here'!$B$8+168)))&gt;0,ROUND(MAX(_xlfn.MAXIFS('Start Here'!$B$19:$B$58,'Start Here'!$A$19:$A$58,$A75),_xlfn.MAXIFS(Sets!$C$2:$C$1540,Sets!$B$2:$B$1540,$A75),_xlfn.MAXIFS(Log!$C$2:$C$1001,Log!$B$2:$B$1001,$A75,Log!$A$2:$A$1001,"&lt;"&amp;('Start Here'!$B$8+168))),1),"")</f>
        <v/>
      </c>
      <c r="H75" s="64">
        <f>IF(MAX(_xlfn.MAXIFS('Start Here'!$B$19:$B$58,'Start Here'!$A$19:$A$58,$A75),_xlfn.MAXIFS(Sets!$C$2:$C$2297,Sets!$B$2:$B$2297,$A75),_xlfn.MAXIFS(Log!$C$2:$C$1001,Log!$B$2:$B$1001,$A75,Log!$A$2:$A$1001,"&lt;"&amp;('Start Here'!$B$8+252)))&gt;0,ROUND(MAX(_xlfn.MAXIFS('Start Here'!$B$19:$B$58,'Start Here'!$A$19:$A$58,$A75),_xlfn.MAXIFS(Sets!$C$2:$C$2297,Sets!$B$2:$B$2297,$A75),_xlfn.MAXIFS(Log!$C$2:$C$1001,Log!$B$2:$B$1001,$A75,Log!$A$2:$A$1001,"&lt;"&amp;('Start Here'!$B$8+252))),1),"")</f>
        <v/>
      </c>
      <c r="I75" s="64">
        <f>IF(MAX(_xlfn.MAXIFS('Start Here'!$B$19:$B$58,'Start Here'!$A$19:$A$58,$A75),_xlfn.MAXIFS(Sets!$C$2:$C$3054,Sets!$B$2:$B$3054,$A75),_xlfn.MAXIFS(Log!$C$2:$C$1001,Log!$B$2:$B$1001,$A75,Log!$A$2:$A$1001,"&lt;"&amp;('Start Here'!$B$8+336)))&gt;0,ROUND(MAX(_xlfn.MAXIFS('Start Here'!$B$19:$B$58,'Start Here'!$A$19:$A$58,$A75),_xlfn.MAXIFS(Sets!$C$2:$C$3054,Sets!$B$2:$B$3054,$A75),_xlfn.MAXIFS(Log!$C$2:$C$1001,Log!$B$2:$B$1001,$A75,Log!$A$2:$A$1001,"&lt;"&amp;('Start Here'!$B$8+336))),1),"")</f>
        <v/>
      </c>
    </row>
    <row r="76">
      <c r="A76" s="24" t="inlineStr">
        <is>
          <t>Seated Box Jump</t>
        </is>
      </c>
      <c r="B76" t="inlineStr">
        <is>
          <t>plyo</t>
        </is>
      </c>
      <c r="E76" s="64">
        <f>IF(MAX(_xlfn.MAXIFS('Start Here'!$B$19:$B$58,'Start Here'!$A$19:$A$58,$A76),_xlfn.MAXIFS(Sets!$C$2:$C$26,Sets!$B$2:$B$26,$A76),_xlfn.MAXIFS(Log!$C$2:$C$1001,Log!$B$2:$B$1001,$A76,Log!$A$2:$A$1001,"&lt;"&amp;('Start Here'!$B$8+0)))&gt;0,ROUND(MAX(_xlfn.MAXIFS('Start Here'!$B$19:$B$58,'Start Here'!$A$19:$A$58,$A76),_xlfn.MAXIFS(Sets!$C$2:$C$26,Sets!$B$2:$B$26,$A76),_xlfn.MAXIFS(Log!$C$2:$C$1001,Log!$B$2:$B$1001,$A76,Log!$A$2:$A$1001,"&lt;"&amp;('Start Here'!$B$8+0))),1),"")</f>
        <v/>
      </c>
      <c r="F76" s="64">
        <f>IF(MAX(_xlfn.MAXIFS('Start Here'!$B$19:$B$58,'Start Here'!$A$19:$A$58,$A76),_xlfn.MAXIFS(Sets!$C$2:$C$783,Sets!$B$2:$B$783,$A76),_xlfn.MAXIFS(Log!$C$2:$C$1001,Log!$B$2:$B$1001,$A76,Log!$A$2:$A$1001,"&lt;"&amp;('Start Here'!$B$8+84)))&gt;0,ROUND(MAX(_xlfn.MAXIFS('Start Here'!$B$19:$B$58,'Start Here'!$A$19:$A$58,$A76),_xlfn.MAXIFS(Sets!$C$2:$C$783,Sets!$B$2:$B$783,$A76),_xlfn.MAXIFS(Log!$C$2:$C$1001,Log!$B$2:$B$1001,$A76,Log!$A$2:$A$1001,"&lt;"&amp;('Start Here'!$B$8+84))),1),"")</f>
        <v/>
      </c>
      <c r="G76" s="64">
        <f>IF(MAX(_xlfn.MAXIFS('Start Here'!$B$19:$B$58,'Start Here'!$A$19:$A$58,$A76),_xlfn.MAXIFS(Sets!$C$2:$C$1540,Sets!$B$2:$B$1540,$A76),_xlfn.MAXIFS(Log!$C$2:$C$1001,Log!$B$2:$B$1001,$A76,Log!$A$2:$A$1001,"&lt;"&amp;('Start Here'!$B$8+168)))&gt;0,ROUND(MAX(_xlfn.MAXIFS('Start Here'!$B$19:$B$58,'Start Here'!$A$19:$A$58,$A76),_xlfn.MAXIFS(Sets!$C$2:$C$1540,Sets!$B$2:$B$1540,$A76),_xlfn.MAXIFS(Log!$C$2:$C$1001,Log!$B$2:$B$1001,$A76,Log!$A$2:$A$1001,"&lt;"&amp;('Start Here'!$B$8+168))),1),"")</f>
        <v/>
      </c>
      <c r="H76" s="64">
        <f>IF(MAX(_xlfn.MAXIFS('Start Here'!$B$19:$B$58,'Start Here'!$A$19:$A$58,$A76),_xlfn.MAXIFS(Sets!$C$2:$C$2297,Sets!$B$2:$B$2297,$A76),_xlfn.MAXIFS(Log!$C$2:$C$1001,Log!$B$2:$B$1001,$A76,Log!$A$2:$A$1001,"&lt;"&amp;('Start Here'!$B$8+252)))&gt;0,ROUND(MAX(_xlfn.MAXIFS('Start Here'!$B$19:$B$58,'Start Here'!$A$19:$A$58,$A76),_xlfn.MAXIFS(Sets!$C$2:$C$2297,Sets!$B$2:$B$2297,$A76),_xlfn.MAXIFS(Log!$C$2:$C$1001,Log!$B$2:$B$1001,$A76,Log!$A$2:$A$1001,"&lt;"&amp;('Start Here'!$B$8+252))),1),"")</f>
        <v/>
      </c>
      <c r="I76" s="64">
        <f>IF(MAX(_xlfn.MAXIFS('Start Here'!$B$19:$B$58,'Start Here'!$A$19:$A$58,$A76),_xlfn.MAXIFS(Sets!$C$2:$C$3054,Sets!$B$2:$B$3054,$A76),_xlfn.MAXIFS(Log!$C$2:$C$1001,Log!$B$2:$B$1001,$A76,Log!$A$2:$A$1001,"&lt;"&amp;('Start Here'!$B$8+336)))&gt;0,ROUND(MAX(_xlfn.MAXIFS('Start Here'!$B$19:$B$58,'Start Here'!$A$19:$A$58,$A76),_xlfn.MAXIFS(Sets!$C$2:$C$3054,Sets!$B$2:$B$3054,$A76),_xlfn.MAXIFS(Log!$C$2:$C$1001,Log!$B$2:$B$1001,$A76,Log!$A$2:$A$1001,"&lt;"&amp;('Start Here'!$B$8+336))),1),"")</f>
        <v/>
      </c>
    </row>
    <row r="77">
      <c r="A77" s="24" t="inlineStr">
        <is>
          <t>Med Ball Chest Pass</t>
        </is>
      </c>
      <c r="B77" t="inlineStr">
        <is>
          <t>plyo</t>
        </is>
      </c>
      <c r="E77" s="64">
        <f>IF(MAX(_xlfn.MAXIFS('Start Here'!$B$19:$B$58,'Start Here'!$A$19:$A$58,$A77),_xlfn.MAXIFS(Sets!$C$2:$C$26,Sets!$B$2:$B$26,$A77),_xlfn.MAXIFS(Log!$C$2:$C$1001,Log!$B$2:$B$1001,$A77,Log!$A$2:$A$1001,"&lt;"&amp;('Start Here'!$B$8+0)))&gt;0,ROUND(MAX(_xlfn.MAXIFS('Start Here'!$B$19:$B$58,'Start Here'!$A$19:$A$58,$A77),_xlfn.MAXIFS(Sets!$C$2:$C$26,Sets!$B$2:$B$26,$A77),_xlfn.MAXIFS(Log!$C$2:$C$1001,Log!$B$2:$B$1001,$A77,Log!$A$2:$A$1001,"&lt;"&amp;('Start Here'!$B$8+0))),1),"")</f>
        <v/>
      </c>
      <c r="F77" s="64">
        <f>IF(MAX(_xlfn.MAXIFS('Start Here'!$B$19:$B$58,'Start Here'!$A$19:$A$58,$A77),_xlfn.MAXIFS(Sets!$C$2:$C$783,Sets!$B$2:$B$783,$A77),_xlfn.MAXIFS(Log!$C$2:$C$1001,Log!$B$2:$B$1001,$A77,Log!$A$2:$A$1001,"&lt;"&amp;('Start Here'!$B$8+84)))&gt;0,ROUND(MAX(_xlfn.MAXIFS('Start Here'!$B$19:$B$58,'Start Here'!$A$19:$A$58,$A77),_xlfn.MAXIFS(Sets!$C$2:$C$783,Sets!$B$2:$B$783,$A77),_xlfn.MAXIFS(Log!$C$2:$C$1001,Log!$B$2:$B$1001,$A77,Log!$A$2:$A$1001,"&lt;"&amp;('Start Here'!$B$8+84))),1),"")</f>
        <v/>
      </c>
      <c r="G77" s="64">
        <f>IF(MAX(_xlfn.MAXIFS('Start Here'!$B$19:$B$58,'Start Here'!$A$19:$A$58,$A77),_xlfn.MAXIFS(Sets!$C$2:$C$1540,Sets!$B$2:$B$1540,$A77),_xlfn.MAXIFS(Log!$C$2:$C$1001,Log!$B$2:$B$1001,$A77,Log!$A$2:$A$1001,"&lt;"&amp;('Start Here'!$B$8+168)))&gt;0,ROUND(MAX(_xlfn.MAXIFS('Start Here'!$B$19:$B$58,'Start Here'!$A$19:$A$58,$A77),_xlfn.MAXIFS(Sets!$C$2:$C$1540,Sets!$B$2:$B$1540,$A77),_xlfn.MAXIFS(Log!$C$2:$C$1001,Log!$B$2:$B$1001,$A77,Log!$A$2:$A$1001,"&lt;"&amp;('Start Here'!$B$8+168))),1),"")</f>
        <v/>
      </c>
      <c r="H77" s="64">
        <f>IF(MAX(_xlfn.MAXIFS('Start Here'!$B$19:$B$58,'Start Here'!$A$19:$A$58,$A77),_xlfn.MAXIFS(Sets!$C$2:$C$2297,Sets!$B$2:$B$2297,$A77),_xlfn.MAXIFS(Log!$C$2:$C$1001,Log!$B$2:$B$1001,$A77,Log!$A$2:$A$1001,"&lt;"&amp;('Start Here'!$B$8+252)))&gt;0,ROUND(MAX(_xlfn.MAXIFS('Start Here'!$B$19:$B$58,'Start Here'!$A$19:$A$58,$A77),_xlfn.MAXIFS(Sets!$C$2:$C$2297,Sets!$B$2:$B$2297,$A77),_xlfn.MAXIFS(Log!$C$2:$C$1001,Log!$B$2:$B$1001,$A77,Log!$A$2:$A$1001,"&lt;"&amp;('Start Here'!$B$8+252))),1),"")</f>
        <v/>
      </c>
      <c r="I77" s="64">
        <f>IF(MAX(_xlfn.MAXIFS('Start Here'!$B$19:$B$58,'Start Here'!$A$19:$A$58,$A77),_xlfn.MAXIFS(Sets!$C$2:$C$3054,Sets!$B$2:$B$3054,$A77),_xlfn.MAXIFS(Log!$C$2:$C$1001,Log!$B$2:$B$1001,$A77,Log!$A$2:$A$1001,"&lt;"&amp;('Start Here'!$B$8+336)))&gt;0,ROUND(MAX(_xlfn.MAXIFS('Start Here'!$B$19:$B$58,'Start Here'!$A$19:$A$58,$A77),_xlfn.MAXIFS(Sets!$C$2:$C$3054,Sets!$B$2:$B$3054,$A77),_xlfn.MAXIFS(Log!$C$2:$C$1001,Log!$B$2:$B$1001,$A77,Log!$A$2:$A$1001,"&lt;"&amp;('Start Here'!$B$8+336))),1),"")</f>
        <v/>
      </c>
    </row>
    <row r="79">
      <c r="A79" t="inlineStr">
        <is>
          <t>Training max = best estimated 1RM logged before the cycle starts (plyos: best height / distance). Grey italics = estimated from the parent lift x ratio (no sets logged yet).</t>
        </is>
      </c>
    </row>
  </sheetData>
  <conditionalFormatting sqref="E2:I77">
    <cfRule type="expression" priority="1" dxfId="0">
      <formula>$J2="estimated"</formula>
    </cfRule>
  </conditionalFormatting>
  <pageMargins left="0.75" right="0.75" top="1" bottom="1" header="0.5" footer="0.5"/>
</worksheet>
</file>

<file path=xl/worksheets/sheet19.xml><?xml version="1.0" encoding="utf-8"?>
<worksheet xmlns="http://schemas.openxmlformats.org/spreadsheetml/2006/main">
  <sheetPr>
    <tabColor rgb="008B1A1A"/>
    <outlinePr summaryBelow="1" summaryRight="1"/>
    <pageSetUpPr/>
  </sheetPr>
  <dimension ref="A1:L56"/>
  <sheetViews>
    <sheetView workbookViewId="0">
      <selection activeCell="A1" sqref="A1"/>
    </sheetView>
  </sheetViews>
  <sheetFormatPr baseColWidth="8" defaultRowHeight="15"/>
  <cols>
    <col width="7" customWidth="1" min="1" max="1"/>
    <col width="12" customWidth="1" min="2" max="2"/>
    <col width="12" customWidth="1" min="3" max="3"/>
    <col width="3" customWidth="1" min="4" max="4"/>
    <col width="7" customWidth="1" min="5" max="5"/>
    <col width="12" customWidth="1" min="6" max="6"/>
    <col width="12" customWidth="1" min="7" max="7"/>
    <col width="11" customWidth="1" min="8" max="8"/>
    <col width="22" customWidth="1" min="9" max="9"/>
    <col width="13" customWidth="1" min="10" max="10"/>
    <col width="11" customWidth="1" min="11" max="11"/>
    <col width="10" customWidth="1" min="12" max="12"/>
  </cols>
  <sheetData>
    <row r="1">
      <c r="A1" s="65" t="inlineStr">
        <is>
          <t>BODYWEIGHT - weekly</t>
        </is>
      </c>
      <c r="E1" s="65" t="inlineStr">
        <is>
          <t>BODY FAT - monthly</t>
        </is>
      </c>
    </row>
    <row r="2">
      <c r="A2" t="inlineStr">
        <is>
          <t>Collected from each week's row on the month sheets.</t>
        </is>
      </c>
      <c r="E2" t="inlineStr">
        <is>
          <t>Entered at the top of each month sheet. Same method, place and time of day every month.</t>
        </is>
      </c>
    </row>
    <row r="3">
      <c r="A3" s="8" t="inlineStr">
        <is>
          <t>Week</t>
        </is>
      </c>
      <c r="B3" s="8" t="inlineStr">
        <is>
          <t>Week of</t>
        </is>
      </c>
      <c r="C3" s="8" t="inlineStr">
        <is>
          <t>Bodyweight</t>
        </is>
      </c>
      <c r="E3" s="8" t="inlineStr">
        <is>
          <t>Month</t>
        </is>
      </c>
      <c r="F3" s="8" t="inlineStr">
        <is>
          <t>Test around</t>
        </is>
      </c>
      <c r="G3" s="8" t="inlineStr">
        <is>
          <t>Date tested</t>
        </is>
      </c>
      <c r="H3" s="8" t="inlineStr">
        <is>
          <t>Body fat %</t>
        </is>
      </c>
      <c r="I3" s="8" t="inlineStr">
        <is>
          <t>Method</t>
        </is>
      </c>
      <c r="J3" s="8" t="inlineStr">
        <is>
          <t>Weight at test</t>
        </is>
      </c>
      <c r="K3" s="8" t="inlineStr">
        <is>
          <t>Lean mass</t>
        </is>
      </c>
      <c r="L3" s="8" t="inlineStr">
        <is>
          <t>Fat mass</t>
        </is>
      </c>
    </row>
    <row r="4">
      <c r="A4" s="66" t="n">
        <v>0</v>
      </c>
      <c r="B4" s="67">
        <f>'Start Here'!$B$8+-7</f>
        <v/>
      </c>
      <c r="C4" s="6">
        <f>IF('Baseline'!$I$6="","",'Baseline'!$I$6)</f>
        <v/>
      </c>
      <c r="E4" s="6" t="inlineStr">
        <is>
          <t>Start</t>
        </is>
      </c>
      <c r="F4" s="67">
        <f>'Start Here'!$B$8+0</f>
        <v/>
      </c>
      <c r="G4" s="67">
        <f>'Start Here'!$B$8</f>
        <v/>
      </c>
      <c r="H4" s="6">
        <f>IF('Start Here'!$B$11="","",'Start Here'!$B$11)</f>
        <v/>
      </c>
      <c r="I4" s="6">
        <f>IF('Start Here'!$B$12="","",'Start Here'!$B$12)</f>
        <v/>
      </c>
      <c r="J4" s="6">
        <f>IF('Start Here'!$B$10="","",'Start Here'!$B$10)</f>
        <v/>
      </c>
      <c r="K4" s="6">
        <f>IF(OR(H4="",J4=""),"",ROUND(J4*(1-H4/100),1))</f>
        <v/>
      </c>
      <c r="L4" s="6">
        <f>IF(OR(H4="",J4=""),"",ROUND(J4*H4/100,1))</f>
        <v/>
      </c>
    </row>
    <row r="5">
      <c r="A5" s="66" t="n">
        <v>1</v>
      </c>
      <c r="B5" s="67">
        <f>'Start Here'!$B$8+0</f>
        <v/>
      </c>
      <c r="C5" s="6">
        <f>IF('Month 01'!$I$6="","",'Month 01'!$I$6)</f>
        <v/>
      </c>
      <c r="E5" s="66" t="n">
        <v>1</v>
      </c>
      <c r="F5" s="67">
        <f>'Start Here'!$B$8+0</f>
        <v/>
      </c>
      <c r="G5" s="67">
        <f>IF('Month 01'!D3="","",'Month 01'!D3)</f>
        <v/>
      </c>
      <c r="H5" s="6">
        <f>IF('Month 01'!F3="","",'Month 01'!F3)</f>
        <v/>
      </c>
      <c r="I5" s="6">
        <f>IF('Month 01'!H3="","",'Month 01'!H3)</f>
        <v/>
      </c>
      <c r="J5" s="6">
        <f>IF('Month 01'!J3="","",'Month 01'!J3)</f>
        <v/>
      </c>
      <c r="K5" s="6">
        <f>IF(OR(H5="",J5=""),"",ROUND(J5*(1-H5/100),1))</f>
        <v/>
      </c>
      <c r="L5" s="6">
        <f>IF(OR(H5="",J5=""),"",ROUND(J5*H5/100,1))</f>
        <v/>
      </c>
    </row>
    <row r="6">
      <c r="A6" s="66" t="n">
        <v>2</v>
      </c>
      <c r="B6" s="67">
        <f>'Start Here'!$B$8+7</f>
        <v/>
      </c>
      <c r="C6" s="6">
        <f>IF('Month 01'!$I$112="","",'Month 01'!$I$112)</f>
        <v/>
      </c>
      <c r="E6" s="66" t="n">
        <v>2</v>
      </c>
      <c r="F6" s="67">
        <f>'Start Here'!$B$8+28</f>
        <v/>
      </c>
      <c r="G6" s="67">
        <f>IF('Month 02'!D3="","",'Month 02'!D3)</f>
        <v/>
      </c>
      <c r="H6" s="6">
        <f>IF('Month 02'!F3="","",'Month 02'!F3)</f>
        <v/>
      </c>
      <c r="I6" s="6">
        <f>IF('Month 02'!H3="","",'Month 02'!H3)</f>
        <v/>
      </c>
      <c r="J6" s="6">
        <f>IF('Month 02'!J3="","",'Month 02'!J3)</f>
        <v/>
      </c>
      <c r="K6" s="6">
        <f>IF(OR(H6="",J6=""),"",ROUND(J6*(1-H6/100),1))</f>
        <v/>
      </c>
      <c r="L6" s="6">
        <f>IF(OR(H6="",J6=""),"",ROUND(J6*H6/100,1))</f>
        <v/>
      </c>
    </row>
    <row r="7">
      <c r="A7" s="66" t="n">
        <v>3</v>
      </c>
      <c r="B7" s="67">
        <f>'Start Here'!$B$8+14</f>
        <v/>
      </c>
      <c r="C7" s="6">
        <f>IF('Month 01'!$I$218="","",'Month 01'!$I$218)</f>
        <v/>
      </c>
      <c r="E7" s="66" t="n">
        <v>3</v>
      </c>
      <c r="F7" s="67">
        <f>'Start Here'!$B$8+56</f>
        <v/>
      </c>
      <c r="G7" s="67">
        <f>IF('Month 03'!D3="","",'Month 03'!D3)</f>
        <v/>
      </c>
      <c r="H7" s="6">
        <f>IF('Month 03'!F3="","",'Month 03'!F3)</f>
        <v/>
      </c>
      <c r="I7" s="6">
        <f>IF('Month 03'!H3="","",'Month 03'!H3)</f>
        <v/>
      </c>
      <c r="J7" s="6">
        <f>IF('Month 03'!J3="","",'Month 03'!J3)</f>
        <v/>
      </c>
      <c r="K7" s="6">
        <f>IF(OR(H7="",J7=""),"",ROUND(J7*(1-H7/100),1))</f>
        <v/>
      </c>
      <c r="L7" s="6">
        <f>IF(OR(H7="",J7=""),"",ROUND(J7*H7/100,1))</f>
        <v/>
      </c>
    </row>
    <row r="8">
      <c r="A8" s="66" t="n">
        <v>4</v>
      </c>
      <c r="B8" s="67">
        <f>'Start Here'!$B$8+21</f>
        <v/>
      </c>
      <c r="C8" s="6">
        <f>IF('Month 01'!$I$319="","",'Month 01'!$I$319)</f>
        <v/>
      </c>
      <c r="E8" s="66" t="n">
        <v>4</v>
      </c>
      <c r="F8" s="67">
        <f>'Start Here'!$B$8+84</f>
        <v/>
      </c>
      <c r="G8" s="67">
        <f>IF('Month 04'!D3="","",'Month 04'!D3)</f>
        <v/>
      </c>
      <c r="H8" s="6">
        <f>IF('Month 04'!F3="","",'Month 04'!F3)</f>
        <v/>
      </c>
      <c r="I8" s="6">
        <f>IF('Month 04'!H3="","",'Month 04'!H3)</f>
        <v/>
      </c>
      <c r="J8" s="6">
        <f>IF('Month 04'!J3="","",'Month 04'!J3)</f>
        <v/>
      </c>
      <c r="K8" s="6">
        <f>IF(OR(H8="",J8=""),"",ROUND(J8*(1-H8/100),1))</f>
        <v/>
      </c>
      <c r="L8" s="6">
        <f>IF(OR(H8="",J8=""),"",ROUND(J8*H8/100,1))</f>
        <v/>
      </c>
    </row>
    <row r="9">
      <c r="A9" s="66" t="n">
        <v>5</v>
      </c>
      <c r="B9" s="67">
        <f>'Start Here'!$B$8+28</f>
        <v/>
      </c>
      <c r="C9" s="6">
        <f>IF('Month 02'!$I$6="","",'Month 02'!$I$6)</f>
        <v/>
      </c>
      <c r="E9" s="66" t="n">
        <v>5</v>
      </c>
      <c r="F9" s="67">
        <f>'Start Here'!$B$8+112</f>
        <v/>
      </c>
      <c r="G9" s="67">
        <f>IF('Month 05'!D3="","",'Month 05'!D3)</f>
        <v/>
      </c>
      <c r="H9" s="6">
        <f>IF('Month 05'!F3="","",'Month 05'!F3)</f>
        <v/>
      </c>
      <c r="I9" s="6">
        <f>IF('Month 05'!H3="","",'Month 05'!H3)</f>
        <v/>
      </c>
      <c r="J9" s="6">
        <f>IF('Month 05'!J3="","",'Month 05'!J3)</f>
        <v/>
      </c>
      <c r="K9" s="6">
        <f>IF(OR(H9="",J9=""),"",ROUND(J9*(1-H9/100),1))</f>
        <v/>
      </c>
      <c r="L9" s="6">
        <f>IF(OR(H9="",J9=""),"",ROUND(J9*H9/100,1))</f>
        <v/>
      </c>
    </row>
    <row r="10">
      <c r="A10" s="66" t="n">
        <v>6</v>
      </c>
      <c r="B10" s="67">
        <f>'Start Here'!$B$8+35</f>
        <v/>
      </c>
      <c r="C10" s="6">
        <f>IF('Month 02'!$I$101="","",'Month 02'!$I$101)</f>
        <v/>
      </c>
      <c r="E10" s="66" t="n">
        <v>6</v>
      </c>
      <c r="F10" s="67">
        <f>'Start Here'!$B$8+140</f>
        <v/>
      </c>
      <c r="G10" s="67">
        <f>IF('Month 06'!D3="","",'Month 06'!D3)</f>
        <v/>
      </c>
      <c r="H10" s="6">
        <f>IF('Month 06'!F3="","",'Month 06'!F3)</f>
        <v/>
      </c>
      <c r="I10" s="6">
        <f>IF('Month 06'!H3="","",'Month 06'!H3)</f>
        <v/>
      </c>
      <c r="J10" s="6">
        <f>IF('Month 06'!J3="","",'Month 06'!J3)</f>
        <v/>
      </c>
      <c r="K10" s="6">
        <f>IF(OR(H10="",J10=""),"",ROUND(J10*(1-H10/100),1))</f>
        <v/>
      </c>
      <c r="L10" s="6">
        <f>IF(OR(H10="",J10=""),"",ROUND(J10*H10/100,1))</f>
        <v/>
      </c>
    </row>
    <row r="11">
      <c r="A11" s="66" t="n">
        <v>7</v>
      </c>
      <c r="B11" s="67">
        <f>'Start Here'!$B$8+42</f>
        <v/>
      </c>
      <c r="C11" s="6">
        <f>IF('Month 02'!$I$200="","",'Month 02'!$I$200)</f>
        <v/>
      </c>
      <c r="E11" s="66" t="n">
        <v>7</v>
      </c>
      <c r="F11" s="67">
        <f>'Start Here'!$B$8+168</f>
        <v/>
      </c>
      <c r="G11" s="67">
        <f>IF('Month 07'!D3="","",'Month 07'!D3)</f>
        <v/>
      </c>
      <c r="H11" s="6">
        <f>IF('Month 07'!F3="","",'Month 07'!F3)</f>
        <v/>
      </c>
      <c r="I11" s="6">
        <f>IF('Month 07'!H3="","",'Month 07'!H3)</f>
        <v/>
      </c>
      <c r="J11" s="6">
        <f>IF('Month 07'!J3="","",'Month 07'!J3)</f>
        <v/>
      </c>
      <c r="K11" s="6">
        <f>IF(OR(H11="",J11=""),"",ROUND(J11*(1-H11/100),1))</f>
        <v/>
      </c>
      <c r="L11" s="6">
        <f>IF(OR(H11="",J11=""),"",ROUND(J11*H11/100,1))</f>
        <v/>
      </c>
    </row>
    <row r="12">
      <c r="A12" s="66" t="n">
        <v>8</v>
      </c>
      <c r="B12" s="67">
        <f>'Start Here'!$B$8+49</f>
        <v/>
      </c>
      <c r="C12" s="6">
        <f>IF('Month 02'!$I$299="","",'Month 02'!$I$299)</f>
        <v/>
      </c>
      <c r="E12" s="66" t="n">
        <v>8</v>
      </c>
      <c r="F12" s="67">
        <f>'Start Here'!$B$8+196</f>
        <v/>
      </c>
      <c r="G12" s="67">
        <f>IF('Month 08'!D3="","",'Month 08'!D3)</f>
        <v/>
      </c>
      <c r="H12" s="6">
        <f>IF('Month 08'!F3="","",'Month 08'!F3)</f>
        <v/>
      </c>
      <c r="I12" s="6">
        <f>IF('Month 08'!H3="","",'Month 08'!H3)</f>
        <v/>
      </c>
      <c r="J12" s="6">
        <f>IF('Month 08'!J3="","",'Month 08'!J3)</f>
        <v/>
      </c>
      <c r="K12" s="6">
        <f>IF(OR(H12="",J12=""),"",ROUND(J12*(1-H12/100),1))</f>
        <v/>
      </c>
      <c r="L12" s="6">
        <f>IF(OR(H12="",J12=""),"",ROUND(J12*H12/100,1))</f>
        <v/>
      </c>
    </row>
    <row r="13">
      <c r="A13" s="66" t="n">
        <v>9</v>
      </c>
      <c r="B13" s="67">
        <f>'Start Here'!$B$8+56</f>
        <v/>
      </c>
      <c r="C13" s="6">
        <f>IF('Month 03'!$I$6="","",'Month 03'!$I$6)</f>
        <v/>
      </c>
      <c r="E13" s="66" t="n">
        <v>9</v>
      </c>
      <c r="F13" s="67">
        <f>'Start Here'!$B$8+224</f>
        <v/>
      </c>
      <c r="G13" s="67">
        <f>IF('Month 09'!D3="","",'Month 09'!D3)</f>
        <v/>
      </c>
      <c r="H13" s="6">
        <f>IF('Month 09'!F3="","",'Month 09'!F3)</f>
        <v/>
      </c>
      <c r="I13" s="6">
        <f>IF('Month 09'!H3="","",'Month 09'!H3)</f>
        <v/>
      </c>
      <c r="J13" s="6">
        <f>IF('Month 09'!J3="","",'Month 09'!J3)</f>
        <v/>
      </c>
      <c r="K13" s="6">
        <f>IF(OR(H13="",J13=""),"",ROUND(J13*(1-H13/100),1))</f>
        <v/>
      </c>
      <c r="L13" s="6">
        <f>IF(OR(H13="",J13=""),"",ROUND(J13*H13/100,1))</f>
        <v/>
      </c>
    </row>
    <row r="14">
      <c r="A14" s="66" t="n">
        <v>10</v>
      </c>
      <c r="B14" s="67">
        <f>'Start Here'!$B$8+63</f>
        <v/>
      </c>
      <c r="C14" s="6">
        <f>IF('Month 03'!$I$108="","",'Month 03'!$I$108)</f>
        <v/>
      </c>
      <c r="E14" s="66" t="n">
        <v>10</v>
      </c>
      <c r="F14" s="67">
        <f>'Start Here'!$B$8+252</f>
        <v/>
      </c>
      <c r="G14" s="67">
        <f>IF('Month 10'!D3="","",'Month 10'!D3)</f>
        <v/>
      </c>
      <c r="H14" s="6">
        <f>IF('Month 10'!F3="","",'Month 10'!F3)</f>
        <v/>
      </c>
      <c r="I14" s="6">
        <f>IF('Month 10'!H3="","",'Month 10'!H3)</f>
        <v/>
      </c>
      <c r="J14" s="6">
        <f>IF('Month 10'!J3="","",'Month 10'!J3)</f>
        <v/>
      </c>
      <c r="K14" s="6">
        <f>IF(OR(H14="",J14=""),"",ROUND(J14*(1-H14/100),1))</f>
        <v/>
      </c>
      <c r="L14" s="6">
        <f>IF(OR(H14="",J14=""),"",ROUND(J14*H14/100,1))</f>
        <v/>
      </c>
    </row>
    <row r="15">
      <c r="A15" s="66" t="n">
        <v>11</v>
      </c>
      <c r="B15" s="67">
        <f>'Start Here'!$B$8+70</f>
        <v/>
      </c>
      <c r="C15" s="6">
        <f>IF('Month 03'!$I$209="","",'Month 03'!$I$209)</f>
        <v/>
      </c>
      <c r="E15" s="66" t="n">
        <v>11</v>
      </c>
      <c r="F15" s="67">
        <f>'Start Here'!$B$8+280</f>
        <v/>
      </c>
      <c r="G15" s="67">
        <f>IF('Month 11'!D3="","",'Month 11'!D3)</f>
        <v/>
      </c>
      <c r="H15" s="6">
        <f>IF('Month 11'!F3="","",'Month 11'!F3)</f>
        <v/>
      </c>
      <c r="I15" s="6">
        <f>IF('Month 11'!H3="","",'Month 11'!H3)</f>
        <v/>
      </c>
      <c r="J15" s="6">
        <f>IF('Month 11'!J3="","",'Month 11'!J3)</f>
        <v/>
      </c>
      <c r="K15" s="6">
        <f>IF(OR(H15="",J15=""),"",ROUND(J15*(1-H15/100),1))</f>
        <v/>
      </c>
      <c r="L15" s="6">
        <f>IF(OR(H15="",J15=""),"",ROUND(J15*H15/100,1))</f>
        <v/>
      </c>
    </row>
    <row r="16">
      <c r="A16" s="66" t="n">
        <v>12</v>
      </c>
      <c r="B16" s="67">
        <f>'Start Here'!$B$8+77</f>
        <v/>
      </c>
      <c r="C16" s="6">
        <f>IF('Month 03'!$I$280="","",'Month 03'!$I$280)</f>
        <v/>
      </c>
      <c r="E16" s="66" t="n">
        <v>12</v>
      </c>
      <c r="F16" s="67">
        <f>'Start Here'!$B$8+308</f>
        <v/>
      </c>
      <c r="G16" s="67">
        <f>IF('Month 12'!D3="","",'Month 12'!D3)</f>
        <v/>
      </c>
      <c r="H16" s="6">
        <f>IF('Month 12'!F3="","",'Month 12'!F3)</f>
        <v/>
      </c>
      <c r="I16" s="6">
        <f>IF('Month 12'!H3="","",'Month 12'!H3)</f>
        <v/>
      </c>
      <c r="J16" s="6">
        <f>IF('Month 12'!J3="","",'Month 12'!J3)</f>
        <v/>
      </c>
      <c r="K16" s="6">
        <f>IF(OR(H16="",J16=""),"",ROUND(J16*(1-H16/100),1))</f>
        <v/>
      </c>
      <c r="L16" s="6">
        <f>IF(OR(H16="",J16=""),"",ROUND(J16*H16/100,1))</f>
        <v/>
      </c>
    </row>
    <row r="17">
      <c r="A17" s="66" t="n">
        <v>13</v>
      </c>
      <c r="B17" s="67">
        <f>'Start Here'!$B$8+84</f>
        <v/>
      </c>
      <c r="C17" s="6">
        <f>IF('Month 04'!$I$6="","",'Month 04'!$I$6)</f>
        <v/>
      </c>
      <c r="E17" s="66" t="n">
        <v>13</v>
      </c>
      <c r="F17" s="67">
        <f>'Start Here'!$B$8+336</f>
        <v/>
      </c>
      <c r="G17" s="67">
        <f>IF('Month 13'!D3="","",'Month 13'!D3)</f>
        <v/>
      </c>
      <c r="H17" s="6">
        <f>IF('Month 13'!F3="","",'Month 13'!F3)</f>
        <v/>
      </c>
      <c r="I17" s="6">
        <f>IF('Month 13'!H3="","",'Month 13'!H3)</f>
        <v/>
      </c>
      <c r="J17" s="6">
        <f>IF('Month 13'!J3="","",'Month 13'!J3)</f>
        <v/>
      </c>
      <c r="K17" s="6">
        <f>IF(OR(H17="",J17=""),"",ROUND(J17*(1-H17/100),1))</f>
        <v/>
      </c>
      <c r="L17" s="6">
        <f>IF(OR(H17="",J17=""),"",ROUND(J17*H17/100,1))</f>
        <v/>
      </c>
    </row>
    <row r="18">
      <c r="A18" s="66" t="n">
        <v>14</v>
      </c>
      <c r="B18" s="67">
        <f>'Start Here'!$B$8+91</f>
        <v/>
      </c>
      <c r="C18" s="6">
        <f>IF('Month 04'!$I$112="","",'Month 04'!$I$112)</f>
        <v/>
      </c>
    </row>
    <row r="19">
      <c r="A19" s="66" t="n">
        <v>15</v>
      </c>
      <c r="B19" s="67">
        <f>'Start Here'!$B$8+98</f>
        <v/>
      </c>
      <c r="C19" s="6">
        <f>IF('Month 04'!$I$218="","",'Month 04'!$I$218)</f>
        <v/>
      </c>
    </row>
    <row r="20">
      <c r="A20" s="66" t="n">
        <v>16</v>
      </c>
      <c r="B20" s="67">
        <f>'Start Here'!$B$8+105</f>
        <v/>
      </c>
      <c r="C20" s="6">
        <f>IF('Month 04'!$I$319="","",'Month 04'!$I$319)</f>
        <v/>
      </c>
      <c r="E20" s="17" t="inlineStr">
        <is>
          <t>How to measure body fat once a month</t>
        </is>
      </c>
    </row>
    <row r="21">
      <c r="A21" s="66" t="n">
        <v>17</v>
      </c>
      <c r="B21" s="67">
        <f>'Start Here'!$B$8+112</f>
        <v/>
      </c>
      <c r="C21" s="6">
        <f>IF('Month 05'!$I$6="","",'Month 05'!$I$6)</f>
        <v/>
      </c>
      <c r="E21" t="inlineStr"/>
    </row>
    <row r="22">
      <c r="A22" s="66" t="n">
        <v>18</v>
      </c>
      <c r="B22" s="67">
        <f>'Start Here'!$B$8+119</f>
        <v/>
      </c>
      <c r="C22" s="6">
        <f>IF('Month 05'!$I$101="","",'Month 05'!$I$101)</f>
        <v/>
      </c>
      <c r="E22" t="inlineStr">
        <is>
          <t>Pick ONE method and stick with it - different methods disagree by several percent,</t>
        </is>
      </c>
    </row>
    <row r="23">
      <c r="A23" s="66" t="n">
        <v>19</v>
      </c>
      <c r="B23" s="67">
        <f>'Start Here'!$B$8+126</f>
        <v/>
      </c>
      <c r="C23" s="6">
        <f>IF('Month 05'!$I$200="","",'Month 05'!$I$200)</f>
        <v/>
      </c>
      <c r="E23" t="inlineStr">
        <is>
          <t>so the trend from a single method matters far more than any one number.</t>
        </is>
      </c>
    </row>
    <row r="24">
      <c r="A24" s="66" t="n">
        <v>20</v>
      </c>
      <c r="B24" s="67">
        <f>'Start Here'!$B$8+133</f>
        <v/>
      </c>
      <c r="C24" s="6">
        <f>IF('Month 05'!$I$299="","",'Month 05'!$I$299)</f>
        <v/>
      </c>
      <c r="E24" t="inlineStr"/>
    </row>
    <row r="25">
      <c r="A25" s="66" t="n">
        <v>21</v>
      </c>
      <c r="B25" s="67">
        <f>'Start Here'!$B$8+140</f>
        <v/>
      </c>
      <c r="C25" s="6">
        <f>IF('Month 06'!$I$6="","",'Month 06'!$I$6)</f>
        <v/>
      </c>
      <c r="E25" s="17" t="inlineStr">
        <is>
          <t>Bod Pod (air displacement)</t>
        </is>
      </c>
    </row>
    <row r="26">
      <c r="A26" s="66" t="n">
        <v>22</v>
      </c>
      <c r="B26" s="67">
        <f>'Start Here'!$B$8+147</f>
        <v/>
      </c>
      <c r="C26" s="6">
        <f>IF('Month 06'!$I$108="","",'Month 06'!$I$108)</f>
        <v/>
      </c>
      <c r="E26" t="inlineStr">
        <is>
          <t xml:space="preserve">  - Find one at a university kinesiology/exercise-science lab, sports-medicine clinic</t>
        </is>
      </c>
    </row>
    <row r="27">
      <c r="A27" s="66" t="n">
        <v>23</v>
      </c>
      <c r="B27" s="67">
        <f>'Start Here'!$B$8+154</f>
        <v/>
      </c>
      <c r="C27" s="6">
        <f>IF('Month 06'!$I$209="","",'Month 06'!$I$209)</f>
        <v/>
      </c>
      <c r="E27" t="inlineStr">
        <is>
          <t xml:space="preserve">    or larger gym; search "Bod Pod near me". Usually $25-$60 per test.</t>
        </is>
      </c>
    </row>
    <row r="28">
      <c r="A28" s="66" t="n">
        <v>24</v>
      </c>
      <c r="B28" s="67">
        <f>'Start Here'!$B$8+161</f>
        <v/>
      </c>
      <c r="C28" s="6">
        <f>IF('Month 06'!$I$280="","",'Month 06'!$I$280)</f>
        <v/>
      </c>
      <c r="E28" t="inlineStr">
        <is>
          <t xml:space="preserve">  - Wear tight, minimal clothing (compression shorts / sports bra) and a swim cap.</t>
        </is>
      </c>
    </row>
    <row r="29">
      <c r="A29" s="66" t="n">
        <v>25</v>
      </c>
      <c r="B29" s="67">
        <f>'Start Here'!$B$8+168</f>
        <v/>
      </c>
      <c r="C29" s="6">
        <f>IF('Month 07'!$I$6="","",'Month 07'!$I$6)</f>
        <v/>
      </c>
      <c r="E29" t="inlineStr">
        <is>
          <t xml:space="preserve">  - Test fasted (no food 2-3 h), no exercise that day, empty bladder.</t>
        </is>
      </c>
    </row>
    <row r="30">
      <c r="A30" s="66" t="n">
        <v>26</v>
      </c>
      <c r="B30" s="67">
        <f>'Start Here'!$B$8+175</f>
        <v/>
      </c>
      <c r="C30" s="6">
        <f>IF('Month 07'!$I$112="","",'Month 07'!$I$112)</f>
        <v/>
      </c>
      <c r="E30" t="inlineStr"/>
    </row>
    <row r="31">
      <c r="A31" s="66" t="n">
        <v>27</v>
      </c>
      <c r="B31" s="67">
        <f>'Start Here'!$B$8+182</f>
        <v/>
      </c>
      <c r="C31" s="6">
        <f>IF('Month 07'!$I$218="","",'Month 07'!$I$218)</f>
        <v/>
      </c>
      <c r="E31" s="17" t="inlineStr">
        <is>
          <t>InBody (bioelectrical impedance scale)</t>
        </is>
      </c>
    </row>
    <row r="32">
      <c r="A32" s="66" t="n">
        <v>28</v>
      </c>
      <c r="B32" s="67">
        <f>'Start Here'!$B$8+189</f>
        <v/>
      </c>
      <c r="C32" s="6">
        <f>IF('Month 07'!$I$319="","",'Month 07'!$I$319)</f>
        <v/>
      </c>
      <c r="E32" t="inlineStr">
        <is>
          <t xml:space="preserve">  - Many gyms, chiropractors, physical therapists and nutrition clinics have one;</t>
        </is>
      </c>
    </row>
    <row r="33">
      <c r="A33" s="66" t="n">
        <v>29</v>
      </c>
      <c r="B33" s="67">
        <f>'Start Here'!$B$8+196</f>
        <v/>
      </c>
      <c r="C33" s="6">
        <f>IF('Month 08'!$I$6="","",'Month 08'!$I$6)</f>
        <v/>
      </c>
      <c r="E33" t="inlineStr">
        <is>
          <t xml:space="preserve">    often free or $10-$30.</t>
        </is>
      </c>
    </row>
    <row r="34">
      <c r="A34" s="66" t="n">
        <v>30</v>
      </c>
      <c r="B34" s="67">
        <f>'Start Here'!$B$8+203</f>
        <v/>
      </c>
      <c r="C34" s="6">
        <f>IF('Month 08'!$I$101="","",'Month 08'!$I$101)</f>
        <v/>
      </c>
      <c r="E34" t="inlineStr">
        <is>
          <t xml:space="preserve">  - Hydration changes the reading a lot: test first thing in the morning, before</t>
        </is>
      </c>
    </row>
    <row r="35">
      <c r="A35" s="66" t="n">
        <v>31</v>
      </c>
      <c r="B35" s="67">
        <f>'Start Here'!$B$8+210</f>
        <v/>
      </c>
      <c r="C35" s="6">
        <f>IF('Month 08'!$I$200="","",'Month 08'!$I$200)</f>
        <v/>
      </c>
      <c r="E35" t="inlineStr">
        <is>
          <t xml:space="preserve">    eating, drinking large amounts, caffeine or training. Empty bladder, no lotion,</t>
        </is>
      </c>
    </row>
    <row r="36">
      <c r="A36" s="66" t="n">
        <v>32</v>
      </c>
      <c r="B36" s="67">
        <f>'Start Here'!$B$8+217</f>
        <v/>
      </c>
      <c r="C36" s="6">
        <f>IF('Month 08'!$I$299="","",'Month 08'!$I$299)</f>
        <v/>
      </c>
      <c r="E36" t="inlineStr">
        <is>
          <t xml:space="preserve">    stand barefoot on clean electrodes.</t>
        </is>
      </c>
    </row>
    <row r="37">
      <c r="A37" s="66" t="n">
        <v>33</v>
      </c>
      <c r="B37" s="67">
        <f>'Start Here'!$B$8+224</f>
        <v/>
      </c>
      <c r="C37" s="6">
        <f>IF('Month 09'!$I$6="","",'Month 09'!$I$6)</f>
        <v/>
      </c>
      <c r="E37" t="inlineStr"/>
    </row>
    <row r="38">
      <c r="A38" s="66" t="n">
        <v>34</v>
      </c>
      <c r="B38" s="67">
        <f>'Start Here'!$B$8+231</f>
        <v/>
      </c>
      <c r="C38" s="6">
        <f>IF('Month 09'!$I$108="","",'Month 09'!$I$108)</f>
        <v/>
      </c>
      <c r="E38" s="17" t="inlineStr">
        <is>
          <t>Hydrostatic / underwater weighing ("dunk tank", "float tank")</t>
        </is>
      </c>
    </row>
    <row r="39">
      <c r="A39" s="66" t="n">
        <v>35</v>
      </c>
      <c r="B39" s="67">
        <f>'Start Here'!$B$8+238</f>
        <v/>
      </c>
      <c r="C39" s="6">
        <f>IF('Month 09'!$I$209="","",'Month 09'!$I$209)</f>
        <v/>
      </c>
      <c r="E39" t="inlineStr">
        <is>
          <t xml:space="preserve">  - Offered by university labs, sports-performance centers and mobile body-fat</t>
        </is>
      </c>
    </row>
    <row r="40">
      <c r="A40" s="66" t="n">
        <v>36</v>
      </c>
      <c r="B40" s="67">
        <f>'Start Here'!$B$8+245</f>
        <v/>
      </c>
      <c r="C40" s="6">
        <f>IF('Month 09'!$I$280="","",'Month 09'!$I$280)</f>
        <v/>
      </c>
      <c r="E40" t="inlineStr">
        <is>
          <t xml:space="preserve">    trucks that visit gyms; usually $40-$75.</t>
        </is>
      </c>
    </row>
    <row r="41">
      <c r="A41" s="66" t="n">
        <v>37</v>
      </c>
      <c r="B41" s="67">
        <f>'Start Here'!$B$8+252</f>
        <v/>
      </c>
      <c r="C41" s="6">
        <f>IF('Month 10'!$I$6="","",'Month 10'!$I$6)</f>
        <v/>
      </c>
      <c r="E41" t="inlineStr">
        <is>
          <t xml:space="preserve">  - Fasted 3-4 h, no training that day. You exhale fully while submerged, so</t>
        </is>
      </c>
    </row>
    <row r="42">
      <c r="A42" s="66" t="n">
        <v>38</v>
      </c>
      <c r="B42" s="67">
        <f>'Start Here'!$B$8+259</f>
        <v/>
      </c>
      <c r="C42" s="6">
        <f>IF('Month 10'!$I$112="","",'Month 10'!$I$112)</f>
        <v/>
      </c>
      <c r="E42" t="inlineStr">
        <is>
          <t xml:space="preserve">    practice a slow, complete exhale; the tester usually takes 3 readings.</t>
        </is>
      </c>
    </row>
    <row r="43">
      <c r="A43" s="66" t="n">
        <v>39</v>
      </c>
      <c r="B43" s="67">
        <f>'Start Here'!$B$8+266</f>
        <v/>
      </c>
      <c r="C43" s="6">
        <f>IF('Month 10'!$I$218="","",'Month 10'!$I$218)</f>
        <v/>
      </c>
      <c r="E43" t="inlineStr"/>
    </row>
    <row r="44">
      <c r="A44" s="66" t="n">
        <v>40</v>
      </c>
      <c r="B44" s="67">
        <f>'Start Here'!$B$8+273</f>
        <v/>
      </c>
      <c r="C44" s="6">
        <f>IF('Month 10'!$I$319="","",'Month 10'!$I$319)</f>
        <v/>
      </c>
      <c r="E44" s="17" t="inlineStr">
        <is>
          <t>For every method</t>
        </is>
      </c>
    </row>
    <row r="45">
      <c r="A45" s="66" t="n">
        <v>41</v>
      </c>
      <c r="B45" s="67">
        <f>'Start Here'!$B$8+280</f>
        <v/>
      </c>
      <c r="C45" s="6">
        <f>IF('Month 11'!$I$6="","",'Month 11'!$I$6)</f>
        <v/>
      </c>
      <c r="E45" t="inlineStr">
        <is>
          <t xml:space="preserve">  - Same method, same place, same time of day, same pre-test routine each month.</t>
        </is>
      </c>
    </row>
    <row r="46">
      <c r="A46" s="66" t="n">
        <v>42</v>
      </c>
      <c r="B46" s="67">
        <f>'Start Here'!$B$8+287</f>
        <v/>
      </c>
      <c r="C46" s="6">
        <f>IF('Month 11'!$I$101="","",'Month 11'!$I$101)</f>
        <v/>
      </c>
      <c r="E46" t="inlineStr">
        <is>
          <t xml:space="preserve">  - Test in a deload week if you can, not right after a hard session.</t>
        </is>
      </c>
    </row>
    <row r="47">
      <c r="A47" s="66" t="n">
        <v>43</v>
      </c>
      <c r="B47" s="67">
        <f>'Start Here'!$B$8+294</f>
        <v/>
      </c>
      <c r="C47" s="6">
        <f>IF('Month 11'!$I$200="","",'Month 11'!$I$200)</f>
        <v/>
      </c>
      <c r="E47" t="inlineStr">
        <is>
          <t xml:space="preserve">  - Record the date, your body-fat %, the method, and the weight the test measured.</t>
        </is>
      </c>
    </row>
    <row r="48">
      <c r="A48" s="66" t="n">
        <v>44</v>
      </c>
      <c r="B48" s="67">
        <f>'Start Here'!$B$8+301</f>
        <v/>
      </c>
      <c r="C48" s="6">
        <f>IF('Month 11'!$I$299="","",'Month 11'!$I$299)</f>
        <v/>
      </c>
    </row>
    <row r="49">
      <c r="A49" s="66" t="n">
        <v>45</v>
      </c>
      <c r="B49" s="67">
        <f>'Start Here'!$B$8+308</f>
        <v/>
      </c>
      <c r="C49" s="6">
        <f>IF('Month 12'!$I$6="","",'Month 12'!$I$6)</f>
        <v/>
      </c>
    </row>
    <row r="50">
      <c r="A50" s="66" t="n">
        <v>46</v>
      </c>
      <c r="B50" s="67">
        <f>'Start Here'!$B$8+315</f>
        <v/>
      </c>
      <c r="C50" s="6">
        <f>IF('Month 12'!$I$108="","",'Month 12'!$I$108)</f>
        <v/>
      </c>
    </row>
    <row r="51">
      <c r="A51" s="66" t="n">
        <v>47</v>
      </c>
      <c r="B51" s="67">
        <f>'Start Here'!$B$8+322</f>
        <v/>
      </c>
      <c r="C51" s="6">
        <f>IF('Month 12'!$I$209="","",'Month 12'!$I$209)</f>
        <v/>
      </c>
    </row>
    <row r="52">
      <c r="A52" s="66" t="n">
        <v>48</v>
      </c>
      <c r="B52" s="67">
        <f>'Start Here'!$B$8+329</f>
        <v/>
      </c>
      <c r="C52" s="6">
        <f>IF('Month 12'!$I$280="","",'Month 12'!$I$280)</f>
        <v/>
      </c>
    </row>
    <row r="53">
      <c r="A53" s="66" t="n">
        <v>49</v>
      </c>
      <c r="B53" s="67">
        <f>'Start Here'!$B$8+336</f>
        <v/>
      </c>
      <c r="C53" s="6">
        <f>IF('Month 13'!$I$6="","",'Month 13'!$I$6)</f>
        <v/>
      </c>
    </row>
    <row r="54">
      <c r="A54" s="66" t="n">
        <v>50</v>
      </c>
      <c r="B54" s="67">
        <f>'Start Here'!$B$8+343</f>
        <v/>
      </c>
      <c r="C54" s="6">
        <f>IF('Month 13'!$I$100="","",'Month 13'!$I$100)</f>
        <v/>
      </c>
    </row>
    <row r="55">
      <c r="A55" s="66" t="n">
        <v>51</v>
      </c>
      <c r="B55" s="67">
        <f>'Start Here'!$B$8+350</f>
        <v/>
      </c>
      <c r="C55" s="6">
        <f>IF('Month 13'!$I$194="","",'Month 13'!$I$194)</f>
        <v/>
      </c>
    </row>
    <row r="56">
      <c r="A56" s="66" t="n">
        <v>52</v>
      </c>
      <c r="B56" s="67">
        <f>'Start Here'!$B$8+357</f>
        <v/>
      </c>
      <c r="C56" s="6">
        <f>IF('Month 13'!$I$288="","",'Month 13'!$I$288)</f>
        <v/>
      </c>
    </row>
  </sheetData>
  <hyperlinks>
    <hyperlink ref="A4" location="'Baseline'!A1" display="0"/>
    <hyperlink ref="A5" location="'Month 01'!A1" display="1"/>
    <hyperlink ref="E5" location="'Month 01'!A1" display="1"/>
    <hyperlink ref="A6" location="'Month 01'!A1" display="2"/>
    <hyperlink ref="E6" location="'Month 02'!A1" display="2"/>
    <hyperlink ref="A7" location="'Month 01'!A1" display="3"/>
    <hyperlink ref="E7" location="'Month 03'!A1" display="3"/>
    <hyperlink ref="A8" location="'Month 01'!A1" display="4"/>
    <hyperlink ref="E8" location="'Month 04'!A1" display="4"/>
    <hyperlink ref="A9" location="'Month 02'!A1" display="5"/>
    <hyperlink ref="E9" location="'Month 05'!A1" display="5"/>
    <hyperlink ref="A10" location="'Month 02'!A1" display="6"/>
    <hyperlink ref="E10" location="'Month 06'!A1" display="6"/>
    <hyperlink ref="A11" location="'Month 02'!A1" display="7"/>
    <hyperlink ref="E11" location="'Month 07'!A1" display="7"/>
    <hyperlink ref="A12" location="'Month 02'!A1" display="8"/>
    <hyperlink ref="E12" location="'Month 08'!A1" display="8"/>
    <hyperlink ref="A13" location="'Month 03'!A1" display="9"/>
    <hyperlink ref="E13" location="'Month 09'!A1" display="9"/>
    <hyperlink ref="A14" location="'Month 03'!A1" display="10"/>
    <hyperlink ref="E14" location="'Month 10'!A1" display="10"/>
    <hyperlink ref="A15" location="'Month 03'!A1" display="11"/>
    <hyperlink ref="E15" location="'Month 11'!A1" display="11"/>
    <hyperlink ref="A16" location="'Month 03'!A1" display="12"/>
    <hyperlink ref="E16" location="'Month 12'!A1" display="12"/>
    <hyperlink ref="A17" location="'Month 04'!A1" display="13"/>
    <hyperlink ref="E17" location="'Month 13'!A1" display="13"/>
    <hyperlink ref="A18" location="'Month 04'!A1" display="14"/>
    <hyperlink ref="A19" location="'Month 04'!A1" display="15"/>
    <hyperlink ref="A20" location="'Month 04'!A1" display="16"/>
    <hyperlink ref="A21" location="'Month 05'!A1" display="17"/>
    <hyperlink ref="A22" location="'Month 05'!A1" display="18"/>
    <hyperlink ref="A23" location="'Month 05'!A1" display="19"/>
    <hyperlink ref="A24" location="'Month 05'!A1" display="20"/>
    <hyperlink ref="A25" location="'Month 06'!A1" display="21"/>
    <hyperlink ref="A26" location="'Month 06'!A1" display="22"/>
    <hyperlink ref="A27" location="'Month 06'!A1" display="23"/>
    <hyperlink ref="A28" location="'Month 06'!A1" display="24"/>
    <hyperlink ref="A29" location="'Month 07'!A1" display="25"/>
    <hyperlink ref="A30" location="'Month 07'!A1" display="26"/>
    <hyperlink ref="A31" location="'Month 07'!A1" display="27"/>
    <hyperlink ref="A32" location="'Month 07'!A1" display="28"/>
    <hyperlink ref="A33" location="'Month 08'!A1" display="29"/>
    <hyperlink ref="A34" location="'Month 08'!A1" display="30"/>
    <hyperlink ref="A35" location="'Month 08'!A1" display="31"/>
    <hyperlink ref="A36" location="'Month 08'!A1" display="32"/>
    <hyperlink ref="A37" location="'Month 09'!A1" display="33"/>
    <hyperlink ref="A38" location="'Month 09'!A1" display="34"/>
    <hyperlink ref="A39" location="'Month 09'!A1" display="35"/>
    <hyperlink ref="A40" location="'Month 09'!A1" display="36"/>
    <hyperlink ref="A41" location="'Month 10'!A1" display="37"/>
    <hyperlink ref="A42" location="'Month 10'!A1" display="38"/>
    <hyperlink ref="A43" location="'Month 10'!A1" display="39"/>
    <hyperlink ref="A44" location="'Month 10'!A1" display="40"/>
    <hyperlink ref="A45" location="'Month 11'!A1" display="41"/>
    <hyperlink ref="A46" location="'Month 11'!A1" display="42"/>
    <hyperlink ref="A47" location="'Month 11'!A1" display="43"/>
    <hyperlink ref="A48" location="'Month 11'!A1" display="44"/>
    <hyperlink ref="A49" location="'Month 12'!A1" display="45"/>
    <hyperlink ref="A50" location="'Month 12'!A1" display="46"/>
    <hyperlink ref="A51" location="'Month 12'!A1" display="47"/>
    <hyperlink ref="A52" location="'Month 12'!A1" display="48"/>
    <hyperlink ref="A53" location="'Month 13'!A1" display="49"/>
    <hyperlink ref="A54" location="'Month 13'!A1" display="50"/>
    <hyperlink ref="A55" location="'Month 13'!A1" display="51"/>
    <hyperlink ref="A56" location="'Month 13'!A1" display="52"/>
  </hyperlinks>
  <pageMargins left="0.75" right="0.75" top="1" bottom="1" header="0.5" footer="0.5"/>
</worksheet>
</file>

<file path=xl/worksheets/sheet20.xml><?xml version="1.0" encoding="utf-8"?>
<worksheet xmlns="http://schemas.openxmlformats.org/spreadsheetml/2006/main">
  <sheetPr>
    <tabColor rgb="008B1A1A"/>
    <outlinePr summaryBelow="1" summaryRight="1"/>
    <pageSetUpPr/>
  </sheetPr>
  <dimension ref="A1:J10"/>
  <sheetViews>
    <sheetView workbookViewId="0">
      <selection activeCell="A1" sqref="A1"/>
    </sheetView>
  </sheetViews>
  <sheetFormatPr baseColWidth="8" defaultRowHeight="15"/>
  <cols>
    <col width="16" customWidth="1" min="1" max="1"/>
    <col width="7" customWidth="1" min="2" max="2"/>
    <col width="11" customWidth="1" min="3" max="3"/>
    <col width="11" customWidth="1" min="4" max="4"/>
    <col width="11" customWidth="1" min="5" max="5"/>
    <col width="11" customWidth="1" min="6" max="6"/>
    <col width="11" customWidth="1" min="7" max="7"/>
    <col width="11" customWidth="1" min="8" max="8"/>
    <col width="12" customWidth="1" min="9" max="9"/>
    <col width="11" customWidth="1" min="10" max="10"/>
  </cols>
  <sheetData>
    <row r="1">
      <c r="A1" s="68" t="inlineStr">
        <is>
          <t>PROGRESS - strength vs bodyweight and body fat</t>
        </is>
      </c>
    </row>
    <row r="3">
      <c r="A3" s="8" t="inlineStr">
        <is>
          <t>Checkpoint</t>
        </is>
      </c>
      <c r="B3" s="8" t="inlineStr">
        <is>
          <t>Week</t>
        </is>
      </c>
      <c r="C3" s="8" t="inlineStr">
        <is>
          <t>Squat</t>
        </is>
      </c>
      <c r="D3" s="8" t="inlineStr">
        <is>
          <t>Bench Press</t>
        </is>
      </c>
      <c r="E3" s="8" t="inlineStr">
        <is>
          <t>Deadlift</t>
        </is>
      </c>
      <c r="F3" s="8" t="inlineStr">
        <is>
          <t>Overhead Press</t>
        </is>
      </c>
      <c r="G3" s="8" t="inlineStr">
        <is>
          <t>Snatch</t>
        </is>
      </c>
      <c r="H3" s="8" t="inlineStr">
        <is>
          <t>Clean &amp; Jerk</t>
        </is>
      </c>
      <c r="I3" s="8" t="inlineStr">
        <is>
          <t>Bodyweight</t>
        </is>
      </c>
      <c r="J3" s="8" t="inlineStr">
        <is>
          <t>Body fat %</t>
        </is>
      </c>
    </row>
    <row r="4">
      <c r="A4" s="6" t="inlineStr">
        <is>
          <t>Start</t>
        </is>
      </c>
      <c r="B4" s="6" t="n">
        <v>1</v>
      </c>
      <c r="C4" s="69">
        <f>IF(Maxes!E2="",NA(),Maxes!E2)</f>
        <v/>
      </c>
      <c r="D4" s="69">
        <f>IF(Maxes!E3="",NA(),Maxes!E3)</f>
        <v/>
      </c>
      <c r="E4" s="69">
        <f>IF(Maxes!E4="",NA(),Maxes!E4)</f>
        <v/>
      </c>
      <c r="F4" s="69">
        <f>IF(Maxes!E5="",NA(),Maxes!E5)</f>
        <v/>
      </c>
      <c r="G4" s="69">
        <f>IF(Maxes!E6="",NA(),Maxes!E6)</f>
        <v/>
      </c>
      <c r="H4" s="69">
        <f>IF(Maxes!E7="",NA(),Maxes!E7)</f>
        <v/>
      </c>
      <c r="I4" s="6">
        <f>IFERROR(LOOKUP(2,1/((Body!$A$4:$A$56&lt;=B4)*(Body!$C$4:$C$56&lt;&gt;"")),Body!$C$4:$C$56),IF('Start Here'!$B$10="",NA(),'Start Here'!$B$10))</f>
        <v/>
      </c>
      <c r="J4" s="6">
        <f>IFERROR(LOOKUP(2,1/((ROW(Body!$H$4:$H$17)-4&lt;=1)*(Body!$H$4:$H$17&lt;&gt;"")),Body!$H$4:$H$17),NA())</f>
        <v/>
      </c>
    </row>
    <row r="5">
      <c r="A5" s="6" t="inlineStr">
        <is>
          <t>After cycle 1</t>
        </is>
      </c>
      <c r="B5" s="6" t="n">
        <v>13</v>
      </c>
      <c r="C5" s="69">
        <f>IF(Maxes!F2="",NA(),Maxes!F2)</f>
        <v/>
      </c>
      <c r="D5" s="69">
        <f>IF(Maxes!F3="",NA(),Maxes!F3)</f>
        <v/>
      </c>
      <c r="E5" s="69">
        <f>IF(Maxes!F4="",NA(),Maxes!F4)</f>
        <v/>
      </c>
      <c r="F5" s="69">
        <f>IF(Maxes!F5="",NA(),Maxes!F5)</f>
        <v/>
      </c>
      <c r="G5" s="69">
        <f>IF(Maxes!F6="",NA(),Maxes!F6)</f>
        <v/>
      </c>
      <c r="H5" s="69">
        <f>IF(Maxes!F7="",NA(),Maxes!F7)</f>
        <v/>
      </c>
      <c r="I5" s="6">
        <f>IFERROR(LOOKUP(2,1/((Body!$A$4:$A$56&lt;=B5)*(Body!$C$4:$C$56&lt;&gt;"")),Body!$C$4:$C$56),IF('Start Here'!$B$10="",NA(),'Start Here'!$B$10))</f>
        <v/>
      </c>
      <c r="J5" s="6">
        <f>IFERROR(LOOKUP(2,1/((ROW(Body!$H$4:$H$17)-4&lt;=4)*(Body!$H$4:$H$17&lt;&gt;"")),Body!$H$4:$H$17),NA())</f>
        <v/>
      </c>
    </row>
    <row r="6">
      <c r="A6" s="6" t="inlineStr">
        <is>
          <t>After cycle 2</t>
        </is>
      </c>
      <c r="B6" s="6" t="n">
        <v>25</v>
      </c>
      <c r="C6" s="69">
        <f>IF(Maxes!G2="",NA(),Maxes!G2)</f>
        <v/>
      </c>
      <c r="D6" s="69">
        <f>IF(Maxes!G3="",NA(),Maxes!G3)</f>
        <v/>
      </c>
      <c r="E6" s="69">
        <f>IF(Maxes!G4="",NA(),Maxes!G4)</f>
        <v/>
      </c>
      <c r="F6" s="69">
        <f>IF(Maxes!G5="",NA(),Maxes!G5)</f>
        <v/>
      </c>
      <c r="G6" s="69">
        <f>IF(Maxes!G6="",NA(),Maxes!G6)</f>
        <v/>
      </c>
      <c r="H6" s="69">
        <f>IF(Maxes!G7="",NA(),Maxes!G7)</f>
        <v/>
      </c>
      <c r="I6" s="6">
        <f>IFERROR(LOOKUP(2,1/((Body!$A$4:$A$56&lt;=B6)*(Body!$C$4:$C$56&lt;&gt;"")),Body!$C$4:$C$56),IF('Start Here'!$B$10="",NA(),'Start Here'!$B$10))</f>
        <v/>
      </c>
      <c r="J6" s="6">
        <f>IFERROR(LOOKUP(2,1/((ROW(Body!$H$4:$H$17)-4&lt;=7)*(Body!$H$4:$H$17&lt;&gt;"")),Body!$H$4:$H$17),NA())</f>
        <v/>
      </c>
    </row>
    <row r="7">
      <c r="A7" s="6" t="inlineStr">
        <is>
          <t>After cycle 3</t>
        </is>
      </c>
      <c r="B7" s="6" t="n">
        <v>37</v>
      </c>
      <c r="C7" s="69">
        <f>IF(Maxes!H2="",NA(),Maxes!H2)</f>
        <v/>
      </c>
      <c r="D7" s="69">
        <f>IF(Maxes!H3="",NA(),Maxes!H3)</f>
        <v/>
      </c>
      <c r="E7" s="69">
        <f>IF(Maxes!H4="",NA(),Maxes!H4)</f>
        <v/>
      </c>
      <c r="F7" s="69">
        <f>IF(Maxes!H5="",NA(),Maxes!H5)</f>
        <v/>
      </c>
      <c r="G7" s="69">
        <f>IF(Maxes!H6="",NA(),Maxes!H6)</f>
        <v/>
      </c>
      <c r="H7" s="69">
        <f>IF(Maxes!H7="",NA(),Maxes!H7)</f>
        <v/>
      </c>
      <c r="I7" s="6">
        <f>IFERROR(LOOKUP(2,1/((Body!$A$4:$A$56&lt;=B7)*(Body!$C$4:$C$56&lt;&gt;"")),Body!$C$4:$C$56),IF('Start Here'!$B$10="",NA(),'Start Here'!$B$10))</f>
        <v/>
      </c>
      <c r="J7" s="6">
        <f>IFERROR(LOOKUP(2,1/((ROW(Body!$H$4:$H$17)-4&lt;=10)*(Body!$H$4:$H$17&lt;&gt;"")),Body!$H$4:$H$17),NA())</f>
        <v/>
      </c>
    </row>
    <row r="8">
      <c r="A8" s="6" t="inlineStr">
        <is>
          <t>After cycle 4</t>
        </is>
      </c>
      <c r="B8" s="6" t="n">
        <v>49</v>
      </c>
      <c r="C8" s="69">
        <f>IF(Maxes!I2="",NA(),Maxes!I2)</f>
        <v/>
      </c>
      <c r="D8" s="69">
        <f>IF(Maxes!I3="",NA(),Maxes!I3)</f>
        <v/>
      </c>
      <c r="E8" s="69">
        <f>IF(Maxes!I4="",NA(),Maxes!I4)</f>
        <v/>
      </c>
      <c r="F8" s="69">
        <f>IF(Maxes!I5="",NA(),Maxes!I5)</f>
        <v/>
      </c>
      <c r="G8" s="69">
        <f>IF(Maxes!I6="",NA(),Maxes!I6)</f>
        <v/>
      </c>
      <c r="H8" s="69">
        <f>IF(Maxes!I7="",NA(),Maxes!I7)</f>
        <v/>
      </c>
      <c r="I8" s="6">
        <f>IFERROR(LOOKUP(2,1/((Body!$A$4:$A$56&lt;=B8)*(Body!$C$4:$C$56&lt;&gt;"")),Body!$C$4:$C$56),IF('Start Here'!$B$10="",NA(),'Start Here'!$B$10))</f>
        <v/>
      </c>
      <c r="J8" s="6">
        <f>IFERROR(LOOKUP(2,1/((ROW(Body!$H$4:$H$17)-4&lt;=13)*(Body!$H$4:$H$17&lt;&gt;"")),Body!$H$4:$H$17),NA())</f>
        <v/>
      </c>
    </row>
    <row r="10">
      <c r="A10" t="inlineStr">
        <is>
          <t>Strength = training max at each checkpoint (best estimated 1RM so far). #N/A just means no data yet.</t>
        </is>
      </c>
    </row>
  </sheetData>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E3300"/>
  <sheetViews>
    <sheetView workbookViewId="0">
      <selection activeCell="A1" sqref="A1"/>
    </sheetView>
  </sheetViews>
  <sheetFormatPr baseColWidth="8" defaultRowHeight="15"/>
  <sheetData>
    <row r="1">
      <c r="A1" t="inlineStr">
        <is>
          <t>Date</t>
        </is>
      </c>
      <c r="B1" t="inlineStr">
        <is>
          <t>Exercise</t>
        </is>
      </c>
      <c r="C1" t="inlineStr">
        <is>
          <t>Weight</t>
        </is>
      </c>
      <c r="D1" t="inlineStr">
        <is>
          <t>Reps</t>
        </is>
      </c>
      <c r="E1" t="inlineStr">
        <is>
          <t>Est. 1RM</t>
        </is>
      </c>
    </row>
    <row r="2">
      <c r="A2">
        <f>'Baseline'!B7</f>
        <v/>
      </c>
      <c r="B2" t="inlineStr">
        <is>
          <t>Box Jump</t>
        </is>
      </c>
      <c r="C2">
        <f>IF(AND('Baseline'!L9&lt;&gt;"",N('Baseline'!I9)&gt;0),'Baseline'!I9,"")</f>
        <v/>
      </c>
      <c r="D2">
        <f>IF(C2="","",IF(N('Baseline'!J9)&gt;0,'Baseline'!J9,1))</f>
        <v/>
      </c>
      <c r="E2">
        <f>IF(OR(C2="",D2=""),"",IF(D2=1,C2,ROUND(C2*(1+D2/30),1)))</f>
        <v/>
      </c>
    </row>
    <row r="3">
      <c r="A3">
        <f>'Baseline'!B7</f>
        <v/>
      </c>
      <c r="B3" t="inlineStr">
        <is>
          <t>Snatch</t>
        </is>
      </c>
      <c r="C3">
        <f>IF(AND('Baseline'!L11&lt;&gt;"",N('Baseline'!I11)&gt;0),'Baseline'!I11,"")</f>
        <v/>
      </c>
      <c r="D3">
        <f>IF(C3="","",IF(N('Baseline'!J11)&gt;0,'Baseline'!J11,1))</f>
        <v/>
      </c>
      <c r="E3">
        <f>IF(OR(C3="",D3=""),"",IF(D3=1,C3,ROUND(C3*(1+D3/30),1)))</f>
        <v/>
      </c>
    </row>
    <row r="4">
      <c r="A4">
        <f>'Baseline'!B7</f>
        <v/>
      </c>
      <c r="B4" t="inlineStr">
        <is>
          <t>Squat</t>
        </is>
      </c>
      <c r="C4">
        <f>IF(AND('Baseline'!L13&lt;&gt;"",N('Baseline'!I13)&gt;0),'Baseline'!I13,"")</f>
        <v/>
      </c>
      <c r="D4">
        <f>IF(C4="","",IF(N('Baseline'!J13)&gt;0,'Baseline'!J13,1))</f>
        <v/>
      </c>
      <c r="E4">
        <f>IF(OR(C4="",D4=""),"",IF(D4=1,C4,ROUND(C4*(1+D4/30),1)))</f>
        <v/>
      </c>
    </row>
    <row r="5">
      <c r="A5">
        <f>'Baseline'!B7</f>
        <v/>
      </c>
      <c r="B5" t="inlineStr">
        <is>
          <t>Bench Press</t>
        </is>
      </c>
      <c r="C5">
        <f>IF(AND('Baseline'!L15&lt;&gt;"",N('Baseline'!I15)&gt;0),'Baseline'!I15,"")</f>
        <v/>
      </c>
      <c r="D5">
        <f>IF(C5="","",IF(N('Baseline'!J15)&gt;0,'Baseline'!J15,1))</f>
        <v/>
      </c>
      <c r="E5">
        <f>IF(OR(C5="",D5=""),"",IF(D5=1,C5,ROUND(C5*(1+D5/30),1)))</f>
        <v/>
      </c>
    </row>
    <row r="6">
      <c r="A6">
        <f>'Baseline'!B7</f>
        <v/>
      </c>
      <c r="B6" t="inlineStr">
        <is>
          <t>Barbell Row</t>
        </is>
      </c>
      <c r="C6">
        <f>IF(AND('Baseline'!L17&lt;&gt;"",N('Baseline'!I17)&gt;0),'Baseline'!I17,"")</f>
        <v/>
      </c>
      <c r="D6">
        <f>IF(C6="","",IF(N('Baseline'!J17)&gt;0,'Baseline'!J17,1))</f>
        <v/>
      </c>
      <c r="E6">
        <f>IF(OR(C6="",D6=""),"",IF(D6=1,C6,ROUND(C6*(1+D6/30),1)))</f>
        <v/>
      </c>
    </row>
    <row r="7">
      <c r="A7">
        <f>'Baseline'!B7</f>
        <v/>
      </c>
      <c r="B7" t="inlineStr">
        <is>
          <t>Barbell Row</t>
        </is>
      </c>
      <c r="C7">
        <f>IF(AND('Baseline'!L18&lt;&gt;"",N('Baseline'!I18)&gt;0),'Baseline'!I18,"")</f>
        <v/>
      </c>
      <c r="D7">
        <f>IF(C7="","",IF(N('Baseline'!J18)&gt;0,'Baseline'!J18,1))</f>
        <v/>
      </c>
      <c r="E7">
        <f>IF(OR(C7="",D7=""),"",IF(D7=1,C7,ROUND(C7*(1+D7/30),1)))</f>
        <v/>
      </c>
    </row>
    <row r="8">
      <c r="A8">
        <f>'Baseline'!B7</f>
        <v/>
      </c>
      <c r="B8" t="inlineStr">
        <is>
          <t>Face Pull</t>
        </is>
      </c>
      <c r="C8">
        <f>IF(AND('Baseline'!L20&lt;&gt;"",N('Baseline'!I20)&gt;0),'Baseline'!I20,"")</f>
        <v/>
      </c>
      <c r="D8">
        <f>IF(C8="","",IF(N('Baseline'!J20)&gt;0,'Baseline'!J20,1))</f>
        <v/>
      </c>
      <c r="E8">
        <f>IF(OR(C8="",D8=""),"",IF(D8=1,C8,ROUND(C8*(1+D8/30),1)))</f>
        <v/>
      </c>
    </row>
    <row r="9">
      <c r="A9">
        <f>'Baseline'!B7</f>
        <v/>
      </c>
      <c r="B9" t="inlineStr">
        <is>
          <t>Face Pull</t>
        </is>
      </c>
      <c r="C9">
        <f>IF(AND('Baseline'!L21&lt;&gt;"",N('Baseline'!I21)&gt;0),'Baseline'!I21,"")</f>
        <v/>
      </c>
      <c r="D9">
        <f>IF(C9="","",IF(N('Baseline'!J21)&gt;0,'Baseline'!J21,1))</f>
        <v/>
      </c>
      <c r="E9">
        <f>IF(OR(C9="",D9=""),"",IF(D9=1,C9,ROUND(C9*(1+D9/30),1)))</f>
        <v/>
      </c>
    </row>
    <row r="10">
      <c r="A10">
        <f>'Baseline'!B22</f>
        <v/>
      </c>
      <c r="B10" t="inlineStr">
        <is>
          <t>Broad Jump</t>
        </is>
      </c>
      <c r="C10">
        <f>IF(AND('Baseline'!L24&lt;&gt;"",N('Baseline'!I24)&gt;0),'Baseline'!I24,"")</f>
        <v/>
      </c>
      <c r="D10">
        <f>IF(C10="","",IF(N('Baseline'!J24)&gt;0,'Baseline'!J24,1))</f>
        <v/>
      </c>
      <c r="E10">
        <f>IF(OR(C10="",D10=""),"",IF(D10=1,C10,ROUND(C10*(1+D10/30),1)))</f>
        <v/>
      </c>
    </row>
    <row r="11">
      <c r="A11">
        <f>'Baseline'!B22</f>
        <v/>
      </c>
      <c r="B11" t="inlineStr">
        <is>
          <t>Clean &amp; Jerk</t>
        </is>
      </c>
      <c r="C11">
        <f>IF(AND('Baseline'!L26&lt;&gt;"",N('Baseline'!I26)&gt;0),'Baseline'!I26,"")</f>
        <v/>
      </c>
      <c r="D11">
        <f>IF(C11="","",IF(N('Baseline'!J26)&gt;0,'Baseline'!J26,1))</f>
        <v/>
      </c>
      <c r="E11">
        <f>IF(OR(C11="",D11=""),"",IF(D11=1,C11,ROUND(C11*(1+D11/30),1)))</f>
        <v/>
      </c>
    </row>
    <row r="12">
      <c r="A12">
        <f>'Baseline'!B22</f>
        <v/>
      </c>
      <c r="B12" t="inlineStr">
        <is>
          <t>Overhead Press</t>
        </is>
      </c>
      <c r="C12">
        <f>IF(AND('Baseline'!L28&lt;&gt;"",N('Baseline'!I28)&gt;0),'Baseline'!I28,"")</f>
        <v/>
      </c>
      <c r="D12">
        <f>IF(C12="","",IF(N('Baseline'!J28)&gt;0,'Baseline'!J28,1))</f>
        <v/>
      </c>
      <c r="E12">
        <f>IF(OR(C12="",D12=""),"",IF(D12=1,C12,ROUND(C12*(1+D12/30),1)))</f>
        <v/>
      </c>
    </row>
    <row r="13">
      <c r="A13">
        <f>'Baseline'!B22</f>
        <v/>
      </c>
      <c r="B13" t="inlineStr">
        <is>
          <t>Deadlift</t>
        </is>
      </c>
      <c r="C13">
        <f>IF(AND('Baseline'!L30&lt;&gt;"",N('Baseline'!I30)&gt;0),'Baseline'!I30,"")</f>
        <v/>
      </c>
      <c r="D13">
        <f>IF(C13="","",IF(N('Baseline'!J30)&gt;0,'Baseline'!J30,1))</f>
        <v/>
      </c>
      <c r="E13">
        <f>IF(OR(C13="",D13=""),"",IF(D13=1,C13,ROUND(C13*(1+D13/30),1)))</f>
        <v/>
      </c>
    </row>
    <row r="14">
      <c r="A14">
        <f>'Baseline'!B22</f>
        <v/>
      </c>
      <c r="B14" t="inlineStr">
        <is>
          <t>Chin-up</t>
        </is>
      </c>
      <c r="C14">
        <f>IF(AND('Baseline'!L32&lt;&gt;"",N('Baseline'!I32)&gt;0),'Baseline'!I32,"")</f>
        <v/>
      </c>
      <c r="D14">
        <f>IF(C14="","",IF(N('Baseline'!J32)&gt;0,'Baseline'!J32,1))</f>
        <v/>
      </c>
      <c r="E14">
        <f>IF(OR(C14="",D14=""),"",IF(D14=1,C14,ROUND(C14*(1+D14/30),1)))</f>
        <v/>
      </c>
    </row>
    <row r="15">
      <c r="A15">
        <f>'Baseline'!B22</f>
        <v/>
      </c>
      <c r="B15" t="inlineStr">
        <is>
          <t>Chin-up</t>
        </is>
      </c>
      <c r="C15">
        <f>IF(AND('Baseline'!L33&lt;&gt;"",N('Baseline'!I33)&gt;0),'Baseline'!I33,"")</f>
        <v/>
      </c>
      <c r="D15">
        <f>IF(C15="","",IF(N('Baseline'!J33)&gt;0,'Baseline'!J33,1))</f>
        <v/>
      </c>
      <c r="E15">
        <f>IF(OR(C15="",D15=""),"",IF(D15=1,C15,ROUND(C15*(1+D15/30),1)))</f>
        <v/>
      </c>
    </row>
    <row r="16">
      <c r="A16">
        <f>'Baseline'!B22</f>
        <v/>
      </c>
      <c r="B16" t="inlineStr">
        <is>
          <t>Plank</t>
        </is>
      </c>
      <c r="C16">
        <f>IF(AND('Baseline'!L35&lt;&gt;"",N('Baseline'!I35)&gt;0),'Baseline'!I35,"")</f>
        <v/>
      </c>
      <c r="D16">
        <f>IF(C16="","",IF(N('Baseline'!J35)&gt;0,'Baseline'!J35,1))</f>
        <v/>
      </c>
      <c r="E16">
        <f>IF(OR(C16="",D16=""),"",IF(D16=1,C16,ROUND(C16*(1+D16/30),1)))</f>
        <v/>
      </c>
    </row>
    <row r="17">
      <c r="A17">
        <f>'Baseline'!B22</f>
        <v/>
      </c>
      <c r="B17" t="inlineStr">
        <is>
          <t>Plank</t>
        </is>
      </c>
      <c r="C17">
        <f>IF(AND('Baseline'!L36&lt;&gt;"",N('Baseline'!I36)&gt;0),'Baseline'!I36,"")</f>
        <v/>
      </c>
      <c r="D17">
        <f>IF(C17="","",IF(N('Baseline'!J36)&gt;0,'Baseline'!J36,1))</f>
        <v/>
      </c>
      <c r="E17">
        <f>IF(OR(C17="",D17=""),"",IF(D17=1,C17,ROUND(C17*(1+D17/30),1)))</f>
        <v/>
      </c>
    </row>
    <row r="18">
      <c r="A18">
        <f>'Baseline'!B37</f>
        <v/>
      </c>
      <c r="B18" t="inlineStr">
        <is>
          <t>Vertical Jump</t>
        </is>
      </c>
      <c r="C18">
        <f>IF(AND('Baseline'!L39&lt;&gt;"",N('Baseline'!I39)&gt;0),'Baseline'!I39,"")</f>
        <v/>
      </c>
      <c r="D18">
        <f>IF(C18="","",IF(N('Baseline'!J39)&gt;0,'Baseline'!J39,1))</f>
        <v/>
      </c>
      <c r="E18">
        <f>IF(OR(C18="",D18=""),"",IF(D18=1,C18,ROUND(C18*(1+D18/30),1)))</f>
        <v/>
      </c>
    </row>
    <row r="19">
      <c r="A19">
        <f>'Baseline'!B37</f>
        <v/>
      </c>
      <c r="B19" t="inlineStr">
        <is>
          <t>Power Snatch</t>
        </is>
      </c>
      <c r="C19">
        <f>IF(AND('Baseline'!L41&lt;&gt;"",N('Baseline'!I41)&gt;0),'Baseline'!I41,"")</f>
        <v/>
      </c>
      <c r="D19">
        <f>IF(C19="","",IF(N('Baseline'!J41)&gt;0,'Baseline'!J41,1))</f>
        <v/>
      </c>
      <c r="E19">
        <f>IF(OR(C19="",D19=""),"",IF(D19=1,C19,ROUND(C19*(1+D19/30),1)))</f>
        <v/>
      </c>
    </row>
    <row r="20">
      <c r="A20">
        <f>'Baseline'!B37</f>
        <v/>
      </c>
      <c r="B20" t="inlineStr">
        <is>
          <t>Box Squat</t>
        </is>
      </c>
      <c r="C20">
        <f>IF(AND('Baseline'!L43&lt;&gt;"",N('Baseline'!I43)&gt;0),'Baseline'!I43,"")</f>
        <v/>
      </c>
      <c r="D20">
        <f>IF(C20="","",IF(N('Baseline'!J43)&gt;0,'Baseline'!J43,1))</f>
        <v/>
      </c>
      <c r="E20">
        <f>IF(OR(C20="",D20=""),"",IF(D20=1,C20,ROUND(C20*(1+D20/30),1)))</f>
        <v/>
      </c>
    </row>
    <row r="21">
      <c r="A21">
        <f>'Baseline'!B37</f>
        <v/>
      </c>
      <c r="B21" t="inlineStr">
        <is>
          <t>Close-Grip Bench Press</t>
        </is>
      </c>
      <c r="C21">
        <f>IF(AND('Baseline'!L45&lt;&gt;"",N('Baseline'!I45)&gt;0),'Baseline'!I45,"")</f>
        <v/>
      </c>
      <c r="D21">
        <f>IF(C21="","",IF(N('Baseline'!J45)&gt;0,'Baseline'!J45,1))</f>
        <v/>
      </c>
      <c r="E21">
        <f>IF(OR(C21="",D21=""),"",IF(D21=1,C21,ROUND(C21*(1+D21/30),1)))</f>
        <v/>
      </c>
    </row>
    <row r="22">
      <c r="A22">
        <f>'Baseline'!B37</f>
        <v/>
      </c>
      <c r="B22" t="inlineStr">
        <is>
          <t>Romanian Deadlift</t>
        </is>
      </c>
      <c r="C22">
        <f>IF(AND('Baseline'!L47&lt;&gt;"",N('Baseline'!I47)&gt;0),'Baseline'!I47,"")</f>
        <v/>
      </c>
      <c r="D22">
        <f>IF(C22="","",IF(N('Baseline'!J47)&gt;0,'Baseline'!J47,1))</f>
        <v/>
      </c>
      <c r="E22">
        <f>IF(OR(C22="",D22=""),"",IF(D22=1,C22,ROUND(C22*(1+D22/30),1)))</f>
        <v/>
      </c>
    </row>
    <row r="23">
      <c r="A23">
        <f>'Baseline'!B37</f>
        <v/>
      </c>
      <c r="B23" t="inlineStr">
        <is>
          <t>Incline Dumbbell Press</t>
        </is>
      </c>
      <c r="C23">
        <f>IF(AND('Baseline'!L49&lt;&gt;"",N('Baseline'!I49)&gt;0),'Baseline'!I49,"")</f>
        <v/>
      </c>
      <c r="D23">
        <f>IF(C23="","",IF(N('Baseline'!J49)&gt;0,'Baseline'!J49,1))</f>
        <v/>
      </c>
      <c r="E23">
        <f>IF(OR(C23="",D23=""),"",IF(D23=1,C23,ROUND(C23*(1+D23/30),1)))</f>
        <v/>
      </c>
    </row>
    <row r="24">
      <c r="A24">
        <f>'Baseline'!B37</f>
        <v/>
      </c>
      <c r="B24" t="inlineStr">
        <is>
          <t>Incline Dumbbell Press</t>
        </is>
      </c>
      <c r="C24">
        <f>IF(AND('Baseline'!L50&lt;&gt;"",N('Baseline'!I50)&gt;0),'Baseline'!I50,"")</f>
        <v/>
      </c>
      <c r="D24">
        <f>IF(C24="","",IF(N('Baseline'!J50)&gt;0,'Baseline'!J50,1))</f>
        <v/>
      </c>
      <c r="E24">
        <f>IF(OR(C24="",D24=""),"",IF(D24=1,C24,ROUND(C24*(1+D24/30),1)))</f>
        <v/>
      </c>
    </row>
    <row r="25">
      <c r="A25">
        <f>'Baseline'!B37</f>
        <v/>
      </c>
      <c r="B25" t="inlineStr">
        <is>
          <t>Triceps Pushdown</t>
        </is>
      </c>
      <c r="C25">
        <f>IF(AND('Baseline'!L52&lt;&gt;"",N('Baseline'!I52)&gt;0),'Baseline'!I52,"")</f>
        <v/>
      </c>
      <c r="D25">
        <f>IF(C25="","",IF(N('Baseline'!J52)&gt;0,'Baseline'!J52,1))</f>
        <v/>
      </c>
      <c r="E25">
        <f>IF(OR(C25="",D25=""),"",IF(D25=1,C25,ROUND(C25*(1+D25/30),1)))</f>
        <v/>
      </c>
    </row>
    <row r="26">
      <c r="A26">
        <f>'Baseline'!B37</f>
        <v/>
      </c>
      <c r="B26" t="inlineStr">
        <is>
          <t>Triceps Pushdown</t>
        </is>
      </c>
      <c r="C26">
        <f>IF(AND('Baseline'!L53&lt;&gt;"",N('Baseline'!I53)&gt;0),'Baseline'!I53,"")</f>
        <v/>
      </c>
      <c r="D26">
        <f>IF(C26="","",IF(N('Baseline'!J53)&gt;0,'Baseline'!J53,1))</f>
        <v/>
      </c>
      <c r="E26">
        <f>IF(OR(C26="",D26=""),"",IF(D26=1,C26,ROUND(C26*(1+D26/30),1)))</f>
        <v/>
      </c>
    </row>
    <row r="27">
      <c r="A27">
        <f>'Month 01'!B7</f>
        <v/>
      </c>
      <c r="B27" t="inlineStr">
        <is>
          <t>Box Jump</t>
        </is>
      </c>
      <c r="C27">
        <f>IF(AND('Month 01'!L9&lt;&gt;"",N('Month 01'!I9)&gt;0),'Month 01'!I9,"")</f>
        <v/>
      </c>
      <c r="D27">
        <f>IF(C27="","",IF(N('Month 01'!J9)&gt;0,'Month 01'!J9,1))</f>
        <v/>
      </c>
      <c r="E27">
        <f>IF(OR(C27="",D27=""),"",IF(D27=1,C27,ROUND(C27*(1+D27/30),1)))</f>
        <v/>
      </c>
    </row>
    <row r="28">
      <c r="A28">
        <f>'Month 01'!B7</f>
        <v/>
      </c>
      <c r="B28" t="inlineStr">
        <is>
          <t>Box Jump</t>
        </is>
      </c>
      <c r="C28">
        <f>IF(AND('Month 01'!L10&lt;&gt;"",N('Month 01'!I10)&gt;0),'Month 01'!I10,"")</f>
        <v/>
      </c>
      <c r="D28">
        <f>IF(C28="","",IF(N('Month 01'!J10)&gt;0,'Month 01'!J10,1))</f>
        <v/>
      </c>
      <c r="E28">
        <f>IF(OR(C28="",D28=""),"",IF(D28=1,C28,ROUND(C28*(1+D28/30),1)))</f>
        <v/>
      </c>
    </row>
    <row r="29">
      <c r="A29">
        <f>'Month 01'!B7</f>
        <v/>
      </c>
      <c r="B29" t="inlineStr">
        <is>
          <t>Box Jump</t>
        </is>
      </c>
      <c r="C29">
        <f>IF(AND('Month 01'!L11&lt;&gt;"",N('Month 01'!I11)&gt;0),'Month 01'!I11,"")</f>
        <v/>
      </c>
      <c r="D29">
        <f>IF(C29="","",IF(N('Month 01'!J11)&gt;0,'Month 01'!J11,1))</f>
        <v/>
      </c>
      <c r="E29">
        <f>IF(OR(C29="",D29=""),"",IF(D29=1,C29,ROUND(C29*(1+D29/30),1)))</f>
        <v/>
      </c>
    </row>
    <row r="30">
      <c r="A30">
        <f>'Month 01'!B7</f>
        <v/>
      </c>
      <c r="B30" t="inlineStr">
        <is>
          <t>Box Jump</t>
        </is>
      </c>
      <c r="C30">
        <f>IF(AND('Month 01'!L12&lt;&gt;"",N('Month 01'!I12)&gt;0),'Month 01'!I12,"")</f>
        <v/>
      </c>
      <c r="D30">
        <f>IF(C30="","",IF(N('Month 01'!J12)&gt;0,'Month 01'!J12,1))</f>
        <v/>
      </c>
      <c r="E30">
        <f>IF(OR(C30="",D30=""),"",IF(D30=1,C30,ROUND(C30*(1+D30/30),1)))</f>
        <v/>
      </c>
    </row>
    <row r="31">
      <c r="A31">
        <f>'Month 01'!B7</f>
        <v/>
      </c>
      <c r="B31" t="inlineStr">
        <is>
          <t>Snatch</t>
        </is>
      </c>
      <c r="C31">
        <f>IF(AND('Month 01'!L14&lt;&gt;"",N('Month 01'!I14)&gt;0),'Month 01'!I14,"")</f>
        <v/>
      </c>
      <c r="D31">
        <f>IF(C31="","",IF(N('Month 01'!J14)&gt;0,'Month 01'!J14,1))</f>
        <v/>
      </c>
      <c r="E31">
        <f>IF(OR(C31="",D31=""),"",IF(D31=1,C31,ROUND(C31*(1+D31/30),1)))</f>
        <v/>
      </c>
    </row>
    <row r="32">
      <c r="A32">
        <f>'Month 01'!B7</f>
        <v/>
      </c>
      <c r="B32" t="inlineStr">
        <is>
          <t>Snatch</t>
        </is>
      </c>
      <c r="C32">
        <f>IF(AND('Month 01'!L15&lt;&gt;"",N('Month 01'!I15)&gt;0),'Month 01'!I15,"")</f>
        <v/>
      </c>
      <c r="D32">
        <f>IF(C32="","",IF(N('Month 01'!J15)&gt;0,'Month 01'!J15,1))</f>
        <v/>
      </c>
      <c r="E32">
        <f>IF(OR(C32="",D32=""),"",IF(D32=1,C32,ROUND(C32*(1+D32/30),1)))</f>
        <v/>
      </c>
    </row>
    <row r="33">
      <c r="A33">
        <f>'Month 01'!B7</f>
        <v/>
      </c>
      <c r="B33" t="inlineStr">
        <is>
          <t>Snatch</t>
        </is>
      </c>
      <c r="C33">
        <f>IF(AND('Month 01'!L16&lt;&gt;"",N('Month 01'!I16)&gt;0),'Month 01'!I16,"")</f>
        <v/>
      </c>
      <c r="D33">
        <f>IF(C33="","",IF(N('Month 01'!J16)&gt;0,'Month 01'!J16,1))</f>
        <v/>
      </c>
      <c r="E33">
        <f>IF(OR(C33="",D33=""),"",IF(D33=1,C33,ROUND(C33*(1+D33/30),1)))</f>
        <v/>
      </c>
    </row>
    <row r="34">
      <c r="A34">
        <f>'Month 01'!B7</f>
        <v/>
      </c>
      <c r="B34" t="inlineStr">
        <is>
          <t>Snatch</t>
        </is>
      </c>
      <c r="C34">
        <f>IF(AND('Month 01'!L17&lt;&gt;"",N('Month 01'!I17)&gt;0),'Month 01'!I17,"")</f>
        <v/>
      </c>
      <c r="D34">
        <f>IF(C34="","",IF(N('Month 01'!J17)&gt;0,'Month 01'!J17,1))</f>
        <v/>
      </c>
      <c r="E34">
        <f>IF(OR(C34="",D34=""),"",IF(D34=1,C34,ROUND(C34*(1+D34/30),1)))</f>
        <v/>
      </c>
    </row>
    <row r="35">
      <c r="A35">
        <f>'Month 01'!B7</f>
        <v/>
      </c>
      <c r="B35" t="inlineStr">
        <is>
          <t>Squat</t>
        </is>
      </c>
      <c r="C35">
        <f>IF(AND('Month 01'!L19&lt;&gt;"",N('Month 01'!I19)&gt;0),'Month 01'!I19,"")</f>
        <v/>
      </c>
      <c r="D35">
        <f>IF(C35="","",IF(N('Month 01'!J19)&gt;0,'Month 01'!J19,1))</f>
        <v/>
      </c>
      <c r="E35">
        <f>IF(OR(C35="",D35=""),"",IF(D35=1,C35,ROUND(C35*(1+D35/30),1)))</f>
        <v/>
      </c>
    </row>
    <row r="36">
      <c r="A36">
        <f>'Month 01'!B7</f>
        <v/>
      </c>
      <c r="B36" t="inlineStr">
        <is>
          <t>Squat</t>
        </is>
      </c>
      <c r="C36">
        <f>IF(AND('Month 01'!L20&lt;&gt;"",N('Month 01'!I20)&gt;0),'Month 01'!I20,"")</f>
        <v/>
      </c>
      <c r="D36">
        <f>IF(C36="","",IF(N('Month 01'!J20)&gt;0,'Month 01'!J20,1))</f>
        <v/>
      </c>
      <c r="E36">
        <f>IF(OR(C36="",D36=""),"",IF(D36=1,C36,ROUND(C36*(1+D36/30),1)))</f>
        <v/>
      </c>
    </row>
    <row r="37">
      <c r="A37">
        <f>'Month 01'!B7</f>
        <v/>
      </c>
      <c r="B37" t="inlineStr">
        <is>
          <t>Squat</t>
        </is>
      </c>
      <c r="C37">
        <f>IF(AND('Month 01'!L21&lt;&gt;"",N('Month 01'!I21)&gt;0),'Month 01'!I21,"")</f>
        <v/>
      </c>
      <c r="D37">
        <f>IF(C37="","",IF(N('Month 01'!J21)&gt;0,'Month 01'!J21,1))</f>
        <v/>
      </c>
      <c r="E37">
        <f>IF(OR(C37="",D37=""),"",IF(D37=1,C37,ROUND(C37*(1+D37/30),1)))</f>
        <v/>
      </c>
    </row>
    <row r="38">
      <c r="A38">
        <f>'Month 01'!B7</f>
        <v/>
      </c>
      <c r="B38" t="inlineStr">
        <is>
          <t>Bench Press</t>
        </is>
      </c>
      <c r="C38">
        <f>IF(AND('Month 01'!L23&lt;&gt;"",N('Month 01'!I23)&gt;0),'Month 01'!I23,"")</f>
        <v/>
      </c>
      <c r="D38">
        <f>IF(C38="","",IF(N('Month 01'!J23)&gt;0,'Month 01'!J23,1))</f>
        <v/>
      </c>
      <c r="E38">
        <f>IF(OR(C38="",D38=""),"",IF(D38=1,C38,ROUND(C38*(1+D38/30),1)))</f>
        <v/>
      </c>
    </row>
    <row r="39">
      <c r="A39">
        <f>'Month 01'!B7</f>
        <v/>
      </c>
      <c r="B39" t="inlineStr">
        <is>
          <t>Bench Press</t>
        </is>
      </c>
      <c r="C39">
        <f>IF(AND('Month 01'!L24&lt;&gt;"",N('Month 01'!I24)&gt;0),'Month 01'!I24,"")</f>
        <v/>
      </c>
      <c r="D39">
        <f>IF(C39="","",IF(N('Month 01'!J24)&gt;0,'Month 01'!J24,1))</f>
        <v/>
      </c>
      <c r="E39">
        <f>IF(OR(C39="",D39=""),"",IF(D39=1,C39,ROUND(C39*(1+D39/30),1)))</f>
        <v/>
      </c>
    </row>
    <row r="40">
      <c r="A40">
        <f>'Month 01'!B7</f>
        <v/>
      </c>
      <c r="B40" t="inlineStr">
        <is>
          <t>Bench Press</t>
        </is>
      </c>
      <c r="C40">
        <f>IF(AND('Month 01'!L25&lt;&gt;"",N('Month 01'!I25)&gt;0),'Month 01'!I25,"")</f>
        <v/>
      </c>
      <c r="D40">
        <f>IF(C40="","",IF(N('Month 01'!J25)&gt;0,'Month 01'!J25,1))</f>
        <v/>
      </c>
      <c r="E40">
        <f>IF(OR(C40="",D40=""),"",IF(D40=1,C40,ROUND(C40*(1+D40/30),1)))</f>
        <v/>
      </c>
    </row>
    <row r="41">
      <c r="A41">
        <f>'Month 01'!B7</f>
        <v/>
      </c>
      <c r="B41" t="inlineStr">
        <is>
          <t>Barbell Row</t>
        </is>
      </c>
      <c r="C41">
        <f>IF(AND('Month 01'!L27&lt;&gt;"",N('Month 01'!I27)&gt;0),'Month 01'!I27,"")</f>
        <v/>
      </c>
      <c r="D41">
        <f>IF(C41="","",IF(N('Month 01'!J27)&gt;0,'Month 01'!J27,1))</f>
        <v/>
      </c>
      <c r="E41">
        <f>IF(OR(C41="",D41=""),"",IF(D41=1,C41,ROUND(C41*(1+D41/30),1)))</f>
        <v/>
      </c>
    </row>
    <row r="42">
      <c r="A42">
        <f>'Month 01'!B7</f>
        <v/>
      </c>
      <c r="B42" t="inlineStr">
        <is>
          <t>Barbell Row</t>
        </is>
      </c>
      <c r="C42">
        <f>IF(AND('Month 01'!L28&lt;&gt;"",N('Month 01'!I28)&gt;0),'Month 01'!I28,"")</f>
        <v/>
      </c>
      <c r="D42">
        <f>IF(C42="","",IF(N('Month 01'!J28)&gt;0,'Month 01'!J28,1))</f>
        <v/>
      </c>
      <c r="E42">
        <f>IF(OR(C42="",D42=""),"",IF(D42=1,C42,ROUND(C42*(1+D42/30),1)))</f>
        <v/>
      </c>
    </row>
    <row r="43">
      <c r="A43">
        <f>'Month 01'!B7</f>
        <v/>
      </c>
      <c r="B43" t="inlineStr">
        <is>
          <t>Barbell Row</t>
        </is>
      </c>
      <c r="C43">
        <f>IF(AND('Month 01'!L29&lt;&gt;"",N('Month 01'!I29)&gt;0),'Month 01'!I29,"")</f>
        <v/>
      </c>
      <c r="D43">
        <f>IF(C43="","",IF(N('Month 01'!J29)&gt;0,'Month 01'!J29,1))</f>
        <v/>
      </c>
      <c r="E43">
        <f>IF(OR(C43="",D43=""),"",IF(D43=1,C43,ROUND(C43*(1+D43/30),1)))</f>
        <v/>
      </c>
    </row>
    <row r="44">
      <c r="A44">
        <f>'Month 01'!B7</f>
        <v/>
      </c>
      <c r="B44" t="inlineStr">
        <is>
          <t>Barbell Row</t>
        </is>
      </c>
      <c r="C44">
        <f>IF(AND('Month 01'!L30&lt;&gt;"",N('Month 01'!I30)&gt;0),'Month 01'!I30,"")</f>
        <v/>
      </c>
      <c r="D44">
        <f>IF(C44="","",IF(N('Month 01'!J30)&gt;0,'Month 01'!J30,1))</f>
        <v/>
      </c>
      <c r="E44">
        <f>IF(OR(C44="",D44=""),"",IF(D44=1,C44,ROUND(C44*(1+D44/30),1)))</f>
        <v/>
      </c>
    </row>
    <row r="45">
      <c r="A45">
        <f>'Month 01'!B7</f>
        <v/>
      </c>
      <c r="B45" t="inlineStr">
        <is>
          <t>Face Pull</t>
        </is>
      </c>
      <c r="C45">
        <f>IF(AND('Month 01'!L32&lt;&gt;"",N('Month 01'!I32)&gt;0),'Month 01'!I32,"")</f>
        <v/>
      </c>
      <c r="D45">
        <f>IF(C45="","",IF(N('Month 01'!J32)&gt;0,'Month 01'!J32,1))</f>
        <v/>
      </c>
      <c r="E45">
        <f>IF(OR(C45="",D45=""),"",IF(D45=1,C45,ROUND(C45*(1+D45/30),1)))</f>
        <v/>
      </c>
    </row>
    <row r="46">
      <c r="A46">
        <f>'Month 01'!B7</f>
        <v/>
      </c>
      <c r="B46" t="inlineStr">
        <is>
          <t>Face Pull</t>
        </is>
      </c>
      <c r="C46">
        <f>IF(AND('Month 01'!L33&lt;&gt;"",N('Month 01'!I33)&gt;0),'Month 01'!I33,"")</f>
        <v/>
      </c>
      <c r="D46">
        <f>IF(C46="","",IF(N('Month 01'!J33)&gt;0,'Month 01'!J33,1))</f>
        <v/>
      </c>
      <c r="E46">
        <f>IF(OR(C46="",D46=""),"",IF(D46=1,C46,ROUND(C46*(1+D46/30),1)))</f>
        <v/>
      </c>
    </row>
    <row r="47">
      <c r="A47">
        <f>'Month 01'!B7</f>
        <v/>
      </c>
      <c r="B47" t="inlineStr">
        <is>
          <t>Face Pull</t>
        </is>
      </c>
      <c r="C47">
        <f>IF(AND('Month 01'!L34&lt;&gt;"",N('Month 01'!I34)&gt;0),'Month 01'!I34,"")</f>
        <v/>
      </c>
      <c r="D47">
        <f>IF(C47="","",IF(N('Month 01'!J34)&gt;0,'Month 01'!J34,1))</f>
        <v/>
      </c>
      <c r="E47">
        <f>IF(OR(C47="",D47=""),"",IF(D47=1,C47,ROUND(C47*(1+D47/30),1)))</f>
        <v/>
      </c>
    </row>
    <row r="48">
      <c r="A48">
        <f>'Month 01'!B7</f>
        <v/>
      </c>
      <c r="B48" t="inlineStr">
        <is>
          <t>Face Pull</t>
        </is>
      </c>
      <c r="C48">
        <f>IF(AND('Month 01'!L35&lt;&gt;"",N('Month 01'!I35)&gt;0),'Month 01'!I35,"")</f>
        <v/>
      </c>
      <c r="D48">
        <f>IF(C48="","",IF(N('Month 01'!J35)&gt;0,'Month 01'!J35,1))</f>
        <v/>
      </c>
      <c r="E48">
        <f>IF(OR(C48="",D48=""),"",IF(D48=1,C48,ROUND(C48*(1+D48/30),1)))</f>
        <v/>
      </c>
    </row>
    <row r="49">
      <c r="A49">
        <f>'Month 01'!B36</f>
        <v/>
      </c>
      <c r="B49" t="inlineStr">
        <is>
          <t>Broad Jump</t>
        </is>
      </c>
      <c r="C49">
        <f>IF(AND('Month 01'!L38&lt;&gt;"",N('Month 01'!I38)&gt;0),'Month 01'!I38,"")</f>
        <v/>
      </c>
      <c r="D49">
        <f>IF(C49="","",IF(N('Month 01'!J38)&gt;0,'Month 01'!J38,1))</f>
        <v/>
      </c>
      <c r="E49">
        <f>IF(OR(C49="",D49=""),"",IF(D49=1,C49,ROUND(C49*(1+D49/30),1)))</f>
        <v/>
      </c>
    </row>
    <row r="50">
      <c r="A50">
        <f>'Month 01'!B36</f>
        <v/>
      </c>
      <c r="B50" t="inlineStr">
        <is>
          <t>Broad Jump</t>
        </is>
      </c>
      <c r="C50">
        <f>IF(AND('Month 01'!L39&lt;&gt;"",N('Month 01'!I39)&gt;0),'Month 01'!I39,"")</f>
        <v/>
      </c>
      <c r="D50">
        <f>IF(C50="","",IF(N('Month 01'!J39)&gt;0,'Month 01'!J39,1))</f>
        <v/>
      </c>
      <c r="E50">
        <f>IF(OR(C50="",D50=""),"",IF(D50=1,C50,ROUND(C50*(1+D50/30),1)))</f>
        <v/>
      </c>
    </row>
    <row r="51">
      <c r="A51">
        <f>'Month 01'!B36</f>
        <v/>
      </c>
      <c r="B51" t="inlineStr">
        <is>
          <t>Broad Jump</t>
        </is>
      </c>
      <c r="C51">
        <f>IF(AND('Month 01'!L40&lt;&gt;"",N('Month 01'!I40)&gt;0),'Month 01'!I40,"")</f>
        <v/>
      </c>
      <c r="D51">
        <f>IF(C51="","",IF(N('Month 01'!J40)&gt;0,'Month 01'!J40,1))</f>
        <v/>
      </c>
      <c r="E51">
        <f>IF(OR(C51="",D51=""),"",IF(D51=1,C51,ROUND(C51*(1+D51/30),1)))</f>
        <v/>
      </c>
    </row>
    <row r="52">
      <c r="A52">
        <f>'Month 01'!B36</f>
        <v/>
      </c>
      <c r="B52" t="inlineStr">
        <is>
          <t>Broad Jump</t>
        </is>
      </c>
      <c r="C52">
        <f>IF(AND('Month 01'!L41&lt;&gt;"",N('Month 01'!I41)&gt;0),'Month 01'!I41,"")</f>
        <v/>
      </c>
      <c r="D52">
        <f>IF(C52="","",IF(N('Month 01'!J41)&gt;0,'Month 01'!J41,1))</f>
        <v/>
      </c>
      <c r="E52">
        <f>IF(OR(C52="",D52=""),"",IF(D52=1,C52,ROUND(C52*(1+D52/30),1)))</f>
        <v/>
      </c>
    </row>
    <row r="53">
      <c r="A53">
        <f>'Month 01'!B36</f>
        <v/>
      </c>
      <c r="B53" t="inlineStr">
        <is>
          <t>Med Ball Chest Pass</t>
        </is>
      </c>
      <c r="C53">
        <f>IF(AND('Month 01'!L43&lt;&gt;"",N('Month 01'!I43)&gt;0),'Month 01'!I43,"")</f>
        <v/>
      </c>
      <c r="D53">
        <f>IF(C53="","",IF(N('Month 01'!J43)&gt;0,'Month 01'!J43,1))</f>
        <v/>
      </c>
      <c r="E53">
        <f>IF(OR(C53="",D53=""),"",IF(D53=1,C53,ROUND(C53*(1+D53/30),1)))</f>
        <v/>
      </c>
    </row>
    <row r="54">
      <c r="A54">
        <f>'Month 01'!B36</f>
        <v/>
      </c>
      <c r="B54" t="inlineStr">
        <is>
          <t>Med Ball Chest Pass</t>
        </is>
      </c>
      <c r="C54">
        <f>IF(AND('Month 01'!L44&lt;&gt;"",N('Month 01'!I44)&gt;0),'Month 01'!I44,"")</f>
        <v/>
      </c>
      <c r="D54">
        <f>IF(C54="","",IF(N('Month 01'!J44)&gt;0,'Month 01'!J44,1))</f>
        <v/>
      </c>
      <c r="E54">
        <f>IF(OR(C54="",D54=""),"",IF(D54=1,C54,ROUND(C54*(1+D54/30),1)))</f>
        <v/>
      </c>
    </row>
    <row r="55">
      <c r="A55">
        <f>'Month 01'!B36</f>
        <v/>
      </c>
      <c r="B55" t="inlineStr">
        <is>
          <t>Med Ball Chest Pass</t>
        </is>
      </c>
      <c r="C55">
        <f>IF(AND('Month 01'!L45&lt;&gt;"",N('Month 01'!I45)&gt;0),'Month 01'!I45,"")</f>
        <v/>
      </c>
      <c r="D55">
        <f>IF(C55="","",IF(N('Month 01'!J45)&gt;0,'Month 01'!J45,1))</f>
        <v/>
      </c>
      <c r="E55">
        <f>IF(OR(C55="",D55=""),"",IF(D55=1,C55,ROUND(C55*(1+D55/30),1)))</f>
        <v/>
      </c>
    </row>
    <row r="56">
      <c r="A56">
        <f>'Month 01'!B36</f>
        <v/>
      </c>
      <c r="B56" t="inlineStr">
        <is>
          <t>Clean &amp; Jerk</t>
        </is>
      </c>
      <c r="C56">
        <f>IF(AND('Month 01'!L47&lt;&gt;"",N('Month 01'!I47)&gt;0),'Month 01'!I47,"")</f>
        <v/>
      </c>
      <c r="D56">
        <f>IF(C56="","",IF(N('Month 01'!J47)&gt;0,'Month 01'!J47,1))</f>
        <v/>
      </c>
      <c r="E56">
        <f>IF(OR(C56="",D56=""),"",IF(D56=1,C56,ROUND(C56*(1+D56/30),1)))</f>
        <v/>
      </c>
    </row>
    <row r="57">
      <c r="A57">
        <f>'Month 01'!B36</f>
        <v/>
      </c>
      <c r="B57" t="inlineStr">
        <is>
          <t>Clean &amp; Jerk</t>
        </is>
      </c>
      <c r="C57">
        <f>IF(AND('Month 01'!L48&lt;&gt;"",N('Month 01'!I48)&gt;0),'Month 01'!I48,"")</f>
        <v/>
      </c>
      <c r="D57">
        <f>IF(C57="","",IF(N('Month 01'!J48)&gt;0,'Month 01'!J48,1))</f>
        <v/>
      </c>
      <c r="E57">
        <f>IF(OR(C57="",D57=""),"",IF(D57=1,C57,ROUND(C57*(1+D57/30),1)))</f>
        <v/>
      </c>
    </row>
    <row r="58">
      <c r="A58">
        <f>'Month 01'!B36</f>
        <v/>
      </c>
      <c r="B58" t="inlineStr">
        <is>
          <t>Clean &amp; Jerk</t>
        </is>
      </c>
      <c r="C58">
        <f>IF(AND('Month 01'!L49&lt;&gt;"",N('Month 01'!I49)&gt;0),'Month 01'!I49,"")</f>
        <v/>
      </c>
      <c r="D58">
        <f>IF(C58="","",IF(N('Month 01'!J49)&gt;0,'Month 01'!J49,1))</f>
        <v/>
      </c>
      <c r="E58">
        <f>IF(OR(C58="",D58=""),"",IF(D58=1,C58,ROUND(C58*(1+D58/30),1)))</f>
        <v/>
      </c>
    </row>
    <row r="59">
      <c r="A59">
        <f>'Month 01'!B36</f>
        <v/>
      </c>
      <c r="B59" t="inlineStr">
        <is>
          <t>Clean &amp; Jerk</t>
        </is>
      </c>
      <c r="C59">
        <f>IF(AND('Month 01'!L50&lt;&gt;"",N('Month 01'!I50)&gt;0),'Month 01'!I50,"")</f>
        <v/>
      </c>
      <c r="D59">
        <f>IF(C59="","",IF(N('Month 01'!J50)&gt;0,'Month 01'!J50,1))</f>
        <v/>
      </c>
      <c r="E59">
        <f>IF(OR(C59="",D59=""),"",IF(D59=1,C59,ROUND(C59*(1+D59/30),1)))</f>
        <v/>
      </c>
    </row>
    <row r="60">
      <c r="A60">
        <f>'Month 01'!B36</f>
        <v/>
      </c>
      <c r="B60" t="inlineStr">
        <is>
          <t>Squat</t>
        </is>
      </c>
      <c r="C60">
        <f>IF(AND('Month 01'!L52&lt;&gt;"",N('Month 01'!I52)&gt;0),'Month 01'!I52,"")</f>
        <v/>
      </c>
      <c r="D60">
        <f>IF(C60="","",IF(N('Month 01'!J52)&gt;0,'Month 01'!J52,1))</f>
        <v/>
      </c>
      <c r="E60">
        <f>IF(OR(C60="",D60=""),"",IF(D60=1,C60,ROUND(C60*(1+D60/30),1)))</f>
        <v/>
      </c>
    </row>
    <row r="61">
      <c r="A61">
        <f>'Month 01'!B36</f>
        <v/>
      </c>
      <c r="B61" t="inlineStr">
        <is>
          <t>Squat</t>
        </is>
      </c>
      <c r="C61">
        <f>IF(AND('Month 01'!L53&lt;&gt;"",N('Month 01'!I53)&gt;0),'Month 01'!I53,"")</f>
        <v/>
      </c>
      <c r="D61">
        <f>IF(C61="","",IF(N('Month 01'!J53)&gt;0,'Month 01'!J53,1))</f>
        <v/>
      </c>
      <c r="E61">
        <f>IF(OR(C61="",D61=""),"",IF(D61=1,C61,ROUND(C61*(1+D61/30),1)))</f>
        <v/>
      </c>
    </row>
    <row r="62">
      <c r="A62">
        <f>'Month 01'!B36</f>
        <v/>
      </c>
      <c r="B62" t="inlineStr">
        <is>
          <t>Squat</t>
        </is>
      </c>
      <c r="C62">
        <f>IF(AND('Month 01'!L54&lt;&gt;"",N('Month 01'!I54)&gt;0),'Month 01'!I54,"")</f>
        <v/>
      </c>
      <c r="D62">
        <f>IF(C62="","",IF(N('Month 01'!J54)&gt;0,'Month 01'!J54,1))</f>
        <v/>
      </c>
      <c r="E62">
        <f>IF(OR(C62="",D62=""),"",IF(D62=1,C62,ROUND(C62*(1+D62/30),1)))</f>
        <v/>
      </c>
    </row>
    <row r="63">
      <c r="A63">
        <f>'Month 01'!B36</f>
        <v/>
      </c>
      <c r="B63" t="inlineStr">
        <is>
          <t>Overhead Press</t>
        </is>
      </c>
      <c r="C63">
        <f>IF(AND('Month 01'!L56&lt;&gt;"",N('Month 01'!I56)&gt;0),'Month 01'!I56,"")</f>
        <v/>
      </c>
      <c r="D63">
        <f>IF(C63="","",IF(N('Month 01'!J56)&gt;0,'Month 01'!J56,1))</f>
        <v/>
      </c>
      <c r="E63">
        <f>IF(OR(C63="",D63=""),"",IF(D63=1,C63,ROUND(C63*(1+D63/30),1)))</f>
        <v/>
      </c>
    </row>
    <row r="64">
      <c r="A64">
        <f>'Month 01'!B36</f>
        <v/>
      </c>
      <c r="B64" t="inlineStr">
        <is>
          <t>Overhead Press</t>
        </is>
      </c>
      <c r="C64">
        <f>IF(AND('Month 01'!L57&lt;&gt;"",N('Month 01'!I57)&gt;0),'Month 01'!I57,"")</f>
        <v/>
      </c>
      <c r="D64">
        <f>IF(C64="","",IF(N('Month 01'!J57)&gt;0,'Month 01'!J57,1))</f>
        <v/>
      </c>
      <c r="E64">
        <f>IF(OR(C64="",D64=""),"",IF(D64=1,C64,ROUND(C64*(1+D64/30),1)))</f>
        <v/>
      </c>
    </row>
    <row r="65">
      <c r="A65">
        <f>'Month 01'!B36</f>
        <v/>
      </c>
      <c r="B65" t="inlineStr">
        <is>
          <t>Overhead Press</t>
        </is>
      </c>
      <c r="C65">
        <f>IF(AND('Month 01'!L58&lt;&gt;"",N('Month 01'!I58)&gt;0),'Month 01'!I58,"")</f>
        <v/>
      </c>
      <c r="D65">
        <f>IF(C65="","",IF(N('Month 01'!J58)&gt;0,'Month 01'!J58,1))</f>
        <v/>
      </c>
      <c r="E65">
        <f>IF(OR(C65="",D65=""),"",IF(D65=1,C65,ROUND(C65*(1+D65/30),1)))</f>
        <v/>
      </c>
    </row>
    <row r="66">
      <c r="A66">
        <f>'Month 01'!B36</f>
        <v/>
      </c>
      <c r="B66" t="inlineStr">
        <is>
          <t>Overhead Press</t>
        </is>
      </c>
      <c r="C66">
        <f>IF(AND('Month 01'!L59&lt;&gt;"",N('Month 01'!I59)&gt;0),'Month 01'!I59,"")</f>
        <v/>
      </c>
      <c r="D66">
        <f>IF(C66="","",IF(N('Month 01'!J59)&gt;0,'Month 01'!J59,1))</f>
        <v/>
      </c>
      <c r="E66">
        <f>IF(OR(C66="",D66=""),"",IF(D66=1,C66,ROUND(C66*(1+D66/30),1)))</f>
        <v/>
      </c>
    </row>
    <row r="67">
      <c r="A67">
        <f>'Month 01'!B36</f>
        <v/>
      </c>
      <c r="B67" t="inlineStr">
        <is>
          <t>Deadlift</t>
        </is>
      </c>
      <c r="C67">
        <f>IF(AND('Month 01'!L61&lt;&gt;"",N('Month 01'!I61)&gt;0),'Month 01'!I61,"")</f>
        <v/>
      </c>
      <c r="D67">
        <f>IF(C67="","",IF(N('Month 01'!J61)&gt;0,'Month 01'!J61,1))</f>
        <v/>
      </c>
      <c r="E67">
        <f>IF(OR(C67="",D67=""),"",IF(D67=1,C67,ROUND(C67*(1+D67/30),1)))</f>
        <v/>
      </c>
    </row>
    <row r="68">
      <c r="A68">
        <f>'Month 01'!B36</f>
        <v/>
      </c>
      <c r="B68" t="inlineStr">
        <is>
          <t>Deadlift</t>
        </is>
      </c>
      <c r="C68">
        <f>IF(AND('Month 01'!L62&lt;&gt;"",N('Month 01'!I62)&gt;0),'Month 01'!I62,"")</f>
        <v/>
      </c>
      <c r="D68">
        <f>IF(C68="","",IF(N('Month 01'!J62)&gt;0,'Month 01'!J62,1))</f>
        <v/>
      </c>
      <c r="E68">
        <f>IF(OR(C68="",D68=""),"",IF(D68=1,C68,ROUND(C68*(1+D68/30),1)))</f>
        <v/>
      </c>
    </row>
    <row r="69">
      <c r="A69">
        <f>'Month 01'!B36</f>
        <v/>
      </c>
      <c r="B69" t="inlineStr">
        <is>
          <t>Deadlift</t>
        </is>
      </c>
      <c r="C69">
        <f>IF(AND('Month 01'!L63&lt;&gt;"",N('Month 01'!I63)&gt;0),'Month 01'!I63,"")</f>
        <v/>
      </c>
      <c r="D69">
        <f>IF(C69="","",IF(N('Month 01'!J63)&gt;0,'Month 01'!J63,1))</f>
        <v/>
      </c>
      <c r="E69">
        <f>IF(OR(C69="",D69=""),"",IF(D69=1,C69,ROUND(C69*(1+D69/30),1)))</f>
        <v/>
      </c>
    </row>
    <row r="70">
      <c r="A70">
        <f>'Month 01'!B36</f>
        <v/>
      </c>
      <c r="B70" t="inlineStr">
        <is>
          <t>Chin-up</t>
        </is>
      </c>
      <c r="C70">
        <f>IF(AND('Month 01'!L65&lt;&gt;"",N('Month 01'!I65)&gt;0),'Month 01'!I65,"")</f>
        <v/>
      </c>
      <c r="D70">
        <f>IF(C70="","",IF(N('Month 01'!J65)&gt;0,'Month 01'!J65,1))</f>
        <v/>
      </c>
      <c r="E70">
        <f>IF(OR(C70="",D70=""),"",IF(D70=1,C70,ROUND(C70*(1+D70/30),1)))</f>
        <v/>
      </c>
    </row>
    <row r="71">
      <c r="A71">
        <f>'Month 01'!B36</f>
        <v/>
      </c>
      <c r="B71" t="inlineStr">
        <is>
          <t>Chin-up</t>
        </is>
      </c>
      <c r="C71">
        <f>IF(AND('Month 01'!L66&lt;&gt;"",N('Month 01'!I66)&gt;0),'Month 01'!I66,"")</f>
        <v/>
      </c>
      <c r="D71">
        <f>IF(C71="","",IF(N('Month 01'!J66)&gt;0,'Month 01'!J66,1))</f>
        <v/>
      </c>
      <c r="E71">
        <f>IF(OR(C71="",D71=""),"",IF(D71=1,C71,ROUND(C71*(1+D71/30),1)))</f>
        <v/>
      </c>
    </row>
    <row r="72">
      <c r="A72">
        <f>'Month 01'!B36</f>
        <v/>
      </c>
      <c r="B72" t="inlineStr">
        <is>
          <t>Chin-up</t>
        </is>
      </c>
      <c r="C72">
        <f>IF(AND('Month 01'!L67&lt;&gt;"",N('Month 01'!I67)&gt;0),'Month 01'!I67,"")</f>
        <v/>
      </c>
      <c r="D72">
        <f>IF(C72="","",IF(N('Month 01'!J67)&gt;0,'Month 01'!J67,1))</f>
        <v/>
      </c>
      <c r="E72">
        <f>IF(OR(C72="",D72=""),"",IF(D72=1,C72,ROUND(C72*(1+D72/30),1)))</f>
        <v/>
      </c>
    </row>
    <row r="73">
      <c r="A73">
        <f>'Month 01'!B36</f>
        <v/>
      </c>
      <c r="B73" t="inlineStr">
        <is>
          <t>Chin-up</t>
        </is>
      </c>
      <c r="C73">
        <f>IF(AND('Month 01'!L68&lt;&gt;"",N('Month 01'!I68)&gt;0),'Month 01'!I68,"")</f>
        <v/>
      </c>
      <c r="D73">
        <f>IF(C73="","",IF(N('Month 01'!J68)&gt;0,'Month 01'!J68,1))</f>
        <v/>
      </c>
      <c r="E73">
        <f>IF(OR(C73="",D73=""),"",IF(D73=1,C73,ROUND(C73*(1+D73/30),1)))</f>
        <v/>
      </c>
    </row>
    <row r="74">
      <c r="A74">
        <f>'Month 01'!B36</f>
        <v/>
      </c>
      <c r="B74" t="inlineStr">
        <is>
          <t>Plank</t>
        </is>
      </c>
      <c r="C74">
        <f>IF(AND('Month 01'!L70&lt;&gt;"",N('Month 01'!I70)&gt;0),'Month 01'!I70,"")</f>
        <v/>
      </c>
      <c r="D74">
        <f>IF(C74="","",IF(N('Month 01'!J70)&gt;0,'Month 01'!J70,1))</f>
        <v/>
      </c>
      <c r="E74">
        <f>IF(OR(C74="",D74=""),"",IF(D74=1,C74,ROUND(C74*(1+D74/30),1)))</f>
        <v/>
      </c>
    </row>
    <row r="75">
      <c r="A75">
        <f>'Month 01'!B36</f>
        <v/>
      </c>
      <c r="B75" t="inlineStr">
        <is>
          <t>Plank</t>
        </is>
      </c>
      <c r="C75">
        <f>IF(AND('Month 01'!L71&lt;&gt;"",N('Month 01'!I71)&gt;0),'Month 01'!I71,"")</f>
        <v/>
      </c>
      <c r="D75">
        <f>IF(C75="","",IF(N('Month 01'!J71)&gt;0,'Month 01'!J71,1))</f>
        <v/>
      </c>
      <c r="E75">
        <f>IF(OR(C75="",D75=""),"",IF(D75=1,C75,ROUND(C75*(1+D75/30),1)))</f>
        <v/>
      </c>
    </row>
    <row r="76">
      <c r="A76">
        <f>'Month 01'!B36</f>
        <v/>
      </c>
      <c r="B76" t="inlineStr">
        <is>
          <t>Plank</t>
        </is>
      </c>
      <c r="C76">
        <f>IF(AND('Month 01'!L72&lt;&gt;"",N('Month 01'!I72)&gt;0),'Month 01'!I72,"")</f>
        <v/>
      </c>
      <c r="D76">
        <f>IF(C76="","",IF(N('Month 01'!J72)&gt;0,'Month 01'!J72,1))</f>
        <v/>
      </c>
      <c r="E76">
        <f>IF(OR(C76="",D76=""),"",IF(D76=1,C76,ROUND(C76*(1+D76/30),1)))</f>
        <v/>
      </c>
    </row>
    <row r="77">
      <c r="A77">
        <f>'Month 01'!B36</f>
        <v/>
      </c>
      <c r="B77" t="inlineStr">
        <is>
          <t>Plank</t>
        </is>
      </c>
      <c r="C77">
        <f>IF(AND('Month 01'!L73&lt;&gt;"",N('Month 01'!I73)&gt;0),'Month 01'!I73,"")</f>
        <v/>
      </c>
      <c r="D77">
        <f>IF(C77="","",IF(N('Month 01'!J73)&gt;0,'Month 01'!J73,1))</f>
        <v/>
      </c>
      <c r="E77">
        <f>IF(OR(C77="",D77=""),"",IF(D77=1,C77,ROUND(C77*(1+D77/30),1)))</f>
        <v/>
      </c>
    </row>
    <row r="78">
      <c r="A78">
        <f>'Month 01'!B74</f>
        <v/>
      </c>
      <c r="B78" t="inlineStr">
        <is>
          <t>Depth Jump</t>
        </is>
      </c>
      <c r="C78">
        <f>IF(AND('Month 01'!L76&lt;&gt;"",N('Month 01'!I76)&gt;0),'Month 01'!I76,"")</f>
        <v/>
      </c>
      <c r="D78">
        <f>IF(C78="","",IF(N('Month 01'!J76)&gt;0,'Month 01'!J76,1))</f>
        <v/>
      </c>
      <c r="E78">
        <f>IF(OR(C78="",D78=""),"",IF(D78=1,C78,ROUND(C78*(1+D78/30),1)))</f>
        <v/>
      </c>
    </row>
    <row r="79">
      <c r="A79">
        <f>'Month 01'!B74</f>
        <v/>
      </c>
      <c r="B79" t="inlineStr">
        <is>
          <t>Depth Jump</t>
        </is>
      </c>
      <c r="C79">
        <f>IF(AND('Month 01'!L77&lt;&gt;"",N('Month 01'!I77)&gt;0),'Month 01'!I77,"")</f>
        <v/>
      </c>
      <c r="D79">
        <f>IF(C79="","",IF(N('Month 01'!J77)&gt;0,'Month 01'!J77,1))</f>
        <v/>
      </c>
      <c r="E79">
        <f>IF(OR(C79="",D79=""),"",IF(D79=1,C79,ROUND(C79*(1+D79/30),1)))</f>
        <v/>
      </c>
    </row>
    <row r="80">
      <c r="A80">
        <f>'Month 01'!B74</f>
        <v/>
      </c>
      <c r="B80" t="inlineStr">
        <is>
          <t>Depth Jump</t>
        </is>
      </c>
      <c r="C80">
        <f>IF(AND('Month 01'!L78&lt;&gt;"",N('Month 01'!I78)&gt;0),'Month 01'!I78,"")</f>
        <v/>
      </c>
      <c r="D80">
        <f>IF(C80="","",IF(N('Month 01'!J78)&gt;0,'Month 01'!J78,1))</f>
        <v/>
      </c>
      <c r="E80">
        <f>IF(OR(C80="",D80=""),"",IF(D80=1,C80,ROUND(C80*(1+D80/30),1)))</f>
        <v/>
      </c>
    </row>
    <row r="81">
      <c r="A81">
        <f>'Month 01'!B74</f>
        <v/>
      </c>
      <c r="B81" t="inlineStr">
        <is>
          <t>Depth Jump</t>
        </is>
      </c>
      <c r="C81">
        <f>IF(AND('Month 01'!L79&lt;&gt;"",N('Month 01'!I79)&gt;0),'Month 01'!I79,"")</f>
        <v/>
      </c>
      <c r="D81">
        <f>IF(C81="","",IF(N('Month 01'!J79)&gt;0,'Month 01'!J79,1))</f>
        <v/>
      </c>
      <c r="E81">
        <f>IF(OR(C81="",D81=""),"",IF(D81=1,C81,ROUND(C81*(1+D81/30),1)))</f>
        <v/>
      </c>
    </row>
    <row r="82">
      <c r="A82">
        <f>'Month 01'!B74</f>
        <v/>
      </c>
      <c r="B82" t="inlineStr">
        <is>
          <t>Power Snatch</t>
        </is>
      </c>
      <c r="C82">
        <f>IF(AND('Month 01'!L81&lt;&gt;"",N('Month 01'!I81)&gt;0),'Month 01'!I81,"")</f>
        <v/>
      </c>
      <c r="D82">
        <f>IF(C82="","",IF(N('Month 01'!J81)&gt;0,'Month 01'!J81,1))</f>
        <v/>
      </c>
      <c r="E82">
        <f>IF(OR(C82="",D82=""),"",IF(D82=1,C82,ROUND(C82*(1+D82/30),1)))</f>
        <v/>
      </c>
    </row>
    <row r="83">
      <c r="A83">
        <f>'Month 01'!B74</f>
        <v/>
      </c>
      <c r="B83" t="inlineStr">
        <is>
          <t>Power Snatch</t>
        </is>
      </c>
      <c r="C83">
        <f>IF(AND('Month 01'!L82&lt;&gt;"",N('Month 01'!I82)&gt;0),'Month 01'!I82,"")</f>
        <v/>
      </c>
      <c r="D83">
        <f>IF(C83="","",IF(N('Month 01'!J82)&gt;0,'Month 01'!J82,1))</f>
        <v/>
      </c>
      <c r="E83">
        <f>IF(OR(C83="",D83=""),"",IF(D83=1,C83,ROUND(C83*(1+D83/30),1)))</f>
        <v/>
      </c>
    </row>
    <row r="84">
      <c r="A84">
        <f>'Month 01'!B74</f>
        <v/>
      </c>
      <c r="B84" t="inlineStr">
        <is>
          <t>Power Snatch</t>
        </is>
      </c>
      <c r="C84">
        <f>IF(AND('Month 01'!L83&lt;&gt;"",N('Month 01'!I83)&gt;0),'Month 01'!I83,"")</f>
        <v/>
      </c>
      <c r="D84">
        <f>IF(C84="","",IF(N('Month 01'!J83)&gt;0,'Month 01'!J83,1))</f>
        <v/>
      </c>
      <c r="E84">
        <f>IF(OR(C84="",D84=""),"",IF(D84=1,C84,ROUND(C84*(1+D84/30),1)))</f>
        <v/>
      </c>
    </row>
    <row r="85">
      <c r="A85">
        <f>'Month 01'!B74</f>
        <v/>
      </c>
      <c r="B85" t="inlineStr">
        <is>
          <t>Power Snatch</t>
        </is>
      </c>
      <c r="C85">
        <f>IF(AND('Month 01'!L84&lt;&gt;"",N('Month 01'!I84)&gt;0),'Month 01'!I84,"")</f>
        <v/>
      </c>
      <c r="D85">
        <f>IF(C85="","",IF(N('Month 01'!J84)&gt;0,'Month 01'!J84,1))</f>
        <v/>
      </c>
      <c r="E85">
        <f>IF(OR(C85="",D85=""),"",IF(D85=1,C85,ROUND(C85*(1+D85/30),1)))</f>
        <v/>
      </c>
    </row>
    <row r="86">
      <c r="A86">
        <f>'Month 01'!B74</f>
        <v/>
      </c>
      <c r="B86" t="inlineStr">
        <is>
          <t>Power Snatch</t>
        </is>
      </c>
      <c r="C86">
        <f>IF(AND('Month 01'!L85&lt;&gt;"",N('Month 01'!I85)&gt;0),'Month 01'!I85,"")</f>
        <v/>
      </c>
      <c r="D86">
        <f>IF(C86="","",IF(N('Month 01'!J85)&gt;0,'Month 01'!J85,1))</f>
        <v/>
      </c>
      <c r="E86">
        <f>IF(OR(C86="",D86=""),"",IF(D86=1,C86,ROUND(C86*(1+D86/30),1)))</f>
        <v/>
      </c>
    </row>
    <row r="87">
      <c r="A87">
        <f>'Month 01'!B74</f>
        <v/>
      </c>
      <c r="B87" t="inlineStr">
        <is>
          <t>Power Snatch</t>
        </is>
      </c>
      <c r="C87">
        <f>IF(AND('Month 01'!L86&lt;&gt;"",N('Month 01'!I86)&gt;0),'Month 01'!I86,"")</f>
        <v/>
      </c>
      <c r="D87">
        <f>IF(C87="","",IF(N('Month 01'!J86)&gt;0,'Month 01'!J86,1))</f>
        <v/>
      </c>
      <c r="E87">
        <f>IF(OR(C87="",D87=""),"",IF(D87=1,C87,ROUND(C87*(1+D87/30),1)))</f>
        <v/>
      </c>
    </row>
    <row r="88">
      <c r="A88">
        <f>'Month 01'!B74</f>
        <v/>
      </c>
      <c r="B88" t="inlineStr">
        <is>
          <t>Box Squat</t>
        </is>
      </c>
      <c r="C88">
        <f>IF(AND('Month 01'!L88&lt;&gt;"",N('Month 01'!I88)&gt;0),'Month 01'!I88,"")</f>
        <v/>
      </c>
      <c r="D88">
        <f>IF(C88="","",IF(N('Month 01'!J88)&gt;0,'Month 01'!J88,1))</f>
        <v/>
      </c>
      <c r="E88">
        <f>IF(OR(C88="",D88=""),"",IF(D88=1,C88,ROUND(C88*(1+D88/30),1)))</f>
        <v/>
      </c>
    </row>
    <row r="89">
      <c r="A89">
        <f>'Month 01'!B74</f>
        <v/>
      </c>
      <c r="B89" t="inlineStr">
        <is>
          <t>Box Squat</t>
        </is>
      </c>
      <c r="C89">
        <f>IF(AND('Month 01'!L89&lt;&gt;"",N('Month 01'!I89)&gt;0),'Month 01'!I89,"")</f>
        <v/>
      </c>
      <c r="D89">
        <f>IF(C89="","",IF(N('Month 01'!J89)&gt;0,'Month 01'!J89,1))</f>
        <v/>
      </c>
      <c r="E89">
        <f>IF(OR(C89="",D89=""),"",IF(D89=1,C89,ROUND(C89*(1+D89/30),1)))</f>
        <v/>
      </c>
    </row>
    <row r="90">
      <c r="A90">
        <f>'Month 01'!B74</f>
        <v/>
      </c>
      <c r="B90" t="inlineStr">
        <is>
          <t>Box Squat</t>
        </is>
      </c>
      <c r="C90">
        <f>IF(AND('Month 01'!L90&lt;&gt;"",N('Month 01'!I90)&gt;0),'Month 01'!I90,"")</f>
        <v/>
      </c>
      <c r="D90">
        <f>IF(C90="","",IF(N('Month 01'!J90)&gt;0,'Month 01'!J90,1))</f>
        <v/>
      </c>
      <c r="E90">
        <f>IF(OR(C90="",D90=""),"",IF(D90=1,C90,ROUND(C90*(1+D90/30),1)))</f>
        <v/>
      </c>
    </row>
    <row r="91">
      <c r="A91">
        <f>'Month 01'!B74</f>
        <v/>
      </c>
      <c r="B91" t="inlineStr">
        <is>
          <t>Box Squat</t>
        </is>
      </c>
      <c r="C91">
        <f>IF(AND('Month 01'!L91&lt;&gt;"",N('Month 01'!I91)&gt;0),'Month 01'!I91,"")</f>
        <v/>
      </c>
      <c r="D91">
        <f>IF(C91="","",IF(N('Month 01'!J91)&gt;0,'Month 01'!J91,1))</f>
        <v/>
      </c>
      <c r="E91">
        <f>IF(OR(C91="",D91=""),"",IF(D91=1,C91,ROUND(C91*(1+D91/30),1)))</f>
        <v/>
      </c>
    </row>
    <row r="92">
      <c r="A92">
        <f>'Month 01'!B74</f>
        <v/>
      </c>
      <c r="B92" t="inlineStr">
        <is>
          <t>Close-Grip Bench Press</t>
        </is>
      </c>
      <c r="C92">
        <f>IF(AND('Month 01'!L93&lt;&gt;"",N('Month 01'!I93)&gt;0),'Month 01'!I93,"")</f>
        <v/>
      </c>
      <c r="D92">
        <f>IF(C92="","",IF(N('Month 01'!J93)&gt;0,'Month 01'!J93,1))</f>
        <v/>
      </c>
      <c r="E92">
        <f>IF(OR(C92="",D92=""),"",IF(D92=1,C92,ROUND(C92*(1+D92/30),1)))</f>
        <v/>
      </c>
    </row>
    <row r="93">
      <c r="A93">
        <f>'Month 01'!B74</f>
        <v/>
      </c>
      <c r="B93" t="inlineStr">
        <is>
          <t>Close-Grip Bench Press</t>
        </is>
      </c>
      <c r="C93">
        <f>IF(AND('Month 01'!L94&lt;&gt;"",N('Month 01'!I94)&gt;0),'Month 01'!I94,"")</f>
        <v/>
      </c>
      <c r="D93">
        <f>IF(C93="","",IF(N('Month 01'!J94)&gt;0,'Month 01'!J94,1))</f>
        <v/>
      </c>
      <c r="E93">
        <f>IF(OR(C93="",D93=""),"",IF(D93=1,C93,ROUND(C93*(1+D93/30),1)))</f>
        <v/>
      </c>
    </row>
    <row r="94">
      <c r="A94">
        <f>'Month 01'!B74</f>
        <v/>
      </c>
      <c r="B94" t="inlineStr">
        <is>
          <t>Close-Grip Bench Press</t>
        </is>
      </c>
      <c r="C94">
        <f>IF(AND('Month 01'!L95&lt;&gt;"",N('Month 01'!I95)&gt;0),'Month 01'!I95,"")</f>
        <v/>
      </c>
      <c r="D94">
        <f>IF(C94="","",IF(N('Month 01'!J95)&gt;0,'Month 01'!J95,1))</f>
        <v/>
      </c>
      <c r="E94">
        <f>IF(OR(C94="",D94=""),"",IF(D94=1,C94,ROUND(C94*(1+D94/30),1)))</f>
        <v/>
      </c>
    </row>
    <row r="95">
      <c r="A95">
        <f>'Month 01'!B74</f>
        <v/>
      </c>
      <c r="B95" t="inlineStr">
        <is>
          <t>Close-Grip Bench Press</t>
        </is>
      </c>
      <c r="C95">
        <f>IF(AND('Month 01'!L96&lt;&gt;"",N('Month 01'!I96)&gt;0),'Month 01'!I96,"")</f>
        <v/>
      </c>
      <c r="D95">
        <f>IF(C95="","",IF(N('Month 01'!J96)&gt;0,'Month 01'!J96,1))</f>
        <v/>
      </c>
      <c r="E95">
        <f>IF(OR(C95="",D95=""),"",IF(D95=1,C95,ROUND(C95*(1+D95/30),1)))</f>
        <v/>
      </c>
    </row>
    <row r="96">
      <c r="A96">
        <f>'Month 01'!B74</f>
        <v/>
      </c>
      <c r="B96" t="inlineStr">
        <is>
          <t>Romanian Deadlift</t>
        </is>
      </c>
      <c r="C96">
        <f>IF(AND('Month 01'!L98&lt;&gt;"",N('Month 01'!I98)&gt;0),'Month 01'!I98,"")</f>
        <v/>
      </c>
      <c r="D96">
        <f>IF(C96="","",IF(N('Month 01'!J98)&gt;0,'Month 01'!J98,1))</f>
        <v/>
      </c>
      <c r="E96">
        <f>IF(OR(C96="",D96=""),"",IF(D96=1,C96,ROUND(C96*(1+D96/30),1)))</f>
        <v/>
      </c>
    </row>
    <row r="97">
      <c r="A97">
        <f>'Month 01'!B74</f>
        <v/>
      </c>
      <c r="B97" t="inlineStr">
        <is>
          <t>Romanian Deadlift</t>
        </is>
      </c>
      <c r="C97">
        <f>IF(AND('Month 01'!L99&lt;&gt;"",N('Month 01'!I99)&gt;0),'Month 01'!I99,"")</f>
        <v/>
      </c>
      <c r="D97">
        <f>IF(C97="","",IF(N('Month 01'!J99)&gt;0,'Month 01'!J99,1))</f>
        <v/>
      </c>
      <c r="E97">
        <f>IF(OR(C97="",D97=""),"",IF(D97=1,C97,ROUND(C97*(1+D97/30),1)))</f>
        <v/>
      </c>
    </row>
    <row r="98">
      <c r="A98">
        <f>'Month 01'!B74</f>
        <v/>
      </c>
      <c r="B98" t="inlineStr">
        <is>
          <t>Romanian Deadlift</t>
        </is>
      </c>
      <c r="C98">
        <f>IF(AND('Month 01'!L100&lt;&gt;"",N('Month 01'!I100)&gt;0),'Month 01'!I100,"")</f>
        <v/>
      </c>
      <c r="D98">
        <f>IF(C98="","",IF(N('Month 01'!J100)&gt;0,'Month 01'!J100,1))</f>
        <v/>
      </c>
      <c r="E98">
        <f>IF(OR(C98="",D98=""),"",IF(D98=1,C98,ROUND(C98*(1+D98/30),1)))</f>
        <v/>
      </c>
    </row>
    <row r="99">
      <c r="A99">
        <f>'Month 01'!B74</f>
        <v/>
      </c>
      <c r="B99" t="inlineStr">
        <is>
          <t>Incline Dumbbell Press</t>
        </is>
      </c>
      <c r="C99">
        <f>IF(AND('Month 01'!L102&lt;&gt;"",N('Month 01'!I102)&gt;0),'Month 01'!I102,"")</f>
        <v/>
      </c>
      <c r="D99">
        <f>IF(C99="","",IF(N('Month 01'!J102)&gt;0,'Month 01'!J102,1))</f>
        <v/>
      </c>
      <c r="E99">
        <f>IF(OR(C99="",D99=""),"",IF(D99=1,C99,ROUND(C99*(1+D99/30),1)))</f>
        <v/>
      </c>
    </row>
    <row r="100">
      <c r="A100">
        <f>'Month 01'!B74</f>
        <v/>
      </c>
      <c r="B100" t="inlineStr">
        <is>
          <t>Incline Dumbbell Press</t>
        </is>
      </c>
      <c r="C100">
        <f>IF(AND('Month 01'!L103&lt;&gt;"",N('Month 01'!I103)&gt;0),'Month 01'!I103,"")</f>
        <v/>
      </c>
      <c r="D100">
        <f>IF(C100="","",IF(N('Month 01'!J103)&gt;0,'Month 01'!J103,1))</f>
        <v/>
      </c>
      <c r="E100">
        <f>IF(OR(C100="",D100=""),"",IF(D100=1,C100,ROUND(C100*(1+D100/30),1)))</f>
        <v/>
      </c>
    </row>
    <row r="101">
      <c r="A101">
        <f>'Month 01'!B74</f>
        <v/>
      </c>
      <c r="B101" t="inlineStr">
        <is>
          <t>Incline Dumbbell Press</t>
        </is>
      </c>
      <c r="C101">
        <f>IF(AND('Month 01'!L104&lt;&gt;"",N('Month 01'!I104)&gt;0),'Month 01'!I104,"")</f>
        <v/>
      </c>
      <c r="D101">
        <f>IF(C101="","",IF(N('Month 01'!J104)&gt;0,'Month 01'!J104,1))</f>
        <v/>
      </c>
      <c r="E101">
        <f>IF(OR(C101="",D101=""),"",IF(D101=1,C101,ROUND(C101*(1+D101/30),1)))</f>
        <v/>
      </c>
    </row>
    <row r="102">
      <c r="A102">
        <f>'Month 01'!B74</f>
        <v/>
      </c>
      <c r="B102" t="inlineStr">
        <is>
          <t>Incline Dumbbell Press</t>
        </is>
      </c>
      <c r="C102">
        <f>IF(AND('Month 01'!L105&lt;&gt;"",N('Month 01'!I105)&gt;0),'Month 01'!I105,"")</f>
        <v/>
      </c>
      <c r="D102">
        <f>IF(C102="","",IF(N('Month 01'!J105)&gt;0,'Month 01'!J105,1))</f>
        <v/>
      </c>
      <c r="E102">
        <f>IF(OR(C102="",D102=""),"",IF(D102=1,C102,ROUND(C102*(1+D102/30),1)))</f>
        <v/>
      </c>
    </row>
    <row r="103">
      <c r="A103">
        <f>'Month 01'!B74</f>
        <v/>
      </c>
      <c r="B103" t="inlineStr">
        <is>
          <t>Triceps Pushdown</t>
        </is>
      </c>
      <c r="C103">
        <f>IF(AND('Month 01'!L107&lt;&gt;"",N('Month 01'!I107)&gt;0),'Month 01'!I107,"")</f>
        <v/>
      </c>
      <c r="D103">
        <f>IF(C103="","",IF(N('Month 01'!J107)&gt;0,'Month 01'!J107,1))</f>
        <v/>
      </c>
      <c r="E103">
        <f>IF(OR(C103="",D103=""),"",IF(D103=1,C103,ROUND(C103*(1+D103/30),1)))</f>
        <v/>
      </c>
    </row>
    <row r="104">
      <c r="A104">
        <f>'Month 01'!B74</f>
        <v/>
      </c>
      <c r="B104" t="inlineStr">
        <is>
          <t>Triceps Pushdown</t>
        </is>
      </c>
      <c r="C104">
        <f>IF(AND('Month 01'!L108&lt;&gt;"",N('Month 01'!I108)&gt;0),'Month 01'!I108,"")</f>
        <v/>
      </c>
      <c r="D104">
        <f>IF(C104="","",IF(N('Month 01'!J108)&gt;0,'Month 01'!J108,1))</f>
        <v/>
      </c>
      <c r="E104">
        <f>IF(OR(C104="",D104=""),"",IF(D104=1,C104,ROUND(C104*(1+D104/30),1)))</f>
        <v/>
      </c>
    </row>
    <row r="105">
      <c r="A105">
        <f>'Month 01'!B74</f>
        <v/>
      </c>
      <c r="B105" t="inlineStr">
        <is>
          <t>Triceps Pushdown</t>
        </is>
      </c>
      <c r="C105">
        <f>IF(AND('Month 01'!L109&lt;&gt;"",N('Month 01'!I109)&gt;0),'Month 01'!I109,"")</f>
        <v/>
      </c>
      <c r="D105">
        <f>IF(C105="","",IF(N('Month 01'!J109)&gt;0,'Month 01'!J109,1))</f>
        <v/>
      </c>
      <c r="E105">
        <f>IF(OR(C105="",D105=""),"",IF(D105=1,C105,ROUND(C105*(1+D105/30),1)))</f>
        <v/>
      </c>
    </row>
    <row r="106">
      <c r="A106">
        <f>'Month 01'!B74</f>
        <v/>
      </c>
      <c r="B106" t="inlineStr">
        <is>
          <t>Triceps Pushdown</t>
        </is>
      </c>
      <c r="C106">
        <f>IF(AND('Month 01'!L110&lt;&gt;"",N('Month 01'!I110)&gt;0),'Month 01'!I110,"")</f>
        <v/>
      </c>
      <c r="D106">
        <f>IF(C106="","",IF(N('Month 01'!J110)&gt;0,'Month 01'!J110,1))</f>
        <v/>
      </c>
      <c r="E106">
        <f>IF(OR(C106="",D106=""),"",IF(D106=1,C106,ROUND(C106*(1+D106/30),1)))</f>
        <v/>
      </c>
    </row>
    <row r="107">
      <c r="A107">
        <f>'Month 01'!B113</f>
        <v/>
      </c>
      <c r="B107" t="inlineStr">
        <is>
          <t>Box Jump</t>
        </is>
      </c>
      <c r="C107">
        <f>IF(AND('Month 01'!L115&lt;&gt;"",N('Month 01'!I115)&gt;0),'Month 01'!I115,"")</f>
        <v/>
      </c>
      <c r="D107">
        <f>IF(C107="","",IF(N('Month 01'!J115)&gt;0,'Month 01'!J115,1))</f>
        <v/>
      </c>
      <c r="E107">
        <f>IF(OR(C107="",D107=""),"",IF(D107=1,C107,ROUND(C107*(1+D107/30),1)))</f>
        <v/>
      </c>
    </row>
    <row r="108">
      <c r="A108">
        <f>'Month 01'!B113</f>
        <v/>
      </c>
      <c r="B108" t="inlineStr">
        <is>
          <t>Box Jump</t>
        </is>
      </c>
      <c r="C108">
        <f>IF(AND('Month 01'!L116&lt;&gt;"",N('Month 01'!I116)&gt;0),'Month 01'!I116,"")</f>
        <v/>
      </c>
      <c r="D108">
        <f>IF(C108="","",IF(N('Month 01'!J116)&gt;0,'Month 01'!J116,1))</f>
        <v/>
      </c>
      <c r="E108">
        <f>IF(OR(C108="",D108=""),"",IF(D108=1,C108,ROUND(C108*(1+D108/30),1)))</f>
        <v/>
      </c>
    </row>
    <row r="109">
      <c r="A109">
        <f>'Month 01'!B113</f>
        <v/>
      </c>
      <c r="B109" t="inlineStr">
        <is>
          <t>Box Jump</t>
        </is>
      </c>
      <c r="C109">
        <f>IF(AND('Month 01'!L117&lt;&gt;"",N('Month 01'!I117)&gt;0),'Month 01'!I117,"")</f>
        <v/>
      </c>
      <c r="D109">
        <f>IF(C109="","",IF(N('Month 01'!J117)&gt;0,'Month 01'!J117,1))</f>
        <v/>
      </c>
      <c r="E109">
        <f>IF(OR(C109="",D109=""),"",IF(D109=1,C109,ROUND(C109*(1+D109/30),1)))</f>
        <v/>
      </c>
    </row>
    <row r="110">
      <c r="A110">
        <f>'Month 01'!B113</f>
        <v/>
      </c>
      <c r="B110" t="inlineStr">
        <is>
          <t>Box Jump</t>
        </is>
      </c>
      <c r="C110">
        <f>IF(AND('Month 01'!L118&lt;&gt;"",N('Month 01'!I118)&gt;0),'Month 01'!I118,"")</f>
        <v/>
      </c>
      <c r="D110">
        <f>IF(C110="","",IF(N('Month 01'!J118)&gt;0,'Month 01'!J118,1))</f>
        <v/>
      </c>
      <c r="E110">
        <f>IF(OR(C110="",D110=""),"",IF(D110=1,C110,ROUND(C110*(1+D110/30),1)))</f>
        <v/>
      </c>
    </row>
    <row r="111">
      <c r="A111">
        <f>'Month 01'!B113</f>
        <v/>
      </c>
      <c r="B111" t="inlineStr">
        <is>
          <t>Snatch</t>
        </is>
      </c>
      <c r="C111">
        <f>IF(AND('Month 01'!L120&lt;&gt;"",N('Month 01'!I120)&gt;0),'Month 01'!I120,"")</f>
        <v/>
      </c>
      <c r="D111">
        <f>IF(C111="","",IF(N('Month 01'!J120)&gt;0,'Month 01'!J120,1))</f>
        <v/>
      </c>
      <c r="E111">
        <f>IF(OR(C111="",D111=""),"",IF(D111=1,C111,ROUND(C111*(1+D111/30),1)))</f>
        <v/>
      </c>
    </row>
    <row r="112">
      <c r="A112">
        <f>'Month 01'!B113</f>
        <v/>
      </c>
      <c r="B112" t="inlineStr">
        <is>
          <t>Snatch</t>
        </is>
      </c>
      <c r="C112">
        <f>IF(AND('Month 01'!L121&lt;&gt;"",N('Month 01'!I121)&gt;0),'Month 01'!I121,"")</f>
        <v/>
      </c>
      <c r="D112">
        <f>IF(C112="","",IF(N('Month 01'!J121)&gt;0,'Month 01'!J121,1))</f>
        <v/>
      </c>
      <c r="E112">
        <f>IF(OR(C112="",D112=""),"",IF(D112=1,C112,ROUND(C112*(1+D112/30),1)))</f>
        <v/>
      </c>
    </row>
    <row r="113">
      <c r="A113">
        <f>'Month 01'!B113</f>
        <v/>
      </c>
      <c r="B113" t="inlineStr">
        <is>
          <t>Snatch</t>
        </is>
      </c>
      <c r="C113">
        <f>IF(AND('Month 01'!L122&lt;&gt;"",N('Month 01'!I122)&gt;0),'Month 01'!I122,"")</f>
        <v/>
      </c>
      <c r="D113">
        <f>IF(C113="","",IF(N('Month 01'!J122)&gt;0,'Month 01'!J122,1))</f>
        <v/>
      </c>
      <c r="E113">
        <f>IF(OR(C113="",D113=""),"",IF(D113=1,C113,ROUND(C113*(1+D113/30),1)))</f>
        <v/>
      </c>
    </row>
    <row r="114">
      <c r="A114">
        <f>'Month 01'!B113</f>
        <v/>
      </c>
      <c r="B114" t="inlineStr">
        <is>
          <t>Snatch</t>
        </is>
      </c>
      <c r="C114">
        <f>IF(AND('Month 01'!L123&lt;&gt;"",N('Month 01'!I123)&gt;0),'Month 01'!I123,"")</f>
        <v/>
      </c>
      <c r="D114">
        <f>IF(C114="","",IF(N('Month 01'!J123)&gt;0,'Month 01'!J123,1))</f>
        <v/>
      </c>
      <c r="E114">
        <f>IF(OR(C114="",D114=""),"",IF(D114=1,C114,ROUND(C114*(1+D114/30),1)))</f>
        <v/>
      </c>
    </row>
    <row r="115">
      <c r="A115">
        <f>'Month 01'!B113</f>
        <v/>
      </c>
      <c r="B115" t="inlineStr">
        <is>
          <t>Squat</t>
        </is>
      </c>
      <c r="C115">
        <f>IF(AND('Month 01'!L125&lt;&gt;"",N('Month 01'!I125)&gt;0),'Month 01'!I125,"")</f>
        <v/>
      </c>
      <c r="D115">
        <f>IF(C115="","",IF(N('Month 01'!J125)&gt;0,'Month 01'!J125,1))</f>
        <v/>
      </c>
      <c r="E115">
        <f>IF(OR(C115="",D115=""),"",IF(D115=1,C115,ROUND(C115*(1+D115/30),1)))</f>
        <v/>
      </c>
    </row>
    <row r="116">
      <c r="A116">
        <f>'Month 01'!B113</f>
        <v/>
      </c>
      <c r="B116" t="inlineStr">
        <is>
          <t>Squat</t>
        </is>
      </c>
      <c r="C116">
        <f>IF(AND('Month 01'!L126&lt;&gt;"",N('Month 01'!I126)&gt;0),'Month 01'!I126,"")</f>
        <v/>
      </c>
      <c r="D116">
        <f>IF(C116="","",IF(N('Month 01'!J126)&gt;0,'Month 01'!J126,1))</f>
        <v/>
      </c>
      <c r="E116">
        <f>IF(OR(C116="",D116=""),"",IF(D116=1,C116,ROUND(C116*(1+D116/30),1)))</f>
        <v/>
      </c>
    </row>
    <row r="117">
      <c r="A117">
        <f>'Month 01'!B113</f>
        <v/>
      </c>
      <c r="B117" t="inlineStr">
        <is>
          <t>Squat</t>
        </is>
      </c>
      <c r="C117">
        <f>IF(AND('Month 01'!L127&lt;&gt;"",N('Month 01'!I127)&gt;0),'Month 01'!I127,"")</f>
        <v/>
      </c>
      <c r="D117">
        <f>IF(C117="","",IF(N('Month 01'!J127)&gt;0,'Month 01'!J127,1))</f>
        <v/>
      </c>
      <c r="E117">
        <f>IF(OR(C117="",D117=""),"",IF(D117=1,C117,ROUND(C117*(1+D117/30),1)))</f>
        <v/>
      </c>
    </row>
    <row r="118">
      <c r="A118">
        <f>'Month 01'!B113</f>
        <v/>
      </c>
      <c r="B118" t="inlineStr">
        <is>
          <t>Bench Press</t>
        </is>
      </c>
      <c r="C118">
        <f>IF(AND('Month 01'!L129&lt;&gt;"",N('Month 01'!I129)&gt;0),'Month 01'!I129,"")</f>
        <v/>
      </c>
      <c r="D118">
        <f>IF(C118="","",IF(N('Month 01'!J129)&gt;0,'Month 01'!J129,1))</f>
        <v/>
      </c>
      <c r="E118">
        <f>IF(OR(C118="",D118=""),"",IF(D118=1,C118,ROUND(C118*(1+D118/30),1)))</f>
        <v/>
      </c>
    </row>
    <row r="119">
      <c r="A119">
        <f>'Month 01'!B113</f>
        <v/>
      </c>
      <c r="B119" t="inlineStr">
        <is>
          <t>Bench Press</t>
        </is>
      </c>
      <c r="C119">
        <f>IF(AND('Month 01'!L130&lt;&gt;"",N('Month 01'!I130)&gt;0),'Month 01'!I130,"")</f>
        <v/>
      </c>
      <c r="D119">
        <f>IF(C119="","",IF(N('Month 01'!J130)&gt;0,'Month 01'!J130,1))</f>
        <v/>
      </c>
      <c r="E119">
        <f>IF(OR(C119="",D119=""),"",IF(D119=1,C119,ROUND(C119*(1+D119/30),1)))</f>
        <v/>
      </c>
    </row>
    <row r="120">
      <c r="A120">
        <f>'Month 01'!B113</f>
        <v/>
      </c>
      <c r="B120" t="inlineStr">
        <is>
          <t>Bench Press</t>
        </is>
      </c>
      <c r="C120">
        <f>IF(AND('Month 01'!L131&lt;&gt;"",N('Month 01'!I131)&gt;0),'Month 01'!I131,"")</f>
        <v/>
      </c>
      <c r="D120">
        <f>IF(C120="","",IF(N('Month 01'!J131)&gt;0,'Month 01'!J131,1))</f>
        <v/>
      </c>
      <c r="E120">
        <f>IF(OR(C120="",D120=""),"",IF(D120=1,C120,ROUND(C120*(1+D120/30),1)))</f>
        <v/>
      </c>
    </row>
    <row r="121">
      <c r="A121">
        <f>'Month 01'!B113</f>
        <v/>
      </c>
      <c r="B121" t="inlineStr">
        <is>
          <t>Barbell Row</t>
        </is>
      </c>
      <c r="C121">
        <f>IF(AND('Month 01'!L133&lt;&gt;"",N('Month 01'!I133)&gt;0),'Month 01'!I133,"")</f>
        <v/>
      </c>
      <c r="D121">
        <f>IF(C121="","",IF(N('Month 01'!J133)&gt;0,'Month 01'!J133,1))</f>
        <v/>
      </c>
      <c r="E121">
        <f>IF(OR(C121="",D121=""),"",IF(D121=1,C121,ROUND(C121*(1+D121/30),1)))</f>
        <v/>
      </c>
    </row>
    <row r="122">
      <c r="A122">
        <f>'Month 01'!B113</f>
        <v/>
      </c>
      <c r="B122" t="inlineStr">
        <is>
          <t>Barbell Row</t>
        </is>
      </c>
      <c r="C122">
        <f>IF(AND('Month 01'!L134&lt;&gt;"",N('Month 01'!I134)&gt;0),'Month 01'!I134,"")</f>
        <v/>
      </c>
      <c r="D122">
        <f>IF(C122="","",IF(N('Month 01'!J134)&gt;0,'Month 01'!J134,1))</f>
        <v/>
      </c>
      <c r="E122">
        <f>IF(OR(C122="",D122=""),"",IF(D122=1,C122,ROUND(C122*(1+D122/30),1)))</f>
        <v/>
      </c>
    </row>
    <row r="123">
      <c r="A123">
        <f>'Month 01'!B113</f>
        <v/>
      </c>
      <c r="B123" t="inlineStr">
        <is>
          <t>Barbell Row</t>
        </is>
      </c>
      <c r="C123">
        <f>IF(AND('Month 01'!L135&lt;&gt;"",N('Month 01'!I135)&gt;0),'Month 01'!I135,"")</f>
        <v/>
      </c>
      <c r="D123">
        <f>IF(C123="","",IF(N('Month 01'!J135)&gt;0,'Month 01'!J135,1))</f>
        <v/>
      </c>
      <c r="E123">
        <f>IF(OR(C123="",D123=""),"",IF(D123=1,C123,ROUND(C123*(1+D123/30),1)))</f>
        <v/>
      </c>
    </row>
    <row r="124">
      <c r="A124">
        <f>'Month 01'!B113</f>
        <v/>
      </c>
      <c r="B124" t="inlineStr">
        <is>
          <t>Barbell Row</t>
        </is>
      </c>
      <c r="C124">
        <f>IF(AND('Month 01'!L136&lt;&gt;"",N('Month 01'!I136)&gt;0),'Month 01'!I136,"")</f>
        <v/>
      </c>
      <c r="D124">
        <f>IF(C124="","",IF(N('Month 01'!J136)&gt;0,'Month 01'!J136,1))</f>
        <v/>
      </c>
      <c r="E124">
        <f>IF(OR(C124="",D124=""),"",IF(D124=1,C124,ROUND(C124*(1+D124/30),1)))</f>
        <v/>
      </c>
    </row>
    <row r="125">
      <c r="A125">
        <f>'Month 01'!B113</f>
        <v/>
      </c>
      <c r="B125" t="inlineStr">
        <is>
          <t>Face Pull</t>
        </is>
      </c>
      <c r="C125">
        <f>IF(AND('Month 01'!L138&lt;&gt;"",N('Month 01'!I138)&gt;0),'Month 01'!I138,"")</f>
        <v/>
      </c>
      <c r="D125">
        <f>IF(C125="","",IF(N('Month 01'!J138)&gt;0,'Month 01'!J138,1))</f>
        <v/>
      </c>
      <c r="E125">
        <f>IF(OR(C125="",D125=""),"",IF(D125=1,C125,ROUND(C125*(1+D125/30),1)))</f>
        <v/>
      </c>
    </row>
    <row r="126">
      <c r="A126">
        <f>'Month 01'!B113</f>
        <v/>
      </c>
      <c r="B126" t="inlineStr">
        <is>
          <t>Face Pull</t>
        </is>
      </c>
      <c r="C126">
        <f>IF(AND('Month 01'!L139&lt;&gt;"",N('Month 01'!I139)&gt;0),'Month 01'!I139,"")</f>
        <v/>
      </c>
      <c r="D126">
        <f>IF(C126="","",IF(N('Month 01'!J139)&gt;0,'Month 01'!J139,1))</f>
        <v/>
      </c>
      <c r="E126">
        <f>IF(OR(C126="",D126=""),"",IF(D126=1,C126,ROUND(C126*(1+D126/30),1)))</f>
        <v/>
      </c>
    </row>
    <row r="127">
      <c r="A127">
        <f>'Month 01'!B113</f>
        <v/>
      </c>
      <c r="B127" t="inlineStr">
        <is>
          <t>Face Pull</t>
        </is>
      </c>
      <c r="C127">
        <f>IF(AND('Month 01'!L140&lt;&gt;"",N('Month 01'!I140)&gt;0),'Month 01'!I140,"")</f>
        <v/>
      </c>
      <c r="D127">
        <f>IF(C127="","",IF(N('Month 01'!J140)&gt;0,'Month 01'!J140,1))</f>
        <v/>
      </c>
      <c r="E127">
        <f>IF(OR(C127="",D127=""),"",IF(D127=1,C127,ROUND(C127*(1+D127/30),1)))</f>
        <v/>
      </c>
    </row>
    <row r="128">
      <c r="A128">
        <f>'Month 01'!B113</f>
        <v/>
      </c>
      <c r="B128" t="inlineStr">
        <is>
          <t>Face Pull</t>
        </is>
      </c>
      <c r="C128">
        <f>IF(AND('Month 01'!L141&lt;&gt;"",N('Month 01'!I141)&gt;0),'Month 01'!I141,"")</f>
        <v/>
      </c>
      <c r="D128">
        <f>IF(C128="","",IF(N('Month 01'!J141)&gt;0,'Month 01'!J141,1))</f>
        <v/>
      </c>
      <c r="E128">
        <f>IF(OR(C128="",D128=""),"",IF(D128=1,C128,ROUND(C128*(1+D128/30),1)))</f>
        <v/>
      </c>
    </row>
    <row r="129">
      <c r="A129">
        <f>'Month 01'!B142</f>
        <v/>
      </c>
      <c r="B129" t="inlineStr">
        <is>
          <t>Broad Jump</t>
        </is>
      </c>
      <c r="C129">
        <f>IF(AND('Month 01'!L144&lt;&gt;"",N('Month 01'!I144)&gt;0),'Month 01'!I144,"")</f>
        <v/>
      </c>
      <c r="D129">
        <f>IF(C129="","",IF(N('Month 01'!J144)&gt;0,'Month 01'!J144,1))</f>
        <v/>
      </c>
      <c r="E129">
        <f>IF(OR(C129="",D129=""),"",IF(D129=1,C129,ROUND(C129*(1+D129/30),1)))</f>
        <v/>
      </c>
    </row>
    <row r="130">
      <c r="A130">
        <f>'Month 01'!B142</f>
        <v/>
      </c>
      <c r="B130" t="inlineStr">
        <is>
          <t>Broad Jump</t>
        </is>
      </c>
      <c r="C130">
        <f>IF(AND('Month 01'!L145&lt;&gt;"",N('Month 01'!I145)&gt;0),'Month 01'!I145,"")</f>
        <v/>
      </c>
      <c r="D130">
        <f>IF(C130="","",IF(N('Month 01'!J145)&gt;0,'Month 01'!J145,1))</f>
        <v/>
      </c>
      <c r="E130">
        <f>IF(OR(C130="",D130=""),"",IF(D130=1,C130,ROUND(C130*(1+D130/30),1)))</f>
        <v/>
      </c>
    </row>
    <row r="131">
      <c r="A131">
        <f>'Month 01'!B142</f>
        <v/>
      </c>
      <c r="B131" t="inlineStr">
        <is>
          <t>Broad Jump</t>
        </is>
      </c>
      <c r="C131">
        <f>IF(AND('Month 01'!L146&lt;&gt;"",N('Month 01'!I146)&gt;0),'Month 01'!I146,"")</f>
        <v/>
      </c>
      <c r="D131">
        <f>IF(C131="","",IF(N('Month 01'!J146)&gt;0,'Month 01'!J146,1))</f>
        <v/>
      </c>
      <c r="E131">
        <f>IF(OR(C131="",D131=""),"",IF(D131=1,C131,ROUND(C131*(1+D131/30),1)))</f>
        <v/>
      </c>
    </row>
    <row r="132">
      <c r="A132">
        <f>'Month 01'!B142</f>
        <v/>
      </c>
      <c r="B132" t="inlineStr">
        <is>
          <t>Broad Jump</t>
        </is>
      </c>
      <c r="C132">
        <f>IF(AND('Month 01'!L147&lt;&gt;"",N('Month 01'!I147)&gt;0),'Month 01'!I147,"")</f>
        <v/>
      </c>
      <c r="D132">
        <f>IF(C132="","",IF(N('Month 01'!J147)&gt;0,'Month 01'!J147,1))</f>
        <v/>
      </c>
      <c r="E132">
        <f>IF(OR(C132="",D132=""),"",IF(D132=1,C132,ROUND(C132*(1+D132/30),1)))</f>
        <v/>
      </c>
    </row>
    <row r="133">
      <c r="A133">
        <f>'Month 01'!B142</f>
        <v/>
      </c>
      <c r="B133" t="inlineStr">
        <is>
          <t>Med Ball Chest Pass</t>
        </is>
      </c>
      <c r="C133">
        <f>IF(AND('Month 01'!L149&lt;&gt;"",N('Month 01'!I149)&gt;0),'Month 01'!I149,"")</f>
        <v/>
      </c>
      <c r="D133">
        <f>IF(C133="","",IF(N('Month 01'!J149)&gt;0,'Month 01'!J149,1))</f>
        <v/>
      </c>
      <c r="E133">
        <f>IF(OR(C133="",D133=""),"",IF(D133=1,C133,ROUND(C133*(1+D133/30),1)))</f>
        <v/>
      </c>
    </row>
    <row r="134">
      <c r="A134">
        <f>'Month 01'!B142</f>
        <v/>
      </c>
      <c r="B134" t="inlineStr">
        <is>
          <t>Med Ball Chest Pass</t>
        </is>
      </c>
      <c r="C134">
        <f>IF(AND('Month 01'!L150&lt;&gt;"",N('Month 01'!I150)&gt;0),'Month 01'!I150,"")</f>
        <v/>
      </c>
      <c r="D134">
        <f>IF(C134="","",IF(N('Month 01'!J150)&gt;0,'Month 01'!J150,1))</f>
        <v/>
      </c>
      <c r="E134">
        <f>IF(OR(C134="",D134=""),"",IF(D134=1,C134,ROUND(C134*(1+D134/30),1)))</f>
        <v/>
      </c>
    </row>
    <row r="135">
      <c r="A135">
        <f>'Month 01'!B142</f>
        <v/>
      </c>
      <c r="B135" t="inlineStr">
        <is>
          <t>Med Ball Chest Pass</t>
        </is>
      </c>
      <c r="C135">
        <f>IF(AND('Month 01'!L151&lt;&gt;"",N('Month 01'!I151)&gt;0),'Month 01'!I151,"")</f>
        <v/>
      </c>
      <c r="D135">
        <f>IF(C135="","",IF(N('Month 01'!J151)&gt;0,'Month 01'!J151,1))</f>
        <v/>
      </c>
      <c r="E135">
        <f>IF(OR(C135="",D135=""),"",IF(D135=1,C135,ROUND(C135*(1+D135/30),1)))</f>
        <v/>
      </c>
    </row>
    <row r="136">
      <c r="A136">
        <f>'Month 01'!B142</f>
        <v/>
      </c>
      <c r="B136" t="inlineStr">
        <is>
          <t>Clean &amp; Jerk</t>
        </is>
      </c>
      <c r="C136">
        <f>IF(AND('Month 01'!L153&lt;&gt;"",N('Month 01'!I153)&gt;0),'Month 01'!I153,"")</f>
        <v/>
      </c>
      <c r="D136">
        <f>IF(C136="","",IF(N('Month 01'!J153)&gt;0,'Month 01'!J153,1))</f>
        <v/>
      </c>
      <c r="E136">
        <f>IF(OR(C136="",D136=""),"",IF(D136=1,C136,ROUND(C136*(1+D136/30),1)))</f>
        <v/>
      </c>
    </row>
    <row r="137">
      <c r="A137">
        <f>'Month 01'!B142</f>
        <v/>
      </c>
      <c r="B137" t="inlineStr">
        <is>
          <t>Clean &amp; Jerk</t>
        </is>
      </c>
      <c r="C137">
        <f>IF(AND('Month 01'!L154&lt;&gt;"",N('Month 01'!I154)&gt;0),'Month 01'!I154,"")</f>
        <v/>
      </c>
      <c r="D137">
        <f>IF(C137="","",IF(N('Month 01'!J154)&gt;0,'Month 01'!J154,1))</f>
        <v/>
      </c>
      <c r="E137">
        <f>IF(OR(C137="",D137=""),"",IF(D137=1,C137,ROUND(C137*(1+D137/30),1)))</f>
        <v/>
      </c>
    </row>
    <row r="138">
      <c r="A138">
        <f>'Month 01'!B142</f>
        <v/>
      </c>
      <c r="B138" t="inlineStr">
        <is>
          <t>Clean &amp; Jerk</t>
        </is>
      </c>
      <c r="C138">
        <f>IF(AND('Month 01'!L155&lt;&gt;"",N('Month 01'!I155)&gt;0),'Month 01'!I155,"")</f>
        <v/>
      </c>
      <c r="D138">
        <f>IF(C138="","",IF(N('Month 01'!J155)&gt;0,'Month 01'!J155,1))</f>
        <v/>
      </c>
      <c r="E138">
        <f>IF(OR(C138="",D138=""),"",IF(D138=1,C138,ROUND(C138*(1+D138/30),1)))</f>
        <v/>
      </c>
    </row>
    <row r="139">
      <c r="A139">
        <f>'Month 01'!B142</f>
        <v/>
      </c>
      <c r="B139" t="inlineStr">
        <is>
          <t>Clean &amp; Jerk</t>
        </is>
      </c>
      <c r="C139">
        <f>IF(AND('Month 01'!L156&lt;&gt;"",N('Month 01'!I156)&gt;0),'Month 01'!I156,"")</f>
        <v/>
      </c>
      <c r="D139">
        <f>IF(C139="","",IF(N('Month 01'!J156)&gt;0,'Month 01'!J156,1))</f>
        <v/>
      </c>
      <c r="E139">
        <f>IF(OR(C139="",D139=""),"",IF(D139=1,C139,ROUND(C139*(1+D139/30),1)))</f>
        <v/>
      </c>
    </row>
    <row r="140">
      <c r="A140">
        <f>'Month 01'!B142</f>
        <v/>
      </c>
      <c r="B140" t="inlineStr">
        <is>
          <t>Squat</t>
        </is>
      </c>
      <c r="C140">
        <f>IF(AND('Month 01'!L158&lt;&gt;"",N('Month 01'!I158)&gt;0),'Month 01'!I158,"")</f>
        <v/>
      </c>
      <c r="D140">
        <f>IF(C140="","",IF(N('Month 01'!J158)&gt;0,'Month 01'!J158,1))</f>
        <v/>
      </c>
      <c r="E140">
        <f>IF(OR(C140="",D140=""),"",IF(D140=1,C140,ROUND(C140*(1+D140/30),1)))</f>
        <v/>
      </c>
    </row>
    <row r="141">
      <c r="A141">
        <f>'Month 01'!B142</f>
        <v/>
      </c>
      <c r="B141" t="inlineStr">
        <is>
          <t>Squat</t>
        </is>
      </c>
      <c r="C141">
        <f>IF(AND('Month 01'!L159&lt;&gt;"",N('Month 01'!I159)&gt;0),'Month 01'!I159,"")</f>
        <v/>
      </c>
      <c r="D141">
        <f>IF(C141="","",IF(N('Month 01'!J159)&gt;0,'Month 01'!J159,1))</f>
        <v/>
      </c>
      <c r="E141">
        <f>IF(OR(C141="",D141=""),"",IF(D141=1,C141,ROUND(C141*(1+D141/30),1)))</f>
        <v/>
      </c>
    </row>
    <row r="142">
      <c r="A142">
        <f>'Month 01'!B142</f>
        <v/>
      </c>
      <c r="B142" t="inlineStr">
        <is>
          <t>Squat</t>
        </is>
      </c>
      <c r="C142">
        <f>IF(AND('Month 01'!L160&lt;&gt;"",N('Month 01'!I160)&gt;0),'Month 01'!I160,"")</f>
        <v/>
      </c>
      <c r="D142">
        <f>IF(C142="","",IF(N('Month 01'!J160)&gt;0,'Month 01'!J160,1))</f>
        <v/>
      </c>
      <c r="E142">
        <f>IF(OR(C142="",D142=""),"",IF(D142=1,C142,ROUND(C142*(1+D142/30),1)))</f>
        <v/>
      </c>
    </row>
    <row r="143">
      <c r="A143">
        <f>'Month 01'!B142</f>
        <v/>
      </c>
      <c r="B143" t="inlineStr">
        <is>
          <t>Overhead Press</t>
        </is>
      </c>
      <c r="C143">
        <f>IF(AND('Month 01'!L162&lt;&gt;"",N('Month 01'!I162)&gt;0),'Month 01'!I162,"")</f>
        <v/>
      </c>
      <c r="D143">
        <f>IF(C143="","",IF(N('Month 01'!J162)&gt;0,'Month 01'!J162,1))</f>
        <v/>
      </c>
      <c r="E143">
        <f>IF(OR(C143="",D143=""),"",IF(D143=1,C143,ROUND(C143*(1+D143/30),1)))</f>
        <v/>
      </c>
    </row>
    <row r="144">
      <c r="A144">
        <f>'Month 01'!B142</f>
        <v/>
      </c>
      <c r="B144" t="inlineStr">
        <is>
          <t>Overhead Press</t>
        </is>
      </c>
      <c r="C144">
        <f>IF(AND('Month 01'!L163&lt;&gt;"",N('Month 01'!I163)&gt;0),'Month 01'!I163,"")</f>
        <v/>
      </c>
      <c r="D144">
        <f>IF(C144="","",IF(N('Month 01'!J163)&gt;0,'Month 01'!J163,1))</f>
        <v/>
      </c>
      <c r="E144">
        <f>IF(OR(C144="",D144=""),"",IF(D144=1,C144,ROUND(C144*(1+D144/30),1)))</f>
        <v/>
      </c>
    </row>
    <row r="145">
      <c r="A145">
        <f>'Month 01'!B142</f>
        <v/>
      </c>
      <c r="B145" t="inlineStr">
        <is>
          <t>Overhead Press</t>
        </is>
      </c>
      <c r="C145">
        <f>IF(AND('Month 01'!L164&lt;&gt;"",N('Month 01'!I164)&gt;0),'Month 01'!I164,"")</f>
        <v/>
      </c>
      <c r="D145">
        <f>IF(C145="","",IF(N('Month 01'!J164)&gt;0,'Month 01'!J164,1))</f>
        <v/>
      </c>
      <c r="E145">
        <f>IF(OR(C145="",D145=""),"",IF(D145=1,C145,ROUND(C145*(1+D145/30),1)))</f>
        <v/>
      </c>
    </row>
    <row r="146">
      <c r="A146">
        <f>'Month 01'!B142</f>
        <v/>
      </c>
      <c r="B146" t="inlineStr">
        <is>
          <t>Overhead Press</t>
        </is>
      </c>
      <c r="C146">
        <f>IF(AND('Month 01'!L165&lt;&gt;"",N('Month 01'!I165)&gt;0),'Month 01'!I165,"")</f>
        <v/>
      </c>
      <c r="D146">
        <f>IF(C146="","",IF(N('Month 01'!J165)&gt;0,'Month 01'!J165,1))</f>
        <v/>
      </c>
      <c r="E146">
        <f>IF(OR(C146="",D146=""),"",IF(D146=1,C146,ROUND(C146*(1+D146/30),1)))</f>
        <v/>
      </c>
    </row>
    <row r="147">
      <c r="A147">
        <f>'Month 01'!B142</f>
        <v/>
      </c>
      <c r="B147" t="inlineStr">
        <is>
          <t>Deadlift</t>
        </is>
      </c>
      <c r="C147">
        <f>IF(AND('Month 01'!L167&lt;&gt;"",N('Month 01'!I167)&gt;0),'Month 01'!I167,"")</f>
        <v/>
      </c>
      <c r="D147">
        <f>IF(C147="","",IF(N('Month 01'!J167)&gt;0,'Month 01'!J167,1))</f>
        <v/>
      </c>
      <c r="E147">
        <f>IF(OR(C147="",D147=""),"",IF(D147=1,C147,ROUND(C147*(1+D147/30),1)))</f>
        <v/>
      </c>
    </row>
    <row r="148">
      <c r="A148">
        <f>'Month 01'!B142</f>
        <v/>
      </c>
      <c r="B148" t="inlineStr">
        <is>
          <t>Deadlift</t>
        </is>
      </c>
      <c r="C148">
        <f>IF(AND('Month 01'!L168&lt;&gt;"",N('Month 01'!I168)&gt;0),'Month 01'!I168,"")</f>
        <v/>
      </c>
      <c r="D148">
        <f>IF(C148="","",IF(N('Month 01'!J168)&gt;0,'Month 01'!J168,1))</f>
        <v/>
      </c>
      <c r="E148">
        <f>IF(OR(C148="",D148=""),"",IF(D148=1,C148,ROUND(C148*(1+D148/30),1)))</f>
        <v/>
      </c>
    </row>
    <row r="149">
      <c r="A149">
        <f>'Month 01'!B142</f>
        <v/>
      </c>
      <c r="B149" t="inlineStr">
        <is>
          <t>Deadlift</t>
        </is>
      </c>
      <c r="C149">
        <f>IF(AND('Month 01'!L169&lt;&gt;"",N('Month 01'!I169)&gt;0),'Month 01'!I169,"")</f>
        <v/>
      </c>
      <c r="D149">
        <f>IF(C149="","",IF(N('Month 01'!J169)&gt;0,'Month 01'!J169,1))</f>
        <v/>
      </c>
      <c r="E149">
        <f>IF(OR(C149="",D149=""),"",IF(D149=1,C149,ROUND(C149*(1+D149/30),1)))</f>
        <v/>
      </c>
    </row>
    <row r="150">
      <c r="A150">
        <f>'Month 01'!B142</f>
        <v/>
      </c>
      <c r="B150" t="inlineStr">
        <is>
          <t>Chin-up</t>
        </is>
      </c>
      <c r="C150">
        <f>IF(AND('Month 01'!L171&lt;&gt;"",N('Month 01'!I171)&gt;0),'Month 01'!I171,"")</f>
        <v/>
      </c>
      <c r="D150">
        <f>IF(C150="","",IF(N('Month 01'!J171)&gt;0,'Month 01'!J171,1))</f>
        <v/>
      </c>
      <c r="E150">
        <f>IF(OR(C150="",D150=""),"",IF(D150=1,C150,ROUND(C150*(1+D150/30),1)))</f>
        <v/>
      </c>
    </row>
    <row r="151">
      <c r="A151">
        <f>'Month 01'!B142</f>
        <v/>
      </c>
      <c r="B151" t="inlineStr">
        <is>
          <t>Chin-up</t>
        </is>
      </c>
      <c r="C151">
        <f>IF(AND('Month 01'!L172&lt;&gt;"",N('Month 01'!I172)&gt;0),'Month 01'!I172,"")</f>
        <v/>
      </c>
      <c r="D151">
        <f>IF(C151="","",IF(N('Month 01'!J172)&gt;0,'Month 01'!J172,1))</f>
        <v/>
      </c>
      <c r="E151">
        <f>IF(OR(C151="",D151=""),"",IF(D151=1,C151,ROUND(C151*(1+D151/30),1)))</f>
        <v/>
      </c>
    </row>
    <row r="152">
      <c r="A152">
        <f>'Month 01'!B142</f>
        <v/>
      </c>
      <c r="B152" t="inlineStr">
        <is>
          <t>Chin-up</t>
        </is>
      </c>
      <c r="C152">
        <f>IF(AND('Month 01'!L173&lt;&gt;"",N('Month 01'!I173)&gt;0),'Month 01'!I173,"")</f>
        <v/>
      </c>
      <c r="D152">
        <f>IF(C152="","",IF(N('Month 01'!J173)&gt;0,'Month 01'!J173,1))</f>
        <v/>
      </c>
      <c r="E152">
        <f>IF(OR(C152="",D152=""),"",IF(D152=1,C152,ROUND(C152*(1+D152/30),1)))</f>
        <v/>
      </c>
    </row>
    <row r="153">
      <c r="A153">
        <f>'Month 01'!B142</f>
        <v/>
      </c>
      <c r="B153" t="inlineStr">
        <is>
          <t>Chin-up</t>
        </is>
      </c>
      <c r="C153">
        <f>IF(AND('Month 01'!L174&lt;&gt;"",N('Month 01'!I174)&gt;0),'Month 01'!I174,"")</f>
        <v/>
      </c>
      <c r="D153">
        <f>IF(C153="","",IF(N('Month 01'!J174)&gt;0,'Month 01'!J174,1))</f>
        <v/>
      </c>
      <c r="E153">
        <f>IF(OR(C153="",D153=""),"",IF(D153=1,C153,ROUND(C153*(1+D153/30),1)))</f>
        <v/>
      </c>
    </row>
    <row r="154">
      <c r="A154">
        <f>'Month 01'!B142</f>
        <v/>
      </c>
      <c r="B154" t="inlineStr">
        <is>
          <t>Plank</t>
        </is>
      </c>
      <c r="C154">
        <f>IF(AND('Month 01'!L176&lt;&gt;"",N('Month 01'!I176)&gt;0),'Month 01'!I176,"")</f>
        <v/>
      </c>
      <c r="D154">
        <f>IF(C154="","",IF(N('Month 01'!J176)&gt;0,'Month 01'!J176,1))</f>
        <v/>
      </c>
      <c r="E154">
        <f>IF(OR(C154="",D154=""),"",IF(D154=1,C154,ROUND(C154*(1+D154/30),1)))</f>
        <v/>
      </c>
    </row>
    <row r="155">
      <c r="A155">
        <f>'Month 01'!B142</f>
        <v/>
      </c>
      <c r="B155" t="inlineStr">
        <is>
          <t>Plank</t>
        </is>
      </c>
      <c r="C155">
        <f>IF(AND('Month 01'!L177&lt;&gt;"",N('Month 01'!I177)&gt;0),'Month 01'!I177,"")</f>
        <v/>
      </c>
      <c r="D155">
        <f>IF(C155="","",IF(N('Month 01'!J177)&gt;0,'Month 01'!J177,1))</f>
        <v/>
      </c>
      <c r="E155">
        <f>IF(OR(C155="",D155=""),"",IF(D155=1,C155,ROUND(C155*(1+D155/30),1)))</f>
        <v/>
      </c>
    </row>
    <row r="156">
      <c r="A156">
        <f>'Month 01'!B142</f>
        <v/>
      </c>
      <c r="B156" t="inlineStr">
        <is>
          <t>Plank</t>
        </is>
      </c>
      <c r="C156">
        <f>IF(AND('Month 01'!L178&lt;&gt;"",N('Month 01'!I178)&gt;0),'Month 01'!I178,"")</f>
        <v/>
      </c>
      <c r="D156">
        <f>IF(C156="","",IF(N('Month 01'!J178)&gt;0,'Month 01'!J178,1))</f>
        <v/>
      </c>
      <c r="E156">
        <f>IF(OR(C156="",D156=""),"",IF(D156=1,C156,ROUND(C156*(1+D156/30),1)))</f>
        <v/>
      </c>
    </row>
    <row r="157">
      <c r="A157">
        <f>'Month 01'!B142</f>
        <v/>
      </c>
      <c r="B157" t="inlineStr">
        <is>
          <t>Plank</t>
        </is>
      </c>
      <c r="C157">
        <f>IF(AND('Month 01'!L179&lt;&gt;"",N('Month 01'!I179)&gt;0),'Month 01'!I179,"")</f>
        <v/>
      </c>
      <c r="D157">
        <f>IF(C157="","",IF(N('Month 01'!J179)&gt;0,'Month 01'!J179,1))</f>
        <v/>
      </c>
      <c r="E157">
        <f>IF(OR(C157="",D157=""),"",IF(D157=1,C157,ROUND(C157*(1+D157/30),1)))</f>
        <v/>
      </c>
    </row>
    <row r="158">
      <c r="A158">
        <f>'Month 01'!B180</f>
        <v/>
      </c>
      <c r="B158" t="inlineStr">
        <is>
          <t>Depth Jump</t>
        </is>
      </c>
      <c r="C158">
        <f>IF(AND('Month 01'!L182&lt;&gt;"",N('Month 01'!I182)&gt;0),'Month 01'!I182,"")</f>
        <v/>
      </c>
      <c r="D158">
        <f>IF(C158="","",IF(N('Month 01'!J182)&gt;0,'Month 01'!J182,1))</f>
        <v/>
      </c>
      <c r="E158">
        <f>IF(OR(C158="",D158=""),"",IF(D158=1,C158,ROUND(C158*(1+D158/30),1)))</f>
        <v/>
      </c>
    </row>
    <row r="159">
      <c r="A159">
        <f>'Month 01'!B180</f>
        <v/>
      </c>
      <c r="B159" t="inlineStr">
        <is>
          <t>Depth Jump</t>
        </is>
      </c>
      <c r="C159">
        <f>IF(AND('Month 01'!L183&lt;&gt;"",N('Month 01'!I183)&gt;0),'Month 01'!I183,"")</f>
        <v/>
      </c>
      <c r="D159">
        <f>IF(C159="","",IF(N('Month 01'!J183)&gt;0,'Month 01'!J183,1))</f>
        <v/>
      </c>
      <c r="E159">
        <f>IF(OR(C159="",D159=""),"",IF(D159=1,C159,ROUND(C159*(1+D159/30),1)))</f>
        <v/>
      </c>
    </row>
    <row r="160">
      <c r="A160">
        <f>'Month 01'!B180</f>
        <v/>
      </c>
      <c r="B160" t="inlineStr">
        <is>
          <t>Depth Jump</t>
        </is>
      </c>
      <c r="C160">
        <f>IF(AND('Month 01'!L184&lt;&gt;"",N('Month 01'!I184)&gt;0),'Month 01'!I184,"")</f>
        <v/>
      </c>
      <c r="D160">
        <f>IF(C160="","",IF(N('Month 01'!J184)&gt;0,'Month 01'!J184,1))</f>
        <v/>
      </c>
      <c r="E160">
        <f>IF(OR(C160="",D160=""),"",IF(D160=1,C160,ROUND(C160*(1+D160/30),1)))</f>
        <v/>
      </c>
    </row>
    <row r="161">
      <c r="A161">
        <f>'Month 01'!B180</f>
        <v/>
      </c>
      <c r="B161" t="inlineStr">
        <is>
          <t>Depth Jump</t>
        </is>
      </c>
      <c r="C161">
        <f>IF(AND('Month 01'!L185&lt;&gt;"",N('Month 01'!I185)&gt;0),'Month 01'!I185,"")</f>
        <v/>
      </c>
      <c r="D161">
        <f>IF(C161="","",IF(N('Month 01'!J185)&gt;0,'Month 01'!J185,1))</f>
        <v/>
      </c>
      <c r="E161">
        <f>IF(OR(C161="",D161=""),"",IF(D161=1,C161,ROUND(C161*(1+D161/30),1)))</f>
        <v/>
      </c>
    </row>
    <row r="162">
      <c r="A162">
        <f>'Month 01'!B180</f>
        <v/>
      </c>
      <c r="B162" t="inlineStr">
        <is>
          <t>Power Snatch</t>
        </is>
      </c>
      <c r="C162">
        <f>IF(AND('Month 01'!L187&lt;&gt;"",N('Month 01'!I187)&gt;0),'Month 01'!I187,"")</f>
        <v/>
      </c>
      <c r="D162">
        <f>IF(C162="","",IF(N('Month 01'!J187)&gt;0,'Month 01'!J187,1))</f>
        <v/>
      </c>
      <c r="E162">
        <f>IF(OR(C162="",D162=""),"",IF(D162=1,C162,ROUND(C162*(1+D162/30),1)))</f>
        <v/>
      </c>
    </row>
    <row r="163">
      <c r="A163">
        <f>'Month 01'!B180</f>
        <v/>
      </c>
      <c r="B163" t="inlineStr">
        <is>
          <t>Power Snatch</t>
        </is>
      </c>
      <c r="C163">
        <f>IF(AND('Month 01'!L188&lt;&gt;"",N('Month 01'!I188)&gt;0),'Month 01'!I188,"")</f>
        <v/>
      </c>
      <c r="D163">
        <f>IF(C163="","",IF(N('Month 01'!J188)&gt;0,'Month 01'!J188,1))</f>
        <v/>
      </c>
      <c r="E163">
        <f>IF(OR(C163="",D163=""),"",IF(D163=1,C163,ROUND(C163*(1+D163/30),1)))</f>
        <v/>
      </c>
    </row>
    <row r="164">
      <c r="A164">
        <f>'Month 01'!B180</f>
        <v/>
      </c>
      <c r="B164" t="inlineStr">
        <is>
          <t>Power Snatch</t>
        </is>
      </c>
      <c r="C164">
        <f>IF(AND('Month 01'!L189&lt;&gt;"",N('Month 01'!I189)&gt;0),'Month 01'!I189,"")</f>
        <v/>
      </c>
      <c r="D164">
        <f>IF(C164="","",IF(N('Month 01'!J189)&gt;0,'Month 01'!J189,1))</f>
        <v/>
      </c>
      <c r="E164">
        <f>IF(OR(C164="",D164=""),"",IF(D164=1,C164,ROUND(C164*(1+D164/30),1)))</f>
        <v/>
      </c>
    </row>
    <row r="165">
      <c r="A165">
        <f>'Month 01'!B180</f>
        <v/>
      </c>
      <c r="B165" t="inlineStr">
        <is>
          <t>Power Snatch</t>
        </is>
      </c>
      <c r="C165">
        <f>IF(AND('Month 01'!L190&lt;&gt;"",N('Month 01'!I190)&gt;0),'Month 01'!I190,"")</f>
        <v/>
      </c>
      <c r="D165">
        <f>IF(C165="","",IF(N('Month 01'!J190)&gt;0,'Month 01'!J190,1))</f>
        <v/>
      </c>
      <c r="E165">
        <f>IF(OR(C165="",D165=""),"",IF(D165=1,C165,ROUND(C165*(1+D165/30),1)))</f>
        <v/>
      </c>
    </row>
    <row r="166">
      <c r="A166">
        <f>'Month 01'!B180</f>
        <v/>
      </c>
      <c r="B166" t="inlineStr">
        <is>
          <t>Power Snatch</t>
        </is>
      </c>
      <c r="C166">
        <f>IF(AND('Month 01'!L191&lt;&gt;"",N('Month 01'!I191)&gt;0),'Month 01'!I191,"")</f>
        <v/>
      </c>
      <c r="D166">
        <f>IF(C166="","",IF(N('Month 01'!J191)&gt;0,'Month 01'!J191,1))</f>
        <v/>
      </c>
      <c r="E166">
        <f>IF(OR(C166="",D166=""),"",IF(D166=1,C166,ROUND(C166*(1+D166/30),1)))</f>
        <v/>
      </c>
    </row>
    <row r="167">
      <c r="A167">
        <f>'Month 01'!B180</f>
        <v/>
      </c>
      <c r="B167" t="inlineStr">
        <is>
          <t>Power Snatch</t>
        </is>
      </c>
      <c r="C167">
        <f>IF(AND('Month 01'!L192&lt;&gt;"",N('Month 01'!I192)&gt;0),'Month 01'!I192,"")</f>
        <v/>
      </c>
      <c r="D167">
        <f>IF(C167="","",IF(N('Month 01'!J192)&gt;0,'Month 01'!J192,1))</f>
        <v/>
      </c>
      <c r="E167">
        <f>IF(OR(C167="",D167=""),"",IF(D167=1,C167,ROUND(C167*(1+D167/30),1)))</f>
        <v/>
      </c>
    </row>
    <row r="168">
      <c r="A168">
        <f>'Month 01'!B180</f>
        <v/>
      </c>
      <c r="B168" t="inlineStr">
        <is>
          <t>Box Squat</t>
        </is>
      </c>
      <c r="C168">
        <f>IF(AND('Month 01'!L194&lt;&gt;"",N('Month 01'!I194)&gt;0),'Month 01'!I194,"")</f>
        <v/>
      </c>
      <c r="D168">
        <f>IF(C168="","",IF(N('Month 01'!J194)&gt;0,'Month 01'!J194,1))</f>
        <v/>
      </c>
      <c r="E168">
        <f>IF(OR(C168="",D168=""),"",IF(D168=1,C168,ROUND(C168*(1+D168/30),1)))</f>
        <v/>
      </c>
    </row>
    <row r="169">
      <c r="A169">
        <f>'Month 01'!B180</f>
        <v/>
      </c>
      <c r="B169" t="inlineStr">
        <is>
          <t>Box Squat</t>
        </is>
      </c>
      <c r="C169">
        <f>IF(AND('Month 01'!L195&lt;&gt;"",N('Month 01'!I195)&gt;0),'Month 01'!I195,"")</f>
        <v/>
      </c>
      <c r="D169">
        <f>IF(C169="","",IF(N('Month 01'!J195)&gt;0,'Month 01'!J195,1))</f>
        <v/>
      </c>
      <c r="E169">
        <f>IF(OR(C169="",D169=""),"",IF(D169=1,C169,ROUND(C169*(1+D169/30),1)))</f>
        <v/>
      </c>
    </row>
    <row r="170">
      <c r="A170">
        <f>'Month 01'!B180</f>
        <v/>
      </c>
      <c r="B170" t="inlineStr">
        <is>
          <t>Box Squat</t>
        </is>
      </c>
      <c r="C170">
        <f>IF(AND('Month 01'!L196&lt;&gt;"",N('Month 01'!I196)&gt;0),'Month 01'!I196,"")</f>
        <v/>
      </c>
      <c r="D170">
        <f>IF(C170="","",IF(N('Month 01'!J196)&gt;0,'Month 01'!J196,1))</f>
        <v/>
      </c>
      <c r="E170">
        <f>IF(OR(C170="",D170=""),"",IF(D170=1,C170,ROUND(C170*(1+D170/30),1)))</f>
        <v/>
      </c>
    </row>
    <row r="171">
      <c r="A171">
        <f>'Month 01'!B180</f>
        <v/>
      </c>
      <c r="B171" t="inlineStr">
        <is>
          <t>Box Squat</t>
        </is>
      </c>
      <c r="C171">
        <f>IF(AND('Month 01'!L197&lt;&gt;"",N('Month 01'!I197)&gt;0),'Month 01'!I197,"")</f>
        <v/>
      </c>
      <c r="D171">
        <f>IF(C171="","",IF(N('Month 01'!J197)&gt;0,'Month 01'!J197,1))</f>
        <v/>
      </c>
      <c r="E171">
        <f>IF(OR(C171="",D171=""),"",IF(D171=1,C171,ROUND(C171*(1+D171/30),1)))</f>
        <v/>
      </c>
    </row>
    <row r="172">
      <c r="A172">
        <f>'Month 01'!B180</f>
        <v/>
      </c>
      <c r="B172" t="inlineStr">
        <is>
          <t>Close-Grip Bench Press</t>
        </is>
      </c>
      <c r="C172">
        <f>IF(AND('Month 01'!L199&lt;&gt;"",N('Month 01'!I199)&gt;0),'Month 01'!I199,"")</f>
        <v/>
      </c>
      <c r="D172">
        <f>IF(C172="","",IF(N('Month 01'!J199)&gt;0,'Month 01'!J199,1))</f>
        <v/>
      </c>
      <c r="E172">
        <f>IF(OR(C172="",D172=""),"",IF(D172=1,C172,ROUND(C172*(1+D172/30),1)))</f>
        <v/>
      </c>
    </row>
    <row r="173">
      <c r="A173">
        <f>'Month 01'!B180</f>
        <v/>
      </c>
      <c r="B173" t="inlineStr">
        <is>
          <t>Close-Grip Bench Press</t>
        </is>
      </c>
      <c r="C173">
        <f>IF(AND('Month 01'!L200&lt;&gt;"",N('Month 01'!I200)&gt;0),'Month 01'!I200,"")</f>
        <v/>
      </c>
      <c r="D173">
        <f>IF(C173="","",IF(N('Month 01'!J200)&gt;0,'Month 01'!J200,1))</f>
        <v/>
      </c>
      <c r="E173">
        <f>IF(OR(C173="",D173=""),"",IF(D173=1,C173,ROUND(C173*(1+D173/30),1)))</f>
        <v/>
      </c>
    </row>
    <row r="174">
      <c r="A174">
        <f>'Month 01'!B180</f>
        <v/>
      </c>
      <c r="B174" t="inlineStr">
        <is>
          <t>Close-Grip Bench Press</t>
        </is>
      </c>
      <c r="C174">
        <f>IF(AND('Month 01'!L201&lt;&gt;"",N('Month 01'!I201)&gt;0),'Month 01'!I201,"")</f>
        <v/>
      </c>
      <c r="D174">
        <f>IF(C174="","",IF(N('Month 01'!J201)&gt;0,'Month 01'!J201,1))</f>
        <v/>
      </c>
      <c r="E174">
        <f>IF(OR(C174="",D174=""),"",IF(D174=1,C174,ROUND(C174*(1+D174/30),1)))</f>
        <v/>
      </c>
    </row>
    <row r="175">
      <c r="A175">
        <f>'Month 01'!B180</f>
        <v/>
      </c>
      <c r="B175" t="inlineStr">
        <is>
          <t>Close-Grip Bench Press</t>
        </is>
      </c>
      <c r="C175">
        <f>IF(AND('Month 01'!L202&lt;&gt;"",N('Month 01'!I202)&gt;0),'Month 01'!I202,"")</f>
        <v/>
      </c>
      <c r="D175">
        <f>IF(C175="","",IF(N('Month 01'!J202)&gt;0,'Month 01'!J202,1))</f>
        <v/>
      </c>
      <c r="E175">
        <f>IF(OR(C175="",D175=""),"",IF(D175=1,C175,ROUND(C175*(1+D175/30),1)))</f>
        <v/>
      </c>
    </row>
    <row r="176">
      <c r="A176">
        <f>'Month 01'!B180</f>
        <v/>
      </c>
      <c r="B176" t="inlineStr">
        <is>
          <t>Romanian Deadlift</t>
        </is>
      </c>
      <c r="C176">
        <f>IF(AND('Month 01'!L204&lt;&gt;"",N('Month 01'!I204)&gt;0),'Month 01'!I204,"")</f>
        <v/>
      </c>
      <c r="D176">
        <f>IF(C176="","",IF(N('Month 01'!J204)&gt;0,'Month 01'!J204,1))</f>
        <v/>
      </c>
      <c r="E176">
        <f>IF(OR(C176="",D176=""),"",IF(D176=1,C176,ROUND(C176*(1+D176/30),1)))</f>
        <v/>
      </c>
    </row>
    <row r="177">
      <c r="A177">
        <f>'Month 01'!B180</f>
        <v/>
      </c>
      <c r="B177" t="inlineStr">
        <is>
          <t>Romanian Deadlift</t>
        </is>
      </c>
      <c r="C177">
        <f>IF(AND('Month 01'!L205&lt;&gt;"",N('Month 01'!I205)&gt;0),'Month 01'!I205,"")</f>
        <v/>
      </c>
      <c r="D177">
        <f>IF(C177="","",IF(N('Month 01'!J205)&gt;0,'Month 01'!J205,1))</f>
        <v/>
      </c>
      <c r="E177">
        <f>IF(OR(C177="",D177=""),"",IF(D177=1,C177,ROUND(C177*(1+D177/30),1)))</f>
        <v/>
      </c>
    </row>
    <row r="178">
      <c r="A178">
        <f>'Month 01'!B180</f>
        <v/>
      </c>
      <c r="B178" t="inlineStr">
        <is>
          <t>Romanian Deadlift</t>
        </is>
      </c>
      <c r="C178">
        <f>IF(AND('Month 01'!L206&lt;&gt;"",N('Month 01'!I206)&gt;0),'Month 01'!I206,"")</f>
        <v/>
      </c>
      <c r="D178">
        <f>IF(C178="","",IF(N('Month 01'!J206)&gt;0,'Month 01'!J206,1))</f>
        <v/>
      </c>
      <c r="E178">
        <f>IF(OR(C178="",D178=""),"",IF(D178=1,C178,ROUND(C178*(1+D178/30),1)))</f>
        <v/>
      </c>
    </row>
    <row r="179">
      <c r="A179">
        <f>'Month 01'!B180</f>
        <v/>
      </c>
      <c r="B179" t="inlineStr">
        <is>
          <t>Incline Dumbbell Press</t>
        </is>
      </c>
      <c r="C179">
        <f>IF(AND('Month 01'!L208&lt;&gt;"",N('Month 01'!I208)&gt;0),'Month 01'!I208,"")</f>
        <v/>
      </c>
      <c r="D179">
        <f>IF(C179="","",IF(N('Month 01'!J208)&gt;0,'Month 01'!J208,1))</f>
        <v/>
      </c>
      <c r="E179">
        <f>IF(OR(C179="",D179=""),"",IF(D179=1,C179,ROUND(C179*(1+D179/30),1)))</f>
        <v/>
      </c>
    </row>
    <row r="180">
      <c r="A180">
        <f>'Month 01'!B180</f>
        <v/>
      </c>
      <c r="B180" t="inlineStr">
        <is>
          <t>Incline Dumbbell Press</t>
        </is>
      </c>
      <c r="C180">
        <f>IF(AND('Month 01'!L209&lt;&gt;"",N('Month 01'!I209)&gt;0),'Month 01'!I209,"")</f>
        <v/>
      </c>
      <c r="D180">
        <f>IF(C180="","",IF(N('Month 01'!J209)&gt;0,'Month 01'!J209,1))</f>
        <v/>
      </c>
      <c r="E180">
        <f>IF(OR(C180="",D180=""),"",IF(D180=1,C180,ROUND(C180*(1+D180/30),1)))</f>
        <v/>
      </c>
    </row>
    <row r="181">
      <c r="A181">
        <f>'Month 01'!B180</f>
        <v/>
      </c>
      <c r="B181" t="inlineStr">
        <is>
          <t>Incline Dumbbell Press</t>
        </is>
      </c>
      <c r="C181">
        <f>IF(AND('Month 01'!L210&lt;&gt;"",N('Month 01'!I210)&gt;0),'Month 01'!I210,"")</f>
        <v/>
      </c>
      <c r="D181">
        <f>IF(C181="","",IF(N('Month 01'!J210)&gt;0,'Month 01'!J210,1))</f>
        <v/>
      </c>
      <c r="E181">
        <f>IF(OR(C181="",D181=""),"",IF(D181=1,C181,ROUND(C181*(1+D181/30),1)))</f>
        <v/>
      </c>
    </row>
    <row r="182">
      <c r="A182">
        <f>'Month 01'!B180</f>
        <v/>
      </c>
      <c r="B182" t="inlineStr">
        <is>
          <t>Incline Dumbbell Press</t>
        </is>
      </c>
      <c r="C182">
        <f>IF(AND('Month 01'!L211&lt;&gt;"",N('Month 01'!I211)&gt;0),'Month 01'!I211,"")</f>
        <v/>
      </c>
      <c r="D182">
        <f>IF(C182="","",IF(N('Month 01'!J211)&gt;0,'Month 01'!J211,1))</f>
        <v/>
      </c>
      <c r="E182">
        <f>IF(OR(C182="",D182=""),"",IF(D182=1,C182,ROUND(C182*(1+D182/30),1)))</f>
        <v/>
      </c>
    </row>
    <row r="183">
      <c r="A183">
        <f>'Month 01'!B180</f>
        <v/>
      </c>
      <c r="B183" t="inlineStr">
        <is>
          <t>Triceps Pushdown</t>
        </is>
      </c>
      <c r="C183">
        <f>IF(AND('Month 01'!L213&lt;&gt;"",N('Month 01'!I213)&gt;0),'Month 01'!I213,"")</f>
        <v/>
      </c>
      <c r="D183">
        <f>IF(C183="","",IF(N('Month 01'!J213)&gt;0,'Month 01'!J213,1))</f>
        <v/>
      </c>
      <c r="E183">
        <f>IF(OR(C183="",D183=""),"",IF(D183=1,C183,ROUND(C183*(1+D183/30),1)))</f>
        <v/>
      </c>
    </row>
    <row r="184">
      <c r="A184">
        <f>'Month 01'!B180</f>
        <v/>
      </c>
      <c r="B184" t="inlineStr">
        <is>
          <t>Triceps Pushdown</t>
        </is>
      </c>
      <c r="C184">
        <f>IF(AND('Month 01'!L214&lt;&gt;"",N('Month 01'!I214)&gt;0),'Month 01'!I214,"")</f>
        <v/>
      </c>
      <c r="D184">
        <f>IF(C184="","",IF(N('Month 01'!J214)&gt;0,'Month 01'!J214,1))</f>
        <v/>
      </c>
      <c r="E184">
        <f>IF(OR(C184="",D184=""),"",IF(D184=1,C184,ROUND(C184*(1+D184/30),1)))</f>
        <v/>
      </c>
    </row>
    <row r="185">
      <c r="A185">
        <f>'Month 01'!B180</f>
        <v/>
      </c>
      <c r="B185" t="inlineStr">
        <is>
          <t>Triceps Pushdown</t>
        </is>
      </c>
      <c r="C185">
        <f>IF(AND('Month 01'!L215&lt;&gt;"",N('Month 01'!I215)&gt;0),'Month 01'!I215,"")</f>
        <v/>
      </c>
      <c r="D185">
        <f>IF(C185="","",IF(N('Month 01'!J215)&gt;0,'Month 01'!J215,1))</f>
        <v/>
      </c>
      <c r="E185">
        <f>IF(OR(C185="",D185=""),"",IF(D185=1,C185,ROUND(C185*(1+D185/30),1)))</f>
        <v/>
      </c>
    </row>
    <row r="186">
      <c r="A186">
        <f>'Month 01'!B180</f>
        <v/>
      </c>
      <c r="B186" t="inlineStr">
        <is>
          <t>Triceps Pushdown</t>
        </is>
      </c>
      <c r="C186">
        <f>IF(AND('Month 01'!L216&lt;&gt;"",N('Month 01'!I216)&gt;0),'Month 01'!I216,"")</f>
        <v/>
      </c>
      <c r="D186">
        <f>IF(C186="","",IF(N('Month 01'!J216)&gt;0,'Month 01'!J216,1))</f>
        <v/>
      </c>
      <c r="E186">
        <f>IF(OR(C186="",D186=""),"",IF(D186=1,C186,ROUND(C186*(1+D186/30),1)))</f>
        <v/>
      </c>
    </row>
    <row r="187">
      <c r="A187">
        <f>'Month 01'!B219</f>
        <v/>
      </c>
      <c r="B187" t="inlineStr">
        <is>
          <t>Box Jump</t>
        </is>
      </c>
      <c r="C187">
        <f>IF(AND('Month 01'!L221&lt;&gt;"",N('Month 01'!I221)&gt;0),'Month 01'!I221,"")</f>
        <v/>
      </c>
      <c r="D187">
        <f>IF(C187="","",IF(N('Month 01'!J221)&gt;0,'Month 01'!J221,1))</f>
        <v/>
      </c>
      <c r="E187">
        <f>IF(OR(C187="",D187=""),"",IF(D187=1,C187,ROUND(C187*(1+D187/30),1)))</f>
        <v/>
      </c>
    </row>
    <row r="188">
      <c r="A188">
        <f>'Month 01'!B219</f>
        <v/>
      </c>
      <c r="B188" t="inlineStr">
        <is>
          <t>Box Jump</t>
        </is>
      </c>
      <c r="C188">
        <f>IF(AND('Month 01'!L222&lt;&gt;"",N('Month 01'!I222)&gt;0),'Month 01'!I222,"")</f>
        <v/>
      </c>
      <c r="D188">
        <f>IF(C188="","",IF(N('Month 01'!J222)&gt;0,'Month 01'!J222,1))</f>
        <v/>
      </c>
      <c r="E188">
        <f>IF(OR(C188="",D188=""),"",IF(D188=1,C188,ROUND(C188*(1+D188/30),1)))</f>
        <v/>
      </c>
    </row>
    <row r="189">
      <c r="A189">
        <f>'Month 01'!B219</f>
        <v/>
      </c>
      <c r="B189" t="inlineStr">
        <is>
          <t>Box Jump</t>
        </is>
      </c>
      <c r="C189">
        <f>IF(AND('Month 01'!L223&lt;&gt;"",N('Month 01'!I223)&gt;0),'Month 01'!I223,"")</f>
        <v/>
      </c>
      <c r="D189">
        <f>IF(C189="","",IF(N('Month 01'!J223)&gt;0,'Month 01'!J223,1))</f>
        <v/>
      </c>
      <c r="E189">
        <f>IF(OR(C189="",D189=""),"",IF(D189=1,C189,ROUND(C189*(1+D189/30),1)))</f>
        <v/>
      </c>
    </row>
    <row r="190">
      <c r="A190">
        <f>'Month 01'!B219</f>
        <v/>
      </c>
      <c r="B190" t="inlineStr">
        <is>
          <t>Box Jump</t>
        </is>
      </c>
      <c r="C190">
        <f>IF(AND('Month 01'!L224&lt;&gt;"",N('Month 01'!I224)&gt;0),'Month 01'!I224,"")</f>
        <v/>
      </c>
      <c r="D190">
        <f>IF(C190="","",IF(N('Month 01'!J224)&gt;0,'Month 01'!J224,1))</f>
        <v/>
      </c>
      <c r="E190">
        <f>IF(OR(C190="",D190=""),"",IF(D190=1,C190,ROUND(C190*(1+D190/30),1)))</f>
        <v/>
      </c>
    </row>
    <row r="191">
      <c r="A191">
        <f>'Month 01'!B219</f>
        <v/>
      </c>
      <c r="B191" t="inlineStr">
        <is>
          <t>Snatch</t>
        </is>
      </c>
      <c r="C191">
        <f>IF(AND('Month 01'!L226&lt;&gt;"",N('Month 01'!I226)&gt;0),'Month 01'!I226,"")</f>
        <v/>
      </c>
      <c r="D191">
        <f>IF(C191="","",IF(N('Month 01'!J226)&gt;0,'Month 01'!J226,1))</f>
        <v/>
      </c>
      <c r="E191">
        <f>IF(OR(C191="",D191=""),"",IF(D191=1,C191,ROUND(C191*(1+D191/30),1)))</f>
        <v/>
      </c>
    </row>
    <row r="192">
      <c r="A192">
        <f>'Month 01'!B219</f>
        <v/>
      </c>
      <c r="B192" t="inlineStr">
        <is>
          <t>Snatch</t>
        </is>
      </c>
      <c r="C192">
        <f>IF(AND('Month 01'!L227&lt;&gt;"",N('Month 01'!I227)&gt;0),'Month 01'!I227,"")</f>
        <v/>
      </c>
      <c r="D192">
        <f>IF(C192="","",IF(N('Month 01'!J227)&gt;0,'Month 01'!J227,1))</f>
        <v/>
      </c>
      <c r="E192">
        <f>IF(OR(C192="",D192=""),"",IF(D192=1,C192,ROUND(C192*(1+D192/30),1)))</f>
        <v/>
      </c>
    </row>
    <row r="193">
      <c r="A193">
        <f>'Month 01'!B219</f>
        <v/>
      </c>
      <c r="B193" t="inlineStr">
        <is>
          <t>Snatch</t>
        </is>
      </c>
      <c r="C193">
        <f>IF(AND('Month 01'!L228&lt;&gt;"",N('Month 01'!I228)&gt;0),'Month 01'!I228,"")</f>
        <v/>
      </c>
      <c r="D193">
        <f>IF(C193="","",IF(N('Month 01'!J228)&gt;0,'Month 01'!J228,1))</f>
        <v/>
      </c>
      <c r="E193">
        <f>IF(OR(C193="",D193=""),"",IF(D193=1,C193,ROUND(C193*(1+D193/30),1)))</f>
        <v/>
      </c>
    </row>
    <row r="194">
      <c r="A194">
        <f>'Month 01'!B219</f>
        <v/>
      </c>
      <c r="B194" t="inlineStr">
        <is>
          <t>Snatch</t>
        </is>
      </c>
      <c r="C194">
        <f>IF(AND('Month 01'!L229&lt;&gt;"",N('Month 01'!I229)&gt;0),'Month 01'!I229,"")</f>
        <v/>
      </c>
      <c r="D194">
        <f>IF(C194="","",IF(N('Month 01'!J229)&gt;0,'Month 01'!J229,1))</f>
        <v/>
      </c>
      <c r="E194">
        <f>IF(OR(C194="",D194=""),"",IF(D194=1,C194,ROUND(C194*(1+D194/30),1)))</f>
        <v/>
      </c>
    </row>
    <row r="195">
      <c r="A195">
        <f>'Month 01'!B219</f>
        <v/>
      </c>
      <c r="B195" t="inlineStr">
        <is>
          <t>Squat</t>
        </is>
      </c>
      <c r="C195">
        <f>IF(AND('Month 01'!L231&lt;&gt;"",N('Month 01'!I231)&gt;0),'Month 01'!I231,"")</f>
        <v/>
      </c>
      <c r="D195">
        <f>IF(C195="","",IF(N('Month 01'!J231)&gt;0,'Month 01'!J231,1))</f>
        <v/>
      </c>
      <c r="E195">
        <f>IF(OR(C195="",D195=""),"",IF(D195=1,C195,ROUND(C195*(1+D195/30),1)))</f>
        <v/>
      </c>
    </row>
    <row r="196">
      <c r="A196">
        <f>'Month 01'!B219</f>
        <v/>
      </c>
      <c r="B196" t="inlineStr">
        <is>
          <t>Squat</t>
        </is>
      </c>
      <c r="C196">
        <f>IF(AND('Month 01'!L232&lt;&gt;"",N('Month 01'!I232)&gt;0),'Month 01'!I232,"")</f>
        <v/>
      </c>
      <c r="D196">
        <f>IF(C196="","",IF(N('Month 01'!J232)&gt;0,'Month 01'!J232,1))</f>
        <v/>
      </c>
      <c r="E196">
        <f>IF(OR(C196="",D196=""),"",IF(D196=1,C196,ROUND(C196*(1+D196/30),1)))</f>
        <v/>
      </c>
    </row>
    <row r="197">
      <c r="A197">
        <f>'Month 01'!B219</f>
        <v/>
      </c>
      <c r="B197" t="inlineStr">
        <is>
          <t>Squat</t>
        </is>
      </c>
      <c r="C197">
        <f>IF(AND('Month 01'!L233&lt;&gt;"",N('Month 01'!I233)&gt;0),'Month 01'!I233,"")</f>
        <v/>
      </c>
      <c r="D197">
        <f>IF(C197="","",IF(N('Month 01'!J233)&gt;0,'Month 01'!J233,1))</f>
        <v/>
      </c>
      <c r="E197">
        <f>IF(OR(C197="",D197=""),"",IF(D197=1,C197,ROUND(C197*(1+D197/30),1)))</f>
        <v/>
      </c>
    </row>
    <row r="198">
      <c r="A198">
        <f>'Month 01'!B219</f>
        <v/>
      </c>
      <c r="B198" t="inlineStr">
        <is>
          <t>Bench Press</t>
        </is>
      </c>
      <c r="C198">
        <f>IF(AND('Month 01'!L235&lt;&gt;"",N('Month 01'!I235)&gt;0),'Month 01'!I235,"")</f>
        <v/>
      </c>
      <c r="D198">
        <f>IF(C198="","",IF(N('Month 01'!J235)&gt;0,'Month 01'!J235,1))</f>
        <v/>
      </c>
      <c r="E198">
        <f>IF(OR(C198="",D198=""),"",IF(D198=1,C198,ROUND(C198*(1+D198/30),1)))</f>
        <v/>
      </c>
    </row>
    <row r="199">
      <c r="A199">
        <f>'Month 01'!B219</f>
        <v/>
      </c>
      <c r="B199" t="inlineStr">
        <is>
          <t>Bench Press</t>
        </is>
      </c>
      <c r="C199">
        <f>IF(AND('Month 01'!L236&lt;&gt;"",N('Month 01'!I236)&gt;0),'Month 01'!I236,"")</f>
        <v/>
      </c>
      <c r="D199">
        <f>IF(C199="","",IF(N('Month 01'!J236)&gt;0,'Month 01'!J236,1))</f>
        <v/>
      </c>
      <c r="E199">
        <f>IF(OR(C199="",D199=""),"",IF(D199=1,C199,ROUND(C199*(1+D199/30),1)))</f>
        <v/>
      </c>
    </row>
    <row r="200">
      <c r="A200">
        <f>'Month 01'!B219</f>
        <v/>
      </c>
      <c r="B200" t="inlineStr">
        <is>
          <t>Bench Press</t>
        </is>
      </c>
      <c r="C200">
        <f>IF(AND('Month 01'!L237&lt;&gt;"",N('Month 01'!I237)&gt;0),'Month 01'!I237,"")</f>
        <v/>
      </c>
      <c r="D200">
        <f>IF(C200="","",IF(N('Month 01'!J237)&gt;0,'Month 01'!J237,1))</f>
        <v/>
      </c>
      <c r="E200">
        <f>IF(OR(C200="",D200=""),"",IF(D200=1,C200,ROUND(C200*(1+D200/30),1)))</f>
        <v/>
      </c>
    </row>
    <row r="201">
      <c r="A201">
        <f>'Month 01'!B219</f>
        <v/>
      </c>
      <c r="B201" t="inlineStr">
        <is>
          <t>Barbell Row</t>
        </is>
      </c>
      <c r="C201">
        <f>IF(AND('Month 01'!L239&lt;&gt;"",N('Month 01'!I239)&gt;0),'Month 01'!I239,"")</f>
        <v/>
      </c>
      <c r="D201">
        <f>IF(C201="","",IF(N('Month 01'!J239)&gt;0,'Month 01'!J239,1))</f>
        <v/>
      </c>
      <c r="E201">
        <f>IF(OR(C201="",D201=""),"",IF(D201=1,C201,ROUND(C201*(1+D201/30),1)))</f>
        <v/>
      </c>
    </row>
    <row r="202">
      <c r="A202">
        <f>'Month 01'!B219</f>
        <v/>
      </c>
      <c r="B202" t="inlineStr">
        <is>
          <t>Barbell Row</t>
        </is>
      </c>
      <c r="C202">
        <f>IF(AND('Month 01'!L240&lt;&gt;"",N('Month 01'!I240)&gt;0),'Month 01'!I240,"")</f>
        <v/>
      </c>
      <c r="D202">
        <f>IF(C202="","",IF(N('Month 01'!J240)&gt;0,'Month 01'!J240,1))</f>
        <v/>
      </c>
      <c r="E202">
        <f>IF(OR(C202="",D202=""),"",IF(D202=1,C202,ROUND(C202*(1+D202/30),1)))</f>
        <v/>
      </c>
    </row>
    <row r="203">
      <c r="A203">
        <f>'Month 01'!B219</f>
        <v/>
      </c>
      <c r="B203" t="inlineStr">
        <is>
          <t>Barbell Row</t>
        </is>
      </c>
      <c r="C203">
        <f>IF(AND('Month 01'!L241&lt;&gt;"",N('Month 01'!I241)&gt;0),'Month 01'!I241,"")</f>
        <v/>
      </c>
      <c r="D203">
        <f>IF(C203="","",IF(N('Month 01'!J241)&gt;0,'Month 01'!J241,1))</f>
        <v/>
      </c>
      <c r="E203">
        <f>IF(OR(C203="",D203=""),"",IF(D203=1,C203,ROUND(C203*(1+D203/30),1)))</f>
        <v/>
      </c>
    </row>
    <row r="204">
      <c r="A204">
        <f>'Month 01'!B219</f>
        <v/>
      </c>
      <c r="B204" t="inlineStr">
        <is>
          <t>Barbell Row</t>
        </is>
      </c>
      <c r="C204">
        <f>IF(AND('Month 01'!L242&lt;&gt;"",N('Month 01'!I242)&gt;0),'Month 01'!I242,"")</f>
        <v/>
      </c>
      <c r="D204">
        <f>IF(C204="","",IF(N('Month 01'!J242)&gt;0,'Month 01'!J242,1))</f>
        <v/>
      </c>
      <c r="E204">
        <f>IF(OR(C204="",D204=""),"",IF(D204=1,C204,ROUND(C204*(1+D204/30),1)))</f>
        <v/>
      </c>
    </row>
    <row r="205">
      <c r="A205">
        <f>'Month 01'!B219</f>
        <v/>
      </c>
      <c r="B205" t="inlineStr">
        <is>
          <t>Face Pull</t>
        </is>
      </c>
      <c r="C205">
        <f>IF(AND('Month 01'!L244&lt;&gt;"",N('Month 01'!I244)&gt;0),'Month 01'!I244,"")</f>
        <v/>
      </c>
      <c r="D205">
        <f>IF(C205="","",IF(N('Month 01'!J244)&gt;0,'Month 01'!J244,1))</f>
        <v/>
      </c>
      <c r="E205">
        <f>IF(OR(C205="",D205=""),"",IF(D205=1,C205,ROUND(C205*(1+D205/30),1)))</f>
        <v/>
      </c>
    </row>
    <row r="206">
      <c r="A206">
        <f>'Month 01'!B219</f>
        <v/>
      </c>
      <c r="B206" t="inlineStr">
        <is>
          <t>Face Pull</t>
        </is>
      </c>
      <c r="C206">
        <f>IF(AND('Month 01'!L245&lt;&gt;"",N('Month 01'!I245)&gt;0),'Month 01'!I245,"")</f>
        <v/>
      </c>
      <c r="D206">
        <f>IF(C206="","",IF(N('Month 01'!J245)&gt;0,'Month 01'!J245,1))</f>
        <v/>
      </c>
      <c r="E206">
        <f>IF(OR(C206="",D206=""),"",IF(D206=1,C206,ROUND(C206*(1+D206/30),1)))</f>
        <v/>
      </c>
    </row>
    <row r="207">
      <c r="A207">
        <f>'Month 01'!B219</f>
        <v/>
      </c>
      <c r="B207" t="inlineStr">
        <is>
          <t>Face Pull</t>
        </is>
      </c>
      <c r="C207">
        <f>IF(AND('Month 01'!L246&lt;&gt;"",N('Month 01'!I246)&gt;0),'Month 01'!I246,"")</f>
        <v/>
      </c>
      <c r="D207">
        <f>IF(C207="","",IF(N('Month 01'!J246)&gt;0,'Month 01'!J246,1))</f>
        <v/>
      </c>
      <c r="E207">
        <f>IF(OR(C207="",D207=""),"",IF(D207=1,C207,ROUND(C207*(1+D207/30),1)))</f>
        <v/>
      </c>
    </row>
    <row r="208">
      <c r="A208">
        <f>'Month 01'!B219</f>
        <v/>
      </c>
      <c r="B208" t="inlineStr">
        <is>
          <t>Face Pull</t>
        </is>
      </c>
      <c r="C208">
        <f>IF(AND('Month 01'!L247&lt;&gt;"",N('Month 01'!I247)&gt;0),'Month 01'!I247,"")</f>
        <v/>
      </c>
      <c r="D208">
        <f>IF(C208="","",IF(N('Month 01'!J247)&gt;0,'Month 01'!J247,1))</f>
        <v/>
      </c>
      <c r="E208">
        <f>IF(OR(C208="",D208=""),"",IF(D208=1,C208,ROUND(C208*(1+D208/30),1)))</f>
        <v/>
      </c>
    </row>
    <row r="209">
      <c r="A209">
        <f>'Month 01'!B248</f>
        <v/>
      </c>
      <c r="B209" t="inlineStr">
        <is>
          <t>Broad Jump</t>
        </is>
      </c>
      <c r="C209">
        <f>IF(AND('Month 01'!L250&lt;&gt;"",N('Month 01'!I250)&gt;0),'Month 01'!I250,"")</f>
        <v/>
      </c>
      <c r="D209">
        <f>IF(C209="","",IF(N('Month 01'!J250)&gt;0,'Month 01'!J250,1))</f>
        <v/>
      </c>
      <c r="E209">
        <f>IF(OR(C209="",D209=""),"",IF(D209=1,C209,ROUND(C209*(1+D209/30),1)))</f>
        <v/>
      </c>
    </row>
    <row r="210">
      <c r="A210">
        <f>'Month 01'!B248</f>
        <v/>
      </c>
      <c r="B210" t="inlineStr">
        <is>
          <t>Broad Jump</t>
        </is>
      </c>
      <c r="C210">
        <f>IF(AND('Month 01'!L251&lt;&gt;"",N('Month 01'!I251)&gt;0),'Month 01'!I251,"")</f>
        <v/>
      </c>
      <c r="D210">
        <f>IF(C210="","",IF(N('Month 01'!J251)&gt;0,'Month 01'!J251,1))</f>
        <v/>
      </c>
      <c r="E210">
        <f>IF(OR(C210="",D210=""),"",IF(D210=1,C210,ROUND(C210*(1+D210/30),1)))</f>
        <v/>
      </c>
    </row>
    <row r="211">
      <c r="A211">
        <f>'Month 01'!B248</f>
        <v/>
      </c>
      <c r="B211" t="inlineStr">
        <is>
          <t>Broad Jump</t>
        </is>
      </c>
      <c r="C211">
        <f>IF(AND('Month 01'!L252&lt;&gt;"",N('Month 01'!I252)&gt;0),'Month 01'!I252,"")</f>
        <v/>
      </c>
      <c r="D211">
        <f>IF(C211="","",IF(N('Month 01'!J252)&gt;0,'Month 01'!J252,1))</f>
        <v/>
      </c>
      <c r="E211">
        <f>IF(OR(C211="",D211=""),"",IF(D211=1,C211,ROUND(C211*(1+D211/30),1)))</f>
        <v/>
      </c>
    </row>
    <row r="212">
      <c r="A212">
        <f>'Month 01'!B248</f>
        <v/>
      </c>
      <c r="B212" t="inlineStr">
        <is>
          <t>Broad Jump</t>
        </is>
      </c>
      <c r="C212">
        <f>IF(AND('Month 01'!L253&lt;&gt;"",N('Month 01'!I253)&gt;0),'Month 01'!I253,"")</f>
        <v/>
      </c>
      <c r="D212">
        <f>IF(C212="","",IF(N('Month 01'!J253)&gt;0,'Month 01'!J253,1))</f>
        <v/>
      </c>
      <c r="E212">
        <f>IF(OR(C212="",D212=""),"",IF(D212=1,C212,ROUND(C212*(1+D212/30),1)))</f>
        <v/>
      </c>
    </row>
    <row r="213">
      <c r="A213">
        <f>'Month 01'!B248</f>
        <v/>
      </c>
      <c r="B213" t="inlineStr">
        <is>
          <t>Med Ball Chest Pass</t>
        </is>
      </c>
      <c r="C213">
        <f>IF(AND('Month 01'!L255&lt;&gt;"",N('Month 01'!I255)&gt;0),'Month 01'!I255,"")</f>
        <v/>
      </c>
      <c r="D213">
        <f>IF(C213="","",IF(N('Month 01'!J255)&gt;0,'Month 01'!J255,1))</f>
        <v/>
      </c>
      <c r="E213">
        <f>IF(OR(C213="",D213=""),"",IF(D213=1,C213,ROUND(C213*(1+D213/30),1)))</f>
        <v/>
      </c>
    </row>
    <row r="214">
      <c r="A214">
        <f>'Month 01'!B248</f>
        <v/>
      </c>
      <c r="B214" t="inlineStr">
        <is>
          <t>Med Ball Chest Pass</t>
        </is>
      </c>
      <c r="C214">
        <f>IF(AND('Month 01'!L256&lt;&gt;"",N('Month 01'!I256)&gt;0),'Month 01'!I256,"")</f>
        <v/>
      </c>
      <c r="D214">
        <f>IF(C214="","",IF(N('Month 01'!J256)&gt;0,'Month 01'!J256,1))</f>
        <v/>
      </c>
      <c r="E214">
        <f>IF(OR(C214="",D214=""),"",IF(D214=1,C214,ROUND(C214*(1+D214/30),1)))</f>
        <v/>
      </c>
    </row>
    <row r="215">
      <c r="A215">
        <f>'Month 01'!B248</f>
        <v/>
      </c>
      <c r="B215" t="inlineStr">
        <is>
          <t>Med Ball Chest Pass</t>
        </is>
      </c>
      <c r="C215">
        <f>IF(AND('Month 01'!L257&lt;&gt;"",N('Month 01'!I257)&gt;0),'Month 01'!I257,"")</f>
        <v/>
      </c>
      <c r="D215">
        <f>IF(C215="","",IF(N('Month 01'!J257)&gt;0,'Month 01'!J257,1))</f>
        <v/>
      </c>
      <c r="E215">
        <f>IF(OR(C215="",D215=""),"",IF(D215=1,C215,ROUND(C215*(1+D215/30),1)))</f>
        <v/>
      </c>
    </row>
    <row r="216">
      <c r="A216">
        <f>'Month 01'!B248</f>
        <v/>
      </c>
      <c r="B216" t="inlineStr">
        <is>
          <t>Clean &amp; Jerk</t>
        </is>
      </c>
      <c r="C216">
        <f>IF(AND('Month 01'!L259&lt;&gt;"",N('Month 01'!I259)&gt;0),'Month 01'!I259,"")</f>
        <v/>
      </c>
      <c r="D216">
        <f>IF(C216="","",IF(N('Month 01'!J259)&gt;0,'Month 01'!J259,1))</f>
        <v/>
      </c>
      <c r="E216">
        <f>IF(OR(C216="",D216=""),"",IF(D216=1,C216,ROUND(C216*(1+D216/30),1)))</f>
        <v/>
      </c>
    </row>
    <row r="217">
      <c r="A217">
        <f>'Month 01'!B248</f>
        <v/>
      </c>
      <c r="B217" t="inlineStr">
        <is>
          <t>Clean &amp; Jerk</t>
        </is>
      </c>
      <c r="C217">
        <f>IF(AND('Month 01'!L260&lt;&gt;"",N('Month 01'!I260)&gt;0),'Month 01'!I260,"")</f>
        <v/>
      </c>
      <c r="D217">
        <f>IF(C217="","",IF(N('Month 01'!J260)&gt;0,'Month 01'!J260,1))</f>
        <v/>
      </c>
      <c r="E217">
        <f>IF(OR(C217="",D217=""),"",IF(D217=1,C217,ROUND(C217*(1+D217/30),1)))</f>
        <v/>
      </c>
    </row>
    <row r="218">
      <c r="A218">
        <f>'Month 01'!B248</f>
        <v/>
      </c>
      <c r="B218" t="inlineStr">
        <is>
          <t>Clean &amp; Jerk</t>
        </is>
      </c>
      <c r="C218">
        <f>IF(AND('Month 01'!L261&lt;&gt;"",N('Month 01'!I261)&gt;0),'Month 01'!I261,"")</f>
        <v/>
      </c>
      <c r="D218">
        <f>IF(C218="","",IF(N('Month 01'!J261)&gt;0,'Month 01'!J261,1))</f>
        <v/>
      </c>
      <c r="E218">
        <f>IF(OR(C218="",D218=""),"",IF(D218=1,C218,ROUND(C218*(1+D218/30),1)))</f>
        <v/>
      </c>
    </row>
    <row r="219">
      <c r="A219">
        <f>'Month 01'!B248</f>
        <v/>
      </c>
      <c r="B219" t="inlineStr">
        <is>
          <t>Clean &amp; Jerk</t>
        </is>
      </c>
      <c r="C219">
        <f>IF(AND('Month 01'!L262&lt;&gt;"",N('Month 01'!I262)&gt;0),'Month 01'!I262,"")</f>
        <v/>
      </c>
      <c r="D219">
        <f>IF(C219="","",IF(N('Month 01'!J262)&gt;0,'Month 01'!J262,1))</f>
        <v/>
      </c>
      <c r="E219">
        <f>IF(OR(C219="",D219=""),"",IF(D219=1,C219,ROUND(C219*(1+D219/30),1)))</f>
        <v/>
      </c>
    </row>
    <row r="220">
      <c r="A220">
        <f>'Month 01'!B248</f>
        <v/>
      </c>
      <c r="B220" t="inlineStr">
        <is>
          <t>Squat</t>
        </is>
      </c>
      <c r="C220">
        <f>IF(AND('Month 01'!L264&lt;&gt;"",N('Month 01'!I264)&gt;0),'Month 01'!I264,"")</f>
        <v/>
      </c>
      <c r="D220">
        <f>IF(C220="","",IF(N('Month 01'!J264)&gt;0,'Month 01'!J264,1))</f>
        <v/>
      </c>
      <c r="E220">
        <f>IF(OR(C220="",D220=""),"",IF(D220=1,C220,ROUND(C220*(1+D220/30),1)))</f>
        <v/>
      </c>
    </row>
    <row r="221">
      <c r="A221">
        <f>'Month 01'!B248</f>
        <v/>
      </c>
      <c r="B221" t="inlineStr">
        <is>
          <t>Squat</t>
        </is>
      </c>
      <c r="C221">
        <f>IF(AND('Month 01'!L265&lt;&gt;"",N('Month 01'!I265)&gt;0),'Month 01'!I265,"")</f>
        <v/>
      </c>
      <c r="D221">
        <f>IF(C221="","",IF(N('Month 01'!J265)&gt;0,'Month 01'!J265,1))</f>
        <v/>
      </c>
      <c r="E221">
        <f>IF(OR(C221="",D221=""),"",IF(D221=1,C221,ROUND(C221*(1+D221/30),1)))</f>
        <v/>
      </c>
    </row>
    <row r="222">
      <c r="A222">
        <f>'Month 01'!B248</f>
        <v/>
      </c>
      <c r="B222" t="inlineStr">
        <is>
          <t>Squat</t>
        </is>
      </c>
      <c r="C222">
        <f>IF(AND('Month 01'!L266&lt;&gt;"",N('Month 01'!I266)&gt;0),'Month 01'!I266,"")</f>
        <v/>
      </c>
      <c r="D222">
        <f>IF(C222="","",IF(N('Month 01'!J266)&gt;0,'Month 01'!J266,1))</f>
        <v/>
      </c>
      <c r="E222">
        <f>IF(OR(C222="",D222=""),"",IF(D222=1,C222,ROUND(C222*(1+D222/30),1)))</f>
        <v/>
      </c>
    </row>
    <row r="223">
      <c r="A223">
        <f>'Month 01'!B248</f>
        <v/>
      </c>
      <c r="B223" t="inlineStr">
        <is>
          <t>Overhead Press</t>
        </is>
      </c>
      <c r="C223">
        <f>IF(AND('Month 01'!L268&lt;&gt;"",N('Month 01'!I268)&gt;0),'Month 01'!I268,"")</f>
        <v/>
      </c>
      <c r="D223">
        <f>IF(C223="","",IF(N('Month 01'!J268)&gt;0,'Month 01'!J268,1))</f>
        <v/>
      </c>
      <c r="E223">
        <f>IF(OR(C223="",D223=""),"",IF(D223=1,C223,ROUND(C223*(1+D223/30),1)))</f>
        <v/>
      </c>
    </row>
    <row r="224">
      <c r="A224">
        <f>'Month 01'!B248</f>
        <v/>
      </c>
      <c r="B224" t="inlineStr">
        <is>
          <t>Overhead Press</t>
        </is>
      </c>
      <c r="C224">
        <f>IF(AND('Month 01'!L269&lt;&gt;"",N('Month 01'!I269)&gt;0),'Month 01'!I269,"")</f>
        <v/>
      </c>
      <c r="D224">
        <f>IF(C224="","",IF(N('Month 01'!J269)&gt;0,'Month 01'!J269,1))</f>
        <v/>
      </c>
      <c r="E224">
        <f>IF(OR(C224="",D224=""),"",IF(D224=1,C224,ROUND(C224*(1+D224/30),1)))</f>
        <v/>
      </c>
    </row>
    <row r="225">
      <c r="A225">
        <f>'Month 01'!B248</f>
        <v/>
      </c>
      <c r="B225" t="inlineStr">
        <is>
          <t>Overhead Press</t>
        </is>
      </c>
      <c r="C225">
        <f>IF(AND('Month 01'!L270&lt;&gt;"",N('Month 01'!I270)&gt;0),'Month 01'!I270,"")</f>
        <v/>
      </c>
      <c r="D225">
        <f>IF(C225="","",IF(N('Month 01'!J270)&gt;0,'Month 01'!J270,1))</f>
        <v/>
      </c>
      <c r="E225">
        <f>IF(OR(C225="",D225=""),"",IF(D225=1,C225,ROUND(C225*(1+D225/30),1)))</f>
        <v/>
      </c>
    </row>
    <row r="226">
      <c r="A226">
        <f>'Month 01'!B248</f>
        <v/>
      </c>
      <c r="B226" t="inlineStr">
        <is>
          <t>Deadlift</t>
        </is>
      </c>
      <c r="C226">
        <f>IF(AND('Month 01'!L272&lt;&gt;"",N('Month 01'!I272)&gt;0),'Month 01'!I272,"")</f>
        <v/>
      </c>
      <c r="D226">
        <f>IF(C226="","",IF(N('Month 01'!J272)&gt;0,'Month 01'!J272,1))</f>
        <v/>
      </c>
      <c r="E226">
        <f>IF(OR(C226="",D226=""),"",IF(D226=1,C226,ROUND(C226*(1+D226/30),1)))</f>
        <v/>
      </c>
    </row>
    <row r="227">
      <c r="A227">
        <f>'Month 01'!B248</f>
        <v/>
      </c>
      <c r="B227" t="inlineStr">
        <is>
          <t>Deadlift</t>
        </is>
      </c>
      <c r="C227">
        <f>IF(AND('Month 01'!L273&lt;&gt;"",N('Month 01'!I273)&gt;0),'Month 01'!I273,"")</f>
        <v/>
      </c>
      <c r="D227">
        <f>IF(C227="","",IF(N('Month 01'!J273)&gt;0,'Month 01'!J273,1))</f>
        <v/>
      </c>
      <c r="E227">
        <f>IF(OR(C227="",D227=""),"",IF(D227=1,C227,ROUND(C227*(1+D227/30),1)))</f>
        <v/>
      </c>
    </row>
    <row r="228">
      <c r="A228">
        <f>'Month 01'!B248</f>
        <v/>
      </c>
      <c r="B228" t="inlineStr">
        <is>
          <t>Deadlift</t>
        </is>
      </c>
      <c r="C228">
        <f>IF(AND('Month 01'!L274&lt;&gt;"",N('Month 01'!I274)&gt;0),'Month 01'!I274,"")</f>
        <v/>
      </c>
      <c r="D228">
        <f>IF(C228="","",IF(N('Month 01'!J274)&gt;0,'Month 01'!J274,1))</f>
        <v/>
      </c>
      <c r="E228">
        <f>IF(OR(C228="",D228=""),"",IF(D228=1,C228,ROUND(C228*(1+D228/30),1)))</f>
        <v/>
      </c>
    </row>
    <row r="229">
      <c r="A229">
        <f>'Month 01'!B248</f>
        <v/>
      </c>
      <c r="B229" t="inlineStr">
        <is>
          <t>Chin-up</t>
        </is>
      </c>
      <c r="C229">
        <f>IF(AND('Month 01'!L276&lt;&gt;"",N('Month 01'!I276)&gt;0),'Month 01'!I276,"")</f>
        <v/>
      </c>
      <c r="D229">
        <f>IF(C229="","",IF(N('Month 01'!J276)&gt;0,'Month 01'!J276,1))</f>
        <v/>
      </c>
      <c r="E229">
        <f>IF(OR(C229="",D229=""),"",IF(D229=1,C229,ROUND(C229*(1+D229/30),1)))</f>
        <v/>
      </c>
    </row>
    <row r="230">
      <c r="A230">
        <f>'Month 01'!B248</f>
        <v/>
      </c>
      <c r="B230" t="inlineStr">
        <is>
          <t>Chin-up</t>
        </is>
      </c>
      <c r="C230">
        <f>IF(AND('Month 01'!L277&lt;&gt;"",N('Month 01'!I277)&gt;0),'Month 01'!I277,"")</f>
        <v/>
      </c>
      <c r="D230">
        <f>IF(C230="","",IF(N('Month 01'!J277)&gt;0,'Month 01'!J277,1))</f>
        <v/>
      </c>
      <c r="E230">
        <f>IF(OR(C230="",D230=""),"",IF(D230=1,C230,ROUND(C230*(1+D230/30),1)))</f>
        <v/>
      </c>
    </row>
    <row r="231">
      <c r="A231">
        <f>'Month 01'!B248</f>
        <v/>
      </c>
      <c r="B231" t="inlineStr">
        <is>
          <t>Chin-up</t>
        </is>
      </c>
      <c r="C231">
        <f>IF(AND('Month 01'!L278&lt;&gt;"",N('Month 01'!I278)&gt;0),'Month 01'!I278,"")</f>
        <v/>
      </c>
      <c r="D231">
        <f>IF(C231="","",IF(N('Month 01'!J278)&gt;0,'Month 01'!J278,1))</f>
        <v/>
      </c>
      <c r="E231">
        <f>IF(OR(C231="",D231=""),"",IF(D231=1,C231,ROUND(C231*(1+D231/30),1)))</f>
        <v/>
      </c>
    </row>
    <row r="232">
      <c r="A232">
        <f>'Month 01'!B248</f>
        <v/>
      </c>
      <c r="B232" t="inlineStr">
        <is>
          <t>Chin-up</t>
        </is>
      </c>
      <c r="C232">
        <f>IF(AND('Month 01'!L279&lt;&gt;"",N('Month 01'!I279)&gt;0),'Month 01'!I279,"")</f>
        <v/>
      </c>
      <c r="D232">
        <f>IF(C232="","",IF(N('Month 01'!J279)&gt;0,'Month 01'!J279,1))</f>
        <v/>
      </c>
      <c r="E232">
        <f>IF(OR(C232="",D232=""),"",IF(D232=1,C232,ROUND(C232*(1+D232/30),1)))</f>
        <v/>
      </c>
    </row>
    <row r="233">
      <c r="A233">
        <f>'Month 01'!B248</f>
        <v/>
      </c>
      <c r="B233" t="inlineStr">
        <is>
          <t>Plank</t>
        </is>
      </c>
      <c r="C233">
        <f>IF(AND('Month 01'!L281&lt;&gt;"",N('Month 01'!I281)&gt;0),'Month 01'!I281,"")</f>
        <v/>
      </c>
      <c r="D233">
        <f>IF(C233="","",IF(N('Month 01'!J281)&gt;0,'Month 01'!J281,1))</f>
        <v/>
      </c>
      <c r="E233">
        <f>IF(OR(C233="",D233=""),"",IF(D233=1,C233,ROUND(C233*(1+D233/30),1)))</f>
        <v/>
      </c>
    </row>
    <row r="234">
      <c r="A234">
        <f>'Month 01'!B248</f>
        <v/>
      </c>
      <c r="B234" t="inlineStr">
        <is>
          <t>Plank</t>
        </is>
      </c>
      <c r="C234">
        <f>IF(AND('Month 01'!L282&lt;&gt;"",N('Month 01'!I282)&gt;0),'Month 01'!I282,"")</f>
        <v/>
      </c>
      <c r="D234">
        <f>IF(C234="","",IF(N('Month 01'!J282)&gt;0,'Month 01'!J282,1))</f>
        <v/>
      </c>
      <c r="E234">
        <f>IF(OR(C234="",D234=""),"",IF(D234=1,C234,ROUND(C234*(1+D234/30),1)))</f>
        <v/>
      </c>
    </row>
    <row r="235">
      <c r="A235">
        <f>'Month 01'!B248</f>
        <v/>
      </c>
      <c r="B235" t="inlineStr">
        <is>
          <t>Plank</t>
        </is>
      </c>
      <c r="C235">
        <f>IF(AND('Month 01'!L283&lt;&gt;"",N('Month 01'!I283)&gt;0),'Month 01'!I283,"")</f>
        <v/>
      </c>
      <c r="D235">
        <f>IF(C235="","",IF(N('Month 01'!J283)&gt;0,'Month 01'!J283,1))</f>
        <v/>
      </c>
      <c r="E235">
        <f>IF(OR(C235="",D235=""),"",IF(D235=1,C235,ROUND(C235*(1+D235/30),1)))</f>
        <v/>
      </c>
    </row>
    <row r="236">
      <c r="A236">
        <f>'Month 01'!B248</f>
        <v/>
      </c>
      <c r="B236" t="inlineStr">
        <is>
          <t>Plank</t>
        </is>
      </c>
      <c r="C236">
        <f>IF(AND('Month 01'!L284&lt;&gt;"",N('Month 01'!I284)&gt;0),'Month 01'!I284,"")</f>
        <v/>
      </c>
      <c r="D236">
        <f>IF(C236="","",IF(N('Month 01'!J284)&gt;0,'Month 01'!J284,1))</f>
        <v/>
      </c>
      <c r="E236">
        <f>IF(OR(C236="",D236=""),"",IF(D236=1,C236,ROUND(C236*(1+D236/30),1)))</f>
        <v/>
      </c>
    </row>
    <row r="237">
      <c r="A237">
        <f>'Month 01'!B285</f>
        <v/>
      </c>
      <c r="B237" t="inlineStr">
        <is>
          <t>Depth Jump</t>
        </is>
      </c>
      <c r="C237">
        <f>IF(AND('Month 01'!L287&lt;&gt;"",N('Month 01'!I287)&gt;0),'Month 01'!I287,"")</f>
        <v/>
      </c>
      <c r="D237">
        <f>IF(C237="","",IF(N('Month 01'!J287)&gt;0,'Month 01'!J287,1))</f>
        <v/>
      </c>
      <c r="E237">
        <f>IF(OR(C237="",D237=""),"",IF(D237=1,C237,ROUND(C237*(1+D237/30),1)))</f>
        <v/>
      </c>
    </row>
    <row r="238">
      <c r="A238">
        <f>'Month 01'!B285</f>
        <v/>
      </c>
      <c r="B238" t="inlineStr">
        <is>
          <t>Depth Jump</t>
        </is>
      </c>
      <c r="C238">
        <f>IF(AND('Month 01'!L288&lt;&gt;"",N('Month 01'!I288)&gt;0),'Month 01'!I288,"")</f>
        <v/>
      </c>
      <c r="D238">
        <f>IF(C238="","",IF(N('Month 01'!J288)&gt;0,'Month 01'!J288,1))</f>
        <v/>
      </c>
      <c r="E238">
        <f>IF(OR(C238="",D238=""),"",IF(D238=1,C238,ROUND(C238*(1+D238/30),1)))</f>
        <v/>
      </c>
    </row>
    <row r="239">
      <c r="A239">
        <f>'Month 01'!B285</f>
        <v/>
      </c>
      <c r="B239" t="inlineStr">
        <is>
          <t>Depth Jump</t>
        </is>
      </c>
      <c r="C239">
        <f>IF(AND('Month 01'!L289&lt;&gt;"",N('Month 01'!I289)&gt;0),'Month 01'!I289,"")</f>
        <v/>
      </c>
      <c r="D239">
        <f>IF(C239="","",IF(N('Month 01'!J289)&gt;0,'Month 01'!J289,1))</f>
        <v/>
      </c>
      <c r="E239">
        <f>IF(OR(C239="",D239=""),"",IF(D239=1,C239,ROUND(C239*(1+D239/30),1)))</f>
        <v/>
      </c>
    </row>
    <row r="240">
      <c r="A240">
        <f>'Month 01'!B285</f>
        <v/>
      </c>
      <c r="B240" t="inlineStr">
        <is>
          <t>Depth Jump</t>
        </is>
      </c>
      <c r="C240">
        <f>IF(AND('Month 01'!L290&lt;&gt;"",N('Month 01'!I290)&gt;0),'Month 01'!I290,"")</f>
        <v/>
      </c>
      <c r="D240">
        <f>IF(C240="","",IF(N('Month 01'!J290)&gt;0,'Month 01'!J290,1))</f>
        <v/>
      </c>
      <c r="E240">
        <f>IF(OR(C240="",D240=""),"",IF(D240=1,C240,ROUND(C240*(1+D240/30),1)))</f>
        <v/>
      </c>
    </row>
    <row r="241">
      <c r="A241">
        <f>'Month 01'!B285</f>
        <v/>
      </c>
      <c r="B241" t="inlineStr">
        <is>
          <t>Power Snatch</t>
        </is>
      </c>
      <c r="C241">
        <f>IF(AND('Month 01'!L292&lt;&gt;"",N('Month 01'!I292)&gt;0),'Month 01'!I292,"")</f>
        <v/>
      </c>
      <c r="D241">
        <f>IF(C241="","",IF(N('Month 01'!J292)&gt;0,'Month 01'!J292,1))</f>
        <v/>
      </c>
      <c r="E241">
        <f>IF(OR(C241="",D241=""),"",IF(D241=1,C241,ROUND(C241*(1+D241/30),1)))</f>
        <v/>
      </c>
    </row>
    <row r="242">
      <c r="A242">
        <f>'Month 01'!B285</f>
        <v/>
      </c>
      <c r="B242" t="inlineStr">
        <is>
          <t>Power Snatch</t>
        </is>
      </c>
      <c r="C242">
        <f>IF(AND('Month 01'!L293&lt;&gt;"",N('Month 01'!I293)&gt;0),'Month 01'!I293,"")</f>
        <v/>
      </c>
      <c r="D242">
        <f>IF(C242="","",IF(N('Month 01'!J293)&gt;0,'Month 01'!J293,1))</f>
        <v/>
      </c>
      <c r="E242">
        <f>IF(OR(C242="",D242=""),"",IF(D242=1,C242,ROUND(C242*(1+D242/30),1)))</f>
        <v/>
      </c>
    </row>
    <row r="243">
      <c r="A243">
        <f>'Month 01'!B285</f>
        <v/>
      </c>
      <c r="B243" t="inlineStr">
        <is>
          <t>Power Snatch</t>
        </is>
      </c>
      <c r="C243">
        <f>IF(AND('Month 01'!L294&lt;&gt;"",N('Month 01'!I294)&gt;0),'Month 01'!I294,"")</f>
        <v/>
      </c>
      <c r="D243">
        <f>IF(C243="","",IF(N('Month 01'!J294)&gt;0,'Month 01'!J294,1))</f>
        <v/>
      </c>
      <c r="E243">
        <f>IF(OR(C243="",D243=""),"",IF(D243=1,C243,ROUND(C243*(1+D243/30),1)))</f>
        <v/>
      </c>
    </row>
    <row r="244">
      <c r="A244">
        <f>'Month 01'!B285</f>
        <v/>
      </c>
      <c r="B244" t="inlineStr">
        <is>
          <t>Power Snatch</t>
        </is>
      </c>
      <c r="C244">
        <f>IF(AND('Month 01'!L295&lt;&gt;"",N('Month 01'!I295)&gt;0),'Month 01'!I295,"")</f>
        <v/>
      </c>
      <c r="D244">
        <f>IF(C244="","",IF(N('Month 01'!J295)&gt;0,'Month 01'!J295,1))</f>
        <v/>
      </c>
      <c r="E244">
        <f>IF(OR(C244="",D244=""),"",IF(D244=1,C244,ROUND(C244*(1+D244/30),1)))</f>
        <v/>
      </c>
    </row>
    <row r="245">
      <c r="A245">
        <f>'Month 01'!B285</f>
        <v/>
      </c>
      <c r="B245" t="inlineStr">
        <is>
          <t>Box Squat</t>
        </is>
      </c>
      <c r="C245">
        <f>IF(AND('Month 01'!L297&lt;&gt;"",N('Month 01'!I297)&gt;0),'Month 01'!I297,"")</f>
        <v/>
      </c>
      <c r="D245">
        <f>IF(C245="","",IF(N('Month 01'!J297)&gt;0,'Month 01'!J297,1))</f>
        <v/>
      </c>
      <c r="E245">
        <f>IF(OR(C245="",D245=""),"",IF(D245=1,C245,ROUND(C245*(1+D245/30),1)))</f>
        <v/>
      </c>
    </row>
    <row r="246">
      <c r="A246">
        <f>'Month 01'!B285</f>
        <v/>
      </c>
      <c r="B246" t="inlineStr">
        <is>
          <t>Box Squat</t>
        </is>
      </c>
      <c r="C246">
        <f>IF(AND('Month 01'!L298&lt;&gt;"",N('Month 01'!I298)&gt;0),'Month 01'!I298,"")</f>
        <v/>
      </c>
      <c r="D246">
        <f>IF(C246="","",IF(N('Month 01'!J298)&gt;0,'Month 01'!J298,1))</f>
        <v/>
      </c>
      <c r="E246">
        <f>IF(OR(C246="",D246=""),"",IF(D246=1,C246,ROUND(C246*(1+D246/30),1)))</f>
        <v/>
      </c>
    </row>
    <row r="247">
      <c r="A247">
        <f>'Month 01'!B285</f>
        <v/>
      </c>
      <c r="B247" t="inlineStr">
        <is>
          <t>Box Squat</t>
        </is>
      </c>
      <c r="C247">
        <f>IF(AND('Month 01'!L299&lt;&gt;"",N('Month 01'!I299)&gt;0),'Month 01'!I299,"")</f>
        <v/>
      </c>
      <c r="D247">
        <f>IF(C247="","",IF(N('Month 01'!J299)&gt;0,'Month 01'!J299,1))</f>
        <v/>
      </c>
      <c r="E247">
        <f>IF(OR(C247="",D247=""),"",IF(D247=1,C247,ROUND(C247*(1+D247/30),1)))</f>
        <v/>
      </c>
    </row>
    <row r="248">
      <c r="A248">
        <f>'Month 01'!B285</f>
        <v/>
      </c>
      <c r="B248" t="inlineStr">
        <is>
          <t>Close-Grip Bench Press</t>
        </is>
      </c>
      <c r="C248">
        <f>IF(AND('Month 01'!L301&lt;&gt;"",N('Month 01'!I301)&gt;0),'Month 01'!I301,"")</f>
        <v/>
      </c>
      <c r="D248">
        <f>IF(C248="","",IF(N('Month 01'!J301)&gt;0,'Month 01'!J301,1))</f>
        <v/>
      </c>
      <c r="E248">
        <f>IF(OR(C248="",D248=""),"",IF(D248=1,C248,ROUND(C248*(1+D248/30),1)))</f>
        <v/>
      </c>
    </row>
    <row r="249">
      <c r="A249">
        <f>'Month 01'!B285</f>
        <v/>
      </c>
      <c r="B249" t="inlineStr">
        <is>
          <t>Close-Grip Bench Press</t>
        </is>
      </c>
      <c r="C249">
        <f>IF(AND('Month 01'!L302&lt;&gt;"",N('Month 01'!I302)&gt;0),'Month 01'!I302,"")</f>
        <v/>
      </c>
      <c r="D249">
        <f>IF(C249="","",IF(N('Month 01'!J302)&gt;0,'Month 01'!J302,1))</f>
        <v/>
      </c>
      <c r="E249">
        <f>IF(OR(C249="",D249=""),"",IF(D249=1,C249,ROUND(C249*(1+D249/30),1)))</f>
        <v/>
      </c>
    </row>
    <row r="250">
      <c r="A250">
        <f>'Month 01'!B285</f>
        <v/>
      </c>
      <c r="B250" t="inlineStr">
        <is>
          <t>Close-Grip Bench Press</t>
        </is>
      </c>
      <c r="C250">
        <f>IF(AND('Month 01'!L303&lt;&gt;"",N('Month 01'!I303)&gt;0),'Month 01'!I303,"")</f>
        <v/>
      </c>
      <c r="D250">
        <f>IF(C250="","",IF(N('Month 01'!J303)&gt;0,'Month 01'!J303,1))</f>
        <v/>
      </c>
      <c r="E250">
        <f>IF(OR(C250="",D250=""),"",IF(D250=1,C250,ROUND(C250*(1+D250/30),1)))</f>
        <v/>
      </c>
    </row>
    <row r="251">
      <c r="A251">
        <f>'Month 01'!B285</f>
        <v/>
      </c>
      <c r="B251" t="inlineStr">
        <is>
          <t>Romanian Deadlift</t>
        </is>
      </c>
      <c r="C251">
        <f>IF(AND('Month 01'!L305&lt;&gt;"",N('Month 01'!I305)&gt;0),'Month 01'!I305,"")</f>
        <v/>
      </c>
      <c r="D251">
        <f>IF(C251="","",IF(N('Month 01'!J305)&gt;0,'Month 01'!J305,1))</f>
        <v/>
      </c>
      <c r="E251">
        <f>IF(OR(C251="",D251=""),"",IF(D251=1,C251,ROUND(C251*(1+D251/30),1)))</f>
        <v/>
      </c>
    </row>
    <row r="252">
      <c r="A252">
        <f>'Month 01'!B285</f>
        <v/>
      </c>
      <c r="B252" t="inlineStr">
        <is>
          <t>Romanian Deadlift</t>
        </is>
      </c>
      <c r="C252">
        <f>IF(AND('Month 01'!L306&lt;&gt;"",N('Month 01'!I306)&gt;0),'Month 01'!I306,"")</f>
        <v/>
      </c>
      <c r="D252">
        <f>IF(C252="","",IF(N('Month 01'!J306)&gt;0,'Month 01'!J306,1))</f>
        <v/>
      </c>
      <c r="E252">
        <f>IF(OR(C252="",D252=""),"",IF(D252=1,C252,ROUND(C252*(1+D252/30),1)))</f>
        <v/>
      </c>
    </row>
    <row r="253">
      <c r="A253">
        <f>'Month 01'!B285</f>
        <v/>
      </c>
      <c r="B253" t="inlineStr">
        <is>
          <t>Romanian Deadlift</t>
        </is>
      </c>
      <c r="C253">
        <f>IF(AND('Month 01'!L307&lt;&gt;"",N('Month 01'!I307)&gt;0),'Month 01'!I307,"")</f>
        <v/>
      </c>
      <c r="D253">
        <f>IF(C253="","",IF(N('Month 01'!J307)&gt;0,'Month 01'!J307,1))</f>
        <v/>
      </c>
      <c r="E253">
        <f>IF(OR(C253="",D253=""),"",IF(D253=1,C253,ROUND(C253*(1+D253/30),1)))</f>
        <v/>
      </c>
    </row>
    <row r="254">
      <c r="A254">
        <f>'Month 01'!B285</f>
        <v/>
      </c>
      <c r="B254" t="inlineStr">
        <is>
          <t>Incline Dumbbell Press</t>
        </is>
      </c>
      <c r="C254">
        <f>IF(AND('Month 01'!L309&lt;&gt;"",N('Month 01'!I309)&gt;0),'Month 01'!I309,"")</f>
        <v/>
      </c>
      <c r="D254">
        <f>IF(C254="","",IF(N('Month 01'!J309)&gt;0,'Month 01'!J309,1))</f>
        <v/>
      </c>
      <c r="E254">
        <f>IF(OR(C254="",D254=""),"",IF(D254=1,C254,ROUND(C254*(1+D254/30),1)))</f>
        <v/>
      </c>
    </row>
    <row r="255">
      <c r="A255">
        <f>'Month 01'!B285</f>
        <v/>
      </c>
      <c r="B255" t="inlineStr">
        <is>
          <t>Incline Dumbbell Press</t>
        </is>
      </c>
      <c r="C255">
        <f>IF(AND('Month 01'!L310&lt;&gt;"",N('Month 01'!I310)&gt;0),'Month 01'!I310,"")</f>
        <v/>
      </c>
      <c r="D255">
        <f>IF(C255="","",IF(N('Month 01'!J310)&gt;0,'Month 01'!J310,1))</f>
        <v/>
      </c>
      <c r="E255">
        <f>IF(OR(C255="",D255=""),"",IF(D255=1,C255,ROUND(C255*(1+D255/30),1)))</f>
        <v/>
      </c>
    </row>
    <row r="256">
      <c r="A256">
        <f>'Month 01'!B285</f>
        <v/>
      </c>
      <c r="B256" t="inlineStr">
        <is>
          <t>Incline Dumbbell Press</t>
        </is>
      </c>
      <c r="C256">
        <f>IF(AND('Month 01'!L311&lt;&gt;"",N('Month 01'!I311)&gt;0),'Month 01'!I311,"")</f>
        <v/>
      </c>
      <c r="D256">
        <f>IF(C256="","",IF(N('Month 01'!J311)&gt;0,'Month 01'!J311,1))</f>
        <v/>
      </c>
      <c r="E256">
        <f>IF(OR(C256="",D256=""),"",IF(D256=1,C256,ROUND(C256*(1+D256/30),1)))</f>
        <v/>
      </c>
    </row>
    <row r="257">
      <c r="A257">
        <f>'Month 01'!B285</f>
        <v/>
      </c>
      <c r="B257" t="inlineStr">
        <is>
          <t>Incline Dumbbell Press</t>
        </is>
      </c>
      <c r="C257">
        <f>IF(AND('Month 01'!L312&lt;&gt;"",N('Month 01'!I312)&gt;0),'Month 01'!I312,"")</f>
        <v/>
      </c>
      <c r="D257">
        <f>IF(C257="","",IF(N('Month 01'!J312)&gt;0,'Month 01'!J312,1))</f>
        <v/>
      </c>
      <c r="E257">
        <f>IF(OR(C257="",D257=""),"",IF(D257=1,C257,ROUND(C257*(1+D257/30),1)))</f>
        <v/>
      </c>
    </row>
    <row r="258">
      <c r="A258">
        <f>'Month 01'!B285</f>
        <v/>
      </c>
      <c r="B258" t="inlineStr">
        <is>
          <t>Triceps Pushdown</t>
        </is>
      </c>
      <c r="C258">
        <f>IF(AND('Month 01'!L314&lt;&gt;"",N('Month 01'!I314)&gt;0),'Month 01'!I314,"")</f>
        <v/>
      </c>
      <c r="D258">
        <f>IF(C258="","",IF(N('Month 01'!J314)&gt;0,'Month 01'!J314,1))</f>
        <v/>
      </c>
      <c r="E258">
        <f>IF(OR(C258="",D258=""),"",IF(D258=1,C258,ROUND(C258*(1+D258/30),1)))</f>
        <v/>
      </c>
    </row>
    <row r="259">
      <c r="A259">
        <f>'Month 01'!B285</f>
        <v/>
      </c>
      <c r="B259" t="inlineStr">
        <is>
          <t>Triceps Pushdown</t>
        </is>
      </c>
      <c r="C259">
        <f>IF(AND('Month 01'!L315&lt;&gt;"",N('Month 01'!I315)&gt;0),'Month 01'!I315,"")</f>
        <v/>
      </c>
      <c r="D259">
        <f>IF(C259="","",IF(N('Month 01'!J315)&gt;0,'Month 01'!J315,1))</f>
        <v/>
      </c>
      <c r="E259">
        <f>IF(OR(C259="",D259=""),"",IF(D259=1,C259,ROUND(C259*(1+D259/30),1)))</f>
        <v/>
      </c>
    </row>
    <row r="260">
      <c r="A260">
        <f>'Month 01'!B285</f>
        <v/>
      </c>
      <c r="B260" t="inlineStr">
        <is>
          <t>Triceps Pushdown</t>
        </is>
      </c>
      <c r="C260">
        <f>IF(AND('Month 01'!L316&lt;&gt;"",N('Month 01'!I316)&gt;0),'Month 01'!I316,"")</f>
        <v/>
      </c>
      <c r="D260">
        <f>IF(C260="","",IF(N('Month 01'!J316)&gt;0,'Month 01'!J316,1))</f>
        <v/>
      </c>
      <c r="E260">
        <f>IF(OR(C260="",D260=""),"",IF(D260=1,C260,ROUND(C260*(1+D260/30),1)))</f>
        <v/>
      </c>
    </row>
    <row r="261">
      <c r="A261">
        <f>'Month 01'!B285</f>
        <v/>
      </c>
      <c r="B261" t="inlineStr">
        <is>
          <t>Triceps Pushdown</t>
        </is>
      </c>
      <c r="C261">
        <f>IF(AND('Month 01'!L317&lt;&gt;"",N('Month 01'!I317)&gt;0),'Month 01'!I317,"")</f>
        <v/>
      </c>
      <c r="D261">
        <f>IF(C261="","",IF(N('Month 01'!J317)&gt;0,'Month 01'!J317,1))</f>
        <v/>
      </c>
      <c r="E261">
        <f>IF(OR(C261="",D261=""),"",IF(D261=1,C261,ROUND(C261*(1+D261/30),1)))</f>
        <v/>
      </c>
    </row>
    <row r="262">
      <c r="A262">
        <f>'Month 01'!B320</f>
        <v/>
      </c>
      <c r="B262" t="inlineStr">
        <is>
          <t>Box Jump</t>
        </is>
      </c>
      <c r="C262">
        <f>IF(AND('Month 01'!L322&lt;&gt;"",N('Month 01'!I322)&gt;0),'Month 01'!I322,"")</f>
        <v/>
      </c>
      <c r="D262">
        <f>IF(C262="","",IF(N('Month 01'!J322)&gt;0,'Month 01'!J322,1))</f>
        <v/>
      </c>
      <c r="E262">
        <f>IF(OR(C262="",D262=""),"",IF(D262=1,C262,ROUND(C262*(1+D262/30),1)))</f>
        <v/>
      </c>
    </row>
    <row r="263">
      <c r="A263">
        <f>'Month 01'!B320</f>
        <v/>
      </c>
      <c r="B263" t="inlineStr">
        <is>
          <t>Box Jump</t>
        </is>
      </c>
      <c r="C263">
        <f>IF(AND('Month 01'!L323&lt;&gt;"",N('Month 01'!I323)&gt;0),'Month 01'!I323,"")</f>
        <v/>
      </c>
      <c r="D263">
        <f>IF(C263="","",IF(N('Month 01'!J323)&gt;0,'Month 01'!J323,1))</f>
        <v/>
      </c>
      <c r="E263">
        <f>IF(OR(C263="",D263=""),"",IF(D263=1,C263,ROUND(C263*(1+D263/30),1)))</f>
        <v/>
      </c>
    </row>
    <row r="264">
      <c r="A264">
        <f>'Month 01'!B320</f>
        <v/>
      </c>
      <c r="B264" t="inlineStr">
        <is>
          <t>Snatch</t>
        </is>
      </c>
      <c r="C264">
        <f>IF(AND('Month 01'!L325&lt;&gt;"",N('Month 01'!I325)&gt;0),'Month 01'!I325,"")</f>
        <v/>
      </c>
      <c r="D264">
        <f>IF(C264="","",IF(N('Month 01'!J325)&gt;0,'Month 01'!J325,1))</f>
        <v/>
      </c>
      <c r="E264">
        <f>IF(OR(C264="",D264=""),"",IF(D264=1,C264,ROUND(C264*(1+D264/30),1)))</f>
        <v/>
      </c>
    </row>
    <row r="265">
      <c r="A265">
        <f>'Month 01'!B320</f>
        <v/>
      </c>
      <c r="B265" t="inlineStr">
        <is>
          <t>Snatch</t>
        </is>
      </c>
      <c r="C265">
        <f>IF(AND('Month 01'!L326&lt;&gt;"",N('Month 01'!I326)&gt;0),'Month 01'!I326,"")</f>
        <v/>
      </c>
      <c r="D265">
        <f>IF(C265="","",IF(N('Month 01'!J326)&gt;0,'Month 01'!J326,1))</f>
        <v/>
      </c>
      <c r="E265">
        <f>IF(OR(C265="",D265=""),"",IF(D265=1,C265,ROUND(C265*(1+D265/30),1)))</f>
        <v/>
      </c>
    </row>
    <row r="266">
      <c r="A266">
        <f>'Month 01'!B320</f>
        <v/>
      </c>
      <c r="B266" t="inlineStr">
        <is>
          <t>Squat</t>
        </is>
      </c>
      <c r="C266">
        <f>IF(AND('Month 01'!L328&lt;&gt;"",N('Month 01'!I328)&gt;0),'Month 01'!I328,"")</f>
        <v/>
      </c>
      <c r="D266">
        <f>IF(C266="","",IF(N('Month 01'!J328)&gt;0,'Month 01'!J328,1))</f>
        <v/>
      </c>
      <c r="E266">
        <f>IF(OR(C266="",D266=""),"",IF(D266=1,C266,ROUND(C266*(1+D266/30),1)))</f>
        <v/>
      </c>
    </row>
    <row r="267">
      <c r="A267">
        <f>'Month 01'!B320</f>
        <v/>
      </c>
      <c r="B267" t="inlineStr">
        <is>
          <t>Squat</t>
        </is>
      </c>
      <c r="C267">
        <f>IF(AND('Month 01'!L329&lt;&gt;"",N('Month 01'!I329)&gt;0),'Month 01'!I329,"")</f>
        <v/>
      </c>
      <c r="D267">
        <f>IF(C267="","",IF(N('Month 01'!J329)&gt;0,'Month 01'!J329,1))</f>
        <v/>
      </c>
      <c r="E267">
        <f>IF(OR(C267="",D267=""),"",IF(D267=1,C267,ROUND(C267*(1+D267/30),1)))</f>
        <v/>
      </c>
    </row>
    <row r="268">
      <c r="A268">
        <f>'Month 01'!B320</f>
        <v/>
      </c>
      <c r="B268" t="inlineStr">
        <is>
          <t>Bench Press</t>
        </is>
      </c>
      <c r="C268">
        <f>IF(AND('Month 01'!L331&lt;&gt;"",N('Month 01'!I331)&gt;0),'Month 01'!I331,"")</f>
        <v/>
      </c>
      <c r="D268">
        <f>IF(C268="","",IF(N('Month 01'!J331)&gt;0,'Month 01'!J331,1))</f>
        <v/>
      </c>
      <c r="E268">
        <f>IF(OR(C268="",D268=""),"",IF(D268=1,C268,ROUND(C268*(1+D268/30),1)))</f>
        <v/>
      </c>
    </row>
    <row r="269">
      <c r="A269">
        <f>'Month 01'!B320</f>
        <v/>
      </c>
      <c r="B269" t="inlineStr">
        <is>
          <t>Bench Press</t>
        </is>
      </c>
      <c r="C269">
        <f>IF(AND('Month 01'!L332&lt;&gt;"",N('Month 01'!I332)&gt;0),'Month 01'!I332,"")</f>
        <v/>
      </c>
      <c r="D269">
        <f>IF(C269="","",IF(N('Month 01'!J332)&gt;0,'Month 01'!J332,1))</f>
        <v/>
      </c>
      <c r="E269">
        <f>IF(OR(C269="",D269=""),"",IF(D269=1,C269,ROUND(C269*(1+D269/30),1)))</f>
        <v/>
      </c>
    </row>
    <row r="270">
      <c r="A270">
        <f>'Month 01'!B320</f>
        <v/>
      </c>
      <c r="B270" t="inlineStr">
        <is>
          <t>Barbell Row</t>
        </is>
      </c>
      <c r="C270">
        <f>IF(AND('Month 01'!L334&lt;&gt;"",N('Month 01'!I334)&gt;0),'Month 01'!I334,"")</f>
        <v/>
      </c>
      <c r="D270">
        <f>IF(C270="","",IF(N('Month 01'!J334)&gt;0,'Month 01'!J334,1))</f>
        <v/>
      </c>
      <c r="E270">
        <f>IF(OR(C270="",D270=""),"",IF(D270=1,C270,ROUND(C270*(1+D270/30),1)))</f>
        <v/>
      </c>
    </row>
    <row r="271">
      <c r="A271">
        <f>'Month 01'!B320</f>
        <v/>
      </c>
      <c r="B271" t="inlineStr">
        <is>
          <t>Barbell Row</t>
        </is>
      </c>
      <c r="C271">
        <f>IF(AND('Month 01'!L335&lt;&gt;"",N('Month 01'!I335)&gt;0),'Month 01'!I335,"")</f>
        <v/>
      </c>
      <c r="D271">
        <f>IF(C271="","",IF(N('Month 01'!J335)&gt;0,'Month 01'!J335,1))</f>
        <v/>
      </c>
      <c r="E271">
        <f>IF(OR(C271="",D271=""),"",IF(D271=1,C271,ROUND(C271*(1+D271/30),1)))</f>
        <v/>
      </c>
    </row>
    <row r="272">
      <c r="A272">
        <f>'Month 01'!B320</f>
        <v/>
      </c>
      <c r="B272" t="inlineStr">
        <is>
          <t>Face Pull</t>
        </is>
      </c>
      <c r="C272">
        <f>IF(AND('Month 01'!L337&lt;&gt;"",N('Month 01'!I337)&gt;0),'Month 01'!I337,"")</f>
        <v/>
      </c>
      <c r="D272">
        <f>IF(C272="","",IF(N('Month 01'!J337)&gt;0,'Month 01'!J337,1))</f>
        <v/>
      </c>
      <c r="E272">
        <f>IF(OR(C272="",D272=""),"",IF(D272=1,C272,ROUND(C272*(1+D272/30),1)))</f>
        <v/>
      </c>
    </row>
    <row r="273">
      <c r="A273">
        <f>'Month 01'!B320</f>
        <v/>
      </c>
      <c r="B273" t="inlineStr">
        <is>
          <t>Face Pull</t>
        </is>
      </c>
      <c r="C273">
        <f>IF(AND('Month 01'!L338&lt;&gt;"",N('Month 01'!I338)&gt;0),'Month 01'!I338,"")</f>
        <v/>
      </c>
      <c r="D273">
        <f>IF(C273="","",IF(N('Month 01'!J338)&gt;0,'Month 01'!J338,1))</f>
        <v/>
      </c>
      <c r="E273">
        <f>IF(OR(C273="",D273=""),"",IF(D273=1,C273,ROUND(C273*(1+D273/30),1)))</f>
        <v/>
      </c>
    </row>
    <row r="274">
      <c r="A274">
        <f>'Month 01'!B339</f>
        <v/>
      </c>
      <c r="B274" t="inlineStr">
        <is>
          <t>Broad Jump</t>
        </is>
      </c>
      <c r="C274">
        <f>IF(AND('Month 01'!L341&lt;&gt;"",N('Month 01'!I341)&gt;0),'Month 01'!I341,"")</f>
        <v/>
      </c>
      <c r="D274">
        <f>IF(C274="","",IF(N('Month 01'!J341)&gt;0,'Month 01'!J341,1))</f>
        <v/>
      </c>
      <c r="E274">
        <f>IF(OR(C274="",D274=""),"",IF(D274=1,C274,ROUND(C274*(1+D274/30),1)))</f>
        <v/>
      </c>
    </row>
    <row r="275">
      <c r="A275">
        <f>'Month 01'!B339</f>
        <v/>
      </c>
      <c r="B275" t="inlineStr">
        <is>
          <t>Broad Jump</t>
        </is>
      </c>
      <c r="C275">
        <f>IF(AND('Month 01'!L342&lt;&gt;"",N('Month 01'!I342)&gt;0),'Month 01'!I342,"")</f>
        <v/>
      </c>
      <c r="D275">
        <f>IF(C275="","",IF(N('Month 01'!J342)&gt;0,'Month 01'!J342,1))</f>
        <v/>
      </c>
      <c r="E275">
        <f>IF(OR(C275="",D275=""),"",IF(D275=1,C275,ROUND(C275*(1+D275/30),1)))</f>
        <v/>
      </c>
    </row>
    <row r="276">
      <c r="A276">
        <f>'Month 01'!B339</f>
        <v/>
      </c>
      <c r="B276" t="inlineStr">
        <is>
          <t>Med Ball Chest Pass</t>
        </is>
      </c>
      <c r="C276">
        <f>IF(AND('Month 01'!L344&lt;&gt;"",N('Month 01'!I344)&gt;0),'Month 01'!I344,"")</f>
        <v/>
      </c>
      <c r="D276">
        <f>IF(C276="","",IF(N('Month 01'!J344)&gt;0,'Month 01'!J344,1))</f>
        <v/>
      </c>
      <c r="E276">
        <f>IF(OR(C276="",D276=""),"",IF(D276=1,C276,ROUND(C276*(1+D276/30),1)))</f>
        <v/>
      </c>
    </row>
    <row r="277">
      <c r="A277">
        <f>'Month 01'!B339</f>
        <v/>
      </c>
      <c r="B277" t="inlineStr">
        <is>
          <t>Med Ball Chest Pass</t>
        </is>
      </c>
      <c r="C277">
        <f>IF(AND('Month 01'!L345&lt;&gt;"",N('Month 01'!I345)&gt;0),'Month 01'!I345,"")</f>
        <v/>
      </c>
      <c r="D277">
        <f>IF(C277="","",IF(N('Month 01'!J345)&gt;0,'Month 01'!J345,1))</f>
        <v/>
      </c>
      <c r="E277">
        <f>IF(OR(C277="",D277=""),"",IF(D277=1,C277,ROUND(C277*(1+D277/30),1)))</f>
        <v/>
      </c>
    </row>
    <row r="278">
      <c r="A278">
        <f>'Month 01'!B339</f>
        <v/>
      </c>
      <c r="B278" t="inlineStr">
        <is>
          <t>Clean &amp; Jerk</t>
        </is>
      </c>
      <c r="C278">
        <f>IF(AND('Month 01'!L347&lt;&gt;"",N('Month 01'!I347)&gt;0),'Month 01'!I347,"")</f>
        <v/>
      </c>
      <c r="D278">
        <f>IF(C278="","",IF(N('Month 01'!J347)&gt;0,'Month 01'!J347,1))</f>
        <v/>
      </c>
      <c r="E278">
        <f>IF(OR(C278="",D278=""),"",IF(D278=1,C278,ROUND(C278*(1+D278/30),1)))</f>
        <v/>
      </c>
    </row>
    <row r="279">
      <c r="A279">
        <f>'Month 01'!B339</f>
        <v/>
      </c>
      <c r="B279" t="inlineStr">
        <is>
          <t>Clean &amp; Jerk</t>
        </is>
      </c>
      <c r="C279">
        <f>IF(AND('Month 01'!L348&lt;&gt;"",N('Month 01'!I348)&gt;0),'Month 01'!I348,"")</f>
        <v/>
      </c>
      <c r="D279">
        <f>IF(C279="","",IF(N('Month 01'!J348)&gt;0,'Month 01'!J348,1))</f>
        <v/>
      </c>
      <c r="E279">
        <f>IF(OR(C279="",D279=""),"",IF(D279=1,C279,ROUND(C279*(1+D279/30),1)))</f>
        <v/>
      </c>
    </row>
    <row r="280">
      <c r="A280">
        <f>'Month 01'!B339</f>
        <v/>
      </c>
      <c r="B280" t="inlineStr">
        <is>
          <t>Squat</t>
        </is>
      </c>
      <c r="C280">
        <f>IF(AND('Month 01'!L350&lt;&gt;"",N('Month 01'!I350)&gt;0),'Month 01'!I350,"")</f>
        <v/>
      </c>
      <c r="D280">
        <f>IF(C280="","",IF(N('Month 01'!J350)&gt;0,'Month 01'!J350,1))</f>
        <v/>
      </c>
      <c r="E280">
        <f>IF(OR(C280="",D280=""),"",IF(D280=1,C280,ROUND(C280*(1+D280/30),1)))</f>
        <v/>
      </c>
    </row>
    <row r="281">
      <c r="A281">
        <f>'Month 01'!B339</f>
        <v/>
      </c>
      <c r="B281" t="inlineStr">
        <is>
          <t>Squat</t>
        </is>
      </c>
      <c r="C281">
        <f>IF(AND('Month 01'!L351&lt;&gt;"",N('Month 01'!I351)&gt;0),'Month 01'!I351,"")</f>
        <v/>
      </c>
      <c r="D281">
        <f>IF(C281="","",IF(N('Month 01'!J351)&gt;0,'Month 01'!J351,1))</f>
        <v/>
      </c>
      <c r="E281">
        <f>IF(OR(C281="",D281=""),"",IF(D281=1,C281,ROUND(C281*(1+D281/30),1)))</f>
        <v/>
      </c>
    </row>
    <row r="282">
      <c r="A282">
        <f>'Month 01'!B339</f>
        <v/>
      </c>
      <c r="B282" t="inlineStr">
        <is>
          <t>Overhead Press</t>
        </is>
      </c>
      <c r="C282">
        <f>IF(AND('Month 01'!L353&lt;&gt;"",N('Month 01'!I353)&gt;0),'Month 01'!I353,"")</f>
        <v/>
      </c>
      <c r="D282">
        <f>IF(C282="","",IF(N('Month 01'!J353)&gt;0,'Month 01'!J353,1))</f>
        <v/>
      </c>
      <c r="E282">
        <f>IF(OR(C282="",D282=""),"",IF(D282=1,C282,ROUND(C282*(1+D282/30),1)))</f>
        <v/>
      </c>
    </row>
    <row r="283">
      <c r="A283">
        <f>'Month 01'!B339</f>
        <v/>
      </c>
      <c r="B283" t="inlineStr">
        <is>
          <t>Overhead Press</t>
        </is>
      </c>
      <c r="C283">
        <f>IF(AND('Month 01'!L354&lt;&gt;"",N('Month 01'!I354)&gt;0),'Month 01'!I354,"")</f>
        <v/>
      </c>
      <c r="D283">
        <f>IF(C283="","",IF(N('Month 01'!J354)&gt;0,'Month 01'!J354,1))</f>
        <v/>
      </c>
      <c r="E283">
        <f>IF(OR(C283="",D283=""),"",IF(D283=1,C283,ROUND(C283*(1+D283/30),1)))</f>
        <v/>
      </c>
    </row>
    <row r="284">
      <c r="A284">
        <f>'Month 01'!B339</f>
        <v/>
      </c>
      <c r="B284" t="inlineStr">
        <is>
          <t>Deadlift</t>
        </is>
      </c>
      <c r="C284">
        <f>IF(AND('Month 01'!L356&lt;&gt;"",N('Month 01'!I356)&gt;0),'Month 01'!I356,"")</f>
        <v/>
      </c>
      <c r="D284">
        <f>IF(C284="","",IF(N('Month 01'!J356)&gt;0,'Month 01'!J356,1))</f>
        <v/>
      </c>
      <c r="E284">
        <f>IF(OR(C284="",D284=""),"",IF(D284=1,C284,ROUND(C284*(1+D284/30),1)))</f>
        <v/>
      </c>
    </row>
    <row r="285">
      <c r="A285">
        <f>'Month 01'!B339</f>
        <v/>
      </c>
      <c r="B285" t="inlineStr">
        <is>
          <t>Deadlift</t>
        </is>
      </c>
      <c r="C285">
        <f>IF(AND('Month 01'!L357&lt;&gt;"",N('Month 01'!I357)&gt;0),'Month 01'!I357,"")</f>
        <v/>
      </c>
      <c r="D285">
        <f>IF(C285="","",IF(N('Month 01'!J357)&gt;0,'Month 01'!J357,1))</f>
        <v/>
      </c>
      <c r="E285">
        <f>IF(OR(C285="",D285=""),"",IF(D285=1,C285,ROUND(C285*(1+D285/30),1)))</f>
        <v/>
      </c>
    </row>
    <row r="286">
      <c r="A286">
        <f>'Month 01'!B339</f>
        <v/>
      </c>
      <c r="B286" t="inlineStr">
        <is>
          <t>Chin-up</t>
        </is>
      </c>
      <c r="C286">
        <f>IF(AND('Month 01'!L359&lt;&gt;"",N('Month 01'!I359)&gt;0),'Month 01'!I359,"")</f>
        <v/>
      </c>
      <c r="D286">
        <f>IF(C286="","",IF(N('Month 01'!J359)&gt;0,'Month 01'!J359,1))</f>
        <v/>
      </c>
      <c r="E286">
        <f>IF(OR(C286="",D286=""),"",IF(D286=1,C286,ROUND(C286*(1+D286/30),1)))</f>
        <v/>
      </c>
    </row>
    <row r="287">
      <c r="A287">
        <f>'Month 01'!B339</f>
        <v/>
      </c>
      <c r="B287" t="inlineStr">
        <is>
          <t>Chin-up</t>
        </is>
      </c>
      <c r="C287">
        <f>IF(AND('Month 01'!L360&lt;&gt;"",N('Month 01'!I360)&gt;0),'Month 01'!I360,"")</f>
        <v/>
      </c>
      <c r="D287">
        <f>IF(C287="","",IF(N('Month 01'!J360)&gt;0,'Month 01'!J360,1))</f>
        <v/>
      </c>
      <c r="E287">
        <f>IF(OR(C287="",D287=""),"",IF(D287=1,C287,ROUND(C287*(1+D287/30),1)))</f>
        <v/>
      </c>
    </row>
    <row r="288">
      <c r="A288">
        <f>'Month 01'!B339</f>
        <v/>
      </c>
      <c r="B288" t="inlineStr">
        <is>
          <t>Plank</t>
        </is>
      </c>
      <c r="C288">
        <f>IF(AND('Month 01'!L362&lt;&gt;"",N('Month 01'!I362)&gt;0),'Month 01'!I362,"")</f>
        <v/>
      </c>
      <c r="D288">
        <f>IF(C288="","",IF(N('Month 01'!J362)&gt;0,'Month 01'!J362,1))</f>
        <v/>
      </c>
      <c r="E288">
        <f>IF(OR(C288="",D288=""),"",IF(D288=1,C288,ROUND(C288*(1+D288/30),1)))</f>
        <v/>
      </c>
    </row>
    <row r="289">
      <c r="A289">
        <f>'Month 01'!B339</f>
        <v/>
      </c>
      <c r="B289" t="inlineStr">
        <is>
          <t>Plank</t>
        </is>
      </c>
      <c r="C289">
        <f>IF(AND('Month 01'!L363&lt;&gt;"",N('Month 01'!I363)&gt;0),'Month 01'!I363,"")</f>
        <v/>
      </c>
      <c r="D289">
        <f>IF(C289="","",IF(N('Month 01'!J363)&gt;0,'Month 01'!J363,1))</f>
        <v/>
      </c>
      <c r="E289">
        <f>IF(OR(C289="",D289=""),"",IF(D289=1,C289,ROUND(C289*(1+D289/30),1)))</f>
        <v/>
      </c>
    </row>
    <row r="290">
      <c r="A290">
        <f>'Month 01'!B364</f>
        <v/>
      </c>
      <c r="B290" t="inlineStr">
        <is>
          <t>Depth Jump</t>
        </is>
      </c>
      <c r="C290">
        <f>IF(AND('Month 01'!L366&lt;&gt;"",N('Month 01'!I366)&gt;0),'Month 01'!I366,"")</f>
        <v/>
      </c>
      <c r="D290">
        <f>IF(C290="","",IF(N('Month 01'!J366)&gt;0,'Month 01'!J366,1))</f>
        <v/>
      </c>
      <c r="E290">
        <f>IF(OR(C290="",D290=""),"",IF(D290=1,C290,ROUND(C290*(1+D290/30),1)))</f>
        <v/>
      </c>
    </row>
    <row r="291">
      <c r="A291">
        <f>'Month 01'!B364</f>
        <v/>
      </c>
      <c r="B291" t="inlineStr">
        <is>
          <t>Depth Jump</t>
        </is>
      </c>
      <c r="C291">
        <f>IF(AND('Month 01'!L367&lt;&gt;"",N('Month 01'!I367)&gt;0),'Month 01'!I367,"")</f>
        <v/>
      </c>
      <c r="D291">
        <f>IF(C291="","",IF(N('Month 01'!J367)&gt;0,'Month 01'!J367,1))</f>
        <v/>
      </c>
      <c r="E291">
        <f>IF(OR(C291="",D291=""),"",IF(D291=1,C291,ROUND(C291*(1+D291/30),1)))</f>
        <v/>
      </c>
    </row>
    <row r="292">
      <c r="A292">
        <f>'Month 01'!B364</f>
        <v/>
      </c>
      <c r="B292" t="inlineStr">
        <is>
          <t>Power Snatch</t>
        </is>
      </c>
      <c r="C292">
        <f>IF(AND('Month 01'!L369&lt;&gt;"",N('Month 01'!I369)&gt;0),'Month 01'!I369,"")</f>
        <v/>
      </c>
      <c r="D292">
        <f>IF(C292="","",IF(N('Month 01'!J369)&gt;0,'Month 01'!J369,1))</f>
        <v/>
      </c>
      <c r="E292">
        <f>IF(OR(C292="",D292=""),"",IF(D292=1,C292,ROUND(C292*(1+D292/30),1)))</f>
        <v/>
      </c>
    </row>
    <row r="293">
      <c r="A293">
        <f>'Month 01'!B364</f>
        <v/>
      </c>
      <c r="B293" t="inlineStr">
        <is>
          <t>Power Snatch</t>
        </is>
      </c>
      <c r="C293">
        <f>IF(AND('Month 01'!L370&lt;&gt;"",N('Month 01'!I370)&gt;0),'Month 01'!I370,"")</f>
        <v/>
      </c>
      <c r="D293">
        <f>IF(C293="","",IF(N('Month 01'!J370)&gt;0,'Month 01'!J370,1))</f>
        <v/>
      </c>
      <c r="E293">
        <f>IF(OR(C293="",D293=""),"",IF(D293=1,C293,ROUND(C293*(1+D293/30),1)))</f>
        <v/>
      </c>
    </row>
    <row r="294">
      <c r="A294">
        <f>'Month 01'!B364</f>
        <v/>
      </c>
      <c r="B294" t="inlineStr">
        <is>
          <t>Box Squat</t>
        </is>
      </c>
      <c r="C294">
        <f>IF(AND('Month 01'!L372&lt;&gt;"",N('Month 01'!I372)&gt;0),'Month 01'!I372,"")</f>
        <v/>
      </c>
      <c r="D294">
        <f>IF(C294="","",IF(N('Month 01'!J372)&gt;0,'Month 01'!J372,1))</f>
        <v/>
      </c>
      <c r="E294">
        <f>IF(OR(C294="",D294=""),"",IF(D294=1,C294,ROUND(C294*(1+D294/30),1)))</f>
        <v/>
      </c>
    </row>
    <row r="295">
      <c r="A295">
        <f>'Month 01'!B364</f>
        <v/>
      </c>
      <c r="B295" t="inlineStr">
        <is>
          <t>Box Squat</t>
        </is>
      </c>
      <c r="C295">
        <f>IF(AND('Month 01'!L373&lt;&gt;"",N('Month 01'!I373)&gt;0),'Month 01'!I373,"")</f>
        <v/>
      </c>
      <c r="D295">
        <f>IF(C295="","",IF(N('Month 01'!J373)&gt;0,'Month 01'!J373,1))</f>
        <v/>
      </c>
      <c r="E295">
        <f>IF(OR(C295="",D295=""),"",IF(D295=1,C295,ROUND(C295*(1+D295/30),1)))</f>
        <v/>
      </c>
    </row>
    <row r="296">
      <c r="A296">
        <f>'Month 01'!B364</f>
        <v/>
      </c>
      <c r="B296" t="inlineStr">
        <is>
          <t>Close-Grip Bench Press</t>
        </is>
      </c>
      <c r="C296">
        <f>IF(AND('Month 01'!L375&lt;&gt;"",N('Month 01'!I375)&gt;0),'Month 01'!I375,"")</f>
        <v/>
      </c>
      <c r="D296">
        <f>IF(C296="","",IF(N('Month 01'!J375)&gt;0,'Month 01'!J375,1))</f>
        <v/>
      </c>
      <c r="E296">
        <f>IF(OR(C296="",D296=""),"",IF(D296=1,C296,ROUND(C296*(1+D296/30),1)))</f>
        <v/>
      </c>
    </row>
    <row r="297">
      <c r="A297">
        <f>'Month 01'!B364</f>
        <v/>
      </c>
      <c r="B297" t="inlineStr">
        <is>
          <t>Close-Grip Bench Press</t>
        </is>
      </c>
      <c r="C297">
        <f>IF(AND('Month 01'!L376&lt;&gt;"",N('Month 01'!I376)&gt;0),'Month 01'!I376,"")</f>
        <v/>
      </c>
      <c r="D297">
        <f>IF(C297="","",IF(N('Month 01'!J376)&gt;0,'Month 01'!J376,1))</f>
        <v/>
      </c>
      <c r="E297">
        <f>IF(OR(C297="",D297=""),"",IF(D297=1,C297,ROUND(C297*(1+D297/30),1)))</f>
        <v/>
      </c>
    </row>
    <row r="298">
      <c r="A298">
        <f>'Month 01'!B364</f>
        <v/>
      </c>
      <c r="B298" t="inlineStr">
        <is>
          <t>Romanian Deadlift</t>
        </is>
      </c>
      <c r="C298">
        <f>IF(AND('Month 01'!L378&lt;&gt;"",N('Month 01'!I378)&gt;0),'Month 01'!I378,"")</f>
        <v/>
      </c>
      <c r="D298">
        <f>IF(C298="","",IF(N('Month 01'!J378)&gt;0,'Month 01'!J378,1))</f>
        <v/>
      </c>
      <c r="E298">
        <f>IF(OR(C298="",D298=""),"",IF(D298=1,C298,ROUND(C298*(1+D298/30),1)))</f>
        <v/>
      </c>
    </row>
    <row r="299">
      <c r="A299">
        <f>'Month 01'!B364</f>
        <v/>
      </c>
      <c r="B299" t="inlineStr">
        <is>
          <t>Romanian Deadlift</t>
        </is>
      </c>
      <c r="C299">
        <f>IF(AND('Month 01'!L379&lt;&gt;"",N('Month 01'!I379)&gt;0),'Month 01'!I379,"")</f>
        <v/>
      </c>
      <c r="D299">
        <f>IF(C299="","",IF(N('Month 01'!J379)&gt;0,'Month 01'!J379,1))</f>
        <v/>
      </c>
      <c r="E299">
        <f>IF(OR(C299="",D299=""),"",IF(D299=1,C299,ROUND(C299*(1+D299/30),1)))</f>
        <v/>
      </c>
    </row>
    <row r="300">
      <c r="A300">
        <f>'Month 01'!B364</f>
        <v/>
      </c>
      <c r="B300" t="inlineStr">
        <is>
          <t>Incline Dumbbell Press</t>
        </is>
      </c>
      <c r="C300">
        <f>IF(AND('Month 01'!L381&lt;&gt;"",N('Month 01'!I381)&gt;0),'Month 01'!I381,"")</f>
        <v/>
      </c>
      <c r="D300">
        <f>IF(C300="","",IF(N('Month 01'!J381)&gt;0,'Month 01'!J381,1))</f>
        <v/>
      </c>
      <c r="E300">
        <f>IF(OR(C300="",D300=""),"",IF(D300=1,C300,ROUND(C300*(1+D300/30),1)))</f>
        <v/>
      </c>
    </row>
    <row r="301">
      <c r="A301">
        <f>'Month 01'!B364</f>
        <v/>
      </c>
      <c r="B301" t="inlineStr">
        <is>
          <t>Incline Dumbbell Press</t>
        </is>
      </c>
      <c r="C301">
        <f>IF(AND('Month 01'!L382&lt;&gt;"",N('Month 01'!I382)&gt;0),'Month 01'!I382,"")</f>
        <v/>
      </c>
      <c r="D301">
        <f>IF(C301="","",IF(N('Month 01'!J382)&gt;0,'Month 01'!J382,1))</f>
        <v/>
      </c>
      <c r="E301">
        <f>IF(OR(C301="",D301=""),"",IF(D301=1,C301,ROUND(C301*(1+D301/30),1)))</f>
        <v/>
      </c>
    </row>
    <row r="302">
      <c r="A302">
        <f>'Month 01'!B364</f>
        <v/>
      </c>
      <c r="B302" t="inlineStr">
        <is>
          <t>Triceps Pushdown</t>
        </is>
      </c>
      <c r="C302">
        <f>IF(AND('Month 01'!L384&lt;&gt;"",N('Month 01'!I384)&gt;0),'Month 01'!I384,"")</f>
        <v/>
      </c>
      <c r="D302">
        <f>IF(C302="","",IF(N('Month 01'!J384)&gt;0,'Month 01'!J384,1))</f>
        <v/>
      </c>
      <c r="E302">
        <f>IF(OR(C302="",D302=""),"",IF(D302=1,C302,ROUND(C302*(1+D302/30),1)))</f>
        <v/>
      </c>
    </row>
    <row r="303">
      <c r="A303">
        <f>'Month 01'!B364</f>
        <v/>
      </c>
      <c r="B303" t="inlineStr">
        <is>
          <t>Triceps Pushdown</t>
        </is>
      </c>
      <c r="C303">
        <f>IF(AND('Month 01'!L385&lt;&gt;"",N('Month 01'!I385)&gt;0),'Month 01'!I385,"")</f>
        <v/>
      </c>
      <c r="D303">
        <f>IF(C303="","",IF(N('Month 01'!J385)&gt;0,'Month 01'!J385,1))</f>
        <v/>
      </c>
      <c r="E303">
        <f>IF(OR(C303="",D303=""),"",IF(D303=1,C303,ROUND(C303*(1+D303/30),1)))</f>
        <v/>
      </c>
    </row>
    <row r="304">
      <c r="A304">
        <f>'Month 02'!B7</f>
        <v/>
      </c>
      <c r="B304" t="inlineStr">
        <is>
          <t>Box Jump</t>
        </is>
      </c>
      <c r="C304">
        <f>IF(AND('Month 02'!L9&lt;&gt;"",N('Month 02'!I9)&gt;0),'Month 02'!I9,"")</f>
        <v/>
      </c>
      <c r="D304">
        <f>IF(C304="","",IF(N('Month 02'!J9)&gt;0,'Month 02'!J9,1))</f>
        <v/>
      </c>
      <c r="E304">
        <f>IF(OR(C304="",D304=""),"",IF(D304=1,C304,ROUND(C304*(1+D304/30),1)))</f>
        <v/>
      </c>
    </row>
    <row r="305">
      <c r="A305">
        <f>'Month 02'!B7</f>
        <v/>
      </c>
      <c r="B305" t="inlineStr">
        <is>
          <t>Box Jump</t>
        </is>
      </c>
      <c r="C305">
        <f>IF(AND('Month 02'!L10&lt;&gt;"",N('Month 02'!I10)&gt;0),'Month 02'!I10,"")</f>
        <v/>
      </c>
      <c r="D305">
        <f>IF(C305="","",IF(N('Month 02'!J10)&gt;0,'Month 02'!J10,1))</f>
        <v/>
      </c>
      <c r="E305">
        <f>IF(OR(C305="",D305=""),"",IF(D305=1,C305,ROUND(C305*(1+D305/30),1)))</f>
        <v/>
      </c>
    </row>
    <row r="306">
      <c r="A306">
        <f>'Month 02'!B7</f>
        <v/>
      </c>
      <c r="B306" t="inlineStr">
        <is>
          <t>Box Jump</t>
        </is>
      </c>
      <c r="C306">
        <f>IF(AND('Month 02'!L11&lt;&gt;"",N('Month 02'!I11)&gt;0),'Month 02'!I11,"")</f>
        <v/>
      </c>
      <c r="D306">
        <f>IF(C306="","",IF(N('Month 02'!J11)&gt;0,'Month 02'!J11,1))</f>
        <v/>
      </c>
      <c r="E306">
        <f>IF(OR(C306="",D306=""),"",IF(D306=1,C306,ROUND(C306*(1+D306/30),1)))</f>
        <v/>
      </c>
    </row>
    <row r="307">
      <c r="A307">
        <f>'Month 02'!B7</f>
        <v/>
      </c>
      <c r="B307" t="inlineStr">
        <is>
          <t>Box Jump</t>
        </is>
      </c>
      <c r="C307">
        <f>IF(AND('Month 02'!L12&lt;&gt;"",N('Month 02'!I12)&gt;0),'Month 02'!I12,"")</f>
        <v/>
      </c>
      <c r="D307">
        <f>IF(C307="","",IF(N('Month 02'!J12)&gt;0,'Month 02'!J12,1))</f>
        <v/>
      </c>
      <c r="E307">
        <f>IF(OR(C307="",D307=""),"",IF(D307=1,C307,ROUND(C307*(1+D307/30),1)))</f>
        <v/>
      </c>
    </row>
    <row r="308">
      <c r="A308">
        <f>'Month 02'!B7</f>
        <v/>
      </c>
      <c r="B308" t="inlineStr">
        <is>
          <t>Snatch</t>
        </is>
      </c>
      <c r="C308">
        <f>IF(AND('Month 02'!L14&lt;&gt;"",N('Month 02'!I14)&gt;0),'Month 02'!I14,"")</f>
        <v/>
      </c>
      <c r="D308">
        <f>IF(C308="","",IF(N('Month 02'!J14)&gt;0,'Month 02'!J14,1))</f>
        <v/>
      </c>
      <c r="E308">
        <f>IF(OR(C308="",D308=""),"",IF(D308=1,C308,ROUND(C308*(1+D308/30),1)))</f>
        <v/>
      </c>
    </row>
    <row r="309">
      <c r="A309">
        <f>'Month 02'!B7</f>
        <v/>
      </c>
      <c r="B309" t="inlineStr">
        <is>
          <t>Snatch</t>
        </is>
      </c>
      <c r="C309">
        <f>IF(AND('Month 02'!L15&lt;&gt;"",N('Month 02'!I15)&gt;0),'Month 02'!I15,"")</f>
        <v/>
      </c>
      <c r="D309">
        <f>IF(C309="","",IF(N('Month 02'!J15)&gt;0,'Month 02'!J15,1))</f>
        <v/>
      </c>
      <c r="E309">
        <f>IF(OR(C309="",D309=""),"",IF(D309=1,C309,ROUND(C309*(1+D309/30),1)))</f>
        <v/>
      </c>
    </row>
    <row r="310">
      <c r="A310">
        <f>'Month 02'!B7</f>
        <v/>
      </c>
      <c r="B310" t="inlineStr">
        <is>
          <t>Snatch</t>
        </is>
      </c>
      <c r="C310">
        <f>IF(AND('Month 02'!L16&lt;&gt;"",N('Month 02'!I16)&gt;0),'Month 02'!I16,"")</f>
        <v/>
      </c>
      <c r="D310">
        <f>IF(C310="","",IF(N('Month 02'!J16)&gt;0,'Month 02'!J16,1))</f>
        <v/>
      </c>
      <c r="E310">
        <f>IF(OR(C310="",D310=""),"",IF(D310=1,C310,ROUND(C310*(1+D310/30),1)))</f>
        <v/>
      </c>
    </row>
    <row r="311">
      <c r="A311">
        <f>'Month 02'!B7</f>
        <v/>
      </c>
      <c r="B311" t="inlineStr">
        <is>
          <t>Snatch</t>
        </is>
      </c>
      <c r="C311">
        <f>IF(AND('Month 02'!L17&lt;&gt;"",N('Month 02'!I17)&gt;0),'Month 02'!I17,"")</f>
        <v/>
      </c>
      <c r="D311">
        <f>IF(C311="","",IF(N('Month 02'!J17)&gt;0,'Month 02'!J17,1))</f>
        <v/>
      </c>
      <c r="E311">
        <f>IF(OR(C311="",D311=""),"",IF(D311=1,C311,ROUND(C311*(1+D311/30),1)))</f>
        <v/>
      </c>
    </row>
    <row r="312">
      <c r="A312">
        <f>'Month 02'!B7</f>
        <v/>
      </c>
      <c r="B312" t="inlineStr">
        <is>
          <t>Squat</t>
        </is>
      </c>
      <c r="C312">
        <f>IF(AND('Month 02'!L19&lt;&gt;"",N('Month 02'!I19)&gt;0),'Month 02'!I19,"")</f>
        <v/>
      </c>
      <c r="D312">
        <f>IF(C312="","",IF(N('Month 02'!J19)&gt;0,'Month 02'!J19,1))</f>
        <v/>
      </c>
      <c r="E312">
        <f>IF(OR(C312="",D312=""),"",IF(D312=1,C312,ROUND(C312*(1+D312/30),1)))</f>
        <v/>
      </c>
    </row>
    <row r="313">
      <c r="A313">
        <f>'Month 02'!B7</f>
        <v/>
      </c>
      <c r="B313" t="inlineStr">
        <is>
          <t>Squat</t>
        </is>
      </c>
      <c r="C313">
        <f>IF(AND('Month 02'!L20&lt;&gt;"",N('Month 02'!I20)&gt;0),'Month 02'!I20,"")</f>
        <v/>
      </c>
      <c r="D313">
        <f>IF(C313="","",IF(N('Month 02'!J20)&gt;0,'Month 02'!J20,1))</f>
        <v/>
      </c>
      <c r="E313">
        <f>IF(OR(C313="",D313=""),"",IF(D313=1,C313,ROUND(C313*(1+D313/30),1)))</f>
        <v/>
      </c>
    </row>
    <row r="314">
      <c r="A314">
        <f>'Month 02'!B7</f>
        <v/>
      </c>
      <c r="B314" t="inlineStr">
        <is>
          <t>Squat</t>
        </is>
      </c>
      <c r="C314">
        <f>IF(AND('Month 02'!L21&lt;&gt;"",N('Month 02'!I21)&gt;0),'Month 02'!I21,"")</f>
        <v/>
      </c>
      <c r="D314">
        <f>IF(C314="","",IF(N('Month 02'!J21)&gt;0,'Month 02'!J21,1))</f>
        <v/>
      </c>
      <c r="E314">
        <f>IF(OR(C314="",D314=""),"",IF(D314=1,C314,ROUND(C314*(1+D314/30),1)))</f>
        <v/>
      </c>
    </row>
    <row r="315">
      <c r="A315">
        <f>'Month 02'!B7</f>
        <v/>
      </c>
      <c r="B315" t="inlineStr">
        <is>
          <t>Bench Press</t>
        </is>
      </c>
      <c r="C315">
        <f>IF(AND('Month 02'!L23&lt;&gt;"",N('Month 02'!I23)&gt;0),'Month 02'!I23,"")</f>
        <v/>
      </c>
      <c r="D315">
        <f>IF(C315="","",IF(N('Month 02'!J23)&gt;0,'Month 02'!J23,1))</f>
        <v/>
      </c>
      <c r="E315">
        <f>IF(OR(C315="",D315=""),"",IF(D315=1,C315,ROUND(C315*(1+D315/30),1)))</f>
        <v/>
      </c>
    </row>
    <row r="316">
      <c r="A316">
        <f>'Month 02'!B7</f>
        <v/>
      </c>
      <c r="B316" t="inlineStr">
        <is>
          <t>Bench Press</t>
        </is>
      </c>
      <c r="C316">
        <f>IF(AND('Month 02'!L24&lt;&gt;"",N('Month 02'!I24)&gt;0),'Month 02'!I24,"")</f>
        <v/>
      </c>
      <c r="D316">
        <f>IF(C316="","",IF(N('Month 02'!J24)&gt;0,'Month 02'!J24,1))</f>
        <v/>
      </c>
      <c r="E316">
        <f>IF(OR(C316="",D316=""),"",IF(D316=1,C316,ROUND(C316*(1+D316/30),1)))</f>
        <v/>
      </c>
    </row>
    <row r="317">
      <c r="A317">
        <f>'Month 02'!B7</f>
        <v/>
      </c>
      <c r="B317" t="inlineStr">
        <is>
          <t>Bench Press</t>
        </is>
      </c>
      <c r="C317">
        <f>IF(AND('Month 02'!L25&lt;&gt;"",N('Month 02'!I25)&gt;0),'Month 02'!I25,"")</f>
        <v/>
      </c>
      <c r="D317">
        <f>IF(C317="","",IF(N('Month 02'!J25)&gt;0,'Month 02'!J25,1))</f>
        <v/>
      </c>
      <c r="E317">
        <f>IF(OR(C317="",D317=""),"",IF(D317=1,C317,ROUND(C317*(1+D317/30),1)))</f>
        <v/>
      </c>
    </row>
    <row r="318">
      <c r="A318">
        <f>'Month 02'!B7</f>
        <v/>
      </c>
      <c r="B318" t="inlineStr">
        <is>
          <t>Barbell Row</t>
        </is>
      </c>
      <c r="C318">
        <f>IF(AND('Month 02'!L27&lt;&gt;"",N('Month 02'!I27)&gt;0),'Month 02'!I27,"")</f>
        <v/>
      </c>
      <c r="D318">
        <f>IF(C318="","",IF(N('Month 02'!J27)&gt;0,'Month 02'!J27,1))</f>
        <v/>
      </c>
      <c r="E318">
        <f>IF(OR(C318="",D318=""),"",IF(D318=1,C318,ROUND(C318*(1+D318/30),1)))</f>
        <v/>
      </c>
    </row>
    <row r="319">
      <c r="A319">
        <f>'Month 02'!B7</f>
        <v/>
      </c>
      <c r="B319" t="inlineStr">
        <is>
          <t>Barbell Row</t>
        </is>
      </c>
      <c r="C319">
        <f>IF(AND('Month 02'!L28&lt;&gt;"",N('Month 02'!I28)&gt;0),'Month 02'!I28,"")</f>
        <v/>
      </c>
      <c r="D319">
        <f>IF(C319="","",IF(N('Month 02'!J28)&gt;0,'Month 02'!J28,1))</f>
        <v/>
      </c>
      <c r="E319">
        <f>IF(OR(C319="",D319=""),"",IF(D319=1,C319,ROUND(C319*(1+D319/30),1)))</f>
        <v/>
      </c>
    </row>
    <row r="320">
      <c r="A320">
        <f>'Month 02'!B7</f>
        <v/>
      </c>
      <c r="B320" t="inlineStr">
        <is>
          <t>Barbell Row</t>
        </is>
      </c>
      <c r="C320">
        <f>IF(AND('Month 02'!L29&lt;&gt;"",N('Month 02'!I29)&gt;0),'Month 02'!I29,"")</f>
        <v/>
      </c>
      <c r="D320">
        <f>IF(C320="","",IF(N('Month 02'!J29)&gt;0,'Month 02'!J29,1))</f>
        <v/>
      </c>
      <c r="E320">
        <f>IF(OR(C320="",D320=""),"",IF(D320=1,C320,ROUND(C320*(1+D320/30),1)))</f>
        <v/>
      </c>
    </row>
    <row r="321">
      <c r="A321">
        <f>'Month 02'!B7</f>
        <v/>
      </c>
      <c r="B321" t="inlineStr">
        <is>
          <t>Face Pull</t>
        </is>
      </c>
      <c r="C321">
        <f>IF(AND('Month 02'!L31&lt;&gt;"",N('Month 02'!I31)&gt;0),'Month 02'!I31,"")</f>
        <v/>
      </c>
      <c r="D321">
        <f>IF(C321="","",IF(N('Month 02'!J31)&gt;0,'Month 02'!J31,1))</f>
        <v/>
      </c>
      <c r="E321">
        <f>IF(OR(C321="",D321=""),"",IF(D321=1,C321,ROUND(C321*(1+D321/30),1)))</f>
        <v/>
      </c>
    </row>
    <row r="322">
      <c r="A322">
        <f>'Month 02'!B7</f>
        <v/>
      </c>
      <c r="B322" t="inlineStr">
        <is>
          <t>Face Pull</t>
        </is>
      </c>
      <c r="C322">
        <f>IF(AND('Month 02'!L32&lt;&gt;"",N('Month 02'!I32)&gt;0),'Month 02'!I32,"")</f>
        <v/>
      </c>
      <c r="D322">
        <f>IF(C322="","",IF(N('Month 02'!J32)&gt;0,'Month 02'!J32,1))</f>
        <v/>
      </c>
      <c r="E322">
        <f>IF(OR(C322="",D322=""),"",IF(D322=1,C322,ROUND(C322*(1+D322/30),1)))</f>
        <v/>
      </c>
    </row>
    <row r="323">
      <c r="A323">
        <f>'Month 02'!B7</f>
        <v/>
      </c>
      <c r="B323" t="inlineStr">
        <is>
          <t>Face Pull</t>
        </is>
      </c>
      <c r="C323">
        <f>IF(AND('Month 02'!L33&lt;&gt;"",N('Month 02'!I33)&gt;0),'Month 02'!I33,"")</f>
        <v/>
      </c>
      <c r="D323">
        <f>IF(C323="","",IF(N('Month 02'!J33)&gt;0,'Month 02'!J33,1))</f>
        <v/>
      </c>
      <c r="E323">
        <f>IF(OR(C323="",D323=""),"",IF(D323=1,C323,ROUND(C323*(1+D323/30),1)))</f>
        <v/>
      </c>
    </row>
    <row r="324">
      <c r="A324">
        <f>'Month 02'!B34</f>
        <v/>
      </c>
      <c r="B324" t="inlineStr">
        <is>
          <t>Broad Jump</t>
        </is>
      </c>
      <c r="C324">
        <f>IF(AND('Month 02'!L36&lt;&gt;"",N('Month 02'!I36)&gt;0),'Month 02'!I36,"")</f>
        <v/>
      </c>
      <c r="D324">
        <f>IF(C324="","",IF(N('Month 02'!J36)&gt;0,'Month 02'!J36,1))</f>
        <v/>
      </c>
      <c r="E324">
        <f>IF(OR(C324="",D324=""),"",IF(D324=1,C324,ROUND(C324*(1+D324/30),1)))</f>
        <v/>
      </c>
    </row>
    <row r="325">
      <c r="A325">
        <f>'Month 02'!B34</f>
        <v/>
      </c>
      <c r="B325" t="inlineStr">
        <is>
          <t>Broad Jump</t>
        </is>
      </c>
      <c r="C325">
        <f>IF(AND('Month 02'!L37&lt;&gt;"",N('Month 02'!I37)&gt;0),'Month 02'!I37,"")</f>
        <v/>
      </c>
      <c r="D325">
        <f>IF(C325="","",IF(N('Month 02'!J37)&gt;0,'Month 02'!J37,1))</f>
        <v/>
      </c>
      <c r="E325">
        <f>IF(OR(C325="",D325=""),"",IF(D325=1,C325,ROUND(C325*(1+D325/30),1)))</f>
        <v/>
      </c>
    </row>
    <row r="326">
      <c r="A326">
        <f>'Month 02'!B34</f>
        <v/>
      </c>
      <c r="B326" t="inlineStr">
        <is>
          <t>Broad Jump</t>
        </is>
      </c>
      <c r="C326">
        <f>IF(AND('Month 02'!L38&lt;&gt;"",N('Month 02'!I38)&gt;0),'Month 02'!I38,"")</f>
        <v/>
      </c>
      <c r="D326">
        <f>IF(C326="","",IF(N('Month 02'!J38)&gt;0,'Month 02'!J38,1))</f>
        <v/>
      </c>
      <c r="E326">
        <f>IF(OR(C326="",D326=""),"",IF(D326=1,C326,ROUND(C326*(1+D326/30),1)))</f>
        <v/>
      </c>
    </row>
    <row r="327">
      <c r="A327">
        <f>'Month 02'!B34</f>
        <v/>
      </c>
      <c r="B327" t="inlineStr">
        <is>
          <t>Broad Jump</t>
        </is>
      </c>
      <c r="C327">
        <f>IF(AND('Month 02'!L39&lt;&gt;"",N('Month 02'!I39)&gt;0),'Month 02'!I39,"")</f>
        <v/>
      </c>
      <c r="D327">
        <f>IF(C327="","",IF(N('Month 02'!J39)&gt;0,'Month 02'!J39,1))</f>
        <v/>
      </c>
      <c r="E327">
        <f>IF(OR(C327="",D327=""),"",IF(D327=1,C327,ROUND(C327*(1+D327/30),1)))</f>
        <v/>
      </c>
    </row>
    <row r="328">
      <c r="A328">
        <f>'Month 02'!B34</f>
        <v/>
      </c>
      <c r="B328" t="inlineStr">
        <is>
          <t>Med Ball Chest Pass</t>
        </is>
      </c>
      <c r="C328">
        <f>IF(AND('Month 02'!L41&lt;&gt;"",N('Month 02'!I41)&gt;0),'Month 02'!I41,"")</f>
        <v/>
      </c>
      <c r="D328">
        <f>IF(C328="","",IF(N('Month 02'!J41)&gt;0,'Month 02'!J41,1))</f>
        <v/>
      </c>
      <c r="E328">
        <f>IF(OR(C328="",D328=""),"",IF(D328=1,C328,ROUND(C328*(1+D328/30),1)))</f>
        <v/>
      </c>
    </row>
    <row r="329">
      <c r="A329">
        <f>'Month 02'!B34</f>
        <v/>
      </c>
      <c r="B329" t="inlineStr">
        <is>
          <t>Med Ball Chest Pass</t>
        </is>
      </c>
      <c r="C329">
        <f>IF(AND('Month 02'!L42&lt;&gt;"",N('Month 02'!I42)&gt;0),'Month 02'!I42,"")</f>
        <v/>
      </c>
      <c r="D329">
        <f>IF(C329="","",IF(N('Month 02'!J42)&gt;0,'Month 02'!J42,1))</f>
        <v/>
      </c>
      <c r="E329">
        <f>IF(OR(C329="",D329=""),"",IF(D329=1,C329,ROUND(C329*(1+D329/30),1)))</f>
        <v/>
      </c>
    </row>
    <row r="330">
      <c r="A330">
        <f>'Month 02'!B34</f>
        <v/>
      </c>
      <c r="B330" t="inlineStr">
        <is>
          <t>Med Ball Chest Pass</t>
        </is>
      </c>
      <c r="C330">
        <f>IF(AND('Month 02'!L43&lt;&gt;"",N('Month 02'!I43)&gt;0),'Month 02'!I43,"")</f>
        <v/>
      </c>
      <c r="D330">
        <f>IF(C330="","",IF(N('Month 02'!J43)&gt;0,'Month 02'!J43,1))</f>
        <v/>
      </c>
      <c r="E330">
        <f>IF(OR(C330="",D330=""),"",IF(D330=1,C330,ROUND(C330*(1+D330/30),1)))</f>
        <v/>
      </c>
    </row>
    <row r="331">
      <c r="A331">
        <f>'Month 02'!B34</f>
        <v/>
      </c>
      <c r="B331" t="inlineStr">
        <is>
          <t>Clean &amp; Jerk</t>
        </is>
      </c>
      <c r="C331">
        <f>IF(AND('Month 02'!L45&lt;&gt;"",N('Month 02'!I45)&gt;0),'Month 02'!I45,"")</f>
        <v/>
      </c>
      <c r="D331">
        <f>IF(C331="","",IF(N('Month 02'!J45)&gt;0,'Month 02'!J45,1))</f>
        <v/>
      </c>
      <c r="E331">
        <f>IF(OR(C331="",D331=""),"",IF(D331=1,C331,ROUND(C331*(1+D331/30),1)))</f>
        <v/>
      </c>
    </row>
    <row r="332">
      <c r="A332">
        <f>'Month 02'!B34</f>
        <v/>
      </c>
      <c r="B332" t="inlineStr">
        <is>
          <t>Clean &amp; Jerk</t>
        </is>
      </c>
      <c r="C332">
        <f>IF(AND('Month 02'!L46&lt;&gt;"",N('Month 02'!I46)&gt;0),'Month 02'!I46,"")</f>
        <v/>
      </c>
      <c r="D332">
        <f>IF(C332="","",IF(N('Month 02'!J46)&gt;0,'Month 02'!J46,1))</f>
        <v/>
      </c>
      <c r="E332">
        <f>IF(OR(C332="",D332=""),"",IF(D332=1,C332,ROUND(C332*(1+D332/30),1)))</f>
        <v/>
      </c>
    </row>
    <row r="333">
      <c r="A333">
        <f>'Month 02'!B34</f>
        <v/>
      </c>
      <c r="B333" t="inlineStr">
        <is>
          <t>Clean &amp; Jerk</t>
        </is>
      </c>
      <c r="C333">
        <f>IF(AND('Month 02'!L47&lt;&gt;"",N('Month 02'!I47)&gt;0),'Month 02'!I47,"")</f>
        <v/>
      </c>
      <c r="D333">
        <f>IF(C333="","",IF(N('Month 02'!J47)&gt;0,'Month 02'!J47,1))</f>
        <v/>
      </c>
      <c r="E333">
        <f>IF(OR(C333="",D333=""),"",IF(D333=1,C333,ROUND(C333*(1+D333/30),1)))</f>
        <v/>
      </c>
    </row>
    <row r="334">
      <c r="A334">
        <f>'Month 02'!B34</f>
        <v/>
      </c>
      <c r="B334" t="inlineStr">
        <is>
          <t>Clean &amp; Jerk</t>
        </is>
      </c>
      <c r="C334">
        <f>IF(AND('Month 02'!L48&lt;&gt;"",N('Month 02'!I48)&gt;0),'Month 02'!I48,"")</f>
        <v/>
      </c>
      <c r="D334">
        <f>IF(C334="","",IF(N('Month 02'!J48)&gt;0,'Month 02'!J48,1))</f>
        <v/>
      </c>
      <c r="E334">
        <f>IF(OR(C334="",D334=""),"",IF(D334=1,C334,ROUND(C334*(1+D334/30),1)))</f>
        <v/>
      </c>
    </row>
    <row r="335">
      <c r="A335">
        <f>'Month 02'!B34</f>
        <v/>
      </c>
      <c r="B335" t="inlineStr">
        <is>
          <t>Squat</t>
        </is>
      </c>
      <c r="C335">
        <f>IF(AND('Month 02'!L50&lt;&gt;"",N('Month 02'!I50)&gt;0),'Month 02'!I50,"")</f>
        <v/>
      </c>
      <c r="D335">
        <f>IF(C335="","",IF(N('Month 02'!J50)&gt;0,'Month 02'!J50,1))</f>
        <v/>
      </c>
      <c r="E335">
        <f>IF(OR(C335="",D335=""),"",IF(D335=1,C335,ROUND(C335*(1+D335/30),1)))</f>
        <v/>
      </c>
    </row>
    <row r="336">
      <c r="A336">
        <f>'Month 02'!B34</f>
        <v/>
      </c>
      <c r="B336" t="inlineStr">
        <is>
          <t>Squat</t>
        </is>
      </c>
      <c r="C336">
        <f>IF(AND('Month 02'!L51&lt;&gt;"",N('Month 02'!I51)&gt;0),'Month 02'!I51,"")</f>
        <v/>
      </c>
      <c r="D336">
        <f>IF(C336="","",IF(N('Month 02'!J51)&gt;0,'Month 02'!J51,1))</f>
        <v/>
      </c>
      <c r="E336">
        <f>IF(OR(C336="",D336=""),"",IF(D336=1,C336,ROUND(C336*(1+D336/30),1)))</f>
        <v/>
      </c>
    </row>
    <row r="337">
      <c r="A337">
        <f>'Month 02'!B34</f>
        <v/>
      </c>
      <c r="B337" t="inlineStr">
        <is>
          <t>Squat</t>
        </is>
      </c>
      <c r="C337">
        <f>IF(AND('Month 02'!L52&lt;&gt;"",N('Month 02'!I52)&gt;0),'Month 02'!I52,"")</f>
        <v/>
      </c>
      <c r="D337">
        <f>IF(C337="","",IF(N('Month 02'!J52)&gt;0,'Month 02'!J52,1))</f>
        <v/>
      </c>
      <c r="E337">
        <f>IF(OR(C337="",D337=""),"",IF(D337=1,C337,ROUND(C337*(1+D337/30),1)))</f>
        <v/>
      </c>
    </row>
    <row r="338">
      <c r="A338">
        <f>'Month 02'!B34</f>
        <v/>
      </c>
      <c r="B338" t="inlineStr">
        <is>
          <t>Overhead Press</t>
        </is>
      </c>
      <c r="C338">
        <f>IF(AND('Month 02'!L54&lt;&gt;"",N('Month 02'!I54)&gt;0),'Month 02'!I54,"")</f>
        <v/>
      </c>
      <c r="D338">
        <f>IF(C338="","",IF(N('Month 02'!J54)&gt;0,'Month 02'!J54,1))</f>
        <v/>
      </c>
      <c r="E338">
        <f>IF(OR(C338="",D338=""),"",IF(D338=1,C338,ROUND(C338*(1+D338/30),1)))</f>
        <v/>
      </c>
    </row>
    <row r="339">
      <c r="A339">
        <f>'Month 02'!B34</f>
        <v/>
      </c>
      <c r="B339" t="inlineStr">
        <is>
          <t>Overhead Press</t>
        </is>
      </c>
      <c r="C339">
        <f>IF(AND('Month 02'!L55&lt;&gt;"",N('Month 02'!I55)&gt;0),'Month 02'!I55,"")</f>
        <v/>
      </c>
      <c r="D339">
        <f>IF(C339="","",IF(N('Month 02'!J55)&gt;0,'Month 02'!J55,1))</f>
        <v/>
      </c>
      <c r="E339">
        <f>IF(OR(C339="",D339=""),"",IF(D339=1,C339,ROUND(C339*(1+D339/30),1)))</f>
        <v/>
      </c>
    </row>
    <row r="340">
      <c r="A340">
        <f>'Month 02'!B34</f>
        <v/>
      </c>
      <c r="B340" t="inlineStr">
        <is>
          <t>Overhead Press</t>
        </is>
      </c>
      <c r="C340">
        <f>IF(AND('Month 02'!L56&lt;&gt;"",N('Month 02'!I56)&gt;0),'Month 02'!I56,"")</f>
        <v/>
      </c>
      <c r="D340">
        <f>IF(C340="","",IF(N('Month 02'!J56)&gt;0,'Month 02'!J56,1))</f>
        <v/>
      </c>
      <c r="E340">
        <f>IF(OR(C340="",D340=""),"",IF(D340=1,C340,ROUND(C340*(1+D340/30),1)))</f>
        <v/>
      </c>
    </row>
    <row r="341">
      <c r="A341">
        <f>'Month 02'!B34</f>
        <v/>
      </c>
      <c r="B341" t="inlineStr">
        <is>
          <t>Deadlift</t>
        </is>
      </c>
      <c r="C341">
        <f>IF(AND('Month 02'!L58&lt;&gt;"",N('Month 02'!I58)&gt;0),'Month 02'!I58,"")</f>
        <v/>
      </c>
      <c r="D341">
        <f>IF(C341="","",IF(N('Month 02'!J58)&gt;0,'Month 02'!J58,1))</f>
        <v/>
      </c>
      <c r="E341">
        <f>IF(OR(C341="",D341=""),"",IF(D341=1,C341,ROUND(C341*(1+D341/30),1)))</f>
        <v/>
      </c>
    </row>
    <row r="342">
      <c r="A342">
        <f>'Month 02'!B34</f>
        <v/>
      </c>
      <c r="B342" t="inlineStr">
        <is>
          <t>Deadlift</t>
        </is>
      </c>
      <c r="C342">
        <f>IF(AND('Month 02'!L59&lt;&gt;"",N('Month 02'!I59)&gt;0),'Month 02'!I59,"")</f>
        <v/>
      </c>
      <c r="D342">
        <f>IF(C342="","",IF(N('Month 02'!J59)&gt;0,'Month 02'!J59,1))</f>
        <v/>
      </c>
      <c r="E342">
        <f>IF(OR(C342="",D342=""),"",IF(D342=1,C342,ROUND(C342*(1+D342/30),1)))</f>
        <v/>
      </c>
    </row>
    <row r="343">
      <c r="A343">
        <f>'Month 02'!B34</f>
        <v/>
      </c>
      <c r="B343" t="inlineStr">
        <is>
          <t>Deadlift</t>
        </is>
      </c>
      <c r="C343">
        <f>IF(AND('Month 02'!L60&lt;&gt;"",N('Month 02'!I60)&gt;0),'Month 02'!I60,"")</f>
        <v/>
      </c>
      <c r="D343">
        <f>IF(C343="","",IF(N('Month 02'!J60)&gt;0,'Month 02'!J60,1))</f>
        <v/>
      </c>
      <c r="E343">
        <f>IF(OR(C343="",D343=""),"",IF(D343=1,C343,ROUND(C343*(1+D343/30),1)))</f>
        <v/>
      </c>
    </row>
    <row r="344">
      <c r="A344">
        <f>'Month 02'!B34</f>
        <v/>
      </c>
      <c r="B344" t="inlineStr">
        <is>
          <t>Chin-up</t>
        </is>
      </c>
      <c r="C344">
        <f>IF(AND('Month 02'!L62&lt;&gt;"",N('Month 02'!I62)&gt;0),'Month 02'!I62,"")</f>
        <v/>
      </c>
      <c r="D344">
        <f>IF(C344="","",IF(N('Month 02'!J62)&gt;0,'Month 02'!J62,1))</f>
        <v/>
      </c>
      <c r="E344">
        <f>IF(OR(C344="",D344=""),"",IF(D344=1,C344,ROUND(C344*(1+D344/30),1)))</f>
        <v/>
      </c>
    </row>
    <row r="345">
      <c r="A345">
        <f>'Month 02'!B34</f>
        <v/>
      </c>
      <c r="B345" t="inlineStr">
        <is>
          <t>Chin-up</t>
        </is>
      </c>
      <c r="C345">
        <f>IF(AND('Month 02'!L63&lt;&gt;"",N('Month 02'!I63)&gt;0),'Month 02'!I63,"")</f>
        <v/>
      </c>
      <c r="D345">
        <f>IF(C345="","",IF(N('Month 02'!J63)&gt;0,'Month 02'!J63,1))</f>
        <v/>
      </c>
      <c r="E345">
        <f>IF(OR(C345="",D345=""),"",IF(D345=1,C345,ROUND(C345*(1+D345/30),1)))</f>
        <v/>
      </c>
    </row>
    <row r="346">
      <c r="A346">
        <f>'Month 02'!B34</f>
        <v/>
      </c>
      <c r="B346" t="inlineStr">
        <is>
          <t>Chin-up</t>
        </is>
      </c>
      <c r="C346">
        <f>IF(AND('Month 02'!L64&lt;&gt;"",N('Month 02'!I64)&gt;0),'Month 02'!I64,"")</f>
        <v/>
      </c>
      <c r="D346">
        <f>IF(C346="","",IF(N('Month 02'!J64)&gt;0,'Month 02'!J64,1))</f>
        <v/>
      </c>
      <c r="E346">
        <f>IF(OR(C346="",D346=""),"",IF(D346=1,C346,ROUND(C346*(1+D346/30),1)))</f>
        <v/>
      </c>
    </row>
    <row r="347">
      <c r="A347">
        <f>'Month 02'!B34</f>
        <v/>
      </c>
      <c r="B347" t="inlineStr">
        <is>
          <t>Plank</t>
        </is>
      </c>
      <c r="C347">
        <f>IF(AND('Month 02'!L66&lt;&gt;"",N('Month 02'!I66)&gt;0),'Month 02'!I66,"")</f>
        <v/>
      </c>
      <c r="D347">
        <f>IF(C347="","",IF(N('Month 02'!J66)&gt;0,'Month 02'!J66,1))</f>
        <v/>
      </c>
      <c r="E347">
        <f>IF(OR(C347="",D347=""),"",IF(D347=1,C347,ROUND(C347*(1+D347/30),1)))</f>
        <v/>
      </c>
    </row>
    <row r="348">
      <c r="A348">
        <f>'Month 02'!B34</f>
        <v/>
      </c>
      <c r="B348" t="inlineStr">
        <is>
          <t>Plank</t>
        </is>
      </c>
      <c r="C348">
        <f>IF(AND('Month 02'!L67&lt;&gt;"",N('Month 02'!I67)&gt;0),'Month 02'!I67,"")</f>
        <v/>
      </c>
      <c r="D348">
        <f>IF(C348="","",IF(N('Month 02'!J67)&gt;0,'Month 02'!J67,1))</f>
        <v/>
      </c>
      <c r="E348">
        <f>IF(OR(C348="",D348=""),"",IF(D348=1,C348,ROUND(C348*(1+D348/30),1)))</f>
        <v/>
      </c>
    </row>
    <row r="349">
      <c r="A349">
        <f>'Month 02'!B34</f>
        <v/>
      </c>
      <c r="B349" t="inlineStr">
        <is>
          <t>Plank</t>
        </is>
      </c>
      <c r="C349">
        <f>IF(AND('Month 02'!L68&lt;&gt;"",N('Month 02'!I68)&gt;0),'Month 02'!I68,"")</f>
        <v/>
      </c>
      <c r="D349">
        <f>IF(C349="","",IF(N('Month 02'!J68)&gt;0,'Month 02'!J68,1))</f>
        <v/>
      </c>
      <c r="E349">
        <f>IF(OR(C349="",D349=""),"",IF(D349=1,C349,ROUND(C349*(1+D349/30),1)))</f>
        <v/>
      </c>
    </row>
    <row r="350">
      <c r="A350">
        <f>'Month 02'!B69</f>
        <v/>
      </c>
      <c r="B350" t="inlineStr">
        <is>
          <t>Hurdle Hop</t>
        </is>
      </c>
      <c r="C350">
        <f>IF(AND('Month 02'!L71&lt;&gt;"",N('Month 02'!I71)&gt;0),'Month 02'!I71,"")</f>
        <v/>
      </c>
      <c r="D350">
        <f>IF(C350="","",IF(N('Month 02'!J71)&gt;0,'Month 02'!J71,1))</f>
        <v/>
      </c>
      <c r="E350">
        <f>IF(OR(C350="",D350=""),"",IF(D350=1,C350,ROUND(C350*(1+D350/30),1)))</f>
        <v/>
      </c>
    </row>
    <row r="351">
      <c r="A351">
        <f>'Month 02'!B69</f>
        <v/>
      </c>
      <c r="B351" t="inlineStr">
        <is>
          <t>Hurdle Hop</t>
        </is>
      </c>
      <c r="C351">
        <f>IF(AND('Month 02'!L72&lt;&gt;"",N('Month 02'!I72)&gt;0),'Month 02'!I72,"")</f>
        <v/>
      </c>
      <c r="D351">
        <f>IF(C351="","",IF(N('Month 02'!J72)&gt;0,'Month 02'!J72,1))</f>
        <v/>
      </c>
      <c r="E351">
        <f>IF(OR(C351="",D351=""),"",IF(D351=1,C351,ROUND(C351*(1+D351/30),1)))</f>
        <v/>
      </c>
    </row>
    <row r="352">
      <c r="A352">
        <f>'Month 02'!B69</f>
        <v/>
      </c>
      <c r="B352" t="inlineStr">
        <is>
          <t>Hurdle Hop</t>
        </is>
      </c>
      <c r="C352">
        <f>IF(AND('Month 02'!L73&lt;&gt;"",N('Month 02'!I73)&gt;0),'Month 02'!I73,"")</f>
        <v/>
      </c>
      <c r="D352">
        <f>IF(C352="","",IF(N('Month 02'!J73)&gt;0,'Month 02'!J73,1))</f>
        <v/>
      </c>
      <c r="E352">
        <f>IF(OR(C352="",D352=""),"",IF(D352=1,C352,ROUND(C352*(1+D352/30),1)))</f>
        <v/>
      </c>
    </row>
    <row r="353">
      <c r="A353">
        <f>'Month 02'!B69</f>
        <v/>
      </c>
      <c r="B353" t="inlineStr">
        <is>
          <t>Hurdle Hop</t>
        </is>
      </c>
      <c r="C353">
        <f>IF(AND('Month 02'!L74&lt;&gt;"",N('Month 02'!I74)&gt;0),'Month 02'!I74,"")</f>
        <v/>
      </c>
      <c r="D353">
        <f>IF(C353="","",IF(N('Month 02'!J74)&gt;0,'Month 02'!J74,1))</f>
        <v/>
      </c>
      <c r="E353">
        <f>IF(OR(C353="",D353=""),"",IF(D353=1,C353,ROUND(C353*(1+D353/30),1)))</f>
        <v/>
      </c>
    </row>
    <row r="354">
      <c r="A354">
        <f>'Month 02'!B69</f>
        <v/>
      </c>
      <c r="B354" t="inlineStr">
        <is>
          <t>Power Clean</t>
        </is>
      </c>
      <c r="C354">
        <f>IF(AND('Month 02'!L76&lt;&gt;"",N('Month 02'!I76)&gt;0),'Month 02'!I76,"")</f>
        <v/>
      </c>
      <c r="D354">
        <f>IF(C354="","",IF(N('Month 02'!J76)&gt;0,'Month 02'!J76,1))</f>
        <v/>
      </c>
      <c r="E354">
        <f>IF(OR(C354="",D354=""),"",IF(D354=1,C354,ROUND(C354*(1+D354/30),1)))</f>
        <v/>
      </c>
    </row>
    <row r="355">
      <c r="A355">
        <f>'Month 02'!B69</f>
        <v/>
      </c>
      <c r="B355" t="inlineStr">
        <is>
          <t>Power Clean</t>
        </is>
      </c>
      <c r="C355">
        <f>IF(AND('Month 02'!L77&lt;&gt;"",N('Month 02'!I77)&gt;0),'Month 02'!I77,"")</f>
        <v/>
      </c>
      <c r="D355">
        <f>IF(C355="","",IF(N('Month 02'!J77)&gt;0,'Month 02'!J77,1))</f>
        <v/>
      </c>
      <c r="E355">
        <f>IF(OR(C355="",D355=""),"",IF(D355=1,C355,ROUND(C355*(1+D355/30),1)))</f>
        <v/>
      </c>
    </row>
    <row r="356">
      <c r="A356">
        <f>'Month 02'!B69</f>
        <v/>
      </c>
      <c r="B356" t="inlineStr">
        <is>
          <t>Power Clean</t>
        </is>
      </c>
      <c r="C356">
        <f>IF(AND('Month 02'!L78&lt;&gt;"",N('Month 02'!I78)&gt;0),'Month 02'!I78,"")</f>
        <v/>
      </c>
      <c r="D356">
        <f>IF(C356="","",IF(N('Month 02'!J78)&gt;0,'Month 02'!J78,1))</f>
        <v/>
      </c>
      <c r="E356">
        <f>IF(OR(C356="",D356=""),"",IF(D356=1,C356,ROUND(C356*(1+D356/30),1)))</f>
        <v/>
      </c>
    </row>
    <row r="357">
      <c r="A357">
        <f>'Month 02'!B69</f>
        <v/>
      </c>
      <c r="B357" t="inlineStr">
        <is>
          <t>Power Clean</t>
        </is>
      </c>
      <c r="C357">
        <f>IF(AND('Month 02'!L79&lt;&gt;"",N('Month 02'!I79)&gt;0),'Month 02'!I79,"")</f>
        <v/>
      </c>
      <c r="D357">
        <f>IF(C357="","",IF(N('Month 02'!J79)&gt;0,'Month 02'!J79,1))</f>
        <v/>
      </c>
      <c r="E357">
        <f>IF(OR(C357="",D357=""),"",IF(D357=1,C357,ROUND(C357*(1+D357/30),1)))</f>
        <v/>
      </c>
    </row>
    <row r="358">
      <c r="A358">
        <f>'Month 02'!B69</f>
        <v/>
      </c>
      <c r="B358" t="inlineStr">
        <is>
          <t>Pause Squat</t>
        </is>
      </c>
      <c r="C358">
        <f>IF(AND('Month 02'!L81&lt;&gt;"",N('Month 02'!I81)&gt;0),'Month 02'!I81,"")</f>
        <v/>
      </c>
      <c r="D358">
        <f>IF(C358="","",IF(N('Month 02'!J81)&gt;0,'Month 02'!J81,1))</f>
        <v/>
      </c>
      <c r="E358">
        <f>IF(OR(C358="",D358=""),"",IF(D358=1,C358,ROUND(C358*(1+D358/30),1)))</f>
        <v/>
      </c>
    </row>
    <row r="359">
      <c r="A359">
        <f>'Month 02'!B69</f>
        <v/>
      </c>
      <c r="B359" t="inlineStr">
        <is>
          <t>Pause Squat</t>
        </is>
      </c>
      <c r="C359">
        <f>IF(AND('Month 02'!L82&lt;&gt;"",N('Month 02'!I82)&gt;0),'Month 02'!I82,"")</f>
        <v/>
      </c>
      <c r="D359">
        <f>IF(C359="","",IF(N('Month 02'!J82)&gt;0,'Month 02'!J82,1))</f>
        <v/>
      </c>
      <c r="E359">
        <f>IF(OR(C359="",D359=""),"",IF(D359=1,C359,ROUND(C359*(1+D359/30),1)))</f>
        <v/>
      </c>
    </row>
    <row r="360">
      <c r="A360">
        <f>'Month 02'!B69</f>
        <v/>
      </c>
      <c r="B360" t="inlineStr">
        <is>
          <t>Pause Squat</t>
        </is>
      </c>
      <c r="C360">
        <f>IF(AND('Month 02'!L83&lt;&gt;"",N('Month 02'!I83)&gt;0),'Month 02'!I83,"")</f>
        <v/>
      </c>
      <c r="D360">
        <f>IF(C360="","",IF(N('Month 02'!J83)&gt;0,'Month 02'!J83,1))</f>
        <v/>
      </c>
      <c r="E360">
        <f>IF(OR(C360="",D360=""),"",IF(D360=1,C360,ROUND(C360*(1+D360/30),1)))</f>
        <v/>
      </c>
    </row>
    <row r="361">
      <c r="A361">
        <f>'Month 02'!B69</f>
        <v/>
      </c>
      <c r="B361" t="inlineStr">
        <is>
          <t>2-Board Press</t>
        </is>
      </c>
      <c r="C361">
        <f>IF(AND('Month 02'!L85&lt;&gt;"",N('Month 02'!I85)&gt;0),'Month 02'!I85,"")</f>
        <v/>
      </c>
      <c r="D361">
        <f>IF(C361="","",IF(N('Month 02'!J85)&gt;0,'Month 02'!J85,1))</f>
        <v/>
      </c>
      <c r="E361">
        <f>IF(OR(C361="",D361=""),"",IF(D361=1,C361,ROUND(C361*(1+D361/30),1)))</f>
        <v/>
      </c>
    </row>
    <row r="362">
      <c r="A362">
        <f>'Month 02'!B69</f>
        <v/>
      </c>
      <c r="B362" t="inlineStr">
        <is>
          <t>2-Board Press</t>
        </is>
      </c>
      <c r="C362">
        <f>IF(AND('Month 02'!L86&lt;&gt;"",N('Month 02'!I86)&gt;0),'Month 02'!I86,"")</f>
        <v/>
      </c>
      <c r="D362">
        <f>IF(C362="","",IF(N('Month 02'!J86)&gt;0,'Month 02'!J86,1))</f>
        <v/>
      </c>
      <c r="E362">
        <f>IF(OR(C362="",D362=""),"",IF(D362=1,C362,ROUND(C362*(1+D362/30),1)))</f>
        <v/>
      </c>
    </row>
    <row r="363">
      <c r="A363">
        <f>'Month 02'!B69</f>
        <v/>
      </c>
      <c r="B363" t="inlineStr">
        <is>
          <t>2-Board Press</t>
        </is>
      </c>
      <c r="C363">
        <f>IF(AND('Month 02'!L87&lt;&gt;"",N('Month 02'!I87)&gt;0),'Month 02'!I87,"")</f>
        <v/>
      </c>
      <c r="D363">
        <f>IF(C363="","",IF(N('Month 02'!J87)&gt;0,'Month 02'!J87,1))</f>
        <v/>
      </c>
      <c r="E363">
        <f>IF(OR(C363="",D363=""),"",IF(D363=1,C363,ROUND(C363*(1+D363/30),1)))</f>
        <v/>
      </c>
    </row>
    <row r="364">
      <c r="A364">
        <f>'Month 02'!B69</f>
        <v/>
      </c>
      <c r="B364" t="inlineStr">
        <is>
          <t>Deficit Deadlift</t>
        </is>
      </c>
      <c r="C364">
        <f>IF(AND('Month 02'!L89&lt;&gt;"",N('Month 02'!I89)&gt;0),'Month 02'!I89,"")</f>
        <v/>
      </c>
      <c r="D364">
        <f>IF(C364="","",IF(N('Month 02'!J89)&gt;0,'Month 02'!J89,1))</f>
        <v/>
      </c>
      <c r="E364">
        <f>IF(OR(C364="",D364=""),"",IF(D364=1,C364,ROUND(C364*(1+D364/30),1)))</f>
        <v/>
      </c>
    </row>
    <row r="365">
      <c r="A365">
        <f>'Month 02'!B69</f>
        <v/>
      </c>
      <c r="B365" t="inlineStr">
        <is>
          <t>Deficit Deadlift</t>
        </is>
      </c>
      <c r="C365">
        <f>IF(AND('Month 02'!L90&lt;&gt;"",N('Month 02'!I90)&gt;0),'Month 02'!I90,"")</f>
        <v/>
      </c>
      <c r="D365">
        <f>IF(C365="","",IF(N('Month 02'!J90)&gt;0,'Month 02'!J90,1))</f>
        <v/>
      </c>
      <c r="E365">
        <f>IF(OR(C365="",D365=""),"",IF(D365=1,C365,ROUND(C365*(1+D365/30),1)))</f>
        <v/>
      </c>
    </row>
    <row r="366">
      <c r="A366">
        <f>'Month 02'!B69</f>
        <v/>
      </c>
      <c r="B366" t="inlineStr">
        <is>
          <t>Deficit Deadlift</t>
        </is>
      </c>
      <c r="C366">
        <f>IF(AND('Month 02'!L91&lt;&gt;"",N('Month 02'!I91)&gt;0),'Month 02'!I91,"")</f>
        <v/>
      </c>
      <c r="D366">
        <f>IF(C366="","",IF(N('Month 02'!J91)&gt;0,'Month 02'!J91,1))</f>
        <v/>
      </c>
      <c r="E366">
        <f>IF(OR(C366="",D366=""),"",IF(D366=1,C366,ROUND(C366*(1+D366/30),1)))</f>
        <v/>
      </c>
    </row>
    <row r="367">
      <c r="A367">
        <f>'Month 02'!B69</f>
        <v/>
      </c>
      <c r="B367" t="inlineStr">
        <is>
          <t>Incline Dumbbell Press</t>
        </is>
      </c>
      <c r="C367">
        <f>IF(AND('Month 02'!L93&lt;&gt;"",N('Month 02'!I93)&gt;0),'Month 02'!I93,"")</f>
        <v/>
      </c>
      <c r="D367">
        <f>IF(C367="","",IF(N('Month 02'!J93)&gt;0,'Month 02'!J93,1))</f>
        <v/>
      </c>
      <c r="E367">
        <f>IF(OR(C367="",D367=""),"",IF(D367=1,C367,ROUND(C367*(1+D367/30),1)))</f>
        <v/>
      </c>
    </row>
    <row r="368">
      <c r="A368">
        <f>'Month 02'!B69</f>
        <v/>
      </c>
      <c r="B368" t="inlineStr">
        <is>
          <t>Incline Dumbbell Press</t>
        </is>
      </c>
      <c r="C368">
        <f>IF(AND('Month 02'!L94&lt;&gt;"",N('Month 02'!I94)&gt;0),'Month 02'!I94,"")</f>
        <v/>
      </c>
      <c r="D368">
        <f>IF(C368="","",IF(N('Month 02'!J94)&gt;0,'Month 02'!J94,1))</f>
        <v/>
      </c>
      <c r="E368">
        <f>IF(OR(C368="",D368=""),"",IF(D368=1,C368,ROUND(C368*(1+D368/30),1)))</f>
        <v/>
      </c>
    </row>
    <row r="369">
      <c r="A369">
        <f>'Month 02'!B69</f>
        <v/>
      </c>
      <c r="B369" t="inlineStr">
        <is>
          <t>Incline Dumbbell Press</t>
        </is>
      </c>
      <c r="C369">
        <f>IF(AND('Month 02'!L95&lt;&gt;"",N('Month 02'!I95)&gt;0),'Month 02'!I95,"")</f>
        <v/>
      </c>
      <c r="D369">
        <f>IF(C369="","",IF(N('Month 02'!J95)&gt;0,'Month 02'!J95,1))</f>
        <v/>
      </c>
      <c r="E369">
        <f>IF(OR(C369="",D369=""),"",IF(D369=1,C369,ROUND(C369*(1+D369/30),1)))</f>
        <v/>
      </c>
    </row>
    <row r="370">
      <c r="A370">
        <f>'Month 02'!B69</f>
        <v/>
      </c>
      <c r="B370" t="inlineStr">
        <is>
          <t>Triceps Pushdown</t>
        </is>
      </c>
      <c r="C370">
        <f>IF(AND('Month 02'!L97&lt;&gt;"",N('Month 02'!I97)&gt;0),'Month 02'!I97,"")</f>
        <v/>
      </c>
      <c r="D370">
        <f>IF(C370="","",IF(N('Month 02'!J97)&gt;0,'Month 02'!J97,1))</f>
        <v/>
      </c>
      <c r="E370">
        <f>IF(OR(C370="",D370=""),"",IF(D370=1,C370,ROUND(C370*(1+D370/30),1)))</f>
        <v/>
      </c>
    </row>
    <row r="371">
      <c r="A371">
        <f>'Month 02'!B69</f>
        <v/>
      </c>
      <c r="B371" t="inlineStr">
        <is>
          <t>Triceps Pushdown</t>
        </is>
      </c>
      <c r="C371">
        <f>IF(AND('Month 02'!L98&lt;&gt;"",N('Month 02'!I98)&gt;0),'Month 02'!I98,"")</f>
        <v/>
      </c>
      <c r="D371">
        <f>IF(C371="","",IF(N('Month 02'!J98)&gt;0,'Month 02'!J98,1))</f>
        <v/>
      </c>
      <c r="E371">
        <f>IF(OR(C371="",D371=""),"",IF(D371=1,C371,ROUND(C371*(1+D371/30),1)))</f>
        <v/>
      </c>
    </row>
    <row r="372">
      <c r="A372">
        <f>'Month 02'!B69</f>
        <v/>
      </c>
      <c r="B372" t="inlineStr">
        <is>
          <t>Triceps Pushdown</t>
        </is>
      </c>
      <c r="C372">
        <f>IF(AND('Month 02'!L99&lt;&gt;"",N('Month 02'!I99)&gt;0),'Month 02'!I99,"")</f>
        <v/>
      </c>
      <c r="D372">
        <f>IF(C372="","",IF(N('Month 02'!J99)&gt;0,'Month 02'!J99,1))</f>
        <v/>
      </c>
      <c r="E372">
        <f>IF(OR(C372="",D372=""),"",IF(D372=1,C372,ROUND(C372*(1+D372/30),1)))</f>
        <v/>
      </c>
    </row>
    <row r="373">
      <c r="A373">
        <f>'Month 02'!B102</f>
        <v/>
      </c>
      <c r="B373" t="inlineStr">
        <is>
          <t>Box Jump</t>
        </is>
      </c>
      <c r="C373">
        <f>IF(AND('Month 02'!L104&lt;&gt;"",N('Month 02'!I104)&gt;0),'Month 02'!I104,"")</f>
        <v/>
      </c>
      <c r="D373">
        <f>IF(C373="","",IF(N('Month 02'!J104)&gt;0,'Month 02'!J104,1))</f>
        <v/>
      </c>
      <c r="E373">
        <f>IF(OR(C373="",D373=""),"",IF(D373=1,C373,ROUND(C373*(1+D373/30),1)))</f>
        <v/>
      </c>
    </row>
    <row r="374">
      <c r="A374">
        <f>'Month 02'!B102</f>
        <v/>
      </c>
      <c r="B374" t="inlineStr">
        <is>
          <t>Box Jump</t>
        </is>
      </c>
      <c r="C374">
        <f>IF(AND('Month 02'!L105&lt;&gt;"",N('Month 02'!I105)&gt;0),'Month 02'!I105,"")</f>
        <v/>
      </c>
      <c r="D374">
        <f>IF(C374="","",IF(N('Month 02'!J105)&gt;0,'Month 02'!J105,1))</f>
        <v/>
      </c>
      <c r="E374">
        <f>IF(OR(C374="",D374=""),"",IF(D374=1,C374,ROUND(C374*(1+D374/30),1)))</f>
        <v/>
      </c>
    </row>
    <row r="375">
      <c r="A375">
        <f>'Month 02'!B102</f>
        <v/>
      </c>
      <c r="B375" t="inlineStr">
        <is>
          <t>Box Jump</t>
        </is>
      </c>
      <c r="C375">
        <f>IF(AND('Month 02'!L106&lt;&gt;"",N('Month 02'!I106)&gt;0),'Month 02'!I106,"")</f>
        <v/>
      </c>
      <c r="D375">
        <f>IF(C375="","",IF(N('Month 02'!J106)&gt;0,'Month 02'!J106,1))</f>
        <v/>
      </c>
      <c r="E375">
        <f>IF(OR(C375="",D375=""),"",IF(D375=1,C375,ROUND(C375*(1+D375/30),1)))</f>
        <v/>
      </c>
    </row>
    <row r="376">
      <c r="A376">
        <f>'Month 02'!B102</f>
        <v/>
      </c>
      <c r="B376" t="inlineStr">
        <is>
          <t>Box Jump</t>
        </is>
      </c>
      <c r="C376">
        <f>IF(AND('Month 02'!L107&lt;&gt;"",N('Month 02'!I107)&gt;0),'Month 02'!I107,"")</f>
        <v/>
      </c>
      <c r="D376">
        <f>IF(C376="","",IF(N('Month 02'!J107)&gt;0,'Month 02'!J107,1))</f>
        <v/>
      </c>
      <c r="E376">
        <f>IF(OR(C376="",D376=""),"",IF(D376=1,C376,ROUND(C376*(1+D376/30),1)))</f>
        <v/>
      </c>
    </row>
    <row r="377">
      <c r="A377">
        <f>'Month 02'!B102</f>
        <v/>
      </c>
      <c r="B377" t="inlineStr">
        <is>
          <t>Snatch</t>
        </is>
      </c>
      <c r="C377">
        <f>IF(AND('Month 02'!L109&lt;&gt;"",N('Month 02'!I109)&gt;0),'Month 02'!I109,"")</f>
        <v/>
      </c>
      <c r="D377">
        <f>IF(C377="","",IF(N('Month 02'!J109)&gt;0,'Month 02'!J109,1))</f>
        <v/>
      </c>
      <c r="E377">
        <f>IF(OR(C377="",D377=""),"",IF(D377=1,C377,ROUND(C377*(1+D377/30),1)))</f>
        <v/>
      </c>
    </row>
    <row r="378">
      <c r="A378">
        <f>'Month 02'!B102</f>
        <v/>
      </c>
      <c r="B378" t="inlineStr">
        <is>
          <t>Snatch</t>
        </is>
      </c>
      <c r="C378">
        <f>IF(AND('Month 02'!L110&lt;&gt;"",N('Month 02'!I110)&gt;0),'Month 02'!I110,"")</f>
        <v/>
      </c>
      <c r="D378">
        <f>IF(C378="","",IF(N('Month 02'!J110)&gt;0,'Month 02'!J110,1))</f>
        <v/>
      </c>
      <c r="E378">
        <f>IF(OR(C378="",D378=""),"",IF(D378=1,C378,ROUND(C378*(1+D378/30),1)))</f>
        <v/>
      </c>
    </row>
    <row r="379">
      <c r="A379">
        <f>'Month 02'!B102</f>
        <v/>
      </c>
      <c r="B379" t="inlineStr">
        <is>
          <t>Snatch</t>
        </is>
      </c>
      <c r="C379">
        <f>IF(AND('Month 02'!L111&lt;&gt;"",N('Month 02'!I111)&gt;0),'Month 02'!I111,"")</f>
        <v/>
      </c>
      <c r="D379">
        <f>IF(C379="","",IF(N('Month 02'!J111)&gt;0,'Month 02'!J111,1))</f>
        <v/>
      </c>
      <c r="E379">
        <f>IF(OR(C379="",D379=""),"",IF(D379=1,C379,ROUND(C379*(1+D379/30),1)))</f>
        <v/>
      </c>
    </row>
    <row r="380">
      <c r="A380">
        <f>'Month 02'!B102</f>
        <v/>
      </c>
      <c r="B380" t="inlineStr">
        <is>
          <t>Snatch</t>
        </is>
      </c>
      <c r="C380">
        <f>IF(AND('Month 02'!L112&lt;&gt;"",N('Month 02'!I112)&gt;0),'Month 02'!I112,"")</f>
        <v/>
      </c>
      <c r="D380">
        <f>IF(C380="","",IF(N('Month 02'!J112)&gt;0,'Month 02'!J112,1))</f>
        <v/>
      </c>
      <c r="E380">
        <f>IF(OR(C380="",D380=""),"",IF(D380=1,C380,ROUND(C380*(1+D380/30),1)))</f>
        <v/>
      </c>
    </row>
    <row r="381">
      <c r="A381">
        <f>'Month 02'!B102</f>
        <v/>
      </c>
      <c r="B381" t="inlineStr">
        <is>
          <t>Snatch</t>
        </is>
      </c>
      <c r="C381">
        <f>IF(AND('Month 02'!L113&lt;&gt;"",N('Month 02'!I113)&gt;0),'Month 02'!I113,"")</f>
        <v/>
      </c>
      <c r="D381">
        <f>IF(C381="","",IF(N('Month 02'!J113)&gt;0,'Month 02'!J113,1))</f>
        <v/>
      </c>
      <c r="E381">
        <f>IF(OR(C381="",D381=""),"",IF(D381=1,C381,ROUND(C381*(1+D381/30),1)))</f>
        <v/>
      </c>
    </row>
    <row r="382">
      <c r="A382">
        <f>'Month 02'!B102</f>
        <v/>
      </c>
      <c r="B382" t="inlineStr">
        <is>
          <t>Squat</t>
        </is>
      </c>
      <c r="C382">
        <f>IF(AND('Month 02'!L115&lt;&gt;"",N('Month 02'!I115)&gt;0),'Month 02'!I115,"")</f>
        <v/>
      </c>
      <c r="D382">
        <f>IF(C382="","",IF(N('Month 02'!J115)&gt;0,'Month 02'!J115,1))</f>
        <v/>
      </c>
      <c r="E382">
        <f>IF(OR(C382="",D382=""),"",IF(D382=1,C382,ROUND(C382*(1+D382/30),1)))</f>
        <v/>
      </c>
    </row>
    <row r="383">
      <c r="A383">
        <f>'Month 02'!B102</f>
        <v/>
      </c>
      <c r="B383" t="inlineStr">
        <is>
          <t>Squat</t>
        </is>
      </c>
      <c r="C383">
        <f>IF(AND('Month 02'!L116&lt;&gt;"",N('Month 02'!I116)&gt;0),'Month 02'!I116,"")</f>
        <v/>
      </c>
      <c r="D383">
        <f>IF(C383="","",IF(N('Month 02'!J116)&gt;0,'Month 02'!J116,1))</f>
        <v/>
      </c>
      <c r="E383">
        <f>IF(OR(C383="",D383=""),"",IF(D383=1,C383,ROUND(C383*(1+D383/30),1)))</f>
        <v/>
      </c>
    </row>
    <row r="384">
      <c r="A384">
        <f>'Month 02'!B102</f>
        <v/>
      </c>
      <c r="B384" t="inlineStr">
        <is>
          <t>Squat</t>
        </is>
      </c>
      <c r="C384">
        <f>IF(AND('Month 02'!L117&lt;&gt;"",N('Month 02'!I117)&gt;0),'Month 02'!I117,"")</f>
        <v/>
      </c>
      <c r="D384">
        <f>IF(C384="","",IF(N('Month 02'!J117)&gt;0,'Month 02'!J117,1))</f>
        <v/>
      </c>
      <c r="E384">
        <f>IF(OR(C384="",D384=""),"",IF(D384=1,C384,ROUND(C384*(1+D384/30),1)))</f>
        <v/>
      </c>
    </row>
    <row r="385">
      <c r="A385">
        <f>'Month 02'!B102</f>
        <v/>
      </c>
      <c r="B385" t="inlineStr">
        <is>
          <t>Squat</t>
        </is>
      </c>
      <c r="C385">
        <f>IF(AND('Month 02'!L118&lt;&gt;"",N('Month 02'!I118)&gt;0),'Month 02'!I118,"")</f>
        <v/>
      </c>
      <c r="D385">
        <f>IF(C385="","",IF(N('Month 02'!J118)&gt;0,'Month 02'!J118,1))</f>
        <v/>
      </c>
      <c r="E385">
        <f>IF(OR(C385="",D385=""),"",IF(D385=1,C385,ROUND(C385*(1+D385/30),1)))</f>
        <v/>
      </c>
    </row>
    <row r="386">
      <c r="A386">
        <f>'Month 02'!B102</f>
        <v/>
      </c>
      <c r="B386" t="inlineStr">
        <is>
          <t>Bench Press</t>
        </is>
      </c>
      <c r="C386">
        <f>IF(AND('Month 02'!L120&lt;&gt;"",N('Month 02'!I120)&gt;0),'Month 02'!I120,"")</f>
        <v/>
      </c>
      <c r="D386">
        <f>IF(C386="","",IF(N('Month 02'!J120)&gt;0,'Month 02'!J120,1))</f>
        <v/>
      </c>
      <c r="E386">
        <f>IF(OR(C386="",D386=""),"",IF(D386=1,C386,ROUND(C386*(1+D386/30),1)))</f>
        <v/>
      </c>
    </row>
    <row r="387">
      <c r="A387">
        <f>'Month 02'!B102</f>
        <v/>
      </c>
      <c r="B387" t="inlineStr">
        <is>
          <t>Bench Press</t>
        </is>
      </c>
      <c r="C387">
        <f>IF(AND('Month 02'!L121&lt;&gt;"",N('Month 02'!I121)&gt;0),'Month 02'!I121,"")</f>
        <v/>
      </c>
      <c r="D387">
        <f>IF(C387="","",IF(N('Month 02'!J121)&gt;0,'Month 02'!J121,1))</f>
        <v/>
      </c>
      <c r="E387">
        <f>IF(OR(C387="",D387=""),"",IF(D387=1,C387,ROUND(C387*(1+D387/30),1)))</f>
        <v/>
      </c>
    </row>
    <row r="388">
      <c r="A388">
        <f>'Month 02'!B102</f>
        <v/>
      </c>
      <c r="B388" t="inlineStr">
        <is>
          <t>Bench Press</t>
        </is>
      </c>
      <c r="C388">
        <f>IF(AND('Month 02'!L122&lt;&gt;"",N('Month 02'!I122)&gt;0),'Month 02'!I122,"")</f>
        <v/>
      </c>
      <c r="D388">
        <f>IF(C388="","",IF(N('Month 02'!J122)&gt;0,'Month 02'!J122,1))</f>
        <v/>
      </c>
      <c r="E388">
        <f>IF(OR(C388="",D388=""),"",IF(D388=1,C388,ROUND(C388*(1+D388/30),1)))</f>
        <v/>
      </c>
    </row>
    <row r="389">
      <c r="A389">
        <f>'Month 02'!B102</f>
        <v/>
      </c>
      <c r="B389" t="inlineStr">
        <is>
          <t>Bench Press</t>
        </is>
      </c>
      <c r="C389">
        <f>IF(AND('Month 02'!L123&lt;&gt;"",N('Month 02'!I123)&gt;0),'Month 02'!I123,"")</f>
        <v/>
      </c>
      <c r="D389">
        <f>IF(C389="","",IF(N('Month 02'!J123)&gt;0,'Month 02'!J123,1))</f>
        <v/>
      </c>
      <c r="E389">
        <f>IF(OR(C389="",D389=""),"",IF(D389=1,C389,ROUND(C389*(1+D389/30),1)))</f>
        <v/>
      </c>
    </row>
    <row r="390">
      <c r="A390">
        <f>'Month 02'!B102</f>
        <v/>
      </c>
      <c r="B390" t="inlineStr">
        <is>
          <t>Barbell Row</t>
        </is>
      </c>
      <c r="C390">
        <f>IF(AND('Month 02'!L125&lt;&gt;"",N('Month 02'!I125)&gt;0),'Month 02'!I125,"")</f>
        <v/>
      </c>
      <c r="D390">
        <f>IF(C390="","",IF(N('Month 02'!J125)&gt;0,'Month 02'!J125,1))</f>
        <v/>
      </c>
      <c r="E390">
        <f>IF(OR(C390="",D390=""),"",IF(D390=1,C390,ROUND(C390*(1+D390/30),1)))</f>
        <v/>
      </c>
    </row>
    <row r="391">
      <c r="A391">
        <f>'Month 02'!B102</f>
        <v/>
      </c>
      <c r="B391" t="inlineStr">
        <is>
          <t>Barbell Row</t>
        </is>
      </c>
      <c r="C391">
        <f>IF(AND('Month 02'!L126&lt;&gt;"",N('Month 02'!I126)&gt;0),'Month 02'!I126,"")</f>
        <v/>
      </c>
      <c r="D391">
        <f>IF(C391="","",IF(N('Month 02'!J126)&gt;0,'Month 02'!J126,1))</f>
        <v/>
      </c>
      <c r="E391">
        <f>IF(OR(C391="",D391=""),"",IF(D391=1,C391,ROUND(C391*(1+D391/30),1)))</f>
        <v/>
      </c>
    </row>
    <row r="392">
      <c r="A392">
        <f>'Month 02'!B102</f>
        <v/>
      </c>
      <c r="B392" t="inlineStr">
        <is>
          <t>Barbell Row</t>
        </is>
      </c>
      <c r="C392">
        <f>IF(AND('Month 02'!L127&lt;&gt;"",N('Month 02'!I127)&gt;0),'Month 02'!I127,"")</f>
        <v/>
      </c>
      <c r="D392">
        <f>IF(C392="","",IF(N('Month 02'!J127)&gt;0,'Month 02'!J127,1))</f>
        <v/>
      </c>
      <c r="E392">
        <f>IF(OR(C392="",D392=""),"",IF(D392=1,C392,ROUND(C392*(1+D392/30),1)))</f>
        <v/>
      </c>
    </row>
    <row r="393">
      <c r="A393">
        <f>'Month 02'!B102</f>
        <v/>
      </c>
      <c r="B393" t="inlineStr">
        <is>
          <t>Face Pull</t>
        </is>
      </c>
      <c r="C393">
        <f>IF(AND('Month 02'!L129&lt;&gt;"",N('Month 02'!I129)&gt;0),'Month 02'!I129,"")</f>
        <v/>
      </c>
      <c r="D393">
        <f>IF(C393="","",IF(N('Month 02'!J129)&gt;0,'Month 02'!J129,1))</f>
        <v/>
      </c>
      <c r="E393">
        <f>IF(OR(C393="",D393=""),"",IF(D393=1,C393,ROUND(C393*(1+D393/30),1)))</f>
        <v/>
      </c>
    </row>
    <row r="394">
      <c r="A394">
        <f>'Month 02'!B102</f>
        <v/>
      </c>
      <c r="B394" t="inlineStr">
        <is>
          <t>Face Pull</t>
        </is>
      </c>
      <c r="C394">
        <f>IF(AND('Month 02'!L130&lt;&gt;"",N('Month 02'!I130)&gt;0),'Month 02'!I130,"")</f>
        <v/>
      </c>
      <c r="D394">
        <f>IF(C394="","",IF(N('Month 02'!J130)&gt;0,'Month 02'!J130,1))</f>
        <v/>
      </c>
      <c r="E394">
        <f>IF(OR(C394="",D394=""),"",IF(D394=1,C394,ROUND(C394*(1+D394/30),1)))</f>
        <v/>
      </c>
    </row>
    <row r="395">
      <c r="A395">
        <f>'Month 02'!B102</f>
        <v/>
      </c>
      <c r="B395" t="inlineStr">
        <is>
          <t>Face Pull</t>
        </is>
      </c>
      <c r="C395">
        <f>IF(AND('Month 02'!L131&lt;&gt;"",N('Month 02'!I131)&gt;0),'Month 02'!I131,"")</f>
        <v/>
      </c>
      <c r="D395">
        <f>IF(C395="","",IF(N('Month 02'!J131)&gt;0,'Month 02'!J131,1))</f>
        <v/>
      </c>
      <c r="E395">
        <f>IF(OR(C395="",D395=""),"",IF(D395=1,C395,ROUND(C395*(1+D395/30),1)))</f>
        <v/>
      </c>
    </row>
    <row r="396">
      <c r="A396">
        <f>'Month 02'!B132</f>
        <v/>
      </c>
      <c r="B396" t="inlineStr">
        <is>
          <t>Broad Jump</t>
        </is>
      </c>
      <c r="C396">
        <f>IF(AND('Month 02'!L134&lt;&gt;"",N('Month 02'!I134)&gt;0),'Month 02'!I134,"")</f>
        <v/>
      </c>
      <c r="D396">
        <f>IF(C396="","",IF(N('Month 02'!J134)&gt;0,'Month 02'!J134,1))</f>
        <v/>
      </c>
      <c r="E396">
        <f>IF(OR(C396="",D396=""),"",IF(D396=1,C396,ROUND(C396*(1+D396/30),1)))</f>
        <v/>
      </c>
    </row>
    <row r="397">
      <c r="A397">
        <f>'Month 02'!B132</f>
        <v/>
      </c>
      <c r="B397" t="inlineStr">
        <is>
          <t>Broad Jump</t>
        </is>
      </c>
      <c r="C397">
        <f>IF(AND('Month 02'!L135&lt;&gt;"",N('Month 02'!I135)&gt;0),'Month 02'!I135,"")</f>
        <v/>
      </c>
      <c r="D397">
        <f>IF(C397="","",IF(N('Month 02'!J135)&gt;0,'Month 02'!J135,1))</f>
        <v/>
      </c>
      <c r="E397">
        <f>IF(OR(C397="",D397=""),"",IF(D397=1,C397,ROUND(C397*(1+D397/30),1)))</f>
        <v/>
      </c>
    </row>
    <row r="398">
      <c r="A398">
        <f>'Month 02'!B132</f>
        <v/>
      </c>
      <c r="B398" t="inlineStr">
        <is>
          <t>Broad Jump</t>
        </is>
      </c>
      <c r="C398">
        <f>IF(AND('Month 02'!L136&lt;&gt;"",N('Month 02'!I136)&gt;0),'Month 02'!I136,"")</f>
        <v/>
      </c>
      <c r="D398">
        <f>IF(C398="","",IF(N('Month 02'!J136)&gt;0,'Month 02'!J136,1))</f>
        <v/>
      </c>
      <c r="E398">
        <f>IF(OR(C398="",D398=""),"",IF(D398=1,C398,ROUND(C398*(1+D398/30),1)))</f>
        <v/>
      </c>
    </row>
    <row r="399">
      <c r="A399">
        <f>'Month 02'!B132</f>
        <v/>
      </c>
      <c r="B399" t="inlineStr">
        <is>
          <t>Broad Jump</t>
        </is>
      </c>
      <c r="C399">
        <f>IF(AND('Month 02'!L137&lt;&gt;"",N('Month 02'!I137)&gt;0),'Month 02'!I137,"")</f>
        <v/>
      </c>
      <c r="D399">
        <f>IF(C399="","",IF(N('Month 02'!J137)&gt;0,'Month 02'!J137,1))</f>
        <v/>
      </c>
      <c r="E399">
        <f>IF(OR(C399="",D399=""),"",IF(D399=1,C399,ROUND(C399*(1+D399/30),1)))</f>
        <v/>
      </c>
    </row>
    <row r="400">
      <c r="A400">
        <f>'Month 02'!B132</f>
        <v/>
      </c>
      <c r="B400" t="inlineStr">
        <is>
          <t>Med Ball Chest Pass</t>
        </is>
      </c>
      <c r="C400">
        <f>IF(AND('Month 02'!L139&lt;&gt;"",N('Month 02'!I139)&gt;0),'Month 02'!I139,"")</f>
        <v/>
      </c>
      <c r="D400">
        <f>IF(C400="","",IF(N('Month 02'!J139)&gt;0,'Month 02'!J139,1))</f>
        <v/>
      </c>
      <c r="E400">
        <f>IF(OR(C400="",D400=""),"",IF(D400=1,C400,ROUND(C400*(1+D400/30),1)))</f>
        <v/>
      </c>
    </row>
    <row r="401">
      <c r="A401">
        <f>'Month 02'!B132</f>
        <v/>
      </c>
      <c r="B401" t="inlineStr">
        <is>
          <t>Med Ball Chest Pass</t>
        </is>
      </c>
      <c r="C401">
        <f>IF(AND('Month 02'!L140&lt;&gt;"",N('Month 02'!I140)&gt;0),'Month 02'!I140,"")</f>
        <v/>
      </c>
      <c r="D401">
        <f>IF(C401="","",IF(N('Month 02'!J140)&gt;0,'Month 02'!J140,1))</f>
        <v/>
      </c>
      <c r="E401">
        <f>IF(OR(C401="",D401=""),"",IF(D401=1,C401,ROUND(C401*(1+D401/30),1)))</f>
        <v/>
      </c>
    </row>
    <row r="402">
      <c r="A402">
        <f>'Month 02'!B132</f>
        <v/>
      </c>
      <c r="B402" t="inlineStr">
        <is>
          <t>Med Ball Chest Pass</t>
        </is>
      </c>
      <c r="C402">
        <f>IF(AND('Month 02'!L141&lt;&gt;"",N('Month 02'!I141)&gt;0),'Month 02'!I141,"")</f>
        <v/>
      </c>
      <c r="D402">
        <f>IF(C402="","",IF(N('Month 02'!J141)&gt;0,'Month 02'!J141,1))</f>
        <v/>
      </c>
      <c r="E402">
        <f>IF(OR(C402="",D402=""),"",IF(D402=1,C402,ROUND(C402*(1+D402/30),1)))</f>
        <v/>
      </c>
    </row>
    <row r="403">
      <c r="A403">
        <f>'Month 02'!B132</f>
        <v/>
      </c>
      <c r="B403" t="inlineStr">
        <is>
          <t>Clean &amp; Jerk</t>
        </is>
      </c>
      <c r="C403">
        <f>IF(AND('Month 02'!L143&lt;&gt;"",N('Month 02'!I143)&gt;0),'Month 02'!I143,"")</f>
        <v/>
      </c>
      <c r="D403">
        <f>IF(C403="","",IF(N('Month 02'!J143)&gt;0,'Month 02'!J143,1))</f>
        <v/>
      </c>
      <c r="E403">
        <f>IF(OR(C403="",D403=""),"",IF(D403=1,C403,ROUND(C403*(1+D403/30),1)))</f>
        <v/>
      </c>
    </row>
    <row r="404">
      <c r="A404">
        <f>'Month 02'!B132</f>
        <v/>
      </c>
      <c r="B404" t="inlineStr">
        <is>
          <t>Clean &amp; Jerk</t>
        </is>
      </c>
      <c r="C404">
        <f>IF(AND('Month 02'!L144&lt;&gt;"",N('Month 02'!I144)&gt;0),'Month 02'!I144,"")</f>
        <v/>
      </c>
      <c r="D404">
        <f>IF(C404="","",IF(N('Month 02'!J144)&gt;0,'Month 02'!J144,1))</f>
        <v/>
      </c>
      <c r="E404">
        <f>IF(OR(C404="",D404=""),"",IF(D404=1,C404,ROUND(C404*(1+D404/30),1)))</f>
        <v/>
      </c>
    </row>
    <row r="405">
      <c r="A405">
        <f>'Month 02'!B132</f>
        <v/>
      </c>
      <c r="B405" t="inlineStr">
        <is>
          <t>Clean &amp; Jerk</t>
        </is>
      </c>
      <c r="C405">
        <f>IF(AND('Month 02'!L145&lt;&gt;"",N('Month 02'!I145)&gt;0),'Month 02'!I145,"")</f>
        <v/>
      </c>
      <c r="D405">
        <f>IF(C405="","",IF(N('Month 02'!J145)&gt;0,'Month 02'!J145,1))</f>
        <v/>
      </c>
      <c r="E405">
        <f>IF(OR(C405="",D405=""),"",IF(D405=1,C405,ROUND(C405*(1+D405/30),1)))</f>
        <v/>
      </c>
    </row>
    <row r="406">
      <c r="A406">
        <f>'Month 02'!B132</f>
        <v/>
      </c>
      <c r="B406" t="inlineStr">
        <is>
          <t>Clean &amp; Jerk</t>
        </is>
      </c>
      <c r="C406">
        <f>IF(AND('Month 02'!L146&lt;&gt;"",N('Month 02'!I146)&gt;0),'Month 02'!I146,"")</f>
        <v/>
      </c>
      <c r="D406">
        <f>IF(C406="","",IF(N('Month 02'!J146)&gt;0,'Month 02'!J146,1))</f>
        <v/>
      </c>
      <c r="E406">
        <f>IF(OR(C406="",D406=""),"",IF(D406=1,C406,ROUND(C406*(1+D406/30),1)))</f>
        <v/>
      </c>
    </row>
    <row r="407">
      <c r="A407">
        <f>'Month 02'!B132</f>
        <v/>
      </c>
      <c r="B407" t="inlineStr">
        <is>
          <t>Clean &amp; Jerk</t>
        </is>
      </c>
      <c r="C407">
        <f>IF(AND('Month 02'!L147&lt;&gt;"",N('Month 02'!I147)&gt;0),'Month 02'!I147,"")</f>
        <v/>
      </c>
      <c r="D407">
        <f>IF(C407="","",IF(N('Month 02'!J147)&gt;0,'Month 02'!J147,1))</f>
        <v/>
      </c>
      <c r="E407">
        <f>IF(OR(C407="",D407=""),"",IF(D407=1,C407,ROUND(C407*(1+D407/30),1)))</f>
        <v/>
      </c>
    </row>
    <row r="408">
      <c r="A408">
        <f>'Month 02'!B132</f>
        <v/>
      </c>
      <c r="B408" t="inlineStr">
        <is>
          <t>Squat</t>
        </is>
      </c>
      <c r="C408">
        <f>IF(AND('Month 02'!L149&lt;&gt;"",N('Month 02'!I149)&gt;0),'Month 02'!I149,"")</f>
        <v/>
      </c>
      <c r="D408">
        <f>IF(C408="","",IF(N('Month 02'!J149)&gt;0,'Month 02'!J149,1))</f>
        <v/>
      </c>
      <c r="E408">
        <f>IF(OR(C408="",D408=""),"",IF(D408=1,C408,ROUND(C408*(1+D408/30),1)))</f>
        <v/>
      </c>
    </row>
    <row r="409">
      <c r="A409">
        <f>'Month 02'!B132</f>
        <v/>
      </c>
      <c r="B409" t="inlineStr">
        <is>
          <t>Squat</t>
        </is>
      </c>
      <c r="C409">
        <f>IF(AND('Month 02'!L150&lt;&gt;"",N('Month 02'!I150)&gt;0),'Month 02'!I150,"")</f>
        <v/>
      </c>
      <c r="D409">
        <f>IF(C409="","",IF(N('Month 02'!J150)&gt;0,'Month 02'!J150,1))</f>
        <v/>
      </c>
      <c r="E409">
        <f>IF(OR(C409="",D409=""),"",IF(D409=1,C409,ROUND(C409*(1+D409/30),1)))</f>
        <v/>
      </c>
    </row>
    <row r="410">
      <c r="A410">
        <f>'Month 02'!B132</f>
        <v/>
      </c>
      <c r="B410" t="inlineStr">
        <is>
          <t>Squat</t>
        </is>
      </c>
      <c r="C410">
        <f>IF(AND('Month 02'!L151&lt;&gt;"",N('Month 02'!I151)&gt;0),'Month 02'!I151,"")</f>
        <v/>
      </c>
      <c r="D410">
        <f>IF(C410="","",IF(N('Month 02'!J151)&gt;0,'Month 02'!J151,1))</f>
        <v/>
      </c>
      <c r="E410">
        <f>IF(OR(C410="",D410=""),"",IF(D410=1,C410,ROUND(C410*(1+D410/30),1)))</f>
        <v/>
      </c>
    </row>
    <row r="411">
      <c r="A411">
        <f>'Month 02'!B132</f>
        <v/>
      </c>
      <c r="B411" t="inlineStr">
        <is>
          <t>Overhead Press</t>
        </is>
      </c>
      <c r="C411">
        <f>IF(AND('Month 02'!L153&lt;&gt;"",N('Month 02'!I153)&gt;0),'Month 02'!I153,"")</f>
        <v/>
      </c>
      <c r="D411">
        <f>IF(C411="","",IF(N('Month 02'!J153)&gt;0,'Month 02'!J153,1))</f>
        <v/>
      </c>
      <c r="E411">
        <f>IF(OR(C411="",D411=""),"",IF(D411=1,C411,ROUND(C411*(1+D411/30),1)))</f>
        <v/>
      </c>
    </row>
    <row r="412">
      <c r="A412">
        <f>'Month 02'!B132</f>
        <v/>
      </c>
      <c r="B412" t="inlineStr">
        <is>
          <t>Overhead Press</t>
        </is>
      </c>
      <c r="C412">
        <f>IF(AND('Month 02'!L154&lt;&gt;"",N('Month 02'!I154)&gt;0),'Month 02'!I154,"")</f>
        <v/>
      </c>
      <c r="D412">
        <f>IF(C412="","",IF(N('Month 02'!J154)&gt;0,'Month 02'!J154,1))</f>
        <v/>
      </c>
      <c r="E412">
        <f>IF(OR(C412="",D412=""),"",IF(D412=1,C412,ROUND(C412*(1+D412/30),1)))</f>
        <v/>
      </c>
    </row>
    <row r="413">
      <c r="A413">
        <f>'Month 02'!B132</f>
        <v/>
      </c>
      <c r="B413" t="inlineStr">
        <is>
          <t>Overhead Press</t>
        </is>
      </c>
      <c r="C413">
        <f>IF(AND('Month 02'!L155&lt;&gt;"",N('Month 02'!I155)&gt;0),'Month 02'!I155,"")</f>
        <v/>
      </c>
      <c r="D413">
        <f>IF(C413="","",IF(N('Month 02'!J155)&gt;0,'Month 02'!J155,1))</f>
        <v/>
      </c>
      <c r="E413">
        <f>IF(OR(C413="",D413=""),"",IF(D413=1,C413,ROUND(C413*(1+D413/30),1)))</f>
        <v/>
      </c>
    </row>
    <row r="414">
      <c r="A414">
        <f>'Month 02'!B132</f>
        <v/>
      </c>
      <c r="B414" t="inlineStr">
        <is>
          <t>Deadlift</t>
        </is>
      </c>
      <c r="C414">
        <f>IF(AND('Month 02'!L157&lt;&gt;"",N('Month 02'!I157)&gt;0),'Month 02'!I157,"")</f>
        <v/>
      </c>
      <c r="D414">
        <f>IF(C414="","",IF(N('Month 02'!J157)&gt;0,'Month 02'!J157,1))</f>
        <v/>
      </c>
      <c r="E414">
        <f>IF(OR(C414="",D414=""),"",IF(D414=1,C414,ROUND(C414*(1+D414/30),1)))</f>
        <v/>
      </c>
    </row>
    <row r="415">
      <c r="A415">
        <f>'Month 02'!B132</f>
        <v/>
      </c>
      <c r="B415" t="inlineStr">
        <is>
          <t>Deadlift</t>
        </is>
      </c>
      <c r="C415">
        <f>IF(AND('Month 02'!L158&lt;&gt;"",N('Month 02'!I158)&gt;0),'Month 02'!I158,"")</f>
        <v/>
      </c>
      <c r="D415">
        <f>IF(C415="","",IF(N('Month 02'!J158)&gt;0,'Month 02'!J158,1))</f>
        <v/>
      </c>
      <c r="E415">
        <f>IF(OR(C415="",D415=""),"",IF(D415=1,C415,ROUND(C415*(1+D415/30),1)))</f>
        <v/>
      </c>
    </row>
    <row r="416">
      <c r="A416">
        <f>'Month 02'!B132</f>
        <v/>
      </c>
      <c r="B416" t="inlineStr">
        <is>
          <t>Deadlift</t>
        </is>
      </c>
      <c r="C416">
        <f>IF(AND('Month 02'!L159&lt;&gt;"",N('Month 02'!I159)&gt;0),'Month 02'!I159,"")</f>
        <v/>
      </c>
      <c r="D416">
        <f>IF(C416="","",IF(N('Month 02'!J159)&gt;0,'Month 02'!J159,1))</f>
        <v/>
      </c>
      <c r="E416">
        <f>IF(OR(C416="",D416=""),"",IF(D416=1,C416,ROUND(C416*(1+D416/30),1)))</f>
        <v/>
      </c>
    </row>
    <row r="417">
      <c r="A417">
        <f>'Month 02'!B132</f>
        <v/>
      </c>
      <c r="B417" t="inlineStr">
        <is>
          <t>Chin-up</t>
        </is>
      </c>
      <c r="C417">
        <f>IF(AND('Month 02'!L161&lt;&gt;"",N('Month 02'!I161)&gt;0),'Month 02'!I161,"")</f>
        <v/>
      </c>
      <c r="D417">
        <f>IF(C417="","",IF(N('Month 02'!J161)&gt;0,'Month 02'!J161,1))</f>
        <v/>
      </c>
      <c r="E417">
        <f>IF(OR(C417="",D417=""),"",IF(D417=1,C417,ROUND(C417*(1+D417/30),1)))</f>
        <v/>
      </c>
    </row>
    <row r="418">
      <c r="A418">
        <f>'Month 02'!B132</f>
        <v/>
      </c>
      <c r="B418" t="inlineStr">
        <is>
          <t>Chin-up</t>
        </is>
      </c>
      <c r="C418">
        <f>IF(AND('Month 02'!L162&lt;&gt;"",N('Month 02'!I162)&gt;0),'Month 02'!I162,"")</f>
        <v/>
      </c>
      <c r="D418">
        <f>IF(C418="","",IF(N('Month 02'!J162)&gt;0,'Month 02'!J162,1))</f>
        <v/>
      </c>
      <c r="E418">
        <f>IF(OR(C418="",D418=""),"",IF(D418=1,C418,ROUND(C418*(1+D418/30),1)))</f>
        <v/>
      </c>
    </row>
    <row r="419">
      <c r="A419">
        <f>'Month 02'!B132</f>
        <v/>
      </c>
      <c r="B419" t="inlineStr">
        <is>
          <t>Chin-up</t>
        </is>
      </c>
      <c r="C419">
        <f>IF(AND('Month 02'!L163&lt;&gt;"",N('Month 02'!I163)&gt;0),'Month 02'!I163,"")</f>
        <v/>
      </c>
      <c r="D419">
        <f>IF(C419="","",IF(N('Month 02'!J163)&gt;0,'Month 02'!J163,1))</f>
        <v/>
      </c>
      <c r="E419">
        <f>IF(OR(C419="",D419=""),"",IF(D419=1,C419,ROUND(C419*(1+D419/30),1)))</f>
        <v/>
      </c>
    </row>
    <row r="420">
      <c r="A420">
        <f>'Month 02'!B132</f>
        <v/>
      </c>
      <c r="B420" t="inlineStr">
        <is>
          <t>Plank</t>
        </is>
      </c>
      <c r="C420">
        <f>IF(AND('Month 02'!L165&lt;&gt;"",N('Month 02'!I165)&gt;0),'Month 02'!I165,"")</f>
        <v/>
      </c>
      <c r="D420">
        <f>IF(C420="","",IF(N('Month 02'!J165)&gt;0,'Month 02'!J165,1))</f>
        <v/>
      </c>
      <c r="E420">
        <f>IF(OR(C420="",D420=""),"",IF(D420=1,C420,ROUND(C420*(1+D420/30),1)))</f>
        <v/>
      </c>
    </row>
    <row r="421">
      <c r="A421">
        <f>'Month 02'!B132</f>
        <v/>
      </c>
      <c r="B421" t="inlineStr">
        <is>
          <t>Plank</t>
        </is>
      </c>
      <c r="C421">
        <f>IF(AND('Month 02'!L166&lt;&gt;"",N('Month 02'!I166)&gt;0),'Month 02'!I166,"")</f>
        <v/>
      </c>
      <c r="D421">
        <f>IF(C421="","",IF(N('Month 02'!J166)&gt;0,'Month 02'!J166,1))</f>
        <v/>
      </c>
      <c r="E421">
        <f>IF(OR(C421="",D421=""),"",IF(D421=1,C421,ROUND(C421*(1+D421/30),1)))</f>
        <v/>
      </c>
    </row>
    <row r="422">
      <c r="A422">
        <f>'Month 02'!B132</f>
        <v/>
      </c>
      <c r="B422" t="inlineStr">
        <is>
          <t>Plank</t>
        </is>
      </c>
      <c r="C422">
        <f>IF(AND('Month 02'!L167&lt;&gt;"",N('Month 02'!I167)&gt;0),'Month 02'!I167,"")</f>
        <v/>
      </c>
      <c r="D422">
        <f>IF(C422="","",IF(N('Month 02'!J167)&gt;0,'Month 02'!J167,1))</f>
        <v/>
      </c>
      <c r="E422">
        <f>IF(OR(C422="",D422=""),"",IF(D422=1,C422,ROUND(C422*(1+D422/30),1)))</f>
        <v/>
      </c>
    </row>
    <row r="423">
      <c r="A423">
        <f>'Month 02'!B168</f>
        <v/>
      </c>
      <c r="B423" t="inlineStr">
        <is>
          <t>Hurdle Hop</t>
        </is>
      </c>
      <c r="C423">
        <f>IF(AND('Month 02'!L170&lt;&gt;"",N('Month 02'!I170)&gt;0),'Month 02'!I170,"")</f>
        <v/>
      </c>
      <c r="D423">
        <f>IF(C423="","",IF(N('Month 02'!J170)&gt;0,'Month 02'!J170,1))</f>
        <v/>
      </c>
      <c r="E423">
        <f>IF(OR(C423="",D423=""),"",IF(D423=1,C423,ROUND(C423*(1+D423/30),1)))</f>
        <v/>
      </c>
    </row>
    <row r="424">
      <c r="A424">
        <f>'Month 02'!B168</f>
        <v/>
      </c>
      <c r="B424" t="inlineStr">
        <is>
          <t>Hurdle Hop</t>
        </is>
      </c>
      <c r="C424">
        <f>IF(AND('Month 02'!L171&lt;&gt;"",N('Month 02'!I171)&gt;0),'Month 02'!I171,"")</f>
        <v/>
      </c>
      <c r="D424">
        <f>IF(C424="","",IF(N('Month 02'!J171)&gt;0,'Month 02'!J171,1))</f>
        <v/>
      </c>
      <c r="E424">
        <f>IF(OR(C424="",D424=""),"",IF(D424=1,C424,ROUND(C424*(1+D424/30),1)))</f>
        <v/>
      </c>
    </row>
    <row r="425">
      <c r="A425">
        <f>'Month 02'!B168</f>
        <v/>
      </c>
      <c r="B425" t="inlineStr">
        <is>
          <t>Hurdle Hop</t>
        </is>
      </c>
      <c r="C425">
        <f>IF(AND('Month 02'!L172&lt;&gt;"",N('Month 02'!I172)&gt;0),'Month 02'!I172,"")</f>
        <v/>
      </c>
      <c r="D425">
        <f>IF(C425="","",IF(N('Month 02'!J172)&gt;0,'Month 02'!J172,1))</f>
        <v/>
      </c>
      <c r="E425">
        <f>IF(OR(C425="",D425=""),"",IF(D425=1,C425,ROUND(C425*(1+D425/30),1)))</f>
        <v/>
      </c>
    </row>
    <row r="426">
      <c r="A426">
        <f>'Month 02'!B168</f>
        <v/>
      </c>
      <c r="B426" t="inlineStr">
        <is>
          <t>Hurdle Hop</t>
        </is>
      </c>
      <c r="C426">
        <f>IF(AND('Month 02'!L173&lt;&gt;"",N('Month 02'!I173)&gt;0),'Month 02'!I173,"")</f>
        <v/>
      </c>
      <c r="D426">
        <f>IF(C426="","",IF(N('Month 02'!J173)&gt;0,'Month 02'!J173,1))</f>
        <v/>
      </c>
      <c r="E426">
        <f>IF(OR(C426="",D426=""),"",IF(D426=1,C426,ROUND(C426*(1+D426/30),1)))</f>
        <v/>
      </c>
    </row>
    <row r="427">
      <c r="A427">
        <f>'Month 02'!B168</f>
        <v/>
      </c>
      <c r="B427" t="inlineStr">
        <is>
          <t>Power Clean</t>
        </is>
      </c>
      <c r="C427">
        <f>IF(AND('Month 02'!L175&lt;&gt;"",N('Month 02'!I175)&gt;0),'Month 02'!I175,"")</f>
        <v/>
      </c>
      <c r="D427">
        <f>IF(C427="","",IF(N('Month 02'!J175)&gt;0,'Month 02'!J175,1))</f>
        <v/>
      </c>
      <c r="E427">
        <f>IF(OR(C427="",D427=""),"",IF(D427=1,C427,ROUND(C427*(1+D427/30),1)))</f>
        <v/>
      </c>
    </row>
    <row r="428">
      <c r="A428">
        <f>'Month 02'!B168</f>
        <v/>
      </c>
      <c r="B428" t="inlineStr">
        <is>
          <t>Power Clean</t>
        </is>
      </c>
      <c r="C428">
        <f>IF(AND('Month 02'!L176&lt;&gt;"",N('Month 02'!I176)&gt;0),'Month 02'!I176,"")</f>
        <v/>
      </c>
      <c r="D428">
        <f>IF(C428="","",IF(N('Month 02'!J176)&gt;0,'Month 02'!J176,1))</f>
        <v/>
      </c>
      <c r="E428">
        <f>IF(OR(C428="",D428=""),"",IF(D428=1,C428,ROUND(C428*(1+D428/30),1)))</f>
        <v/>
      </c>
    </row>
    <row r="429">
      <c r="A429">
        <f>'Month 02'!B168</f>
        <v/>
      </c>
      <c r="B429" t="inlineStr">
        <is>
          <t>Power Clean</t>
        </is>
      </c>
      <c r="C429">
        <f>IF(AND('Month 02'!L177&lt;&gt;"",N('Month 02'!I177)&gt;0),'Month 02'!I177,"")</f>
        <v/>
      </c>
      <c r="D429">
        <f>IF(C429="","",IF(N('Month 02'!J177)&gt;0,'Month 02'!J177,1))</f>
        <v/>
      </c>
      <c r="E429">
        <f>IF(OR(C429="",D429=""),"",IF(D429=1,C429,ROUND(C429*(1+D429/30),1)))</f>
        <v/>
      </c>
    </row>
    <row r="430">
      <c r="A430">
        <f>'Month 02'!B168</f>
        <v/>
      </c>
      <c r="B430" t="inlineStr">
        <is>
          <t>Power Clean</t>
        </is>
      </c>
      <c r="C430">
        <f>IF(AND('Month 02'!L178&lt;&gt;"",N('Month 02'!I178)&gt;0),'Month 02'!I178,"")</f>
        <v/>
      </c>
      <c r="D430">
        <f>IF(C430="","",IF(N('Month 02'!J178)&gt;0,'Month 02'!J178,1))</f>
        <v/>
      </c>
      <c r="E430">
        <f>IF(OR(C430="",D430=""),"",IF(D430=1,C430,ROUND(C430*(1+D430/30),1)))</f>
        <v/>
      </c>
    </row>
    <row r="431">
      <c r="A431">
        <f>'Month 02'!B168</f>
        <v/>
      </c>
      <c r="B431" t="inlineStr">
        <is>
          <t>Pause Squat</t>
        </is>
      </c>
      <c r="C431">
        <f>IF(AND('Month 02'!L180&lt;&gt;"",N('Month 02'!I180)&gt;0),'Month 02'!I180,"")</f>
        <v/>
      </c>
      <c r="D431">
        <f>IF(C431="","",IF(N('Month 02'!J180)&gt;0,'Month 02'!J180,1))</f>
        <v/>
      </c>
      <c r="E431">
        <f>IF(OR(C431="",D431=""),"",IF(D431=1,C431,ROUND(C431*(1+D431/30),1)))</f>
        <v/>
      </c>
    </row>
    <row r="432">
      <c r="A432">
        <f>'Month 02'!B168</f>
        <v/>
      </c>
      <c r="B432" t="inlineStr">
        <is>
          <t>Pause Squat</t>
        </is>
      </c>
      <c r="C432">
        <f>IF(AND('Month 02'!L181&lt;&gt;"",N('Month 02'!I181)&gt;0),'Month 02'!I181,"")</f>
        <v/>
      </c>
      <c r="D432">
        <f>IF(C432="","",IF(N('Month 02'!J181)&gt;0,'Month 02'!J181,1))</f>
        <v/>
      </c>
      <c r="E432">
        <f>IF(OR(C432="",D432=""),"",IF(D432=1,C432,ROUND(C432*(1+D432/30),1)))</f>
        <v/>
      </c>
    </row>
    <row r="433">
      <c r="A433">
        <f>'Month 02'!B168</f>
        <v/>
      </c>
      <c r="B433" t="inlineStr">
        <is>
          <t>Pause Squat</t>
        </is>
      </c>
      <c r="C433">
        <f>IF(AND('Month 02'!L182&lt;&gt;"",N('Month 02'!I182)&gt;0),'Month 02'!I182,"")</f>
        <v/>
      </c>
      <c r="D433">
        <f>IF(C433="","",IF(N('Month 02'!J182)&gt;0,'Month 02'!J182,1))</f>
        <v/>
      </c>
      <c r="E433">
        <f>IF(OR(C433="",D433=""),"",IF(D433=1,C433,ROUND(C433*(1+D433/30),1)))</f>
        <v/>
      </c>
    </row>
    <row r="434">
      <c r="A434">
        <f>'Month 02'!B168</f>
        <v/>
      </c>
      <c r="B434" t="inlineStr">
        <is>
          <t>2-Board Press</t>
        </is>
      </c>
      <c r="C434">
        <f>IF(AND('Month 02'!L184&lt;&gt;"",N('Month 02'!I184)&gt;0),'Month 02'!I184,"")</f>
        <v/>
      </c>
      <c r="D434">
        <f>IF(C434="","",IF(N('Month 02'!J184)&gt;0,'Month 02'!J184,1))</f>
        <v/>
      </c>
      <c r="E434">
        <f>IF(OR(C434="",D434=""),"",IF(D434=1,C434,ROUND(C434*(1+D434/30),1)))</f>
        <v/>
      </c>
    </row>
    <row r="435">
      <c r="A435">
        <f>'Month 02'!B168</f>
        <v/>
      </c>
      <c r="B435" t="inlineStr">
        <is>
          <t>2-Board Press</t>
        </is>
      </c>
      <c r="C435">
        <f>IF(AND('Month 02'!L185&lt;&gt;"",N('Month 02'!I185)&gt;0),'Month 02'!I185,"")</f>
        <v/>
      </c>
      <c r="D435">
        <f>IF(C435="","",IF(N('Month 02'!J185)&gt;0,'Month 02'!J185,1))</f>
        <v/>
      </c>
      <c r="E435">
        <f>IF(OR(C435="",D435=""),"",IF(D435=1,C435,ROUND(C435*(1+D435/30),1)))</f>
        <v/>
      </c>
    </row>
    <row r="436">
      <c r="A436">
        <f>'Month 02'!B168</f>
        <v/>
      </c>
      <c r="B436" t="inlineStr">
        <is>
          <t>2-Board Press</t>
        </is>
      </c>
      <c r="C436">
        <f>IF(AND('Month 02'!L186&lt;&gt;"",N('Month 02'!I186)&gt;0),'Month 02'!I186,"")</f>
        <v/>
      </c>
      <c r="D436">
        <f>IF(C436="","",IF(N('Month 02'!J186)&gt;0,'Month 02'!J186,1))</f>
        <v/>
      </c>
      <c r="E436">
        <f>IF(OR(C436="",D436=""),"",IF(D436=1,C436,ROUND(C436*(1+D436/30),1)))</f>
        <v/>
      </c>
    </row>
    <row r="437">
      <c r="A437">
        <f>'Month 02'!B168</f>
        <v/>
      </c>
      <c r="B437" t="inlineStr">
        <is>
          <t>Deficit Deadlift</t>
        </is>
      </c>
      <c r="C437">
        <f>IF(AND('Month 02'!L188&lt;&gt;"",N('Month 02'!I188)&gt;0),'Month 02'!I188,"")</f>
        <v/>
      </c>
      <c r="D437">
        <f>IF(C437="","",IF(N('Month 02'!J188)&gt;0,'Month 02'!J188,1))</f>
        <v/>
      </c>
      <c r="E437">
        <f>IF(OR(C437="",D437=""),"",IF(D437=1,C437,ROUND(C437*(1+D437/30),1)))</f>
        <v/>
      </c>
    </row>
    <row r="438">
      <c r="A438">
        <f>'Month 02'!B168</f>
        <v/>
      </c>
      <c r="B438" t="inlineStr">
        <is>
          <t>Deficit Deadlift</t>
        </is>
      </c>
      <c r="C438">
        <f>IF(AND('Month 02'!L189&lt;&gt;"",N('Month 02'!I189)&gt;0),'Month 02'!I189,"")</f>
        <v/>
      </c>
      <c r="D438">
        <f>IF(C438="","",IF(N('Month 02'!J189)&gt;0,'Month 02'!J189,1))</f>
        <v/>
      </c>
      <c r="E438">
        <f>IF(OR(C438="",D438=""),"",IF(D438=1,C438,ROUND(C438*(1+D438/30),1)))</f>
        <v/>
      </c>
    </row>
    <row r="439">
      <c r="A439">
        <f>'Month 02'!B168</f>
        <v/>
      </c>
      <c r="B439" t="inlineStr">
        <is>
          <t>Deficit Deadlift</t>
        </is>
      </c>
      <c r="C439">
        <f>IF(AND('Month 02'!L190&lt;&gt;"",N('Month 02'!I190)&gt;0),'Month 02'!I190,"")</f>
        <v/>
      </c>
      <c r="D439">
        <f>IF(C439="","",IF(N('Month 02'!J190)&gt;0,'Month 02'!J190,1))</f>
        <v/>
      </c>
      <c r="E439">
        <f>IF(OR(C439="",D439=""),"",IF(D439=1,C439,ROUND(C439*(1+D439/30),1)))</f>
        <v/>
      </c>
    </row>
    <row r="440">
      <c r="A440">
        <f>'Month 02'!B168</f>
        <v/>
      </c>
      <c r="B440" t="inlineStr">
        <is>
          <t>Incline Dumbbell Press</t>
        </is>
      </c>
      <c r="C440">
        <f>IF(AND('Month 02'!L192&lt;&gt;"",N('Month 02'!I192)&gt;0),'Month 02'!I192,"")</f>
        <v/>
      </c>
      <c r="D440">
        <f>IF(C440="","",IF(N('Month 02'!J192)&gt;0,'Month 02'!J192,1))</f>
        <v/>
      </c>
      <c r="E440">
        <f>IF(OR(C440="",D440=""),"",IF(D440=1,C440,ROUND(C440*(1+D440/30),1)))</f>
        <v/>
      </c>
    </row>
    <row r="441">
      <c r="A441">
        <f>'Month 02'!B168</f>
        <v/>
      </c>
      <c r="B441" t="inlineStr">
        <is>
          <t>Incline Dumbbell Press</t>
        </is>
      </c>
      <c r="C441">
        <f>IF(AND('Month 02'!L193&lt;&gt;"",N('Month 02'!I193)&gt;0),'Month 02'!I193,"")</f>
        <v/>
      </c>
      <c r="D441">
        <f>IF(C441="","",IF(N('Month 02'!J193)&gt;0,'Month 02'!J193,1))</f>
        <v/>
      </c>
      <c r="E441">
        <f>IF(OR(C441="",D441=""),"",IF(D441=1,C441,ROUND(C441*(1+D441/30),1)))</f>
        <v/>
      </c>
    </row>
    <row r="442">
      <c r="A442">
        <f>'Month 02'!B168</f>
        <v/>
      </c>
      <c r="B442" t="inlineStr">
        <is>
          <t>Incline Dumbbell Press</t>
        </is>
      </c>
      <c r="C442">
        <f>IF(AND('Month 02'!L194&lt;&gt;"",N('Month 02'!I194)&gt;0),'Month 02'!I194,"")</f>
        <v/>
      </c>
      <c r="D442">
        <f>IF(C442="","",IF(N('Month 02'!J194)&gt;0,'Month 02'!J194,1))</f>
        <v/>
      </c>
      <c r="E442">
        <f>IF(OR(C442="",D442=""),"",IF(D442=1,C442,ROUND(C442*(1+D442/30),1)))</f>
        <v/>
      </c>
    </row>
    <row r="443">
      <c r="A443">
        <f>'Month 02'!B168</f>
        <v/>
      </c>
      <c r="B443" t="inlineStr">
        <is>
          <t>Triceps Pushdown</t>
        </is>
      </c>
      <c r="C443">
        <f>IF(AND('Month 02'!L196&lt;&gt;"",N('Month 02'!I196)&gt;0),'Month 02'!I196,"")</f>
        <v/>
      </c>
      <c r="D443">
        <f>IF(C443="","",IF(N('Month 02'!J196)&gt;0,'Month 02'!J196,1))</f>
        <v/>
      </c>
      <c r="E443">
        <f>IF(OR(C443="",D443=""),"",IF(D443=1,C443,ROUND(C443*(1+D443/30),1)))</f>
        <v/>
      </c>
    </row>
    <row r="444">
      <c r="A444">
        <f>'Month 02'!B168</f>
        <v/>
      </c>
      <c r="B444" t="inlineStr">
        <is>
          <t>Triceps Pushdown</t>
        </is>
      </c>
      <c r="C444">
        <f>IF(AND('Month 02'!L197&lt;&gt;"",N('Month 02'!I197)&gt;0),'Month 02'!I197,"")</f>
        <v/>
      </c>
      <c r="D444">
        <f>IF(C444="","",IF(N('Month 02'!J197)&gt;0,'Month 02'!J197,1))</f>
        <v/>
      </c>
      <c r="E444">
        <f>IF(OR(C444="",D444=""),"",IF(D444=1,C444,ROUND(C444*(1+D444/30),1)))</f>
        <v/>
      </c>
    </row>
    <row r="445">
      <c r="A445">
        <f>'Month 02'!B168</f>
        <v/>
      </c>
      <c r="B445" t="inlineStr">
        <is>
          <t>Triceps Pushdown</t>
        </is>
      </c>
      <c r="C445">
        <f>IF(AND('Month 02'!L198&lt;&gt;"",N('Month 02'!I198)&gt;0),'Month 02'!I198,"")</f>
        <v/>
      </c>
      <c r="D445">
        <f>IF(C445="","",IF(N('Month 02'!J198)&gt;0,'Month 02'!J198,1))</f>
        <v/>
      </c>
      <c r="E445">
        <f>IF(OR(C445="",D445=""),"",IF(D445=1,C445,ROUND(C445*(1+D445/30),1)))</f>
        <v/>
      </c>
    </row>
    <row r="446">
      <c r="A446">
        <f>'Month 02'!B201</f>
        <v/>
      </c>
      <c r="B446" t="inlineStr">
        <is>
          <t>Box Jump</t>
        </is>
      </c>
      <c r="C446">
        <f>IF(AND('Month 02'!L203&lt;&gt;"",N('Month 02'!I203)&gt;0),'Month 02'!I203,"")</f>
        <v/>
      </c>
      <c r="D446">
        <f>IF(C446="","",IF(N('Month 02'!J203)&gt;0,'Month 02'!J203,1))</f>
        <v/>
      </c>
      <c r="E446">
        <f>IF(OR(C446="",D446=""),"",IF(D446=1,C446,ROUND(C446*(1+D446/30),1)))</f>
        <v/>
      </c>
    </row>
    <row r="447">
      <c r="A447">
        <f>'Month 02'!B201</f>
        <v/>
      </c>
      <c r="B447" t="inlineStr">
        <is>
          <t>Box Jump</t>
        </is>
      </c>
      <c r="C447">
        <f>IF(AND('Month 02'!L204&lt;&gt;"",N('Month 02'!I204)&gt;0),'Month 02'!I204,"")</f>
        <v/>
      </c>
      <c r="D447">
        <f>IF(C447="","",IF(N('Month 02'!J204)&gt;0,'Month 02'!J204,1))</f>
        <v/>
      </c>
      <c r="E447">
        <f>IF(OR(C447="",D447=""),"",IF(D447=1,C447,ROUND(C447*(1+D447/30),1)))</f>
        <v/>
      </c>
    </row>
    <row r="448">
      <c r="A448">
        <f>'Month 02'!B201</f>
        <v/>
      </c>
      <c r="B448" t="inlineStr">
        <is>
          <t>Box Jump</t>
        </is>
      </c>
      <c r="C448">
        <f>IF(AND('Month 02'!L205&lt;&gt;"",N('Month 02'!I205)&gt;0),'Month 02'!I205,"")</f>
        <v/>
      </c>
      <c r="D448">
        <f>IF(C448="","",IF(N('Month 02'!J205)&gt;0,'Month 02'!J205,1))</f>
        <v/>
      </c>
      <c r="E448">
        <f>IF(OR(C448="",D448=""),"",IF(D448=1,C448,ROUND(C448*(1+D448/30),1)))</f>
        <v/>
      </c>
    </row>
    <row r="449">
      <c r="A449">
        <f>'Month 02'!B201</f>
        <v/>
      </c>
      <c r="B449" t="inlineStr">
        <is>
          <t>Box Jump</t>
        </is>
      </c>
      <c r="C449">
        <f>IF(AND('Month 02'!L206&lt;&gt;"",N('Month 02'!I206)&gt;0),'Month 02'!I206,"")</f>
        <v/>
      </c>
      <c r="D449">
        <f>IF(C449="","",IF(N('Month 02'!J206)&gt;0,'Month 02'!J206,1))</f>
        <v/>
      </c>
      <c r="E449">
        <f>IF(OR(C449="",D449=""),"",IF(D449=1,C449,ROUND(C449*(1+D449/30),1)))</f>
        <v/>
      </c>
    </row>
    <row r="450">
      <c r="A450">
        <f>'Month 02'!B201</f>
        <v/>
      </c>
      <c r="B450" t="inlineStr">
        <is>
          <t>Snatch</t>
        </is>
      </c>
      <c r="C450">
        <f>IF(AND('Month 02'!L208&lt;&gt;"",N('Month 02'!I208)&gt;0),'Month 02'!I208,"")</f>
        <v/>
      </c>
      <c r="D450">
        <f>IF(C450="","",IF(N('Month 02'!J208)&gt;0,'Month 02'!J208,1))</f>
        <v/>
      </c>
      <c r="E450">
        <f>IF(OR(C450="",D450=""),"",IF(D450=1,C450,ROUND(C450*(1+D450/30),1)))</f>
        <v/>
      </c>
    </row>
    <row r="451">
      <c r="A451">
        <f>'Month 02'!B201</f>
        <v/>
      </c>
      <c r="B451" t="inlineStr">
        <is>
          <t>Snatch</t>
        </is>
      </c>
      <c r="C451">
        <f>IF(AND('Month 02'!L209&lt;&gt;"",N('Month 02'!I209)&gt;0),'Month 02'!I209,"")</f>
        <v/>
      </c>
      <c r="D451">
        <f>IF(C451="","",IF(N('Month 02'!J209)&gt;0,'Month 02'!J209,1))</f>
        <v/>
      </c>
      <c r="E451">
        <f>IF(OR(C451="",D451=""),"",IF(D451=1,C451,ROUND(C451*(1+D451/30),1)))</f>
        <v/>
      </c>
    </row>
    <row r="452">
      <c r="A452">
        <f>'Month 02'!B201</f>
        <v/>
      </c>
      <c r="B452" t="inlineStr">
        <is>
          <t>Snatch</t>
        </is>
      </c>
      <c r="C452">
        <f>IF(AND('Month 02'!L210&lt;&gt;"",N('Month 02'!I210)&gt;0),'Month 02'!I210,"")</f>
        <v/>
      </c>
      <c r="D452">
        <f>IF(C452="","",IF(N('Month 02'!J210)&gt;0,'Month 02'!J210,1))</f>
        <v/>
      </c>
      <c r="E452">
        <f>IF(OR(C452="",D452=""),"",IF(D452=1,C452,ROUND(C452*(1+D452/30),1)))</f>
        <v/>
      </c>
    </row>
    <row r="453">
      <c r="A453">
        <f>'Month 02'!B201</f>
        <v/>
      </c>
      <c r="B453" t="inlineStr">
        <is>
          <t>Snatch</t>
        </is>
      </c>
      <c r="C453">
        <f>IF(AND('Month 02'!L211&lt;&gt;"",N('Month 02'!I211)&gt;0),'Month 02'!I211,"")</f>
        <v/>
      </c>
      <c r="D453">
        <f>IF(C453="","",IF(N('Month 02'!J211)&gt;0,'Month 02'!J211,1))</f>
        <v/>
      </c>
      <c r="E453">
        <f>IF(OR(C453="",D453=""),"",IF(D453=1,C453,ROUND(C453*(1+D453/30),1)))</f>
        <v/>
      </c>
    </row>
    <row r="454">
      <c r="A454">
        <f>'Month 02'!B201</f>
        <v/>
      </c>
      <c r="B454" t="inlineStr">
        <is>
          <t>Snatch</t>
        </is>
      </c>
      <c r="C454">
        <f>IF(AND('Month 02'!L212&lt;&gt;"",N('Month 02'!I212)&gt;0),'Month 02'!I212,"")</f>
        <v/>
      </c>
      <c r="D454">
        <f>IF(C454="","",IF(N('Month 02'!J212)&gt;0,'Month 02'!J212,1))</f>
        <v/>
      </c>
      <c r="E454">
        <f>IF(OR(C454="",D454=""),"",IF(D454=1,C454,ROUND(C454*(1+D454/30),1)))</f>
        <v/>
      </c>
    </row>
    <row r="455">
      <c r="A455">
        <f>'Month 02'!B201</f>
        <v/>
      </c>
      <c r="B455" t="inlineStr">
        <is>
          <t>Squat</t>
        </is>
      </c>
      <c r="C455">
        <f>IF(AND('Month 02'!L214&lt;&gt;"",N('Month 02'!I214)&gt;0),'Month 02'!I214,"")</f>
        <v/>
      </c>
      <c r="D455">
        <f>IF(C455="","",IF(N('Month 02'!J214)&gt;0,'Month 02'!J214,1))</f>
        <v/>
      </c>
      <c r="E455">
        <f>IF(OR(C455="",D455=""),"",IF(D455=1,C455,ROUND(C455*(1+D455/30),1)))</f>
        <v/>
      </c>
    </row>
    <row r="456">
      <c r="A456">
        <f>'Month 02'!B201</f>
        <v/>
      </c>
      <c r="B456" t="inlineStr">
        <is>
          <t>Squat</t>
        </is>
      </c>
      <c r="C456">
        <f>IF(AND('Month 02'!L215&lt;&gt;"",N('Month 02'!I215)&gt;0),'Month 02'!I215,"")</f>
        <v/>
      </c>
      <c r="D456">
        <f>IF(C456="","",IF(N('Month 02'!J215)&gt;0,'Month 02'!J215,1))</f>
        <v/>
      </c>
      <c r="E456">
        <f>IF(OR(C456="",D456=""),"",IF(D456=1,C456,ROUND(C456*(1+D456/30),1)))</f>
        <v/>
      </c>
    </row>
    <row r="457">
      <c r="A457">
        <f>'Month 02'!B201</f>
        <v/>
      </c>
      <c r="B457" t="inlineStr">
        <is>
          <t>Squat</t>
        </is>
      </c>
      <c r="C457">
        <f>IF(AND('Month 02'!L216&lt;&gt;"",N('Month 02'!I216)&gt;0),'Month 02'!I216,"")</f>
        <v/>
      </c>
      <c r="D457">
        <f>IF(C457="","",IF(N('Month 02'!J216)&gt;0,'Month 02'!J216,1))</f>
        <v/>
      </c>
      <c r="E457">
        <f>IF(OR(C457="",D457=""),"",IF(D457=1,C457,ROUND(C457*(1+D457/30),1)))</f>
        <v/>
      </c>
    </row>
    <row r="458">
      <c r="A458">
        <f>'Month 02'!B201</f>
        <v/>
      </c>
      <c r="B458" t="inlineStr">
        <is>
          <t>Squat</t>
        </is>
      </c>
      <c r="C458">
        <f>IF(AND('Month 02'!L217&lt;&gt;"",N('Month 02'!I217)&gt;0),'Month 02'!I217,"")</f>
        <v/>
      </c>
      <c r="D458">
        <f>IF(C458="","",IF(N('Month 02'!J217)&gt;0,'Month 02'!J217,1))</f>
        <v/>
      </c>
      <c r="E458">
        <f>IF(OR(C458="",D458=""),"",IF(D458=1,C458,ROUND(C458*(1+D458/30),1)))</f>
        <v/>
      </c>
    </row>
    <row r="459">
      <c r="A459">
        <f>'Month 02'!B201</f>
        <v/>
      </c>
      <c r="B459" t="inlineStr">
        <is>
          <t>Bench Press</t>
        </is>
      </c>
      <c r="C459">
        <f>IF(AND('Month 02'!L219&lt;&gt;"",N('Month 02'!I219)&gt;0),'Month 02'!I219,"")</f>
        <v/>
      </c>
      <c r="D459">
        <f>IF(C459="","",IF(N('Month 02'!J219)&gt;0,'Month 02'!J219,1))</f>
        <v/>
      </c>
      <c r="E459">
        <f>IF(OR(C459="",D459=""),"",IF(D459=1,C459,ROUND(C459*(1+D459/30),1)))</f>
        <v/>
      </c>
    </row>
    <row r="460">
      <c r="A460">
        <f>'Month 02'!B201</f>
        <v/>
      </c>
      <c r="B460" t="inlineStr">
        <is>
          <t>Bench Press</t>
        </is>
      </c>
      <c r="C460">
        <f>IF(AND('Month 02'!L220&lt;&gt;"",N('Month 02'!I220)&gt;0),'Month 02'!I220,"")</f>
        <v/>
      </c>
      <c r="D460">
        <f>IF(C460="","",IF(N('Month 02'!J220)&gt;0,'Month 02'!J220,1))</f>
        <v/>
      </c>
      <c r="E460">
        <f>IF(OR(C460="",D460=""),"",IF(D460=1,C460,ROUND(C460*(1+D460/30),1)))</f>
        <v/>
      </c>
    </row>
    <row r="461">
      <c r="A461">
        <f>'Month 02'!B201</f>
        <v/>
      </c>
      <c r="B461" t="inlineStr">
        <is>
          <t>Bench Press</t>
        </is>
      </c>
      <c r="C461">
        <f>IF(AND('Month 02'!L221&lt;&gt;"",N('Month 02'!I221)&gt;0),'Month 02'!I221,"")</f>
        <v/>
      </c>
      <c r="D461">
        <f>IF(C461="","",IF(N('Month 02'!J221)&gt;0,'Month 02'!J221,1))</f>
        <v/>
      </c>
      <c r="E461">
        <f>IF(OR(C461="",D461=""),"",IF(D461=1,C461,ROUND(C461*(1+D461/30),1)))</f>
        <v/>
      </c>
    </row>
    <row r="462">
      <c r="A462">
        <f>'Month 02'!B201</f>
        <v/>
      </c>
      <c r="B462" t="inlineStr">
        <is>
          <t>Bench Press</t>
        </is>
      </c>
      <c r="C462">
        <f>IF(AND('Month 02'!L222&lt;&gt;"",N('Month 02'!I222)&gt;0),'Month 02'!I222,"")</f>
        <v/>
      </c>
      <c r="D462">
        <f>IF(C462="","",IF(N('Month 02'!J222)&gt;0,'Month 02'!J222,1))</f>
        <v/>
      </c>
      <c r="E462">
        <f>IF(OR(C462="",D462=""),"",IF(D462=1,C462,ROUND(C462*(1+D462/30),1)))</f>
        <v/>
      </c>
    </row>
    <row r="463">
      <c r="A463">
        <f>'Month 02'!B201</f>
        <v/>
      </c>
      <c r="B463" t="inlineStr">
        <is>
          <t>Barbell Row</t>
        </is>
      </c>
      <c r="C463">
        <f>IF(AND('Month 02'!L224&lt;&gt;"",N('Month 02'!I224)&gt;0),'Month 02'!I224,"")</f>
        <v/>
      </c>
      <c r="D463">
        <f>IF(C463="","",IF(N('Month 02'!J224)&gt;0,'Month 02'!J224,1))</f>
        <v/>
      </c>
      <c r="E463">
        <f>IF(OR(C463="",D463=""),"",IF(D463=1,C463,ROUND(C463*(1+D463/30),1)))</f>
        <v/>
      </c>
    </row>
    <row r="464">
      <c r="A464">
        <f>'Month 02'!B201</f>
        <v/>
      </c>
      <c r="B464" t="inlineStr">
        <is>
          <t>Barbell Row</t>
        </is>
      </c>
      <c r="C464">
        <f>IF(AND('Month 02'!L225&lt;&gt;"",N('Month 02'!I225)&gt;0),'Month 02'!I225,"")</f>
        <v/>
      </c>
      <c r="D464">
        <f>IF(C464="","",IF(N('Month 02'!J225)&gt;0,'Month 02'!J225,1))</f>
        <v/>
      </c>
      <c r="E464">
        <f>IF(OR(C464="",D464=""),"",IF(D464=1,C464,ROUND(C464*(1+D464/30),1)))</f>
        <v/>
      </c>
    </row>
    <row r="465">
      <c r="A465">
        <f>'Month 02'!B201</f>
        <v/>
      </c>
      <c r="B465" t="inlineStr">
        <is>
          <t>Barbell Row</t>
        </is>
      </c>
      <c r="C465">
        <f>IF(AND('Month 02'!L226&lt;&gt;"",N('Month 02'!I226)&gt;0),'Month 02'!I226,"")</f>
        <v/>
      </c>
      <c r="D465">
        <f>IF(C465="","",IF(N('Month 02'!J226)&gt;0,'Month 02'!J226,1))</f>
        <v/>
      </c>
      <c r="E465">
        <f>IF(OR(C465="",D465=""),"",IF(D465=1,C465,ROUND(C465*(1+D465/30),1)))</f>
        <v/>
      </c>
    </row>
    <row r="466">
      <c r="A466">
        <f>'Month 02'!B201</f>
        <v/>
      </c>
      <c r="B466" t="inlineStr">
        <is>
          <t>Face Pull</t>
        </is>
      </c>
      <c r="C466">
        <f>IF(AND('Month 02'!L228&lt;&gt;"",N('Month 02'!I228)&gt;0),'Month 02'!I228,"")</f>
        <v/>
      </c>
      <c r="D466">
        <f>IF(C466="","",IF(N('Month 02'!J228)&gt;0,'Month 02'!J228,1))</f>
        <v/>
      </c>
      <c r="E466">
        <f>IF(OR(C466="",D466=""),"",IF(D466=1,C466,ROUND(C466*(1+D466/30),1)))</f>
        <v/>
      </c>
    </row>
    <row r="467">
      <c r="A467">
        <f>'Month 02'!B201</f>
        <v/>
      </c>
      <c r="B467" t="inlineStr">
        <is>
          <t>Face Pull</t>
        </is>
      </c>
      <c r="C467">
        <f>IF(AND('Month 02'!L229&lt;&gt;"",N('Month 02'!I229)&gt;0),'Month 02'!I229,"")</f>
        <v/>
      </c>
      <c r="D467">
        <f>IF(C467="","",IF(N('Month 02'!J229)&gt;0,'Month 02'!J229,1))</f>
        <v/>
      </c>
      <c r="E467">
        <f>IF(OR(C467="",D467=""),"",IF(D467=1,C467,ROUND(C467*(1+D467/30),1)))</f>
        <v/>
      </c>
    </row>
    <row r="468">
      <c r="A468">
        <f>'Month 02'!B201</f>
        <v/>
      </c>
      <c r="B468" t="inlineStr">
        <is>
          <t>Face Pull</t>
        </is>
      </c>
      <c r="C468">
        <f>IF(AND('Month 02'!L230&lt;&gt;"",N('Month 02'!I230)&gt;0),'Month 02'!I230,"")</f>
        <v/>
      </c>
      <c r="D468">
        <f>IF(C468="","",IF(N('Month 02'!J230)&gt;0,'Month 02'!J230,1))</f>
        <v/>
      </c>
      <c r="E468">
        <f>IF(OR(C468="",D468=""),"",IF(D468=1,C468,ROUND(C468*(1+D468/30),1)))</f>
        <v/>
      </c>
    </row>
    <row r="469">
      <c r="A469">
        <f>'Month 02'!B231</f>
        <v/>
      </c>
      <c r="B469" t="inlineStr">
        <is>
          <t>Broad Jump</t>
        </is>
      </c>
      <c r="C469">
        <f>IF(AND('Month 02'!L233&lt;&gt;"",N('Month 02'!I233)&gt;0),'Month 02'!I233,"")</f>
        <v/>
      </c>
      <c r="D469">
        <f>IF(C469="","",IF(N('Month 02'!J233)&gt;0,'Month 02'!J233,1))</f>
        <v/>
      </c>
      <c r="E469">
        <f>IF(OR(C469="",D469=""),"",IF(D469=1,C469,ROUND(C469*(1+D469/30),1)))</f>
        <v/>
      </c>
    </row>
    <row r="470">
      <c r="A470">
        <f>'Month 02'!B231</f>
        <v/>
      </c>
      <c r="B470" t="inlineStr">
        <is>
          <t>Broad Jump</t>
        </is>
      </c>
      <c r="C470">
        <f>IF(AND('Month 02'!L234&lt;&gt;"",N('Month 02'!I234)&gt;0),'Month 02'!I234,"")</f>
        <v/>
      </c>
      <c r="D470">
        <f>IF(C470="","",IF(N('Month 02'!J234)&gt;0,'Month 02'!J234,1))</f>
        <v/>
      </c>
      <c r="E470">
        <f>IF(OR(C470="",D470=""),"",IF(D470=1,C470,ROUND(C470*(1+D470/30),1)))</f>
        <v/>
      </c>
    </row>
    <row r="471">
      <c r="A471">
        <f>'Month 02'!B231</f>
        <v/>
      </c>
      <c r="B471" t="inlineStr">
        <is>
          <t>Broad Jump</t>
        </is>
      </c>
      <c r="C471">
        <f>IF(AND('Month 02'!L235&lt;&gt;"",N('Month 02'!I235)&gt;0),'Month 02'!I235,"")</f>
        <v/>
      </c>
      <c r="D471">
        <f>IF(C471="","",IF(N('Month 02'!J235)&gt;0,'Month 02'!J235,1))</f>
        <v/>
      </c>
      <c r="E471">
        <f>IF(OR(C471="",D471=""),"",IF(D471=1,C471,ROUND(C471*(1+D471/30),1)))</f>
        <v/>
      </c>
    </row>
    <row r="472">
      <c r="A472">
        <f>'Month 02'!B231</f>
        <v/>
      </c>
      <c r="B472" t="inlineStr">
        <is>
          <t>Broad Jump</t>
        </is>
      </c>
      <c r="C472">
        <f>IF(AND('Month 02'!L236&lt;&gt;"",N('Month 02'!I236)&gt;0),'Month 02'!I236,"")</f>
        <v/>
      </c>
      <c r="D472">
        <f>IF(C472="","",IF(N('Month 02'!J236)&gt;0,'Month 02'!J236,1))</f>
        <v/>
      </c>
      <c r="E472">
        <f>IF(OR(C472="",D472=""),"",IF(D472=1,C472,ROUND(C472*(1+D472/30),1)))</f>
        <v/>
      </c>
    </row>
    <row r="473">
      <c r="A473">
        <f>'Month 02'!B231</f>
        <v/>
      </c>
      <c r="B473" t="inlineStr">
        <is>
          <t>Med Ball Chest Pass</t>
        </is>
      </c>
      <c r="C473">
        <f>IF(AND('Month 02'!L238&lt;&gt;"",N('Month 02'!I238)&gt;0),'Month 02'!I238,"")</f>
        <v/>
      </c>
      <c r="D473">
        <f>IF(C473="","",IF(N('Month 02'!J238)&gt;0,'Month 02'!J238,1))</f>
        <v/>
      </c>
      <c r="E473">
        <f>IF(OR(C473="",D473=""),"",IF(D473=1,C473,ROUND(C473*(1+D473/30),1)))</f>
        <v/>
      </c>
    </row>
    <row r="474">
      <c r="A474">
        <f>'Month 02'!B231</f>
        <v/>
      </c>
      <c r="B474" t="inlineStr">
        <is>
          <t>Med Ball Chest Pass</t>
        </is>
      </c>
      <c r="C474">
        <f>IF(AND('Month 02'!L239&lt;&gt;"",N('Month 02'!I239)&gt;0),'Month 02'!I239,"")</f>
        <v/>
      </c>
      <c r="D474">
        <f>IF(C474="","",IF(N('Month 02'!J239)&gt;0,'Month 02'!J239,1))</f>
        <v/>
      </c>
      <c r="E474">
        <f>IF(OR(C474="",D474=""),"",IF(D474=1,C474,ROUND(C474*(1+D474/30),1)))</f>
        <v/>
      </c>
    </row>
    <row r="475">
      <c r="A475">
        <f>'Month 02'!B231</f>
        <v/>
      </c>
      <c r="B475" t="inlineStr">
        <is>
          <t>Med Ball Chest Pass</t>
        </is>
      </c>
      <c r="C475">
        <f>IF(AND('Month 02'!L240&lt;&gt;"",N('Month 02'!I240)&gt;0),'Month 02'!I240,"")</f>
        <v/>
      </c>
      <c r="D475">
        <f>IF(C475="","",IF(N('Month 02'!J240)&gt;0,'Month 02'!J240,1))</f>
        <v/>
      </c>
      <c r="E475">
        <f>IF(OR(C475="",D475=""),"",IF(D475=1,C475,ROUND(C475*(1+D475/30),1)))</f>
        <v/>
      </c>
    </row>
    <row r="476">
      <c r="A476">
        <f>'Month 02'!B231</f>
        <v/>
      </c>
      <c r="B476" t="inlineStr">
        <is>
          <t>Clean &amp; Jerk</t>
        </is>
      </c>
      <c r="C476">
        <f>IF(AND('Month 02'!L242&lt;&gt;"",N('Month 02'!I242)&gt;0),'Month 02'!I242,"")</f>
        <v/>
      </c>
      <c r="D476">
        <f>IF(C476="","",IF(N('Month 02'!J242)&gt;0,'Month 02'!J242,1))</f>
        <v/>
      </c>
      <c r="E476">
        <f>IF(OR(C476="",D476=""),"",IF(D476=1,C476,ROUND(C476*(1+D476/30),1)))</f>
        <v/>
      </c>
    </row>
    <row r="477">
      <c r="A477">
        <f>'Month 02'!B231</f>
        <v/>
      </c>
      <c r="B477" t="inlineStr">
        <is>
          <t>Clean &amp; Jerk</t>
        </is>
      </c>
      <c r="C477">
        <f>IF(AND('Month 02'!L243&lt;&gt;"",N('Month 02'!I243)&gt;0),'Month 02'!I243,"")</f>
        <v/>
      </c>
      <c r="D477">
        <f>IF(C477="","",IF(N('Month 02'!J243)&gt;0,'Month 02'!J243,1))</f>
        <v/>
      </c>
      <c r="E477">
        <f>IF(OR(C477="",D477=""),"",IF(D477=1,C477,ROUND(C477*(1+D477/30),1)))</f>
        <v/>
      </c>
    </row>
    <row r="478">
      <c r="A478">
        <f>'Month 02'!B231</f>
        <v/>
      </c>
      <c r="B478" t="inlineStr">
        <is>
          <t>Clean &amp; Jerk</t>
        </is>
      </c>
      <c r="C478">
        <f>IF(AND('Month 02'!L244&lt;&gt;"",N('Month 02'!I244)&gt;0),'Month 02'!I244,"")</f>
        <v/>
      </c>
      <c r="D478">
        <f>IF(C478="","",IF(N('Month 02'!J244)&gt;0,'Month 02'!J244,1))</f>
        <v/>
      </c>
      <c r="E478">
        <f>IF(OR(C478="",D478=""),"",IF(D478=1,C478,ROUND(C478*(1+D478/30),1)))</f>
        <v/>
      </c>
    </row>
    <row r="479">
      <c r="A479">
        <f>'Month 02'!B231</f>
        <v/>
      </c>
      <c r="B479" t="inlineStr">
        <is>
          <t>Clean &amp; Jerk</t>
        </is>
      </c>
      <c r="C479">
        <f>IF(AND('Month 02'!L245&lt;&gt;"",N('Month 02'!I245)&gt;0),'Month 02'!I245,"")</f>
        <v/>
      </c>
      <c r="D479">
        <f>IF(C479="","",IF(N('Month 02'!J245)&gt;0,'Month 02'!J245,1))</f>
        <v/>
      </c>
      <c r="E479">
        <f>IF(OR(C479="",D479=""),"",IF(D479=1,C479,ROUND(C479*(1+D479/30),1)))</f>
        <v/>
      </c>
    </row>
    <row r="480">
      <c r="A480">
        <f>'Month 02'!B231</f>
        <v/>
      </c>
      <c r="B480" t="inlineStr">
        <is>
          <t>Clean &amp; Jerk</t>
        </is>
      </c>
      <c r="C480">
        <f>IF(AND('Month 02'!L246&lt;&gt;"",N('Month 02'!I246)&gt;0),'Month 02'!I246,"")</f>
        <v/>
      </c>
      <c r="D480">
        <f>IF(C480="","",IF(N('Month 02'!J246)&gt;0,'Month 02'!J246,1))</f>
        <v/>
      </c>
      <c r="E480">
        <f>IF(OR(C480="",D480=""),"",IF(D480=1,C480,ROUND(C480*(1+D480/30),1)))</f>
        <v/>
      </c>
    </row>
    <row r="481">
      <c r="A481">
        <f>'Month 02'!B231</f>
        <v/>
      </c>
      <c r="B481" t="inlineStr">
        <is>
          <t>Squat</t>
        </is>
      </c>
      <c r="C481">
        <f>IF(AND('Month 02'!L248&lt;&gt;"",N('Month 02'!I248)&gt;0),'Month 02'!I248,"")</f>
        <v/>
      </c>
      <c r="D481">
        <f>IF(C481="","",IF(N('Month 02'!J248)&gt;0,'Month 02'!J248,1))</f>
        <v/>
      </c>
      <c r="E481">
        <f>IF(OR(C481="",D481=""),"",IF(D481=1,C481,ROUND(C481*(1+D481/30),1)))</f>
        <v/>
      </c>
    </row>
    <row r="482">
      <c r="A482">
        <f>'Month 02'!B231</f>
        <v/>
      </c>
      <c r="B482" t="inlineStr">
        <is>
          <t>Squat</t>
        </is>
      </c>
      <c r="C482">
        <f>IF(AND('Month 02'!L249&lt;&gt;"",N('Month 02'!I249)&gt;0),'Month 02'!I249,"")</f>
        <v/>
      </c>
      <c r="D482">
        <f>IF(C482="","",IF(N('Month 02'!J249)&gt;0,'Month 02'!J249,1))</f>
        <v/>
      </c>
      <c r="E482">
        <f>IF(OR(C482="",D482=""),"",IF(D482=1,C482,ROUND(C482*(1+D482/30),1)))</f>
        <v/>
      </c>
    </row>
    <row r="483">
      <c r="A483">
        <f>'Month 02'!B231</f>
        <v/>
      </c>
      <c r="B483" t="inlineStr">
        <is>
          <t>Squat</t>
        </is>
      </c>
      <c r="C483">
        <f>IF(AND('Month 02'!L250&lt;&gt;"",N('Month 02'!I250)&gt;0),'Month 02'!I250,"")</f>
        <v/>
      </c>
      <c r="D483">
        <f>IF(C483="","",IF(N('Month 02'!J250)&gt;0,'Month 02'!J250,1))</f>
        <v/>
      </c>
      <c r="E483">
        <f>IF(OR(C483="",D483=""),"",IF(D483=1,C483,ROUND(C483*(1+D483/30),1)))</f>
        <v/>
      </c>
    </row>
    <row r="484">
      <c r="A484">
        <f>'Month 02'!B231</f>
        <v/>
      </c>
      <c r="B484" t="inlineStr">
        <is>
          <t>Overhead Press</t>
        </is>
      </c>
      <c r="C484">
        <f>IF(AND('Month 02'!L252&lt;&gt;"",N('Month 02'!I252)&gt;0),'Month 02'!I252,"")</f>
        <v/>
      </c>
      <c r="D484">
        <f>IF(C484="","",IF(N('Month 02'!J252)&gt;0,'Month 02'!J252,1))</f>
        <v/>
      </c>
      <c r="E484">
        <f>IF(OR(C484="",D484=""),"",IF(D484=1,C484,ROUND(C484*(1+D484/30),1)))</f>
        <v/>
      </c>
    </row>
    <row r="485">
      <c r="A485">
        <f>'Month 02'!B231</f>
        <v/>
      </c>
      <c r="B485" t="inlineStr">
        <is>
          <t>Overhead Press</t>
        </is>
      </c>
      <c r="C485">
        <f>IF(AND('Month 02'!L253&lt;&gt;"",N('Month 02'!I253)&gt;0),'Month 02'!I253,"")</f>
        <v/>
      </c>
      <c r="D485">
        <f>IF(C485="","",IF(N('Month 02'!J253)&gt;0,'Month 02'!J253,1))</f>
        <v/>
      </c>
      <c r="E485">
        <f>IF(OR(C485="",D485=""),"",IF(D485=1,C485,ROUND(C485*(1+D485/30),1)))</f>
        <v/>
      </c>
    </row>
    <row r="486">
      <c r="A486">
        <f>'Month 02'!B231</f>
        <v/>
      </c>
      <c r="B486" t="inlineStr">
        <is>
          <t>Overhead Press</t>
        </is>
      </c>
      <c r="C486">
        <f>IF(AND('Month 02'!L254&lt;&gt;"",N('Month 02'!I254)&gt;0),'Month 02'!I254,"")</f>
        <v/>
      </c>
      <c r="D486">
        <f>IF(C486="","",IF(N('Month 02'!J254)&gt;0,'Month 02'!J254,1))</f>
        <v/>
      </c>
      <c r="E486">
        <f>IF(OR(C486="",D486=""),"",IF(D486=1,C486,ROUND(C486*(1+D486/30),1)))</f>
        <v/>
      </c>
    </row>
    <row r="487">
      <c r="A487">
        <f>'Month 02'!B231</f>
        <v/>
      </c>
      <c r="B487" t="inlineStr">
        <is>
          <t>Deadlift</t>
        </is>
      </c>
      <c r="C487">
        <f>IF(AND('Month 02'!L256&lt;&gt;"",N('Month 02'!I256)&gt;0),'Month 02'!I256,"")</f>
        <v/>
      </c>
      <c r="D487">
        <f>IF(C487="","",IF(N('Month 02'!J256)&gt;0,'Month 02'!J256,1))</f>
        <v/>
      </c>
      <c r="E487">
        <f>IF(OR(C487="",D487=""),"",IF(D487=1,C487,ROUND(C487*(1+D487/30),1)))</f>
        <v/>
      </c>
    </row>
    <row r="488">
      <c r="A488">
        <f>'Month 02'!B231</f>
        <v/>
      </c>
      <c r="B488" t="inlineStr">
        <is>
          <t>Deadlift</t>
        </is>
      </c>
      <c r="C488">
        <f>IF(AND('Month 02'!L257&lt;&gt;"",N('Month 02'!I257)&gt;0),'Month 02'!I257,"")</f>
        <v/>
      </c>
      <c r="D488">
        <f>IF(C488="","",IF(N('Month 02'!J257)&gt;0,'Month 02'!J257,1))</f>
        <v/>
      </c>
      <c r="E488">
        <f>IF(OR(C488="",D488=""),"",IF(D488=1,C488,ROUND(C488*(1+D488/30),1)))</f>
        <v/>
      </c>
    </row>
    <row r="489">
      <c r="A489">
        <f>'Month 02'!B231</f>
        <v/>
      </c>
      <c r="B489" t="inlineStr">
        <is>
          <t>Deadlift</t>
        </is>
      </c>
      <c r="C489">
        <f>IF(AND('Month 02'!L258&lt;&gt;"",N('Month 02'!I258)&gt;0),'Month 02'!I258,"")</f>
        <v/>
      </c>
      <c r="D489">
        <f>IF(C489="","",IF(N('Month 02'!J258)&gt;0,'Month 02'!J258,1))</f>
        <v/>
      </c>
      <c r="E489">
        <f>IF(OR(C489="",D489=""),"",IF(D489=1,C489,ROUND(C489*(1+D489/30),1)))</f>
        <v/>
      </c>
    </row>
    <row r="490">
      <c r="A490">
        <f>'Month 02'!B231</f>
        <v/>
      </c>
      <c r="B490" t="inlineStr">
        <is>
          <t>Chin-up</t>
        </is>
      </c>
      <c r="C490">
        <f>IF(AND('Month 02'!L260&lt;&gt;"",N('Month 02'!I260)&gt;0),'Month 02'!I260,"")</f>
        <v/>
      </c>
      <c r="D490">
        <f>IF(C490="","",IF(N('Month 02'!J260)&gt;0,'Month 02'!J260,1))</f>
        <v/>
      </c>
      <c r="E490">
        <f>IF(OR(C490="",D490=""),"",IF(D490=1,C490,ROUND(C490*(1+D490/30),1)))</f>
        <v/>
      </c>
    </row>
    <row r="491">
      <c r="A491">
        <f>'Month 02'!B231</f>
        <v/>
      </c>
      <c r="B491" t="inlineStr">
        <is>
          <t>Chin-up</t>
        </is>
      </c>
      <c r="C491">
        <f>IF(AND('Month 02'!L261&lt;&gt;"",N('Month 02'!I261)&gt;0),'Month 02'!I261,"")</f>
        <v/>
      </c>
      <c r="D491">
        <f>IF(C491="","",IF(N('Month 02'!J261)&gt;0,'Month 02'!J261,1))</f>
        <v/>
      </c>
      <c r="E491">
        <f>IF(OR(C491="",D491=""),"",IF(D491=1,C491,ROUND(C491*(1+D491/30),1)))</f>
        <v/>
      </c>
    </row>
    <row r="492">
      <c r="A492">
        <f>'Month 02'!B231</f>
        <v/>
      </c>
      <c r="B492" t="inlineStr">
        <is>
          <t>Chin-up</t>
        </is>
      </c>
      <c r="C492">
        <f>IF(AND('Month 02'!L262&lt;&gt;"",N('Month 02'!I262)&gt;0),'Month 02'!I262,"")</f>
        <v/>
      </c>
      <c r="D492">
        <f>IF(C492="","",IF(N('Month 02'!J262)&gt;0,'Month 02'!J262,1))</f>
        <v/>
      </c>
      <c r="E492">
        <f>IF(OR(C492="",D492=""),"",IF(D492=1,C492,ROUND(C492*(1+D492/30),1)))</f>
        <v/>
      </c>
    </row>
    <row r="493">
      <c r="A493">
        <f>'Month 02'!B231</f>
        <v/>
      </c>
      <c r="B493" t="inlineStr">
        <is>
          <t>Plank</t>
        </is>
      </c>
      <c r="C493">
        <f>IF(AND('Month 02'!L264&lt;&gt;"",N('Month 02'!I264)&gt;0),'Month 02'!I264,"")</f>
        <v/>
      </c>
      <c r="D493">
        <f>IF(C493="","",IF(N('Month 02'!J264)&gt;0,'Month 02'!J264,1))</f>
        <v/>
      </c>
      <c r="E493">
        <f>IF(OR(C493="",D493=""),"",IF(D493=1,C493,ROUND(C493*(1+D493/30),1)))</f>
        <v/>
      </c>
    </row>
    <row r="494">
      <c r="A494">
        <f>'Month 02'!B231</f>
        <v/>
      </c>
      <c r="B494" t="inlineStr">
        <is>
          <t>Plank</t>
        </is>
      </c>
      <c r="C494">
        <f>IF(AND('Month 02'!L265&lt;&gt;"",N('Month 02'!I265)&gt;0),'Month 02'!I265,"")</f>
        <v/>
      </c>
      <c r="D494">
        <f>IF(C494="","",IF(N('Month 02'!J265)&gt;0,'Month 02'!J265,1))</f>
        <v/>
      </c>
      <c r="E494">
        <f>IF(OR(C494="",D494=""),"",IF(D494=1,C494,ROUND(C494*(1+D494/30),1)))</f>
        <v/>
      </c>
    </row>
    <row r="495">
      <c r="A495">
        <f>'Month 02'!B231</f>
        <v/>
      </c>
      <c r="B495" t="inlineStr">
        <is>
          <t>Plank</t>
        </is>
      </c>
      <c r="C495">
        <f>IF(AND('Month 02'!L266&lt;&gt;"",N('Month 02'!I266)&gt;0),'Month 02'!I266,"")</f>
        <v/>
      </c>
      <c r="D495">
        <f>IF(C495="","",IF(N('Month 02'!J266)&gt;0,'Month 02'!J266,1))</f>
        <v/>
      </c>
      <c r="E495">
        <f>IF(OR(C495="",D495=""),"",IF(D495=1,C495,ROUND(C495*(1+D495/30),1)))</f>
        <v/>
      </c>
    </row>
    <row r="496">
      <c r="A496">
        <f>'Month 02'!B267</f>
        <v/>
      </c>
      <c r="B496" t="inlineStr">
        <is>
          <t>Hurdle Hop</t>
        </is>
      </c>
      <c r="C496">
        <f>IF(AND('Month 02'!L269&lt;&gt;"",N('Month 02'!I269)&gt;0),'Month 02'!I269,"")</f>
        <v/>
      </c>
      <c r="D496">
        <f>IF(C496="","",IF(N('Month 02'!J269)&gt;0,'Month 02'!J269,1))</f>
        <v/>
      </c>
      <c r="E496">
        <f>IF(OR(C496="",D496=""),"",IF(D496=1,C496,ROUND(C496*(1+D496/30),1)))</f>
        <v/>
      </c>
    </row>
    <row r="497">
      <c r="A497">
        <f>'Month 02'!B267</f>
        <v/>
      </c>
      <c r="B497" t="inlineStr">
        <is>
          <t>Hurdle Hop</t>
        </is>
      </c>
      <c r="C497">
        <f>IF(AND('Month 02'!L270&lt;&gt;"",N('Month 02'!I270)&gt;0),'Month 02'!I270,"")</f>
        <v/>
      </c>
      <c r="D497">
        <f>IF(C497="","",IF(N('Month 02'!J270)&gt;0,'Month 02'!J270,1))</f>
        <v/>
      </c>
      <c r="E497">
        <f>IF(OR(C497="",D497=""),"",IF(D497=1,C497,ROUND(C497*(1+D497/30),1)))</f>
        <v/>
      </c>
    </row>
    <row r="498">
      <c r="A498">
        <f>'Month 02'!B267</f>
        <v/>
      </c>
      <c r="B498" t="inlineStr">
        <is>
          <t>Hurdle Hop</t>
        </is>
      </c>
      <c r="C498">
        <f>IF(AND('Month 02'!L271&lt;&gt;"",N('Month 02'!I271)&gt;0),'Month 02'!I271,"")</f>
        <v/>
      </c>
      <c r="D498">
        <f>IF(C498="","",IF(N('Month 02'!J271)&gt;0,'Month 02'!J271,1))</f>
        <v/>
      </c>
      <c r="E498">
        <f>IF(OR(C498="",D498=""),"",IF(D498=1,C498,ROUND(C498*(1+D498/30),1)))</f>
        <v/>
      </c>
    </row>
    <row r="499">
      <c r="A499">
        <f>'Month 02'!B267</f>
        <v/>
      </c>
      <c r="B499" t="inlineStr">
        <is>
          <t>Hurdle Hop</t>
        </is>
      </c>
      <c r="C499">
        <f>IF(AND('Month 02'!L272&lt;&gt;"",N('Month 02'!I272)&gt;0),'Month 02'!I272,"")</f>
        <v/>
      </c>
      <c r="D499">
        <f>IF(C499="","",IF(N('Month 02'!J272)&gt;0,'Month 02'!J272,1))</f>
        <v/>
      </c>
      <c r="E499">
        <f>IF(OR(C499="",D499=""),"",IF(D499=1,C499,ROUND(C499*(1+D499/30),1)))</f>
        <v/>
      </c>
    </row>
    <row r="500">
      <c r="A500">
        <f>'Month 02'!B267</f>
        <v/>
      </c>
      <c r="B500" t="inlineStr">
        <is>
          <t>Power Clean</t>
        </is>
      </c>
      <c r="C500">
        <f>IF(AND('Month 02'!L274&lt;&gt;"",N('Month 02'!I274)&gt;0),'Month 02'!I274,"")</f>
        <v/>
      </c>
      <c r="D500">
        <f>IF(C500="","",IF(N('Month 02'!J274)&gt;0,'Month 02'!J274,1))</f>
        <v/>
      </c>
      <c r="E500">
        <f>IF(OR(C500="",D500=""),"",IF(D500=1,C500,ROUND(C500*(1+D500/30),1)))</f>
        <v/>
      </c>
    </row>
    <row r="501">
      <c r="A501">
        <f>'Month 02'!B267</f>
        <v/>
      </c>
      <c r="B501" t="inlineStr">
        <is>
          <t>Power Clean</t>
        </is>
      </c>
      <c r="C501">
        <f>IF(AND('Month 02'!L275&lt;&gt;"",N('Month 02'!I275)&gt;0),'Month 02'!I275,"")</f>
        <v/>
      </c>
      <c r="D501">
        <f>IF(C501="","",IF(N('Month 02'!J275)&gt;0,'Month 02'!J275,1))</f>
        <v/>
      </c>
      <c r="E501">
        <f>IF(OR(C501="",D501=""),"",IF(D501=1,C501,ROUND(C501*(1+D501/30),1)))</f>
        <v/>
      </c>
    </row>
    <row r="502">
      <c r="A502">
        <f>'Month 02'!B267</f>
        <v/>
      </c>
      <c r="B502" t="inlineStr">
        <is>
          <t>Power Clean</t>
        </is>
      </c>
      <c r="C502">
        <f>IF(AND('Month 02'!L276&lt;&gt;"",N('Month 02'!I276)&gt;0),'Month 02'!I276,"")</f>
        <v/>
      </c>
      <c r="D502">
        <f>IF(C502="","",IF(N('Month 02'!J276)&gt;0,'Month 02'!J276,1))</f>
        <v/>
      </c>
      <c r="E502">
        <f>IF(OR(C502="",D502=""),"",IF(D502=1,C502,ROUND(C502*(1+D502/30),1)))</f>
        <v/>
      </c>
    </row>
    <row r="503">
      <c r="A503">
        <f>'Month 02'!B267</f>
        <v/>
      </c>
      <c r="B503" t="inlineStr">
        <is>
          <t>Power Clean</t>
        </is>
      </c>
      <c r="C503">
        <f>IF(AND('Month 02'!L277&lt;&gt;"",N('Month 02'!I277)&gt;0),'Month 02'!I277,"")</f>
        <v/>
      </c>
      <c r="D503">
        <f>IF(C503="","",IF(N('Month 02'!J277)&gt;0,'Month 02'!J277,1))</f>
        <v/>
      </c>
      <c r="E503">
        <f>IF(OR(C503="",D503=""),"",IF(D503=1,C503,ROUND(C503*(1+D503/30),1)))</f>
        <v/>
      </c>
    </row>
    <row r="504">
      <c r="A504">
        <f>'Month 02'!B267</f>
        <v/>
      </c>
      <c r="B504" t="inlineStr">
        <is>
          <t>Pause Squat</t>
        </is>
      </c>
      <c r="C504">
        <f>IF(AND('Month 02'!L279&lt;&gt;"",N('Month 02'!I279)&gt;0),'Month 02'!I279,"")</f>
        <v/>
      </c>
      <c r="D504">
        <f>IF(C504="","",IF(N('Month 02'!J279)&gt;0,'Month 02'!J279,1))</f>
        <v/>
      </c>
      <c r="E504">
        <f>IF(OR(C504="",D504=""),"",IF(D504=1,C504,ROUND(C504*(1+D504/30),1)))</f>
        <v/>
      </c>
    </row>
    <row r="505">
      <c r="A505">
        <f>'Month 02'!B267</f>
        <v/>
      </c>
      <c r="B505" t="inlineStr">
        <is>
          <t>Pause Squat</t>
        </is>
      </c>
      <c r="C505">
        <f>IF(AND('Month 02'!L280&lt;&gt;"",N('Month 02'!I280)&gt;0),'Month 02'!I280,"")</f>
        <v/>
      </c>
      <c r="D505">
        <f>IF(C505="","",IF(N('Month 02'!J280)&gt;0,'Month 02'!J280,1))</f>
        <v/>
      </c>
      <c r="E505">
        <f>IF(OR(C505="",D505=""),"",IF(D505=1,C505,ROUND(C505*(1+D505/30),1)))</f>
        <v/>
      </c>
    </row>
    <row r="506">
      <c r="A506">
        <f>'Month 02'!B267</f>
        <v/>
      </c>
      <c r="B506" t="inlineStr">
        <is>
          <t>Pause Squat</t>
        </is>
      </c>
      <c r="C506">
        <f>IF(AND('Month 02'!L281&lt;&gt;"",N('Month 02'!I281)&gt;0),'Month 02'!I281,"")</f>
        <v/>
      </c>
      <c r="D506">
        <f>IF(C506="","",IF(N('Month 02'!J281)&gt;0,'Month 02'!J281,1))</f>
        <v/>
      </c>
      <c r="E506">
        <f>IF(OR(C506="",D506=""),"",IF(D506=1,C506,ROUND(C506*(1+D506/30),1)))</f>
        <v/>
      </c>
    </row>
    <row r="507">
      <c r="A507">
        <f>'Month 02'!B267</f>
        <v/>
      </c>
      <c r="B507" t="inlineStr">
        <is>
          <t>2-Board Press</t>
        </is>
      </c>
      <c r="C507">
        <f>IF(AND('Month 02'!L283&lt;&gt;"",N('Month 02'!I283)&gt;0),'Month 02'!I283,"")</f>
        <v/>
      </c>
      <c r="D507">
        <f>IF(C507="","",IF(N('Month 02'!J283)&gt;0,'Month 02'!J283,1))</f>
        <v/>
      </c>
      <c r="E507">
        <f>IF(OR(C507="",D507=""),"",IF(D507=1,C507,ROUND(C507*(1+D507/30),1)))</f>
        <v/>
      </c>
    </row>
    <row r="508">
      <c r="A508">
        <f>'Month 02'!B267</f>
        <v/>
      </c>
      <c r="B508" t="inlineStr">
        <is>
          <t>2-Board Press</t>
        </is>
      </c>
      <c r="C508">
        <f>IF(AND('Month 02'!L284&lt;&gt;"",N('Month 02'!I284)&gt;0),'Month 02'!I284,"")</f>
        <v/>
      </c>
      <c r="D508">
        <f>IF(C508="","",IF(N('Month 02'!J284)&gt;0,'Month 02'!J284,1))</f>
        <v/>
      </c>
      <c r="E508">
        <f>IF(OR(C508="",D508=""),"",IF(D508=1,C508,ROUND(C508*(1+D508/30),1)))</f>
        <v/>
      </c>
    </row>
    <row r="509">
      <c r="A509">
        <f>'Month 02'!B267</f>
        <v/>
      </c>
      <c r="B509" t="inlineStr">
        <is>
          <t>2-Board Press</t>
        </is>
      </c>
      <c r="C509">
        <f>IF(AND('Month 02'!L285&lt;&gt;"",N('Month 02'!I285)&gt;0),'Month 02'!I285,"")</f>
        <v/>
      </c>
      <c r="D509">
        <f>IF(C509="","",IF(N('Month 02'!J285)&gt;0,'Month 02'!J285,1))</f>
        <v/>
      </c>
      <c r="E509">
        <f>IF(OR(C509="",D509=""),"",IF(D509=1,C509,ROUND(C509*(1+D509/30),1)))</f>
        <v/>
      </c>
    </row>
    <row r="510">
      <c r="A510">
        <f>'Month 02'!B267</f>
        <v/>
      </c>
      <c r="B510" t="inlineStr">
        <is>
          <t>Deficit Deadlift</t>
        </is>
      </c>
      <c r="C510">
        <f>IF(AND('Month 02'!L287&lt;&gt;"",N('Month 02'!I287)&gt;0),'Month 02'!I287,"")</f>
        <v/>
      </c>
      <c r="D510">
        <f>IF(C510="","",IF(N('Month 02'!J287)&gt;0,'Month 02'!J287,1))</f>
        <v/>
      </c>
      <c r="E510">
        <f>IF(OR(C510="",D510=""),"",IF(D510=1,C510,ROUND(C510*(1+D510/30),1)))</f>
        <v/>
      </c>
    </row>
    <row r="511">
      <c r="A511">
        <f>'Month 02'!B267</f>
        <v/>
      </c>
      <c r="B511" t="inlineStr">
        <is>
          <t>Deficit Deadlift</t>
        </is>
      </c>
      <c r="C511">
        <f>IF(AND('Month 02'!L288&lt;&gt;"",N('Month 02'!I288)&gt;0),'Month 02'!I288,"")</f>
        <v/>
      </c>
      <c r="D511">
        <f>IF(C511="","",IF(N('Month 02'!J288)&gt;0,'Month 02'!J288,1))</f>
        <v/>
      </c>
      <c r="E511">
        <f>IF(OR(C511="",D511=""),"",IF(D511=1,C511,ROUND(C511*(1+D511/30),1)))</f>
        <v/>
      </c>
    </row>
    <row r="512">
      <c r="A512">
        <f>'Month 02'!B267</f>
        <v/>
      </c>
      <c r="B512" t="inlineStr">
        <is>
          <t>Deficit Deadlift</t>
        </is>
      </c>
      <c r="C512">
        <f>IF(AND('Month 02'!L289&lt;&gt;"",N('Month 02'!I289)&gt;0),'Month 02'!I289,"")</f>
        <v/>
      </c>
      <c r="D512">
        <f>IF(C512="","",IF(N('Month 02'!J289)&gt;0,'Month 02'!J289,1))</f>
        <v/>
      </c>
      <c r="E512">
        <f>IF(OR(C512="",D512=""),"",IF(D512=1,C512,ROUND(C512*(1+D512/30),1)))</f>
        <v/>
      </c>
    </row>
    <row r="513">
      <c r="A513">
        <f>'Month 02'!B267</f>
        <v/>
      </c>
      <c r="B513" t="inlineStr">
        <is>
          <t>Incline Dumbbell Press</t>
        </is>
      </c>
      <c r="C513">
        <f>IF(AND('Month 02'!L291&lt;&gt;"",N('Month 02'!I291)&gt;0),'Month 02'!I291,"")</f>
        <v/>
      </c>
      <c r="D513">
        <f>IF(C513="","",IF(N('Month 02'!J291)&gt;0,'Month 02'!J291,1))</f>
        <v/>
      </c>
      <c r="E513">
        <f>IF(OR(C513="",D513=""),"",IF(D513=1,C513,ROUND(C513*(1+D513/30),1)))</f>
        <v/>
      </c>
    </row>
    <row r="514">
      <c r="A514">
        <f>'Month 02'!B267</f>
        <v/>
      </c>
      <c r="B514" t="inlineStr">
        <is>
          <t>Incline Dumbbell Press</t>
        </is>
      </c>
      <c r="C514">
        <f>IF(AND('Month 02'!L292&lt;&gt;"",N('Month 02'!I292)&gt;0),'Month 02'!I292,"")</f>
        <v/>
      </c>
      <c r="D514">
        <f>IF(C514="","",IF(N('Month 02'!J292)&gt;0,'Month 02'!J292,1))</f>
        <v/>
      </c>
      <c r="E514">
        <f>IF(OR(C514="",D514=""),"",IF(D514=1,C514,ROUND(C514*(1+D514/30),1)))</f>
        <v/>
      </c>
    </row>
    <row r="515">
      <c r="A515">
        <f>'Month 02'!B267</f>
        <v/>
      </c>
      <c r="B515" t="inlineStr">
        <is>
          <t>Incline Dumbbell Press</t>
        </is>
      </c>
      <c r="C515">
        <f>IF(AND('Month 02'!L293&lt;&gt;"",N('Month 02'!I293)&gt;0),'Month 02'!I293,"")</f>
        <v/>
      </c>
      <c r="D515">
        <f>IF(C515="","",IF(N('Month 02'!J293)&gt;0,'Month 02'!J293,1))</f>
        <v/>
      </c>
      <c r="E515">
        <f>IF(OR(C515="",D515=""),"",IF(D515=1,C515,ROUND(C515*(1+D515/30),1)))</f>
        <v/>
      </c>
    </row>
    <row r="516">
      <c r="A516">
        <f>'Month 02'!B267</f>
        <v/>
      </c>
      <c r="B516" t="inlineStr">
        <is>
          <t>Triceps Pushdown</t>
        </is>
      </c>
      <c r="C516">
        <f>IF(AND('Month 02'!L295&lt;&gt;"",N('Month 02'!I295)&gt;0),'Month 02'!I295,"")</f>
        <v/>
      </c>
      <c r="D516">
        <f>IF(C516="","",IF(N('Month 02'!J295)&gt;0,'Month 02'!J295,1))</f>
        <v/>
      </c>
      <c r="E516">
        <f>IF(OR(C516="",D516=""),"",IF(D516=1,C516,ROUND(C516*(1+D516/30),1)))</f>
        <v/>
      </c>
    </row>
    <row r="517">
      <c r="A517">
        <f>'Month 02'!B267</f>
        <v/>
      </c>
      <c r="B517" t="inlineStr">
        <is>
          <t>Triceps Pushdown</t>
        </is>
      </c>
      <c r="C517">
        <f>IF(AND('Month 02'!L296&lt;&gt;"",N('Month 02'!I296)&gt;0),'Month 02'!I296,"")</f>
        <v/>
      </c>
      <c r="D517">
        <f>IF(C517="","",IF(N('Month 02'!J296)&gt;0,'Month 02'!J296,1))</f>
        <v/>
      </c>
      <c r="E517">
        <f>IF(OR(C517="",D517=""),"",IF(D517=1,C517,ROUND(C517*(1+D517/30),1)))</f>
        <v/>
      </c>
    </row>
    <row r="518">
      <c r="A518">
        <f>'Month 02'!B267</f>
        <v/>
      </c>
      <c r="B518" t="inlineStr">
        <is>
          <t>Triceps Pushdown</t>
        </is>
      </c>
      <c r="C518">
        <f>IF(AND('Month 02'!L297&lt;&gt;"",N('Month 02'!I297)&gt;0),'Month 02'!I297,"")</f>
        <v/>
      </c>
      <c r="D518">
        <f>IF(C518="","",IF(N('Month 02'!J297)&gt;0,'Month 02'!J297,1))</f>
        <v/>
      </c>
      <c r="E518">
        <f>IF(OR(C518="",D518=""),"",IF(D518=1,C518,ROUND(C518*(1+D518/30),1)))</f>
        <v/>
      </c>
    </row>
    <row r="519">
      <c r="A519">
        <f>'Month 02'!B300</f>
        <v/>
      </c>
      <c r="B519" t="inlineStr">
        <is>
          <t>Box Jump</t>
        </is>
      </c>
      <c r="C519">
        <f>IF(AND('Month 02'!L302&lt;&gt;"",N('Month 02'!I302)&gt;0),'Month 02'!I302,"")</f>
        <v/>
      </c>
      <c r="D519">
        <f>IF(C519="","",IF(N('Month 02'!J302)&gt;0,'Month 02'!J302,1))</f>
        <v/>
      </c>
      <c r="E519">
        <f>IF(OR(C519="",D519=""),"",IF(D519=1,C519,ROUND(C519*(1+D519/30),1)))</f>
        <v/>
      </c>
    </row>
    <row r="520">
      <c r="A520">
        <f>'Month 02'!B300</f>
        <v/>
      </c>
      <c r="B520" t="inlineStr">
        <is>
          <t>Box Jump</t>
        </is>
      </c>
      <c r="C520">
        <f>IF(AND('Month 02'!L303&lt;&gt;"",N('Month 02'!I303)&gt;0),'Month 02'!I303,"")</f>
        <v/>
      </c>
      <c r="D520">
        <f>IF(C520="","",IF(N('Month 02'!J303)&gt;0,'Month 02'!J303,1))</f>
        <v/>
      </c>
      <c r="E520">
        <f>IF(OR(C520="",D520=""),"",IF(D520=1,C520,ROUND(C520*(1+D520/30),1)))</f>
        <v/>
      </c>
    </row>
    <row r="521">
      <c r="A521">
        <f>'Month 02'!B300</f>
        <v/>
      </c>
      <c r="B521" t="inlineStr">
        <is>
          <t>Snatch</t>
        </is>
      </c>
      <c r="C521">
        <f>IF(AND('Month 02'!L305&lt;&gt;"",N('Month 02'!I305)&gt;0),'Month 02'!I305,"")</f>
        <v/>
      </c>
      <c r="D521">
        <f>IF(C521="","",IF(N('Month 02'!J305)&gt;0,'Month 02'!J305,1))</f>
        <v/>
      </c>
      <c r="E521">
        <f>IF(OR(C521="",D521=""),"",IF(D521=1,C521,ROUND(C521*(1+D521/30),1)))</f>
        <v/>
      </c>
    </row>
    <row r="522">
      <c r="A522">
        <f>'Month 02'!B300</f>
        <v/>
      </c>
      <c r="B522" t="inlineStr">
        <is>
          <t>Snatch</t>
        </is>
      </c>
      <c r="C522">
        <f>IF(AND('Month 02'!L306&lt;&gt;"",N('Month 02'!I306)&gt;0),'Month 02'!I306,"")</f>
        <v/>
      </c>
      <c r="D522">
        <f>IF(C522="","",IF(N('Month 02'!J306)&gt;0,'Month 02'!J306,1))</f>
        <v/>
      </c>
      <c r="E522">
        <f>IF(OR(C522="",D522=""),"",IF(D522=1,C522,ROUND(C522*(1+D522/30),1)))</f>
        <v/>
      </c>
    </row>
    <row r="523">
      <c r="A523">
        <f>'Month 02'!B300</f>
        <v/>
      </c>
      <c r="B523" t="inlineStr">
        <is>
          <t>Squat</t>
        </is>
      </c>
      <c r="C523">
        <f>IF(AND('Month 02'!L308&lt;&gt;"",N('Month 02'!I308)&gt;0),'Month 02'!I308,"")</f>
        <v/>
      </c>
      <c r="D523">
        <f>IF(C523="","",IF(N('Month 02'!J308)&gt;0,'Month 02'!J308,1))</f>
        <v/>
      </c>
      <c r="E523">
        <f>IF(OR(C523="",D523=""),"",IF(D523=1,C523,ROUND(C523*(1+D523/30),1)))</f>
        <v/>
      </c>
    </row>
    <row r="524">
      <c r="A524">
        <f>'Month 02'!B300</f>
        <v/>
      </c>
      <c r="B524" t="inlineStr">
        <is>
          <t>Squat</t>
        </is>
      </c>
      <c r="C524">
        <f>IF(AND('Month 02'!L309&lt;&gt;"",N('Month 02'!I309)&gt;0),'Month 02'!I309,"")</f>
        <v/>
      </c>
      <c r="D524">
        <f>IF(C524="","",IF(N('Month 02'!J309)&gt;0,'Month 02'!J309,1))</f>
        <v/>
      </c>
      <c r="E524">
        <f>IF(OR(C524="",D524=""),"",IF(D524=1,C524,ROUND(C524*(1+D524/30),1)))</f>
        <v/>
      </c>
    </row>
    <row r="525">
      <c r="A525">
        <f>'Month 02'!B300</f>
        <v/>
      </c>
      <c r="B525" t="inlineStr">
        <is>
          <t>Bench Press</t>
        </is>
      </c>
      <c r="C525">
        <f>IF(AND('Month 02'!L311&lt;&gt;"",N('Month 02'!I311)&gt;0),'Month 02'!I311,"")</f>
        <v/>
      </c>
      <c r="D525">
        <f>IF(C525="","",IF(N('Month 02'!J311)&gt;0,'Month 02'!J311,1))</f>
        <v/>
      </c>
      <c r="E525">
        <f>IF(OR(C525="",D525=""),"",IF(D525=1,C525,ROUND(C525*(1+D525/30),1)))</f>
        <v/>
      </c>
    </row>
    <row r="526">
      <c r="A526">
        <f>'Month 02'!B300</f>
        <v/>
      </c>
      <c r="B526" t="inlineStr">
        <is>
          <t>Bench Press</t>
        </is>
      </c>
      <c r="C526">
        <f>IF(AND('Month 02'!L312&lt;&gt;"",N('Month 02'!I312)&gt;0),'Month 02'!I312,"")</f>
        <v/>
      </c>
      <c r="D526">
        <f>IF(C526="","",IF(N('Month 02'!J312)&gt;0,'Month 02'!J312,1))</f>
        <v/>
      </c>
      <c r="E526">
        <f>IF(OR(C526="",D526=""),"",IF(D526=1,C526,ROUND(C526*(1+D526/30),1)))</f>
        <v/>
      </c>
    </row>
    <row r="527">
      <c r="A527">
        <f>'Month 02'!B300</f>
        <v/>
      </c>
      <c r="B527" t="inlineStr">
        <is>
          <t>Barbell Row</t>
        </is>
      </c>
      <c r="C527">
        <f>IF(AND('Month 02'!L314&lt;&gt;"",N('Month 02'!I314)&gt;0),'Month 02'!I314,"")</f>
        <v/>
      </c>
      <c r="D527">
        <f>IF(C527="","",IF(N('Month 02'!J314)&gt;0,'Month 02'!J314,1))</f>
        <v/>
      </c>
      <c r="E527">
        <f>IF(OR(C527="",D527=""),"",IF(D527=1,C527,ROUND(C527*(1+D527/30),1)))</f>
        <v/>
      </c>
    </row>
    <row r="528">
      <c r="A528">
        <f>'Month 02'!B300</f>
        <v/>
      </c>
      <c r="B528" t="inlineStr">
        <is>
          <t>Barbell Row</t>
        </is>
      </c>
      <c r="C528">
        <f>IF(AND('Month 02'!L315&lt;&gt;"",N('Month 02'!I315)&gt;0),'Month 02'!I315,"")</f>
        <v/>
      </c>
      <c r="D528">
        <f>IF(C528="","",IF(N('Month 02'!J315)&gt;0,'Month 02'!J315,1))</f>
        <v/>
      </c>
      <c r="E528">
        <f>IF(OR(C528="",D528=""),"",IF(D528=1,C528,ROUND(C528*(1+D528/30),1)))</f>
        <v/>
      </c>
    </row>
    <row r="529">
      <c r="A529">
        <f>'Month 02'!B300</f>
        <v/>
      </c>
      <c r="B529" t="inlineStr">
        <is>
          <t>Face Pull</t>
        </is>
      </c>
      <c r="C529">
        <f>IF(AND('Month 02'!L317&lt;&gt;"",N('Month 02'!I317)&gt;0),'Month 02'!I317,"")</f>
        <v/>
      </c>
      <c r="D529">
        <f>IF(C529="","",IF(N('Month 02'!J317)&gt;0,'Month 02'!J317,1))</f>
        <v/>
      </c>
      <c r="E529">
        <f>IF(OR(C529="",D529=""),"",IF(D529=1,C529,ROUND(C529*(1+D529/30),1)))</f>
        <v/>
      </c>
    </row>
    <row r="530">
      <c r="A530">
        <f>'Month 02'!B300</f>
        <v/>
      </c>
      <c r="B530" t="inlineStr">
        <is>
          <t>Face Pull</t>
        </is>
      </c>
      <c r="C530">
        <f>IF(AND('Month 02'!L318&lt;&gt;"",N('Month 02'!I318)&gt;0),'Month 02'!I318,"")</f>
        <v/>
      </c>
      <c r="D530">
        <f>IF(C530="","",IF(N('Month 02'!J318)&gt;0,'Month 02'!J318,1))</f>
        <v/>
      </c>
      <c r="E530">
        <f>IF(OR(C530="",D530=""),"",IF(D530=1,C530,ROUND(C530*(1+D530/30),1)))</f>
        <v/>
      </c>
    </row>
    <row r="531">
      <c r="A531">
        <f>'Month 02'!B319</f>
        <v/>
      </c>
      <c r="B531" t="inlineStr">
        <is>
          <t>Broad Jump</t>
        </is>
      </c>
      <c r="C531">
        <f>IF(AND('Month 02'!L321&lt;&gt;"",N('Month 02'!I321)&gt;0),'Month 02'!I321,"")</f>
        <v/>
      </c>
      <c r="D531">
        <f>IF(C531="","",IF(N('Month 02'!J321)&gt;0,'Month 02'!J321,1))</f>
        <v/>
      </c>
      <c r="E531">
        <f>IF(OR(C531="",D531=""),"",IF(D531=1,C531,ROUND(C531*(1+D531/30),1)))</f>
        <v/>
      </c>
    </row>
    <row r="532">
      <c r="A532">
        <f>'Month 02'!B319</f>
        <v/>
      </c>
      <c r="B532" t="inlineStr">
        <is>
          <t>Broad Jump</t>
        </is>
      </c>
      <c r="C532">
        <f>IF(AND('Month 02'!L322&lt;&gt;"",N('Month 02'!I322)&gt;0),'Month 02'!I322,"")</f>
        <v/>
      </c>
      <c r="D532">
        <f>IF(C532="","",IF(N('Month 02'!J322)&gt;0,'Month 02'!J322,1))</f>
        <v/>
      </c>
      <c r="E532">
        <f>IF(OR(C532="",D532=""),"",IF(D532=1,C532,ROUND(C532*(1+D532/30),1)))</f>
        <v/>
      </c>
    </row>
    <row r="533">
      <c r="A533">
        <f>'Month 02'!B319</f>
        <v/>
      </c>
      <c r="B533" t="inlineStr">
        <is>
          <t>Med Ball Chest Pass</t>
        </is>
      </c>
      <c r="C533">
        <f>IF(AND('Month 02'!L324&lt;&gt;"",N('Month 02'!I324)&gt;0),'Month 02'!I324,"")</f>
        <v/>
      </c>
      <c r="D533">
        <f>IF(C533="","",IF(N('Month 02'!J324)&gt;0,'Month 02'!J324,1))</f>
        <v/>
      </c>
      <c r="E533">
        <f>IF(OR(C533="",D533=""),"",IF(D533=1,C533,ROUND(C533*(1+D533/30),1)))</f>
        <v/>
      </c>
    </row>
    <row r="534">
      <c r="A534">
        <f>'Month 02'!B319</f>
        <v/>
      </c>
      <c r="B534" t="inlineStr">
        <is>
          <t>Med Ball Chest Pass</t>
        </is>
      </c>
      <c r="C534">
        <f>IF(AND('Month 02'!L325&lt;&gt;"",N('Month 02'!I325)&gt;0),'Month 02'!I325,"")</f>
        <v/>
      </c>
      <c r="D534">
        <f>IF(C534="","",IF(N('Month 02'!J325)&gt;0,'Month 02'!J325,1))</f>
        <v/>
      </c>
      <c r="E534">
        <f>IF(OR(C534="",D534=""),"",IF(D534=1,C534,ROUND(C534*(1+D534/30),1)))</f>
        <v/>
      </c>
    </row>
    <row r="535">
      <c r="A535">
        <f>'Month 02'!B319</f>
        <v/>
      </c>
      <c r="B535" t="inlineStr">
        <is>
          <t>Clean &amp; Jerk</t>
        </is>
      </c>
      <c r="C535">
        <f>IF(AND('Month 02'!L327&lt;&gt;"",N('Month 02'!I327)&gt;0),'Month 02'!I327,"")</f>
        <v/>
      </c>
      <c r="D535">
        <f>IF(C535="","",IF(N('Month 02'!J327)&gt;0,'Month 02'!J327,1))</f>
        <v/>
      </c>
      <c r="E535">
        <f>IF(OR(C535="",D535=""),"",IF(D535=1,C535,ROUND(C535*(1+D535/30),1)))</f>
        <v/>
      </c>
    </row>
    <row r="536">
      <c r="A536">
        <f>'Month 02'!B319</f>
        <v/>
      </c>
      <c r="B536" t="inlineStr">
        <is>
          <t>Clean &amp; Jerk</t>
        </is>
      </c>
      <c r="C536">
        <f>IF(AND('Month 02'!L328&lt;&gt;"",N('Month 02'!I328)&gt;0),'Month 02'!I328,"")</f>
        <v/>
      </c>
      <c r="D536">
        <f>IF(C536="","",IF(N('Month 02'!J328)&gt;0,'Month 02'!J328,1))</f>
        <v/>
      </c>
      <c r="E536">
        <f>IF(OR(C536="",D536=""),"",IF(D536=1,C536,ROUND(C536*(1+D536/30),1)))</f>
        <v/>
      </c>
    </row>
    <row r="537">
      <c r="A537">
        <f>'Month 02'!B319</f>
        <v/>
      </c>
      <c r="B537" t="inlineStr">
        <is>
          <t>Squat</t>
        </is>
      </c>
      <c r="C537">
        <f>IF(AND('Month 02'!L330&lt;&gt;"",N('Month 02'!I330)&gt;0),'Month 02'!I330,"")</f>
        <v/>
      </c>
      <c r="D537">
        <f>IF(C537="","",IF(N('Month 02'!J330)&gt;0,'Month 02'!J330,1))</f>
        <v/>
      </c>
      <c r="E537">
        <f>IF(OR(C537="",D537=""),"",IF(D537=1,C537,ROUND(C537*(1+D537/30),1)))</f>
        <v/>
      </c>
    </row>
    <row r="538">
      <c r="A538">
        <f>'Month 02'!B319</f>
        <v/>
      </c>
      <c r="B538" t="inlineStr">
        <is>
          <t>Squat</t>
        </is>
      </c>
      <c r="C538">
        <f>IF(AND('Month 02'!L331&lt;&gt;"",N('Month 02'!I331)&gt;0),'Month 02'!I331,"")</f>
        <v/>
      </c>
      <c r="D538">
        <f>IF(C538="","",IF(N('Month 02'!J331)&gt;0,'Month 02'!J331,1))</f>
        <v/>
      </c>
      <c r="E538">
        <f>IF(OR(C538="",D538=""),"",IF(D538=1,C538,ROUND(C538*(1+D538/30),1)))</f>
        <v/>
      </c>
    </row>
    <row r="539">
      <c r="A539">
        <f>'Month 02'!B319</f>
        <v/>
      </c>
      <c r="B539" t="inlineStr">
        <is>
          <t>Overhead Press</t>
        </is>
      </c>
      <c r="C539">
        <f>IF(AND('Month 02'!L333&lt;&gt;"",N('Month 02'!I333)&gt;0),'Month 02'!I333,"")</f>
        <v/>
      </c>
      <c r="D539">
        <f>IF(C539="","",IF(N('Month 02'!J333)&gt;0,'Month 02'!J333,1))</f>
        <v/>
      </c>
      <c r="E539">
        <f>IF(OR(C539="",D539=""),"",IF(D539=1,C539,ROUND(C539*(1+D539/30),1)))</f>
        <v/>
      </c>
    </row>
    <row r="540">
      <c r="A540">
        <f>'Month 02'!B319</f>
        <v/>
      </c>
      <c r="B540" t="inlineStr">
        <is>
          <t>Overhead Press</t>
        </is>
      </c>
      <c r="C540">
        <f>IF(AND('Month 02'!L334&lt;&gt;"",N('Month 02'!I334)&gt;0),'Month 02'!I334,"")</f>
        <v/>
      </c>
      <c r="D540">
        <f>IF(C540="","",IF(N('Month 02'!J334)&gt;0,'Month 02'!J334,1))</f>
        <v/>
      </c>
      <c r="E540">
        <f>IF(OR(C540="",D540=""),"",IF(D540=1,C540,ROUND(C540*(1+D540/30),1)))</f>
        <v/>
      </c>
    </row>
    <row r="541">
      <c r="A541">
        <f>'Month 02'!B319</f>
        <v/>
      </c>
      <c r="B541" t="inlineStr">
        <is>
          <t>Deadlift</t>
        </is>
      </c>
      <c r="C541">
        <f>IF(AND('Month 02'!L336&lt;&gt;"",N('Month 02'!I336)&gt;0),'Month 02'!I336,"")</f>
        <v/>
      </c>
      <c r="D541">
        <f>IF(C541="","",IF(N('Month 02'!J336)&gt;0,'Month 02'!J336,1))</f>
        <v/>
      </c>
      <c r="E541">
        <f>IF(OR(C541="",D541=""),"",IF(D541=1,C541,ROUND(C541*(1+D541/30),1)))</f>
        <v/>
      </c>
    </row>
    <row r="542">
      <c r="A542">
        <f>'Month 02'!B319</f>
        <v/>
      </c>
      <c r="B542" t="inlineStr">
        <is>
          <t>Deadlift</t>
        </is>
      </c>
      <c r="C542">
        <f>IF(AND('Month 02'!L337&lt;&gt;"",N('Month 02'!I337)&gt;0),'Month 02'!I337,"")</f>
        <v/>
      </c>
      <c r="D542">
        <f>IF(C542="","",IF(N('Month 02'!J337)&gt;0,'Month 02'!J337,1))</f>
        <v/>
      </c>
      <c r="E542">
        <f>IF(OR(C542="",D542=""),"",IF(D542=1,C542,ROUND(C542*(1+D542/30),1)))</f>
        <v/>
      </c>
    </row>
    <row r="543">
      <c r="A543">
        <f>'Month 02'!B319</f>
        <v/>
      </c>
      <c r="B543" t="inlineStr">
        <is>
          <t>Chin-up</t>
        </is>
      </c>
      <c r="C543">
        <f>IF(AND('Month 02'!L339&lt;&gt;"",N('Month 02'!I339)&gt;0),'Month 02'!I339,"")</f>
        <v/>
      </c>
      <c r="D543">
        <f>IF(C543="","",IF(N('Month 02'!J339)&gt;0,'Month 02'!J339,1))</f>
        <v/>
      </c>
      <c r="E543">
        <f>IF(OR(C543="",D543=""),"",IF(D543=1,C543,ROUND(C543*(1+D543/30),1)))</f>
        <v/>
      </c>
    </row>
    <row r="544">
      <c r="A544">
        <f>'Month 02'!B319</f>
        <v/>
      </c>
      <c r="B544" t="inlineStr">
        <is>
          <t>Chin-up</t>
        </is>
      </c>
      <c r="C544">
        <f>IF(AND('Month 02'!L340&lt;&gt;"",N('Month 02'!I340)&gt;0),'Month 02'!I340,"")</f>
        <v/>
      </c>
      <c r="D544">
        <f>IF(C544="","",IF(N('Month 02'!J340)&gt;0,'Month 02'!J340,1))</f>
        <v/>
      </c>
      <c r="E544">
        <f>IF(OR(C544="",D544=""),"",IF(D544=1,C544,ROUND(C544*(1+D544/30),1)))</f>
        <v/>
      </c>
    </row>
    <row r="545">
      <c r="A545">
        <f>'Month 02'!B319</f>
        <v/>
      </c>
      <c r="B545" t="inlineStr">
        <is>
          <t>Plank</t>
        </is>
      </c>
      <c r="C545">
        <f>IF(AND('Month 02'!L342&lt;&gt;"",N('Month 02'!I342)&gt;0),'Month 02'!I342,"")</f>
        <v/>
      </c>
      <c r="D545">
        <f>IF(C545="","",IF(N('Month 02'!J342)&gt;0,'Month 02'!J342,1))</f>
        <v/>
      </c>
      <c r="E545">
        <f>IF(OR(C545="",D545=""),"",IF(D545=1,C545,ROUND(C545*(1+D545/30),1)))</f>
        <v/>
      </c>
    </row>
    <row r="546">
      <c r="A546">
        <f>'Month 02'!B319</f>
        <v/>
      </c>
      <c r="B546" t="inlineStr">
        <is>
          <t>Plank</t>
        </is>
      </c>
      <c r="C546">
        <f>IF(AND('Month 02'!L343&lt;&gt;"",N('Month 02'!I343)&gt;0),'Month 02'!I343,"")</f>
        <v/>
      </c>
      <c r="D546">
        <f>IF(C546="","",IF(N('Month 02'!J343)&gt;0,'Month 02'!J343,1))</f>
        <v/>
      </c>
      <c r="E546">
        <f>IF(OR(C546="",D546=""),"",IF(D546=1,C546,ROUND(C546*(1+D546/30),1)))</f>
        <v/>
      </c>
    </row>
    <row r="547">
      <c r="A547">
        <f>'Month 02'!B344</f>
        <v/>
      </c>
      <c r="B547" t="inlineStr">
        <is>
          <t>Hurdle Hop</t>
        </is>
      </c>
      <c r="C547">
        <f>IF(AND('Month 02'!L346&lt;&gt;"",N('Month 02'!I346)&gt;0),'Month 02'!I346,"")</f>
        <v/>
      </c>
      <c r="D547">
        <f>IF(C547="","",IF(N('Month 02'!J346)&gt;0,'Month 02'!J346,1))</f>
        <v/>
      </c>
      <c r="E547">
        <f>IF(OR(C547="",D547=""),"",IF(D547=1,C547,ROUND(C547*(1+D547/30),1)))</f>
        <v/>
      </c>
    </row>
    <row r="548">
      <c r="A548">
        <f>'Month 02'!B344</f>
        <v/>
      </c>
      <c r="B548" t="inlineStr">
        <is>
          <t>Hurdle Hop</t>
        </is>
      </c>
      <c r="C548">
        <f>IF(AND('Month 02'!L347&lt;&gt;"",N('Month 02'!I347)&gt;0),'Month 02'!I347,"")</f>
        <v/>
      </c>
      <c r="D548">
        <f>IF(C548="","",IF(N('Month 02'!J347)&gt;0,'Month 02'!J347,1))</f>
        <v/>
      </c>
      <c r="E548">
        <f>IF(OR(C548="",D548=""),"",IF(D548=1,C548,ROUND(C548*(1+D548/30),1)))</f>
        <v/>
      </c>
    </row>
    <row r="549">
      <c r="A549">
        <f>'Month 02'!B344</f>
        <v/>
      </c>
      <c r="B549" t="inlineStr">
        <is>
          <t>Power Clean</t>
        </is>
      </c>
      <c r="C549">
        <f>IF(AND('Month 02'!L349&lt;&gt;"",N('Month 02'!I349)&gt;0),'Month 02'!I349,"")</f>
        <v/>
      </c>
      <c r="D549">
        <f>IF(C549="","",IF(N('Month 02'!J349)&gt;0,'Month 02'!J349,1))</f>
        <v/>
      </c>
      <c r="E549">
        <f>IF(OR(C549="",D549=""),"",IF(D549=1,C549,ROUND(C549*(1+D549/30),1)))</f>
        <v/>
      </c>
    </row>
    <row r="550">
      <c r="A550">
        <f>'Month 02'!B344</f>
        <v/>
      </c>
      <c r="B550" t="inlineStr">
        <is>
          <t>Power Clean</t>
        </is>
      </c>
      <c r="C550">
        <f>IF(AND('Month 02'!L350&lt;&gt;"",N('Month 02'!I350)&gt;0),'Month 02'!I350,"")</f>
        <v/>
      </c>
      <c r="D550">
        <f>IF(C550="","",IF(N('Month 02'!J350)&gt;0,'Month 02'!J350,1))</f>
        <v/>
      </c>
      <c r="E550">
        <f>IF(OR(C550="",D550=""),"",IF(D550=1,C550,ROUND(C550*(1+D550/30),1)))</f>
        <v/>
      </c>
    </row>
    <row r="551">
      <c r="A551">
        <f>'Month 02'!B344</f>
        <v/>
      </c>
      <c r="B551" t="inlineStr">
        <is>
          <t>Pause Squat</t>
        </is>
      </c>
      <c r="C551">
        <f>IF(AND('Month 02'!L352&lt;&gt;"",N('Month 02'!I352)&gt;0),'Month 02'!I352,"")</f>
        <v/>
      </c>
      <c r="D551">
        <f>IF(C551="","",IF(N('Month 02'!J352)&gt;0,'Month 02'!J352,1))</f>
        <v/>
      </c>
      <c r="E551">
        <f>IF(OR(C551="",D551=""),"",IF(D551=1,C551,ROUND(C551*(1+D551/30),1)))</f>
        <v/>
      </c>
    </row>
    <row r="552">
      <c r="A552">
        <f>'Month 02'!B344</f>
        <v/>
      </c>
      <c r="B552" t="inlineStr">
        <is>
          <t>Pause Squat</t>
        </is>
      </c>
      <c r="C552">
        <f>IF(AND('Month 02'!L353&lt;&gt;"",N('Month 02'!I353)&gt;0),'Month 02'!I353,"")</f>
        <v/>
      </c>
      <c r="D552">
        <f>IF(C552="","",IF(N('Month 02'!J353)&gt;0,'Month 02'!J353,1))</f>
        <v/>
      </c>
      <c r="E552">
        <f>IF(OR(C552="",D552=""),"",IF(D552=1,C552,ROUND(C552*(1+D552/30),1)))</f>
        <v/>
      </c>
    </row>
    <row r="553">
      <c r="A553">
        <f>'Month 02'!B344</f>
        <v/>
      </c>
      <c r="B553" t="inlineStr">
        <is>
          <t>2-Board Press</t>
        </is>
      </c>
      <c r="C553">
        <f>IF(AND('Month 02'!L355&lt;&gt;"",N('Month 02'!I355)&gt;0),'Month 02'!I355,"")</f>
        <v/>
      </c>
      <c r="D553">
        <f>IF(C553="","",IF(N('Month 02'!J355)&gt;0,'Month 02'!J355,1))</f>
        <v/>
      </c>
      <c r="E553">
        <f>IF(OR(C553="",D553=""),"",IF(D553=1,C553,ROUND(C553*(1+D553/30),1)))</f>
        <v/>
      </c>
    </row>
    <row r="554">
      <c r="A554">
        <f>'Month 02'!B344</f>
        <v/>
      </c>
      <c r="B554" t="inlineStr">
        <is>
          <t>2-Board Press</t>
        </is>
      </c>
      <c r="C554">
        <f>IF(AND('Month 02'!L356&lt;&gt;"",N('Month 02'!I356)&gt;0),'Month 02'!I356,"")</f>
        <v/>
      </c>
      <c r="D554">
        <f>IF(C554="","",IF(N('Month 02'!J356)&gt;0,'Month 02'!J356,1))</f>
        <v/>
      </c>
      <c r="E554">
        <f>IF(OR(C554="",D554=""),"",IF(D554=1,C554,ROUND(C554*(1+D554/30),1)))</f>
        <v/>
      </c>
    </row>
    <row r="555">
      <c r="A555">
        <f>'Month 02'!B344</f>
        <v/>
      </c>
      <c r="B555" t="inlineStr">
        <is>
          <t>Deficit Deadlift</t>
        </is>
      </c>
      <c r="C555">
        <f>IF(AND('Month 02'!L358&lt;&gt;"",N('Month 02'!I358)&gt;0),'Month 02'!I358,"")</f>
        <v/>
      </c>
      <c r="D555">
        <f>IF(C555="","",IF(N('Month 02'!J358)&gt;0,'Month 02'!J358,1))</f>
        <v/>
      </c>
      <c r="E555">
        <f>IF(OR(C555="",D555=""),"",IF(D555=1,C555,ROUND(C555*(1+D555/30),1)))</f>
        <v/>
      </c>
    </row>
    <row r="556">
      <c r="A556">
        <f>'Month 02'!B344</f>
        <v/>
      </c>
      <c r="B556" t="inlineStr">
        <is>
          <t>Deficit Deadlift</t>
        </is>
      </c>
      <c r="C556">
        <f>IF(AND('Month 02'!L359&lt;&gt;"",N('Month 02'!I359)&gt;0),'Month 02'!I359,"")</f>
        <v/>
      </c>
      <c r="D556">
        <f>IF(C556="","",IF(N('Month 02'!J359)&gt;0,'Month 02'!J359,1))</f>
        <v/>
      </c>
      <c r="E556">
        <f>IF(OR(C556="",D556=""),"",IF(D556=1,C556,ROUND(C556*(1+D556/30),1)))</f>
        <v/>
      </c>
    </row>
    <row r="557">
      <c r="A557">
        <f>'Month 02'!B344</f>
        <v/>
      </c>
      <c r="B557" t="inlineStr">
        <is>
          <t>Incline Dumbbell Press</t>
        </is>
      </c>
      <c r="C557">
        <f>IF(AND('Month 02'!L361&lt;&gt;"",N('Month 02'!I361)&gt;0),'Month 02'!I361,"")</f>
        <v/>
      </c>
      <c r="D557">
        <f>IF(C557="","",IF(N('Month 02'!J361)&gt;0,'Month 02'!J361,1))</f>
        <v/>
      </c>
      <c r="E557">
        <f>IF(OR(C557="",D557=""),"",IF(D557=1,C557,ROUND(C557*(1+D557/30),1)))</f>
        <v/>
      </c>
    </row>
    <row r="558">
      <c r="A558">
        <f>'Month 02'!B344</f>
        <v/>
      </c>
      <c r="B558" t="inlineStr">
        <is>
          <t>Incline Dumbbell Press</t>
        </is>
      </c>
      <c r="C558">
        <f>IF(AND('Month 02'!L362&lt;&gt;"",N('Month 02'!I362)&gt;0),'Month 02'!I362,"")</f>
        <v/>
      </c>
      <c r="D558">
        <f>IF(C558="","",IF(N('Month 02'!J362)&gt;0,'Month 02'!J362,1))</f>
        <v/>
      </c>
      <c r="E558">
        <f>IF(OR(C558="",D558=""),"",IF(D558=1,C558,ROUND(C558*(1+D558/30),1)))</f>
        <v/>
      </c>
    </row>
    <row r="559">
      <c r="A559">
        <f>'Month 02'!B344</f>
        <v/>
      </c>
      <c r="B559" t="inlineStr">
        <is>
          <t>Triceps Pushdown</t>
        </is>
      </c>
      <c r="C559">
        <f>IF(AND('Month 02'!L364&lt;&gt;"",N('Month 02'!I364)&gt;0),'Month 02'!I364,"")</f>
        <v/>
      </c>
      <c r="D559">
        <f>IF(C559="","",IF(N('Month 02'!J364)&gt;0,'Month 02'!J364,1))</f>
        <v/>
      </c>
      <c r="E559">
        <f>IF(OR(C559="",D559=""),"",IF(D559=1,C559,ROUND(C559*(1+D559/30),1)))</f>
        <v/>
      </c>
    </row>
    <row r="560">
      <c r="A560">
        <f>'Month 02'!B344</f>
        <v/>
      </c>
      <c r="B560" t="inlineStr">
        <is>
          <t>Triceps Pushdown</t>
        </is>
      </c>
      <c r="C560">
        <f>IF(AND('Month 02'!L365&lt;&gt;"",N('Month 02'!I365)&gt;0),'Month 02'!I365,"")</f>
        <v/>
      </c>
      <c r="D560">
        <f>IF(C560="","",IF(N('Month 02'!J365)&gt;0,'Month 02'!J365,1))</f>
        <v/>
      </c>
      <c r="E560">
        <f>IF(OR(C560="",D560=""),"",IF(D560=1,C560,ROUND(C560*(1+D560/30),1)))</f>
        <v/>
      </c>
    </row>
    <row r="561">
      <c r="A561">
        <f>'Month 03'!B7</f>
        <v/>
      </c>
      <c r="B561" t="inlineStr">
        <is>
          <t>Box Jump</t>
        </is>
      </c>
      <c r="C561">
        <f>IF(AND('Month 03'!L9&lt;&gt;"",N('Month 03'!I9)&gt;0),'Month 03'!I9,"")</f>
        <v/>
      </c>
      <c r="D561">
        <f>IF(C561="","",IF(N('Month 03'!J9)&gt;0,'Month 03'!J9,1))</f>
        <v/>
      </c>
      <c r="E561">
        <f>IF(OR(C561="",D561=""),"",IF(D561=1,C561,ROUND(C561*(1+D561/30),1)))</f>
        <v/>
      </c>
    </row>
    <row r="562">
      <c r="A562">
        <f>'Month 03'!B7</f>
        <v/>
      </c>
      <c r="B562" t="inlineStr">
        <is>
          <t>Box Jump</t>
        </is>
      </c>
      <c r="C562">
        <f>IF(AND('Month 03'!L10&lt;&gt;"",N('Month 03'!I10)&gt;0),'Month 03'!I10,"")</f>
        <v/>
      </c>
      <c r="D562">
        <f>IF(C562="","",IF(N('Month 03'!J10)&gt;0,'Month 03'!J10,1))</f>
        <v/>
      </c>
      <c r="E562">
        <f>IF(OR(C562="",D562=""),"",IF(D562=1,C562,ROUND(C562*(1+D562/30),1)))</f>
        <v/>
      </c>
    </row>
    <row r="563">
      <c r="A563">
        <f>'Month 03'!B7</f>
        <v/>
      </c>
      <c r="B563" t="inlineStr">
        <is>
          <t>Box Jump</t>
        </is>
      </c>
      <c r="C563">
        <f>IF(AND('Month 03'!L11&lt;&gt;"",N('Month 03'!I11)&gt;0),'Month 03'!I11,"")</f>
        <v/>
      </c>
      <c r="D563">
        <f>IF(C563="","",IF(N('Month 03'!J11)&gt;0,'Month 03'!J11,1))</f>
        <v/>
      </c>
      <c r="E563">
        <f>IF(OR(C563="",D563=""),"",IF(D563=1,C563,ROUND(C563*(1+D563/30),1)))</f>
        <v/>
      </c>
    </row>
    <row r="564">
      <c r="A564">
        <f>'Month 03'!B7</f>
        <v/>
      </c>
      <c r="B564" t="inlineStr">
        <is>
          <t>Snatch</t>
        </is>
      </c>
      <c r="C564">
        <f>IF(AND('Month 03'!L13&lt;&gt;"",N('Month 03'!I13)&gt;0),'Month 03'!I13,"")</f>
        <v/>
      </c>
      <c r="D564">
        <f>IF(C564="","",IF(N('Month 03'!J13)&gt;0,'Month 03'!J13,1))</f>
        <v/>
      </c>
      <c r="E564">
        <f>IF(OR(C564="",D564=""),"",IF(D564=1,C564,ROUND(C564*(1+D564/30),1)))</f>
        <v/>
      </c>
    </row>
    <row r="565">
      <c r="A565">
        <f>'Month 03'!B7</f>
        <v/>
      </c>
      <c r="B565" t="inlineStr">
        <is>
          <t>Snatch</t>
        </is>
      </c>
      <c r="C565">
        <f>IF(AND('Month 03'!L14&lt;&gt;"",N('Month 03'!I14)&gt;0),'Month 03'!I14,"")</f>
        <v/>
      </c>
      <c r="D565">
        <f>IF(C565="","",IF(N('Month 03'!J14)&gt;0,'Month 03'!J14,1))</f>
        <v/>
      </c>
      <c r="E565">
        <f>IF(OR(C565="",D565=""),"",IF(D565=1,C565,ROUND(C565*(1+D565/30),1)))</f>
        <v/>
      </c>
    </row>
    <row r="566">
      <c r="A566">
        <f>'Month 03'!B7</f>
        <v/>
      </c>
      <c r="B566" t="inlineStr">
        <is>
          <t>Snatch</t>
        </is>
      </c>
      <c r="C566">
        <f>IF(AND('Month 03'!L15&lt;&gt;"",N('Month 03'!I15)&gt;0),'Month 03'!I15,"")</f>
        <v/>
      </c>
      <c r="D566">
        <f>IF(C566="","",IF(N('Month 03'!J15)&gt;0,'Month 03'!J15,1))</f>
        <v/>
      </c>
      <c r="E566">
        <f>IF(OR(C566="",D566=""),"",IF(D566=1,C566,ROUND(C566*(1+D566/30),1)))</f>
        <v/>
      </c>
    </row>
    <row r="567">
      <c r="A567">
        <f>'Month 03'!B7</f>
        <v/>
      </c>
      <c r="B567" t="inlineStr">
        <is>
          <t>Snatch</t>
        </is>
      </c>
      <c r="C567">
        <f>IF(AND('Month 03'!L16&lt;&gt;"",N('Month 03'!I16)&gt;0),'Month 03'!I16,"")</f>
        <v/>
      </c>
      <c r="D567">
        <f>IF(C567="","",IF(N('Month 03'!J16)&gt;0,'Month 03'!J16,1))</f>
        <v/>
      </c>
      <c r="E567">
        <f>IF(OR(C567="",D567=""),"",IF(D567=1,C567,ROUND(C567*(1+D567/30),1)))</f>
        <v/>
      </c>
    </row>
    <row r="568">
      <c r="A568">
        <f>'Month 03'!B7</f>
        <v/>
      </c>
      <c r="B568" t="inlineStr">
        <is>
          <t>Snatch</t>
        </is>
      </c>
      <c r="C568">
        <f>IF(AND('Month 03'!L17&lt;&gt;"",N('Month 03'!I17)&gt;0),'Month 03'!I17,"")</f>
        <v/>
      </c>
      <c r="D568">
        <f>IF(C568="","",IF(N('Month 03'!J17)&gt;0,'Month 03'!J17,1))</f>
        <v/>
      </c>
      <c r="E568">
        <f>IF(OR(C568="",D568=""),"",IF(D568=1,C568,ROUND(C568*(1+D568/30),1)))</f>
        <v/>
      </c>
    </row>
    <row r="569">
      <c r="A569">
        <f>'Month 03'!B7</f>
        <v/>
      </c>
      <c r="B569" t="inlineStr">
        <is>
          <t>Squat</t>
        </is>
      </c>
      <c r="C569">
        <f>IF(AND('Month 03'!L19&lt;&gt;"",N('Month 03'!I19)&gt;0),'Month 03'!I19,"")</f>
        <v/>
      </c>
      <c r="D569">
        <f>IF(C569="","",IF(N('Month 03'!J19)&gt;0,'Month 03'!J19,1))</f>
        <v/>
      </c>
      <c r="E569">
        <f>IF(OR(C569="",D569=""),"",IF(D569=1,C569,ROUND(C569*(1+D569/30),1)))</f>
        <v/>
      </c>
    </row>
    <row r="570">
      <c r="A570">
        <f>'Month 03'!B7</f>
        <v/>
      </c>
      <c r="B570" t="inlineStr">
        <is>
          <t>Squat</t>
        </is>
      </c>
      <c r="C570">
        <f>IF(AND('Month 03'!L20&lt;&gt;"",N('Month 03'!I20)&gt;0),'Month 03'!I20,"")</f>
        <v/>
      </c>
      <c r="D570">
        <f>IF(C570="","",IF(N('Month 03'!J20)&gt;0,'Month 03'!J20,1))</f>
        <v/>
      </c>
      <c r="E570">
        <f>IF(OR(C570="",D570=""),"",IF(D570=1,C570,ROUND(C570*(1+D570/30),1)))</f>
        <v/>
      </c>
    </row>
    <row r="571">
      <c r="A571">
        <f>'Month 03'!B7</f>
        <v/>
      </c>
      <c r="B571" t="inlineStr">
        <is>
          <t>Squat</t>
        </is>
      </c>
      <c r="C571">
        <f>IF(AND('Month 03'!L21&lt;&gt;"",N('Month 03'!I21)&gt;0),'Month 03'!I21,"")</f>
        <v/>
      </c>
      <c r="D571">
        <f>IF(C571="","",IF(N('Month 03'!J21)&gt;0,'Month 03'!J21,1))</f>
        <v/>
      </c>
      <c r="E571">
        <f>IF(OR(C571="",D571=""),"",IF(D571=1,C571,ROUND(C571*(1+D571/30),1)))</f>
        <v/>
      </c>
    </row>
    <row r="572">
      <c r="A572">
        <f>'Month 03'!B7</f>
        <v/>
      </c>
      <c r="B572" t="inlineStr">
        <is>
          <t>Squat</t>
        </is>
      </c>
      <c r="C572">
        <f>IF(AND('Month 03'!L22&lt;&gt;"",N('Month 03'!I22)&gt;0),'Month 03'!I22,"")</f>
        <v/>
      </c>
      <c r="D572">
        <f>IF(C572="","",IF(N('Month 03'!J22)&gt;0,'Month 03'!J22,1))</f>
        <v/>
      </c>
      <c r="E572">
        <f>IF(OR(C572="",D572=""),"",IF(D572=1,C572,ROUND(C572*(1+D572/30),1)))</f>
        <v/>
      </c>
    </row>
    <row r="573">
      <c r="A573">
        <f>'Month 03'!B7</f>
        <v/>
      </c>
      <c r="B573" t="inlineStr">
        <is>
          <t>Squat</t>
        </is>
      </c>
      <c r="C573">
        <f>IF(AND('Month 03'!L23&lt;&gt;"",N('Month 03'!I23)&gt;0),'Month 03'!I23,"")</f>
        <v/>
      </c>
      <c r="D573">
        <f>IF(C573="","",IF(N('Month 03'!J23)&gt;0,'Month 03'!J23,1))</f>
        <v/>
      </c>
      <c r="E573">
        <f>IF(OR(C573="",D573=""),"",IF(D573=1,C573,ROUND(C573*(1+D573/30),1)))</f>
        <v/>
      </c>
    </row>
    <row r="574">
      <c r="A574">
        <f>'Month 03'!B7</f>
        <v/>
      </c>
      <c r="B574" t="inlineStr">
        <is>
          <t>Bench Press</t>
        </is>
      </c>
      <c r="C574">
        <f>IF(AND('Month 03'!L25&lt;&gt;"",N('Month 03'!I25)&gt;0),'Month 03'!I25,"")</f>
        <v/>
      </c>
      <c r="D574">
        <f>IF(C574="","",IF(N('Month 03'!J25)&gt;0,'Month 03'!J25,1))</f>
        <v/>
      </c>
      <c r="E574">
        <f>IF(OR(C574="",D574=""),"",IF(D574=1,C574,ROUND(C574*(1+D574/30),1)))</f>
        <v/>
      </c>
    </row>
    <row r="575">
      <c r="A575">
        <f>'Month 03'!B7</f>
        <v/>
      </c>
      <c r="B575" t="inlineStr">
        <is>
          <t>Bench Press</t>
        </is>
      </c>
      <c r="C575">
        <f>IF(AND('Month 03'!L26&lt;&gt;"",N('Month 03'!I26)&gt;0),'Month 03'!I26,"")</f>
        <v/>
      </c>
      <c r="D575">
        <f>IF(C575="","",IF(N('Month 03'!J26)&gt;0,'Month 03'!J26,1))</f>
        <v/>
      </c>
      <c r="E575">
        <f>IF(OR(C575="",D575=""),"",IF(D575=1,C575,ROUND(C575*(1+D575/30),1)))</f>
        <v/>
      </c>
    </row>
    <row r="576">
      <c r="A576">
        <f>'Month 03'!B7</f>
        <v/>
      </c>
      <c r="B576" t="inlineStr">
        <is>
          <t>Bench Press</t>
        </is>
      </c>
      <c r="C576">
        <f>IF(AND('Month 03'!L27&lt;&gt;"",N('Month 03'!I27)&gt;0),'Month 03'!I27,"")</f>
        <v/>
      </c>
      <c r="D576">
        <f>IF(C576="","",IF(N('Month 03'!J27)&gt;0,'Month 03'!J27,1))</f>
        <v/>
      </c>
      <c r="E576">
        <f>IF(OR(C576="",D576=""),"",IF(D576=1,C576,ROUND(C576*(1+D576/30),1)))</f>
        <v/>
      </c>
    </row>
    <row r="577">
      <c r="A577">
        <f>'Month 03'!B7</f>
        <v/>
      </c>
      <c r="B577" t="inlineStr">
        <is>
          <t>Bench Press</t>
        </is>
      </c>
      <c r="C577">
        <f>IF(AND('Month 03'!L28&lt;&gt;"",N('Month 03'!I28)&gt;0),'Month 03'!I28,"")</f>
        <v/>
      </c>
      <c r="D577">
        <f>IF(C577="","",IF(N('Month 03'!J28)&gt;0,'Month 03'!J28,1))</f>
        <v/>
      </c>
      <c r="E577">
        <f>IF(OR(C577="",D577=""),"",IF(D577=1,C577,ROUND(C577*(1+D577/30),1)))</f>
        <v/>
      </c>
    </row>
    <row r="578">
      <c r="A578">
        <f>'Month 03'!B7</f>
        <v/>
      </c>
      <c r="B578" t="inlineStr">
        <is>
          <t>Bench Press</t>
        </is>
      </c>
      <c r="C578">
        <f>IF(AND('Month 03'!L29&lt;&gt;"",N('Month 03'!I29)&gt;0),'Month 03'!I29,"")</f>
        <v/>
      </c>
      <c r="D578">
        <f>IF(C578="","",IF(N('Month 03'!J29)&gt;0,'Month 03'!J29,1))</f>
        <v/>
      </c>
      <c r="E578">
        <f>IF(OR(C578="",D578=""),"",IF(D578=1,C578,ROUND(C578*(1+D578/30),1)))</f>
        <v/>
      </c>
    </row>
    <row r="579">
      <c r="A579">
        <f>'Month 03'!B7</f>
        <v/>
      </c>
      <c r="B579" t="inlineStr">
        <is>
          <t>Barbell Row</t>
        </is>
      </c>
      <c r="C579">
        <f>IF(AND('Month 03'!L31&lt;&gt;"",N('Month 03'!I31)&gt;0),'Month 03'!I31,"")</f>
        <v/>
      </c>
      <c r="D579">
        <f>IF(C579="","",IF(N('Month 03'!J31)&gt;0,'Month 03'!J31,1))</f>
        <v/>
      </c>
      <c r="E579">
        <f>IF(OR(C579="",D579=""),"",IF(D579=1,C579,ROUND(C579*(1+D579/30),1)))</f>
        <v/>
      </c>
    </row>
    <row r="580">
      <c r="A580">
        <f>'Month 03'!B7</f>
        <v/>
      </c>
      <c r="B580" t="inlineStr">
        <is>
          <t>Barbell Row</t>
        </is>
      </c>
      <c r="C580">
        <f>IF(AND('Month 03'!L32&lt;&gt;"",N('Month 03'!I32)&gt;0),'Month 03'!I32,"")</f>
        <v/>
      </c>
      <c r="D580">
        <f>IF(C580="","",IF(N('Month 03'!J32)&gt;0,'Month 03'!J32,1))</f>
        <v/>
      </c>
      <c r="E580">
        <f>IF(OR(C580="",D580=""),"",IF(D580=1,C580,ROUND(C580*(1+D580/30),1)))</f>
        <v/>
      </c>
    </row>
    <row r="581">
      <c r="A581">
        <f>'Month 03'!B7</f>
        <v/>
      </c>
      <c r="B581" t="inlineStr">
        <is>
          <t>Barbell Row</t>
        </is>
      </c>
      <c r="C581">
        <f>IF(AND('Month 03'!L33&lt;&gt;"",N('Month 03'!I33)&gt;0),'Month 03'!I33,"")</f>
        <v/>
      </c>
      <c r="D581">
        <f>IF(C581="","",IF(N('Month 03'!J33)&gt;0,'Month 03'!J33,1))</f>
        <v/>
      </c>
      <c r="E581">
        <f>IF(OR(C581="",D581=""),"",IF(D581=1,C581,ROUND(C581*(1+D581/30),1)))</f>
        <v/>
      </c>
    </row>
    <row r="582">
      <c r="A582">
        <f>'Month 03'!B7</f>
        <v/>
      </c>
      <c r="B582" t="inlineStr">
        <is>
          <t>Face Pull</t>
        </is>
      </c>
      <c r="C582">
        <f>IF(AND('Month 03'!L35&lt;&gt;"",N('Month 03'!I35)&gt;0),'Month 03'!I35,"")</f>
        <v/>
      </c>
      <c r="D582">
        <f>IF(C582="","",IF(N('Month 03'!J35)&gt;0,'Month 03'!J35,1))</f>
        <v/>
      </c>
      <c r="E582">
        <f>IF(OR(C582="",D582=""),"",IF(D582=1,C582,ROUND(C582*(1+D582/30),1)))</f>
        <v/>
      </c>
    </row>
    <row r="583">
      <c r="A583">
        <f>'Month 03'!B7</f>
        <v/>
      </c>
      <c r="B583" t="inlineStr">
        <is>
          <t>Face Pull</t>
        </is>
      </c>
      <c r="C583">
        <f>IF(AND('Month 03'!L36&lt;&gt;"",N('Month 03'!I36)&gt;0),'Month 03'!I36,"")</f>
        <v/>
      </c>
      <c r="D583">
        <f>IF(C583="","",IF(N('Month 03'!J36)&gt;0,'Month 03'!J36,1))</f>
        <v/>
      </c>
      <c r="E583">
        <f>IF(OR(C583="",D583=""),"",IF(D583=1,C583,ROUND(C583*(1+D583/30),1)))</f>
        <v/>
      </c>
    </row>
    <row r="584">
      <c r="A584">
        <f>'Month 03'!B7</f>
        <v/>
      </c>
      <c r="B584" t="inlineStr">
        <is>
          <t>Face Pull</t>
        </is>
      </c>
      <c r="C584">
        <f>IF(AND('Month 03'!L37&lt;&gt;"",N('Month 03'!I37)&gt;0),'Month 03'!I37,"")</f>
        <v/>
      </c>
      <c r="D584">
        <f>IF(C584="","",IF(N('Month 03'!J37)&gt;0,'Month 03'!J37,1))</f>
        <v/>
      </c>
      <c r="E584">
        <f>IF(OR(C584="",D584=""),"",IF(D584=1,C584,ROUND(C584*(1+D584/30),1)))</f>
        <v/>
      </c>
    </row>
    <row r="585">
      <c r="A585">
        <f>'Month 03'!B38</f>
        <v/>
      </c>
      <c r="B585" t="inlineStr">
        <is>
          <t>Broad Jump</t>
        </is>
      </c>
      <c r="C585">
        <f>IF(AND('Month 03'!L40&lt;&gt;"",N('Month 03'!I40)&gt;0),'Month 03'!I40,"")</f>
        <v/>
      </c>
      <c r="D585">
        <f>IF(C585="","",IF(N('Month 03'!J40)&gt;0,'Month 03'!J40,1))</f>
        <v/>
      </c>
      <c r="E585">
        <f>IF(OR(C585="",D585=""),"",IF(D585=1,C585,ROUND(C585*(1+D585/30),1)))</f>
        <v/>
      </c>
    </row>
    <row r="586">
      <c r="A586">
        <f>'Month 03'!B38</f>
        <v/>
      </c>
      <c r="B586" t="inlineStr">
        <is>
          <t>Broad Jump</t>
        </is>
      </c>
      <c r="C586">
        <f>IF(AND('Month 03'!L41&lt;&gt;"",N('Month 03'!I41)&gt;0),'Month 03'!I41,"")</f>
        <v/>
      </c>
      <c r="D586">
        <f>IF(C586="","",IF(N('Month 03'!J41)&gt;0,'Month 03'!J41,1))</f>
        <v/>
      </c>
      <c r="E586">
        <f>IF(OR(C586="",D586=""),"",IF(D586=1,C586,ROUND(C586*(1+D586/30),1)))</f>
        <v/>
      </c>
    </row>
    <row r="587">
      <c r="A587">
        <f>'Month 03'!B38</f>
        <v/>
      </c>
      <c r="B587" t="inlineStr">
        <is>
          <t>Broad Jump</t>
        </is>
      </c>
      <c r="C587">
        <f>IF(AND('Month 03'!L42&lt;&gt;"",N('Month 03'!I42)&gt;0),'Month 03'!I42,"")</f>
        <v/>
      </c>
      <c r="D587">
        <f>IF(C587="","",IF(N('Month 03'!J42)&gt;0,'Month 03'!J42,1))</f>
        <v/>
      </c>
      <c r="E587">
        <f>IF(OR(C587="",D587=""),"",IF(D587=1,C587,ROUND(C587*(1+D587/30),1)))</f>
        <v/>
      </c>
    </row>
    <row r="588">
      <c r="A588">
        <f>'Month 03'!B38</f>
        <v/>
      </c>
      <c r="B588" t="inlineStr">
        <is>
          <t>Med Ball Chest Pass</t>
        </is>
      </c>
      <c r="C588">
        <f>IF(AND('Month 03'!L44&lt;&gt;"",N('Month 03'!I44)&gt;0),'Month 03'!I44,"")</f>
        <v/>
      </c>
      <c r="D588">
        <f>IF(C588="","",IF(N('Month 03'!J44)&gt;0,'Month 03'!J44,1))</f>
        <v/>
      </c>
      <c r="E588">
        <f>IF(OR(C588="",D588=""),"",IF(D588=1,C588,ROUND(C588*(1+D588/30),1)))</f>
        <v/>
      </c>
    </row>
    <row r="589">
      <c r="A589">
        <f>'Month 03'!B38</f>
        <v/>
      </c>
      <c r="B589" t="inlineStr">
        <is>
          <t>Med Ball Chest Pass</t>
        </is>
      </c>
      <c r="C589">
        <f>IF(AND('Month 03'!L45&lt;&gt;"",N('Month 03'!I45)&gt;0),'Month 03'!I45,"")</f>
        <v/>
      </c>
      <c r="D589">
        <f>IF(C589="","",IF(N('Month 03'!J45)&gt;0,'Month 03'!J45,1))</f>
        <v/>
      </c>
      <c r="E589">
        <f>IF(OR(C589="",D589=""),"",IF(D589=1,C589,ROUND(C589*(1+D589/30),1)))</f>
        <v/>
      </c>
    </row>
    <row r="590">
      <c r="A590">
        <f>'Month 03'!B38</f>
        <v/>
      </c>
      <c r="B590" t="inlineStr">
        <is>
          <t>Clean &amp; Jerk</t>
        </is>
      </c>
      <c r="C590">
        <f>IF(AND('Month 03'!L47&lt;&gt;"",N('Month 03'!I47)&gt;0),'Month 03'!I47,"")</f>
        <v/>
      </c>
      <c r="D590">
        <f>IF(C590="","",IF(N('Month 03'!J47)&gt;0,'Month 03'!J47,1))</f>
        <v/>
      </c>
      <c r="E590">
        <f>IF(OR(C590="",D590=""),"",IF(D590=1,C590,ROUND(C590*(1+D590/30),1)))</f>
        <v/>
      </c>
    </row>
    <row r="591">
      <c r="A591">
        <f>'Month 03'!B38</f>
        <v/>
      </c>
      <c r="B591" t="inlineStr">
        <is>
          <t>Clean &amp; Jerk</t>
        </is>
      </c>
      <c r="C591">
        <f>IF(AND('Month 03'!L48&lt;&gt;"",N('Month 03'!I48)&gt;0),'Month 03'!I48,"")</f>
        <v/>
      </c>
      <c r="D591">
        <f>IF(C591="","",IF(N('Month 03'!J48)&gt;0,'Month 03'!J48,1))</f>
        <v/>
      </c>
      <c r="E591">
        <f>IF(OR(C591="",D591=""),"",IF(D591=1,C591,ROUND(C591*(1+D591/30),1)))</f>
        <v/>
      </c>
    </row>
    <row r="592">
      <c r="A592">
        <f>'Month 03'!B38</f>
        <v/>
      </c>
      <c r="B592" t="inlineStr">
        <is>
          <t>Clean &amp; Jerk</t>
        </is>
      </c>
      <c r="C592">
        <f>IF(AND('Month 03'!L49&lt;&gt;"",N('Month 03'!I49)&gt;0),'Month 03'!I49,"")</f>
        <v/>
      </c>
      <c r="D592">
        <f>IF(C592="","",IF(N('Month 03'!J49)&gt;0,'Month 03'!J49,1))</f>
        <v/>
      </c>
      <c r="E592">
        <f>IF(OR(C592="",D592=""),"",IF(D592=1,C592,ROUND(C592*(1+D592/30),1)))</f>
        <v/>
      </c>
    </row>
    <row r="593">
      <c r="A593">
        <f>'Month 03'!B38</f>
        <v/>
      </c>
      <c r="B593" t="inlineStr">
        <is>
          <t>Clean &amp; Jerk</t>
        </is>
      </c>
      <c r="C593">
        <f>IF(AND('Month 03'!L50&lt;&gt;"",N('Month 03'!I50)&gt;0),'Month 03'!I50,"")</f>
        <v/>
      </c>
      <c r="D593">
        <f>IF(C593="","",IF(N('Month 03'!J50)&gt;0,'Month 03'!J50,1))</f>
        <v/>
      </c>
      <c r="E593">
        <f>IF(OR(C593="",D593=""),"",IF(D593=1,C593,ROUND(C593*(1+D593/30),1)))</f>
        <v/>
      </c>
    </row>
    <row r="594">
      <c r="A594">
        <f>'Month 03'!B38</f>
        <v/>
      </c>
      <c r="B594" t="inlineStr">
        <is>
          <t>Clean &amp; Jerk</t>
        </is>
      </c>
      <c r="C594">
        <f>IF(AND('Month 03'!L51&lt;&gt;"",N('Month 03'!I51)&gt;0),'Month 03'!I51,"")</f>
        <v/>
      </c>
      <c r="D594">
        <f>IF(C594="","",IF(N('Month 03'!J51)&gt;0,'Month 03'!J51,1))</f>
        <v/>
      </c>
      <c r="E594">
        <f>IF(OR(C594="",D594=""),"",IF(D594=1,C594,ROUND(C594*(1+D594/30),1)))</f>
        <v/>
      </c>
    </row>
    <row r="595">
      <c r="A595">
        <f>'Month 03'!B38</f>
        <v/>
      </c>
      <c r="B595" t="inlineStr">
        <is>
          <t>Squat</t>
        </is>
      </c>
      <c r="C595">
        <f>IF(AND('Month 03'!L53&lt;&gt;"",N('Month 03'!I53)&gt;0),'Month 03'!I53,"")</f>
        <v/>
      </c>
      <c r="D595">
        <f>IF(C595="","",IF(N('Month 03'!J53)&gt;0,'Month 03'!J53,1))</f>
        <v/>
      </c>
      <c r="E595">
        <f>IF(OR(C595="",D595=""),"",IF(D595=1,C595,ROUND(C595*(1+D595/30),1)))</f>
        <v/>
      </c>
    </row>
    <row r="596">
      <c r="A596">
        <f>'Month 03'!B38</f>
        <v/>
      </c>
      <c r="B596" t="inlineStr">
        <is>
          <t>Squat</t>
        </is>
      </c>
      <c r="C596">
        <f>IF(AND('Month 03'!L54&lt;&gt;"",N('Month 03'!I54)&gt;0),'Month 03'!I54,"")</f>
        <v/>
      </c>
      <c r="D596">
        <f>IF(C596="","",IF(N('Month 03'!J54)&gt;0,'Month 03'!J54,1))</f>
        <v/>
      </c>
      <c r="E596">
        <f>IF(OR(C596="",D596=""),"",IF(D596=1,C596,ROUND(C596*(1+D596/30),1)))</f>
        <v/>
      </c>
    </row>
    <row r="597">
      <c r="A597">
        <f>'Month 03'!B38</f>
        <v/>
      </c>
      <c r="B597" t="inlineStr">
        <is>
          <t>Squat</t>
        </is>
      </c>
      <c r="C597">
        <f>IF(AND('Month 03'!L55&lt;&gt;"",N('Month 03'!I55)&gt;0),'Month 03'!I55,"")</f>
        <v/>
      </c>
      <c r="D597">
        <f>IF(C597="","",IF(N('Month 03'!J55)&gt;0,'Month 03'!J55,1))</f>
        <v/>
      </c>
      <c r="E597">
        <f>IF(OR(C597="",D597=""),"",IF(D597=1,C597,ROUND(C597*(1+D597/30),1)))</f>
        <v/>
      </c>
    </row>
    <row r="598">
      <c r="A598">
        <f>'Month 03'!B38</f>
        <v/>
      </c>
      <c r="B598" t="inlineStr">
        <is>
          <t>Squat</t>
        </is>
      </c>
      <c r="C598">
        <f>IF(AND('Month 03'!L56&lt;&gt;"",N('Month 03'!I56)&gt;0),'Month 03'!I56,"")</f>
        <v/>
      </c>
      <c r="D598">
        <f>IF(C598="","",IF(N('Month 03'!J56)&gt;0,'Month 03'!J56,1))</f>
        <v/>
      </c>
      <c r="E598">
        <f>IF(OR(C598="",D598=""),"",IF(D598=1,C598,ROUND(C598*(1+D598/30),1)))</f>
        <v/>
      </c>
    </row>
    <row r="599">
      <c r="A599">
        <f>'Month 03'!B38</f>
        <v/>
      </c>
      <c r="B599" t="inlineStr">
        <is>
          <t>Overhead Press</t>
        </is>
      </c>
      <c r="C599">
        <f>IF(AND('Month 03'!L58&lt;&gt;"",N('Month 03'!I58)&gt;0),'Month 03'!I58,"")</f>
        <v/>
      </c>
      <c r="D599">
        <f>IF(C599="","",IF(N('Month 03'!J58)&gt;0,'Month 03'!J58,1))</f>
        <v/>
      </c>
      <c r="E599">
        <f>IF(OR(C599="",D599=""),"",IF(D599=1,C599,ROUND(C599*(1+D599/30),1)))</f>
        <v/>
      </c>
    </row>
    <row r="600">
      <c r="A600">
        <f>'Month 03'!B38</f>
        <v/>
      </c>
      <c r="B600" t="inlineStr">
        <is>
          <t>Overhead Press</t>
        </is>
      </c>
      <c r="C600">
        <f>IF(AND('Month 03'!L59&lt;&gt;"",N('Month 03'!I59)&gt;0),'Month 03'!I59,"")</f>
        <v/>
      </c>
      <c r="D600">
        <f>IF(C600="","",IF(N('Month 03'!J59)&gt;0,'Month 03'!J59,1))</f>
        <v/>
      </c>
      <c r="E600">
        <f>IF(OR(C600="",D600=""),"",IF(D600=1,C600,ROUND(C600*(1+D600/30),1)))</f>
        <v/>
      </c>
    </row>
    <row r="601">
      <c r="A601">
        <f>'Month 03'!B38</f>
        <v/>
      </c>
      <c r="B601" t="inlineStr">
        <is>
          <t>Overhead Press</t>
        </is>
      </c>
      <c r="C601">
        <f>IF(AND('Month 03'!L60&lt;&gt;"",N('Month 03'!I60)&gt;0),'Month 03'!I60,"")</f>
        <v/>
      </c>
      <c r="D601">
        <f>IF(C601="","",IF(N('Month 03'!J60)&gt;0,'Month 03'!J60,1))</f>
        <v/>
      </c>
      <c r="E601">
        <f>IF(OR(C601="",D601=""),"",IF(D601=1,C601,ROUND(C601*(1+D601/30),1)))</f>
        <v/>
      </c>
    </row>
    <row r="602">
      <c r="A602">
        <f>'Month 03'!B38</f>
        <v/>
      </c>
      <c r="B602" t="inlineStr">
        <is>
          <t>Overhead Press</t>
        </is>
      </c>
      <c r="C602">
        <f>IF(AND('Month 03'!L61&lt;&gt;"",N('Month 03'!I61)&gt;0),'Month 03'!I61,"")</f>
        <v/>
      </c>
      <c r="D602">
        <f>IF(C602="","",IF(N('Month 03'!J61)&gt;0,'Month 03'!J61,1))</f>
        <v/>
      </c>
      <c r="E602">
        <f>IF(OR(C602="",D602=""),"",IF(D602=1,C602,ROUND(C602*(1+D602/30),1)))</f>
        <v/>
      </c>
    </row>
    <row r="603">
      <c r="A603">
        <f>'Month 03'!B38</f>
        <v/>
      </c>
      <c r="B603" t="inlineStr">
        <is>
          <t>Deadlift</t>
        </is>
      </c>
      <c r="C603">
        <f>IF(AND('Month 03'!L63&lt;&gt;"",N('Month 03'!I63)&gt;0),'Month 03'!I63,"")</f>
        <v/>
      </c>
      <c r="D603">
        <f>IF(C603="","",IF(N('Month 03'!J63)&gt;0,'Month 03'!J63,1))</f>
        <v/>
      </c>
      <c r="E603">
        <f>IF(OR(C603="",D603=""),"",IF(D603=1,C603,ROUND(C603*(1+D603/30),1)))</f>
        <v/>
      </c>
    </row>
    <row r="604">
      <c r="A604">
        <f>'Month 03'!B38</f>
        <v/>
      </c>
      <c r="B604" t="inlineStr">
        <is>
          <t>Deadlift</t>
        </is>
      </c>
      <c r="C604">
        <f>IF(AND('Month 03'!L64&lt;&gt;"",N('Month 03'!I64)&gt;0),'Month 03'!I64,"")</f>
        <v/>
      </c>
      <c r="D604">
        <f>IF(C604="","",IF(N('Month 03'!J64)&gt;0,'Month 03'!J64,1))</f>
        <v/>
      </c>
      <c r="E604">
        <f>IF(OR(C604="",D604=""),"",IF(D604=1,C604,ROUND(C604*(1+D604/30),1)))</f>
        <v/>
      </c>
    </row>
    <row r="605">
      <c r="A605">
        <f>'Month 03'!B38</f>
        <v/>
      </c>
      <c r="B605" t="inlineStr">
        <is>
          <t>Deadlift</t>
        </is>
      </c>
      <c r="C605">
        <f>IF(AND('Month 03'!L65&lt;&gt;"",N('Month 03'!I65)&gt;0),'Month 03'!I65,"")</f>
        <v/>
      </c>
      <c r="D605">
        <f>IF(C605="","",IF(N('Month 03'!J65)&gt;0,'Month 03'!J65,1))</f>
        <v/>
      </c>
      <c r="E605">
        <f>IF(OR(C605="",D605=""),"",IF(D605=1,C605,ROUND(C605*(1+D605/30),1)))</f>
        <v/>
      </c>
    </row>
    <row r="606">
      <c r="A606">
        <f>'Month 03'!B38</f>
        <v/>
      </c>
      <c r="B606" t="inlineStr">
        <is>
          <t>Chin-up</t>
        </is>
      </c>
      <c r="C606">
        <f>IF(AND('Month 03'!L67&lt;&gt;"",N('Month 03'!I67)&gt;0),'Month 03'!I67,"")</f>
        <v/>
      </c>
      <c r="D606">
        <f>IF(C606="","",IF(N('Month 03'!J67)&gt;0,'Month 03'!J67,1))</f>
        <v/>
      </c>
      <c r="E606">
        <f>IF(OR(C606="",D606=""),"",IF(D606=1,C606,ROUND(C606*(1+D606/30),1)))</f>
        <v/>
      </c>
    </row>
    <row r="607">
      <c r="A607">
        <f>'Month 03'!B38</f>
        <v/>
      </c>
      <c r="B607" t="inlineStr">
        <is>
          <t>Chin-up</t>
        </is>
      </c>
      <c r="C607">
        <f>IF(AND('Month 03'!L68&lt;&gt;"",N('Month 03'!I68)&gt;0),'Month 03'!I68,"")</f>
        <v/>
      </c>
      <c r="D607">
        <f>IF(C607="","",IF(N('Month 03'!J68)&gt;0,'Month 03'!J68,1))</f>
        <v/>
      </c>
      <c r="E607">
        <f>IF(OR(C607="",D607=""),"",IF(D607=1,C607,ROUND(C607*(1+D607/30),1)))</f>
        <v/>
      </c>
    </row>
    <row r="608">
      <c r="A608">
        <f>'Month 03'!B38</f>
        <v/>
      </c>
      <c r="B608" t="inlineStr">
        <is>
          <t>Chin-up</t>
        </is>
      </c>
      <c r="C608">
        <f>IF(AND('Month 03'!L69&lt;&gt;"",N('Month 03'!I69)&gt;0),'Month 03'!I69,"")</f>
        <v/>
      </c>
      <c r="D608">
        <f>IF(C608="","",IF(N('Month 03'!J69)&gt;0,'Month 03'!J69,1))</f>
        <v/>
      </c>
      <c r="E608">
        <f>IF(OR(C608="",D608=""),"",IF(D608=1,C608,ROUND(C608*(1+D608/30),1)))</f>
        <v/>
      </c>
    </row>
    <row r="609">
      <c r="A609">
        <f>'Month 03'!B38</f>
        <v/>
      </c>
      <c r="B609" t="inlineStr">
        <is>
          <t>Plank</t>
        </is>
      </c>
      <c r="C609">
        <f>IF(AND('Month 03'!L71&lt;&gt;"",N('Month 03'!I71)&gt;0),'Month 03'!I71,"")</f>
        <v/>
      </c>
      <c r="D609">
        <f>IF(C609="","",IF(N('Month 03'!J71)&gt;0,'Month 03'!J71,1))</f>
        <v/>
      </c>
      <c r="E609">
        <f>IF(OR(C609="",D609=""),"",IF(D609=1,C609,ROUND(C609*(1+D609/30),1)))</f>
        <v/>
      </c>
    </row>
    <row r="610">
      <c r="A610">
        <f>'Month 03'!B38</f>
        <v/>
      </c>
      <c r="B610" t="inlineStr">
        <is>
          <t>Plank</t>
        </is>
      </c>
      <c r="C610">
        <f>IF(AND('Month 03'!L72&lt;&gt;"",N('Month 03'!I72)&gt;0),'Month 03'!I72,"")</f>
        <v/>
      </c>
      <c r="D610">
        <f>IF(C610="","",IF(N('Month 03'!J72)&gt;0,'Month 03'!J72,1))</f>
        <v/>
      </c>
      <c r="E610">
        <f>IF(OR(C610="",D610=""),"",IF(D610=1,C610,ROUND(C610*(1+D610/30),1)))</f>
        <v/>
      </c>
    </row>
    <row r="611">
      <c r="A611">
        <f>'Month 03'!B38</f>
        <v/>
      </c>
      <c r="B611" t="inlineStr">
        <is>
          <t>Plank</t>
        </is>
      </c>
      <c r="C611">
        <f>IF(AND('Month 03'!L73&lt;&gt;"",N('Month 03'!I73)&gt;0),'Month 03'!I73,"")</f>
        <v/>
      </c>
      <c r="D611">
        <f>IF(C611="","",IF(N('Month 03'!J73)&gt;0,'Month 03'!J73,1))</f>
        <v/>
      </c>
      <c r="E611">
        <f>IF(OR(C611="",D611=""),"",IF(D611=1,C611,ROUND(C611*(1+D611/30),1)))</f>
        <v/>
      </c>
    </row>
    <row r="612">
      <c r="A612">
        <f>'Month 03'!B74</f>
        <v/>
      </c>
      <c r="B612" t="inlineStr">
        <is>
          <t>Vertical Jump</t>
        </is>
      </c>
      <c r="C612">
        <f>IF(AND('Month 03'!L76&lt;&gt;"",N('Month 03'!I76)&gt;0),'Month 03'!I76,"")</f>
        <v/>
      </c>
      <c r="D612">
        <f>IF(C612="","",IF(N('Month 03'!J76)&gt;0,'Month 03'!J76,1))</f>
        <v/>
      </c>
      <c r="E612">
        <f>IF(OR(C612="",D612=""),"",IF(D612=1,C612,ROUND(C612*(1+D612/30),1)))</f>
        <v/>
      </c>
    </row>
    <row r="613">
      <c r="A613">
        <f>'Month 03'!B74</f>
        <v/>
      </c>
      <c r="B613" t="inlineStr">
        <is>
          <t>Vertical Jump</t>
        </is>
      </c>
      <c r="C613">
        <f>IF(AND('Month 03'!L77&lt;&gt;"",N('Month 03'!I77)&gt;0),'Month 03'!I77,"")</f>
        <v/>
      </c>
      <c r="D613">
        <f>IF(C613="","",IF(N('Month 03'!J77)&gt;0,'Month 03'!J77,1))</f>
        <v/>
      </c>
      <c r="E613">
        <f>IF(OR(C613="",D613=""),"",IF(D613=1,C613,ROUND(C613*(1+D613/30),1)))</f>
        <v/>
      </c>
    </row>
    <row r="614">
      <c r="A614">
        <f>'Month 03'!B74</f>
        <v/>
      </c>
      <c r="B614" t="inlineStr">
        <is>
          <t>Vertical Jump</t>
        </is>
      </c>
      <c r="C614">
        <f>IF(AND('Month 03'!L78&lt;&gt;"",N('Month 03'!I78)&gt;0),'Month 03'!I78,"")</f>
        <v/>
      </c>
      <c r="D614">
        <f>IF(C614="","",IF(N('Month 03'!J78)&gt;0,'Month 03'!J78,1))</f>
        <v/>
      </c>
      <c r="E614">
        <f>IF(OR(C614="",D614=""),"",IF(D614=1,C614,ROUND(C614*(1+D614/30),1)))</f>
        <v/>
      </c>
    </row>
    <row r="615">
      <c r="A615">
        <f>'Month 03'!B74</f>
        <v/>
      </c>
      <c r="B615" t="inlineStr">
        <is>
          <t>Hang Snatch</t>
        </is>
      </c>
      <c r="C615">
        <f>IF(AND('Month 03'!L80&lt;&gt;"",N('Month 03'!I80)&gt;0),'Month 03'!I80,"")</f>
        <v/>
      </c>
      <c r="D615">
        <f>IF(C615="","",IF(N('Month 03'!J80)&gt;0,'Month 03'!J80,1))</f>
        <v/>
      </c>
      <c r="E615">
        <f>IF(OR(C615="",D615=""),"",IF(D615=1,C615,ROUND(C615*(1+D615/30),1)))</f>
        <v/>
      </c>
    </row>
    <row r="616">
      <c r="A616">
        <f>'Month 03'!B74</f>
        <v/>
      </c>
      <c r="B616" t="inlineStr">
        <is>
          <t>Hang Snatch</t>
        </is>
      </c>
      <c r="C616">
        <f>IF(AND('Month 03'!L81&lt;&gt;"",N('Month 03'!I81)&gt;0),'Month 03'!I81,"")</f>
        <v/>
      </c>
      <c r="D616">
        <f>IF(C616="","",IF(N('Month 03'!J81)&gt;0,'Month 03'!J81,1))</f>
        <v/>
      </c>
      <c r="E616">
        <f>IF(OR(C616="",D616=""),"",IF(D616=1,C616,ROUND(C616*(1+D616/30),1)))</f>
        <v/>
      </c>
    </row>
    <row r="617">
      <c r="A617">
        <f>'Month 03'!B74</f>
        <v/>
      </c>
      <c r="B617" t="inlineStr">
        <is>
          <t>Hang Snatch</t>
        </is>
      </c>
      <c r="C617">
        <f>IF(AND('Month 03'!L82&lt;&gt;"",N('Month 03'!I82)&gt;0),'Month 03'!I82,"")</f>
        <v/>
      </c>
      <c r="D617">
        <f>IF(C617="","",IF(N('Month 03'!J82)&gt;0,'Month 03'!J82,1))</f>
        <v/>
      </c>
      <c r="E617">
        <f>IF(OR(C617="",D617=""),"",IF(D617=1,C617,ROUND(C617*(1+D617/30),1)))</f>
        <v/>
      </c>
    </row>
    <row r="618">
      <c r="A618">
        <f>'Month 03'!B74</f>
        <v/>
      </c>
      <c r="B618" t="inlineStr">
        <is>
          <t>Hang Snatch</t>
        </is>
      </c>
      <c r="C618">
        <f>IF(AND('Month 03'!L83&lt;&gt;"",N('Month 03'!I83)&gt;0),'Month 03'!I83,"")</f>
        <v/>
      </c>
      <c r="D618">
        <f>IF(C618="","",IF(N('Month 03'!J83)&gt;0,'Month 03'!J83,1))</f>
        <v/>
      </c>
      <c r="E618">
        <f>IF(OR(C618="",D618=""),"",IF(D618=1,C618,ROUND(C618*(1+D618/30),1)))</f>
        <v/>
      </c>
    </row>
    <row r="619">
      <c r="A619">
        <f>'Month 03'!B74</f>
        <v/>
      </c>
      <c r="B619" t="inlineStr">
        <is>
          <t>Front Squat</t>
        </is>
      </c>
      <c r="C619">
        <f>IF(AND('Month 03'!L85&lt;&gt;"",N('Month 03'!I85)&gt;0),'Month 03'!I85,"")</f>
        <v/>
      </c>
      <c r="D619">
        <f>IF(C619="","",IF(N('Month 03'!J85)&gt;0,'Month 03'!J85,1))</f>
        <v/>
      </c>
      <c r="E619">
        <f>IF(OR(C619="",D619=""),"",IF(D619=1,C619,ROUND(C619*(1+D619/30),1)))</f>
        <v/>
      </c>
    </row>
    <row r="620">
      <c r="A620">
        <f>'Month 03'!B74</f>
        <v/>
      </c>
      <c r="B620" t="inlineStr">
        <is>
          <t>Front Squat</t>
        </is>
      </c>
      <c r="C620">
        <f>IF(AND('Month 03'!L86&lt;&gt;"",N('Month 03'!I86)&gt;0),'Month 03'!I86,"")</f>
        <v/>
      </c>
      <c r="D620">
        <f>IF(C620="","",IF(N('Month 03'!J86)&gt;0,'Month 03'!J86,1))</f>
        <v/>
      </c>
      <c r="E620">
        <f>IF(OR(C620="",D620=""),"",IF(D620=1,C620,ROUND(C620*(1+D620/30),1)))</f>
        <v/>
      </c>
    </row>
    <row r="621">
      <c r="A621">
        <f>'Month 03'!B74</f>
        <v/>
      </c>
      <c r="B621" t="inlineStr">
        <is>
          <t>Front Squat</t>
        </is>
      </c>
      <c r="C621">
        <f>IF(AND('Month 03'!L87&lt;&gt;"",N('Month 03'!I87)&gt;0),'Month 03'!I87,"")</f>
        <v/>
      </c>
      <c r="D621">
        <f>IF(C621="","",IF(N('Month 03'!J87)&gt;0,'Month 03'!J87,1))</f>
        <v/>
      </c>
      <c r="E621">
        <f>IF(OR(C621="",D621=""),"",IF(D621=1,C621,ROUND(C621*(1+D621/30),1)))</f>
        <v/>
      </c>
    </row>
    <row r="622">
      <c r="A622">
        <f>'Month 03'!B74</f>
        <v/>
      </c>
      <c r="B622" t="inlineStr">
        <is>
          <t>Front Squat</t>
        </is>
      </c>
      <c r="C622">
        <f>IF(AND('Month 03'!L88&lt;&gt;"",N('Month 03'!I88)&gt;0),'Month 03'!I88,"")</f>
        <v/>
      </c>
      <c r="D622">
        <f>IF(C622="","",IF(N('Month 03'!J88)&gt;0,'Month 03'!J88,1))</f>
        <v/>
      </c>
      <c r="E622">
        <f>IF(OR(C622="",D622=""),"",IF(D622=1,C622,ROUND(C622*(1+D622/30),1)))</f>
        <v/>
      </c>
    </row>
    <row r="623">
      <c r="A623">
        <f>'Month 03'!B74</f>
        <v/>
      </c>
      <c r="B623" t="inlineStr">
        <is>
          <t>Pause Bench Press</t>
        </is>
      </c>
      <c r="C623">
        <f>IF(AND('Month 03'!L90&lt;&gt;"",N('Month 03'!I90)&gt;0),'Month 03'!I90,"")</f>
        <v/>
      </c>
      <c r="D623">
        <f>IF(C623="","",IF(N('Month 03'!J90)&gt;0,'Month 03'!J90,1))</f>
        <v/>
      </c>
      <c r="E623">
        <f>IF(OR(C623="",D623=""),"",IF(D623=1,C623,ROUND(C623*(1+D623/30),1)))</f>
        <v/>
      </c>
    </row>
    <row r="624">
      <c r="A624">
        <f>'Month 03'!B74</f>
        <v/>
      </c>
      <c r="B624" t="inlineStr">
        <is>
          <t>Pause Bench Press</t>
        </is>
      </c>
      <c r="C624">
        <f>IF(AND('Month 03'!L91&lt;&gt;"",N('Month 03'!I91)&gt;0),'Month 03'!I91,"")</f>
        <v/>
      </c>
      <c r="D624">
        <f>IF(C624="","",IF(N('Month 03'!J91)&gt;0,'Month 03'!J91,1))</f>
        <v/>
      </c>
      <c r="E624">
        <f>IF(OR(C624="",D624=""),"",IF(D624=1,C624,ROUND(C624*(1+D624/30),1)))</f>
        <v/>
      </c>
    </row>
    <row r="625">
      <c r="A625">
        <f>'Month 03'!B74</f>
        <v/>
      </c>
      <c r="B625" t="inlineStr">
        <is>
          <t>Pause Bench Press</t>
        </is>
      </c>
      <c r="C625">
        <f>IF(AND('Month 03'!L92&lt;&gt;"",N('Month 03'!I92)&gt;0),'Month 03'!I92,"")</f>
        <v/>
      </c>
      <c r="D625">
        <f>IF(C625="","",IF(N('Month 03'!J92)&gt;0,'Month 03'!J92,1))</f>
        <v/>
      </c>
      <c r="E625">
        <f>IF(OR(C625="",D625=""),"",IF(D625=1,C625,ROUND(C625*(1+D625/30),1)))</f>
        <v/>
      </c>
    </row>
    <row r="626">
      <c r="A626">
        <f>'Month 03'!B74</f>
        <v/>
      </c>
      <c r="B626" t="inlineStr">
        <is>
          <t>Pause Bench Press</t>
        </is>
      </c>
      <c r="C626">
        <f>IF(AND('Month 03'!L93&lt;&gt;"",N('Month 03'!I93)&gt;0),'Month 03'!I93,"")</f>
        <v/>
      </c>
      <c r="D626">
        <f>IF(C626="","",IF(N('Month 03'!J93)&gt;0,'Month 03'!J93,1))</f>
        <v/>
      </c>
      <c r="E626">
        <f>IF(OR(C626="",D626=""),"",IF(D626=1,C626,ROUND(C626*(1+D626/30),1)))</f>
        <v/>
      </c>
    </row>
    <row r="627">
      <c r="A627">
        <f>'Month 03'!B74</f>
        <v/>
      </c>
      <c r="B627" t="inlineStr">
        <is>
          <t>Paused Deadlift</t>
        </is>
      </c>
      <c r="C627">
        <f>IF(AND('Month 03'!L95&lt;&gt;"",N('Month 03'!I95)&gt;0),'Month 03'!I95,"")</f>
        <v/>
      </c>
      <c r="D627">
        <f>IF(C627="","",IF(N('Month 03'!J95)&gt;0,'Month 03'!J95,1))</f>
        <v/>
      </c>
      <c r="E627">
        <f>IF(OR(C627="",D627=""),"",IF(D627=1,C627,ROUND(C627*(1+D627/30),1)))</f>
        <v/>
      </c>
    </row>
    <row r="628">
      <c r="A628">
        <f>'Month 03'!B74</f>
        <v/>
      </c>
      <c r="B628" t="inlineStr">
        <is>
          <t>Paused Deadlift</t>
        </is>
      </c>
      <c r="C628">
        <f>IF(AND('Month 03'!L96&lt;&gt;"",N('Month 03'!I96)&gt;0),'Month 03'!I96,"")</f>
        <v/>
      </c>
      <c r="D628">
        <f>IF(C628="","",IF(N('Month 03'!J96)&gt;0,'Month 03'!J96,1))</f>
        <v/>
      </c>
      <c r="E628">
        <f>IF(OR(C628="",D628=""),"",IF(D628=1,C628,ROUND(C628*(1+D628/30),1)))</f>
        <v/>
      </c>
    </row>
    <row r="629">
      <c r="A629">
        <f>'Month 03'!B74</f>
        <v/>
      </c>
      <c r="B629" t="inlineStr">
        <is>
          <t>Paused Deadlift</t>
        </is>
      </c>
      <c r="C629">
        <f>IF(AND('Month 03'!L97&lt;&gt;"",N('Month 03'!I97)&gt;0),'Month 03'!I97,"")</f>
        <v/>
      </c>
      <c r="D629">
        <f>IF(C629="","",IF(N('Month 03'!J97)&gt;0,'Month 03'!J97,1))</f>
        <v/>
      </c>
      <c r="E629">
        <f>IF(OR(C629="",D629=""),"",IF(D629=1,C629,ROUND(C629*(1+D629/30),1)))</f>
        <v/>
      </c>
    </row>
    <row r="630">
      <c r="A630">
        <f>'Month 03'!B74</f>
        <v/>
      </c>
      <c r="B630" t="inlineStr">
        <is>
          <t>Paused Deadlift</t>
        </is>
      </c>
      <c r="C630">
        <f>IF(AND('Month 03'!L98&lt;&gt;"",N('Month 03'!I98)&gt;0),'Month 03'!I98,"")</f>
        <v/>
      </c>
      <c r="D630">
        <f>IF(C630="","",IF(N('Month 03'!J98)&gt;0,'Month 03'!J98,1))</f>
        <v/>
      </c>
      <c r="E630">
        <f>IF(OR(C630="",D630=""),"",IF(D630=1,C630,ROUND(C630*(1+D630/30),1)))</f>
        <v/>
      </c>
    </row>
    <row r="631">
      <c r="A631">
        <f>'Month 03'!B74</f>
        <v/>
      </c>
      <c r="B631" t="inlineStr">
        <is>
          <t>Incline Dumbbell Press</t>
        </is>
      </c>
      <c r="C631">
        <f>IF(AND('Month 03'!L100&lt;&gt;"",N('Month 03'!I100)&gt;0),'Month 03'!I100,"")</f>
        <v/>
      </c>
      <c r="D631">
        <f>IF(C631="","",IF(N('Month 03'!J100)&gt;0,'Month 03'!J100,1))</f>
        <v/>
      </c>
      <c r="E631">
        <f>IF(OR(C631="",D631=""),"",IF(D631=1,C631,ROUND(C631*(1+D631/30),1)))</f>
        <v/>
      </c>
    </row>
    <row r="632">
      <c r="A632">
        <f>'Month 03'!B74</f>
        <v/>
      </c>
      <c r="B632" t="inlineStr">
        <is>
          <t>Incline Dumbbell Press</t>
        </is>
      </c>
      <c r="C632">
        <f>IF(AND('Month 03'!L101&lt;&gt;"",N('Month 03'!I101)&gt;0),'Month 03'!I101,"")</f>
        <v/>
      </c>
      <c r="D632">
        <f>IF(C632="","",IF(N('Month 03'!J101)&gt;0,'Month 03'!J101,1))</f>
        <v/>
      </c>
      <c r="E632">
        <f>IF(OR(C632="",D632=""),"",IF(D632=1,C632,ROUND(C632*(1+D632/30),1)))</f>
        <v/>
      </c>
    </row>
    <row r="633">
      <c r="A633">
        <f>'Month 03'!B74</f>
        <v/>
      </c>
      <c r="B633" t="inlineStr">
        <is>
          <t>Incline Dumbbell Press</t>
        </is>
      </c>
      <c r="C633">
        <f>IF(AND('Month 03'!L102&lt;&gt;"",N('Month 03'!I102)&gt;0),'Month 03'!I102,"")</f>
        <v/>
      </c>
      <c r="D633">
        <f>IF(C633="","",IF(N('Month 03'!J102)&gt;0,'Month 03'!J102,1))</f>
        <v/>
      </c>
      <c r="E633">
        <f>IF(OR(C633="",D633=""),"",IF(D633=1,C633,ROUND(C633*(1+D633/30),1)))</f>
        <v/>
      </c>
    </row>
    <row r="634">
      <c r="A634">
        <f>'Month 03'!B74</f>
        <v/>
      </c>
      <c r="B634" t="inlineStr">
        <is>
          <t>Triceps Pushdown</t>
        </is>
      </c>
      <c r="C634">
        <f>IF(AND('Month 03'!L104&lt;&gt;"",N('Month 03'!I104)&gt;0),'Month 03'!I104,"")</f>
        <v/>
      </c>
      <c r="D634">
        <f>IF(C634="","",IF(N('Month 03'!J104)&gt;0,'Month 03'!J104,1))</f>
        <v/>
      </c>
      <c r="E634">
        <f>IF(OR(C634="",D634=""),"",IF(D634=1,C634,ROUND(C634*(1+D634/30),1)))</f>
        <v/>
      </c>
    </row>
    <row r="635">
      <c r="A635">
        <f>'Month 03'!B74</f>
        <v/>
      </c>
      <c r="B635" t="inlineStr">
        <is>
          <t>Triceps Pushdown</t>
        </is>
      </c>
      <c r="C635">
        <f>IF(AND('Month 03'!L105&lt;&gt;"",N('Month 03'!I105)&gt;0),'Month 03'!I105,"")</f>
        <v/>
      </c>
      <c r="D635">
        <f>IF(C635="","",IF(N('Month 03'!J105)&gt;0,'Month 03'!J105,1))</f>
        <v/>
      </c>
      <c r="E635">
        <f>IF(OR(C635="",D635=""),"",IF(D635=1,C635,ROUND(C635*(1+D635/30),1)))</f>
        <v/>
      </c>
    </row>
    <row r="636">
      <c r="A636">
        <f>'Month 03'!B74</f>
        <v/>
      </c>
      <c r="B636" t="inlineStr">
        <is>
          <t>Triceps Pushdown</t>
        </is>
      </c>
      <c r="C636">
        <f>IF(AND('Month 03'!L106&lt;&gt;"",N('Month 03'!I106)&gt;0),'Month 03'!I106,"")</f>
        <v/>
      </c>
      <c r="D636">
        <f>IF(C636="","",IF(N('Month 03'!J106)&gt;0,'Month 03'!J106,1))</f>
        <v/>
      </c>
      <c r="E636">
        <f>IF(OR(C636="",D636=""),"",IF(D636=1,C636,ROUND(C636*(1+D636/30),1)))</f>
        <v/>
      </c>
    </row>
    <row r="637">
      <c r="A637">
        <f>'Month 03'!B109</f>
        <v/>
      </c>
      <c r="B637" t="inlineStr">
        <is>
          <t>Box Jump</t>
        </is>
      </c>
      <c r="C637">
        <f>IF(AND('Month 03'!L111&lt;&gt;"",N('Month 03'!I111)&gt;0),'Month 03'!I111,"")</f>
        <v/>
      </c>
      <c r="D637">
        <f>IF(C637="","",IF(N('Month 03'!J111)&gt;0,'Month 03'!J111,1))</f>
        <v/>
      </c>
      <c r="E637">
        <f>IF(OR(C637="",D637=""),"",IF(D637=1,C637,ROUND(C637*(1+D637/30),1)))</f>
        <v/>
      </c>
    </row>
    <row r="638">
      <c r="A638">
        <f>'Month 03'!B109</f>
        <v/>
      </c>
      <c r="B638" t="inlineStr">
        <is>
          <t>Box Jump</t>
        </is>
      </c>
      <c r="C638">
        <f>IF(AND('Month 03'!L112&lt;&gt;"",N('Month 03'!I112)&gt;0),'Month 03'!I112,"")</f>
        <v/>
      </c>
      <c r="D638">
        <f>IF(C638="","",IF(N('Month 03'!J112)&gt;0,'Month 03'!J112,1))</f>
        <v/>
      </c>
      <c r="E638">
        <f>IF(OR(C638="",D638=""),"",IF(D638=1,C638,ROUND(C638*(1+D638/30),1)))</f>
        <v/>
      </c>
    </row>
    <row r="639">
      <c r="A639">
        <f>'Month 03'!B109</f>
        <v/>
      </c>
      <c r="B639" t="inlineStr">
        <is>
          <t>Box Jump</t>
        </is>
      </c>
      <c r="C639">
        <f>IF(AND('Month 03'!L113&lt;&gt;"",N('Month 03'!I113)&gt;0),'Month 03'!I113,"")</f>
        <v/>
      </c>
      <c r="D639">
        <f>IF(C639="","",IF(N('Month 03'!J113)&gt;0,'Month 03'!J113,1))</f>
        <v/>
      </c>
      <c r="E639">
        <f>IF(OR(C639="",D639=""),"",IF(D639=1,C639,ROUND(C639*(1+D639/30),1)))</f>
        <v/>
      </c>
    </row>
    <row r="640">
      <c r="A640">
        <f>'Month 03'!B109</f>
        <v/>
      </c>
      <c r="B640" t="inlineStr">
        <is>
          <t>Snatch</t>
        </is>
      </c>
      <c r="C640">
        <f>IF(AND('Month 03'!L115&lt;&gt;"",N('Month 03'!I115)&gt;0),'Month 03'!I115,"")</f>
        <v/>
      </c>
      <c r="D640">
        <f>IF(C640="","",IF(N('Month 03'!J115)&gt;0,'Month 03'!J115,1))</f>
        <v/>
      </c>
      <c r="E640">
        <f>IF(OR(C640="",D640=""),"",IF(D640=1,C640,ROUND(C640*(1+D640/30),1)))</f>
        <v/>
      </c>
    </row>
    <row r="641">
      <c r="A641">
        <f>'Month 03'!B109</f>
        <v/>
      </c>
      <c r="B641" t="inlineStr">
        <is>
          <t>Snatch</t>
        </is>
      </c>
      <c r="C641">
        <f>IF(AND('Month 03'!L116&lt;&gt;"",N('Month 03'!I116)&gt;0),'Month 03'!I116,"")</f>
        <v/>
      </c>
      <c r="D641">
        <f>IF(C641="","",IF(N('Month 03'!J116)&gt;0,'Month 03'!J116,1))</f>
        <v/>
      </c>
      <c r="E641">
        <f>IF(OR(C641="",D641=""),"",IF(D641=1,C641,ROUND(C641*(1+D641/30),1)))</f>
        <v/>
      </c>
    </row>
    <row r="642">
      <c r="A642">
        <f>'Month 03'!B109</f>
        <v/>
      </c>
      <c r="B642" t="inlineStr">
        <is>
          <t>Snatch</t>
        </is>
      </c>
      <c r="C642">
        <f>IF(AND('Month 03'!L117&lt;&gt;"",N('Month 03'!I117)&gt;0),'Month 03'!I117,"")</f>
        <v/>
      </c>
      <c r="D642">
        <f>IF(C642="","",IF(N('Month 03'!J117)&gt;0,'Month 03'!J117,1))</f>
        <v/>
      </c>
      <c r="E642">
        <f>IF(OR(C642="",D642=""),"",IF(D642=1,C642,ROUND(C642*(1+D642/30),1)))</f>
        <v/>
      </c>
    </row>
    <row r="643">
      <c r="A643">
        <f>'Month 03'!B109</f>
        <v/>
      </c>
      <c r="B643" t="inlineStr">
        <is>
          <t>Snatch</t>
        </is>
      </c>
      <c r="C643">
        <f>IF(AND('Month 03'!L118&lt;&gt;"",N('Month 03'!I118)&gt;0),'Month 03'!I118,"")</f>
        <v/>
      </c>
      <c r="D643">
        <f>IF(C643="","",IF(N('Month 03'!J118)&gt;0,'Month 03'!J118,1))</f>
        <v/>
      </c>
      <c r="E643">
        <f>IF(OR(C643="",D643=""),"",IF(D643=1,C643,ROUND(C643*(1+D643/30),1)))</f>
        <v/>
      </c>
    </row>
    <row r="644">
      <c r="A644">
        <f>'Month 03'!B109</f>
        <v/>
      </c>
      <c r="B644" t="inlineStr">
        <is>
          <t>Squat</t>
        </is>
      </c>
      <c r="C644">
        <f>IF(AND('Month 03'!L120&lt;&gt;"",N('Month 03'!I120)&gt;0),'Month 03'!I120,"")</f>
        <v/>
      </c>
      <c r="D644">
        <f>IF(C644="","",IF(N('Month 03'!J120)&gt;0,'Month 03'!J120,1))</f>
        <v/>
      </c>
      <c r="E644">
        <f>IF(OR(C644="",D644=""),"",IF(D644=1,C644,ROUND(C644*(1+D644/30),1)))</f>
        <v/>
      </c>
    </row>
    <row r="645">
      <c r="A645">
        <f>'Month 03'!B109</f>
        <v/>
      </c>
      <c r="B645" t="inlineStr">
        <is>
          <t>Squat</t>
        </is>
      </c>
      <c r="C645">
        <f>IF(AND('Month 03'!L121&lt;&gt;"",N('Month 03'!I121)&gt;0),'Month 03'!I121,"")</f>
        <v/>
      </c>
      <c r="D645">
        <f>IF(C645="","",IF(N('Month 03'!J121)&gt;0,'Month 03'!J121,1))</f>
        <v/>
      </c>
      <c r="E645">
        <f>IF(OR(C645="",D645=""),"",IF(D645=1,C645,ROUND(C645*(1+D645/30),1)))</f>
        <v/>
      </c>
    </row>
    <row r="646">
      <c r="A646">
        <f>'Month 03'!B109</f>
        <v/>
      </c>
      <c r="B646" t="inlineStr">
        <is>
          <t>Squat</t>
        </is>
      </c>
      <c r="C646">
        <f>IF(AND('Month 03'!L122&lt;&gt;"",N('Month 03'!I122)&gt;0),'Month 03'!I122,"")</f>
        <v/>
      </c>
      <c r="D646">
        <f>IF(C646="","",IF(N('Month 03'!J122)&gt;0,'Month 03'!J122,1))</f>
        <v/>
      </c>
      <c r="E646">
        <f>IF(OR(C646="",D646=""),"",IF(D646=1,C646,ROUND(C646*(1+D646/30),1)))</f>
        <v/>
      </c>
    </row>
    <row r="647">
      <c r="A647">
        <f>'Month 03'!B109</f>
        <v/>
      </c>
      <c r="B647" t="inlineStr">
        <is>
          <t>Squat</t>
        </is>
      </c>
      <c r="C647">
        <f>IF(AND('Month 03'!L123&lt;&gt;"",N('Month 03'!I123)&gt;0),'Month 03'!I123,"")</f>
        <v/>
      </c>
      <c r="D647">
        <f>IF(C647="","",IF(N('Month 03'!J123)&gt;0,'Month 03'!J123,1))</f>
        <v/>
      </c>
      <c r="E647">
        <f>IF(OR(C647="",D647=""),"",IF(D647=1,C647,ROUND(C647*(1+D647/30),1)))</f>
        <v/>
      </c>
    </row>
    <row r="648">
      <c r="A648">
        <f>'Month 03'!B109</f>
        <v/>
      </c>
      <c r="B648" t="inlineStr">
        <is>
          <t>Bench Press</t>
        </is>
      </c>
      <c r="C648">
        <f>IF(AND('Month 03'!L125&lt;&gt;"",N('Month 03'!I125)&gt;0),'Month 03'!I125,"")</f>
        <v/>
      </c>
      <c r="D648">
        <f>IF(C648="","",IF(N('Month 03'!J125)&gt;0,'Month 03'!J125,1))</f>
        <v/>
      </c>
      <c r="E648">
        <f>IF(OR(C648="",D648=""),"",IF(D648=1,C648,ROUND(C648*(1+D648/30),1)))</f>
        <v/>
      </c>
    </row>
    <row r="649">
      <c r="A649">
        <f>'Month 03'!B109</f>
        <v/>
      </c>
      <c r="B649" t="inlineStr">
        <is>
          <t>Bench Press</t>
        </is>
      </c>
      <c r="C649">
        <f>IF(AND('Month 03'!L126&lt;&gt;"",N('Month 03'!I126)&gt;0),'Month 03'!I126,"")</f>
        <v/>
      </c>
      <c r="D649">
        <f>IF(C649="","",IF(N('Month 03'!J126)&gt;0,'Month 03'!J126,1))</f>
        <v/>
      </c>
      <c r="E649">
        <f>IF(OR(C649="",D649=""),"",IF(D649=1,C649,ROUND(C649*(1+D649/30),1)))</f>
        <v/>
      </c>
    </row>
    <row r="650">
      <c r="A650">
        <f>'Month 03'!B109</f>
        <v/>
      </c>
      <c r="B650" t="inlineStr">
        <is>
          <t>Bench Press</t>
        </is>
      </c>
      <c r="C650">
        <f>IF(AND('Month 03'!L127&lt;&gt;"",N('Month 03'!I127)&gt;0),'Month 03'!I127,"")</f>
        <v/>
      </c>
      <c r="D650">
        <f>IF(C650="","",IF(N('Month 03'!J127)&gt;0,'Month 03'!J127,1))</f>
        <v/>
      </c>
      <c r="E650">
        <f>IF(OR(C650="",D650=""),"",IF(D650=1,C650,ROUND(C650*(1+D650/30),1)))</f>
        <v/>
      </c>
    </row>
    <row r="651">
      <c r="A651">
        <f>'Month 03'!B109</f>
        <v/>
      </c>
      <c r="B651" t="inlineStr">
        <is>
          <t>Bench Press</t>
        </is>
      </c>
      <c r="C651">
        <f>IF(AND('Month 03'!L128&lt;&gt;"",N('Month 03'!I128)&gt;0),'Month 03'!I128,"")</f>
        <v/>
      </c>
      <c r="D651">
        <f>IF(C651="","",IF(N('Month 03'!J128)&gt;0,'Month 03'!J128,1))</f>
        <v/>
      </c>
      <c r="E651">
        <f>IF(OR(C651="",D651=""),"",IF(D651=1,C651,ROUND(C651*(1+D651/30),1)))</f>
        <v/>
      </c>
    </row>
    <row r="652">
      <c r="A652">
        <f>'Month 03'!B109</f>
        <v/>
      </c>
      <c r="B652" t="inlineStr">
        <is>
          <t>Barbell Row</t>
        </is>
      </c>
      <c r="C652">
        <f>IF(AND('Month 03'!L130&lt;&gt;"",N('Month 03'!I130)&gt;0),'Month 03'!I130,"")</f>
        <v/>
      </c>
      <c r="D652">
        <f>IF(C652="","",IF(N('Month 03'!J130)&gt;0,'Month 03'!J130,1))</f>
        <v/>
      </c>
      <c r="E652">
        <f>IF(OR(C652="",D652=""),"",IF(D652=1,C652,ROUND(C652*(1+D652/30),1)))</f>
        <v/>
      </c>
    </row>
    <row r="653">
      <c r="A653">
        <f>'Month 03'!B109</f>
        <v/>
      </c>
      <c r="B653" t="inlineStr">
        <is>
          <t>Barbell Row</t>
        </is>
      </c>
      <c r="C653">
        <f>IF(AND('Month 03'!L131&lt;&gt;"",N('Month 03'!I131)&gt;0),'Month 03'!I131,"")</f>
        <v/>
      </c>
      <c r="D653">
        <f>IF(C653="","",IF(N('Month 03'!J131)&gt;0,'Month 03'!J131,1))</f>
        <v/>
      </c>
      <c r="E653">
        <f>IF(OR(C653="",D653=""),"",IF(D653=1,C653,ROUND(C653*(1+D653/30),1)))</f>
        <v/>
      </c>
    </row>
    <row r="654">
      <c r="A654">
        <f>'Month 03'!B109</f>
        <v/>
      </c>
      <c r="B654" t="inlineStr">
        <is>
          <t>Barbell Row</t>
        </is>
      </c>
      <c r="C654">
        <f>IF(AND('Month 03'!L132&lt;&gt;"",N('Month 03'!I132)&gt;0),'Month 03'!I132,"")</f>
        <v/>
      </c>
      <c r="D654">
        <f>IF(C654="","",IF(N('Month 03'!J132)&gt;0,'Month 03'!J132,1))</f>
        <v/>
      </c>
      <c r="E654">
        <f>IF(OR(C654="",D654=""),"",IF(D654=1,C654,ROUND(C654*(1+D654/30),1)))</f>
        <v/>
      </c>
    </row>
    <row r="655">
      <c r="A655">
        <f>'Month 03'!B109</f>
        <v/>
      </c>
      <c r="B655" t="inlineStr">
        <is>
          <t>Face Pull</t>
        </is>
      </c>
      <c r="C655">
        <f>IF(AND('Month 03'!L134&lt;&gt;"",N('Month 03'!I134)&gt;0),'Month 03'!I134,"")</f>
        <v/>
      </c>
      <c r="D655">
        <f>IF(C655="","",IF(N('Month 03'!J134)&gt;0,'Month 03'!J134,1))</f>
        <v/>
      </c>
      <c r="E655">
        <f>IF(OR(C655="",D655=""),"",IF(D655=1,C655,ROUND(C655*(1+D655/30),1)))</f>
        <v/>
      </c>
    </row>
    <row r="656">
      <c r="A656">
        <f>'Month 03'!B109</f>
        <v/>
      </c>
      <c r="B656" t="inlineStr">
        <is>
          <t>Face Pull</t>
        </is>
      </c>
      <c r="C656">
        <f>IF(AND('Month 03'!L135&lt;&gt;"",N('Month 03'!I135)&gt;0),'Month 03'!I135,"")</f>
        <v/>
      </c>
      <c r="D656">
        <f>IF(C656="","",IF(N('Month 03'!J135)&gt;0,'Month 03'!J135,1))</f>
        <v/>
      </c>
      <c r="E656">
        <f>IF(OR(C656="",D656=""),"",IF(D656=1,C656,ROUND(C656*(1+D656/30),1)))</f>
        <v/>
      </c>
    </row>
    <row r="657">
      <c r="A657">
        <f>'Month 03'!B109</f>
        <v/>
      </c>
      <c r="B657" t="inlineStr">
        <is>
          <t>Face Pull</t>
        </is>
      </c>
      <c r="C657">
        <f>IF(AND('Month 03'!L136&lt;&gt;"",N('Month 03'!I136)&gt;0),'Month 03'!I136,"")</f>
        <v/>
      </c>
      <c r="D657">
        <f>IF(C657="","",IF(N('Month 03'!J136)&gt;0,'Month 03'!J136,1))</f>
        <v/>
      </c>
      <c r="E657">
        <f>IF(OR(C657="",D657=""),"",IF(D657=1,C657,ROUND(C657*(1+D657/30),1)))</f>
        <v/>
      </c>
    </row>
    <row r="658">
      <c r="A658">
        <f>'Month 03'!B137</f>
        <v/>
      </c>
      <c r="B658" t="inlineStr">
        <is>
          <t>Broad Jump</t>
        </is>
      </c>
      <c r="C658">
        <f>IF(AND('Month 03'!L139&lt;&gt;"",N('Month 03'!I139)&gt;0),'Month 03'!I139,"")</f>
        <v/>
      </c>
      <c r="D658">
        <f>IF(C658="","",IF(N('Month 03'!J139)&gt;0,'Month 03'!J139,1))</f>
        <v/>
      </c>
      <c r="E658">
        <f>IF(OR(C658="",D658=""),"",IF(D658=1,C658,ROUND(C658*(1+D658/30),1)))</f>
        <v/>
      </c>
    </row>
    <row r="659">
      <c r="A659">
        <f>'Month 03'!B137</f>
        <v/>
      </c>
      <c r="B659" t="inlineStr">
        <is>
          <t>Broad Jump</t>
        </is>
      </c>
      <c r="C659">
        <f>IF(AND('Month 03'!L140&lt;&gt;"",N('Month 03'!I140)&gt;0),'Month 03'!I140,"")</f>
        <v/>
      </c>
      <c r="D659">
        <f>IF(C659="","",IF(N('Month 03'!J140)&gt;0,'Month 03'!J140,1))</f>
        <v/>
      </c>
      <c r="E659">
        <f>IF(OR(C659="",D659=""),"",IF(D659=1,C659,ROUND(C659*(1+D659/30),1)))</f>
        <v/>
      </c>
    </row>
    <row r="660">
      <c r="A660">
        <f>'Month 03'!B137</f>
        <v/>
      </c>
      <c r="B660" t="inlineStr">
        <is>
          <t>Broad Jump</t>
        </is>
      </c>
      <c r="C660">
        <f>IF(AND('Month 03'!L141&lt;&gt;"",N('Month 03'!I141)&gt;0),'Month 03'!I141,"")</f>
        <v/>
      </c>
      <c r="D660">
        <f>IF(C660="","",IF(N('Month 03'!J141)&gt;0,'Month 03'!J141,1))</f>
        <v/>
      </c>
      <c r="E660">
        <f>IF(OR(C660="",D660=""),"",IF(D660=1,C660,ROUND(C660*(1+D660/30),1)))</f>
        <v/>
      </c>
    </row>
    <row r="661">
      <c r="A661">
        <f>'Month 03'!B137</f>
        <v/>
      </c>
      <c r="B661" t="inlineStr">
        <is>
          <t>Med Ball Chest Pass</t>
        </is>
      </c>
      <c r="C661">
        <f>IF(AND('Month 03'!L143&lt;&gt;"",N('Month 03'!I143)&gt;0),'Month 03'!I143,"")</f>
        <v/>
      </c>
      <c r="D661">
        <f>IF(C661="","",IF(N('Month 03'!J143)&gt;0,'Month 03'!J143,1))</f>
        <v/>
      </c>
      <c r="E661">
        <f>IF(OR(C661="",D661=""),"",IF(D661=1,C661,ROUND(C661*(1+D661/30),1)))</f>
        <v/>
      </c>
    </row>
    <row r="662">
      <c r="A662">
        <f>'Month 03'!B137</f>
        <v/>
      </c>
      <c r="B662" t="inlineStr">
        <is>
          <t>Med Ball Chest Pass</t>
        </is>
      </c>
      <c r="C662">
        <f>IF(AND('Month 03'!L144&lt;&gt;"",N('Month 03'!I144)&gt;0),'Month 03'!I144,"")</f>
        <v/>
      </c>
      <c r="D662">
        <f>IF(C662="","",IF(N('Month 03'!J144)&gt;0,'Month 03'!J144,1))</f>
        <v/>
      </c>
      <c r="E662">
        <f>IF(OR(C662="",D662=""),"",IF(D662=1,C662,ROUND(C662*(1+D662/30),1)))</f>
        <v/>
      </c>
    </row>
    <row r="663">
      <c r="A663">
        <f>'Month 03'!B137</f>
        <v/>
      </c>
      <c r="B663" t="inlineStr">
        <is>
          <t>Clean &amp; Jerk</t>
        </is>
      </c>
      <c r="C663">
        <f>IF(AND('Month 03'!L146&lt;&gt;"",N('Month 03'!I146)&gt;0),'Month 03'!I146,"")</f>
        <v/>
      </c>
      <c r="D663">
        <f>IF(C663="","",IF(N('Month 03'!J146)&gt;0,'Month 03'!J146,1))</f>
        <v/>
      </c>
      <c r="E663">
        <f>IF(OR(C663="",D663=""),"",IF(D663=1,C663,ROUND(C663*(1+D663/30),1)))</f>
        <v/>
      </c>
    </row>
    <row r="664">
      <c r="A664">
        <f>'Month 03'!B137</f>
        <v/>
      </c>
      <c r="B664" t="inlineStr">
        <is>
          <t>Clean &amp; Jerk</t>
        </is>
      </c>
      <c r="C664">
        <f>IF(AND('Month 03'!L147&lt;&gt;"",N('Month 03'!I147)&gt;0),'Month 03'!I147,"")</f>
        <v/>
      </c>
      <c r="D664">
        <f>IF(C664="","",IF(N('Month 03'!J147)&gt;0,'Month 03'!J147,1))</f>
        <v/>
      </c>
      <c r="E664">
        <f>IF(OR(C664="",D664=""),"",IF(D664=1,C664,ROUND(C664*(1+D664/30),1)))</f>
        <v/>
      </c>
    </row>
    <row r="665">
      <c r="A665">
        <f>'Month 03'!B137</f>
        <v/>
      </c>
      <c r="B665" t="inlineStr">
        <is>
          <t>Clean &amp; Jerk</t>
        </is>
      </c>
      <c r="C665">
        <f>IF(AND('Month 03'!L148&lt;&gt;"",N('Month 03'!I148)&gt;0),'Month 03'!I148,"")</f>
        <v/>
      </c>
      <c r="D665">
        <f>IF(C665="","",IF(N('Month 03'!J148)&gt;0,'Month 03'!J148,1))</f>
        <v/>
      </c>
      <c r="E665">
        <f>IF(OR(C665="",D665=""),"",IF(D665=1,C665,ROUND(C665*(1+D665/30),1)))</f>
        <v/>
      </c>
    </row>
    <row r="666">
      <c r="A666">
        <f>'Month 03'!B137</f>
        <v/>
      </c>
      <c r="B666" t="inlineStr">
        <is>
          <t>Clean &amp; Jerk</t>
        </is>
      </c>
      <c r="C666">
        <f>IF(AND('Month 03'!L149&lt;&gt;"",N('Month 03'!I149)&gt;0),'Month 03'!I149,"")</f>
        <v/>
      </c>
      <c r="D666">
        <f>IF(C666="","",IF(N('Month 03'!J149)&gt;0,'Month 03'!J149,1))</f>
        <v/>
      </c>
      <c r="E666">
        <f>IF(OR(C666="",D666=""),"",IF(D666=1,C666,ROUND(C666*(1+D666/30),1)))</f>
        <v/>
      </c>
    </row>
    <row r="667">
      <c r="A667">
        <f>'Month 03'!B137</f>
        <v/>
      </c>
      <c r="B667" t="inlineStr">
        <is>
          <t>Squat</t>
        </is>
      </c>
      <c r="C667">
        <f>IF(AND('Month 03'!L151&lt;&gt;"",N('Month 03'!I151)&gt;0),'Month 03'!I151,"")</f>
        <v/>
      </c>
      <c r="D667">
        <f>IF(C667="","",IF(N('Month 03'!J151)&gt;0,'Month 03'!J151,1))</f>
        <v/>
      </c>
      <c r="E667">
        <f>IF(OR(C667="",D667=""),"",IF(D667=1,C667,ROUND(C667*(1+D667/30),1)))</f>
        <v/>
      </c>
    </row>
    <row r="668">
      <c r="A668">
        <f>'Month 03'!B137</f>
        <v/>
      </c>
      <c r="B668" t="inlineStr">
        <is>
          <t>Squat</t>
        </is>
      </c>
      <c r="C668">
        <f>IF(AND('Month 03'!L152&lt;&gt;"",N('Month 03'!I152)&gt;0),'Month 03'!I152,"")</f>
        <v/>
      </c>
      <c r="D668">
        <f>IF(C668="","",IF(N('Month 03'!J152)&gt;0,'Month 03'!J152,1))</f>
        <v/>
      </c>
      <c r="E668">
        <f>IF(OR(C668="",D668=""),"",IF(D668=1,C668,ROUND(C668*(1+D668/30),1)))</f>
        <v/>
      </c>
    </row>
    <row r="669">
      <c r="A669">
        <f>'Month 03'!B137</f>
        <v/>
      </c>
      <c r="B669" t="inlineStr">
        <is>
          <t>Squat</t>
        </is>
      </c>
      <c r="C669">
        <f>IF(AND('Month 03'!L153&lt;&gt;"",N('Month 03'!I153)&gt;0),'Month 03'!I153,"")</f>
        <v/>
      </c>
      <c r="D669">
        <f>IF(C669="","",IF(N('Month 03'!J153)&gt;0,'Month 03'!J153,1))</f>
        <v/>
      </c>
      <c r="E669">
        <f>IF(OR(C669="",D669=""),"",IF(D669=1,C669,ROUND(C669*(1+D669/30),1)))</f>
        <v/>
      </c>
    </row>
    <row r="670">
      <c r="A670">
        <f>'Month 03'!B137</f>
        <v/>
      </c>
      <c r="B670" t="inlineStr">
        <is>
          <t>Overhead Press</t>
        </is>
      </c>
      <c r="C670">
        <f>IF(AND('Month 03'!L155&lt;&gt;"",N('Month 03'!I155)&gt;0),'Month 03'!I155,"")</f>
        <v/>
      </c>
      <c r="D670">
        <f>IF(C670="","",IF(N('Month 03'!J155)&gt;0,'Month 03'!J155,1))</f>
        <v/>
      </c>
      <c r="E670">
        <f>IF(OR(C670="",D670=""),"",IF(D670=1,C670,ROUND(C670*(1+D670/30),1)))</f>
        <v/>
      </c>
    </row>
    <row r="671">
      <c r="A671">
        <f>'Month 03'!B137</f>
        <v/>
      </c>
      <c r="B671" t="inlineStr">
        <is>
          <t>Overhead Press</t>
        </is>
      </c>
      <c r="C671">
        <f>IF(AND('Month 03'!L156&lt;&gt;"",N('Month 03'!I156)&gt;0),'Month 03'!I156,"")</f>
        <v/>
      </c>
      <c r="D671">
        <f>IF(C671="","",IF(N('Month 03'!J156)&gt;0,'Month 03'!J156,1))</f>
        <v/>
      </c>
      <c r="E671">
        <f>IF(OR(C671="",D671=""),"",IF(D671=1,C671,ROUND(C671*(1+D671/30),1)))</f>
        <v/>
      </c>
    </row>
    <row r="672">
      <c r="A672">
        <f>'Month 03'!B137</f>
        <v/>
      </c>
      <c r="B672" t="inlineStr">
        <is>
          <t>Overhead Press</t>
        </is>
      </c>
      <c r="C672">
        <f>IF(AND('Month 03'!L157&lt;&gt;"",N('Month 03'!I157)&gt;0),'Month 03'!I157,"")</f>
        <v/>
      </c>
      <c r="D672">
        <f>IF(C672="","",IF(N('Month 03'!J157)&gt;0,'Month 03'!J157,1))</f>
        <v/>
      </c>
      <c r="E672">
        <f>IF(OR(C672="",D672=""),"",IF(D672=1,C672,ROUND(C672*(1+D672/30),1)))</f>
        <v/>
      </c>
    </row>
    <row r="673">
      <c r="A673">
        <f>'Month 03'!B137</f>
        <v/>
      </c>
      <c r="B673" t="inlineStr">
        <is>
          <t>Overhead Press</t>
        </is>
      </c>
      <c r="C673">
        <f>IF(AND('Month 03'!L158&lt;&gt;"",N('Month 03'!I158)&gt;0),'Month 03'!I158,"")</f>
        <v/>
      </c>
      <c r="D673">
        <f>IF(C673="","",IF(N('Month 03'!J158)&gt;0,'Month 03'!J158,1))</f>
        <v/>
      </c>
      <c r="E673">
        <f>IF(OR(C673="",D673=""),"",IF(D673=1,C673,ROUND(C673*(1+D673/30),1)))</f>
        <v/>
      </c>
    </row>
    <row r="674">
      <c r="A674">
        <f>'Month 03'!B137</f>
        <v/>
      </c>
      <c r="B674" t="inlineStr">
        <is>
          <t>Overhead Press</t>
        </is>
      </c>
      <c r="C674">
        <f>IF(AND('Month 03'!L159&lt;&gt;"",N('Month 03'!I159)&gt;0),'Month 03'!I159,"")</f>
        <v/>
      </c>
      <c r="D674">
        <f>IF(C674="","",IF(N('Month 03'!J159)&gt;0,'Month 03'!J159,1))</f>
        <v/>
      </c>
      <c r="E674">
        <f>IF(OR(C674="",D674=""),"",IF(D674=1,C674,ROUND(C674*(1+D674/30),1)))</f>
        <v/>
      </c>
    </row>
    <row r="675">
      <c r="A675">
        <f>'Month 03'!B137</f>
        <v/>
      </c>
      <c r="B675" t="inlineStr">
        <is>
          <t>Deadlift</t>
        </is>
      </c>
      <c r="C675">
        <f>IF(AND('Month 03'!L161&lt;&gt;"",N('Month 03'!I161)&gt;0),'Month 03'!I161,"")</f>
        <v/>
      </c>
      <c r="D675">
        <f>IF(C675="","",IF(N('Month 03'!J161)&gt;0,'Month 03'!J161,1))</f>
        <v/>
      </c>
      <c r="E675">
        <f>IF(OR(C675="",D675=""),"",IF(D675=1,C675,ROUND(C675*(1+D675/30),1)))</f>
        <v/>
      </c>
    </row>
    <row r="676">
      <c r="A676">
        <f>'Month 03'!B137</f>
        <v/>
      </c>
      <c r="B676" t="inlineStr">
        <is>
          <t>Deadlift</t>
        </is>
      </c>
      <c r="C676">
        <f>IF(AND('Month 03'!L162&lt;&gt;"",N('Month 03'!I162)&gt;0),'Month 03'!I162,"")</f>
        <v/>
      </c>
      <c r="D676">
        <f>IF(C676="","",IF(N('Month 03'!J162)&gt;0,'Month 03'!J162,1))</f>
        <v/>
      </c>
      <c r="E676">
        <f>IF(OR(C676="",D676=""),"",IF(D676=1,C676,ROUND(C676*(1+D676/30),1)))</f>
        <v/>
      </c>
    </row>
    <row r="677">
      <c r="A677">
        <f>'Month 03'!B137</f>
        <v/>
      </c>
      <c r="B677" t="inlineStr">
        <is>
          <t>Deadlift</t>
        </is>
      </c>
      <c r="C677">
        <f>IF(AND('Month 03'!L163&lt;&gt;"",N('Month 03'!I163)&gt;0),'Month 03'!I163,"")</f>
        <v/>
      </c>
      <c r="D677">
        <f>IF(C677="","",IF(N('Month 03'!J163)&gt;0,'Month 03'!J163,1))</f>
        <v/>
      </c>
      <c r="E677">
        <f>IF(OR(C677="",D677=""),"",IF(D677=1,C677,ROUND(C677*(1+D677/30),1)))</f>
        <v/>
      </c>
    </row>
    <row r="678">
      <c r="A678">
        <f>'Month 03'!B137</f>
        <v/>
      </c>
      <c r="B678" t="inlineStr">
        <is>
          <t>Deadlift</t>
        </is>
      </c>
      <c r="C678">
        <f>IF(AND('Month 03'!L164&lt;&gt;"",N('Month 03'!I164)&gt;0),'Month 03'!I164,"")</f>
        <v/>
      </c>
      <c r="D678">
        <f>IF(C678="","",IF(N('Month 03'!J164)&gt;0,'Month 03'!J164,1))</f>
        <v/>
      </c>
      <c r="E678">
        <f>IF(OR(C678="",D678=""),"",IF(D678=1,C678,ROUND(C678*(1+D678/30),1)))</f>
        <v/>
      </c>
    </row>
    <row r="679">
      <c r="A679">
        <f>'Month 03'!B137</f>
        <v/>
      </c>
      <c r="B679" t="inlineStr">
        <is>
          <t>Chin-up</t>
        </is>
      </c>
      <c r="C679">
        <f>IF(AND('Month 03'!L166&lt;&gt;"",N('Month 03'!I166)&gt;0),'Month 03'!I166,"")</f>
        <v/>
      </c>
      <c r="D679">
        <f>IF(C679="","",IF(N('Month 03'!J166)&gt;0,'Month 03'!J166,1))</f>
        <v/>
      </c>
      <c r="E679">
        <f>IF(OR(C679="",D679=""),"",IF(D679=1,C679,ROUND(C679*(1+D679/30),1)))</f>
        <v/>
      </c>
    </row>
    <row r="680">
      <c r="A680">
        <f>'Month 03'!B137</f>
        <v/>
      </c>
      <c r="B680" t="inlineStr">
        <is>
          <t>Chin-up</t>
        </is>
      </c>
      <c r="C680">
        <f>IF(AND('Month 03'!L167&lt;&gt;"",N('Month 03'!I167)&gt;0),'Month 03'!I167,"")</f>
        <v/>
      </c>
      <c r="D680">
        <f>IF(C680="","",IF(N('Month 03'!J167)&gt;0,'Month 03'!J167,1))</f>
        <v/>
      </c>
      <c r="E680">
        <f>IF(OR(C680="",D680=""),"",IF(D680=1,C680,ROUND(C680*(1+D680/30),1)))</f>
        <v/>
      </c>
    </row>
    <row r="681">
      <c r="A681">
        <f>'Month 03'!B137</f>
        <v/>
      </c>
      <c r="B681" t="inlineStr">
        <is>
          <t>Chin-up</t>
        </is>
      </c>
      <c r="C681">
        <f>IF(AND('Month 03'!L168&lt;&gt;"",N('Month 03'!I168)&gt;0),'Month 03'!I168,"")</f>
        <v/>
      </c>
      <c r="D681">
        <f>IF(C681="","",IF(N('Month 03'!J168)&gt;0,'Month 03'!J168,1))</f>
        <v/>
      </c>
      <c r="E681">
        <f>IF(OR(C681="",D681=""),"",IF(D681=1,C681,ROUND(C681*(1+D681/30),1)))</f>
        <v/>
      </c>
    </row>
    <row r="682">
      <c r="A682">
        <f>'Month 03'!B137</f>
        <v/>
      </c>
      <c r="B682" t="inlineStr">
        <is>
          <t>Plank</t>
        </is>
      </c>
      <c r="C682">
        <f>IF(AND('Month 03'!L170&lt;&gt;"",N('Month 03'!I170)&gt;0),'Month 03'!I170,"")</f>
        <v/>
      </c>
      <c r="D682">
        <f>IF(C682="","",IF(N('Month 03'!J170)&gt;0,'Month 03'!J170,1))</f>
        <v/>
      </c>
      <c r="E682">
        <f>IF(OR(C682="",D682=""),"",IF(D682=1,C682,ROUND(C682*(1+D682/30),1)))</f>
        <v/>
      </c>
    </row>
    <row r="683">
      <c r="A683">
        <f>'Month 03'!B137</f>
        <v/>
      </c>
      <c r="B683" t="inlineStr">
        <is>
          <t>Plank</t>
        </is>
      </c>
      <c r="C683">
        <f>IF(AND('Month 03'!L171&lt;&gt;"",N('Month 03'!I171)&gt;0),'Month 03'!I171,"")</f>
        <v/>
      </c>
      <c r="D683">
        <f>IF(C683="","",IF(N('Month 03'!J171)&gt;0,'Month 03'!J171,1))</f>
        <v/>
      </c>
      <c r="E683">
        <f>IF(OR(C683="",D683=""),"",IF(D683=1,C683,ROUND(C683*(1+D683/30),1)))</f>
        <v/>
      </c>
    </row>
    <row r="684">
      <c r="A684">
        <f>'Month 03'!B137</f>
        <v/>
      </c>
      <c r="B684" t="inlineStr">
        <is>
          <t>Plank</t>
        </is>
      </c>
      <c r="C684">
        <f>IF(AND('Month 03'!L172&lt;&gt;"",N('Month 03'!I172)&gt;0),'Month 03'!I172,"")</f>
        <v/>
      </c>
      <c r="D684">
        <f>IF(C684="","",IF(N('Month 03'!J172)&gt;0,'Month 03'!J172,1))</f>
        <v/>
      </c>
      <c r="E684">
        <f>IF(OR(C684="",D684=""),"",IF(D684=1,C684,ROUND(C684*(1+D684/30),1)))</f>
        <v/>
      </c>
    </row>
    <row r="685">
      <c r="A685">
        <f>'Month 03'!B173</f>
        <v/>
      </c>
      <c r="B685" t="inlineStr">
        <is>
          <t>Vertical Jump</t>
        </is>
      </c>
      <c r="C685">
        <f>IF(AND('Month 03'!L175&lt;&gt;"",N('Month 03'!I175)&gt;0),'Month 03'!I175,"")</f>
        <v/>
      </c>
      <c r="D685">
        <f>IF(C685="","",IF(N('Month 03'!J175)&gt;0,'Month 03'!J175,1))</f>
        <v/>
      </c>
      <c r="E685">
        <f>IF(OR(C685="",D685=""),"",IF(D685=1,C685,ROUND(C685*(1+D685/30),1)))</f>
        <v/>
      </c>
    </row>
    <row r="686">
      <c r="A686">
        <f>'Month 03'!B173</f>
        <v/>
      </c>
      <c r="B686" t="inlineStr">
        <is>
          <t>Vertical Jump</t>
        </is>
      </c>
      <c r="C686">
        <f>IF(AND('Month 03'!L176&lt;&gt;"",N('Month 03'!I176)&gt;0),'Month 03'!I176,"")</f>
        <v/>
      </c>
      <c r="D686">
        <f>IF(C686="","",IF(N('Month 03'!J176)&gt;0,'Month 03'!J176,1))</f>
        <v/>
      </c>
      <c r="E686">
        <f>IF(OR(C686="",D686=""),"",IF(D686=1,C686,ROUND(C686*(1+D686/30),1)))</f>
        <v/>
      </c>
    </row>
    <row r="687">
      <c r="A687">
        <f>'Month 03'!B173</f>
        <v/>
      </c>
      <c r="B687" t="inlineStr">
        <is>
          <t>Vertical Jump</t>
        </is>
      </c>
      <c r="C687">
        <f>IF(AND('Month 03'!L177&lt;&gt;"",N('Month 03'!I177)&gt;0),'Month 03'!I177,"")</f>
        <v/>
      </c>
      <c r="D687">
        <f>IF(C687="","",IF(N('Month 03'!J177)&gt;0,'Month 03'!J177,1))</f>
        <v/>
      </c>
      <c r="E687">
        <f>IF(OR(C687="",D687=""),"",IF(D687=1,C687,ROUND(C687*(1+D687/30),1)))</f>
        <v/>
      </c>
    </row>
    <row r="688">
      <c r="A688">
        <f>'Month 03'!B173</f>
        <v/>
      </c>
      <c r="B688" t="inlineStr">
        <is>
          <t>Hang Snatch</t>
        </is>
      </c>
      <c r="C688">
        <f>IF(AND('Month 03'!L179&lt;&gt;"",N('Month 03'!I179)&gt;0),'Month 03'!I179,"")</f>
        <v/>
      </c>
      <c r="D688">
        <f>IF(C688="","",IF(N('Month 03'!J179)&gt;0,'Month 03'!J179,1))</f>
        <v/>
      </c>
      <c r="E688">
        <f>IF(OR(C688="",D688=""),"",IF(D688=1,C688,ROUND(C688*(1+D688/30),1)))</f>
        <v/>
      </c>
    </row>
    <row r="689">
      <c r="A689">
        <f>'Month 03'!B173</f>
        <v/>
      </c>
      <c r="B689" t="inlineStr">
        <is>
          <t>Hang Snatch</t>
        </is>
      </c>
      <c r="C689">
        <f>IF(AND('Month 03'!L180&lt;&gt;"",N('Month 03'!I180)&gt;0),'Month 03'!I180,"")</f>
        <v/>
      </c>
      <c r="D689">
        <f>IF(C689="","",IF(N('Month 03'!J180)&gt;0,'Month 03'!J180,1))</f>
        <v/>
      </c>
      <c r="E689">
        <f>IF(OR(C689="",D689=""),"",IF(D689=1,C689,ROUND(C689*(1+D689/30),1)))</f>
        <v/>
      </c>
    </row>
    <row r="690">
      <c r="A690">
        <f>'Month 03'!B173</f>
        <v/>
      </c>
      <c r="B690" t="inlineStr">
        <is>
          <t>Hang Snatch</t>
        </is>
      </c>
      <c r="C690">
        <f>IF(AND('Month 03'!L181&lt;&gt;"",N('Month 03'!I181)&gt;0),'Month 03'!I181,"")</f>
        <v/>
      </c>
      <c r="D690">
        <f>IF(C690="","",IF(N('Month 03'!J181)&gt;0,'Month 03'!J181,1))</f>
        <v/>
      </c>
      <c r="E690">
        <f>IF(OR(C690="",D690=""),"",IF(D690=1,C690,ROUND(C690*(1+D690/30),1)))</f>
        <v/>
      </c>
    </row>
    <row r="691">
      <c r="A691">
        <f>'Month 03'!B173</f>
        <v/>
      </c>
      <c r="B691" t="inlineStr">
        <is>
          <t>Hang Snatch</t>
        </is>
      </c>
      <c r="C691">
        <f>IF(AND('Month 03'!L182&lt;&gt;"",N('Month 03'!I182)&gt;0),'Month 03'!I182,"")</f>
        <v/>
      </c>
      <c r="D691">
        <f>IF(C691="","",IF(N('Month 03'!J182)&gt;0,'Month 03'!J182,1))</f>
        <v/>
      </c>
      <c r="E691">
        <f>IF(OR(C691="",D691=""),"",IF(D691=1,C691,ROUND(C691*(1+D691/30),1)))</f>
        <v/>
      </c>
    </row>
    <row r="692">
      <c r="A692">
        <f>'Month 03'!B173</f>
        <v/>
      </c>
      <c r="B692" t="inlineStr">
        <is>
          <t>Hang Snatch</t>
        </is>
      </c>
      <c r="C692">
        <f>IF(AND('Month 03'!L183&lt;&gt;"",N('Month 03'!I183)&gt;0),'Month 03'!I183,"")</f>
        <v/>
      </c>
      <c r="D692">
        <f>IF(C692="","",IF(N('Month 03'!J183)&gt;0,'Month 03'!J183,1))</f>
        <v/>
      </c>
      <c r="E692">
        <f>IF(OR(C692="",D692=""),"",IF(D692=1,C692,ROUND(C692*(1+D692/30),1)))</f>
        <v/>
      </c>
    </row>
    <row r="693">
      <c r="A693">
        <f>'Month 03'!B173</f>
        <v/>
      </c>
      <c r="B693" t="inlineStr">
        <is>
          <t>Front Squat</t>
        </is>
      </c>
      <c r="C693">
        <f>IF(AND('Month 03'!L185&lt;&gt;"",N('Month 03'!I185)&gt;0),'Month 03'!I185,"")</f>
        <v/>
      </c>
      <c r="D693">
        <f>IF(C693="","",IF(N('Month 03'!J185)&gt;0,'Month 03'!J185,1))</f>
        <v/>
      </c>
      <c r="E693">
        <f>IF(OR(C693="",D693=""),"",IF(D693=1,C693,ROUND(C693*(1+D693/30),1)))</f>
        <v/>
      </c>
    </row>
    <row r="694">
      <c r="A694">
        <f>'Month 03'!B173</f>
        <v/>
      </c>
      <c r="B694" t="inlineStr">
        <is>
          <t>Front Squat</t>
        </is>
      </c>
      <c r="C694">
        <f>IF(AND('Month 03'!L186&lt;&gt;"",N('Month 03'!I186)&gt;0),'Month 03'!I186,"")</f>
        <v/>
      </c>
      <c r="D694">
        <f>IF(C694="","",IF(N('Month 03'!J186)&gt;0,'Month 03'!J186,1))</f>
        <v/>
      </c>
      <c r="E694">
        <f>IF(OR(C694="",D694=""),"",IF(D694=1,C694,ROUND(C694*(1+D694/30),1)))</f>
        <v/>
      </c>
    </row>
    <row r="695">
      <c r="A695">
        <f>'Month 03'!B173</f>
        <v/>
      </c>
      <c r="B695" t="inlineStr">
        <is>
          <t>Front Squat</t>
        </is>
      </c>
      <c r="C695">
        <f>IF(AND('Month 03'!L187&lt;&gt;"",N('Month 03'!I187)&gt;0),'Month 03'!I187,"")</f>
        <v/>
      </c>
      <c r="D695">
        <f>IF(C695="","",IF(N('Month 03'!J187)&gt;0,'Month 03'!J187,1))</f>
        <v/>
      </c>
      <c r="E695">
        <f>IF(OR(C695="",D695=""),"",IF(D695=1,C695,ROUND(C695*(1+D695/30),1)))</f>
        <v/>
      </c>
    </row>
    <row r="696">
      <c r="A696">
        <f>'Month 03'!B173</f>
        <v/>
      </c>
      <c r="B696" t="inlineStr">
        <is>
          <t>Front Squat</t>
        </is>
      </c>
      <c r="C696">
        <f>IF(AND('Month 03'!L188&lt;&gt;"",N('Month 03'!I188)&gt;0),'Month 03'!I188,"")</f>
        <v/>
      </c>
      <c r="D696">
        <f>IF(C696="","",IF(N('Month 03'!J188)&gt;0,'Month 03'!J188,1))</f>
        <v/>
      </c>
      <c r="E696">
        <f>IF(OR(C696="",D696=""),"",IF(D696=1,C696,ROUND(C696*(1+D696/30),1)))</f>
        <v/>
      </c>
    </row>
    <row r="697">
      <c r="A697">
        <f>'Month 03'!B173</f>
        <v/>
      </c>
      <c r="B697" t="inlineStr">
        <is>
          <t>Front Squat</t>
        </is>
      </c>
      <c r="C697">
        <f>IF(AND('Month 03'!L189&lt;&gt;"",N('Month 03'!I189)&gt;0),'Month 03'!I189,"")</f>
        <v/>
      </c>
      <c r="D697">
        <f>IF(C697="","",IF(N('Month 03'!J189)&gt;0,'Month 03'!J189,1))</f>
        <v/>
      </c>
      <c r="E697">
        <f>IF(OR(C697="",D697=""),"",IF(D697=1,C697,ROUND(C697*(1+D697/30),1)))</f>
        <v/>
      </c>
    </row>
    <row r="698">
      <c r="A698">
        <f>'Month 03'!B173</f>
        <v/>
      </c>
      <c r="B698" t="inlineStr">
        <is>
          <t>Pause Bench Press</t>
        </is>
      </c>
      <c r="C698">
        <f>IF(AND('Month 03'!L191&lt;&gt;"",N('Month 03'!I191)&gt;0),'Month 03'!I191,"")</f>
        <v/>
      </c>
      <c r="D698">
        <f>IF(C698="","",IF(N('Month 03'!J191)&gt;0,'Month 03'!J191,1))</f>
        <v/>
      </c>
      <c r="E698">
        <f>IF(OR(C698="",D698=""),"",IF(D698=1,C698,ROUND(C698*(1+D698/30),1)))</f>
        <v/>
      </c>
    </row>
    <row r="699">
      <c r="A699">
        <f>'Month 03'!B173</f>
        <v/>
      </c>
      <c r="B699" t="inlineStr">
        <is>
          <t>Pause Bench Press</t>
        </is>
      </c>
      <c r="C699">
        <f>IF(AND('Month 03'!L192&lt;&gt;"",N('Month 03'!I192)&gt;0),'Month 03'!I192,"")</f>
        <v/>
      </c>
      <c r="D699">
        <f>IF(C699="","",IF(N('Month 03'!J192)&gt;0,'Month 03'!J192,1))</f>
        <v/>
      </c>
      <c r="E699">
        <f>IF(OR(C699="",D699=""),"",IF(D699=1,C699,ROUND(C699*(1+D699/30),1)))</f>
        <v/>
      </c>
    </row>
    <row r="700">
      <c r="A700">
        <f>'Month 03'!B173</f>
        <v/>
      </c>
      <c r="B700" t="inlineStr">
        <is>
          <t>Pause Bench Press</t>
        </is>
      </c>
      <c r="C700">
        <f>IF(AND('Month 03'!L193&lt;&gt;"",N('Month 03'!I193)&gt;0),'Month 03'!I193,"")</f>
        <v/>
      </c>
      <c r="D700">
        <f>IF(C700="","",IF(N('Month 03'!J193)&gt;0,'Month 03'!J193,1))</f>
        <v/>
      </c>
      <c r="E700">
        <f>IF(OR(C700="",D700=""),"",IF(D700=1,C700,ROUND(C700*(1+D700/30),1)))</f>
        <v/>
      </c>
    </row>
    <row r="701">
      <c r="A701">
        <f>'Month 03'!B173</f>
        <v/>
      </c>
      <c r="B701" t="inlineStr">
        <is>
          <t>Pause Bench Press</t>
        </is>
      </c>
      <c r="C701">
        <f>IF(AND('Month 03'!L194&lt;&gt;"",N('Month 03'!I194)&gt;0),'Month 03'!I194,"")</f>
        <v/>
      </c>
      <c r="D701">
        <f>IF(C701="","",IF(N('Month 03'!J194)&gt;0,'Month 03'!J194,1))</f>
        <v/>
      </c>
      <c r="E701">
        <f>IF(OR(C701="",D701=""),"",IF(D701=1,C701,ROUND(C701*(1+D701/30),1)))</f>
        <v/>
      </c>
    </row>
    <row r="702">
      <c r="A702">
        <f>'Month 03'!B173</f>
        <v/>
      </c>
      <c r="B702" t="inlineStr">
        <is>
          <t>Pause Bench Press</t>
        </is>
      </c>
      <c r="C702">
        <f>IF(AND('Month 03'!L195&lt;&gt;"",N('Month 03'!I195)&gt;0),'Month 03'!I195,"")</f>
        <v/>
      </c>
      <c r="D702">
        <f>IF(C702="","",IF(N('Month 03'!J195)&gt;0,'Month 03'!J195,1))</f>
        <v/>
      </c>
      <c r="E702">
        <f>IF(OR(C702="",D702=""),"",IF(D702=1,C702,ROUND(C702*(1+D702/30),1)))</f>
        <v/>
      </c>
    </row>
    <row r="703">
      <c r="A703">
        <f>'Month 03'!B173</f>
        <v/>
      </c>
      <c r="B703" t="inlineStr">
        <is>
          <t>Paused Deadlift</t>
        </is>
      </c>
      <c r="C703">
        <f>IF(AND('Month 03'!L197&lt;&gt;"",N('Month 03'!I197)&gt;0),'Month 03'!I197,"")</f>
        <v/>
      </c>
      <c r="D703">
        <f>IF(C703="","",IF(N('Month 03'!J197)&gt;0,'Month 03'!J197,1))</f>
        <v/>
      </c>
      <c r="E703">
        <f>IF(OR(C703="",D703=""),"",IF(D703=1,C703,ROUND(C703*(1+D703/30),1)))</f>
        <v/>
      </c>
    </row>
    <row r="704">
      <c r="A704">
        <f>'Month 03'!B173</f>
        <v/>
      </c>
      <c r="B704" t="inlineStr">
        <is>
          <t>Paused Deadlift</t>
        </is>
      </c>
      <c r="C704">
        <f>IF(AND('Month 03'!L198&lt;&gt;"",N('Month 03'!I198)&gt;0),'Month 03'!I198,"")</f>
        <v/>
      </c>
      <c r="D704">
        <f>IF(C704="","",IF(N('Month 03'!J198)&gt;0,'Month 03'!J198,1))</f>
        <v/>
      </c>
      <c r="E704">
        <f>IF(OR(C704="",D704=""),"",IF(D704=1,C704,ROUND(C704*(1+D704/30),1)))</f>
        <v/>
      </c>
    </row>
    <row r="705">
      <c r="A705">
        <f>'Month 03'!B173</f>
        <v/>
      </c>
      <c r="B705" t="inlineStr">
        <is>
          <t>Paused Deadlift</t>
        </is>
      </c>
      <c r="C705">
        <f>IF(AND('Month 03'!L199&lt;&gt;"",N('Month 03'!I199)&gt;0),'Month 03'!I199,"")</f>
        <v/>
      </c>
      <c r="D705">
        <f>IF(C705="","",IF(N('Month 03'!J199)&gt;0,'Month 03'!J199,1))</f>
        <v/>
      </c>
      <c r="E705">
        <f>IF(OR(C705="",D705=""),"",IF(D705=1,C705,ROUND(C705*(1+D705/30),1)))</f>
        <v/>
      </c>
    </row>
    <row r="706">
      <c r="A706">
        <f>'Month 03'!B173</f>
        <v/>
      </c>
      <c r="B706" t="inlineStr">
        <is>
          <t>Incline Dumbbell Press</t>
        </is>
      </c>
      <c r="C706">
        <f>IF(AND('Month 03'!L201&lt;&gt;"",N('Month 03'!I201)&gt;0),'Month 03'!I201,"")</f>
        <v/>
      </c>
      <c r="D706">
        <f>IF(C706="","",IF(N('Month 03'!J201)&gt;0,'Month 03'!J201,1))</f>
        <v/>
      </c>
      <c r="E706">
        <f>IF(OR(C706="",D706=""),"",IF(D706=1,C706,ROUND(C706*(1+D706/30),1)))</f>
        <v/>
      </c>
    </row>
    <row r="707">
      <c r="A707">
        <f>'Month 03'!B173</f>
        <v/>
      </c>
      <c r="B707" t="inlineStr">
        <is>
          <t>Incline Dumbbell Press</t>
        </is>
      </c>
      <c r="C707">
        <f>IF(AND('Month 03'!L202&lt;&gt;"",N('Month 03'!I202)&gt;0),'Month 03'!I202,"")</f>
        <v/>
      </c>
      <c r="D707">
        <f>IF(C707="","",IF(N('Month 03'!J202)&gt;0,'Month 03'!J202,1))</f>
        <v/>
      </c>
      <c r="E707">
        <f>IF(OR(C707="",D707=""),"",IF(D707=1,C707,ROUND(C707*(1+D707/30),1)))</f>
        <v/>
      </c>
    </row>
    <row r="708">
      <c r="A708">
        <f>'Month 03'!B173</f>
        <v/>
      </c>
      <c r="B708" t="inlineStr">
        <is>
          <t>Incline Dumbbell Press</t>
        </is>
      </c>
      <c r="C708">
        <f>IF(AND('Month 03'!L203&lt;&gt;"",N('Month 03'!I203)&gt;0),'Month 03'!I203,"")</f>
        <v/>
      </c>
      <c r="D708">
        <f>IF(C708="","",IF(N('Month 03'!J203)&gt;0,'Month 03'!J203,1))</f>
        <v/>
      </c>
      <c r="E708">
        <f>IF(OR(C708="",D708=""),"",IF(D708=1,C708,ROUND(C708*(1+D708/30),1)))</f>
        <v/>
      </c>
    </row>
    <row r="709">
      <c r="A709">
        <f>'Month 03'!B173</f>
        <v/>
      </c>
      <c r="B709" t="inlineStr">
        <is>
          <t>Triceps Pushdown</t>
        </is>
      </c>
      <c r="C709">
        <f>IF(AND('Month 03'!L205&lt;&gt;"",N('Month 03'!I205)&gt;0),'Month 03'!I205,"")</f>
        <v/>
      </c>
      <c r="D709">
        <f>IF(C709="","",IF(N('Month 03'!J205)&gt;0,'Month 03'!J205,1))</f>
        <v/>
      </c>
      <c r="E709">
        <f>IF(OR(C709="",D709=""),"",IF(D709=1,C709,ROUND(C709*(1+D709/30),1)))</f>
        <v/>
      </c>
    </row>
    <row r="710">
      <c r="A710">
        <f>'Month 03'!B173</f>
        <v/>
      </c>
      <c r="B710" t="inlineStr">
        <is>
          <t>Triceps Pushdown</t>
        </is>
      </c>
      <c r="C710">
        <f>IF(AND('Month 03'!L206&lt;&gt;"",N('Month 03'!I206)&gt;0),'Month 03'!I206,"")</f>
        <v/>
      </c>
      <c r="D710">
        <f>IF(C710="","",IF(N('Month 03'!J206)&gt;0,'Month 03'!J206,1))</f>
        <v/>
      </c>
      <c r="E710">
        <f>IF(OR(C710="",D710=""),"",IF(D710=1,C710,ROUND(C710*(1+D710/30),1)))</f>
        <v/>
      </c>
    </row>
    <row r="711">
      <c r="A711">
        <f>'Month 03'!B173</f>
        <v/>
      </c>
      <c r="B711" t="inlineStr">
        <is>
          <t>Triceps Pushdown</t>
        </is>
      </c>
      <c r="C711">
        <f>IF(AND('Month 03'!L207&lt;&gt;"",N('Month 03'!I207)&gt;0),'Month 03'!I207,"")</f>
        <v/>
      </c>
      <c r="D711">
        <f>IF(C711="","",IF(N('Month 03'!J207)&gt;0,'Month 03'!J207,1))</f>
        <v/>
      </c>
      <c r="E711">
        <f>IF(OR(C711="",D711=""),"",IF(D711=1,C711,ROUND(C711*(1+D711/30),1)))</f>
        <v/>
      </c>
    </row>
    <row r="712">
      <c r="A712">
        <f>'Month 03'!B210</f>
        <v/>
      </c>
      <c r="B712" t="inlineStr">
        <is>
          <t>Box Jump</t>
        </is>
      </c>
      <c r="C712">
        <f>IF(AND('Month 03'!L212&lt;&gt;"",N('Month 03'!I212)&gt;0),'Month 03'!I212,"")</f>
        <v/>
      </c>
      <c r="D712">
        <f>IF(C712="","",IF(N('Month 03'!J212)&gt;0,'Month 03'!J212,1))</f>
        <v/>
      </c>
      <c r="E712">
        <f>IF(OR(C712="",D712=""),"",IF(D712=1,C712,ROUND(C712*(1+D712/30),1)))</f>
        <v/>
      </c>
    </row>
    <row r="713">
      <c r="A713">
        <f>'Month 03'!B210</f>
        <v/>
      </c>
      <c r="B713" t="inlineStr">
        <is>
          <t>Box Jump</t>
        </is>
      </c>
      <c r="C713">
        <f>IF(AND('Month 03'!L213&lt;&gt;"",N('Month 03'!I213)&gt;0),'Month 03'!I213,"")</f>
        <v/>
      </c>
      <c r="D713">
        <f>IF(C713="","",IF(N('Month 03'!J213)&gt;0,'Month 03'!J213,1))</f>
        <v/>
      </c>
      <c r="E713">
        <f>IF(OR(C713="",D713=""),"",IF(D713=1,C713,ROUND(C713*(1+D713/30),1)))</f>
        <v/>
      </c>
    </row>
    <row r="714">
      <c r="A714">
        <f>'Month 03'!B210</f>
        <v/>
      </c>
      <c r="B714" t="inlineStr">
        <is>
          <t>Snatch</t>
        </is>
      </c>
      <c r="C714">
        <f>IF(AND('Month 03'!L215&lt;&gt;"",N('Month 03'!I215)&gt;0),'Month 03'!I215,"")</f>
        <v/>
      </c>
      <c r="D714">
        <f>IF(C714="","",IF(N('Month 03'!J215)&gt;0,'Month 03'!J215,1))</f>
        <v/>
      </c>
      <c r="E714">
        <f>IF(OR(C714="",D714=""),"",IF(D714=1,C714,ROUND(C714*(1+D714/30),1)))</f>
        <v/>
      </c>
    </row>
    <row r="715">
      <c r="A715">
        <f>'Month 03'!B210</f>
        <v/>
      </c>
      <c r="B715" t="inlineStr">
        <is>
          <t>Snatch</t>
        </is>
      </c>
      <c r="C715">
        <f>IF(AND('Month 03'!L216&lt;&gt;"",N('Month 03'!I216)&gt;0),'Month 03'!I216,"")</f>
        <v/>
      </c>
      <c r="D715">
        <f>IF(C715="","",IF(N('Month 03'!J216)&gt;0,'Month 03'!J216,1))</f>
        <v/>
      </c>
      <c r="E715">
        <f>IF(OR(C715="",D715=""),"",IF(D715=1,C715,ROUND(C715*(1+D715/30),1)))</f>
        <v/>
      </c>
    </row>
    <row r="716">
      <c r="A716">
        <f>'Month 03'!B210</f>
        <v/>
      </c>
      <c r="B716" t="inlineStr">
        <is>
          <t>Snatch</t>
        </is>
      </c>
      <c r="C716">
        <f>IF(AND('Month 03'!L217&lt;&gt;"",N('Month 03'!I217)&gt;0),'Month 03'!I217,"")</f>
        <v/>
      </c>
      <c r="D716">
        <f>IF(C716="","",IF(N('Month 03'!J217)&gt;0,'Month 03'!J217,1))</f>
        <v/>
      </c>
      <c r="E716">
        <f>IF(OR(C716="",D716=""),"",IF(D716=1,C716,ROUND(C716*(1+D716/30),1)))</f>
        <v/>
      </c>
    </row>
    <row r="717">
      <c r="A717">
        <f>'Month 03'!B210</f>
        <v/>
      </c>
      <c r="B717" t="inlineStr">
        <is>
          <t>Squat</t>
        </is>
      </c>
      <c r="C717">
        <f>IF(AND('Month 03'!L219&lt;&gt;"",N('Month 03'!I219)&gt;0),'Month 03'!I219,"")</f>
        <v/>
      </c>
      <c r="D717">
        <f>IF(C717="","",IF(N('Month 03'!J219)&gt;0,'Month 03'!J219,1))</f>
        <v/>
      </c>
      <c r="E717">
        <f>IF(OR(C717="",D717=""),"",IF(D717=1,C717,ROUND(C717*(1+D717/30),1)))</f>
        <v/>
      </c>
    </row>
    <row r="718">
      <c r="A718">
        <f>'Month 03'!B210</f>
        <v/>
      </c>
      <c r="B718" t="inlineStr">
        <is>
          <t>Squat</t>
        </is>
      </c>
      <c r="C718">
        <f>IF(AND('Month 03'!L220&lt;&gt;"",N('Month 03'!I220)&gt;0),'Month 03'!I220,"")</f>
        <v/>
      </c>
      <c r="D718">
        <f>IF(C718="","",IF(N('Month 03'!J220)&gt;0,'Month 03'!J220,1))</f>
        <v/>
      </c>
      <c r="E718">
        <f>IF(OR(C718="",D718=""),"",IF(D718=1,C718,ROUND(C718*(1+D718/30),1)))</f>
        <v/>
      </c>
    </row>
    <row r="719">
      <c r="A719">
        <f>'Month 03'!B210</f>
        <v/>
      </c>
      <c r="B719" t="inlineStr">
        <is>
          <t>Squat</t>
        </is>
      </c>
      <c r="C719">
        <f>IF(AND('Month 03'!L221&lt;&gt;"",N('Month 03'!I221)&gt;0),'Month 03'!I221,"")</f>
        <v/>
      </c>
      <c r="D719">
        <f>IF(C719="","",IF(N('Month 03'!J221)&gt;0,'Month 03'!J221,1))</f>
        <v/>
      </c>
      <c r="E719">
        <f>IF(OR(C719="",D719=""),"",IF(D719=1,C719,ROUND(C719*(1+D719/30),1)))</f>
        <v/>
      </c>
    </row>
    <row r="720">
      <c r="A720">
        <f>'Month 03'!B210</f>
        <v/>
      </c>
      <c r="B720" t="inlineStr">
        <is>
          <t>Bench Press</t>
        </is>
      </c>
      <c r="C720">
        <f>IF(AND('Month 03'!L223&lt;&gt;"",N('Month 03'!I223)&gt;0),'Month 03'!I223,"")</f>
        <v/>
      </c>
      <c r="D720">
        <f>IF(C720="","",IF(N('Month 03'!J223)&gt;0,'Month 03'!J223,1))</f>
        <v/>
      </c>
      <c r="E720">
        <f>IF(OR(C720="",D720=""),"",IF(D720=1,C720,ROUND(C720*(1+D720/30),1)))</f>
        <v/>
      </c>
    </row>
    <row r="721">
      <c r="A721">
        <f>'Month 03'!B210</f>
        <v/>
      </c>
      <c r="B721" t="inlineStr">
        <is>
          <t>Bench Press</t>
        </is>
      </c>
      <c r="C721">
        <f>IF(AND('Month 03'!L224&lt;&gt;"",N('Month 03'!I224)&gt;0),'Month 03'!I224,"")</f>
        <v/>
      </c>
      <c r="D721">
        <f>IF(C721="","",IF(N('Month 03'!J224)&gt;0,'Month 03'!J224,1))</f>
        <v/>
      </c>
      <c r="E721">
        <f>IF(OR(C721="",D721=""),"",IF(D721=1,C721,ROUND(C721*(1+D721/30),1)))</f>
        <v/>
      </c>
    </row>
    <row r="722">
      <c r="A722">
        <f>'Month 03'!B210</f>
        <v/>
      </c>
      <c r="B722" t="inlineStr">
        <is>
          <t>Bench Press</t>
        </is>
      </c>
      <c r="C722">
        <f>IF(AND('Month 03'!L225&lt;&gt;"",N('Month 03'!I225)&gt;0),'Month 03'!I225,"")</f>
        <v/>
      </c>
      <c r="D722">
        <f>IF(C722="","",IF(N('Month 03'!J225)&gt;0,'Month 03'!J225,1))</f>
        <v/>
      </c>
      <c r="E722">
        <f>IF(OR(C722="",D722=""),"",IF(D722=1,C722,ROUND(C722*(1+D722/30),1)))</f>
        <v/>
      </c>
    </row>
    <row r="723">
      <c r="A723">
        <f>'Month 03'!B210</f>
        <v/>
      </c>
      <c r="B723" t="inlineStr">
        <is>
          <t>Barbell Row</t>
        </is>
      </c>
      <c r="C723">
        <f>IF(AND('Month 03'!L227&lt;&gt;"",N('Month 03'!I227)&gt;0),'Month 03'!I227,"")</f>
        <v/>
      </c>
      <c r="D723">
        <f>IF(C723="","",IF(N('Month 03'!J227)&gt;0,'Month 03'!J227,1))</f>
        <v/>
      </c>
      <c r="E723">
        <f>IF(OR(C723="",D723=""),"",IF(D723=1,C723,ROUND(C723*(1+D723/30),1)))</f>
        <v/>
      </c>
    </row>
    <row r="724">
      <c r="A724">
        <f>'Month 03'!B210</f>
        <v/>
      </c>
      <c r="B724" t="inlineStr">
        <is>
          <t>Barbell Row</t>
        </is>
      </c>
      <c r="C724">
        <f>IF(AND('Month 03'!L228&lt;&gt;"",N('Month 03'!I228)&gt;0),'Month 03'!I228,"")</f>
        <v/>
      </c>
      <c r="D724">
        <f>IF(C724="","",IF(N('Month 03'!J228)&gt;0,'Month 03'!J228,1))</f>
        <v/>
      </c>
      <c r="E724">
        <f>IF(OR(C724="",D724=""),"",IF(D724=1,C724,ROUND(C724*(1+D724/30),1)))</f>
        <v/>
      </c>
    </row>
    <row r="725">
      <c r="A725">
        <f>'Month 03'!B210</f>
        <v/>
      </c>
      <c r="B725" t="inlineStr">
        <is>
          <t>Face Pull</t>
        </is>
      </c>
      <c r="C725">
        <f>IF(AND('Month 03'!L230&lt;&gt;"",N('Month 03'!I230)&gt;0),'Month 03'!I230,"")</f>
        <v/>
      </c>
      <c r="D725">
        <f>IF(C725="","",IF(N('Month 03'!J230)&gt;0,'Month 03'!J230,1))</f>
        <v/>
      </c>
      <c r="E725">
        <f>IF(OR(C725="",D725=""),"",IF(D725=1,C725,ROUND(C725*(1+D725/30),1)))</f>
        <v/>
      </c>
    </row>
    <row r="726">
      <c r="A726">
        <f>'Month 03'!B210</f>
        <v/>
      </c>
      <c r="B726" t="inlineStr">
        <is>
          <t>Face Pull</t>
        </is>
      </c>
      <c r="C726">
        <f>IF(AND('Month 03'!L231&lt;&gt;"",N('Month 03'!I231)&gt;0),'Month 03'!I231,"")</f>
        <v/>
      </c>
      <c r="D726">
        <f>IF(C726="","",IF(N('Month 03'!J231)&gt;0,'Month 03'!J231,1))</f>
        <v/>
      </c>
      <c r="E726">
        <f>IF(OR(C726="",D726=""),"",IF(D726=1,C726,ROUND(C726*(1+D726/30),1)))</f>
        <v/>
      </c>
    </row>
    <row r="727">
      <c r="A727">
        <f>'Month 03'!B232</f>
        <v/>
      </c>
      <c r="B727" t="inlineStr">
        <is>
          <t>Broad Jump</t>
        </is>
      </c>
      <c r="C727">
        <f>IF(AND('Month 03'!L234&lt;&gt;"",N('Month 03'!I234)&gt;0),'Month 03'!I234,"")</f>
        <v/>
      </c>
      <c r="D727">
        <f>IF(C727="","",IF(N('Month 03'!J234)&gt;0,'Month 03'!J234,1))</f>
        <v/>
      </c>
      <c r="E727">
        <f>IF(OR(C727="",D727=""),"",IF(D727=1,C727,ROUND(C727*(1+D727/30),1)))</f>
        <v/>
      </c>
    </row>
    <row r="728">
      <c r="A728">
        <f>'Month 03'!B232</f>
        <v/>
      </c>
      <c r="B728" t="inlineStr">
        <is>
          <t>Broad Jump</t>
        </is>
      </c>
      <c r="C728">
        <f>IF(AND('Month 03'!L235&lt;&gt;"",N('Month 03'!I235)&gt;0),'Month 03'!I235,"")</f>
        <v/>
      </c>
      <c r="D728">
        <f>IF(C728="","",IF(N('Month 03'!J235)&gt;0,'Month 03'!J235,1))</f>
        <v/>
      </c>
      <c r="E728">
        <f>IF(OR(C728="",D728=""),"",IF(D728=1,C728,ROUND(C728*(1+D728/30),1)))</f>
        <v/>
      </c>
    </row>
    <row r="729">
      <c r="A729">
        <f>'Month 03'!B232</f>
        <v/>
      </c>
      <c r="B729" t="inlineStr">
        <is>
          <t>Med Ball Chest Pass</t>
        </is>
      </c>
      <c r="C729">
        <f>IF(AND('Month 03'!L237&lt;&gt;"",N('Month 03'!I237)&gt;0),'Month 03'!I237,"")</f>
        <v/>
      </c>
      <c r="D729">
        <f>IF(C729="","",IF(N('Month 03'!J237)&gt;0,'Month 03'!J237,1))</f>
        <v/>
      </c>
      <c r="E729">
        <f>IF(OR(C729="",D729=""),"",IF(D729=1,C729,ROUND(C729*(1+D729/30),1)))</f>
        <v/>
      </c>
    </row>
    <row r="730">
      <c r="A730">
        <f>'Month 03'!B232</f>
        <v/>
      </c>
      <c r="B730" t="inlineStr">
        <is>
          <t>Med Ball Chest Pass</t>
        </is>
      </c>
      <c r="C730">
        <f>IF(AND('Month 03'!L238&lt;&gt;"",N('Month 03'!I238)&gt;0),'Month 03'!I238,"")</f>
        <v/>
      </c>
      <c r="D730">
        <f>IF(C730="","",IF(N('Month 03'!J238)&gt;0,'Month 03'!J238,1))</f>
        <v/>
      </c>
      <c r="E730">
        <f>IF(OR(C730="",D730=""),"",IF(D730=1,C730,ROUND(C730*(1+D730/30),1)))</f>
        <v/>
      </c>
    </row>
    <row r="731">
      <c r="A731">
        <f>'Month 03'!B232</f>
        <v/>
      </c>
      <c r="B731" t="inlineStr">
        <is>
          <t>Clean &amp; Jerk</t>
        </is>
      </c>
      <c r="C731">
        <f>IF(AND('Month 03'!L240&lt;&gt;"",N('Month 03'!I240)&gt;0),'Month 03'!I240,"")</f>
        <v/>
      </c>
      <c r="D731">
        <f>IF(C731="","",IF(N('Month 03'!J240)&gt;0,'Month 03'!J240,1))</f>
        <v/>
      </c>
      <c r="E731">
        <f>IF(OR(C731="",D731=""),"",IF(D731=1,C731,ROUND(C731*(1+D731/30),1)))</f>
        <v/>
      </c>
    </row>
    <row r="732">
      <c r="A732">
        <f>'Month 03'!B232</f>
        <v/>
      </c>
      <c r="B732" t="inlineStr">
        <is>
          <t>Clean &amp; Jerk</t>
        </is>
      </c>
      <c r="C732">
        <f>IF(AND('Month 03'!L241&lt;&gt;"",N('Month 03'!I241)&gt;0),'Month 03'!I241,"")</f>
        <v/>
      </c>
      <c r="D732">
        <f>IF(C732="","",IF(N('Month 03'!J241)&gt;0,'Month 03'!J241,1))</f>
        <v/>
      </c>
      <c r="E732">
        <f>IF(OR(C732="",D732=""),"",IF(D732=1,C732,ROUND(C732*(1+D732/30),1)))</f>
        <v/>
      </c>
    </row>
    <row r="733">
      <c r="A733">
        <f>'Month 03'!B232</f>
        <v/>
      </c>
      <c r="B733" t="inlineStr">
        <is>
          <t>Squat</t>
        </is>
      </c>
      <c r="C733">
        <f>IF(AND('Month 03'!L243&lt;&gt;"",N('Month 03'!I243)&gt;0),'Month 03'!I243,"")</f>
        <v/>
      </c>
      <c r="D733">
        <f>IF(C733="","",IF(N('Month 03'!J243)&gt;0,'Month 03'!J243,1))</f>
        <v/>
      </c>
      <c r="E733">
        <f>IF(OR(C733="",D733=""),"",IF(D733=1,C733,ROUND(C733*(1+D733/30),1)))</f>
        <v/>
      </c>
    </row>
    <row r="734">
      <c r="A734">
        <f>'Month 03'!B232</f>
        <v/>
      </c>
      <c r="B734" t="inlineStr">
        <is>
          <t>Squat</t>
        </is>
      </c>
      <c r="C734">
        <f>IF(AND('Month 03'!L244&lt;&gt;"",N('Month 03'!I244)&gt;0),'Month 03'!I244,"")</f>
        <v/>
      </c>
      <c r="D734">
        <f>IF(C734="","",IF(N('Month 03'!J244)&gt;0,'Month 03'!J244,1))</f>
        <v/>
      </c>
      <c r="E734">
        <f>IF(OR(C734="",D734=""),"",IF(D734=1,C734,ROUND(C734*(1+D734/30),1)))</f>
        <v/>
      </c>
    </row>
    <row r="735">
      <c r="A735">
        <f>'Month 03'!B232</f>
        <v/>
      </c>
      <c r="B735" t="inlineStr">
        <is>
          <t>Overhead Press</t>
        </is>
      </c>
      <c r="C735">
        <f>IF(AND('Month 03'!L246&lt;&gt;"",N('Month 03'!I246)&gt;0),'Month 03'!I246,"")</f>
        <v/>
      </c>
      <c r="D735">
        <f>IF(C735="","",IF(N('Month 03'!J246)&gt;0,'Month 03'!J246,1))</f>
        <v/>
      </c>
      <c r="E735">
        <f>IF(OR(C735="",D735=""),"",IF(D735=1,C735,ROUND(C735*(1+D735/30),1)))</f>
        <v/>
      </c>
    </row>
    <row r="736">
      <c r="A736">
        <f>'Month 03'!B232</f>
        <v/>
      </c>
      <c r="B736" t="inlineStr">
        <is>
          <t>Overhead Press</t>
        </is>
      </c>
      <c r="C736">
        <f>IF(AND('Month 03'!L247&lt;&gt;"",N('Month 03'!I247)&gt;0),'Month 03'!I247,"")</f>
        <v/>
      </c>
      <c r="D736">
        <f>IF(C736="","",IF(N('Month 03'!J247)&gt;0,'Month 03'!J247,1))</f>
        <v/>
      </c>
      <c r="E736">
        <f>IF(OR(C736="",D736=""),"",IF(D736=1,C736,ROUND(C736*(1+D736/30),1)))</f>
        <v/>
      </c>
    </row>
    <row r="737">
      <c r="A737">
        <f>'Month 03'!B232</f>
        <v/>
      </c>
      <c r="B737" t="inlineStr">
        <is>
          <t>Deadlift</t>
        </is>
      </c>
      <c r="C737">
        <f>IF(AND('Month 03'!L249&lt;&gt;"",N('Month 03'!I249)&gt;0),'Month 03'!I249,"")</f>
        <v/>
      </c>
      <c r="D737">
        <f>IF(C737="","",IF(N('Month 03'!J249)&gt;0,'Month 03'!J249,1))</f>
        <v/>
      </c>
      <c r="E737">
        <f>IF(OR(C737="",D737=""),"",IF(D737=1,C737,ROUND(C737*(1+D737/30),1)))</f>
        <v/>
      </c>
    </row>
    <row r="738">
      <c r="A738">
        <f>'Month 03'!B232</f>
        <v/>
      </c>
      <c r="B738" t="inlineStr">
        <is>
          <t>Deadlift</t>
        </is>
      </c>
      <c r="C738">
        <f>IF(AND('Month 03'!L250&lt;&gt;"",N('Month 03'!I250)&gt;0),'Month 03'!I250,"")</f>
        <v/>
      </c>
      <c r="D738">
        <f>IF(C738="","",IF(N('Month 03'!J250)&gt;0,'Month 03'!J250,1))</f>
        <v/>
      </c>
      <c r="E738">
        <f>IF(OR(C738="",D738=""),"",IF(D738=1,C738,ROUND(C738*(1+D738/30),1)))</f>
        <v/>
      </c>
    </row>
    <row r="739">
      <c r="A739">
        <f>'Month 03'!B232</f>
        <v/>
      </c>
      <c r="B739" t="inlineStr">
        <is>
          <t>Chin-up</t>
        </is>
      </c>
      <c r="C739">
        <f>IF(AND('Month 03'!L252&lt;&gt;"",N('Month 03'!I252)&gt;0),'Month 03'!I252,"")</f>
        <v/>
      </c>
      <c r="D739">
        <f>IF(C739="","",IF(N('Month 03'!J252)&gt;0,'Month 03'!J252,1))</f>
        <v/>
      </c>
      <c r="E739">
        <f>IF(OR(C739="",D739=""),"",IF(D739=1,C739,ROUND(C739*(1+D739/30),1)))</f>
        <v/>
      </c>
    </row>
    <row r="740">
      <c r="A740">
        <f>'Month 03'!B232</f>
        <v/>
      </c>
      <c r="B740" t="inlineStr">
        <is>
          <t>Chin-up</t>
        </is>
      </c>
      <c r="C740">
        <f>IF(AND('Month 03'!L253&lt;&gt;"",N('Month 03'!I253)&gt;0),'Month 03'!I253,"")</f>
        <v/>
      </c>
      <c r="D740">
        <f>IF(C740="","",IF(N('Month 03'!J253)&gt;0,'Month 03'!J253,1))</f>
        <v/>
      </c>
      <c r="E740">
        <f>IF(OR(C740="",D740=""),"",IF(D740=1,C740,ROUND(C740*(1+D740/30),1)))</f>
        <v/>
      </c>
    </row>
    <row r="741">
      <c r="A741">
        <f>'Month 03'!B232</f>
        <v/>
      </c>
      <c r="B741" t="inlineStr">
        <is>
          <t>Plank</t>
        </is>
      </c>
      <c r="C741">
        <f>IF(AND('Month 03'!L255&lt;&gt;"",N('Month 03'!I255)&gt;0),'Month 03'!I255,"")</f>
        <v/>
      </c>
      <c r="D741">
        <f>IF(C741="","",IF(N('Month 03'!J255)&gt;0,'Month 03'!J255,1))</f>
        <v/>
      </c>
      <c r="E741">
        <f>IF(OR(C741="",D741=""),"",IF(D741=1,C741,ROUND(C741*(1+D741/30),1)))</f>
        <v/>
      </c>
    </row>
    <row r="742">
      <c r="A742">
        <f>'Month 03'!B232</f>
        <v/>
      </c>
      <c r="B742" t="inlineStr">
        <is>
          <t>Plank</t>
        </is>
      </c>
      <c r="C742">
        <f>IF(AND('Month 03'!L256&lt;&gt;"",N('Month 03'!I256)&gt;0),'Month 03'!I256,"")</f>
        <v/>
      </c>
      <c r="D742">
        <f>IF(C742="","",IF(N('Month 03'!J256)&gt;0,'Month 03'!J256,1))</f>
        <v/>
      </c>
      <c r="E742">
        <f>IF(OR(C742="",D742=""),"",IF(D742=1,C742,ROUND(C742*(1+D742/30),1)))</f>
        <v/>
      </c>
    </row>
    <row r="743">
      <c r="A743">
        <f>'Month 03'!B257</f>
        <v/>
      </c>
      <c r="B743" t="inlineStr">
        <is>
          <t>Vertical Jump</t>
        </is>
      </c>
      <c r="C743">
        <f>IF(AND('Month 03'!L259&lt;&gt;"",N('Month 03'!I259)&gt;0),'Month 03'!I259,"")</f>
        <v/>
      </c>
      <c r="D743">
        <f>IF(C743="","",IF(N('Month 03'!J259)&gt;0,'Month 03'!J259,1))</f>
        <v/>
      </c>
      <c r="E743">
        <f>IF(OR(C743="",D743=""),"",IF(D743=1,C743,ROUND(C743*(1+D743/30),1)))</f>
        <v/>
      </c>
    </row>
    <row r="744">
      <c r="A744">
        <f>'Month 03'!B257</f>
        <v/>
      </c>
      <c r="B744" t="inlineStr">
        <is>
          <t>Vertical Jump</t>
        </is>
      </c>
      <c r="C744">
        <f>IF(AND('Month 03'!L260&lt;&gt;"",N('Month 03'!I260)&gt;0),'Month 03'!I260,"")</f>
        <v/>
      </c>
      <c r="D744">
        <f>IF(C744="","",IF(N('Month 03'!J260)&gt;0,'Month 03'!J260,1))</f>
        <v/>
      </c>
      <c r="E744">
        <f>IF(OR(C744="",D744=""),"",IF(D744=1,C744,ROUND(C744*(1+D744/30),1)))</f>
        <v/>
      </c>
    </row>
    <row r="745">
      <c r="A745">
        <f>'Month 03'!B257</f>
        <v/>
      </c>
      <c r="B745" t="inlineStr">
        <is>
          <t>Hang Snatch</t>
        </is>
      </c>
      <c r="C745">
        <f>IF(AND('Month 03'!L262&lt;&gt;"",N('Month 03'!I262)&gt;0),'Month 03'!I262,"")</f>
        <v/>
      </c>
      <c r="D745">
        <f>IF(C745="","",IF(N('Month 03'!J262)&gt;0,'Month 03'!J262,1))</f>
        <v/>
      </c>
      <c r="E745">
        <f>IF(OR(C745="",D745=""),"",IF(D745=1,C745,ROUND(C745*(1+D745/30),1)))</f>
        <v/>
      </c>
    </row>
    <row r="746">
      <c r="A746">
        <f>'Month 03'!B257</f>
        <v/>
      </c>
      <c r="B746" t="inlineStr">
        <is>
          <t>Hang Snatch</t>
        </is>
      </c>
      <c r="C746">
        <f>IF(AND('Month 03'!L263&lt;&gt;"",N('Month 03'!I263)&gt;0),'Month 03'!I263,"")</f>
        <v/>
      </c>
      <c r="D746">
        <f>IF(C746="","",IF(N('Month 03'!J263)&gt;0,'Month 03'!J263,1))</f>
        <v/>
      </c>
      <c r="E746">
        <f>IF(OR(C746="",D746=""),"",IF(D746=1,C746,ROUND(C746*(1+D746/30),1)))</f>
        <v/>
      </c>
    </row>
    <row r="747">
      <c r="A747">
        <f>'Month 03'!B257</f>
        <v/>
      </c>
      <c r="B747" t="inlineStr">
        <is>
          <t>Front Squat</t>
        </is>
      </c>
      <c r="C747">
        <f>IF(AND('Month 03'!L265&lt;&gt;"",N('Month 03'!I265)&gt;0),'Month 03'!I265,"")</f>
        <v/>
      </c>
      <c r="D747">
        <f>IF(C747="","",IF(N('Month 03'!J265)&gt;0,'Month 03'!J265,1))</f>
        <v/>
      </c>
      <c r="E747">
        <f>IF(OR(C747="",D747=""),"",IF(D747=1,C747,ROUND(C747*(1+D747/30),1)))</f>
        <v/>
      </c>
    </row>
    <row r="748">
      <c r="A748">
        <f>'Month 03'!B257</f>
        <v/>
      </c>
      <c r="B748" t="inlineStr">
        <is>
          <t>Front Squat</t>
        </is>
      </c>
      <c r="C748">
        <f>IF(AND('Month 03'!L266&lt;&gt;"",N('Month 03'!I266)&gt;0),'Month 03'!I266,"")</f>
        <v/>
      </c>
      <c r="D748">
        <f>IF(C748="","",IF(N('Month 03'!J266)&gt;0,'Month 03'!J266,1))</f>
        <v/>
      </c>
      <c r="E748">
        <f>IF(OR(C748="",D748=""),"",IF(D748=1,C748,ROUND(C748*(1+D748/30),1)))</f>
        <v/>
      </c>
    </row>
    <row r="749">
      <c r="A749">
        <f>'Month 03'!B257</f>
        <v/>
      </c>
      <c r="B749" t="inlineStr">
        <is>
          <t>Pause Bench Press</t>
        </is>
      </c>
      <c r="C749">
        <f>IF(AND('Month 03'!L268&lt;&gt;"",N('Month 03'!I268)&gt;0),'Month 03'!I268,"")</f>
        <v/>
      </c>
      <c r="D749">
        <f>IF(C749="","",IF(N('Month 03'!J268)&gt;0,'Month 03'!J268,1))</f>
        <v/>
      </c>
      <c r="E749">
        <f>IF(OR(C749="",D749=""),"",IF(D749=1,C749,ROUND(C749*(1+D749/30),1)))</f>
        <v/>
      </c>
    </row>
    <row r="750">
      <c r="A750">
        <f>'Month 03'!B257</f>
        <v/>
      </c>
      <c r="B750" t="inlineStr">
        <is>
          <t>Pause Bench Press</t>
        </is>
      </c>
      <c r="C750">
        <f>IF(AND('Month 03'!L269&lt;&gt;"",N('Month 03'!I269)&gt;0),'Month 03'!I269,"")</f>
        <v/>
      </c>
      <c r="D750">
        <f>IF(C750="","",IF(N('Month 03'!J269)&gt;0,'Month 03'!J269,1))</f>
        <v/>
      </c>
      <c r="E750">
        <f>IF(OR(C750="",D750=""),"",IF(D750=1,C750,ROUND(C750*(1+D750/30),1)))</f>
        <v/>
      </c>
    </row>
    <row r="751">
      <c r="A751">
        <f>'Month 03'!B257</f>
        <v/>
      </c>
      <c r="B751" t="inlineStr">
        <is>
          <t>Paused Deadlift</t>
        </is>
      </c>
      <c r="C751">
        <f>IF(AND('Month 03'!L271&lt;&gt;"",N('Month 03'!I271)&gt;0),'Month 03'!I271,"")</f>
        <v/>
      </c>
      <c r="D751">
        <f>IF(C751="","",IF(N('Month 03'!J271)&gt;0,'Month 03'!J271,1))</f>
        <v/>
      </c>
      <c r="E751">
        <f>IF(OR(C751="",D751=""),"",IF(D751=1,C751,ROUND(C751*(1+D751/30),1)))</f>
        <v/>
      </c>
    </row>
    <row r="752">
      <c r="A752">
        <f>'Month 03'!B257</f>
        <v/>
      </c>
      <c r="B752" t="inlineStr">
        <is>
          <t>Paused Deadlift</t>
        </is>
      </c>
      <c r="C752">
        <f>IF(AND('Month 03'!L272&lt;&gt;"",N('Month 03'!I272)&gt;0),'Month 03'!I272,"")</f>
        <v/>
      </c>
      <c r="D752">
        <f>IF(C752="","",IF(N('Month 03'!J272)&gt;0,'Month 03'!J272,1))</f>
        <v/>
      </c>
      <c r="E752">
        <f>IF(OR(C752="",D752=""),"",IF(D752=1,C752,ROUND(C752*(1+D752/30),1)))</f>
        <v/>
      </c>
    </row>
    <row r="753">
      <c r="A753">
        <f>'Month 03'!B257</f>
        <v/>
      </c>
      <c r="B753" t="inlineStr">
        <is>
          <t>Incline Dumbbell Press</t>
        </is>
      </c>
      <c r="C753">
        <f>IF(AND('Month 03'!L274&lt;&gt;"",N('Month 03'!I274)&gt;0),'Month 03'!I274,"")</f>
        <v/>
      </c>
      <c r="D753">
        <f>IF(C753="","",IF(N('Month 03'!J274)&gt;0,'Month 03'!J274,1))</f>
        <v/>
      </c>
      <c r="E753">
        <f>IF(OR(C753="",D753=""),"",IF(D753=1,C753,ROUND(C753*(1+D753/30),1)))</f>
        <v/>
      </c>
    </row>
    <row r="754">
      <c r="A754">
        <f>'Month 03'!B257</f>
        <v/>
      </c>
      <c r="B754" t="inlineStr">
        <is>
          <t>Incline Dumbbell Press</t>
        </is>
      </c>
      <c r="C754">
        <f>IF(AND('Month 03'!L275&lt;&gt;"",N('Month 03'!I275)&gt;0),'Month 03'!I275,"")</f>
        <v/>
      </c>
      <c r="D754">
        <f>IF(C754="","",IF(N('Month 03'!J275)&gt;0,'Month 03'!J275,1))</f>
        <v/>
      </c>
      <c r="E754">
        <f>IF(OR(C754="",D754=""),"",IF(D754=1,C754,ROUND(C754*(1+D754/30),1)))</f>
        <v/>
      </c>
    </row>
    <row r="755">
      <c r="A755">
        <f>'Month 03'!B257</f>
        <v/>
      </c>
      <c r="B755" t="inlineStr">
        <is>
          <t>Triceps Pushdown</t>
        </is>
      </c>
      <c r="C755">
        <f>IF(AND('Month 03'!L277&lt;&gt;"",N('Month 03'!I277)&gt;0),'Month 03'!I277,"")</f>
        <v/>
      </c>
      <c r="D755">
        <f>IF(C755="","",IF(N('Month 03'!J277)&gt;0,'Month 03'!J277,1))</f>
        <v/>
      </c>
      <c r="E755">
        <f>IF(OR(C755="",D755=""),"",IF(D755=1,C755,ROUND(C755*(1+D755/30),1)))</f>
        <v/>
      </c>
    </row>
    <row r="756">
      <c r="A756">
        <f>'Month 03'!B257</f>
        <v/>
      </c>
      <c r="B756" t="inlineStr">
        <is>
          <t>Triceps Pushdown</t>
        </is>
      </c>
      <c r="C756">
        <f>IF(AND('Month 03'!L278&lt;&gt;"",N('Month 03'!I278)&gt;0),'Month 03'!I278,"")</f>
        <v/>
      </c>
      <c r="D756">
        <f>IF(C756="","",IF(N('Month 03'!J278)&gt;0,'Month 03'!J278,1))</f>
        <v/>
      </c>
      <c r="E756">
        <f>IF(OR(C756="",D756=""),"",IF(D756=1,C756,ROUND(C756*(1+D756/30),1)))</f>
        <v/>
      </c>
    </row>
    <row r="757">
      <c r="A757">
        <f>'Month 03'!B281</f>
        <v/>
      </c>
      <c r="B757" t="inlineStr">
        <is>
          <t>Box Jump</t>
        </is>
      </c>
      <c r="C757">
        <f>IF(AND('Month 03'!L283&lt;&gt;"",N('Month 03'!I283)&gt;0),'Month 03'!I283,"")</f>
        <v/>
      </c>
      <c r="D757">
        <f>IF(C757="","",IF(N('Month 03'!J283)&gt;0,'Month 03'!J283,1))</f>
        <v/>
      </c>
      <c r="E757">
        <f>IF(OR(C757="",D757=""),"",IF(D757=1,C757,ROUND(C757*(1+D757/30),1)))</f>
        <v/>
      </c>
    </row>
    <row r="758">
      <c r="A758">
        <f>'Month 03'!B281</f>
        <v/>
      </c>
      <c r="B758" t="inlineStr">
        <is>
          <t>Snatch</t>
        </is>
      </c>
      <c r="C758">
        <f>IF(AND('Month 03'!L285&lt;&gt;"",N('Month 03'!I285)&gt;0),'Month 03'!I285,"")</f>
        <v/>
      </c>
      <c r="D758">
        <f>IF(C758="","",IF(N('Month 03'!J285)&gt;0,'Month 03'!J285,1))</f>
        <v/>
      </c>
      <c r="E758">
        <f>IF(OR(C758="",D758=""),"",IF(D758=1,C758,ROUND(C758*(1+D758/30),1)))</f>
        <v/>
      </c>
    </row>
    <row r="759">
      <c r="A759">
        <f>'Month 03'!B281</f>
        <v/>
      </c>
      <c r="B759" t="inlineStr">
        <is>
          <t>Squat</t>
        </is>
      </c>
      <c r="C759">
        <f>IF(AND('Month 03'!L287&lt;&gt;"",N('Month 03'!I287)&gt;0),'Month 03'!I287,"")</f>
        <v/>
      </c>
      <c r="D759">
        <f>IF(C759="","",IF(N('Month 03'!J287)&gt;0,'Month 03'!J287,1))</f>
        <v/>
      </c>
      <c r="E759">
        <f>IF(OR(C759="",D759=""),"",IF(D759=1,C759,ROUND(C759*(1+D759/30),1)))</f>
        <v/>
      </c>
    </row>
    <row r="760">
      <c r="A760">
        <f>'Month 03'!B281</f>
        <v/>
      </c>
      <c r="B760" t="inlineStr">
        <is>
          <t>Bench Press</t>
        </is>
      </c>
      <c r="C760">
        <f>IF(AND('Month 03'!L289&lt;&gt;"",N('Month 03'!I289)&gt;0),'Month 03'!I289,"")</f>
        <v/>
      </c>
      <c r="D760">
        <f>IF(C760="","",IF(N('Month 03'!J289)&gt;0,'Month 03'!J289,1))</f>
        <v/>
      </c>
      <c r="E760">
        <f>IF(OR(C760="",D760=""),"",IF(D760=1,C760,ROUND(C760*(1+D760/30),1)))</f>
        <v/>
      </c>
    </row>
    <row r="761">
      <c r="A761">
        <f>'Month 03'!B281</f>
        <v/>
      </c>
      <c r="B761" t="inlineStr">
        <is>
          <t>Barbell Row</t>
        </is>
      </c>
      <c r="C761">
        <f>IF(AND('Month 03'!L291&lt;&gt;"",N('Month 03'!I291)&gt;0),'Month 03'!I291,"")</f>
        <v/>
      </c>
      <c r="D761">
        <f>IF(C761="","",IF(N('Month 03'!J291)&gt;0,'Month 03'!J291,1))</f>
        <v/>
      </c>
      <c r="E761">
        <f>IF(OR(C761="",D761=""),"",IF(D761=1,C761,ROUND(C761*(1+D761/30),1)))</f>
        <v/>
      </c>
    </row>
    <row r="762">
      <c r="A762">
        <f>'Month 03'!B281</f>
        <v/>
      </c>
      <c r="B762" t="inlineStr">
        <is>
          <t>Barbell Row</t>
        </is>
      </c>
      <c r="C762">
        <f>IF(AND('Month 03'!L292&lt;&gt;"",N('Month 03'!I292)&gt;0),'Month 03'!I292,"")</f>
        <v/>
      </c>
      <c r="D762">
        <f>IF(C762="","",IF(N('Month 03'!J292)&gt;0,'Month 03'!J292,1))</f>
        <v/>
      </c>
      <c r="E762">
        <f>IF(OR(C762="",D762=""),"",IF(D762=1,C762,ROUND(C762*(1+D762/30),1)))</f>
        <v/>
      </c>
    </row>
    <row r="763">
      <c r="A763">
        <f>'Month 03'!B281</f>
        <v/>
      </c>
      <c r="B763" t="inlineStr">
        <is>
          <t>Face Pull</t>
        </is>
      </c>
      <c r="C763">
        <f>IF(AND('Month 03'!L294&lt;&gt;"",N('Month 03'!I294)&gt;0),'Month 03'!I294,"")</f>
        <v/>
      </c>
      <c r="D763">
        <f>IF(C763="","",IF(N('Month 03'!J294)&gt;0,'Month 03'!J294,1))</f>
        <v/>
      </c>
      <c r="E763">
        <f>IF(OR(C763="",D763=""),"",IF(D763=1,C763,ROUND(C763*(1+D763/30),1)))</f>
        <v/>
      </c>
    </row>
    <row r="764">
      <c r="A764">
        <f>'Month 03'!B281</f>
        <v/>
      </c>
      <c r="B764" t="inlineStr">
        <is>
          <t>Face Pull</t>
        </is>
      </c>
      <c r="C764">
        <f>IF(AND('Month 03'!L295&lt;&gt;"",N('Month 03'!I295)&gt;0),'Month 03'!I295,"")</f>
        <v/>
      </c>
      <c r="D764">
        <f>IF(C764="","",IF(N('Month 03'!J295)&gt;0,'Month 03'!J295,1))</f>
        <v/>
      </c>
      <c r="E764">
        <f>IF(OR(C764="",D764=""),"",IF(D764=1,C764,ROUND(C764*(1+D764/30),1)))</f>
        <v/>
      </c>
    </row>
    <row r="765">
      <c r="A765">
        <f>'Month 03'!B296</f>
        <v/>
      </c>
      <c r="B765" t="inlineStr">
        <is>
          <t>Broad Jump</t>
        </is>
      </c>
      <c r="C765">
        <f>IF(AND('Month 03'!L298&lt;&gt;"",N('Month 03'!I298)&gt;0),'Month 03'!I298,"")</f>
        <v/>
      </c>
      <c r="D765">
        <f>IF(C765="","",IF(N('Month 03'!J298)&gt;0,'Month 03'!J298,1))</f>
        <v/>
      </c>
      <c r="E765">
        <f>IF(OR(C765="",D765=""),"",IF(D765=1,C765,ROUND(C765*(1+D765/30),1)))</f>
        <v/>
      </c>
    </row>
    <row r="766">
      <c r="A766">
        <f>'Month 03'!B296</f>
        <v/>
      </c>
      <c r="B766" t="inlineStr">
        <is>
          <t>Clean &amp; Jerk</t>
        </is>
      </c>
      <c r="C766">
        <f>IF(AND('Month 03'!L300&lt;&gt;"",N('Month 03'!I300)&gt;0),'Month 03'!I300,"")</f>
        <v/>
      </c>
      <c r="D766">
        <f>IF(C766="","",IF(N('Month 03'!J300)&gt;0,'Month 03'!J300,1))</f>
        <v/>
      </c>
      <c r="E766">
        <f>IF(OR(C766="",D766=""),"",IF(D766=1,C766,ROUND(C766*(1+D766/30),1)))</f>
        <v/>
      </c>
    </row>
    <row r="767">
      <c r="A767">
        <f>'Month 03'!B296</f>
        <v/>
      </c>
      <c r="B767" t="inlineStr">
        <is>
          <t>Squat</t>
        </is>
      </c>
      <c r="C767">
        <f>IF(AND('Month 03'!L302&lt;&gt;"",N('Month 03'!I302)&gt;0),'Month 03'!I302,"")</f>
        <v/>
      </c>
      <c r="D767">
        <f>IF(C767="","",IF(N('Month 03'!J302)&gt;0,'Month 03'!J302,1))</f>
        <v/>
      </c>
      <c r="E767">
        <f>IF(OR(C767="",D767=""),"",IF(D767=1,C767,ROUND(C767*(1+D767/30),1)))</f>
        <v/>
      </c>
    </row>
    <row r="768">
      <c r="A768">
        <f>'Month 03'!B296</f>
        <v/>
      </c>
      <c r="B768" t="inlineStr">
        <is>
          <t>Squat</t>
        </is>
      </c>
      <c r="C768">
        <f>IF(AND('Month 03'!L303&lt;&gt;"",N('Month 03'!I303)&gt;0),'Month 03'!I303,"")</f>
        <v/>
      </c>
      <c r="D768">
        <f>IF(C768="","",IF(N('Month 03'!J303)&gt;0,'Month 03'!J303,1))</f>
        <v/>
      </c>
      <c r="E768">
        <f>IF(OR(C768="",D768=""),"",IF(D768=1,C768,ROUND(C768*(1+D768/30),1)))</f>
        <v/>
      </c>
    </row>
    <row r="769">
      <c r="A769">
        <f>'Month 03'!B296</f>
        <v/>
      </c>
      <c r="B769" t="inlineStr">
        <is>
          <t>Overhead Press</t>
        </is>
      </c>
      <c r="C769">
        <f>IF(AND('Month 03'!L305&lt;&gt;"",N('Month 03'!I305)&gt;0),'Month 03'!I305,"")</f>
        <v/>
      </c>
      <c r="D769">
        <f>IF(C769="","",IF(N('Month 03'!J305)&gt;0,'Month 03'!J305,1))</f>
        <v/>
      </c>
      <c r="E769">
        <f>IF(OR(C769="",D769=""),"",IF(D769=1,C769,ROUND(C769*(1+D769/30),1)))</f>
        <v/>
      </c>
    </row>
    <row r="770">
      <c r="A770">
        <f>'Month 03'!B296</f>
        <v/>
      </c>
      <c r="B770" t="inlineStr">
        <is>
          <t>Deadlift</t>
        </is>
      </c>
      <c r="C770">
        <f>IF(AND('Month 03'!L307&lt;&gt;"",N('Month 03'!I307)&gt;0),'Month 03'!I307,"")</f>
        <v/>
      </c>
      <c r="D770">
        <f>IF(C770="","",IF(N('Month 03'!J307)&gt;0,'Month 03'!J307,1))</f>
        <v/>
      </c>
      <c r="E770">
        <f>IF(OR(C770="",D770=""),"",IF(D770=1,C770,ROUND(C770*(1+D770/30),1)))</f>
        <v/>
      </c>
    </row>
    <row r="771">
      <c r="A771">
        <f>'Month 03'!B296</f>
        <v/>
      </c>
      <c r="B771" t="inlineStr">
        <is>
          <t>Chin-up</t>
        </is>
      </c>
      <c r="C771">
        <f>IF(AND('Month 03'!L309&lt;&gt;"",N('Month 03'!I309)&gt;0),'Month 03'!I309,"")</f>
        <v/>
      </c>
      <c r="D771">
        <f>IF(C771="","",IF(N('Month 03'!J309)&gt;0,'Month 03'!J309,1))</f>
        <v/>
      </c>
      <c r="E771">
        <f>IF(OR(C771="",D771=""),"",IF(D771=1,C771,ROUND(C771*(1+D771/30),1)))</f>
        <v/>
      </c>
    </row>
    <row r="772">
      <c r="A772">
        <f>'Month 03'!B296</f>
        <v/>
      </c>
      <c r="B772" t="inlineStr">
        <is>
          <t>Chin-up</t>
        </is>
      </c>
      <c r="C772">
        <f>IF(AND('Month 03'!L310&lt;&gt;"",N('Month 03'!I310)&gt;0),'Month 03'!I310,"")</f>
        <v/>
      </c>
      <c r="D772">
        <f>IF(C772="","",IF(N('Month 03'!J310)&gt;0,'Month 03'!J310,1))</f>
        <v/>
      </c>
      <c r="E772">
        <f>IF(OR(C772="",D772=""),"",IF(D772=1,C772,ROUND(C772*(1+D772/30),1)))</f>
        <v/>
      </c>
    </row>
    <row r="773">
      <c r="A773">
        <f>'Month 03'!B296</f>
        <v/>
      </c>
      <c r="B773" t="inlineStr">
        <is>
          <t>Plank</t>
        </is>
      </c>
      <c r="C773">
        <f>IF(AND('Month 03'!L312&lt;&gt;"",N('Month 03'!I312)&gt;0),'Month 03'!I312,"")</f>
        <v/>
      </c>
      <c r="D773">
        <f>IF(C773="","",IF(N('Month 03'!J312)&gt;0,'Month 03'!J312,1))</f>
        <v/>
      </c>
      <c r="E773">
        <f>IF(OR(C773="",D773=""),"",IF(D773=1,C773,ROUND(C773*(1+D773/30),1)))</f>
        <v/>
      </c>
    </row>
    <row r="774">
      <c r="A774">
        <f>'Month 03'!B296</f>
        <v/>
      </c>
      <c r="B774" t="inlineStr">
        <is>
          <t>Plank</t>
        </is>
      </c>
      <c r="C774">
        <f>IF(AND('Month 03'!L313&lt;&gt;"",N('Month 03'!I313)&gt;0),'Month 03'!I313,"")</f>
        <v/>
      </c>
      <c r="D774">
        <f>IF(C774="","",IF(N('Month 03'!J313)&gt;0,'Month 03'!J313,1))</f>
        <v/>
      </c>
      <c r="E774">
        <f>IF(OR(C774="",D774=""),"",IF(D774=1,C774,ROUND(C774*(1+D774/30),1)))</f>
        <v/>
      </c>
    </row>
    <row r="775">
      <c r="A775">
        <f>'Month 03'!B314</f>
        <v/>
      </c>
      <c r="B775" t="inlineStr">
        <is>
          <t>Vertical Jump</t>
        </is>
      </c>
      <c r="C775">
        <f>IF(AND('Month 03'!L316&lt;&gt;"",N('Month 03'!I316)&gt;0),'Month 03'!I316,"")</f>
        <v/>
      </c>
      <c r="D775">
        <f>IF(C775="","",IF(N('Month 03'!J316)&gt;0,'Month 03'!J316,1))</f>
        <v/>
      </c>
      <c r="E775">
        <f>IF(OR(C775="",D775=""),"",IF(D775=1,C775,ROUND(C775*(1+D775/30),1)))</f>
        <v/>
      </c>
    </row>
    <row r="776">
      <c r="A776">
        <f>'Month 03'!B314</f>
        <v/>
      </c>
      <c r="B776" t="inlineStr">
        <is>
          <t>Hang Snatch</t>
        </is>
      </c>
      <c r="C776">
        <f>IF(AND('Month 03'!L318&lt;&gt;"",N('Month 03'!I318)&gt;0),'Month 03'!I318,"")</f>
        <v/>
      </c>
      <c r="D776">
        <f>IF(C776="","",IF(N('Month 03'!J318)&gt;0,'Month 03'!J318,1))</f>
        <v/>
      </c>
      <c r="E776">
        <f>IF(OR(C776="",D776=""),"",IF(D776=1,C776,ROUND(C776*(1+D776/30),1)))</f>
        <v/>
      </c>
    </row>
    <row r="777">
      <c r="A777">
        <f>'Month 03'!B314</f>
        <v/>
      </c>
      <c r="B777" t="inlineStr">
        <is>
          <t>Front Squat</t>
        </is>
      </c>
      <c r="C777">
        <f>IF(AND('Month 03'!L320&lt;&gt;"",N('Month 03'!I320)&gt;0),'Month 03'!I320,"")</f>
        <v/>
      </c>
      <c r="D777">
        <f>IF(C777="","",IF(N('Month 03'!J320)&gt;0,'Month 03'!J320,1))</f>
        <v/>
      </c>
      <c r="E777">
        <f>IF(OR(C777="",D777=""),"",IF(D777=1,C777,ROUND(C777*(1+D777/30),1)))</f>
        <v/>
      </c>
    </row>
    <row r="778">
      <c r="A778">
        <f>'Month 03'!B314</f>
        <v/>
      </c>
      <c r="B778" t="inlineStr">
        <is>
          <t>Pause Bench Press</t>
        </is>
      </c>
      <c r="C778">
        <f>IF(AND('Month 03'!L322&lt;&gt;"",N('Month 03'!I322)&gt;0),'Month 03'!I322,"")</f>
        <v/>
      </c>
      <c r="D778">
        <f>IF(C778="","",IF(N('Month 03'!J322)&gt;0,'Month 03'!J322,1))</f>
        <v/>
      </c>
      <c r="E778">
        <f>IF(OR(C778="",D778=""),"",IF(D778=1,C778,ROUND(C778*(1+D778/30),1)))</f>
        <v/>
      </c>
    </row>
    <row r="779">
      <c r="A779">
        <f>'Month 03'!B314</f>
        <v/>
      </c>
      <c r="B779" t="inlineStr">
        <is>
          <t>Paused Deadlift</t>
        </is>
      </c>
      <c r="C779">
        <f>IF(AND('Month 03'!L324&lt;&gt;"",N('Month 03'!I324)&gt;0),'Month 03'!I324,"")</f>
        <v/>
      </c>
      <c r="D779">
        <f>IF(C779="","",IF(N('Month 03'!J324)&gt;0,'Month 03'!J324,1))</f>
        <v/>
      </c>
      <c r="E779">
        <f>IF(OR(C779="",D779=""),"",IF(D779=1,C779,ROUND(C779*(1+D779/30),1)))</f>
        <v/>
      </c>
    </row>
    <row r="780">
      <c r="A780">
        <f>'Month 03'!B314</f>
        <v/>
      </c>
      <c r="B780" t="inlineStr">
        <is>
          <t>Incline Dumbbell Press</t>
        </is>
      </c>
      <c r="C780">
        <f>IF(AND('Month 03'!L326&lt;&gt;"",N('Month 03'!I326)&gt;0),'Month 03'!I326,"")</f>
        <v/>
      </c>
      <c r="D780">
        <f>IF(C780="","",IF(N('Month 03'!J326)&gt;0,'Month 03'!J326,1))</f>
        <v/>
      </c>
      <c r="E780">
        <f>IF(OR(C780="",D780=""),"",IF(D780=1,C780,ROUND(C780*(1+D780/30),1)))</f>
        <v/>
      </c>
    </row>
    <row r="781">
      <c r="A781">
        <f>'Month 03'!B314</f>
        <v/>
      </c>
      <c r="B781" t="inlineStr">
        <is>
          <t>Incline Dumbbell Press</t>
        </is>
      </c>
      <c r="C781">
        <f>IF(AND('Month 03'!L327&lt;&gt;"",N('Month 03'!I327)&gt;0),'Month 03'!I327,"")</f>
        <v/>
      </c>
      <c r="D781">
        <f>IF(C781="","",IF(N('Month 03'!J327)&gt;0,'Month 03'!J327,1))</f>
        <v/>
      </c>
      <c r="E781">
        <f>IF(OR(C781="",D781=""),"",IF(D781=1,C781,ROUND(C781*(1+D781/30),1)))</f>
        <v/>
      </c>
    </row>
    <row r="782">
      <c r="A782">
        <f>'Month 03'!B314</f>
        <v/>
      </c>
      <c r="B782" t="inlineStr">
        <is>
          <t>Triceps Pushdown</t>
        </is>
      </c>
      <c r="C782">
        <f>IF(AND('Month 03'!L329&lt;&gt;"",N('Month 03'!I329)&gt;0),'Month 03'!I329,"")</f>
        <v/>
      </c>
      <c r="D782">
        <f>IF(C782="","",IF(N('Month 03'!J329)&gt;0,'Month 03'!J329,1))</f>
        <v/>
      </c>
      <c r="E782">
        <f>IF(OR(C782="",D782=""),"",IF(D782=1,C782,ROUND(C782*(1+D782/30),1)))</f>
        <v/>
      </c>
    </row>
    <row r="783">
      <c r="A783">
        <f>'Month 03'!B314</f>
        <v/>
      </c>
      <c r="B783" t="inlineStr">
        <is>
          <t>Triceps Pushdown</t>
        </is>
      </c>
      <c r="C783">
        <f>IF(AND('Month 03'!L330&lt;&gt;"",N('Month 03'!I330)&gt;0),'Month 03'!I330,"")</f>
        <v/>
      </c>
      <c r="D783">
        <f>IF(C783="","",IF(N('Month 03'!J330)&gt;0,'Month 03'!J330,1))</f>
        <v/>
      </c>
      <c r="E783">
        <f>IF(OR(C783="",D783=""),"",IF(D783=1,C783,ROUND(C783*(1+D783/30),1)))</f>
        <v/>
      </c>
    </row>
    <row r="784">
      <c r="A784">
        <f>'Month 04'!B7</f>
        <v/>
      </c>
      <c r="B784" t="inlineStr">
        <is>
          <t>Box Jump</t>
        </is>
      </c>
      <c r="C784">
        <f>IF(AND('Month 04'!L9&lt;&gt;"",N('Month 04'!I9)&gt;0),'Month 04'!I9,"")</f>
        <v/>
      </c>
      <c r="D784">
        <f>IF(C784="","",IF(N('Month 04'!J9)&gt;0,'Month 04'!J9,1))</f>
        <v/>
      </c>
      <c r="E784">
        <f>IF(OR(C784="",D784=""),"",IF(D784=1,C784,ROUND(C784*(1+D784/30),1)))</f>
        <v/>
      </c>
    </row>
    <row r="785">
      <c r="A785">
        <f>'Month 04'!B7</f>
        <v/>
      </c>
      <c r="B785" t="inlineStr">
        <is>
          <t>Box Jump</t>
        </is>
      </c>
      <c r="C785">
        <f>IF(AND('Month 04'!L10&lt;&gt;"",N('Month 04'!I10)&gt;0),'Month 04'!I10,"")</f>
        <v/>
      </c>
      <c r="D785">
        <f>IF(C785="","",IF(N('Month 04'!J10)&gt;0,'Month 04'!J10,1))</f>
        <v/>
      </c>
      <c r="E785">
        <f>IF(OR(C785="",D785=""),"",IF(D785=1,C785,ROUND(C785*(1+D785/30),1)))</f>
        <v/>
      </c>
    </row>
    <row r="786">
      <c r="A786">
        <f>'Month 04'!B7</f>
        <v/>
      </c>
      <c r="B786" t="inlineStr">
        <is>
          <t>Box Jump</t>
        </is>
      </c>
      <c r="C786">
        <f>IF(AND('Month 04'!L11&lt;&gt;"",N('Month 04'!I11)&gt;0),'Month 04'!I11,"")</f>
        <v/>
      </c>
      <c r="D786">
        <f>IF(C786="","",IF(N('Month 04'!J11)&gt;0,'Month 04'!J11,1))</f>
        <v/>
      </c>
      <c r="E786">
        <f>IF(OR(C786="",D786=""),"",IF(D786=1,C786,ROUND(C786*(1+D786/30),1)))</f>
        <v/>
      </c>
    </row>
    <row r="787">
      <c r="A787">
        <f>'Month 04'!B7</f>
        <v/>
      </c>
      <c r="B787" t="inlineStr">
        <is>
          <t>Box Jump</t>
        </is>
      </c>
      <c r="C787">
        <f>IF(AND('Month 04'!L12&lt;&gt;"",N('Month 04'!I12)&gt;0),'Month 04'!I12,"")</f>
        <v/>
      </c>
      <c r="D787">
        <f>IF(C787="","",IF(N('Month 04'!J12)&gt;0,'Month 04'!J12,1))</f>
        <v/>
      </c>
      <c r="E787">
        <f>IF(OR(C787="",D787=""),"",IF(D787=1,C787,ROUND(C787*(1+D787/30),1)))</f>
        <v/>
      </c>
    </row>
    <row r="788">
      <c r="A788">
        <f>'Month 04'!B7</f>
        <v/>
      </c>
      <c r="B788" t="inlineStr">
        <is>
          <t>Snatch</t>
        </is>
      </c>
      <c r="C788">
        <f>IF(AND('Month 04'!L14&lt;&gt;"",N('Month 04'!I14)&gt;0),'Month 04'!I14,"")</f>
        <v/>
      </c>
      <c r="D788">
        <f>IF(C788="","",IF(N('Month 04'!J14)&gt;0,'Month 04'!J14,1))</f>
        <v/>
      </c>
      <c r="E788">
        <f>IF(OR(C788="",D788=""),"",IF(D788=1,C788,ROUND(C788*(1+D788/30),1)))</f>
        <v/>
      </c>
    </row>
    <row r="789">
      <c r="A789">
        <f>'Month 04'!B7</f>
        <v/>
      </c>
      <c r="B789" t="inlineStr">
        <is>
          <t>Snatch</t>
        </is>
      </c>
      <c r="C789">
        <f>IF(AND('Month 04'!L15&lt;&gt;"",N('Month 04'!I15)&gt;0),'Month 04'!I15,"")</f>
        <v/>
      </c>
      <c r="D789">
        <f>IF(C789="","",IF(N('Month 04'!J15)&gt;0,'Month 04'!J15,1))</f>
        <v/>
      </c>
      <c r="E789">
        <f>IF(OR(C789="",D789=""),"",IF(D789=1,C789,ROUND(C789*(1+D789/30),1)))</f>
        <v/>
      </c>
    </row>
    <row r="790">
      <c r="A790">
        <f>'Month 04'!B7</f>
        <v/>
      </c>
      <c r="B790" t="inlineStr">
        <is>
          <t>Snatch</t>
        </is>
      </c>
      <c r="C790">
        <f>IF(AND('Month 04'!L16&lt;&gt;"",N('Month 04'!I16)&gt;0),'Month 04'!I16,"")</f>
        <v/>
      </c>
      <c r="D790">
        <f>IF(C790="","",IF(N('Month 04'!J16)&gt;0,'Month 04'!J16,1))</f>
        <v/>
      </c>
      <c r="E790">
        <f>IF(OR(C790="",D790=""),"",IF(D790=1,C790,ROUND(C790*(1+D790/30),1)))</f>
        <v/>
      </c>
    </row>
    <row r="791">
      <c r="A791">
        <f>'Month 04'!B7</f>
        <v/>
      </c>
      <c r="B791" t="inlineStr">
        <is>
          <t>Snatch</t>
        </is>
      </c>
      <c r="C791">
        <f>IF(AND('Month 04'!L17&lt;&gt;"",N('Month 04'!I17)&gt;0),'Month 04'!I17,"")</f>
        <v/>
      </c>
      <c r="D791">
        <f>IF(C791="","",IF(N('Month 04'!J17)&gt;0,'Month 04'!J17,1))</f>
        <v/>
      </c>
      <c r="E791">
        <f>IF(OR(C791="",D791=""),"",IF(D791=1,C791,ROUND(C791*(1+D791/30),1)))</f>
        <v/>
      </c>
    </row>
    <row r="792">
      <c r="A792">
        <f>'Month 04'!B7</f>
        <v/>
      </c>
      <c r="B792" t="inlineStr">
        <is>
          <t>Squat</t>
        </is>
      </c>
      <c r="C792">
        <f>IF(AND('Month 04'!L19&lt;&gt;"",N('Month 04'!I19)&gt;0),'Month 04'!I19,"")</f>
        <v/>
      </c>
      <c r="D792">
        <f>IF(C792="","",IF(N('Month 04'!J19)&gt;0,'Month 04'!J19,1))</f>
        <v/>
      </c>
      <c r="E792">
        <f>IF(OR(C792="",D792=""),"",IF(D792=1,C792,ROUND(C792*(1+D792/30),1)))</f>
        <v/>
      </c>
    </row>
    <row r="793">
      <c r="A793">
        <f>'Month 04'!B7</f>
        <v/>
      </c>
      <c r="B793" t="inlineStr">
        <is>
          <t>Squat</t>
        </is>
      </c>
      <c r="C793">
        <f>IF(AND('Month 04'!L20&lt;&gt;"",N('Month 04'!I20)&gt;0),'Month 04'!I20,"")</f>
        <v/>
      </c>
      <c r="D793">
        <f>IF(C793="","",IF(N('Month 04'!J20)&gt;0,'Month 04'!J20,1))</f>
        <v/>
      </c>
      <c r="E793">
        <f>IF(OR(C793="",D793=""),"",IF(D793=1,C793,ROUND(C793*(1+D793/30),1)))</f>
        <v/>
      </c>
    </row>
    <row r="794">
      <c r="A794">
        <f>'Month 04'!B7</f>
        <v/>
      </c>
      <c r="B794" t="inlineStr">
        <is>
          <t>Squat</t>
        </is>
      </c>
      <c r="C794">
        <f>IF(AND('Month 04'!L21&lt;&gt;"",N('Month 04'!I21)&gt;0),'Month 04'!I21,"")</f>
        <v/>
      </c>
      <c r="D794">
        <f>IF(C794="","",IF(N('Month 04'!J21)&gt;0,'Month 04'!J21,1))</f>
        <v/>
      </c>
      <c r="E794">
        <f>IF(OR(C794="",D794=""),"",IF(D794=1,C794,ROUND(C794*(1+D794/30),1)))</f>
        <v/>
      </c>
    </row>
    <row r="795">
      <c r="A795">
        <f>'Month 04'!B7</f>
        <v/>
      </c>
      <c r="B795" t="inlineStr">
        <is>
          <t>Bench Press</t>
        </is>
      </c>
      <c r="C795">
        <f>IF(AND('Month 04'!L23&lt;&gt;"",N('Month 04'!I23)&gt;0),'Month 04'!I23,"")</f>
        <v/>
      </c>
      <c r="D795">
        <f>IF(C795="","",IF(N('Month 04'!J23)&gt;0,'Month 04'!J23,1))</f>
        <v/>
      </c>
      <c r="E795">
        <f>IF(OR(C795="",D795=""),"",IF(D795=1,C795,ROUND(C795*(1+D795/30),1)))</f>
        <v/>
      </c>
    </row>
    <row r="796">
      <c r="A796">
        <f>'Month 04'!B7</f>
        <v/>
      </c>
      <c r="B796" t="inlineStr">
        <is>
          <t>Bench Press</t>
        </is>
      </c>
      <c r="C796">
        <f>IF(AND('Month 04'!L24&lt;&gt;"",N('Month 04'!I24)&gt;0),'Month 04'!I24,"")</f>
        <v/>
      </c>
      <c r="D796">
        <f>IF(C796="","",IF(N('Month 04'!J24)&gt;0,'Month 04'!J24,1))</f>
        <v/>
      </c>
      <c r="E796">
        <f>IF(OR(C796="",D796=""),"",IF(D796=1,C796,ROUND(C796*(1+D796/30),1)))</f>
        <v/>
      </c>
    </row>
    <row r="797">
      <c r="A797">
        <f>'Month 04'!B7</f>
        <v/>
      </c>
      <c r="B797" t="inlineStr">
        <is>
          <t>Bench Press</t>
        </is>
      </c>
      <c r="C797">
        <f>IF(AND('Month 04'!L25&lt;&gt;"",N('Month 04'!I25)&gt;0),'Month 04'!I25,"")</f>
        <v/>
      </c>
      <c r="D797">
        <f>IF(C797="","",IF(N('Month 04'!J25)&gt;0,'Month 04'!J25,1))</f>
        <v/>
      </c>
      <c r="E797">
        <f>IF(OR(C797="",D797=""),"",IF(D797=1,C797,ROUND(C797*(1+D797/30),1)))</f>
        <v/>
      </c>
    </row>
    <row r="798">
      <c r="A798">
        <f>'Month 04'!B7</f>
        <v/>
      </c>
      <c r="B798" t="inlineStr">
        <is>
          <t>Barbell Row</t>
        </is>
      </c>
      <c r="C798">
        <f>IF(AND('Month 04'!L27&lt;&gt;"",N('Month 04'!I27)&gt;0),'Month 04'!I27,"")</f>
        <v/>
      </c>
      <c r="D798">
        <f>IF(C798="","",IF(N('Month 04'!J27)&gt;0,'Month 04'!J27,1))</f>
        <v/>
      </c>
      <c r="E798">
        <f>IF(OR(C798="",D798=""),"",IF(D798=1,C798,ROUND(C798*(1+D798/30),1)))</f>
        <v/>
      </c>
    </row>
    <row r="799">
      <c r="A799">
        <f>'Month 04'!B7</f>
        <v/>
      </c>
      <c r="B799" t="inlineStr">
        <is>
          <t>Barbell Row</t>
        </is>
      </c>
      <c r="C799">
        <f>IF(AND('Month 04'!L28&lt;&gt;"",N('Month 04'!I28)&gt;0),'Month 04'!I28,"")</f>
        <v/>
      </c>
      <c r="D799">
        <f>IF(C799="","",IF(N('Month 04'!J28)&gt;0,'Month 04'!J28,1))</f>
        <v/>
      </c>
      <c r="E799">
        <f>IF(OR(C799="",D799=""),"",IF(D799=1,C799,ROUND(C799*(1+D799/30),1)))</f>
        <v/>
      </c>
    </row>
    <row r="800">
      <c r="A800">
        <f>'Month 04'!B7</f>
        <v/>
      </c>
      <c r="B800" t="inlineStr">
        <is>
          <t>Barbell Row</t>
        </is>
      </c>
      <c r="C800">
        <f>IF(AND('Month 04'!L29&lt;&gt;"",N('Month 04'!I29)&gt;0),'Month 04'!I29,"")</f>
        <v/>
      </c>
      <c r="D800">
        <f>IF(C800="","",IF(N('Month 04'!J29)&gt;0,'Month 04'!J29,1))</f>
        <v/>
      </c>
      <c r="E800">
        <f>IF(OR(C800="",D800=""),"",IF(D800=1,C800,ROUND(C800*(1+D800/30),1)))</f>
        <v/>
      </c>
    </row>
    <row r="801">
      <c r="A801">
        <f>'Month 04'!B7</f>
        <v/>
      </c>
      <c r="B801" t="inlineStr">
        <is>
          <t>Barbell Row</t>
        </is>
      </c>
      <c r="C801">
        <f>IF(AND('Month 04'!L30&lt;&gt;"",N('Month 04'!I30)&gt;0),'Month 04'!I30,"")</f>
        <v/>
      </c>
      <c r="D801">
        <f>IF(C801="","",IF(N('Month 04'!J30)&gt;0,'Month 04'!J30,1))</f>
        <v/>
      </c>
      <c r="E801">
        <f>IF(OR(C801="",D801=""),"",IF(D801=1,C801,ROUND(C801*(1+D801/30),1)))</f>
        <v/>
      </c>
    </row>
    <row r="802">
      <c r="A802">
        <f>'Month 04'!B7</f>
        <v/>
      </c>
      <c r="B802" t="inlineStr">
        <is>
          <t>Face Pull</t>
        </is>
      </c>
      <c r="C802">
        <f>IF(AND('Month 04'!L32&lt;&gt;"",N('Month 04'!I32)&gt;0),'Month 04'!I32,"")</f>
        <v/>
      </c>
      <c r="D802">
        <f>IF(C802="","",IF(N('Month 04'!J32)&gt;0,'Month 04'!J32,1))</f>
        <v/>
      </c>
      <c r="E802">
        <f>IF(OR(C802="",D802=""),"",IF(D802=1,C802,ROUND(C802*(1+D802/30),1)))</f>
        <v/>
      </c>
    </row>
    <row r="803">
      <c r="A803">
        <f>'Month 04'!B7</f>
        <v/>
      </c>
      <c r="B803" t="inlineStr">
        <is>
          <t>Face Pull</t>
        </is>
      </c>
      <c r="C803">
        <f>IF(AND('Month 04'!L33&lt;&gt;"",N('Month 04'!I33)&gt;0),'Month 04'!I33,"")</f>
        <v/>
      </c>
      <c r="D803">
        <f>IF(C803="","",IF(N('Month 04'!J33)&gt;0,'Month 04'!J33,1))</f>
        <v/>
      </c>
      <c r="E803">
        <f>IF(OR(C803="",D803=""),"",IF(D803=1,C803,ROUND(C803*(1+D803/30),1)))</f>
        <v/>
      </c>
    </row>
    <row r="804">
      <c r="A804">
        <f>'Month 04'!B7</f>
        <v/>
      </c>
      <c r="B804" t="inlineStr">
        <is>
          <t>Face Pull</t>
        </is>
      </c>
      <c r="C804">
        <f>IF(AND('Month 04'!L34&lt;&gt;"",N('Month 04'!I34)&gt;0),'Month 04'!I34,"")</f>
        <v/>
      </c>
      <c r="D804">
        <f>IF(C804="","",IF(N('Month 04'!J34)&gt;0,'Month 04'!J34,1))</f>
        <v/>
      </c>
      <c r="E804">
        <f>IF(OR(C804="",D804=""),"",IF(D804=1,C804,ROUND(C804*(1+D804/30),1)))</f>
        <v/>
      </c>
    </row>
    <row r="805">
      <c r="A805">
        <f>'Month 04'!B7</f>
        <v/>
      </c>
      <c r="B805" t="inlineStr">
        <is>
          <t>Face Pull</t>
        </is>
      </c>
      <c r="C805">
        <f>IF(AND('Month 04'!L35&lt;&gt;"",N('Month 04'!I35)&gt;0),'Month 04'!I35,"")</f>
        <v/>
      </c>
      <c r="D805">
        <f>IF(C805="","",IF(N('Month 04'!J35)&gt;0,'Month 04'!J35,1))</f>
        <v/>
      </c>
      <c r="E805">
        <f>IF(OR(C805="",D805=""),"",IF(D805=1,C805,ROUND(C805*(1+D805/30),1)))</f>
        <v/>
      </c>
    </row>
    <row r="806">
      <c r="A806">
        <f>'Month 04'!B36</f>
        <v/>
      </c>
      <c r="B806" t="inlineStr">
        <is>
          <t>Broad Jump</t>
        </is>
      </c>
      <c r="C806">
        <f>IF(AND('Month 04'!L38&lt;&gt;"",N('Month 04'!I38)&gt;0),'Month 04'!I38,"")</f>
        <v/>
      </c>
      <c r="D806">
        <f>IF(C806="","",IF(N('Month 04'!J38)&gt;0,'Month 04'!J38,1))</f>
        <v/>
      </c>
      <c r="E806">
        <f>IF(OR(C806="",D806=""),"",IF(D806=1,C806,ROUND(C806*(1+D806/30),1)))</f>
        <v/>
      </c>
    </row>
    <row r="807">
      <c r="A807">
        <f>'Month 04'!B36</f>
        <v/>
      </c>
      <c r="B807" t="inlineStr">
        <is>
          <t>Broad Jump</t>
        </is>
      </c>
      <c r="C807">
        <f>IF(AND('Month 04'!L39&lt;&gt;"",N('Month 04'!I39)&gt;0),'Month 04'!I39,"")</f>
        <v/>
      </c>
      <c r="D807">
        <f>IF(C807="","",IF(N('Month 04'!J39)&gt;0,'Month 04'!J39,1))</f>
        <v/>
      </c>
      <c r="E807">
        <f>IF(OR(C807="",D807=""),"",IF(D807=1,C807,ROUND(C807*(1+D807/30),1)))</f>
        <v/>
      </c>
    </row>
    <row r="808">
      <c r="A808">
        <f>'Month 04'!B36</f>
        <v/>
      </c>
      <c r="B808" t="inlineStr">
        <is>
          <t>Broad Jump</t>
        </is>
      </c>
      <c r="C808">
        <f>IF(AND('Month 04'!L40&lt;&gt;"",N('Month 04'!I40)&gt;0),'Month 04'!I40,"")</f>
        <v/>
      </c>
      <c r="D808">
        <f>IF(C808="","",IF(N('Month 04'!J40)&gt;0,'Month 04'!J40,1))</f>
        <v/>
      </c>
      <c r="E808">
        <f>IF(OR(C808="",D808=""),"",IF(D808=1,C808,ROUND(C808*(1+D808/30),1)))</f>
        <v/>
      </c>
    </row>
    <row r="809">
      <c r="A809">
        <f>'Month 04'!B36</f>
        <v/>
      </c>
      <c r="B809" t="inlineStr">
        <is>
          <t>Broad Jump</t>
        </is>
      </c>
      <c r="C809">
        <f>IF(AND('Month 04'!L41&lt;&gt;"",N('Month 04'!I41)&gt;0),'Month 04'!I41,"")</f>
        <v/>
      </c>
      <c r="D809">
        <f>IF(C809="","",IF(N('Month 04'!J41)&gt;0,'Month 04'!J41,1))</f>
        <v/>
      </c>
      <c r="E809">
        <f>IF(OR(C809="",D809=""),"",IF(D809=1,C809,ROUND(C809*(1+D809/30),1)))</f>
        <v/>
      </c>
    </row>
    <row r="810">
      <c r="A810">
        <f>'Month 04'!B36</f>
        <v/>
      </c>
      <c r="B810" t="inlineStr">
        <is>
          <t>Med Ball Chest Pass</t>
        </is>
      </c>
      <c r="C810">
        <f>IF(AND('Month 04'!L43&lt;&gt;"",N('Month 04'!I43)&gt;0),'Month 04'!I43,"")</f>
        <v/>
      </c>
      <c r="D810">
        <f>IF(C810="","",IF(N('Month 04'!J43)&gt;0,'Month 04'!J43,1))</f>
        <v/>
      </c>
      <c r="E810">
        <f>IF(OR(C810="",D810=""),"",IF(D810=1,C810,ROUND(C810*(1+D810/30),1)))</f>
        <v/>
      </c>
    </row>
    <row r="811">
      <c r="A811">
        <f>'Month 04'!B36</f>
        <v/>
      </c>
      <c r="B811" t="inlineStr">
        <is>
          <t>Med Ball Chest Pass</t>
        </is>
      </c>
      <c r="C811">
        <f>IF(AND('Month 04'!L44&lt;&gt;"",N('Month 04'!I44)&gt;0),'Month 04'!I44,"")</f>
        <v/>
      </c>
      <c r="D811">
        <f>IF(C811="","",IF(N('Month 04'!J44)&gt;0,'Month 04'!J44,1))</f>
        <v/>
      </c>
      <c r="E811">
        <f>IF(OR(C811="",D811=""),"",IF(D811=1,C811,ROUND(C811*(1+D811/30),1)))</f>
        <v/>
      </c>
    </row>
    <row r="812">
      <c r="A812">
        <f>'Month 04'!B36</f>
        <v/>
      </c>
      <c r="B812" t="inlineStr">
        <is>
          <t>Med Ball Chest Pass</t>
        </is>
      </c>
      <c r="C812">
        <f>IF(AND('Month 04'!L45&lt;&gt;"",N('Month 04'!I45)&gt;0),'Month 04'!I45,"")</f>
        <v/>
      </c>
      <c r="D812">
        <f>IF(C812="","",IF(N('Month 04'!J45)&gt;0,'Month 04'!J45,1))</f>
        <v/>
      </c>
      <c r="E812">
        <f>IF(OR(C812="",D812=""),"",IF(D812=1,C812,ROUND(C812*(1+D812/30),1)))</f>
        <v/>
      </c>
    </row>
    <row r="813">
      <c r="A813">
        <f>'Month 04'!B36</f>
        <v/>
      </c>
      <c r="B813" t="inlineStr">
        <is>
          <t>Clean &amp; Jerk</t>
        </is>
      </c>
      <c r="C813">
        <f>IF(AND('Month 04'!L47&lt;&gt;"",N('Month 04'!I47)&gt;0),'Month 04'!I47,"")</f>
        <v/>
      </c>
      <c r="D813">
        <f>IF(C813="","",IF(N('Month 04'!J47)&gt;0,'Month 04'!J47,1))</f>
        <v/>
      </c>
      <c r="E813">
        <f>IF(OR(C813="",D813=""),"",IF(D813=1,C813,ROUND(C813*(1+D813/30),1)))</f>
        <v/>
      </c>
    </row>
    <row r="814">
      <c r="A814">
        <f>'Month 04'!B36</f>
        <v/>
      </c>
      <c r="B814" t="inlineStr">
        <is>
          <t>Clean &amp; Jerk</t>
        </is>
      </c>
      <c r="C814">
        <f>IF(AND('Month 04'!L48&lt;&gt;"",N('Month 04'!I48)&gt;0),'Month 04'!I48,"")</f>
        <v/>
      </c>
      <c r="D814">
        <f>IF(C814="","",IF(N('Month 04'!J48)&gt;0,'Month 04'!J48,1))</f>
        <v/>
      </c>
      <c r="E814">
        <f>IF(OR(C814="",D814=""),"",IF(D814=1,C814,ROUND(C814*(1+D814/30),1)))</f>
        <v/>
      </c>
    </row>
    <row r="815">
      <c r="A815">
        <f>'Month 04'!B36</f>
        <v/>
      </c>
      <c r="B815" t="inlineStr">
        <is>
          <t>Clean &amp; Jerk</t>
        </is>
      </c>
      <c r="C815">
        <f>IF(AND('Month 04'!L49&lt;&gt;"",N('Month 04'!I49)&gt;0),'Month 04'!I49,"")</f>
        <v/>
      </c>
      <c r="D815">
        <f>IF(C815="","",IF(N('Month 04'!J49)&gt;0,'Month 04'!J49,1))</f>
        <v/>
      </c>
      <c r="E815">
        <f>IF(OR(C815="",D815=""),"",IF(D815=1,C815,ROUND(C815*(1+D815/30),1)))</f>
        <v/>
      </c>
    </row>
    <row r="816">
      <c r="A816">
        <f>'Month 04'!B36</f>
        <v/>
      </c>
      <c r="B816" t="inlineStr">
        <is>
          <t>Clean &amp; Jerk</t>
        </is>
      </c>
      <c r="C816">
        <f>IF(AND('Month 04'!L50&lt;&gt;"",N('Month 04'!I50)&gt;0),'Month 04'!I50,"")</f>
        <v/>
      </c>
      <c r="D816">
        <f>IF(C816="","",IF(N('Month 04'!J50)&gt;0,'Month 04'!J50,1))</f>
        <v/>
      </c>
      <c r="E816">
        <f>IF(OR(C816="",D816=""),"",IF(D816=1,C816,ROUND(C816*(1+D816/30),1)))</f>
        <v/>
      </c>
    </row>
    <row r="817">
      <c r="A817">
        <f>'Month 04'!B36</f>
        <v/>
      </c>
      <c r="B817" t="inlineStr">
        <is>
          <t>Squat</t>
        </is>
      </c>
      <c r="C817">
        <f>IF(AND('Month 04'!L52&lt;&gt;"",N('Month 04'!I52)&gt;0),'Month 04'!I52,"")</f>
        <v/>
      </c>
      <c r="D817">
        <f>IF(C817="","",IF(N('Month 04'!J52)&gt;0,'Month 04'!J52,1))</f>
        <v/>
      </c>
      <c r="E817">
        <f>IF(OR(C817="",D817=""),"",IF(D817=1,C817,ROUND(C817*(1+D817/30),1)))</f>
        <v/>
      </c>
    </row>
    <row r="818">
      <c r="A818">
        <f>'Month 04'!B36</f>
        <v/>
      </c>
      <c r="B818" t="inlineStr">
        <is>
          <t>Squat</t>
        </is>
      </c>
      <c r="C818">
        <f>IF(AND('Month 04'!L53&lt;&gt;"",N('Month 04'!I53)&gt;0),'Month 04'!I53,"")</f>
        <v/>
      </c>
      <c r="D818">
        <f>IF(C818="","",IF(N('Month 04'!J53)&gt;0,'Month 04'!J53,1))</f>
        <v/>
      </c>
      <c r="E818">
        <f>IF(OR(C818="",D818=""),"",IF(D818=1,C818,ROUND(C818*(1+D818/30),1)))</f>
        <v/>
      </c>
    </row>
    <row r="819">
      <c r="A819">
        <f>'Month 04'!B36</f>
        <v/>
      </c>
      <c r="B819" t="inlineStr">
        <is>
          <t>Squat</t>
        </is>
      </c>
      <c r="C819">
        <f>IF(AND('Month 04'!L54&lt;&gt;"",N('Month 04'!I54)&gt;0),'Month 04'!I54,"")</f>
        <v/>
      </c>
      <c r="D819">
        <f>IF(C819="","",IF(N('Month 04'!J54)&gt;0,'Month 04'!J54,1))</f>
        <v/>
      </c>
      <c r="E819">
        <f>IF(OR(C819="",D819=""),"",IF(D819=1,C819,ROUND(C819*(1+D819/30),1)))</f>
        <v/>
      </c>
    </row>
    <row r="820">
      <c r="A820">
        <f>'Month 04'!B36</f>
        <v/>
      </c>
      <c r="B820" t="inlineStr">
        <is>
          <t>Overhead Press</t>
        </is>
      </c>
      <c r="C820">
        <f>IF(AND('Month 04'!L56&lt;&gt;"",N('Month 04'!I56)&gt;0),'Month 04'!I56,"")</f>
        <v/>
      </c>
      <c r="D820">
        <f>IF(C820="","",IF(N('Month 04'!J56)&gt;0,'Month 04'!J56,1))</f>
        <v/>
      </c>
      <c r="E820">
        <f>IF(OR(C820="",D820=""),"",IF(D820=1,C820,ROUND(C820*(1+D820/30),1)))</f>
        <v/>
      </c>
    </row>
    <row r="821">
      <c r="A821">
        <f>'Month 04'!B36</f>
        <v/>
      </c>
      <c r="B821" t="inlineStr">
        <is>
          <t>Overhead Press</t>
        </is>
      </c>
      <c r="C821">
        <f>IF(AND('Month 04'!L57&lt;&gt;"",N('Month 04'!I57)&gt;0),'Month 04'!I57,"")</f>
        <v/>
      </c>
      <c r="D821">
        <f>IF(C821="","",IF(N('Month 04'!J57)&gt;0,'Month 04'!J57,1))</f>
        <v/>
      </c>
      <c r="E821">
        <f>IF(OR(C821="",D821=""),"",IF(D821=1,C821,ROUND(C821*(1+D821/30),1)))</f>
        <v/>
      </c>
    </row>
    <row r="822">
      <c r="A822">
        <f>'Month 04'!B36</f>
        <v/>
      </c>
      <c r="B822" t="inlineStr">
        <is>
          <t>Overhead Press</t>
        </is>
      </c>
      <c r="C822">
        <f>IF(AND('Month 04'!L58&lt;&gt;"",N('Month 04'!I58)&gt;0),'Month 04'!I58,"")</f>
        <v/>
      </c>
      <c r="D822">
        <f>IF(C822="","",IF(N('Month 04'!J58)&gt;0,'Month 04'!J58,1))</f>
        <v/>
      </c>
      <c r="E822">
        <f>IF(OR(C822="",D822=""),"",IF(D822=1,C822,ROUND(C822*(1+D822/30),1)))</f>
        <v/>
      </c>
    </row>
    <row r="823">
      <c r="A823">
        <f>'Month 04'!B36</f>
        <v/>
      </c>
      <c r="B823" t="inlineStr">
        <is>
          <t>Overhead Press</t>
        </is>
      </c>
      <c r="C823">
        <f>IF(AND('Month 04'!L59&lt;&gt;"",N('Month 04'!I59)&gt;0),'Month 04'!I59,"")</f>
        <v/>
      </c>
      <c r="D823">
        <f>IF(C823="","",IF(N('Month 04'!J59)&gt;0,'Month 04'!J59,1))</f>
        <v/>
      </c>
      <c r="E823">
        <f>IF(OR(C823="",D823=""),"",IF(D823=1,C823,ROUND(C823*(1+D823/30),1)))</f>
        <v/>
      </c>
    </row>
    <row r="824">
      <c r="A824">
        <f>'Month 04'!B36</f>
        <v/>
      </c>
      <c r="B824" t="inlineStr">
        <is>
          <t>Deadlift</t>
        </is>
      </c>
      <c r="C824">
        <f>IF(AND('Month 04'!L61&lt;&gt;"",N('Month 04'!I61)&gt;0),'Month 04'!I61,"")</f>
        <v/>
      </c>
      <c r="D824">
        <f>IF(C824="","",IF(N('Month 04'!J61)&gt;0,'Month 04'!J61,1))</f>
        <v/>
      </c>
      <c r="E824">
        <f>IF(OR(C824="",D824=""),"",IF(D824=1,C824,ROUND(C824*(1+D824/30),1)))</f>
        <v/>
      </c>
    </row>
    <row r="825">
      <c r="A825">
        <f>'Month 04'!B36</f>
        <v/>
      </c>
      <c r="B825" t="inlineStr">
        <is>
          <t>Deadlift</t>
        </is>
      </c>
      <c r="C825">
        <f>IF(AND('Month 04'!L62&lt;&gt;"",N('Month 04'!I62)&gt;0),'Month 04'!I62,"")</f>
        <v/>
      </c>
      <c r="D825">
        <f>IF(C825="","",IF(N('Month 04'!J62)&gt;0,'Month 04'!J62,1))</f>
        <v/>
      </c>
      <c r="E825">
        <f>IF(OR(C825="",D825=""),"",IF(D825=1,C825,ROUND(C825*(1+D825/30),1)))</f>
        <v/>
      </c>
    </row>
    <row r="826">
      <c r="A826">
        <f>'Month 04'!B36</f>
        <v/>
      </c>
      <c r="B826" t="inlineStr">
        <is>
          <t>Deadlift</t>
        </is>
      </c>
      <c r="C826">
        <f>IF(AND('Month 04'!L63&lt;&gt;"",N('Month 04'!I63)&gt;0),'Month 04'!I63,"")</f>
        <v/>
      </c>
      <c r="D826">
        <f>IF(C826="","",IF(N('Month 04'!J63)&gt;0,'Month 04'!J63,1))</f>
        <v/>
      </c>
      <c r="E826">
        <f>IF(OR(C826="",D826=""),"",IF(D826=1,C826,ROUND(C826*(1+D826/30),1)))</f>
        <v/>
      </c>
    </row>
    <row r="827">
      <c r="A827">
        <f>'Month 04'!B36</f>
        <v/>
      </c>
      <c r="B827" t="inlineStr">
        <is>
          <t>Chin-up</t>
        </is>
      </c>
      <c r="C827">
        <f>IF(AND('Month 04'!L65&lt;&gt;"",N('Month 04'!I65)&gt;0),'Month 04'!I65,"")</f>
        <v/>
      </c>
      <c r="D827">
        <f>IF(C827="","",IF(N('Month 04'!J65)&gt;0,'Month 04'!J65,1))</f>
        <v/>
      </c>
      <c r="E827">
        <f>IF(OR(C827="",D827=""),"",IF(D827=1,C827,ROUND(C827*(1+D827/30),1)))</f>
        <v/>
      </c>
    </row>
    <row r="828">
      <c r="A828">
        <f>'Month 04'!B36</f>
        <v/>
      </c>
      <c r="B828" t="inlineStr">
        <is>
          <t>Chin-up</t>
        </is>
      </c>
      <c r="C828">
        <f>IF(AND('Month 04'!L66&lt;&gt;"",N('Month 04'!I66)&gt;0),'Month 04'!I66,"")</f>
        <v/>
      </c>
      <c r="D828">
        <f>IF(C828="","",IF(N('Month 04'!J66)&gt;0,'Month 04'!J66,1))</f>
        <v/>
      </c>
      <c r="E828">
        <f>IF(OR(C828="",D828=""),"",IF(D828=1,C828,ROUND(C828*(1+D828/30),1)))</f>
        <v/>
      </c>
    </row>
    <row r="829">
      <c r="A829">
        <f>'Month 04'!B36</f>
        <v/>
      </c>
      <c r="B829" t="inlineStr">
        <is>
          <t>Chin-up</t>
        </is>
      </c>
      <c r="C829">
        <f>IF(AND('Month 04'!L67&lt;&gt;"",N('Month 04'!I67)&gt;0),'Month 04'!I67,"")</f>
        <v/>
      </c>
      <c r="D829">
        <f>IF(C829="","",IF(N('Month 04'!J67)&gt;0,'Month 04'!J67,1))</f>
        <v/>
      </c>
      <c r="E829">
        <f>IF(OR(C829="",D829=""),"",IF(D829=1,C829,ROUND(C829*(1+D829/30),1)))</f>
        <v/>
      </c>
    </row>
    <row r="830">
      <c r="A830">
        <f>'Month 04'!B36</f>
        <v/>
      </c>
      <c r="B830" t="inlineStr">
        <is>
          <t>Chin-up</t>
        </is>
      </c>
      <c r="C830">
        <f>IF(AND('Month 04'!L68&lt;&gt;"",N('Month 04'!I68)&gt;0),'Month 04'!I68,"")</f>
        <v/>
      </c>
      <c r="D830">
        <f>IF(C830="","",IF(N('Month 04'!J68)&gt;0,'Month 04'!J68,1))</f>
        <v/>
      </c>
      <c r="E830">
        <f>IF(OR(C830="",D830=""),"",IF(D830=1,C830,ROUND(C830*(1+D830/30),1)))</f>
        <v/>
      </c>
    </row>
    <row r="831">
      <c r="A831">
        <f>'Month 04'!B36</f>
        <v/>
      </c>
      <c r="B831" t="inlineStr">
        <is>
          <t>Plank</t>
        </is>
      </c>
      <c r="C831">
        <f>IF(AND('Month 04'!L70&lt;&gt;"",N('Month 04'!I70)&gt;0),'Month 04'!I70,"")</f>
        <v/>
      </c>
      <c r="D831">
        <f>IF(C831="","",IF(N('Month 04'!J70)&gt;0,'Month 04'!J70,1))</f>
        <v/>
      </c>
      <c r="E831">
        <f>IF(OR(C831="",D831=""),"",IF(D831=1,C831,ROUND(C831*(1+D831/30),1)))</f>
        <v/>
      </c>
    </row>
    <row r="832">
      <c r="A832">
        <f>'Month 04'!B36</f>
        <v/>
      </c>
      <c r="B832" t="inlineStr">
        <is>
          <t>Plank</t>
        </is>
      </c>
      <c r="C832">
        <f>IF(AND('Month 04'!L71&lt;&gt;"",N('Month 04'!I71)&gt;0),'Month 04'!I71,"")</f>
        <v/>
      </c>
      <c r="D832">
        <f>IF(C832="","",IF(N('Month 04'!J71)&gt;0,'Month 04'!J71,1))</f>
        <v/>
      </c>
      <c r="E832">
        <f>IF(OR(C832="",D832=""),"",IF(D832=1,C832,ROUND(C832*(1+D832/30),1)))</f>
        <v/>
      </c>
    </row>
    <row r="833">
      <c r="A833">
        <f>'Month 04'!B36</f>
        <v/>
      </c>
      <c r="B833" t="inlineStr">
        <is>
          <t>Plank</t>
        </is>
      </c>
      <c r="C833">
        <f>IF(AND('Month 04'!L72&lt;&gt;"",N('Month 04'!I72)&gt;0),'Month 04'!I72,"")</f>
        <v/>
      </c>
      <c r="D833">
        <f>IF(C833="","",IF(N('Month 04'!J72)&gt;0,'Month 04'!J72,1))</f>
        <v/>
      </c>
      <c r="E833">
        <f>IF(OR(C833="",D833=""),"",IF(D833=1,C833,ROUND(C833*(1+D833/30),1)))</f>
        <v/>
      </c>
    </row>
    <row r="834">
      <c r="A834">
        <f>'Month 04'!B36</f>
        <v/>
      </c>
      <c r="B834" t="inlineStr">
        <is>
          <t>Plank</t>
        </is>
      </c>
      <c r="C834">
        <f>IF(AND('Month 04'!L73&lt;&gt;"",N('Month 04'!I73)&gt;0),'Month 04'!I73,"")</f>
        <v/>
      </c>
      <c r="D834">
        <f>IF(C834="","",IF(N('Month 04'!J73)&gt;0,'Month 04'!J73,1))</f>
        <v/>
      </c>
      <c r="E834">
        <f>IF(OR(C834="",D834=""),"",IF(D834=1,C834,ROUND(C834*(1+D834/30),1)))</f>
        <v/>
      </c>
    </row>
    <row r="835">
      <c r="A835">
        <f>'Month 04'!B74</f>
        <v/>
      </c>
      <c r="B835" t="inlineStr">
        <is>
          <t>Lateral Bound</t>
        </is>
      </c>
      <c r="C835">
        <f>IF(AND('Month 04'!L76&lt;&gt;"",N('Month 04'!I76)&gt;0),'Month 04'!I76,"")</f>
        <v/>
      </c>
      <c r="D835">
        <f>IF(C835="","",IF(N('Month 04'!J76)&gt;0,'Month 04'!J76,1))</f>
        <v/>
      </c>
      <c r="E835">
        <f>IF(OR(C835="",D835=""),"",IF(D835=1,C835,ROUND(C835*(1+D835/30),1)))</f>
        <v/>
      </c>
    </row>
    <row r="836">
      <c r="A836">
        <f>'Month 04'!B74</f>
        <v/>
      </c>
      <c r="B836" t="inlineStr">
        <is>
          <t>Lateral Bound</t>
        </is>
      </c>
      <c r="C836">
        <f>IF(AND('Month 04'!L77&lt;&gt;"",N('Month 04'!I77)&gt;0),'Month 04'!I77,"")</f>
        <v/>
      </c>
      <c r="D836">
        <f>IF(C836="","",IF(N('Month 04'!J77)&gt;0,'Month 04'!J77,1))</f>
        <v/>
      </c>
      <c r="E836">
        <f>IF(OR(C836="",D836=""),"",IF(D836=1,C836,ROUND(C836*(1+D836/30),1)))</f>
        <v/>
      </c>
    </row>
    <row r="837">
      <c r="A837">
        <f>'Month 04'!B74</f>
        <v/>
      </c>
      <c r="B837" t="inlineStr">
        <is>
          <t>Lateral Bound</t>
        </is>
      </c>
      <c r="C837">
        <f>IF(AND('Month 04'!L78&lt;&gt;"",N('Month 04'!I78)&gt;0),'Month 04'!I78,"")</f>
        <v/>
      </c>
      <c r="D837">
        <f>IF(C837="","",IF(N('Month 04'!J78)&gt;0,'Month 04'!J78,1))</f>
        <v/>
      </c>
      <c r="E837">
        <f>IF(OR(C837="",D837=""),"",IF(D837=1,C837,ROUND(C837*(1+D837/30),1)))</f>
        <v/>
      </c>
    </row>
    <row r="838">
      <c r="A838">
        <f>'Month 04'!B74</f>
        <v/>
      </c>
      <c r="B838" t="inlineStr">
        <is>
          <t>Lateral Bound</t>
        </is>
      </c>
      <c r="C838">
        <f>IF(AND('Month 04'!L79&lt;&gt;"",N('Month 04'!I79)&gt;0),'Month 04'!I79,"")</f>
        <v/>
      </c>
      <c r="D838">
        <f>IF(C838="","",IF(N('Month 04'!J79)&gt;0,'Month 04'!J79,1))</f>
        <v/>
      </c>
      <c r="E838">
        <f>IF(OR(C838="",D838=""),"",IF(D838=1,C838,ROUND(C838*(1+D838/30),1)))</f>
        <v/>
      </c>
    </row>
    <row r="839">
      <c r="A839">
        <f>'Month 04'!B74</f>
        <v/>
      </c>
      <c r="B839" t="inlineStr">
        <is>
          <t>Hang Clean</t>
        </is>
      </c>
      <c r="C839">
        <f>IF(AND('Month 04'!L81&lt;&gt;"",N('Month 04'!I81)&gt;0),'Month 04'!I81,"")</f>
        <v/>
      </c>
      <c r="D839">
        <f>IF(C839="","",IF(N('Month 04'!J81)&gt;0,'Month 04'!J81,1))</f>
        <v/>
      </c>
      <c r="E839">
        <f>IF(OR(C839="",D839=""),"",IF(D839=1,C839,ROUND(C839*(1+D839/30),1)))</f>
        <v/>
      </c>
    </row>
    <row r="840">
      <c r="A840">
        <f>'Month 04'!B74</f>
        <v/>
      </c>
      <c r="B840" t="inlineStr">
        <is>
          <t>Hang Clean</t>
        </is>
      </c>
      <c r="C840">
        <f>IF(AND('Month 04'!L82&lt;&gt;"",N('Month 04'!I82)&gt;0),'Month 04'!I82,"")</f>
        <v/>
      </c>
      <c r="D840">
        <f>IF(C840="","",IF(N('Month 04'!J82)&gt;0,'Month 04'!J82,1))</f>
        <v/>
      </c>
      <c r="E840">
        <f>IF(OR(C840="",D840=""),"",IF(D840=1,C840,ROUND(C840*(1+D840/30),1)))</f>
        <v/>
      </c>
    </row>
    <row r="841">
      <c r="A841">
        <f>'Month 04'!B74</f>
        <v/>
      </c>
      <c r="B841" t="inlineStr">
        <is>
          <t>Hang Clean</t>
        </is>
      </c>
      <c r="C841">
        <f>IF(AND('Month 04'!L83&lt;&gt;"",N('Month 04'!I83)&gt;0),'Month 04'!I83,"")</f>
        <v/>
      </c>
      <c r="D841">
        <f>IF(C841="","",IF(N('Month 04'!J83)&gt;0,'Month 04'!J83,1))</f>
        <v/>
      </c>
      <c r="E841">
        <f>IF(OR(C841="",D841=""),"",IF(D841=1,C841,ROUND(C841*(1+D841/30),1)))</f>
        <v/>
      </c>
    </row>
    <row r="842">
      <c r="A842">
        <f>'Month 04'!B74</f>
        <v/>
      </c>
      <c r="B842" t="inlineStr">
        <is>
          <t>Hang Clean</t>
        </is>
      </c>
      <c r="C842">
        <f>IF(AND('Month 04'!L84&lt;&gt;"",N('Month 04'!I84)&gt;0),'Month 04'!I84,"")</f>
        <v/>
      </c>
      <c r="D842">
        <f>IF(C842="","",IF(N('Month 04'!J84)&gt;0,'Month 04'!J84,1))</f>
        <v/>
      </c>
      <c r="E842">
        <f>IF(OR(C842="",D842=""),"",IF(D842=1,C842,ROUND(C842*(1+D842/30),1)))</f>
        <v/>
      </c>
    </row>
    <row r="843">
      <c r="A843">
        <f>'Month 04'!B74</f>
        <v/>
      </c>
      <c r="B843" t="inlineStr">
        <is>
          <t>Hang Clean</t>
        </is>
      </c>
      <c r="C843">
        <f>IF(AND('Month 04'!L85&lt;&gt;"",N('Month 04'!I85)&gt;0),'Month 04'!I85,"")</f>
        <v/>
      </c>
      <c r="D843">
        <f>IF(C843="","",IF(N('Month 04'!J85)&gt;0,'Month 04'!J85,1))</f>
        <v/>
      </c>
      <c r="E843">
        <f>IF(OR(C843="",D843=""),"",IF(D843=1,C843,ROUND(C843*(1+D843/30),1)))</f>
        <v/>
      </c>
    </row>
    <row r="844">
      <c r="A844">
        <f>'Month 04'!B74</f>
        <v/>
      </c>
      <c r="B844" t="inlineStr">
        <is>
          <t>Hang Clean</t>
        </is>
      </c>
      <c r="C844">
        <f>IF(AND('Month 04'!L86&lt;&gt;"",N('Month 04'!I86)&gt;0),'Month 04'!I86,"")</f>
        <v/>
      </c>
      <c r="D844">
        <f>IF(C844="","",IF(N('Month 04'!J86)&gt;0,'Month 04'!J86,1))</f>
        <v/>
      </c>
      <c r="E844">
        <f>IF(OR(C844="",D844=""),"",IF(D844=1,C844,ROUND(C844*(1+D844/30),1)))</f>
        <v/>
      </c>
    </row>
    <row r="845">
      <c r="A845">
        <f>'Month 04'!B74</f>
        <v/>
      </c>
      <c r="B845" t="inlineStr">
        <is>
          <t>Safety Bar Squat</t>
        </is>
      </c>
      <c r="C845">
        <f>IF(AND('Month 04'!L88&lt;&gt;"",N('Month 04'!I88)&gt;0),'Month 04'!I88,"")</f>
        <v/>
      </c>
      <c r="D845">
        <f>IF(C845="","",IF(N('Month 04'!J88)&gt;0,'Month 04'!J88,1))</f>
        <v/>
      </c>
      <c r="E845">
        <f>IF(OR(C845="",D845=""),"",IF(D845=1,C845,ROUND(C845*(1+D845/30),1)))</f>
        <v/>
      </c>
    </row>
    <row r="846">
      <c r="A846">
        <f>'Month 04'!B74</f>
        <v/>
      </c>
      <c r="B846" t="inlineStr">
        <is>
          <t>Safety Bar Squat</t>
        </is>
      </c>
      <c r="C846">
        <f>IF(AND('Month 04'!L89&lt;&gt;"",N('Month 04'!I89)&gt;0),'Month 04'!I89,"")</f>
        <v/>
      </c>
      <c r="D846">
        <f>IF(C846="","",IF(N('Month 04'!J89)&gt;0,'Month 04'!J89,1))</f>
        <v/>
      </c>
      <c r="E846">
        <f>IF(OR(C846="",D846=""),"",IF(D846=1,C846,ROUND(C846*(1+D846/30),1)))</f>
        <v/>
      </c>
    </row>
    <row r="847">
      <c r="A847">
        <f>'Month 04'!B74</f>
        <v/>
      </c>
      <c r="B847" t="inlineStr">
        <is>
          <t>Safety Bar Squat</t>
        </is>
      </c>
      <c r="C847">
        <f>IF(AND('Month 04'!L90&lt;&gt;"",N('Month 04'!I90)&gt;0),'Month 04'!I90,"")</f>
        <v/>
      </c>
      <c r="D847">
        <f>IF(C847="","",IF(N('Month 04'!J90)&gt;0,'Month 04'!J90,1))</f>
        <v/>
      </c>
      <c r="E847">
        <f>IF(OR(C847="",D847=""),"",IF(D847=1,C847,ROUND(C847*(1+D847/30),1)))</f>
        <v/>
      </c>
    </row>
    <row r="848">
      <c r="A848">
        <f>'Month 04'!B74</f>
        <v/>
      </c>
      <c r="B848" t="inlineStr">
        <is>
          <t>Safety Bar Squat</t>
        </is>
      </c>
      <c r="C848">
        <f>IF(AND('Month 04'!L91&lt;&gt;"",N('Month 04'!I91)&gt;0),'Month 04'!I91,"")</f>
        <v/>
      </c>
      <c r="D848">
        <f>IF(C848="","",IF(N('Month 04'!J91)&gt;0,'Month 04'!J91,1))</f>
        <v/>
      </c>
      <c r="E848">
        <f>IF(OR(C848="",D848=""),"",IF(D848=1,C848,ROUND(C848*(1+D848/30),1)))</f>
        <v/>
      </c>
    </row>
    <row r="849">
      <c r="A849">
        <f>'Month 04'!B74</f>
        <v/>
      </c>
      <c r="B849" t="inlineStr">
        <is>
          <t>1-Board Press</t>
        </is>
      </c>
      <c r="C849">
        <f>IF(AND('Month 04'!L93&lt;&gt;"",N('Month 04'!I93)&gt;0),'Month 04'!I93,"")</f>
        <v/>
      </c>
      <c r="D849">
        <f>IF(C849="","",IF(N('Month 04'!J93)&gt;0,'Month 04'!J93,1))</f>
        <v/>
      </c>
      <c r="E849">
        <f>IF(OR(C849="",D849=""),"",IF(D849=1,C849,ROUND(C849*(1+D849/30),1)))</f>
        <v/>
      </c>
    </row>
    <row r="850">
      <c r="A850">
        <f>'Month 04'!B74</f>
        <v/>
      </c>
      <c r="B850" t="inlineStr">
        <is>
          <t>1-Board Press</t>
        </is>
      </c>
      <c r="C850">
        <f>IF(AND('Month 04'!L94&lt;&gt;"",N('Month 04'!I94)&gt;0),'Month 04'!I94,"")</f>
        <v/>
      </c>
      <c r="D850">
        <f>IF(C850="","",IF(N('Month 04'!J94)&gt;0,'Month 04'!J94,1))</f>
        <v/>
      </c>
      <c r="E850">
        <f>IF(OR(C850="",D850=""),"",IF(D850=1,C850,ROUND(C850*(1+D850/30),1)))</f>
        <v/>
      </c>
    </row>
    <row r="851">
      <c r="A851">
        <f>'Month 04'!B74</f>
        <v/>
      </c>
      <c r="B851" t="inlineStr">
        <is>
          <t>1-Board Press</t>
        </is>
      </c>
      <c r="C851">
        <f>IF(AND('Month 04'!L95&lt;&gt;"",N('Month 04'!I95)&gt;0),'Month 04'!I95,"")</f>
        <v/>
      </c>
      <c r="D851">
        <f>IF(C851="","",IF(N('Month 04'!J95)&gt;0,'Month 04'!J95,1))</f>
        <v/>
      </c>
      <c r="E851">
        <f>IF(OR(C851="",D851=""),"",IF(D851=1,C851,ROUND(C851*(1+D851/30),1)))</f>
        <v/>
      </c>
    </row>
    <row r="852">
      <c r="A852">
        <f>'Month 04'!B74</f>
        <v/>
      </c>
      <c r="B852" t="inlineStr">
        <is>
          <t>1-Board Press</t>
        </is>
      </c>
      <c r="C852">
        <f>IF(AND('Month 04'!L96&lt;&gt;"",N('Month 04'!I96)&gt;0),'Month 04'!I96,"")</f>
        <v/>
      </c>
      <c r="D852">
        <f>IF(C852="","",IF(N('Month 04'!J96)&gt;0,'Month 04'!J96,1))</f>
        <v/>
      </c>
      <c r="E852">
        <f>IF(OR(C852="",D852=""),"",IF(D852=1,C852,ROUND(C852*(1+D852/30),1)))</f>
        <v/>
      </c>
    </row>
    <row r="853">
      <c r="A853">
        <f>'Month 04'!B74</f>
        <v/>
      </c>
      <c r="B853" t="inlineStr">
        <is>
          <t>Block Pull</t>
        </is>
      </c>
      <c r="C853">
        <f>IF(AND('Month 04'!L98&lt;&gt;"",N('Month 04'!I98)&gt;0),'Month 04'!I98,"")</f>
        <v/>
      </c>
      <c r="D853">
        <f>IF(C853="","",IF(N('Month 04'!J98)&gt;0,'Month 04'!J98,1))</f>
        <v/>
      </c>
      <c r="E853">
        <f>IF(OR(C853="",D853=""),"",IF(D853=1,C853,ROUND(C853*(1+D853/30),1)))</f>
        <v/>
      </c>
    </row>
    <row r="854">
      <c r="A854">
        <f>'Month 04'!B74</f>
        <v/>
      </c>
      <c r="B854" t="inlineStr">
        <is>
          <t>Block Pull</t>
        </is>
      </c>
      <c r="C854">
        <f>IF(AND('Month 04'!L99&lt;&gt;"",N('Month 04'!I99)&gt;0),'Month 04'!I99,"")</f>
        <v/>
      </c>
      <c r="D854">
        <f>IF(C854="","",IF(N('Month 04'!J99)&gt;0,'Month 04'!J99,1))</f>
        <v/>
      </c>
      <c r="E854">
        <f>IF(OR(C854="",D854=""),"",IF(D854=1,C854,ROUND(C854*(1+D854/30),1)))</f>
        <v/>
      </c>
    </row>
    <row r="855">
      <c r="A855">
        <f>'Month 04'!B74</f>
        <v/>
      </c>
      <c r="B855" t="inlineStr">
        <is>
          <t>Block Pull</t>
        </is>
      </c>
      <c r="C855">
        <f>IF(AND('Month 04'!L100&lt;&gt;"",N('Month 04'!I100)&gt;0),'Month 04'!I100,"")</f>
        <v/>
      </c>
      <c r="D855">
        <f>IF(C855="","",IF(N('Month 04'!J100)&gt;0,'Month 04'!J100,1))</f>
        <v/>
      </c>
      <c r="E855">
        <f>IF(OR(C855="",D855=""),"",IF(D855=1,C855,ROUND(C855*(1+D855/30),1)))</f>
        <v/>
      </c>
    </row>
    <row r="856">
      <c r="A856">
        <f>'Month 04'!B74</f>
        <v/>
      </c>
      <c r="B856" t="inlineStr">
        <is>
          <t>Incline Dumbbell Press</t>
        </is>
      </c>
      <c r="C856">
        <f>IF(AND('Month 04'!L102&lt;&gt;"",N('Month 04'!I102)&gt;0),'Month 04'!I102,"")</f>
        <v/>
      </c>
      <c r="D856">
        <f>IF(C856="","",IF(N('Month 04'!J102)&gt;0,'Month 04'!J102,1))</f>
        <v/>
      </c>
      <c r="E856">
        <f>IF(OR(C856="",D856=""),"",IF(D856=1,C856,ROUND(C856*(1+D856/30),1)))</f>
        <v/>
      </c>
    </row>
    <row r="857">
      <c r="A857">
        <f>'Month 04'!B74</f>
        <v/>
      </c>
      <c r="B857" t="inlineStr">
        <is>
          <t>Incline Dumbbell Press</t>
        </is>
      </c>
      <c r="C857">
        <f>IF(AND('Month 04'!L103&lt;&gt;"",N('Month 04'!I103)&gt;0),'Month 04'!I103,"")</f>
        <v/>
      </c>
      <c r="D857">
        <f>IF(C857="","",IF(N('Month 04'!J103)&gt;0,'Month 04'!J103,1))</f>
        <v/>
      </c>
      <c r="E857">
        <f>IF(OR(C857="",D857=""),"",IF(D857=1,C857,ROUND(C857*(1+D857/30),1)))</f>
        <v/>
      </c>
    </row>
    <row r="858">
      <c r="A858">
        <f>'Month 04'!B74</f>
        <v/>
      </c>
      <c r="B858" t="inlineStr">
        <is>
          <t>Incline Dumbbell Press</t>
        </is>
      </c>
      <c r="C858">
        <f>IF(AND('Month 04'!L104&lt;&gt;"",N('Month 04'!I104)&gt;0),'Month 04'!I104,"")</f>
        <v/>
      </c>
      <c r="D858">
        <f>IF(C858="","",IF(N('Month 04'!J104)&gt;0,'Month 04'!J104,1))</f>
        <v/>
      </c>
      <c r="E858">
        <f>IF(OR(C858="",D858=""),"",IF(D858=1,C858,ROUND(C858*(1+D858/30),1)))</f>
        <v/>
      </c>
    </row>
    <row r="859">
      <c r="A859">
        <f>'Month 04'!B74</f>
        <v/>
      </c>
      <c r="B859" t="inlineStr">
        <is>
          <t>Incline Dumbbell Press</t>
        </is>
      </c>
      <c r="C859">
        <f>IF(AND('Month 04'!L105&lt;&gt;"",N('Month 04'!I105)&gt;0),'Month 04'!I105,"")</f>
        <v/>
      </c>
      <c r="D859">
        <f>IF(C859="","",IF(N('Month 04'!J105)&gt;0,'Month 04'!J105,1))</f>
        <v/>
      </c>
      <c r="E859">
        <f>IF(OR(C859="",D859=""),"",IF(D859=1,C859,ROUND(C859*(1+D859/30),1)))</f>
        <v/>
      </c>
    </row>
    <row r="860">
      <c r="A860">
        <f>'Month 04'!B74</f>
        <v/>
      </c>
      <c r="B860" t="inlineStr">
        <is>
          <t>Triceps Pushdown</t>
        </is>
      </c>
      <c r="C860">
        <f>IF(AND('Month 04'!L107&lt;&gt;"",N('Month 04'!I107)&gt;0),'Month 04'!I107,"")</f>
        <v/>
      </c>
      <c r="D860">
        <f>IF(C860="","",IF(N('Month 04'!J107)&gt;0,'Month 04'!J107,1))</f>
        <v/>
      </c>
      <c r="E860">
        <f>IF(OR(C860="",D860=""),"",IF(D860=1,C860,ROUND(C860*(1+D860/30),1)))</f>
        <v/>
      </c>
    </row>
    <row r="861">
      <c r="A861">
        <f>'Month 04'!B74</f>
        <v/>
      </c>
      <c r="B861" t="inlineStr">
        <is>
          <t>Triceps Pushdown</t>
        </is>
      </c>
      <c r="C861">
        <f>IF(AND('Month 04'!L108&lt;&gt;"",N('Month 04'!I108)&gt;0),'Month 04'!I108,"")</f>
        <v/>
      </c>
      <c r="D861">
        <f>IF(C861="","",IF(N('Month 04'!J108)&gt;0,'Month 04'!J108,1))</f>
        <v/>
      </c>
      <c r="E861">
        <f>IF(OR(C861="",D861=""),"",IF(D861=1,C861,ROUND(C861*(1+D861/30),1)))</f>
        <v/>
      </c>
    </row>
    <row r="862">
      <c r="A862">
        <f>'Month 04'!B74</f>
        <v/>
      </c>
      <c r="B862" t="inlineStr">
        <is>
          <t>Triceps Pushdown</t>
        </is>
      </c>
      <c r="C862">
        <f>IF(AND('Month 04'!L109&lt;&gt;"",N('Month 04'!I109)&gt;0),'Month 04'!I109,"")</f>
        <v/>
      </c>
      <c r="D862">
        <f>IF(C862="","",IF(N('Month 04'!J109)&gt;0,'Month 04'!J109,1))</f>
        <v/>
      </c>
      <c r="E862">
        <f>IF(OR(C862="",D862=""),"",IF(D862=1,C862,ROUND(C862*(1+D862/30),1)))</f>
        <v/>
      </c>
    </row>
    <row r="863">
      <c r="A863">
        <f>'Month 04'!B74</f>
        <v/>
      </c>
      <c r="B863" t="inlineStr">
        <is>
          <t>Triceps Pushdown</t>
        </is>
      </c>
      <c r="C863">
        <f>IF(AND('Month 04'!L110&lt;&gt;"",N('Month 04'!I110)&gt;0),'Month 04'!I110,"")</f>
        <v/>
      </c>
      <c r="D863">
        <f>IF(C863="","",IF(N('Month 04'!J110)&gt;0,'Month 04'!J110,1))</f>
        <v/>
      </c>
      <c r="E863">
        <f>IF(OR(C863="",D863=""),"",IF(D863=1,C863,ROUND(C863*(1+D863/30),1)))</f>
        <v/>
      </c>
    </row>
    <row r="864">
      <c r="A864">
        <f>'Month 04'!B113</f>
        <v/>
      </c>
      <c r="B864" t="inlineStr">
        <is>
          <t>Box Jump</t>
        </is>
      </c>
      <c r="C864">
        <f>IF(AND('Month 04'!L115&lt;&gt;"",N('Month 04'!I115)&gt;0),'Month 04'!I115,"")</f>
        <v/>
      </c>
      <c r="D864">
        <f>IF(C864="","",IF(N('Month 04'!J115)&gt;0,'Month 04'!J115,1))</f>
        <v/>
      </c>
      <c r="E864">
        <f>IF(OR(C864="",D864=""),"",IF(D864=1,C864,ROUND(C864*(1+D864/30),1)))</f>
        <v/>
      </c>
    </row>
    <row r="865">
      <c r="A865">
        <f>'Month 04'!B113</f>
        <v/>
      </c>
      <c r="B865" t="inlineStr">
        <is>
          <t>Box Jump</t>
        </is>
      </c>
      <c r="C865">
        <f>IF(AND('Month 04'!L116&lt;&gt;"",N('Month 04'!I116)&gt;0),'Month 04'!I116,"")</f>
        <v/>
      </c>
      <c r="D865">
        <f>IF(C865="","",IF(N('Month 04'!J116)&gt;0,'Month 04'!J116,1))</f>
        <v/>
      </c>
      <c r="E865">
        <f>IF(OR(C865="",D865=""),"",IF(D865=1,C865,ROUND(C865*(1+D865/30),1)))</f>
        <v/>
      </c>
    </row>
    <row r="866">
      <c r="A866">
        <f>'Month 04'!B113</f>
        <v/>
      </c>
      <c r="B866" t="inlineStr">
        <is>
          <t>Box Jump</t>
        </is>
      </c>
      <c r="C866">
        <f>IF(AND('Month 04'!L117&lt;&gt;"",N('Month 04'!I117)&gt;0),'Month 04'!I117,"")</f>
        <v/>
      </c>
      <c r="D866">
        <f>IF(C866="","",IF(N('Month 04'!J117)&gt;0,'Month 04'!J117,1))</f>
        <v/>
      </c>
      <c r="E866">
        <f>IF(OR(C866="",D866=""),"",IF(D866=1,C866,ROUND(C866*(1+D866/30),1)))</f>
        <v/>
      </c>
    </row>
    <row r="867">
      <c r="A867">
        <f>'Month 04'!B113</f>
        <v/>
      </c>
      <c r="B867" t="inlineStr">
        <is>
          <t>Box Jump</t>
        </is>
      </c>
      <c r="C867">
        <f>IF(AND('Month 04'!L118&lt;&gt;"",N('Month 04'!I118)&gt;0),'Month 04'!I118,"")</f>
        <v/>
      </c>
      <c r="D867">
        <f>IF(C867="","",IF(N('Month 04'!J118)&gt;0,'Month 04'!J118,1))</f>
        <v/>
      </c>
      <c r="E867">
        <f>IF(OR(C867="",D867=""),"",IF(D867=1,C867,ROUND(C867*(1+D867/30),1)))</f>
        <v/>
      </c>
    </row>
    <row r="868">
      <c r="A868">
        <f>'Month 04'!B113</f>
        <v/>
      </c>
      <c r="B868" t="inlineStr">
        <is>
          <t>Snatch</t>
        </is>
      </c>
      <c r="C868">
        <f>IF(AND('Month 04'!L120&lt;&gt;"",N('Month 04'!I120)&gt;0),'Month 04'!I120,"")</f>
        <v/>
      </c>
      <c r="D868">
        <f>IF(C868="","",IF(N('Month 04'!J120)&gt;0,'Month 04'!J120,1))</f>
        <v/>
      </c>
      <c r="E868">
        <f>IF(OR(C868="",D868=""),"",IF(D868=1,C868,ROUND(C868*(1+D868/30),1)))</f>
        <v/>
      </c>
    </row>
    <row r="869">
      <c r="A869">
        <f>'Month 04'!B113</f>
        <v/>
      </c>
      <c r="B869" t="inlineStr">
        <is>
          <t>Snatch</t>
        </is>
      </c>
      <c r="C869">
        <f>IF(AND('Month 04'!L121&lt;&gt;"",N('Month 04'!I121)&gt;0),'Month 04'!I121,"")</f>
        <v/>
      </c>
      <c r="D869">
        <f>IF(C869="","",IF(N('Month 04'!J121)&gt;0,'Month 04'!J121,1))</f>
        <v/>
      </c>
      <c r="E869">
        <f>IF(OR(C869="",D869=""),"",IF(D869=1,C869,ROUND(C869*(1+D869/30),1)))</f>
        <v/>
      </c>
    </row>
    <row r="870">
      <c r="A870">
        <f>'Month 04'!B113</f>
        <v/>
      </c>
      <c r="B870" t="inlineStr">
        <is>
          <t>Snatch</t>
        </is>
      </c>
      <c r="C870">
        <f>IF(AND('Month 04'!L122&lt;&gt;"",N('Month 04'!I122)&gt;0),'Month 04'!I122,"")</f>
        <v/>
      </c>
      <c r="D870">
        <f>IF(C870="","",IF(N('Month 04'!J122)&gt;0,'Month 04'!J122,1))</f>
        <v/>
      </c>
      <c r="E870">
        <f>IF(OR(C870="",D870=""),"",IF(D870=1,C870,ROUND(C870*(1+D870/30),1)))</f>
        <v/>
      </c>
    </row>
    <row r="871">
      <c r="A871">
        <f>'Month 04'!B113</f>
        <v/>
      </c>
      <c r="B871" t="inlineStr">
        <is>
          <t>Snatch</t>
        </is>
      </c>
      <c r="C871">
        <f>IF(AND('Month 04'!L123&lt;&gt;"",N('Month 04'!I123)&gt;0),'Month 04'!I123,"")</f>
        <v/>
      </c>
      <c r="D871">
        <f>IF(C871="","",IF(N('Month 04'!J123)&gt;0,'Month 04'!J123,1))</f>
        <v/>
      </c>
      <c r="E871">
        <f>IF(OR(C871="",D871=""),"",IF(D871=1,C871,ROUND(C871*(1+D871/30),1)))</f>
        <v/>
      </c>
    </row>
    <row r="872">
      <c r="A872">
        <f>'Month 04'!B113</f>
        <v/>
      </c>
      <c r="B872" t="inlineStr">
        <is>
          <t>Squat</t>
        </is>
      </c>
      <c r="C872">
        <f>IF(AND('Month 04'!L125&lt;&gt;"",N('Month 04'!I125)&gt;0),'Month 04'!I125,"")</f>
        <v/>
      </c>
      <c r="D872">
        <f>IF(C872="","",IF(N('Month 04'!J125)&gt;0,'Month 04'!J125,1))</f>
        <v/>
      </c>
      <c r="E872">
        <f>IF(OR(C872="",D872=""),"",IF(D872=1,C872,ROUND(C872*(1+D872/30),1)))</f>
        <v/>
      </c>
    </row>
    <row r="873">
      <c r="A873">
        <f>'Month 04'!B113</f>
        <v/>
      </c>
      <c r="B873" t="inlineStr">
        <is>
          <t>Squat</t>
        </is>
      </c>
      <c r="C873">
        <f>IF(AND('Month 04'!L126&lt;&gt;"",N('Month 04'!I126)&gt;0),'Month 04'!I126,"")</f>
        <v/>
      </c>
      <c r="D873">
        <f>IF(C873="","",IF(N('Month 04'!J126)&gt;0,'Month 04'!J126,1))</f>
        <v/>
      </c>
      <c r="E873">
        <f>IF(OR(C873="",D873=""),"",IF(D873=1,C873,ROUND(C873*(1+D873/30),1)))</f>
        <v/>
      </c>
    </row>
    <row r="874">
      <c r="A874">
        <f>'Month 04'!B113</f>
        <v/>
      </c>
      <c r="B874" t="inlineStr">
        <is>
          <t>Squat</t>
        </is>
      </c>
      <c r="C874">
        <f>IF(AND('Month 04'!L127&lt;&gt;"",N('Month 04'!I127)&gt;0),'Month 04'!I127,"")</f>
        <v/>
      </c>
      <c r="D874">
        <f>IF(C874="","",IF(N('Month 04'!J127)&gt;0,'Month 04'!J127,1))</f>
        <v/>
      </c>
      <c r="E874">
        <f>IF(OR(C874="",D874=""),"",IF(D874=1,C874,ROUND(C874*(1+D874/30),1)))</f>
        <v/>
      </c>
    </row>
    <row r="875">
      <c r="A875">
        <f>'Month 04'!B113</f>
        <v/>
      </c>
      <c r="B875" t="inlineStr">
        <is>
          <t>Bench Press</t>
        </is>
      </c>
      <c r="C875">
        <f>IF(AND('Month 04'!L129&lt;&gt;"",N('Month 04'!I129)&gt;0),'Month 04'!I129,"")</f>
        <v/>
      </c>
      <c r="D875">
        <f>IF(C875="","",IF(N('Month 04'!J129)&gt;0,'Month 04'!J129,1))</f>
        <v/>
      </c>
      <c r="E875">
        <f>IF(OR(C875="",D875=""),"",IF(D875=1,C875,ROUND(C875*(1+D875/30),1)))</f>
        <v/>
      </c>
    </row>
    <row r="876">
      <c r="A876">
        <f>'Month 04'!B113</f>
        <v/>
      </c>
      <c r="B876" t="inlineStr">
        <is>
          <t>Bench Press</t>
        </is>
      </c>
      <c r="C876">
        <f>IF(AND('Month 04'!L130&lt;&gt;"",N('Month 04'!I130)&gt;0),'Month 04'!I130,"")</f>
        <v/>
      </c>
      <c r="D876">
        <f>IF(C876="","",IF(N('Month 04'!J130)&gt;0,'Month 04'!J130,1))</f>
        <v/>
      </c>
      <c r="E876">
        <f>IF(OR(C876="",D876=""),"",IF(D876=1,C876,ROUND(C876*(1+D876/30),1)))</f>
        <v/>
      </c>
    </row>
    <row r="877">
      <c r="A877">
        <f>'Month 04'!B113</f>
        <v/>
      </c>
      <c r="B877" t="inlineStr">
        <is>
          <t>Bench Press</t>
        </is>
      </c>
      <c r="C877">
        <f>IF(AND('Month 04'!L131&lt;&gt;"",N('Month 04'!I131)&gt;0),'Month 04'!I131,"")</f>
        <v/>
      </c>
      <c r="D877">
        <f>IF(C877="","",IF(N('Month 04'!J131)&gt;0,'Month 04'!J131,1))</f>
        <v/>
      </c>
      <c r="E877">
        <f>IF(OR(C877="",D877=""),"",IF(D877=1,C877,ROUND(C877*(1+D877/30),1)))</f>
        <v/>
      </c>
    </row>
    <row r="878">
      <c r="A878">
        <f>'Month 04'!B113</f>
        <v/>
      </c>
      <c r="B878" t="inlineStr">
        <is>
          <t>Barbell Row</t>
        </is>
      </c>
      <c r="C878">
        <f>IF(AND('Month 04'!L133&lt;&gt;"",N('Month 04'!I133)&gt;0),'Month 04'!I133,"")</f>
        <v/>
      </c>
      <c r="D878">
        <f>IF(C878="","",IF(N('Month 04'!J133)&gt;0,'Month 04'!J133,1))</f>
        <v/>
      </c>
      <c r="E878">
        <f>IF(OR(C878="",D878=""),"",IF(D878=1,C878,ROUND(C878*(1+D878/30),1)))</f>
        <v/>
      </c>
    </row>
    <row r="879">
      <c r="A879">
        <f>'Month 04'!B113</f>
        <v/>
      </c>
      <c r="B879" t="inlineStr">
        <is>
          <t>Barbell Row</t>
        </is>
      </c>
      <c r="C879">
        <f>IF(AND('Month 04'!L134&lt;&gt;"",N('Month 04'!I134)&gt;0),'Month 04'!I134,"")</f>
        <v/>
      </c>
      <c r="D879">
        <f>IF(C879="","",IF(N('Month 04'!J134)&gt;0,'Month 04'!J134,1))</f>
        <v/>
      </c>
      <c r="E879">
        <f>IF(OR(C879="",D879=""),"",IF(D879=1,C879,ROUND(C879*(1+D879/30),1)))</f>
        <v/>
      </c>
    </row>
    <row r="880">
      <c r="A880">
        <f>'Month 04'!B113</f>
        <v/>
      </c>
      <c r="B880" t="inlineStr">
        <is>
          <t>Barbell Row</t>
        </is>
      </c>
      <c r="C880">
        <f>IF(AND('Month 04'!L135&lt;&gt;"",N('Month 04'!I135)&gt;0),'Month 04'!I135,"")</f>
        <v/>
      </c>
      <c r="D880">
        <f>IF(C880="","",IF(N('Month 04'!J135)&gt;0,'Month 04'!J135,1))</f>
        <v/>
      </c>
      <c r="E880">
        <f>IF(OR(C880="",D880=""),"",IF(D880=1,C880,ROUND(C880*(1+D880/30),1)))</f>
        <v/>
      </c>
    </row>
    <row r="881">
      <c r="A881">
        <f>'Month 04'!B113</f>
        <v/>
      </c>
      <c r="B881" t="inlineStr">
        <is>
          <t>Barbell Row</t>
        </is>
      </c>
      <c r="C881">
        <f>IF(AND('Month 04'!L136&lt;&gt;"",N('Month 04'!I136)&gt;0),'Month 04'!I136,"")</f>
        <v/>
      </c>
      <c r="D881">
        <f>IF(C881="","",IF(N('Month 04'!J136)&gt;0,'Month 04'!J136,1))</f>
        <v/>
      </c>
      <c r="E881">
        <f>IF(OR(C881="",D881=""),"",IF(D881=1,C881,ROUND(C881*(1+D881/30),1)))</f>
        <v/>
      </c>
    </row>
    <row r="882">
      <c r="A882">
        <f>'Month 04'!B113</f>
        <v/>
      </c>
      <c r="B882" t="inlineStr">
        <is>
          <t>Face Pull</t>
        </is>
      </c>
      <c r="C882">
        <f>IF(AND('Month 04'!L138&lt;&gt;"",N('Month 04'!I138)&gt;0),'Month 04'!I138,"")</f>
        <v/>
      </c>
      <c r="D882">
        <f>IF(C882="","",IF(N('Month 04'!J138)&gt;0,'Month 04'!J138,1))</f>
        <v/>
      </c>
      <c r="E882">
        <f>IF(OR(C882="",D882=""),"",IF(D882=1,C882,ROUND(C882*(1+D882/30),1)))</f>
        <v/>
      </c>
    </row>
    <row r="883">
      <c r="A883">
        <f>'Month 04'!B113</f>
        <v/>
      </c>
      <c r="B883" t="inlineStr">
        <is>
          <t>Face Pull</t>
        </is>
      </c>
      <c r="C883">
        <f>IF(AND('Month 04'!L139&lt;&gt;"",N('Month 04'!I139)&gt;0),'Month 04'!I139,"")</f>
        <v/>
      </c>
      <c r="D883">
        <f>IF(C883="","",IF(N('Month 04'!J139)&gt;0,'Month 04'!J139,1))</f>
        <v/>
      </c>
      <c r="E883">
        <f>IF(OR(C883="",D883=""),"",IF(D883=1,C883,ROUND(C883*(1+D883/30),1)))</f>
        <v/>
      </c>
    </row>
    <row r="884">
      <c r="A884">
        <f>'Month 04'!B113</f>
        <v/>
      </c>
      <c r="B884" t="inlineStr">
        <is>
          <t>Face Pull</t>
        </is>
      </c>
      <c r="C884">
        <f>IF(AND('Month 04'!L140&lt;&gt;"",N('Month 04'!I140)&gt;0),'Month 04'!I140,"")</f>
        <v/>
      </c>
      <c r="D884">
        <f>IF(C884="","",IF(N('Month 04'!J140)&gt;0,'Month 04'!J140,1))</f>
        <v/>
      </c>
      <c r="E884">
        <f>IF(OR(C884="",D884=""),"",IF(D884=1,C884,ROUND(C884*(1+D884/30),1)))</f>
        <v/>
      </c>
    </row>
    <row r="885">
      <c r="A885">
        <f>'Month 04'!B113</f>
        <v/>
      </c>
      <c r="B885" t="inlineStr">
        <is>
          <t>Face Pull</t>
        </is>
      </c>
      <c r="C885">
        <f>IF(AND('Month 04'!L141&lt;&gt;"",N('Month 04'!I141)&gt;0),'Month 04'!I141,"")</f>
        <v/>
      </c>
      <c r="D885">
        <f>IF(C885="","",IF(N('Month 04'!J141)&gt;0,'Month 04'!J141,1))</f>
        <v/>
      </c>
      <c r="E885">
        <f>IF(OR(C885="",D885=""),"",IF(D885=1,C885,ROUND(C885*(1+D885/30),1)))</f>
        <v/>
      </c>
    </row>
    <row r="886">
      <c r="A886">
        <f>'Month 04'!B142</f>
        <v/>
      </c>
      <c r="B886" t="inlineStr">
        <is>
          <t>Broad Jump</t>
        </is>
      </c>
      <c r="C886">
        <f>IF(AND('Month 04'!L144&lt;&gt;"",N('Month 04'!I144)&gt;0),'Month 04'!I144,"")</f>
        <v/>
      </c>
      <c r="D886">
        <f>IF(C886="","",IF(N('Month 04'!J144)&gt;0,'Month 04'!J144,1))</f>
        <v/>
      </c>
      <c r="E886">
        <f>IF(OR(C886="",D886=""),"",IF(D886=1,C886,ROUND(C886*(1+D886/30),1)))</f>
        <v/>
      </c>
    </row>
    <row r="887">
      <c r="A887">
        <f>'Month 04'!B142</f>
        <v/>
      </c>
      <c r="B887" t="inlineStr">
        <is>
          <t>Broad Jump</t>
        </is>
      </c>
      <c r="C887">
        <f>IF(AND('Month 04'!L145&lt;&gt;"",N('Month 04'!I145)&gt;0),'Month 04'!I145,"")</f>
        <v/>
      </c>
      <c r="D887">
        <f>IF(C887="","",IF(N('Month 04'!J145)&gt;0,'Month 04'!J145,1))</f>
        <v/>
      </c>
      <c r="E887">
        <f>IF(OR(C887="",D887=""),"",IF(D887=1,C887,ROUND(C887*(1+D887/30),1)))</f>
        <v/>
      </c>
    </row>
    <row r="888">
      <c r="A888">
        <f>'Month 04'!B142</f>
        <v/>
      </c>
      <c r="B888" t="inlineStr">
        <is>
          <t>Broad Jump</t>
        </is>
      </c>
      <c r="C888">
        <f>IF(AND('Month 04'!L146&lt;&gt;"",N('Month 04'!I146)&gt;0),'Month 04'!I146,"")</f>
        <v/>
      </c>
      <c r="D888">
        <f>IF(C888="","",IF(N('Month 04'!J146)&gt;0,'Month 04'!J146,1))</f>
        <v/>
      </c>
      <c r="E888">
        <f>IF(OR(C888="",D888=""),"",IF(D888=1,C888,ROUND(C888*(1+D888/30),1)))</f>
        <v/>
      </c>
    </row>
    <row r="889">
      <c r="A889">
        <f>'Month 04'!B142</f>
        <v/>
      </c>
      <c r="B889" t="inlineStr">
        <is>
          <t>Broad Jump</t>
        </is>
      </c>
      <c r="C889">
        <f>IF(AND('Month 04'!L147&lt;&gt;"",N('Month 04'!I147)&gt;0),'Month 04'!I147,"")</f>
        <v/>
      </c>
      <c r="D889">
        <f>IF(C889="","",IF(N('Month 04'!J147)&gt;0,'Month 04'!J147,1))</f>
        <v/>
      </c>
      <c r="E889">
        <f>IF(OR(C889="",D889=""),"",IF(D889=1,C889,ROUND(C889*(1+D889/30),1)))</f>
        <v/>
      </c>
    </row>
    <row r="890">
      <c r="A890">
        <f>'Month 04'!B142</f>
        <v/>
      </c>
      <c r="B890" t="inlineStr">
        <is>
          <t>Med Ball Chest Pass</t>
        </is>
      </c>
      <c r="C890">
        <f>IF(AND('Month 04'!L149&lt;&gt;"",N('Month 04'!I149)&gt;0),'Month 04'!I149,"")</f>
        <v/>
      </c>
      <c r="D890">
        <f>IF(C890="","",IF(N('Month 04'!J149)&gt;0,'Month 04'!J149,1))</f>
        <v/>
      </c>
      <c r="E890">
        <f>IF(OR(C890="",D890=""),"",IF(D890=1,C890,ROUND(C890*(1+D890/30),1)))</f>
        <v/>
      </c>
    </row>
    <row r="891">
      <c r="A891">
        <f>'Month 04'!B142</f>
        <v/>
      </c>
      <c r="B891" t="inlineStr">
        <is>
          <t>Med Ball Chest Pass</t>
        </is>
      </c>
      <c r="C891">
        <f>IF(AND('Month 04'!L150&lt;&gt;"",N('Month 04'!I150)&gt;0),'Month 04'!I150,"")</f>
        <v/>
      </c>
      <c r="D891">
        <f>IF(C891="","",IF(N('Month 04'!J150)&gt;0,'Month 04'!J150,1))</f>
        <v/>
      </c>
      <c r="E891">
        <f>IF(OR(C891="",D891=""),"",IF(D891=1,C891,ROUND(C891*(1+D891/30),1)))</f>
        <v/>
      </c>
    </row>
    <row r="892">
      <c r="A892">
        <f>'Month 04'!B142</f>
        <v/>
      </c>
      <c r="B892" t="inlineStr">
        <is>
          <t>Med Ball Chest Pass</t>
        </is>
      </c>
      <c r="C892">
        <f>IF(AND('Month 04'!L151&lt;&gt;"",N('Month 04'!I151)&gt;0),'Month 04'!I151,"")</f>
        <v/>
      </c>
      <c r="D892">
        <f>IF(C892="","",IF(N('Month 04'!J151)&gt;0,'Month 04'!J151,1))</f>
        <v/>
      </c>
      <c r="E892">
        <f>IF(OR(C892="",D892=""),"",IF(D892=1,C892,ROUND(C892*(1+D892/30),1)))</f>
        <v/>
      </c>
    </row>
    <row r="893">
      <c r="A893">
        <f>'Month 04'!B142</f>
        <v/>
      </c>
      <c r="B893" t="inlineStr">
        <is>
          <t>Clean &amp; Jerk</t>
        </is>
      </c>
      <c r="C893">
        <f>IF(AND('Month 04'!L153&lt;&gt;"",N('Month 04'!I153)&gt;0),'Month 04'!I153,"")</f>
        <v/>
      </c>
      <c r="D893">
        <f>IF(C893="","",IF(N('Month 04'!J153)&gt;0,'Month 04'!J153,1))</f>
        <v/>
      </c>
      <c r="E893">
        <f>IF(OR(C893="",D893=""),"",IF(D893=1,C893,ROUND(C893*(1+D893/30),1)))</f>
        <v/>
      </c>
    </row>
    <row r="894">
      <c r="A894">
        <f>'Month 04'!B142</f>
        <v/>
      </c>
      <c r="B894" t="inlineStr">
        <is>
          <t>Clean &amp; Jerk</t>
        </is>
      </c>
      <c r="C894">
        <f>IF(AND('Month 04'!L154&lt;&gt;"",N('Month 04'!I154)&gt;0),'Month 04'!I154,"")</f>
        <v/>
      </c>
      <c r="D894">
        <f>IF(C894="","",IF(N('Month 04'!J154)&gt;0,'Month 04'!J154,1))</f>
        <v/>
      </c>
      <c r="E894">
        <f>IF(OR(C894="",D894=""),"",IF(D894=1,C894,ROUND(C894*(1+D894/30),1)))</f>
        <v/>
      </c>
    </row>
    <row r="895">
      <c r="A895">
        <f>'Month 04'!B142</f>
        <v/>
      </c>
      <c r="B895" t="inlineStr">
        <is>
          <t>Clean &amp; Jerk</t>
        </is>
      </c>
      <c r="C895">
        <f>IF(AND('Month 04'!L155&lt;&gt;"",N('Month 04'!I155)&gt;0),'Month 04'!I155,"")</f>
        <v/>
      </c>
      <c r="D895">
        <f>IF(C895="","",IF(N('Month 04'!J155)&gt;0,'Month 04'!J155,1))</f>
        <v/>
      </c>
      <c r="E895">
        <f>IF(OR(C895="",D895=""),"",IF(D895=1,C895,ROUND(C895*(1+D895/30),1)))</f>
        <v/>
      </c>
    </row>
    <row r="896">
      <c r="A896">
        <f>'Month 04'!B142</f>
        <v/>
      </c>
      <c r="B896" t="inlineStr">
        <is>
          <t>Clean &amp; Jerk</t>
        </is>
      </c>
      <c r="C896">
        <f>IF(AND('Month 04'!L156&lt;&gt;"",N('Month 04'!I156)&gt;0),'Month 04'!I156,"")</f>
        <v/>
      </c>
      <c r="D896">
        <f>IF(C896="","",IF(N('Month 04'!J156)&gt;0,'Month 04'!J156,1))</f>
        <v/>
      </c>
      <c r="E896">
        <f>IF(OR(C896="",D896=""),"",IF(D896=1,C896,ROUND(C896*(1+D896/30),1)))</f>
        <v/>
      </c>
    </row>
    <row r="897">
      <c r="A897">
        <f>'Month 04'!B142</f>
        <v/>
      </c>
      <c r="B897" t="inlineStr">
        <is>
          <t>Squat</t>
        </is>
      </c>
      <c r="C897">
        <f>IF(AND('Month 04'!L158&lt;&gt;"",N('Month 04'!I158)&gt;0),'Month 04'!I158,"")</f>
        <v/>
      </c>
      <c r="D897">
        <f>IF(C897="","",IF(N('Month 04'!J158)&gt;0,'Month 04'!J158,1))</f>
        <v/>
      </c>
      <c r="E897">
        <f>IF(OR(C897="",D897=""),"",IF(D897=1,C897,ROUND(C897*(1+D897/30),1)))</f>
        <v/>
      </c>
    </row>
    <row r="898">
      <c r="A898">
        <f>'Month 04'!B142</f>
        <v/>
      </c>
      <c r="B898" t="inlineStr">
        <is>
          <t>Squat</t>
        </is>
      </c>
      <c r="C898">
        <f>IF(AND('Month 04'!L159&lt;&gt;"",N('Month 04'!I159)&gt;0),'Month 04'!I159,"")</f>
        <v/>
      </c>
      <c r="D898">
        <f>IF(C898="","",IF(N('Month 04'!J159)&gt;0,'Month 04'!J159,1))</f>
        <v/>
      </c>
      <c r="E898">
        <f>IF(OR(C898="",D898=""),"",IF(D898=1,C898,ROUND(C898*(1+D898/30),1)))</f>
        <v/>
      </c>
    </row>
    <row r="899">
      <c r="A899">
        <f>'Month 04'!B142</f>
        <v/>
      </c>
      <c r="B899" t="inlineStr">
        <is>
          <t>Squat</t>
        </is>
      </c>
      <c r="C899">
        <f>IF(AND('Month 04'!L160&lt;&gt;"",N('Month 04'!I160)&gt;0),'Month 04'!I160,"")</f>
        <v/>
      </c>
      <c r="D899">
        <f>IF(C899="","",IF(N('Month 04'!J160)&gt;0,'Month 04'!J160,1))</f>
        <v/>
      </c>
      <c r="E899">
        <f>IF(OR(C899="",D899=""),"",IF(D899=1,C899,ROUND(C899*(1+D899/30),1)))</f>
        <v/>
      </c>
    </row>
    <row r="900">
      <c r="A900">
        <f>'Month 04'!B142</f>
        <v/>
      </c>
      <c r="B900" t="inlineStr">
        <is>
          <t>Overhead Press</t>
        </is>
      </c>
      <c r="C900">
        <f>IF(AND('Month 04'!L162&lt;&gt;"",N('Month 04'!I162)&gt;0),'Month 04'!I162,"")</f>
        <v/>
      </c>
      <c r="D900">
        <f>IF(C900="","",IF(N('Month 04'!J162)&gt;0,'Month 04'!J162,1))</f>
        <v/>
      </c>
      <c r="E900">
        <f>IF(OR(C900="",D900=""),"",IF(D900=1,C900,ROUND(C900*(1+D900/30),1)))</f>
        <v/>
      </c>
    </row>
    <row r="901">
      <c r="A901">
        <f>'Month 04'!B142</f>
        <v/>
      </c>
      <c r="B901" t="inlineStr">
        <is>
          <t>Overhead Press</t>
        </is>
      </c>
      <c r="C901">
        <f>IF(AND('Month 04'!L163&lt;&gt;"",N('Month 04'!I163)&gt;0),'Month 04'!I163,"")</f>
        <v/>
      </c>
      <c r="D901">
        <f>IF(C901="","",IF(N('Month 04'!J163)&gt;0,'Month 04'!J163,1))</f>
        <v/>
      </c>
      <c r="E901">
        <f>IF(OR(C901="",D901=""),"",IF(D901=1,C901,ROUND(C901*(1+D901/30),1)))</f>
        <v/>
      </c>
    </row>
    <row r="902">
      <c r="A902">
        <f>'Month 04'!B142</f>
        <v/>
      </c>
      <c r="B902" t="inlineStr">
        <is>
          <t>Overhead Press</t>
        </is>
      </c>
      <c r="C902">
        <f>IF(AND('Month 04'!L164&lt;&gt;"",N('Month 04'!I164)&gt;0),'Month 04'!I164,"")</f>
        <v/>
      </c>
      <c r="D902">
        <f>IF(C902="","",IF(N('Month 04'!J164)&gt;0,'Month 04'!J164,1))</f>
        <v/>
      </c>
      <c r="E902">
        <f>IF(OR(C902="",D902=""),"",IF(D902=1,C902,ROUND(C902*(1+D902/30),1)))</f>
        <v/>
      </c>
    </row>
    <row r="903">
      <c r="A903">
        <f>'Month 04'!B142</f>
        <v/>
      </c>
      <c r="B903" t="inlineStr">
        <is>
          <t>Overhead Press</t>
        </is>
      </c>
      <c r="C903">
        <f>IF(AND('Month 04'!L165&lt;&gt;"",N('Month 04'!I165)&gt;0),'Month 04'!I165,"")</f>
        <v/>
      </c>
      <c r="D903">
        <f>IF(C903="","",IF(N('Month 04'!J165)&gt;0,'Month 04'!J165,1))</f>
        <v/>
      </c>
      <c r="E903">
        <f>IF(OR(C903="",D903=""),"",IF(D903=1,C903,ROUND(C903*(1+D903/30),1)))</f>
        <v/>
      </c>
    </row>
    <row r="904">
      <c r="A904">
        <f>'Month 04'!B142</f>
        <v/>
      </c>
      <c r="B904" t="inlineStr">
        <is>
          <t>Deadlift</t>
        </is>
      </c>
      <c r="C904">
        <f>IF(AND('Month 04'!L167&lt;&gt;"",N('Month 04'!I167)&gt;0),'Month 04'!I167,"")</f>
        <v/>
      </c>
      <c r="D904">
        <f>IF(C904="","",IF(N('Month 04'!J167)&gt;0,'Month 04'!J167,1))</f>
        <v/>
      </c>
      <c r="E904">
        <f>IF(OR(C904="",D904=""),"",IF(D904=1,C904,ROUND(C904*(1+D904/30),1)))</f>
        <v/>
      </c>
    </row>
    <row r="905">
      <c r="A905">
        <f>'Month 04'!B142</f>
        <v/>
      </c>
      <c r="B905" t="inlineStr">
        <is>
          <t>Deadlift</t>
        </is>
      </c>
      <c r="C905">
        <f>IF(AND('Month 04'!L168&lt;&gt;"",N('Month 04'!I168)&gt;0),'Month 04'!I168,"")</f>
        <v/>
      </c>
      <c r="D905">
        <f>IF(C905="","",IF(N('Month 04'!J168)&gt;0,'Month 04'!J168,1))</f>
        <v/>
      </c>
      <c r="E905">
        <f>IF(OR(C905="",D905=""),"",IF(D905=1,C905,ROUND(C905*(1+D905/30),1)))</f>
        <v/>
      </c>
    </row>
    <row r="906">
      <c r="A906">
        <f>'Month 04'!B142</f>
        <v/>
      </c>
      <c r="B906" t="inlineStr">
        <is>
          <t>Deadlift</t>
        </is>
      </c>
      <c r="C906">
        <f>IF(AND('Month 04'!L169&lt;&gt;"",N('Month 04'!I169)&gt;0),'Month 04'!I169,"")</f>
        <v/>
      </c>
      <c r="D906">
        <f>IF(C906="","",IF(N('Month 04'!J169)&gt;0,'Month 04'!J169,1))</f>
        <v/>
      </c>
      <c r="E906">
        <f>IF(OR(C906="",D906=""),"",IF(D906=1,C906,ROUND(C906*(1+D906/30),1)))</f>
        <v/>
      </c>
    </row>
    <row r="907">
      <c r="A907">
        <f>'Month 04'!B142</f>
        <v/>
      </c>
      <c r="B907" t="inlineStr">
        <is>
          <t>Chin-up</t>
        </is>
      </c>
      <c r="C907">
        <f>IF(AND('Month 04'!L171&lt;&gt;"",N('Month 04'!I171)&gt;0),'Month 04'!I171,"")</f>
        <v/>
      </c>
      <c r="D907">
        <f>IF(C907="","",IF(N('Month 04'!J171)&gt;0,'Month 04'!J171,1))</f>
        <v/>
      </c>
      <c r="E907">
        <f>IF(OR(C907="",D907=""),"",IF(D907=1,C907,ROUND(C907*(1+D907/30),1)))</f>
        <v/>
      </c>
    </row>
    <row r="908">
      <c r="A908">
        <f>'Month 04'!B142</f>
        <v/>
      </c>
      <c r="B908" t="inlineStr">
        <is>
          <t>Chin-up</t>
        </is>
      </c>
      <c r="C908">
        <f>IF(AND('Month 04'!L172&lt;&gt;"",N('Month 04'!I172)&gt;0),'Month 04'!I172,"")</f>
        <v/>
      </c>
      <c r="D908">
        <f>IF(C908="","",IF(N('Month 04'!J172)&gt;0,'Month 04'!J172,1))</f>
        <v/>
      </c>
      <c r="E908">
        <f>IF(OR(C908="",D908=""),"",IF(D908=1,C908,ROUND(C908*(1+D908/30),1)))</f>
        <v/>
      </c>
    </row>
    <row r="909">
      <c r="A909">
        <f>'Month 04'!B142</f>
        <v/>
      </c>
      <c r="B909" t="inlineStr">
        <is>
          <t>Chin-up</t>
        </is>
      </c>
      <c r="C909">
        <f>IF(AND('Month 04'!L173&lt;&gt;"",N('Month 04'!I173)&gt;0),'Month 04'!I173,"")</f>
        <v/>
      </c>
      <c r="D909">
        <f>IF(C909="","",IF(N('Month 04'!J173)&gt;0,'Month 04'!J173,1))</f>
        <v/>
      </c>
      <c r="E909">
        <f>IF(OR(C909="",D909=""),"",IF(D909=1,C909,ROUND(C909*(1+D909/30),1)))</f>
        <v/>
      </c>
    </row>
    <row r="910">
      <c r="A910">
        <f>'Month 04'!B142</f>
        <v/>
      </c>
      <c r="B910" t="inlineStr">
        <is>
          <t>Chin-up</t>
        </is>
      </c>
      <c r="C910">
        <f>IF(AND('Month 04'!L174&lt;&gt;"",N('Month 04'!I174)&gt;0),'Month 04'!I174,"")</f>
        <v/>
      </c>
      <c r="D910">
        <f>IF(C910="","",IF(N('Month 04'!J174)&gt;0,'Month 04'!J174,1))</f>
        <v/>
      </c>
      <c r="E910">
        <f>IF(OR(C910="",D910=""),"",IF(D910=1,C910,ROUND(C910*(1+D910/30),1)))</f>
        <v/>
      </c>
    </row>
    <row r="911">
      <c r="A911">
        <f>'Month 04'!B142</f>
        <v/>
      </c>
      <c r="B911" t="inlineStr">
        <is>
          <t>Plank</t>
        </is>
      </c>
      <c r="C911">
        <f>IF(AND('Month 04'!L176&lt;&gt;"",N('Month 04'!I176)&gt;0),'Month 04'!I176,"")</f>
        <v/>
      </c>
      <c r="D911">
        <f>IF(C911="","",IF(N('Month 04'!J176)&gt;0,'Month 04'!J176,1))</f>
        <v/>
      </c>
      <c r="E911">
        <f>IF(OR(C911="",D911=""),"",IF(D911=1,C911,ROUND(C911*(1+D911/30),1)))</f>
        <v/>
      </c>
    </row>
    <row r="912">
      <c r="A912">
        <f>'Month 04'!B142</f>
        <v/>
      </c>
      <c r="B912" t="inlineStr">
        <is>
          <t>Plank</t>
        </is>
      </c>
      <c r="C912">
        <f>IF(AND('Month 04'!L177&lt;&gt;"",N('Month 04'!I177)&gt;0),'Month 04'!I177,"")</f>
        <v/>
      </c>
      <c r="D912">
        <f>IF(C912="","",IF(N('Month 04'!J177)&gt;0,'Month 04'!J177,1))</f>
        <v/>
      </c>
      <c r="E912">
        <f>IF(OR(C912="",D912=""),"",IF(D912=1,C912,ROUND(C912*(1+D912/30),1)))</f>
        <v/>
      </c>
    </row>
    <row r="913">
      <c r="A913">
        <f>'Month 04'!B142</f>
        <v/>
      </c>
      <c r="B913" t="inlineStr">
        <is>
          <t>Plank</t>
        </is>
      </c>
      <c r="C913">
        <f>IF(AND('Month 04'!L178&lt;&gt;"",N('Month 04'!I178)&gt;0),'Month 04'!I178,"")</f>
        <v/>
      </c>
      <c r="D913">
        <f>IF(C913="","",IF(N('Month 04'!J178)&gt;0,'Month 04'!J178,1))</f>
        <v/>
      </c>
      <c r="E913">
        <f>IF(OR(C913="",D913=""),"",IF(D913=1,C913,ROUND(C913*(1+D913/30),1)))</f>
        <v/>
      </c>
    </row>
    <row r="914">
      <c r="A914">
        <f>'Month 04'!B142</f>
        <v/>
      </c>
      <c r="B914" t="inlineStr">
        <is>
          <t>Plank</t>
        </is>
      </c>
      <c r="C914">
        <f>IF(AND('Month 04'!L179&lt;&gt;"",N('Month 04'!I179)&gt;0),'Month 04'!I179,"")</f>
        <v/>
      </c>
      <c r="D914">
        <f>IF(C914="","",IF(N('Month 04'!J179)&gt;0,'Month 04'!J179,1))</f>
        <v/>
      </c>
      <c r="E914">
        <f>IF(OR(C914="",D914=""),"",IF(D914=1,C914,ROUND(C914*(1+D914/30),1)))</f>
        <v/>
      </c>
    </row>
    <row r="915">
      <c r="A915">
        <f>'Month 04'!B180</f>
        <v/>
      </c>
      <c r="B915" t="inlineStr">
        <is>
          <t>Lateral Bound</t>
        </is>
      </c>
      <c r="C915">
        <f>IF(AND('Month 04'!L182&lt;&gt;"",N('Month 04'!I182)&gt;0),'Month 04'!I182,"")</f>
        <v/>
      </c>
      <c r="D915">
        <f>IF(C915="","",IF(N('Month 04'!J182)&gt;0,'Month 04'!J182,1))</f>
        <v/>
      </c>
      <c r="E915">
        <f>IF(OR(C915="",D915=""),"",IF(D915=1,C915,ROUND(C915*(1+D915/30),1)))</f>
        <v/>
      </c>
    </row>
    <row r="916">
      <c r="A916">
        <f>'Month 04'!B180</f>
        <v/>
      </c>
      <c r="B916" t="inlineStr">
        <is>
          <t>Lateral Bound</t>
        </is>
      </c>
      <c r="C916">
        <f>IF(AND('Month 04'!L183&lt;&gt;"",N('Month 04'!I183)&gt;0),'Month 04'!I183,"")</f>
        <v/>
      </c>
      <c r="D916">
        <f>IF(C916="","",IF(N('Month 04'!J183)&gt;0,'Month 04'!J183,1))</f>
        <v/>
      </c>
      <c r="E916">
        <f>IF(OR(C916="",D916=""),"",IF(D916=1,C916,ROUND(C916*(1+D916/30),1)))</f>
        <v/>
      </c>
    </row>
    <row r="917">
      <c r="A917">
        <f>'Month 04'!B180</f>
        <v/>
      </c>
      <c r="B917" t="inlineStr">
        <is>
          <t>Lateral Bound</t>
        </is>
      </c>
      <c r="C917">
        <f>IF(AND('Month 04'!L184&lt;&gt;"",N('Month 04'!I184)&gt;0),'Month 04'!I184,"")</f>
        <v/>
      </c>
      <c r="D917">
        <f>IF(C917="","",IF(N('Month 04'!J184)&gt;0,'Month 04'!J184,1))</f>
        <v/>
      </c>
      <c r="E917">
        <f>IF(OR(C917="",D917=""),"",IF(D917=1,C917,ROUND(C917*(1+D917/30),1)))</f>
        <v/>
      </c>
    </row>
    <row r="918">
      <c r="A918">
        <f>'Month 04'!B180</f>
        <v/>
      </c>
      <c r="B918" t="inlineStr">
        <is>
          <t>Lateral Bound</t>
        </is>
      </c>
      <c r="C918">
        <f>IF(AND('Month 04'!L185&lt;&gt;"",N('Month 04'!I185)&gt;0),'Month 04'!I185,"")</f>
        <v/>
      </c>
      <c r="D918">
        <f>IF(C918="","",IF(N('Month 04'!J185)&gt;0,'Month 04'!J185,1))</f>
        <v/>
      </c>
      <c r="E918">
        <f>IF(OR(C918="",D918=""),"",IF(D918=1,C918,ROUND(C918*(1+D918/30),1)))</f>
        <v/>
      </c>
    </row>
    <row r="919">
      <c r="A919">
        <f>'Month 04'!B180</f>
        <v/>
      </c>
      <c r="B919" t="inlineStr">
        <is>
          <t>Hang Clean</t>
        </is>
      </c>
      <c r="C919">
        <f>IF(AND('Month 04'!L187&lt;&gt;"",N('Month 04'!I187)&gt;0),'Month 04'!I187,"")</f>
        <v/>
      </c>
      <c r="D919">
        <f>IF(C919="","",IF(N('Month 04'!J187)&gt;0,'Month 04'!J187,1))</f>
        <v/>
      </c>
      <c r="E919">
        <f>IF(OR(C919="",D919=""),"",IF(D919=1,C919,ROUND(C919*(1+D919/30),1)))</f>
        <v/>
      </c>
    </row>
    <row r="920">
      <c r="A920">
        <f>'Month 04'!B180</f>
        <v/>
      </c>
      <c r="B920" t="inlineStr">
        <is>
          <t>Hang Clean</t>
        </is>
      </c>
      <c r="C920">
        <f>IF(AND('Month 04'!L188&lt;&gt;"",N('Month 04'!I188)&gt;0),'Month 04'!I188,"")</f>
        <v/>
      </c>
      <c r="D920">
        <f>IF(C920="","",IF(N('Month 04'!J188)&gt;0,'Month 04'!J188,1))</f>
        <v/>
      </c>
      <c r="E920">
        <f>IF(OR(C920="",D920=""),"",IF(D920=1,C920,ROUND(C920*(1+D920/30),1)))</f>
        <v/>
      </c>
    </row>
    <row r="921">
      <c r="A921">
        <f>'Month 04'!B180</f>
        <v/>
      </c>
      <c r="B921" t="inlineStr">
        <is>
          <t>Hang Clean</t>
        </is>
      </c>
      <c r="C921">
        <f>IF(AND('Month 04'!L189&lt;&gt;"",N('Month 04'!I189)&gt;0),'Month 04'!I189,"")</f>
        <v/>
      </c>
      <c r="D921">
        <f>IF(C921="","",IF(N('Month 04'!J189)&gt;0,'Month 04'!J189,1))</f>
        <v/>
      </c>
      <c r="E921">
        <f>IF(OR(C921="",D921=""),"",IF(D921=1,C921,ROUND(C921*(1+D921/30),1)))</f>
        <v/>
      </c>
    </row>
    <row r="922">
      <c r="A922">
        <f>'Month 04'!B180</f>
        <v/>
      </c>
      <c r="B922" t="inlineStr">
        <is>
          <t>Hang Clean</t>
        </is>
      </c>
      <c r="C922">
        <f>IF(AND('Month 04'!L190&lt;&gt;"",N('Month 04'!I190)&gt;0),'Month 04'!I190,"")</f>
        <v/>
      </c>
      <c r="D922">
        <f>IF(C922="","",IF(N('Month 04'!J190)&gt;0,'Month 04'!J190,1))</f>
        <v/>
      </c>
      <c r="E922">
        <f>IF(OR(C922="",D922=""),"",IF(D922=1,C922,ROUND(C922*(1+D922/30),1)))</f>
        <v/>
      </c>
    </row>
    <row r="923">
      <c r="A923">
        <f>'Month 04'!B180</f>
        <v/>
      </c>
      <c r="B923" t="inlineStr">
        <is>
          <t>Hang Clean</t>
        </is>
      </c>
      <c r="C923">
        <f>IF(AND('Month 04'!L191&lt;&gt;"",N('Month 04'!I191)&gt;0),'Month 04'!I191,"")</f>
        <v/>
      </c>
      <c r="D923">
        <f>IF(C923="","",IF(N('Month 04'!J191)&gt;0,'Month 04'!J191,1))</f>
        <v/>
      </c>
      <c r="E923">
        <f>IF(OR(C923="",D923=""),"",IF(D923=1,C923,ROUND(C923*(1+D923/30),1)))</f>
        <v/>
      </c>
    </row>
    <row r="924">
      <c r="A924">
        <f>'Month 04'!B180</f>
        <v/>
      </c>
      <c r="B924" t="inlineStr">
        <is>
          <t>Hang Clean</t>
        </is>
      </c>
      <c r="C924">
        <f>IF(AND('Month 04'!L192&lt;&gt;"",N('Month 04'!I192)&gt;0),'Month 04'!I192,"")</f>
        <v/>
      </c>
      <c r="D924">
        <f>IF(C924="","",IF(N('Month 04'!J192)&gt;0,'Month 04'!J192,1))</f>
        <v/>
      </c>
      <c r="E924">
        <f>IF(OR(C924="",D924=""),"",IF(D924=1,C924,ROUND(C924*(1+D924/30),1)))</f>
        <v/>
      </c>
    </row>
    <row r="925">
      <c r="A925">
        <f>'Month 04'!B180</f>
        <v/>
      </c>
      <c r="B925" t="inlineStr">
        <is>
          <t>Safety Bar Squat</t>
        </is>
      </c>
      <c r="C925">
        <f>IF(AND('Month 04'!L194&lt;&gt;"",N('Month 04'!I194)&gt;0),'Month 04'!I194,"")</f>
        <v/>
      </c>
      <c r="D925">
        <f>IF(C925="","",IF(N('Month 04'!J194)&gt;0,'Month 04'!J194,1))</f>
        <v/>
      </c>
      <c r="E925">
        <f>IF(OR(C925="",D925=""),"",IF(D925=1,C925,ROUND(C925*(1+D925/30),1)))</f>
        <v/>
      </c>
    </row>
    <row r="926">
      <c r="A926">
        <f>'Month 04'!B180</f>
        <v/>
      </c>
      <c r="B926" t="inlineStr">
        <is>
          <t>Safety Bar Squat</t>
        </is>
      </c>
      <c r="C926">
        <f>IF(AND('Month 04'!L195&lt;&gt;"",N('Month 04'!I195)&gt;0),'Month 04'!I195,"")</f>
        <v/>
      </c>
      <c r="D926">
        <f>IF(C926="","",IF(N('Month 04'!J195)&gt;0,'Month 04'!J195,1))</f>
        <v/>
      </c>
      <c r="E926">
        <f>IF(OR(C926="",D926=""),"",IF(D926=1,C926,ROUND(C926*(1+D926/30),1)))</f>
        <v/>
      </c>
    </row>
    <row r="927">
      <c r="A927">
        <f>'Month 04'!B180</f>
        <v/>
      </c>
      <c r="B927" t="inlineStr">
        <is>
          <t>Safety Bar Squat</t>
        </is>
      </c>
      <c r="C927">
        <f>IF(AND('Month 04'!L196&lt;&gt;"",N('Month 04'!I196)&gt;0),'Month 04'!I196,"")</f>
        <v/>
      </c>
      <c r="D927">
        <f>IF(C927="","",IF(N('Month 04'!J196)&gt;0,'Month 04'!J196,1))</f>
        <v/>
      </c>
      <c r="E927">
        <f>IF(OR(C927="",D927=""),"",IF(D927=1,C927,ROUND(C927*(1+D927/30),1)))</f>
        <v/>
      </c>
    </row>
    <row r="928">
      <c r="A928">
        <f>'Month 04'!B180</f>
        <v/>
      </c>
      <c r="B928" t="inlineStr">
        <is>
          <t>Safety Bar Squat</t>
        </is>
      </c>
      <c r="C928">
        <f>IF(AND('Month 04'!L197&lt;&gt;"",N('Month 04'!I197)&gt;0),'Month 04'!I197,"")</f>
        <v/>
      </c>
      <c r="D928">
        <f>IF(C928="","",IF(N('Month 04'!J197)&gt;0,'Month 04'!J197,1))</f>
        <v/>
      </c>
      <c r="E928">
        <f>IF(OR(C928="",D928=""),"",IF(D928=1,C928,ROUND(C928*(1+D928/30),1)))</f>
        <v/>
      </c>
    </row>
    <row r="929">
      <c r="A929">
        <f>'Month 04'!B180</f>
        <v/>
      </c>
      <c r="B929" t="inlineStr">
        <is>
          <t>1-Board Press</t>
        </is>
      </c>
      <c r="C929">
        <f>IF(AND('Month 04'!L199&lt;&gt;"",N('Month 04'!I199)&gt;0),'Month 04'!I199,"")</f>
        <v/>
      </c>
      <c r="D929">
        <f>IF(C929="","",IF(N('Month 04'!J199)&gt;0,'Month 04'!J199,1))</f>
        <v/>
      </c>
      <c r="E929">
        <f>IF(OR(C929="",D929=""),"",IF(D929=1,C929,ROUND(C929*(1+D929/30),1)))</f>
        <v/>
      </c>
    </row>
    <row r="930">
      <c r="A930">
        <f>'Month 04'!B180</f>
        <v/>
      </c>
      <c r="B930" t="inlineStr">
        <is>
          <t>1-Board Press</t>
        </is>
      </c>
      <c r="C930">
        <f>IF(AND('Month 04'!L200&lt;&gt;"",N('Month 04'!I200)&gt;0),'Month 04'!I200,"")</f>
        <v/>
      </c>
      <c r="D930">
        <f>IF(C930="","",IF(N('Month 04'!J200)&gt;0,'Month 04'!J200,1))</f>
        <v/>
      </c>
      <c r="E930">
        <f>IF(OR(C930="",D930=""),"",IF(D930=1,C930,ROUND(C930*(1+D930/30),1)))</f>
        <v/>
      </c>
    </row>
    <row r="931">
      <c r="A931">
        <f>'Month 04'!B180</f>
        <v/>
      </c>
      <c r="B931" t="inlineStr">
        <is>
          <t>1-Board Press</t>
        </is>
      </c>
      <c r="C931">
        <f>IF(AND('Month 04'!L201&lt;&gt;"",N('Month 04'!I201)&gt;0),'Month 04'!I201,"")</f>
        <v/>
      </c>
      <c r="D931">
        <f>IF(C931="","",IF(N('Month 04'!J201)&gt;0,'Month 04'!J201,1))</f>
        <v/>
      </c>
      <c r="E931">
        <f>IF(OR(C931="",D931=""),"",IF(D931=1,C931,ROUND(C931*(1+D931/30),1)))</f>
        <v/>
      </c>
    </row>
    <row r="932">
      <c r="A932">
        <f>'Month 04'!B180</f>
        <v/>
      </c>
      <c r="B932" t="inlineStr">
        <is>
          <t>1-Board Press</t>
        </is>
      </c>
      <c r="C932">
        <f>IF(AND('Month 04'!L202&lt;&gt;"",N('Month 04'!I202)&gt;0),'Month 04'!I202,"")</f>
        <v/>
      </c>
      <c r="D932">
        <f>IF(C932="","",IF(N('Month 04'!J202)&gt;0,'Month 04'!J202,1))</f>
        <v/>
      </c>
      <c r="E932">
        <f>IF(OR(C932="",D932=""),"",IF(D932=1,C932,ROUND(C932*(1+D932/30),1)))</f>
        <v/>
      </c>
    </row>
    <row r="933">
      <c r="A933">
        <f>'Month 04'!B180</f>
        <v/>
      </c>
      <c r="B933" t="inlineStr">
        <is>
          <t>Block Pull</t>
        </is>
      </c>
      <c r="C933">
        <f>IF(AND('Month 04'!L204&lt;&gt;"",N('Month 04'!I204)&gt;0),'Month 04'!I204,"")</f>
        <v/>
      </c>
      <c r="D933">
        <f>IF(C933="","",IF(N('Month 04'!J204)&gt;0,'Month 04'!J204,1))</f>
        <v/>
      </c>
      <c r="E933">
        <f>IF(OR(C933="",D933=""),"",IF(D933=1,C933,ROUND(C933*(1+D933/30),1)))</f>
        <v/>
      </c>
    </row>
    <row r="934">
      <c r="A934">
        <f>'Month 04'!B180</f>
        <v/>
      </c>
      <c r="B934" t="inlineStr">
        <is>
          <t>Block Pull</t>
        </is>
      </c>
      <c r="C934">
        <f>IF(AND('Month 04'!L205&lt;&gt;"",N('Month 04'!I205)&gt;0),'Month 04'!I205,"")</f>
        <v/>
      </c>
      <c r="D934">
        <f>IF(C934="","",IF(N('Month 04'!J205)&gt;0,'Month 04'!J205,1))</f>
        <v/>
      </c>
      <c r="E934">
        <f>IF(OR(C934="",D934=""),"",IF(D934=1,C934,ROUND(C934*(1+D934/30),1)))</f>
        <v/>
      </c>
    </row>
    <row r="935">
      <c r="A935">
        <f>'Month 04'!B180</f>
        <v/>
      </c>
      <c r="B935" t="inlineStr">
        <is>
          <t>Block Pull</t>
        </is>
      </c>
      <c r="C935">
        <f>IF(AND('Month 04'!L206&lt;&gt;"",N('Month 04'!I206)&gt;0),'Month 04'!I206,"")</f>
        <v/>
      </c>
      <c r="D935">
        <f>IF(C935="","",IF(N('Month 04'!J206)&gt;0,'Month 04'!J206,1))</f>
        <v/>
      </c>
      <c r="E935">
        <f>IF(OR(C935="",D935=""),"",IF(D935=1,C935,ROUND(C935*(1+D935/30),1)))</f>
        <v/>
      </c>
    </row>
    <row r="936">
      <c r="A936">
        <f>'Month 04'!B180</f>
        <v/>
      </c>
      <c r="B936" t="inlineStr">
        <is>
          <t>Incline Dumbbell Press</t>
        </is>
      </c>
      <c r="C936">
        <f>IF(AND('Month 04'!L208&lt;&gt;"",N('Month 04'!I208)&gt;0),'Month 04'!I208,"")</f>
        <v/>
      </c>
      <c r="D936">
        <f>IF(C936="","",IF(N('Month 04'!J208)&gt;0,'Month 04'!J208,1))</f>
        <v/>
      </c>
      <c r="E936">
        <f>IF(OR(C936="",D936=""),"",IF(D936=1,C936,ROUND(C936*(1+D936/30),1)))</f>
        <v/>
      </c>
    </row>
    <row r="937">
      <c r="A937">
        <f>'Month 04'!B180</f>
        <v/>
      </c>
      <c r="B937" t="inlineStr">
        <is>
          <t>Incline Dumbbell Press</t>
        </is>
      </c>
      <c r="C937">
        <f>IF(AND('Month 04'!L209&lt;&gt;"",N('Month 04'!I209)&gt;0),'Month 04'!I209,"")</f>
        <v/>
      </c>
      <c r="D937">
        <f>IF(C937="","",IF(N('Month 04'!J209)&gt;0,'Month 04'!J209,1))</f>
        <v/>
      </c>
      <c r="E937">
        <f>IF(OR(C937="",D937=""),"",IF(D937=1,C937,ROUND(C937*(1+D937/30),1)))</f>
        <v/>
      </c>
    </row>
    <row r="938">
      <c r="A938">
        <f>'Month 04'!B180</f>
        <v/>
      </c>
      <c r="B938" t="inlineStr">
        <is>
          <t>Incline Dumbbell Press</t>
        </is>
      </c>
      <c r="C938">
        <f>IF(AND('Month 04'!L210&lt;&gt;"",N('Month 04'!I210)&gt;0),'Month 04'!I210,"")</f>
        <v/>
      </c>
      <c r="D938">
        <f>IF(C938="","",IF(N('Month 04'!J210)&gt;0,'Month 04'!J210,1))</f>
        <v/>
      </c>
      <c r="E938">
        <f>IF(OR(C938="",D938=""),"",IF(D938=1,C938,ROUND(C938*(1+D938/30),1)))</f>
        <v/>
      </c>
    </row>
    <row r="939">
      <c r="A939">
        <f>'Month 04'!B180</f>
        <v/>
      </c>
      <c r="B939" t="inlineStr">
        <is>
          <t>Incline Dumbbell Press</t>
        </is>
      </c>
      <c r="C939">
        <f>IF(AND('Month 04'!L211&lt;&gt;"",N('Month 04'!I211)&gt;0),'Month 04'!I211,"")</f>
        <v/>
      </c>
      <c r="D939">
        <f>IF(C939="","",IF(N('Month 04'!J211)&gt;0,'Month 04'!J211,1))</f>
        <v/>
      </c>
      <c r="E939">
        <f>IF(OR(C939="",D939=""),"",IF(D939=1,C939,ROUND(C939*(1+D939/30),1)))</f>
        <v/>
      </c>
    </row>
    <row r="940">
      <c r="A940">
        <f>'Month 04'!B180</f>
        <v/>
      </c>
      <c r="B940" t="inlineStr">
        <is>
          <t>Triceps Pushdown</t>
        </is>
      </c>
      <c r="C940">
        <f>IF(AND('Month 04'!L213&lt;&gt;"",N('Month 04'!I213)&gt;0),'Month 04'!I213,"")</f>
        <v/>
      </c>
      <c r="D940">
        <f>IF(C940="","",IF(N('Month 04'!J213)&gt;0,'Month 04'!J213,1))</f>
        <v/>
      </c>
      <c r="E940">
        <f>IF(OR(C940="",D940=""),"",IF(D940=1,C940,ROUND(C940*(1+D940/30),1)))</f>
        <v/>
      </c>
    </row>
    <row r="941">
      <c r="A941">
        <f>'Month 04'!B180</f>
        <v/>
      </c>
      <c r="B941" t="inlineStr">
        <is>
          <t>Triceps Pushdown</t>
        </is>
      </c>
      <c r="C941">
        <f>IF(AND('Month 04'!L214&lt;&gt;"",N('Month 04'!I214)&gt;0),'Month 04'!I214,"")</f>
        <v/>
      </c>
      <c r="D941">
        <f>IF(C941="","",IF(N('Month 04'!J214)&gt;0,'Month 04'!J214,1))</f>
        <v/>
      </c>
      <c r="E941">
        <f>IF(OR(C941="",D941=""),"",IF(D941=1,C941,ROUND(C941*(1+D941/30),1)))</f>
        <v/>
      </c>
    </row>
    <row r="942">
      <c r="A942">
        <f>'Month 04'!B180</f>
        <v/>
      </c>
      <c r="B942" t="inlineStr">
        <is>
          <t>Triceps Pushdown</t>
        </is>
      </c>
      <c r="C942">
        <f>IF(AND('Month 04'!L215&lt;&gt;"",N('Month 04'!I215)&gt;0),'Month 04'!I215,"")</f>
        <v/>
      </c>
      <c r="D942">
        <f>IF(C942="","",IF(N('Month 04'!J215)&gt;0,'Month 04'!J215,1))</f>
        <v/>
      </c>
      <c r="E942">
        <f>IF(OR(C942="",D942=""),"",IF(D942=1,C942,ROUND(C942*(1+D942/30),1)))</f>
        <v/>
      </c>
    </row>
    <row r="943">
      <c r="A943">
        <f>'Month 04'!B180</f>
        <v/>
      </c>
      <c r="B943" t="inlineStr">
        <is>
          <t>Triceps Pushdown</t>
        </is>
      </c>
      <c r="C943">
        <f>IF(AND('Month 04'!L216&lt;&gt;"",N('Month 04'!I216)&gt;0),'Month 04'!I216,"")</f>
        <v/>
      </c>
      <c r="D943">
        <f>IF(C943="","",IF(N('Month 04'!J216)&gt;0,'Month 04'!J216,1))</f>
        <v/>
      </c>
      <c r="E943">
        <f>IF(OR(C943="",D943=""),"",IF(D943=1,C943,ROUND(C943*(1+D943/30),1)))</f>
        <v/>
      </c>
    </row>
    <row r="944">
      <c r="A944">
        <f>'Month 04'!B219</f>
        <v/>
      </c>
      <c r="B944" t="inlineStr">
        <is>
          <t>Box Jump</t>
        </is>
      </c>
      <c r="C944">
        <f>IF(AND('Month 04'!L221&lt;&gt;"",N('Month 04'!I221)&gt;0),'Month 04'!I221,"")</f>
        <v/>
      </c>
      <c r="D944">
        <f>IF(C944="","",IF(N('Month 04'!J221)&gt;0,'Month 04'!J221,1))</f>
        <v/>
      </c>
      <c r="E944">
        <f>IF(OR(C944="",D944=""),"",IF(D944=1,C944,ROUND(C944*(1+D944/30),1)))</f>
        <v/>
      </c>
    </row>
    <row r="945">
      <c r="A945">
        <f>'Month 04'!B219</f>
        <v/>
      </c>
      <c r="B945" t="inlineStr">
        <is>
          <t>Box Jump</t>
        </is>
      </c>
      <c r="C945">
        <f>IF(AND('Month 04'!L222&lt;&gt;"",N('Month 04'!I222)&gt;0),'Month 04'!I222,"")</f>
        <v/>
      </c>
      <c r="D945">
        <f>IF(C945="","",IF(N('Month 04'!J222)&gt;0,'Month 04'!J222,1))</f>
        <v/>
      </c>
      <c r="E945">
        <f>IF(OR(C945="",D945=""),"",IF(D945=1,C945,ROUND(C945*(1+D945/30),1)))</f>
        <v/>
      </c>
    </row>
    <row r="946">
      <c r="A946">
        <f>'Month 04'!B219</f>
        <v/>
      </c>
      <c r="B946" t="inlineStr">
        <is>
          <t>Box Jump</t>
        </is>
      </c>
      <c r="C946">
        <f>IF(AND('Month 04'!L223&lt;&gt;"",N('Month 04'!I223)&gt;0),'Month 04'!I223,"")</f>
        <v/>
      </c>
      <c r="D946">
        <f>IF(C946="","",IF(N('Month 04'!J223)&gt;0,'Month 04'!J223,1))</f>
        <v/>
      </c>
      <c r="E946">
        <f>IF(OR(C946="",D946=""),"",IF(D946=1,C946,ROUND(C946*(1+D946/30),1)))</f>
        <v/>
      </c>
    </row>
    <row r="947">
      <c r="A947">
        <f>'Month 04'!B219</f>
        <v/>
      </c>
      <c r="B947" t="inlineStr">
        <is>
          <t>Box Jump</t>
        </is>
      </c>
      <c r="C947">
        <f>IF(AND('Month 04'!L224&lt;&gt;"",N('Month 04'!I224)&gt;0),'Month 04'!I224,"")</f>
        <v/>
      </c>
      <c r="D947">
        <f>IF(C947="","",IF(N('Month 04'!J224)&gt;0,'Month 04'!J224,1))</f>
        <v/>
      </c>
      <c r="E947">
        <f>IF(OR(C947="",D947=""),"",IF(D947=1,C947,ROUND(C947*(1+D947/30),1)))</f>
        <v/>
      </c>
    </row>
    <row r="948">
      <c r="A948">
        <f>'Month 04'!B219</f>
        <v/>
      </c>
      <c r="B948" t="inlineStr">
        <is>
          <t>Snatch</t>
        </is>
      </c>
      <c r="C948">
        <f>IF(AND('Month 04'!L226&lt;&gt;"",N('Month 04'!I226)&gt;0),'Month 04'!I226,"")</f>
        <v/>
      </c>
      <c r="D948">
        <f>IF(C948="","",IF(N('Month 04'!J226)&gt;0,'Month 04'!J226,1))</f>
        <v/>
      </c>
      <c r="E948">
        <f>IF(OR(C948="",D948=""),"",IF(D948=1,C948,ROUND(C948*(1+D948/30),1)))</f>
        <v/>
      </c>
    </row>
    <row r="949">
      <c r="A949">
        <f>'Month 04'!B219</f>
        <v/>
      </c>
      <c r="B949" t="inlineStr">
        <is>
          <t>Snatch</t>
        </is>
      </c>
      <c r="C949">
        <f>IF(AND('Month 04'!L227&lt;&gt;"",N('Month 04'!I227)&gt;0),'Month 04'!I227,"")</f>
        <v/>
      </c>
      <c r="D949">
        <f>IF(C949="","",IF(N('Month 04'!J227)&gt;0,'Month 04'!J227,1))</f>
        <v/>
      </c>
      <c r="E949">
        <f>IF(OR(C949="",D949=""),"",IF(D949=1,C949,ROUND(C949*(1+D949/30),1)))</f>
        <v/>
      </c>
    </row>
    <row r="950">
      <c r="A950">
        <f>'Month 04'!B219</f>
        <v/>
      </c>
      <c r="B950" t="inlineStr">
        <is>
          <t>Snatch</t>
        </is>
      </c>
      <c r="C950">
        <f>IF(AND('Month 04'!L228&lt;&gt;"",N('Month 04'!I228)&gt;0),'Month 04'!I228,"")</f>
        <v/>
      </c>
      <c r="D950">
        <f>IF(C950="","",IF(N('Month 04'!J228)&gt;0,'Month 04'!J228,1))</f>
        <v/>
      </c>
      <c r="E950">
        <f>IF(OR(C950="",D950=""),"",IF(D950=1,C950,ROUND(C950*(1+D950/30),1)))</f>
        <v/>
      </c>
    </row>
    <row r="951">
      <c r="A951">
        <f>'Month 04'!B219</f>
        <v/>
      </c>
      <c r="B951" t="inlineStr">
        <is>
          <t>Snatch</t>
        </is>
      </c>
      <c r="C951">
        <f>IF(AND('Month 04'!L229&lt;&gt;"",N('Month 04'!I229)&gt;0),'Month 04'!I229,"")</f>
        <v/>
      </c>
      <c r="D951">
        <f>IF(C951="","",IF(N('Month 04'!J229)&gt;0,'Month 04'!J229,1))</f>
        <v/>
      </c>
      <c r="E951">
        <f>IF(OR(C951="",D951=""),"",IF(D951=1,C951,ROUND(C951*(1+D951/30),1)))</f>
        <v/>
      </c>
    </row>
    <row r="952">
      <c r="A952">
        <f>'Month 04'!B219</f>
        <v/>
      </c>
      <c r="B952" t="inlineStr">
        <is>
          <t>Squat</t>
        </is>
      </c>
      <c r="C952">
        <f>IF(AND('Month 04'!L231&lt;&gt;"",N('Month 04'!I231)&gt;0),'Month 04'!I231,"")</f>
        <v/>
      </c>
      <c r="D952">
        <f>IF(C952="","",IF(N('Month 04'!J231)&gt;0,'Month 04'!J231,1))</f>
        <v/>
      </c>
      <c r="E952">
        <f>IF(OR(C952="",D952=""),"",IF(D952=1,C952,ROUND(C952*(1+D952/30),1)))</f>
        <v/>
      </c>
    </row>
    <row r="953">
      <c r="A953">
        <f>'Month 04'!B219</f>
        <v/>
      </c>
      <c r="B953" t="inlineStr">
        <is>
          <t>Squat</t>
        </is>
      </c>
      <c r="C953">
        <f>IF(AND('Month 04'!L232&lt;&gt;"",N('Month 04'!I232)&gt;0),'Month 04'!I232,"")</f>
        <v/>
      </c>
      <c r="D953">
        <f>IF(C953="","",IF(N('Month 04'!J232)&gt;0,'Month 04'!J232,1))</f>
        <v/>
      </c>
      <c r="E953">
        <f>IF(OR(C953="",D953=""),"",IF(D953=1,C953,ROUND(C953*(1+D953/30),1)))</f>
        <v/>
      </c>
    </row>
    <row r="954">
      <c r="A954">
        <f>'Month 04'!B219</f>
        <v/>
      </c>
      <c r="B954" t="inlineStr">
        <is>
          <t>Squat</t>
        </is>
      </c>
      <c r="C954">
        <f>IF(AND('Month 04'!L233&lt;&gt;"",N('Month 04'!I233)&gt;0),'Month 04'!I233,"")</f>
        <v/>
      </c>
      <c r="D954">
        <f>IF(C954="","",IF(N('Month 04'!J233)&gt;0,'Month 04'!J233,1))</f>
        <v/>
      </c>
      <c r="E954">
        <f>IF(OR(C954="",D954=""),"",IF(D954=1,C954,ROUND(C954*(1+D954/30),1)))</f>
        <v/>
      </c>
    </row>
    <row r="955">
      <c r="A955">
        <f>'Month 04'!B219</f>
        <v/>
      </c>
      <c r="B955" t="inlineStr">
        <is>
          <t>Bench Press</t>
        </is>
      </c>
      <c r="C955">
        <f>IF(AND('Month 04'!L235&lt;&gt;"",N('Month 04'!I235)&gt;0),'Month 04'!I235,"")</f>
        <v/>
      </c>
      <c r="D955">
        <f>IF(C955="","",IF(N('Month 04'!J235)&gt;0,'Month 04'!J235,1))</f>
        <v/>
      </c>
      <c r="E955">
        <f>IF(OR(C955="",D955=""),"",IF(D955=1,C955,ROUND(C955*(1+D955/30),1)))</f>
        <v/>
      </c>
    </row>
    <row r="956">
      <c r="A956">
        <f>'Month 04'!B219</f>
        <v/>
      </c>
      <c r="B956" t="inlineStr">
        <is>
          <t>Bench Press</t>
        </is>
      </c>
      <c r="C956">
        <f>IF(AND('Month 04'!L236&lt;&gt;"",N('Month 04'!I236)&gt;0),'Month 04'!I236,"")</f>
        <v/>
      </c>
      <c r="D956">
        <f>IF(C956="","",IF(N('Month 04'!J236)&gt;0,'Month 04'!J236,1))</f>
        <v/>
      </c>
      <c r="E956">
        <f>IF(OR(C956="",D956=""),"",IF(D956=1,C956,ROUND(C956*(1+D956/30),1)))</f>
        <v/>
      </c>
    </row>
    <row r="957">
      <c r="A957">
        <f>'Month 04'!B219</f>
        <v/>
      </c>
      <c r="B957" t="inlineStr">
        <is>
          <t>Bench Press</t>
        </is>
      </c>
      <c r="C957">
        <f>IF(AND('Month 04'!L237&lt;&gt;"",N('Month 04'!I237)&gt;0),'Month 04'!I237,"")</f>
        <v/>
      </c>
      <c r="D957">
        <f>IF(C957="","",IF(N('Month 04'!J237)&gt;0,'Month 04'!J237,1))</f>
        <v/>
      </c>
      <c r="E957">
        <f>IF(OR(C957="",D957=""),"",IF(D957=1,C957,ROUND(C957*(1+D957/30),1)))</f>
        <v/>
      </c>
    </row>
    <row r="958">
      <c r="A958">
        <f>'Month 04'!B219</f>
        <v/>
      </c>
      <c r="B958" t="inlineStr">
        <is>
          <t>Barbell Row</t>
        </is>
      </c>
      <c r="C958">
        <f>IF(AND('Month 04'!L239&lt;&gt;"",N('Month 04'!I239)&gt;0),'Month 04'!I239,"")</f>
        <v/>
      </c>
      <c r="D958">
        <f>IF(C958="","",IF(N('Month 04'!J239)&gt;0,'Month 04'!J239,1))</f>
        <v/>
      </c>
      <c r="E958">
        <f>IF(OR(C958="",D958=""),"",IF(D958=1,C958,ROUND(C958*(1+D958/30),1)))</f>
        <v/>
      </c>
    </row>
    <row r="959">
      <c r="A959">
        <f>'Month 04'!B219</f>
        <v/>
      </c>
      <c r="B959" t="inlineStr">
        <is>
          <t>Barbell Row</t>
        </is>
      </c>
      <c r="C959">
        <f>IF(AND('Month 04'!L240&lt;&gt;"",N('Month 04'!I240)&gt;0),'Month 04'!I240,"")</f>
        <v/>
      </c>
      <c r="D959">
        <f>IF(C959="","",IF(N('Month 04'!J240)&gt;0,'Month 04'!J240,1))</f>
        <v/>
      </c>
      <c r="E959">
        <f>IF(OR(C959="",D959=""),"",IF(D959=1,C959,ROUND(C959*(1+D959/30),1)))</f>
        <v/>
      </c>
    </row>
    <row r="960">
      <c r="A960">
        <f>'Month 04'!B219</f>
        <v/>
      </c>
      <c r="B960" t="inlineStr">
        <is>
          <t>Barbell Row</t>
        </is>
      </c>
      <c r="C960">
        <f>IF(AND('Month 04'!L241&lt;&gt;"",N('Month 04'!I241)&gt;0),'Month 04'!I241,"")</f>
        <v/>
      </c>
      <c r="D960">
        <f>IF(C960="","",IF(N('Month 04'!J241)&gt;0,'Month 04'!J241,1))</f>
        <v/>
      </c>
      <c r="E960">
        <f>IF(OR(C960="",D960=""),"",IF(D960=1,C960,ROUND(C960*(1+D960/30),1)))</f>
        <v/>
      </c>
    </row>
    <row r="961">
      <c r="A961">
        <f>'Month 04'!B219</f>
        <v/>
      </c>
      <c r="B961" t="inlineStr">
        <is>
          <t>Barbell Row</t>
        </is>
      </c>
      <c r="C961">
        <f>IF(AND('Month 04'!L242&lt;&gt;"",N('Month 04'!I242)&gt;0),'Month 04'!I242,"")</f>
        <v/>
      </c>
      <c r="D961">
        <f>IF(C961="","",IF(N('Month 04'!J242)&gt;0,'Month 04'!J242,1))</f>
        <v/>
      </c>
      <c r="E961">
        <f>IF(OR(C961="",D961=""),"",IF(D961=1,C961,ROUND(C961*(1+D961/30),1)))</f>
        <v/>
      </c>
    </row>
    <row r="962">
      <c r="A962">
        <f>'Month 04'!B219</f>
        <v/>
      </c>
      <c r="B962" t="inlineStr">
        <is>
          <t>Face Pull</t>
        </is>
      </c>
      <c r="C962">
        <f>IF(AND('Month 04'!L244&lt;&gt;"",N('Month 04'!I244)&gt;0),'Month 04'!I244,"")</f>
        <v/>
      </c>
      <c r="D962">
        <f>IF(C962="","",IF(N('Month 04'!J244)&gt;0,'Month 04'!J244,1))</f>
        <v/>
      </c>
      <c r="E962">
        <f>IF(OR(C962="",D962=""),"",IF(D962=1,C962,ROUND(C962*(1+D962/30),1)))</f>
        <v/>
      </c>
    </row>
    <row r="963">
      <c r="A963">
        <f>'Month 04'!B219</f>
        <v/>
      </c>
      <c r="B963" t="inlineStr">
        <is>
          <t>Face Pull</t>
        </is>
      </c>
      <c r="C963">
        <f>IF(AND('Month 04'!L245&lt;&gt;"",N('Month 04'!I245)&gt;0),'Month 04'!I245,"")</f>
        <v/>
      </c>
      <c r="D963">
        <f>IF(C963="","",IF(N('Month 04'!J245)&gt;0,'Month 04'!J245,1))</f>
        <v/>
      </c>
      <c r="E963">
        <f>IF(OR(C963="",D963=""),"",IF(D963=1,C963,ROUND(C963*(1+D963/30),1)))</f>
        <v/>
      </c>
    </row>
    <row r="964">
      <c r="A964">
        <f>'Month 04'!B219</f>
        <v/>
      </c>
      <c r="B964" t="inlineStr">
        <is>
          <t>Face Pull</t>
        </is>
      </c>
      <c r="C964">
        <f>IF(AND('Month 04'!L246&lt;&gt;"",N('Month 04'!I246)&gt;0),'Month 04'!I246,"")</f>
        <v/>
      </c>
      <c r="D964">
        <f>IF(C964="","",IF(N('Month 04'!J246)&gt;0,'Month 04'!J246,1))</f>
        <v/>
      </c>
      <c r="E964">
        <f>IF(OR(C964="",D964=""),"",IF(D964=1,C964,ROUND(C964*(1+D964/30),1)))</f>
        <v/>
      </c>
    </row>
    <row r="965">
      <c r="A965">
        <f>'Month 04'!B219</f>
        <v/>
      </c>
      <c r="B965" t="inlineStr">
        <is>
          <t>Face Pull</t>
        </is>
      </c>
      <c r="C965">
        <f>IF(AND('Month 04'!L247&lt;&gt;"",N('Month 04'!I247)&gt;0),'Month 04'!I247,"")</f>
        <v/>
      </c>
      <c r="D965">
        <f>IF(C965="","",IF(N('Month 04'!J247)&gt;0,'Month 04'!J247,1))</f>
        <v/>
      </c>
      <c r="E965">
        <f>IF(OR(C965="",D965=""),"",IF(D965=1,C965,ROUND(C965*(1+D965/30),1)))</f>
        <v/>
      </c>
    </row>
    <row r="966">
      <c r="A966">
        <f>'Month 04'!B248</f>
        <v/>
      </c>
      <c r="B966" t="inlineStr">
        <is>
          <t>Broad Jump</t>
        </is>
      </c>
      <c r="C966">
        <f>IF(AND('Month 04'!L250&lt;&gt;"",N('Month 04'!I250)&gt;0),'Month 04'!I250,"")</f>
        <v/>
      </c>
      <c r="D966">
        <f>IF(C966="","",IF(N('Month 04'!J250)&gt;0,'Month 04'!J250,1))</f>
        <v/>
      </c>
      <c r="E966">
        <f>IF(OR(C966="",D966=""),"",IF(D966=1,C966,ROUND(C966*(1+D966/30),1)))</f>
        <v/>
      </c>
    </row>
    <row r="967">
      <c r="A967">
        <f>'Month 04'!B248</f>
        <v/>
      </c>
      <c r="B967" t="inlineStr">
        <is>
          <t>Broad Jump</t>
        </is>
      </c>
      <c r="C967">
        <f>IF(AND('Month 04'!L251&lt;&gt;"",N('Month 04'!I251)&gt;0),'Month 04'!I251,"")</f>
        <v/>
      </c>
      <c r="D967">
        <f>IF(C967="","",IF(N('Month 04'!J251)&gt;0,'Month 04'!J251,1))</f>
        <v/>
      </c>
      <c r="E967">
        <f>IF(OR(C967="",D967=""),"",IF(D967=1,C967,ROUND(C967*(1+D967/30),1)))</f>
        <v/>
      </c>
    </row>
    <row r="968">
      <c r="A968">
        <f>'Month 04'!B248</f>
        <v/>
      </c>
      <c r="B968" t="inlineStr">
        <is>
          <t>Broad Jump</t>
        </is>
      </c>
      <c r="C968">
        <f>IF(AND('Month 04'!L252&lt;&gt;"",N('Month 04'!I252)&gt;0),'Month 04'!I252,"")</f>
        <v/>
      </c>
      <c r="D968">
        <f>IF(C968="","",IF(N('Month 04'!J252)&gt;0,'Month 04'!J252,1))</f>
        <v/>
      </c>
      <c r="E968">
        <f>IF(OR(C968="",D968=""),"",IF(D968=1,C968,ROUND(C968*(1+D968/30),1)))</f>
        <v/>
      </c>
    </row>
    <row r="969">
      <c r="A969">
        <f>'Month 04'!B248</f>
        <v/>
      </c>
      <c r="B969" t="inlineStr">
        <is>
          <t>Broad Jump</t>
        </is>
      </c>
      <c r="C969">
        <f>IF(AND('Month 04'!L253&lt;&gt;"",N('Month 04'!I253)&gt;0),'Month 04'!I253,"")</f>
        <v/>
      </c>
      <c r="D969">
        <f>IF(C969="","",IF(N('Month 04'!J253)&gt;0,'Month 04'!J253,1))</f>
        <v/>
      </c>
      <c r="E969">
        <f>IF(OR(C969="",D969=""),"",IF(D969=1,C969,ROUND(C969*(1+D969/30),1)))</f>
        <v/>
      </c>
    </row>
    <row r="970">
      <c r="A970">
        <f>'Month 04'!B248</f>
        <v/>
      </c>
      <c r="B970" t="inlineStr">
        <is>
          <t>Med Ball Chest Pass</t>
        </is>
      </c>
      <c r="C970">
        <f>IF(AND('Month 04'!L255&lt;&gt;"",N('Month 04'!I255)&gt;0),'Month 04'!I255,"")</f>
        <v/>
      </c>
      <c r="D970">
        <f>IF(C970="","",IF(N('Month 04'!J255)&gt;0,'Month 04'!J255,1))</f>
        <v/>
      </c>
      <c r="E970">
        <f>IF(OR(C970="",D970=""),"",IF(D970=1,C970,ROUND(C970*(1+D970/30),1)))</f>
        <v/>
      </c>
    </row>
    <row r="971">
      <c r="A971">
        <f>'Month 04'!B248</f>
        <v/>
      </c>
      <c r="B971" t="inlineStr">
        <is>
          <t>Med Ball Chest Pass</t>
        </is>
      </c>
      <c r="C971">
        <f>IF(AND('Month 04'!L256&lt;&gt;"",N('Month 04'!I256)&gt;0),'Month 04'!I256,"")</f>
        <v/>
      </c>
      <c r="D971">
        <f>IF(C971="","",IF(N('Month 04'!J256)&gt;0,'Month 04'!J256,1))</f>
        <v/>
      </c>
      <c r="E971">
        <f>IF(OR(C971="",D971=""),"",IF(D971=1,C971,ROUND(C971*(1+D971/30),1)))</f>
        <v/>
      </c>
    </row>
    <row r="972">
      <c r="A972">
        <f>'Month 04'!B248</f>
        <v/>
      </c>
      <c r="B972" t="inlineStr">
        <is>
          <t>Med Ball Chest Pass</t>
        </is>
      </c>
      <c r="C972">
        <f>IF(AND('Month 04'!L257&lt;&gt;"",N('Month 04'!I257)&gt;0),'Month 04'!I257,"")</f>
        <v/>
      </c>
      <c r="D972">
        <f>IF(C972="","",IF(N('Month 04'!J257)&gt;0,'Month 04'!J257,1))</f>
        <v/>
      </c>
      <c r="E972">
        <f>IF(OR(C972="",D972=""),"",IF(D972=1,C972,ROUND(C972*(1+D972/30),1)))</f>
        <v/>
      </c>
    </row>
    <row r="973">
      <c r="A973">
        <f>'Month 04'!B248</f>
        <v/>
      </c>
      <c r="B973" t="inlineStr">
        <is>
          <t>Clean &amp; Jerk</t>
        </is>
      </c>
      <c r="C973">
        <f>IF(AND('Month 04'!L259&lt;&gt;"",N('Month 04'!I259)&gt;0),'Month 04'!I259,"")</f>
        <v/>
      </c>
      <c r="D973">
        <f>IF(C973="","",IF(N('Month 04'!J259)&gt;0,'Month 04'!J259,1))</f>
        <v/>
      </c>
      <c r="E973">
        <f>IF(OR(C973="",D973=""),"",IF(D973=1,C973,ROUND(C973*(1+D973/30),1)))</f>
        <v/>
      </c>
    </row>
    <row r="974">
      <c r="A974">
        <f>'Month 04'!B248</f>
        <v/>
      </c>
      <c r="B974" t="inlineStr">
        <is>
          <t>Clean &amp; Jerk</t>
        </is>
      </c>
      <c r="C974">
        <f>IF(AND('Month 04'!L260&lt;&gt;"",N('Month 04'!I260)&gt;0),'Month 04'!I260,"")</f>
        <v/>
      </c>
      <c r="D974">
        <f>IF(C974="","",IF(N('Month 04'!J260)&gt;0,'Month 04'!J260,1))</f>
        <v/>
      </c>
      <c r="E974">
        <f>IF(OR(C974="",D974=""),"",IF(D974=1,C974,ROUND(C974*(1+D974/30),1)))</f>
        <v/>
      </c>
    </row>
    <row r="975">
      <c r="A975">
        <f>'Month 04'!B248</f>
        <v/>
      </c>
      <c r="B975" t="inlineStr">
        <is>
          <t>Clean &amp; Jerk</t>
        </is>
      </c>
      <c r="C975">
        <f>IF(AND('Month 04'!L261&lt;&gt;"",N('Month 04'!I261)&gt;0),'Month 04'!I261,"")</f>
        <v/>
      </c>
      <c r="D975">
        <f>IF(C975="","",IF(N('Month 04'!J261)&gt;0,'Month 04'!J261,1))</f>
        <v/>
      </c>
      <c r="E975">
        <f>IF(OR(C975="",D975=""),"",IF(D975=1,C975,ROUND(C975*(1+D975/30),1)))</f>
        <v/>
      </c>
    </row>
    <row r="976">
      <c r="A976">
        <f>'Month 04'!B248</f>
        <v/>
      </c>
      <c r="B976" t="inlineStr">
        <is>
          <t>Clean &amp; Jerk</t>
        </is>
      </c>
      <c r="C976">
        <f>IF(AND('Month 04'!L262&lt;&gt;"",N('Month 04'!I262)&gt;0),'Month 04'!I262,"")</f>
        <v/>
      </c>
      <c r="D976">
        <f>IF(C976="","",IF(N('Month 04'!J262)&gt;0,'Month 04'!J262,1))</f>
        <v/>
      </c>
      <c r="E976">
        <f>IF(OR(C976="",D976=""),"",IF(D976=1,C976,ROUND(C976*(1+D976/30),1)))</f>
        <v/>
      </c>
    </row>
    <row r="977">
      <c r="A977">
        <f>'Month 04'!B248</f>
        <v/>
      </c>
      <c r="B977" t="inlineStr">
        <is>
          <t>Squat</t>
        </is>
      </c>
      <c r="C977">
        <f>IF(AND('Month 04'!L264&lt;&gt;"",N('Month 04'!I264)&gt;0),'Month 04'!I264,"")</f>
        <v/>
      </c>
      <c r="D977">
        <f>IF(C977="","",IF(N('Month 04'!J264)&gt;0,'Month 04'!J264,1))</f>
        <v/>
      </c>
      <c r="E977">
        <f>IF(OR(C977="",D977=""),"",IF(D977=1,C977,ROUND(C977*(1+D977/30),1)))</f>
        <v/>
      </c>
    </row>
    <row r="978">
      <c r="A978">
        <f>'Month 04'!B248</f>
        <v/>
      </c>
      <c r="B978" t="inlineStr">
        <is>
          <t>Squat</t>
        </is>
      </c>
      <c r="C978">
        <f>IF(AND('Month 04'!L265&lt;&gt;"",N('Month 04'!I265)&gt;0),'Month 04'!I265,"")</f>
        <v/>
      </c>
      <c r="D978">
        <f>IF(C978="","",IF(N('Month 04'!J265)&gt;0,'Month 04'!J265,1))</f>
        <v/>
      </c>
      <c r="E978">
        <f>IF(OR(C978="",D978=""),"",IF(D978=1,C978,ROUND(C978*(1+D978/30),1)))</f>
        <v/>
      </c>
    </row>
    <row r="979">
      <c r="A979">
        <f>'Month 04'!B248</f>
        <v/>
      </c>
      <c r="B979" t="inlineStr">
        <is>
          <t>Squat</t>
        </is>
      </c>
      <c r="C979">
        <f>IF(AND('Month 04'!L266&lt;&gt;"",N('Month 04'!I266)&gt;0),'Month 04'!I266,"")</f>
        <v/>
      </c>
      <c r="D979">
        <f>IF(C979="","",IF(N('Month 04'!J266)&gt;0,'Month 04'!J266,1))</f>
        <v/>
      </c>
      <c r="E979">
        <f>IF(OR(C979="",D979=""),"",IF(D979=1,C979,ROUND(C979*(1+D979/30),1)))</f>
        <v/>
      </c>
    </row>
    <row r="980">
      <c r="A980">
        <f>'Month 04'!B248</f>
        <v/>
      </c>
      <c r="B980" t="inlineStr">
        <is>
          <t>Overhead Press</t>
        </is>
      </c>
      <c r="C980">
        <f>IF(AND('Month 04'!L268&lt;&gt;"",N('Month 04'!I268)&gt;0),'Month 04'!I268,"")</f>
        <v/>
      </c>
      <c r="D980">
        <f>IF(C980="","",IF(N('Month 04'!J268)&gt;0,'Month 04'!J268,1))</f>
        <v/>
      </c>
      <c r="E980">
        <f>IF(OR(C980="",D980=""),"",IF(D980=1,C980,ROUND(C980*(1+D980/30),1)))</f>
        <v/>
      </c>
    </row>
    <row r="981">
      <c r="A981">
        <f>'Month 04'!B248</f>
        <v/>
      </c>
      <c r="B981" t="inlineStr">
        <is>
          <t>Overhead Press</t>
        </is>
      </c>
      <c r="C981">
        <f>IF(AND('Month 04'!L269&lt;&gt;"",N('Month 04'!I269)&gt;0),'Month 04'!I269,"")</f>
        <v/>
      </c>
      <c r="D981">
        <f>IF(C981="","",IF(N('Month 04'!J269)&gt;0,'Month 04'!J269,1))</f>
        <v/>
      </c>
      <c r="E981">
        <f>IF(OR(C981="",D981=""),"",IF(D981=1,C981,ROUND(C981*(1+D981/30),1)))</f>
        <v/>
      </c>
    </row>
    <row r="982">
      <c r="A982">
        <f>'Month 04'!B248</f>
        <v/>
      </c>
      <c r="B982" t="inlineStr">
        <is>
          <t>Overhead Press</t>
        </is>
      </c>
      <c r="C982">
        <f>IF(AND('Month 04'!L270&lt;&gt;"",N('Month 04'!I270)&gt;0),'Month 04'!I270,"")</f>
        <v/>
      </c>
      <c r="D982">
        <f>IF(C982="","",IF(N('Month 04'!J270)&gt;0,'Month 04'!J270,1))</f>
        <v/>
      </c>
      <c r="E982">
        <f>IF(OR(C982="",D982=""),"",IF(D982=1,C982,ROUND(C982*(1+D982/30),1)))</f>
        <v/>
      </c>
    </row>
    <row r="983">
      <c r="A983">
        <f>'Month 04'!B248</f>
        <v/>
      </c>
      <c r="B983" t="inlineStr">
        <is>
          <t>Deadlift</t>
        </is>
      </c>
      <c r="C983">
        <f>IF(AND('Month 04'!L272&lt;&gt;"",N('Month 04'!I272)&gt;0),'Month 04'!I272,"")</f>
        <v/>
      </c>
      <c r="D983">
        <f>IF(C983="","",IF(N('Month 04'!J272)&gt;0,'Month 04'!J272,1))</f>
        <v/>
      </c>
      <c r="E983">
        <f>IF(OR(C983="",D983=""),"",IF(D983=1,C983,ROUND(C983*(1+D983/30),1)))</f>
        <v/>
      </c>
    </row>
    <row r="984">
      <c r="A984">
        <f>'Month 04'!B248</f>
        <v/>
      </c>
      <c r="B984" t="inlineStr">
        <is>
          <t>Deadlift</t>
        </is>
      </c>
      <c r="C984">
        <f>IF(AND('Month 04'!L273&lt;&gt;"",N('Month 04'!I273)&gt;0),'Month 04'!I273,"")</f>
        <v/>
      </c>
      <c r="D984">
        <f>IF(C984="","",IF(N('Month 04'!J273)&gt;0,'Month 04'!J273,1))</f>
        <v/>
      </c>
      <c r="E984">
        <f>IF(OR(C984="",D984=""),"",IF(D984=1,C984,ROUND(C984*(1+D984/30),1)))</f>
        <v/>
      </c>
    </row>
    <row r="985">
      <c r="A985">
        <f>'Month 04'!B248</f>
        <v/>
      </c>
      <c r="B985" t="inlineStr">
        <is>
          <t>Deadlift</t>
        </is>
      </c>
      <c r="C985">
        <f>IF(AND('Month 04'!L274&lt;&gt;"",N('Month 04'!I274)&gt;0),'Month 04'!I274,"")</f>
        <v/>
      </c>
      <c r="D985">
        <f>IF(C985="","",IF(N('Month 04'!J274)&gt;0,'Month 04'!J274,1))</f>
        <v/>
      </c>
      <c r="E985">
        <f>IF(OR(C985="",D985=""),"",IF(D985=1,C985,ROUND(C985*(1+D985/30),1)))</f>
        <v/>
      </c>
    </row>
    <row r="986">
      <c r="A986">
        <f>'Month 04'!B248</f>
        <v/>
      </c>
      <c r="B986" t="inlineStr">
        <is>
          <t>Chin-up</t>
        </is>
      </c>
      <c r="C986">
        <f>IF(AND('Month 04'!L276&lt;&gt;"",N('Month 04'!I276)&gt;0),'Month 04'!I276,"")</f>
        <v/>
      </c>
      <c r="D986">
        <f>IF(C986="","",IF(N('Month 04'!J276)&gt;0,'Month 04'!J276,1))</f>
        <v/>
      </c>
      <c r="E986">
        <f>IF(OR(C986="",D986=""),"",IF(D986=1,C986,ROUND(C986*(1+D986/30),1)))</f>
        <v/>
      </c>
    </row>
    <row r="987">
      <c r="A987">
        <f>'Month 04'!B248</f>
        <v/>
      </c>
      <c r="B987" t="inlineStr">
        <is>
          <t>Chin-up</t>
        </is>
      </c>
      <c r="C987">
        <f>IF(AND('Month 04'!L277&lt;&gt;"",N('Month 04'!I277)&gt;0),'Month 04'!I277,"")</f>
        <v/>
      </c>
      <c r="D987">
        <f>IF(C987="","",IF(N('Month 04'!J277)&gt;0,'Month 04'!J277,1))</f>
        <v/>
      </c>
      <c r="E987">
        <f>IF(OR(C987="",D987=""),"",IF(D987=1,C987,ROUND(C987*(1+D987/30),1)))</f>
        <v/>
      </c>
    </row>
    <row r="988">
      <c r="A988">
        <f>'Month 04'!B248</f>
        <v/>
      </c>
      <c r="B988" t="inlineStr">
        <is>
          <t>Chin-up</t>
        </is>
      </c>
      <c r="C988">
        <f>IF(AND('Month 04'!L278&lt;&gt;"",N('Month 04'!I278)&gt;0),'Month 04'!I278,"")</f>
        <v/>
      </c>
      <c r="D988">
        <f>IF(C988="","",IF(N('Month 04'!J278)&gt;0,'Month 04'!J278,1))</f>
        <v/>
      </c>
      <c r="E988">
        <f>IF(OR(C988="",D988=""),"",IF(D988=1,C988,ROUND(C988*(1+D988/30),1)))</f>
        <v/>
      </c>
    </row>
    <row r="989">
      <c r="A989">
        <f>'Month 04'!B248</f>
        <v/>
      </c>
      <c r="B989" t="inlineStr">
        <is>
          <t>Chin-up</t>
        </is>
      </c>
      <c r="C989">
        <f>IF(AND('Month 04'!L279&lt;&gt;"",N('Month 04'!I279)&gt;0),'Month 04'!I279,"")</f>
        <v/>
      </c>
      <c r="D989">
        <f>IF(C989="","",IF(N('Month 04'!J279)&gt;0,'Month 04'!J279,1))</f>
        <v/>
      </c>
      <c r="E989">
        <f>IF(OR(C989="",D989=""),"",IF(D989=1,C989,ROUND(C989*(1+D989/30),1)))</f>
        <v/>
      </c>
    </row>
    <row r="990">
      <c r="A990">
        <f>'Month 04'!B248</f>
        <v/>
      </c>
      <c r="B990" t="inlineStr">
        <is>
          <t>Plank</t>
        </is>
      </c>
      <c r="C990">
        <f>IF(AND('Month 04'!L281&lt;&gt;"",N('Month 04'!I281)&gt;0),'Month 04'!I281,"")</f>
        <v/>
      </c>
      <c r="D990">
        <f>IF(C990="","",IF(N('Month 04'!J281)&gt;0,'Month 04'!J281,1))</f>
        <v/>
      </c>
      <c r="E990">
        <f>IF(OR(C990="",D990=""),"",IF(D990=1,C990,ROUND(C990*(1+D990/30),1)))</f>
        <v/>
      </c>
    </row>
    <row r="991">
      <c r="A991">
        <f>'Month 04'!B248</f>
        <v/>
      </c>
      <c r="B991" t="inlineStr">
        <is>
          <t>Plank</t>
        </is>
      </c>
      <c r="C991">
        <f>IF(AND('Month 04'!L282&lt;&gt;"",N('Month 04'!I282)&gt;0),'Month 04'!I282,"")</f>
        <v/>
      </c>
      <c r="D991">
        <f>IF(C991="","",IF(N('Month 04'!J282)&gt;0,'Month 04'!J282,1))</f>
        <v/>
      </c>
      <c r="E991">
        <f>IF(OR(C991="",D991=""),"",IF(D991=1,C991,ROUND(C991*(1+D991/30),1)))</f>
        <v/>
      </c>
    </row>
    <row r="992">
      <c r="A992">
        <f>'Month 04'!B248</f>
        <v/>
      </c>
      <c r="B992" t="inlineStr">
        <is>
          <t>Plank</t>
        </is>
      </c>
      <c r="C992">
        <f>IF(AND('Month 04'!L283&lt;&gt;"",N('Month 04'!I283)&gt;0),'Month 04'!I283,"")</f>
        <v/>
      </c>
      <c r="D992">
        <f>IF(C992="","",IF(N('Month 04'!J283)&gt;0,'Month 04'!J283,1))</f>
        <v/>
      </c>
      <c r="E992">
        <f>IF(OR(C992="",D992=""),"",IF(D992=1,C992,ROUND(C992*(1+D992/30),1)))</f>
        <v/>
      </c>
    </row>
    <row r="993">
      <c r="A993">
        <f>'Month 04'!B248</f>
        <v/>
      </c>
      <c r="B993" t="inlineStr">
        <is>
          <t>Plank</t>
        </is>
      </c>
      <c r="C993">
        <f>IF(AND('Month 04'!L284&lt;&gt;"",N('Month 04'!I284)&gt;0),'Month 04'!I284,"")</f>
        <v/>
      </c>
      <c r="D993">
        <f>IF(C993="","",IF(N('Month 04'!J284)&gt;0,'Month 04'!J284,1))</f>
        <v/>
      </c>
      <c r="E993">
        <f>IF(OR(C993="",D993=""),"",IF(D993=1,C993,ROUND(C993*(1+D993/30),1)))</f>
        <v/>
      </c>
    </row>
    <row r="994">
      <c r="A994">
        <f>'Month 04'!B285</f>
        <v/>
      </c>
      <c r="B994" t="inlineStr">
        <is>
          <t>Lateral Bound</t>
        </is>
      </c>
      <c r="C994">
        <f>IF(AND('Month 04'!L287&lt;&gt;"",N('Month 04'!I287)&gt;0),'Month 04'!I287,"")</f>
        <v/>
      </c>
      <c r="D994">
        <f>IF(C994="","",IF(N('Month 04'!J287)&gt;0,'Month 04'!J287,1))</f>
        <v/>
      </c>
      <c r="E994">
        <f>IF(OR(C994="",D994=""),"",IF(D994=1,C994,ROUND(C994*(1+D994/30),1)))</f>
        <v/>
      </c>
    </row>
    <row r="995">
      <c r="A995">
        <f>'Month 04'!B285</f>
        <v/>
      </c>
      <c r="B995" t="inlineStr">
        <is>
          <t>Lateral Bound</t>
        </is>
      </c>
      <c r="C995">
        <f>IF(AND('Month 04'!L288&lt;&gt;"",N('Month 04'!I288)&gt;0),'Month 04'!I288,"")</f>
        <v/>
      </c>
      <c r="D995">
        <f>IF(C995="","",IF(N('Month 04'!J288)&gt;0,'Month 04'!J288,1))</f>
        <v/>
      </c>
      <c r="E995">
        <f>IF(OR(C995="",D995=""),"",IF(D995=1,C995,ROUND(C995*(1+D995/30),1)))</f>
        <v/>
      </c>
    </row>
    <row r="996">
      <c r="A996">
        <f>'Month 04'!B285</f>
        <v/>
      </c>
      <c r="B996" t="inlineStr">
        <is>
          <t>Lateral Bound</t>
        </is>
      </c>
      <c r="C996">
        <f>IF(AND('Month 04'!L289&lt;&gt;"",N('Month 04'!I289)&gt;0),'Month 04'!I289,"")</f>
        <v/>
      </c>
      <c r="D996">
        <f>IF(C996="","",IF(N('Month 04'!J289)&gt;0,'Month 04'!J289,1))</f>
        <v/>
      </c>
      <c r="E996">
        <f>IF(OR(C996="",D996=""),"",IF(D996=1,C996,ROUND(C996*(1+D996/30),1)))</f>
        <v/>
      </c>
    </row>
    <row r="997">
      <c r="A997">
        <f>'Month 04'!B285</f>
        <v/>
      </c>
      <c r="B997" t="inlineStr">
        <is>
          <t>Lateral Bound</t>
        </is>
      </c>
      <c r="C997">
        <f>IF(AND('Month 04'!L290&lt;&gt;"",N('Month 04'!I290)&gt;0),'Month 04'!I290,"")</f>
        <v/>
      </c>
      <c r="D997">
        <f>IF(C997="","",IF(N('Month 04'!J290)&gt;0,'Month 04'!J290,1))</f>
        <v/>
      </c>
      <c r="E997">
        <f>IF(OR(C997="",D997=""),"",IF(D997=1,C997,ROUND(C997*(1+D997/30),1)))</f>
        <v/>
      </c>
    </row>
    <row r="998">
      <c r="A998">
        <f>'Month 04'!B285</f>
        <v/>
      </c>
      <c r="B998" t="inlineStr">
        <is>
          <t>Hang Clean</t>
        </is>
      </c>
      <c r="C998">
        <f>IF(AND('Month 04'!L292&lt;&gt;"",N('Month 04'!I292)&gt;0),'Month 04'!I292,"")</f>
        <v/>
      </c>
      <c r="D998">
        <f>IF(C998="","",IF(N('Month 04'!J292)&gt;0,'Month 04'!J292,1))</f>
        <v/>
      </c>
      <c r="E998">
        <f>IF(OR(C998="",D998=""),"",IF(D998=1,C998,ROUND(C998*(1+D998/30),1)))</f>
        <v/>
      </c>
    </row>
    <row r="999">
      <c r="A999">
        <f>'Month 04'!B285</f>
        <v/>
      </c>
      <c r="B999" t="inlineStr">
        <is>
          <t>Hang Clean</t>
        </is>
      </c>
      <c r="C999">
        <f>IF(AND('Month 04'!L293&lt;&gt;"",N('Month 04'!I293)&gt;0),'Month 04'!I293,"")</f>
        <v/>
      </c>
      <c r="D999">
        <f>IF(C999="","",IF(N('Month 04'!J293)&gt;0,'Month 04'!J293,1))</f>
        <v/>
      </c>
      <c r="E999">
        <f>IF(OR(C999="",D999=""),"",IF(D999=1,C999,ROUND(C999*(1+D999/30),1)))</f>
        <v/>
      </c>
    </row>
    <row r="1000">
      <c r="A1000">
        <f>'Month 04'!B285</f>
        <v/>
      </c>
      <c r="B1000" t="inlineStr">
        <is>
          <t>Hang Clean</t>
        </is>
      </c>
      <c r="C1000">
        <f>IF(AND('Month 04'!L294&lt;&gt;"",N('Month 04'!I294)&gt;0),'Month 04'!I294,"")</f>
        <v/>
      </c>
      <c r="D1000">
        <f>IF(C1000="","",IF(N('Month 04'!J294)&gt;0,'Month 04'!J294,1))</f>
        <v/>
      </c>
      <c r="E1000">
        <f>IF(OR(C1000="",D1000=""),"",IF(D1000=1,C1000,ROUND(C1000*(1+D1000/30),1)))</f>
        <v/>
      </c>
    </row>
    <row r="1001">
      <c r="A1001">
        <f>'Month 04'!B285</f>
        <v/>
      </c>
      <c r="B1001" t="inlineStr">
        <is>
          <t>Hang Clean</t>
        </is>
      </c>
      <c r="C1001">
        <f>IF(AND('Month 04'!L295&lt;&gt;"",N('Month 04'!I295)&gt;0),'Month 04'!I295,"")</f>
        <v/>
      </c>
      <c r="D1001">
        <f>IF(C1001="","",IF(N('Month 04'!J295)&gt;0,'Month 04'!J295,1))</f>
        <v/>
      </c>
      <c r="E1001">
        <f>IF(OR(C1001="",D1001=""),"",IF(D1001=1,C1001,ROUND(C1001*(1+D1001/30),1)))</f>
        <v/>
      </c>
    </row>
    <row r="1002">
      <c r="A1002">
        <f>'Month 04'!B285</f>
        <v/>
      </c>
      <c r="B1002" t="inlineStr">
        <is>
          <t>Safety Bar Squat</t>
        </is>
      </c>
      <c r="C1002">
        <f>IF(AND('Month 04'!L297&lt;&gt;"",N('Month 04'!I297)&gt;0),'Month 04'!I297,"")</f>
        <v/>
      </c>
      <c r="D1002">
        <f>IF(C1002="","",IF(N('Month 04'!J297)&gt;0,'Month 04'!J297,1))</f>
        <v/>
      </c>
      <c r="E1002">
        <f>IF(OR(C1002="",D1002=""),"",IF(D1002=1,C1002,ROUND(C1002*(1+D1002/30),1)))</f>
        <v/>
      </c>
    </row>
    <row r="1003">
      <c r="A1003">
        <f>'Month 04'!B285</f>
        <v/>
      </c>
      <c r="B1003" t="inlineStr">
        <is>
          <t>Safety Bar Squat</t>
        </is>
      </c>
      <c r="C1003">
        <f>IF(AND('Month 04'!L298&lt;&gt;"",N('Month 04'!I298)&gt;0),'Month 04'!I298,"")</f>
        <v/>
      </c>
      <c r="D1003">
        <f>IF(C1003="","",IF(N('Month 04'!J298)&gt;0,'Month 04'!J298,1))</f>
        <v/>
      </c>
      <c r="E1003">
        <f>IF(OR(C1003="",D1003=""),"",IF(D1003=1,C1003,ROUND(C1003*(1+D1003/30),1)))</f>
        <v/>
      </c>
    </row>
    <row r="1004">
      <c r="A1004">
        <f>'Month 04'!B285</f>
        <v/>
      </c>
      <c r="B1004" t="inlineStr">
        <is>
          <t>Safety Bar Squat</t>
        </is>
      </c>
      <c r="C1004">
        <f>IF(AND('Month 04'!L299&lt;&gt;"",N('Month 04'!I299)&gt;0),'Month 04'!I299,"")</f>
        <v/>
      </c>
      <c r="D1004">
        <f>IF(C1004="","",IF(N('Month 04'!J299)&gt;0,'Month 04'!J299,1))</f>
        <v/>
      </c>
      <c r="E1004">
        <f>IF(OR(C1004="",D1004=""),"",IF(D1004=1,C1004,ROUND(C1004*(1+D1004/30),1)))</f>
        <v/>
      </c>
    </row>
    <row r="1005">
      <c r="A1005">
        <f>'Month 04'!B285</f>
        <v/>
      </c>
      <c r="B1005" t="inlineStr">
        <is>
          <t>1-Board Press</t>
        </is>
      </c>
      <c r="C1005">
        <f>IF(AND('Month 04'!L301&lt;&gt;"",N('Month 04'!I301)&gt;0),'Month 04'!I301,"")</f>
        <v/>
      </c>
      <c r="D1005">
        <f>IF(C1005="","",IF(N('Month 04'!J301)&gt;0,'Month 04'!J301,1))</f>
        <v/>
      </c>
      <c r="E1005">
        <f>IF(OR(C1005="",D1005=""),"",IF(D1005=1,C1005,ROUND(C1005*(1+D1005/30),1)))</f>
        <v/>
      </c>
    </row>
    <row r="1006">
      <c r="A1006">
        <f>'Month 04'!B285</f>
        <v/>
      </c>
      <c r="B1006" t="inlineStr">
        <is>
          <t>1-Board Press</t>
        </is>
      </c>
      <c r="C1006">
        <f>IF(AND('Month 04'!L302&lt;&gt;"",N('Month 04'!I302)&gt;0),'Month 04'!I302,"")</f>
        <v/>
      </c>
      <c r="D1006">
        <f>IF(C1006="","",IF(N('Month 04'!J302)&gt;0,'Month 04'!J302,1))</f>
        <v/>
      </c>
      <c r="E1006">
        <f>IF(OR(C1006="",D1006=""),"",IF(D1006=1,C1006,ROUND(C1006*(1+D1006/30),1)))</f>
        <v/>
      </c>
    </row>
    <row r="1007">
      <c r="A1007">
        <f>'Month 04'!B285</f>
        <v/>
      </c>
      <c r="B1007" t="inlineStr">
        <is>
          <t>1-Board Press</t>
        </is>
      </c>
      <c r="C1007">
        <f>IF(AND('Month 04'!L303&lt;&gt;"",N('Month 04'!I303)&gt;0),'Month 04'!I303,"")</f>
        <v/>
      </c>
      <c r="D1007">
        <f>IF(C1007="","",IF(N('Month 04'!J303)&gt;0,'Month 04'!J303,1))</f>
        <v/>
      </c>
      <c r="E1007">
        <f>IF(OR(C1007="",D1007=""),"",IF(D1007=1,C1007,ROUND(C1007*(1+D1007/30),1)))</f>
        <v/>
      </c>
    </row>
    <row r="1008">
      <c r="A1008">
        <f>'Month 04'!B285</f>
        <v/>
      </c>
      <c r="B1008" t="inlineStr">
        <is>
          <t>Block Pull</t>
        </is>
      </c>
      <c r="C1008">
        <f>IF(AND('Month 04'!L305&lt;&gt;"",N('Month 04'!I305)&gt;0),'Month 04'!I305,"")</f>
        <v/>
      </c>
      <c r="D1008">
        <f>IF(C1008="","",IF(N('Month 04'!J305)&gt;0,'Month 04'!J305,1))</f>
        <v/>
      </c>
      <c r="E1008">
        <f>IF(OR(C1008="",D1008=""),"",IF(D1008=1,C1008,ROUND(C1008*(1+D1008/30),1)))</f>
        <v/>
      </c>
    </row>
    <row r="1009">
      <c r="A1009">
        <f>'Month 04'!B285</f>
        <v/>
      </c>
      <c r="B1009" t="inlineStr">
        <is>
          <t>Block Pull</t>
        </is>
      </c>
      <c r="C1009">
        <f>IF(AND('Month 04'!L306&lt;&gt;"",N('Month 04'!I306)&gt;0),'Month 04'!I306,"")</f>
        <v/>
      </c>
      <c r="D1009">
        <f>IF(C1009="","",IF(N('Month 04'!J306)&gt;0,'Month 04'!J306,1))</f>
        <v/>
      </c>
      <c r="E1009">
        <f>IF(OR(C1009="",D1009=""),"",IF(D1009=1,C1009,ROUND(C1009*(1+D1009/30),1)))</f>
        <v/>
      </c>
    </row>
    <row r="1010">
      <c r="A1010">
        <f>'Month 04'!B285</f>
        <v/>
      </c>
      <c r="B1010" t="inlineStr">
        <is>
          <t>Block Pull</t>
        </is>
      </c>
      <c r="C1010">
        <f>IF(AND('Month 04'!L307&lt;&gt;"",N('Month 04'!I307)&gt;0),'Month 04'!I307,"")</f>
        <v/>
      </c>
      <c r="D1010">
        <f>IF(C1010="","",IF(N('Month 04'!J307)&gt;0,'Month 04'!J307,1))</f>
        <v/>
      </c>
      <c r="E1010">
        <f>IF(OR(C1010="",D1010=""),"",IF(D1010=1,C1010,ROUND(C1010*(1+D1010/30),1)))</f>
        <v/>
      </c>
    </row>
    <row r="1011">
      <c r="A1011">
        <f>'Month 04'!B285</f>
        <v/>
      </c>
      <c r="B1011" t="inlineStr">
        <is>
          <t>Incline Dumbbell Press</t>
        </is>
      </c>
      <c r="C1011">
        <f>IF(AND('Month 04'!L309&lt;&gt;"",N('Month 04'!I309)&gt;0),'Month 04'!I309,"")</f>
        <v/>
      </c>
      <c r="D1011">
        <f>IF(C1011="","",IF(N('Month 04'!J309)&gt;0,'Month 04'!J309,1))</f>
        <v/>
      </c>
      <c r="E1011">
        <f>IF(OR(C1011="",D1011=""),"",IF(D1011=1,C1011,ROUND(C1011*(1+D1011/30),1)))</f>
        <v/>
      </c>
    </row>
    <row r="1012">
      <c r="A1012">
        <f>'Month 04'!B285</f>
        <v/>
      </c>
      <c r="B1012" t="inlineStr">
        <is>
          <t>Incline Dumbbell Press</t>
        </is>
      </c>
      <c r="C1012">
        <f>IF(AND('Month 04'!L310&lt;&gt;"",N('Month 04'!I310)&gt;0),'Month 04'!I310,"")</f>
        <v/>
      </c>
      <c r="D1012">
        <f>IF(C1012="","",IF(N('Month 04'!J310)&gt;0,'Month 04'!J310,1))</f>
        <v/>
      </c>
      <c r="E1012">
        <f>IF(OR(C1012="",D1012=""),"",IF(D1012=1,C1012,ROUND(C1012*(1+D1012/30),1)))</f>
        <v/>
      </c>
    </row>
    <row r="1013">
      <c r="A1013">
        <f>'Month 04'!B285</f>
        <v/>
      </c>
      <c r="B1013" t="inlineStr">
        <is>
          <t>Incline Dumbbell Press</t>
        </is>
      </c>
      <c r="C1013">
        <f>IF(AND('Month 04'!L311&lt;&gt;"",N('Month 04'!I311)&gt;0),'Month 04'!I311,"")</f>
        <v/>
      </c>
      <c r="D1013">
        <f>IF(C1013="","",IF(N('Month 04'!J311)&gt;0,'Month 04'!J311,1))</f>
        <v/>
      </c>
      <c r="E1013">
        <f>IF(OR(C1013="",D1013=""),"",IF(D1013=1,C1013,ROUND(C1013*(1+D1013/30),1)))</f>
        <v/>
      </c>
    </row>
    <row r="1014">
      <c r="A1014">
        <f>'Month 04'!B285</f>
        <v/>
      </c>
      <c r="B1014" t="inlineStr">
        <is>
          <t>Incline Dumbbell Press</t>
        </is>
      </c>
      <c r="C1014">
        <f>IF(AND('Month 04'!L312&lt;&gt;"",N('Month 04'!I312)&gt;0),'Month 04'!I312,"")</f>
        <v/>
      </c>
      <c r="D1014">
        <f>IF(C1014="","",IF(N('Month 04'!J312)&gt;0,'Month 04'!J312,1))</f>
        <v/>
      </c>
      <c r="E1014">
        <f>IF(OR(C1014="",D1014=""),"",IF(D1014=1,C1014,ROUND(C1014*(1+D1014/30),1)))</f>
        <v/>
      </c>
    </row>
    <row r="1015">
      <c r="A1015">
        <f>'Month 04'!B285</f>
        <v/>
      </c>
      <c r="B1015" t="inlineStr">
        <is>
          <t>Triceps Pushdown</t>
        </is>
      </c>
      <c r="C1015">
        <f>IF(AND('Month 04'!L314&lt;&gt;"",N('Month 04'!I314)&gt;0),'Month 04'!I314,"")</f>
        <v/>
      </c>
      <c r="D1015">
        <f>IF(C1015="","",IF(N('Month 04'!J314)&gt;0,'Month 04'!J314,1))</f>
        <v/>
      </c>
      <c r="E1015">
        <f>IF(OR(C1015="",D1015=""),"",IF(D1015=1,C1015,ROUND(C1015*(1+D1015/30),1)))</f>
        <v/>
      </c>
    </row>
    <row r="1016">
      <c r="A1016">
        <f>'Month 04'!B285</f>
        <v/>
      </c>
      <c r="B1016" t="inlineStr">
        <is>
          <t>Triceps Pushdown</t>
        </is>
      </c>
      <c r="C1016">
        <f>IF(AND('Month 04'!L315&lt;&gt;"",N('Month 04'!I315)&gt;0),'Month 04'!I315,"")</f>
        <v/>
      </c>
      <c r="D1016">
        <f>IF(C1016="","",IF(N('Month 04'!J315)&gt;0,'Month 04'!J315,1))</f>
        <v/>
      </c>
      <c r="E1016">
        <f>IF(OR(C1016="",D1016=""),"",IF(D1016=1,C1016,ROUND(C1016*(1+D1016/30),1)))</f>
        <v/>
      </c>
    </row>
    <row r="1017">
      <c r="A1017">
        <f>'Month 04'!B285</f>
        <v/>
      </c>
      <c r="B1017" t="inlineStr">
        <is>
          <t>Triceps Pushdown</t>
        </is>
      </c>
      <c r="C1017">
        <f>IF(AND('Month 04'!L316&lt;&gt;"",N('Month 04'!I316)&gt;0),'Month 04'!I316,"")</f>
        <v/>
      </c>
      <c r="D1017">
        <f>IF(C1017="","",IF(N('Month 04'!J316)&gt;0,'Month 04'!J316,1))</f>
        <v/>
      </c>
      <c r="E1017">
        <f>IF(OR(C1017="",D1017=""),"",IF(D1017=1,C1017,ROUND(C1017*(1+D1017/30),1)))</f>
        <v/>
      </c>
    </row>
    <row r="1018">
      <c r="A1018">
        <f>'Month 04'!B285</f>
        <v/>
      </c>
      <c r="B1018" t="inlineStr">
        <is>
          <t>Triceps Pushdown</t>
        </is>
      </c>
      <c r="C1018">
        <f>IF(AND('Month 04'!L317&lt;&gt;"",N('Month 04'!I317)&gt;0),'Month 04'!I317,"")</f>
        <v/>
      </c>
      <c r="D1018">
        <f>IF(C1018="","",IF(N('Month 04'!J317)&gt;0,'Month 04'!J317,1))</f>
        <v/>
      </c>
      <c r="E1018">
        <f>IF(OR(C1018="",D1018=""),"",IF(D1018=1,C1018,ROUND(C1018*(1+D1018/30),1)))</f>
        <v/>
      </c>
    </row>
    <row r="1019">
      <c r="A1019">
        <f>'Month 04'!B320</f>
        <v/>
      </c>
      <c r="B1019" t="inlineStr">
        <is>
          <t>Box Jump</t>
        </is>
      </c>
      <c r="C1019">
        <f>IF(AND('Month 04'!L322&lt;&gt;"",N('Month 04'!I322)&gt;0),'Month 04'!I322,"")</f>
        <v/>
      </c>
      <c r="D1019">
        <f>IF(C1019="","",IF(N('Month 04'!J322)&gt;0,'Month 04'!J322,1))</f>
        <v/>
      </c>
      <c r="E1019">
        <f>IF(OR(C1019="",D1019=""),"",IF(D1019=1,C1019,ROUND(C1019*(1+D1019/30),1)))</f>
        <v/>
      </c>
    </row>
    <row r="1020">
      <c r="A1020">
        <f>'Month 04'!B320</f>
        <v/>
      </c>
      <c r="B1020" t="inlineStr">
        <is>
          <t>Box Jump</t>
        </is>
      </c>
      <c r="C1020">
        <f>IF(AND('Month 04'!L323&lt;&gt;"",N('Month 04'!I323)&gt;0),'Month 04'!I323,"")</f>
        <v/>
      </c>
      <c r="D1020">
        <f>IF(C1020="","",IF(N('Month 04'!J323)&gt;0,'Month 04'!J323,1))</f>
        <v/>
      </c>
      <c r="E1020">
        <f>IF(OR(C1020="",D1020=""),"",IF(D1020=1,C1020,ROUND(C1020*(1+D1020/30),1)))</f>
        <v/>
      </c>
    </row>
    <row r="1021">
      <c r="A1021">
        <f>'Month 04'!B320</f>
        <v/>
      </c>
      <c r="B1021" t="inlineStr">
        <is>
          <t>Snatch</t>
        </is>
      </c>
      <c r="C1021">
        <f>IF(AND('Month 04'!L325&lt;&gt;"",N('Month 04'!I325)&gt;0),'Month 04'!I325,"")</f>
        <v/>
      </c>
      <c r="D1021">
        <f>IF(C1021="","",IF(N('Month 04'!J325)&gt;0,'Month 04'!J325,1))</f>
        <v/>
      </c>
      <c r="E1021">
        <f>IF(OR(C1021="",D1021=""),"",IF(D1021=1,C1021,ROUND(C1021*(1+D1021/30),1)))</f>
        <v/>
      </c>
    </row>
    <row r="1022">
      <c r="A1022">
        <f>'Month 04'!B320</f>
        <v/>
      </c>
      <c r="B1022" t="inlineStr">
        <is>
          <t>Snatch</t>
        </is>
      </c>
      <c r="C1022">
        <f>IF(AND('Month 04'!L326&lt;&gt;"",N('Month 04'!I326)&gt;0),'Month 04'!I326,"")</f>
        <v/>
      </c>
      <c r="D1022">
        <f>IF(C1022="","",IF(N('Month 04'!J326)&gt;0,'Month 04'!J326,1))</f>
        <v/>
      </c>
      <c r="E1022">
        <f>IF(OR(C1022="",D1022=""),"",IF(D1022=1,C1022,ROUND(C1022*(1+D1022/30),1)))</f>
        <v/>
      </c>
    </row>
    <row r="1023">
      <c r="A1023">
        <f>'Month 04'!B320</f>
        <v/>
      </c>
      <c r="B1023" t="inlineStr">
        <is>
          <t>Squat</t>
        </is>
      </c>
      <c r="C1023">
        <f>IF(AND('Month 04'!L328&lt;&gt;"",N('Month 04'!I328)&gt;0),'Month 04'!I328,"")</f>
        <v/>
      </c>
      <c r="D1023">
        <f>IF(C1023="","",IF(N('Month 04'!J328)&gt;0,'Month 04'!J328,1))</f>
        <v/>
      </c>
      <c r="E1023">
        <f>IF(OR(C1023="",D1023=""),"",IF(D1023=1,C1023,ROUND(C1023*(1+D1023/30),1)))</f>
        <v/>
      </c>
    </row>
    <row r="1024">
      <c r="A1024">
        <f>'Month 04'!B320</f>
        <v/>
      </c>
      <c r="B1024" t="inlineStr">
        <is>
          <t>Squat</t>
        </is>
      </c>
      <c r="C1024">
        <f>IF(AND('Month 04'!L329&lt;&gt;"",N('Month 04'!I329)&gt;0),'Month 04'!I329,"")</f>
        <v/>
      </c>
      <c r="D1024">
        <f>IF(C1024="","",IF(N('Month 04'!J329)&gt;0,'Month 04'!J329,1))</f>
        <v/>
      </c>
      <c r="E1024">
        <f>IF(OR(C1024="",D1024=""),"",IF(D1024=1,C1024,ROUND(C1024*(1+D1024/30),1)))</f>
        <v/>
      </c>
    </row>
    <row r="1025">
      <c r="A1025">
        <f>'Month 04'!B320</f>
        <v/>
      </c>
      <c r="B1025" t="inlineStr">
        <is>
          <t>Bench Press</t>
        </is>
      </c>
      <c r="C1025">
        <f>IF(AND('Month 04'!L331&lt;&gt;"",N('Month 04'!I331)&gt;0),'Month 04'!I331,"")</f>
        <v/>
      </c>
      <c r="D1025">
        <f>IF(C1025="","",IF(N('Month 04'!J331)&gt;0,'Month 04'!J331,1))</f>
        <v/>
      </c>
      <c r="E1025">
        <f>IF(OR(C1025="",D1025=""),"",IF(D1025=1,C1025,ROUND(C1025*(1+D1025/30),1)))</f>
        <v/>
      </c>
    </row>
    <row r="1026">
      <c r="A1026">
        <f>'Month 04'!B320</f>
        <v/>
      </c>
      <c r="B1026" t="inlineStr">
        <is>
          <t>Bench Press</t>
        </is>
      </c>
      <c r="C1026">
        <f>IF(AND('Month 04'!L332&lt;&gt;"",N('Month 04'!I332)&gt;0),'Month 04'!I332,"")</f>
        <v/>
      </c>
      <c r="D1026">
        <f>IF(C1026="","",IF(N('Month 04'!J332)&gt;0,'Month 04'!J332,1))</f>
        <v/>
      </c>
      <c r="E1026">
        <f>IF(OR(C1026="",D1026=""),"",IF(D1026=1,C1026,ROUND(C1026*(1+D1026/30),1)))</f>
        <v/>
      </c>
    </row>
    <row r="1027">
      <c r="A1027">
        <f>'Month 04'!B320</f>
        <v/>
      </c>
      <c r="B1027" t="inlineStr">
        <is>
          <t>Barbell Row</t>
        </is>
      </c>
      <c r="C1027">
        <f>IF(AND('Month 04'!L334&lt;&gt;"",N('Month 04'!I334)&gt;0),'Month 04'!I334,"")</f>
        <v/>
      </c>
      <c r="D1027">
        <f>IF(C1027="","",IF(N('Month 04'!J334)&gt;0,'Month 04'!J334,1))</f>
        <v/>
      </c>
      <c r="E1027">
        <f>IF(OR(C1027="",D1027=""),"",IF(D1027=1,C1027,ROUND(C1027*(1+D1027/30),1)))</f>
        <v/>
      </c>
    </row>
    <row r="1028">
      <c r="A1028">
        <f>'Month 04'!B320</f>
        <v/>
      </c>
      <c r="B1028" t="inlineStr">
        <is>
          <t>Barbell Row</t>
        </is>
      </c>
      <c r="C1028">
        <f>IF(AND('Month 04'!L335&lt;&gt;"",N('Month 04'!I335)&gt;0),'Month 04'!I335,"")</f>
        <v/>
      </c>
      <c r="D1028">
        <f>IF(C1028="","",IF(N('Month 04'!J335)&gt;0,'Month 04'!J335,1))</f>
        <v/>
      </c>
      <c r="E1028">
        <f>IF(OR(C1028="",D1028=""),"",IF(D1028=1,C1028,ROUND(C1028*(1+D1028/30),1)))</f>
        <v/>
      </c>
    </row>
    <row r="1029">
      <c r="A1029">
        <f>'Month 04'!B320</f>
        <v/>
      </c>
      <c r="B1029" t="inlineStr">
        <is>
          <t>Face Pull</t>
        </is>
      </c>
      <c r="C1029">
        <f>IF(AND('Month 04'!L337&lt;&gt;"",N('Month 04'!I337)&gt;0),'Month 04'!I337,"")</f>
        <v/>
      </c>
      <c r="D1029">
        <f>IF(C1029="","",IF(N('Month 04'!J337)&gt;0,'Month 04'!J337,1))</f>
        <v/>
      </c>
      <c r="E1029">
        <f>IF(OR(C1029="",D1029=""),"",IF(D1029=1,C1029,ROUND(C1029*(1+D1029/30),1)))</f>
        <v/>
      </c>
    </row>
    <row r="1030">
      <c r="A1030">
        <f>'Month 04'!B320</f>
        <v/>
      </c>
      <c r="B1030" t="inlineStr">
        <is>
          <t>Face Pull</t>
        </is>
      </c>
      <c r="C1030">
        <f>IF(AND('Month 04'!L338&lt;&gt;"",N('Month 04'!I338)&gt;0),'Month 04'!I338,"")</f>
        <v/>
      </c>
      <c r="D1030">
        <f>IF(C1030="","",IF(N('Month 04'!J338)&gt;0,'Month 04'!J338,1))</f>
        <v/>
      </c>
      <c r="E1030">
        <f>IF(OR(C1030="",D1030=""),"",IF(D1030=1,C1030,ROUND(C1030*(1+D1030/30),1)))</f>
        <v/>
      </c>
    </row>
    <row r="1031">
      <c r="A1031">
        <f>'Month 04'!B339</f>
        <v/>
      </c>
      <c r="B1031" t="inlineStr">
        <is>
          <t>Broad Jump</t>
        </is>
      </c>
      <c r="C1031">
        <f>IF(AND('Month 04'!L341&lt;&gt;"",N('Month 04'!I341)&gt;0),'Month 04'!I341,"")</f>
        <v/>
      </c>
      <c r="D1031">
        <f>IF(C1031="","",IF(N('Month 04'!J341)&gt;0,'Month 04'!J341,1))</f>
        <v/>
      </c>
      <c r="E1031">
        <f>IF(OR(C1031="",D1031=""),"",IF(D1031=1,C1031,ROUND(C1031*(1+D1031/30),1)))</f>
        <v/>
      </c>
    </row>
    <row r="1032">
      <c r="A1032">
        <f>'Month 04'!B339</f>
        <v/>
      </c>
      <c r="B1032" t="inlineStr">
        <is>
          <t>Broad Jump</t>
        </is>
      </c>
      <c r="C1032">
        <f>IF(AND('Month 04'!L342&lt;&gt;"",N('Month 04'!I342)&gt;0),'Month 04'!I342,"")</f>
        <v/>
      </c>
      <c r="D1032">
        <f>IF(C1032="","",IF(N('Month 04'!J342)&gt;0,'Month 04'!J342,1))</f>
        <v/>
      </c>
      <c r="E1032">
        <f>IF(OR(C1032="",D1032=""),"",IF(D1032=1,C1032,ROUND(C1032*(1+D1032/30),1)))</f>
        <v/>
      </c>
    </row>
    <row r="1033">
      <c r="A1033">
        <f>'Month 04'!B339</f>
        <v/>
      </c>
      <c r="B1033" t="inlineStr">
        <is>
          <t>Med Ball Chest Pass</t>
        </is>
      </c>
      <c r="C1033">
        <f>IF(AND('Month 04'!L344&lt;&gt;"",N('Month 04'!I344)&gt;0),'Month 04'!I344,"")</f>
        <v/>
      </c>
      <c r="D1033">
        <f>IF(C1033="","",IF(N('Month 04'!J344)&gt;0,'Month 04'!J344,1))</f>
        <v/>
      </c>
      <c r="E1033">
        <f>IF(OR(C1033="",D1033=""),"",IF(D1033=1,C1033,ROUND(C1033*(1+D1033/30),1)))</f>
        <v/>
      </c>
    </row>
    <row r="1034">
      <c r="A1034">
        <f>'Month 04'!B339</f>
        <v/>
      </c>
      <c r="B1034" t="inlineStr">
        <is>
          <t>Med Ball Chest Pass</t>
        </is>
      </c>
      <c r="C1034">
        <f>IF(AND('Month 04'!L345&lt;&gt;"",N('Month 04'!I345)&gt;0),'Month 04'!I345,"")</f>
        <v/>
      </c>
      <c r="D1034">
        <f>IF(C1034="","",IF(N('Month 04'!J345)&gt;0,'Month 04'!J345,1))</f>
        <v/>
      </c>
      <c r="E1034">
        <f>IF(OR(C1034="",D1034=""),"",IF(D1034=1,C1034,ROUND(C1034*(1+D1034/30),1)))</f>
        <v/>
      </c>
    </row>
    <row r="1035">
      <c r="A1035">
        <f>'Month 04'!B339</f>
        <v/>
      </c>
      <c r="B1035" t="inlineStr">
        <is>
          <t>Clean &amp; Jerk</t>
        </is>
      </c>
      <c r="C1035">
        <f>IF(AND('Month 04'!L347&lt;&gt;"",N('Month 04'!I347)&gt;0),'Month 04'!I347,"")</f>
        <v/>
      </c>
      <c r="D1035">
        <f>IF(C1035="","",IF(N('Month 04'!J347)&gt;0,'Month 04'!J347,1))</f>
        <v/>
      </c>
      <c r="E1035">
        <f>IF(OR(C1035="",D1035=""),"",IF(D1035=1,C1035,ROUND(C1035*(1+D1035/30),1)))</f>
        <v/>
      </c>
    </row>
    <row r="1036">
      <c r="A1036">
        <f>'Month 04'!B339</f>
        <v/>
      </c>
      <c r="B1036" t="inlineStr">
        <is>
          <t>Clean &amp; Jerk</t>
        </is>
      </c>
      <c r="C1036">
        <f>IF(AND('Month 04'!L348&lt;&gt;"",N('Month 04'!I348)&gt;0),'Month 04'!I348,"")</f>
        <v/>
      </c>
      <c r="D1036">
        <f>IF(C1036="","",IF(N('Month 04'!J348)&gt;0,'Month 04'!J348,1))</f>
        <v/>
      </c>
      <c r="E1036">
        <f>IF(OR(C1036="",D1036=""),"",IF(D1036=1,C1036,ROUND(C1036*(1+D1036/30),1)))</f>
        <v/>
      </c>
    </row>
    <row r="1037">
      <c r="A1037">
        <f>'Month 04'!B339</f>
        <v/>
      </c>
      <c r="B1037" t="inlineStr">
        <is>
          <t>Squat</t>
        </is>
      </c>
      <c r="C1037">
        <f>IF(AND('Month 04'!L350&lt;&gt;"",N('Month 04'!I350)&gt;0),'Month 04'!I350,"")</f>
        <v/>
      </c>
      <c r="D1037">
        <f>IF(C1037="","",IF(N('Month 04'!J350)&gt;0,'Month 04'!J350,1))</f>
        <v/>
      </c>
      <c r="E1037">
        <f>IF(OR(C1037="",D1037=""),"",IF(D1037=1,C1037,ROUND(C1037*(1+D1037/30),1)))</f>
        <v/>
      </c>
    </row>
    <row r="1038">
      <c r="A1038">
        <f>'Month 04'!B339</f>
        <v/>
      </c>
      <c r="B1038" t="inlineStr">
        <is>
          <t>Squat</t>
        </is>
      </c>
      <c r="C1038">
        <f>IF(AND('Month 04'!L351&lt;&gt;"",N('Month 04'!I351)&gt;0),'Month 04'!I351,"")</f>
        <v/>
      </c>
      <c r="D1038">
        <f>IF(C1038="","",IF(N('Month 04'!J351)&gt;0,'Month 04'!J351,1))</f>
        <v/>
      </c>
      <c r="E1038">
        <f>IF(OR(C1038="",D1038=""),"",IF(D1038=1,C1038,ROUND(C1038*(1+D1038/30),1)))</f>
        <v/>
      </c>
    </row>
    <row r="1039">
      <c r="A1039">
        <f>'Month 04'!B339</f>
        <v/>
      </c>
      <c r="B1039" t="inlineStr">
        <is>
          <t>Overhead Press</t>
        </is>
      </c>
      <c r="C1039">
        <f>IF(AND('Month 04'!L353&lt;&gt;"",N('Month 04'!I353)&gt;0),'Month 04'!I353,"")</f>
        <v/>
      </c>
      <c r="D1039">
        <f>IF(C1039="","",IF(N('Month 04'!J353)&gt;0,'Month 04'!J353,1))</f>
        <v/>
      </c>
      <c r="E1039">
        <f>IF(OR(C1039="",D1039=""),"",IF(D1039=1,C1039,ROUND(C1039*(1+D1039/30),1)))</f>
        <v/>
      </c>
    </row>
    <row r="1040">
      <c r="A1040">
        <f>'Month 04'!B339</f>
        <v/>
      </c>
      <c r="B1040" t="inlineStr">
        <is>
          <t>Overhead Press</t>
        </is>
      </c>
      <c r="C1040">
        <f>IF(AND('Month 04'!L354&lt;&gt;"",N('Month 04'!I354)&gt;0),'Month 04'!I354,"")</f>
        <v/>
      </c>
      <c r="D1040">
        <f>IF(C1040="","",IF(N('Month 04'!J354)&gt;0,'Month 04'!J354,1))</f>
        <v/>
      </c>
      <c r="E1040">
        <f>IF(OR(C1040="",D1040=""),"",IF(D1040=1,C1040,ROUND(C1040*(1+D1040/30),1)))</f>
        <v/>
      </c>
    </row>
    <row r="1041">
      <c r="A1041">
        <f>'Month 04'!B339</f>
        <v/>
      </c>
      <c r="B1041" t="inlineStr">
        <is>
          <t>Deadlift</t>
        </is>
      </c>
      <c r="C1041">
        <f>IF(AND('Month 04'!L356&lt;&gt;"",N('Month 04'!I356)&gt;0),'Month 04'!I356,"")</f>
        <v/>
      </c>
      <c r="D1041">
        <f>IF(C1041="","",IF(N('Month 04'!J356)&gt;0,'Month 04'!J356,1))</f>
        <v/>
      </c>
      <c r="E1041">
        <f>IF(OR(C1041="",D1041=""),"",IF(D1041=1,C1041,ROUND(C1041*(1+D1041/30),1)))</f>
        <v/>
      </c>
    </row>
    <row r="1042">
      <c r="A1042">
        <f>'Month 04'!B339</f>
        <v/>
      </c>
      <c r="B1042" t="inlineStr">
        <is>
          <t>Deadlift</t>
        </is>
      </c>
      <c r="C1042">
        <f>IF(AND('Month 04'!L357&lt;&gt;"",N('Month 04'!I357)&gt;0),'Month 04'!I357,"")</f>
        <v/>
      </c>
      <c r="D1042">
        <f>IF(C1042="","",IF(N('Month 04'!J357)&gt;0,'Month 04'!J357,1))</f>
        <v/>
      </c>
      <c r="E1042">
        <f>IF(OR(C1042="",D1042=""),"",IF(D1042=1,C1042,ROUND(C1042*(1+D1042/30),1)))</f>
        <v/>
      </c>
    </row>
    <row r="1043">
      <c r="A1043">
        <f>'Month 04'!B339</f>
        <v/>
      </c>
      <c r="B1043" t="inlineStr">
        <is>
          <t>Chin-up</t>
        </is>
      </c>
      <c r="C1043">
        <f>IF(AND('Month 04'!L359&lt;&gt;"",N('Month 04'!I359)&gt;0),'Month 04'!I359,"")</f>
        <v/>
      </c>
      <c r="D1043">
        <f>IF(C1043="","",IF(N('Month 04'!J359)&gt;0,'Month 04'!J359,1))</f>
        <v/>
      </c>
      <c r="E1043">
        <f>IF(OR(C1043="",D1043=""),"",IF(D1043=1,C1043,ROUND(C1043*(1+D1043/30),1)))</f>
        <v/>
      </c>
    </row>
    <row r="1044">
      <c r="A1044">
        <f>'Month 04'!B339</f>
        <v/>
      </c>
      <c r="B1044" t="inlineStr">
        <is>
          <t>Chin-up</t>
        </is>
      </c>
      <c r="C1044">
        <f>IF(AND('Month 04'!L360&lt;&gt;"",N('Month 04'!I360)&gt;0),'Month 04'!I360,"")</f>
        <v/>
      </c>
      <c r="D1044">
        <f>IF(C1044="","",IF(N('Month 04'!J360)&gt;0,'Month 04'!J360,1))</f>
        <v/>
      </c>
      <c r="E1044">
        <f>IF(OR(C1044="",D1044=""),"",IF(D1044=1,C1044,ROUND(C1044*(1+D1044/30),1)))</f>
        <v/>
      </c>
    </row>
    <row r="1045">
      <c r="A1045">
        <f>'Month 04'!B339</f>
        <v/>
      </c>
      <c r="B1045" t="inlineStr">
        <is>
          <t>Plank</t>
        </is>
      </c>
      <c r="C1045">
        <f>IF(AND('Month 04'!L362&lt;&gt;"",N('Month 04'!I362)&gt;0),'Month 04'!I362,"")</f>
        <v/>
      </c>
      <c r="D1045">
        <f>IF(C1045="","",IF(N('Month 04'!J362)&gt;0,'Month 04'!J362,1))</f>
        <v/>
      </c>
      <c r="E1045">
        <f>IF(OR(C1045="",D1045=""),"",IF(D1045=1,C1045,ROUND(C1045*(1+D1045/30),1)))</f>
        <v/>
      </c>
    </row>
    <row r="1046">
      <c r="A1046">
        <f>'Month 04'!B339</f>
        <v/>
      </c>
      <c r="B1046" t="inlineStr">
        <is>
          <t>Plank</t>
        </is>
      </c>
      <c r="C1046">
        <f>IF(AND('Month 04'!L363&lt;&gt;"",N('Month 04'!I363)&gt;0),'Month 04'!I363,"")</f>
        <v/>
      </c>
      <c r="D1046">
        <f>IF(C1046="","",IF(N('Month 04'!J363)&gt;0,'Month 04'!J363,1))</f>
        <v/>
      </c>
      <c r="E1046">
        <f>IF(OR(C1046="",D1046=""),"",IF(D1046=1,C1046,ROUND(C1046*(1+D1046/30),1)))</f>
        <v/>
      </c>
    </row>
    <row r="1047">
      <c r="A1047">
        <f>'Month 04'!B364</f>
        <v/>
      </c>
      <c r="B1047" t="inlineStr">
        <is>
          <t>Lateral Bound</t>
        </is>
      </c>
      <c r="C1047">
        <f>IF(AND('Month 04'!L366&lt;&gt;"",N('Month 04'!I366)&gt;0),'Month 04'!I366,"")</f>
        <v/>
      </c>
      <c r="D1047">
        <f>IF(C1047="","",IF(N('Month 04'!J366)&gt;0,'Month 04'!J366,1))</f>
        <v/>
      </c>
      <c r="E1047">
        <f>IF(OR(C1047="",D1047=""),"",IF(D1047=1,C1047,ROUND(C1047*(1+D1047/30),1)))</f>
        <v/>
      </c>
    </row>
    <row r="1048">
      <c r="A1048">
        <f>'Month 04'!B364</f>
        <v/>
      </c>
      <c r="B1048" t="inlineStr">
        <is>
          <t>Lateral Bound</t>
        </is>
      </c>
      <c r="C1048">
        <f>IF(AND('Month 04'!L367&lt;&gt;"",N('Month 04'!I367)&gt;0),'Month 04'!I367,"")</f>
        <v/>
      </c>
      <c r="D1048">
        <f>IF(C1048="","",IF(N('Month 04'!J367)&gt;0,'Month 04'!J367,1))</f>
        <v/>
      </c>
      <c r="E1048">
        <f>IF(OR(C1048="",D1048=""),"",IF(D1048=1,C1048,ROUND(C1048*(1+D1048/30),1)))</f>
        <v/>
      </c>
    </row>
    <row r="1049">
      <c r="A1049">
        <f>'Month 04'!B364</f>
        <v/>
      </c>
      <c r="B1049" t="inlineStr">
        <is>
          <t>Hang Clean</t>
        </is>
      </c>
      <c r="C1049">
        <f>IF(AND('Month 04'!L369&lt;&gt;"",N('Month 04'!I369)&gt;0),'Month 04'!I369,"")</f>
        <v/>
      </c>
      <c r="D1049">
        <f>IF(C1049="","",IF(N('Month 04'!J369)&gt;0,'Month 04'!J369,1))</f>
        <v/>
      </c>
      <c r="E1049">
        <f>IF(OR(C1049="",D1049=""),"",IF(D1049=1,C1049,ROUND(C1049*(1+D1049/30),1)))</f>
        <v/>
      </c>
    </row>
    <row r="1050">
      <c r="A1050">
        <f>'Month 04'!B364</f>
        <v/>
      </c>
      <c r="B1050" t="inlineStr">
        <is>
          <t>Hang Clean</t>
        </is>
      </c>
      <c r="C1050">
        <f>IF(AND('Month 04'!L370&lt;&gt;"",N('Month 04'!I370)&gt;0),'Month 04'!I370,"")</f>
        <v/>
      </c>
      <c r="D1050">
        <f>IF(C1050="","",IF(N('Month 04'!J370)&gt;0,'Month 04'!J370,1))</f>
        <v/>
      </c>
      <c r="E1050">
        <f>IF(OR(C1050="",D1050=""),"",IF(D1050=1,C1050,ROUND(C1050*(1+D1050/30),1)))</f>
        <v/>
      </c>
    </row>
    <row r="1051">
      <c r="A1051">
        <f>'Month 04'!B364</f>
        <v/>
      </c>
      <c r="B1051" t="inlineStr">
        <is>
          <t>Safety Bar Squat</t>
        </is>
      </c>
      <c r="C1051">
        <f>IF(AND('Month 04'!L372&lt;&gt;"",N('Month 04'!I372)&gt;0),'Month 04'!I372,"")</f>
        <v/>
      </c>
      <c r="D1051">
        <f>IF(C1051="","",IF(N('Month 04'!J372)&gt;0,'Month 04'!J372,1))</f>
        <v/>
      </c>
      <c r="E1051">
        <f>IF(OR(C1051="",D1051=""),"",IF(D1051=1,C1051,ROUND(C1051*(1+D1051/30),1)))</f>
        <v/>
      </c>
    </row>
    <row r="1052">
      <c r="A1052">
        <f>'Month 04'!B364</f>
        <v/>
      </c>
      <c r="B1052" t="inlineStr">
        <is>
          <t>Safety Bar Squat</t>
        </is>
      </c>
      <c r="C1052">
        <f>IF(AND('Month 04'!L373&lt;&gt;"",N('Month 04'!I373)&gt;0),'Month 04'!I373,"")</f>
        <v/>
      </c>
      <c r="D1052">
        <f>IF(C1052="","",IF(N('Month 04'!J373)&gt;0,'Month 04'!J373,1))</f>
        <v/>
      </c>
      <c r="E1052">
        <f>IF(OR(C1052="",D1052=""),"",IF(D1052=1,C1052,ROUND(C1052*(1+D1052/30),1)))</f>
        <v/>
      </c>
    </row>
    <row r="1053">
      <c r="A1053">
        <f>'Month 04'!B364</f>
        <v/>
      </c>
      <c r="B1053" t="inlineStr">
        <is>
          <t>1-Board Press</t>
        </is>
      </c>
      <c r="C1053">
        <f>IF(AND('Month 04'!L375&lt;&gt;"",N('Month 04'!I375)&gt;0),'Month 04'!I375,"")</f>
        <v/>
      </c>
      <c r="D1053">
        <f>IF(C1053="","",IF(N('Month 04'!J375)&gt;0,'Month 04'!J375,1))</f>
        <v/>
      </c>
      <c r="E1053">
        <f>IF(OR(C1053="",D1053=""),"",IF(D1053=1,C1053,ROUND(C1053*(1+D1053/30),1)))</f>
        <v/>
      </c>
    </row>
    <row r="1054">
      <c r="A1054">
        <f>'Month 04'!B364</f>
        <v/>
      </c>
      <c r="B1054" t="inlineStr">
        <is>
          <t>1-Board Press</t>
        </is>
      </c>
      <c r="C1054">
        <f>IF(AND('Month 04'!L376&lt;&gt;"",N('Month 04'!I376)&gt;0),'Month 04'!I376,"")</f>
        <v/>
      </c>
      <c r="D1054">
        <f>IF(C1054="","",IF(N('Month 04'!J376)&gt;0,'Month 04'!J376,1))</f>
        <v/>
      </c>
      <c r="E1054">
        <f>IF(OR(C1054="",D1054=""),"",IF(D1054=1,C1054,ROUND(C1054*(1+D1054/30),1)))</f>
        <v/>
      </c>
    </row>
    <row r="1055">
      <c r="A1055">
        <f>'Month 04'!B364</f>
        <v/>
      </c>
      <c r="B1055" t="inlineStr">
        <is>
          <t>Block Pull</t>
        </is>
      </c>
      <c r="C1055">
        <f>IF(AND('Month 04'!L378&lt;&gt;"",N('Month 04'!I378)&gt;0),'Month 04'!I378,"")</f>
        <v/>
      </c>
      <c r="D1055">
        <f>IF(C1055="","",IF(N('Month 04'!J378)&gt;0,'Month 04'!J378,1))</f>
        <v/>
      </c>
      <c r="E1055">
        <f>IF(OR(C1055="",D1055=""),"",IF(D1055=1,C1055,ROUND(C1055*(1+D1055/30),1)))</f>
        <v/>
      </c>
    </row>
    <row r="1056">
      <c r="A1056">
        <f>'Month 04'!B364</f>
        <v/>
      </c>
      <c r="B1056" t="inlineStr">
        <is>
          <t>Block Pull</t>
        </is>
      </c>
      <c r="C1056">
        <f>IF(AND('Month 04'!L379&lt;&gt;"",N('Month 04'!I379)&gt;0),'Month 04'!I379,"")</f>
        <v/>
      </c>
      <c r="D1056">
        <f>IF(C1056="","",IF(N('Month 04'!J379)&gt;0,'Month 04'!J379,1))</f>
        <v/>
      </c>
      <c r="E1056">
        <f>IF(OR(C1056="",D1056=""),"",IF(D1056=1,C1056,ROUND(C1056*(1+D1056/30),1)))</f>
        <v/>
      </c>
    </row>
    <row r="1057">
      <c r="A1057">
        <f>'Month 04'!B364</f>
        <v/>
      </c>
      <c r="B1057" t="inlineStr">
        <is>
          <t>Incline Dumbbell Press</t>
        </is>
      </c>
      <c r="C1057">
        <f>IF(AND('Month 04'!L381&lt;&gt;"",N('Month 04'!I381)&gt;0),'Month 04'!I381,"")</f>
        <v/>
      </c>
      <c r="D1057">
        <f>IF(C1057="","",IF(N('Month 04'!J381)&gt;0,'Month 04'!J381,1))</f>
        <v/>
      </c>
      <c r="E1057">
        <f>IF(OR(C1057="",D1057=""),"",IF(D1057=1,C1057,ROUND(C1057*(1+D1057/30),1)))</f>
        <v/>
      </c>
    </row>
    <row r="1058">
      <c r="A1058">
        <f>'Month 04'!B364</f>
        <v/>
      </c>
      <c r="B1058" t="inlineStr">
        <is>
          <t>Incline Dumbbell Press</t>
        </is>
      </c>
      <c r="C1058">
        <f>IF(AND('Month 04'!L382&lt;&gt;"",N('Month 04'!I382)&gt;0),'Month 04'!I382,"")</f>
        <v/>
      </c>
      <c r="D1058">
        <f>IF(C1058="","",IF(N('Month 04'!J382)&gt;0,'Month 04'!J382,1))</f>
        <v/>
      </c>
      <c r="E1058">
        <f>IF(OR(C1058="",D1058=""),"",IF(D1058=1,C1058,ROUND(C1058*(1+D1058/30),1)))</f>
        <v/>
      </c>
    </row>
    <row r="1059">
      <c r="A1059">
        <f>'Month 04'!B364</f>
        <v/>
      </c>
      <c r="B1059" t="inlineStr">
        <is>
          <t>Triceps Pushdown</t>
        </is>
      </c>
      <c r="C1059">
        <f>IF(AND('Month 04'!L384&lt;&gt;"",N('Month 04'!I384)&gt;0),'Month 04'!I384,"")</f>
        <v/>
      </c>
      <c r="D1059">
        <f>IF(C1059="","",IF(N('Month 04'!J384)&gt;0,'Month 04'!J384,1))</f>
        <v/>
      </c>
      <c r="E1059">
        <f>IF(OR(C1059="",D1059=""),"",IF(D1059=1,C1059,ROUND(C1059*(1+D1059/30),1)))</f>
        <v/>
      </c>
    </row>
    <row r="1060">
      <c r="A1060">
        <f>'Month 04'!B364</f>
        <v/>
      </c>
      <c r="B1060" t="inlineStr">
        <is>
          <t>Triceps Pushdown</t>
        </is>
      </c>
      <c r="C1060">
        <f>IF(AND('Month 04'!L385&lt;&gt;"",N('Month 04'!I385)&gt;0),'Month 04'!I385,"")</f>
        <v/>
      </c>
      <c r="D1060">
        <f>IF(C1060="","",IF(N('Month 04'!J385)&gt;0,'Month 04'!J385,1))</f>
        <v/>
      </c>
      <c r="E1060">
        <f>IF(OR(C1060="",D1060=""),"",IF(D1060=1,C1060,ROUND(C1060*(1+D1060/30),1)))</f>
        <v/>
      </c>
    </row>
    <row r="1061">
      <c r="A1061">
        <f>'Month 05'!B7</f>
        <v/>
      </c>
      <c r="B1061" t="inlineStr">
        <is>
          <t>Box Jump</t>
        </is>
      </c>
      <c r="C1061">
        <f>IF(AND('Month 05'!L9&lt;&gt;"",N('Month 05'!I9)&gt;0),'Month 05'!I9,"")</f>
        <v/>
      </c>
      <c r="D1061">
        <f>IF(C1061="","",IF(N('Month 05'!J9)&gt;0,'Month 05'!J9,1))</f>
        <v/>
      </c>
      <c r="E1061">
        <f>IF(OR(C1061="",D1061=""),"",IF(D1061=1,C1061,ROUND(C1061*(1+D1061/30),1)))</f>
        <v/>
      </c>
    </row>
    <row r="1062">
      <c r="A1062">
        <f>'Month 05'!B7</f>
        <v/>
      </c>
      <c r="B1062" t="inlineStr">
        <is>
          <t>Box Jump</t>
        </is>
      </c>
      <c r="C1062">
        <f>IF(AND('Month 05'!L10&lt;&gt;"",N('Month 05'!I10)&gt;0),'Month 05'!I10,"")</f>
        <v/>
      </c>
      <c r="D1062">
        <f>IF(C1062="","",IF(N('Month 05'!J10)&gt;0,'Month 05'!J10,1))</f>
        <v/>
      </c>
      <c r="E1062">
        <f>IF(OR(C1062="",D1062=""),"",IF(D1062=1,C1062,ROUND(C1062*(1+D1062/30),1)))</f>
        <v/>
      </c>
    </row>
    <row r="1063">
      <c r="A1063">
        <f>'Month 05'!B7</f>
        <v/>
      </c>
      <c r="B1063" t="inlineStr">
        <is>
          <t>Box Jump</t>
        </is>
      </c>
      <c r="C1063">
        <f>IF(AND('Month 05'!L11&lt;&gt;"",N('Month 05'!I11)&gt;0),'Month 05'!I11,"")</f>
        <v/>
      </c>
      <c r="D1063">
        <f>IF(C1063="","",IF(N('Month 05'!J11)&gt;0,'Month 05'!J11,1))</f>
        <v/>
      </c>
      <c r="E1063">
        <f>IF(OR(C1063="",D1063=""),"",IF(D1063=1,C1063,ROUND(C1063*(1+D1063/30),1)))</f>
        <v/>
      </c>
    </row>
    <row r="1064">
      <c r="A1064">
        <f>'Month 05'!B7</f>
        <v/>
      </c>
      <c r="B1064" t="inlineStr">
        <is>
          <t>Box Jump</t>
        </is>
      </c>
      <c r="C1064">
        <f>IF(AND('Month 05'!L12&lt;&gt;"",N('Month 05'!I12)&gt;0),'Month 05'!I12,"")</f>
        <v/>
      </c>
      <c r="D1064">
        <f>IF(C1064="","",IF(N('Month 05'!J12)&gt;0,'Month 05'!J12,1))</f>
        <v/>
      </c>
      <c r="E1064">
        <f>IF(OR(C1064="",D1064=""),"",IF(D1064=1,C1064,ROUND(C1064*(1+D1064/30),1)))</f>
        <v/>
      </c>
    </row>
    <row r="1065">
      <c r="A1065">
        <f>'Month 05'!B7</f>
        <v/>
      </c>
      <c r="B1065" t="inlineStr">
        <is>
          <t>Snatch</t>
        </is>
      </c>
      <c r="C1065">
        <f>IF(AND('Month 05'!L14&lt;&gt;"",N('Month 05'!I14)&gt;0),'Month 05'!I14,"")</f>
        <v/>
      </c>
      <c r="D1065">
        <f>IF(C1065="","",IF(N('Month 05'!J14)&gt;0,'Month 05'!J14,1))</f>
        <v/>
      </c>
      <c r="E1065">
        <f>IF(OR(C1065="",D1065=""),"",IF(D1065=1,C1065,ROUND(C1065*(1+D1065/30),1)))</f>
        <v/>
      </c>
    </row>
    <row r="1066">
      <c r="A1066">
        <f>'Month 05'!B7</f>
        <v/>
      </c>
      <c r="B1066" t="inlineStr">
        <is>
          <t>Snatch</t>
        </is>
      </c>
      <c r="C1066">
        <f>IF(AND('Month 05'!L15&lt;&gt;"",N('Month 05'!I15)&gt;0),'Month 05'!I15,"")</f>
        <v/>
      </c>
      <c r="D1066">
        <f>IF(C1066="","",IF(N('Month 05'!J15)&gt;0,'Month 05'!J15,1))</f>
        <v/>
      </c>
      <c r="E1066">
        <f>IF(OR(C1066="",D1066=""),"",IF(D1066=1,C1066,ROUND(C1066*(1+D1066/30),1)))</f>
        <v/>
      </c>
    </row>
    <row r="1067">
      <c r="A1067">
        <f>'Month 05'!B7</f>
        <v/>
      </c>
      <c r="B1067" t="inlineStr">
        <is>
          <t>Snatch</t>
        </is>
      </c>
      <c r="C1067">
        <f>IF(AND('Month 05'!L16&lt;&gt;"",N('Month 05'!I16)&gt;0),'Month 05'!I16,"")</f>
        <v/>
      </c>
      <c r="D1067">
        <f>IF(C1067="","",IF(N('Month 05'!J16)&gt;0,'Month 05'!J16,1))</f>
        <v/>
      </c>
      <c r="E1067">
        <f>IF(OR(C1067="",D1067=""),"",IF(D1067=1,C1067,ROUND(C1067*(1+D1067/30),1)))</f>
        <v/>
      </c>
    </row>
    <row r="1068">
      <c r="A1068">
        <f>'Month 05'!B7</f>
        <v/>
      </c>
      <c r="B1068" t="inlineStr">
        <is>
          <t>Snatch</t>
        </is>
      </c>
      <c r="C1068">
        <f>IF(AND('Month 05'!L17&lt;&gt;"",N('Month 05'!I17)&gt;0),'Month 05'!I17,"")</f>
        <v/>
      </c>
      <c r="D1068">
        <f>IF(C1068="","",IF(N('Month 05'!J17)&gt;0,'Month 05'!J17,1))</f>
        <v/>
      </c>
      <c r="E1068">
        <f>IF(OR(C1068="",D1068=""),"",IF(D1068=1,C1068,ROUND(C1068*(1+D1068/30),1)))</f>
        <v/>
      </c>
    </row>
    <row r="1069">
      <c r="A1069">
        <f>'Month 05'!B7</f>
        <v/>
      </c>
      <c r="B1069" t="inlineStr">
        <is>
          <t>Squat</t>
        </is>
      </c>
      <c r="C1069">
        <f>IF(AND('Month 05'!L19&lt;&gt;"",N('Month 05'!I19)&gt;0),'Month 05'!I19,"")</f>
        <v/>
      </c>
      <c r="D1069">
        <f>IF(C1069="","",IF(N('Month 05'!J19)&gt;0,'Month 05'!J19,1))</f>
        <v/>
      </c>
      <c r="E1069">
        <f>IF(OR(C1069="",D1069=""),"",IF(D1069=1,C1069,ROUND(C1069*(1+D1069/30),1)))</f>
        <v/>
      </c>
    </row>
    <row r="1070">
      <c r="A1070">
        <f>'Month 05'!B7</f>
        <v/>
      </c>
      <c r="B1070" t="inlineStr">
        <is>
          <t>Squat</t>
        </is>
      </c>
      <c r="C1070">
        <f>IF(AND('Month 05'!L20&lt;&gt;"",N('Month 05'!I20)&gt;0),'Month 05'!I20,"")</f>
        <v/>
      </c>
      <c r="D1070">
        <f>IF(C1070="","",IF(N('Month 05'!J20)&gt;0,'Month 05'!J20,1))</f>
        <v/>
      </c>
      <c r="E1070">
        <f>IF(OR(C1070="",D1070=""),"",IF(D1070=1,C1070,ROUND(C1070*(1+D1070/30),1)))</f>
        <v/>
      </c>
    </row>
    <row r="1071">
      <c r="A1071">
        <f>'Month 05'!B7</f>
        <v/>
      </c>
      <c r="B1071" t="inlineStr">
        <is>
          <t>Squat</t>
        </is>
      </c>
      <c r="C1071">
        <f>IF(AND('Month 05'!L21&lt;&gt;"",N('Month 05'!I21)&gt;0),'Month 05'!I21,"")</f>
        <v/>
      </c>
      <c r="D1071">
        <f>IF(C1071="","",IF(N('Month 05'!J21)&gt;0,'Month 05'!J21,1))</f>
        <v/>
      </c>
      <c r="E1071">
        <f>IF(OR(C1071="",D1071=""),"",IF(D1071=1,C1071,ROUND(C1071*(1+D1071/30),1)))</f>
        <v/>
      </c>
    </row>
    <row r="1072">
      <c r="A1072">
        <f>'Month 05'!B7</f>
        <v/>
      </c>
      <c r="B1072" t="inlineStr">
        <is>
          <t>Bench Press</t>
        </is>
      </c>
      <c r="C1072">
        <f>IF(AND('Month 05'!L23&lt;&gt;"",N('Month 05'!I23)&gt;0),'Month 05'!I23,"")</f>
        <v/>
      </c>
      <c r="D1072">
        <f>IF(C1072="","",IF(N('Month 05'!J23)&gt;0,'Month 05'!J23,1))</f>
        <v/>
      </c>
      <c r="E1072">
        <f>IF(OR(C1072="",D1072=""),"",IF(D1072=1,C1072,ROUND(C1072*(1+D1072/30),1)))</f>
        <v/>
      </c>
    </row>
    <row r="1073">
      <c r="A1073">
        <f>'Month 05'!B7</f>
        <v/>
      </c>
      <c r="B1073" t="inlineStr">
        <is>
          <t>Bench Press</t>
        </is>
      </c>
      <c r="C1073">
        <f>IF(AND('Month 05'!L24&lt;&gt;"",N('Month 05'!I24)&gt;0),'Month 05'!I24,"")</f>
        <v/>
      </c>
      <c r="D1073">
        <f>IF(C1073="","",IF(N('Month 05'!J24)&gt;0,'Month 05'!J24,1))</f>
        <v/>
      </c>
      <c r="E1073">
        <f>IF(OR(C1073="",D1073=""),"",IF(D1073=1,C1073,ROUND(C1073*(1+D1073/30),1)))</f>
        <v/>
      </c>
    </row>
    <row r="1074">
      <c r="A1074">
        <f>'Month 05'!B7</f>
        <v/>
      </c>
      <c r="B1074" t="inlineStr">
        <is>
          <t>Bench Press</t>
        </is>
      </c>
      <c r="C1074">
        <f>IF(AND('Month 05'!L25&lt;&gt;"",N('Month 05'!I25)&gt;0),'Month 05'!I25,"")</f>
        <v/>
      </c>
      <c r="D1074">
        <f>IF(C1074="","",IF(N('Month 05'!J25)&gt;0,'Month 05'!J25,1))</f>
        <v/>
      </c>
      <c r="E1074">
        <f>IF(OR(C1074="",D1074=""),"",IF(D1074=1,C1074,ROUND(C1074*(1+D1074/30),1)))</f>
        <v/>
      </c>
    </row>
    <row r="1075">
      <c r="A1075">
        <f>'Month 05'!B7</f>
        <v/>
      </c>
      <c r="B1075" t="inlineStr">
        <is>
          <t>Barbell Row</t>
        </is>
      </c>
      <c r="C1075">
        <f>IF(AND('Month 05'!L27&lt;&gt;"",N('Month 05'!I27)&gt;0),'Month 05'!I27,"")</f>
        <v/>
      </c>
      <c r="D1075">
        <f>IF(C1075="","",IF(N('Month 05'!J27)&gt;0,'Month 05'!J27,1))</f>
        <v/>
      </c>
      <c r="E1075">
        <f>IF(OR(C1075="",D1075=""),"",IF(D1075=1,C1075,ROUND(C1075*(1+D1075/30),1)))</f>
        <v/>
      </c>
    </row>
    <row r="1076">
      <c r="A1076">
        <f>'Month 05'!B7</f>
        <v/>
      </c>
      <c r="B1076" t="inlineStr">
        <is>
          <t>Barbell Row</t>
        </is>
      </c>
      <c r="C1076">
        <f>IF(AND('Month 05'!L28&lt;&gt;"",N('Month 05'!I28)&gt;0),'Month 05'!I28,"")</f>
        <v/>
      </c>
      <c r="D1076">
        <f>IF(C1076="","",IF(N('Month 05'!J28)&gt;0,'Month 05'!J28,1))</f>
        <v/>
      </c>
      <c r="E1076">
        <f>IF(OR(C1076="",D1076=""),"",IF(D1076=1,C1076,ROUND(C1076*(1+D1076/30),1)))</f>
        <v/>
      </c>
    </row>
    <row r="1077">
      <c r="A1077">
        <f>'Month 05'!B7</f>
        <v/>
      </c>
      <c r="B1077" t="inlineStr">
        <is>
          <t>Barbell Row</t>
        </is>
      </c>
      <c r="C1077">
        <f>IF(AND('Month 05'!L29&lt;&gt;"",N('Month 05'!I29)&gt;0),'Month 05'!I29,"")</f>
        <v/>
      </c>
      <c r="D1077">
        <f>IF(C1077="","",IF(N('Month 05'!J29)&gt;0,'Month 05'!J29,1))</f>
        <v/>
      </c>
      <c r="E1077">
        <f>IF(OR(C1077="",D1077=""),"",IF(D1077=1,C1077,ROUND(C1077*(1+D1077/30),1)))</f>
        <v/>
      </c>
    </row>
    <row r="1078">
      <c r="A1078">
        <f>'Month 05'!B7</f>
        <v/>
      </c>
      <c r="B1078" t="inlineStr">
        <is>
          <t>Face Pull</t>
        </is>
      </c>
      <c r="C1078">
        <f>IF(AND('Month 05'!L31&lt;&gt;"",N('Month 05'!I31)&gt;0),'Month 05'!I31,"")</f>
        <v/>
      </c>
      <c r="D1078">
        <f>IF(C1078="","",IF(N('Month 05'!J31)&gt;0,'Month 05'!J31,1))</f>
        <v/>
      </c>
      <c r="E1078">
        <f>IF(OR(C1078="",D1078=""),"",IF(D1078=1,C1078,ROUND(C1078*(1+D1078/30),1)))</f>
        <v/>
      </c>
    </row>
    <row r="1079">
      <c r="A1079">
        <f>'Month 05'!B7</f>
        <v/>
      </c>
      <c r="B1079" t="inlineStr">
        <is>
          <t>Face Pull</t>
        </is>
      </c>
      <c r="C1079">
        <f>IF(AND('Month 05'!L32&lt;&gt;"",N('Month 05'!I32)&gt;0),'Month 05'!I32,"")</f>
        <v/>
      </c>
      <c r="D1079">
        <f>IF(C1079="","",IF(N('Month 05'!J32)&gt;0,'Month 05'!J32,1))</f>
        <v/>
      </c>
      <c r="E1079">
        <f>IF(OR(C1079="",D1079=""),"",IF(D1079=1,C1079,ROUND(C1079*(1+D1079/30),1)))</f>
        <v/>
      </c>
    </row>
    <row r="1080">
      <c r="A1080">
        <f>'Month 05'!B7</f>
        <v/>
      </c>
      <c r="B1080" t="inlineStr">
        <is>
          <t>Face Pull</t>
        </is>
      </c>
      <c r="C1080">
        <f>IF(AND('Month 05'!L33&lt;&gt;"",N('Month 05'!I33)&gt;0),'Month 05'!I33,"")</f>
        <v/>
      </c>
      <c r="D1080">
        <f>IF(C1080="","",IF(N('Month 05'!J33)&gt;0,'Month 05'!J33,1))</f>
        <v/>
      </c>
      <c r="E1080">
        <f>IF(OR(C1080="",D1080=""),"",IF(D1080=1,C1080,ROUND(C1080*(1+D1080/30),1)))</f>
        <v/>
      </c>
    </row>
    <row r="1081">
      <c r="A1081">
        <f>'Month 05'!B34</f>
        <v/>
      </c>
      <c r="B1081" t="inlineStr">
        <is>
          <t>Broad Jump</t>
        </is>
      </c>
      <c r="C1081">
        <f>IF(AND('Month 05'!L36&lt;&gt;"",N('Month 05'!I36)&gt;0),'Month 05'!I36,"")</f>
        <v/>
      </c>
      <c r="D1081">
        <f>IF(C1081="","",IF(N('Month 05'!J36)&gt;0,'Month 05'!J36,1))</f>
        <v/>
      </c>
      <c r="E1081">
        <f>IF(OR(C1081="",D1081=""),"",IF(D1081=1,C1081,ROUND(C1081*(1+D1081/30),1)))</f>
        <v/>
      </c>
    </row>
    <row r="1082">
      <c r="A1082">
        <f>'Month 05'!B34</f>
        <v/>
      </c>
      <c r="B1082" t="inlineStr">
        <is>
          <t>Broad Jump</t>
        </is>
      </c>
      <c r="C1082">
        <f>IF(AND('Month 05'!L37&lt;&gt;"",N('Month 05'!I37)&gt;0),'Month 05'!I37,"")</f>
        <v/>
      </c>
      <c r="D1082">
        <f>IF(C1082="","",IF(N('Month 05'!J37)&gt;0,'Month 05'!J37,1))</f>
        <v/>
      </c>
      <c r="E1082">
        <f>IF(OR(C1082="",D1082=""),"",IF(D1082=1,C1082,ROUND(C1082*(1+D1082/30),1)))</f>
        <v/>
      </c>
    </row>
    <row r="1083">
      <c r="A1083">
        <f>'Month 05'!B34</f>
        <v/>
      </c>
      <c r="B1083" t="inlineStr">
        <is>
          <t>Broad Jump</t>
        </is>
      </c>
      <c r="C1083">
        <f>IF(AND('Month 05'!L38&lt;&gt;"",N('Month 05'!I38)&gt;0),'Month 05'!I38,"")</f>
        <v/>
      </c>
      <c r="D1083">
        <f>IF(C1083="","",IF(N('Month 05'!J38)&gt;0,'Month 05'!J38,1))</f>
        <v/>
      </c>
      <c r="E1083">
        <f>IF(OR(C1083="",D1083=""),"",IF(D1083=1,C1083,ROUND(C1083*(1+D1083/30),1)))</f>
        <v/>
      </c>
    </row>
    <row r="1084">
      <c r="A1084">
        <f>'Month 05'!B34</f>
        <v/>
      </c>
      <c r="B1084" t="inlineStr">
        <is>
          <t>Broad Jump</t>
        </is>
      </c>
      <c r="C1084">
        <f>IF(AND('Month 05'!L39&lt;&gt;"",N('Month 05'!I39)&gt;0),'Month 05'!I39,"")</f>
        <v/>
      </c>
      <c r="D1084">
        <f>IF(C1084="","",IF(N('Month 05'!J39)&gt;0,'Month 05'!J39,1))</f>
        <v/>
      </c>
      <c r="E1084">
        <f>IF(OR(C1084="",D1084=""),"",IF(D1084=1,C1084,ROUND(C1084*(1+D1084/30),1)))</f>
        <v/>
      </c>
    </row>
    <row r="1085">
      <c r="A1085">
        <f>'Month 05'!B34</f>
        <v/>
      </c>
      <c r="B1085" t="inlineStr">
        <is>
          <t>Med Ball Chest Pass</t>
        </is>
      </c>
      <c r="C1085">
        <f>IF(AND('Month 05'!L41&lt;&gt;"",N('Month 05'!I41)&gt;0),'Month 05'!I41,"")</f>
        <v/>
      </c>
      <c r="D1085">
        <f>IF(C1085="","",IF(N('Month 05'!J41)&gt;0,'Month 05'!J41,1))</f>
        <v/>
      </c>
      <c r="E1085">
        <f>IF(OR(C1085="",D1085=""),"",IF(D1085=1,C1085,ROUND(C1085*(1+D1085/30),1)))</f>
        <v/>
      </c>
    </row>
    <row r="1086">
      <c r="A1086">
        <f>'Month 05'!B34</f>
        <v/>
      </c>
      <c r="B1086" t="inlineStr">
        <is>
          <t>Med Ball Chest Pass</t>
        </is>
      </c>
      <c r="C1086">
        <f>IF(AND('Month 05'!L42&lt;&gt;"",N('Month 05'!I42)&gt;0),'Month 05'!I42,"")</f>
        <v/>
      </c>
      <c r="D1086">
        <f>IF(C1086="","",IF(N('Month 05'!J42)&gt;0,'Month 05'!J42,1))</f>
        <v/>
      </c>
      <c r="E1086">
        <f>IF(OR(C1086="",D1086=""),"",IF(D1086=1,C1086,ROUND(C1086*(1+D1086/30),1)))</f>
        <v/>
      </c>
    </row>
    <row r="1087">
      <c r="A1087">
        <f>'Month 05'!B34</f>
        <v/>
      </c>
      <c r="B1087" t="inlineStr">
        <is>
          <t>Med Ball Chest Pass</t>
        </is>
      </c>
      <c r="C1087">
        <f>IF(AND('Month 05'!L43&lt;&gt;"",N('Month 05'!I43)&gt;0),'Month 05'!I43,"")</f>
        <v/>
      </c>
      <c r="D1087">
        <f>IF(C1087="","",IF(N('Month 05'!J43)&gt;0,'Month 05'!J43,1))</f>
        <v/>
      </c>
      <c r="E1087">
        <f>IF(OR(C1087="",D1087=""),"",IF(D1087=1,C1087,ROUND(C1087*(1+D1087/30),1)))</f>
        <v/>
      </c>
    </row>
    <row r="1088">
      <c r="A1088">
        <f>'Month 05'!B34</f>
        <v/>
      </c>
      <c r="B1088" t="inlineStr">
        <is>
          <t>Clean &amp; Jerk</t>
        </is>
      </c>
      <c r="C1088">
        <f>IF(AND('Month 05'!L45&lt;&gt;"",N('Month 05'!I45)&gt;0),'Month 05'!I45,"")</f>
        <v/>
      </c>
      <c r="D1088">
        <f>IF(C1088="","",IF(N('Month 05'!J45)&gt;0,'Month 05'!J45,1))</f>
        <v/>
      </c>
      <c r="E1088">
        <f>IF(OR(C1088="",D1088=""),"",IF(D1088=1,C1088,ROUND(C1088*(1+D1088/30),1)))</f>
        <v/>
      </c>
    </row>
    <row r="1089">
      <c r="A1089">
        <f>'Month 05'!B34</f>
        <v/>
      </c>
      <c r="B1089" t="inlineStr">
        <is>
          <t>Clean &amp; Jerk</t>
        </is>
      </c>
      <c r="C1089">
        <f>IF(AND('Month 05'!L46&lt;&gt;"",N('Month 05'!I46)&gt;0),'Month 05'!I46,"")</f>
        <v/>
      </c>
      <c r="D1089">
        <f>IF(C1089="","",IF(N('Month 05'!J46)&gt;0,'Month 05'!J46,1))</f>
        <v/>
      </c>
      <c r="E1089">
        <f>IF(OR(C1089="",D1089=""),"",IF(D1089=1,C1089,ROUND(C1089*(1+D1089/30),1)))</f>
        <v/>
      </c>
    </row>
    <row r="1090">
      <c r="A1090">
        <f>'Month 05'!B34</f>
        <v/>
      </c>
      <c r="B1090" t="inlineStr">
        <is>
          <t>Clean &amp; Jerk</t>
        </is>
      </c>
      <c r="C1090">
        <f>IF(AND('Month 05'!L47&lt;&gt;"",N('Month 05'!I47)&gt;0),'Month 05'!I47,"")</f>
        <v/>
      </c>
      <c r="D1090">
        <f>IF(C1090="","",IF(N('Month 05'!J47)&gt;0,'Month 05'!J47,1))</f>
        <v/>
      </c>
      <c r="E1090">
        <f>IF(OR(C1090="",D1090=""),"",IF(D1090=1,C1090,ROUND(C1090*(1+D1090/30),1)))</f>
        <v/>
      </c>
    </row>
    <row r="1091">
      <c r="A1091">
        <f>'Month 05'!B34</f>
        <v/>
      </c>
      <c r="B1091" t="inlineStr">
        <is>
          <t>Clean &amp; Jerk</t>
        </is>
      </c>
      <c r="C1091">
        <f>IF(AND('Month 05'!L48&lt;&gt;"",N('Month 05'!I48)&gt;0),'Month 05'!I48,"")</f>
        <v/>
      </c>
      <c r="D1091">
        <f>IF(C1091="","",IF(N('Month 05'!J48)&gt;0,'Month 05'!J48,1))</f>
        <v/>
      </c>
      <c r="E1091">
        <f>IF(OR(C1091="",D1091=""),"",IF(D1091=1,C1091,ROUND(C1091*(1+D1091/30),1)))</f>
        <v/>
      </c>
    </row>
    <row r="1092">
      <c r="A1092">
        <f>'Month 05'!B34</f>
        <v/>
      </c>
      <c r="B1092" t="inlineStr">
        <is>
          <t>Squat</t>
        </is>
      </c>
      <c r="C1092">
        <f>IF(AND('Month 05'!L50&lt;&gt;"",N('Month 05'!I50)&gt;0),'Month 05'!I50,"")</f>
        <v/>
      </c>
      <c r="D1092">
        <f>IF(C1092="","",IF(N('Month 05'!J50)&gt;0,'Month 05'!J50,1))</f>
        <v/>
      </c>
      <c r="E1092">
        <f>IF(OR(C1092="",D1092=""),"",IF(D1092=1,C1092,ROUND(C1092*(1+D1092/30),1)))</f>
        <v/>
      </c>
    </row>
    <row r="1093">
      <c r="A1093">
        <f>'Month 05'!B34</f>
        <v/>
      </c>
      <c r="B1093" t="inlineStr">
        <is>
          <t>Squat</t>
        </is>
      </c>
      <c r="C1093">
        <f>IF(AND('Month 05'!L51&lt;&gt;"",N('Month 05'!I51)&gt;0),'Month 05'!I51,"")</f>
        <v/>
      </c>
      <c r="D1093">
        <f>IF(C1093="","",IF(N('Month 05'!J51)&gt;0,'Month 05'!J51,1))</f>
        <v/>
      </c>
      <c r="E1093">
        <f>IF(OR(C1093="",D1093=""),"",IF(D1093=1,C1093,ROUND(C1093*(1+D1093/30),1)))</f>
        <v/>
      </c>
    </row>
    <row r="1094">
      <c r="A1094">
        <f>'Month 05'!B34</f>
        <v/>
      </c>
      <c r="B1094" t="inlineStr">
        <is>
          <t>Squat</t>
        </is>
      </c>
      <c r="C1094">
        <f>IF(AND('Month 05'!L52&lt;&gt;"",N('Month 05'!I52)&gt;0),'Month 05'!I52,"")</f>
        <v/>
      </c>
      <c r="D1094">
        <f>IF(C1094="","",IF(N('Month 05'!J52)&gt;0,'Month 05'!J52,1))</f>
        <v/>
      </c>
      <c r="E1094">
        <f>IF(OR(C1094="",D1094=""),"",IF(D1094=1,C1094,ROUND(C1094*(1+D1094/30),1)))</f>
        <v/>
      </c>
    </row>
    <row r="1095">
      <c r="A1095">
        <f>'Month 05'!B34</f>
        <v/>
      </c>
      <c r="B1095" t="inlineStr">
        <is>
          <t>Overhead Press</t>
        </is>
      </c>
      <c r="C1095">
        <f>IF(AND('Month 05'!L54&lt;&gt;"",N('Month 05'!I54)&gt;0),'Month 05'!I54,"")</f>
        <v/>
      </c>
      <c r="D1095">
        <f>IF(C1095="","",IF(N('Month 05'!J54)&gt;0,'Month 05'!J54,1))</f>
        <v/>
      </c>
      <c r="E1095">
        <f>IF(OR(C1095="",D1095=""),"",IF(D1095=1,C1095,ROUND(C1095*(1+D1095/30),1)))</f>
        <v/>
      </c>
    </row>
    <row r="1096">
      <c r="A1096">
        <f>'Month 05'!B34</f>
        <v/>
      </c>
      <c r="B1096" t="inlineStr">
        <is>
          <t>Overhead Press</t>
        </is>
      </c>
      <c r="C1096">
        <f>IF(AND('Month 05'!L55&lt;&gt;"",N('Month 05'!I55)&gt;0),'Month 05'!I55,"")</f>
        <v/>
      </c>
      <c r="D1096">
        <f>IF(C1096="","",IF(N('Month 05'!J55)&gt;0,'Month 05'!J55,1))</f>
        <v/>
      </c>
      <c r="E1096">
        <f>IF(OR(C1096="",D1096=""),"",IF(D1096=1,C1096,ROUND(C1096*(1+D1096/30),1)))</f>
        <v/>
      </c>
    </row>
    <row r="1097">
      <c r="A1097">
        <f>'Month 05'!B34</f>
        <v/>
      </c>
      <c r="B1097" t="inlineStr">
        <is>
          <t>Overhead Press</t>
        </is>
      </c>
      <c r="C1097">
        <f>IF(AND('Month 05'!L56&lt;&gt;"",N('Month 05'!I56)&gt;0),'Month 05'!I56,"")</f>
        <v/>
      </c>
      <c r="D1097">
        <f>IF(C1097="","",IF(N('Month 05'!J56)&gt;0,'Month 05'!J56,1))</f>
        <v/>
      </c>
      <c r="E1097">
        <f>IF(OR(C1097="",D1097=""),"",IF(D1097=1,C1097,ROUND(C1097*(1+D1097/30),1)))</f>
        <v/>
      </c>
    </row>
    <row r="1098">
      <c r="A1098">
        <f>'Month 05'!B34</f>
        <v/>
      </c>
      <c r="B1098" t="inlineStr">
        <is>
          <t>Deadlift</t>
        </is>
      </c>
      <c r="C1098">
        <f>IF(AND('Month 05'!L58&lt;&gt;"",N('Month 05'!I58)&gt;0),'Month 05'!I58,"")</f>
        <v/>
      </c>
      <c r="D1098">
        <f>IF(C1098="","",IF(N('Month 05'!J58)&gt;0,'Month 05'!J58,1))</f>
        <v/>
      </c>
      <c r="E1098">
        <f>IF(OR(C1098="",D1098=""),"",IF(D1098=1,C1098,ROUND(C1098*(1+D1098/30),1)))</f>
        <v/>
      </c>
    </row>
    <row r="1099">
      <c r="A1099">
        <f>'Month 05'!B34</f>
        <v/>
      </c>
      <c r="B1099" t="inlineStr">
        <is>
          <t>Deadlift</t>
        </is>
      </c>
      <c r="C1099">
        <f>IF(AND('Month 05'!L59&lt;&gt;"",N('Month 05'!I59)&gt;0),'Month 05'!I59,"")</f>
        <v/>
      </c>
      <c r="D1099">
        <f>IF(C1099="","",IF(N('Month 05'!J59)&gt;0,'Month 05'!J59,1))</f>
        <v/>
      </c>
      <c r="E1099">
        <f>IF(OR(C1099="",D1099=""),"",IF(D1099=1,C1099,ROUND(C1099*(1+D1099/30),1)))</f>
        <v/>
      </c>
    </row>
    <row r="1100">
      <c r="A1100">
        <f>'Month 05'!B34</f>
        <v/>
      </c>
      <c r="B1100" t="inlineStr">
        <is>
          <t>Deadlift</t>
        </is>
      </c>
      <c r="C1100">
        <f>IF(AND('Month 05'!L60&lt;&gt;"",N('Month 05'!I60)&gt;0),'Month 05'!I60,"")</f>
        <v/>
      </c>
      <c r="D1100">
        <f>IF(C1100="","",IF(N('Month 05'!J60)&gt;0,'Month 05'!J60,1))</f>
        <v/>
      </c>
      <c r="E1100">
        <f>IF(OR(C1100="",D1100=""),"",IF(D1100=1,C1100,ROUND(C1100*(1+D1100/30),1)))</f>
        <v/>
      </c>
    </row>
    <row r="1101">
      <c r="A1101">
        <f>'Month 05'!B34</f>
        <v/>
      </c>
      <c r="B1101" t="inlineStr">
        <is>
          <t>Chin-up</t>
        </is>
      </c>
      <c r="C1101">
        <f>IF(AND('Month 05'!L62&lt;&gt;"",N('Month 05'!I62)&gt;0),'Month 05'!I62,"")</f>
        <v/>
      </c>
      <c r="D1101">
        <f>IF(C1101="","",IF(N('Month 05'!J62)&gt;0,'Month 05'!J62,1))</f>
        <v/>
      </c>
      <c r="E1101">
        <f>IF(OR(C1101="",D1101=""),"",IF(D1101=1,C1101,ROUND(C1101*(1+D1101/30),1)))</f>
        <v/>
      </c>
    </row>
    <row r="1102">
      <c r="A1102">
        <f>'Month 05'!B34</f>
        <v/>
      </c>
      <c r="B1102" t="inlineStr">
        <is>
          <t>Chin-up</t>
        </is>
      </c>
      <c r="C1102">
        <f>IF(AND('Month 05'!L63&lt;&gt;"",N('Month 05'!I63)&gt;0),'Month 05'!I63,"")</f>
        <v/>
      </c>
      <c r="D1102">
        <f>IF(C1102="","",IF(N('Month 05'!J63)&gt;0,'Month 05'!J63,1))</f>
        <v/>
      </c>
      <c r="E1102">
        <f>IF(OR(C1102="",D1102=""),"",IF(D1102=1,C1102,ROUND(C1102*(1+D1102/30),1)))</f>
        <v/>
      </c>
    </row>
    <row r="1103">
      <c r="A1103">
        <f>'Month 05'!B34</f>
        <v/>
      </c>
      <c r="B1103" t="inlineStr">
        <is>
          <t>Chin-up</t>
        </is>
      </c>
      <c r="C1103">
        <f>IF(AND('Month 05'!L64&lt;&gt;"",N('Month 05'!I64)&gt;0),'Month 05'!I64,"")</f>
        <v/>
      </c>
      <c r="D1103">
        <f>IF(C1103="","",IF(N('Month 05'!J64)&gt;0,'Month 05'!J64,1))</f>
        <v/>
      </c>
      <c r="E1103">
        <f>IF(OR(C1103="",D1103=""),"",IF(D1103=1,C1103,ROUND(C1103*(1+D1103/30),1)))</f>
        <v/>
      </c>
    </row>
    <row r="1104">
      <c r="A1104">
        <f>'Month 05'!B34</f>
        <v/>
      </c>
      <c r="B1104" t="inlineStr">
        <is>
          <t>Plank</t>
        </is>
      </c>
      <c r="C1104">
        <f>IF(AND('Month 05'!L66&lt;&gt;"",N('Month 05'!I66)&gt;0),'Month 05'!I66,"")</f>
        <v/>
      </c>
      <c r="D1104">
        <f>IF(C1104="","",IF(N('Month 05'!J66)&gt;0,'Month 05'!J66,1))</f>
        <v/>
      </c>
      <c r="E1104">
        <f>IF(OR(C1104="",D1104=""),"",IF(D1104=1,C1104,ROUND(C1104*(1+D1104/30),1)))</f>
        <v/>
      </c>
    </row>
    <row r="1105">
      <c r="A1105">
        <f>'Month 05'!B34</f>
        <v/>
      </c>
      <c r="B1105" t="inlineStr">
        <is>
          <t>Plank</t>
        </is>
      </c>
      <c r="C1105">
        <f>IF(AND('Month 05'!L67&lt;&gt;"",N('Month 05'!I67)&gt;0),'Month 05'!I67,"")</f>
        <v/>
      </c>
      <c r="D1105">
        <f>IF(C1105="","",IF(N('Month 05'!J67)&gt;0,'Month 05'!J67,1))</f>
        <v/>
      </c>
      <c r="E1105">
        <f>IF(OR(C1105="",D1105=""),"",IF(D1105=1,C1105,ROUND(C1105*(1+D1105/30),1)))</f>
        <v/>
      </c>
    </row>
    <row r="1106">
      <c r="A1106">
        <f>'Month 05'!B34</f>
        <v/>
      </c>
      <c r="B1106" t="inlineStr">
        <is>
          <t>Plank</t>
        </is>
      </c>
      <c r="C1106">
        <f>IF(AND('Month 05'!L68&lt;&gt;"",N('Month 05'!I68)&gt;0),'Month 05'!I68,"")</f>
        <v/>
      </c>
      <c r="D1106">
        <f>IF(C1106="","",IF(N('Month 05'!J68)&gt;0,'Month 05'!J68,1))</f>
        <v/>
      </c>
      <c r="E1106">
        <f>IF(OR(C1106="",D1106=""),"",IF(D1106=1,C1106,ROUND(C1106*(1+D1106/30),1)))</f>
        <v/>
      </c>
    </row>
    <row r="1107">
      <c r="A1107">
        <f>'Month 05'!B69</f>
        <v/>
      </c>
      <c r="B1107" t="inlineStr">
        <is>
          <t>Plyo Push-up</t>
        </is>
      </c>
      <c r="C1107">
        <f>IF(AND('Month 05'!L71&lt;&gt;"",N('Month 05'!I71)&gt;0),'Month 05'!I71,"")</f>
        <v/>
      </c>
      <c r="D1107">
        <f>IF(C1107="","",IF(N('Month 05'!J71)&gt;0,'Month 05'!J71,1))</f>
        <v/>
      </c>
      <c r="E1107">
        <f>IF(OR(C1107="",D1107=""),"",IF(D1107=1,C1107,ROUND(C1107*(1+D1107/30),1)))</f>
        <v/>
      </c>
    </row>
    <row r="1108">
      <c r="A1108">
        <f>'Month 05'!B69</f>
        <v/>
      </c>
      <c r="B1108" t="inlineStr">
        <is>
          <t>Plyo Push-up</t>
        </is>
      </c>
      <c r="C1108">
        <f>IF(AND('Month 05'!L72&lt;&gt;"",N('Month 05'!I72)&gt;0),'Month 05'!I72,"")</f>
        <v/>
      </c>
      <c r="D1108">
        <f>IF(C1108="","",IF(N('Month 05'!J72)&gt;0,'Month 05'!J72,1))</f>
        <v/>
      </c>
      <c r="E1108">
        <f>IF(OR(C1108="",D1108=""),"",IF(D1108=1,C1108,ROUND(C1108*(1+D1108/30),1)))</f>
        <v/>
      </c>
    </row>
    <row r="1109">
      <c r="A1109">
        <f>'Month 05'!B69</f>
        <v/>
      </c>
      <c r="B1109" t="inlineStr">
        <is>
          <t>Plyo Push-up</t>
        </is>
      </c>
      <c r="C1109">
        <f>IF(AND('Month 05'!L73&lt;&gt;"",N('Month 05'!I73)&gt;0),'Month 05'!I73,"")</f>
        <v/>
      </c>
      <c r="D1109">
        <f>IF(C1109="","",IF(N('Month 05'!J73)&gt;0,'Month 05'!J73,1))</f>
        <v/>
      </c>
      <c r="E1109">
        <f>IF(OR(C1109="",D1109=""),"",IF(D1109=1,C1109,ROUND(C1109*(1+D1109/30),1)))</f>
        <v/>
      </c>
    </row>
    <row r="1110">
      <c r="A1110">
        <f>'Month 05'!B69</f>
        <v/>
      </c>
      <c r="B1110" t="inlineStr">
        <is>
          <t>Plyo Push-up</t>
        </is>
      </c>
      <c r="C1110">
        <f>IF(AND('Month 05'!L74&lt;&gt;"",N('Month 05'!I74)&gt;0),'Month 05'!I74,"")</f>
        <v/>
      </c>
      <c r="D1110">
        <f>IF(C1110="","",IF(N('Month 05'!J74)&gt;0,'Month 05'!J74,1))</f>
        <v/>
      </c>
      <c r="E1110">
        <f>IF(OR(C1110="",D1110=""),"",IF(D1110=1,C1110,ROUND(C1110*(1+D1110/30),1)))</f>
        <v/>
      </c>
    </row>
    <row r="1111">
      <c r="A1111">
        <f>'Month 05'!B69</f>
        <v/>
      </c>
      <c r="B1111" t="inlineStr">
        <is>
          <t>Snatch Balance</t>
        </is>
      </c>
      <c r="C1111">
        <f>IF(AND('Month 05'!L76&lt;&gt;"",N('Month 05'!I76)&gt;0),'Month 05'!I76,"")</f>
        <v/>
      </c>
      <c r="D1111">
        <f>IF(C1111="","",IF(N('Month 05'!J76)&gt;0,'Month 05'!J76,1))</f>
        <v/>
      </c>
      <c r="E1111">
        <f>IF(OR(C1111="",D1111=""),"",IF(D1111=1,C1111,ROUND(C1111*(1+D1111/30),1)))</f>
        <v/>
      </c>
    </row>
    <row r="1112">
      <c r="A1112">
        <f>'Month 05'!B69</f>
        <v/>
      </c>
      <c r="B1112" t="inlineStr">
        <is>
          <t>Snatch Balance</t>
        </is>
      </c>
      <c r="C1112">
        <f>IF(AND('Month 05'!L77&lt;&gt;"",N('Month 05'!I77)&gt;0),'Month 05'!I77,"")</f>
        <v/>
      </c>
      <c r="D1112">
        <f>IF(C1112="","",IF(N('Month 05'!J77)&gt;0,'Month 05'!J77,1))</f>
        <v/>
      </c>
      <c r="E1112">
        <f>IF(OR(C1112="",D1112=""),"",IF(D1112=1,C1112,ROUND(C1112*(1+D1112/30),1)))</f>
        <v/>
      </c>
    </row>
    <row r="1113">
      <c r="A1113">
        <f>'Month 05'!B69</f>
        <v/>
      </c>
      <c r="B1113" t="inlineStr">
        <is>
          <t>Snatch Balance</t>
        </is>
      </c>
      <c r="C1113">
        <f>IF(AND('Month 05'!L78&lt;&gt;"",N('Month 05'!I78)&gt;0),'Month 05'!I78,"")</f>
        <v/>
      </c>
      <c r="D1113">
        <f>IF(C1113="","",IF(N('Month 05'!J78)&gt;0,'Month 05'!J78,1))</f>
        <v/>
      </c>
      <c r="E1113">
        <f>IF(OR(C1113="",D1113=""),"",IF(D1113=1,C1113,ROUND(C1113*(1+D1113/30),1)))</f>
        <v/>
      </c>
    </row>
    <row r="1114">
      <c r="A1114">
        <f>'Month 05'!B69</f>
        <v/>
      </c>
      <c r="B1114" t="inlineStr">
        <is>
          <t>Snatch Balance</t>
        </is>
      </c>
      <c r="C1114">
        <f>IF(AND('Month 05'!L79&lt;&gt;"",N('Month 05'!I79)&gt;0),'Month 05'!I79,"")</f>
        <v/>
      </c>
      <c r="D1114">
        <f>IF(C1114="","",IF(N('Month 05'!J79)&gt;0,'Month 05'!J79,1))</f>
        <v/>
      </c>
      <c r="E1114">
        <f>IF(OR(C1114="",D1114=""),"",IF(D1114=1,C1114,ROUND(C1114*(1+D1114/30),1)))</f>
        <v/>
      </c>
    </row>
    <row r="1115">
      <c r="A1115">
        <f>'Month 05'!B69</f>
        <v/>
      </c>
      <c r="B1115" t="inlineStr">
        <is>
          <t>Pin Squat</t>
        </is>
      </c>
      <c r="C1115">
        <f>IF(AND('Month 05'!L81&lt;&gt;"",N('Month 05'!I81)&gt;0),'Month 05'!I81,"")</f>
        <v/>
      </c>
      <c r="D1115">
        <f>IF(C1115="","",IF(N('Month 05'!J81)&gt;0,'Month 05'!J81,1))</f>
        <v/>
      </c>
      <c r="E1115">
        <f>IF(OR(C1115="",D1115=""),"",IF(D1115=1,C1115,ROUND(C1115*(1+D1115/30),1)))</f>
        <v/>
      </c>
    </row>
    <row r="1116">
      <c r="A1116">
        <f>'Month 05'!B69</f>
        <v/>
      </c>
      <c r="B1116" t="inlineStr">
        <is>
          <t>Pin Squat</t>
        </is>
      </c>
      <c r="C1116">
        <f>IF(AND('Month 05'!L82&lt;&gt;"",N('Month 05'!I82)&gt;0),'Month 05'!I82,"")</f>
        <v/>
      </c>
      <c r="D1116">
        <f>IF(C1116="","",IF(N('Month 05'!J82)&gt;0,'Month 05'!J82,1))</f>
        <v/>
      </c>
      <c r="E1116">
        <f>IF(OR(C1116="",D1116=""),"",IF(D1116=1,C1116,ROUND(C1116*(1+D1116/30),1)))</f>
        <v/>
      </c>
    </row>
    <row r="1117">
      <c r="A1117">
        <f>'Month 05'!B69</f>
        <v/>
      </c>
      <c r="B1117" t="inlineStr">
        <is>
          <t>Pin Squat</t>
        </is>
      </c>
      <c r="C1117">
        <f>IF(AND('Month 05'!L83&lt;&gt;"",N('Month 05'!I83)&gt;0),'Month 05'!I83,"")</f>
        <v/>
      </c>
      <c r="D1117">
        <f>IF(C1117="","",IF(N('Month 05'!J83)&gt;0,'Month 05'!J83,1))</f>
        <v/>
      </c>
      <c r="E1117">
        <f>IF(OR(C1117="",D1117=""),"",IF(D1117=1,C1117,ROUND(C1117*(1+D1117/30),1)))</f>
        <v/>
      </c>
    </row>
    <row r="1118">
      <c r="A1118">
        <f>'Month 05'!B69</f>
        <v/>
      </c>
      <c r="B1118" t="inlineStr">
        <is>
          <t>Floor Press</t>
        </is>
      </c>
      <c r="C1118">
        <f>IF(AND('Month 05'!L85&lt;&gt;"",N('Month 05'!I85)&gt;0),'Month 05'!I85,"")</f>
        <v/>
      </c>
      <c r="D1118">
        <f>IF(C1118="","",IF(N('Month 05'!J85)&gt;0,'Month 05'!J85,1))</f>
        <v/>
      </c>
      <c r="E1118">
        <f>IF(OR(C1118="",D1118=""),"",IF(D1118=1,C1118,ROUND(C1118*(1+D1118/30),1)))</f>
        <v/>
      </c>
    </row>
    <row r="1119">
      <c r="A1119">
        <f>'Month 05'!B69</f>
        <v/>
      </c>
      <c r="B1119" t="inlineStr">
        <is>
          <t>Floor Press</t>
        </is>
      </c>
      <c r="C1119">
        <f>IF(AND('Month 05'!L86&lt;&gt;"",N('Month 05'!I86)&gt;0),'Month 05'!I86,"")</f>
        <v/>
      </c>
      <c r="D1119">
        <f>IF(C1119="","",IF(N('Month 05'!J86)&gt;0,'Month 05'!J86,1))</f>
        <v/>
      </c>
      <c r="E1119">
        <f>IF(OR(C1119="",D1119=""),"",IF(D1119=1,C1119,ROUND(C1119*(1+D1119/30),1)))</f>
        <v/>
      </c>
    </row>
    <row r="1120">
      <c r="A1120">
        <f>'Month 05'!B69</f>
        <v/>
      </c>
      <c r="B1120" t="inlineStr">
        <is>
          <t>Floor Press</t>
        </is>
      </c>
      <c r="C1120">
        <f>IF(AND('Month 05'!L87&lt;&gt;"",N('Month 05'!I87)&gt;0),'Month 05'!I87,"")</f>
        <v/>
      </c>
      <c r="D1120">
        <f>IF(C1120="","",IF(N('Month 05'!J87)&gt;0,'Month 05'!J87,1))</f>
        <v/>
      </c>
      <c r="E1120">
        <f>IF(OR(C1120="",D1120=""),"",IF(D1120=1,C1120,ROUND(C1120*(1+D1120/30),1)))</f>
        <v/>
      </c>
    </row>
    <row r="1121">
      <c r="A1121">
        <f>'Month 05'!B69</f>
        <v/>
      </c>
      <c r="B1121" t="inlineStr">
        <is>
          <t>Romanian Deadlift</t>
        </is>
      </c>
      <c r="C1121">
        <f>IF(AND('Month 05'!L89&lt;&gt;"",N('Month 05'!I89)&gt;0),'Month 05'!I89,"")</f>
        <v/>
      </c>
      <c r="D1121">
        <f>IF(C1121="","",IF(N('Month 05'!J89)&gt;0,'Month 05'!J89,1))</f>
        <v/>
      </c>
      <c r="E1121">
        <f>IF(OR(C1121="",D1121=""),"",IF(D1121=1,C1121,ROUND(C1121*(1+D1121/30),1)))</f>
        <v/>
      </c>
    </row>
    <row r="1122">
      <c r="A1122">
        <f>'Month 05'!B69</f>
        <v/>
      </c>
      <c r="B1122" t="inlineStr">
        <is>
          <t>Romanian Deadlift</t>
        </is>
      </c>
      <c r="C1122">
        <f>IF(AND('Month 05'!L90&lt;&gt;"",N('Month 05'!I90)&gt;0),'Month 05'!I90,"")</f>
        <v/>
      </c>
      <c r="D1122">
        <f>IF(C1122="","",IF(N('Month 05'!J90)&gt;0,'Month 05'!J90,1))</f>
        <v/>
      </c>
      <c r="E1122">
        <f>IF(OR(C1122="",D1122=""),"",IF(D1122=1,C1122,ROUND(C1122*(1+D1122/30),1)))</f>
        <v/>
      </c>
    </row>
    <row r="1123">
      <c r="A1123">
        <f>'Month 05'!B69</f>
        <v/>
      </c>
      <c r="B1123" t="inlineStr">
        <is>
          <t>Romanian Deadlift</t>
        </is>
      </c>
      <c r="C1123">
        <f>IF(AND('Month 05'!L91&lt;&gt;"",N('Month 05'!I91)&gt;0),'Month 05'!I91,"")</f>
        <v/>
      </c>
      <c r="D1123">
        <f>IF(C1123="","",IF(N('Month 05'!J91)&gt;0,'Month 05'!J91,1))</f>
        <v/>
      </c>
      <c r="E1123">
        <f>IF(OR(C1123="",D1123=""),"",IF(D1123=1,C1123,ROUND(C1123*(1+D1123/30),1)))</f>
        <v/>
      </c>
    </row>
    <row r="1124">
      <c r="A1124">
        <f>'Month 05'!B69</f>
        <v/>
      </c>
      <c r="B1124" t="inlineStr">
        <is>
          <t>Incline Dumbbell Press</t>
        </is>
      </c>
      <c r="C1124">
        <f>IF(AND('Month 05'!L93&lt;&gt;"",N('Month 05'!I93)&gt;0),'Month 05'!I93,"")</f>
        <v/>
      </c>
      <c r="D1124">
        <f>IF(C1124="","",IF(N('Month 05'!J93)&gt;0,'Month 05'!J93,1))</f>
        <v/>
      </c>
      <c r="E1124">
        <f>IF(OR(C1124="",D1124=""),"",IF(D1124=1,C1124,ROUND(C1124*(1+D1124/30),1)))</f>
        <v/>
      </c>
    </row>
    <row r="1125">
      <c r="A1125">
        <f>'Month 05'!B69</f>
        <v/>
      </c>
      <c r="B1125" t="inlineStr">
        <is>
          <t>Incline Dumbbell Press</t>
        </is>
      </c>
      <c r="C1125">
        <f>IF(AND('Month 05'!L94&lt;&gt;"",N('Month 05'!I94)&gt;0),'Month 05'!I94,"")</f>
        <v/>
      </c>
      <c r="D1125">
        <f>IF(C1125="","",IF(N('Month 05'!J94)&gt;0,'Month 05'!J94,1))</f>
        <v/>
      </c>
      <c r="E1125">
        <f>IF(OR(C1125="",D1125=""),"",IF(D1125=1,C1125,ROUND(C1125*(1+D1125/30),1)))</f>
        <v/>
      </c>
    </row>
    <row r="1126">
      <c r="A1126">
        <f>'Month 05'!B69</f>
        <v/>
      </c>
      <c r="B1126" t="inlineStr">
        <is>
          <t>Incline Dumbbell Press</t>
        </is>
      </c>
      <c r="C1126">
        <f>IF(AND('Month 05'!L95&lt;&gt;"",N('Month 05'!I95)&gt;0),'Month 05'!I95,"")</f>
        <v/>
      </c>
      <c r="D1126">
        <f>IF(C1126="","",IF(N('Month 05'!J95)&gt;0,'Month 05'!J95,1))</f>
        <v/>
      </c>
      <c r="E1126">
        <f>IF(OR(C1126="",D1126=""),"",IF(D1126=1,C1126,ROUND(C1126*(1+D1126/30),1)))</f>
        <v/>
      </c>
    </row>
    <row r="1127">
      <c r="A1127">
        <f>'Month 05'!B69</f>
        <v/>
      </c>
      <c r="B1127" t="inlineStr">
        <is>
          <t>Triceps Pushdown</t>
        </is>
      </c>
      <c r="C1127">
        <f>IF(AND('Month 05'!L97&lt;&gt;"",N('Month 05'!I97)&gt;0),'Month 05'!I97,"")</f>
        <v/>
      </c>
      <c r="D1127">
        <f>IF(C1127="","",IF(N('Month 05'!J97)&gt;0,'Month 05'!J97,1))</f>
        <v/>
      </c>
      <c r="E1127">
        <f>IF(OR(C1127="",D1127=""),"",IF(D1127=1,C1127,ROUND(C1127*(1+D1127/30),1)))</f>
        <v/>
      </c>
    </row>
    <row r="1128">
      <c r="A1128">
        <f>'Month 05'!B69</f>
        <v/>
      </c>
      <c r="B1128" t="inlineStr">
        <is>
          <t>Triceps Pushdown</t>
        </is>
      </c>
      <c r="C1128">
        <f>IF(AND('Month 05'!L98&lt;&gt;"",N('Month 05'!I98)&gt;0),'Month 05'!I98,"")</f>
        <v/>
      </c>
      <c r="D1128">
        <f>IF(C1128="","",IF(N('Month 05'!J98)&gt;0,'Month 05'!J98,1))</f>
        <v/>
      </c>
      <c r="E1128">
        <f>IF(OR(C1128="",D1128=""),"",IF(D1128=1,C1128,ROUND(C1128*(1+D1128/30),1)))</f>
        <v/>
      </c>
    </row>
    <row r="1129">
      <c r="A1129">
        <f>'Month 05'!B69</f>
        <v/>
      </c>
      <c r="B1129" t="inlineStr">
        <is>
          <t>Triceps Pushdown</t>
        </is>
      </c>
      <c r="C1129">
        <f>IF(AND('Month 05'!L99&lt;&gt;"",N('Month 05'!I99)&gt;0),'Month 05'!I99,"")</f>
        <v/>
      </c>
      <c r="D1129">
        <f>IF(C1129="","",IF(N('Month 05'!J99)&gt;0,'Month 05'!J99,1))</f>
        <v/>
      </c>
      <c r="E1129">
        <f>IF(OR(C1129="",D1129=""),"",IF(D1129=1,C1129,ROUND(C1129*(1+D1129/30),1)))</f>
        <v/>
      </c>
    </row>
    <row r="1130">
      <c r="A1130">
        <f>'Month 05'!B102</f>
        <v/>
      </c>
      <c r="B1130" t="inlineStr">
        <is>
          <t>Box Jump</t>
        </is>
      </c>
      <c r="C1130">
        <f>IF(AND('Month 05'!L104&lt;&gt;"",N('Month 05'!I104)&gt;0),'Month 05'!I104,"")</f>
        <v/>
      </c>
      <c r="D1130">
        <f>IF(C1130="","",IF(N('Month 05'!J104)&gt;0,'Month 05'!J104,1))</f>
        <v/>
      </c>
      <c r="E1130">
        <f>IF(OR(C1130="",D1130=""),"",IF(D1130=1,C1130,ROUND(C1130*(1+D1130/30),1)))</f>
        <v/>
      </c>
    </row>
    <row r="1131">
      <c r="A1131">
        <f>'Month 05'!B102</f>
        <v/>
      </c>
      <c r="B1131" t="inlineStr">
        <is>
          <t>Box Jump</t>
        </is>
      </c>
      <c r="C1131">
        <f>IF(AND('Month 05'!L105&lt;&gt;"",N('Month 05'!I105)&gt;0),'Month 05'!I105,"")</f>
        <v/>
      </c>
      <c r="D1131">
        <f>IF(C1131="","",IF(N('Month 05'!J105)&gt;0,'Month 05'!J105,1))</f>
        <v/>
      </c>
      <c r="E1131">
        <f>IF(OR(C1131="",D1131=""),"",IF(D1131=1,C1131,ROUND(C1131*(1+D1131/30),1)))</f>
        <v/>
      </c>
    </row>
    <row r="1132">
      <c r="A1132">
        <f>'Month 05'!B102</f>
        <v/>
      </c>
      <c r="B1132" t="inlineStr">
        <is>
          <t>Box Jump</t>
        </is>
      </c>
      <c r="C1132">
        <f>IF(AND('Month 05'!L106&lt;&gt;"",N('Month 05'!I106)&gt;0),'Month 05'!I106,"")</f>
        <v/>
      </c>
      <c r="D1132">
        <f>IF(C1132="","",IF(N('Month 05'!J106)&gt;0,'Month 05'!J106,1))</f>
        <v/>
      </c>
      <c r="E1132">
        <f>IF(OR(C1132="",D1132=""),"",IF(D1132=1,C1132,ROUND(C1132*(1+D1132/30),1)))</f>
        <v/>
      </c>
    </row>
    <row r="1133">
      <c r="A1133">
        <f>'Month 05'!B102</f>
        <v/>
      </c>
      <c r="B1133" t="inlineStr">
        <is>
          <t>Box Jump</t>
        </is>
      </c>
      <c r="C1133">
        <f>IF(AND('Month 05'!L107&lt;&gt;"",N('Month 05'!I107)&gt;0),'Month 05'!I107,"")</f>
        <v/>
      </c>
      <c r="D1133">
        <f>IF(C1133="","",IF(N('Month 05'!J107)&gt;0,'Month 05'!J107,1))</f>
        <v/>
      </c>
      <c r="E1133">
        <f>IF(OR(C1133="",D1133=""),"",IF(D1133=1,C1133,ROUND(C1133*(1+D1133/30),1)))</f>
        <v/>
      </c>
    </row>
    <row r="1134">
      <c r="A1134">
        <f>'Month 05'!B102</f>
        <v/>
      </c>
      <c r="B1134" t="inlineStr">
        <is>
          <t>Snatch</t>
        </is>
      </c>
      <c r="C1134">
        <f>IF(AND('Month 05'!L109&lt;&gt;"",N('Month 05'!I109)&gt;0),'Month 05'!I109,"")</f>
        <v/>
      </c>
      <c r="D1134">
        <f>IF(C1134="","",IF(N('Month 05'!J109)&gt;0,'Month 05'!J109,1))</f>
        <v/>
      </c>
      <c r="E1134">
        <f>IF(OR(C1134="",D1134=""),"",IF(D1134=1,C1134,ROUND(C1134*(1+D1134/30),1)))</f>
        <v/>
      </c>
    </row>
    <row r="1135">
      <c r="A1135">
        <f>'Month 05'!B102</f>
        <v/>
      </c>
      <c r="B1135" t="inlineStr">
        <is>
          <t>Snatch</t>
        </is>
      </c>
      <c r="C1135">
        <f>IF(AND('Month 05'!L110&lt;&gt;"",N('Month 05'!I110)&gt;0),'Month 05'!I110,"")</f>
        <v/>
      </c>
      <c r="D1135">
        <f>IF(C1135="","",IF(N('Month 05'!J110)&gt;0,'Month 05'!J110,1))</f>
        <v/>
      </c>
      <c r="E1135">
        <f>IF(OR(C1135="",D1135=""),"",IF(D1135=1,C1135,ROUND(C1135*(1+D1135/30),1)))</f>
        <v/>
      </c>
    </row>
    <row r="1136">
      <c r="A1136">
        <f>'Month 05'!B102</f>
        <v/>
      </c>
      <c r="B1136" t="inlineStr">
        <is>
          <t>Snatch</t>
        </is>
      </c>
      <c r="C1136">
        <f>IF(AND('Month 05'!L111&lt;&gt;"",N('Month 05'!I111)&gt;0),'Month 05'!I111,"")</f>
        <v/>
      </c>
      <c r="D1136">
        <f>IF(C1136="","",IF(N('Month 05'!J111)&gt;0,'Month 05'!J111,1))</f>
        <v/>
      </c>
      <c r="E1136">
        <f>IF(OR(C1136="",D1136=""),"",IF(D1136=1,C1136,ROUND(C1136*(1+D1136/30),1)))</f>
        <v/>
      </c>
    </row>
    <row r="1137">
      <c r="A1137">
        <f>'Month 05'!B102</f>
        <v/>
      </c>
      <c r="B1137" t="inlineStr">
        <is>
          <t>Snatch</t>
        </is>
      </c>
      <c r="C1137">
        <f>IF(AND('Month 05'!L112&lt;&gt;"",N('Month 05'!I112)&gt;0),'Month 05'!I112,"")</f>
        <v/>
      </c>
      <c r="D1137">
        <f>IF(C1137="","",IF(N('Month 05'!J112)&gt;0,'Month 05'!J112,1))</f>
        <v/>
      </c>
      <c r="E1137">
        <f>IF(OR(C1137="",D1137=""),"",IF(D1137=1,C1137,ROUND(C1137*(1+D1137/30),1)))</f>
        <v/>
      </c>
    </row>
    <row r="1138">
      <c r="A1138">
        <f>'Month 05'!B102</f>
        <v/>
      </c>
      <c r="B1138" t="inlineStr">
        <is>
          <t>Snatch</t>
        </is>
      </c>
      <c r="C1138">
        <f>IF(AND('Month 05'!L113&lt;&gt;"",N('Month 05'!I113)&gt;0),'Month 05'!I113,"")</f>
        <v/>
      </c>
      <c r="D1138">
        <f>IF(C1138="","",IF(N('Month 05'!J113)&gt;0,'Month 05'!J113,1))</f>
        <v/>
      </c>
      <c r="E1138">
        <f>IF(OR(C1138="",D1138=""),"",IF(D1138=1,C1138,ROUND(C1138*(1+D1138/30),1)))</f>
        <v/>
      </c>
    </row>
    <row r="1139">
      <c r="A1139">
        <f>'Month 05'!B102</f>
        <v/>
      </c>
      <c r="B1139" t="inlineStr">
        <is>
          <t>Squat</t>
        </is>
      </c>
      <c r="C1139">
        <f>IF(AND('Month 05'!L115&lt;&gt;"",N('Month 05'!I115)&gt;0),'Month 05'!I115,"")</f>
        <v/>
      </c>
      <c r="D1139">
        <f>IF(C1139="","",IF(N('Month 05'!J115)&gt;0,'Month 05'!J115,1))</f>
        <v/>
      </c>
      <c r="E1139">
        <f>IF(OR(C1139="",D1139=""),"",IF(D1139=1,C1139,ROUND(C1139*(1+D1139/30),1)))</f>
        <v/>
      </c>
    </row>
    <row r="1140">
      <c r="A1140">
        <f>'Month 05'!B102</f>
        <v/>
      </c>
      <c r="B1140" t="inlineStr">
        <is>
          <t>Squat</t>
        </is>
      </c>
      <c r="C1140">
        <f>IF(AND('Month 05'!L116&lt;&gt;"",N('Month 05'!I116)&gt;0),'Month 05'!I116,"")</f>
        <v/>
      </c>
      <c r="D1140">
        <f>IF(C1140="","",IF(N('Month 05'!J116)&gt;0,'Month 05'!J116,1))</f>
        <v/>
      </c>
      <c r="E1140">
        <f>IF(OR(C1140="",D1140=""),"",IF(D1140=1,C1140,ROUND(C1140*(1+D1140/30),1)))</f>
        <v/>
      </c>
    </row>
    <row r="1141">
      <c r="A1141">
        <f>'Month 05'!B102</f>
        <v/>
      </c>
      <c r="B1141" t="inlineStr">
        <is>
          <t>Squat</t>
        </is>
      </c>
      <c r="C1141">
        <f>IF(AND('Month 05'!L117&lt;&gt;"",N('Month 05'!I117)&gt;0),'Month 05'!I117,"")</f>
        <v/>
      </c>
      <c r="D1141">
        <f>IF(C1141="","",IF(N('Month 05'!J117)&gt;0,'Month 05'!J117,1))</f>
        <v/>
      </c>
      <c r="E1141">
        <f>IF(OR(C1141="",D1141=""),"",IF(D1141=1,C1141,ROUND(C1141*(1+D1141/30),1)))</f>
        <v/>
      </c>
    </row>
    <row r="1142">
      <c r="A1142">
        <f>'Month 05'!B102</f>
        <v/>
      </c>
      <c r="B1142" t="inlineStr">
        <is>
          <t>Squat</t>
        </is>
      </c>
      <c r="C1142">
        <f>IF(AND('Month 05'!L118&lt;&gt;"",N('Month 05'!I118)&gt;0),'Month 05'!I118,"")</f>
        <v/>
      </c>
      <c r="D1142">
        <f>IF(C1142="","",IF(N('Month 05'!J118)&gt;0,'Month 05'!J118,1))</f>
        <v/>
      </c>
      <c r="E1142">
        <f>IF(OR(C1142="",D1142=""),"",IF(D1142=1,C1142,ROUND(C1142*(1+D1142/30),1)))</f>
        <v/>
      </c>
    </row>
    <row r="1143">
      <c r="A1143">
        <f>'Month 05'!B102</f>
        <v/>
      </c>
      <c r="B1143" t="inlineStr">
        <is>
          <t>Bench Press</t>
        </is>
      </c>
      <c r="C1143">
        <f>IF(AND('Month 05'!L120&lt;&gt;"",N('Month 05'!I120)&gt;0),'Month 05'!I120,"")</f>
        <v/>
      </c>
      <c r="D1143">
        <f>IF(C1143="","",IF(N('Month 05'!J120)&gt;0,'Month 05'!J120,1))</f>
        <v/>
      </c>
      <c r="E1143">
        <f>IF(OR(C1143="",D1143=""),"",IF(D1143=1,C1143,ROUND(C1143*(1+D1143/30),1)))</f>
        <v/>
      </c>
    </row>
    <row r="1144">
      <c r="A1144">
        <f>'Month 05'!B102</f>
        <v/>
      </c>
      <c r="B1144" t="inlineStr">
        <is>
          <t>Bench Press</t>
        </is>
      </c>
      <c r="C1144">
        <f>IF(AND('Month 05'!L121&lt;&gt;"",N('Month 05'!I121)&gt;0),'Month 05'!I121,"")</f>
        <v/>
      </c>
      <c r="D1144">
        <f>IF(C1144="","",IF(N('Month 05'!J121)&gt;0,'Month 05'!J121,1))</f>
        <v/>
      </c>
      <c r="E1144">
        <f>IF(OR(C1144="",D1144=""),"",IF(D1144=1,C1144,ROUND(C1144*(1+D1144/30),1)))</f>
        <v/>
      </c>
    </row>
    <row r="1145">
      <c r="A1145">
        <f>'Month 05'!B102</f>
        <v/>
      </c>
      <c r="B1145" t="inlineStr">
        <is>
          <t>Bench Press</t>
        </is>
      </c>
      <c r="C1145">
        <f>IF(AND('Month 05'!L122&lt;&gt;"",N('Month 05'!I122)&gt;0),'Month 05'!I122,"")</f>
        <v/>
      </c>
      <c r="D1145">
        <f>IF(C1145="","",IF(N('Month 05'!J122)&gt;0,'Month 05'!J122,1))</f>
        <v/>
      </c>
      <c r="E1145">
        <f>IF(OR(C1145="",D1145=""),"",IF(D1145=1,C1145,ROUND(C1145*(1+D1145/30),1)))</f>
        <v/>
      </c>
    </row>
    <row r="1146">
      <c r="A1146">
        <f>'Month 05'!B102</f>
        <v/>
      </c>
      <c r="B1146" t="inlineStr">
        <is>
          <t>Bench Press</t>
        </is>
      </c>
      <c r="C1146">
        <f>IF(AND('Month 05'!L123&lt;&gt;"",N('Month 05'!I123)&gt;0),'Month 05'!I123,"")</f>
        <v/>
      </c>
      <c r="D1146">
        <f>IF(C1146="","",IF(N('Month 05'!J123)&gt;0,'Month 05'!J123,1))</f>
        <v/>
      </c>
      <c r="E1146">
        <f>IF(OR(C1146="",D1146=""),"",IF(D1146=1,C1146,ROUND(C1146*(1+D1146/30),1)))</f>
        <v/>
      </c>
    </row>
    <row r="1147">
      <c r="A1147">
        <f>'Month 05'!B102</f>
        <v/>
      </c>
      <c r="B1147" t="inlineStr">
        <is>
          <t>Barbell Row</t>
        </is>
      </c>
      <c r="C1147">
        <f>IF(AND('Month 05'!L125&lt;&gt;"",N('Month 05'!I125)&gt;0),'Month 05'!I125,"")</f>
        <v/>
      </c>
      <c r="D1147">
        <f>IF(C1147="","",IF(N('Month 05'!J125)&gt;0,'Month 05'!J125,1))</f>
        <v/>
      </c>
      <c r="E1147">
        <f>IF(OR(C1147="",D1147=""),"",IF(D1147=1,C1147,ROUND(C1147*(1+D1147/30),1)))</f>
        <v/>
      </c>
    </row>
    <row r="1148">
      <c r="A1148">
        <f>'Month 05'!B102</f>
        <v/>
      </c>
      <c r="B1148" t="inlineStr">
        <is>
          <t>Barbell Row</t>
        </is>
      </c>
      <c r="C1148">
        <f>IF(AND('Month 05'!L126&lt;&gt;"",N('Month 05'!I126)&gt;0),'Month 05'!I126,"")</f>
        <v/>
      </c>
      <c r="D1148">
        <f>IF(C1148="","",IF(N('Month 05'!J126)&gt;0,'Month 05'!J126,1))</f>
        <v/>
      </c>
      <c r="E1148">
        <f>IF(OR(C1148="",D1148=""),"",IF(D1148=1,C1148,ROUND(C1148*(1+D1148/30),1)))</f>
        <v/>
      </c>
    </row>
    <row r="1149">
      <c r="A1149">
        <f>'Month 05'!B102</f>
        <v/>
      </c>
      <c r="B1149" t="inlineStr">
        <is>
          <t>Barbell Row</t>
        </is>
      </c>
      <c r="C1149">
        <f>IF(AND('Month 05'!L127&lt;&gt;"",N('Month 05'!I127)&gt;0),'Month 05'!I127,"")</f>
        <v/>
      </c>
      <c r="D1149">
        <f>IF(C1149="","",IF(N('Month 05'!J127)&gt;0,'Month 05'!J127,1))</f>
        <v/>
      </c>
      <c r="E1149">
        <f>IF(OR(C1149="",D1149=""),"",IF(D1149=1,C1149,ROUND(C1149*(1+D1149/30),1)))</f>
        <v/>
      </c>
    </row>
    <row r="1150">
      <c r="A1150">
        <f>'Month 05'!B102</f>
        <v/>
      </c>
      <c r="B1150" t="inlineStr">
        <is>
          <t>Face Pull</t>
        </is>
      </c>
      <c r="C1150">
        <f>IF(AND('Month 05'!L129&lt;&gt;"",N('Month 05'!I129)&gt;0),'Month 05'!I129,"")</f>
        <v/>
      </c>
      <c r="D1150">
        <f>IF(C1150="","",IF(N('Month 05'!J129)&gt;0,'Month 05'!J129,1))</f>
        <v/>
      </c>
      <c r="E1150">
        <f>IF(OR(C1150="",D1150=""),"",IF(D1150=1,C1150,ROUND(C1150*(1+D1150/30),1)))</f>
        <v/>
      </c>
    </row>
    <row r="1151">
      <c r="A1151">
        <f>'Month 05'!B102</f>
        <v/>
      </c>
      <c r="B1151" t="inlineStr">
        <is>
          <t>Face Pull</t>
        </is>
      </c>
      <c r="C1151">
        <f>IF(AND('Month 05'!L130&lt;&gt;"",N('Month 05'!I130)&gt;0),'Month 05'!I130,"")</f>
        <v/>
      </c>
      <c r="D1151">
        <f>IF(C1151="","",IF(N('Month 05'!J130)&gt;0,'Month 05'!J130,1))</f>
        <v/>
      </c>
      <c r="E1151">
        <f>IF(OR(C1151="",D1151=""),"",IF(D1151=1,C1151,ROUND(C1151*(1+D1151/30),1)))</f>
        <v/>
      </c>
    </row>
    <row r="1152">
      <c r="A1152">
        <f>'Month 05'!B102</f>
        <v/>
      </c>
      <c r="B1152" t="inlineStr">
        <is>
          <t>Face Pull</t>
        </is>
      </c>
      <c r="C1152">
        <f>IF(AND('Month 05'!L131&lt;&gt;"",N('Month 05'!I131)&gt;0),'Month 05'!I131,"")</f>
        <v/>
      </c>
      <c r="D1152">
        <f>IF(C1152="","",IF(N('Month 05'!J131)&gt;0,'Month 05'!J131,1))</f>
        <v/>
      </c>
      <c r="E1152">
        <f>IF(OR(C1152="",D1152=""),"",IF(D1152=1,C1152,ROUND(C1152*(1+D1152/30),1)))</f>
        <v/>
      </c>
    </row>
    <row r="1153">
      <c r="A1153">
        <f>'Month 05'!B132</f>
        <v/>
      </c>
      <c r="B1153" t="inlineStr">
        <is>
          <t>Broad Jump</t>
        </is>
      </c>
      <c r="C1153">
        <f>IF(AND('Month 05'!L134&lt;&gt;"",N('Month 05'!I134)&gt;0),'Month 05'!I134,"")</f>
        <v/>
      </c>
      <c r="D1153">
        <f>IF(C1153="","",IF(N('Month 05'!J134)&gt;0,'Month 05'!J134,1))</f>
        <v/>
      </c>
      <c r="E1153">
        <f>IF(OR(C1153="",D1153=""),"",IF(D1153=1,C1153,ROUND(C1153*(1+D1153/30),1)))</f>
        <v/>
      </c>
    </row>
    <row r="1154">
      <c r="A1154">
        <f>'Month 05'!B132</f>
        <v/>
      </c>
      <c r="B1154" t="inlineStr">
        <is>
          <t>Broad Jump</t>
        </is>
      </c>
      <c r="C1154">
        <f>IF(AND('Month 05'!L135&lt;&gt;"",N('Month 05'!I135)&gt;0),'Month 05'!I135,"")</f>
        <v/>
      </c>
      <c r="D1154">
        <f>IF(C1154="","",IF(N('Month 05'!J135)&gt;0,'Month 05'!J135,1))</f>
        <v/>
      </c>
      <c r="E1154">
        <f>IF(OR(C1154="",D1154=""),"",IF(D1154=1,C1154,ROUND(C1154*(1+D1154/30),1)))</f>
        <v/>
      </c>
    </row>
    <row r="1155">
      <c r="A1155">
        <f>'Month 05'!B132</f>
        <v/>
      </c>
      <c r="B1155" t="inlineStr">
        <is>
          <t>Broad Jump</t>
        </is>
      </c>
      <c r="C1155">
        <f>IF(AND('Month 05'!L136&lt;&gt;"",N('Month 05'!I136)&gt;0),'Month 05'!I136,"")</f>
        <v/>
      </c>
      <c r="D1155">
        <f>IF(C1155="","",IF(N('Month 05'!J136)&gt;0,'Month 05'!J136,1))</f>
        <v/>
      </c>
      <c r="E1155">
        <f>IF(OR(C1155="",D1155=""),"",IF(D1155=1,C1155,ROUND(C1155*(1+D1155/30),1)))</f>
        <v/>
      </c>
    </row>
    <row r="1156">
      <c r="A1156">
        <f>'Month 05'!B132</f>
        <v/>
      </c>
      <c r="B1156" t="inlineStr">
        <is>
          <t>Broad Jump</t>
        </is>
      </c>
      <c r="C1156">
        <f>IF(AND('Month 05'!L137&lt;&gt;"",N('Month 05'!I137)&gt;0),'Month 05'!I137,"")</f>
        <v/>
      </c>
      <c r="D1156">
        <f>IF(C1156="","",IF(N('Month 05'!J137)&gt;0,'Month 05'!J137,1))</f>
        <v/>
      </c>
      <c r="E1156">
        <f>IF(OR(C1156="",D1156=""),"",IF(D1156=1,C1156,ROUND(C1156*(1+D1156/30),1)))</f>
        <v/>
      </c>
    </row>
    <row r="1157">
      <c r="A1157">
        <f>'Month 05'!B132</f>
        <v/>
      </c>
      <c r="B1157" t="inlineStr">
        <is>
          <t>Med Ball Chest Pass</t>
        </is>
      </c>
      <c r="C1157">
        <f>IF(AND('Month 05'!L139&lt;&gt;"",N('Month 05'!I139)&gt;0),'Month 05'!I139,"")</f>
        <v/>
      </c>
      <c r="D1157">
        <f>IF(C1157="","",IF(N('Month 05'!J139)&gt;0,'Month 05'!J139,1))</f>
        <v/>
      </c>
      <c r="E1157">
        <f>IF(OR(C1157="",D1157=""),"",IF(D1157=1,C1157,ROUND(C1157*(1+D1157/30),1)))</f>
        <v/>
      </c>
    </row>
    <row r="1158">
      <c r="A1158">
        <f>'Month 05'!B132</f>
        <v/>
      </c>
      <c r="B1158" t="inlineStr">
        <is>
          <t>Med Ball Chest Pass</t>
        </is>
      </c>
      <c r="C1158">
        <f>IF(AND('Month 05'!L140&lt;&gt;"",N('Month 05'!I140)&gt;0),'Month 05'!I140,"")</f>
        <v/>
      </c>
      <c r="D1158">
        <f>IF(C1158="","",IF(N('Month 05'!J140)&gt;0,'Month 05'!J140,1))</f>
        <v/>
      </c>
      <c r="E1158">
        <f>IF(OR(C1158="",D1158=""),"",IF(D1158=1,C1158,ROUND(C1158*(1+D1158/30),1)))</f>
        <v/>
      </c>
    </row>
    <row r="1159">
      <c r="A1159">
        <f>'Month 05'!B132</f>
        <v/>
      </c>
      <c r="B1159" t="inlineStr">
        <is>
          <t>Med Ball Chest Pass</t>
        </is>
      </c>
      <c r="C1159">
        <f>IF(AND('Month 05'!L141&lt;&gt;"",N('Month 05'!I141)&gt;0),'Month 05'!I141,"")</f>
        <v/>
      </c>
      <c r="D1159">
        <f>IF(C1159="","",IF(N('Month 05'!J141)&gt;0,'Month 05'!J141,1))</f>
        <v/>
      </c>
      <c r="E1159">
        <f>IF(OR(C1159="",D1159=""),"",IF(D1159=1,C1159,ROUND(C1159*(1+D1159/30),1)))</f>
        <v/>
      </c>
    </row>
    <row r="1160">
      <c r="A1160">
        <f>'Month 05'!B132</f>
        <v/>
      </c>
      <c r="B1160" t="inlineStr">
        <is>
          <t>Clean &amp; Jerk</t>
        </is>
      </c>
      <c r="C1160">
        <f>IF(AND('Month 05'!L143&lt;&gt;"",N('Month 05'!I143)&gt;0),'Month 05'!I143,"")</f>
        <v/>
      </c>
      <c r="D1160">
        <f>IF(C1160="","",IF(N('Month 05'!J143)&gt;0,'Month 05'!J143,1))</f>
        <v/>
      </c>
      <c r="E1160">
        <f>IF(OR(C1160="",D1160=""),"",IF(D1160=1,C1160,ROUND(C1160*(1+D1160/30),1)))</f>
        <v/>
      </c>
    </row>
    <row r="1161">
      <c r="A1161">
        <f>'Month 05'!B132</f>
        <v/>
      </c>
      <c r="B1161" t="inlineStr">
        <is>
          <t>Clean &amp; Jerk</t>
        </is>
      </c>
      <c r="C1161">
        <f>IF(AND('Month 05'!L144&lt;&gt;"",N('Month 05'!I144)&gt;0),'Month 05'!I144,"")</f>
        <v/>
      </c>
      <c r="D1161">
        <f>IF(C1161="","",IF(N('Month 05'!J144)&gt;0,'Month 05'!J144,1))</f>
        <v/>
      </c>
      <c r="E1161">
        <f>IF(OR(C1161="",D1161=""),"",IF(D1161=1,C1161,ROUND(C1161*(1+D1161/30),1)))</f>
        <v/>
      </c>
    </row>
    <row r="1162">
      <c r="A1162">
        <f>'Month 05'!B132</f>
        <v/>
      </c>
      <c r="B1162" t="inlineStr">
        <is>
          <t>Clean &amp; Jerk</t>
        </is>
      </c>
      <c r="C1162">
        <f>IF(AND('Month 05'!L145&lt;&gt;"",N('Month 05'!I145)&gt;0),'Month 05'!I145,"")</f>
        <v/>
      </c>
      <c r="D1162">
        <f>IF(C1162="","",IF(N('Month 05'!J145)&gt;0,'Month 05'!J145,1))</f>
        <v/>
      </c>
      <c r="E1162">
        <f>IF(OR(C1162="",D1162=""),"",IF(D1162=1,C1162,ROUND(C1162*(1+D1162/30),1)))</f>
        <v/>
      </c>
    </row>
    <row r="1163">
      <c r="A1163">
        <f>'Month 05'!B132</f>
        <v/>
      </c>
      <c r="B1163" t="inlineStr">
        <is>
          <t>Clean &amp; Jerk</t>
        </is>
      </c>
      <c r="C1163">
        <f>IF(AND('Month 05'!L146&lt;&gt;"",N('Month 05'!I146)&gt;0),'Month 05'!I146,"")</f>
        <v/>
      </c>
      <c r="D1163">
        <f>IF(C1163="","",IF(N('Month 05'!J146)&gt;0,'Month 05'!J146,1))</f>
        <v/>
      </c>
      <c r="E1163">
        <f>IF(OR(C1163="",D1163=""),"",IF(D1163=1,C1163,ROUND(C1163*(1+D1163/30),1)))</f>
        <v/>
      </c>
    </row>
    <row r="1164">
      <c r="A1164">
        <f>'Month 05'!B132</f>
        <v/>
      </c>
      <c r="B1164" t="inlineStr">
        <is>
          <t>Clean &amp; Jerk</t>
        </is>
      </c>
      <c r="C1164">
        <f>IF(AND('Month 05'!L147&lt;&gt;"",N('Month 05'!I147)&gt;0),'Month 05'!I147,"")</f>
        <v/>
      </c>
      <c r="D1164">
        <f>IF(C1164="","",IF(N('Month 05'!J147)&gt;0,'Month 05'!J147,1))</f>
        <v/>
      </c>
      <c r="E1164">
        <f>IF(OR(C1164="",D1164=""),"",IF(D1164=1,C1164,ROUND(C1164*(1+D1164/30),1)))</f>
        <v/>
      </c>
    </row>
    <row r="1165">
      <c r="A1165">
        <f>'Month 05'!B132</f>
        <v/>
      </c>
      <c r="B1165" t="inlineStr">
        <is>
          <t>Squat</t>
        </is>
      </c>
      <c r="C1165">
        <f>IF(AND('Month 05'!L149&lt;&gt;"",N('Month 05'!I149)&gt;0),'Month 05'!I149,"")</f>
        <v/>
      </c>
      <c r="D1165">
        <f>IF(C1165="","",IF(N('Month 05'!J149)&gt;0,'Month 05'!J149,1))</f>
        <v/>
      </c>
      <c r="E1165">
        <f>IF(OR(C1165="",D1165=""),"",IF(D1165=1,C1165,ROUND(C1165*(1+D1165/30),1)))</f>
        <v/>
      </c>
    </row>
    <row r="1166">
      <c r="A1166">
        <f>'Month 05'!B132</f>
        <v/>
      </c>
      <c r="B1166" t="inlineStr">
        <is>
          <t>Squat</t>
        </is>
      </c>
      <c r="C1166">
        <f>IF(AND('Month 05'!L150&lt;&gt;"",N('Month 05'!I150)&gt;0),'Month 05'!I150,"")</f>
        <v/>
      </c>
      <c r="D1166">
        <f>IF(C1166="","",IF(N('Month 05'!J150)&gt;0,'Month 05'!J150,1))</f>
        <v/>
      </c>
      <c r="E1166">
        <f>IF(OR(C1166="",D1166=""),"",IF(D1166=1,C1166,ROUND(C1166*(1+D1166/30),1)))</f>
        <v/>
      </c>
    </row>
    <row r="1167">
      <c r="A1167">
        <f>'Month 05'!B132</f>
        <v/>
      </c>
      <c r="B1167" t="inlineStr">
        <is>
          <t>Squat</t>
        </is>
      </c>
      <c r="C1167">
        <f>IF(AND('Month 05'!L151&lt;&gt;"",N('Month 05'!I151)&gt;0),'Month 05'!I151,"")</f>
        <v/>
      </c>
      <c r="D1167">
        <f>IF(C1167="","",IF(N('Month 05'!J151)&gt;0,'Month 05'!J151,1))</f>
        <v/>
      </c>
      <c r="E1167">
        <f>IF(OR(C1167="",D1167=""),"",IF(D1167=1,C1167,ROUND(C1167*(1+D1167/30),1)))</f>
        <v/>
      </c>
    </row>
    <row r="1168">
      <c r="A1168">
        <f>'Month 05'!B132</f>
        <v/>
      </c>
      <c r="B1168" t="inlineStr">
        <is>
          <t>Overhead Press</t>
        </is>
      </c>
      <c r="C1168">
        <f>IF(AND('Month 05'!L153&lt;&gt;"",N('Month 05'!I153)&gt;0),'Month 05'!I153,"")</f>
        <v/>
      </c>
      <c r="D1168">
        <f>IF(C1168="","",IF(N('Month 05'!J153)&gt;0,'Month 05'!J153,1))</f>
        <v/>
      </c>
      <c r="E1168">
        <f>IF(OR(C1168="",D1168=""),"",IF(D1168=1,C1168,ROUND(C1168*(1+D1168/30),1)))</f>
        <v/>
      </c>
    </row>
    <row r="1169">
      <c r="A1169">
        <f>'Month 05'!B132</f>
        <v/>
      </c>
      <c r="B1169" t="inlineStr">
        <is>
          <t>Overhead Press</t>
        </is>
      </c>
      <c r="C1169">
        <f>IF(AND('Month 05'!L154&lt;&gt;"",N('Month 05'!I154)&gt;0),'Month 05'!I154,"")</f>
        <v/>
      </c>
      <c r="D1169">
        <f>IF(C1169="","",IF(N('Month 05'!J154)&gt;0,'Month 05'!J154,1))</f>
        <v/>
      </c>
      <c r="E1169">
        <f>IF(OR(C1169="",D1169=""),"",IF(D1169=1,C1169,ROUND(C1169*(1+D1169/30),1)))</f>
        <v/>
      </c>
    </row>
    <row r="1170">
      <c r="A1170">
        <f>'Month 05'!B132</f>
        <v/>
      </c>
      <c r="B1170" t="inlineStr">
        <is>
          <t>Overhead Press</t>
        </is>
      </c>
      <c r="C1170">
        <f>IF(AND('Month 05'!L155&lt;&gt;"",N('Month 05'!I155)&gt;0),'Month 05'!I155,"")</f>
        <v/>
      </c>
      <c r="D1170">
        <f>IF(C1170="","",IF(N('Month 05'!J155)&gt;0,'Month 05'!J155,1))</f>
        <v/>
      </c>
      <c r="E1170">
        <f>IF(OR(C1170="",D1170=""),"",IF(D1170=1,C1170,ROUND(C1170*(1+D1170/30),1)))</f>
        <v/>
      </c>
    </row>
    <row r="1171">
      <c r="A1171">
        <f>'Month 05'!B132</f>
        <v/>
      </c>
      <c r="B1171" t="inlineStr">
        <is>
          <t>Deadlift</t>
        </is>
      </c>
      <c r="C1171">
        <f>IF(AND('Month 05'!L157&lt;&gt;"",N('Month 05'!I157)&gt;0),'Month 05'!I157,"")</f>
        <v/>
      </c>
      <c r="D1171">
        <f>IF(C1171="","",IF(N('Month 05'!J157)&gt;0,'Month 05'!J157,1))</f>
        <v/>
      </c>
      <c r="E1171">
        <f>IF(OR(C1171="",D1171=""),"",IF(D1171=1,C1171,ROUND(C1171*(1+D1171/30),1)))</f>
        <v/>
      </c>
    </row>
    <row r="1172">
      <c r="A1172">
        <f>'Month 05'!B132</f>
        <v/>
      </c>
      <c r="B1172" t="inlineStr">
        <is>
          <t>Deadlift</t>
        </is>
      </c>
      <c r="C1172">
        <f>IF(AND('Month 05'!L158&lt;&gt;"",N('Month 05'!I158)&gt;0),'Month 05'!I158,"")</f>
        <v/>
      </c>
      <c r="D1172">
        <f>IF(C1172="","",IF(N('Month 05'!J158)&gt;0,'Month 05'!J158,1))</f>
        <v/>
      </c>
      <c r="E1172">
        <f>IF(OR(C1172="",D1172=""),"",IF(D1172=1,C1172,ROUND(C1172*(1+D1172/30),1)))</f>
        <v/>
      </c>
    </row>
    <row r="1173">
      <c r="A1173">
        <f>'Month 05'!B132</f>
        <v/>
      </c>
      <c r="B1173" t="inlineStr">
        <is>
          <t>Deadlift</t>
        </is>
      </c>
      <c r="C1173">
        <f>IF(AND('Month 05'!L159&lt;&gt;"",N('Month 05'!I159)&gt;0),'Month 05'!I159,"")</f>
        <v/>
      </c>
      <c r="D1173">
        <f>IF(C1173="","",IF(N('Month 05'!J159)&gt;0,'Month 05'!J159,1))</f>
        <v/>
      </c>
      <c r="E1173">
        <f>IF(OR(C1173="",D1173=""),"",IF(D1173=1,C1173,ROUND(C1173*(1+D1173/30),1)))</f>
        <v/>
      </c>
    </row>
    <row r="1174">
      <c r="A1174">
        <f>'Month 05'!B132</f>
        <v/>
      </c>
      <c r="B1174" t="inlineStr">
        <is>
          <t>Chin-up</t>
        </is>
      </c>
      <c r="C1174">
        <f>IF(AND('Month 05'!L161&lt;&gt;"",N('Month 05'!I161)&gt;0),'Month 05'!I161,"")</f>
        <v/>
      </c>
      <c r="D1174">
        <f>IF(C1174="","",IF(N('Month 05'!J161)&gt;0,'Month 05'!J161,1))</f>
        <v/>
      </c>
      <c r="E1174">
        <f>IF(OR(C1174="",D1174=""),"",IF(D1174=1,C1174,ROUND(C1174*(1+D1174/30),1)))</f>
        <v/>
      </c>
    </row>
    <row r="1175">
      <c r="A1175">
        <f>'Month 05'!B132</f>
        <v/>
      </c>
      <c r="B1175" t="inlineStr">
        <is>
          <t>Chin-up</t>
        </is>
      </c>
      <c r="C1175">
        <f>IF(AND('Month 05'!L162&lt;&gt;"",N('Month 05'!I162)&gt;0),'Month 05'!I162,"")</f>
        <v/>
      </c>
      <c r="D1175">
        <f>IF(C1175="","",IF(N('Month 05'!J162)&gt;0,'Month 05'!J162,1))</f>
        <v/>
      </c>
      <c r="E1175">
        <f>IF(OR(C1175="",D1175=""),"",IF(D1175=1,C1175,ROUND(C1175*(1+D1175/30),1)))</f>
        <v/>
      </c>
    </row>
    <row r="1176">
      <c r="A1176">
        <f>'Month 05'!B132</f>
        <v/>
      </c>
      <c r="B1176" t="inlineStr">
        <is>
          <t>Chin-up</t>
        </is>
      </c>
      <c r="C1176">
        <f>IF(AND('Month 05'!L163&lt;&gt;"",N('Month 05'!I163)&gt;0),'Month 05'!I163,"")</f>
        <v/>
      </c>
      <c r="D1176">
        <f>IF(C1176="","",IF(N('Month 05'!J163)&gt;0,'Month 05'!J163,1))</f>
        <v/>
      </c>
      <c r="E1176">
        <f>IF(OR(C1176="",D1176=""),"",IF(D1176=1,C1176,ROUND(C1176*(1+D1176/30),1)))</f>
        <v/>
      </c>
    </row>
    <row r="1177">
      <c r="A1177">
        <f>'Month 05'!B132</f>
        <v/>
      </c>
      <c r="B1177" t="inlineStr">
        <is>
          <t>Plank</t>
        </is>
      </c>
      <c r="C1177">
        <f>IF(AND('Month 05'!L165&lt;&gt;"",N('Month 05'!I165)&gt;0),'Month 05'!I165,"")</f>
        <v/>
      </c>
      <c r="D1177">
        <f>IF(C1177="","",IF(N('Month 05'!J165)&gt;0,'Month 05'!J165,1))</f>
        <v/>
      </c>
      <c r="E1177">
        <f>IF(OR(C1177="",D1177=""),"",IF(D1177=1,C1177,ROUND(C1177*(1+D1177/30),1)))</f>
        <v/>
      </c>
    </row>
    <row r="1178">
      <c r="A1178">
        <f>'Month 05'!B132</f>
        <v/>
      </c>
      <c r="B1178" t="inlineStr">
        <is>
          <t>Plank</t>
        </is>
      </c>
      <c r="C1178">
        <f>IF(AND('Month 05'!L166&lt;&gt;"",N('Month 05'!I166)&gt;0),'Month 05'!I166,"")</f>
        <v/>
      </c>
      <c r="D1178">
        <f>IF(C1178="","",IF(N('Month 05'!J166)&gt;0,'Month 05'!J166,1))</f>
        <v/>
      </c>
      <c r="E1178">
        <f>IF(OR(C1178="",D1178=""),"",IF(D1178=1,C1178,ROUND(C1178*(1+D1178/30),1)))</f>
        <v/>
      </c>
    </row>
    <row r="1179">
      <c r="A1179">
        <f>'Month 05'!B132</f>
        <v/>
      </c>
      <c r="B1179" t="inlineStr">
        <is>
          <t>Plank</t>
        </is>
      </c>
      <c r="C1179">
        <f>IF(AND('Month 05'!L167&lt;&gt;"",N('Month 05'!I167)&gt;0),'Month 05'!I167,"")</f>
        <v/>
      </c>
      <c r="D1179">
        <f>IF(C1179="","",IF(N('Month 05'!J167)&gt;0,'Month 05'!J167,1))</f>
        <v/>
      </c>
      <c r="E1179">
        <f>IF(OR(C1179="",D1179=""),"",IF(D1179=1,C1179,ROUND(C1179*(1+D1179/30),1)))</f>
        <v/>
      </c>
    </row>
    <row r="1180">
      <c r="A1180">
        <f>'Month 05'!B168</f>
        <v/>
      </c>
      <c r="B1180" t="inlineStr">
        <is>
          <t>Plyo Push-up</t>
        </is>
      </c>
      <c r="C1180">
        <f>IF(AND('Month 05'!L170&lt;&gt;"",N('Month 05'!I170)&gt;0),'Month 05'!I170,"")</f>
        <v/>
      </c>
      <c r="D1180">
        <f>IF(C1180="","",IF(N('Month 05'!J170)&gt;0,'Month 05'!J170,1))</f>
        <v/>
      </c>
      <c r="E1180">
        <f>IF(OR(C1180="",D1180=""),"",IF(D1180=1,C1180,ROUND(C1180*(1+D1180/30),1)))</f>
        <v/>
      </c>
    </row>
    <row r="1181">
      <c r="A1181">
        <f>'Month 05'!B168</f>
        <v/>
      </c>
      <c r="B1181" t="inlineStr">
        <is>
          <t>Plyo Push-up</t>
        </is>
      </c>
      <c r="C1181">
        <f>IF(AND('Month 05'!L171&lt;&gt;"",N('Month 05'!I171)&gt;0),'Month 05'!I171,"")</f>
        <v/>
      </c>
      <c r="D1181">
        <f>IF(C1181="","",IF(N('Month 05'!J171)&gt;0,'Month 05'!J171,1))</f>
        <v/>
      </c>
      <c r="E1181">
        <f>IF(OR(C1181="",D1181=""),"",IF(D1181=1,C1181,ROUND(C1181*(1+D1181/30),1)))</f>
        <v/>
      </c>
    </row>
    <row r="1182">
      <c r="A1182">
        <f>'Month 05'!B168</f>
        <v/>
      </c>
      <c r="B1182" t="inlineStr">
        <is>
          <t>Plyo Push-up</t>
        </is>
      </c>
      <c r="C1182">
        <f>IF(AND('Month 05'!L172&lt;&gt;"",N('Month 05'!I172)&gt;0),'Month 05'!I172,"")</f>
        <v/>
      </c>
      <c r="D1182">
        <f>IF(C1182="","",IF(N('Month 05'!J172)&gt;0,'Month 05'!J172,1))</f>
        <v/>
      </c>
      <c r="E1182">
        <f>IF(OR(C1182="",D1182=""),"",IF(D1182=1,C1182,ROUND(C1182*(1+D1182/30),1)))</f>
        <v/>
      </c>
    </row>
    <row r="1183">
      <c r="A1183">
        <f>'Month 05'!B168</f>
        <v/>
      </c>
      <c r="B1183" t="inlineStr">
        <is>
          <t>Plyo Push-up</t>
        </is>
      </c>
      <c r="C1183">
        <f>IF(AND('Month 05'!L173&lt;&gt;"",N('Month 05'!I173)&gt;0),'Month 05'!I173,"")</f>
        <v/>
      </c>
      <c r="D1183">
        <f>IF(C1183="","",IF(N('Month 05'!J173)&gt;0,'Month 05'!J173,1))</f>
        <v/>
      </c>
      <c r="E1183">
        <f>IF(OR(C1183="",D1183=""),"",IF(D1183=1,C1183,ROUND(C1183*(1+D1183/30),1)))</f>
        <v/>
      </c>
    </row>
    <row r="1184">
      <c r="A1184">
        <f>'Month 05'!B168</f>
        <v/>
      </c>
      <c r="B1184" t="inlineStr">
        <is>
          <t>Snatch Balance</t>
        </is>
      </c>
      <c r="C1184">
        <f>IF(AND('Month 05'!L175&lt;&gt;"",N('Month 05'!I175)&gt;0),'Month 05'!I175,"")</f>
        <v/>
      </c>
      <c r="D1184">
        <f>IF(C1184="","",IF(N('Month 05'!J175)&gt;0,'Month 05'!J175,1))</f>
        <v/>
      </c>
      <c r="E1184">
        <f>IF(OR(C1184="",D1184=""),"",IF(D1184=1,C1184,ROUND(C1184*(1+D1184/30),1)))</f>
        <v/>
      </c>
    </row>
    <row r="1185">
      <c r="A1185">
        <f>'Month 05'!B168</f>
        <v/>
      </c>
      <c r="B1185" t="inlineStr">
        <is>
          <t>Snatch Balance</t>
        </is>
      </c>
      <c r="C1185">
        <f>IF(AND('Month 05'!L176&lt;&gt;"",N('Month 05'!I176)&gt;0),'Month 05'!I176,"")</f>
        <v/>
      </c>
      <c r="D1185">
        <f>IF(C1185="","",IF(N('Month 05'!J176)&gt;0,'Month 05'!J176,1))</f>
        <v/>
      </c>
      <c r="E1185">
        <f>IF(OR(C1185="",D1185=""),"",IF(D1185=1,C1185,ROUND(C1185*(1+D1185/30),1)))</f>
        <v/>
      </c>
    </row>
    <row r="1186">
      <c r="A1186">
        <f>'Month 05'!B168</f>
        <v/>
      </c>
      <c r="B1186" t="inlineStr">
        <is>
          <t>Snatch Balance</t>
        </is>
      </c>
      <c r="C1186">
        <f>IF(AND('Month 05'!L177&lt;&gt;"",N('Month 05'!I177)&gt;0),'Month 05'!I177,"")</f>
        <v/>
      </c>
      <c r="D1186">
        <f>IF(C1186="","",IF(N('Month 05'!J177)&gt;0,'Month 05'!J177,1))</f>
        <v/>
      </c>
      <c r="E1186">
        <f>IF(OR(C1186="",D1186=""),"",IF(D1186=1,C1186,ROUND(C1186*(1+D1186/30),1)))</f>
        <v/>
      </c>
    </row>
    <row r="1187">
      <c r="A1187">
        <f>'Month 05'!B168</f>
        <v/>
      </c>
      <c r="B1187" t="inlineStr">
        <is>
          <t>Snatch Balance</t>
        </is>
      </c>
      <c r="C1187">
        <f>IF(AND('Month 05'!L178&lt;&gt;"",N('Month 05'!I178)&gt;0),'Month 05'!I178,"")</f>
        <v/>
      </c>
      <c r="D1187">
        <f>IF(C1187="","",IF(N('Month 05'!J178)&gt;0,'Month 05'!J178,1))</f>
        <v/>
      </c>
      <c r="E1187">
        <f>IF(OR(C1187="",D1187=""),"",IF(D1187=1,C1187,ROUND(C1187*(1+D1187/30),1)))</f>
        <v/>
      </c>
    </row>
    <row r="1188">
      <c r="A1188">
        <f>'Month 05'!B168</f>
        <v/>
      </c>
      <c r="B1188" t="inlineStr">
        <is>
          <t>Pin Squat</t>
        </is>
      </c>
      <c r="C1188">
        <f>IF(AND('Month 05'!L180&lt;&gt;"",N('Month 05'!I180)&gt;0),'Month 05'!I180,"")</f>
        <v/>
      </c>
      <c r="D1188">
        <f>IF(C1188="","",IF(N('Month 05'!J180)&gt;0,'Month 05'!J180,1))</f>
        <v/>
      </c>
      <c r="E1188">
        <f>IF(OR(C1188="",D1188=""),"",IF(D1188=1,C1188,ROUND(C1188*(1+D1188/30),1)))</f>
        <v/>
      </c>
    </row>
    <row r="1189">
      <c r="A1189">
        <f>'Month 05'!B168</f>
        <v/>
      </c>
      <c r="B1189" t="inlineStr">
        <is>
          <t>Pin Squat</t>
        </is>
      </c>
      <c r="C1189">
        <f>IF(AND('Month 05'!L181&lt;&gt;"",N('Month 05'!I181)&gt;0),'Month 05'!I181,"")</f>
        <v/>
      </c>
      <c r="D1189">
        <f>IF(C1189="","",IF(N('Month 05'!J181)&gt;0,'Month 05'!J181,1))</f>
        <v/>
      </c>
      <c r="E1189">
        <f>IF(OR(C1189="",D1189=""),"",IF(D1189=1,C1189,ROUND(C1189*(1+D1189/30),1)))</f>
        <v/>
      </c>
    </row>
    <row r="1190">
      <c r="A1190">
        <f>'Month 05'!B168</f>
        <v/>
      </c>
      <c r="B1190" t="inlineStr">
        <is>
          <t>Pin Squat</t>
        </is>
      </c>
      <c r="C1190">
        <f>IF(AND('Month 05'!L182&lt;&gt;"",N('Month 05'!I182)&gt;0),'Month 05'!I182,"")</f>
        <v/>
      </c>
      <c r="D1190">
        <f>IF(C1190="","",IF(N('Month 05'!J182)&gt;0,'Month 05'!J182,1))</f>
        <v/>
      </c>
      <c r="E1190">
        <f>IF(OR(C1190="",D1190=""),"",IF(D1190=1,C1190,ROUND(C1190*(1+D1190/30),1)))</f>
        <v/>
      </c>
    </row>
    <row r="1191">
      <c r="A1191">
        <f>'Month 05'!B168</f>
        <v/>
      </c>
      <c r="B1191" t="inlineStr">
        <is>
          <t>Floor Press</t>
        </is>
      </c>
      <c r="C1191">
        <f>IF(AND('Month 05'!L184&lt;&gt;"",N('Month 05'!I184)&gt;0),'Month 05'!I184,"")</f>
        <v/>
      </c>
      <c r="D1191">
        <f>IF(C1191="","",IF(N('Month 05'!J184)&gt;0,'Month 05'!J184,1))</f>
        <v/>
      </c>
      <c r="E1191">
        <f>IF(OR(C1191="",D1191=""),"",IF(D1191=1,C1191,ROUND(C1191*(1+D1191/30),1)))</f>
        <v/>
      </c>
    </row>
    <row r="1192">
      <c r="A1192">
        <f>'Month 05'!B168</f>
        <v/>
      </c>
      <c r="B1192" t="inlineStr">
        <is>
          <t>Floor Press</t>
        </is>
      </c>
      <c r="C1192">
        <f>IF(AND('Month 05'!L185&lt;&gt;"",N('Month 05'!I185)&gt;0),'Month 05'!I185,"")</f>
        <v/>
      </c>
      <c r="D1192">
        <f>IF(C1192="","",IF(N('Month 05'!J185)&gt;0,'Month 05'!J185,1))</f>
        <v/>
      </c>
      <c r="E1192">
        <f>IF(OR(C1192="",D1192=""),"",IF(D1192=1,C1192,ROUND(C1192*(1+D1192/30),1)))</f>
        <v/>
      </c>
    </row>
    <row r="1193">
      <c r="A1193">
        <f>'Month 05'!B168</f>
        <v/>
      </c>
      <c r="B1193" t="inlineStr">
        <is>
          <t>Floor Press</t>
        </is>
      </c>
      <c r="C1193">
        <f>IF(AND('Month 05'!L186&lt;&gt;"",N('Month 05'!I186)&gt;0),'Month 05'!I186,"")</f>
        <v/>
      </c>
      <c r="D1193">
        <f>IF(C1193="","",IF(N('Month 05'!J186)&gt;0,'Month 05'!J186,1))</f>
        <v/>
      </c>
      <c r="E1193">
        <f>IF(OR(C1193="",D1193=""),"",IF(D1193=1,C1193,ROUND(C1193*(1+D1193/30),1)))</f>
        <v/>
      </c>
    </row>
    <row r="1194">
      <c r="A1194">
        <f>'Month 05'!B168</f>
        <v/>
      </c>
      <c r="B1194" t="inlineStr">
        <is>
          <t>Romanian Deadlift</t>
        </is>
      </c>
      <c r="C1194">
        <f>IF(AND('Month 05'!L188&lt;&gt;"",N('Month 05'!I188)&gt;0),'Month 05'!I188,"")</f>
        <v/>
      </c>
      <c r="D1194">
        <f>IF(C1194="","",IF(N('Month 05'!J188)&gt;0,'Month 05'!J188,1))</f>
        <v/>
      </c>
      <c r="E1194">
        <f>IF(OR(C1194="",D1194=""),"",IF(D1194=1,C1194,ROUND(C1194*(1+D1194/30),1)))</f>
        <v/>
      </c>
    </row>
    <row r="1195">
      <c r="A1195">
        <f>'Month 05'!B168</f>
        <v/>
      </c>
      <c r="B1195" t="inlineStr">
        <is>
          <t>Romanian Deadlift</t>
        </is>
      </c>
      <c r="C1195">
        <f>IF(AND('Month 05'!L189&lt;&gt;"",N('Month 05'!I189)&gt;0),'Month 05'!I189,"")</f>
        <v/>
      </c>
      <c r="D1195">
        <f>IF(C1195="","",IF(N('Month 05'!J189)&gt;0,'Month 05'!J189,1))</f>
        <v/>
      </c>
      <c r="E1195">
        <f>IF(OR(C1195="",D1195=""),"",IF(D1195=1,C1195,ROUND(C1195*(1+D1195/30),1)))</f>
        <v/>
      </c>
    </row>
    <row r="1196">
      <c r="A1196">
        <f>'Month 05'!B168</f>
        <v/>
      </c>
      <c r="B1196" t="inlineStr">
        <is>
          <t>Romanian Deadlift</t>
        </is>
      </c>
      <c r="C1196">
        <f>IF(AND('Month 05'!L190&lt;&gt;"",N('Month 05'!I190)&gt;0),'Month 05'!I190,"")</f>
        <v/>
      </c>
      <c r="D1196">
        <f>IF(C1196="","",IF(N('Month 05'!J190)&gt;0,'Month 05'!J190,1))</f>
        <v/>
      </c>
      <c r="E1196">
        <f>IF(OR(C1196="",D1196=""),"",IF(D1196=1,C1196,ROUND(C1196*(1+D1196/30),1)))</f>
        <v/>
      </c>
    </row>
    <row r="1197">
      <c r="A1197">
        <f>'Month 05'!B168</f>
        <v/>
      </c>
      <c r="B1197" t="inlineStr">
        <is>
          <t>Incline Dumbbell Press</t>
        </is>
      </c>
      <c r="C1197">
        <f>IF(AND('Month 05'!L192&lt;&gt;"",N('Month 05'!I192)&gt;0),'Month 05'!I192,"")</f>
        <v/>
      </c>
      <c r="D1197">
        <f>IF(C1197="","",IF(N('Month 05'!J192)&gt;0,'Month 05'!J192,1))</f>
        <v/>
      </c>
      <c r="E1197">
        <f>IF(OR(C1197="",D1197=""),"",IF(D1197=1,C1197,ROUND(C1197*(1+D1197/30),1)))</f>
        <v/>
      </c>
    </row>
    <row r="1198">
      <c r="A1198">
        <f>'Month 05'!B168</f>
        <v/>
      </c>
      <c r="B1198" t="inlineStr">
        <is>
          <t>Incline Dumbbell Press</t>
        </is>
      </c>
      <c r="C1198">
        <f>IF(AND('Month 05'!L193&lt;&gt;"",N('Month 05'!I193)&gt;0),'Month 05'!I193,"")</f>
        <v/>
      </c>
      <c r="D1198">
        <f>IF(C1198="","",IF(N('Month 05'!J193)&gt;0,'Month 05'!J193,1))</f>
        <v/>
      </c>
      <c r="E1198">
        <f>IF(OR(C1198="",D1198=""),"",IF(D1198=1,C1198,ROUND(C1198*(1+D1198/30),1)))</f>
        <v/>
      </c>
    </row>
    <row r="1199">
      <c r="A1199">
        <f>'Month 05'!B168</f>
        <v/>
      </c>
      <c r="B1199" t="inlineStr">
        <is>
          <t>Incline Dumbbell Press</t>
        </is>
      </c>
      <c r="C1199">
        <f>IF(AND('Month 05'!L194&lt;&gt;"",N('Month 05'!I194)&gt;0),'Month 05'!I194,"")</f>
        <v/>
      </c>
      <c r="D1199">
        <f>IF(C1199="","",IF(N('Month 05'!J194)&gt;0,'Month 05'!J194,1))</f>
        <v/>
      </c>
      <c r="E1199">
        <f>IF(OR(C1199="",D1199=""),"",IF(D1199=1,C1199,ROUND(C1199*(1+D1199/30),1)))</f>
        <v/>
      </c>
    </row>
    <row r="1200">
      <c r="A1200">
        <f>'Month 05'!B168</f>
        <v/>
      </c>
      <c r="B1200" t="inlineStr">
        <is>
          <t>Triceps Pushdown</t>
        </is>
      </c>
      <c r="C1200">
        <f>IF(AND('Month 05'!L196&lt;&gt;"",N('Month 05'!I196)&gt;0),'Month 05'!I196,"")</f>
        <v/>
      </c>
      <c r="D1200">
        <f>IF(C1200="","",IF(N('Month 05'!J196)&gt;0,'Month 05'!J196,1))</f>
        <v/>
      </c>
      <c r="E1200">
        <f>IF(OR(C1200="",D1200=""),"",IF(D1200=1,C1200,ROUND(C1200*(1+D1200/30),1)))</f>
        <v/>
      </c>
    </row>
    <row r="1201">
      <c r="A1201">
        <f>'Month 05'!B168</f>
        <v/>
      </c>
      <c r="B1201" t="inlineStr">
        <is>
          <t>Triceps Pushdown</t>
        </is>
      </c>
      <c r="C1201">
        <f>IF(AND('Month 05'!L197&lt;&gt;"",N('Month 05'!I197)&gt;0),'Month 05'!I197,"")</f>
        <v/>
      </c>
      <c r="D1201">
        <f>IF(C1201="","",IF(N('Month 05'!J197)&gt;0,'Month 05'!J197,1))</f>
        <v/>
      </c>
      <c r="E1201">
        <f>IF(OR(C1201="",D1201=""),"",IF(D1201=1,C1201,ROUND(C1201*(1+D1201/30),1)))</f>
        <v/>
      </c>
    </row>
    <row r="1202">
      <c r="A1202">
        <f>'Month 05'!B168</f>
        <v/>
      </c>
      <c r="B1202" t="inlineStr">
        <is>
          <t>Triceps Pushdown</t>
        </is>
      </c>
      <c r="C1202">
        <f>IF(AND('Month 05'!L198&lt;&gt;"",N('Month 05'!I198)&gt;0),'Month 05'!I198,"")</f>
        <v/>
      </c>
      <c r="D1202">
        <f>IF(C1202="","",IF(N('Month 05'!J198)&gt;0,'Month 05'!J198,1))</f>
        <v/>
      </c>
      <c r="E1202">
        <f>IF(OR(C1202="",D1202=""),"",IF(D1202=1,C1202,ROUND(C1202*(1+D1202/30),1)))</f>
        <v/>
      </c>
    </row>
    <row r="1203">
      <c r="A1203">
        <f>'Month 05'!B201</f>
        <v/>
      </c>
      <c r="B1203" t="inlineStr">
        <is>
          <t>Box Jump</t>
        </is>
      </c>
      <c r="C1203">
        <f>IF(AND('Month 05'!L203&lt;&gt;"",N('Month 05'!I203)&gt;0),'Month 05'!I203,"")</f>
        <v/>
      </c>
      <c r="D1203">
        <f>IF(C1203="","",IF(N('Month 05'!J203)&gt;0,'Month 05'!J203,1))</f>
        <v/>
      </c>
      <c r="E1203">
        <f>IF(OR(C1203="",D1203=""),"",IF(D1203=1,C1203,ROUND(C1203*(1+D1203/30),1)))</f>
        <v/>
      </c>
    </row>
    <row r="1204">
      <c r="A1204">
        <f>'Month 05'!B201</f>
        <v/>
      </c>
      <c r="B1204" t="inlineStr">
        <is>
          <t>Box Jump</t>
        </is>
      </c>
      <c r="C1204">
        <f>IF(AND('Month 05'!L204&lt;&gt;"",N('Month 05'!I204)&gt;0),'Month 05'!I204,"")</f>
        <v/>
      </c>
      <c r="D1204">
        <f>IF(C1204="","",IF(N('Month 05'!J204)&gt;0,'Month 05'!J204,1))</f>
        <v/>
      </c>
      <c r="E1204">
        <f>IF(OR(C1204="",D1204=""),"",IF(D1204=1,C1204,ROUND(C1204*(1+D1204/30),1)))</f>
        <v/>
      </c>
    </row>
    <row r="1205">
      <c r="A1205">
        <f>'Month 05'!B201</f>
        <v/>
      </c>
      <c r="B1205" t="inlineStr">
        <is>
          <t>Box Jump</t>
        </is>
      </c>
      <c r="C1205">
        <f>IF(AND('Month 05'!L205&lt;&gt;"",N('Month 05'!I205)&gt;0),'Month 05'!I205,"")</f>
        <v/>
      </c>
      <c r="D1205">
        <f>IF(C1205="","",IF(N('Month 05'!J205)&gt;0,'Month 05'!J205,1))</f>
        <v/>
      </c>
      <c r="E1205">
        <f>IF(OR(C1205="",D1205=""),"",IF(D1205=1,C1205,ROUND(C1205*(1+D1205/30),1)))</f>
        <v/>
      </c>
    </row>
    <row r="1206">
      <c r="A1206">
        <f>'Month 05'!B201</f>
        <v/>
      </c>
      <c r="B1206" t="inlineStr">
        <is>
          <t>Box Jump</t>
        </is>
      </c>
      <c r="C1206">
        <f>IF(AND('Month 05'!L206&lt;&gt;"",N('Month 05'!I206)&gt;0),'Month 05'!I206,"")</f>
        <v/>
      </c>
      <c r="D1206">
        <f>IF(C1206="","",IF(N('Month 05'!J206)&gt;0,'Month 05'!J206,1))</f>
        <v/>
      </c>
      <c r="E1206">
        <f>IF(OR(C1206="",D1206=""),"",IF(D1206=1,C1206,ROUND(C1206*(1+D1206/30),1)))</f>
        <v/>
      </c>
    </row>
    <row r="1207">
      <c r="A1207">
        <f>'Month 05'!B201</f>
        <v/>
      </c>
      <c r="B1207" t="inlineStr">
        <is>
          <t>Snatch</t>
        </is>
      </c>
      <c r="C1207">
        <f>IF(AND('Month 05'!L208&lt;&gt;"",N('Month 05'!I208)&gt;0),'Month 05'!I208,"")</f>
        <v/>
      </c>
      <c r="D1207">
        <f>IF(C1207="","",IF(N('Month 05'!J208)&gt;0,'Month 05'!J208,1))</f>
        <v/>
      </c>
      <c r="E1207">
        <f>IF(OR(C1207="",D1207=""),"",IF(D1207=1,C1207,ROUND(C1207*(1+D1207/30),1)))</f>
        <v/>
      </c>
    </row>
    <row r="1208">
      <c r="A1208">
        <f>'Month 05'!B201</f>
        <v/>
      </c>
      <c r="B1208" t="inlineStr">
        <is>
          <t>Snatch</t>
        </is>
      </c>
      <c r="C1208">
        <f>IF(AND('Month 05'!L209&lt;&gt;"",N('Month 05'!I209)&gt;0),'Month 05'!I209,"")</f>
        <v/>
      </c>
      <c r="D1208">
        <f>IF(C1208="","",IF(N('Month 05'!J209)&gt;0,'Month 05'!J209,1))</f>
        <v/>
      </c>
      <c r="E1208">
        <f>IF(OR(C1208="",D1208=""),"",IF(D1208=1,C1208,ROUND(C1208*(1+D1208/30),1)))</f>
        <v/>
      </c>
    </row>
    <row r="1209">
      <c r="A1209">
        <f>'Month 05'!B201</f>
        <v/>
      </c>
      <c r="B1209" t="inlineStr">
        <is>
          <t>Snatch</t>
        </is>
      </c>
      <c r="C1209">
        <f>IF(AND('Month 05'!L210&lt;&gt;"",N('Month 05'!I210)&gt;0),'Month 05'!I210,"")</f>
        <v/>
      </c>
      <c r="D1209">
        <f>IF(C1209="","",IF(N('Month 05'!J210)&gt;0,'Month 05'!J210,1))</f>
        <v/>
      </c>
      <c r="E1209">
        <f>IF(OR(C1209="",D1209=""),"",IF(D1209=1,C1209,ROUND(C1209*(1+D1209/30),1)))</f>
        <v/>
      </c>
    </row>
    <row r="1210">
      <c r="A1210">
        <f>'Month 05'!B201</f>
        <v/>
      </c>
      <c r="B1210" t="inlineStr">
        <is>
          <t>Snatch</t>
        </is>
      </c>
      <c r="C1210">
        <f>IF(AND('Month 05'!L211&lt;&gt;"",N('Month 05'!I211)&gt;0),'Month 05'!I211,"")</f>
        <v/>
      </c>
      <c r="D1210">
        <f>IF(C1210="","",IF(N('Month 05'!J211)&gt;0,'Month 05'!J211,1))</f>
        <v/>
      </c>
      <c r="E1210">
        <f>IF(OR(C1210="",D1210=""),"",IF(D1210=1,C1210,ROUND(C1210*(1+D1210/30),1)))</f>
        <v/>
      </c>
    </row>
    <row r="1211">
      <c r="A1211">
        <f>'Month 05'!B201</f>
        <v/>
      </c>
      <c r="B1211" t="inlineStr">
        <is>
          <t>Snatch</t>
        </is>
      </c>
      <c r="C1211">
        <f>IF(AND('Month 05'!L212&lt;&gt;"",N('Month 05'!I212)&gt;0),'Month 05'!I212,"")</f>
        <v/>
      </c>
      <c r="D1211">
        <f>IF(C1211="","",IF(N('Month 05'!J212)&gt;0,'Month 05'!J212,1))</f>
        <v/>
      </c>
      <c r="E1211">
        <f>IF(OR(C1211="",D1211=""),"",IF(D1211=1,C1211,ROUND(C1211*(1+D1211/30),1)))</f>
        <v/>
      </c>
    </row>
    <row r="1212">
      <c r="A1212">
        <f>'Month 05'!B201</f>
        <v/>
      </c>
      <c r="B1212" t="inlineStr">
        <is>
          <t>Squat</t>
        </is>
      </c>
      <c r="C1212">
        <f>IF(AND('Month 05'!L214&lt;&gt;"",N('Month 05'!I214)&gt;0),'Month 05'!I214,"")</f>
        <v/>
      </c>
      <c r="D1212">
        <f>IF(C1212="","",IF(N('Month 05'!J214)&gt;0,'Month 05'!J214,1))</f>
        <v/>
      </c>
      <c r="E1212">
        <f>IF(OR(C1212="",D1212=""),"",IF(D1212=1,C1212,ROUND(C1212*(1+D1212/30),1)))</f>
        <v/>
      </c>
    </row>
    <row r="1213">
      <c r="A1213">
        <f>'Month 05'!B201</f>
        <v/>
      </c>
      <c r="B1213" t="inlineStr">
        <is>
          <t>Squat</t>
        </is>
      </c>
      <c r="C1213">
        <f>IF(AND('Month 05'!L215&lt;&gt;"",N('Month 05'!I215)&gt;0),'Month 05'!I215,"")</f>
        <v/>
      </c>
      <c r="D1213">
        <f>IF(C1213="","",IF(N('Month 05'!J215)&gt;0,'Month 05'!J215,1))</f>
        <v/>
      </c>
      <c r="E1213">
        <f>IF(OR(C1213="",D1213=""),"",IF(D1213=1,C1213,ROUND(C1213*(1+D1213/30),1)))</f>
        <v/>
      </c>
    </row>
    <row r="1214">
      <c r="A1214">
        <f>'Month 05'!B201</f>
        <v/>
      </c>
      <c r="B1214" t="inlineStr">
        <is>
          <t>Squat</t>
        </is>
      </c>
      <c r="C1214">
        <f>IF(AND('Month 05'!L216&lt;&gt;"",N('Month 05'!I216)&gt;0),'Month 05'!I216,"")</f>
        <v/>
      </c>
      <c r="D1214">
        <f>IF(C1214="","",IF(N('Month 05'!J216)&gt;0,'Month 05'!J216,1))</f>
        <v/>
      </c>
      <c r="E1214">
        <f>IF(OR(C1214="",D1214=""),"",IF(D1214=1,C1214,ROUND(C1214*(1+D1214/30),1)))</f>
        <v/>
      </c>
    </row>
    <row r="1215">
      <c r="A1215">
        <f>'Month 05'!B201</f>
        <v/>
      </c>
      <c r="B1215" t="inlineStr">
        <is>
          <t>Squat</t>
        </is>
      </c>
      <c r="C1215">
        <f>IF(AND('Month 05'!L217&lt;&gt;"",N('Month 05'!I217)&gt;0),'Month 05'!I217,"")</f>
        <v/>
      </c>
      <c r="D1215">
        <f>IF(C1215="","",IF(N('Month 05'!J217)&gt;0,'Month 05'!J217,1))</f>
        <v/>
      </c>
      <c r="E1215">
        <f>IF(OR(C1215="",D1215=""),"",IF(D1215=1,C1215,ROUND(C1215*(1+D1215/30),1)))</f>
        <v/>
      </c>
    </row>
    <row r="1216">
      <c r="A1216">
        <f>'Month 05'!B201</f>
        <v/>
      </c>
      <c r="B1216" t="inlineStr">
        <is>
          <t>Bench Press</t>
        </is>
      </c>
      <c r="C1216">
        <f>IF(AND('Month 05'!L219&lt;&gt;"",N('Month 05'!I219)&gt;0),'Month 05'!I219,"")</f>
        <v/>
      </c>
      <c r="D1216">
        <f>IF(C1216="","",IF(N('Month 05'!J219)&gt;0,'Month 05'!J219,1))</f>
        <v/>
      </c>
      <c r="E1216">
        <f>IF(OR(C1216="",D1216=""),"",IF(D1216=1,C1216,ROUND(C1216*(1+D1216/30),1)))</f>
        <v/>
      </c>
    </row>
    <row r="1217">
      <c r="A1217">
        <f>'Month 05'!B201</f>
        <v/>
      </c>
      <c r="B1217" t="inlineStr">
        <is>
          <t>Bench Press</t>
        </is>
      </c>
      <c r="C1217">
        <f>IF(AND('Month 05'!L220&lt;&gt;"",N('Month 05'!I220)&gt;0),'Month 05'!I220,"")</f>
        <v/>
      </c>
      <c r="D1217">
        <f>IF(C1217="","",IF(N('Month 05'!J220)&gt;0,'Month 05'!J220,1))</f>
        <v/>
      </c>
      <c r="E1217">
        <f>IF(OR(C1217="",D1217=""),"",IF(D1217=1,C1217,ROUND(C1217*(1+D1217/30),1)))</f>
        <v/>
      </c>
    </row>
    <row r="1218">
      <c r="A1218">
        <f>'Month 05'!B201</f>
        <v/>
      </c>
      <c r="B1218" t="inlineStr">
        <is>
          <t>Bench Press</t>
        </is>
      </c>
      <c r="C1218">
        <f>IF(AND('Month 05'!L221&lt;&gt;"",N('Month 05'!I221)&gt;0),'Month 05'!I221,"")</f>
        <v/>
      </c>
      <c r="D1218">
        <f>IF(C1218="","",IF(N('Month 05'!J221)&gt;0,'Month 05'!J221,1))</f>
        <v/>
      </c>
      <c r="E1218">
        <f>IF(OR(C1218="",D1218=""),"",IF(D1218=1,C1218,ROUND(C1218*(1+D1218/30),1)))</f>
        <v/>
      </c>
    </row>
    <row r="1219">
      <c r="A1219">
        <f>'Month 05'!B201</f>
        <v/>
      </c>
      <c r="B1219" t="inlineStr">
        <is>
          <t>Bench Press</t>
        </is>
      </c>
      <c r="C1219">
        <f>IF(AND('Month 05'!L222&lt;&gt;"",N('Month 05'!I222)&gt;0),'Month 05'!I222,"")</f>
        <v/>
      </c>
      <c r="D1219">
        <f>IF(C1219="","",IF(N('Month 05'!J222)&gt;0,'Month 05'!J222,1))</f>
        <v/>
      </c>
      <c r="E1219">
        <f>IF(OR(C1219="",D1219=""),"",IF(D1219=1,C1219,ROUND(C1219*(1+D1219/30),1)))</f>
        <v/>
      </c>
    </row>
    <row r="1220">
      <c r="A1220">
        <f>'Month 05'!B201</f>
        <v/>
      </c>
      <c r="B1220" t="inlineStr">
        <is>
          <t>Barbell Row</t>
        </is>
      </c>
      <c r="C1220">
        <f>IF(AND('Month 05'!L224&lt;&gt;"",N('Month 05'!I224)&gt;0),'Month 05'!I224,"")</f>
        <v/>
      </c>
      <c r="D1220">
        <f>IF(C1220="","",IF(N('Month 05'!J224)&gt;0,'Month 05'!J224,1))</f>
        <v/>
      </c>
      <c r="E1220">
        <f>IF(OR(C1220="",D1220=""),"",IF(D1220=1,C1220,ROUND(C1220*(1+D1220/30),1)))</f>
        <v/>
      </c>
    </row>
    <row r="1221">
      <c r="A1221">
        <f>'Month 05'!B201</f>
        <v/>
      </c>
      <c r="B1221" t="inlineStr">
        <is>
          <t>Barbell Row</t>
        </is>
      </c>
      <c r="C1221">
        <f>IF(AND('Month 05'!L225&lt;&gt;"",N('Month 05'!I225)&gt;0),'Month 05'!I225,"")</f>
        <v/>
      </c>
      <c r="D1221">
        <f>IF(C1221="","",IF(N('Month 05'!J225)&gt;0,'Month 05'!J225,1))</f>
        <v/>
      </c>
      <c r="E1221">
        <f>IF(OR(C1221="",D1221=""),"",IF(D1221=1,C1221,ROUND(C1221*(1+D1221/30),1)))</f>
        <v/>
      </c>
    </row>
    <row r="1222">
      <c r="A1222">
        <f>'Month 05'!B201</f>
        <v/>
      </c>
      <c r="B1222" t="inlineStr">
        <is>
          <t>Barbell Row</t>
        </is>
      </c>
      <c r="C1222">
        <f>IF(AND('Month 05'!L226&lt;&gt;"",N('Month 05'!I226)&gt;0),'Month 05'!I226,"")</f>
        <v/>
      </c>
      <c r="D1222">
        <f>IF(C1222="","",IF(N('Month 05'!J226)&gt;0,'Month 05'!J226,1))</f>
        <v/>
      </c>
      <c r="E1222">
        <f>IF(OR(C1222="",D1222=""),"",IF(D1222=1,C1222,ROUND(C1222*(1+D1222/30),1)))</f>
        <v/>
      </c>
    </row>
    <row r="1223">
      <c r="A1223">
        <f>'Month 05'!B201</f>
        <v/>
      </c>
      <c r="B1223" t="inlineStr">
        <is>
          <t>Face Pull</t>
        </is>
      </c>
      <c r="C1223">
        <f>IF(AND('Month 05'!L228&lt;&gt;"",N('Month 05'!I228)&gt;0),'Month 05'!I228,"")</f>
        <v/>
      </c>
      <c r="D1223">
        <f>IF(C1223="","",IF(N('Month 05'!J228)&gt;0,'Month 05'!J228,1))</f>
        <v/>
      </c>
      <c r="E1223">
        <f>IF(OR(C1223="",D1223=""),"",IF(D1223=1,C1223,ROUND(C1223*(1+D1223/30),1)))</f>
        <v/>
      </c>
    </row>
    <row r="1224">
      <c r="A1224">
        <f>'Month 05'!B201</f>
        <v/>
      </c>
      <c r="B1224" t="inlineStr">
        <is>
          <t>Face Pull</t>
        </is>
      </c>
      <c r="C1224">
        <f>IF(AND('Month 05'!L229&lt;&gt;"",N('Month 05'!I229)&gt;0),'Month 05'!I229,"")</f>
        <v/>
      </c>
      <c r="D1224">
        <f>IF(C1224="","",IF(N('Month 05'!J229)&gt;0,'Month 05'!J229,1))</f>
        <v/>
      </c>
      <c r="E1224">
        <f>IF(OR(C1224="",D1224=""),"",IF(D1224=1,C1224,ROUND(C1224*(1+D1224/30),1)))</f>
        <v/>
      </c>
    </row>
    <row r="1225">
      <c r="A1225">
        <f>'Month 05'!B201</f>
        <v/>
      </c>
      <c r="B1225" t="inlineStr">
        <is>
          <t>Face Pull</t>
        </is>
      </c>
      <c r="C1225">
        <f>IF(AND('Month 05'!L230&lt;&gt;"",N('Month 05'!I230)&gt;0),'Month 05'!I230,"")</f>
        <v/>
      </c>
      <c r="D1225">
        <f>IF(C1225="","",IF(N('Month 05'!J230)&gt;0,'Month 05'!J230,1))</f>
        <v/>
      </c>
      <c r="E1225">
        <f>IF(OR(C1225="",D1225=""),"",IF(D1225=1,C1225,ROUND(C1225*(1+D1225/30),1)))</f>
        <v/>
      </c>
    </row>
    <row r="1226">
      <c r="A1226">
        <f>'Month 05'!B231</f>
        <v/>
      </c>
      <c r="B1226" t="inlineStr">
        <is>
          <t>Broad Jump</t>
        </is>
      </c>
      <c r="C1226">
        <f>IF(AND('Month 05'!L233&lt;&gt;"",N('Month 05'!I233)&gt;0),'Month 05'!I233,"")</f>
        <v/>
      </c>
      <c r="D1226">
        <f>IF(C1226="","",IF(N('Month 05'!J233)&gt;0,'Month 05'!J233,1))</f>
        <v/>
      </c>
      <c r="E1226">
        <f>IF(OR(C1226="",D1226=""),"",IF(D1226=1,C1226,ROUND(C1226*(1+D1226/30),1)))</f>
        <v/>
      </c>
    </row>
    <row r="1227">
      <c r="A1227">
        <f>'Month 05'!B231</f>
        <v/>
      </c>
      <c r="B1227" t="inlineStr">
        <is>
          <t>Broad Jump</t>
        </is>
      </c>
      <c r="C1227">
        <f>IF(AND('Month 05'!L234&lt;&gt;"",N('Month 05'!I234)&gt;0),'Month 05'!I234,"")</f>
        <v/>
      </c>
      <c r="D1227">
        <f>IF(C1227="","",IF(N('Month 05'!J234)&gt;0,'Month 05'!J234,1))</f>
        <v/>
      </c>
      <c r="E1227">
        <f>IF(OR(C1227="",D1227=""),"",IF(D1227=1,C1227,ROUND(C1227*(1+D1227/30),1)))</f>
        <v/>
      </c>
    </row>
    <row r="1228">
      <c r="A1228">
        <f>'Month 05'!B231</f>
        <v/>
      </c>
      <c r="B1228" t="inlineStr">
        <is>
          <t>Broad Jump</t>
        </is>
      </c>
      <c r="C1228">
        <f>IF(AND('Month 05'!L235&lt;&gt;"",N('Month 05'!I235)&gt;0),'Month 05'!I235,"")</f>
        <v/>
      </c>
      <c r="D1228">
        <f>IF(C1228="","",IF(N('Month 05'!J235)&gt;0,'Month 05'!J235,1))</f>
        <v/>
      </c>
      <c r="E1228">
        <f>IF(OR(C1228="",D1228=""),"",IF(D1228=1,C1228,ROUND(C1228*(1+D1228/30),1)))</f>
        <v/>
      </c>
    </row>
    <row r="1229">
      <c r="A1229">
        <f>'Month 05'!B231</f>
        <v/>
      </c>
      <c r="B1229" t="inlineStr">
        <is>
          <t>Broad Jump</t>
        </is>
      </c>
      <c r="C1229">
        <f>IF(AND('Month 05'!L236&lt;&gt;"",N('Month 05'!I236)&gt;0),'Month 05'!I236,"")</f>
        <v/>
      </c>
      <c r="D1229">
        <f>IF(C1229="","",IF(N('Month 05'!J236)&gt;0,'Month 05'!J236,1))</f>
        <v/>
      </c>
      <c r="E1229">
        <f>IF(OR(C1229="",D1229=""),"",IF(D1229=1,C1229,ROUND(C1229*(1+D1229/30),1)))</f>
        <v/>
      </c>
    </row>
    <row r="1230">
      <c r="A1230">
        <f>'Month 05'!B231</f>
        <v/>
      </c>
      <c r="B1230" t="inlineStr">
        <is>
          <t>Med Ball Chest Pass</t>
        </is>
      </c>
      <c r="C1230">
        <f>IF(AND('Month 05'!L238&lt;&gt;"",N('Month 05'!I238)&gt;0),'Month 05'!I238,"")</f>
        <v/>
      </c>
      <c r="D1230">
        <f>IF(C1230="","",IF(N('Month 05'!J238)&gt;0,'Month 05'!J238,1))</f>
        <v/>
      </c>
      <c r="E1230">
        <f>IF(OR(C1230="",D1230=""),"",IF(D1230=1,C1230,ROUND(C1230*(1+D1230/30),1)))</f>
        <v/>
      </c>
    </row>
    <row r="1231">
      <c r="A1231">
        <f>'Month 05'!B231</f>
        <v/>
      </c>
      <c r="B1231" t="inlineStr">
        <is>
          <t>Med Ball Chest Pass</t>
        </is>
      </c>
      <c r="C1231">
        <f>IF(AND('Month 05'!L239&lt;&gt;"",N('Month 05'!I239)&gt;0),'Month 05'!I239,"")</f>
        <v/>
      </c>
      <c r="D1231">
        <f>IF(C1231="","",IF(N('Month 05'!J239)&gt;0,'Month 05'!J239,1))</f>
        <v/>
      </c>
      <c r="E1231">
        <f>IF(OR(C1231="",D1231=""),"",IF(D1231=1,C1231,ROUND(C1231*(1+D1231/30),1)))</f>
        <v/>
      </c>
    </row>
    <row r="1232">
      <c r="A1232">
        <f>'Month 05'!B231</f>
        <v/>
      </c>
      <c r="B1232" t="inlineStr">
        <is>
          <t>Med Ball Chest Pass</t>
        </is>
      </c>
      <c r="C1232">
        <f>IF(AND('Month 05'!L240&lt;&gt;"",N('Month 05'!I240)&gt;0),'Month 05'!I240,"")</f>
        <v/>
      </c>
      <c r="D1232">
        <f>IF(C1232="","",IF(N('Month 05'!J240)&gt;0,'Month 05'!J240,1))</f>
        <v/>
      </c>
      <c r="E1232">
        <f>IF(OR(C1232="",D1232=""),"",IF(D1232=1,C1232,ROUND(C1232*(1+D1232/30),1)))</f>
        <v/>
      </c>
    </row>
    <row r="1233">
      <c r="A1233">
        <f>'Month 05'!B231</f>
        <v/>
      </c>
      <c r="B1233" t="inlineStr">
        <is>
          <t>Clean &amp; Jerk</t>
        </is>
      </c>
      <c r="C1233">
        <f>IF(AND('Month 05'!L242&lt;&gt;"",N('Month 05'!I242)&gt;0),'Month 05'!I242,"")</f>
        <v/>
      </c>
      <c r="D1233">
        <f>IF(C1233="","",IF(N('Month 05'!J242)&gt;0,'Month 05'!J242,1))</f>
        <v/>
      </c>
      <c r="E1233">
        <f>IF(OR(C1233="",D1233=""),"",IF(D1233=1,C1233,ROUND(C1233*(1+D1233/30),1)))</f>
        <v/>
      </c>
    </row>
    <row r="1234">
      <c r="A1234">
        <f>'Month 05'!B231</f>
        <v/>
      </c>
      <c r="B1234" t="inlineStr">
        <is>
          <t>Clean &amp; Jerk</t>
        </is>
      </c>
      <c r="C1234">
        <f>IF(AND('Month 05'!L243&lt;&gt;"",N('Month 05'!I243)&gt;0),'Month 05'!I243,"")</f>
        <v/>
      </c>
      <c r="D1234">
        <f>IF(C1234="","",IF(N('Month 05'!J243)&gt;0,'Month 05'!J243,1))</f>
        <v/>
      </c>
      <c r="E1234">
        <f>IF(OR(C1234="",D1234=""),"",IF(D1234=1,C1234,ROUND(C1234*(1+D1234/30),1)))</f>
        <v/>
      </c>
    </row>
    <row r="1235">
      <c r="A1235">
        <f>'Month 05'!B231</f>
        <v/>
      </c>
      <c r="B1235" t="inlineStr">
        <is>
          <t>Clean &amp; Jerk</t>
        </is>
      </c>
      <c r="C1235">
        <f>IF(AND('Month 05'!L244&lt;&gt;"",N('Month 05'!I244)&gt;0),'Month 05'!I244,"")</f>
        <v/>
      </c>
      <c r="D1235">
        <f>IF(C1235="","",IF(N('Month 05'!J244)&gt;0,'Month 05'!J244,1))</f>
        <v/>
      </c>
      <c r="E1235">
        <f>IF(OR(C1235="",D1235=""),"",IF(D1235=1,C1235,ROUND(C1235*(1+D1235/30),1)))</f>
        <v/>
      </c>
    </row>
    <row r="1236">
      <c r="A1236">
        <f>'Month 05'!B231</f>
        <v/>
      </c>
      <c r="B1236" t="inlineStr">
        <is>
          <t>Clean &amp; Jerk</t>
        </is>
      </c>
      <c r="C1236">
        <f>IF(AND('Month 05'!L245&lt;&gt;"",N('Month 05'!I245)&gt;0),'Month 05'!I245,"")</f>
        <v/>
      </c>
      <c r="D1236">
        <f>IF(C1236="","",IF(N('Month 05'!J245)&gt;0,'Month 05'!J245,1))</f>
        <v/>
      </c>
      <c r="E1236">
        <f>IF(OR(C1236="",D1236=""),"",IF(D1236=1,C1236,ROUND(C1236*(1+D1236/30),1)))</f>
        <v/>
      </c>
    </row>
    <row r="1237">
      <c r="A1237">
        <f>'Month 05'!B231</f>
        <v/>
      </c>
      <c r="B1237" t="inlineStr">
        <is>
          <t>Clean &amp; Jerk</t>
        </is>
      </c>
      <c r="C1237">
        <f>IF(AND('Month 05'!L246&lt;&gt;"",N('Month 05'!I246)&gt;0),'Month 05'!I246,"")</f>
        <v/>
      </c>
      <c r="D1237">
        <f>IF(C1237="","",IF(N('Month 05'!J246)&gt;0,'Month 05'!J246,1))</f>
        <v/>
      </c>
      <c r="E1237">
        <f>IF(OR(C1237="",D1237=""),"",IF(D1237=1,C1237,ROUND(C1237*(1+D1237/30),1)))</f>
        <v/>
      </c>
    </row>
    <row r="1238">
      <c r="A1238">
        <f>'Month 05'!B231</f>
        <v/>
      </c>
      <c r="B1238" t="inlineStr">
        <is>
          <t>Squat</t>
        </is>
      </c>
      <c r="C1238">
        <f>IF(AND('Month 05'!L248&lt;&gt;"",N('Month 05'!I248)&gt;0),'Month 05'!I248,"")</f>
        <v/>
      </c>
      <c r="D1238">
        <f>IF(C1238="","",IF(N('Month 05'!J248)&gt;0,'Month 05'!J248,1))</f>
        <v/>
      </c>
      <c r="E1238">
        <f>IF(OR(C1238="",D1238=""),"",IF(D1238=1,C1238,ROUND(C1238*(1+D1238/30),1)))</f>
        <v/>
      </c>
    </row>
    <row r="1239">
      <c r="A1239">
        <f>'Month 05'!B231</f>
        <v/>
      </c>
      <c r="B1239" t="inlineStr">
        <is>
          <t>Squat</t>
        </is>
      </c>
      <c r="C1239">
        <f>IF(AND('Month 05'!L249&lt;&gt;"",N('Month 05'!I249)&gt;0),'Month 05'!I249,"")</f>
        <v/>
      </c>
      <c r="D1239">
        <f>IF(C1239="","",IF(N('Month 05'!J249)&gt;0,'Month 05'!J249,1))</f>
        <v/>
      </c>
      <c r="E1239">
        <f>IF(OR(C1239="",D1239=""),"",IF(D1239=1,C1239,ROUND(C1239*(1+D1239/30),1)))</f>
        <v/>
      </c>
    </row>
    <row r="1240">
      <c r="A1240">
        <f>'Month 05'!B231</f>
        <v/>
      </c>
      <c r="B1240" t="inlineStr">
        <is>
          <t>Squat</t>
        </is>
      </c>
      <c r="C1240">
        <f>IF(AND('Month 05'!L250&lt;&gt;"",N('Month 05'!I250)&gt;0),'Month 05'!I250,"")</f>
        <v/>
      </c>
      <c r="D1240">
        <f>IF(C1240="","",IF(N('Month 05'!J250)&gt;0,'Month 05'!J250,1))</f>
        <v/>
      </c>
      <c r="E1240">
        <f>IF(OR(C1240="",D1240=""),"",IF(D1240=1,C1240,ROUND(C1240*(1+D1240/30),1)))</f>
        <v/>
      </c>
    </row>
    <row r="1241">
      <c r="A1241">
        <f>'Month 05'!B231</f>
        <v/>
      </c>
      <c r="B1241" t="inlineStr">
        <is>
          <t>Overhead Press</t>
        </is>
      </c>
      <c r="C1241">
        <f>IF(AND('Month 05'!L252&lt;&gt;"",N('Month 05'!I252)&gt;0),'Month 05'!I252,"")</f>
        <v/>
      </c>
      <c r="D1241">
        <f>IF(C1241="","",IF(N('Month 05'!J252)&gt;0,'Month 05'!J252,1))</f>
        <v/>
      </c>
      <c r="E1241">
        <f>IF(OR(C1241="",D1241=""),"",IF(D1241=1,C1241,ROUND(C1241*(1+D1241/30),1)))</f>
        <v/>
      </c>
    </row>
    <row r="1242">
      <c r="A1242">
        <f>'Month 05'!B231</f>
        <v/>
      </c>
      <c r="B1242" t="inlineStr">
        <is>
          <t>Overhead Press</t>
        </is>
      </c>
      <c r="C1242">
        <f>IF(AND('Month 05'!L253&lt;&gt;"",N('Month 05'!I253)&gt;0),'Month 05'!I253,"")</f>
        <v/>
      </c>
      <c r="D1242">
        <f>IF(C1242="","",IF(N('Month 05'!J253)&gt;0,'Month 05'!J253,1))</f>
        <v/>
      </c>
      <c r="E1242">
        <f>IF(OR(C1242="",D1242=""),"",IF(D1242=1,C1242,ROUND(C1242*(1+D1242/30),1)))</f>
        <v/>
      </c>
    </row>
    <row r="1243">
      <c r="A1243">
        <f>'Month 05'!B231</f>
        <v/>
      </c>
      <c r="B1243" t="inlineStr">
        <is>
          <t>Overhead Press</t>
        </is>
      </c>
      <c r="C1243">
        <f>IF(AND('Month 05'!L254&lt;&gt;"",N('Month 05'!I254)&gt;0),'Month 05'!I254,"")</f>
        <v/>
      </c>
      <c r="D1243">
        <f>IF(C1243="","",IF(N('Month 05'!J254)&gt;0,'Month 05'!J254,1))</f>
        <v/>
      </c>
      <c r="E1243">
        <f>IF(OR(C1243="",D1243=""),"",IF(D1243=1,C1243,ROUND(C1243*(1+D1243/30),1)))</f>
        <v/>
      </c>
    </row>
    <row r="1244">
      <c r="A1244">
        <f>'Month 05'!B231</f>
        <v/>
      </c>
      <c r="B1244" t="inlineStr">
        <is>
          <t>Deadlift</t>
        </is>
      </c>
      <c r="C1244">
        <f>IF(AND('Month 05'!L256&lt;&gt;"",N('Month 05'!I256)&gt;0),'Month 05'!I256,"")</f>
        <v/>
      </c>
      <c r="D1244">
        <f>IF(C1244="","",IF(N('Month 05'!J256)&gt;0,'Month 05'!J256,1))</f>
        <v/>
      </c>
      <c r="E1244">
        <f>IF(OR(C1244="",D1244=""),"",IF(D1244=1,C1244,ROUND(C1244*(1+D1244/30),1)))</f>
        <v/>
      </c>
    </row>
    <row r="1245">
      <c r="A1245">
        <f>'Month 05'!B231</f>
        <v/>
      </c>
      <c r="B1245" t="inlineStr">
        <is>
          <t>Deadlift</t>
        </is>
      </c>
      <c r="C1245">
        <f>IF(AND('Month 05'!L257&lt;&gt;"",N('Month 05'!I257)&gt;0),'Month 05'!I257,"")</f>
        <v/>
      </c>
      <c r="D1245">
        <f>IF(C1245="","",IF(N('Month 05'!J257)&gt;0,'Month 05'!J257,1))</f>
        <v/>
      </c>
      <c r="E1245">
        <f>IF(OR(C1245="",D1245=""),"",IF(D1245=1,C1245,ROUND(C1245*(1+D1245/30),1)))</f>
        <v/>
      </c>
    </row>
    <row r="1246">
      <c r="A1246">
        <f>'Month 05'!B231</f>
        <v/>
      </c>
      <c r="B1246" t="inlineStr">
        <is>
          <t>Deadlift</t>
        </is>
      </c>
      <c r="C1246">
        <f>IF(AND('Month 05'!L258&lt;&gt;"",N('Month 05'!I258)&gt;0),'Month 05'!I258,"")</f>
        <v/>
      </c>
      <c r="D1246">
        <f>IF(C1246="","",IF(N('Month 05'!J258)&gt;0,'Month 05'!J258,1))</f>
        <v/>
      </c>
      <c r="E1246">
        <f>IF(OR(C1246="",D1246=""),"",IF(D1246=1,C1246,ROUND(C1246*(1+D1246/30),1)))</f>
        <v/>
      </c>
    </row>
    <row r="1247">
      <c r="A1247">
        <f>'Month 05'!B231</f>
        <v/>
      </c>
      <c r="B1247" t="inlineStr">
        <is>
          <t>Chin-up</t>
        </is>
      </c>
      <c r="C1247">
        <f>IF(AND('Month 05'!L260&lt;&gt;"",N('Month 05'!I260)&gt;0),'Month 05'!I260,"")</f>
        <v/>
      </c>
      <c r="D1247">
        <f>IF(C1247="","",IF(N('Month 05'!J260)&gt;0,'Month 05'!J260,1))</f>
        <v/>
      </c>
      <c r="E1247">
        <f>IF(OR(C1247="",D1247=""),"",IF(D1247=1,C1247,ROUND(C1247*(1+D1247/30),1)))</f>
        <v/>
      </c>
    </row>
    <row r="1248">
      <c r="A1248">
        <f>'Month 05'!B231</f>
        <v/>
      </c>
      <c r="B1248" t="inlineStr">
        <is>
          <t>Chin-up</t>
        </is>
      </c>
      <c r="C1248">
        <f>IF(AND('Month 05'!L261&lt;&gt;"",N('Month 05'!I261)&gt;0),'Month 05'!I261,"")</f>
        <v/>
      </c>
      <c r="D1248">
        <f>IF(C1248="","",IF(N('Month 05'!J261)&gt;0,'Month 05'!J261,1))</f>
        <v/>
      </c>
      <c r="E1248">
        <f>IF(OR(C1248="",D1248=""),"",IF(D1248=1,C1248,ROUND(C1248*(1+D1248/30),1)))</f>
        <v/>
      </c>
    </row>
    <row r="1249">
      <c r="A1249">
        <f>'Month 05'!B231</f>
        <v/>
      </c>
      <c r="B1249" t="inlineStr">
        <is>
          <t>Chin-up</t>
        </is>
      </c>
      <c r="C1249">
        <f>IF(AND('Month 05'!L262&lt;&gt;"",N('Month 05'!I262)&gt;0),'Month 05'!I262,"")</f>
        <v/>
      </c>
      <c r="D1249">
        <f>IF(C1249="","",IF(N('Month 05'!J262)&gt;0,'Month 05'!J262,1))</f>
        <v/>
      </c>
      <c r="E1249">
        <f>IF(OR(C1249="",D1249=""),"",IF(D1249=1,C1249,ROUND(C1249*(1+D1249/30),1)))</f>
        <v/>
      </c>
    </row>
    <row r="1250">
      <c r="A1250">
        <f>'Month 05'!B231</f>
        <v/>
      </c>
      <c r="B1250" t="inlineStr">
        <is>
          <t>Plank</t>
        </is>
      </c>
      <c r="C1250">
        <f>IF(AND('Month 05'!L264&lt;&gt;"",N('Month 05'!I264)&gt;0),'Month 05'!I264,"")</f>
        <v/>
      </c>
      <c r="D1250">
        <f>IF(C1250="","",IF(N('Month 05'!J264)&gt;0,'Month 05'!J264,1))</f>
        <v/>
      </c>
      <c r="E1250">
        <f>IF(OR(C1250="",D1250=""),"",IF(D1250=1,C1250,ROUND(C1250*(1+D1250/30),1)))</f>
        <v/>
      </c>
    </row>
    <row r="1251">
      <c r="A1251">
        <f>'Month 05'!B231</f>
        <v/>
      </c>
      <c r="B1251" t="inlineStr">
        <is>
          <t>Plank</t>
        </is>
      </c>
      <c r="C1251">
        <f>IF(AND('Month 05'!L265&lt;&gt;"",N('Month 05'!I265)&gt;0),'Month 05'!I265,"")</f>
        <v/>
      </c>
      <c r="D1251">
        <f>IF(C1251="","",IF(N('Month 05'!J265)&gt;0,'Month 05'!J265,1))</f>
        <v/>
      </c>
      <c r="E1251">
        <f>IF(OR(C1251="",D1251=""),"",IF(D1251=1,C1251,ROUND(C1251*(1+D1251/30),1)))</f>
        <v/>
      </c>
    </row>
    <row r="1252">
      <c r="A1252">
        <f>'Month 05'!B231</f>
        <v/>
      </c>
      <c r="B1252" t="inlineStr">
        <is>
          <t>Plank</t>
        </is>
      </c>
      <c r="C1252">
        <f>IF(AND('Month 05'!L266&lt;&gt;"",N('Month 05'!I266)&gt;0),'Month 05'!I266,"")</f>
        <v/>
      </c>
      <c r="D1252">
        <f>IF(C1252="","",IF(N('Month 05'!J266)&gt;0,'Month 05'!J266,1))</f>
        <v/>
      </c>
      <c r="E1252">
        <f>IF(OR(C1252="",D1252=""),"",IF(D1252=1,C1252,ROUND(C1252*(1+D1252/30),1)))</f>
        <v/>
      </c>
    </row>
    <row r="1253">
      <c r="A1253">
        <f>'Month 05'!B267</f>
        <v/>
      </c>
      <c r="B1253" t="inlineStr">
        <is>
          <t>Plyo Push-up</t>
        </is>
      </c>
      <c r="C1253">
        <f>IF(AND('Month 05'!L269&lt;&gt;"",N('Month 05'!I269)&gt;0),'Month 05'!I269,"")</f>
        <v/>
      </c>
      <c r="D1253">
        <f>IF(C1253="","",IF(N('Month 05'!J269)&gt;0,'Month 05'!J269,1))</f>
        <v/>
      </c>
      <c r="E1253">
        <f>IF(OR(C1253="",D1253=""),"",IF(D1253=1,C1253,ROUND(C1253*(1+D1253/30),1)))</f>
        <v/>
      </c>
    </row>
    <row r="1254">
      <c r="A1254">
        <f>'Month 05'!B267</f>
        <v/>
      </c>
      <c r="B1254" t="inlineStr">
        <is>
          <t>Plyo Push-up</t>
        </is>
      </c>
      <c r="C1254">
        <f>IF(AND('Month 05'!L270&lt;&gt;"",N('Month 05'!I270)&gt;0),'Month 05'!I270,"")</f>
        <v/>
      </c>
      <c r="D1254">
        <f>IF(C1254="","",IF(N('Month 05'!J270)&gt;0,'Month 05'!J270,1))</f>
        <v/>
      </c>
      <c r="E1254">
        <f>IF(OR(C1254="",D1254=""),"",IF(D1254=1,C1254,ROUND(C1254*(1+D1254/30),1)))</f>
        <v/>
      </c>
    </row>
    <row r="1255">
      <c r="A1255">
        <f>'Month 05'!B267</f>
        <v/>
      </c>
      <c r="B1255" t="inlineStr">
        <is>
          <t>Plyo Push-up</t>
        </is>
      </c>
      <c r="C1255">
        <f>IF(AND('Month 05'!L271&lt;&gt;"",N('Month 05'!I271)&gt;0),'Month 05'!I271,"")</f>
        <v/>
      </c>
      <c r="D1255">
        <f>IF(C1255="","",IF(N('Month 05'!J271)&gt;0,'Month 05'!J271,1))</f>
        <v/>
      </c>
      <c r="E1255">
        <f>IF(OR(C1255="",D1255=""),"",IF(D1255=1,C1255,ROUND(C1255*(1+D1255/30),1)))</f>
        <v/>
      </c>
    </row>
    <row r="1256">
      <c r="A1256">
        <f>'Month 05'!B267</f>
        <v/>
      </c>
      <c r="B1256" t="inlineStr">
        <is>
          <t>Plyo Push-up</t>
        </is>
      </c>
      <c r="C1256">
        <f>IF(AND('Month 05'!L272&lt;&gt;"",N('Month 05'!I272)&gt;0),'Month 05'!I272,"")</f>
        <v/>
      </c>
      <c r="D1256">
        <f>IF(C1256="","",IF(N('Month 05'!J272)&gt;0,'Month 05'!J272,1))</f>
        <v/>
      </c>
      <c r="E1256">
        <f>IF(OR(C1256="",D1256=""),"",IF(D1256=1,C1256,ROUND(C1256*(1+D1256/30),1)))</f>
        <v/>
      </c>
    </row>
    <row r="1257">
      <c r="A1257">
        <f>'Month 05'!B267</f>
        <v/>
      </c>
      <c r="B1257" t="inlineStr">
        <is>
          <t>Snatch Balance</t>
        </is>
      </c>
      <c r="C1257">
        <f>IF(AND('Month 05'!L274&lt;&gt;"",N('Month 05'!I274)&gt;0),'Month 05'!I274,"")</f>
        <v/>
      </c>
      <c r="D1257">
        <f>IF(C1257="","",IF(N('Month 05'!J274)&gt;0,'Month 05'!J274,1))</f>
        <v/>
      </c>
      <c r="E1257">
        <f>IF(OR(C1257="",D1257=""),"",IF(D1257=1,C1257,ROUND(C1257*(1+D1257/30),1)))</f>
        <v/>
      </c>
    </row>
    <row r="1258">
      <c r="A1258">
        <f>'Month 05'!B267</f>
        <v/>
      </c>
      <c r="B1258" t="inlineStr">
        <is>
          <t>Snatch Balance</t>
        </is>
      </c>
      <c r="C1258">
        <f>IF(AND('Month 05'!L275&lt;&gt;"",N('Month 05'!I275)&gt;0),'Month 05'!I275,"")</f>
        <v/>
      </c>
      <c r="D1258">
        <f>IF(C1258="","",IF(N('Month 05'!J275)&gt;0,'Month 05'!J275,1))</f>
        <v/>
      </c>
      <c r="E1258">
        <f>IF(OR(C1258="",D1258=""),"",IF(D1258=1,C1258,ROUND(C1258*(1+D1258/30),1)))</f>
        <v/>
      </c>
    </row>
    <row r="1259">
      <c r="A1259">
        <f>'Month 05'!B267</f>
        <v/>
      </c>
      <c r="B1259" t="inlineStr">
        <is>
          <t>Snatch Balance</t>
        </is>
      </c>
      <c r="C1259">
        <f>IF(AND('Month 05'!L276&lt;&gt;"",N('Month 05'!I276)&gt;0),'Month 05'!I276,"")</f>
        <v/>
      </c>
      <c r="D1259">
        <f>IF(C1259="","",IF(N('Month 05'!J276)&gt;0,'Month 05'!J276,1))</f>
        <v/>
      </c>
      <c r="E1259">
        <f>IF(OR(C1259="",D1259=""),"",IF(D1259=1,C1259,ROUND(C1259*(1+D1259/30),1)))</f>
        <v/>
      </c>
    </row>
    <row r="1260">
      <c r="A1260">
        <f>'Month 05'!B267</f>
        <v/>
      </c>
      <c r="B1260" t="inlineStr">
        <is>
          <t>Snatch Balance</t>
        </is>
      </c>
      <c r="C1260">
        <f>IF(AND('Month 05'!L277&lt;&gt;"",N('Month 05'!I277)&gt;0),'Month 05'!I277,"")</f>
        <v/>
      </c>
      <c r="D1260">
        <f>IF(C1260="","",IF(N('Month 05'!J277)&gt;0,'Month 05'!J277,1))</f>
        <v/>
      </c>
      <c r="E1260">
        <f>IF(OR(C1260="",D1260=""),"",IF(D1260=1,C1260,ROUND(C1260*(1+D1260/30),1)))</f>
        <v/>
      </c>
    </row>
    <row r="1261">
      <c r="A1261">
        <f>'Month 05'!B267</f>
        <v/>
      </c>
      <c r="B1261" t="inlineStr">
        <is>
          <t>Pin Squat</t>
        </is>
      </c>
      <c r="C1261">
        <f>IF(AND('Month 05'!L279&lt;&gt;"",N('Month 05'!I279)&gt;0),'Month 05'!I279,"")</f>
        <v/>
      </c>
      <c r="D1261">
        <f>IF(C1261="","",IF(N('Month 05'!J279)&gt;0,'Month 05'!J279,1))</f>
        <v/>
      </c>
      <c r="E1261">
        <f>IF(OR(C1261="",D1261=""),"",IF(D1261=1,C1261,ROUND(C1261*(1+D1261/30),1)))</f>
        <v/>
      </c>
    </row>
    <row r="1262">
      <c r="A1262">
        <f>'Month 05'!B267</f>
        <v/>
      </c>
      <c r="B1262" t="inlineStr">
        <is>
          <t>Pin Squat</t>
        </is>
      </c>
      <c r="C1262">
        <f>IF(AND('Month 05'!L280&lt;&gt;"",N('Month 05'!I280)&gt;0),'Month 05'!I280,"")</f>
        <v/>
      </c>
      <c r="D1262">
        <f>IF(C1262="","",IF(N('Month 05'!J280)&gt;0,'Month 05'!J280,1))</f>
        <v/>
      </c>
      <c r="E1262">
        <f>IF(OR(C1262="",D1262=""),"",IF(D1262=1,C1262,ROUND(C1262*(1+D1262/30),1)))</f>
        <v/>
      </c>
    </row>
    <row r="1263">
      <c r="A1263">
        <f>'Month 05'!B267</f>
        <v/>
      </c>
      <c r="B1263" t="inlineStr">
        <is>
          <t>Pin Squat</t>
        </is>
      </c>
      <c r="C1263">
        <f>IF(AND('Month 05'!L281&lt;&gt;"",N('Month 05'!I281)&gt;0),'Month 05'!I281,"")</f>
        <v/>
      </c>
      <c r="D1263">
        <f>IF(C1263="","",IF(N('Month 05'!J281)&gt;0,'Month 05'!J281,1))</f>
        <v/>
      </c>
      <c r="E1263">
        <f>IF(OR(C1263="",D1263=""),"",IF(D1263=1,C1263,ROUND(C1263*(1+D1263/30),1)))</f>
        <v/>
      </c>
    </row>
    <row r="1264">
      <c r="A1264">
        <f>'Month 05'!B267</f>
        <v/>
      </c>
      <c r="B1264" t="inlineStr">
        <is>
          <t>Floor Press</t>
        </is>
      </c>
      <c r="C1264">
        <f>IF(AND('Month 05'!L283&lt;&gt;"",N('Month 05'!I283)&gt;0),'Month 05'!I283,"")</f>
        <v/>
      </c>
      <c r="D1264">
        <f>IF(C1264="","",IF(N('Month 05'!J283)&gt;0,'Month 05'!J283,1))</f>
        <v/>
      </c>
      <c r="E1264">
        <f>IF(OR(C1264="",D1264=""),"",IF(D1264=1,C1264,ROUND(C1264*(1+D1264/30),1)))</f>
        <v/>
      </c>
    </row>
    <row r="1265">
      <c r="A1265">
        <f>'Month 05'!B267</f>
        <v/>
      </c>
      <c r="B1265" t="inlineStr">
        <is>
          <t>Floor Press</t>
        </is>
      </c>
      <c r="C1265">
        <f>IF(AND('Month 05'!L284&lt;&gt;"",N('Month 05'!I284)&gt;0),'Month 05'!I284,"")</f>
        <v/>
      </c>
      <c r="D1265">
        <f>IF(C1265="","",IF(N('Month 05'!J284)&gt;0,'Month 05'!J284,1))</f>
        <v/>
      </c>
      <c r="E1265">
        <f>IF(OR(C1265="",D1265=""),"",IF(D1265=1,C1265,ROUND(C1265*(1+D1265/30),1)))</f>
        <v/>
      </c>
    </row>
    <row r="1266">
      <c r="A1266">
        <f>'Month 05'!B267</f>
        <v/>
      </c>
      <c r="B1266" t="inlineStr">
        <is>
          <t>Floor Press</t>
        </is>
      </c>
      <c r="C1266">
        <f>IF(AND('Month 05'!L285&lt;&gt;"",N('Month 05'!I285)&gt;0),'Month 05'!I285,"")</f>
        <v/>
      </c>
      <c r="D1266">
        <f>IF(C1266="","",IF(N('Month 05'!J285)&gt;0,'Month 05'!J285,1))</f>
        <v/>
      </c>
      <c r="E1266">
        <f>IF(OR(C1266="",D1266=""),"",IF(D1266=1,C1266,ROUND(C1266*(1+D1266/30),1)))</f>
        <v/>
      </c>
    </row>
    <row r="1267">
      <c r="A1267">
        <f>'Month 05'!B267</f>
        <v/>
      </c>
      <c r="B1267" t="inlineStr">
        <is>
          <t>Romanian Deadlift</t>
        </is>
      </c>
      <c r="C1267">
        <f>IF(AND('Month 05'!L287&lt;&gt;"",N('Month 05'!I287)&gt;0),'Month 05'!I287,"")</f>
        <v/>
      </c>
      <c r="D1267">
        <f>IF(C1267="","",IF(N('Month 05'!J287)&gt;0,'Month 05'!J287,1))</f>
        <v/>
      </c>
      <c r="E1267">
        <f>IF(OR(C1267="",D1267=""),"",IF(D1267=1,C1267,ROUND(C1267*(1+D1267/30),1)))</f>
        <v/>
      </c>
    </row>
    <row r="1268">
      <c r="A1268">
        <f>'Month 05'!B267</f>
        <v/>
      </c>
      <c r="B1268" t="inlineStr">
        <is>
          <t>Romanian Deadlift</t>
        </is>
      </c>
      <c r="C1268">
        <f>IF(AND('Month 05'!L288&lt;&gt;"",N('Month 05'!I288)&gt;0),'Month 05'!I288,"")</f>
        <v/>
      </c>
      <c r="D1268">
        <f>IF(C1268="","",IF(N('Month 05'!J288)&gt;0,'Month 05'!J288,1))</f>
        <v/>
      </c>
      <c r="E1268">
        <f>IF(OR(C1268="",D1268=""),"",IF(D1268=1,C1268,ROUND(C1268*(1+D1268/30),1)))</f>
        <v/>
      </c>
    </row>
    <row r="1269">
      <c r="A1269">
        <f>'Month 05'!B267</f>
        <v/>
      </c>
      <c r="B1269" t="inlineStr">
        <is>
          <t>Romanian Deadlift</t>
        </is>
      </c>
      <c r="C1269">
        <f>IF(AND('Month 05'!L289&lt;&gt;"",N('Month 05'!I289)&gt;0),'Month 05'!I289,"")</f>
        <v/>
      </c>
      <c r="D1269">
        <f>IF(C1269="","",IF(N('Month 05'!J289)&gt;0,'Month 05'!J289,1))</f>
        <v/>
      </c>
      <c r="E1269">
        <f>IF(OR(C1269="",D1269=""),"",IF(D1269=1,C1269,ROUND(C1269*(1+D1269/30),1)))</f>
        <v/>
      </c>
    </row>
    <row r="1270">
      <c r="A1270">
        <f>'Month 05'!B267</f>
        <v/>
      </c>
      <c r="B1270" t="inlineStr">
        <is>
          <t>Incline Dumbbell Press</t>
        </is>
      </c>
      <c r="C1270">
        <f>IF(AND('Month 05'!L291&lt;&gt;"",N('Month 05'!I291)&gt;0),'Month 05'!I291,"")</f>
        <v/>
      </c>
      <c r="D1270">
        <f>IF(C1270="","",IF(N('Month 05'!J291)&gt;0,'Month 05'!J291,1))</f>
        <v/>
      </c>
      <c r="E1270">
        <f>IF(OR(C1270="",D1270=""),"",IF(D1270=1,C1270,ROUND(C1270*(1+D1270/30),1)))</f>
        <v/>
      </c>
    </row>
    <row r="1271">
      <c r="A1271">
        <f>'Month 05'!B267</f>
        <v/>
      </c>
      <c r="B1271" t="inlineStr">
        <is>
          <t>Incline Dumbbell Press</t>
        </is>
      </c>
      <c r="C1271">
        <f>IF(AND('Month 05'!L292&lt;&gt;"",N('Month 05'!I292)&gt;0),'Month 05'!I292,"")</f>
        <v/>
      </c>
      <c r="D1271">
        <f>IF(C1271="","",IF(N('Month 05'!J292)&gt;0,'Month 05'!J292,1))</f>
        <v/>
      </c>
      <c r="E1271">
        <f>IF(OR(C1271="",D1271=""),"",IF(D1271=1,C1271,ROUND(C1271*(1+D1271/30),1)))</f>
        <v/>
      </c>
    </row>
    <row r="1272">
      <c r="A1272">
        <f>'Month 05'!B267</f>
        <v/>
      </c>
      <c r="B1272" t="inlineStr">
        <is>
          <t>Incline Dumbbell Press</t>
        </is>
      </c>
      <c r="C1272">
        <f>IF(AND('Month 05'!L293&lt;&gt;"",N('Month 05'!I293)&gt;0),'Month 05'!I293,"")</f>
        <v/>
      </c>
      <c r="D1272">
        <f>IF(C1272="","",IF(N('Month 05'!J293)&gt;0,'Month 05'!J293,1))</f>
        <v/>
      </c>
      <c r="E1272">
        <f>IF(OR(C1272="",D1272=""),"",IF(D1272=1,C1272,ROUND(C1272*(1+D1272/30),1)))</f>
        <v/>
      </c>
    </row>
    <row r="1273">
      <c r="A1273">
        <f>'Month 05'!B267</f>
        <v/>
      </c>
      <c r="B1273" t="inlineStr">
        <is>
          <t>Triceps Pushdown</t>
        </is>
      </c>
      <c r="C1273">
        <f>IF(AND('Month 05'!L295&lt;&gt;"",N('Month 05'!I295)&gt;0),'Month 05'!I295,"")</f>
        <v/>
      </c>
      <c r="D1273">
        <f>IF(C1273="","",IF(N('Month 05'!J295)&gt;0,'Month 05'!J295,1))</f>
        <v/>
      </c>
      <c r="E1273">
        <f>IF(OR(C1273="",D1273=""),"",IF(D1273=1,C1273,ROUND(C1273*(1+D1273/30),1)))</f>
        <v/>
      </c>
    </row>
    <row r="1274">
      <c r="A1274">
        <f>'Month 05'!B267</f>
        <v/>
      </c>
      <c r="B1274" t="inlineStr">
        <is>
          <t>Triceps Pushdown</t>
        </is>
      </c>
      <c r="C1274">
        <f>IF(AND('Month 05'!L296&lt;&gt;"",N('Month 05'!I296)&gt;0),'Month 05'!I296,"")</f>
        <v/>
      </c>
      <c r="D1274">
        <f>IF(C1274="","",IF(N('Month 05'!J296)&gt;0,'Month 05'!J296,1))</f>
        <v/>
      </c>
      <c r="E1274">
        <f>IF(OR(C1274="",D1274=""),"",IF(D1274=1,C1274,ROUND(C1274*(1+D1274/30),1)))</f>
        <v/>
      </c>
    </row>
    <row r="1275">
      <c r="A1275">
        <f>'Month 05'!B267</f>
        <v/>
      </c>
      <c r="B1275" t="inlineStr">
        <is>
          <t>Triceps Pushdown</t>
        </is>
      </c>
      <c r="C1275">
        <f>IF(AND('Month 05'!L297&lt;&gt;"",N('Month 05'!I297)&gt;0),'Month 05'!I297,"")</f>
        <v/>
      </c>
      <c r="D1275">
        <f>IF(C1275="","",IF(N('Month 05'!J297)&gt;0,'Month 05'!J297,1))</f>
        <v/>
      </c>
      <c r="E1275">
        <f>IF(OR(C1275="",D1275=""),"",IF(D1275=1,C1275,ROUND(C1275*(1+D1275/30),1)))</f>
        <v/>
      </c>
    </row>
    <row r="1276">
      <c r="A1276">
        <f>'Month 05'!B300</f>
        <v/>
      </c>
      <c r="B1276" t="inlineStr">
        <is>
          <t>Box Jump</t>
        </is>
      </c>
      <c r="C1276">
        <f>IF(AND('Month 05'!L302&lt;&gt;"",N('Month 05'!I302)&gt;0),'Month 05'!I302,"")</f>
        <v/>
      </c>
      <c r="D1276">
        <f>IF(C1276="","",IF(N('Month 05'!J302)&gt;0,'Month 05'!J302,1))</f>
        <v/>
      </c>
      <c r="E1276">
        <f>IF(OR(C1276="",D1276=""),"",IF(D1276=1,C1276,ROUND(C1276*(1+D1276/30),1)))</f>
        <v/>
      </c>
    </row>
    <row r="1277">
      <c r="A1277">
        <f>'Month 05'!B300</f>
        <v/>
      </c>
      <c r="B1277" t="inlineStr">
        <is>
          <t>Box Jump</t>
        </is>
      </c>
      <c r="C1277">
        <f>IF(AND('Month 05'!L303&lt;&gt;"",N('Month 05'!I303)&gt;0),'Month 05'!I303,"")</f>
        <v/>
      </c>
      <c r="D1277">
        <f>IF(C1277="","",IF(N('Month 05'!J303)&gt;0,'Month 05'!J303,1))</f>
        <v/>
      </c>
      <c r="E1277">
        <f>IF(OR(C1277="",D1277=""),"",IF(D1277=1,C1277,ROUND(C1277*(1+D1277/30),1)))</f>
        <v/>
      </c>
    </row>
    <row r="1278">
      <c r="A1278">
        <f>'Month 05'!B300</f>
        <v/>
      </c>
      <c r="B1278" t="inlineStr">
        <is>
          <t>Snatch</t>
        </is>
      </c>
      <c r="C1278">
        <f>IF(AND('Month 05'!L305&lt;&gt;"",N('Month 05'!I305)&gt;0),'Month 05'!I305,"")</f>
        <v/>
      </c>
      <c r="D1278">
        <f>IF(C1278="","",IF(N('Month 05'!J305)&gt;0,'Month 05'!J305,1))</f>
        <v/>
      </c>
      <c r="E1278">
        <f>IF(OR(C1278="",D1278=""),"",IF(D1278=1,C1278,ROUND(C1278*(1+D1278/30),1)))</f>
        <v/>
      </c>
    </row>
    <row r="1279">
      <c r="A1279">
        <f>'Month 05'!B300</f>
        <v/>
      </c>
      <c r="B1279" t="inlineStr">
        <is>
          <t>Snatch</t>
        </is>
      </c>
      <c r="C1279">
        <f>IF(AND('Month 05'!L306&lt;&gt;"",N('Month 05'!I306)&gt;0),'Month 05'!I306,"")</f>
        <v/>
      </c>
      <c r="D1279">
        <f>IF(C1279="","",IF(N('Month 05'!J306)&gt;0,'Month 05'!J306,1))</f>
        <v/>
      </c>
      <c r="E1279">
        <f>IF(OR(C1279="",D1279=""),"",IF(D1279=1,C1279,ROUND(C1279*(1+D1279/30),1)))</f>
        <v/>
      </c>
    </row>
    <row r="1280">
      <c r="A1280">
        <f>'Month 05'!B300</f>
        <v/>
      </c>
      <c r="B1280" t="inlineStr">
        <is>
          <t>Squat</t>
        </is>
      </c>
      <c r="C1280">
        <f>IF(AND('Month 05'!L308&lt;&gt;"",N('Month 05'!I308)&gt;0),'Month 05'!I308,"")</f>
        <v/>
      </c>
      <c r="D1280">
        <f>IF(C1280="","",IF(N('Month 05'!J308)&gt;0,'Month 05'!J308,1))</f>
        <v/>
      </c>
      <c r="E1280">
        <f>IF(OR(C1280="",D1280=""),"",IF(D1280=1,C1280,ROUND(C1280*(1+D1280/30),1)))</f>
        <v/>
      </c>
    </row>
    <row r="1281">
      <c r="A1281">
        <f>'Month 05'!B300</f>
        <v/>
      </c>
      <c r="B1281" t="inlineStr">
        <is>
          <t>Squat</t>
        </is>
      </c>
      <c r="C1281">
        <f>IF(AND('Month 05'!L309&lt;&gt;"",N('Month 05'!I309)&gt;0),'Month 05'!I309,"")</f>
        <v/>
      </c>
      <c r="D1281">
        <f>IF(C1281="","",IF(N('Month 05'!J309)&gt;0,'Month 05'!J309,1))</f>
        <v/>
      </c>
      <c r="E1281">
        <f>IF(OR(C1281="",D1281=""),"",IF(D1281=1,C1281,ROUND(C1281*(1+D1281/30),1)))</f>
        <v/>
      </c>
    </row>
    <row r="1282">
      <c r="A1282">
        <f>'Month 05'!B300</f>
        <v/>
      </c>
      <c r="B1282" t="inlineStr">
        <is>
          <t>Bench Press</t>
        </is>
      </c>
      <c r="C1282">
        <f>IF(AND('Month 05'!L311&lt;&gt;"",N('Month 05'!I311)&gt;0),'Month 05'!I311,"")</f>
        <v/>
      </c>
      <c r="D1282">
        <f>IF(C1282="","",IF(N('Month 05'!J311)&gt;0,'Month 05'!J311,1))</f>
        <v/>
      </c>
      <c r="E1282">
        <f>IF(OR(C1282="",D1282=""),"",IF(D1282=1,C1282,ROUND(C1282*(1+D1282/30),1)))</f>
        <v/>
      </c>
    </row>
    <row r="1283">
      <c r="A1283">
        <f>'Month 05'!B300</f>
        <v/>
      </c>
      <c r="B1283" t="inlineStr">
        <is>
          <t>Bench Press</t>
        </is>
      </c>
      <c r="C1283">
        <f>IF(AND('Month 05'!L312&lt;&gt;"",N('Month 05'!I312)&gt;0),'Month 05'!I312,"")</f>
        <v/>
      </c>
      <c r="D1283">
        <f>IF(C1283="","",IF(N('Month 05'!J312)&gt;0,'Month 05'!J312,1))</f>
        <v/>
      </c>
      <c r="E1283">
        <f>IF(OR(C1283="",D1283=""),"",IF(D1283=1,C1283,ROUND(C1283*(1+D1283/30),1)))</f>
        <v/>
      </c>
    </row>
    <row r="1284">
      <c r="A1284">
        <f>'Month 05'!B300</f>
        <v/>
      </c>
      <c r="B1284" t="inlineStr">
        <is>
          <t>Barbell Row</t>
        </is>
      </c>
      <c r="C1284">
        <f>IF(AND('Month 05'!L314&lt;&gt;"",N('Month 05'!I314)&gt;0),'Month 05'!I314,"")</f>
        <v/>
      </c>
      <c r="D1284">
        <f>IF(C1284="","",IF(N('Month 05'!J314)&gt;0,'Month 05'!J314,1))</f>
        <v/>
      </c>
      <c r="E1284">
        <f>IF(OR(C1284="",D1284=""),"",IF(D1284=1,C1284,ROUND(C1284*(1+D1284/30),1)))</f>
        <v/>
      </c>
    </row>
    <row r="1285">
      <c r="A1285">
        <f>'Month 05'!B300</f>
        <v/>
      </c>
      <c r="B1285" t="inlineStr">
        <is>
          <t>Barbell Row</t>
        </is>
      </c>
      <c r="C1285">
        <f>IF(AND('Month 05'!L315&lt;&gt;"",N('Month 05'!I315)&gt;0),'Month 05'!I315,"")</f>
        <v/>
      </c>
      <c r="D1285">
        <f>IF(C1285="","",IF(N('Month 05'!J315)&gt;0,'Month 05'!J315,1))</f>
        <v/>
      </c>
      <c r="E1285">
        <f>IF(OR(C1285="",D1285=""),"",IF(D1285=1,C1285,ROUND(C1285*(1+D1285/30),1)))</f>
        <v/>
      </c>
    </row>
    <row r="1286">
      <c r="A1286">
        <f>'Month 05'!B300</f>
        <v/>
      </c>
      <c r="B1286" t="inlineStr">
        <is>
          <t>Face Pull</t>
        </is>
      </c>
      <c r="C1286">
        <f>IF(AND('Month 05'!L317&lt;&gt;"",N('Month 05'!I317)&gt;0),'Month 05'!I317,"")</f>
        <v/>
      </c>
      <c r="D1286">
        <f>IF(C1286="","",IF(N('Month 05'!J317)&gt;0,'Month 05'!J317,1))</f>
        <v/>
      </c>
      <c r="E1286">
        <f>IF(OR(C1286="",D1286=""),"",IF(D1286=1,C1286,ROUND(C1286*(1+D1286/30),1)))</f>
        <v/>
      </c>
    </row>
    <row r="1287">
      <c r="A1287">
        <f>'Month 05'!B300</f>
        <v/>
      </c>
      <c r="B1287" t="inlineStr">
        <is>
          <t>Face Pull</t>
        </is>
      </c>
      <c r="C1287">
        <f>IF(AND('Month 05'!L318&lt;&gt;"",N('Month 05'!I318)&gt;0),'Month 05'!I318,"")</f>
        <v/>
      </c>
      <c r="D1287">
        <f>IF(C1287="","",IF(N('Month 05'!J318)&gt;0,'Month 05'!J318,1))</f>
        <v/>
      </c>
      <c r="E1287">
        <f>IF(OR(C1287="",D1287=""),"",IF(D1287=1,C1287,ROUND(C1287*(1+D1287/30),1)))</f>
        <v/>
      </c>
    </row>
    <row r="1288">
      <c r="A1288">
        <f>'Month 05'!B319</f>
        <v/>
      </c>
      <c r="B1288" t="inlineStr">
        <is>
          <t>Broad Jump</t>
        </is>
      </c>
      <c r="C1288">
        <f>IF(AND('Month 05'!L321&lt;&gt;"",N('Month 05'!I321)&gt;0),'Month 05'!I321,"")</f>
        <v/>
      </c>
      <c r="D1288">
        <f>IF(C1288="","",IF(N('Month 05'!J321)&gt;0,'Month 05'!J321,1))</f>
        <v/>
      </c>
      <c r="E1288">
        <f>IF(OR(C1288="",D1288=""),"",IF(D1288=1,C1288,ROUND(C1288*(1+D1288/30),1)))</f>
        <v/>
      </c>
    </row>
    <row r="1289">
      <c r="A1289">
        <f>'Month 05'!B319</f>
        <v/>
      </c>
      <c r="B1289" t="inlineStr">
        <is>
          <t>Broad Jump</t>
        </is>
      </c>
      <c r="C1289">
        <f>IF(AND('Month 05'!L322&lt;&gt;"",N('Month 05'!I322)&gt;0),'Month 05'!I322,"")</f>
        <v/>
      </c>
      <c r="D1289">
        <f>IF(C1289="","",IF(N('Month 05'!J322)&gt;0,'Month 05'!J322,1))</f>
        <v/>
      </c>
      <c r="E1289">
        <f>IF(OR(C1289="",D1289=""),"",IF(D1289=1,C1289,ROUND(C1289*(1+D1289/30),1)))</f>
        <v/>
      </c>
    </row>
    <row r="1290">
      <c r="A1290">
        <f>'Month 05'!B319</f>
        <v/>
      </c>
      <c r="B1290" t="inlineStr">
        <is>
          <t>Med Ball Chest Pass</t>
        </is>
      </c>
      <c r="C1290">
        <f>IF(AND('Month 05'!L324&lt;&gt;"",N('Month 05'!I324)&gt;0),'Month 05'!I324,"")</f>
        <v/>
      </c>
      <c r="D1290">
        <f>IF(C1290="","",IF(N('Month 05'!J324)&gt;0,'Month 05'!J324,1))</f>
        <v/>
      </c>
      <c r="E1290">
        <f>IF(OR(C1290="",D1290=""),"",IF(D1290=1,C1290,ROUND(C1290*(1+D1290/30),1)))</f>
        <v/>
      </c>
    </row>
    <row r="1291">
      <c r="A1291">
        <f>'Month 05'!B319</f>
        <v/>
      </c>
      <c r="B1291" t="inlineStr">
        <is>
          <t>Med Ball Chest Pass</t>
        </is>
      </c>
      <c r="C1291">
        <f>IF(AND('Month 05'!L325&lt;&gt;"",N('Month 05'!I325)&gt;0),'Month 05'!I325,"")</f>
        <v/>
      </c>
      <c r="D1291">
        <f>IF(C1291="","",IF(N('Month 05'!J325)&gt;0,'Month 05'!J325,1))</f>
        <v/>
      </c>
      <c r="E1291">
        <f>IF(OR(C1291="",D1291=""),"",IF(D1291=1,C1291,ROUND(C1291*(1+D1291/30),1)))</f>
        <v/>
      </c>
    </row>
    <row r="1292">
      <c r="A1292">
        <f>'Month 05'!B319</f>
        <v/>
      </c>
      <c r="B1292" t="inlineStr">
        <is>
          <t>Clean &amp; Jerk</t>
        </is>
      </c>
      <c r="C1292">
        <f>IF(AND('Month 05'!L327&lt;&gt;"",N('Month 05'!I327)&gt;0),'Month 05'!I327,"")</f>
        <v/>
      </c>
      <c r="D1292">
        <f>IF(C1292="","",IF(N('Month 05'!J327)&gt;0,'Month 05'!J327,1))</f>
        <v/>
      </c>
      <c r="E1292">
        <f>IF(OR(C1292="",D1292=""),"",IF(D1292=1,C1292,ROUND(C1292*(1+D1292/30),1)))</f>
        <v/>
      </c>
    </row>
    <row r="1293">
      <c r="A1293">
        <f>'Month 05'!B319</f>
        <v/>
      </c>
      <c r="B1293" t="inlineStr">
        <is>
          <t>Clean &amp; Jerk</t>
        </is>
      </c>
      <c r="C1293">
        <f>IF(AND('Month 05'!L328&lt;&gt;"",N('Month 05'!I328)&gt;0),'Month 05'!I328,"")</f>
        <v/>
      </c>
      <c r="D1293">
        <f>IF(C1293="","",IF(N('Month 05'!J328)&gt;0,'Month 05'!J328,1))</f>
        <v/>
      </c>
      <c r="E1293">
        <f>IF(OR(C1293="",D1293=""),"",IF(D1293=1,C1293,ROUND(C1293*(1+D1293/30),1)))</f>
        <v/>
      </c>
    </row>
    <row r="1294">
      <c r="A1294">
        <f>'Month 05'!B319</f>
        <v/>
      </c>
      <c r="B1294" t="inlineStr">
        <is>
          <t>Squat</t>
        </is>
      </c>
      <c r="C1294">
        <f>IF(AND('Month 05'!L330&lt;&gt;"",N('Month 05'!I330)&gt;0),'Month 05'!I330,"")</f>
        <v/>
      </c>
      <c r="D1294">
        <f>IF(C1294="","",IF(N('Month 05'!J330)&gt;0,'Month 05'!J330,1))</f>
        <v/>
      </c>
      <c r="E1294">
        <f>IF(OR(C1294="",D1294=""),"",IF(D1294=1,C1294,ROUND(C1294*(1+D1294/30),1)))</f>
        <v/>
      </c>
    </row>
    <row r="1295">
      <c r="A1295">
        <f>'Month 05'!B319</f>
        <v/>
      </c>
      <c r="B1295" t="inlineStr">
        <is>
          <t>Squat</t>
        </is>
      </c>
      <c r="C1295">
        <f>IF(AND('Month 05'!L331&lt;&gt;"",N('Month 05'!I331)&gt;0),'Month 05'!I331,"")</f>
        <v/>
      </c>
      <c r="D1295">
        <f>IF(C1295="","",IF(N('Month 05'!J331)&gt;0,'Month 05'!J331,1))</f>
        <v/>
      </c>
      <c r="E1295">
        <f>IF(OR(C1295="",D1295=""),"",IF(D1295=1,C1295,ROUND(C1295*(1+D1295/30),1)))</f>
        <v/>
      </c>
    </row>
    <row r="1296">
      <c r="A1296">
        <f>'Month 05'!B319</f>
        <v/>
      </c>
      <c r="B1296" t="inlineStr">
        <is>
          <t>Overhead Press</t>
        </is>
      </c>
      <c r="C1296">
        <f>IF(AND('Month 05'!L333&lt;&gt;"",N('Month 05'!I333)&gt;0),'Month 05'!I333,"")</f>
        <v/>
      </c>
      <c r="D1296">
        <f>IF(C1296="","",IF(N('Month 05'!J333)&gt;0,'Month 05'!J333,1))</f>
        <v/>
      </c>
      <c r="E1296">
        <f>IF(OR(C1296="",D1296=""),"",IF(D1296=1,C1296,ROUND(C1296*(1+D1296/30),1)))</f>
        <v/>
      </c>
    </row>
    <row r="1297">
      <c r="A1297">
        <f>'Month 05'!B319</f>
        <v/>
      </c>
      <c r="B1297" t="inlineStr">
        <is>
          <t>Overhead Press</t>
        </is>
      </c>
      <c r="C1297">
        <f>IF(AND('Month 05'!L334&lt;&gt;"",N('Month 05'!I334)&gt;0),'Month 05'!I334,"")</f>
        <v/>
      </c>
      <c r="D1297">
        <f>IF(C1297="","",IF(N('Month 05'!J334)&gt;0,'Month 05'!J334,1))</f>
        <v/>
      </c>
      <c r="E1297">
        <f>IF(OR(C1297="",D1297=""),"",IF(D1297=1,C1297,ROUND(C1297*(1+D1297/30),1)))</f>
        <v/>
      </c>
    </row>
    <row r="1298">
      <c r="A1298">
        <f>'Month 05'!B319</f>
        <v/>
      </c>
      <c r="B1298" t="inlineStr">
        <is>
          <t>Deadlift</t>
        </is>
      </c>
      <c r="C1298">
        <f>IF(AND('Month 05'!L336&lt;&gt;"",N('Month 05'!I336)&gt;0),'Month 05'!I336,"")</f>
        <v/>
      </c>
      <c r="D1298">
        <f>IF(C1298="","",IF(N('Month 05'!J336)&gt;0,'Month 05'!J336,1))</f>
        <v/>
      </c>
      <c r="E1298">
        <f>IF(OR(C1298="",D1298=""),"",IF(D1298=1,C1298,ROUND(C1298*(1+D1298/30),1)))</f>
        <v/>
      </c>
    </row>
    <row r="1299">
      <c r="A1299">
        <f>'Month 05'!B319</f>
        <v/>
      </c>
      <c r="B1299" t="inlineStr">
        <is>
          <t>Deadlift</t>
        </is>
      </c>
      <c r="C1299">
        <f>IF(AND('Month 05'!L337&lt;&gt;"",N('Month 05'!I337)&gt;0),'Month 05'!I337,"")</f>
        <v/>
      </c>
      <c r="D1299">
        <f>IF(C1299="","",IF(N('Month 05'!J337)&gt;0,'Month 05'!J337,1))</f>
        <v/>
      </c>
      <c r="E1299">
        <f>IF(OR(C1299="",D1299=""),"",IF(D1299=1,C1299,ROUND(C1299*(1+D1299/30),1)))</f>
        <v/>
      </c>
    </row>
    <row r="1300">
      <c r="A1300">
        <f>'Month 05'!B319</f>
        <v/>
      </c>
      <c r="B1300" t="inlineStr">
        <is>
          <t>Chin-up</t>
        </is>
      </c>
      <c r="C1300">
        <f>IF(AND('Month 05'!L339&lt;&gt;"",N('Month 05'!I339)&gt;0),'Month 05'!I339,"")</f>
        <v/>
      </c>
      <c r="D1300">
        <f>IF(C1300="","",IF(N('Month 05'!J339)&gt;0,'Month 05'!J339,1))</f>
        <v/>
      </c>
      <c r="E1300">
        <f>IF(OR(C1300="",D1300=""),"",IF(D1300=1,C1300,ROUND(C1300*(1+D1300/30),1)))</f>
        <v/>
      </c>
    </row>
    <row r="1301">
      <c r="A1301">
        <f>'Month 05'!B319</f>
        <v/>
      </c>
      <c r="B1301" t="inlineStr">
        <is>
          <t>Chin-up</t>
        </is>
      </c>
      <c r="C1301">
        <f>IF(AND('Month 05'!L340&lt;&gt;"",N('Month 05'!I340)&gt;0),'Month 05'!I340,"")</f>
        <v/>
      </c>
      <c r="D1301">
        <f>IF(C1301="","",IF(N('Month 05'!J340)&gt;0,'Month 05'!J340,1))</f>
        <v/>
      </c>
      <c r="E1301">
        <f>IF(OR(C1301="",D1301=""),"",IF(D1301=1,C1301,ROUND(C1301*(1+D1301/30),1)))</f>
        <v/>
      </c>
    </row>
    <row r="1302">
      <c r="A1302">
        <f>'Month 05'!B319</f>
        <v/>
      </c>
      <c r="B1302" t="inlineStr">
        <is>
          <t>Plank</t>
        </is>
      </c>
      <c r="C1302">
        <f>IF(AND('Month 05'!L342&lt;&gt;"",N('Month 05'!I342)&gt;0),'Month 05'!I342,"")</f>
        <v/>
      </c>
      <c r="D1302">
        <f>IF(C1302="","",IF(N('Month 05'!J342)&gt;0,'Month 05'!J342,1))</f>
        <v/>
      </c>
      <c r="E1302">
        <f>IF(OR(C1302="",D1302=""),"",IF(D1302=1,C1302,ROUND(C1302*(1+D1302/30),1)))</f>
        <v/>
      </c>
    </row>
    <row r="1303">
      <c r="A1303">
        <f>'Month 05'!B319</f>
        <v/>
      </c>
      <c r="B1303" t="inlineStr">
        <is>
          <t>Plank</t>
        </is>
      </c>
      <c r="C1303">
        <f>IF(AND('Month 05'!L343&lt;&gt;"",N('Month 05'!I343)&gt;0),'Month 05'!I343,"")</f>
        <v/>
      </c>
      <c r="D1303">
        <f>IF(C1303="","",IF(N('Month 05'!J343)&gt;0,'Month 05'!J343,1))</f>
        <v/>
      </c>
      <c r="E1303">
        <f>IF(OR(C1303="",D1303=""),"",IF(D1303=1,C1303,ROUND(C1303*(1+D1303/30),1)))</f>
        <v/>
      </c>
    </row>
    <row r="1304">
      <c r="A1304">
        <f>'Month 05'!B344</f>
        <v/>
      </c>
      <c r="B1304" t="inlineStr">
        <is>
          <t>Plyo Push-up</t>
        </is>
      </c>
      <c r="C1304">
        <f>IF(AND('Month 05'!L346&lt;&gt;"",N('Month 05'!I346)&gt;0),'Month 05'!I346,"")</f>
        <v/>
      </c>
      <c r="D1304">
        <f>IF(C1304="","",IF(N('Month 05'!J346)&gt;0,'Month 05'!J346,1))</f>
        <v/>
      </c>
      <c r="E1304">
        <f>IF(OR(C1304="",D1304=""),"",IF(D1304=1,C1304,ROUND(C1304*(1+D1304/30),1)))</f>
        <v/>
      </c>
    </row>
    <row r="1305">
      <c r="A1305">
        <f>'Month 05'!B344</f>
        <v/>
      </c>
      <c r="B1305" t="inlineStr">
        <is>
          <t>Plyo Push-up</t>
        </is>
      </c>
      <c r="C1305">
        <f>IF(AND('Month 05'!L347&lt;&gt;"",N('Month 05'!I347)&gt;0),'Month 05'!I347,"")</f>
        <v/>
      </c>
      <c r="D1305">
        <f>IF(C1305="","",IF(N('Month 05'!J347)&gt;0,'Month 05'!J347,1))</f>
        <v/>
      </c>
      <c r="E1305">
        <f>IF(OR(C1305="",D1305=""),"",IF(D1305=1,C1305,ROUND(C1305*(1+D1305/30),1)))</f>
        <v/>
      </c>
    </row>
    <row r="1306">
      <c r="A1306">
        <f>'Month 05'!B344</f>
        <v/>
      </c>
      <c r="B1306" t="inlineStr">
        <is>
          <t>Snatch Balance</t>
        </is>
      </c>
      <c r="C1306">
        <f>IF(AND('Month 05'!L349&lt;&gt;"",N('Month 05'!I349)&gt;0),'Month 05'!I349,"")</f>
        <v/>
      </c>
      <c r="D1306">
        <f>IF(C1306="","",IF(N('Month 05'!J349)&gt;0,'Month 05'!J349,1))</f>
        <v/>
      </c>
      <c r="E1306">
        <f>IF(OR(C1306="",D1306=""),"",IF(D1306=1,C1306,ROUND(C1306*(1+D1306/30),1)))</f>
        <v/>
      </c>
    </row>
    <row r="1307">
      <c r="A1307">
        <f>'Month 05'!B344</f>
        <v/>
      </c>
      <c r="B1307" t="inlineStr">
        <is>
          <t>Snatch Balance</t>
        </is>
      </c>
      <c r="C1307">
        <f>IF(AND('Month 05'!L350&lt;&gt;"",N('Month 05'!I350)&gt;0),'Month 05'!I350,"")</f>
        <v/>
      </c>
      <c r="D1307">
        <f>IF(C1307="","",IF(N('Month 05'!J350)&gt;0,'Month 05'!J350,1))</f>
        <v/>
      </c>
      <c r="E1307">
        <f>IF(OR(C1307="",D1307=""),"",IF(D1307=1,C1307,ROUND(C1307*(1+D1307/30),1)))</f>
        <v/>
      </c>
    </row>
    <row r="1308">
      <c r="A1308">
        <f>'Month 05'!B344</f>
        <v/>
      </c>
      <c r="B1308" t="inlineStr">
        <is>
          <t>Pin Squat</t>
        </is>
      </c>
      <c r="C1308">
        <f>IF(AND('Month 05'!L352&lt;&gt;"",N('Month 05'!I352)&gt;0),'Month 05'!I352,"")</f>
        <v/>
      </c>
      <c r="D1308">
        <f>IF(C1308="","",IF(N('Month 05'!J352)&gt;0,'Month 05'!J352,1))</f>
        <v/>
      </c>
      <c r="E1308">
        <f>IF(OR(C1308="",D1308=""),"",IF(D1308=1,C1308,ROUND(C1308*(1+D1308/30),1)))</f>
        <v/>
      </c>
    </row>
    <row r="1309">
      <c r="A1309">
        <f>'Month 05'!B344</f>
        <v/>
      </c>
      <c r="B1309" t="inlineStr">
        <is>
          <t>Pin Squat</t>
        </is>
      </c>
      <c r="C1309">
        <f>IF(AND('Month 05'!L353&lt;&gt;"",N('Month 05'!I353)&gt;0),'Month 05'!I353,"")</f>
        <v/>
      </c>
      <c r="D1309">
        <f>IF(C1309="","",IF(N('Month 05'!J353)&gt;0,'Month 05'!J353,1))</f>
        <v/>
      </c>
      <c r="E1309">
        <f>IF(OR(C1309="",D1309=""),"",IF(D1309=1,C1309,ROUND(C1309*(1+D1309/30),1)))</f>
        <v/>
      </c>
    </row>
    <row r="1310">
      <c r="A1310">
        <f>'Month 05'!B344</f>
        <v/>
      </c>
      <c r="B1310" t="inlineStr">
        <is>
          <t>Floor Press</t>
        </is>
      </c>
      <c r="C1310">
        <f>IF(AND('Month 05'!L355&lt;&gt;"",N('Month 05'!I355)&gt;0),'Month 05'!I355,"")</f>
        <v/>
      </c>
      <c r="D1310">
        <f>IF(C1310="","",IF(N('Month 05'!J355)&gt;0,'Month 05'!J355,1))</f>
        <v/>
      </c>
      <c r="E1310">
        <f>IF(OR(C1310="",D1310=""),"",IF(D1310=1,C1310,ROUND(C1310*(1+D1310/30),1)))</f>
        <v/>
      </c>
    </row>
    <row r="1311">
      <c r="A1311">
        <f>'Month 05'!B344</f>
        <v/>
      </c>
      <c r="B1311" t="inlineStr">
        <is>
          <t>Floor Press</t>
        </is>
      </c>
      <c r="C1311">
        <f>IF(AND('Month 05'!L356&lt;&gt;"",N('Month 05'!I356)&gt;0),'Month 05'!I356,"")</f>
        <v/>
      </c>
      <c r="D1311">
        <f>IF(C1311="","",IF(N('Month 05'!J356)&gt;0,'Month 05'!J356,1))</f>
        <v/>
      </c>
      <c r="E1311">
        <f>IF(OR(C1311="",D1311=""),"",IF(D1311=1,C1311,ROUND(C1311*(1+D1311/30),1)))</f>
        <v/>
      </c>
    </row>
    <row r="1312">
      <c r="A1312">
        <f>'Month 05'!B344</f>
        <v/>
      </c>
      <c r="B1312" t="inlineStr">
        <is>
          <t>Romanian Deadlift</t>
        </is>
      </c>
      <c r="C1312">
        <f>IF(AND('Month 05'!L358&lt;&gt;"",N('Month 05'!I358)&gt;0),'Month 05'!I358,"")</f>
        <v/>
      </c>
      <c r="D1312">
        <f>IF(C1312="","",IF(N('Month 05'!J358)&gt;0,'Month 05'!J358,1))</f>
        <v/>
      </c>
      <c r="E1312">
        <f>IF(OR(C1312="",D1312=""),"",IF(D1312=1,C1312,ROUND(C1312*(1+D1312/30),1)))</f>
        <v/>
      </c>
    </row>
    <row r="1313">
      <c r="A1313">
        <f>'Month 05'!B344</f>
        <v/>
      </c>
      <c r="B1313" t="inlineStr">
        <is>
          <t>Romanian Deadlift</t>
        </is>
      </c>
      <c r="C1313">
        <f>IF(AND('Month 05'!L359&lt;&gt;"",N('Month 05'!I359)&gt;0),'Month 05'!I359,"")</f>
        <v/>
      </c>
      <c r="D1313">
        <f>IF(C1313="","",IF(N('Month 05'!J359)&gt;0,'Month 05'!J359,1))</f>
        <v/>
      </c>
      <c r="E1313">
        <f>IF(OR(C1313="",D1313=""),"",IF(D1313=1,C1313,ROUND(C1313*(1+D1313/30),1)))</f>
        <v/>
      </c>
    </row>
    <row r="1314">
      <c r="A1314">
        <f>'Month 05'!B344</f>
        <v/>
      </c>
      <c r="B1314" t="inlineStr">
        <is>
          <t>Incline Dumbbell Press</t>
        </is>
      </c>
      <c r="C1314">
        <f>IF(AND('Month 05'!L361&lt;&gt;"",N('Month 05'!I361)&gt;0),'Month 05'!I361,"")</f>
        <v/>
      </c>
      <c r="D1314">
        <f>IF(C1314="","",IF(N('Month 05'!J361)&gt;0,'Month 05'!J361,1))</f>
        <v/>
      </c>
      <c r="E1314">
        <f>IF(OR(C1314="",D1314=""),"",IF(D1314=1,C1314,ROUND(C1314*(1+D1314/30),1)))</f>
        <v/>
      </c>
    </row>
    <row r="1315">
      <c r="A1315">
        <f>'Month 05'!B344</f>
        <v/>
      </c>
      <c r="B1315" t="inlineStr">
        <is>
          <t>Incline Dumbbell Press</t>
        </is>
      </c>
      <c r="C1315">
        <f>IF(AND('Month 05'!L362&lt;&gt;"",N('Month 05'!I362)&gt;0),'Month 05'!I362,"")</f>
        <v/>
      </c>
      <c r="D1315">
        <f>IF(C1315="","",IF(N('Month 05'!J362)&gt;0,'Month 05'!J362,1))</f>
        <v/>
      </c>
      <c r="E1315">
        <f>IF(OR(C1315="",D1315=""),"",IF(D1315=1,C1315,ROUND(C1315*(1+D1315/30),1)))</f>
        <v/>
      </c>
    </row>
    <row r="1316">
      <c r="A1316">
        <f>'Month 05'!B344</f>
        <v/>
      </c>
      <c r="B1316" t="inlineStr">
        <is>
          <t>Triceps Pushdown</t>
        </is>
      </c>
      <c r="C1316">
        <f>IF(AND('Month 05'!L364&lt;&gt;"",N('Month 05'!I364)&gt;0),'Month 05'!I364,"")</f>
        <v/>
      </c>
      <c r="D1316">
        <f>IF(C1316="","",IF(N('Month 05'!J364)&gt;0,'Month 05'!J364,1))</f>
        <v/>
      </c>
      <c r="E1316">
        <f>IF(OR(C1316="",D1316=""),"",IF(D1316=1,C1316,ROUND(C1316*(1+D1316/30),1)))</f>
        <v/>
      </c>
    </row>
    <row r="1317">
      <c r="A1317">
        <f>'Month 05'!B344</f>
        <v/>
      </c>
      <c r="B1317" t="inlineStr">
        <is>
          <t>Triceps Pushdown</t>
        </is>
      </c>
      <c r="C1317">
        <f>IF(AND('Month 05'!L365&lt;&gt;"",N('Month 05'!I365)&gt;0),'Month 05'!I365,"")</f>
        <v/>
      </c>
      <c r="D1317">
        <f>IF(C1317="","",IF(N('Month 05'!J365)&gt;0,'Month 05'!J365,1))</f>
        <v/>
      </c>
      <c r="E1317">
        <f>IF(OR(C1317="",D1317=""),"",IF(D1317=1,C1317,ROUND(C1317*(1+D1317/30),1)))</f>
        <v/>
      </c>
    </row>
    <row r="1318">
      <c r="A1318">
        <f>'Month 06'!B7</f>
        <v/>
      </c>
      <c r="B1318" t="inlineStr">
        <is>
          <t>Box Jump</t>
        </is>
      </c>
      <c r="C1318">
        <f>IF(AND('Month 06'!L9&lt;&gt;"",N('Month 06'!I9)&gt;0),'Month 06'!I9,"")</f>
        <v/>
      </c>
      <c r="D1318">
        <f>IF(C1318="","",IF(N('Month 06'!J9)&gt;0,'Month 06'!J9,1))</f>
        <v/>
      </c>
      <c r="E1318">
        <f>IF(OR(C1318="",D1318=""),"",IF(D1318=1,C1318,ROUND(C1318*(1+D1318/30),1)))</f>
        <v/>
      </c>
    </row>
    <row r="1319">
      <c r="A1319">
        <f>'Month 06'!B7</f>
        <v/>
      </c>
      <c r="B1319" t="inlineStr">
        <is>
          <t>Box Jump</t>
        </is>
      </c>
      <c r="C1319">
        <f>IF(AND('Month 06'!L10&lt;&gt;"",N('Month 06'!I10)&gt;0),'Month 06'!I10,"")</f>
        <v/>
      </c>
      <c r="D1319">
        <f>IF(C1319="","",IF(N('Month 06'!J10)&gt;0,'Month 06'!J10,1))</f>
        <v/>
      </c>
      <c r="E1319">
        <f>IF(OR(C1319="",D1319=""),"",IF(D1319=1,C1319,ROUND(C1319*(1+D1319/30),1)))</f>
        <v/>
      </c>
    </row>
    <row r="1320">
      <c r="A1320">
        <f>'Month 06'!B7</f>
        <v/>
      </c>
      <c r="B1320" t="inlineStr">
        <is>
          <t>Box Jump</t>
        </is>
      </c>
      <c r="C1320">
        <f>IF(AND('Month 06'!L11&lt;&gt;"",N('Month 06'!I11)&gt;0),'Month 06'!I11,"")</f>
        <v/>
      </c>
      <c r="D1320">
        <f>IF(C1320="","",IF(N('Month 06'!J11)&gt;0,'Month 06'!J11,1))</f>
        <v/>
      </c>
      <c r="E1320">
        <f>IF(OR(C1320="",D1320=""),"",IF(D1320=1,C1320,ROUND(C1320*(1+D1320/30),1)))</f>
        <v/>
      </c>
    </row>
    <row r="1321">
      <c r="A1321">
        <f>'Month 06'!B7</f>
        <v/>
      </c>
      <c r="B1321" t="inlineStr">
        <is>
          <t>Snatch</t>
        </is>
      </c>
      <c r="C1321">
        <f>IF(AND('Month 06'!L13&lt;&gt;"",N('Month 06'!I13)&gt;0),'Month 06'!I13,"")</f>
        <v/>
      </c>
      <c r="D1321">
        <f>IF(C1321="","",IF(N('Month 06'!J13)&gt;0,'Month 06'!J13,1))</f>
        <v/>
      </c>
      <c r="E1321">
        <f>IF(OR(C1321="",D1321=""),"",IF(D1321=1,C1321,ROUND(C1321*(1+D1321/30),1)))</f>
        <v/>
      </c>
    </row>
    <row r="1322">
      <c r="A1322">
        <f>'Month 06'!B7</f>
        <v/>
      </c>
      <c r="B1322" t="inlineStr">
        <is>
          <t>Snatch</t>
        </is>
      </c>
      <c r="C1322">
        <f>IF(AND('Month 06'!L14&lt;&gt;"",N('Month 06'!I14)&gt;0),'Month 06'!I14,"")</f>
        <v/>
      </c>
      <c r="D1322">
        <f>IF(C1322="","",IF(N('Month 06'!J14)&gt;0,'Month 06'!J14,1))</f>
        <v/>
      </c>
      <c r="E1322">
        <f>IF(OR(C1322="",D1322=""),"",IF(D1322=1,C1322,ROUND(C1322*(1+D1322/30),1)))</f>
        <v/>
      </c>
    </row>
    <row r="1323">
      <c r="A1323">
        <f>'Month 06'!B7</f>
        <v/>
      </c>
      <c r="B1323" t="inlineStr">
        <is>
          <t>Snatch</t>
        </is>
      </c>
      <c r="C1323">
        <f>IF(AND('Month 06'!L15&lt;&gt;"",N('Month 06'!I15)&gt;0),'Month 06'!I15,"")</f>
        <v/>
      </c>
      <c r="D1323">
        <f>IF(C1323="","",IF(N('Month 06'!J15)&gt;0,'Month 06'!J15,1))</f>
        <v/>
      </c>
      <c r="E1323">
        <f>IF(OR(C1323="",D1323=""),"",IF(D1323=1,C1323,ROUND(C1323*(1+D1323/30),1)))</f>
        <v/>
      </c>
    </row>
    <row r="1324">
      <c r="A1324">
        <f>'Month 06'!B7</f>
        <v/>
      </c>
      <c r="B1324" t="inlineStr">
        <is>
          <t>Snatch</t>
        </is>
      </c>
      <c r="C1324">
        <f>IF(AND('Month 06'!L16&lt;&gt;"",N('Month 06'!I16)&gt;0),'Month 06'!I16,"")</f>
        <v/>
      </c>
      <c r="D1324">
        <f>IF(C1324="","",IF(N('Month 06'!J16)&gt;0,'Month 06'!J16,1))</f>
        <v/>
      </c>
      <c r="E1324">
        <f>IF(OR(C1324="",D1324=""),"",IF(D1324=1,C1324,ROUND(C1324*(1+D1324/30),1)))</f>
        <v/>
      </c>
    </row>
    <row r="1325">
      <c r="A1325">
        <f>'Month 06'!B7</f>
        <v/>
      </c>
      <c r="B1325" t="inlineStr">
        <is>
          <t>Snatch</t>
        </is>
      </c>
      <c r="C1325">
        <f>IF(AND('Month 06'!L17&lt;&gt;"",N('Month 06'!I17)&gt;0),'Month 06'!I17,"")</f>
        <v/>
      </c>
      <c r="D1325">
        <f>IF(C1325="","",IF(N('Month 06'!J17)&gt;0,'Month 06'!J17,1))</f>
        <v/>
      </c>
      <c r="E1325">
        <f>IF(OR(C1325="",D1325=""),"",IF(D1325=1,C1325,ROUND(C1325*(1+D1325/30),1)))</f>
        <v/>
      </c>
    </row>
    <row r="1326">
      <c r="A1326">
        <f>'Month 06'!B7</f>
        <v/>
      </c>
      <c r="B1326" t="inlineStr">
        <is>
          <t>Squat</t>
        </is>
      </c>
      <c r="C1326">
        <f>IF(AND('Month 06'!L19&lt;&gt;"",N('Month 06'!I19)&gt;0),'Month 06'!I19,"")</f>
        <v/>
      </c>
      <c r="D1326">
        <f>IF(C1326="","",IF(N('Month 06'!J19)&gt;0,'Month 06'!J19,1))</f>
        <v/>
      </c>
      <c r="E1326">
        <f>IF(OR(C1326="",D1326=""),"",IF(D1326=1,C1326,ROUND(C1326*(1+D1326/30),1)))</f>
        <v/>
      </c>
    </row>
    <row r="1327">
      <c r="A1327">
        <f>'Month 06'!B7</f>
        <v/>
      </c>
      <c r="B1327" t="inlineStr">
        <is>
          <t>Squat</t>
        </is>
      </c>
      <c r="C1327">
        <f>IF(AND('Month 06'!L20&lt;&gt;"",N('Month 06'!I20)&gt;0),'Month 06'!I20,"")</f>
        <v/>
      </c>
      <c r="D1327">
        <f>IF(C1327="","",IF(N('Month 06'!J20)&gt;0,'Month 06'!J20,1))</f>
        <v/>
      </c>
      <c r="E1327">
        <f>IF(OR(C1327="",D1327=""),"",IF(D1327=1,C1327,ROUND(C1327*(1+D1327/30),1)))</f>
        <v/>
      </c>
    </row>
    <row r="1328">
      <c r="A1328">
        <f>'Month 06'!B7</f>
        <v/>
      </c>
      <c r="B1328" t="inlineStr">
        <is>
          <t>Squat</t>
        </is>
      </c>
      <c r="C1328">
        <f>IF(AND('Month 06'!L21&lt;&gt;"",N('Month 06'!I21)&gt;0),'Month 06'!I21,"")</f>
        <v/>
      </c>
      <c r="D1328">
        <f>IF(C1328="","",IF(N('Month 06'!J21)&gt;0,'Month 06'!J21,1))</f>
        <v/>
      </c>
      <c r="E1328">
        <f>IF(OR(C1328="",D1328=""),"",IF(D1328=1,C1328,ROUND(C1328*(1+D1328/30),1)))</f>
        <v/>
      </c>
    </row>
    <row r="1329">
      <c r="A1329">
        <f>'Month 06'!B7</f>
        <v/>
      </c>
      <c r="B1329" t="inlineStr">
        <is>
          <t>Squat</t>
        </is>
      </c>
      <c r="C1329">
        <f>IF(AND('Month 06'!L22&lt;&gt;"",N('Month 06'!I22)&gt;0),'Month 06'!I22,"")</f>
        <v/>
      </c>
      <c r="D1329">
        <f>IF(C1329="","",IF(N('Month 06'!J22)&gt;0,'Month 06'!J22,1))</f>
        <v/>
      </c>
      <c r="E1329">
        <f>IF(OR(C1329="",D1329=""),"",IF(D1329=1,C1329,ROUND(C1329*(1+D1329/30),1)))</f>
        <v/>
      </c>
    </row>
    <row r="1330">
      <c r="A1330">
        <f>'Month 06'!B7</f>
        <v/>
      </c>
      <c r="B1330" t="inlineStr">
        <is>
          <t>Squat</t>
        </is>
      </c>
      <c r="C1330">
        <f>IF(AND('Month 06'!L23&lt;&gt;"",N('Month 06'!I23)&gt;0),'Month 06'!I23,"")</f>
        <v/>
      </c>
      <c r="D1330">
        <f>IF(C1330="","",IF(N('Month 06'!J23)&gt;0,'Month 06'!J23,1))</f>
        <v/>
      </c>
      <c r="E1330">
        <f>IF(OR(C1330="",D1330=""),"",IF(D1330=1,C1330,ROUND(C1330*(1+D1330/30),1)))</f>
        <v/>
      </c>
    </row>
    <row r="1331">
      <c r="A1331">
        <f>'Month 06'!B7</f>
        <v/>
      </c>
      <c r="B1331" t="inlineStr">
        <is>
          <t>Bench Press</t>
        </is>
      </c>
      <c r="C1331">
        <f>IF(AND('Month 06'!L25&lt;&gt;"",N('Month 06'!I25)&gt;0),'Month 06'!I25,"")</f>
        <v/>
      </c>
      <c r="D1331">
        <f>IF(C1331="","",IF(N('Month 06'!J25)&gt;0,'Month 06'!J25,1))</f>
        <v/>
      </c>
      <c r="E1331">
        <f>IF(OR(C1331="",D1331=""),"",IF(D1331=1,C1331,ROUND(C1331*(1+D1331/30),1)))</f>
        <v/>
      </c>
    </row>
    <row r="1332">
      <c r="A1332">
        <f>'Month 06'!B7</f>
        <v/>
      </c>
      <c r="B1332" t="inlineStr">
        <is>
          <t>Bench Press</t>
        </is>
      </c>
      <c r="C1332">
        <f>IF(AND('Month 06'!L26&lt;&gt;"",N('Month 06'!I26)&gt;0),'Month 06'!I26,"")</f>
        <v/>
      </c>
      <c r="D1332">
        <f>IF(C1332="","",IF(N('Month 06'!J26)&gt;0,'Month 06'!J26,1))</f>
        <v/>
      </c>
      <c r="E1332">
        <f>IF(OR(C1332="",D1332=""),"",IF(D1332=1,C1332,ROUND(C1332*(1+D1332/30),1)))</f>
        <v/>
      </c>
    </row>
    <row r="1333">
      <c r="A1333">
        <f>'Month 06'!B7</f>
        <v/>
      </c>
      <c r="B1333" t="inlineStr">
        <is>
          <t>Bench Press</t>
        </is>
      </c>
      <c r="C1333">
        <f>IF(AND('Month 06'!L27&lt;&gt;"",N('Month 06'!I27)&gt;0),'Month 06'!I27,"")</f>
        <v/>
      </c>
      <c r="D1333">
        <f>IF(C1333="","",IF(N('Month 06'!J27)&gt;0,'Month 06'!J27,1))</f>
        <v/>
      </c>
      <c r="E1333">
        <f>IF(OR(C1333="",D1333=""),"",IF(D1333=1,C1333,ROUND(C1333*(1+D1333/30),1)))</f>
        <v/>
      </c>
    </row>
    <row r="1334">
      <c r="A1334">
        <f>'Month 06'!B7</f>
        <v/>
      </c>
      <c r="B1334" t="inlineStr">
        <is>
          <t>Bench Press</t>
        </is>
      </c>
      <c r="C1334">
        <f>IF(AND('Month 06'!L28&lt;&gt;"",N('Month 06'!I28)&gt;0),'Month 06'!I28,"")</f>
        <v/>
      </c>
      <c r="D1334">
        <f>IF(C1334="","",IF(N('Month 06'!J28)&gt;0,'Month 06'!J28,1))</f>
        <v/>
      </c>
      <c r="E1334">
        <f>IF(OR(C1334="",D1334=""),"",IF(D1334=1,C1334,ROUND(C1334*(1+D1334/30),1)))</f>
        <v/>
      </c>
    </row>
    <row r="1335">
      <c r="A1335">
        <f>'Month 06'!B7</f>
        <v/>
      </c>
      <c r="B1335" t="inlineStr">
        <is>
          <t>Bench Press</t>
        </is>
      </c>
      <c r="C1335">
        <f>IF(AND('Month 06'!L29&lt;&gt;"",N('Month 06'!I29)&gt;0),'Month 06'!I29,"")</f>
        <v/>
      </c>
      <c r="D1335">
        <f>IF(C1335="","",IF(N('Month 06'!J29)&gt;0,'Month 06'!J29,1))</f>
        <v/>
      </c>
      <c r="E1335">
        <f>IF(OR(C1335="",D1335=""),"",IF(D1335=1,C1335,ROUND(C1335*(1+D1335/30),1)))</f>
        <v/>
      </c>
    </row>
    <row r="1336">
      <c r="A1336">
        <f>'Month 06'!B7</f>
        <v/>
      </c>
      <c r="B1336" t="inlineStr">
        <is>
          <t>Barbell Row</t>
        </is>
      </c>
      <c r="C1336">
        <f>IF(AND('Month 06'!L31&lt;&gt;"",N('Month 06'!I31)&gt;0),'Month 06'!I31,"")</f>
        <v/>
      </c>
      <c r="D1336">
        <f>IF(C1336="","",IF(N('Month 06'!J31)&gt;0,'Month 06'!J31,1))</f>
        <v/>
      </c>
      <c r="E1336">
        <f>IF(OR(C1336="",D1336=""),"",IF(D1336=1,C1336,ROUND(C1336*(1+D1336/30),1)))</f>
        <v/>
      </c>
    </row>
    <row r="1337">
      <c r="A1337">
        <f>'Month 06'!B7</f>
        <v/>
      </c>
      <c r="B1337" t="inlineStr">
        <is>
          <t>Barbell Row</t>
        </is>
      </c>
      <c r="C1337">
        <f>IF(AND('Month 06'!L32&lt;&gt;"",N('Month 06'!I32)&gt;0),'Month 06'!I32,"")</f>
        <v/>
      </c>
      <c r="D1337">
        <f>IF(C1337="","",IF(N('Month 06'!J32)&gt;0,'Month 06'!J32,1))</f>
        <v/>
      </c>
      <c r="E1337">
        <f>IF(OR(C1337="",D1337=""),"",IF(D1337=1,C1337,ROUND(C1337*(1+D1337/30),1)))</f>
        <v/>
      </c>
    </row>
    <row r="1338">
      <c r="A1338">
        <f>'Month 06'!B7</f>
        <v/>
      </c>
      <c r="B1338" t="inlineStr">
        <is>
          <t>Barbell Row</t>
        </is>
      </c>
      <c r="C1338">
        <f>IF(AND('Month 06'!L33&lt;&gt;"",N('Month 06'!I33)&gt;0),'Month 06'!I33,"")</f>
        <v/>
      </c>
      <c r="D1338">
        <f>IF(C1338="","",IF(N('Month 06'!J33)&gt;0,'Month 06'!J33,1))</f>
        <v/>
      </c>
      <c r="E1338">
        <f>IF(OR(C1338="",D1338=""),"",IF(D1338=1,C1338,ROUND(C1338*(1+D1338/30),1)))</f>
        <v/>
      </c>
    </row>
    <row r="1339">
      <c r="A1339">
        <f>'Month 06'!B7</f>
        <v/>
      </c>
      <c r="B1339" t="inlineStr">
        <is>
          <t>Face Pull</t>
        </is>
      </c>
      <c r="C1339">
        <f>IF(AND('Month 06'!L35&lt;&gt;"",N('Month 06'!I35)&gt;0),'Month 06'!I35,"")</f>
        <v/>
      </c>
      <c r="D1339">
        <f>IF(C1339="","",IF(N('Month 06'!J35)&gt;0,'Month 06'!J35,1))</f>
        <v/>
      </c>
      <c r="E1339">
        <f>IF(OR(C1339="",D1339=""),"",IF(D1339=1,C1339,ROUND(C1339*(1+D1339/30),1)))</f>
        <v/>
      </c>
    </row>
    <row r="1340">
      <c r="A1340">
        <f>'Month 06'!B7</f>
        <v/>
      </c>
      <c r="B1340" t="inlineStr">
        <is>
          <t>Face Pull</t>
        </is>
      </c>
      <c r="C1340">
        <f>IF(AND('Month 06'!L36&lt;&gt;"",N('Month 06'!I36)&gt;0),'Month 06'!I36,"")</f>
        <v/>
      </c>
      <c r="D1340">
        <f>IF(C1340="","",IF(N('Month 06'!J36)&gt;0,'Month 06'!J36,1))</f>
        <v/>
      </c>
      <c r="E1340">
        <f>IF(OR(C1340="",D1340=""),"",IF(D1340=1,C1340,ROUND(C1340*(1+D1340/30),1)))</f>
        <v/>
      </c>
    </row>
    <row r="1341">
      <c r="A1341">
        <f>'Month 06'!B7</f>
        <v/>
      </c>
      <c r="B1341" t="inlineStr">
        <is>
          <t>Face Pull</t>
        </is>
      </c>
      <c r="C1341">
        <f>IF(AND('Month 06'!L37&lt;&gt;"",N('Month 06'!I37)&gt;0),'Month 06'!I37,"")</f>
        <v/>
      </c>
      <c r="D1341">
        <f>IF(C1341="","",IF(N('Month 06'!J37)&gt;0,'Month 06'!J37,1))</f>
        <v/>
      </c>
      <c r="E1341">
        <f>IF(OR(C1341="",D1341=""),"",IF(D1341=1,C1341,ROUND(C1341*(1+D1341/30),1)))</f>
        <v/>
      </c>
    </row>
    <row r="1342">
      <c r="A1342">
        <f>'Month 06'!B38</f>
        <v/>
      </c>
      <c r="B1342" t="inlineStr">
        <is>
          <t>Broad Jump</t>
        </is>
      </c>
      <c r="C1342">
        <f>IF(AND('Month 06'!L40&lt;&gt;"",N('Month 06'!I40)&gt;0),'Month 06'!I40,"")</f>
        <v/>
      </c>
      <c r="D1342">
        <f>IF(C1342="","",IF(N('Month 06'!J40)&gt;0,'Month 06'!J40,1))</f>
        <v/>
      </c>
      <c r="E1342">
        <f>IF(OR(C1342="",D1342=""),"",IF(D1342=1,C1342,ROUND(C1342*(1+D1342/30),1)))</f>
        <v/>
      </c>
    </row>
    <row r="1343">
      <c r="A1343">
        <f>'Month 06'!B38</f>
        <v/>
      </c>
      <c r="B1343" t="inlineStr">
        <is>
          <t>Broad Jump</t>
        </is>
      </c>
      <c r="C1343">
        <f>IF(AND('Month 06'!L41&lt;&gt;"",N('Month 06'!I41)&gt;0),'Month 06'!I41,"")</f>
        <v/>
      </c>
      <c r="D1343">
        <f>IF(C1343="","",IF(N('Month 06'!J41)&gt;0,'Month 06'!J41,1))</f>
        <v/>
      </c>
      <c r="E1343">
        <f>IF(OR(C1343="",D1343=""),"",IF(D1343=1,C1343,ROUND(C1343*(1+D1343/30),1)))</f>
        <v/>
      </c>
    </row>
    <row r="1344">
      <c r="A1344">
        <f>'Month 06'!B38</f>
        <v/>
      </c>
      <c r="B1344" t="inlineStr">
        <is>
          <t>Broad Jump</t>
        </is>
      </c>
      <c r="C1344">
        <f>IF(AND('Month 06'!L42&lt;&gt;"",N('Month 06'!I42)&gt;0),'Month 06'!I42,"")</f>
        <v/>
      </c>
      <c r="D1344">
        <f>IF(C1344="","",IF(N('Month 06'!J42)&gt;0,'Month 06'!J42,1))</f>
        <v/>
      </c>
      <c r="E1344">
        <f>IF(OR(C1344="",D1344=""),"",IF(D1344=1,C1344,ROUND(C1344*(1+D1344/30),1)))</f>
        <v/>
      </c>
    </row>
    <row r="1345">
      <c r="A1345">
        <f>'Month 06'!B38</f>
        <v/>
      </c>
      <c r="B1345" t="inlineStr">
        <is>
          <t>Med Ball Chest Pass</t>
        </is>
      </c>
      <c r="C1345">
        <f>IF(AND('Month 06'!L44&lt;&gt;"",N('Month 06'!I44)&gt;0),'Month 06'!I44,"")</f>
        <v/>
      </c>
      <c r="D1345">
        <f>IF(C1345="","",IF(N('Month 06'!J44)&gt;0,'Month 06'!J44,1))</f>
        <v/>
      </c>
      <c r="E1345">
        <f>IF(OR(C1345="",D1345=""),"",IF(D1345=1,C1345,ROUND(C1345*(1+D1345/30),1)))</f>
        <v/>
      </c>
    </row>
    <row r="1346">
      <c r="A1346">
        <f>'Month 06'!B38</f>
        <v/>
      </c>
      <c r="B1346" t="inlineStr">
        <is>
          <t>Med Ball Chest Pass</t>
        </is>
      </c>
      <c r="C1346">
        <f>IF(AND('Month 06'!L45&lt;&gt;"",N('Month 06'!I45)&gt;0),'Month 06'!I45,"")</f>
        <v/>
      </c>
      <c r="D1346">
        <f>IF(C1346="","",IF(N('Month 06'!J45)&gt;0,'Month 06'!J45,1))</f>
        <v/>
      </c>
      <c r="E1346">
        <f>IF(OR(C1346="",D1346=""),"",IF(D1346=1,C1346,ROUND(C1346*(1+D1346/30),1)))</f>
        <v/>
      </c>
    </row>
    <row r="1347">
      <c r="A1347">
        <f>'Month 06'!B38</f>
        <v/>
      </c>
      <c r="B1347" t="inlineStr">
        <is>
          <t>Clean &amp; Jerk</t>
        </is>
      </c>
      <c r="C1347">
        <f>IF(AND('Month 06'!L47&lt;&gt;"",N('Month 06'!I47)&gt;0),'Month 06'!I47,"")</f>
        <v/>
      </c>
      <c r="D1347">
        <f>IF(C1347="","",IF(N('Month 06'!J47)&gt;0,'Month 06'!J47,1))</f>
        <v/>
      </c>
      <c r="E1347">
        <f>IF(OR(C1347="",D1347=""),"",IF(D1347=1,C1347,ROUND(C1347*(1+D1347/30),1)))</f>
        <v/>
      </c>
    </row>
    <row r="1348">
      <c r="A1348">
        <f>'Month 06'!B38</f>
        <v/>
      </c>
      <c r="B1348" t="inlineStr">
        <is>
          <t>Clean &amp; Jerk</t>
        </is>
      </c>
      <c r="C1348">
        <f>IF(AND('Month 06'!L48&lt;&gt;"",N('Month 06'!I48)&gt;0),'Month 06'!I48,"")</f>
        <v/>
      </c>
      <c r="D1348">
        <f>IF(C1348="","",IF(N('Month 06'!J48)&gt;0,'Month 06'!J48,1))</f>
        <v/>
      </c>
      <c r="E1348">
        <f>IF(OR(C1348="",D1348=""),"",IF(D1348=1,C1348,ROUND(C1348*(1+D1348/30),1)))</f>
        <v/>
      </c>
    </row>
    <row r="1349">
      <c r="A1349">
        <f>'Month 06'!B38</f>
        <v/>
      </c>
      <c r="B1349" t="inlineStr">
        <is>
          <t>Clean &amp; Jerk</t>
        </is>
      </c>
      <c r="C1349">
        <f>IF(AND('Month 06'!L49&lt;&gt;"",N('Month 06'!I49)&gt;0),'Month 06'!I49,"")</f>
        <v/>
      </c>
      <c r="D1349">
        <f>IF(C1349="","",IF(N('Month 06'!J49)&gt;0,'Month 06'!J49,1))</f>
        <v/>
      </c>
      <c r="E1349">
        <f>IF(OR(C1349="",D1349=""),"",IF(D1349=1,C1349,ROUND(C1349*(1+D1349/30),1)))</f>
        <v/>
      </c>
    </row>
    <row r="1350">
      <c r="A1350">
        <f>'Month 06'!B38</f>
        <v/>
      </c>
      <c r="B1350" t="inlineStr">
        <is>
          <t>Clean &amp; Jerk</t>
        </is>
      </c>
      <c r="C1350">
        <f>IF(AND('Month 06'!L50&lt;&gt;"",N('Month 06'!I50)&gt;0),'Month 06'!I50,"")</f>
        <v/>
      </c>
      <c r="D1350">
        <f>IF(C1350="","",IF(N('Month 06'!J50)&gt;0,'Month 06'!J50,1))</f>
        <v/>
      </c>
      <c r="E1350">
        <f>IF(OR(C1350="",D1350=""),"",IF(D1350=1,C1350,ROUND(C1350*(1+D1350/30),1)))</f>
        <v/>
      </c>
    </row>
    <row r="1351">
      <c r="A1351">
        <f>'Month 06'!B38</f>
        <v/>
      </c>
      <c r="B1351" t="inlineStr">
        <is>
          <t>Clean &amp; Jerk</t>
        </is>
      </c>
      <c r="C1351">
        <f>IF(AND('Month 06'!L51&lt;&gt;"",N('Month 06'!I51)&gt;0),'Month 06'!I51,"")</f>
        <v/>
      </c>
      <c r="D1351">
        <f>IF(C1351="","",IF(N('Month 06'!J51)&gt;0,'Month 06'!J51,1))</f>
        <v/>
      </c>
      <c r="E1351">
        <f>IF(OR(C1351="",D1351=""),"",IF(D1351=1,C1351,ROUND(C1351*(1+D1351/30),1)))</f>
        <v/>
      </c>
    </row>
    <row r="1352">
      <c r="A1352">
        <f>'Month 06'!B38</f>
        <v/>
      </c>
      <c r="B1352" t="inlineStr">
        <is>
          <t>Squat</t>
        </is>
      </c>
      <c r="C1352">
        <f>IF(AND('Month 06'!L53&lt;&gt;"",N('Month 06'!I53)&gt;0),'Month 06'!I53,"")</f>
        <v/>
      </c>
      <c r="D1352">
        <f>IF(C1352="","",IF(N('Month 06'!J53)&gt;0,'Month 06'!J53,1))</f>
        <v/>
      </c>
      <c r="E1352">
        <f>IF(OR(C1352="",D1352=""),"",IF(D1352=1,C1352,ROUND(C1352*(1+D1352/30),1)))</f>
        <v/>
      </c>
    </row>
    <row r="1353">
      <c r="A1353">
        <f>'Month 06'!B38</f>
        <v/>
      </c>
      <c r="B1353" t="inlineStr">
        <is>
          <t>Squat</t>
        </is>
      </c>
      <c r="C1353">
        <f>IF(AND('Month 06'!L54&lt;&gt;"",N('Month 06'!I54)&gt;0),'Month 06'!I54,"")</f>
        <v/>
      </c>
      <c r="D1353">
        <f>IF(C1353="","",IF(N('Month 06'!J54)&gt;0,'Month 06'!J54,1))</f>
        <v/>
      </c>
      <c r="E1353">
        <f>IF(OR(C1353="",D1353=""),"",IF(D1353=1,C1353,ROUND(C1353*(1+D1353/30),1)))</f>
        <v/>
      </c>
    </row>
    <row r="1354">
      <c r="A1354">
        <f>'Month 06'!B38</f>
        <v/>
      </c>
      <c r="B1354" t="inlineStr">
        <is>
          <t>Squat</t>
        </is>
      </c>
      <c r="C1354">
        <f>IF(AND('Month 06'!L55&lt;&gt;"",N('Month 06'!I55)&gt;0),'Month 06'!I55,"")</f>
        <v/>
      </c>
      <c r="D1354">
        <f>IF(C1354="","",IF(N('Month 06'!J55)&gt;0,'Month 06'!J55,1))</f>
        <v/>
      </c>
      <c r="E1354">
        <f>IF(OR(C1354="",D1354=""),"",IF(D1354=1,C1354,ROUND(C1354*(1+D1354/30),1)))</f>
        <v/>
      </c>
    </row>
    <row r="1355">
      <c r="A1355">
        <f>'Month 06'!B38</f>
        <v/>
      </c>
      <c r="B1355" t="inlineStr">
        <is>
          <t>Squat</t>
        </is>
      </c>
      <c r="C1355">
        <f>IF(AND('Month 06'!L56&lt;&gt;"",N('Month 06'!I56)&gt;0),'Month 06'!I56,"")</f>
        <v/>
      </c>
      <c r="D1355">
        <f>IF(C1355="","",IF(N('Month 06'!J56)&gt;0,'Month 06'!J56,1))</f>
        <v/>
      </c>
      <c r="E1355">
        <f>IF(OR(C1355="",D1355=""),"",IF(D1355=1,C1355,ROUND(C1355*(1+D1355/30),1)))</f>
        <v/>
      </c>
    </row>
    <row r="1356">
      <c r="A1356">
        <f>'Month 06'!B38</f>
        <v/>
      </c>
      <c r="B1356" t="inlineStr">
        <is>
          <t>Overhead Press</t>
        </is>
      </c>
      <c r="C1356">
        <f>IF(AND('Month 06'!L58&lt;&gt;"",N('Month 06'!I58)&gt;0),'Month 06'!I58,"")</f>
        <v/>
      </c>
      <c r="D1356">
        <f>IF(C1356="","",IF(N('Month 06'!J58)&gt;0,'Month 06'!J58,1))</f>
        <v/>
      </c>
      <c r="E1356">
        <f>IF(OR(C1356="",D1356=""),"",IF(D1356=1,C1356,ROUND(C1356*(1+D1356/30),1)))</f>
        <v/>
      </c>
    </row>
    <row r="1357">
      <c r="A1357">
        <f>'Month 06'!B38</f>
        <v/>
      </c>
      <c r="B1357" t="inlineStr">
        <is>
          <t>Overhead Press</t>
        </is>
      </c>
      <c r="C1357">
        <f>IF(AND('Month 06'!L59&lt;&gt;"",N('Month 06'!I59)&gt;0),'Month 06'!I59,"")</f>
        <v/>
      </c>
      <c r="D1357">
        <f>IF(C1357="","",IF(N('Month 06'!J59)&gt;0,'Month 06'!J59,1))</f>
        <v/>
      </c>
      <c r="E1357">
        <f>IF(OR(C1357="",D1357=""),"",IF(D1357=1,C1357,ROUND(C1357*(1+D1357/30),1)))</f>
        <v/>
      </c>
    </row>
    <row r="1358">
      <c r="A1358">
        <f>'Month 06'!B38</f>
        <v/>
      </c>
      <c r="B1358" t="inlineStr">
        <is>
          <t>Overhead Press</t>
        </is>
      </c>
      <c r="C1358">
        <f>IF(AND('Month 06'!L60&lt;&gt;"",N('Month 06'!I60)&gt;0),'Month 06'!I60,"")</f>
        <v/>
      </c>
      <c r="D1358">
        <f>IF(C1358="","",IF(N('Month 06'!J60)&gt;0,'Month 06'!J60,1))</f>
        <v/>
      </c>
      <c r="E1358">
        <f>IF(OR(C1358="",D1358=""),"",IF(D1358=1,C1358,ROUND(C1358*(1+D1358/30),1)))</f>
        <v/>
      </c>
    </row>
    <row r="1359">
      <c r="A1359">
        <f>'Month 06'!B38</f>
        <v/>
      </c>
      <c r="B1359" t="inlineStr">
        <is>
          <t>Overhead Press</t>
        </is>
      </c>
      <c r="C1359">
        <f>IF(AND('Month 06'!L61&lt;&gt;"",N('Month 06'!I61)&gt;0),'Month 06'!I61,"")</f>
        <v/>
      </c>
      <c r="D1359">
        <f>IF(C1359="","",IF(N('Month 06'!J61)&gt;0,'Month 06'!J61,1))</f>
        <v/>
      </c>
      <c r="E1359">
        <f>IF(OR(C1359="",D1359=""),"",IF(D1359=1,C1359,ROUND(C1359*(1+D1359/30),1)))</f>
        <v/>
      </c>
    </row>
    <row r="1360">
      <c r="A1360">
        <f>'Month 06'!B38</f>
        <v/>
      </c>
      <c r="B1360" t="inlineStr">
        <is>
          <t>Deadlift</t>
        </is>
      </c>
      <c r="C1360">
        <f>IF(AND('Month 06'!L63&lt;&gt;"",N('Month 06'!I63)&gt;0),'Month 06'!I63,"")</f>
        <v/>
      </c>
      <c r="D1360">
        <f>IF(C1360="","",IF(N('Month 06'!J63)&gt;0,'Month 06'!J63,1))</f>
        <v/>
      </c>
      <c r="E1360">
        <f>IF(OR(C1360="",D1360=""),"",IF(D1360=1,C1360,ROUND(C1360*(1+D1360/30),1)))</f>
        <v/>
      </c>
    </row>
    <row r="1361">
      <c r="A1361">
        <f>'Month 06'!B38</f>
        <v/>
      </c>
      <c r="B1361" t="inlineStr">
        <is>
          <t>Deadlift</t>
        </is>
      </c>
      <c r="C1361">
        <f>IF(AND('Month 06'!L64&lt;&gt;"",N('Month 06'!I64)&gt;0),'Month 06'!I64,"")</f>
        <v/>
      </c>
      <c r="D1361">
        <f>IF(C1361="","",IF(N('Month 06'!J64)&gt;0,'Month 06'!J64,1))</f>
        <v/>
      </c>
      <c r="E1361">
        <f>IF(OR(C1361="",D1361=""),"",IF(D1361=1,C1361,ROUND(C1361*(1+D1361/30),1)))</f>
        <v/>
      </c>
    </row>
    <row r="1362">
      <c r="A1362">
        <f>'Month 06'!B38</f>
        <v/>
      </c>
      <c r="B1362" t="inlineStr">
        <is>
          <t>Deadlift</t>
        </is>
      </c>
      <c r="C1362">
        <f>IF(AND('Month 06'!L65&lt;&gt;"",N('Month 06'!I65)&gt;0),'Month 06'!I65,"")</f>
        <v/>
      </c>
      <c r="D1362">
        <f>IF(C1362="","",IF(N('Month 06'!J65)&gt;0,'Month 06'!J65,1))</f>
        <v/>
      </c>
      <c r="E1362">
        <f>IF(OR(C1362="",D1362=""),"",IF(D1362=1,C1362,ROUND(C1362*(1+D1362/30),1)))</f>
        <v/>
      </c>
    </row>
    <row r="1363">
      <c r="A1363">
        <f>'Month 06'!B38</f>
        <v/>
      </c>
      <c r="B1363" t="inlineStr">
        <is>
          <t>Chin-up</t>
        </is>
      </c>
      <c r="C1363">
        <f>IF(AND('Month 06'!L67&lt;&gt;"",N('Month 06'!I67)&gt;0),'Month 06'!I67,"")</f>
        <v/>
      </c>
      <c r="D1363">
        <f>IF(C1363="","",IF(N('Month 06'!J67)&gt;0,'Month 06'!J67,1))</f>
        <v/>
      </c>
      <c r="E1363">
        <f>IF(OR(C1363="",D1363=""),"",IF(D1363=1,C1363,ROUND(C1363*(1+D1363/30),1)))</f>
        <v/>
      </c>
    </row>
    <row r="1364">
      <c r="A1364">
        <f>'Month 06'!B38</f>
        <v/>
      </c>
      <c r="B1364" t="inlineStr">
        <is>
          <t>Chin-up</t>
        </is>
      </c>
      <c r="C1364">
        <f>IF(AND('Month 06'!L68&lt;&gt;"",N('Month 06'!I68)&gt;0),'Month 06'!I68,"")</f>
        <v/>
      </c>
      <c r="D1364">
        <f>IF(C1364="","",IF(N('Month 06'!J68)&gt;0,'Month 06'!J68,1))</f>
        <v/>
      </c>
      <c r="E1364">
        <f>IF(OR(C1364="",D1364=""),"",IF(D1364=1,C1364,ROUND(C1364*(1+D1364/30),1)))</f>
        <v/>
      </c>
    </row>
    <row r="1365">
      <c r="A1365">
        <f>'Month 06'!B38</f>
        <v/>
      </c>
      <c r="B1365" t="inlineStr">
        <is>
          <t>Chin-up</t>
        </is>
      </c>
      <c r="C1365">
        <f>IF(AND('Month 06'!L69&lt;&gt;"",N('Month 06'!I69)&gt;0),'Month 06'!I69,"")</f>
        <v/>
      </c>
      <c r="D1365">
        <f>IF(C1365="","",IF(N('Month 06'!J69)&gt;0,'Month 06'!J69,1))</f>
        <v/>
      </c>
      <c r="E1365">
        <f>IF(OR(C1365="",D1365=""),"",IF(D1365=1,C1365,ROUND(C1365*(1+D1365/30),1)))</f>
        <v/>
      </c>
    </row>
    <row r="1366">
      <c r="A1366">
        <f>'Month 06'!B38</f>
        <v/>
      </c>
      <c r="B1366" t="inlineStr">
        <is>
          <t>Plank</t>
        </is>
      </c>
      <c r="C1366">
        <f>IF(AND('Month 06'!L71&lt;&gt;"",N('Month 06'!I71)&gt;0),'Month 06'!I71,"")</f>
        <v/>
      </c>
      <c r="D1366">
        <f>IF(C1366="","",IF(N('Month 06'!J71)&gt;0,'Month 06'!J71,1))</f>
        <v/>
      </c>
      <c r="E1366">
        <f>IF(OR(C1366="",D1366=""),"",IF(D1366=1,C1366,ROUND(C1366*(1+D1366/30),1)))</f>
        <v/>
      </c>
    </row>
    <row r="1367">
      <c r="A1367">
        <f>'Month 06'!B38</f>
        <v/>
      </c>
      <c r="B1367" t="inlineStr">
        <is>
          <t>Plank</t>
        </is>
      </c>
      <c r="C1367">
        <f>IF(AND('Month 06'!L72&lt;&gt;"",N('Month 06'!I72)&gt;0),'Month 06'!I72,"")</f>
        <v/>
      </c>
      <c r="D1367">
        <f>IF(C1367="","",IF(N('Month 06'!J72)&gt;0,'Month 06'!J72,1))</f>
        <v/>
      </c>
      <c r="E1367">
        <f>IF(OR(C1367="",D1367=""),"",IF(D1367=1,C1367,ROUND(C1367*(1+D1367/30),1)))</f>
        <v/>
      </c>
    </row>
    <row r="1368">
      <c r="A1368">
        <f>'Month 06'!B38</f>
        <v/>
      </c>
      <c r="B1368" t="inlineStr">
        <is>
          <t>Plank</t>
        </is>
      </c>
      <c r="C1368">
        <f>IF(AND('Month 06'!L73&lt;&gt;"",N('Month 06'!I73)&gt;0),'Month 06'!I73,"")</f>
        <v/>
      </c>
      <c r="D1368">
        <f>IF(C1368="","",IF(N('Month 06'!J73)&gt;0,'Month 06'!J73,1))</f>
        <v/>
      </c>
      <c r="E1368">
        <f>IF(OR(C1368="",D1368=""),"",IF(D1368=1,C1368,ROUND(C1368*(1+D1368/30),1)))</f>
        <v/>
      </c>
    </row>
    <row r="1369">
      <c r="A1369">
        <f>'Month 06'!B74</f>
        <v/>
      </c>
      <c r="B1369" t="inlineStr">
        <is>
          <t>Seated Box Jump</t>
        </is>
      </c>
      <c r="C1369">
        <f>IF(AND('Month 06'!L76&lt;&gt;"",N('Month 06'!I76)&gt;0),'Month 06'!I76,"")</f>
        <v/>
      </c>
      <c r="D1369">
        <f>IF(C1369="","",IF(N('Month 06'!J76)&gt;0,'Month 06'!J76,1))</f>
        <v/>
      </c>
      <c r="E1369">
        <f>IF(OR(C1369="",D1369=""),"",IF(D1369=1,C1369,ROUND(C1369*(1+D1369/30),1)))</f>
        <v/>
      </c>
    </row>
    <row r="1370">
      <c r="A1370">
        <f>'Month 06'!B74</f>
        <v/>
      </c>
      <c r="B1370" t="inlineStr">
        <is>
          <t>Seated Box Jump</t>
        </is>
      </c>
      <c r="C1370">
        <f>IF(AND('Month 06'!L77&lt;&gt;"",N('Month 06'!I77)&gt;0),'Month 06'!I77,"")</f>
        <v/>
      </c>
      <c r="D1370">
        <f>IF(C1370="","",IF(N('Month 06'!J77)&gt;0,'Month 06'!J77,1))</f>
        <v/>
      </c>
      <c r="E1370">
        <f>IF(OR(C1370="",D1370=""),"",IF(D1370=1,C1370,ROUND(C1370*(1+D1370/30),1)))</f>
        <v/>
      </c>
    </row>
    <row r="1371">
      <c r="A1371">
        <f>'Month 06'!B74</f>
        <v/>
      </c>
      <c r="B1371" t="inlineStr">
        <is>
          <t>Seated Box Jump</t>
        </is>
      </c>
      <c r="C1371">
        <f>IF(AND('Month 06'!L78&lt;&gt;"",N('Month 06'!I78)&gt;0),'Month 06'!I78,"")</f>
        <v/>
      </c>
      <c r="D1371">
        <f>IF(C1371="","",IF(N('Month 06'!J78)&gt;0,'Month 06'!J78,1))</f>
        <v/>
      </c>
      <c r="E1371">
        <f>IF(OR(C1371="",D1371=""),"",IF(D1371=1,C1371,ROUND(C1371*(1+D1371/30),1)))</f>
        <v/>
      </c>
    </row>
    <row r="1372">
      <c r="A1372">
        <f>'Month 06'!B74</f>
        <v/>
      </c>
      <c r="B1372" t="inlineStr">
        <is>
          <t>Push Jerk</t>
        </is>
      </c>
      <c r="C1372">
        <f>IF(AND('Month 06'!L80&lt;&gt;"",N('Month 06'!I80)&gt;0),'Month 06'!I80,"")</f>
        <v/>
      </c>
      <c r="D1372">
        <f>IF(C1372="","",IF(N('Month 06'!J80)&gt;0,'Month 06'!J80,1))</f>
        <v/>
      </c>
      <c r="E1372">
        <f>IF(OR(C1372="",D1372=""),"",IF(D1372=1,C1372,ROUND(C1372*(1+D1372/30),1)))</f>
        <v/>
      </c>
    </row>
    <row r="1373">
      <c r="A1373">
        <f>'Month 06'!B74</f>
        <v/>
      </c>
      <c r="B1373" t="inlineStr">
        <is>
          <t>Push Jerk</t>
        </is>
      </c>
      <c r="C1373">
        <f>IF(AND('Month 06'!L81&lt;&gt;"",N('Month 06'!I81)&gt;0),'Month 06'!I81,"")</f>
        <v/>
      </c>
      <c r="D1373">
        <f>IF(C1373="","",IF(N('Month 06'!J81)&gt;0,'Month 06'!J81,1))</f>
        <v/>
      </c>
      <c r="E1373">
        <f>IF(OR(C1373="",D1373=""),"",IF(D1373=1,C1373,ROUND(C1373*(1+D1373/30),1)))</f>
        <v/>
      </c>
    </row>
    <row r="1374">
      <c r="A1374">
        <f>'Month 06'!B74</f>
        <v/>
      </c>
      <c r="B1374" t="inlineStr">
        <is>
          <t>Push Jerk</t>
        </is>
      </c>
      <c r="C1374">
        <f>IF(AND('Month 06'!L82&lt;&gt;"",N('Month 06'!I82)&gt;0),'Month 06'!I82,"")</f>
        <v/>
      </c>
      <c r="D1374">
        <f>IF(C1374="","",IF(N('Month 06'!J82)&gt;0,'Month 06'!J82,1))</f>
        <v/>
      </c>
      <c r="E1374">
        <f>IF(OR(C1374="",D1374=""),"",IF(D1374=1,C1374,ROUND(C1374*(1+D1374/30),1)))</f>
        <v/>
      </c>
    </row>
    <row r="1375">
      <c r="A1375">
        <f>'Month 06'!B74</f>
        <v/>
      </c>
      <c r="B1375" t="inlineStr">
        <is>
          <t>Push Jerk</t>
        </is>
      </c>
      <c r="C1375">
        <f>IF(AND('Month 06'!L83&lt;&gt;"",N('Month 06'!I83)&gt;0),'Month 06'!I83,"")</f>
        <v/>
      </c>
      <c r="D1375">
        <f>IF(C1375="","",IF(N('Month 06'!J83)&gt;0,'Month 06'!J83,1))</f>
        <v/>
      </c>
      <c r="E1375">
        <f>IF(OR(C1375="",D1375=""),"",IF(D1375=1,C1375,ROUND(C1375*(1+D1375/30),1)))</f>
        <v/>
      </c>
    </row>
    <row r="1376">
      <c r="A1376">
        <f>'Month 06'!B74</f>
        <v/>
      </c>
      <c r="B1376" t="inlineStr">
        <is>
          <t>Box Squat</t>
        </is>
      </c>
      <c r="C1376">
        <f>IF(AND('Month 06'!L85&lt;&gt;"",N('Month 06'!I85)&gt;0),'Month 06'!I85,"")</f>
        <v/>
      </c>
      <c r="D1376">
        <f>IF(C1376="","",IF(N('Month 06'!J85)&gt;0,'Month 06'!J85,1))</f>
        <v/>
      </c>
      <c r="E1376">
        <f>IF(OR(C1376="",D1376=""),"",IF(D1376=1,C1376,ROUND(C1376*(1+D1376/30),1)))</f>
        <v/>
      </c>
    </row>
    <row r="1377">
      <c r="A1377">
        <f>'Month 06'!B74</f>
        <v/>
      </c>
      <c r="B1377" t="inlineStr">
        <is>
          <t>Box Squat</t>
        </is>
      </c>
      <c r="C1377">
        <f>IF(AND('Month 06'!L86&lt;&gt;"",N('Month 06'!I86)&gt;0),'Month 06'!I86,"")</f>
        <v/>
      </c>
      <c r="D1377">
        <f>IF(C1377="","",IF(N('Month 06'!J86)&gt;0,'Month 06'!J86,1))</f>
        <v/>
      </c>
      <c r="E1377">
        <f>IF(OR(C1377="",D1377=""),"",IF(D1377=1,C1377,ROUND(C1377*(1+D1377/30),1)))</f>
        <v/>
      </c>
    </row>
    <row r="1378">
      <c r="A1378">
        <f>'Month 06'!B74</f>
        <v/>
      </c>
      <c r="B1378" t="inlineStr">
        <is>
          <t>Box Squat</t>
        </is>
      </c>
      <c r="C1378">
        <f>IF(AND('Month 06'!L87&lt;&gt;"",N('Month 06'!I87)&gt;0),'Month 06'!I87,"")</f>
        <v/>
      </c>
      <c r="D1378">
        <f>IF(C1378="","",IF(N('Month 06'!J87)&gt;0,'Month 06'!J87,1))</f>
        <v/>
      </c>
      <c r="E1378">
        <f>IF(OR(C1378="",D1378=""),"",IF(D1378=1,C1378,ROUND(C1378*(1+D1378/30),1)))</f>
        <v/>
      </c>
    </row>
    <row r="1379">
      <c r="A1379">
        <f>'Month 06'!B74</f>
        <v/>
      </c>
      <c r="B1379" t="inlineStr">
        <is>
          <t>Box Squat</t>
        </is>
      </c>
      <c r="C1379">
        <f>IF(AND('Month 06'!L88&lt;&gt;"",N('Month 06'!I88)&gt;0),'Month 06'!I88,"")</f>
        <v/>
      </c>
      <c r="D1379">
        <f>IF(C1379="","",IF(N('Month 06'!J88)&gt;0,'Month 06'!J88,1))</f>
        <v/>
      </c>
      <c r="E1379">
        <f>IF(OR(C1379="",D1379=""),"",IF(D1379=1,C1379,ROUND(C1379*(1+D1379/30),1)))</f>
        <v/>
      </c>
    </row>
    <row r="1380">
      <c r="A1380">
        <f>'Month 06'!B74</f>
        <v/>
      </c>
      <c r="B1380" t="inlineStr">
        <is>
          <t>3-Board Press</t>
        </is>
      </c>
      <c r="C1380">
        <f>IF(AND('Month 06'!L90&lt;&gt;"",N('Month 06'!I90)&gt;0),'Month 06'!I90,"")</f>
        <v/>
      </c>
      <c r="D1380">
        <f>IF(C1380="","",IF(N('Month 06'!J90)&gt;0,'Month 06'!J90,1))</f>
        <v/>
      </c>
      <c r="E1380">
        <f>IF(OR(C1380="",D1380=""),"",IF(D1380=1,C1380,ROUND(C1380*(1+D1380/30),1)))</f>
        <v/>
      </c>
    </row>
    <row r="1381">
      <c r="A1381">
        <f>'Month 06'!B74</f>
        <v/>
      </c>
      <c r="B1381" t="inlineStr">
        <is>
          <t>3-Board Press</t>
        </is>
      </c>
      <c r="C1381">
        <f>IF(AND('Month 06'!L91&lt;&gt;"",N('Month 06'!I91)&gt;0),'Month 06'!I91,"")</f>
        <v/>
      </c>
      <c r="D1381">
        <f>IF(C1381="","",IF(N('Month 06'!J91)&gt;0,'Month 06'!J91,1))</f>
        <v/>
      </c>
      <c r="E1381">
        <f>IF(OR(C1381="",D1381=""),"",IF(D1381=1,C1381,ROUND(C1381*(1+D1381/30),1)))</f>
        <v/>
      </c>
    </row>
    <row r="1382">
      <c r="A1382">
        <f>'Month 06'!B74</f>
        <v/>
      </c>
      <c r="B1382" t="inlineStr">
        <is>
          <t>3-Board Press</t>
        </is>
      </c>
      <c r="C1382">
        <f>IF(AND('Month 06'!L92&lt;&gt;"",N('Month 06'!I92)&gt;0),'Month 06'!I92,"")</f>
        <v/>
      </c>
      <c r="D1382">
        <f>IF(C1382="","",IF(N('Month 06'!J92)&gt;0,'Month 06'!J92,1))</f>
        <v/>
      </c>
      <c r="E1382">
        <f>IF(OR(C1382="",D1382=""),"",IF(D1382=1,C1382,ROUND(C1382*(1+D1382/30),1)))</f>
        <v/>
      </c>
    </row>
    <row r="1383">
      <c r="A1383">
        <f>'Month 06'!B74</f>
        <v/>
      </c>
      <c r="B1383" t="inlineStr">
        <is>
          <t>3-Board Press</t>
        </is>
      </c>
      <c r="C1383">
        <f>IF(AND('Month 06'!L93&lt;&gt;"",N('Month 06'!I93)&gt;0),'Month 06'!I93,"")</f>
        <v/>
      </c>
      <c r="D1383">
        <f>IF(C1383="","",IF(N('Month 06'!J93)&gt;0,'Month 06'!J93,1))</f>
        <v/>
      </c>
      <c r="E1383">
        <f>IF(OR(C1383="",D1383=""),"",IF(D1383=1,C1383,ROUND(C1383*(1+D1383/30),1)))</f>
        <v/>
      </c>
    </row>
    <row r="1384">
      <c r="A1384">
        <f>'Month 06'!B74</f>
        <v/>
      </c>
      <c r="B1384" t="inlineStr">
        <is>
          <t>Deficit Deadlift</t>
        </is>
      </c>
      <c r="C1384">
        <f>IF(AND('Month 06'!L95&lt;&gt;"",N('Month 06'!I95)&gt;0),'Month 06'!I95,"")</f>
        <v/>
      </c>
      <c r="D1384">
        <f>IF(C1384="","",IF(N('Month 06'!J95)&gt;0,'Month 06'!J95,1))</f>
        <v/>
      </c>
      <c r="E1384">
        <f>IF(OR(C1384="",D1384=""),"",IF(D1384=1,C1384,ROUND(C1384*(1+D1384/30),1)))</f>
        <v/>
      </c>
    </row>
    <row r="1385">
      <c r="A1385">
        <f>'Month 06'!B74</f>
        <v/>
      </c>
      <c r="B1385" t="inlineStr">
        <is>
          <t>Deficit Deadlift</t>
        </is>
      </c>
      <c r="C1385">
        <f>IF(AND('Month 06'!L96&lt;&gt;"",N('Month 06'!I96)&gt;0),'Month 06'!I96,"")</f>
        <v/>
      </c>
      <c r="D1385">
        <f>IF(C1385="","",IF(N('Month 06'!J96)&gt;0,'Month 06'!J96,1))</f>
        <v/>
      </c>
      <c r="E1385">
        <f>IF(OR(C1385="",D1385=""),"",IF(D1385=1,C1385,ROUND(C1385*(1+D1385/30),1)))</f>
        <v/>
      </c>
    </row>
    <row r="1386">
      <c r="A1386">
        <f>'Month 06'!B74</f>
        <v/>
      </c>
      <c r="B1386" t="inlineStr">
        <is>
          <t>Deficit Deadlift</t>
        </is>
      </c>
      <c r="C1386">
        <f>IF(AND('Month 06'!L97&lt;&gt;"",N('Month 06'!I97)&gt;0),'Month 06'!I97,"")</f>
        <v/>
      </c>
      <c r="D1386">
        <f>IF(C1386="","",IF(N('Month 06'!J97)&gt;0,'Month 06'!J97,1))</f>
        <v/>
      </c>
      <c r="E1386">
        <f>IF(OR(C1386="",D1386=""),"",IF(D1386=1,C1386,ROUND(C1386*(1+D1386/30),1)))</f>
        <v/>
      </c>
    </row>
    <row r="1387">
      <c r="A1387">
        <f>'Month 06'!B74</f>
        <v/>
      </c>
      <c r="B1387" t="inlineStr">
        <is>
          <t>Deficit Deadlift</t>
        </is>
      </c>
      <c r="C1387">
        <f>IF(AND('Month 06'!L98&lt;&gt;"",N('Month 06'!I98)&gt;0),'Month 06'!I98,"")</f>
        <v/>
      </c>
      <c r="D1387">
        <f>IF(C1387="","",IF(N('Month 06'!J98)&gt;0,'Month 06'!J98,1))</f>
        <v/>
      </c>
      <c r="E1387">
        <f>IF(OR(C1387="",D1387=""),"",IF(D1387=1,C1387,ROUND(C1387*(1+D1387/30),1)))</f>
        <v/>
      </c>
    </row>
    <row r="1388">
      <c r="A1388">
        <f>'Month 06'!B74</f>
        <v/>
      </c>
      <c r="B1388" t="inlineStr">
        <is>
          <t>Incline Dumbbell Press</t>
        </is>
      </c>
      <c r="C1388">
        <f>IF(AND('Month 06'!L100&lt;&gt;"",N('Month 06'!I100)&gt;0),'Month 06'!I100,"")</f>
        <v/>
      </c>
      <c r="D1388">
        <f>IF(C1388="","",IF(N('Month 06'!J100)&gt;0,'Month 06'!J100,1))</f>
        <v/>
      </c>
      <c r="E1388">
        <f>IF(OR(C1388="",D1388=""),"",IF(D1388=1,C1388,ROUND(C1388*(1+D1388/30),1)))</f>
        <v/>
      </c>
    </row>
    <row r="1389">
      <c r="A1389">
        <f>'Month 06'!B74</f>
        <v/>
      </c>
      <c r="B1389" t="inlineStr">
        <is>
          <t>Incline Dumbbell Press</t>
        </is>
      </c>
      <c r="C1389">
        <f>IF(AND('Month 06'!L101&lt;&gt;"",N('Month 06'!I101)&gt;0),'Month 06'!I101,"")</f>
        <v/>
      </c>
      <c r="D1389">
        <f>IF(C1389="","",IF(N('Month 06'!J101)&gt;0,'Month 06'!J101,1))</f>
        <v/>
      </c>
      <c r="E1389">
        <f>IF(OR(C1389="",D1389=""),"",IF(D1389=1,C1389,ROUND(C1389*(1+D1389/30),1)))</f>
        <v/>
      </c>
    </row>
    <row r="1390">
      <c r="A1390">
        <f>'Month 06'!B74</f>
        <v/>
      </c>
      <c r="B1390" t="inlineStr">
        <is>
          <t>Incline Dumbbell Press</t>
        </is>
      </c>
      <c r="C1390">
        <f>IF(AND('Month 06'!L102&lt;&gt;"",N('Month 06'!I102)&gt;0),'Month 06'!I102,"")</f>
        <v/>
      </c>
      <c r="D1390">
        <f>IF(C1390="","",IF(N('Month 06'!J102)&gt;0,'Month 06'!J102,1))</f>
        <v/>
      </c>
      <c r="E1390">
        <f>IF(OR(C1390="",D1390=""),"",IF(D1390=1,C1390,ROUND(C1390*(1+D1390/30),1)))</f>
        <v/>
      </c>
    </row>
    <row r="1391">
      <c r="A1391">
        <f>'Month 06'!B74</f>
        <v/>
      </c>
      <c r="B1391" t="inlineStr">
        <is>
          <t>Triceps Pushdown</t>
        </is>
      </c>
      <c r="C1391">
        <f>IF(AND('Month 06'!L104&lt;&gt;"",N('Month 06'!I104)&gt;0),'Month 06'!I104,"")</f>
        <v/>
      </c>
      <c r="D1391">
        <f>IF(C1391="","",IF(N('Month 06'!J104)&gt;0,'Month 06'!J104,1))</f>
        <v/>
      </c>
      <c r="E1391">
        <f>IF(OR(C1391="",D1391=""),"",IF(D1391=1,C1391,ROUND(C1391*(1+D1391/30),1)))</f>
        <v/>
      </c>
    </row>
    <row r="1392">
      <c r="A1392">
        <f>'Month 06'!B74</f>
        <v/>
      </c>
      <c r="B1392" t="inlineStr">
        <is>
          <t>Triceps Pushdown</t>
        </is>
      </c>
      <c r="C1392">
        <f>IF(AND('Month 06'!L105&lt;&gt;"",N('Month 06'!I105)&gt;0),'Month 06'!I105,"")</f>
        <v/>
      </c>
      <c r="D1392">
        <f>IF(C1392="","",IF(N('Month 06'!J105)&gt;0,'Month 06'!J105,1))</f>
        <v/>
      </c>
      <c r="E1392">
        <f>IF(OR(C1392="",D1392=""),"",IF(D1392=1,C1392,ROUND(C1392*(1+D1392/30),1)))</f>
        <v/>
      </c>
    </row>
    <row r="1393">
      <c r="A1393">
        <f>'Month 06'!B74</f>
        <v/>
      </c>
      <c r="B1393" t="inlineStr">
        <is>
          <t>Triceps Pushdown</t>
        </is>
      </c>
      <c r="C1393">
        <f>IF(AND('Month 06'!L106&lt;&gt;"",N('Month 06'!I106)&gt;0),'Month 06'!I106,"")</f>
        <v/>
      </c>
      <c r="D1393">
        <f>IF(C1393="","",IF(N('Month 06'!J106)&gt;0,'Month 06'!J106,1))</f>
        <v/>
      </c>
      <c r="E1393">
        <f>IF(OR(C1393="",D1393=""),"",IF(D1393=1,C1393,ROUND(C1393*(1+D1393/30),1)))</f>
        <v/>
      </c>
    </row>
    <row r="1394">
      <c r="A1394">
        <f>'Month 06'!B109</f>
        <v/>
      </c>
      <c r="B1394" t="inlineStr">
        <is>
          <t>Box Jump</t>
        </is>
      </c>
      <c r="C1394">
        <f>IF(AND('Month 06'!L111&lt;&gt;"",N('Month 06'!I111)&gt;0),'Month 06'!I111,"")</f>
        <v/>
      </c>
      <c r="D1394">
        <f>IF(C1394="","",IF(N('Month 06'!J111)&gt;0,'Month 06'!J111,1))</f>
        <v/>
      </c>
      <c r="E1394">
        <f>IF(OR(C1394="",D1394=""),"",IF(D1394=1,C1394,ROUND(C1394*(1+D1394/30),1)))</f>
        <v/>
      </c>
    </row>
    <row r="1395">
      <c r="A1395">
        <f>'Month 06'!B109</f>
        <v/>
      </c>
      <c r="B1395" t="inlineStr">
        <is>
          <t>Box Jump</t>
        </is>
      </c>
      <c r="C1395">
        <f>IF(AND('Month 06'!L112&lt;&gt;"",N('Month 06'!I112)&gt;0),'Month 06'!I112,"")</f>
        <v/>
      </c>
      <c r="D1395">
        <f>IF(C1395="","",IF(N('Month 06'!J112)&gt;0,'Month 06'!J112,1))</f>
        <v/>
      </c>
      <c r="E1395">
        <f>IF(OR(C1395="",D1395=""),"",IF(D1395=1,C1395,ROUND(C1395*(1+D1395/30),1)))</f>
        <v/>
      </c>
    </row>
    <row r="1396">
      <c r="A1396">
        <f>'Month 06'!B109</f>
        <v/>
      </c>
      <c r="B1396" t="inlineStr">
        <is>
          <t>Box Jump</t>
        </is>
      </c>
      <c r="C1396">
        <f>IF(AND('Month 06'!L113&lt;&gt;"",N('Month 06'!I113)&gt;0),'Month 06'!I113,"")</f>
        <v/>
      </c>
      <c r="D1396">
        <f>IF(C1396="","",IF(N('Month 06'!J113)&gt;0,'Month 06'!J113,1))</f>
        <v/>
      </c>
      <c r="E1396">
        <f>IF(OR(C1396="",D1396=""),"",IF(D1396=1,C1396,ROUND(C1396*(1+D1396/30),1)))</f>
        <v/>
      </c>
    </row>
    <row r="1397">
      <c r="A1397">
        <f>'Month 06'!B109</f>
        <v/>
      </c>
      <c r="B1397" t="inlineStr">
        <is>
          <t>Snatch</t>
        </is>
      </c>
      <c r="C1397">
        <f>IF(AND('Month 06'!L115&lt;&gt;"",N('Month 06'!I115)&gt;0),'Month 06'!I115,"")</f>
        <v/>
      </c>
      <c r="D1397">
        <f>IF(C1397="","",IF(N('Month 06'!J115)&gt;0,'Month 06'!J115,1))</f>
        <v/>
      </c>
      <c r="E1397">
        <f>IF(OR(C1397="",D1397=""),"",IF(D1397=1,C1397,ROUND(C1397*(1+D1397/30),1)))</f>
        <v/>
      </c>
    </row>
    <row r="1398">
      <c r="A1398">
        <f>'Month 06'!B109</f>
        <v/>
      </c>
      <c r="B1398" t="inlineStr">
        <is>
          <t>Snatch</t>
        </is>
      </c>
      <c r="C1398">
        <f>IF(AND('Month 06'!L116&lt;&gt;"",N('Month 06'!I116)&gt;0),'Month 06'!I116,"")</f>
        <v/>
      </c>
      <c r="D1398">
        <f>IF(C1398="","",IF(N('Month 06'!J116)&gt;0,'Month 06'!J116,1))</f>
        <v/>
      </c>
      <c r="E1398">
        <f>IF(OR(C1398="",D1398=""),"",IF(D1398=1,C1398,ROUND(C1398*(1+D1398/30),1)))</f>
        <v/>
      </c>
    </row>
    <row r="1399">
      <c r="A1399">
        <f>'Month 06'!B109</f>
        <v/>
      </c>
      <c r="B1399" t="inlineStr">
        <is>
          <t>Snatch</t>
        </is>
      </c>
      <c r="C1399">
        <f>IF(AND('Month 06'!L117&lt;&gt;"",N('Month 06'!I117)&gt;0),'Month 06'!I117,"")</f>
        <v/>
      </c>
      <c r="D1399">
        <f>IF(C1399="","",IF(N('Month 06'!J117)&gt;0,'Month 06'!J117,1))</f>
        <v/>
      </c>
      <c r="E1399">
        <f>IF(OR(C1399="",D1399=""),"",IF(D1399=1,C1399,ROUND(C1399*(1+D1399/30),1)))</f>
        <v/>
      </c>
    </row>
    <row r="1400">
      <c r="A1400">
        <f>'Month 06'!B109</f>
        <v/>
      </c>
      <c r="B1400" t="inlineStr">
        <is>
          <t>Snatch</t>
        </is>
      </c>
      <c r="C1400">
        <f>IF(AND('Month 06'!L118&lt;&gt;"",N('Month 06'!I118)&gt;0),'Month 06'!I118,"")</f>
        <v/>
      </c>
      <c r="D1400">
        <f>IF(C1400="","",IF(N('Month 06'!J118)&gt;0,'Month 06'!J118,1))</f>
        <v/>
      </c>
      <c r="E1400">
        <f>IF(OR(C1400="",D1400=""),"",IF(D1400=1,C1400,ROUND(C1400*(1+D1400/30),1)))</f>
        <v/>
      </c>
    </row>
    <row r="1401">
      <c r="A1401">
        <f>'Month 06'!B109</f>
        <v/>
      </c>
      <c r="B1401" t="inlineStr">
        <is>
          <t>Squat</t>
        </is>
      </c>
      <c r="C1401">
        <f>IF(AND('Month 06'!L120&lt;&gt;"",N('Month 06'!I120)&gt;0),'Month 06'!I120,"")</f>
        <v/>
      </c>
      <c r="D1401">
        <f>IF(C1401="","",IF(N('Month 06'!J120)&gt;0,'Month 06'!J120,1))</f>
        <v/>
      </c>
      <c r="E1401">
        <f>IF(OR(C1401="",D1401=""),"",IF(D1401=1,C1401,ROUND(C1401*(1+D1401/30),1)))</f>
        <v/>
      </c>
    </row>
    <row r="1402">
      <c r="A1402">
        <f>'Month 06'!B109</f>
        <v/>
      </c>
      <c r="B1402" t="inlineStr">
        <is>
          <t>Squat</t>
        </is>
      </c>
      <c r="C1402">
        <f>IF(AND('Month 06'!L121&lt;&gt;"",N('Month 06'!I121)&gt;0),'Month 06'!I121,"")</f>
        <v/>
      </c>
      <c r="D1402">
        <f>IF(C1402="","",IF(N('Month 06'!J121)&gt;0,'Month 06'!J121,1))</f>
        <v/>
      </c>
      <c r="E1402">
        <f>IF(OR(C1402="",D1402=""),"",IF(D1402=1,C1402,ROUND(C1402*(1+D1402/30),1)))</f>
        <v/>
      </c>
    </row>
    <row r="1403">
      <c r="A1403">
        <f>'Month 06'!B109</f>
        <v/>
      </c>
      <c r="B1403" t="inlineStr">
        <is>
          <t>Squat</t>
        </is>
      </c>
      <c r="C1403">
        <f>IF(AND('Month 06'!L122&lt;&gt;"",N('Month 06'!I122)&gt;0),'Month 06'!I122,"")</f>
        <v/>
      </c>
      <c r="D1403">
        <f>IF(C1403="","",IF(N('Month 06'!J122)&gt;0,'Month 06'!J122,1))</f>
        <v/>
      </c>
      <c r="E1403">
        <f>IF(OR(C1403="",D1403=""),"",IF(D1403=1,C1403,ROUND(C1403*(1+D1403/30),1)))</f>
        <v/>
      </c>
    </row>
    <row r="1404">
      <c r="A1404">
        <f>'Month 06'!B109</f>
        <v/>
      </c>
      <c r="B1404" t="inlineStr">
        <is>
          <t>Squat</t>
        </is>
      </c>
      <c r="C1404">
        <f>IF(AND('Month 06'!L123&lt;&gt;"",N('Month 06'!I123)&gt;0),'Month 06'!I123,"")</f>
        <v/>
      </c>
      <c r="D1404">
        <f>IF(C1404="","",IF(N('Month 06'!J123)&gt;0,'Month 06'!J123,1))</f>
        <v/>
      </c>
      <c r="E1404">
        <f>IF(OR(C1404="",D1404=""),"",IF(D1404=1,C1404,ROUND(C1404*(1+D1404/30),1)))</f>
        <v/>
      </c>
    </row>
    <row r="1405">
      <c r="A1405">
        <f>'Month 06'!B109</f>
        <v/>
      </c>
      <c r="B1405" t="inlineStr">
        <is>
          <t>Bench Press</t>
        </is>
      </c>
      <c r="C1405">
        <f>IF(AND('Month 06'!L125&lt;&gt;"",N('Month 06'!I125)&gt;0),'Month 06'!I125,"")</f>
        <v/>
      </c>
      <c r="D1405">
        <f>IF(C1405="","",IF(N('Month 06'!J125)&gt;0,'Month 06'!J125,1))</f>
        <v/>
      </c>
      <c r="E1405">
        <f>IF(OR(C1405="",D1405=""),"",IF(D1405=1,C1405,ROUND(C1405*(1+D1405/30),1)))</f>
        <v/>
      </c>
    </row>
    <row r="1406">
      <c r="A1406">
        <f>'Month 06'!B109</f>
        <v/>
      </c>
      <c r="B1406" t="inlineStr">
        <is>
          <t>Bench Press</t>
        </is>
      </c>
      <c r="C1406">
        <f>IF(AND('Month 06'!L126&lt;&gt;"",N('Month 06'!I126)&gt;0),'Month 06'!I126,"")</f>
        <v/>
      </c>
      <c r="D1406">
        <f>IF(C1406="","",IF(N('Month 06'!J126)&gt;0,'Month 06'!J126,1))</f>
        <v/>
      </c>
      <c r="E1406">
        <f>IF(OR(C1406="",D1406=""),"",IF(D1406=1,C1406,ROUND(C1406*(1+D1406/30),1)))</f>
        <v/>
      </c>
    </row>
    <row r="1407">
      <c r="A1407">
        <f>'Month 06'!B109</f>
        <v/>
      </c>
      <c r="B1407" t="inlineStr">
        <is>
          <t>Bench Press</t>
        </is>
      </c>
      <c r="C1407">
        <f>IF(AND('Month 06'!L127&lt;&gt;"",N('Month 06'!I127)&gt;0),'Month 06'!I127,"")</f>
        <v/>
      </c>
      <c r="D1407">
        <f>IF(C1407="","",IF(N('Month 06'!J127)&gt;0,'Month 06'!J127,1))</f>
        <v/>
      </c>
      <c r="E1407">
        <f>IF(OR(C1407="",D1407=""),"",IF(D1407=1,C1407,ROUND(C1407*(1+D1407/30),1)))</f>
        <v/>
      </c>
    </row>
    <row r="1408">
      <c r="A1408">
        <f>'Month 06'!B109</f>
        <v/>
      </c>
      <c r="B1408" t="inlineStr">
        <is>
          <t>Bench Press</t>
        </is>
      </c>
      <c r="C1408">
        <f>IF(AND('Month 06'!L128&lt;&gt;"",N('Month 06'!I128)&gt;0),'Month 06'!I128,"")</f>
        <v/>
      </c>
      <c r="D1408">
        <f>IF(C1408="","",IF(N('Month 06'!J128)&gt;0,'Month 06'!J128,1))</f>
        <v/>
      </c>
      <c r="E1408">
        <f>IF(OR(C1408="",D1408=""),"",IF(D1408=1,C1408,ROUND(C1408*(1+D1408/30),1)))</f>
        <v/>
      </c>
    </row>
    <row r="1409">
      <c r="A1409">
        <f>'Month 06'!B109</f>
        <v/>
      </c>
      <c r="B1409" t="inlineStr">
        <is>
          <t>Barbell Row</t>
        </is>
      </c>
      <c r="C1409">
        <f>IF(AND('Month 06'!L130&lt;&gt;"",N('Month 06'!I130)&gt;0),'Month 06'!I130,"")</f>
        <v/>
      </c>
      <c r="D1409">
        <f>IF(C1409="","",IF(N('Month 06'!J130)&gt;0,'Month 06'!J130,1))</f>
        <v/>
      </c>
      <c r="E1409">
        <f>IF(OR(C1409="",D1409=""),"",IF(D1409=1,C1409,ROUND(C1409*(1+D1409/30),1)))</f>
        <v/>
      </c>
    </row>
    <row r="1410">
      <c r="A1410">
        <f>'Month 06'!B109</f>
        <v/>
      </c>
      <c r="B1410" t="inlineStr">
        <is>
          <t>Barbell Row</t>
        </is>
      </c>
      <c r="C1410">
        <f>IF(AND('Month 06'!L131&lt;&gt;"",N('Month 06'!I131)&gt;0),'Month 06'!I131,"")</f>
        <v/>
      </c>
      <c r="D1410">
        <f>IF(C1410="","",IF(N('Month 06'!J131)&gt;0,'Month 06'!J131,1))</f>
        <v/>
      </c>
      <c r="E1410">
        <f>IF(OR(C1410="",D1410=""),"",IF(D1410=1,C1410,ROUND(C1410*(1+D1410/30),1)))</f>
        <v/>
      </c>
    </row>
    <row r="1411">
      <c r="A1411">
        <f>'Month 06'!B109</f>
        <v/>
      </c>
      <c r="B1411" t="inlineStr">
        <is>
          <t>Barbell Row</t>
        </is>
      </c>
      <c r="C1411">
        <f>IF(AND('Month 06'!L132&lt;&gt;"",N('Month 06'!I132)&gt;0),'Month 06'!I132,"")</f>
        <v/>
      </c>
      <c r="D1411">
        <f>IF(C1411="","",IF(N('Month 06'!J132)&gt;0,'Month 06'!J132,1))</f>
        <v/>
      </c>
      <c r="E1411">
        <f>IF(OR(C1411="",D1411=""),"",IF(D1411=1,C1411,ROUND(C1411*(1+D1411/30),1)))</f>
        <v/>
      </c>
    </row>
    <row r="1412">
      <c r="A1412">
        <f>'Month 06'!B109</f>
        <v/>
      </c>
      <c r="B1412" t="inlineStr">
        <is>
          <t>Face Pull</t>
        </is>
      </c>
      <c r="C1412">
        <f>IF(AND('Month 06'!L134&lt;&gt;"",N('Month 06'!I134)&gt;0),'Month 06'!I134,"")</f>
        <v/>
      </c>
      <c r="D1412">
        <f>IF(C1412="","",IF(N('Month 06'!J134)&gt;0,'Month 06'!J134,1))</f>
        <v/>
      </c>
      <c r="E1412">
        <f>IF(OR(C1412="",D1412=""),"",IF(D1412=1,C1412,ROUND(C1412*(1+D1412/30),1)))</f>
        <v/>
      </c>
    </row>
    <row r="1413">
      <c r="A1413">
        <f>'Month 06'!B109</f>
        <v/>
      </c>
      <c r="B1413" t="inlineStr">
        <is>
          <t>Face Pull</t>
        </is>
      </c>
      <c r="C1413">
        <f>IF(AND('Month 06'!L135&lt;&gt;"",N('Month 06'!I135)&gt;0),'Month 06'!I135,"")</f>
        <v/>
      </c>
      <c r="D1413">
        <f>IF(C1413="","",IF(N('Month 06'!J135)&gt;0,'Month 06'!J135,1))</f>
        <v/>
      </c>
      <c r="E1413">
        <f>IF(OR(C1413="",D1413=""),"",IF(D1413=1,C1413,ROUND(C1413*(1+D1413/30),1)))</f>
        <v/>
      </c>
    </row>
    <row r="1414">
      <c r="A1414">
        <f>'Month 06'!B109</f>
        <v/>
      </c>
      <c r="B1414" t="inlineStr">
        <is>
          <t>Face Pull</t>
        </is>
      </c>
      <c r="C1414">
        <f>IF(AND('Month 06'!L136&lt;&gt;"",N('Month 06'!I136)&gt;0),'Month 06'!I136,"")</f>
        <v/>
      </c>
      <c r="D1414">
        <f>IF(C1414="","",IF(N('Month 06'!J136)&gt;0,'Month 06'!J136,1))</f>
        <v/>
      </c>
      <c r="E1414">
        <f>IF(OR(C1414="",D1414=""),"",IF(D1414=1,C1414,ROUND(C1414*(1+D1414/30),1)))</f>
        <v/>
      </c>
    </row>
    <row r="1415">
      <c r="A1415">
        <f>'Month 06'!B137</f>
        <v/>
      </c>
      <c r="B1415" t="inlineStr">
        <is>
          <t>Broad Jump</t>
        </is>
      </c>
      <c r="C1415">
        <f>IF(AND('Month 06'!L139&lt;&gt;"",N('Month 06'!I139)&gt;0),'Month 06'!I139,"")</f>
        <v/>
      </c>
      <c r="D1415">
        <f>IF(C1415="","",IF(N('Month 06'!J139)&gt;0,'Month 06'!J139,1))</f>
        <v/>
      </c>
      <c r="E1415">
        <f>IF(OR(C1415="",D1415=""),"",IF(D1415=1,C1415,ROUND(C1415*(1+D1415/30),1)))</f>
        <v/>
      </c>
    </row>
    <row r="1416">
      <c r="A1416">
        <f>'Month 06'!B137</f>
        <v/>
      </c>
      <c r="B1416" t="inlineStr">
        <is>
          <t>Broad Jump</t>
        </is>
      </c>
      <c r="C1416">
        <f>IF(AND('Month 06'!L140&lt;&gt;"",N('Month 06'!I140)&gt;0),'Month 06'!I140,"")</f>
        <v/>
      </c>
      <c r="D1416">
        <f>IF(C1416="","",IF(N('Month 06'!J140)&gt;0,'Month 06'!J140,1))</f>
        <v/>
      </c>
      <c r="E1416">
        <f>IF(OR(C1416="",D1416=""),"",IF(D1416=1,C1416,ROUND(C1416*(1+D1416/30),1)))</f>
        <v/>
      </c>
    </row>
    <row r="1417">
      <c r="A1417">
        <f>'Month 06'!B137</f>
        <v/>
      </c>
      <c r="B1417" t="inlineStr">
        <is>
          <t>Broad Jump</t>
        </is>
      </c>
      <c r="C1417">
        <f>IF(AND('Month 06'!L141&lt;&gt;"",N('Month 06'!I141)&gt;0),'Month 06'!I141,"")</f>
        <v/>
      </c>
      <c r="D1417">
        <f>IF(C1417="","",IF(N('Month 06'!J141)&gt;0,'Month 06'!J141,1))</f>
        <v/>
      </c>
      <c r="E1417">
        <f>IF(OR(C1417="",D1417=""),"",IF(D1417=1,C1417,ROUND(C1417*(1+D1417/30),1)))</f>
        <v/>
      </c>
    </row>
    <row r="1418">
      <c r="A1418">
        <f>'Month 06'!B137</f>
        <v/>
      </c>
      <c r="B1418" t="inlineStr">
        <is>
          <t>Med Ball Chest Pass</t>
        </is>
      </c>
      <c r="C1418">
        <f>IF(AND('Month 06'!L143&lt;&gt;"",N('Month 06'!I143)&gt;0),'Month 06'!I143,"")</f>
        <v/>
      </c>
      <c r="D1418">
        <f>IF(C1418="","",IF(N('Month 06'!J143)&gt;0,'Month 06'!J143,1))</f>
        <v/>
      </c>
      <c r="E1418">
        <f>IF(OR(C1418="",D1418=""),"",IF(D1418=1,C1418,ROUND(C1418*(1+D1418/30),1)))</f>
        <v/>
      </c>
    </row>
    <row r="1419">
      <c r="A1419">
        <f>'Month 06'!B137</f>
        <v/>
      </c>
      <c r="B1419" t="inlineStr">
        <is>
          <t>Med Ball Chest Pass</t>
        </is>
      </c>
      <c r="C1419">
        <f>IF(AND('Month 06'!L144&lt;&gt;"",N('Month 06'!I144)&gt;0),'Month 06'!I144,"")</f>
        <v/>
      </c>
      <c r="D1419">
        <f>IF(C1419="","",IF(N('Month 06'!J144)&gt;0,'Month 06'!J144,1))</f>
        <v/>
      </c>
      <c r="E1419">
        <f>IF(OR(C1419="",D1419=""),"",IF(D1419=1,C1419,ROUND(C1419*(1+D1419/30),1)))</f>
        <v/>
      </c>
    </row>
    <row r="1420">
      <c r="A1420">
        <f>'Month 06'!B137</f>
        <v/>
      </c>
      <c r="B1420" t="inlineStr">
        <is>
          <t>Clean &amp; Jerk</t>
        </is>
      </c>
      <c r="C1420">
        <f>IF(AND('Month 06'!L146&lt;&gt;"",N('Month 06'!I146)&gt;0),'Month 06'!I146,"")</f>
        <v/>
      </c>
      <c r="D1420">
        <f>IF(C1420="","",IF(N('Month 06'!J146)&gt;0,'Month 06'!J146,1))</f>
        <v/>
      </c>
      <c r="E1420">
        <f>IF(OR(C1420="",D1420=""),"",IF(D1420=1,C1420,ROUND(C1420*(1+D1420/30),1)))</f>
        <v/>
      </c>
    </row>
    <row r="1421">
      <c r="A1421">
        <f>'Month 06'!B137</f>
        <v/>
      </c>
      <c r="B1421" t="inlineStr">
        <is>
          <t>Clean &amp; Jerk</t>
        </is>
      </c>
      <c r="C1421">
        <f>IF(AND('Month 06'!L147&lt;&gt;"",N('Month 06'!I147)&gt;0),'Month 06'!I147,"")</f>
        <v/>
      </c>
      <c r="D1421">
        <f>IF(C1421="","",IF(N('Month 06'!J147)&gt;0,'Month 06'!J147,1))</f>
        <v/>
      </c>
      <c r="E1421">
        <f>IF(OR(C1421="",D1421=""),"",IF(D1421=1,C1421,ROUND(C1421*(1+D1421/30),1)))</f>
        <v/>
      </c>
    </row>
    <row r="1422">
      <c r="A1422">
        <f>'Month 06'!B137</f>
        <v/>
      </c>
      <c r="B1422" t="inlineStr">
        <is>
          <t>Clean &amp; Jerk</t>
        </is>
      </c>
      <c r="C1422">
        <f>IF(AND('Month 06'!L148&lt;&gt;"",N('Month 06'!I148)&gt;0),'Month 06'!I148,"")</f>
        <v/>
      </c>
      <c r="D1422">
        <f>IF(C1422="","",IF(N('Month 06'!J148)&gt;0,'Month 06'!J148,1))</f>
        <v/>
      </c>
      <c r="E1422">
        <f>IF(OR(C1422="",D1422=""),"",IF(D1422=1,C1422,ROUND(C1422*(1+D1422/30),1)))</f>
        <v/>
      </c>
    </row>
    <row r="1423">
      <c r="A1423">
        <f>'Month 06'!B137</f>
        <v/>
      </c>
      <c r="B1423" t="inlineStr">
        <is>
          <t>Clean &amp; Jerk</t>
        </is>
      </c>
      <c r="C1423">
        <f>IF(AND('Month 06'!L149&lt;&gt;"",N('Month 06'!I149)&gt;0),'Month 06'!I149,"")</f>
        <v/>
      </c>
      <c r="D1423">
        <f>IF(C1423="","",IF(N('Month 06'!J149)&gt;0,'Month 06'!J149,1))</f>
        <v/>
      </c>
      <c r="E1423">
        <f>IF(OR(C1423="",D1423=""),"",IF(D1423=1,C1423,ROUND(C1423*(1+D1423/30),1)))</f>
        <v/>
      </c>
    </row>
    <row r="1424">
      <c r="A1424">
        <f>'Month 06'!B137</f>
        <v/>
      </c>
      <c r="B1424" t="inlineStr">
        <is>
          <t>Squat</t>
        </is>
      </c>
      <c r="C1424">
        <f>IF(AND('Month 06'!L151&lt;&gt;"",N('Month 06'!I151)&gt;0),'Month 06'!I151,"")</f>
        <v/>
      </c>
      <c r="D1424">
        <f>IF(C1424="","",IF(N('Month 06'!J151)&gt;0,'Month 06'!J151,1))</f>
        <v/>
      </c>
      <c r="E1424">
        <f>IF(OR(C1424="",D1424=""),"",IF(D1424=1,C1424,ROUND(C1424*(1+D1424/30),1)))</f>
        <v/>
      </c>
    </row>
    <row r="1425">
      <c r="A1425">
        <f>'Month 06'!B137</f>
        <v/>
      </c>
      <c r="B1425" t="inlineStr">
        <is>
          <t>Squat</t>
        </is>
      </c>
      <c r="C1425">
        <f>IF(AND('Month 06'!L152&lt;&gt;"",N('Month 06'!I152)&gt;0),'Month 06'!I152,"")</f>
        <v/>
      </c>
      <c r="D1425">
        <f>IF(C1425="","",IF(N('Month 06'!J152)&gt;0,'Month 06'!J152,1))</f>
        <v/>
      </c>
      <c r="E1425">
        <f>IF(OR(C1425="",D1425=""),"",IF(D1425=1,C1425,ROUND(C1425*(1+D1425/30),1)))</f>
        <v/>
      </c>
    </row>
    <row r="1426">
      <c r="A1426">
        <f>'Month 06'!B137</f>
        <v/>
      </c>
      <c r="B1426" t="inlineStr">
        <is>
          <t>Squat</t>
        </is>
      </c>
      <c r="C1426">
        <f>IF(AND('Month 06'!L153&lt;&gt;"",N('Month 06'!I153)&gt;0),'Month 06'!I153,"")</f>
        <v/>
      </c>
      <c r="D1426">
        <f>IF(C1426="","",IF(N('Month 06'!J153)&gt;0,'Month 06'!J153,1))</f>
        <v/>
      </c>
      <c r="E1426">
        <f>IF(OR(C1426="",D1426=""),"",IF(D1426=1,C1426,ROUND(C1426*(1+D1426/30),1)))</f>
        <v/>
      </c>
    </row>
    <row r="1427">
      <c r="A1427">
        <f>'Month 06'!B137</f>
        <v/>
      </c>
      <c r="B1427" t="inlineStr">
        <is>
          <t>Overhead Press</t>
        </is>
      </c>
      <c r="C1427">
        <f>IF(AND('Month 06'!L155&lt;&gt;"",N('Month 06'!I155)&gt;0),'Month 06'!I155,"")</f>
        <v/>
      </c>
      <c r="D1427">
        <f>IF(C1427="","",IF(N('Month 06'!J155)&gt;0,'Month 06'!J155,1))</f>
        <v/>
      </c>
      <c r="E1427">
        <f>IF(OR(C1427="",D1427=""),"",IF(D1427=1,C1427,ROUND(C1427*(1+D1427/30),1)))</f>
        <v/>
      </c>
    </row>
    <row r="1428">
      <c r="A1428">
        <f>'Month 06'!B137</f>
        <v/>
      </c>
      <c r="B1428" t="inlineStr">
        <is>
          <t>Overhead Press</t>
        </is>
      </c>
      <c r="C1428">
        <f>IF(AND('Month 06'!L156&lt;&gt;"",N('Month 06'!I156)&gt;0),'Month 06'!I156,"")</f>
        <v/>
      </c>
      <c r="D1428">
        <f>IF(C1428="","",IF(N('Month 06'!J156)&gt;0,'Month 06'!J156,1))</f>
        <v/>
      </c>
      <c r="E1428">
        <f>IF(OR(C1428="",D1428=""),"",IF(D1428=1,C1428,ROUND(C1428*(1+D1428/30),1)))</f>
        <v/>
      </c>
    </row>
    <row r="1429">
      <c r="A1429">
        <f>'Month 06'!B137</f>
        <v/>
      </c>
      <c r="B1429" t="inlineStr">
        <is>
          <t>Overhead Press</t>
        </is>
      </c>
      <c r="C1429">
        <f>IF(AND('Month 06'!L157&lt;&gt;"",N('Month 06'!I157)&gt;0),'Month 06'!I157,"")</f>
        <v/>
      </c>
      <c r="D1429">
        <f>IF(C1429="","",IF(N('Month 06'!J157)&gt;0,'Month 06'!J157,1))</f>
        <v/>
      </c>
      <c r="E1429">
        <f>IF(OR(C1429="",D1429=""),"",IF(D1429=1,C1429,ROUND(C1429*(1+D1429/30),1)))</f>
        <v/>
      </c>
    </row>
    <row r="1430">
      <c r="A1430">
        <f>'Month 06'!B137</f>
        <v/>
      </c>
      <c r="B1430" t="inlineStr">
        <is>
          <t>Overhead Press</t>
        </is>
      </c>
      <c r="C1430">
        <f>IF(AND('Month 06'!L158&lt;&gt;"",N('Month 06'!I158)&gt;0),'Month 06'!I158,"")</f>
        <v/>
      </c>
      <c r="D1430">
        <f>IF(C1430="","",IF(N('Month 06'!J158)&gt;0,'Month 06'!J158,1))</f>
        <v/>
      </c>
      <c r="E1430">
        <f>IF(OR(C1430="",D1430=""),"",IF(D1430=1,C1430,ROUND(C1430*(1+D1430/30),1)))</f>
        <v/>
      </c>
    </row>
    <row r="1431">
      <c r="A1431">
        <f>'Month 06'!B137</f>
        <v/>
      </c>
      <c r="B1431" t="inlineStr">
        <is>
          <t>Overhead Press</t>
        </is>
      </c>
      <c r="C1431">
        <f>IF(AND('Month 06'!L159&lt;&gt;"",N('Month 06'!I159)&gt;0),'Month 06'!I159,"")</f>
        <v/>
      </c>
      <c r="D1431">
        <f>IF(C1431="","",IF(N('Month 06'!J159)&gt;0,'Month 06'!J159,1))</f>
        <v/>
      </c>
      <c r="E1431">
        <f>IF(OR(C1431="",D1431=""),"",IF(D1431=1,C1431,ROUND(C1431*(1+D1431/30),1)))</f>
        <v/>
      </c>
    </row>
    <row r="1432">
      <c r="A1432">
        <f>'Month 06'!B137</f>
        <v/>
      </c>
      <c r="B1432" t="inlineStr">
        <is>
          <t>Deadlift</t>
        </is>
      </c>
      <c r="C1432">
        <f>IF(AND('Month 06'!L161&lt;&gt;"",N('Month 06'!I161)&gt;0),'Month 06'!I161,"")</f>
        <v/>
      </c>
      <c r="D1432">
        <f>IF(C1432="","",IF(N('Month 06'!J161)&gt;0,'Month 06'!J161,1))</f>
        <v/>
      </c>
      <c r="E1432">
        <f>IF(OR(C1432="",D1432=""),"",IF(D1432=1,C1432,ROUND(C1432*(1+D1432/30),1)))</f>
        <v/>
      </c>
    </row>
    <row r="1433">
      <c r="A1433">
        <f>'Month 06'!B137</f>
        <v/>
      </c>
      <c r="B1433" t="inlineStr">
        <is>
          <t>Deadlift</t>
        </is>
      </c>
      <c r="C1433">
        <f>IF(AND('Month 06'!L162&lt;&gt;"",N('Month 06'!I162)&gt;0),'Month 06'!I162,"")</f>
        <v/>
      </c>
      <c r="D1433">
        <f>IF(C1433="","",IF(N('Month 06'!J162)&gt;0,'Month 06'!J162,1))</f>
        <v/>
      </c>
      <c r="E1433">
        <f>IF(OR(C1433="",D1433=""),"",IF(D1433=1,C1433,ROUND(C1433*(1+D1433/30),1)))</f>
        <v/>
      </c>
    </row>
    <row r="1434">
      <c r="A1434">
        <f>'Month 06'!B137</f>
        <v/>
      </c>
      <c r="B1434" t="inlineStr">
        <is>
          <t>Deadlift</t>
        </is>
      </c>
      <c r="C1434">
        <f>IF(AND('Month 06'!L163&lt;&gt;"",N('Month 06'!I163)&gt;0),'Month 06'!I163,"")</f>
        <v/>
      </c>
      <c r="D1434">
        <f>IF(C1434="","",IF(N('Month 06'!J163)&gt;0,'Month 06'!J163,1))</f>
        <v/>
      </c>
      <c r="E1434">
        <f>IF(OR(C1434="",D1434=""),"",IF(D1434=1,C1434,ROUND(C1434*(1+D1434/30),1)))</f>
        <v/>
      </c>
    </row>
    <row r="1435">
      <c r="A1435">
        <f>'Month 06'!B137</f>
        <v/>
      </c>
      <c r="B1435" t="inlineStr">
        <is>
          <t>Deadlift</t>
        </is>
      </c>
      <c r="C1435">
        <f>IF(AND('Month 06'!L164&lt;&gt;"",N('Month 06'!I164)&gt;0),'Month 06'!I164,"")</f>
        <v/>
      </c>
      <c r="D1435">
        <f>IF(C1435="","",IF(N('Month 06'!J164)&gt;0,'Month 06'!J164,1))</f>
        <v/>
      </c>
      <c r="E1435">
        <f>IF(OR(C1435="",D1435=""),"",IF(D1435=1,C1435,ROUND(C1435*(1+D1435/30),1)))</f>
        <v/>
      </c>
    </row>
    <row r="1436">
      <c r="A1436">
        <f>'Month 06'!B137</f>
        <v/>
      </c>
      <c r="B1436" t="inlineStr">
        <is>
          <t>Chin-up</t>
        </is>
      </c>
      <c r="C1436">
        <f>IF(AND('Month 06'!L166&lt;&gt;"",N('Month 06'!I166)&gt;0),'Month 06'!I166,"")</f>
        <v/>
      </c>
      <c r="D1436">
        <f>IF(C1436="","",IF(N('Month 06'!J166)&gt;0,'Month 06'!J166,1))</f>
        <v/>
      </c>
      <c r="E1436">
        <f>IF(OR(C1436="",D1436=""),"",IF(D1436=1,C1436,ROUND(C1436*(1+D1436/30),1)))</f>
        <v/>
      </c>
    </row>
    <row r="1437">
      <c r="A1437">
        <f>'Month 06'!B137</f>
        <v/>
      </c>
      <c r="B1437" t="inlineStr">
        <is>
          <t>Chin-up</t>
        </is>
      </c>
      <c r="C1437">
        <f>IF(AND('Month 06'!L167&lt;&gt;"",N('Month 06'!I167)&gt;0),'Month 06'!I167,"")</f>
        <v/>
      </c>
      <c r="D1437">
        <f>IF(C1437="","",IF(N('Month 06'!J167)&gt;0,'Month 06'!J167,1))</f>
        <v/>
      </c>
      <c r="E1437">
        <f>IF(OR(C1437="",D1437=""),"",IF(D1437=1,C1437,ROUND(C1437*(1+D1437/30),1)))</f>
        <v/>
      </c>
    </row>
    <row r="1438">
      <c r="A1438">
        <f>'Month 06'!B137</f>
        <v/>
      </c>
      <c r="B1438" t="inlineStr">
        <is>
          <t>Chin-up</t>
        </is>
      </c>
      <c r="C1438">
        <f>IF(AND('Month 06'!L168&lt;&gt;"",N('Month 06'!I168)&gt;0),'Month 06'!I168,"")</f>
        <v/>
      </c>
      <c r="D1438">
        <f>IF(C1438="","",IF(N('Month 06'!J168)&gt;0,'Month 06'!J168,1))</f>
        <v/>
      </c>
      <c r="E1438">
        <f>IF(OR(C1438="",D1438=""),"",IF(D1438=1,C1438,ROUND(C1438*(1+D1438/30),1)))</f>
        <v/>
      </c>
    </row>
    <row r="1439">
      <c r="A1439">
        <f>'Month 06'!B137</f>
        <v/>
      </c>
      <c r="B1439" t="inlineStr">
        <is>
          <t>Plank</t>
        </is>
      </c>
      <c r="C1439">
        <f>IF(AND('Month 06'!L170&lt;&gt;"",N('Month 06'!I170)&gt;0),'Month 06'!I170,"")</f>
        <v/>
      </c>
      <c r="D1439">
        <f>IF(C1439="","",IF(N('Month 06'!J170)&gt;0,'Month 06'!J170,1))</f>
        <v/>
      </c>
      <c r="E1439">
        <f>IF(OR(C1439="",D1439=""),"",IF(D1439=1,C1439,ROUND(C1439*(1+D1439/30),1)))</f>
        <v/>
      </c>
    </row>
    <row r="1440">
      <c r="A1440">
        <f>'Month 06'!B137</f>
        <v/>
      </c>
      <c r="B1440" t="inlineStr">
        <is>
          <t>Plank</t>
        </is>
      </c>
      <c r="C1440">
        <f>IF(AND('Month 06'!L171&lt;&gt;"",N('Month 06'!I171)&gt;0),'Month 06'!I171,"")</f>
        <v/>
      </c>
      <c r="D1440">
        <f>IF(C1440="","",IF(N('Month 06'!J171)&gt;0,'Month 06'!J171,1))</f>
        <v/>
      </c>
      <c r="E1440">
        <f>IF(OR(C1440="",D1440=""),"",IF(D1440=1,C1440,ROUND(C1440*(1+D1440/30),1)))</f>
        <v/>
      </c>
    </row>
    <row r="1441">
      <c r="A1441">
        <f>'Month 06'!B137</f>
        <v/>
      </c>
      <c r="B1441" t="inlineStr">
        <is>
          <t>Plank</t>
        </is>
      </c>
      <c r="C1441">
        <f>IF(AND('Month 06'!L172&lt;&gt;"",N('Month 06'!I172)&gt;0),'Month 06'!I172,"")</f>
        <v/>
      </c>
      <c r="D1441">
        <f>IF(C1441="","",IF(N('Month 06'!J172)&gt;0,'Month 06'!J172,1))</f>
        <v/>
      </c>
      <c r="E1441">
        <f>IF(OR(C1441="",D1441=""),"",IF(D1441=1,C1441,ROUND(C1441*(1+D1441/30),1)))</f>
        <v/>
      </c>
    </row>
    <row r="1442">
      <c r="A1442">
        <f>'Month 06'!B173</f>
        <v/>
      </c>
      <c r="B1442" t="inlineStr">
        <is>
          <t>Seated Box Jump</t>
        </is>
      </c>
      <c r="C1442">
        <f>IF(AND('Month 06'!L175&lt;&gt;"",N('Month 06'!I175)&gt;0),'Month 06'!I175,"")</f>
        <v/>
      </c>
      <c r="D1442">
        <f>IF(C1442="","",IF(N('Month 06'!J175)&gt;0,'Month 06'!J175,1))</f>
        <v/>
      </c>
      <c r="E1442">
        <f>IF(OR(C1442="",D1442=""),"",IF(D1442=1,C1442,ROUND(C1442*(1+D1442/30),1)))</f>
        <v/>
      </c>
    </row>
    <row r="1443">
      <c r="A1443">
        <f>'Month 06'!B173</f>
        <v/>
      </c>
      <c r="B1443" t="inlineStr">
        <is>
          <t>Seated Box Jump</t>
        </is>
      </c>
      <c r="C1443">
        <f>IF(AND('Month 06'!L176&lt;&gt;"",N('Month 06'!I176)&gt;0),'Month 06'!I176,"")</f>
        <v/>
      </c>
      <c r="D1443">
        <f>IF(C1443="","",IF(N('Month 06'!J176)&gt;0,'Month 06'!J176,1))</f>
        <v/>
      </c>
      <c r="E1443">
        <f>IF(OR(C1443="",D1443=""),"",IF(D1443=1,C1443,ROUND(C1443*(1+D1443/30),1)))</f>
        <v/>
      </c>
    </row>
    <row r="1444">
      <c r="A1444">
        <f>'Month 06'!B173</f>
        <v/>
      </c>
      <c r="B1444" t="inlineStr">
        <is>
          <t>Seated Box Jump</t>
        </is>
      </c>
      <c r="C1444">
        <f>IF(AND('Month 06'!L177&lt;&gt;"",N('Month 06'!I177)&gt;0),'Month 06'!I177,"")</f>
        <v/>
      </c>
      <c r="D1444">
        <f>IF(C1444="","",IF(N('Month 06'!J177)&gt;0,'Month 06'!J177,1))</f>
        <v/>
      </c>
      <c r="E1444">
        <f>IF(OR(C1444="",D1444=""),"",IF(D1444=1,C1444,ROUND(C1444*(1+D1444/30),1)))</f>
        <v/>
      </c>
    </row>
    <row r="1445">
      <c r="A1445">
        <f>'Month 06'!B173</f>
        <v/>
      </c>
      <c r="B1445" t="inlineStr">
        <is>
          <t>Push Jerk</t>
        </is>
      </c>
      <c r="C1445">
        <f>IF(AND('Month 06'!L179&lt;&gt;"",N('Month 06'!I179)&gt;0),'Month 06'!I179,"")</f>
        <v/>
      </c>
      <c r="D1445">
        <f>IF(C1445="","",IF(N('Month 06'!J179)&gt;0,'Month 06'!J179,1))</f>
        <v/>
      </c>
      <c r="E1445">
        <f>IF(OR(C1445="",D1445=""),"",IF(D1445=1,C1445,ROUND(C1445*(1+D1445/30),1)))</f>
        <v/>
      </c>
    </row>
    <row r="1446">
      <c r="A1446">
        <f>'Month 06'!B173</f>
        <v/>
      </c>
      <c r="B1446" t="inlineStr">
        <is>
          <t>Push Jerk</t>
        </is>
      </c>
      <c r="C1446">
        <f>IF(AND('Month 06'!L180&lt;&gt;"",N('Month 06'!I180)&gt;0),'Month 06'!I180,"")</f>
        <v/>
      </c>
      <c r="D1446">
        <f>IF(C1446="","",IF(N('Month 06'!J180)&gt;0,'Month 06'!J180,1))</f>
        <v/>
      </c>
      <c r="E1446">
        <f>IF(OR(C1446="",D1446=""),"",IF(D1446=1,C1446,ROUND(C1446*(1+D1446/30),1)))</f>
        <v/>
      </c>
    </row>
    <row r="1447">
      <c r="A1447">
        <f>'Month 06'!B173</f>
        <v/>
      </c>
      <c r="B1447" t="inlineStr">
        <is>
          <t>Push Jerk</t>
        </is>
      </c>
      <c r="C1447">
        <f>IF(AND('Month 06'!L181&lt;&gt;"",N('Month 06'!I181)&gt;0),'Month 06'!I181,"")</f>
        <v/>
      </c>
      <c r="D1447">
        <f>IF(C1447="","",IF(N('Month 06'!J181)&gt;0,'Month 06'!J181,1))</f>
        <v/>
      </c>
      <c r="E1447">
        <f>IF(OR(C1447="",D1447=""),"",IF(D1447=1,C1447,ROUND(C1447*(1+D1447/30),1)))</f>
        <v/>
      </c>
    </row>
    <row r="1448">
      <c r="A1448">
        <f>'Month 06'!B173</f>
        <v/>
      </c>
      <c r="B1448" t="inlineStr">
        <is>
          <t>Push Jerk</t>
        </is>
      </c>
      <c r="C1448">
        <f>IF(AND('Month 06'!L182&lt;&gt;"",N('Month 06'!I182)&gt;0),'Month 06'!I182,"")</f>
        <v/>
      </c>
      <c r="D1448">
        <f>IF(C1448="","",IF(N('Month 06'!J182)&gt;0,'Month 06'!J182,1))</f>
        <v/>
      </c>
      <c r="E1448">
        <f>IF(OR(C1448="",D1448=""),"",IF(D1448=1,C1448,ROUND(C1448*(1+D1448/30),1)))</f>
        <v/>
      </c>
    </row>
    <row r="1449">
      <c r="A1449">
        <f>'Month 06'!B173</f>
        <v/>
      </c>
      <c r="B1449" t="inlineStr">
        <is>
          <t>Push Jerk</t>
        </is>
      </c>
      <c r="C1449">
        <f>IF(AND('Month 06'!L183&lt;&gt;"",N('Month 06'!I183)&gt;0),'Month 06'!I183,"")</f>
        <v/>
      </c>
      <c r="D1449">
        <f>IF(C1449="","",IF(N('Month 06'!J183)&gt;0,'Month 06'!J183,1))</f>
        <v/>
      </c>
      <c r="E1449">
        <f>IF(OR(C1449="",D1449=""),"",IF(D1449=1,C1449,ROUND(C1449*(1+D1449/30),1)))</f>
        <v/>
      </c>
    </row>
    <row r="1450">
      <c r="A1450">
        <f>'Month 06'!B173</f>
        <v/>
      </c>
      <c r="B1450" t="inlineStr">
        <is>
          <t>Box Squat</t>
        </is>
      </c>
      <c r="C1450">
        <f>IF(AND('Month 06'!L185&lt;&gt;"",N('Month 06'!I185)&gt;0),'Month 06'!I185,"")</f>
        <v/>
      </c>
      <c r="D1450">
        <f>IF(C1450="","",IF(N('Month 06'!J185)&gt;0,'Month 06'!J185,1))</f>
        <v/>
      </c>
      <c r="E1450">
        <f>IF(OR(C1450="",D1450=""),"",IF(D1450=1,C1450,ROUND(C1450*(1+D1450/30),1)))</f>
        <v/>
      </c>
    </row>
    <row r="1451">
      <c r="A1451">
        <f>'Month 06'!B173</f>
        <v/>
      </c>
      <c r="B1451" t="inlineStr">
        <is>
          <t>Box Squat</t>
        </is>
      </c>
      <c r="C1451">
        <f>IF(AND('Month 06'!L186&lt;&gt;"",N('Month 06'!I186)&gt;0),'Month 06'!I186,"")</f>
        <v/>
      </c>
      <c r="D1451">
        <f>IF(C1451="","",IF(N('Month 06'!J186)&gt;0,'Month 06'!J186,1))</f>
        <v/>
      </c>
      <c r="E1451">
        <f>IF(OR(C1451="",D1451=""),"",IF(D1451=1,C1451,ROUND(C1451*(1+D1451/30),1)))</f>
        <v/>
      </c>
    </row>
    <row r="1452">
      <c r="A1452">
        <f>'Month 06'!B173</f>
        <v/>
      </c>
      <c r="B1452" t="inlineStr">
        <is>
          <t>Box Squat</t>
        </is>
      </c>
      <c r="C1452">
        <f>IF(AND('Month 06'!L187&lt;&gt;"",N('Month 06'!I187)&gt;0),'Month 06'!I187,"")</f>
        <v/>
      </c>
      <c r="D1452">
        <f>IF(C1452="","",IF(N('Month 06'!J187)&gt;0,'Month 06'!J187,1))</f>
        <v/>
      </c>
      <c r="E1452">
        <f>IF(OR(C1452="",D1452=""),"",IF(D1452=1,C1452,ROUND(C1452*(1+D1452/30),1)))</f>
        <v/>
      </c>
    </row>
    <row r="1453">
      <c r="A1453">
        <f>'Month 06'!B173</f>
        <v/>
      </c>
      <c r="B1453" t="inlineStr">
        <is>
          <t>Box Squat</t>
        </is>
      </c>
      <c r="C1453">
        <f>IF(AND('Month 06'!L188&lt;&gt;"",N('Month 06'!I188)&gt;0),'Month 06'!I188,"")</f>
        <v/>
      </c>
      <c r="D1453">
        <f>IF(C1453="","",IF(N('Month 06'!J188)&gt;0,'Month 06'!J188,1))</f>
        <v/>
      </c>
      <c r="E1453">
        <f>IF(OR(C1453="",D1453=""),"",IF(D1453=1,C1453,ROUND(C1453*(1+D1453/30),1)))</f>
        <v/>
      </c>
    </row>
    <row r="1454">
      <c r="A1454">
        <f>'Month 06'!B173</f>
        <v/>
      </c>
      <c r="B1454" t="inlineStr">
        <is>
          <t>Box Squat</t>
        </is>
      </c>
      <c r="C1454">
        <f>IF(AND('Month 06'!L189&lt;&gt;"",N('Month 06'!I189)&gt;0),'Month 06'!I189,"")</f>
        <v/>
      </c>
      <c r="D1454">
        <f>IF(C1454="","",IF(N('Month 06'!J189)&gt;0,'Month 06'!J189,1))</f>
        <v/>
      </c>
      <c r="E1454">
        <f>IF(OR(C1454="",D1454=""),"",IF(D1454=1,C1454,ROUND(C1454*(1+D1454/30),1)))</f>
        <v/>
      </c>
    </row>
    <row r="1455">
      <c r="A1455">
        <f>'Month 06'!B173</f>
        <v/>
      </c>
      <c r="B1455" t="inlineStr">
        <is>
          <t>3-Board Press</t>
        </is>
      </c>
      <c r="C1455">
        <f>IF(AND('Month 06'!L191&lt;&gt;"",N('Month 06'!I191)&gt;0),'Month 06'!I191,"")</f>
        <v/>
      </c>
      <c r="D1455">
        <f>IF(C1455="","",IF(N('Month 06'!J191)&gt;0,'Month 06'!J191,1))</f>
        <v/>
      </c>
      <c r="E1455">
        <f>IF(OR(C1455="",D1455=""),"",IF(D1455=1,C1455,ROUND(C1455*(1+D1455/30),1)))</f>
        <v/>
      </c>
    </row>
    <row r="1456">
      <c r="A1456">
        <f>'Month 06'!B173</f>
        <v/>
      </c>
      <c r="B1456" t="inlineStr">
        <is>
          <t>3-Board Press</t>
        </is>
      </c>
      <c r="C1456">
        <f>IF(AND('Month 06'!L192&lt;&gt;"",N('Month 06'!I192)&gt;0),'Month 06'!I192,"")</f>
        <v/>
      </c>
      <c r="D1456">
        <f>IF(C1456="","",IF(N('Month 06'!J192)&gt;0,'Month 06'!J192,1))</f>
        <v/>
      </c>
      <c r="E1456">
        <f>IF(OR(C1456="",D1456=""),"",IF(D1456=1,C1456,ROUND(C1456*(1+D1456/30),1)))</f>
        <v/>
      </c>
    </row>
    <row r="1457">
      <c r="A1457">
        <f>'Month 06'!B173</f>
        <v/>
      </c>
      <c r="B1457" t="inlineStr">
        <is>
          <t>3-Board Press</t>
        </is>
      </c>
      <c r="C1457">
        <f>IF(AND('Month 06'!L193&lt;&gt;"",N('Month 06'!I193)&gt;0),'Month 06'!I193,"")</f>
        <v/>
      </c>
      <c r="D1457">
        <f>IF(C1457="","",IF(N('Month 06'!J193)&gt;0,'Month 06'!J193,1))</f>
        <v/>
      </c>
      <c r="E1457">
        <f>IF(OR(C1457="",D1457=""),"",IF(D1457=1,C1457,ROUND(C1457*(1+D1457/30),1)))</f>
        <v/>
      </c>
    </row>
    <row r="1458">
      <c r="A1458">
        <f>'Month 06'!B173</f>
        <v/>
      </c>
      <c r="B1458" t="inlineStr">
        <is>
          <t>3-Board Press</t>
        </is>
      </c>
      <c r="C1458">
        <f>IF(AND('Month 06'!L194&lt;&gt;"",N('Month 06'!I194)&gt;0),'Month 06'!I194,"")</f>
        <v/>
      </c>
      <c r="D1458">
        <f>IF(C1458="","",IF(N('Month 06'!J194)&gt;0,'Month 06'!J194,1))</f>
        <v/>
      </c>
      <c r="E1458">
        <f>IF(OR(C1458="",D1458=""),"",IF(D1458=1,C1458,ROUND(C1458*(1+D1458/30),1)))</f>
        <v/>
      </c>
    </row>
    <row r="1459">
      <c r="A1459">
        <f>'Month 06'!B173</f>
        <v/>
      </c>
      <c r="B1459" t="inlineStr">
        <is>
          <t>3-Board Press</t>
        </is>
      </c>
      <c r="C1459">
        <f>IF(AND('Month 06'!L195&lt;&gt;"",N('Month 06'!I195)&gt;0),'Month 06'!I195,"")</f>
        <v/>
      </c>
      <c r="D1459">
        <f>IF(C1459="","",IF(N('Month 06'!J195)&gt;0,'Month 06'!J195,1))</f>
        <v/>
      </c>
      <c r="E1459">
        <f>IF(OR(C1459="",D1459=""),"",IF(D1459=1,C1459,ROUND(C1459*(1+D1459/30),1)))</f>
        <v/>
      </c>
    </row>
    <row r="1460">
      <c r="A1460">
        <f>'Month 06'!B173</f>
        <v/>
      </c>
      <c r="B1460" t="inlineStr">
        <is>
          <t>Deficit Deadlift</t>
        </is>
      </c>
      <c r="C1460">
        <f>IF(AND('Month 06'!L197&lt;&gt;"",N('Month 06'!I197)&gt;0),'Month 06'!I197,"")</f>
        <v/>
      </c>
      <c r="D1460">
        <f>IF(C1460="","",IF(N('Month 06'!J197)&gt;0,'Month 06'!J197,1))</f>
        <v/>
      </c>
      <c r="E1460">
        <f>IF(OR(C1460="",D1460=""),"",IF(D1460=1,C1460,ROUND(C1460*(1+D1460/30),1)))</f>
        <v/>
      </c>
    </row>
    <row r="1461">
      <c r="A1461">
        <f>'Month 06'!B173</f>
        <v/>
      </c>
      <c r="B1461" t="inlineStr">
        <is>
          <t>Deficit Deadlift</t>
        </is>
      </c>
      <c r="C1461">
        <f>IF(AND('Month 06'!L198&lt;&gt;"",N('Month 06'!I198)&gt;0),'Month 06'!I198,"")</f>
        <v/>
      </c>
      <c r="D1461">
        <f>IF(C1461="","",IF(N('Month 06'!J198)&gt;0,'Month 06'!J198,1))</f>
        <v/>
      </c>
      <c r="E1461">
        <f>IF(OR(C1461="",D1461=""),"",IF(D1461=1,C1461,ROUND(C1461*(1+D1461/30),1)))</f>
        <v/>
      </c>
    </row>
    <row r="1462">
      <c r="A1462">
        <f>'Month 06'!B173</f>
        <v/>
      </c>
      <c r="B1462" t="inlineStr">
        <is>
          <t>Deficit Deadlift</t>
        </is>
      </c>
      <c r="C1462">
        <f>IF(AND('Month 06'!L199&lt;&gt;"",N('Month 06'!I199)&gt;0),'Month 06'!I199,"")</f>
        <v/>
      </c>
      <c r="D1462">
        <f>IF(C1462="","",IF(N('Month 06'!J199)&gt;0,'Month 06'!J199,1))</f>
        <v/>
      </c>
      <c r="E1462">
        <f>IF(OR(C1462="",D1462=""),"",IF(D1462=1,C1462,ROUND(C1462*(1+D1462/30),1)))</f>
        <v/>
      </c>
    </row>
    <row r="1463">
      <c r="A1463">
        <f>'Month 06'!B173</f>
        <v/>
      </c>
      <c r="B1463" t="inlineStr">
        <is>
          <t>Incline Dumbbell Press</t>
        </is>
      </c>
      <c r="C1463">
        <f>IF(AND('Month 06'!L201&lt;&gt;"",N('Month 06'!I201)&gt;0),'Month 06'!I201,"")</f>
        <v/>
      </c>
      <c r="D1463">
        <f>IF(C1463="","",IF(N('Month 06'!J201)&gt;0,'Month 06'!J201,1))</f>
        <v/>
      </c>
      <c r="E1463">
        <f>IF(OR(C1463="",D1463=""),"",IF(D1463=1,C1463,ROUND(C1463*(1+D1463/30),1)))</f>
        <v/>
      </c>
    </row>
    <row r="1464">
      <c r="A1464">
        <f>'Month 06'!B173</f>
        <v/>
      </c>
      <c r="B1464" t="inlineStr">
        <is>
          <t>Incline Dumbbell Press</t>
        </is>
      </c>
      <c r="C1464">
        <f>IF(AND('Month 06'!L202&lt;&gt;"",N('Month 06'!I202)&gt;0),'Month 06'!I202,"")</f>
        <v/>
      </c>
      <c r="D1464">
        <f>IF(C1464="","",IF(N('Month 06'!J202)&gt;0,'Month 06'!J202,1))</f>
        <v/>
      </c>
      <c r="E1464">
        <f>IF(OR(C1464="",D1464=""),"",IF(D1464=1,C1464,ROUND(C1464*(1+D1464/30),1)))</f>
        <v/>
      </c>
    </row>
    <row r="1465">
      <c r="A1465">
        <f>'Month 06'!B173</f>
        <v/>
      </c>
      <c r="B1465" t="inlineStr">
        <is>
          <t>Incline Dumbbell Press</t>
        </is>
      </c>
      <c r="C1465">
        <f>IF(AND('Month 06'!L203&lt;&gt;"",N('Month 06'!I203)&gt;0),'Month 06'!I203,"")</f>
        <v/>
      </c>
      <c r="D1465">
        <f>IF(C1465="","",IF(N('Month 06'!J203)&gt;0,'Month 06'!J203,1))</f>
        <v/>
      </c>
      <c r="E1465">
        <f>IF(OR(C1465="",D1465=""),"",IF(D1465=1,C1465,ROUND(C1465*(1+D1465/30),1)))</f>
        <v/>
      </c>
    </row>
    <row r="1466">
      <c r="A1466">
        <f>'Month 06'!B173</f>
        <v/>
      </c>
      <c r="B1466" t="inlineStr">
        <is>
          <t>Triceps Pushdown</t>
        </is>
      </c>
      <c r="C1466">
        <f>IF(AND('Month 06'!L205&lt;&gt;"",N('Month 06'!I205)&gt;0),'Month 06'!I205,"")</f>
        <v/>
      </c>
      <c r="D1466">
        <f>IF(C1466="","",IF(N('Month 06'!J205)&gt;0,'Month 06'!J205,1))</f>
        <v/>
      </c>
      <c r="E1466">
        <f>IF(OR(C1466="",D1466=""),"",IF(D1466=1,C1466,ROUND(C1466*(1+D1466/30),1)))</f>
        <v/>
      </c>
    </row>
    <row r="1467">
      <c r="A1467">
        <f>'Month 06'!B173</f>
        <v/>
      </c>
      <c r="B1467" t="inlineStr">
        <is>
          <t>Triceps Pushdown</t>
        </is>
      </c>
      <c r="C1467">
        <f>IF(AND('Month 06'!L206&lt;&gt;"",N('Month 06'!I206)&gt;0),'Month 06'!I206,"")</f>
        <v/>
      </c>
      <c r="D1467">
        <f>IF(C1467="","",IF(N('Month 06'!J206)&gt;0,'Month 06'!J206,1))</f>
        <v/>
      </c>
      <c r="E1467">
        <f>IF(OR(C1467="",D1467=""),"",IF(D1467=1,C1467,ROUND(C1467*(1+D1467/30),1)))</f>
        <v/>
      </c>
    </row>
    <row r="1468">
      <c r="A1468">
        <f>'Month 06'!B173</f>
        <v/>
      </c>
      <c r="B1468" t="inlineStr">
        <is>
          <t>Triceps Pushdown</t>
        </is>
      </c>
      <c r="C1468">
        <f>IF(AND('Month 06'!L207&lt;&gt;"",N('Month 06'!I207)&gt;0),'Month 06'!I207,"")</f>
        <v/>
      </c>
      <c r="D1468">
        <f>IF(C1468="","",IF(N('Month 06'!J207)&gt;0,'Month 06'!J207,1))</f>
        <v/>
      </c>
      <c r="E1468">
        <f>IF(OR(C1468="",D1468=""),"",IF(D1468=1,C1468,ROUND(C1468*(1+D1468/30),1)))</f>
        <v/>
      </c>
    </row>
    <row r="1469">
      <c r="A1469">
        <f>'Month 06'!B210</f>
        <v/>
      </c>
      <c r="B1469" t="inlineStr">
        <is>
          <t>Box Jump</t>
        </is>
      </c>
      <c r="C1469">
        <f>IF(AND('Month 06'!L212&lt;&gt;"",N('Month 06'!I212)&gt;0),'Month 06'!I212,"")</f>
        <v/>
      </c>
      <c r="D1469">
        <f>IF(C1469="","",IF(N('Month 06'!J212)&gt;0,'Month 06'!J212,1))</f>
        <v/>
      </c>
      <c r="E1469">
        <f>IF(OR(C1469="",D1469=""),"",IF(D1469=1,C1469,ROUND(C1469*(1+D1469/30),1)))</f>
        <v/>
      </c>
    </row>
    <row r="1470">
      <c r="A1470">
        <f>'Month 06'!B210</f>
        <v/>
      </c>
      <c r="B1470" t="inlineStr">
        <is>
          <t>Box Jump</t>
        </is>
      </c>
      <c r="C1470">
        <f>IF(AND('Month 06'!L213&lt;&gt;"",N('Month 06'!I213)&gt;0),'Month 06'!I213,"")</f>
        <v/>
      </c>
      <c r="D1470">
        <f>IF(C1470="","",IF(N('Month 06'!J213)&gt;0,'Month 06'!J213,1))</f>
        <v/>
      </c>
      <c r="E1470">
        <f>IF(OR(C1470="",D1470=""),"",IF(D1470=1,C1470,ROUND(C1470*(1+D1470/30),1)))</f>
        <v/>
      </c>
    </row>
    <row r="1471">
      <c r="A1471">
        <f>'Month 06'!B210</f>
        <v/>
      </c>
      <c r="B1471" t="inlineStr">
        <is>
          <t>Snatch</t>
        </is>
      </c>
      <c r="C1471">
        <f>IF(AND('Month 06'!L215&lt;&gt;"",N('Month 06'!I215)&gt;0),'Month 06'!I215,"")</f>
        <v/>
      </c>
      <c r="D1471">
        <f>IF(C1471="","",IF(N('Month 06'!J215)&gt;0,'Month 06'!J215,1))</f>
        <v/>
      </c>
      <c r="E1471">
        <f>IF(OR(C1471="",D1471=""),"",IF(D1471=1,C1471,ROUND(C1471*(1+D1471/30),1)))</f>
        <v/>
      </c>
    </row>
    <row r="1472">
      <c r="A1472">
        <f>'Month 06'!B210</f>
        <v/>
      </c>
      <c r="B1472" t="inlineStr">
        <is>
          <t>Snatch</t>
        </is>
      </c>
      <c r="C1472">
        <f>IF(AND('Month 06'!L216&lt;&gt;"",N('Month 06'!I216)&gt;0),'Month 06'!I216,"")</f>
        <v/>
      </c>
      <c r="D1472">
        <f>IF(C1472="","",IF(N('Month 06'!J216)&gt;0,'Month 06'!J216,1))</f>
        <v/>
      </c>
      <c r="E1472">
        <f>IF(OR(C1472="",D1472=""),"",IF(D1472=1,C1472,ROUND(C1472*(1+D1472/30),1)))</f>
        <v/>
      </c>
    </row>
    <row r="1473">
      <c r="A1473">
        <f>'Month 06'!B210</f>
        <v/>
      </c>
      <c r="B1473" t="inlineStr">
        <is>
          <t>Snatch</t>
        </is>
      </c>
      <c r="C1473">
        <f>IF(AND('Month 06'!L217&lt;&gt;"",N('Month 06'!I217)&gt;0),'Month 06'!I217,"")</f>
        <v/>
      </c>
      <c r="D1473">
        <f>IF(C1473="","",IF(N('Month 06'!J217)&gt;0,'Month 06'!J217,1))</f>
        <v/>
      </c>
      <c r="E1473">
        <f>IF(OR(C1473="",D1473=""),"",IF(D1473=1,C1473,ROUND(C1473*(1+D1473/30),1)))</f>
        <v/>
      </c>
    </row>
    <row r="1474">
      <c r="A1474">
        <f>'Month 06'!B210</f>
        <v/>
      </c>
      <c r="B1474" t="inlineStr">
        <is>
          <t>Squat</t>
        </is>
      </c>
      <c r="C1474">
        <f>IF(AND('Month 06'!L219&lt;&gt;"",N('Month 06'!I219)&gt;0),'Month 06'!I219,"")</f>
        <v/>
      </c>
      <c r="D1474">
        <f>IF(C1474="","",IF(N('Month 06'!J219)&gt;0,'Month 06'!J219,1))</f>
        <v/>
      </c>
      <c r="E1474">
        <f>IF(OR(C1474="",D1474=""),"",IF(D1474=1,C1474,ROUND(C1474*(1+D1474/30),1)))</f>
        <v/>
      </c>
    </row>
    <row r="1475">
      <c r="A1475">
        <f>'Month 06'!B210</f>
        <v/>
      </c>
      <c r="B1475" t="inlineStr">
        <is>
          <t>Squat</t>
        </is>
      </c>
      <c r="C1475">
        <f>IF(AND('Month 06'!L220&lt;&gt;"",N('Month 06'!I220)&gt;0),'Month 06'!I220,"")</f>
        <v/>
      </c>
      <c r="D1475">
        <f>IF(C1475="","",IF(N('Month 06'!J220)&gt;0,'Month 06'!J220,1))</f>
        <v/>
      </c>
      <c r="E1475">
        <f>IF(OR(C1475="",D1475=""),"",IF(D1475=1,C1475,ROUND(C1475*(1+D1475/30),1)))</f>
        <v/>
      </c>
    </row>
    <row r="1476">
      <c r="A1476">
        <f>'Month 06'!B210</f>
        <v/>
      </c>
      <c r="B1476" t="inlineStr">
        <is>
          <t>Squat</t>
        </is>
      </c>
      <c r="C1476">
        <f>IF(AND('Month 06'!L221&lt;&gt;"",N('Month 06'!I221)&gt;0),'Month 06'!I221,"")</f>
        <v/>
      </c>
      <c r="D1476">
        <f>IF(C1476="","",IF(N('Month 06'!J221)&gt;0,'Month 06'!J221,1))</f>
        <v/>
      </c>
      <c r="E1476">
        <f>IF(OR(C1476="",D1476=""),"",IF(D1476=1,C1476,ROUND(C1476*(1+D1476/30),1)))</f>
        <v/>
      </c>
    </row>
    <row r="1477">
      <c r="A1477">
        <f>'Month 06'!B210</f>
        <v/>
      </c>
      <c r="B1477" t="inlineStr">
        <is>
          <t>Bench Press</t>
        </is>
      </c>
      <c r="C1477">
        <f>IF(AND('Month 06'!L223&lt;&gt;"",N('Month 06'!I223)&gt;0),'Month 06'!I223,"")</f>
        <v/>
      </c>
      <c r="D1477">
        <f>IF(C1477="","",IF(N('Month 06'!J223)&gt;0,'Month 06'!J223,1))</f>
        <v/>
      </c>
      <c r="E1477">
        <f>IF(OR(C1477="",D1477=""),"",IF(D1477=1,C1477,ROUND(C1477*(1+D1477/30),1)))</f>
        <v/>
      </c>
    </row>
    <row r="1478">
      <c r="A1478">
        <f>'Month 06'!B210</f>
        <v/>
      </c>
      <c r="B1478" t="inlineStr">
        <is>
          <t>Bench Press</t>
        </is>
      </c>
      <c r="C1478">
        <f>IF(AND('Month 06'!L224&lt;&gt;"",N('Month 06'!I224)&gt;0),'Month 06'!I224,"")</f>
        <v/>
      </c>
      <c r="D1478">
        <f>IF(C1478="","",IF(N('Month 06'!J224)&gt;0,'Month 06'!J224,1))</f>
        <v/>
      </c>
      <c r="E1478">
        <f>IF(OR(C1478="",D1478=""),"",IF(D1478=1,C1478,ROUND(C1478*(1+D1478/30),1)))</f>
        <v/>
      </c>
    </row>
    <row r="1479">
      <c r="A1479">
        <f>'Month 06'!B210</f>
        <v/>
      </c>
      <c r="B1479" t="inlineStr">
        <is>
          <t>Bench Press</t>
        </is>
      </c>
      <c r="C1479">
        <f>IF(AND('Month 06'!L225&lt;&gt;"",N('Month 06'!I225)&gt;0),'Month 06'!I225,"")</f>
        <v/>
      </c>
      <c r="D1479">
        <f>IF(C1479="","",IF(N('Month 06'!J225)&gt;0,'Month 06'!J225,1))</f>
        <v/>
      </c>
      <c r="E1479">
        <f>IF(OR(C1479="",D1479=""),"",IF(D1479=1,C1479,ROUND(C1479*(1+D1479/30),1)))</f>
        <v/>
      </c>
    </row>
    <row r="1480">
      <c r="A1480">
        <f>'Month 06'!B210</f>
        <v/>
      </c>
      <c r="B1480" t="inlineStr">
        <is>
          <t>Barbell Row</t>
        </is>
      </c>
      <c r="C1480">
        <f>IF(AND('Month 06'!L227&lt;&gt;"",N('Month 06'!I227)&gt;0),'Month 06'!I227,"")</f>
        <v/>
      </c>
      <c r="D1480">
        <f>IF(C1480="","",IF(N('Month 06'!J227)&gt;0,'Month 06'!J227,1))</f>
        <v/>
      </c>
      <c r="E1480">
        <f>IF(OR(C1480="",D1480=""),"",IF(D1480=1,C1480,ROUND(C1480*(1+D1480/30),1)))</f>
        <v/>
      </c>
    </row>
    <row r="1481">
      <c r="A1481">
        <f>'Month 06'!B210</f>
        <v/>
      </c>
      <c r="B1481" t="inlineStr">
        <is>
          <t>Barbell Row</t>
        </is>
      </c>
      <c r="C1481">
        <f>IF(AND('Month 06'!L228&lt;&gt;"",N('Month 06'!I228)&gt;0),'Month 06'!I228,"")</f>
        <v/>
      </c>
      <c r="D1481">
        <f>IF(C1481="","",IF(N('Month 06'!J228)&gt;0,'Month 06'!J228,1))</f>
        <v/>
      </c>
      <c r="E1481">
        <f>IF(OR(C1481="",D1481=""),"",IF(D1481=1,C1481,ROUND(C1481*(1+D1481/30),1)))</f>
        <v/>
      </c>
    </row>
    <row r="1482">
      <c r="A1482">
        <f>'Month 06'!B210</f>
        <v/>
      </c>
      <c r="B1482" t="inlineStr">
        <is>
          <t>Face Pull</t>
        </is>
      </c>
      <c r="C1482">
        <f>IF(AND('Month 06'!L230&lt;&gt;"",N('Month 06'!I230)&gt;0),'Month 06'!I230,"")</f>
        <v/>
      </c>
      <c r="D1482">
        <f>IF(C1482="","",IF(N('Month 06'!J230)&gt;0,'Month 06'!J230,1))</f>
        <v/>
      </c>
      <c r="E1482">
        <f>IF(OR(C1482="",D1482=""),"",IF(D1482=1,C1482,ROUND(C1482*(1+D1482/30),1)))</f>
        <v/>
      </c>
    </row>
    <row r="1483">
      <c r="A1483">
        <f>'Month 06'!B210</f>
        <v/>
      </c>
      <c r="B1483" t="inlineStr">
        <is>
          <t>Face Pull</t>
        </is>
      </c>
      <c r="C1483">
        <f>IF(AND('Month 06'!L231&lt;&gt;"",N('Month 06'!I231)&gt;0),'Month 06'!I231,"")</f>
        <v/>
      </c>
      <c r="D1483">
        <f>IF(C1483="","",IF(N('Month 06'!J231)&gt;0,'Month 06'!J231,1))</f>
        <v/>
      </c>
      <c r="E1483">
        <f>IF(OR(C1483="",D1483=""),"",IF(D1483=1,C1483,ROUND(C1483*(1+D1483/30),1)))</f>
        <v/>
      </c>
    </row>
    <row r="1484">
      <c r="A1484">
        <f>'Month 06'!B232</f>
        <v/>
      </c>
      <c r="B1484" t="inlineStr">
        <is>
          <t>Broad Jump</t>
        </is>
      </c>
      <c r="C1484">
        <f>IF(AND('Month 06'!L234&lt;&gt;"",N('Month 06'!I234)&gt;0),'Month 06'!I234,"")</f>
        <v/>
      </c>
      <c r="D1484">
        <f>IF(C1484="","",IF(N('Month 06'!J234)&gt;0,'Month 06'!J234,1))</f>
        <v/>
      </c>
      <c r="E1484">
        <f>IF(OR(C1484="",D1484=""),"",IF(D1484=1,C1484,ROUND(C1484*(1+D1484/30),1)))</f>
        <v/>
      </c>
    </row>
    <row r="1485">
      <c r="A1485">
        <f>'Month 06'!B232</f>
        <v/>
      </c>
      <c r="B1485" t="inlineStr">
        <is>
          <t>Broad Jump</t>
        </is>
      </c>
      <c r="C1485">
        <f>IF(AND('Month 06'!L235&lt;&gt;"",N('Month 06'!I235)&gt;0),'Month 06'!I235,"")</f>
        <v/>
      </c>
      <c r="D1485">
        <f>IF(C1485="","",IF(N('Month 06'!J235)&gt;0,'Month 06'!J235,1))</f>
        <v/>
      </c>
      <c r="E1485">
        <f>IF(OR(C1485="",D1485=""),"",IF(D1485=1,C1485,ROUND(C1485*(1+D1485/30),1)))</f>
        <v/>
      </c>
    </row>
    <row r="1486">
      <c r="A1486">
        <f>'Month 06'!B232</f>
        <v/>
      </c>
      <c r="B1486" t="inlineStr">
        <is>
          <t>Med Ball Chest Pass</t>
        </is>
      </c>
      <c r="C1486">
        <f>IF(AND('Month 06'!L237&lt;&gt;"",N('Month 06'!I237)&gt;0),'Month 06'!I237,"")</f>
        <v/>
      </c>
      <c r="D1486">
        <f>IF(C1486="","",IF(N('Month 06'!J237)&gt;0,'Month 06'!J237,1))</f>
        <v/>
      </c>
      <c r="E1486">
        <f>IF(OR(C1486="",D1486=""),"",IF(D1486=1,C1486,ROUND(C1486*(1+D1486/30),1)))</f>
        <v/>
      </c>
    </row>
    <row r="1487">
      <c r="A1487">
        <f>'Month 06'!B232</f>
        <v/>
      </c>
      <c r="B1487" t="inlineStr">
        <is>
          <t>Med Ball Chest Pass</t>
        </is>
      </c>
      <c r="C1487">
        <f>IF(AND('Month 06'!L238&lt;&gt;"",N('Month 06'!I238)&gt;0),'Month 06'!I238,"")</f>
        <v/>
      </c>
      <c r="D1487">
        <f>IF(C1487="","",IF(N('Month 06'!J238)&gt;0,'Month 06'!J238,1))</f>
        <v/>
      </c>
      <c r="E1487">
        <f>IF(OR(C1487="",D1487=""),"",IF(D1487=1,C1487,ROUND(C1487*(1+D1487/30),1)))</f>
        <v/>
      </c>
    </row>
    <row r="1488">
      <c r="A1488">
        <f>'Month 06'!B232</f>
        <v/>
      </c>
      <c r="B1488" t="inlineStr">
        <is>
          <t>Clean &amp; Jerk</t>
        </is>
      </c>
      <c r="C1488">
        <f>IF(AND('Month 06'!L240&lt;&gt;"",N('Month 06'!I240)&gt;0),'Month 06'!I240,"")</f>
        <v/>
      </c>
      <c r="D1488">
        <f>IF(C1488="","",IF(N('Month 06'!J240)&gt;0,'Month 06'!J240,1))</f>
        <v/>
      </c>
      <c r="E1488">
        <f>IF(OR(C1488="",D1488=""),"",IF(D1488=1,C1488,ROUND(C1488*(1+D1488/30),1)))</f>
        <v/>
      </c>
    </row>
    <row r="1489">
      <c r="A1489">
        <f>'Month 06'!B232</f>
        <v/>
      </c>
      <c r="B1489" t="inlineStr">
        <is>
          <t>Clean &amp; Jerk</t>
        </is>
      </c>
      <c r="C1489">
        <f>IF(AND('Month 06'!L241&lt;&gt;"",N('Month 06'!I241)&gt;0),'Month 06'!I241,"")</f>
        <v/>
      </c>
      <c r="D1489">
        <f>IF(C1489="","",IF(N('Month 06'!J241)&gt;0,'Month 06'!J241,1))</f>
        <v/>
      </c>
      <c r="E1489">
        <f>IF(OR(C1489="",D1489=""),"",IF(D1489=1,C1489,ROUND(C1489*(1+D1489/30),1)))</f>
        <v/>
      </c>
    </row>
    <row r="1490">
      <c r="A1490">
        <f>'Month 06'!B232</f>
        <v/>
      </c>
      <c r="B1490" t="inlineStr">
        <is>
          <t>Squat</t>
        </is>
      </c>
      <c r="C1490">
        <f>IF(AND('Month 06'!L243&lt;&gt;"",N('Month 06'!I243)&gt;0),'Month 06'!I243,"")</f>
        <v/>
      </c>
      <c r="D1490">
        <f>IF(C1490="","",IF(N('Month 06'!J243)&gt;0,'Month 06'!J243,1))</f>
        <v/>
      </c>
      <c r="E1490">
        <f>IF(OR(C1490="",D1490=""),"",IF(D1490=1,C1490,ROUND(C1490*(1+D1490/30),1)))</f>
        <v/>
      </c>
    </row>
    <row r="1491">
      <c r="A1491">
        <f>'Month 06'!B232</f>
        <v/>
      </c>
      <c r="B1491" t="inlineStr">
        <is>
          <t>Squat</t>
        </is>
      </c>
      <c r="C1491">
        <f>IF(AND('Month 06'!L244&lt;&gt;"",N('Month 06'!I244)&gt;0),'Month 06'!I244,"")</f>
        <v/>
      </c>
      <c r="D1491">
        <f>IF(C1491="","",IF(N('Month 06'!J244)&gt;0,'Month 06'!J244,1))</f>
        <v/>
      </c>
      <c r="E1491">
        <f>IF(OR(C1491="",D1491=""),"",IF(D1491=1,C1491,ROUND(C1491*(1+D1491/30),1)))</f>
        <v/>
      </c>
    </row>
    <row r="1492">
      <c r="A1492">
        <f>'Month 06'!B232</f>
        <v/>
      </c>
      <c r="B1492" t="inlineStr">
        <is>
          <t>Overhead Press</t>
        </is>
      </c>
      <c r="C1492">
        <f>IF(AND('Month 06'!L246&lt;&gt;"",N('Month 06'!I246)&gt;0),'Month 06'!I246,"")</f>
        <v/>
      </c>
      <c r="D1492">
        <f>IF(C1492="","",IF(N('Month 06'!J246)&gt;0,'Month 06'!J246,1))</f>
        <v/>
      </c>
      <c r="E1492">
        <f>IF(OR(C1492="",D1492=""),"",IF(D1492=1,C1492,ROUND(C1492*(1+D1492/30),1)))</f>
        <v/>
      </c>
    </row>
    <row r="1493">
      <c r="A1493">
        <f>'Month 06'!B232</f>
        <v/>
      </c>
      <c r="B1493" t="inlineStr">
        <is>
          <t>Overhead Press</t>
        </is>
      </c>
      <c r="C1493">
        <f>IF(AND('Month 06'!L247&lt;&gt;"",N('Month 06'!I247)&gt;0),'Month 06'!I247,"")</f>
        <v/>
      </c>
      <c r="D1493">
        <f>IF(C1493="","",IF(N('Month 06'!J247)&gt;0,'Month 06'!J247,1))</f>
        <v/>
      </c>
      <c r="E1493">
        <f>IF(OR(C1493="",D1493=""),"",IF(D1493=1,C1493,ROUND(C1493*(1+D1493/30),1)))</f>
        <v/>
      </c>
    </row>
    <row r="1494">
      <c r="A1494">
        <f>'Month 06'!B232</f>
        <v/>
      </c>
      <c r="B1494" t="inlineStr">
        <is>
          <t>Deadlift</t>
        </is>
      </c>
      <c r="C1494">
        <f>IF(AND('Month 06'!L249&lt;&gt;"",N('Month 06'!I249)&gt;0),'Month 06'!I249,"")</f>
        <v/>
      </c>
      <c r="D1494">
        <f>IF(C1494="","",IF(N('Month 06'!J249)&gt;0,'Month 06'!J249,1))</f>
        <v/>
      </c>
      <c r="E1494">
        <f>IF(OR(C1494="",D1494=""),"",IF(D1494=1,C1494,ROUND(C1494*(1+D1494/30),1)))</f>
        <v/>
      </c>
    </row>
    <row r="1495">
      <c r="A1495">
        <f>'Month 06'!B232</f>
        <v/>
      </c>
      <c r="B1495" t="inlineStr">
        <is>
          <t>Deadlift</t>
        </is>
      </c>
      <c r="C1495">
        <f>IF(AND('Month 06'!L250&lt;&gt;"",N('Month 06'!I250)&gt;0),'Month 06'!I250,"")</f>
        <v/>
      </c>
      <c r="D1495">
        <f>IF(C1495="","",IF(N('Month 06'!J250)&gt;0,'Month 06'!J250,1))</f>
        <v/>
      </c>
      <c r="E1495">
        <f>IF(OR(C1495="",D1495=""),"",IF(D1495=1,C1495,ROUND(C1495*(1+D1495/30),1)))</f>
        <v/>
      </c>
    </row>
    <row r="1496">
      <c r="A1496">
        <f>'Month 06'!B232</f>
        <v/>
      </c>
      <c r="B1496" t="inlineStr">
        <is>
          <t>Chin-up</t>
        </is>
      </c>
      <c r="C1496">
        <f>IF(AND('Month 06'!L252&lt;&gt;"",N('Month 06'!I252)&gt;0),'Month 06'!I252,"")</f>
        <v/>
      </c>
      <c r="D1496">
        <f>IF(C1496="","",IF(N('Month 06'!J252)&gt;0,'Month 06'!J252,1))</f>
        <v/>
      </c>
      <c r="E1496">
        <f>IF(OR(C1496="",D1496=""),"",IF(D1496=1,C1496,ROUND(C1496*(1+D1496/30),1)))</f>
        <v/>
      </c>
    </row>
    <row r="1497">
      <c r="A1497">
        <f>'Month 06'!B232</f>
        <v/>
      </c>
      <c r="B1497" t="inlineStr">
        <is>
          <t>Chin-up</t>
        </is>
      </c>
      <c r="C1497">
        <f>IF(AND('Month 06'!L253&lt;&gt;"",N('Month 06'!I253)&gt;0),'Month 06'!I253,"")</f>
        <v/>
      </c>
      <c r="D1497">
        <f>IF(C1497="","",IF(N('Month 06'!J253)&gt;0,'Month 06'!J253,1))</f>
        <v/>
      </c>
      <c r="E1497">
        <f>IF(OR(C1497="",D1497=""),"",IF(D1497=1,C1497,ROUND(C1497*(1+D1497/30),1)))</f>
        <v/>
      </c>
    </row>
    <row r="1498">
      <c r="A1498">
        <f>'Month 06'!B232</f>
        <v/>
      </c>
      <c r="B1498" t="inlineStr">
        <is>
          <t>Plank</t>
        </is>
      </c>
      <c r="C1498">
        <f>IF(AND('Month 06'!L255&lt;&gt;"",N('Month 06'!I255)&gt;0),'Month 06'!I255,"")</f>
        <v/>
      </c>
      <c r="D1498">
        <f>IF(C1498="","",IF(N('Month 06'!J255)&gt;0,'Month 06'!J255,1))</f>
        <v/>
      </c>
      <c r="E1498">
        <f>IF(OR(C1498="",D1498=""),"",IF(D1498=1,C1498,ROUND(C1498*(1+D1498/30),1)))</f>
        <v/>
      </c>
    </row>
    <row r="1499">
      <c r="A1499">
        <f>'Month 06'!B232</f>
        <v/>
      </c>
      <c r="B1499" t="inlineStr">
        <is>
          <t>Plank</t>
        </is>
      </c>
      <c r="C1499">
        <f>IF(AND('Month 06'!L256&lt;&gt;"",N('Month 06'!I256)&gt;0),'Month 06'!I256,"")</f>
        <v/>
      </c>
      <c r="D1499">
        <f>IF(C1499="","",IF(N('Month 06'!J256)&gt;0,'Month 06'!J256,1))</f>
        <v/>
      </c>
      <c r="E1499">
        <f>IF(OR(C1499="",D1499=""),"",IF(D1499=1,C1499,ROUND(C1499*(1+D1499/30),1)))</f>
        <v/>
      </c>
    </row>
    <row r="1500">
      <c r="A1500">
        <f>'Month 06'!B257</f>
        <v/>
      </c>
      <c r="B1500" t="inlineStr">
        <is>
          <t>Seated Box Jump</t>
        </is>
      </c>
      <c r="C1500">
        <f>IF(AND('Month 06'!L259&lt;&gt;"",N('Month 06'!I259)&gt;0),'Month 06'!I259,"")</f>
        <v/>
      </c>
      <c r="D1500">
        <f>IF(C1500="","",IF(N('Month 06'!J259)&gt;0,'Month 06'!J259,1))</f>
        <v/>
      </c>
      <c r="E1500">
        <f>IF(OR(C1500="",D1500=""),"",IF(D1500=1,C1500,ROUND(C1500*(1+D1500/30),1)))</f>
        <v/>
      </c>
    </row>
    <row r="1501">
      <c r="A1501">
        <f>'Month 06'!B257</f>
        <v/>
      </c>
      <c r="B1501" t="inlineStr">
        <is>
          <t>Seated Box Jump</t>
        </is>
      </c>
      <c r="C1501">
        <f>IF(AND('Month 06'!L260&lt;&gt;"",N('Month 06'!I260)&gt;0),'Month 06'!I260,"")</f>
        <v/>
      </c>
      <c r="D1501">
        <f>IF(C1501="","",IF(N('Month 06'!J260)&gt;0,'Month 06'!J260,1))</f>
        <v/>
      </c>
      <c r="E1501">
        <f>IF(OR(C1501="",D1501=""),"",IF(D1501=1,C1501,ROUND(C1501*(1+D1501/30),1)))</f>
        <v/>
      </c>
    </row>
    <row r="1502">
      <c r="A1502">
        <f>'Month 06'!B257</f>
        <v/>
      </c>
      <c r="B1502" t="inlineStr">
        <is>
          <t>Push Jerk</t>
        </is>
      </c>
      <c r="C1502">
        <f>IF(AND('Month 06'!L262&lt;&gt;"",N('Month 06'!I262)&gt;0),'Month 06'!I262,"")</f>
        <v/>
      </c>
      <c r="D1502">
        <f>IF(C1502="","",IF(N('Month 06'!J262)&gt;0,'Month 06'!J262,1))</f>
        <v/>
      </c>
      <c r="E1502">
        <f>IF(OR(C1502="",D1502=""),"",IF(D1502=1,C1502,ROUND(C1502*(1+D1502/30),1)))</f>
        <v/>
      </c>
    </row>
    <row r="1503">
      <c r="A1503">
        <f>'Month 06'!B257</f>
        <v/>
      </c>
      <c r="B1503" t="inlineStr">
        <is>
          <t>Push Jerk</t>
        </is>
      </c>
      <c r="C1503">
        <f>IF(AND('Month 06'!L263&lt;&gt;"",N('Month 06'!I263)&gt;0),'Month 06'!I263,"")</f>
        <v/>
      </c>
      <c r="D1503">
        <f>IF(C1503="","",IF(N('Month 06'!J263)&gt;0,'Month 06'!J263,1))</f>
        <v/>
      </c>
      <c r="E1503">
        <f>IF(OR(C1503="",D1503=""),"",IF(D1503=1,C1503,ROUND(C1503*(1+D1503/30),1)))</f>
        <v/>
      </c>
    </row>
    <row r="1504">
      <c r="A1504">
        <f>'Month 06'!B257</f>
        <v/>
      </c>
      <c r="B1504" t="inlineStr">
        <is>
          <t>Box Squat</t>
        </is>
      </c>
      <c r="C1504">
        <f>IF(AND('Month 06'!L265&lt;&gt;"",N('Month 06'!I265)&gt;0),'Month 06'!I265,"")</f>
        <v/>
      </c>
      <c r="D1504">
        <f>IF(C1504="","",IF(N('Month 06'!J265)&gt;0,'Month 06'!J265,1))</f>
        <v/>
      </c>
      <c r="E1504">
        <f>IF(OR(C1504="",D1504=""),"",IF(D1504=1,C1504,ROUND(C1504*(1+D1504/30),1)))</f>
        <v/>
      </c>
    </row>
    <row r="1505">
      <c r="A1505">
        <f>'Month 06'!B257</f>
        <v/>
      </c>
      <c r="B1505" t="inlineStr">
        <is>
          <t>Box Squat</t>
        </is>
      </c>
      <c r="C1505">
        <f>IF(AND('Month 06'!L266&lt;&gt;"",N('Month 06'!I266)&gt;0),'Month 06'!I266,"")</f>
        <v/>
      </c>
      <c r="D1505">
        <f>IF(C1505="","",IF(N('Month 06'!J266)&gt;0,'Month 06'!J266,1))</f>
        <v/>
      </c>
      <c r="E1505">
        <f>IF(OR(C1505="",D1505=""),"",IF(D1505=1,C1505,ROUND(C1505*(1+D1505/30),1)))</f>
        <v/>
      </c>
    </row>
    <row r="1506">
      <c r="A1506">
        <f>'Month 06'!B257</f>
        <v/>
      </c>
      <c r="B1506" t="inlineStr">
        <is>
          <t>3-Board Press</t>
        </is>
      </c>
      <c r="C1506">
        <f>IF(AND('Month 06'!L268&lt;&gt;"",N('Month 06'!I268)&gt;0),'Month 06'!I268,"")</f>
        <v/>
      </c>
      <c r="D1506">
        <f>IF(C1506="","",IF(N('Month 06'!J268)&gt;0,'Month 06'!J268,1))</f>
        <v/>
      </c>
      <c r="E1506">
        <f>IF(OR(C1506="",D1506=""),"",IF(D1506=1,C1506,ROUND(C1506*(1+D1506/30),1)))</f>
        <v/>
      </c>
    </row>
    <row r="1507">
      <c r="A1507">
        <f>'Month 06'!B257</f>
        <v/>
      </c>
      <c r="B1507" t="inlineStr">
        <is>
          <t>3-Board Press</t>
        </is>
      </c>
      <c r="C1507">
        <f>IF(AND('Month 06'!L269&lt;&gt;"",N('Month 06'!I269)&gt;0),'Month 06'!I269,"")</f>
        <v/>
      </c>
      <c r="D1507">
        <f>IF(C1507="","",IF(N('Month 06'!J269)&gt;0,'Month 06'!J269,1))</f>
        <v/>
      </c>
      <c r="E1507">
        <f>IF(OR(C1507="",D1507=""),"",IF(D1507=1,C1507,ROUND(C1507*(1+D1507/30),1)))</f>
        <v/>
      </c>
    </row>
    <row r="1508">
      <c r="A1508">
        <f>'Month 06'!B257</f>
        <v/>
      </c>
      <c r="B1508" t="inlineStr">
        <is>
          <t>Deficit Deadlift</t>
        </is>
      </c>
      <c r="C1508">
        <f>IF(AND('Month 06'!L271&lt;&gt;"",N('Month 06'!I271)&gt;0),'Month 06'!I271,"")</f>
        <v/>
      </c>
      <c r="D1508">
        <f>IF(C1508="","",IF(N('Month 06'!J271)&gt;0,'Month 06'!J271,1))</f>
        <v/>
      </c>
      <c r="E1508">
        <f>IF(OR(C1508="",D1508=""),"",IF(D1508=1,C1508,ROUND(C1508*(1+D1508/30),1)))</f>
        <v/>
      </c>
    </row>
    <row r="1509">
      <c r="A1509">
        <f>'Month 06'!B257</f>
        <v/>
      </c>
      <c r="B1509" t="inlineStr">
        <is>
          <t>Deficit Deadlift</t>
        </is>
      </c>
      <c r="C1509">
        <f>IF(AND('Month 06'!L272&lt;&gt;"",N('Month 06'!I272)&gt;0),'Month 06'!I272,"")</f>
        <v/>
      </c>
      <c r="D1509">
        <f>IF(C1509="","",IF(N('Month 06'!J272)&gt;0,'Month 06'!J272,1))</f>
        <v/>
      </c>
      <c r="E1509">
        <f>IF(OR(C1509="",D1509=""),"",IF(D1509=1,C1509,ROUND(C1509*(1+D1509/30),1)))</f>
        <v/>
      </c>
    </row>
    <row r="1510">
      <c r="A1510">
        <f>'Month 06'!B257</f>
        <v/>
      </c>
      <c r="B1510" t="inlineStr">
        <is>
          <t>Incline Dumbbell Press</t>
        </is>
      </c>
      <c r="C1510">
        <f>IF(AND('Month 06'!L274&lt;&gt;"",N('Month 06'!I274)&gt;0),'Month 06'!I274,"")</f>
        <v/>
      </c>
      <c r="D1510">
        <f>IF(C1510="","",IF(N('Month 06'!J274)&gt;0,'Month 06'!J274,1))</f>
        <v/>
      </c>
      <c r="E1510">
        <f>IF(OR(C1510="",D1510=""),"",IF(D1510=1,C1510,ROUND(C1510*(1+D1510/30),1)))</f>
        <v/>
      </c>
    </row>
    <row r="1511">
      <c r="A1511">
        <f>'Month 06'!B257</f>
        <v/>
      </c>
      <c r="B1511" t="inlineStr">
        <is>
          <t>Incline Dumbbell Press</t>
        </is>
      </c>
      <c r="C1511">
        <f>IF(AND('Month 06'!L275&lt;&gt;"",N('Month 06'!I275)&gt;0),'Month 06'!I275,"")</f>
        <v/>
      </c>
      <c r="D1511">
        <f>IF(C1511="","",IF(N('Month 06'!J275)&gt;0,'Month 06'!J275,1))</f>
        <v/>
      </c>
      <c r="E1511">
        <f>IF(OR(C1511="",D1511=""),"",IF(D1511=1,C1511,ROUND(C1511*(1+D1511/30),1)))</f>
        <v/>
      </c>
    </row>
    <row r="1512">
      <c r="A1512">
        <f>'Month 06'!B257</f>
        <v/>
      </c>
      <c r="B1512" t="inlineStr">
        <is>
          <t>Triceps Pushdown</t>
        </is>
      </c>
      <c r="C1512">
        <f>IF(AND('Month 06'!L277&lt;&gt;"",N('Month 06'!I277)&gt;0),'Month 06'!I277,"")</f>
        <v/>
      </c>
      <c r="D1512">
        <f>IF(C1512="","",IF(N('Month 06'!J277)&gt;0,'Month 06'!J277,1))</f>
        <v/>
      </c>
      <c r="E1512">
        <f>IF(OR(C1512="",D1512=""),"",IF(D1512=1,C1512,ROUND(C1512*(1+D1512/30),1)))</f>
        <v/>
      </c>
    </row>
    <row r="1513">
      <c r="A1513">
        <f>'Month 06'!B257</f>
        <v/>
      </c>
      <c r="B1513" t="inlineStr">
        <is>
          <t>Triceps Pushdown</t>
        </is>
      </c>
      <c r="C1513">
        <f>IF(AND('Month 06'!L278&lt;&gt;"",N('Month 06'!I278)&gt;0),'Month 06'!I278,"")</f>
        <v/>
      </c>
      <c r="D1513">
        <f>IF(C1513="","",IF(N('Month 06'!J278)&gt;0,'Month 06'!J278,1))</f>
        <v/>
      </c>
      <c r="E1513">
        <f>IF(OR(C1513="",D1513=""),"",IF(D1513=1,C1513,ROUND(C1513*(1+D1513/30),1)))</f>
        <v/>
      </c>
    </row>
    <row r="1514">
      <c r="A1514">
        <f>'Month 06'!B281</f>
        <v/>
      </c>
      <c r="B1514" t="inlineStr">
        <is>
          <t>Box Jump</t>
        </is>
      </c>
      <c r="C1514">
        <f>IF(AND('Month 06'!L283&lt;&gt;"",N('Month 06'!I283)&gt;0),'Month 06'!I283,"")</f>
        <v/>
      </c>
      <c r="D1514">
        <f>IF(C1514="","",IF(N('Month 06'!J283)&gt;0,'Month 06'!J283,1))</f>
        <v/>
      </c>
      <c r="E1514">
        <f>IF(OR(C1514="",D1514=""),"",IF(D1514=1,C1514,ROUND(C1514*(1+D1514/30),1)))</f>
        <v/>
      </c>
    </row>
    <row r="1515">
      <c r="A1515">
        <f>'Month 06'!B281</f>
        <v/>
      </c>
      <c r="B1515" t="inlineStr">
        <is>
          <t>Snatch</t>
        </is>
      </c>
      <c r="C1515">
        <f>IF(AND('Month 06'!L285&lt;&gt;"",N('Month 06'!I285)&gt;0),'Month 06'!I285,"")</f>
        <v/>
      </c>
      <c r="D1515">
        <f>IF(C1515="","",IF(N('Month 06'!J285)&gt;0,'Month 06'!J285,1))</f>
        <v/>
      </c>
      <c r="E1515">
        <f>IF(OR(C1515="",D1515=""),"",IF(D1515=1,C1515,ROUND(C1515*(1+D1515/30),1)))</f>
        <v/>
      </c>
    </row>
    <row r="1516">
      <c r="A1516">
        <f>'Month 06'!B281</f>
        <v/>
      </c>
      <c r="B1516" t="inlineStr">
        <is>
          <t>Squat</t>
        </is>
      </c>
      <c r="C1516">
        <f>IF(AND('Month 06'!L287&lt;&gt;"",N('Month 06'!I287)&gt;0),'Month 06'!I287,"")</f>
        <v/>
      </c>
      <c r="D1516">
        <f>IF(C1516="","",IF(N('Month 06'!J287)&gt;0,'Month 06'!J287,1))</f>
        <v/>
      </c>
      <c r="E1516">
        <f>IF(OR(C1516="",D1516=""),"",IF(D1516=1,C1516,ROUND(C1516*(1+D1516/30),1)))</f>
        <v/>
      </c>
    </row>
    <row r="1517">
      <c r="A1517">
        <f>'Month 06'!B281</f>
        <v/>
      </c>
      <c r="B1517" t="inlineStr">
        <is>
          <t>Bench Press</t>
        </is>
      </c>
      <c r="C1517">
        <f>IF(AND('Month 06'!L289&lt;&gt;"",N('Month 06'!I289)&gt;0),'Month 06'!I289,"")</f>
        <v/>
      </c>
      <c r="D1517">
        <f>IF(C1517="","",IF(N('Month 06'!J289)&gt;0,'Month 06'!J289,1))</f>
        <v/>
      </c>
      <c r="E1517">
        <f>IF(OR(C1517="",D1517=""),"",IF(D1517=1,C1517,ROUND(C1517*(1+D1517/30),1)))</f>
        <v/>
      </c>
    </row>
    <row r="1518">
      <c r="A1518">
        <f>'Month 06'!B281</f>
        <v/>
      </c>
      <c r="B1518" t="inlineStr">
        <is>
          <t>Barbell Row</t>
        </is>
      </c>
      <c r="C1518">
        <f>IF(AND('Month 06'!L291&lt;&gt;"",N('Month 06'!I291)&gt;0),'Month 06'!I291,"")</f>
        <v/>
      </c>
      <c r="D1518">
        <f>IF(C1518="","",IF(N('Month 06'!J291)&gt;0,'Month 06'!J291,1))</f>
        <v/>
      </c>
      <c r="E1518">
        <f>IF(OR(C1518="",D1518=""),"",IF(D1518=1,C1518,ROUND(C1518*(1+D1518/30),1)))</f>
        <v/>
      </c>
    </row>
    <row r="1519">
      <c r="A1519">
        <f>'Month 06'!B281</f>
        <v/>
      </c>
      <c r="B1519" t="inlineStr">
        <is>
          <t>Barbell Row</t>
        </is>
      </c>
      <c r="C1519">
        <f>IF(AND('Month 06'!L292&lt;&gt;"",N('Month 06'!I292)&gt;0),'Month 06'!I292,"")</f>
        <v/>
      </c>
      <c r="D1519">
        <f>IF(C1519="","",IF(N('Month 06'!J292)&gt;0,'Month 06'!J292,1))</f>
        <v/>
      </c>
      <c r="E1519">
        <f>IF(OR(C1519="",D1519=""),"",IF(D1519=1,C1519,ROUND(C1519*(1+D1519/30),1)))</f>
        <v/>
      </c>
    </row>
    <row r="1520">
      <c r="A1520">
        <f>'Month 06'!B281</f>
        <v/>
      </c>
      <c r="B1520" t="inlineStr">
        <is>
          <t>Face Pull</t>
        </is>
      </c>
      <c r="C1520">
        <f>IF(AND('Month 06'!L294&lt;&gt;"",N('Month 06'!I294)&gt;0),'Month 06'!I294,"")</f>
        <v/>
      </c>
      <c r="D1520">
        <f>IF(C1520="","",IF(N('Month 06'!J294)&gt;0,'Month 06'!J294,1))</f>
        <v/>
      </c>
      <c r="E1520">
        <f>IF(OR(C1520="",D1520=""),"",IF(D1520=1,C1520,ROUND(C1520*(1+D1520/30),1)))</f>
        <v/>
      </c>
    </row>
    <row r="1521">
      <c r="A1521">
        <f>'Month 06'!B281</f>
        <v/>
      </c>
      <c r="B1521" t="inlineStr">
        <is>
          <t>Face Pull</t>
        </is>
      </c>
      <c r="C1521">
        <f>IF(AND('Month 06'!L295&lt;&gt;"",N('Month 06'!I295)&gt;0),'Month 06'!I295,"")</f>
        <v/>
      </c>
      <c r="D1521">
        <f>IF(C1521="","",IF(N('Month 06'!J295)&gt;0,'Month 06'!J295,1))</f>
        <v/>
      </c>
      <c r="E1521">
        <f>IF(OR(C1521="",D1521=""),"",IF(D1521=1,C1521,ROUND(C1521*(1+D1521/30),1)))</f>
        <v/>
      </c>
    </row>
    <row r="1522">
      <c r="A1522">
        <f>'Month 06'!B296</f>
        <v/>
      </c>
      <c r="B1522" t="inlineStr">
        <is>
          <t>Broad Jump</t>
        </is>
      </c>
      <c r="C1522">
        <f>IF(AND('Month 06'!L298&lt;&gt;"",N('Month 06'!I298)&gt;0),'Month 06'!I298,"")</f>
        <v/>
      </c>
      <c r="D1522">
        <f>IF(C1522="","",IF(N('Month 06'!J298)&gt;0,'Month 06'!J298,1))</f>
        <v/>
      </c>
      <c r="E1522">
        <f>IF(OR(C1522="",D1522=""),"",IF(D1522=1,C1522,ROUND(C1522*(1+D1522/30),1)))</f>
        <v/>
      </c>
    </row>
    <row r="1523">
      <c r="A1523">
        <f>'Month 06'!B296</f>
        <v/>
      </c>
      <c r="B1523" t="inlineStr">
        <is>
          <t>Clean &amp; Jerk</t>
        </is>
      </c>
      <c r="C1523">
        <f>IF(AND('Month 06'!L300&lt;&gt;"",N('Month 06'!I300)&gt;0),'Month 06'!I300,"")</f>
        <v/>
      </c>
      <c r="D1523">
        <f>IF(C1523="","",IF(N('Month 06'!J300)&gt;0,'Month 06'!J300,1))</f>
        <v/>
      </c>
      <c r="E1523">
        <f>IF(OR(C1523="",D1523=""),"",IF(D1523=1,C1523,ROUND(C1523*(1+D1523/30),1)))</f>
        <v/>
      </c>
    </row>
    <row r="1524">
      <c r="A1524">
        <f>'Month 06'!B296</f>
        <v/>
      </c>
      <c r="B1524" t="inlineStr">
        <is>
          <t>Squat</t>
        </is>
      </c>
      <c r="C1524">
        <f>IF(AND('Month 06'!L302&lt;&gt;"",N('Month 06'!I302)&gt;0),'Month 06'!I302,"")</f>
        <v/>
      </c>
      <c r="D1524">
        <f>IF(C1524="","",IF(N('Month 06'!J302)&gt;0,'Month 06'!J302,1))</f>
        <v/>
      </c>
      <c r="E1524">
        <f>IF(OR(C1524="",D1524=""),"",IF(D1524=1,C1524,ROUND(C1524*(1+D1524/30),1)))</f>
        <v/>
      </c>
    </row>
    <row r="1525">
      <c r="A1525">
        <f>'Month 06'!B296</f>
        <v/>
      </c>
      <c r="B1525" t="inlineStr">
        <is>
          <t>Squat</t>
        </is>
      </c>
      <c r="C1525">
        <f>IF(AND('Month 06'!L303&lt;&gt;"",N('Month 06'!I303)&gt;0),'Month 06'!I303,"")</f>
        <v/>
      </c>
      <c r="D1525">
        <f>IF(C1525="","",IF(N('Month 06'!J303)&gt;0,'Month 06'!J303,1))</f>
        <v/>
      </c>
      <c r="E1525">
        <f>IF(OR(C1525="",D1525=""),"",IF(D1525=1,C1525,ROUND(C1525*(1+D1525/30),1)))</f>
        <v/>
      </c>
    </row>
    <row r="1526">
      <c r="A1526">
        <f>'Month 06'!B296</f>
        <v/>
      </c>
      <c r="B1526" t="inlineStr">
        <is>
          <t>Overhead Press</t>
        </is>
      </c>
      <c r="C1526">
        <f>IF(AND('Month 06'!L305&lt;&gt;"",N('Month 06'!I305)&gt;0),'Month 06'!I305,"")</f>
        <v/>
      </c>
      <c r="D1526">
        <f>IF(C1526="","",IF(N('Month 06'!J305)&gt;0,'Month 06'!J305,1))</f>
        <v/>
      </c>
      <c r="E1526">
        <f>IF(OR(C1526="",D1526=""),"",IF(D1526=1,C1526,ROUND(C1526*(1+D1526/30),1)))</f>
        <v/>
      </c>
    </row>
    <row r="1527">
      <c r="A1527">
        <f>'Month 06'!B296</f>
        <v/>
      </c>
      <c r="B1527" t="inlineStr">
        <is>
          <t>Deadlift</t>
        </is>
      </c>
      <c r="C1527">
        <f>IF(AND('Month 06'!L307&lt;&gt;"",N('Month 06'!I307)&gt;0),'Month 06'!I307,"")</f>
        <v/>
      </c>
      <c r="D1527">
        <f>IF(C1527="","",IF(N('Month 06'!J307)&gt;0,'Month 06'!J307,1))</f>
        <v/>
      </c>
      <c r="E1527">
        <f>IF(OR(C1527="",D1527=""),"",IF(D1527=1,C1527,ROUND(C1527*(1+D1527/30),1)))</f>
        <v/>
      </c>
    </row>
    <row r="1528">
      <c r="A1528">
        <f>'Month 06'!B296</f>
        <v/>
      </c>
      <c r="B1528" t="inlineStr">
        <is>
          <t>Chin-up</t>
        </is>
      </c>
      <c r="C1528">
        <f>IF(AND('Month 06'!L309&lt;&gt;"",N('Month 06'!I309)&gt;0),'Month 06'!I309,"")</f>
        <v/>
      </c>
      <c r="D1528">
        <f>IF(C1528="","",IF(N('Month 06'!J309)&gt;0,'Month 06'!J309,1))</f>
        <v/>
      </c>
      <c r="E1528">
        <f>IF(OR(C1528="",D1528=""),"",IF(D1528=1,C1528,ROUND(C1528*(1+D1528/30),1)))</f>
        <v/>
      </c>
    </row>
    <row r="1529">
      <c r="A1529">
        <f>'Month 06'!B296</f>
        <v/>
      </c>
      <c r="B1529" t="inlineStr">
        <is>
          <t>Chin-up</t>
        </is>
      </c>
      <c r="C1529">
        <f>IF(AND('Month 06'!L310&lt;&gt;"",N('Month 06'!I310)&gt;0),'Month 06'!I310,"")</f>
        <v/>
      </c>
      <c r="D1529">
        <f>IF(C1529="","",IF(N('Month 06'!J310)&gt;0,'Month 06'!J310,1))</f>
        <v/>
      </c>
      <c r="E1529">
        <f>IF(OR(C1529="",D1529=""),"",IF(D1529=1,C1529,ROUND(C1529*(1+D1529/30),1)))</f>
        <v/>
      </c>
    </row>
    <row r="1530">
      <c r="A1530">
        <f>'Month 06'!B296</f>
        <v/>
      </c>
      <c r="B1530" t="inlineStr">
        <is>
          <t>Plank</t>
        </is>
      </c>
      <c r="C1530">
        <f>IF(AND('Month 06'!L312&lt;&gt;"",N('Month 06'!I312)&gt;0),'Month 06'!I312,"")</f>
        <v/>
      </c>
      <c r="D1530">
        <f>IF(C1530="","",IF(N('Month 06'!J312)&gt;0,'Month 06'!J312,1))</f>
        <v/>
      </c>
      <c r="E1530">
        <f>IF(OR(C1530="",D1530=""),"",IF(D1530=1,C1530,ROUND(C1530*(1+D1530/30),1)))</f>
        <v/>
      </c>
    </row>
    <row r="1531">
      <c r="A1531">
        <f>'Month 06'!B296</f>
        <v/>
      </c>
      <c r="B1531" t="inlineStr">
        <is>
          <t>Plank</t>
        </is>
      </c>
      <c r="C1531">
        <f>IF(AND('Month 06'!L313&lt;&gt;"",N('Month 06'!I313)&gt;0),'Month 06'!I313,"")</f>
        <v/>
      </c>
      <c r="D1531">
        <f>IF(C1531="","",IF(N('Month 06'!J313)&gt;0,'Month 06'!J313,1))</f>
        <v/>
      </c>
      <c r="E1531">
        <f>IF(OR(C1531="",D1531=""),"",IF(D1531=1,C1531,ROUND(C1531*(1+D1531/30),1)))</f>
        <v/>
      </c>
    </row>
    <row r="1532">
      <c r="A1532">
        <f>'Month 06'!B314</f>
        <v/>
      </c>
      <c r="B1532" t="inlineStr">
        <is>
          <t>Vertical Jump</t>
        </is>
      </c>
      <c r="C1532">
        <f>IF(AND('Month 06'!L316&lt;&gt;"",N('Month 06'!I316)&gt;0),'Month 06'!I316,"")</f>
        <v/>
      </c>
      <c r="D1532">
        <f>IF(C1532="","",IF(N('Month 06'!J316)&gt;0,'Month 06'!J316,1))</f>
        <v/>
      </c>
      <c r="E1532">
        <f>IF(OR(C1532="",D1532=""),"",IF(D1532=1,C1532,ROUND(C1532*(1+D1532/30),1)))</f>
        <v/>
      </c>
    </row>
    <row r="1533">
      <c r="A1533">
        <f>'Month 06'!B314</f>
        <v/>
      </c>
      <c r="B1533" t="inlineStr">
        <is>
          <t>Push Jerk</t>
        </is>
      </c>
      <c r="C1533">
        <f>IF(AND('Month 06'!L318&lt;&gt;"",N('Month 06'!I318)&gt;0),'Month 06'!I318,"")</f>
        <v/>
      </c>
      <c r="D1533">
        <f>IF(C1533="","",IF(N('Month 06'!J318)&gt;0,'Month 06'!J318,1))</f>
        <v/>
      </c>
      <c r="E1533">
        <f>IF(OR(C1533="",D1533=""),"",IF(D1533=1,C1533,ROUND(C1533*(1+D1533/30),1)))</f>
        <v/>
      </c>
    </row>
    <row r="1534">
      <c r="A1534">
        <f>'Month 06'!B314</f>
        <v/>
      </c>
      <c r="B1534" t="inlineStr">
        <is>
          <t>Box Squat</t>
        </is>
      </c>
      <c r="C1534">
        <f>IF(AND('Month 06'!L320&lt;&gt;"",N('Month 06'!I320)&gt;0),'Month 06'!I320,"")</f>
        <v/>
      </c>
      <c r="D1534">
        <f>IF(C1534="","",IF(N('Month 06'!J320)&gt;0,'Month 06'!J320,1))</f>
        <v/>
      </c>
      <c r="E1534">
        <f>IF(OR(C1534="",D1534=""),"",IF(D1534=1,C1534,ROUND(C1534*(1+D1534/30),1)))</f>
        <v/>
      </c>
    </row>
    <row r="1535">
      <c r="A1535">
        <f>'Month 06'!B314</f>
        <v/>
      </c>
      <c r="B1535" t="inlineStr">
        <is>
          <t>3-Board Press</t>
        </is>
      </c>
      <c r="C1535">
        <f>IF(AND('Month 06'!L322&lt;&gt;"",N('Month 06'!I322)&gt;0),'Month 06'!I322,"")</f>
        <v/>
      </c>
      <c r="D1535">
        <f>IF(C1535="","",IF(N('Month 06'!J322)&gt;0,'Month 06'!J322,1))</f>
        <v/>
      </c>
      <c r="E1535">
        <f>IF(OR(C1535="",D1535=""),"",IF(D1535=1,C1535,ROUND(C1535*(1+D1535/30),1)))</f>
        <v/>
      </c>
    </row>
    <row r="1536">
      <c r="A1536">
        <f>'Month 06'!B314</f>
        <v/>
      </c>
      <c r="B1536" t="inlineStr">
        <is>
          <t>Deficit Deadlift</t>
        </is>
      </c>
      <c r="C1536">
        <f>IF(AND('Month 06'!L324&lt;&gt;"",N('Month 06'!I324)&gt;0),'Month 06'!I324,"")</f>
        <v/>
      </c>
      <c r="D1536">
        <f>IF(C1536="","",IF(N('Month 06'!J324)&gt;0,'Month 06'!J324,1))</f>
        <v/>
      </c>
      <c r="E1536">
        <f>IF(OR(C1536="",D1536=""),"",IF(D1536=1,C1536,ROUND(C1536*(1+D1536/30),1)))</f>
        <v/>
      </c>
    </row>
    <row r="1537">
      <c r="A1537">
        <f>'Month 06'!B314</f>
        <v/>
      </c>
      <c r="B1537" t="inlineStr">
        <is>
          <t>Incline Dumbbell Press</t>
        </is>
      </c>
      <c r="C1537">
        <f>IF(AND('Month 06'!L326&lt;&gt;"",N('Month 06'!I326)&gt;0),'Month 06'!I326,"")</f>
        <v/>
      </c>
      <c r="D1537">
        <f>IF(C1537="","",IF(N('Month 06'!J326)&gt;0,'Month 06'!J326,1))</f>
        <v/>
      </c>
      <c r="E1537">
        <f>IF(OR(C1537="",D1537=""),"",IF(D1537=1,C1537,ROUND(C1537*(1+D1537/30),1)))</f>
        <v/>
      </c>
    </row>
    <row r="1538">
      <c r="A1538">
        <f>'Month 06'!B314</f>
        <v/>
      </c>
      <c r="B1538" t="inlineStr">
        <is>
          <t>Incline Dumbbell Press</t>
        </is>
      </c>
      <c r="C1538">
        <f>IF(AND('Month 06'!L327&lt;&gt;"",N('Month 06'!I327)&gt;0),'Month 06'!I327,"")</f>
        <v/>
      </c>
      <c r="D1538">
        <f>IF(C1538="","",IF(N('Month 06'!J327)&gt;0,'Month 06'!J327,1))</f>
        <v/>
      </c>
      <c r="E1538">
        <f>IF(OR(C1538="",D1538=""),"",IF(D1538=1,C1538,ROUND(C1538*(1+D1538/30),1)))</f>
        <v/>
      </c>
    </row>
    <row r="1539">
      <c r="A1539">
        <f>'Month 06'!B314</f>
        <v/>
      </c>
      <c r="B1539" t="inlineStr">
        <is>
          <t>Triceps Pushdown</t>
        </is>
      </c>
      <c r="C1539">
        <f>IF(AND('Month 06'!L329&lt;&gt;"",N('Month 06'!I329)&gt;0),'Month 06'!I329,"")</f>
        <v/>
      </c>
      <c r="D1539">
        <f>IF(C1539="","",IF(N('Month 06'!J329)&gt;0,'Month 06'!J329,1))</f>
        <v/>
      </c>
      <c r="E1539">
        <f>IF(OR(C1539="",D1539=""),"",IF(D1539=1,C1539,ROUND(C1539*(1+D1539/30),1)))</f>
        <v/>
      </c>
    </row>
    <row r="1540">
      <c r="A1540">
        <f>'Month 06'!B314</f>
        <v/>
      </c>
      <c r="B1540" t="inlineStr">
        <is>
          <t>Triceps Pushdown</t>
        </is>
      </c>
      <c r="C1540">
        <f>IF(AND('Month 06'!L330&lt;&gt;"",N('Month 06'!I330)&gt;0),'Month 06'!I330,"")</f>
        <v/>
      </c>
      <c r="D1540">
        <f>IF(C1540="","",IF(N('Month 06'!J330)&gt;0,'Month 06'!J330,1))</f>
        <v/>
      </c>
      <c r="E1540">
        <f>IF(OR(C1540="",D1540=""),"",IF(D1540=1,C1540,ROUND(C1540*(1+D1540/30),1)))</f>
        <v/>
      </c>
    </row>
    <row r="1541">
      <c r="A1541">
        <f>'Month 07'!B7</f>
        <v/>
      </c>
      <c r="B1541" t="inlineStr">
        <is>
          <t>Box Jump</t>
        </is>
      </c>
      <c r="C1541">
        <f>IF(AND('Month 07'!L9&lt;&gt;"",N('Month 07'!I9)&gt;0),'Month 07'!I9,"")</f>
        <v/>
      </c>
      <c r="D1541">
        <f>IF(C1541="","",IF(N('Month 07'!J9)&gt;0,'Month 07'!J9,1))</f>
        <v/>
      </c>
      <c r="E1541">
        <f>IF(OR(C1541="",D1541=""),"",IF(D1541=1,C1541,ROUND(C1541*(1+D1541/30),1)))</f>
        <v/>
      </c>
    </row>
    <row r="1542">
      <c r="A1542">
        <f>'Month 07'!B7</f>
        <v/>
      </c>
      <c r="B1542" t="inlineStr">
        <is>
          <t>Box Jump</t>
        </is>
      </c>
      <c r="C1542">
        <f>IF(AND('Month 07'!L10&lt;&gt;"",N('Month 07'!I10)&gt;0),'Month 07'!I10,"")</f>
        <v/>
      </c>
      <c r="D1542">
        <f>IF(C1542="","",IF(N('Month 07'!J10)&gt;0,'Month 07'!J10,1))</f>
        <v/>
      </c>
      <c r="E1542">
        <f>IF(OR(C1542="",D1542=""),"",IF(D1542=1,C1542,ROUND(C1542*(1+D1542/30),1)))</f>
        <v/>
      </c>
    </row>
    <row r="1543">
      <c r="A1543">
        <f>'Month 07'!B7</f>
        <v/>
      </c>
      <c r="B1543" t="inlineStr">
        <is>
          <t>Box Jump</t>
        </is>
      </c>
      <c r="C1543">
        <f>IF(AND('Month 07'!L11&lt;&gt;"",N('Month 07'!I11)&gt;0),'Month 07'!I11,"")</f>
        <v/>
      </c>
      <c r="D1543">
        <f>IF(C1543="","",IF(N('Month 07'!J11)&gt;0,'Month 07'!J11,1))</f>
        <v/>
      </c>
      <c r="E1543">
        <f>IF(OR(C1543="",D1543=""),"",IF(D1543=1,C1543,ROUND(C1543*(1+D1543/30),1)))</f>
        <v/>
      </c>
    </row>
    <row r="1544">
      <c r="A1544">
        <f>'Month 07'!B7</f>
        <v/>
      </c>
      <c r="B1544" t="inlineStr">
        <is>
          <t>Box Jump</t>
        </is>
      </c>
      <c r="C1544">
        <f>IF(AND('Month 07'!L12&lt;&gt;"",N('Month 07'!I12)&gt;0),'Month 07'!I12,"")</f>
        <v/>
      </c>
      <c r="D1544">
        <f>IF(C1544="","",IF(N('Month 07'!J12)&gt;0,'Month 07'!J12,1))</f>
        <v/>
      </c>
      <c r="E1544">
        <f>IF(OR(C1544="",D1544=""),"",IF(D1544=1,C1544,ROUND(C1544*(1+D1544/30),1)))</f>
        <v/>
      </c>
    </row>
    <row r="1545">
      <c r="A1545">
        <f>'Month 07'!B7</f>
        <v/>
      </c>
      <c r="B1545" t="inlineStr">
        <is>
          <t>Snatch</t>
        </is>
      </c>
      <c r="C1545">
        <f>IF(AND('Month 07'!L14&lt;&gt;"",N('Month 07'!I14)&gt;0),'Month 07'!I14,"")</f>
        <v/>
      </c>
      <c r="D1545">
        <f>IF(C1545="","",IF(N('Month 07'!J14)&gt;0,'Month 07'!J14,1))</f>
        <v/>
      </c>
      <c r="E1545">
        <f>IF(OR(C1545="",D1545=""),"",IF(D1545=1,C1545,ROUND(C1545*(1+D1545/30),1)))</f>
        <v/>
      </c>
    </row>
    <row r="1546">
      <c r="A1546">
        <f>'Month 07'!B7</f>
        <v/>
      </c>
      <c r="B1546" t="inlineStr">
        <is>
          <t>Snatch</t>
        </is>
      </c>
      <c r="C1546">
        <f>IF(AND('Month 07'!L15&lt;&gt;"",N('Month 07'!I15)&gt;0),'Month 07'!I15,"")</f>
        <v/>
      </c>
      <c r="D1546">
        <f>IF(C1546="","",IF(N('Month 07'!J15)&gt;0,'Month 07'!J15,1))</f>
        <v/>
      </c>
      <c r="E1546">
        <f>IF(OR(C1546="",D1546=""),"",IF(D1546=1,C1546,ROUND(C1546*(1+D1546/30),1)))</f>
        <v/>
      </c>
    </row>
    <row r="1547">
      <c r="A1547">
        <f>'Month 07'!B7</f>
        <v/>
      </c>
      <c r="B1547" t="inlineStr">
        <is>
          <t>Snatch</t>
        </is>
      </c>
      <c r="C1547">
        <f>IF(AND('Month 07'!L16&lt;&gt;"",N('Month 07'!I16)&gt;0),'Month 07'!I16,"")</f>
        <v/>
      </c>
      <c r="D1547">
        <f>IF(C1547="","",IF(N('Month 07'!J16)&gt;0,'Month 07'!J16,1))</f>
        <v/>
      </c>
      <c r="E1547">
        <f>IF(OR(C1547="",D1547=""),"",IF(D1547=1,C1547,ROUND(C1547*(1+D1547/30),1)))</f>
        <v/>
      </c>
    </row>
    <row r="1548">
      <c r="A1548">
        <f>'Month 07'!B7</f>
        <v/>
      </c>
      <c r="B1548" t="inlineStr">
        <is>
          <t>Snatch</t>
        </is>
      </c>
      <c r="C1548">
        <f>IF(AND('Month 07'!L17&lt;&gt;"",N('Month 07'!I17)&gt;0),'Month 07'!I17,"")</f>
        <v/>
      </c>
      <c r="D1548">
        <f>IF(C1548="","",IF(N('Month 07'!J17)&gt;0,'Month 07'!J17,1))</f>
        <v/>
      </c>
      <c r="E1548">
        <f>IF(OR(C1548="",D1548=""),"",IF(D1548=1,C1548,ROUND(C1548*(1+D1548/30),1)))</f>
        <v/>
      </c>
    </row>
    <row r="1549">
      <c r="A1549">
        <f>'Month 07'!B7</f>
        <v/>
      </c>
      <c r="B1549" t="inlineStr">
        <is>
          <t>Squat</t>
        </is>
      </c>
      <c r="C1549">
        <f>IF(AND('Month 07'!L19&lt;&gt;"",N('Month 07'!I19)&gt;0),'Month 07'!I19,"")</f>
        <v/>
      </c>
      <c r="D1549">
        <f>IF(C1549="","",IF(N('Month 07'!J19)&gt;0,'Month 07'!J19,1))</f>
        <v/>
      </c>
      <c r="E1549">
        <f>IF(OR(C1549="",D1549=""),"",IF(D1549=1,C1549,ROUND(C1549*(1+D1549/30),1)))</f>
        <v/>
      </c>
    </row>
    <row r="1550">
      <c r="A1550">
        <f>'Month 07'!B7</f>
        <v/>
      </c>
      <c r="B1550" t="inlineStr">
        <is>
          <t>Squat</t>
        </is>
      </c>
      <c r="C1550">
        <f>IF(AND('Month 07'!L20&lt;&gt;"",N('Month 07'!I20)&gt;0),'Month 07'!I20,"")</f>
        <v/>
      </c>
      <c r="D1550">
        <f>IF(C1550="","",IF(N('Month 07'!J20)&gt;0,'Month 07'!J20,1))</f>
        <v/>
      </c>
      <c r="E1550">
        <f>IF(OR(C1550="",D1550=""),"",IF(D1550=1,C1550,ROUND(C1550*(1+D1550/30),1)))</f>
        <v/>
      </c>
    </row>
    <row r="1551">
      <c r="A1551">
        <f>'Month 07'!B7</f>
        <v/>
      </c>
      <c r="B1551" t="inlineStr">
        <is>
          <t>Squat</t>
        </is>
      </c>
      <c r="C1551">
        <f>IF(AND('Month 07'!L21&lt;&gt;"",N('Month 07'!I21)&gt;0),'Month 07'!I21,"")</f>
        <v/>
      </c>
      <c r="D1551">
        <f>IF(C1551="","",IF(N('Month 07'!J21)&gt;0,'Month 07'!J21,1))</f>
        <v/>
      </c>
      <c r="E1551">
        <f>IF(OR(C1551="",D1551=""),"",IF(D1551=1,C1551,ROUND(C1551*(1+D1551/30),1)))</f>
        <v/>
      </c>
    </row>
    <row r="1552">
      <c r="A1552">
        <f>'Month 07'!B7</f>
        <v/>
      </c>
      <c r="B1552" t="inlineStr">
        <is>
          <t>Bench Press</t>
        </is>
      </c>
      <c r="C1552">
        <f>IF(AND('Month 07'!L23&lt;&gt;"",N('Month 07'!I23)&gt;0),'Month 07'!I23,"")</f>
        <v/>
      </c>
      <c r="D1552">
        <f>IF(C1552="","",IF(N('Month 07'!J23)&gt;0,'Month 07'!J23,1))</f>
        <v/>
      </c>
      <c r="E1552">
        <f>IF(OR(C1552="",D1552=""),"",IF(D1552=1,C1552,ROUND(C1552*(1+D1552/30),1)))</f>
        <v/>
      </c>
    </row>
    <row r="1553">
      <c r="A1553">
        <f>'Month 07'!B7</f>
        <v/>
      </c>
      <c r="B1553" t="inlineStr">
        <is>
          <t>Bench Press</t>
        </is>
      </c>
      <c r="C1553">
        <f>IF(AND('Month 07'!L24&lt;&gt;"",N('Month 07'!I24)&gt;0),'Month 07'!I24,"")</f>
        <v/>
      </c>
      <c r="D1553">
        <f>IF(C1553="","",IF(N('Month 07'!J24)&gt;0,'Month 07'!J24,1))</f>
        <v/>
      </c>
      <c r="E1553">
        <f>IF(OR(C1553="",D1553=""),"",IF(D1553=1,C1553,ROUND(C1553*(1+D1553/30),1)))</f>
        <v/>
      </c>
    </row>
    <row r="1554">
      <c r="A1554">
        <f>'Month 07'!B7</f>
        <v/>
      </c>
      <c r="B1554" t="inlineStr">
        <is>
          <t>Bench Press</t>
        </is>
      </c>
      <c r="C1554">
        <f>IF(AND('Month 07'!L25&lt;&gt;"",N('Month 07'!I25)&gt;0),'Month 07'!I25,"")</f>
        <v/>
      </c>
      <c r="D1554">
        <f>IF(C1554="","",IF(N('Month 07'!J25)&gt;0,'Month 07'!J25,1))</f>
        <v/>
      </c>
      <c r="E1554">
        <f>IF(OR(C1554="",D1554=""),"",IF(D1554=1,C1554,ROUND(C1554*(1+D1554/30),1)))</f>
        <v/>
      </c>
    </row>
    <row r="1555">
      <c r="A1555">
        <f>'Month 07'!B7</f>
        <v/>
      </c>
      <c r="B1555" t="inlineStr">
        <is>
          <t>Barbell Row</t>
        </is>
      </c>
      <c r="C1555">
        <f>IF(AND('Month 07'!L27&lt;&gt;"",N('Month 07'!I27)&gt;0),'Month 07'!I27,"")</f>
        <v/>
      </c>
      <c r="D1555">
        <f>IF(C1555="","",IF(N('Month 07'!J27)&gt;0,'Month 07'!J27,1))</f>
        <v/>
      </c>
      <c r="E1555">
        <f>IF(OR(C1555="",D1555=""),"",IF(D1555=1,C1555,ROUND(C1555*(1+D1555/30),1)))</f>
        <v/>
      </c>
    </row>
    <row r="1556">
      <c r="A1556">
        <f>'Month 07'!B7</f>
        <v/>
      </c>
      <c r="B1556" t="inlineStr">
        <is>
          <t>Barbell Row</t>
        </is>
      </c>
      <c r="C1556">
        <f>IF(AND('Month 07'!L28&lt;&gt;"",N('Month 07'!I28)&gt;0),'Month 07'!I28,"")</f>
        <v/>
      </c>
      <c r="D1556">
        <f>IF(C1556="","",IF(N('Month 07'!J28)&gt;0,'Month 07'!J28,1))</f>
        <v/>
      </c>
      <c r="E1556">
        <f>IF(OR(C1556="",D1556=""),"",IF(D1556=1,C1556,ROUND(C1556*(1+D1556/30),1)))</f>
        <v/>
      </c>
    </row>
    <row r="1557">
      <c r="A1557">
        <f>'Month 07'!B7</f>
        <v/>
      </c>
      <c r="B1557" t="inlineStr">
        <is>
          <t>Barbell Row</t>
        </is>
      </c>
      <c r="C1557">
        <f>IF(AND('Month 07'!L29&lt;&gt;"",N('Month 07'!I29)&gt;0),'Month 07'!I29,"")</f>
        <v/>
      </c>
      <c r="D1557">
        <f>IF(C1557="","",IF(N('Month 07'!J29)&gt;0,'Month 07'!J29,1))</f>
        <v/>
      </c>
      <c r="E1557">
        <f>IF(OR(C1557="",D1557=""),"",IF(D1557=1,C1557,ROUND(C1557*(1+D1557/30),1)))</f>
        <v/>
      </c>
    </row>
    <row r="1558">
      <c r="A1558">
        <f>'Month 07'!B7</f>
        <v/>
      </c>
      <c r="B1558" t="inlineStr">
        <is>
          <t>Barbell Row</t>
        </is>
      </c>
      <c r="C1558">
        <f>IF(AND('Month 07'!L30&lt;&gt;"",N('Month 07'!I30)&gt;0),'Month 07'!I30,"")</f>
        <v/>
      </c>
      <c r="D1558">
        <f>IF(C1558="","",IF(N('Month 07'!J30)&gt;0,'Month 07'!J30,1))</f>
        <v/>
      </c>
      <c r="E1558">
        <f>IF(OR(C1558="",D1558=""),"",IF(D1558=1,C1558,ROUND(C1558*(1+D1558/30),1)))</f>
        <v/>
      </c>
    </row>
    <row r="1559">
      <c r="A1559">
        <f>'Month 07'!B7</f>
        <v/>
      </c>
      <c r="B1559" t="inlineStr">
        <is>
          <t>Face Pull</t>
        </is>
      </c>
      <c r="C1559">
        <f>IF(AND('Month 07'!L32&lt;&gt;"",N('Month 07'!I32)&gt;0),'Month 07'!I32,"")</f>
        <v/>
      </c>
      <c r="D1559">
        <f>IF(C1559="","",IF(N('Month 07'!J32)&gt;0,'Month 07'!J32,1))</f>
        <v/>
      </c>
      <c r="E1559">
        <f>IF(OR(C1559="",D1559=""),"",IF(D1559=1,C1559,ROUND(C1559*(1+D1559/30),1)))</f>
        <v/>
      </c>
    </row>
    <row r="1560">
      <c r="A1560">
        <f>'Month 07'!B7</f>
        <v/>
      </c>
      <c r="B1560" t="inlineStr">
        <is>
          <t>Face Pull</t>
        </is>
      </c>
      <c r="C1560">
        <f>IF(AND('Month 07'!L33&lt;&gt;"",N('Month 07'!I33)&gt;0),'Month 07'!I33,"")</f>
        <v/>
      </c>
      <c r="D1560">
        <f>IF(C1560="","",IF(N('Month 07'!J33)&gt;0,'Month 07'!J33,1))</f>
        <v/>
      </c>
      <c r="E1560">
        <f>IF(OR(C1560="",D1560=""),"",IF(D1560=1,C1560,ROUND(C1560*(1+D1560/30),1)))</f>
        <v/>
      </c>
    </row>
    <row r="1561">
      <c r="A1561">
        <f>'Month 07'!B7</f>
        <v/>
      </c>
      <c r="B1561" t="inlineStr">
        <is>
          <t>Face Pull</t>
        </is>
      </c>
      <c r="C1561">
        <f>IF(AND('Month 07'!L34&lt;&gt;"",N('Month 07'!I34)&gt;0),'Month 07'!I34,"")</f>
        <v/>
      </c>
      <c r="D1561">
        <f>IF(C1561="","",IF(N('Month 07'!J34)&gt;0,'Month 07'!J34,1))</f>
        <v/>
      </c>
      <c r="E1561">
        <f>IF(OR(C1561="",D1561=""),"",IF(D1561=1,C1561,ROUND(C1561*(1+D1561/30),1)))</f>
        <v/>
      </c>
    </row>
    <row r="1562">
      <c r="A1562">
        <f>'Month 07'!B7</f>
        <v/>
      </c>
      <c r="B1562" t="inlineStr">
        <is>
          <t>Face Pull</t>
        </is>
      </c>
      <c r="C1562">
        <f>IF(AND('Month 07'!L35&lt;&gt;"",N('Month 07'!I35)&gt;0),'Month 07'!I35,"")</f>
        <v/>
      </c>
      <c r="D1562">
        <f>IF(C1562="","",IF(N('Month 07'!J35)&gt;0,'Month 07'!J35,1))</f>
        <v/>
      </c>
      <c r="E1562">
        <f>IF(OR(C1562="",D1562=""),"",IF(D1562=1,C1562,ROUND(C1562*(1+D1562/30),1)))</f>
        <v/>
      </c>
    </row>
    <row r="1563">
      <c r="A1563">
        <f>'Month 07'!B36</f>
        <v/>
      </c>
      <c r="B1563" t="inlineStr">
        <is>
          <t>Broad Jump</t>
        </is>
      </c>
      <c r="C1563">
        <f>IF(AND('Month 07'!L38&lt;&gt;"",N('Month 07'!I38)&gt;0),'Month 07'!I38,"")</f>
        <v/>
      </c>
      <c r="D1563">
        <f>IF(C1563="","",IF(N('Month 07'!J38)&gt;0,'Month 07'!J38,1))</f>
        <v/>
      </c>
      <c r="E1563">
        <f>IF(OR(C1563="",D1563=""),"",IF(D1563=1,C1563,ROUND(C1563*(1+D1563/30),1)))</f>
        <v/>
      </c>
    </row>
    <row r="1564">
      <c r="A1564">
        <f>'Month 07'!B36</f>
        <v/>
      </c>
      <c r="B1564" t="inlineStr">
        <is>
          <t>Broad Jump</t>
        </is>
      </c>
      <c r="C1564">
        <f>IF(AND('Month 07'!L39&lt;&gt;"",N('Month 07'!I39)&gt;0),'Month 07'!I39,"")</f>
        <v/>
      </c>
      <c r="D1564">
        <f>IF(C1564="","",IF(N('Month 07'!J39)&gt;0,'Month 07'!J39,1))</f>
        <v/>
      </c>
      <c r="E1564">
        <f>IF(OR(C1564="",D1564=""),"",IF(D1564=1,C1564,ROUND(C1564*(1+D1564/30),1)))</f>
        <v/>
      </c>
    </row>
    <row r="1565">
      <c r="A1565">
        <f>'Month 07'!B36</f>
        <v/>
      </c>
      <c r="B1565" t="inlineStr">
        <is>
          <t>Broad Jump</t>
        </is>
      </c>
      <c r="C1565">
        <f>IF(AND('Month 07'!L40&lt;&gt;"",N('Month 07'!I40)&gt;0),'Month 07'!I40,"")</f>
        <v/>
      </c>
      <c r="D1565">
        <f>IF(C1565="","",IF(N('Month 07'!J40)&gt;0,'Month 07'!J40,1))</f>
        <v/>
      </c>
      <c r="E1565">
        <f>IF(OR(C1565="",D1565=""),"",IF(D1565=1,C1565,ROUND(C1565*(1+D1565/30),1)))</f>
        <v/>
      </c>
    </row>
    <row r="1566">
      <c r="A1566">
        <f>'Month 07'!B36</f>
        <v/>
      </c>
      <c r="B1566" t="inlineStr">
        <is>
          <t>Broad Jump</t>
        </is>
      </c>
      <c r="C1566">
        <f>IF(AND('Month 07'!L41&lt;&gt;"",N('Month 07'!I41)&gt;0),'Month 07'!I41,"")</f>
        <v/>
      </c>
      <c r="D1566">
        <f>IF(C1566="","",IF(N('Month 07'!J41)&gt;0,'Month 07'!J41,1))</f>
        <v/>
      </c>
      <c r="E1566">
        <f>IF(OR(C1566="",D1566=""),"",IF(D1566=1,C1566,ROUND(C1566*(1+D1566/30),1)))</f>
        <v/>
      </c>
    </row>
    <row r="1567">
      <c r="A1567">
        <f>'Month 07'!B36</f>
        <v/>
      </c>
      <c r="B1567" t="inlineStr">
        <is>
          <t>Med Ball Chest Pass</t>
        </is>
      </c>
      <c r="C1567">
        <f>IF(AND('Month 07'!L43&lt;&gt;"",N('Month 07'!I43)&gt;0),'Month 07'!I43,"")</f>
        <v/>
      </c>
      <c r="D1567">
        <f>IF(C1567="","",IF(N('Month 07'!J43)&gt;0,'Month 07'!J43,1))</f>
        <v/>
      </c>
      <c r="E1567">
        <f>IF(OR(C1567="",D1567=""),"",IF(D1567=1,C1567,ROUND(C1567*(1+D1567/30),1)))</f>
        <v/>
      </c>
    </row>
    <row r="1568">
      <c r="A1568">
        <f>'Month 07'!B36</f>
        <v/>
      </c>
      <c r="B1568" t="inlineStr">
        <is>
          <t>Med Ball Chest Pass</t>
        </is>
      </c>
      <c r="C1568">
        <f>IF(AND('Month 07'!L44&lt;&gt;"",N('Month 07'!I44)&gt;0),'Month 07'!I44,"")</f>
        <v/>
      </c>
      <c r="D1568">
        <f>IF(C1568="","",IF(N('Month 07'!J44)&gt;0,'Month 07'!J44,1))</f>
        <v/>
      </c>
      <c r="E1568">
        <f>IF(OR(C1568="",D1568=""),"",IF(D1568=1,C1568,ROUND(C1568*(1+D1568/30),1)))</f>
        <v/>
      </c>
    </row>
    <row r="1569">
      <c r="A1569">
        <f>'Month 07'!B36</f>
        <v/>
      </c>
      <c r="B1569" t="inlineStr">
        <is>
          <t>Med Ball Chest Pass</t>
        </is>
      </c>
      <c r="C1569">
        <f>IF(AND('Month 07'!L45&lt;&gt;"",N('Month 07'!I45)&gt;0),'Month 07'!I45,"")</f>
        <v/>
      </c>
      <c r="D1569">
        <f>IF(C1569="","",IF(N('Month 07'!J45)&gt;0,'Month 07'!J45,1))</f>
        <v/>
      </c>
      <c r="E1569">
        <f>IF(OR(C1569="",D1569=""),"",IF(D1569=1,C1569,ROUND(C1569*(1+D1569/30),1)))</f>
        <v/>
      </c>
    </row>
    <row r="1570">
      <c r="A1570">
        <f>'Month 07'!B36</f>
        <v/>
      </c>
      <c r="B1570" t="inlineStr">
        <is>
          <t>Clean &amp; Jerk</t>
        </is>
      </c>
      <c r="C1570">
        <f>IF(AND('Month 07'!L47&lt;&gt;"",N('Month 07'!I47)&gt;0),'Month 07'!I47,"")</f>
        <v/>
      </c>
      <c r="D1570">
        <f>IF(C1570="","",IF(N('Month 07'!J47)&gt;0,'Month 07'!J47,1))</f>
        <v/>
      </c>
      <c r="E1570">
        <f>IF(OR(C1570="",D1570=""),"",IF(D1570=1,C1570,ROUND(C1570*(1+D1570/30),1)))</f>
        <v/>
      </c>
    </row>
    <row r="1571">
      <c r="A1571">
        <f>'Month 07'!B36</f>
        <v/>
      </c>
      <c r="B1571" t="inlineStr">
        <is>
          <t>Clean &amp; Jerk</t>
        </is>
      </c>
      <c r="C1571">
        <f>IF(AND('Month 07'!L48&lt;&gt;"",N('Month 07'!I48)&gt;0),'Month 07'!I48,"")</f>
        <v/>
      </c>
      <c r="D1571">
        <f>IF(C1571="","",IF(N('Month 07'!J48)&gt;0,'Month 07'!J48,1))</f>
        <v/>
      </c>
      <c r="E1571">
        <f>IF(OR(C1571="",D1571=""),"",IF(D1571=1,C1571,ROUND(C1571*(1+D1571/30),1)))</f>
        <v/>
      </c>
    </row>
    <row r="1572">
      <c r="A1572">
        <f>'Month 07'!B36</f>
        <v/>
      </c>
      <c r="B1572" t="inlineStr">
        <is>
          <t>Clean &amp; Jerk</t>
        </is>
      </c>
      <c r="C1572">
        <f>IF(AND('Month 07'!L49&lt;&gt;"",N('Month 07'!I49)&gt;0),'Month 07'!I49,"")</f>
        <v/>
      </c>
      <c r="D1572">
        <f>IF(C1572="","",IF(N('Month 07'!J49)&gt;0,'Month 07'!J49,1))</f>
        <v/>
      </c>
      <c r="E1572">
        <f>IF(OR(C1572="",D1572=""),"",IF(D1572=1,C1572,ROUND(C1572*(1+D1572/30),1)))</f>
        <v/>
      </c>
    </row>
    <row r="1573">
      <c r="A1573">
        <f>'Month 07'!B36</f>
        <v/>
      </c>
      <c r="B1573" t="inlineStr">
        <is>
          <t>Clean &amp; Jerk</t>
        </is>
      </c>
      <c r="C1573">
        <f>IF(AND('Month 07'!L50&lt;&gt;"",N('Month 07'!I50)&gt;0),'Month 07'!I50,"")</f>
        <v/>
      </c>
      <c r="D1573">
        <f>IF(C1573="","",IF(N('Month 07'!J50)&gt;0,'Month 07'!J50,1))</f>
        <v/>
      </c>
      <c r="E1573">
        <f>IF(OR(C1573="",D1573=""),"",IF(D1573=1,C1573,ROUND(C1573*(1+D1573/30),1)))</f>
        <v/>
      </c>
    </row>
    <row r="1574">
      <c r="A1574">
        <f>'Month 07'!B36</f>
        <v/>
      </c>
      <c r="B1574" t="inlineStr">
        <is>
          <t>Squat</t>
        </is>
      </c>
      <c r="C1574">
        <f>IF(AND('Month 07'!L52&lt;&gt;"",N('Month 07'!I52)&gt;0),'Month 07'!I52,"")</f>
        <v/>
      </c>
      <c r="D1574">
        <f>IF(C1574="","",IF(N('Month 07'!J52)&gt;0,'Month 07'!J52,1))</f>
        <v/>
      </c>
      <c r="E1574">
        <f>IF(OR(C1574="",D1574=""),"",IF(D1574=1,C1574,ROUND(C1574*(1+D1574/30),1)))</f>
        <v/>
      </c>
    </row>
    <row r="1575">
      <c r="A1575">
        <f>'Month 07'!B36</f>
        <v/>
      </c>
      <c r="B1575" t="inlineStr">
        <is>
          <t>Squat</t>
        </is>
      </c>
      <c r="C1575">
        <f>IF(AND('Month 07'!L53&lt;&gt;"",N('Month 07'!I53)&gt;0),'Month 07'!I53,"")</f>
        <v/>
      </c>
      <c r="D1575">
        <f>IF(C1575="","",IF(N('Month 07'!J53)&gt;0,'Month 07'!J53,1))</f>
        <v/>
      </c>
      <c r="E1575">
        <f>IF(OR(C1575="",D1575=""),"",IF(D1575=1,C1575,ROUND(C1575*(1+D1575/30),1)))</f>
        <v/>
      </c>
    </row>
    <row r="1576">
      <c r="A1576">
        <f>'Month 07'!B36</f>
        <v/>
      </c>
      <c r="B1576" t="inlineStr">
        <is>
          <t>Squat</t>
        </is>
      </c>
      <c r="C1576">
        <f>IF(AND('Month 07'!L54&lt;&gt;"",N('Month 07'!I54)&gt;0),'Month 07'!I54,"")</f>
        <v/>
      </c>
      <c r="D1576">
        <f>IF(C1576="","",IF(N('Month 07'!J54)&gt;0,'Month 07'!J54,1))</f>
        <v/>
      </c>
      <c r="E1576">
        <f>IF(OR(C1576="",D1576=""),"",IF(D1576=1,C1576,ROUND(C1576*(1+D1576/30),1)))</f>
        <v/>
      </c>
    </row>
    <row r="1577">
      <c r="A1577">
        <f>'Month 07'!B36</f>
        <v/>
      </c>
      <c r="B1577" t="inlineStr">
        <is>
          <t>Overhead Press</t>
        </is>
      </c>
      <c r="C1577">
        <f>IF(AND('Month 07'!L56&lt;&gt;"",N('Month 07'!I56)&gt;0),'Month 07'!I56,"")</f>
        <v/>
      </c>
      <c r="D1577">
        <f>IF(C1577="","",IF(N('Month 07'!J56)&gt;0,'Month 07'!J56,1))</f>
        <v/>
      </c>
      <c r="E1577">
        <f>IF(OR(C1577="",D1577=""),"",IF(D1577=1,C1577,ROUND(C1577*(1+D1577/30),1)))</f>
        <v/>
      </c>
    </row>
    <row r="1578">
      <c r="A1578">
        <f>'Month 07'!B36</f>
        <v/>
      </c>
      <c r="B1578" t="inlineStr">
        <is>
          <t>Overhead Press</t>
        </is>
      </c>
      <c r="C1578">
        <f>IF(AND('Month 07'!L57&lt;&gt;"",N('Month 07'!I57)&gt;0),'Month 07'!I57,"")</f>
        <v/>
      </c>
      <c r="D1578">
        <f>IF(C1578="","",IF(N('Month 07'!J57)&gt;0,'Month 07'!J57,1))</f>
        <v/>
      </c>
      <c r="E1578">
        <f>IF(OR(C1578="",D1578=""),"",IF(D1578=1,C1578,ROUND(C1578*(1+D1578/30),1)))</f>
        <v/>
      </c>
    </row>
    <row r="1579">
      <c r="A1579">
        <f>'Month 07'!B36</f>
        <v/>
      </c>
      <c r="B1579" t="inlineStr">
        <is>
          <t>Overhead Press</t>
        </is>
      </c>
      <c r="C1579">
        <f>IF(AND('Month 07'!L58&lt;&gt;"",N('Month 07'!I58)&gt;0),'Month 07'!I58,"")</f>
        <v/>
      </c>
      <c r="D1579">
        <f>IF(C1579="","",IF(N('Month 07'!J58)&gt;0,'Month 07'!J58,1))</f>
        <v/>
      </c>
      <c r="E1579">
        <f>IF(OR(C1579="",D1579=""),"",IF(D1579=1,C1579,ROUND(C1579*(1+D1579/30),1)))</f>
        <v/>
      </c>
    </row>
    <row r="1580">
      <c r="A1580">
        <f>'Month 07'!B36</f>
        <v/>
      </c>
      <c r="B1580" t="inlineStr">
        <is>
          <t>Overhead Press</t>
        </is>
      </c>
      <c r="C1580">
        <f>IF(AND('Month 07'!L59&lt;&gt;"",N('Month 07'!I59)&gt;0),'Month 07'!I59,"")</f>
        <v/>
      </c>
      <c r="D1580">
        <f>IF(C1580="","",IF(N('Month 07'!J59)&gt;0,'Month 07'!J59,1))</f>
        <v/>
      </c>
      <c r="E1580">
        <f>IF(OR(C1580="",D1580=""),"",IF(D1580=1,C1580,ROUND(C1580*(1+D1580/30),1)))</f>
        <v/>
      </c>
    </row>
    <row r="1581">
      <c r="A1581">
        <f>'Month 07'!B36</f>
        <v/>
      </c>
      <c r="B1581" t="inlineStr">
        <is>
          <t>Deadlift</t>
        </is>
      </c>
      <c r="C1581">
        <f>IF(AND('Month 07'!L61&lt;&gt;"",N('Month 07'!I61)&gt;0),'Month 07'!I61,"")</f>
        <v/>
      </c>
      <c r="D1581">
        <f>IF(C1581="","",IF(N('Month 07'!J61)&gt;0,'Month 07'!J61,1))</f>
        <v/>
      </c>
      <c r="E1581">
        <f>IF(OR(C1581="",D1581=""),"",IF(D1581=1,C1581,ROUND(C1581*(1+D1581/30),1)))</f>
        <v/>
      </c>
    </row>
    <row r="1582">
      <c r="A1582">
        <f>'Month 07'!B36</f>
        <v/>
      </c>
      <c r="B1582" t="inlineStr">
        <is>
          <t>Deadlift</t>
        </is>
      </c>
      <c r="C1582">
        <f>IF(AND('Month 07'!L62&lt;&gt;"",N('Month 07'!I62)&gt;0),'Month 07'!I62,"")</f>
        <v/>
      </c>
      <c r="D1582">
        <f>IF(C1582="","",IF(N('Month 07'!J62)&gt;0,'Month 07'!J62,1))</f>
        <v/>
      </c>
      <c r="E1582">
        <f>IF(OR(C1582="",D1582=""),"",IF(D1582=1,C1582,ROUND(C1582*(1+D1582/30),1)))</f>
        <v/>
      </c>
    </row>
    <row r="1583">
      <c r="A1583">
        <f>'Month 07'!B36</f>
        <v/>
      </c>
      <c r="B1583" t="inlineStr">
        <is>
          <t>Deadlift</t>
        </is>
      </c>
      <c r="C1583">
        <f>IF(AND('Month 07'!L63&lt;&gt;"",N('Month 07'!I63)&gt;0),'Month 07'!I63,"")</f>
        <v/>
      </c>
      <c r="D1583">
        <f>IF(C1583="","",IF(N('Month 07'!J63)&gt;0,'Month 07'!J63,1))</f>
        <v/>
      </c>
      <c r="E1583">
        <f>IF(OR(C1583="",D1583=""),"",IF(D1583=1,C1583,ROUND(C1583*(1+D1583/30),1)))</f>
        <v/>
      </c>
    </row>
    <row r="1584">
      <c r="A1584">
        <f>'Month 07'!B36</f>
        <v/>
      </c>
      <c r="B1584" t="inlineStr">
        <is>
          <t>Chin-up</t>
        </is>
      </c>
      <c r="C1584">
        <f>IF(AND('Month 07'!L65&lt;&gt;"",N('Month 07'!I65)&gt;0),'Month 07'!I65,"")</f>
        <v/>
      </c>
      <c r="D1584">
        <f>IF(C1584="","",IF(N('Month 07'!J65)&gt;0,'Month 07'!J65,1))</f>
        <v/>
      </c>
      <c r="E1584">
        <f>IF(OR(C1584="",D1584=""),"",IF(D1584=1,C1584,ROUND(C1584*(1+D1584/30),1)))</f>
        <v/>
      </c>
    </row>
    <row r="1585">
      <c r="A1585">
        <f>'Month 07'!B36</f>
        <v/>
      </c>
      <c r="B1585" t="inlineStr">
        <is>
          <t>Chin-up</t>
        </is>
      </c>
      <c r="C1585">
        <f>IF(AND('Month 07'!L66&lt;&gt;"",N('Month 07'!I66)&gt;0),'Month 07'!I66,"")</f>
        <v/>
      </c>
      <c r="D1585">
        <f>IF(C1585="","",IF(N('Month 07'!J66)&gt;0,'Month 07'!J66,1))</f>
        <v/>
      </c>
      <c r="E1585">
        <f>IF(OR(C1585="",D1585=""),"",IF(D1585=1,C1585,ROUND(C1585*(1+D1585/30),1)))</f>
        <v/>
      </c>
    </row>
    <row r="1586">
      <c r="A1586">
        <f>'Month 07'!B36</f>
        <v/>
      </c>
      <c r="B1586" t="inlineStr">
        <is>
          <t>Chin-up</t>
        </is>
      </c>
      <c r="C1586">
        <f>IF(AND('Month 07'!L67&lt;&gt;"",N('Month 07'!I67)&gt;0),'Month 07'!I67,"")</f>
        <v/>
      </c>
      <c r="D1586">
        <f>IF(C1586="","",IF(N('Month 07'!J67)&gt;0,'Month 07'!J67,1))</f>
        <v/>
      </c>
      <c r="E1586">
        <f>IF(OR(C1586="",D1586=""),"",IF(D1586=1,C1586,ROUND(C1586*(1+D1586/30),1)))</f>
        <v/>
      </c>
    </row>
    <row r="1587">
      <c r="A1587">
        <f>'Month 07'!B36</f>
        <v/>
      </c>
      <c r="B1587" t="inlineStr">
        <is>
          <t>Chin-up</t>
        </is>
      </c>
      <c r="C1587">
        <f>IF(AND('Month 07'!L68&lt;&gt;"",N('Month 07'!I68)&gt;0),'Month 07'!I68,"")</f>
        <v/>
      </c>
      <c r="D1587">
        <f>IF(C1587="","",IF(N('Month 07'!J68)&gt;0,'Month 07'!J68,1))</f>
        <v/>
      </c>
      <c r="E1587">
        <f>IF(OR(C1587="",D1587=""),"",IF(D1587=1,C1587,ROUND(C1587*(1+D1587/30),1)))</f>
        <v/>
      </c>
    </row>
    <row r="1588">
      <c r="A1588">
        <f>'Month 07'!B36</f>
        <v/>
      </c>
      <c r="B1588" t="inlineStr">
        <is>
          <t>Plank</t>
        </is>
      </c>
      <c r="C1588">
        <f>IF(AND('Month 07'!L70&lt;&gt;"",N('Month 07'!I70)&gt;0),'Month 07'!I70,"")</f>
        <v/>
      </c>
      <c r="D1588">
        <f>IF(C1588="","",IF(N('Month 07'!J70)&gt;0,'Month 07'!J70,1))</f>
        <v/>
      </c>
      <c r="E1588">
        <f>IF(OR(C1588="",D1588=""),"",IF(D1588=1,C1588,ROUND(C1588*(1+D1588/30),1)))</f>
        <v/>
      </c>
    </row>
    <row r="1589">
      <c r="A1589">
        <f>'Month 07'!B36</f>
        <v/>
      </c>
      <c r="B1589" t="inlineStr">
        <is>
          <t>Plank</t>
        </is>
      </c>
      <c r="C1589">
        <f>IF(AND('Month 07'!L71&lt;&gt;"",N('Month 07'!I71)&gt;0),'Month 07'!I71,"")</f>
        <v/>
      </c>
      <c r="D1589">
        <f>IF(C1589="","",IF(N('Month 07'!J71)&gt;0,'Month 07'!J71,1))</f>
        <v/>
      </c>
      <c r="E1589">
        <f>IF(OR(C1589="",D1589=""),"",IF(D1589=1,C1589,ROUND(C1589*(1+D1589/30),1)))</f>
        <v/>
      </c>
    </row>
    <row r="1590">
      <c r="A1590">
        <f>'Month 07'!B36</f>
        <v/>
      </c>
      <c r="B1590" t="inlineStr">
        <is>
          <t>Plank</t>
        </is>
      </c>
      <c r="C1590">
        <f>IF(AND('Month 07'!L72&lt;&gt;"",N('Month 07'!I72)&gt;0),'Month 07'!I72,"")</f>
        <v/>
      </c>
      <c r="D1590">
        <f>IF(C1590="","",IF(N('Month 07'!J72)&gt;0,'Month 07'!J72,1))</f>
        <v/>
      </c>
      <c r="E1590">
        <f>IF(OR(C1590="",D1590=""),"",IF(D1590=1,C1590,ROUND(C1590*(1+D1590/30),1)))</f>
        <v/>
      </c>
    </row>
    <row r="1591">
      <c r="A1591">
        <f>'Month 07'!B36</f>
        <v/>
      </c>
      <c r="B1591" t="inlineStr">
        <is>
          <t>Plank</t>
        </is>
      </c>
      <c r="C1591">
        <f>IF(AND('Month 07'!L73&lt;&gt;"",N('Month 07'!I73)&gt;0),'Month 07'!I73,"")</f>
        <v/>
      </c>
      <c r="D1591">
        <f>IF(C1591="","",IF(N('Month 07'!J73)&gt;0,'Month 07'!J73,1))</f>
        <v/>
      </c>
      <c r="E1591">
        <f>IF(OR(C1591="",D1591=""),"",IF(D1591=1,C1591,ROUND(C1591*(1+D1591/30),1)))</f>
        <v/>
      </c>
    </row>
    <row r="1592">
      <c r="A1592">
        <f>'Month 07'!B74</f>
        <v/>
      </c>
      <c r="B1592" t="inlineStr">
        <is>
          <t>Depth Jump</t>
        </is>
      </c>
      <c r="C1592">
        <f>IF(AND('Month 07'!L76&lt;&gt;"",N('Month 07'!I76)&gt;0),'Month 07'!I76,"")</f>
        <v/>
      </c>
      <c r="D1592">
        <f>IF(C1592="","",IF(N('Month 07'!J76)&gt;0,'Month 07'!J76,1))</f>
        <v/>
      </c>
      <c r="E1592">
        <f>IF(OR(C1592="",D1592=""),"",IF(D1592=1,C1592,ROUND(C1592*(1+D1592/30),1)))</f>
        <v/>
      </c>
    </row>
    <row r="1593">
      <c r="A1593">
        <f>'Month 07'!B74</f>
        <v/>
      </c>
      <c r="B1593" t="inlineStr">
        <is>
          <t>Depth Jump</t>
        </is>
      </c>
      <c r="C1593">
        <f>IF(AND('Month 07'!L77&lt;&gt;"",N('Month 07'!I77)&gt;0),'Month 07'!I77,"")</f>
        <v/>
      </c>
      <c r="D1593">
        <f>IF(C1593="","",IF(N('Month 07'!J77)&gt;0,'Month 07'!J77,1))</f>
        <v/>
      </c>
      <c r="E1593">
        <f>IF(OR(C1593="",D1593=""),"",IF(D1593=1,C1593,ROUND(C1593*(1+D1593/30),1)))</f>
        <v/>
      </c>
    </row>
    <row r="1594">
      <c r="A1594">
        <f>'Month 07'!B74</f>
        <v/>
      </c>
      <c r="B1594" t="inlineStr">
        <is>
          <t>Depth Jump</t>
        </is>
      </c>
      <c r="C1594">
        <f>IF(AND('Month 07'!L78&lt;&gt;"",N('Month 07'!I78)&gt;0),'Month 07'!I78,"")</f>
        <v/>
      </c>
      <c r="D1594">
        <f>IF(C1594="","",IF(N('Month 07'!J78)&gt;0,'Month 07'!J78,1))</f>
        <v/>
      </c>
      <c r="E1594">
        <f>IF(OR(C1594="",D1594=""),"",IF(D1594=1,C1594,ROUND(C1594*(1+D1594/30),1)))</f>
        <v/>
      </c>
    </row>
    <row r="1595">
      <c r="A1595">
        <f>'Month 07'!B74</f>
        <v/>
      </c>
      <c r="B1595" t="inlineStr">
        <is>
          <t>Depth Jump</t>
        </is>
      </c>
      <c r="C1595">
        <f>IF(AND('Month 07'!L79&lt;&gt;"",N('Month 07'!I79)&gt;0),'Month 07'!I79,"")</f>
        <v/>
      </c>
      <c r="D1595">
        <f>IF(C1595="","",IF(N('Month 07'!J79)&gt;0,'Month 07'!J79,1))</f>
        <v/>
      </c>
      <c r="E1595">
        <f>IF(OR(C1595="",D1595=""),"",IF(D1595=1,C1595,ROUND(C1595*(1+D1595/30),1)))</f>
        <v/>
      </c>
    </row>
    <row r="1596">
      <c r="A1596">
        <f>'Month 07'!B74</f>
        <v/>
      </c>
      <c r="B1596" t="inlineStr">
        <is>
          <t>Block Snatch</t>
        </is>
      </c>
      <c r="C1596">
        <f>IF(AND('Month 07'!L81&lt;&gt;"",N('Month 07'!I81)&gt;0),'Month 07'!I81,"")</f>
        <v/>
      </c>
      <c r="D1596">
        <f>IF(C1596="","",IF(N('Month 07'!J81)&gt;0,'Month 07'!J81,1))</f>
        <v/>
      </c>
      <c r="E1596">
        <f>IF(OR(C1596="",D1596=""),"",IF(D1596=1,C1596,ROUND(C1596*(1+D1596/30),1)))</f>
        <v/>
      </c>
    </row>
    <row r="1597">
      <c r="A1597">
        <f>'Month 07'!B74</f>
        <v/>
      </c>
      <c r="B1597" t="inlineStr">
        <is>
          <t>Block Snatch</t>
        </is>
      </c>
      <c r="C1597">
        <f>IF(AND('Month 07'!L82&lt;&gt;"",N('Month 07'!I82)&gt;0),'Month 07'!I82,"")</f>
        <v/>
      </c>
      <c r="D1597">
        <f>IF(C1597="","",IF(N('Month 07'!J82)&gt;0,'Month 07'!J82,1))</f>
        <v/>
      </c>
      <c r="E1597">
        <f>IF(OR(C1597="",D1597=""),"",IF(D1597=1,C1597,ROUND(C1597*(1+D1597/30),1)))</f>
        <v/>
      </c>
    </row>
    <row r="1598">
      <c r="A1598">
        <f>'Month 07'!B74</f>
        <v/>
      </c>
      <c r="B1598" t="inlineStr">
        <is>
          <t>Block Snatch</t>
        </is>
      </c>
      <c r="C1598">
        <f>IF(AND('Month 07'!L83&lt;&gt;"",N('Month 07'!I83)&gt;0),'Month 07'!I83,"")</f>
        <v/>
      </c>
      <c r="D1598">
        <f>IF(C1598="","",IF(N('Month 07'!J83)&gt;0,'Month 07'!J83,1))</f>
        <v/>
      </c>
      <c r="E1598">
        <f>IF(OR(C1598="",D1598=""),"",IF(D1598=1,C1598,ROUND(C1598*(1+D1598/30),1)))</f>
        <v/>
      </c>
    </row>
    <row r="1599">
      <c r="A1599">
        <f>'Month 07'!B74</f>
        <v/>
      </c>
      <c r="B1599" t="inlineStr">
        <is>
          <t>Block Snatch</t>
        </is>
      </c>
      <c r="C1599">
        <f>IF(AND('Month 07'!L84&lt;&gt;"",N('Month 07'!I84)&gt;0),'Month 07'!I84,"")</f>
        <v/>
      </c>
      <c r="D1599">
        <f>IF(C1599="","",IF(N('Month 07'!J84)&gt;0,'Month 07'!J84,1))</f>
        <v/>
      </c>
      <c r="E1599">
        <f>IF(OR(C1599="",D1599=""),"",IF(D1599=1,C1599,ROUND(C1599*(1+D1599/30),1)))</f>
        <v/>
      </c>
    </row>
    <row r="1600">
      <c r="A1600">
        <f>'Month 07'!B74</f>
        <v/>
      </c>
      <c r="B1600" t="inlineStr">
        <is>
          <t>Block Snatch</t>
        </is>
      </c>
      <c r="C1600">
        <f>IF(AND('Month 07'!L85&lt;&gt;"",N('Month 07'!I85)&gt;0),'Month 07'!I85,"")</f>
        <v/>
      </c>
      <c r="D1600">
        <f>IF(C1600="","",IF(N('Month 07'!J85)&gt;0,'Month 07'!J85,1))</f>
        <v/>
      </c>
      <c r="E1600">
        <f>IF(OR(C1600="",D1600=""),"",IF(D1600=1,C1600,ROUND(C1600*(1+D1600/30),1)))</f>
        <v/>
      </c>
    </row>
    <row r="1601">
      <c r="A1601">
        <f>'Month 07'!B74</f>
        <v/>
      </c>
      <c r="B1601" t="inlineStr">
        <is>
          <t>Block Snatch</t>
        </is>
      </c>
      <c r="C1601">
        <f>IF(AND('Month 07'!L86&lt;&gt;"",N('Month 07'!I86)&gt;0),'Month 07'!I86,"")</f>
        <v/>
      </c>
      <c r="D1601">
        <f>IF(C1601="","",IF(N('Month 07'!J86)&gt;0,'Month 07'!J86,1))</f>
        <v/>
      </c>
      <c r="E1601">
        <f>IF(OR(C1601="",D1601=""),"",IF(D1601=1,C1601,ROUND(C1601*(1+D1601/30),1)))</f>
        <v/>
      </c>
    </row>
    <row r="1602">
      <c r="A1602">
        <f>'Month 07'!B74</f>
        <v/>
      </c>
      <c r="B1602" t="inlineStr">
        <is>
          <t>Pause Squat</t>
        </is>
      </c>
      <c r="C1602">
        <f>IF(AND('Month 07'!L88&lt;&gt;"",N('Month 07'!I88)&gt;0),'Month 07'!I88,"")</f>
        <v/>
      </c>
      <c r="D1602">
        <f>IF(C1602="","",IF(N('Month 07'!J88)&gt;0,'Month 07'!J88,1))</f>
        <v/>
      </c>
      <c r="E1602">
        <f>IF(OR(C1602="",D1602=""),"",IF(D1602=1,C1602,ROUND(C1602*(1+D1602/30),1)))</f>
        <v/>
      </c>
    </row>
    <row r="1603">
      <c r="A1603">
        <f>'Month 07'!B74</f>
        <v/>
      </c>
      <c r="B1603" t="inlineStr">
        <is>
          <t>Pause Squat</t>
        </is>
      </c>
      <c r="C1603">
        <f>IF(AND('Month 07'!L89&lt;&gt;"",N('Month 07'!I89)&gt;0),'Month 07'!I89,"")</f>
        <v/>
      </c>
      <c r="D1603">
        <f>IF(C1603="","",IF(N('Month 07'!J89)&gt;0,'Month 07'!J89,1))</f>
        <v/>
      </c>
      <c r="E1603">
        <f>IF(OR(C1603="",D1603=""),"",IF(D1603=1,C1603,ROUND(C1603*(1+D1603/30),1)))</f>
        <v/>
      </c>
    </row>
    <row r="1604">
      <c r="A1604">
        <f>'Month 07'!B74</f>
        <v/>
      </c>
      <c r="B1604" t="inlineStr">
        <is>
          <t>Pause Squat</t>
        </is>
      </c>
      <c r="C1604">
        <f>IF(AND('Month 07'!L90&lt;&gt;"",N('Month 07'!I90)&gt;0),'Month 07'!I90,"")</f>
        <v/>
      </c>
      <c r="D1604">
        <f>IF(C1604="","",IF(N('Month 07'!J90)&gt;0,'Month 07'!J90,1))</f>
        <v/>
      </c>
      <c r="E1604">
        <f>IF(OR(C1604="",D1604=""),"",IF(D1604=1,C1604,ROUND(C1604*(1+D1604/30),1)))</f>
        <v/>
      </c>
    </row>
    <row r="1605">
      <c r="A1605">
        <f>'Month 07'!B74</f>
        <v/>
      </c>
      <c r="B1605" t="inlineStr">
        <is>
          <t>Pause Squat</t>
        </is>
      </c>
      <c r="C1605">
        <f>IF(AND('Month 07'!L91&lt;&gt;"",N('Month 07'!I91)&gt;0),'Month 07'!I91,"")</f>
        <v/>
      </c>
      <c r="D1605">
        <f>IF(C1605="","",IF(N('Month 07'!J91)&gt;0,'Month 07'!J91,1))</f>
        <v/>
      </c>
      <c r="E1605">
        <f>IF(OR(C1605="",D1605=""),"",IF(D1605=1,C1605,ROUND(C1605*(1+D1605/30),1)))</f>
        <v/>
      </c>
    </row>
    <row r="1606">
      <c r="A1606">
        <f>'Month 07'!B74</f>
        <v/>
      </c>
      <c r="B1606" t="inlineStr">
        <is>
          <t>Spoto Press</t>
        </is>
      </c>
      <c r="C1606">
        <f>IF(AND('Month 07'!L93&lt;&gt;"",N('Month 07'!I93)&gt;0),'Month 07'!I93,"")</f>
        <v/>
      </c>
      <c r="D1606">
        <f>IF(C1606="","",IF(N('Month 07'!J93)&gt;0,'Month 07'!J93,1))</f>
        <v/>
      </c>
      <c r="E1606">
        <f>IF(OR(C1606="",D1606=""),"",IF(D1606=1,C1606,ROUND(C1606*(1+D1606/30),1)))</f>
        <v/>
      </c>
    </row>
    <row r="1607">
      <c r="A1607">
        <f>'Month 07'!B74</f>
        <v/>
      </c>
      <c r="B1607" t="inlineStr">
        <is>
          <t>Spoto Press</t>
        </is>
      </c>
      <c r="C1607">
        <f>IF(AND('Month 07'!L94&lt;&gt;"",N('Month 07'!I94)&gt;0),'Month 07'!I94,"")</f>
        <v/>
      </c>
      <c r="D1607">
        <f>IF(C1607="","",IF(N('Month 07'!J94)&gt;0,'Month 07'!J94,1))</f>
        <v/>
      </c>
      <c r="E1607">
        <f>IF(OR(C1607="",D1607=""),"",IF(D1607=1,C1607,ROUND(C1607*(1+D1607/30),1)))</f>
        <v/>
      </c>
    </row>
    <row r="1608">
      <c r="A1608">
        <f>'Month 07'!B74</f>
        <v/>
      </c>
      <c r="B1608" t="inlineStr">
        <is>
          <t>Spoto Press</t>
        </is>
      </c>
      <c r="C1608">
        <f>IF(AND('Month 07'!L95&lt;&gt;"",N('Month 07'!I95)&gt;0),'Month 07'!I95,"")</f>
        <v/>
      </c>
      <c r="D1608">
        <f>IF(C1608="","",IF(N('Month 07'!J95)&gt;0,'Month 07'!J95,1))</f>
        <v/>
      </c>
      <c r="E1608">
        <f>IF(OR(C1608="",D1608=""),"",IF(D1608=1,C1608,ROUND(C1608*(1+D1608/30),1)))</f>
        <v/>
      </c>
    </row>
    <row r="1609">
      <c r="A1609">
        <f>'Month 07'!B74</f>
        <v/>
      </c>
      <c r="B1609" t="inlineStr">
        <is>
          <t>Spoto Press</t>
        </is>
      </c>
      <c r="C1609">
        <f>IF(AND('Month 07'!L96&lt;&gt;"",N('Month 07'!I96)&gt;0),'Month 07'!I96,"")</f>
        <v/>
      </c>
      <c r="D1609">
        <f>IF(C1609="","",IF(N('Month 07'!J96)&gt;0,'Month 07'!J96,1))</f>
        <v/>
      </c>
      <c r="E1609">
        <f>IF(OR(C1609="",D1609=""),"",IF(D1609=1,C1609,ROUND(C1609*(1+D1609/30),1)))</f>
        <v/>
      </c>
    </row>
    <row r="1610">
      <c r="A1610">
        <f>'Month 07'!B74</f>
        <v/>
      </c>
      <c r="B1610" t="inlineStr">
        <is>
          <t>Paused Deadlift</t>
        </is>
      </c>
      <c r="C1610">
        <f>IF(AND('Month 07'!L98&lt;&gt;"",N('Month 07'!I98)&gt;0),'Month 07'!I98,"")</f>
        <v/>
      </c>
      <c r="D1610">
        <f>IF(C1610="","",IF(N('Month 07'!J98)&gt;0,'Month 07'!J98,1))</f>
        <v/>
      </c>
      <c r="E1610">
        <f>IF(OR(C1610="",D1610=""),"",IF(D1610=1,C1610,ROUND(C1610*(1+D1610/30),1)))</f>
        <v/>
      </c>
    </row>
    <row r="1611">
      <c r="A1611">
        <f>'Month 07'!B74</f>
        <v/>
      </c>
      <c r="B1611" t="inlineStr">
        <is>
          <t>Paused Deadlift</t>
        </is>
      </c>
      <c r="C1611">
        <f>IF(AND('Month 07'!L99&lt;&gt;"",N('Month 07'!I99)&gt;0),'Month 07'!I99,"")</f>
        <v/>
      </c>
      <c r="D1611">
        <f>IF(C1611="","",IF(N('Month 07'!J99)&gt;0,'Month 07'!J99,1))</f>
        <v/>
      </c>
      <c r="E1611">
        <f>IF(OR(C1611="",D1611=""),"",IF(D1611=1,C1611,ROUND(C1611*(1+D1611/30),1)))</f>
        <v/>
      </c>
    </row>
    <row r="1612">
      <c r="A1612">
        <f>'Month 07'!B74</f>
        <v/>
      </c>
      <c r="B1612" t="inlineStr">
        <is>
          <t>Paused Deadlift</t>
        </is>
      </c>
      <c r="C1612">
        <f>IF(AND('Month 07'!L100&lt;&gt;"",N('Month 07'!I100)&gt;0),'Month 07'!I100,"")</f>
        <v/>
      </c>
      <c r="D1612">
        <f>IF(C1612="","",IF(N('Month 07'!J100)&gt;0,'Month 07'!J100,1))</f>
        <v/>
      </c>
      <c r="E1612">
        <f>IF(OR(C1612="",D1612=""),"",IF(D1612=1,C1612,ROUND(C1612*(1+D1612/30),1)))</f>
        <v/>
      </c>
    </row>
    <row r="1613">
      <c r="A1613">
        <f>'Month 07'!B74</f>
        <v/>
      </c>
      <c r="B1613" t="inlineStr">
        <is>
          <t>Incline Dumbbell Press</t>
        </is>
      </c>
      <c r="C1613">
        <f>IF(AND('Month 07'!L102&lt;&gt;"",N('Month 07'!I102)&gt;0),'Month 07'!I102,"")</f>
        <v/>
      </c>
      <c r="D1613">
        <f>IF(C1613="","",IF(N('Month 07'!J102)&gt;0,'Month 07'!J102,1))</f>
        <v/>
      </c>
      <c r="E1613">
        <f>IF(OR(C1613="",D1613=""),"",IF(D1613=1,C1613,ROUND(C1613*(1+D1613/30),1)))</f>
        <v/>
      </c>
    </row>
    <row r="1614">
      <c r="A1614">
        <f>'Month 07'!B74</f>
        <v/>
      </c>
      <c r="B1614" t="inlineStr">
        <is>
          <t>Incline Dumbbell Press</t>
        </is>
      </c>
      <c r="C1614">
        <f>IF(AND('Month 07'!L103&lt;&gt;"",N('Month 07'!I103)&gt;0),'Month 07'!I103,"")</f>
        <v/>
      </c>
      <c r="D1614">
        <f>IF(C1614="","",IF(N('Month 07'!J103)&gt;0,'Month 07'!J103,1))</f>
        <v/>
      </c>
      <c r="E1614">
        <f>IF(OR(C1614="",D1614=""),"",IF(D1614=1,C1614,ROUND(C1614*(1+D1614/30),1)))</f>
        <v/>
      </c>
    </row>
    <row r="1615">
      <c r="A1615">
        <f>'Month 07'!B74</f>
        <v/>
      </c>
      <c r="B1615" t="inlineStr">
        <is>
          <t>Incline Dumbbell Press</t>
        </is>
      </c>
      <c r="C1615">
        <f>IF(AND('Month 07'!L104&lt;&gt;"",N('Month 07'!I104)&gt;0),'Month 07'!I104,"")</f>
        <v/>
      </c>
      <c r="D1615">
        <f>IF(C1615="","",IF(N('Month 07'!J104)&gt;0,'Month 07'!J104,1))</f>
        <v/>
      </c>
      <c r="E1615">
        <f>IF(OR(C1615="",D1615=""),"",IF(D1615=1,C1615,ROUND(C1615*(1+D1615/30),1)))</f>
        <v/>
      </c>
    </row>
    <row r="1616">
      <c r="A1616">
        <f>'Month 07'!B74</f>
        <v/>
      </c>
      <c r="B1616" t="inlineStr">
        <is>
          <t>Incline Dumbbell Press</t>
        </is>
      </c>
      <c r="C1616">
        <f>IF(AND('Month 07'!L105&lt;&gt;"",N('Month 07'!I105)&gt;0),'Month 07'!I105,"")</f>
        <v/>
      </c>
      <c r="D1616">
        <f>IF(C1616="","",IF(N('Month 07'!J105)&gt;0,'Month 07'!J105,1))</f>
        <v/>
      </c>
      <c r="E1616">
        <f>IF(OR(C1616="",D1616=""),"",IF(D1616=1,C1616,ROUND(C1616*(1+D1616/30),1)))</f>
        <v/>
      </c>
    </row>
    <row r="1617">
      <c r="A1617">
        <f>'Month 07'!B74</f>
        <v/>
      </c>
      <c r="B1617" t="inlineStr">
        <is>
          <t>Triceps Pushdown</t>
        </is>
      </c>
      <c r="C1617">
        <f>IF(AND('Month 07'!L107&lt;&gt;"",N('Month 07'!I107)&gt;0),'Month 07'!I107,"")</f>
        <v/>
      </c>
      <c r="D1617">
        <f>IF(C1617="","",IF(N('Month 07'!J107)&gt;0,'Month 07'!J107,1))</f>
        <v/>
      </c>
      <c r="E1617">
        <f>IF(OR(C1617="",D1617=""),"",IF(D1617=1,C1617,ROUND(C1617*(1+D1617/30),1)))</f>
        <v/>
      </c>
    </row>
    <row r="1618">
      <c r="A1618">
        <f>'Month 07'!B74</f>
        <v/>
      </c>
      <c r="B1618" t="inlineStr">
        <is>
          <t>Triceps Pushdown</t>
        </is>
      </c>
      <c r="C1618">
        <f>IF(AND('Month 07'!L108&lt;&gt;"",N('Month 07'!I108)&gt;0),'Month 07'!I108,"")</f>
        <v/>
      </c>
      <c r="D1618">
        <f>IF(C1618="","",IF(N('Month 07'!J108)&gt;0,'Month 07'!J108,1))</f>
        <v/>
      </c>
      <c r="E1618">
        <f>IF(OR(C1618="",D1618=""),"",IF(D1618=1,C1618,ROUND(C1618*(1+D1618/30),1)))</f>
        <v/>
      </c>
    </row>
    <row r="1619">
      <c r="A1619">
        <f>'Month 07'!B74</f>
        <v/>
      </c>
      <c r="B1619" t="inlineStr">
        <is>
          <t>Triceps Pushdown</t>
        </is>
      </c>
      <c r="C1619">
        <f>IF(AND('Month 07'!L109&lt;&gt;"",N('Month 07'!I109)&gt;0),'Month 07'!I109,"")</f>
        <v/>
      </c>
      <c r="D1619">
        <f>IF(C1619="","",IF(N('Month 07'!J109)&gt;0,'Month 07'!J109,1))</f>
        <v/>
      </c>
      <c r="E1619">
        <f>IF(OR(C1619="",D1619=""),"",IF(D1619=1,C1619,ROUND(C1619*(1+D1619/30),1)))</f>
        <v/>
      </c>
    </row>
    <row r="1620">
      <c r="A1620">
        <f>'Month 07'!B74</f>
        <v/>
      </c>
      <c r="B1620" t="inlineStr">
        <is>
          <t>Triceps Pushdown</t>
        </is>
      </c>
      <c r="C1620">
        <f>IF(AND('Month 07'!L110&lt;&gt;"",N('Month 07'!I110)&gt;0),'Month 07'!I110,"")</f>
        <v/>
      </c>
      <c r="D1620">
        <f>IF(C1620="","",IF(N('Month 07'!J110)&gt;0,'Month 07'!J110,1))</f>
        <v/>
      </c>
      <c r="E1620">
        <f>IF(OR(C1620="",D1620=""),"",IF(D1620=1,C1620,ROUND(C1620*(1+D1620/30),1)))</f>
        <v/>
      </c>
    </row>
    <row r="1621">
      <c r="A1621">
        <f>'Month 07'!B113</f>
        <v/>
      </c>
      <c r="B1621" t="inlineStr">
        <is>
          <t>Box Jump</t>
        </is>
      </c>
      <c r="C1621">
        <f>IF(AND('Month 07'!L115&lt;&gt;"",N('Month 07'!I115)&gt;0),'Month 07'!I115,"")</f>
        <v/>
      </c>
      <c r="D1621">
        <f>IF(C1621="","",IF(N('Month 07'!J115)&gt;0,'Month 07'!J115,1))</f>
        <v/>
      </c>
      <c r="E1621">
        <f>IF(OR(C1621="",D1621=""),"",IF(D1621=1,C1621,ROUND(C1621*(1+D1621/30),1)))</f>
        <v/>
      </c>
    </row>
    <row r="1622">
      <c r="A1622">
        <f>'Month 07'!B113</f>
        <v/>
      </c>
      <c r="B1622" t="inlineStr">
        <is>
          <t>Box Jump</t>
        </is>
      </c>
      <c r="C1622">
        <f>IF(AND('Month 07'!L116&lt;&gt;"",N('Month 07'!I116)&gt;0),'Month 07'!I116,"")</f>
        <v/>
      </c>
      <c r="D1622">
        <f>IF(C1622="","",IF(N('Month 07'!J116)&gt;0,'Month 07'!J116,1))</f>
        <v/>
      </c>
      <c r="E1622">
        <f>IF(OR(C1622="",D1622=""),"",IF(D1622=1,C1622,ROUND(C1622*(1+D1622/30),1)))</f>
        <v/>
      </c>
    </row>
    <row r="1623">
      <c r="A1623">
        <f>'Month 07'!B113</f>
        <v/>
      </c>
      <c r="B1623" t="inlineStr">
        <is>
          <t>Box Jump</t>
        </is>
      </c>
      <c r="C1623">
        <f>IF(AND('Month 07'!L117&lt;&gt;"",N('Month 07'!I117)&gt;0),'Month 07'!I117,"")</f>
        <v/>
      </c>
      <c r="D1623">
        <f>IF(C1623="","",IF(N('Month 07'!J117)&gt;0,'Month 07'!J117,1))</f>
        <v/>
      </c>
      <c r="E1623">
        <f>IF(OR(C1623="",D1623=""),"",IF(D1623=1,C1623,ROUND(C1623*(1+D1623/30),1)))</f>
        <v/>
      </c>
    </row>
    <row r="1624">
      <c r="A1624">
        <f>'Month 07'!B113</f>
        <v/>
      </c>
      <c r="B1624" t="inlineStr">
        <is>
          <t>Box Jump</t>
        </is>
      </c>
      <c r="C1624">
        <f>IF(AND('Month 07'!L118&lt;&gt;"",N('Month 07'!I118)&gt;0),'Month 07'!I118,"")</f>
        <v/>
      </c>
      <c r="D1624">
        <f>IF(C1624="","",IF(N('Month 07'!J118)&gt;0,'Month 07'!J118,1))</f>
        <v/>
      </c>
      <c r="E1624">
        <f>IF(OR(C1624="",D1624=""),"",IF(D1624=1,C1624,ROUND(C1624*(1+D1624/30),1)))</f>
        <v/>
      </c>
    </row>
    <row r="1625">
      <c r="A1625">
        <f>'Month 07'!B113</f>
        <v/>
      </c>
      <c r="B1625" t="inlineStr">
        <is>
          <t>Snatch</t>
        </is>
      </c>
      <c r="C1625">
        <f>IF(AND('Month 07'!L120&lt;&gt;"",N('Month 07'!I120)&gt;0),'Month 07'!I120,"")</f>
        <v/>
      </c>
      <c r="D1625">
        <f>IF(C1625="","",IF(N('Month 07'!J120)&gt;0,'Month 07'!J120,1))</f>
        <v/>
      </c>
      <c r="E1625">
        <f>IF(OR(C1625="",D1625=""),"",IF(D1625=1,C1625,ROUND(C1625*(1+D1625/30),1)))</f>
        <v/>
      </c>
    </row>
    <row r="1626">
      <c r="A1626">
        <f>'Month 07'!B113</f>
        <v/>
      </c>
      <c r="B1626" t="inlineStr">
        <is>
          <t>Snatch</t>
        </is>
      </c>
      <c r="C1626">
        <f>IF(AND('Month 07'!L121&lt;&gt;"",N('Month 07'!I121)&gt;0),'Month 07'!I121,"")</f>
        <v/>
      </c>
      <c r="D1626">
        <f>IF(C1626="","",IF(N('Month 07'!J121)&gt;0,'Month 07'!J121,1))</f>
        <v/>
      </c>
      <c r="E1626">
        <f>IF(OR(C1626="",D1626=""),"",IF(D1626=1,C1626,ROUND(C1626*(1+D1626/30),1)))</f>
        <v/>
      </c>
    </row>
    <row r="1627">
      <c r="A1627">
        <f>'Month 07'!B113</f>
        <v/>
      </c>
      <c r="B1627" t="inlineStr">
        <is>
          <t>Snatch</t>
        </is>
      </c>
      <c r="C1627">
        <f>IF(AND('Month 07'!L122&lt;&gt;"",N('Month 07'!I122)&gt;0),'Month 07'!I122,"")</f>
        <v/>
      </c>
      <c r="D1627">
        <f>IF(C1627="","",IF(N('Month 07'!J122)&gt;0,'Month 07'!J122,1))</f>
        <v/>
      </c>
      <c r="E1627">
        <f>IF(OR(C1627="",D1627=""),"",IF(D1627=1,C1627,ROUND(C1627*(1+D1627/30),1)))</f>
        <v/>
      </c>
    </row>
    <row r="1628">
      <c r="A1628">
        <f>'Month 07'!B113</f>
        <v/>
      </c>
      <c r="B1628" t="inlineStr">
        <is>
          <t>Snatch</t>
        </is>
      </c>
      <c r="C1628">
        <f>IF(AND('Month 07'!L123&lt;&gt;"",N('Month 07'!I123)&gt;0),'Month 07'!I123,"")</f>
        <v/>
      </c>
      <c r="D1628">
        <f>IF(C1628="","",IF(N('Month 07'!J123)&gt;0,'Month 07'!J123,1))</f>
        <v/>
      </c>
      <c r="E1628">
        <f>IF(OR(C1628="",D1628=""),"",IF(D1628=1,C1628,ROUND(C1628*(1+D1628/30),1)))</f>
        <v/>
      </c>
    </row>
    <row r="1629">
      <c r="A1629">
        <f>'Month 07'!B113</f>
        <v/>
      </c>
      <c r="B1629" t="inlineStr">
        <is>
          <t>Squat</t>
        </is>
      </c>
      <c r="C1629">
        <f>IF(AND('Month 07'!L125&lt;&gt;"",N('Month 07'!I125)&gt;0),'Month 07'!I125,"")</f>
        <v/>
      </c>
      <c r="D1629">
        <f>IF(C1629="","",IF(N('Month 07'!J125)&gt;0,'Month 07'!J125,1))</f>
        <v/>
      </c>
      <c r="E1629">
        <f>IF(OR(C1629="",D1629=""),"",IF(D1629=1,C1629,ROUND(C1629*(1+D1629/30),1)))</f>
        <v/>
      </c>
    </row>
    <row r="1630">
      <c r="A1630">
        <f>'Month 07'!B113</f>
        <v/>
      </c>
      <c r="B1630" t="inlineStr">
        <is>
          <t>Squat</t>
        </is>
      </c>
      <c r="C1630">
        <f>IF(AND('Month 07'!L126&lt;&gt;"",N('Month 07'!I126)&gt;0),'Month 07'!I126,"")</f>
        <v/>
      </c>
      <c r="D1630">
        <f>IF(C1630="","",IF(N('Month 07'!J126)&gt;0,'Month 07'!J126,1))</f>
        <v/>
      </c>
      <c r="E1630">
        <f>IF(OR(C1630="",D1630=""),"",IF(D1630=1,C1630,ROUND(C1630*(1+D1630/30),1)))</f>
        <v/>
      </c>
    </row>
    <row r="1631">
      <c r="A1631">
        <f>'Month 07'!B113</f>
        <v/>
      </c>
      <c r="B1631" t="inlineStr">
        <is>
          <t>Squat</t>
        </is>
      </c>
      <c r="C1631">
        <f>IF(AND('Month 07'!L127&lt;&gt;"",N('Month 07'!I127)&gt;0),'Month 07'!I127,"")</f>
        <v/>
      </c>
      <c r="D1631">
        <f>IF(C1631="","",IF(N('Month 07'!J127)&gt;0,'Month 07'!J127,1))</f>
        <v/>
      </c>
      <c r="E1631">
        <f>IF(OR(C1631="",D1631=""),"",IF(D1631=1,C1631,ROUND(C1631*(1+D1631/30),1)))</f>
        <v/>
      </c>
    </row>
    <row r="1632">
      <c r="A1632">
        <f>'Month 07'!B113</f>
        <v/>
      </c>
      <c r="B1632" t="inlineStr">
        <is>
          <t>Bench Press</t>
        </is>
      </c>
      <c r="C1632">
        <f>IF(AND('Month 07'!L129&lt;&gt;"",N('Month 07'!I129)&gt;0),'Month 07'!I129,"")</f>
        <v/>
      </c>
      <c r="D1632">
        <f>IF(C1632="","",IF(N('Month 07'!J129)&gt;0,'Month 07'!J129,1))</f>
        <v/>
      </c>
      <c r="E1632">
        <f>IF(OR(C1632="",D1632=""),"",IF(D1632=1,C1632,ROUND(C1632*(1+D1632/30),1)))</f>
        <v/>
      </c>
    </row>
    <row r="1633">
      <c r="A1633">
        <f>'Month 07'!B113</f>
        <v/>
      </c>
      <c r="B1633" t="inlineStr">
        <is>
          <t>Bench Press</t>
        </is>
      </c>
      <c r="C1633">
        <f>IF(AND('Month 07'!L130&lt;&gt;"",N('Month 07'!I130)&gt;0),'Month 07'!I130,"")</f>
        <v/>
      </c>
      <c r="D1633">
        <f>IF(C1633="","",IF(N('Month 07'!J130)&gt;0,'Month 07'!J130,1))</f>
        <v/>
      </c>
      <c r="E1633">
        <f>IF(OR(C1633="",D1633=""),"",IF(D1633=1,C1633,ROUND(C1633*(1+D1633/30),1)))</f>
        <v/>
      </c>
    </row>
    <row r="1634">
      <c r="A1634">
        <f>'Month 07'!B113</f>
        <v/>
      </c>
      <c r="B1634" t="inlineStr">
        <is>
          <t>Bench Press</t>
        </is>
      </c>
      <c r="C1634">
        <f>IF(AND('Month 07'!L131&lt;&gt;"",N('Month 07'!I131)&gt;0),'Month 07'!I131,"")</f>
        <v/>
      </c>
      <c r="D1634">
        <f>IF(C1634="","",IF(N('Month 07'!J131)&gt;0,'Month 07'!J131,1))</f>
        <v/>
      </c>
      <c r="E1634">
        <f>IF(OR(C1634="",D1634=""),"",IF(D1634=1,C1634,ROUND(C1634*(1+D1634/30),1)))</f>
        <v/>
      </c>
    </row>
    <row r="1635">
      <c r="A1635">
        <f>'Month 07'!B113</f>
        <v/>
      </c>
      <c r="B1635" t="inlineStr">
        <is>
          <t>Barbell Row</t>
        </is>
      </c>
      <c r="C1635">
        <f>IF(AND('Month 07'!L133&lt;&gt;"",N('Month 07'!I133)&gt;0),'Month 07'!I133,"")</f>
        <v/>
      </c>
      <c r="D1635">
        <f>IF(C1635="","",IF(N('Month 07'!J133)&gt;0,'Month 07'!J133,1))</f>
        <v/>
      </c>
      <c r="E1635">
        <f>IF(OR(C1635="",D1635=""),"",IF(D1635=1,C1635,ROUND(C1635*(1+D1635/30),1)))</f>
        <v/>
      </c>
    </row>
    <row r="1636">
      <c r="A1636">
        <f>'Month 07'!B113</f>
        <v/>
      </c>
      <c r="B1636" t="inlineStr">
        <is>
          <t>Barbell Row</t>
        </is>
      </c>
      <c r="C1636">
        <f>IF(AND('Month 07'!L134&lt;&gt;"",N('Month 07'!I134)&gt;0),'Month 07'!I134,"")</f>
        <v/>
      </c>
      <c r="D1636">
        <f>IF(C1636="","",IF(N('Month 07'!J134)&gt;0,'Month 07'!J134,1))</f>
        <v/>
      </c>
      <c r="E1636">
        <f>IF(OR(C1636="",D1636=""),"",IF(D1636=1,C1636,ROUND(C1636*(1+D1636/30),1)))</f>
        <v/>
      </c>
    </row>
    <row r="1637">
      <c r="A1637">
        <f>'Month 07'!B113</f>
        <v/>
      </c>
      <c r="B1637" t="inlineStr">
        <is>
          <t>Barbell Row</t>
        </is>
      </c>
      <c r="C1637">
        <f>IF(AND('Month 07'!L135&lt;&gt;"",N('Month 07'!I135)&gt;0),'Month 07'!I135,"")</f>
        <v/>
      </c>
      <c r="D1637">
        <f>IF(C1637="","",IF(N('Month 07'!J135)&gt;0,'Month 07'!J135,1))</f>
        <v/>
      </c>
      <c r="E1637">
        <f>IF(OR(C1637="",D1637=""),"",IF(D1637=1,C1637,ROUND(C1637*(1+D1637/30),1)))</f>
        <v/>
      </c>
    </row>
    <row r="1638">
      <c r="A1638">
        <f>'Month 07'!B113</f>
        <v/>
      </c>
      <c r="B1638" t="inlineStr">
        <is>
          <t>Barbell Row</t>
        </is>
      </c>
      <c r="C1638">
        <f>IF(AND('Month 07'!L136&lt;&gt;"",N('Month 07'!I136)&gt;0),'Month 07'!I136,"")</f>
        <v/>
      </c>
      <c r="D1638">
        <f>IF(C1638="","",IF(N('Month 07'!J136)&gt;0,'Month 07'!J136,1))</f>
        <v/>
      </c>
      <c r="E1638">
        <f>IF(OR(C1638="",D1638=""),"",IF(D1638=1,C1638,ROUND(C1638*(1+D1638/30),1)))</f>
        <v/>
      </c>
    </row>
    <row r="1639">
      <c r="A1639">
        <f>'Month 07'!B113</f>
        <v/>
      </c>
      <c r="B1639" t="inlineStr">
        <is>
          <t>Face Pull</t>
        </is>
      </c>
      <c r="C1639">
        <f>IF(AND('Month 07'!L138&lt;&gt;"",N('Month 07'!I138)&gt;0),'Month 07'!I138,"")</f>
        <v/>
      </c>
      <c r="D1639">
        <f>IF(C1639="","",IF(N('Month 07'!J138)&gt;0,'Month 07'!J138,1))</f>
        <v/>
      </c>
      <c r="E1639">
        <f>IF(OR(C1639="",D1639=""),"",IF(D1639=1,C1639,ROUND(C1639*(1+D1639/30),1)))</f>
        <v/>
      </c>
    </row>
    <row r="1640">
      <c r="A1640">
        <f>'Month 07'!B113</f>
        <v/>
      </c>
      <c r="B1640" t="inlineStr">
        <is>
          <t>Face Pull</t>
        </is>
      </c>
      <c r="C1640">
        <f>IF(AND('Month 07'!L139&lt;&gt;"",N('Month 07'!I139)&gt;0),'Month 07'!I139,"")</f>
        <v/>
      </c>
      <c r="D1640">
        <f>IF(C1640="","",IF(N('Month 07'!J139)&gt;0,'Month 07'!J139,1))</f>
        <v/>
      </c>
      <c r="E1640">
        <f>IF(OR(C1640="",D1640=""),"",IF(D1640=1,C1640,ROUND(C1640*(1+D1640/30),1)))</f>
        <v/>
      </c>
    </row>
    <row r="1641">
      <c r="A1641">
        <f>'Month 07'!B113</f>
        <v/>
      </c>
      <c r="B1641" t="inlineStr">
        <is>
          <t>Face Pull</t>
        </is>
      </c>
      <c r="C1641">
        <f>IF(AND('Month 07'!L140&lt;&gt;"",N('Month 07'!I140)&gt;0),'Month 07'!I140,"")</f>
        <v/>
      </c>
      <c r="D1641">
        <f>IF(C1641="","",IF(N('Month 07'!J140)&gt;0,'Month 07'!J140,1))</f>
        <v/>
      </c>
      <c r="E1641">
        <f>IF(OR(C1641="",D1641=""),"",IF(D1641=1,C1641,ROUND(C1641*(1+D1641/30),1)))</f>
        <v/>
      </c>
    </row>
    <row r="1642">
      <c r="A1642">
        <f>'Month 07'!B113</f>
        <v/>
      </c>
      <c r="B1642" t="inlineStr">
        <is>
          <t>Face Pull</t>
        </is>
      </c>
      <c r="C1642">
        <f>IF(AND('Month 07'!L141&lt;&gt;"",N('Month 07'!I141)&gt;0),'Month 07'!I141,"")</f>
        <v/>
      </c>
      <c r="D1642">
        <f>IF(C1642="","",IF(N('Month 07'!J141)&gt;0,'Month 07'!J141,1))</f>
        <v/>
      </c>
      <c r="E1642">
        <f>IF(OR(C1642="",D1642=""),"",IF(D1642=1,C1642,ROUND(C1642*(1+D1642/30),1)))</f>
        <v/>
      </c>
    </row>
    <row r="1643">
      <c r="A1643">
        <f>'Month 07'!B142</f>
        <v/>
      </c>
      <c r="B1643" t="inlineStr">
        <is>
          <t>Broad Jump</t>
        </is>
      </c>
      <c r="C1643">
        <f>IF(AND('Month 07'!L144&lt;&gt;"",N('Month 07'!I144)&gt;0),'Month 07'!I144,"")</f>
        <v/>
      </c>
      <c r="D1643">
        <f>IF(C1643="","",IF(N('Month 07'!J144)&gt;0,'Month 07'!J144,1))</f>
        <v/>
      </c>
      <c r="E1643">
        <f>IF(OR(C1643="",D1643=""),"",IF(D1643=1,C1643,ROUND(C1643*(1+D1643/30),1)))</f>
        <v/>
      </c>
    </row>
    <row r="1644">
      <c r="A1644">
        <f>'Month 07'!B142</f>
        <v/>
      </c>
      <c r="B1644" t="inlineStr">
        <is>
          <t>Broad Jump</t>
        </is>
      </c>
      <c r="C1644">
        <f>IF(AND('Month 07'!L145&lt;&gt;"",N('Month 07'!I145)&gt;0),'Month 07'!I145,"")</f>
        <v/>
      </c>
      <c r="D1644">
        <f>IF(C1644="","",IF(N('Month 07'!J145)&gt;0,'Month 07'!J145,1))</f>
        <v/>
      </c>
      <c r="E1644">
        <f>IF(OR(C1644="",D1644=""),"",IF(D1644=1,C1644,ROUND(C1644*(1+D1644/30),1)))</f>
        <v/>
      </c>
    </row>
    <row r="1645">
      <c r="A1645">
        <f>'Month 07'!B142</f>
        <v/>
      </c>
      <c r="B1645" t="inlineStr">
        <is>
          <t>Broad Jump</t>
        </is>
      </c>
      <c r="C1645">
        <f>IF(AND('Month 07'!L146&lt;&gt;"",N('Month 07'!I146)&gt;0),'Month 07'!I146,"")</f>
        <v/>
      </c>
      <c r="D1645">
        <f>IF(C1645="","",IF(N('Month 07'!J146)&gt;0,'Month 07'!J146,1))</f>
        <v/>
      </c>
      <c r="E1645">
        <f>IF(OR(C1645="",D1645=""),"",IF(D1645=1,C1645,ROUND(C1645*(1+D1645/30),1)))</f>
        <v/>
      </c>
    </row>
    <row r="1646">
      <c r="A1646">
        <f>'Month 07'!B142</f>
        <v/>
      </c>
      <c r="B1646" t="inlineStr">
        <is>
          <t>Broad Jump</t>
        </is>
      </c>
      <c r="C1646">
        <f>IF(AND('Month 07'!L147&lt;&gt;"",N('Month 07'!I147)&gt;0),'Month 07'!I147,"")</f>
        <v/>
      </c>
      <c r="D1646">
        <f>IF(C1646="","",IF(N('Month 07'!J147)&gt;0,'Month 07'!J147,1))</f>
        <v/>
      </c>
      <c r="E1646">
        <f>IF(OR(C1646="",D1646=""),"",IF(D1646=1,C1646,ROUND(C1646*(1+D1646/30),1)))</f>
        <v/>
      </c>
    </row>
    <row r="1647">
      <c r="A1647">
        <f>'Month 07'!B142</f>
        <v/>
      </c>
      <c r="B1647" t="inlineStr">
        <is>
          <t>Med Ball Chest Pass</t>
        </is>
      </c>
      <c r="C1647">
        <f>IF(AND('Month 07'!L149&lt;&gt;"",N('Month 07'!I149)&gt;0),'Month 07'!I149,"")</f>
        <v/>
      </c>
      <c r="D1647">
        <f>IF(C1647="","",IF(N('Month 07'!J149)&gt;0,'Month 07'!J149,1))</f>
        <v/>
      </c>
      <c r="E1647">
        <f>IF(OR(C1647="",D1647=""),"",IF(D1647=1,C1647,ROUND(C1647*(1+D1647/30),1)))</f>
        <v/>
      </c>
    </row>
    <row r="1648">
      <c r="A1648">
        <f>'Month 07'!B142</f>
        <v/>
      </c>
      <c r="B1648" t="inlineStr">
        <is>
          <t>Med Ball Chest Pass</t>
        </is>
      </c>
      <c r="C1648">
        <f>IF(AND('Month 07'!L150&lt;&gt;"",N('Month 07'!I150)&gt;0),'Month 07'!I150,"")</f>
        <v/>
      </c>
      <c r="D1648">
        <f>IF(C1648="","",IF(N('Month 07'!J150)&gt;0,'Month 07'!J150,1))</f>
        <v/>
      </c>
      <c r="E1648">
        <f>IF(OR(C1648="",D1648=""),"",IF(D1648=1,C1648,ROUND(C1648*(1+D1648/30),1)))</f>
        <v/>
      </c>
    </row>
    <row r="1649">
      <c r="A1649">
        <f>'Month 07'!B142</f>
        <v/>
      </c>
      <c r="B1649" t="inlineStr">
        <is>
          <t>Med Ball Chest Pass</t>
        </is>
      </c>
      <c r="C1649">
        <f>IF(AND('Month 07'!L151&lt;&gt;"",N('Month 07'!I151)&gt;0),'Month 07'!I151,"")</f>
        <v/>
      </c>
      <c r="D1649">
        <f>IF(C1649="","",IF(N('Month 07'!J151)&gt;0,'Month 07'!J151,1))</f>
        <v/>
      </c>
      <c r="E1649">
        <f>IF(OR(C1649="",D1649=""),"",IF(D1649=1,C1649,ROUND(C1649*(1+D1649/30),1)))</f>
        <v/>
      </c>
    </row>
    <row r="1650">
      <c r="A1650">
        <f>'Month 07'!B142</f>
        <v/>
      </c>
      <c r="B1650" t="inlineStr">
        <is>
          <t>Clean &amp; Jerk</t>
        </is>
      </c>
      <c r="C1650">
        <f>IF(AND('Month 07'!L153&lt;&gt;"",N('Month 07'!I153)&gt;0),'Month 07'!I153,"")</f>
        <v/>
      </c>
      <c r="D1650">
        <f>IF(C1650="","",IF(N('Month 07'!J153)&gt;0,'Month 07'!J153,1))</f>
        <v/>
      </c>
      <c r="E1650">
        <f>IF(OR(C1650="",D1650=""),"",IF(D1650=1,C1650,ROUND(C1650*(1+D1650/30),1)))</f>
        <v/>
      </c>
    </row>
    <row r="1651">
      <c r="A1651">
        <f>'Month 07'!B142</f>
        <v/>
      </c>
      <c r="B1651" t="inlineStr">
        <is>
          <t>Clean &amp; Jerk</t>
        </is>
      </c>
      <c r="C1651">
        <f>IF(AND('Month 07'!L154&lt;&gt;"",N('Month 07'!I154)&gt;0),'Month 07'!I154,"")</f>
        <v/>
      </c>
      <c r="D1651">
        <f>IF(C1651="","",IF(N('Month 07'!J154)&gt;0,'Month 07'!J154,1))</f>
        <v/>
      </c>
      <c r="E1651">
        <f>IF(OR(C1651="",D1651=""),"",IF(D1651=1,C1651,ROUND(C1651*(1+D1651/30),1)))</f>
        <v/>
      </c>
    </row>
    <row r="1652">
      <c r="A1652">
        <f>'Month 07'!B142</f>
        <v/>
      </c>
      <c r="B1652" t="inlineStr">
        <is>
          <t>Clean &amp; Jerk</t>
        </is>
      </c>
      <c r="C1652">
        <f>IF(AND('Month 07'!L155&lt;&gt;"",N('Month 07'!I155)&gt;0),'Month 07'!I155,"")</f>
        <v/>
      </c>
      <c r="D1652">
        <f>IF(C1652="","",IF(N('Month 07'!J155)&gt;0,'Month 07'!J155,1))</f>
        <v/>
      </c>
      <c r="E1652">
        <f>IF(OR(C1652="",D1652=""),"",IF(D1652=1,C1652,ROUND(C1652*(1+D1652/30),1)))</f>
        <v/>
      </c>
    </row>
    <row r="1653">
      <c r="A1653">
        <f>'Month 07'!B142</f>
        <v/>
      </c>
      <c r="B1653" t="inlineStr">
        <is>
          <t>Clean &amp; Jerk</t>
        </is>
      </c>
      <c r="C1653">
        <f>IF(AND('Month 07'!L156&lt;&gt;"",N('Month 07'!I156)&gt;0),'Month 07'!I156,"")</f>
        <v/>
      </c>
      <c r="D1653">
        <f>IF(C1653="","",IF(N('Month 07'!J156)&gt;0,'Month 07'!J156,1))</f>
        <v/>
      </c>
      <c r="E1653">
        <f>IF(OR(C1653="",D1653=""),"",IF(D1653=1,C1653,ROUND(C1653*(1+D1653/30),1)))</f>
        <v/>
      </c>
    </row>
    <row r="1654">
      <c r="A1654">
        <f>'Month 07'!B142</f>
        <v/>
      </c>
      <c r="B1654" t="inlineStr">
        <is>
          <t>Squat</t>
        </is>
      </c>
      <c r="C1654">
        <f>IF(AND('Month 07'!L158&lt;&gt;"",N('Month 07'!I158)&gt;0),'Month 07'!I158,"")</f>
        <v/>
      </c>
      <c r="D1654">
        <f>IF(C1654="","",IF(N('Month 07'!J158)&gt;0,'Month 07'!J158,1))</f>
        <v/>
      </c>
      <c r="E1654">
        <f>IF(OR(C1654="",D1654=""),"",IF(D1654=1,C1654,ROUND(C1654*(1+D1654/30),1)))</f>
        <v/>
      </c>
    </row>
    <row r="1655">
      <c r="A1655">
        <f>'Month 07'!B142</f>
        <v/>
      </c>
      <c r="B1655" t="inlineStr">
        <is>
          <t>Squat</t>
        </is>
      </c>
      <c r="C1655">
        <f>IF(AND('Month 07'!L159&lt;&gt;"",N('Month 07'!I159)&gt;0),'Month 07'!I159,"")</f>
        <v/>
      </c>
      <c r="D1655">
        <f>IF(C1655="","",IF(N('Month 07'!J159)&gt;0,'Month 07'!J159,1))</f>
        <v/>
      </c>
      <c r="E1655">
        <f>IF(OR(C1655="",D1655=""),"",IF(D1655=1,C1655,ROUND(C1655*(1+D1655/30),1)))</f>
        <v/>
      </c>
    </row>
    <row r="1656">
      <c r="A1656">
        <f>'Month 07'!B142</f>
        <v/>
      </c>
      <c r="B1656" t="inlineStr">
        <is>
          <t>Squat</t>
        </is>
      </c>
      <c r="C1656">
        <f>IF(AND('Month 07'!L160&lt;&gt;"",N('Month 07'!I160)&gt;0),'Month 07'!I160,"")</f>
        <v/>
      </c>
      <c r="D1656">
        <f>IF(C1656="","",IF(N('Month 07'!J160)&gt;0,'Month 07'!J160,1))</f>
        <v/>
      </c>
      <c r="E1656">
        <f>IF(OR(C1656="",D1656=""),"",IF(D1656=1,C1656,ROUND(C1656*(1+D1656/30),1)))</f>
        <v/>
      </c>
    </row>
    <row r="1657">
      <c r="A1657">
        <f>'Month 07'!B142</f>
        <v/>
      </c>
      <c r="B1657" t="inlineStr">
        <is>
          <t>Overhead Press</t>
        </is>
      </c>
      <c r="C1657">
        <f>IF(AND('Month 07'!L162&lt;&gt;"",N('Month 07'!I162)&gt;0),'Month 07'!I162,"")</f>
        <v/>
      </c>
      <c r="D1657">
        <f>IF(C1657="","",IF(N('Month 07'!J162)&gt;0,'Month 07'!J162,1))</f>
        <v/>
      </c>
      <c r="E1657">
        <f>IF(OR(C1657="",D1657=""),"",IF(D1657=1,C1657,ROUND(C1657*(1+D1657/30),1)))</f>
        <v/>
      </c>
    </row>
    <row r="1658">
      <c r="A1658">
        <f>'Month 07'!B142</f>
        <v/>
      </c>
      <c r="B1658" t="inlineStr">
        <is>
          <t>Overhead Press</t>
        </is>
      </c>
      <c r="C1658">
        <f>IF(AND('Month 07'!L163&lt;&gt;"",N('Month 07'!I163)&gt;0),'Month 07'!I163,"")</f>
        <v/>
      </c>
      <c r="D1658">
        <f>IF(C1658="","",IF(N('Month 07'!J163)&gt;0,'Month 07'!J163,1))</f>
        <v/>
      </c>
      <c r="E1658">
        <f>IF(OR(C1658="",D1658=""),"",IF(D1658=1,C1658,ROUND(C1658*(1+D1658/30),1)))</f>
        <v/>
      </c>
    </row>
    <row r="1659">
      <c r="A1659">
        <f>'Month 07'!B142</f>
        <v/>
      </c>
      <c r="B1659" t="inlineStr">
        <is>
          <t>Overhead Press</t>
        </is>
      </c>
      <c r="C1659">
        <f>IF(AND('Month 07'!L164&lt;&gt;"",N('Month 07'!I164)&gt;0),'Month 07'!I164,"")</f>
        <v/>
      </c>
      <c r="D1659">
        <f>IF(C1659="","",IF(N('Month 07'!J164)&gt;0,'Month 07'!J164,1))</f>
        <v/>
      </c>
      <c r="E1659">
        <f>IF(OR(C1659="",D1659=""),"",IF(D1659=1,C1659,ROUND(C1659*(1+D1659/30),1)))</f>
        <v/>
      </c>
    </row>
    <row r="1660">
      <c r="A1660">
        <f>'Month 07'!B142</f>
        <v/>
      </c>
      <c r="B1660" t="inlineStr">
        <is>
          <t>Overhead Press</t>
        </is>
      </c>
      <c r="C1660">
        <f>IF(AND('Month 07'!L165&lt;&gt;"",N('Month 07'!I165)&gt;0),'Month 07'!I165,"")</f>
        <v/>
      </c>
      <c r="D1660">
        <f>IF(C1660="","",IF(N('Month 07'!J165)&gt;0,'Month 07'!J165,1))</f>
        <v/>
      </c>
      <c r="E1660">
        <f>IF(OR(C1660="",D1660=""),"",IF(D1660=1,C1660,ROUND(C1660*(1+D1660/30),1)))</f>
        <v/>
      </c>
    </row>
    <row r="1661">
      <c r="A1661">
        <f>'Month 07'!B142</f>
        <v/>
      </c>
      <c r="B1661" t="inlineStr">
        <is>
          <t>Deadlift</t>
        </is>
      </c>
      <c r="C1661">
        <f>IF(AND('Month 07'!L167&lt;&gt;"",N('Month 07'!I167)&gt;0),'Month 07'!I167,"")</f>
        <v/>
      </c>
      <c r="D1661">
        <f>IF(C1661="","",IF(N('Month 07'!J167)&gt;0,'Month 07'!J167,1))</f>
        <v/>
      </c>
      <c r="E1661">
        <f>IF(OR(C1661="",D1661=""),"",IF(D1661=1,C1661,ROUND(C1661*(1+D1661/30),1)))</f>
        <v/>
      </c>
    </row>
    <row r="1662">
      <c r="A1662">
        <f>'Month 07'!B142</f>
        <v/>
      </c>
      <c r="B1662" t="inlineStr">
        <is>
          <t>Deadlift</t>
        </is>
      </c>
      <c r="C1662">
        <f>IF(AND('Month 07'!L168&lt;&gt;"",N('Month 07'!I168)&gt;0),'Month 07'!I168,"")</f>
        <v/>
      </c>
      <c r="D1662">
        <f>IF(C1662="","",IF(N('Month 07'!J168)&gt;0,'Month 07'!J168,1))</f>
        <v/>
      </c>
      <c r="E1662">
        <f>IF(OR(C1662="",D1662=""),"",IF(D1662=1,C1662,ROUND(C1662*(1+D1662/30),1)))</f>
        <v/>
      </c>
    </row>
    <row r="1663">
      <c r="A1663">
        <f>'Month 07'!B142</f>
        <v/>
      </c>
      <c r="B1663" t="inlineStr">
        <is>
          <t>Deadlift</t>
        </is>
      </c>
      <c r="C1663">
        <f>IF(AND('Month 07'!L169&lt;&gt;"",N('Month 07'!I169)&gt;0),'Month 07'!I169,"")</f>
        <v/>
      </c>
      <c r="D1663">
        <f>IF(C1663="","",IF(N('Month 07'!J169)&gt;0,'Month 07'!J169,1))</f>
        <v/>
      </c>
      <c r="E1663">
        <f>IF(OR(C1663="",D1663=""),"",IF(D1663=1,C1663,ROUND(C1663*(1+D1663/30),1)))</f>
        <v/>
      </c>
    </row>
    <row r="1664">
      <c r="A1664">
        <f>'Month 07'!B142</f>
        <v/>
      </c>
      <c r="B1664" t="inlineStr">
        <is>
          <t>Chin-up</t>
        </is>
      </c>
      <c r="C1664">
        <f>IF(AND('Month 07'!L171&lt;&gt;"",N('Month 07'!I171)&gt;0),'Month 07'!I171,"")</f>
        <v/>
      </c>
      <c r="D1664">
        <f>IF(C1664="","",IF(N('Month 07'!J171)&gt;0,'Month 07'!J171,1))</f>
        <v/>
      </c>
      <c r="E1664">
        <f>IF(OR(C1664="",D1664=""),"",IF(D1664=1,C1664,ROUND(C1664*(1+D1664/30),1)))</f>
        <v/>
      </c>
    </row>
    <row r="1665">
      <c r="A1665">
        <f>'Month 07'!B142</f>
        <v/>
      </c>
      <c r="B1665" t="inlineStr">
        <is>
          <t>Chin-up</t>
        </is>
      </c>
      <c r="C1665">
        <f>IF(AND('Month 07'!L172&lt;&gt;"",N('Month 07'!I172)&gt;0),'Month 07'!I172,"")</f>
        <v/>
      </c>
      <c r="D1665">
        <f>IF(C1665="","",IF(N('Month 07'!J172)&gt;0,'Month 07'!J172,1))</f>
        <v/>
      </c>
      <c r="E1665">
        <f>IF(OR(C1665="",D1665=""),"",IF(D1665=1,C1665,ROUND(C1665*(1+D1665/30),1)))</f>
        <v/>
      </c>
    </row>
    <row r="1666">
      <c r="A1666">
        <f>'Month 07'!B142</f>
        <v/>
      </c>
      <c r="B1666" t="inlineStr">
        <is>
          <t>Chin-up</t>
        </is>
      </c>
      <c r="C1666">
        <f>IF(AND('Month 07'!L173&lt;&gt;"",N('Month 07'!I173)&gt;0),'Month 07'!I173,"")</f>
        <v/>
      </c>
      <c r="D1666">
        <f>IF(C1666="","",IF(N('Month 07'!J173)&gt;0,'Month 07'!J173,1))</f>
        <v/>
      </c>
      <c r="E1666">
        <f>IF(OR(C1666="",D1666=""),"",IF(D1666=1,C1666,ROUND(C1666*(1+D1666/30),1)))</f>
        <v/>
      </c>
    </row>
    <row r="1667">
      <c r="A1667">
        <f>'Month 07'!B142</f>
        <v/>
      </c>
      <c r="B1667" t="inlineStr">
        <is>
          <t>Chin-up</t>
        </is>
      </c>
      <c r="C1667">
        <f>IF(AND('Month 07'!L174&lt;&gt;"",N('Month 07'!I174)&gt;0),'Month 07'!I174,"")</f>
        <v/>
      </c>
      <c r="D1667">
        <f>IF(C1667="","",IF(N('Month 07'!J174)&gt;0,'Month 07'!J174,1))</f>
        <v/>
      </c>
      <c r="E1667">
        <f>IF(OR(C1667="",D1667=""),"",IF(D1667=1,C1667,ROUND(C1667*(1+D1667/30),1)))</f>
        <v/>
      </c>
    </row>
    <row r="1668">
      <c r="A1668">
        <f>'Month 07'!B142</f>
        <v/>
      </c>
      <c r="B1668" t="inlineStr">
        <is>
          <t>Plank</t>
        </is>
      </c>
      <c r="C1668">
        <f>IF(AND('Month 07'!L176&lt;&gt;"",N('Month 07'!I176)&gt;0),'Month 07'!I176,"")</f>
        <v/>
      </c>
      <c r="D1668">
        <f>IF(C1668="","",IF(N('Month 07'!J176)&gt;0,'Month 07'!J176,1))</f>
        <v/>
      </c>
      <c r="E1668">
        <f>IF(OR(C1668="",D1668=""),"",IF(D1668=1,C1668,ROUND(C1668*(1+D1668/30),1)))</f>
        <v/>
      </c>
    </row>
    <row r="1669">
      <c r="A1669">
        <f>'Month 07'!B142</f>
        <v/>
      </c>
      <c r="B1669" t="inlineStr">
        <is>
          <t>Plank</t>
        </is>
      </c>
      <c r="C1669">
        <f>IF(AND('Month 07'!L177&lt;&gt;"",N('Month 07'!I177)&gt;0),'Month 07'!I177,"")</f>
        <v/>
      </c>
      <c r="D1669">
        <f>IF(C1669="","",IF(N('Month 07'!J177)&gt;0,'Month 07'!J177,1))</f>
        <v/>
      </c>
      <c r="E1669">
        <f>IF(OR(C1669="",D1669=""),"",IF(D1669=1,C1669,ROUND(C1669*(1+D1669/30),1)))</f>
        <v/>
      </c>
    </row>
    <row r="1670">
      <c r="A1670">
        <f>'Month 07'!B142</f>
        <v/>
      </c>
      <c r="B1670" t="inlineStr">
        <is>
          <t>Plank</t>
        </is>
      </c>
      <c r="C1670">
        <f>IF(AND('Month 07'!L178&lt;&gt;"",N('Month 07'!I178)&gt;0),'Month 07'!I178,"")</f>
        <v/>
      </c>
      <c r="D1670">
        <f>IF(C1670="","",IF(N('Month 07'!J178)&gt;0,'Month 07'!J178,1))</f>
        <v/>
      </c>
      <c r="E1670">
        <f>IF(OR(C1670="",D1670=""),"",IF(D1670=1,C1670,ROUND(C1670*(1+D1670/30),1)))</f>
        <v/>
      </c>
    </row>
    <row r="1671">
      <c r="A1671">
        <f>'Month 07'!B142</f>
        <v/>
      </c>
      <c r="B1671" t="inlineStr">
        <is>
          <t>Plank</t>
        </is>
      </c>
      <c r="C1671">
        <f>IF(AND('Month 07'!L179&lt;&gt;"",N('Month 07'!I179)&gt;0),'Month 07'!I179,"")</f>
        <v/>
      </c>
      <c r="D1671">
        <f>IF(C1671="","",IF(N('Month 07'!J179)&gt;0,'Month 07'!J179,1))</f>
        <v/>
      </c>
      <c r="E1671">
        <f>IF(OR(C1671="",D1671=""),"",IF(D1671=1,C1671,ROUND(C1671*(1+D1671/30),1)))</f>
        <v/>
      </c>
    </row>
    <row r="1672">
      <c r="A1672">
        <f>'Month 07'!B180</f>
        <v/>
      </c>
      <c r="B1672" t="inlineStr">
        <is>
          <t>Depth Jump</t>
        </is>
      </c>
      <c r="C1672">
        <f>IF(AND('Month 07'!L182&lt;&gt;"",N('Month 07'!I182)&gt;0),'Month 07'!I182,"")</f>
        <v/>
      </c>
      <c r="D1672">
        <f>IF(C1672="","",IF(N('Month 07'!J182)&gt;0,'Month 07'!J182,1))</f>
        <v/>
      </c>
      <c r="E1672">
        <f>IF(OR(C1672="",D1672=""),"",IF(D1672=1,C1672,ROUND(C1672*(1+D1672/30),1)))</f>
        <v/>
      </c>
    </row>
    <row r="1673">
      <c r="A1673">
        <f>'Month 07'!B180</f>
        <v/>
      </c>
      <c r="B1673" t="inlineStr">
        <is>
          <t>Depth Jump</t>
        </is>
      </c>
      <c r="C1673">
        <f>IF(AND('Month 07'!L183&lt;&gt;"",N('Month 07'!I183)&gt;0),'Month 07'!I183,"")</f>
        <v/>
      </c>
      <c r="D1673">
        <f>IF(C1673="","",IF(N('Month 07'!J183)&gt;0,'Month 07'!J183,1))</f>
        <v/>
      </c>
      <c r="E1673">
        <f>IF(OR(C1673="",D1673=""),"",IF(D1673=1,C1673,ROUND(C1673*(1+D1673/30),1)))</f>
        <v/>
      </c>
    </row>
    <row r="1674">
      <c r="A1674">
        <f>'Month 07'!B180</f>
        <v/>
      </c>
      <c r="B1674" t="inlineStr">
        <is>
          <t>Depth Jump</t>
        </is>
      </c>
      <c r="C1674">
        <f>IF(AND('Month 07'!L184&lt;&gt;"",N('Month 07'!I184)&gt;0),'Month 07'!I184,"")</f>
        <v/>
      </c>
      <c r="D1674">
        <f>IF(C1674="","",IF(N('Month 07'!J184)&gt;0,'Month 07'!J184,1))</f>
        <v/>
      </c>
      <c r="E1674">
        <f>IF(OR(C1674="",D1674=""),"",IF(D1674=1,C1674,ROUND(C1674*(1+D1674/30),1)))</f>
        <v/>
      </c>
    </row>
    <row r="1675">
      <c r="A1675">
        <f>'Month 07'!B180</f>
        <v/>
      </c>
      <c r="B1675" t="inlineStr">
        <is>
          <t>Depth Jump</t>
        </is>
      </c>
      <c r="C1675">
        <f>IF(AND('Month 07'!L185&lt;&gt;"",N('Month 07'!I185)&gt;0),'Month 07'!I185,"")</f>
        <v/>
      </c>
      <c r="D1675">
        <f>IF(C1675="","",IF(N('Month 07'!J185)&gt;0,'Month 07'!J185,1))</f>
        <v/>
      </c>
      <c r="E1675">
        <f>IF(OR(C1675="",D1675=""),"",IF(D1675=1,C1675,ROUND(C1675*(1+D1675/30),1)))</f>
        <v/>
      </c>
    </row>
    <row r="1676">
      <c r="A1676">
        <f>'Month 07'!B180</f>
        <v/>
      </c>
      <c r="B1676" t="inlineStr">
        <is>
          <t>Block Snatch</t>
        </is>
      </c>
      <c r="C1676">
        <f>IF(AND('Month 07'!L187&lt;&gt;"",N('Month 07'!I187)&gt;0),'Month 07'!I187,"")</f>
        <v/>
      </c>
      <c r="D1676">
        <f>IF(C1676="","",IF(N('Month 07'!J187)&gt;0,'Month 07'!J187,1))</f>
        <v/>
      </c>
      <c r="E1676">
        <f>IF(OR(C1676="",D1676=""),"",IF(D1676=1,C1676,ROUND(C1676*(1+D1676/30),1)))</f>
        <v/>
      </c>
    </row>
    <row r="1677">
      <c r="A1677">
        <f>'Month 07'!B180</f>
        <v/>
      </c>
      <c r="B1677" t="inlineStr">
        <is>
          <t>Block Snatch</t>
        </is>
      </c>
      <c r="C1677">
        <f>IF(AND('Month 07'!L188&lt;&gt;"",N('Month 07'!I188)&gt;0),'Month 07'!I188,"")</f>
        <v/>
      </c>
      <c r="D1677">
        <f>IF(C1677="","",IF(N('Month 07'!J188)&gt;0,'Month 07'!J188,1))</f>
        <v/>
      </c>
      <c r="E1677">
        <f>IF(OR(C1677="",D1677=""),"",IF(D1677=1,C1677,ROUND(C1677*(1+D1677/30),1)))</f>
        <v/>
      </c>
    </row>
    <row r="1678">
      <c r="A1678">
        <f>'Month 07'!B180</f>
        <v/>
      </c>
      <c r="B1678" t="inlineStr">
        <is>
          <t>Block Snatch</t>
        </is>
      </c>
      <c r="C1678">
        <f>IF(AND('Month 07'!L189&lt;&gt;"",N('Month 07'!I189)&gt;0),'Month 07'!I189,"")</f>
        <v/>
      </c>
      <c r="D1678">
        <f>IF(C1678="","",IF(N('Month 07'!J189)&gt;0,'Month 07'!J189,1))</f>
        <v/>
      </c>
      <c r="E1678">
        <f>IF(OR(C1678="",D1678=""),"",IF(D1678=1,C1678,ROUND(C1678*(1+D1678/30),1)))</f>
        <v/>
      </c>
    </row>
    <row r="1679">
      <c r="A1679">
        <f>'Month 07'!B180</f>
        <v/>
      </c>
      <c r="B1679" t="inlineStr">
        <is>
          <t>Block Snatch</t>
        </is>
      </c>
      <c r="C1679">
        <f>IF(AND('Month 07'!L190&lt;&gt;"",N('Month 07'!I190)&gt;0),'Month 07'!I190,"")</f>
        <v/>
      </c>
      <c r="D1679">
        <f>IF(C1679="","",IF(N('Month 07'!J190)&gt;0,'Month 07'!J190,1))</f>
        <v/>
      </c>
      <c r="E1679">
        <f>IF(OR(C1679="",D1679=""),"",IF(D1679=1,C1679,ROUND(C1679*(1+D1679/30),1)))</f>
        <v/>
      </c>
    </row>
    <row r="1680">
      <c r="A1680">
        <f>'Month 07'!B180</f>
        <v/>
      </c>
      <c r="B1680" t="inlineStr">
        <is>
          <t>Block Snatch</t>
        </is>
      </c>
      <c r="C1680">
        <f>IF(AND('Month 07'!L191&lt;&gt;"",N('Month 07'!I191)&gt;0),'Month 07'!I191,"")</f>
        <v/>
      </c>
      <c r="D1680">
        <f>IF(C1680="","",IF(N('Month 07'!J191)&gt;0,'Month 07'!J191,1))</f>
        <v/>
      </c>
      <c r="E1680">
        <f>IF(OR(C1680="",D1680=""),"",IF(D1680=1,C1680,ROUND(C1680*(1+D1680/30),1)))</f>
        <v/>
      </c>
    </row>
    <row r="1681">
      <c r="A1681">
        <f>'Month 07'!B180</f>
        <v/>
      </c>
      <c r="B1681" t="inlineStr">
        <is>
          <t>Block Snatch</t>
        </is>
      </c>
      <c r="C1681">
        <f>IF(AND('Month 07'!L192&lt;&gt;"",N('Month 07'!I192)&gt;0),'Month 07'!I192,"")</f>
        <v/>
      </c>
      <c r="D1681">
        <f>IF(C1681="","",IF(N('Month 07'!J192)&gt;0,'Month 07'!J192,1))</f>
        <v/>
      </c>
      <c r="E1681">
        <f>IF(OR(C1681="",D1681=""),"",IF(D1681=1,C1681,ROUND(C1681*(1+D1681/30),1)))</f>
        <v/>
      </c>
    </row>
    <row r="1682">
      <c r="A1682">
        <f>'Month 07'!B180</f>
        <v/>
      </c>
      <c r="B1682" t="inlineStr">
        <is>
          <t>Pause Squat</t>
        </is>
      </c>
      <c r="C1682">
        <f>IF(AND('Month 07'!L194&lt;&gt;"",N('Month 07'!I194)&gt;0),'Month 07'!I194,"")</f>
        <v/>
      </c>
      <c r="D1682">
        <f>IF(C1682="","",IF(N('Month 07'!J194)&gt;0,'Month 07'!J194,1))</f>
        <v/>
      </c>
      <c r="E1682">
        <f>IF(OR(C1682="",D1682=""),"",IF(D1682=1,C1682,ROUND(C1682*(1+D1682/30),1)))</f>
        <v/>
      </c>
    </row>
    <row r="1683">
      <c r="A1683">
        <f>'Month 07'!B180</f>
        <v/>
      </c>
      <c r="B1683" t="inlineStr">
        <is>
          <t>Pause Squat</t>
        </is>
      </c>
      <c r="C1683">
        <f>IF(AND('Month 07'!L195&lt;&gt;"",N('Month 07'!I195)&gt;0),'Month 07'!I195,"")</f>
        <v/>
      </c>
      <c r="D1683">
        <f>IF(C1683="","",IF(N('Month 07'!J195)&gt;0,'Month 07'!J195,1))</f>
        <v/>
      </c>
      <c r="E1683">
        <f>IF(OR(C1683="",D1683=""),"",IF(D1683=1,C1683,ROUND(C1683*(1+D1683/30),1)))</f>
        <v/>
      </c>
    </row>
    <row r="1684">
      <c r="A1684">
        <f>'Month 07'!B180</f>
        <v/>
      </c>
      <c r="B1684" t="inlineStr">
        <is>
          <t>Pause Squat</t>
        </is>
      </c>
      <c r="C1684">
        <f>IF(AND('Month 07'!L196&lt;&gt;"",N('Month 07'!I196)&gt;0),'Month 07'!I196,"")</f>
        <v/>
      </c>
      <c r="D1684">
        <f>IF(C1684="","",IF(N('Month 07'!J196)&gt;0,'Month 07'!J196,1))</f>
        <v/>
      </c>
      <c r="E1684">
        <f>IF(OR(C1684="",D1684=""),"",IF(D1684=1,C1684,ROUND(C1684*(1+D1684/30),1)))</f>
        <v/>
      </c>
    </row>
    <row r="1685">
      <c r="A1685">
        <f>'Month 07'!B180</f>
        <v/>
      </c>
      <c r="B1685" t="inlineStr">
        <is>
          <t>Pause Squat</t>
        </is>
      </c>
      <c r="C1685">
        <f>IF(AND('Month 07'!L197&lt;&gt;"",N('Month 07'!I197)&gt;0),'Month 07'!I197,"")</f>
        <v/>
      </c>
      <c r="D1685">
        <f>IF(C1685="","",IF(N('Month 07'!J197)&gt;0,'Month 07'!J197,1))</f>
        <v/>
      </c>
      <c r="E1685">
        <f>IF(OR(C1685="",D1685=""),"",IF(D1685=1,C1685,ROUND(C1685*(1+D1685/30),1)))</f>
        <v/>
      </c>
    </row>
    <row r="1686">
      <c r="A1686">
        <f>'Month 07'!B180</f>
        <v/>
      </c>
      <c r="B1686" t="inlineStr">
        <is>
          <t>Spoto Press</t>
        </is>
      </c>
      <c r="C1686">
        <f>IF(AND('Month 07'!L199&lt;&gt;"",N('Month 07'!I199)&gt;0),'Month 07'!I199,"")</f>
        <v/>
      </c>
      <c r="D1686">
        <f>IF(C1686="","",IF(N('Month 07'!J199)&gt;0,'Month 07'!J199,1))</f>
        <v/>
      </c>
      <c r="E1686">
        <f>IF(OR(C1686="",D1686=""),"",IF(D1686=1,C1686,ROUND(C1686*(1+D1686/30),1)))</f>
        <v/>
      </c>
    </row>
    <row r="1687">
      <c r="A1687">
        <f>'Month 07'!B180</f>
        <v/>
      </c>
      <c r="B1687" t="inlineStr">
        <is>
          <t>Spoto Press</t>
        </is>
      </c>
      <c r="C1687">
        <f>IF(AND('Month 07'!L200&lt;&gt;"",N('Month 07'!I200)&gt;0),'Month 07'!I200,"")</f>
        <v/>
      </c>
      <c r="D1687">
        <f>IF(C1687="","",IF(N('Month 07'!J200)&gt;0,'Month 07'!J200,1))</f>
        <v/>
      </c>
      <c r="E1687">
        <f>IF(OR(C1687="",D1687=""),"",IF(D1687=1,C1687,ROUND(C1687*(1+D1687/30),1)))</f>
        <v/>
      </c>
    </row>
    <row r="1688">
      <c r="A1688">
        <f>'Month 07'!B180</f>
        <v/>
      </c>
      <c r="B1688" t="inlineStr">
        <is>
          <t>Spoto Press</t>
        </is>
      </c>
      <c r="C1688">
        <f>IF(AND('Month 07'!L201&lt;&gt;"",N('Month 07'!I201)&gt;0),'Month 07'!I201,"")</f>
        <v/>
      </c>
      <c r="D1688">
        <f>IF(C1688="","",IF(N('Month 07'!J201)&gt;0,'Month 07'!J201,1))</f>
        <v/>
      </c>
      <c r="E1688">
        <f>IF(OR(C1688="",D1688=""),"",IF(D1688=1,C1688,ROUND(C1688*(1+D1688/30),1)))</f>
        <v/>
      </c>
    </row>
    <row r="1689">
      <c r="A1689">
        <f>'Month 07'!B180</f>
        <v/>
      </c>
      <c r="B1689" t="inlineStr">
        <is>
          <t>Spoto Press</t>
        </is>
      </c>
      <c r="C1689">
        <f>IF(AND('Month 07'!L202&lt;&gt;"",N('Month 07'!I202)&gt;0),'Month 07'!I202,"")</f>
        <v/>
      </c>
      <c r="D1689">
        <f>IF(C1689="","",IF(N('Month 07'!J202)&gt;0,'Month 07'!J202,1))</f>
        <v/>
      </c>
      <c r="E1689">
        <f>IF(OR(C1689="",D1689=""),"",IF(D1689=1,C1689,ROUND(C1689*(1+D1689/30),1)))</f>
        <v/>
      </c>
    </row>
    <row r="1690">
      <c r="A1690">
        <f>'Month 07'!B180</f>
        <v/>
      </c>
      <c r="B1690" t="inlineStr">
        <is>
          <t>Paused Deadlift</t>
        </is>
      </c>
      <c r="C1690">
        <f>IF(AND('Month 07'!L204&lt;&gt;"",N('Month 07'!I204)&gt;0),'Month 07'!I204,"")</f>
        <v/>
      </c>
      <c r="D1690">
        <f>IF(C1690="","",IF(N('Month 07'!J204)&gt;0,'Month 07'!J204,1))</f>
        <v/>
      </c>
      <c r="E1690">
        <f>IF(OR(C1690="",D1690=""),"",IF(D1690=1,C1690,ROUND(C1690*(1+D1690/30),1)))</f>
        <v/>
      </c>
    </row>
    <row r="1691">
      <c r="A1691">
        <f>'Month 07'!B180</f>
        <v/>
      </c>
      <c r="B1691" t="inlineStr">
        <is>
          <t>Paused Deadlift</t>
        </is>
      </c>
      <c r="C1691">
        <f>IF(AND('Month 07'!L205&lt;&gt;"",N('Month 07'!I205)&gt;0),'Month 07'!I205,"")</f>
        <v/>
      </c>
      <c r="D1691">
        <f>IF(C1691="","",IF(N('Month 07'!J205)&gt;0,'Month 07'!J205,1))</f>
        <v/>
      </c>
      <c r="E1691">
        <f>IF(OR(C1691="",D1691=""),"",IF(D1691=1,C1691,ROUND(C1691*(1+D1691/30),1)))</f>
        <v/>
      </c>
    </row>
    <row r="1692">
      <c r="A1692">
        <f>'Month 07'!B180</f>
        <v/>
      </c>
      <c r="B1692" t="inlineStr">
        <is>
          <t>Paused Deadlift</t>
        </is>
      </c>
      <c r="C1692">
        <f>IF(AND('Month 07'!L206&lt;&gt;"",N('Month 07'!I206)&gt;0),'Month 07'!I206,"")</f>
        <v/>
      </c>
      <c r="D1692">
        <f>IF(C1692="","",IF(N('Month 07'!J206)&gt;0,'Month 07'!J206,1))</f>
        <v/>
      </c>
      <c r="E1692">
        <f>IF(OR(C1692="",D1692=""),"",IF(D1692=1,C1692,ROUND(C1692*(1+D1692/30),1)))</f>
        <v/>
      </c>
    </row>
    <row r="1693">
      <c r="A1693">
        <f>'Month 07'!B180</f>
        <v/>
      </c>
      <c r="B1693" t="inlineStr">
        <is>
          <t>Incline Dumbbell Press</t>
        </is>
      </c>
      <c r="C1693">
        <f>IF(AND('Month 07'!L208&lt;&gt;"",N('Month 07'!I208)&gt;0),'Month 07'!I208,"")</f>
        <v/>
      </c>
      <c r="D1693">
        <f>IF(C1693="","",IF(N('Month 07'!J208)&gt;0,'Month 07'!J208,1))</f>
        <v/>
      </c>
      <c r="E1693">
        <f>IF(OR(C1693="",D1693=""),"",IF(D1693=1,C1693,ROUND(C1693*(1+D1693/30),1)))</f>
        <v/>
      </c>
    </row>
    <row r="1694">
      <c r="A1694">
        <f>'Month 07'!B180</f>
        <v/>
      </c>
      <c r="B1694" t="inlineStr">
        <is>
          <t>Incline Dumbbell Press</t>
        </is>
      </c>
      <c r="C1694">
        <f>IF(AND('Month 07'!L209&lt;&gt;"",N('Month 07'!I209)&gt;0),'Month 07'!I209,"")</f>
        <v/>
      </c>
      <c r="D1694">
        <f>IF(C1694="","",IF(N('Month 07'!J209)&gt;0,'Month 07'!J209,1))</f>
        <v/>
      </c>
      <c r="E1694">
        <f>IF(OR(C1694="",D1694=""),"",IF(D1694=1,C1694,ROUND(C1694*(1+D1694/30),1)))</f>
        <v/>
      </c>
    </row>
    <row r="1695">
      <c r="A1695">
        <f>'Month 07'!B180</f>
        <v/>
      </c>
      <c r="B1695" t="inlineStr">
        <is>
          <t>Incline Dumbbell Press</t>
        </is>
      </c>
      <c r="C1695">
        <f>IF(AND('Month 07'!L210&lt;&gt;"",N('Month 07'!I210)&gt;0),'Month 07'!I210,"")</f>
        <v/>
      </c>
      <c r="D1695">
        <f>IF(C1695="","",IF(N('Month 07'!J210)&gt;0,'Month 07'!J210,1))</f>
        <v/>
      </c>
      <c r="E1695">
        <f>IF(OR(C1695="",D1695=""),"",IF(D1695=1,C1695,ROUND(C1695*(1+D1695/30),1)))</f>
        <v/>
      </c>
    </row>
    <row r="1696">
      <c r="A1696">
        <f>'Month 07'!B180</f>
        <v/>
      </c>
      <c r="B1696" t="inlineStr">
        <is>
          <t>Incline Dumbbell Press</t>
        </is>
      </c>
      <c r="C1696">
        <f>IF(AND('Month 07'!L211&lt;&gt;"",N('Month 07'!I211)&gt;0),'Month 07'!I211,"")</f>
        <v/>
      </c>
      <c r="D1696">
        <f>IF(C1696="","",IF(N('Month 07'!J211)&gt;0,'Month 07'!J211,1))</f>
        <v/>
      </c>
      <c r="E1696">
        <f>IF(OR(C1696="",D1696=""),"",IF(D1696=1,C1696,ROUND(C1696*(1+D1696/30),1)))</f>
        <v/>
      </c>
    </row>
    <row r="1697">
      <c r="A1697">
        <f>'Month 07'!B180</f>
        <v/>
      </c>
      <c r="B1697" t="inlineStr">
        <is>
          <t>Triceps Pushdown</t>
        </is>
      </c>
      <c r="C1697">
        <f>IF(AND('Month 07'!L213&lt;&gt;"",N('Month 07'!I213)&gt;0),'Month 07'!I213,"")</f>
        <v/>
      </c>
      <c r="D1697">
        <f>IF(C1697="","",IF(N('Month 07'!J213)&gt;0,'Month 07'!J213,1))</f>
        <v/>
      </c>
      <c r="E1697">
        <f>IF(OR(C1697="",D1697=""),"",IF(D1697=1,C1697,ROUND(C1697*(1+D1697/30),1)))</f>
        <v/>
      </c>
    </row>
    <row r="1698">
      <c r="A1698">
        <f>'Month 07'!B180</f>
        <v/>
      </c>
      <c r="B1698" t="inlineStr">
        <is>
          <t>Triceps Pushdown</t>
        </is>
      </c>
      <c r="C1698">
        <f>IF(AND('Month 07'!L214&lt;&gt;"",N('Month 07'!I214)&gt;0),'Month 07'!I214,"")</f>
        <v/>
      </c>
      <c r="D1698">
        <f>IF(C1698="","",IF(N('Month 07'!J214)&gt;0,'Month 07'!J214,1))</f>
        <v/>
      </c>
      <c r="E1698">
        <f>IF(OR(C1698="",D1698=""),"",IF(D1698=1,C1698,ROUND(C1698*(1+D1698/30),1)))</f>
        <v/>
      </c>
    </row>
    <row r="1699">
      <c r="A1699">
        <f>'Month 07'!B180</f>
        <v/>
      </c>
      <c r="B1699" t="inlineStr">
        <is>
          <t>Triceps Pushdown</t>
        </is>
      </c>
      <c r="C1699">
        <f>IF(AND('Month 07'!L215&lt;&gt;"",N('Month 07'!I215)&gt;0),'Month 07'!I215,"")</f>
        <v/>
      </c>
      <c r="D1699">
        <f>IF(C1699="","",IF(N('Month 07'!J215)&gt;0,'Month 07'!J215,1))</f>
        <v/>
      </c>
      <c r="E1699">
        <f>IF(OR(C1699="",D1699=""),"",IF(D1699=1,C1699,ROUND(C1699*(1+D1699/30),1)))</f>
        <v/>
      </c>
    </row>
    <row r="1700">
      <c r="A1700">
        <f>'Month 07'!B180</f>
        <v/>
      </c>
      <c r="B1700" t="inlineStr">
        <is>
          <t>Triceps Pushdown</t>
        </is>
      </c>
      <c r="C1700">
        <f>IF(AND('Month 07'!L216&lt;&gt;"",N('Month 07'!I216)&gt;0),'Month 07'!I216,"")</f>
        <v/>
      </c>
      <c r="D1700">
        <f>IF(C1700="","",IF(N('Month 07'!J216)&gt;0,'Month 07'!J216,1))</f>
        <v/>
      </c>
      <c r="E1700">
        <f>IF(OR(C1700="",D1700=""),"",IF(D1700=1,C1700,ROUND(C1700*(1+D1700/30),1)))</f>
        <v/>
      </c>
    </row>
    <row r="1701">
      <c r="A1701">
        <f>'Month 07'!B219</f>
        <v/>
      </c>
      <c r="B1701" t="inlineStr">
        <is>
          <t>Box Jump</t>
        </is>
      </c>
      <c r="C1701">
        <f>IF(AND('Month 07'!L221&lt;&gt;"",N('Month 07'!I221)&gt;0),'Month 07'!I221,"")</f>
        <v/>
      </c>
      <c r="D1701">
        <f>IF(C1701="","",IF(N('Month 07'!J221)&gt;0,'Month 07'!J221,1))</f>
        <v/>
      </c>
      <c r="E1701">
        <f>IF(OR(C1701="",D1701=""),"",IF(D1701=1,C1701,ROUND(C1701*(1+D1701/30),1)))</f>
        <v/>
      </c>
    </row>
    <row r="1702">
      <c r="A1702">
        <f>'Month 07'!B219</f>
        <v/>
      </c>
      <c r="B1702" t="inlineStr">
        <is>
          <t>Box Jump</t>
        </is>
      </c>
      <c r="C1702">
        <f>IF(AND('Month 07'!L222&lt;&gt;"",N('Month 07'!I222)&gt;0),'Month 07'!I222,"")</f>
        <v/>
      </c>
      <c r="D1702">
        <f>IF(C1702="","",IF(N('Month 07'!J222)&gt;0,'Month 07'!J222,1))</f>
        <v/>
      </c>
      <c r="E1702">
        <f>IF(OR(C1702="",D1702=""),"",IF(D1702=1,C1702,ROUND(C1702*(1+D1702/30),1)))</f>
        <v/>
      </c>
    </row>
    <row r="1703">
      <c r="A1703">
        <f>'Month 07'!B219</f>
        <v/>
      </c>
      <c r="B1703" t="inlineStr">
        <is>
          <t>Box Jump</t>
        </is>
      </c>
      <c r="C1703">
        <f>IF(AND('Month 07'!L223&lt;&gt;"",N('Month 07'!I223)&gt;0),'Month 07'!I223,"")</f>
        <v/>
      </c>
      <c r="D1703">
        <f>IF(C1703="","",IF(N('Month 07'!J223)&gt;0,'Month 07'!J223,1))</f>
        <v/>
      </c>
      <c r="E1703">
        <f>IF(OR(C1703="",D1703=""),"",IF(D1703=1,C1703,ROUND(C1703*(1+D1703/30),1)))</f>
        <v/>
      </c>
    </row>
    <row r="1704">
      <c r="A1704">
        <f>'Month 07'!B219</f>
        <v/>
      </c>
      <c r="B1704" t="inlineStr">
        <is>
          <t>Box Jump</t>
        </is>
      </c>
      <c r="C1704">
        <f>IF(AND('Month 07'!L224&lt;&gt;"",N('Month 07'!I224)&gt;0),'Month 07'!I224,"")</f>
        <v/>
      </c>
      <c r="D1704">
        <f>IF(C1704="","",IF(N('Month 07'!J224)&gt;0,'Month 07'!J224,1))</f>
        <v/>
      </c>
      <c r="E1704">
        <f>IF(OR(C1704="",D1704=""),"",IF(D1704=1,C1704,ROUND(C1704*(1+D1704/30),1)))</f>
        <v/>
      </c>
    </row>
    <row r="1705">
      <c r="A1705">
        <f>'Month 07'!B219</f>
        <v/>
      </c>
      <c r="B1705" t="inlineStr">
        <is>
          <t>Snatch</t>
        </is>
      </c>
      <c r="C1705">
        <f>IF(AND('Month 07'!L226&lt;&gt;"",N('Month 07'!I226)&gt;0),'Month 07'!I226,"")</f>
        <v/>
      </c>
      <c r="D1705">
        <f>IF(C1705="","",IF(N('Month 07'!J226)&gt;0,'Month 07'!J226,1))</f>
        <v/>
      </c>
      <c r="E1705">
        <f>IF(OR(C1705="",D1705=""),"",IF(D1705=1,C1705,ROUND(C1705*(1+D1705/30),1)))</f>
        <v/>
      </c>
    </row>
    <row r="1706">
      <c r="A1706">
        <f>'Month 07'!B219</f>
        <v/>
      </c>
      <c r="B1706" t="inlineStr">
        <is>
          <t>Snatch</t>
        </is>
      </c>
      <c r="C1706">
        <f>IF(AND('Month 07'!L227&lt;&gt;"",N('Month 07'!I227)&gt;0),'Month 07'!I227,"")</f>
        <v/>
      </c>
      <c r="D1706">
        <f>IF(C1706="","",IF(N('Month 07'!J227)&gt;0,'Month 07'!J227,1))</f>
        <v/>
      </c>
      <c r="E1706">
        <f>IF(OR(C1706="",D1706=""),"",IF(D1706=1,C1706,ROUND(C1706*(1+D1706/30),1)))</f>
        <v/>
      </c>
    </row>
    <row r="1707">
      <c r="A1707">
        <f>'Month 07'!B219</f>
        <v/>
      </c>
      <c r="B1707" t="inlineStr">
        <is>
          <t>Snatch</t>
        </is>
      </c>
      <c r="C1707">
        <f>IF(AND('Month 07'!L228&lt;&gt;"",N('Month 07'!I228)&gt;0),'Month 07'!I228,"")</f>
        <v/>
      </c>
      <c r="D1707">
        <f>IF(C1707="","",IF(N('Month 07'!J228)&gt;0,'Month 07'!J228,1))</f>
        <v/>
      </c>
      <c r="E1707">
        <f>IF(OR(C1707="",D1707=""),"",IF(D1707=1,C1707,ROUND(C1707*(1+D1707/30),1)))</f>
        <v/>
      </c>
    </row>
    <row r="1708">
      <c r="A1708">
        <f>'Month 07'!B219</f>
        <v/>
      </c>
      <c r="B1708" t="inlineStr">
        <is>
          <t>Snatch</t>
        </is>
      </c>
      <c r="C1708">
        <f>IF(AND('Month 07'!L229&lt;&gt;"",N('Month 07'!I229)&gt;0),'Month 07'!I229,"")</f>
        <v/>
      </c>
      <c r="D1708">
        <f>IF(C1708="","",IF(N('Month 07'!J229)&gt;0,'Month 07'!J229,1))</f>
        <v/>
      </c>
      <c r="E1708">
        <f>IF(OR(C1708="",D1708=""),"",IF(D1708=1,C1708,ROUND(C1708*(1+D1708/30),1)))</f>
        <v/>
      </c>
    </row>
    <row r="1709">
      <c r="A1709">
        <f>'Month 07'!B219</f>
        <v/>
      </c>
      <c r="B1709" t="inlineStr">
        <is>
          <t>Squat</t>
        </is>
      </c>
      <c r="C1709">
        <f>IF(AND('Month 07'!L231&lt;&gt;"",N('Month 07'!I231)&gt;0),'Month 07'!I231,"")</f>
        <v/>
      </c>
      <c r="D1709">
        <f>IF(C1709="","",IF(N('Month 07'!J231)&gt;0,'Month 07'!J231,1))</f>
        <v/>
      </c>
      <c r="E1709">
        <f>IF(OR(C1709="",D1709=""),"",IF(D1709=1,C1709,ROUND(C1709*(1+D1709/30),1)))</f>
        <v/>
      </c>
    </row>
    <row r="1710">
      <c r="A1710">
        <f>'Month 07'!B219</f>
        <v/>
      </c>
      <c r="B1710" t="inlineStr">
        <is>
          <t>Squat</t>
        </is>
      </c>
      <c r="C1710">
        <f>IF(AND('Month 07'!L232&lt;&gt;"",N('Month 07'!I232)&gt;0),'Month 07'!I232,"")</f>
        <v/>
      </c>
      <c r="D1710">
        <f>IF(C1710="","",IF(N('Month 07'!J232)&gt;0,'Month 07'!J232,1))</f>
        <v/>
      </c>
      <c r="E1710">
        <f>IF(OR(C1710="",D1710=""),"",IF(D1710=1,C1710,ROUND(C1710*(1+D1710/30),1)))</f>
        <v/>
      </c>
    </row>
    <row r="1711">
      <c r="A1711">
        <f>'Month 07'!B219</f>
        <v/>
      </c>
      <c r="B1711" t="inlineStr">
        <is>
          <t>Squat</t>
        </is>
      </c>
      <c r="C1711">
        <f>IF(AND('Month 07'!L233&lt;&gt;"",N('Month 07'!I233)&gt;0),'Month 07'!I233,"")</f>
        <v/>
      </c>
      <c r="D1711">
        <f>IF(C1711="","",IF(N('Month 07'!J233)&gt;0,'Month 07'!J233,1))</f>
        <v/>
      </c>
      <c r="E1711">
        <f>IF(OR(C1711="",D1711=""),"",IF(D1711=1,C1711,ROUND(C1711*(1+D1711/30),1)))</f>
        <v/>
      </c>
    </row>
    <row r="1712">
      <c r="A1712">
        <f>'Month 07'!B219</f>
        <v/>
      </c>
      <c r="B1712" t="inlineStr">
        <is>
          <t>Bench Press</t>
        </is>
      </c>
      <c r="C1712">
        <f>IF(AND('Month 07'!L235&lt;&gt;"",N('Month 07'!I235)&gt;0),'Month 07'!I235,"")</f>
        <v/>
      </c>
      <c r="D1712">
        <f>IF(C1712="","",IF(N('Month 07'!J235)&gt;0,'Month 07'!J235,1))</f>
        <v/>
      </c>
      <c r="E1712">
        <f>IF(OR(C1712="",D1712=""),"",IF(D1712=1,C1712,ROUND(C1712*(1+D1712/30),1)))</f>
        <v/>
      </c>
    </row>
    <row r="1713">
      <c r="A1713">
        <f>'Month 07'!B219</f>
        <v/>
      </c>
      <c r="B1713" t="inlineStr">
        <is>
          <t>Bench Press</t>
        </is>
      </c>
      <c r="C1713">
        <f>IF(AND('Month 07'!L236&lt;&gt;"",N('Month 07'!I236)&gt;0),'Month 07'!I236,"")</f>
        <v/>
      </c>
      <c r="D1713">
        <f>IF(C1713="","",IF(N('Month 07'!J236)&gt;0,'Month 07'!J236,1))</f>
        <v/>
      </c>
      <c r="E1713">
        <f>IF(OR(C1713="",D1713=""),"",IF(D1713=1,C1713,ROUND(C1713*(1+D1713/30),1)))</f>
        <v/>
      </c>
    </row>
    <row r="1714">
      <c r="A1714">
        <f>'Month 07'!B219</f>
        <v/>
      </c>
      <c r="B1714" t="inlineStr">
        <is>
          <t>Bench Press</t>
        </is>
      </c>
      <c r="C1714">
        <f>IF(AND('Month 07'!L237&lt;&gt;"",N('Month 07'!I237)&gt;0),'Month 07'!I237,"")</f>
        <v/>
      </c>
      <c r="D1714">
        <f>IF(C1714="","",IF(N('Month 07'!J237)&gt;0,'Month 07'!J237,1))</f>
        <v/>
      </c>
      <c r="E1714">
        <f>IF(OR(C1714="",D1714=""),"",IF(D1714=1,C1714,ROUND(C1714*(1+D1714/30),1)))</f>
        <v/>
      </c>
    </row>
    <row r="1715">
      <c r="A1715">
        <f>'Month 07'!B219</f>
        <v/>
      </c>
      <c r="B1715" t="inlineStr">
        <is>
          <t>Barbell Row</t>
        </is>
      </c>
      <c r="C1715">
        <f>IF(AND('Month 07'!L239&lt;&gt;"",N('Month 07'!I239)&gt;0),'Month 07'!I239,"")</f>
        <v/>
      </c>
      <c r="D1715">
        <f>IF(C1715="","",IF(N('Month 07'!J239)&gt;0,'Month 07'!J239,1))</f>
        <v/>
      </c>
      <c r="E1715">
        <f>IF(OR(C1715="",D1715=""),"",IF(D1715=1,C1715,ROUND(C1715*(1+D1715/30),1)))</f>
        <v/>
      </c>
    </row>
    <row r="1716">
      <c r="A1716">
        <f>'Month 07'!B219</f>
        <v/>
      </c>
      <c r="B1716" t="inlineStr">
        <is>
          <t>Barbell Row</t>
        </is>
      </c>
      <c r="C1716">
        <f>IF(AND('Month 07'!L240&lt;&gt;"",N('Month 07'!I240)&gt;0),'Month 07'!I240,"")</f>
        <v/>
      </c>
      <c r="D1716">
        <f>IF(C1716="","",IF(N('Month 07'!J240)&gt;0,'Month 07'!J240,1))</f>
        <v/>
      </c>
      <c r="E1716">
        <f>IF(OR(C1716="",D1716=""),"",IF(D1716=1,C1716,ROUND(C1716*(1+D1716/30),1)))</f>
        <v/>
      </c>
    </row>
    <row r="1717">
      <c r="A1717">
        <f>'Month 07'!B219</f>
        <v/>
      </c>
      <c r="B1717" t="inlineStr">
        <is>
          <t>Barbell Row</t>
        </is>
      </c>
      <c r="C1717">
        <f>IF(AND('Month 07'!L241&lt;&gt;"",N('Month 07'!I241)&gt;0),'Month 07'!I241,"")</f>
        <v/>
      </c>
      <c r="D1717">
        <f>IF(C1717="","",IF(N('Month 07'!J241)&gt;0,'Month 07'!J241,1))</f>
        <v/>
      </c>
      <c r="E1717">
        <f>IF(OR(C1717="",D1717=""),"",IF(D1717=1,C1717,ROUND(C1717*(1+D1717/30),1)))</f>
        <v/>
      </c>
    </row>
    <row r="1718">
      <c r="A1718">
        <f>'Month 07'!B219</f>
        <v/>
      </c>
      <c r="B1718" t="inlineStr">
        <is>
          <t>Barbell Row</t>
        </is>
      </c>
      <c r="C1718">
        <f>IF(AND('Month 07'!L242&lt;&gt;"",N('Month 07'!I242)&gt;0),'Month 07'!I242,"")</f>
        <v/>
      </c>
      <c r="D1718">
        <f>IF(C1718="","",IF(N('Month 07'!J242)&gt;0,'Month 07'!J242,1))</f>
        <v/>
      </c>
      <c r="E1718">
        <f>IF(OR(C1718="",D1718=""),"",IF(D1718=1,C1718,ROUND(C1718*(1+D1718/30),1)))</f>
        <v/>
      </c>
    </row>
    <row r="1719">
      <c r="A1719">
        <f>'Month 07'!B219</f>
        <v/>
      </c>
      <c r="B1719" t="inlineStr">
        <is>
          <t>Face Pull</t>
        </is>
      </c>
      <c r="C1719">
        <f>IF(AND('Month 07'!L244&lt;&gt;"",N('Month 07'!I244)&gt;0),'Month 07'!I244,"")</f>
        <v/>
      </c>
      <c r="D1719">
        <f>IF(C1719="","",IF(N('Month 07'!J244)&gt;0,'Month 07'!J244,1))</f>
        <v/>
      </c>
      <c r="E1719">
        <f>IF(OR(C1719="",D1719=""),"",IF(D1719=1,C1719,ROUND(C1719*(1+D1719/30),1)))</f>
        <v/>
      </c>
    </row>
    <row r="1720">
      <c r="A1720">
        <f>'Month 07'!B219</f>
        <v/>
      </c>
      <c r="B1720" t="inlineStr">
        <is>
          <t>Face Pull</t>
        </is>
      </c>
      <c r="C1720">
        <f>IF(AND('Month 07'!L245&lt;&gt;"",N('Month 07'!I245)&gt;0),'Month 07'!I245,"")</f>
        <v/>
      </c>
      <c r="D1720">
        <f>IF(C1720="","",IF(N('Month 07'!J245)&gt;0,'Month 07'!J245,1))</f>
        <v/>
      </c>
      <c r="E1720">
        <f>IF(OR(C1720="",D1720=""),"",IF(D1720=1,C1720,ROUND(C1720*(1+D1720/30),1)))</f>
        <v/>
      </c>
    </row>
    <row r="1721">
      <c r="A1721">
        <f>'Month 07'!B219</f>
        <v/>
      </c>
      <c r="B1721" t="inlineStr">
        <is>
          <t>Face Pull</t>
        </is>
      </c>
      <c r="C1721">
        <f>IF(AND('Month 07'!L246&lt;&gt;"",N('Month 07'!I246)&gt;0),'Month 07'!I246,"")</f>
        <v/>
      </c>
      <c r="D1721">
        <f>IF(C1721="","",IF(N('Month 07'!J246)&gt;0,'Month 07'!J246,1))</f>
        <v/>
      </c>
      <c r="E1721">
        <f>IF(OR(C1721="",D1721=""),"",IF(D1721=1,C1721,ROUND(C1721*(1+D1721/30),1)))</f>
        <v/>
      </c>
    </row>
    <row r="1722">
      <c r="A1722">
        <f>'Month 07'!B219</f>
        <v/>
      </c>
      <c r="B1722" t="inlineStr">
        <is>
          <t>Face Pull</t>
        </is>
      </c>
      <c r="C1722">
        <f>IF(AND('Month 07'!L247&lt;&gt;"",N('Month 07'!I247)&gt;0),'Month 07'!I247,"")</f>
        <v/>
      </c>
      <c r="D1722">
        <f>IF(C1722="","",IF(N('Month 07'!J247)&gt;0,'Month 07'!J247,1))</f>
        <v/>
      </c>
      <c r="E1722">
        <f>IF(OR(C1722="",D1722=""),"",IF(D1722=1,C1722,ROUND(C1722*(1+D1722/30),1)))</f>
        <v/>
      </c>
    </row>
    <row r="1723">
      <c r="A1723">
        <f>'Month 07'!B248</f>
        <v/>
      </c>
      <c r="B1723" t="inlineStr">
        <is>
          <t>Broad Jump</t>
        </is>
      </c>
      <c r="C1723">
        <f>IF(AND('Month 07'!L250&lt;&gt;"",N('Month 07'!I250)&gt;0),'Month 07'!I250,"")</f>
        <v/>
      </c>
      <c r="D1723">
        <f>IF(C1723="","",IF(N('Month 07'!J250)&gt;0,'Month 07'!J250,1))</f>
        <v/>
      </c>
      <c r="E1723">
        <f>IF(OR(C1723="",D1723=""),"",IF(D1723=1,C1723,ROUND(C1723*(1+D1723/30),1)))</f>
        <v/>
      </c>
    </row>
    <row r="1724">
      <c r="A1724">
        <f>'Month 07'!B248</f>
        <v/>
      </c>
      <c r="B1724" t="inlineStr">
        <is>
          <t>Broad Jump</t>
        </is>
      </c>
      <c r="C1724">
        <f>IF(AND('Month 07'!L251&lt;&gt;"",N('Month 07'!I251)&gt;0),'Month 07'!I251,"")</f>
        <v/>
      </c>
      <c r="D1724">
        <f>IF(C1724="","",IF(N('Month 07'!J251)&gt;0,'Month 07'!J251,1))</f>
        <v/>
      </c>
      <c r="E1724">
        <f>IF(OR(C1724="",D1724=""),"",IF(D1724=1,C1724,ROUND(C1724*(1+D1724/30),1)))</f>
        <v/>
      </c>
    </row>
    <row r="1725">
      <c r="A1725">
        <f>'Month 07'!B248</f>
        <v/>
      </c>
      <c r="B1725" t="inlineStr">
        <is>
          <t>Broad Jump</t>
        </is>
      </c>
      <c r="C1725">
        <f>IF(AND('Month 07'!L252&lt;&gt;"",N('Month 07'!I252)&gt;0),'Month 07'!I252,"")</f>
        <v/>
      </c>
      <c r="D1725">
        <f>IF(C1725="","",IF(N('Month 07'!J252)&gt;0,'Month 07'!J252,1))</f>
        <v/>
      </c>
      <c r="E1725">
        <f>IF(OR(C1725="",D1725=""),"",IF(D1725=1,C1725,ROUND(C1725*(1+D1725/30),1)))</f>
        <v/>
      </c>
    </row>
    <row r="1726">
      <c r="A1726">
        <f>'Month 07'!B248</f>
        <v/>
      </c>
      <c r="B1726" t="inlineStr">
        <is>
          <t>Broad Jump</t>
        </is>
      </c>
      <c r="C1726">
        <f>IF(AND('Month 07'!L253&lt;&gt;"",N('Month 07'!I253)&gt;0),'Month 07'!I253,"")</f>
        <v/>
      </c>
      <c r="D1726">
        <f>IF(C1726="","",IF(N('Month 07'!J253)&gt;0,'Month 07'!J253,1))</f>
        <v/>
      </c>
      <c r="E1726">
        <f>IF(OR(C1726="",D1726=""),"",IF(D1726=1,C1726,ROUND(C1726*(1+D1726/30),1)))</f>
        <v/>
      </c>
    </row>
    <row r="1727">
      <c r="A1727">
        <f>'Month 07'!B248</f>
        <v/>
      </c>
      <c r="B1727" t="inlineStr">
        <is>
          <t>Med Ball Chest Pass</t>
        </is>
      </c>
      <c r="C1727">
        <f>IF(AND('Month 07'!L255&lt;&gt;"",N('Month 07'!I255)&gt;0),'Month 07'!I255,"")</f>
        <v/>
      </c>
      <c r="D1727">
        <f>IF(C1727="","",IF(N('Month 07'!J255)&gt;0,'Month 07'!J255,1))</f>
        <v/>
      </c>
      <c r="E1727">
        <f>IF(OR(C1727="",D1727=""),"",IF(D1727=1,C1727,ROUND(C1727*(1+D1727/30),1)))</f>
        <v/>
      </c>
    </row>
    <row r="1728">
      <c r="A1728">
        <f>'Month 07'!B248</f>
        <v/>
      </c>
      <c r="B1728" t="inlineStr">
        <is>
          <t>Med Ball Chest Pass</t>
        </is>
      </c>
      <c r="C1728">
        <f>IF(AND('Month 07'!L256&lt;&gt;"",N('Month 07'!I256)&gt;0),'Month 07'!I256,"")</f>
        <v/>
      </c>
      <c r="D1728">
        <f>IF(C1728="","",IF(N('Month 07'!J256)&gt;0,'Month 07'!J256,1))</f>
        <v/>
      </c>
      <c r="E1728">
        <f>IF(OR(C1728="",D1728=""),"",IF(D1728=1,C1728,ROUND(C1728*(1+D1728/30),1)))</f>
        <v/>
      </c>
    </row>
    <row r="1729">
      <c r="A1729">
        <f>'Month 07'!B248</f>
        <v/>
      </c>
      <c r="B1729" t="inlineStr">
        <is>
          <t>Med Ball Chest Pass</t>
        </is>
      </c>
      <c r="C1729">
        <f>IF(AND('Month 07'!L257&lt;&gt;"",N('Month 07'!I257)&gt;0),'Month 07'!I257,"")</f>
        <v/>
      </c>
      <c r="D1729">
        <f>IF(C1729="","",IF(N('Month 07'!J257)&gt;0,'Month 07'!J257,1))</f>
        <v/>
      </c>
      <c r="E1729">
        <f>IF(OR(C1729="",D1729=""),"",IF(D1729=1,C1729,ROUND(C1729*(1+D1729/30),1)))</f>
        <v/>
      </c>
    </row>
    <row r="1730">
      <c r="A1730">
        <f>'Month 07'!B248</f>
        <v/>
      </c>
      <c r="B1730" t="inlineStr">
        <is>
          <t>Clean &amp; Jerk</t>
        </is>
      </c>
      <c r="C1730">
        <f>IF(AND('Month 07'!L259&lt;&gt;"",N('Month 07'!I259)&gt;0),'Month 07'!I259,"")</f>
        <v/>
      </c>
      <c r="D1730">
        <f>IF(C1730="","",IF(N('Month 07'!J259)&gt;0,'Month 07'!J259,1))</f>
        <v/>
      </c>
      <c r="E1730">
        <f>IF(OR(C1730="",D1730=""),"",IF(D1730=1,C1730,ROUND(C1730*(1+D1730/30),1)))</f>
        <v/>
      </c>
    </row>
    <row r="1731">
      <c r="A1731">
        <f>'Month 07'!B248</f>
        <v/>
      </c>
      <c r="B1731" t="inlineStr">
        <is>
          <t>Clean &amp; Jerk</t>
        </is>
      </c>
      <c r="C1731">
        <f>IF(AND('Month 07'!L260&lt;&gt;"",N('Month 07'!I260)&gt;0),'Month 07'!I260,"")</f>
        <v/>
      </c>
      <c r="D1731">
        <f>IF(C1731="","",IF(N('Month 07'!J260)&gt;0,'Month 07'!J260,1))</f>
        <v/>
      </c>
      <c r="E1731">
        <f>IF(OR(C1731="",D1731=""),"",IF(D1731=1,C1731,ROUND(C1731*(1+D1731/30),1)))</f>
        <v/>
      </c>
    </row>
    <row r="1732">
      <c r="A1732">
        <f>'Month 07'!B248</f>
        <v/>
      </c>
      <c r="B1732" t="inlineStr">
        <is>
          <t>Clean &amp; Jerk</t>
        </is>
      </c>
      <c r="C1732">
        <f>IF(AND('Month 07'!L261&lt;&gt;"",N('Month 07'!I261)&gt;0),'Month 07'!I261,"")</f>
        <v/>
      </c>
      <c r="D1732">
        <f>IF(C1732="","",IF(N('Month 07'!J261)&gt;0,'Month 07'!J261,1))</f>
        <v/>
      </c>
      <c r="E1732">
        <f>IF(OR(C1732="",D1732=""),"",IF(D1732=1,C1732,ROUND(C1732*(1+D1732/30),1)))</f>
        <v/>
      </c>
    </row>
    <row r="1733">
      <c r="A1733">
        <f>'Month 07'!B248</f>
        <v/>
      </c>
      <c r="B1733" t="inlineStr">
        <is>
          <t>Clean &amp; Jerk</t>
        </is>
      </c>
      <c r="C1733">
        <f>IF(AND('Month 07'!L262&lt;&gt;"",N('Month 07'!I262)&gt;0),'Month 07'!I262,"")</f>
        <v/>
      </c>
      <c r="D1733">
        <f>IF(C1733="","",IF(N('Month 07'!J262)&gt;0,'Month 07'!J262,1))</f>
        <v/>
      </c>
      <c r="E1733">
        <f>IF(OR(C1733="",D1733=""),"",IF(D1733=1,C1733,ROUND(C1733*(1+D1733/30),1)))</f>
        <v/>
      </c>
    </row>
    <row r="1734">
      <c r="A1734">
        <f>'Month 07'!B248</f>
        <v/>
      </c>
      <c r="B1734" t="inlineStr">
        <is>
          <t>Squat</t>
        </is>
      </c>
      <c r="C1734">
        <f>IF(AND('Month 07'!L264&lt;&gt;"",N('Month 07'!I264)&gt;0),'Month 07'!I264,"")</f>
        <v/>
      </c>
      <c r="D1734">
        <f>IF(C1734="","",IF(N('Month 07'!J264)&gt;0,'Month 07'!J264,1))</f>
        <v/>
      </c>
      <c r="E1734">
        <f>IF(OR(C1734="",D1734=""),"",IF(D1734=1,C1734,ROUND(C1734*(1+D1734/30),1)))</f>
        <v/>
      </c>
    </row>
    <row r="1735">
      <c r="A1735">
        <f>'Month 07'!B248</f>
        <v/>
      </c>
      <c r="B1735" t="inlineStr">
        <is>
          <t>Squat</t>
        </is>
      </c>
      <c r="C1735">
        <f>IF(AND('Month 07'!L265&lt;&gt;"",N('Month 07'!I265)&gt;0),'Month 07'!I265,"")</f>
        <v/>
      </c>
      <c r="D1735">
        <f>IF(C1735="","",IF(N('Month 07'!J265)&gt;0,'Month 07'!J265,1))</f>
        <v/>
      </c>
      <c r="E1735">
        <f>IF(OR(C1735="",D1735=""),"",IF(D1735=1,C1735,ROUND(C1735*(1+D1735/30),1)))</f>
        <v/>
      </c>
    </row>
    <row r="1736">
      <c r="A1736">
        <f>'Month 07'!B248</f>
        <v/>
      </c>
      <c r="B1736" t="inlineStr">
        <is>
          <t>Squat</t>
        </is>
      </c>
      <c r="C1736">
        <f>IF(AND('Month 07'!L266&lt;&gt;"",N('Month 07'!I266)&gt;0),'Month 07'!I266,"")</f>
        <v/>
      </c>
      <c r="D1736">
        <f>IF(C1736="","",IF(N('Month 07'!J266)&gt;0,'Month 07'!J266,1))</f>
        <v/>
      </c>
      <c r="E1736">
        <f>IF(OR(C1736="",D1736=""),"",IF(D1736=1,C1736,ROUND(C1736*(1+D1736/30),1)))</f>
        <v/>
      </c>
    </row>
    <row r="1737">
      <c r="A1737">
        <f>'Month 07'!B248</f>
        <v/>
      </c>
      <c r="B1737" t="inlineStr">
        <is>
          <t>Overhead Press</t>
        </is>
      </c>
      <c r="C1737">
        <f>IF(AND('Month 07'!L268&lt;&gt;"",N('Month 07'!I268)&gt;0),'Month 07'!I268,"")</f>
        <v/>
      </c>
      <c r="D1737">
        <f>IF(C1737="","",IF(N('Month 07'!J268)&gt;0,'Month 07'!J268,1))</f>
        <v/>
      </c>
      <c r="E1737">
        <f>IF(OR(C1737="",D1737=""),"",IF(D1737=1,C1737,ROUND(C1737*(1+D1737/30),1)))</f>
        <v/>
      </c>
    </row>
    <row r="1738">
      <c r="A1738">
        <f>'Month 07'!B248</f>
        <v/>
      </c>
      <c r="B1738" t="inlineStr">
        <is>
          <t>Overhead Press</t>
        </is>
      </c>
      <c r="C1738">
        <f>IF(AND('Month 07'!L269&lt;&gt;"",N('Month 07'!I269)&gt;0),'Month 07'!I269,"")</f>
        <v/>
      </c>
      <c r="D1738">
        <f>IF(C1738="","",IF(N('Month 07'!J269)&gt;0,'Month 07'!J269,1))</f>
        <v/>
      </c>
      <c r="E1738">
        <f>IF(OR(C1738="",D1738=""),"",IF(D1738=1,C1738,ROUND(C1738*(1+D1738/30),1)))</f>
        <v/>
      </c>
    </row>
    <row r="1739">
      <c r="A1739">
        <f>'Month 07'!B248</f>
        <v/>
      </c>
      <c r="B1739" t="inlineStr">
        <is>
          <t>Overhead Press</t>
        </is>
      </c>
      <c r="C1739">
        <f>IF(AND('Month 07'!L270&lt;&gt;"",N('Month 07'!I270)&gt;0),'Month 07'!I270,"")</f>
        <v/>
      </c>
      <c r="D1739">
        <f>IF(C1739="","",IF(N('Month 07'!J270)&gt;0,'Month 07'!J270,1))</f>
        <v/>
      </c>
      <c r="E1739">
        <f>IF(OR(C1739="",D1739=""),"",IF(D1739=1,C1739,ROUND(C1739*(1+D1739/30),1)))</f>
        <v/>
      </c>
    </row>
    <row r="1740">
      <c r="A1740">
        <f>'Month 07'!B248</f>
        <v/>
      </c>
      <c r="B1740" t="inlineStr">
        <is>
          <t>Deadlift</t>
        </is>
      </c>
      <c r="C1740">
        <f>IF(AND('Month 07'!L272&lt;&gt;"",N('Month 07'!I272)&gt;0),'Month 07'!I272,"")</f>
        <v/>
      </c>
      <c r="D1740">
        <f>IF(C1740="","",IF(N('Month 07'!J272)&gt;0,'Month 07'!J272,1))</f>
        <v/>
      </c>
      <c r="E1740">
        <f>IF(OR(C1740="",D1740=""),"",IF(D1740=1,C1740,ROUND(C1740*(1+D1740/30),1)))</f>
        <v/>
      </c>
    </row>
    <row r="1741">
      <c r="A1741">
        <f>'Month 07'!B248</f>
        <v/>
      </c>
      <c r="B1741" t="inlineStr">
        <is>
          <t>Deadlift</t>
        </is>
      </c>
      <c r="C1741">
        <f>IF(AND('Month 07'!L273&lt;&gt;"",N('Month 07'!I273)&gt;0),'Month 07'!I273,"")</f>
        <v/>
      </c>
      <c r="D1741">
        <f>IF(C1741="","",IF(N('Month 07'!J273)&gt;0,'Month 07'!J273,1))</f>
        <v/>
      </c>
      <c r="E1741">
        <f>IF(OR(C1741="",D1741=""),"",IF(D1741=1,C1741,ROUND(C1741*(1+D1741/30),1)))</f>
        <v/>
      </c>
    </row>
    <row r="1742">
      <c r="A1742">
        <f>'Month 07'!B248</f>
        <v/>
      </c>
      <c r="B1742" t="inlineStr">
        <is>
          <t>Deadlift</t>
        </is>
      </c>
      <c r="C1742">
        <f>IF(AND('Month 07'!L274&lt;&gt;"",N('Month 07'!I274)&gt;0),'Month 07'!I274,"")</f>
        <v/>
      </c>
      <c r="D1742">
        <f>IF(C1742="","",IF(N('Month 07'!J274)&gt;0,'Month 07'!J274,1))</f>
        <v/>
      </c>
      <c r="E1742">
        <f>IF(OR(C1742="",D1742=""),"",IF(D1742=1,C1742,ROUND(C1742*(1+D1742/30),1)))</f>
        <v/>
      </c>
    </row>
    <row r="1743">
      <c r="A1743">
        <f>'Month 07'!B248</f>
        <v/>
      </c>
      <c r="B1743" t="inlineStr">
        <is>
          <t>Chin-up</t>
        </is>
      </c>
      <c r="C1743">
        <f>IF(AND('Month 07'!L276&lt;&gt;"",N('Month 07'!I276)&gt;0),'Month 07'!I276,"")</f>
        <v/>
      </c>
      <c r="D1743">
        <f>IF(C1743="","",IF(N('Month 07'!J276)&gt;0,'Month 07'!J276,1))</f>
        <v/>
      </c>
      <c r="E1743">
        <f>IF(OR(C1743="",D1743=""),"",IF(D1743=1,C1743,ROUND(C1743*(1+D1743/30),1)))</f>
        <v/>
      </c>
    </row>
    <row r="1744">
      <c r="A1744">
        <f>'Month 07'!B248</f>
        <v/>
      </c>
      <c r="B1744" t="inlineStr">
        <is>
          <t>Chin-up</t>
        </is>
      </c>
      <c r="C1744">
        <f>IF(AND('Month 07'!L277&lt;&gt;"",N('Month 07'!I277)&gt;0),'Month 07'!I277,"")</f>
        <v/>
      </c>
      <c r="D1744">
        <f>IF(C1744="","",IF(N('Month 07'!J277)&gt;0,'Month 07'!J277,1))</f>
        <v/>
      </c>
      <c r="E1744">
        <f>IF(OR(C1744="",D1744=""),"",IF(D1744=1,C1744,ROUND(C1744*(1+D1744/30),1)))</f>
        <v/>
      </c>
    </row>
    <row r="1745">
      <c r="A1745">
        <f>'Month 07'!B248</f>
        <v/>
      </c>
      <c r="B1745" t="inlineStr">
        <is>
          <t>Chin-up</t>
        </is>
      </c>
      <c r="C1745">
        <f>IF(AND('Month 07'!L278&lt;&gt;"",N('Month 07'!I278)&gt;0),'Month 07'!I278,"")</f>
        <v/>
      </c>
      <c r="D1745">
        <f>IF(C1745="","",IF(N('Month 07'!J278)&gt;0,'Month 07'!J278,1))</f>
        <v/>
      </c>
      <c r="E1745">
        <f>IF(OR(C1745="",D1745=""),"",IF(D1745=1,C1745,ROUND(C1745*(1+D1745/30),1)))</f>
        <v/>
      </c>
    </row>
    <row r="1746">
      <c r="A1746">
        <f>'Month 07'!B248</f>
        <v/>
      </c>
      <c r="B1746" t="inlineStr">
        <is>
          <t>Chin-up</t>
        </is>
      </c>
      <c r="C1746">
        <f>IF(AND('Month 07'!L279&lt;&gt;"",N('Month 07'!I279)&gt;0),'Month 07'!I279,"")</f>
        <v/>
      </c>
      <c r="D1746">
        <f>IF(C1746="","",IF(N('Month 07'!J279)&gt;0,'Month 07'!J279,1))</f>
        <v/>
      </c>
      <c r="E1746">
        <f>IF(OR(C1746="",D1746=""),"",IF(D1746=1,C1746,ROUND(C1746*(1+D1746/30),1)))</f>
        <v/>
      </c>
    </row>
    <row r="1747">
      <c r="A1747">
        <f>'Month 07'!B248</f>
        <v/>
      </c>
      <c r="B1747" t="inlineStr">
        <is>
          <t>Plank</t>
        </is>
      </c>
      <c r="C1747">
        <f>IF(AND('Month 07'!L281&lt;&gt;"",N('Month 07'!I281)&gt;0),'Month 07'!I281,"")</f>
        <v/>
      </c>
      <c r="D1747">
        <f>IF(C1747="","",IF(N('Month 07'!J281)&gt;0,'Month 07'!J281,1))</f>
        <v/>
      </c>
      <c r="E1747">
        <f>IF(OR(C1747="",D1747=""),"",IF(D1747=1,C1747,ROUND(C1747*(1+D1747/30),1)))</f>
        <v/>
      </c>
    </row>
    <row r="1748">
      <c r="A1748">
        <f>'Month 07'!B248</f>
        <v/>
      </c>
      <c r="B1748" t="inlineStr">
        <is>
          <t>Plank</t>
        </is>
      </c>
      <c r="C1748">
        <f>IF(AND('Month 07'!L282&lt;&gt;"",N('Month 07'!I282)&gt;0),'Month 07'!I282,"")</f>
        <v/>
      </c>
      <c r="D1748">
        <f>IF(C1748="","",IF(N('Month 07'!J282)&gt;0,'Month 07'!J282,1))</f>
        <v/>
      </c>
      <c r="E1748">
        <f>IF(OR(C1748="",D1748=""),"",IF(D1748=1,C1748,ROUND(C1748*(1+D1748/30),1)))</f>
        <v/>
      </c>
    </row>
    <row r="1749">
      <c r="A1749">
        <f>'Month 07'!B248</f>
        <v/>
      </c>
      <c r="B1749" t="inlineStr">
        <is>
          <t>Plank</t>
        </is>
      </c>
      <c r="C1749">
        <f>IF(AND('Month 07'!L283&lt;&gt;"",N('Month 07'!I283)&gt;0),'Month 07'!I283,"")</f>
        <v/>
      </c>
      <c r="D1749">
        <f>IF(C1749="","",IF(N('Month 07'!J283)&gt;0,'Month 07'!J283,1))</f>
        <v/>
      </c>
      <c r="E1749">
        <f>IF(OR(C1749="",D1749=""),"",IF(D1749=1,C1749,ROUND(C1749*(1+D1749/30),1)))</f>
        <v/>
      </c>
    </row>
    <row r="1750">
      <c r="A1750">
        <f>'Month 07'!B248</f>
        <v/>
      </c>
      <c r="B1750" t="inlineStr">
        <is>
          <t>Plank</t>
        </is>
      </c>
      <c r="C1750">
        <f>IF(AND('Month 07'!L284&lt;&gt;"",N('Month 07'!I284)&gt;0),'Month 07'!I284,"")</f>
        <v/>
      </c>
      <c r="D1750">
        <f>IF(C1750="","",IF(N('Month 07'!J284)&gt;0,'Month 07'!J284,1))</f>
        <v/>
      </c>
      <c r="E1750">
        <f>IF(OR(C1750="",D1750=""),"",IF(D1750=1,C1750,ROUND(C1750*(1+D1750/30),1)))</f>
        <v/>
      </c>
    </row>
    <row r="1751">
      <c r="A1751">
        <f>'Month 07'!B285</f>
        <v/>
      </c>
      <c r="B1751" t="inlineStr">
        <is>
          <t>Depth Jump</t>
        </is>
      </c>
      <c r="C1751">
        <f>IF(AND('Month 07'!L287&lt;&gt;"",N('Month 07'!I287)&gt;0),'Month 07'!I287,"")</f>
        <v/>
      </c>
      <c r="D1751">
        <f>IF(C1751="","",IF(N('Month 07'!J287)&gt;0,'Month 07'!J287,1))</f>
        <v/>
      </c>
      <c r="E1751">
        <f>IF(OR(C1751="",D1751=""),"",IF(D1751=1,C1751,ROUND(C1751*(1+D1751/30),1)))</f>
        <v/>
      </c>
    </row>
    <row r="1752">
      <c r="A1752">
        <f>'Month 07'!B285</f>
        <v/>
      </c>
      <c r="B1752" t="inlineStr">
        <is>
          <t>Depth Jump</t>
        </is>
      </c>
      <c r="C1752">
        <f>IF(AND('Month 07'!L288&lt;&gt;"",N('Month 07'!I288)&gt;0),'Month 07'!I288,"")</f>
        <v/>
      </c>
      <c r="D1752">
        <f>IF(C1752="","",IF(N('Month 07'!J288)&gt;0,'Month 07'!J288,1))</f>
        <v/>
      </c>
      <c r="E1752">
        <f>IF(OR(C1752="",D1752=""),"",IF(D1752=1,C1752,ROUND(C1752*(1+D1752/30),1)))</f>
        <v/>
      </c>
    </row>
    <row r="1753">
      <c r="A1753">
        <f>'Month 07'!B285</f>
        <v/>
      </c>
      <c r="B1753" t="inlineStr">
        <is>
          <t>Depth Jump</t>
        </is>
      </c>
      <c r="C1753">
        <f>IF(AND('Month 07'!L289&lt;&gt;"",N('Month 07'!I289)&gt;0),'Month 07'!I289,"")</f>
        <v/>
      </c>
      <c r="D1753">
        <f>IF(C1753="","",IF(N('Month 07'!J289)&gt;0,'Month 07'!J289,1))</f>
        <v/>
      </c>
      <c r="E1753">
        <f>IF(OR(C1753="",D1753=""),"",IF(D1753=1,C1753,ROUND(C1753*(1+D1753/30),1)))</f>
        <v/>
      </c>
    </row>
    <row r="1754">
      <c r="A1754">
        <f>'Month 07'!B285</f>
        <v/>
      </c>
      <c r="B1754" t="inlineStr">
        <is>
          <t>Depth Jump</t>
        </is>
      </c>
      <c r="C1754">
        <f>IF(AND('Month 07'!L290&lt;&gt;"",N('Month 07'!I290)&gt;0),'Month 07'!I290,"")</f>
        <v/>
      </c>
      <c r="D1754">
        <f>IF(C1754="","",IF(N('Month 07'!J290)&gt;0,'Month 07'!J290,1))</f>
        <v/>
      </c>
      <c r="E1754">
        <f>IF(OR(C1754="",D1754=""),"",IF(D1754=1,C1754,ROUND(C1754*(1+D1754/30),1)))</f>
        <v/>
      </c>
    </row>
    <row r="1755">
      <c r="A1755">
        <f>'Month 07'!B285</f>
        <v/>
      </c>
      <c r="B1755" t="inlineStr">
        <is>
          <t>Block Snatch</t>
        </is>
      </c>
      <c r="C1755">
        <f>IF(AND('Month 07'!L292&lt;&gt;"",N('Month 07'!I292)&gt;0),'Month 07'!I292,"")</f>
        <v/>
      </c>
      <c r="D1755">
        <f>IF(C1755="","",IF(N('Month 07'!J292)&gt;0,'Month 07'!J292,1))</f>
        <v/>
      </c>
      <c r="E1755">
        <f>IF(OR(C1755="",D1755=""),"",IF(D1755=1,C1755,ROUND(C1755*(1+D1755/30),1)))</f>
        <v/>
      </c>
    </row>
    <row r="1756">
      <c r="A1756">
        <f>'Month 07'!B285</f>
        <v/>
      </c>
      <c r="B1756" t="inlineStr">
        <is>
          <t>Block Snatch</t>
        </is>
      </c>
      <c r="C1756">
        <f>IF(AND('Month 07'!L293&lt;&gt;"",N('Month 07'!I293)&gt;0),'Month 07'!I293,"")</f>
        <v/>
      </c>
      <c r="D1756">
        <f>IF(C1756="","",IF(N('Month 07'!J293)&gt;0,'Month 07'!J293,1))</f>
        <v/>
      </c>
      <c r="E1756">
        <f>IF(OR(C1756="",D1756=""),"",IF(D1756=1,C1756,ROUND(C1756*(1+D1756/30),1)))</f>
        <v/>
      </c>
    </row>
    <row r="1757">
      <c r="A1757">
        <f>'Month 07'!B285</f>
        <v/>
      </c>
      <c r="B1757" t="inlineStr">
        <is>
          <t>Block Snatch</t>
        </is>
      </c>
      <c r="C1757">
        <f>IF(AND('Month 07'!L294&lt;&gt;"",N('Month 07'!I294)&gt;0),'Month 07'!I294,"")</f>
        <v/>
      </c>
      <c r="D1757">
        <f>IF(C1757="","",IF(N('Month 07'!J294)&gt;0,'Month 07'!J294,1))</f>
        <v/>
      </c>
      <c r="E1757">
        <f>IF(OR(C1757="",D1757=""),"",IF(D1757=1,C1757,ROUND(C1757*(1+D1757/30),1)))</f>
        <v/>
      </c>
    </row>
    <row r="1758">
      <c r="A1758">
        <f>'Month 07'!B285</f>
        <v/>
      </c>
      <c r="B1758" t="inlineStr">
        <is>
          <t>Block Snatch</t>
        </is>
      </c>
      <c r="C1758">
        <f>IF(AND('Month 07'!L295&lt;&gt;"",N('Month 07'!I295)&gt;0),'Month 07'!I295,"")</f>
        <v/>
      </c>
      <c r="D1758">
        <f>IF(C1758="","",IF(N('Month 07'!J295)&gt;0,'Month 07'!J295,1))</f>
        <v/>
      </c>
      <c r="E1758">
        <f>IF(OR(C1758="",D1758=""),"",IF(D1758=1,C1758,ROUND(C1758*(1+D1758/30),1)))</f>
        <v/>
      </c>
    </row>
    <row r="1759">
      <c r="A1759">
        <f>'Month 07'!B285</f>
        <v/>
      </c>
      <c r="B1759" t="inlineStr">
        <is>
          <t>Pause Squat</t>
        </is>
      </c>
      <c r="C1759">
        <f>IF(AND('Month 07'!L297&lt;&gt;"",N('Month 07'!I297)&gt;0),'Month 07'!I297,"")</f>
        <v/>
      </c>
      <c r="D1759">
        <f>IF(C1759="","",IF(N('Month 07'!J297)&gt;0,'Month 07'!J297,1))</f>
        <v/>
      </c>
      <c r="E1759">
        <f>IF(OR(C1759="",D1759=""),"",IF(D1759=1,C1759,ROUND(C1759*(1+D1759/30),1)))</f>
        <v/>
      </c>
    </row>
    <row r="1760">
      <c r="A1760">
        <f>'Month 07'!B285</f>
        <v/>
      </c>
      <c r="B1760" t="inlineStr">
        <is>
          <t>Pause Squat</t>
        </is>
      </c>
      <c r="C1760">
        <f>IF(AND('Month 07'!L298&lt;&gt;"",N('Month 07'!I298)&gt;0),'Month 07'!I298,"")</f>
        <v/>
      </c>
      <c r="D1760">
        <f>IF(C1760="","",IF(N('Month 07'!J298)&gt;0,'Month 07'!J298,1))</f>
        <v/>
      </c>
      <c r="E1760">
        <f>IF(OR(C1760="",D1760=""),"",IF(D1760=1,C1760,ROUND(C1760*(1+D1760/30),1)))</f>
        <v/>
      </c>
    </row>
    <row r="1761">
      <c r="A1761">
        <f>'Month 07'!B285</f>
        <v/>
      </c>
      <c r="B1761" t="inlineStr">
        <is>
          <t>Pause Squat</t>
        </is>
      </c>
      <c r="C1761">
        <f>IF(AND('Month 07'!L299&lt;&gt;"",N('Month 07'!I299)&gt;0),'Month 07'!I299,"")</f>
        <v/>
      </c>
      <c r="D1761">
        <f>IF(C1761="","",IF(N('Month 07'!J299)&gt;0,'Month 07'!J299,1))</f>
        <v/>
      </c>
      <c r="E1761">
        <f>IF(OR(C1761="",D1761=""),"",IF(D1761=1,C1761,ROUND(C1761*(1+D1761/30),1)))</f>
        <v/>
      </c>
    </row>
    <row r="1762">
      <c r="A1762">
        <f>'Month 07'!B285</f>
        <v/>
      </c>
      <c r="B1762" t="inlineStr">
        <is>
          <t>Spoto Press</t>
        </is>
      </c>
      <c r="C1762">
        <f>IF(AND('Month 07'!L301&lt;&gt;"",N('Month 07'!I301)&gt;0),'Month 07'!I301,"")</f>
        <v/>
      </c>
      <c r="D1762">
        <f>IF(C1762="","",IF(N('Month 07'!J301)&gt;0,'Month 07'!J301,1))</f>
        <v/>
      </c>
      <c r="E1762">
        <f>IF(OR(C1762="",D1762=""),"",IF(D1762=1,C1762,ROUND(C1762*(1+D1762/30),1)))</f>
        <v/>
      </c>
    </row>
    <row r="1763">
      <c r="A1763">
        <f>'Month 07'!B285</f>
        <v/>
      </c>
      <c r="B1763" t="inlineStr">
        <is>
          <t>Spoto Press</t>
        </is>
      </c>
      <c r="C1763">
        <f>IF(AND('Month 07'!L302&lt;&gt;"",N('Month 07'!I302)&gt;0),'Month 07'!I302,"")</f>
        <v/>
      </c>
      <c r="D1763">
        <f>IF(C1763="","",IF(N('Month 07'!J302)&gt;0,'Month 07'!J302,1))</f>
        <v/>
      </c>
      <c r="E1763">
        <f>IF(OR(C1763="",D1763=""),"",IF(D1763=1,C1763,ROUND(C1763*(1+D1763/30),1)))</f>
        <v/>
      </c>
    </row>
    <row r="1764">
      <c r="A1764">
        <f>'Month 07'!B285</f>
        <v/>
      </c>
      <c r="B1764" t="inlineStr">
        <is>
          <t>Spoto Press</t>
        </is>
      </c>
      <c r="C1764">
        <f>IF(AND('Month 07'!L303&lt;&gt;"",N('Month 07'!I303)&gt;0),'Month 07'!I303,"")</f>
        <v/>
      </c>
      <c r="D1764">
        <f>IF(C1764="","",IF(N('Month 07'!J303)&gt;0,'Month 07'!J303,1))</f>
        <v/>
      </c>
      <c r="E1764">
        <f>IF(OR(C1764="",D1764=""),"",IF(D1764=1,C1764,ROUND(C1764*(1+D1764/30),1)))</f>
        <v/>
      </c>
    </row>
    <row r="1765">
      <c r="A1765">
        <f>'Month 07'!B285</f>
        <v/>
      </c>
      <c r="B1765" t="inlineStr">
        <is>
          <t>Paused Deadlift</t>
        </is>
      </c>
      <c r="C1765">
        <f>IF(AND('Month 07'!L305&lt;&gt;"",N('Month 07'!I305)&gt;0),'Month 07'!I305,"")</f>
        <v/>
      </c>
      <c r="D1765">
        <f>IF(C1765="","",IF(N('Month 07'!J305)&gt;0,'Month 07'!J305,1))</f>
        <v/>
      </c>
      <c r="E1765">
        <f>IF(OR(C1765="",D1765=""),"",IF(D1765=1,C1765,ROUND(C1765*(1+D1765/30),1)))</f>
        <v/>
      </c>
    </row>
    <row r="1766">
      <c r="A1766">
        <f>'Month 07'!B285</f>
        <v/>
      </c>
      <c r="B1766" t="inlineStr">
        <is>
          <t>Paused Deadlift</t>
        </is>
      </c>
      <c r="C1766">
        <f>IF(AND('Month 07'!L306&lt;&gt;"",N('Month 07'!I306)&gt;0),'Month 07'!I306,"")</f>
        <v/>
      </c>
      <c r="D1766">
        <f>IF(C1766="","",IF(N('Month 07'!J306)&gt;0,'Month 07'!J306,1))</f>
        <v/>
      </c>
      <c r="E1766">
        <f>IF(OR(C1766="",D1766=""),"",IF(D1766=1,C1766,ROUND(C1766*(1+D1766/30),1)))</f>
        <v/>
      </c>
    </row>
    <row r="1767">
      <c r="A1767">
        <f>'Month 07'!B285</f>
        <v/>
      </c>
      <c r="B1767" t="inlineStr">
        <is>
          <t>Paused Deadlift</t>
        </is>
      </c>
      <c r="C1767">
        <f>IF(AND('Month 07'!L307&lt;&gt;"",N('Month 07'!I307)&gt;0),'Month 07'!I307,"")</f>
        <v/>
      </c>
      <c r="D1767">
        <f>IF(C1767="","",IF(N('Month 07'!J307)&gt;0,'Month 07'!J307,1))</f>
        <v/>
      </c>
      <c r="E1767">
        <f>IF(OR(C1767="",D1767=""),"",IF(D1767=1,C1767,ROUND(C1767*(1+D1767/30),1)))</f>
        <v/>
      </c>
    </row>
    <row r="1768">
      <c r="A1768">
        <f>'Month 07'!B285</f>
        <v/>
      </c>
      <c r="B1768" t="inlineStr">
        <is>
          <t>Incline Dumbbell Press</t>
        </is>
      </c>
      <c r="C1768">
        <f>IF(AND('Month 07'!L309&lt;&gt;"",N('Month 07'!I309)&gt;0),'Month 07'!I309,"")</f>
        <v/>
      </c>
      <c r="D1768">
        <f>IF(C1768="","",IF(N('Month 07'!J309)&gt;0,'Month 07'!J309,1))</f>
        <v/>
      </c>
      <c r="E1768">
        <f>IF(OR(C1768="",D1768=""),"",IF(D1768=1,C1768,ROUND(C1768*(1+D1768/30),1)))</f>
        <v/>
      </c>
    </row>
    <row r="1769">
      <c r="A1769">
        <f>'Month 07'!B285</f>
        <v/>
      </c>
      <c r="B1769" t="inlineStr">
        <is>
          <t>Incline Dumbbell Press</t>
        </is>
      </c>
      <c r="C1769">
        <f>IF(AND('Month 07'!L310&lt;&gt;"",N('Month 07'!I310)&gt;0),'Month 07'!I310,"")</f>
        <v/>
      </c>
      <c r="D1769">
        <f>IF(C1769="","",IF(N('Month 07'!J310)&gt;0,'Month 07'!J310,1))</f>
        <v/>
      </c>
      <c r="E1769">
        <f>IF(OR(C1769="",D1769=""),"",IF(D1769=1,C1769,ROUND(C1769*(1+D1769/30),1)))</f>
        <v/>
      </c>
    </row>
    <row r="1770">
      <c r="A1770">
        <f>'Month 07'!B285</f>
        <v/>
      </c>
      <c r="B1770" t="inlineStr">
        <is>
          <t>Incline Dumbbell Press</t>
        </is>
      </c>
      <c r="C1770">
        <f>IF(AND('Month 07'!L311&lt;&gt;"",N('Month 07'!I311)&gt;0),'Month 07'!I311,"")</f>
        <v/>
      </c>
      <c r="D1770">
        <f>IF(C1770="","",IF(N('Month 07'!J311)&gt;0,'Month 07'!J311,1))</f>
        <v/>
      </c>
      <c r="E1770">
        <f>IF(OR(C1770="",D1770=""),"",IF(D1770=1,C1770,ROUND(C1770*(1+D1770/30),1)))</f>
        <v/>
      </c>
    </row>
    <row r="1771">
      <c r="A1771">
        <f>'Month 07'!B285</f>
        <v/>
      </c>
      <c r="B1771" t="inlineStr">
        <is>
          <t>Incline Dumbbell Press</t>
        </is>
      </c>
      <c r="C1771">
        <f>IF(AND('Month 07'!L312&lt;&gt;"",N('Month 07'!I312)&gt;0),'Month 07'!I312,"")</f>
        <v/>
      </c>
      <c r="D1771">
        <f>IF(C1771="","",IF(N('Month 07'!J312)&gt;0,'Month 07'!J312,1))</f>
        <v/>
      </c>
      <c r="E1771">
        <f>IF(OR(C1771="",D1771=""),"",IF(D1771=1,C1771,ROUND(C1771*(1+D1771/30),1)))</f>
        <v/>
      </c>
    </row>
    <row r="1772">
      <c r="A1772">
        <f>'Month 07'!B285</f>
        <v/>
      </c>
      <c r="B1772" t="inlineStr">
        <is>
          <t>Triceps Pushdown</t>
        </is>
      </c>
      <c r="C1772">
        <f>IF(AND('Month 07'!L314&lt;&gt;"",N('Month 07'!I314)&gt;0),'Month 07'!I314,"")</f>
        <v/>
      </c>
      <c r="D1772">
        <f>IF(C1772="","",IF(N('Month 07'!J314)&gt;0,'Month 07'!J314,1))</f>
        <v/>
      </c>
      <c r="E1772">
        <f>IF(OR(C1772="",D1772=""),"",IF(D1772=1,C1772,ROUND(C1772*(1+D1772/30),1)))</f>
        <v/>
      </c>
    </row>
    <row r="1773">
      <c r="A1773">
        <f>'Month 07'!B285</f>
        <v/>
      </c>
      <c r="B1773" t="inlineStr">
        <is>
          <t>Triceps Pushdown</t>
        </is>
      </c>
      <c r="C1773">
        <f>IF(AND('Month 07'!L315&lt;&gt;"",N('Month 07'!I315)&gt;0),'Month 07'!I315,"")</f>
        <v/>
      </c>
      <c r="D1773">
        <f>IF(C1773="","",IF(N('Month 07'!J315)&gt;0,'Month 07'!J315,1))</f>
        <v/>
      </c>
      <c r="E1773">
        <f>IF(OR(C1773="",D1773=""),"",IF(D1773=1,C1773,ROUND(C1773*(1+D1773/30),1)))</f>
        <v/>
      </c>
    </row>
    <row r="1774">
      <c r="A1774">
        <f>'Month 07'!B285</f>
        <v/>
      </c>
      <c r="B1774" t="inlineStr">
        <is>
          <t>Triceps Pushdown</t>
        </is>
      </c>
      <c r="C1774">
        <f>IF(AND('Month 07'!L316&lt;&gt;"",N('Month 07'!I316)&gt;0),'Month 07'!I316,"")</f>
        <v/>
      </c>
      <c r="D1774">
        <f>IF(C1774="","",IF(N('Month 07'!J316)&gt;0,'Month 07'!J316,1))</f>
        <v/>
      </c>
      <c r="E1774">
        <f>IF(OR(C1774="",D1774=""),"",IF(D1774=1,C1774,ROUND(C1774*(1+D1774/30),1)))</f>
        <v/>
      </c>
    </row>
    <row r="1775">
      <c r="A1775">
        <f>'Month 07'!B285</f>
        <v/>
      </c>
      <c r="B1775" t="inlineStr">
        <is>
          <t>Triceps Pushdown</t>
        </is>
      </c>
      <c r="C1775">
        <f>IF(AND('Month 07'!L317&lt;&gt;"",N('Month 07'!I317)&gt;0),'Month 07'!I317,"")</f>
        <v/>
      </c>
      <c r="D1775">
        <f>IF(C1775="","",IF(N('Month 07'!J317)&gt;0,'Month 07'!J317,1))</f>
        <v/>
      </c>
      <c r="E1775">
        <f>IF(OR(C1775="",D1775=""),"",IF(D1775=1,C1775,ROUND(C1775*(1+D1775/30),1)))</f>
        <v/>
      </c>
    </row>
    <row r="1776">
      <c r="A1776">
        <f>'Month 07'!B320</f>
        <v/>
      </c>
      <c r="B1776" t="inlineStr">
        <is>
          <t>Box Jump</t>
        </is>
      </c>
      <c r="C1776">
        <f>IF(AND('Month 07'!L322&lt;&gt;"",N('Month 07'!I322)&gt;0),'Month 07'!I322,"")</f>
        <v/>
      </c>
      <c r="D1776">
        <f>IF(C1776="","",IF(N('Month 07'!J322)&gt;0,'Month 07'!J322,1))</f>
        <v/>
      </c>
      <c r="E1776">
        <f>IF(OR(C1776="",D1776=""),"",IF(D1776=1,C1776,ROUND(C1776*(1+D1776/30),1)))</f>
        <v/>
      </c>
    </row>
    <row r="1777">
      <c r="A1777">
        <f>'Month 07'!B320</f>
        <v/>
      </c>
      <c r="B1777" t="inlineStr">
        <is>
          <t>Box Jump</t>
        </is>
      </c>
      <c r="C1777">
        <f>IF(AND('Month 07'!L323&lt;&gt;"",N('Month 07'!I323)&gt;0),'Month 07'!I323,"")</f>
        <v/>
      </c>
      <c r="D1777">
        <f>IF(C1777="","",IF(N('Month 07'!J323)&gt;0,'Month 07'!J323,1))</f>
        <v/>
      </c>
      <c r="E1777">
        <f>IF(OR(C1777="",D1777=""),"",IF(D1777=1,C1777,ROUND(C1777*(1+D1777/30),1)))</f>
        <v/>
      </c>
    </row>
    <row r="1778">
      <c r="A1778">
        <f>'Month 07'!B320</f>
        <v/>
      </c>
      <c r="B1778" t="inlineStr">
        <is>
          <t>Snatch</t>
        </is>
      </c>
      <c r="C1778">
        <f>IF(AND('Month 07'!L325&lt;&gt;"",N('Month 07'!I325)&gt;0),'Month 07'!I325,"")</f>
        <v/>
      </c>
      <c r="D1778">
        <f>IF(C1778="","",IF(N('Month 07'!J325)&gt;0,'Month 07'!J325,1))</f>
        <v/>
      </c>
      <c r="E1778">
        <f>IF(OR(C1778="",D1778=""),"",IF(D1778=1,C1778,ROUND(C1778*(1+D1778/30),1)))</f>
        <v/>
      </c>
    </row>
    <row r="1779">
      <c r="A1779">
        <f>'Month 07'!B320</f>
        <v/>
      </c>
      <c r="B1779" t="inlineStr">
        <is>
          <t>Snatch</t>
        </is>
      </c>
      <c r="C1779">
        <f>IF(AND('Month 07'!L326&lt;&gt;"",N('Month 07'!I326)&gt;0),'Month 07'!I326,"")</f>
        <v/>
      </c>
      <c r="D1779">
        <f>IF(C1779="","",IF(N('Month 07'!J326)&gt;0,'Month 07'!J326,1))</f>
        <v/>
      </c>
      <c r="E1779">
        <f>IF(OR(C1779="",D1779=""),"",IF(D1779=1,C1779,ROUND(C1779*(1+D1779/30),1)))</f>
        <v/>
      </c>
    </row>
    <row r="1780">
      <c r="A1780">
        <f>'Month 07'!B320</f>
        <v/>
      </c>
      <c r="B1780" t="inlineStr">
        <is>
          <t>Squat</t>
        </is>
      </c>
      <c r="C1780">
        <f>IF(AND('Month 07'!L328&lt;&gt;"",N('Month 07'!I328)&gt;0),'Month 07'!I328,"")</f>
        <v/>
      </c>
      <c r="D1780">
        <f>IF(C1780="","",IF(N('Month 07'!J328)&gt;0,'Month 07'!J328,1))</f>
        <v/>
      </c>
      <c r="E1780">
        <f>IF(OR(C1780="",D1780=""),"",IF(D1780=1,C1780,ROUND(C1780*(1+D1780/30),1)))</f>
        <v/>
      </c>
    </row>
    <row r="1781">
      <c r="A1781">
        <f>'Month 07'!B320</f>
        <v/>
      </c>
      <c r="B1781" t="inlineStr">
        <is>
          <t>Squat</t>
        </is>
      </c>
      <c r="C1781">
        <f>IF(AND('Month 07'!L329&lt;&gt;"",N('Month 07'!I329)&gt;0),'Month 07'!I329,"")</f>
        <v/>
      </c>
      <c r="D1781">
        <f>IF(C1781="","",IF(N('Month 07'!J329)&gt;0,'Month 07'!J329,1))</f>
        <v/>
      </c>
      <c r="E1781">
        <f>IF(OR(C1781="",D1781=""),"",IF(D1781=1,C1781,ROUND(C1781*(1+D1781/30),1)))</f>
        <v/>
      </c>
    </row>
    <row r="1782">
      <c r="A1782">
        <f>'Month 07'!B320</f>
        <v/>
      </c>
      <c r="B1782" t="inlineStr">
        <is>
          <t>Bench Press</t>
        </is>
      </c>
      <c r="C1782">
        <f>IF(AND('Month 07'!L331&lt;&gt;"",N('Month 07'!I331)&gt;0),'Month 07'!I331,"")</f>
        <v/>
      </c>
      <c r="D1782">
        <f>IF(C1782="","",IF(N('Month 07'!J331)&gt;0,'Month 07'!J331,1))</f>
        <v/>
      </c>
      <c r="E1782">
        <f>IF(OR(C1782="",D1782=""),"",IF(D1782=1,C1782,ROUND(C1782*(1+D1782/30),1)))</f>
        <v/>
      </c>
    </row>
    <row r="1783">
      <c r="A1783">
        <f>'Month 07'!B320</f>
        <v/>
      </c>
      <c r="B1783" t="inlineStr">
        <is>
          <t>Bench Press</t>
        </is>
      </c>
      <c r="C1783">
        <f>IF(AND('Month 07'!L332&lt;&gt;"",N('Month 07'!I332)&gt;0),'Month 07'!I332,"")</f>
        <v/>
      </c>
      <c r="D1783">
        <f>IF(C1783="","",IF(N('Month 07'!J332)&gt;0,'Month 07'!J332,1))</f>
        <v/>
      </c>
      <c r="E1783">
        <f>IF(OR(C1783="",D1783=""),"",IF(D1783=1,C1783,ROUND(C1783*(1+D1783/30),1)))</f>
        <v/>
      </c>
    </row>
    <row r="1784">
      <c r="A1784">
        <f>'Month 07'!B320</f>
        <v/>
      </c>
      <c r="B1784" t="inlineStr">
        <is>
          <t>Barbell Row</t>
        </is>
      </c>
      <c r="C1784">
        <f>IF(AND('Month 07'!L334&lt;&gt;"",N('Month 07'!I334)&gt;0),'Month 07'!I334,"")</f>
        <v/>
      </c>
      <c r="D1784">
        <f>IF(C1784="","",IF(N('Month 07'!J334)&gt;0,'Month 07'!J334,1))</f>
        <v/>
      </c>
      <c r="E1784">
        <f>IF(OR(C1784="",D1784=""),"",IF(D1784=1,C1784,ROUND(C1784*(1+D1784/30),1)))</f>
        <v/>
      </c>
    </row>
    <row r="1785">
      <c r="A1785">
        <f>'Month 07'!B320</f>
        <v/>
      </c>
      <c r="B1785" t="inlineStr">
        <is>
          <t>Barbell Row</t>
        </is>
      </c>
      <c r="C1785">
        <f>IF(AND('Month 07'!L335&lt;&gt;"",N('Month 07'!I335)&gt;0),'Month 07'!I335,"")</f>
        <v/>
      </c>
      <c r="D1785">
        <f>IF(C1785="","",IF(N('Month 07'!J335)&gt;0,'Month 07'!J335,1))</f>
        <v/>
      </c>
      <c r="E1785">
        <f>IF(OR(C1785="",D1785=""),"",IF(D1785=1,C1785,ROUND(C1785*(1+D1785/30),1)))</f>
        <v/>
      </c>
    </row>
    <row r="1786">
      <c r="A1786">
        <f>'Month 07'!B320</f>
        <v/>
      </c>
      <c r="B1786" t="inlineStr">
        <is>
          <t>Face Pull</t>
        </is>
      </c>
      <c r="C1786">
        <f>IF(AND('Month 07'!L337&lt;&gt;"",N('Month 07'!I337)&gt;0),'Month 07'!I337,"")</f>
        <v/>
      </c>
      <c r="D1786">
        <f>IF(C1786="","",IF(N('Month 07'!J337)&gt;0,'Month 07'!J337,1))</f>
        <v/>
      </c>
      <c r="E1786">
        <f>IF(OR(C1786="",D1786=""),"",IF(D1786=1,C1786,ROUND(C1786*(1+D1786/30),1)))</f>
        <v/>
      </c>
    </row>
    <row r="1787">
      <c r="A1787">
        <f>'Month 07'!B320</f>
        <v/>
      </c>
      <c r="B1787" t="inlineStr">
        <is>
          <t>Face Pull</t>
        </is>
      </c>
      <c r="C1787">
        <f>IF(AND('Month 07'!L338&lt;&gt;"",N('Month 07'!I338)&gt;0),'Month 07'!I338,"")</f>
        <v/>
      </c>
      <c r="D1787">
        <f>IF(C1787="","",IF(N('Month 07'!J338)&gt;0,'Month 07'!J338,1))</f>
        <v/>
      </c>
      <c r="E1787">
        <f>IF(OR(C1787="",D1787=""),"",IF(D1787=1,C1787,ROUND(C1787*(1+D1787/30),1)))</f>
        <v/>
      </c>
    </row>
    <row r="1788">
      <c r="A1788">
        <f>'Month 07'!B339</f>
        <v/>
      </c>
      <c r="B1788" t="inlineStr">
        <is>
          <t>Broad Jump</t>
        </is>
      </c>
      <c r="C1788">
        <f>IF(AND('Month 07'!L341&lt;&gt;"",N('Month 07'!I341)&gt;0),'Month 07'!I341,"")</f>
        <v/>
      </c>
      <c r="D1788">
        <f>IF(C1788="","",IF(N('Month 07'!J341)&gt;0,'Month 07'!J341,1))</f>
        <v/>
      </c>
      <c r="E1788">
        <f>IF(OR(C1788="",D1788=""),"",IF(D1788=1,C1788,ROUND(C1788*(1+D1788/30),1)))</f>
        <v/>
      </c>
    </row>
    <row r="1789">
      <c r="A1789">
        <f>'Month 07'!B339</f>
        <v/>
      </c>
      <c r="B1789" t="inlineStr">
        <is>
          <t>Broad Jump</t>
        </is>
      </c>
      <c r="C1789">
        <f>IF(AND('Month 07'!L342&lt;&gt;"",N('Month 07'!I342)&gt;0),'Month 07'!I342,"")</f>
        <v/>
      </c>
      <c r="D1789">
        <f>IF(C1789="","",IF(N('Month 07'!J342)&gt;0,'Month 07'!J342,1))</f>
        <v/>
      </c>
      <c r="E1789">
        <f>IF(OR(C1789="",D1789=""),"",IF(D1789=1,C1789,ROUND(C1789*(1+D1789/30),1)))</f>
        <v/>
      </c>
    </row>
    <row r="1790">
      <c r="A1790">
        <f>'Month 07'!B339</f>
        <v/>
      </c>
      <c r="B1790" t="inlineStr">
        <is>
          <t>Med Ball Chest Pass</t>
        </is>
      </c>
      <c r="C1790">
        <f>IF(AND('Month 07'!L344&lt;&gt;"",N('Month 07'!I344)&gt;0),'Month 07'!I344,"")</f>
        <v/>
      </c>
      <c r="D1790">
        <f>IF(C1790="","",IF(N('Month 07'!J344)&gt;0,'Month 07'!J344,1))</f>
        <v/>
      </c>
      <c r="E1790">
        <f>IF(OR(C1790="",D1790=""),"",IF(D1790=1,C1790,ROUND(C1790*(1+D1790/30),1)))</f>
        <v/>
      </c>
    </row>
    <row r="1791">
      <c r="A1791">
        <f>'Month 07'!B339</f>
        <v/>
      </c>
      <c r="B1791" t="inlineStr">
        <is>
          <t>Med Ball Chest Pass</t>
        </is>
      </c>
      <c r="C1791">
        <f>IF(AND('Month 07'!L345&lt;&gt;"",N('Month 07'!I345)&gt;0),'Month 07'!I345,"")</f>
        <v/>
      </c>
      <c r="D1791">
        <f>IF(C1791="","",IF(N('Month 07'!J345)&gt;0,'Month 07'!J345,1))</f>
        <v/>
      </c>
      <c r="E1791">
        <f>IF(OR(C1791="",D1791=""),"",IF(D1791=1,C1791,ROUND(C1791*(1+D1791/30),1)))</f>
        <v/>
      </c>
    </row>
    <row r="1792">
      <c r="A1792">
        <f>'Month 07'!B339</f>
        <v/>
      </c>
      <c r="B1792" t="inlineStr">
        <is>
          <t>Clean &amp; Jerk</t>
        </is>
      </c>
      <c r="C1792">
        <f>IF(AND('Month 07'!L347&lt;&gt;"",N('Month 07'!I347)&gt;0),'Month 07'!I347,"")</f>
        <v/>
      </c>
      <c r="D1792">
        <f>IF(C1792="","",IF(N('Month 07'!J347)&gt;0,'Month 07'!J347,1))</f>
        <v/>
      </c>
      <c r="E1792">
        <f>IF(OR(C1792="",D1792=""),"",IF(D1792=1,C1792,ROUND(C1792*(1+D1792/30),1)))</f>
        <v/>
      </c>
    </row>
    <row r="1793">
      <c r="A1793">
        <f>'Month 07'!B339</f>
        <v/>
      </c>
      <c r="B1793" t="inlineStr">
        <is>
          <t>Clean &amp; Jerk</t>
        </is>
      </c>
      <c r="C1793">
        <f>IF(AND('Month 07'!L348&lt;&gt;"",N('Month 07'!I348)&gt;0),'Month 07'!I348,"")</f>
        <v/>
      </c>
      <c r="D1793">
        <f>IF(C1793="","",IF(N('Month 07'!J348)&gt;0,'Month 07'!J348,1))</f>
        <v/>
      </c>
      <c r="E1793">
        <f>IF(OR(C1793="",D1793=""),"",IF(D1793=1,C1793,ROUND(C1793*(1+D1793/30),1)))</f>
        <v/>
      </c>
    </row>
    <row r="1794">
      <c r="A1794">
        <f>'Month 07'!B339</f>
        <v/>
      </c>
      <c r="B1794" t="inlineStr">
        <is>
          <t>Squat</t>
        </is>
      </c>
      <c r="C1794">
        <f>IF(AND('Month 07'!L350&lt;&gt;"",N('Month 07'!I350)&gt;0),'Month 07'!I350,"")</f>
        <v/>
      </c>
      <c r="D1794">
        <f>IF(C1794="","",IF(N('Month 07'!J350)&gt;0,'Month 07'!J350,1))</f>
        <v/>
      </c>
      <c r="E1794">
        <f>IF(OR(C1794="",D1794=""),"",IF(D1794=1,C1794,ROUND(C1794*(1+D1794/30),1)))</f>
        <v/>
      </c>
    </row>
    <row r="1795">
      <c r="A1795">
        <f>'Month 07'!B339</f>
        <v/>
      </c>
      <c r="B1795" t="inlineStr">
        <is>
          <t>Squat</t>
        </is>
      </c>
      <c r="C1795">
        <f>IF(AND('Month 07'!L351&lt;&gt;"",N('Month 07'!I351)&gt;0),'Month 07'!I351,"")</f>
        <v/>
      </c>
      <c r="D1795">
        <f>IF(C1795="","",IF(N('Month 07'!J351)&gt;0,'Month 07'!J351,1))</f>
        <v/>
      </c>
      <c r="E1795">
        <f>IF(OR(C1795="",D1795=""),"",IF(D1795=1,C1795,ROUND(C1795*(1+D1795/30),1)))</f>
        <v/>
      </c>
    </row>
    <row r="1796">
      <c r="A1796">
        <f>'Month 07'!B339</f>
        <v/>
      </c>
      <c r="B1796" t="inlineStr">
        <is>
          <t>Overhead Press</t>
        </is>
      </c>
      <c r="C1796">
        <f>IF(AND('Month 07'!L353&lt;&gt;"",N('Month 07'!I353)&gt;0),'Month 07'!I353,"")</f>
        <v/>
      </c>
      <c r="D1796">
        <f>IF(C1796="","",IF(N('Month 07'!J353)&gt;0,'Month 07'!J353,1))</f>
        <v/>
      </c>
      <c r="E1796">
        <f>IF(OR(C1796="",D1796=""),"",IF(D1796=1,C1796,ROUND(C1796*(1+D1796/30),1)))</f>
        <v/>
      </c>
    </row>
    <row r="1797">
      <c r="A1797">
        <f>'Month 07'!B339</f>
        <v/>
      </c>
      <c r="B1797" t="inlineStr">
        <is>
          <t>Overhead Press</t>
        </is>
      </c>
      <c r="C1797">
        <f>IF(AND('Month 07'!L354&lt;&gt;"",N('Month 07'!I354)&gt;0),'Month 07'!I354,"")</f>
        <v/>
      </c>
      <c r="D1797">
        <f>IF(C1797="","",IF(N('Month 07'!J354)&gt;0,'Month 07'!J354,1))</f>
        <v/>
      </c>
      <c r="E1797">
        <f>IF(OR(C1797="",D1797=""),"",IF(D1797=1,C1797,ROUND(C1797*(1+D1797/30),1)))</f>
        <v/>
      </c>
    </row>
    <row r="1798">
      <c r="A1798">
        <f>'Month 07'!B339</f>
        <v/>
      </c>
      <c r="B1798" t="inlineStr">
        <is>
          <t>Deadlift</t>
        </is>
      </c>
      <c r="C1798">
        <f>IF(AND('Month 07'!L356&lt;&gt;"",N('Month 07'!I356)&gt;0),'Month 07'!I356,"")</f>
        <v/>
      </c>
      <c r="D1798">
        <f>IF(C1798="","",IF(N('Month 07'!J356)&gt;0,'Month 07'!J356,1))</f>
        <v/>
      </c>
      <c r="E1798">
        <f>IF(OR(C1798="",D1798=""),"",IF(D1798=1,C1798,ROUND(C1798*(1+D1798/30),1)))</f>
        <v/>
      </c>
    </row>
    <row r="1799">
      <c r="A1799">
        <f>'Month 07'!B339</f>
        <v/>
      </c>
      <c r="B1799" t="inlineStr">
        <is>
          <t>Deadlift</t>
        </is>
      </c>
      <c r="C1799">
        <f>IF(AND('Month 07'!L357&lt;&gt;"",N('Month 07'!I357)&gt;0),'Month 07'!I357,"")</f>
        <v/>
      </c>
      <c r="D1799">
        <f>IF(C1799="","",IF(N('Month 07'!J357)&gt;0,'Month 07'!J357,1))</f>
        <v/>
      </c>
      <c r="E1799">
        <f>IF(OR(C1799="",D1799=""),"",IF(D1799=1,C1799,ROUND(C1799*(1+D1799/30),1)))</f>
        <v/>
      </c>
    </row>
    <row r="1800">
      <c r="A1800">
        <f>'Month 07'!B339</f>
        <v/>
      </c>
      <c r="B1800" t="inlineStr">
        <is>
          <t>Chin-up</t>
        </is>
      </c>
      <c r="C1800">
        <f>IF(AND('Month 07'!L359&lt;&gt;"",N('Month 07'!I359)&gt;0),'Month 07'!I359,"")</f>
        <v/>
      </c>
      <c r="D1800">
        <f>IF(C1800="","",IF(N('Month 07'!J359)&gt;0,'Month 07'!J359,1))</f>
        <v/>
      </c>
      <c r="E1800">
        <f>IF(OR(C1800="",D1800=""),"",IF(D1800=1,C1800,ROUND(C1800*(1+D1800/30),1)))</f>
        <v/>
      </c>
    </row>
    <row r="1801">
      <c r="A1801">
        <f>'Month 07'!B339</f>
        <v/>
      </c>
      <c r="B1801" t="inlineStr">
        <is>
          <t>Chin-up</t>
        </is>
      </c>
      <c r="C1801">
        <f>IF(AND('Month 07'!L360&lt;&gt;"",N('Month 07'!I360)&gt;0),'Month 07'!I360,"")</f>
        <v/>
      </c>
      <c r="D1801">
        <f>IF(C1801="","",IF(N('Month 07'!J360)&gt;0,'Month 07'!J360,1))</f>
        <v/>
      </c>
      <c r="E1801">
        <f>IF(OR(C1801="",D1801=""),"",IF(D1801=1,C1801,ROUND(C1801*(1+D1801/30),1)))</f>
        <v/>
      </c>
    </row>
    <row r="1802">
      <c r="A1802">
        <f>'Month 07'!B339</f>
        <v/>
      </c>
      <c r="B1802" t="inlineStr">
        <is>
          <t>Plank</t>
        </is>
      </c>
      <c r="C1802">
        <f>IF(AND('Month 07'!L362&lt;&gt;"",N('Month 07'!I362)&gt;0),'Month 07'!I362,"")</f>
        <v/>
      </c>
      <c r="D1802">
        <f>IF(C1802="","",IF(N('Month 07'!J362)&gt;0,'Month 07'!J362,1))</f>
        <v/>
      </c>
      <c r="E1802">
        <f>IF(OR(C1802="",D1802=""),"",IF(D1802=1,C1802,ROUND(C1802*(1+D1802/30),1)))</f>
        <v/>
      </c>
    </row>
    <row r="1803">
      <c r="A1803">
        <f>'Month 07'!B339</f>
        <v/>
      </c>
      <c r="B1803" t="inlineStr">
        <is>
          <t>Plank</t>
        </is>
      </c>
      <c r="C1803">
        <f>IF(AND('Month 07'!L363&lt;&gt;"",N('Month 07'!I363)&gt;0),'Month 07'!I363,"")</f>
        <v/>
      </c>
      <c r="D1803">
        <f>IF(C1803="","",IF(N('Month 07'!J363)&gt;0,'Month 07'!J363,1))</f>
        <v/>
      </c>
      <c r="E1803">
        <f>IF(OR(C1803="",D1803=""),"",IF(D1803=1,C1803,ROUND(C1803*(1+D1803/30),1)))</f>
        <v/>
      </c>
    </row>
    <row r="1804">
      <c r="A1804">
        <f>'Month 07'!B364</f>
        <v/>
      </c>
      <c r="B1804" t="inlineStr">
        <is>
          <t>Depth Jump</t>
        </is>
      </c>
      <c r="C1804">
        <f>IF(AND('Month 07'!L366&lt;&gt;"",N('Month 07'!I366)&gt;0),'Month 07'!I366,"")</f>
        <v/>
      </c>
      <c r="D1804">
        <f>IF(C1804="","",IF(N('Month 07'!J366)&gt;0,'Month 07'!J366,1))</f>
        <v/>
      </c>
      <c r="E1804">
        <f>IF(OR(C1804="",D1804=""),"",IF(D1804=1,C1804,ROUND(C1804*(1+D1804/30),1)))</f>
        <v/>
      </c>
    </row>
    <row r="1805">
      <c r="A1805">
        <f>'Month 07'!B364</f>
        <v/>
      </c>
      <c r="B1805" t="inlineStr">
        <is>
          <t>Depth Jump</t>
        </is>
      </c>
      <c r="C1805">
        <f>IF(AND('Month 07'!L367&lt;&gt;"",N('Month 07'!I367)&gt;0),'Month 07'!I367,"")</f>
        <v/>
      </c>
      <c r="D1805">
        <f>IF(C1805="","",IF(N('Month 07'!J367)&gt;0,'Month 07'!J367,1))</f>
        <v/>
      </c>
      <c r="E1805">
        <f>IF(OR(C1805="",D1805=""),"",IF(D1805=1,C1805,ROUND(C1805*(1+D1805/30),1)))</f>
        <v/>
      </c>
    </row>
    <row r="1806">
      <c r="A1806">
        <f>'Month 07'!B364</f>
        <v/>
      </c>
      <c r="B1806" t="inlineStr">
        <is>
          <t>Block Snatch</t>
        </is>
      </c>
      <c r="C1806">
        <f>IF(AND('Month 07'!L369&lt;&gt;"",N('Month 07'!I369)&gt;0),'Month 07'!I369,"")</f>
        <v/>
      </c>
      <c r="D1806">
        <f>IF(C1806="","",IF(N('Month 07'!J369)&gt;0,'Month 07'!J369,1))</f>
        <v/>
      </c>
      <c r="E1806">
        <f>IF(OR(C1806="",D1806=""),"",IF(D1806=1,C1806,ROUND(C1806*(1+D1806/30),1)))</f>
        <v/>
      </c>
    </row>
    <row r="1807">
      <c r="A1807">
        <f>'Month 07'!B364</f>
        <v/>
      </c>
      <c r="B1807" t="inlineStr">
        <is>
          <t>Block Snatch</t>
        </is>
      </c>
      <c r="C1807">
        <f>IF(AND('Month 07'!L370&lt;&gt;"",N('Month 07'!I370)&gt;0),'Month 07'!I370,"")</f>
        <v/>
      </c>
      <c r="D1807">
        <f>IF(C1807="","",IF(N('Month 07'!J370)&gt;0,'Month 07'!J370,1))</f>
        <v/>
      </c>
      <c r="E1807">
        <f>IF(OR(C1807="",D1807=""),"",IF(D1807=1,C1807,ROUND(C1807*(1+D1807/30),1)))</f>
        <v/>
      </c>
    </row>
    <row r="1808">
      <c r="A1808">
        <f>'Month 07'!B364</f>
        <v/>
      </c>
      <c r="B1808" t="inlineStr">
        <is>
          <t>Pause Squat</t>
        </is>
      </c>
      <c r="C1808">
        <f>IF(AND('Month 07'!L372&lt;&gt;"",N('Month 07'!I372)&gt;0),'Month 07'!I372,"")</f>
        <v/>
      </c>
      <c r="D1808">
        <f>IF(C1808="","",IF(N('Month 07'!J372)&gt;0,'Month 07'!J372,1))</f>
        <v/>
      </c>
      <c r="E1808">
        <f>IF(OR(C1808="",D1808=""),"",IF(D1808=1,C1808,ROUND(C1808*(1+D1808/30),1)))</f>
        <v/>
      </c>
    </row>
    <row r="1809">
      <c r="A1809">
        <f>'Month 07'!B364</f>
        <v/>
      </c>
      <c r="B1809" t="inlineStr">
        <is>
          <t>Pause Squat</t>
        </is>
      </c>
      <c r="C1809">
        <f>IF(AND('Month 07'!L373&lt;&gt;"",N('Month 07'!I373)&gt;0),'Month 07'!I373,"")</f>
        <v/>
      </c>
      <c r="D1809">
        <f>IF(C1809="","",IF(N('Month 07'!J373)&gt;0,'Month 07'!J373,1))</f>
        <v/>
      </c>
      <c r="E1809">
        <f>IF(OR(C1809="",D1809=""),"",IF(D1809=1,C1809,ROUND(C1809*(1+D1809/30),1)))</f>
        <v/>
      </c>
    </row>
    <row r="1810">
      <c r="A1810">
        <f>'Month 07'!B364</f>
        <v/>
      </c>
      <c r="B1810" t="inlineStr">
        <is>
          <t>Spoto Press</t>
        </is>
      </c>
      <c r="C1810">
        <f>IF(AND('Month 07'!L375&lt;&gt;"",N('Month 07'!I375)&gt;0),'Month 07'!I375,"")</f>
        <v/>
      </c>
      <c r="D1810">
        <f>IF(C1810="","",IF(N('Month 07'!J375)&gt;0,'Month 07'!J375,1))</f>
        <v/>
      </c>
      <c r="E1810">
        <f>IF(OR(C1810="",D1810=""),"",IF(D1810=1,C1810,ROUND(C1810*(1+D1810/30),1)))</f>
        <v/>
      </c>
    </row>
    <row r="1811">
      <c r="A1811">
        <f>'Month 07'!B364</f>
        <v/>
      </c>
      <c r="B1811" t="inlineStr">
        <is>
          <t>Spoto Press</t>
        </is>
      </c>
      <c r="C1811">
        <f>IF(AND('Month 07'!L376&lt;&gt;"",N('Month 07'!I376)&gt;0),'Month 07'!I376,"")</f>
        <v/>
      </c>
      <c r="D1811">
        <f>IF(C1811="","",IF(N('Month 07'!J376)&gt;0,'Month 07'!J376,1))</f>
        <v/>
      </c>
      <c r="E1811">
        <f>IF(OR(C1811="",D1811=""),"",IF(D1811=1,C1811,ROUND(C1811*(1+D1811/30),1)))</f>
        <v/>
      </c>
    </row>
    <row r="1812">
      <c r="A1812">
        <f>'Month 07'!B364</f>
        <v/>
      </c>
      <c r="B1812" t="inlineStr">
        <is>
          <t>Paused Deadlift</t>
        </is>
      </c>
      <c r="C1812">
        <f>IF(AND('Month 07'!L378&lt;&gt;"",N('Month 07'!I378)&gt;0),'Month 07'!I378,"")</f>
        <v/>
      </c>
      <c r="D1812">
        <f>IF(C1812="","",IF(N('Month 07'!J378)&gt;0,'Month 07'!J378,1))</f>
        <v/>
      </c>
      <c r="E1812">
        <f>IF(OR(C1812="",D1812=""),"",IF(D1812=1,C1812,ROUND(C1812*(1+D1812/30),1)))</f>
        <v/>
      </c>
    </row>
    <row r="1813">
      <c r="A1813">
        <f>'Month 07'!B364</f>
        <v/>
      </c>
      <c r="B1813" t="inlineStr">
        <is>
          <t>Paused Deadlift</t>
        </is>
      </c>
      <c r="C1813">
        <f>IF(AND('Month 07'!L379&lt;&gt;"",N('Month 07'!I379)&gt;0),'Month 07'!I379,"")</f>
        <v/>
      </c>
      <c r="D1813">
        <f>IF(C1813="","",IF(N('Month 07'!J379)&gt;0,'Month 07'!J379,1))</f>
        <v/>
      </c>
      <c r="E1813">
        <f>IF(OR(C1813="",D1813=""),"",IF(D1813=1,C1813,ROUND(C1813*(1+D1813/30),1)))</f>
        <v/>
      </c>
    </row>
    <row r="1814">
      <c r="A1814">
        <f>'Month 07'!B364</f>
        <v/>
      </c>
      <c r="B1814" t="inlineStr">
        <is>
          <t>Incline Dumbbell Press</t>
        </is>
      </c>
      <c r="C1814">
        <f>IF(AND('Month 07'!L381&lt;&gt;"",N('Month 07'!I381)&gt;0),'Month 07'!I381,"")</f>
        <v/>
      </c>
      <c r="D1814">
        <f>IF(C1814="","",IF(N('Month 07'!J381)&gt;0,'Month 07'!J381,1))</f>
        <v/>
      </c>
      <c r="E1814">
        <f>IF(OR(C1814="",D1814=""),"",IF(D1814=1,C1814,ROUND(C1814*(1+D1814/30),1)))</f>
        <v/>
      </c>
    </row>
    <row r="1815">
      <c r="A1815">
        <f>'Month 07'!B364</f>
        <v/>
      </c>
      <c r="B1815" t="inlineStr">
        <is>
          <t>Incline Dumbbell Press</t>
        </is>
      </c>
      <c r="C1815">
        <f>IF(AND('Month 07'!L382&lt;&gt;"",N('Month 07'!I382)&gt;0),'Month 07'!I382,"")</f>
        <v/>
      </c>
      <c r="D1815">
        <f>IF(C1815="","",IF(N('Month 07'!J382)&gt;0,'Month 07'!J382,1))</f>
        <v/>
      </c>
      <c r="E1815">
        <f>IF(OR(C1815="",D1815=""),"",IF(D1815=1,C1815,ROUND(C1815*(1+D1815/30),1)))</f>
        <v/>
      </c>
    </row>
    <row r="1816">
      <c r="A1816">
        <f>'Month 07'!B364</f>
        <v/>
      </c>
      <c r="B1816" t="inlineStr">
        <is>
          <t>Triceps Pushdown</t>
        </is>
      </c>
      <c r="C1816">
        <f>IF(AND('Month 07'!L384&lt;&gt;"",N('Month 07'!I384)&gt;0),'Month 07'!I384,"")</f>
        <v/>
      </c>
      <c r="D1816">
        <f>IF(C1816="","",IF(N('Month 07'!J384)&gt;0,'Month 07'!J384,1))</f>
        <v/>
      </c>
      <c r="E1816">
        <f>IF(OR(C1816="",D1816=""),"",IF(D1816=1,C1816,ROUND(C1816*(1+D1816/30),1)))</f>
        <v/>
      </c>
    </row>
    <row r="1817">
      <c r="A1817">
        <f>'Month 07'!B364</f>
        <v/>
      </c>
      <c r="B1817" t="inlineStr">
        <is>
          <t>Triceps Pushdown</t>
        </is>
      </c>
      <c r="C1817">
        <f>IF(AND('Month 07'!L385&lt;&gt;"",N('Month 07'!I385)&gt;0),'Month 07'!I385,"")</f>
        <v/>
      </c>
      <c r="D1817">
        <f>IF(C1817="","",IF(N('Month 07'!J385)&gt;0,'Month 07'!J385,1))</f>
        <v/>
      </c>
      <c r="E1817">
        <f>IF(OR(C1817="",D1817=""),"",IF(D1817=1,C1817,ROUND(C1817*(1+D1817/30),1)))</f>
        <v/>
      </c>
    </row>
    <row r="1818">
      <c r="A1818">
        <f>'Month 08'!B7</f>
        <v/>
      </c>
      <c r="B1818" t="inlineStr">
        <is>
          <t>Box Jump</t>
        </is>
      </c>
      <c r="C1818">
        <f>IF(AND('Month 08'!L9&lt;&gt;"",N('Month 08'!I9)&gt;0),'Month 08'!I9,"")</f>
        <v/>
      </c>
      <c r="D1818">
        <f>IF(C1818="","",IF(N('Month 08'!J9)&gt;0,'Month 08'!J9,1))</f>
        <v/>
      </c>
      <c r="E1818">
        <f>IF(OR(C1818="",D1818=""),"",IF(D1818=1,C1818,ROUND(C1818*(1+D1818/30),1)))</f>
        <v/>
      </c>
    </row>
    <row r="1819">
      <c r="A1819">
        <f>'Month 08'!B7</f>
        <v/>
      </c>
      <c r="B1819" t="inlineStr">
        <is>
          <t>Box Jump</t>
        </is>
      </c>
      <c r="C1819">
        <f>IF(AND('Month 08'!L10&lt;&gt;"",N('Month 08'!I10)&gt;0),'Month 08'!I10,"")</f>
        <v/>
      </c>
      <c r="D1819">
        <f>IF(C1819="","",IF(N('Month 08'!J10)&gt;0,'Month 08'!J10,1))</f>
        <v/>
      </c>
      <c r="E1819">
        <f>IF(OR(C1819="",D1819=""),"",IF(D1819=1,C1819,ROUND(C1819*(1+D1819/30),1)))</f>
        <v/>
      </c>
    </row>
    <row r="1820">
      <c r="A1820">
        <f>'Month 08'!B7</f>
        <v/>
      </c>
      <c r="B1820" t="inlineStr">
        <is>
          <t>Box Jump</t>
        </is>
      </c>
      <c r="C1820">
        <f>IF(AND('Month 08'!L11&lt;&gt;"",N('Month 08'!I11)&gt;0),'Month 08'!I11,"")</f>
        <v/>
      </c>
      <c r="D1820">
        <f>IF(C1820="","",IF(N('Month 08'!J11)&gt;0,'Month 08'!J11,1))</f>
        <v/>
      </c>
      <c r="E1820">
        <f>IF(OR(C1820="",D1820=""),"",IF(D1820=1,C1820,ROUND(C1820*(1+D1820/30),1)))</f>
        <v/>
      </c>
    </row>
    <row r="1821">
      <c r="A1821">
        <f>'Month 08'!B7</f>
        <v/>
      </c>
      <c r="B1821" t="inlineStr">
        <is>
          <t>Box Jump</t>
        </is>
      </c>
      <c r="C1821">
        <f>IF(AND('Month 08'!L12&lt;&gt;"",N('Month 08'!I12)&gt;0),'Month 08'!I12,"")</f>
        <v/>
      </c>
      <c r="D1821">
        <f>IF(C1821="","",IF(N('Month 08'!J12)&gt;0,'Month 08'!J12,1))</f>
        <v/>
      </c>
      <c r="E1821">
        <f>IF(OR(C1821="",D1821=""),"",IF(D1821=1,C1821,ROUND(C1821*(1+D1821/30),1)))</f>
        <v/>
      </c>
    </row>
    <row r="1822">
      <c r="A1822">
        <f>'Month 08'!B7</f>
        <v/>
      </c>
      <c r="B1822" t="inlineStr">
        <is>
          <t>Snatch</t>
        </is>
      </c>
      <c r="C1822">
        <f>IF(AND('Month 08'!L14&lt;&gt;"",N('Month 08'!I14)&gt;0),'Month 08'!I14,"")</f>
        <v/>
      </c>
      <c r="D1822">
        <f>IF(C1822="","",IF(N('Month 08'!J14)&gt;0,'Month 08'!J14,1))</f>
        <v/>
      </c>
      <c r="E1822">
        <f>IF(OR(C1822="",D1822=""),"",IF(D1822=1,C1822,ROUND(C1822*(1+D1822/30),1)))</f>
        <v/>
      </c>
    </row>
    <row r="1823">
      <c r="A1823">
        <f>'Month 08'!B7</f>
        <v/>
      </c>
      <c r="B1823" t="inlineStr">
        <is>
          <t>Snatch</t>
        </is>
      </c>
      <c r="C1823">
        <f>IF(AND('Month 08'!L15&lt;&gt;"",N('Month 08'!I15)&gt;0),'Month 08'!I15,"")</f>
        <v/>
      </c>
      <c r="D1823">
        <f>IF(C1823="","",IF(N('Month 08'!J15)&gt;0,'Month 08'!J15,1))</f>
        <v/>
      </c>
      <c r="E1823">
        <f>IF(OR(C1823="",D1823=""),"",IF(D1823=1,C1823,ROUND(C1823*(1+D1823/30),1)))</f>
        <v/>
      </c>
    </row>
    <row r="1824">
      <c r="A1824">
        <f>'Month 08'!B7</f>
        <v/>
      </c>
      <c r="B1824" t="inlineStr">
        <is>
          <t>Snatch</t>
        </is>
      </c>
      <c r="C1824">
        <f>IF(AND('Month 08'!L16&lt;&gt;"",N('Month 08'!I16)&gt;0),'Month 08'!I16,"")</f>
        <v/>
      </c>
      <c r="D1824">
        <f>IF(C1824="","",IF(N('Month 08'!J16)&gt;0,'Month 08'!J16,1))</f>
        <v/>
      </c>
      <c r="E1824">
        <f>IF(OR(C1824="",D1824=""),"",IF(D1824=1,C1824,ROUND(C1824*(1+D1824/30),1)))</f>
        <v/>
      </c>
    </row>
    <row r="1825">
      <c r="A1825">
        <f>'Month 08'!B7</f>
        <v/>
      </c>
      <c r="B1825" t="inlineStr">
        <is>
          <t>Snatch</t>
        </is>
      </c>
      <c r="C1825">
        <f>IF(AND('Month 08'!L17&lt;&gt;"",N('Month 08'!I17)&gt;0),'Month 08'!I17,"")</f>
        <v/>
      </c>
      <c r="D1825">
        <f>IF(C1825="","",IF(N('Month 08'!J17)&gt;0,'Month 08'!J17,1))</f>
        <v/>
      </c>
      <c r="E1825">
        <f>IF(OR(C1825="",D1825=""),"",IF(D1825=1,C1825,ROUND(C1825*(1+D1825/30),1)))</f>
        <v/>
      </c>
    </row>
    <row r="1826">
      <c r="A1826">
        <f>'Month 08'!B7</f>
        <v/>
      </c>
      <c r="B1826" t="inlineStr">
        <is>
          <t>Squat</t>
        </is>
      </c>
      <c r="C1826">
        <f>IF(AND('Month 08'!L19&lt;&gt;"",N('Month 08'!I19)&gt;0),'Month 08'!I19,"")</f>
        <v/>
      </c>
      <c r="D1826">
        <f>IF(C1826="","",IF(N('Month 08'!J19)&gt;0,'Month 08'!J19,1))</f>
        <v/>
      </c>
      <c r="E1826">
        <f>IF(OR(C1826="",D1826=""),"",IF(D1826=1,C1826,ROUND(C1826*(1+D1826/30),1)))</f>
        <v/>
      </c>
    </row>
    <row r="1827">
      <c r="A1827">
        <f>'Month 08'!B7</f>
        <v/>
      </c>
      <c r="B1827" t="inlineStr">
        <is>
          <t>Squat</t>
        </is>
      </c>
      <c r="C1827">
        <f>IF(AND('Month 08'!L20&lt;&gt;"",N('Month 08'!I20)&gt;0),'Month 08'!I20,"")</f>
        <v/>
      </c>
      <c r="D1827">
        <f>IF(C1827="","",IF(N('Month 08'!J20)&gt;0,'Month 08'!J20,1))</f>
        <v/>
      </c>
      <c r="E1827">
        <f>IF(OR(C1827="",D1827=""),"",IF(D1827=1,C1827,ROUND(C1827*(1+D1827/30),1)))</f>
        <v/>
      </c>
    </row>
    <row r="1828">
      <c r="A1828">
        <f>'Month 08'!B7</f>
        <v/>
      </c>
      <c r="B1828" t="inlineStr">
        <is>
          <t>Squat</t>
        </is>
      </c>
      <c r="C1828">
        <f>IF(AND('Month 08'!L21&lt;&gt;"",N('Month 08'!I21)&gt;0),'Month 08'!I21,"")</f>
        <v/>
      </c>
      <c r="D1828">
        <f>IF(C1828="","",IF(N('Month 08'!J21)&gt;0,'Month 08'!J21,1))</f>
        <v/>
      </c>
      <c r="E1828">
        <f>IF(OR(C1828="",D1828=""),"",IF(D1828=1,C1828,ROUND(C1828*(1+D1828/30),1)))</f>
        <v/>
      </c>
    </row>
    <row r="1829">
      <c r="A1829">
        <f>'Month 08'!B7</f>
        <v/>
      </c>
      <c r="B1829" t="inlineStr">
        <is>
          <t>Bench Press</t>
        </is>
      </c>
      <c r="C1829">
        <f>IF(AND('Month 08'!L23&lt;&gt;"",N('Month 08'!I23)&gt;0),'Month 08'!I23,"")</f>
        <v/>
      </c>
      <c r="D1829">
        <f>IF(C1829="","",IF(N('Month 08'!J23)&gt;0,'Month 08'!J23,1))</f>
        <v/>
      </c>
      <c r="E1829">
        <f>IF(OR(C1829="",D1829=""),"",IF(D1829=1,C1829,ROUND(C1829*(1+D1829/30),1)))</f>
        <v/>
      </c>
    </row>
    <row r="1830">
      <c r="A1830">
        <f>'Month 08'!B7</f>
        <v/>
      </c>
      <c r="B1830" t="inlineStr">
        <is>
          <t>Bench Press</t>
        </is>
      </c>
      <c r="C1830">
        <f>IF(AND('Month 08'!L24&lt;&gt;"",N('Month 08'!I24)&gt;0),'Month 08'!I24,"")</f>
        <v/>
      </c>
      <c r="D1830">
        <f>IF(C1830="","",IF(N('Month 08'!J24)&gt;0,'Month 08'!J24,1))</f>
        <v/>
      </c>
      <c r="E1830">
        <f>IF(OR(C1830="",D1830=""),"",IF(D1830=1,C1830,ROUND(C1830*(1+D1830/30),1)))</f>
        <v/>
      </c>
    </row>
    <row r="1831">
      <c r="A1831">
        <f>'Month 08'!B7</f>
        <v/>
      </c>
      <c r="B1831" t="inlineStr">
        <is>
          <t>Bench Press</t>
        </is>
      </c>
      <c r="C1831">
        <f>IF(AND('Month 08'!L25&lt;&gt;"",N('Month 08'!I25)&gt;0),'Month 08'!I25,"")</f>
        <v/>
      </c>
      <c r="D1831">
        <f>IF(C1831="","",IF(N('Month 08'!J25)&gt;0,'Month 08'!J25,1))</f>
        <v/>
      </c>
      <c r="E1831">
        <f>IF(OR(C1831="",D1831=""),"",IF(D1831=1,C1831,ROUND(C1831*(1+D1831/30),1)))</f>
        <v/>
      </c>
    </row>
    <row r="1832">
      <c r="A1832">
        <f>'Month 08'!B7</f>
        <v/>
      </c>
      <c r="B1832" t="inlineStr">
        <is>
          <t>Barbell Row</t>
        </is>
      </c>
      <c r="C1832">
        <f>IF(AND('Month 08'!L27&lt;&gt;"",N('Month 08'!I27)&gt;0),'Month 08'!I27,"")</f>
        <v/>
      </c>
      <c r="D1832">
        <f>IF(C1832="","",IF(N('Month 08'!J27)&gt;0,'Month 08'!J27,1))</f>
        <v/>
      </c>
      <c r="E1832">
        <f>IF(OR(C1832="",D1832=""),"",IF(D1832=1,C1832,ROUND(C1832*(1+D1832/30),1)))</f>
        <v/>
      </c>
    </row>
    <row r="1833">
      <c r="A1833">
        <f>'Month 08'!B7</f>
        <v/>
      </c>
      <c r="B1833" t="inlineStr">
        <is>
          <t>Barbell Row</t>
        </is>
      </c>
      <c r="C1833">
        <f>IF(AND('Month 08'!L28&lt;&gt;"",N('Month 08'!I28)&gt;0),'Month 08'!I28,"")</f>
        <v/>
      </c>
      <c r="D1833">
        <f>IF(C1833="","",IF(N('Month 08'!J28)&gt;0,'Month 08'!J28,1))</f>
        <v/>
      </c>
      <c r="E1833">
        <f>IF(OR(C1833="",D1833=""),"",IF(D1833=1,C1833,ROUND(C1833*(1+D1833/30),1)))</f>
        <v/>
      </c>
    </row>
    <row r="1834">
      <c r="A1834">
        <f>'Month 08'!B7</f>
        <v/>
      </c>
      <c r="B1834" t="inlineStr">
        <is>
          <t>Barbell Row</t>
        </is>
      </c>
      <c r="C1834">
        <f>IF(AND('Month 08'!L29&lt;&gt;"",N('Month 08'!I29)&gt;0),'Month 08'!I29,"")</f>
        <v/>
      </c>
      <c r="D1834">
        <f>IF(C1834="","",IF(N('Month 08'!J29)&gt;0,'Month 08'!J29,1))</f>
        <v/>
      </c>
      <c r="E1834">
        <f>IF(OR(C1834="",D1834=""),"",IF(D1834=1,C1834,ROUND(C1834*(1+D1834/30),1)))</f>
        <v/>
      </c>
    </row>
    <row r="1835">
      <c r="A1835">
        <f>'Month 08'!B7</f>
        <v/>
      </c>
      <c r="B1835" t="inlineStr">
        <is>
          <t>Face Pull</t>
        </is>
      </c>
      <c r="C1835">
        <f>IF(AND('Month 08'!L31&lt;&gt;"",N('Month 08'!I31)&gt;0),'Month 08'!I31,"")</f>
        <v/>
      </c>
      <c r="D1835">
        <f>IF(C1835="","",IF(N('Month 08'!J31)&gt;0,'Month 08'!J31,1))</f>
        <v/>
      </c>
      <c r="E1835">
        <f>IF(OR(C1835="",D1835=""),"",IF(D1835=1,C1835,ROUND(C1835*(1+D1835/30),1)))</f>
        <v/>
      </c>
    </row>
    <row r="1836">
      <c r="A1836">
        <f>'Month 08'!B7</f>
        <v/>
      </c>
      <c r="B1836" t="inlineStr">
        <is>
          <t>Face Pull</t>
        </is>
      </c>
      <c r="C1836">
        <f>IF(AND('Month 08'!L32&lt;&gt;"",N('Month 08'!I32)&gt;0),'Month 08'!I32,"")</f>
        <v/>
      </c>
      <c r="D1836">
        <f>IF(C1836="","",IF(N('Month 08'!J32)&gt;0,'Month 08'!J32,1))</f>
        <v/>
      </c>
      <c r="E1836">
        <f>IF(OR(C1836="",D1836=""),"",IF(D1836=1,C1836,ROUND(C1836*(1+D1836/30),1)))</f>
        <v/>
      </c>
    </row>
    <row r="1837">
      <c r="A1837">
        <f>'Month 08'!B7</f>
        <v/>
      </c>
      <c r="B1837" t="inlineStr">
        <is>
          <t>Face Pull</t>
        </is>
      </c>
      <c r="C1837">
        <f>IF(AND('Month 08'!L33&lt;&gt;"",N('Month 08'!I33)&gt;0),'Month 08'!I33,"")</f>
        <v/>
      </c>
      <c r="D1837">
        <f>IF(C1837="","",IF(N('Month 08'!J33)&gt;0,'Month 08'!J33,1))</f>
        <v/>
      </c>
      <c r="E1837">
        <f>IF(OR(C1837="",D1837=""),"",IF(D1837=1,C1837,ROUND(C1837*(1+D1837/30),1)))</f>
        <v/>
      </c>
    </row>
    <row r="1838">
      <c r="A1838">
        <f>'Month 08'!B34</f>
        <v/>
      </c>
      <c r="B1838" t="inlineStr">
        <is>
          <t>Broad Jump</t>
        </is>
      </c>
      <c r="C1838">
        <f>IF(AND('Month 08'!L36&lt;&gt;"",N('Month 08'!I36)&gt;0),'Month 08'!I36,"")</f>
        <v/>
      </c>
      <c r="D1838">
        <f>IF(C1838="","",IF(N('Month 08'!J36)&gt;0,'Month 08'!J36,1))</f>
        <v/>
      </c>
      <c r="E1838">
        <f>IF(OR(C1838="",D1838=""),"",IF(D1838=1,C1838,ROUND(C1838*(1+D1838/30),1)))</f>
        <v/>
      </c>
    </row>
    <row r="1839">
      <c r="A1839">
        <f>'Month 08'!B34</f>
        <v/>
      </c>
      <c r="B1839" t="inlineStr">
        <is>
          <t>Broad Jump</t>
        </is>
      </c>
      <c r="C1839">
        <f>IF(AND('Month 08'!L37&lt;&gt;"",N('Month 08'!I37)&gt;0),'Month 08'!I37,"")</f>
        <v/>
      </c>
      <c r="D1839">
        <f>IF(C1839="","",IF(N('Month 08'!J37)&gt;0,'Month 08'!J37,1))</f>
        <v/>
      </c>
      <c r="E1839">
        <f>IF(OR(C1839="",D1839=""),"",IF(D1839=1,C1839,ROUND(C1839*(1+D1839/30),1)))</f>
        <v/>
      </c>
    </row>
    <row r="1840">
      <c r="A1840">
        <f>'Month 08'!B34</f>
        <v/>
      </c>
      <c r="B1840" t="inlineStr">
        <is>
          <t>Broad Jump</t>
        </is>
      </c>
      <c r="C1840">
        <f>IF(AND('Month 08'!L38&lt;&gt;"",N('Month 08'!I38)&gt;0),'Month 08'!I38,"")</f>
        <v/>
      </c>
      <c r="D1840">
        <f>IF(C1840="","",IF(N('Month 08'!J38)&gt;0,'Month 08'!J38,1))</f>
        <v/>
      </c>
      <c r="E1840">
        <f>IF(OR(C1840="",D1840=""),"",IF(D1840=1,C1840,ROUND(C1840*(1+D1840/30),1)))</f>
        <v/>
      </c>
    </row>
    <row r="1841">
      <c r="A1841">
        <f>'Month 08'!B34</f>
        <v/>
      </c>
      <c r="B1841" t="inlineStr">
        <is>
          <t>Broad Jump</t>
        </is>
      </c>
      <c r="C1841">
        <f>IF(AND('Month 08'!L39&lt;&gt;"",N('Month 08'!I39)&gt;0),'Month 08'!I39,"")</f>
        <v/>
      </c>
      <c r="D1841">
        <f>IF(C1841="","",IF(N('Month 08'!J39)&gt;0,'Month 08'!J39,1))</f>
        <v/>
      </c>
      <c r="E1841">
        <f>IF(OR(C1841="",D1841=""),"",IF(D1841=1,C1841,ROUND(C1841*(1+D1841/30),1)))</f>
        <v/>
      </c>
    </row>
    <row r="1842">
      <c r="A1842">
        <f>'Month 08'!B34</f>
        <v/>
      </c>
      <c r="B1842" t="inlineStr">
        <is>
          <t>Med Ball Chest Pass</t>
        </is>
      </c>
      <c r="C1842">
        <f>IF(AND('Month 08'!L41&lt;&gt;"",N('Month 08'!I41)&gt;0),'Month 08'!I41,"")</f>
        <v/>
      </c>
      <c r="D1842">
        <f>IF(C1842="","",IF(N('Month 08'!J41)&gt;0,'Month 08'!J41,1))</f>
        <v/>
      </c>
      <c r="E1842">
        <f>IF(OR(C1842="",D1842=""),"",IF(D1842=1,C1842,ROUND(C1842*(1+D1842/30),1)))</f>
        <v/>
      </c>
    </row>
    <row r="1843">
      <c r="A1843">
        <f>'Month 08'!B34</f>
        <v/>
      </c>
      <c r="B1843" t="inlineStr">
        <is>
          <t>Med Ball Chest Pass</t>
        </is>
      </c>
      <c r="C1843">
        <f>IF(AND('Month 08'!L42&lt;&gt;"",N('Month 08'!I42)&gt;0),'Month 08'!I42,"")</f>
        <v/>
      </c>
      <c r="D1843">
        <f>IF(C1843="","",IF(N('Month 08'!J42)&gt;0,'Month 08'!J42,1))</f>
        <v/>
      </c>
      <c r="E1843">
        <f>IF(OR(C1843="",D1843=""),"",IF(D1843=1,C1843,ROUND(C1843*(1+D1843/30),1)))</f>
        <v/>
      </c>
    </row>
    <row r="1844">
      <c r="A1844">
        <f>'Month 08'!B34</f>
        <v/>
      </c>
      <c r="B1844" t="inlineStr">
        <is>
          <t>Med Ball Chest Pass</t>
        </is>
      </c>
      <c r="C1844">
        <f>IF(AND('Month 08'!L43&lt;&gt;"",N('Month 08'!I43)&gt;0),'Month 08'!I43,"")</f>
        <v/>
      </c>
      <c r="D1844">
        <f>IF(C1844="","",IF(N('Month 08'!J43)&gt;0,'Month 08'!J43,1))</f>
        <v/>
      </c>
      <c r="E1844">
        <f>IF(OR(C1844="",D1844=""),"",IF(D1844=1,C1844,ROUND(C1844*(1+D1844/30),1)))</f>
        <v/>
      </c>
    </row>
    <row r="1845">
      <c r="A1845">
        <f>'Month 08'!B34</f>
        <v/>
      </c>
      <c r="B1845" t="inlineStr">
        <is>
          <t>Clean &amp; Jerk</t>
        </is>
      </c>
      <c r="C1845">
        <f>IF(AND('Month 08'!L45&lt;&gt;"",N('Month 08'!I45)&gt;0),'Month 08'!I45,"")</f>
        <v/>
      </c>
      <c r="D1845">
        <f>IF(C1845="","",IF(N('Month 08'!J45)&gt;0,'Month 08'!J45,1))</f>
        <v/>
      </c>
      <c r="E1845">
        <f>IF(OR(C1845="",D1845=""),"",IF(D1845=1,C1845,ROUND(C1845*(1+D1845/30),1)))</f>
        <v/>
      </c>
    </row>
    <row r="1846">
      <c r="A1846">
        <f>'Month 08'!B34</f>
        <v/>
      </c>
      <c r="B1846" t="inlineStr">
        <is>
          <t>Clean &amp; Jerk</t>
        </is>
      </c>
      <c r="C1846">
        <f>IF(AND('Month 08'!L46&lt;&gt;"",N('Month 08'!I46)&gt;0),'Month 08'!I46,"")</f>
        <v/>
      </c>
      <c r="D1846">
        <f>IF(C1846="","",IF(N('Month 08'!J46)&gt;0,'Month 08'!J46,1))</f>
        <v/>
      </c>
      <c r="E1846">
        <f>IF(OR(C1846="",D1846=""),"",IF(D1846=1,C1846,ROUND(C1846*(1+D1846/30),1)))</f>
        <v/>
      </c>
    </row>
    <row r="1847">
      <c r="A1847">
        <f>'Month 08'!B34</f>
        <v/>
      </c>
      <c r="B1847" t="inlineStr">
        <is>
          <t>Clean &amp; Jerk</t>
        </is>
      </c>
      <c r="C1847">
        <f>IF(AND('Month 08'!L47&lt;&gt;"",N('Month 08'!I47)&gt;0),'Month 08'!I47,"")</f>
        <v/>
      </c>
      <c r="D1847">
        <f>IF(C1847="","",IF(N('Month 08'!J47)&gt;0,'Month 08'!J47,1))</f>
        <v/>
      </c>
      <c r="E1847">
        <f>IF(OR(C1847="",D1847=""),"",IF(D1847=1,C1847,ROUND(C1847*(1+D1847/30),1)))</f>
        <v/>
      </c>
    </row>
    <row r="1848">
      <c r="A1848">
        <f>'Month 08'!B34</f>
        <v/>
      </c>
      <c r="B1848" t="inlineStr">
        <is>
          <t>Clean &amp; Jerk</t>
        </is>
      </c>
      <c r="C1848">
        <f>IF(AND('Month 08'!L48&lt;&gt;"",N('Month 08'!I48)&gt;0),'Month 08'!I48,"")</f>
        <v/>
      </c>
      <c r="D1848">
        <f>IF(C1848="","",IF(N('Month 08'!J48)&gt;0,'Month 08'!J48,1))</f>
        <v/>
      </c>
      <c r="E1848">
        <f>IF(OR(C1848="",D1848=""),"",IF(D1848=1,C1848,ROUND(C1848*(1+D1848/30),1)))</f>
        <v/>
      </c>
    </row>
    <row r="1849">
      <c r="A1849">
        <f>'Month 08'!B34</f>
        <v/>
      </c>
      <c r="B1849" t="inlineStr">
        <is>
          <t>Squat</t>
        </is>
      </c>
      <c r="C1849">
        <f>IF(AND('Month 08'!L50&lt;&gt;"",N('Month 08'!I50)&gt;0),'Month 08'!I50,"")</f>
        <v/>
      </c>
      <c r="D1849">
        <f>IF(C1849="","",IF(N('Month 08'!J50)&gt;0,'Month 08'!J50,1))</f>
        <v/>
      </c>
      <c r="E1849">
        <f>IF(OR(C1849="",D1849=""),"",IF(D1849=1,C1849,ROUND(C1849*(1+D1849/30),1)))</f>
        <v/>
      </c>
    </row>
    <row r="1850">
      <c r="A1850">
        <f>'Month 08'!B34</f>
        <v/>
      </c>
      <c r="B1850" t="inlineStr">
        <is>
          <t>Squat</t>
        </is>
      </c>
      <c r="C1850">
        <f>IF(AND('Month 08'!L51&lt;&gt;"",N('Month 08'!I51)&gt;0),'Month 08'!I51,"")</f>
        <v/>
      </c>
      <c r="D1850">
        <f>IF(C1850="","",IF(N('Month 08'!J51)&gt;0,'Month 08'!J51,1))</f>
        <v/>
      </c>
      <c r="E1850">
        <f>IF(OR(C1850="",D1850=""),"",IF(D1850=1,C1850,ROUND(C1850*(1+D1850/30),1)))</f>
        <v/>
      </c>
    </row>
    <row r="1851">
      <c r="A1851">
        <f>'Month 08'!B34</f>
        <v/>
      </c>
      <c r="B1851" t="inlineStr">
        <is>
          <t>Squat</t>
        </is>
      </c>
      <c r="C1851">
        <f>IF(AND('Month 08'!L52&lt;&gt;"",N('Month 08'!I52)&gt;0),'Month 08'!I52,"")</f>
        <v/>
      </c>
      <c r="D1851">
        <f>IF(C1851="","",IF(N('Month 08'!J52)&gt;0,'Month 08'!J52,1))</f>
        <v/>
      </c>
      <c r="E1851">
        <f>IF(OR(C1851="",D1851=""),"",IF(D1851=1,C1851,ROUND(C1851*(1+D1851/30),1)))</f>
        <v/>
      </c>
    </row>
    <row r="1852">
      <c r="A1852">
        <f>'Month 08'!B34</f>
        <v/>
      </c>
      <c r="B1852" t="inlineStr">
        <is>
          <t>Overhead Press</t>
        </is>
      </c>
      <c r="C1852">
        <f>IF(AND('Month 08'!L54&lt;&gt;"",N('Month 08'!I54)&gt;0),'Month 08'!I54,"")</f>
        <v/>
      </c>
      <c r="D1852">
        <f>IF(C1852="","",IF(N('Month 08'!J54)&gt;0,'Month 08'!J54,1))</f>
        <v/>
      </c>
      <c r="E1852">
        <f>IF(OR(C1852="",D1852=""),"",IF(D1852=1,C1852,ROUND(C1852*(1+D1852/30),1)))</f>
        <v/>
      </c>
    </row>
    <row r="1853">
      <c r="A1853">
        <f>'Month 08'!B34</f>
        <v/>
      </c>
      <c r="B1853" t="inlineStr">
        <is>
          <t>Overhead Press</t>
        </is>
      </c>
      <c r="C1853">
        <f>IF(AND('Month 08'!L55&lt;&gt;"",N('Month 08'!I55)&gt;0),'Month 08'!I55,"")</f>
        <v/>
      </c>
      <c r="D1853">
        <f>IF(C1853="","",IF(N('Month 08'!J55)&gt;0,'Month 08'!J55,1))</f>
        <v/>
      </c>
      <c r="E1853">
        <f>IF(OR(C1853="",D1853=""),"",IF(D1853=1,C1853,ROUND(C1853*(1+D1853/30),1)))</f>
        <v/>
      </c>
    </row>
    <row r="1854">
      <c r="A1854">
        <f>'Month 08'!B34</f>
        <v/>
      </c>
      <c r="B1854" t="inlineStr">
        <is>
          <t>Overhead Press</t>
        </is>
      </c>
      <c r="C1854">
        <f>IF(AND('Month 08'!L56&lt;&gt;"",N('Month 08'!I56)&gt;0),'Month 08'!I56,"")</f>
        <v/>
      </c>
      <c r="D1854">
        <f>IF(C1854="","",IF(N('Month 08'!J56)&gt;0,'Month 08'!J56,1))</f>
        <v/>
      </c>
      <c r="E1854">
        <f>IF(OR(C1854="",D1854=""),"",IF(D1854=1,C1854,ROUND(C1854*(1+D1854/30),1)))</f>
        <v/>
      </c>
    </row>
    <row r="1855">
      <c r="A1855">
        <f>'Month 08'!B34</f>
        <v/>
      </c>
      <c r="B1855" t="inlineStr">
        <is>
          <t>Deadlift</t>
        </is>
      </c>
      <c r="C1855">
        <f>IF(AND('Month 08'!L58&lt;&gt;"",N('Month 08'!I58)&gt;0),'Month 08'!I58,"")</f>
        <v/>
      </c>
      <c r="D1855">
        <f>IF(C1855="","",IF(N('Month 08'!J58)&gt;0,'Month 08'!J58,1))</f>
        <v/>
      </c>
      <c r="E1855">
        <f>IF(OR(C1855="",D1855=""),"",IF(D1855=1,C1855,ROUND(C1855*(1+D1855/30),1)))</f>
        <v/>
      </c>
    </row>
    <row r="1856">
      <c r="A1856">
        <f>'Month 08'!B34</f>
        <v/>
      </c>
      <c r="B1856" t="inlineStr">
        <is>
          <t>Deadlift</t>
        </is>
      </c>
      <c r="C1856">
        <f>IF(AND('Month 08'!L59&lt;&gt;"",N('Month 08'!I59)&gt;0),'Month 08'!I59,"")</f>
        <v/>
      </c>
      <c r="D1856">
        <f>IF(C1856="","",IF(N('Month 08'!J59)&gt;0,'Month 08'!J59,1))</f>
        <v/>
      </c>
      <c r="E1856">
        <f>IF(OR(C1856="",D1856=""),"",IF(D1856=1,C1856,ROUND(C1856*(1+D1856/30),1)))</f>
        <v/>
      </c>
    </row>
    <row r="1857">
      <c r="A1857">
        <f>'Month 08'!B34</f>
        <v/>
      </c>
      <c r="B1857" t="inlineStr">
        <is>
          <t>Deadlift</t>
        </is>
      </c>
      <c r="C1857">
        <f>IF(AND('Month 08'!L60&lt;&gt;"",N('Month 08'!I60)&gt;0),'Month 08'!I60,"")</f>
        <v/>
      </c>
      <c r="D1857">
        <f>IF(C1857="","",IF(N('Month 08'!J60)&gt;0,'Month 08'!J60,1))</f>
        <v/>
      </c>
      <c r="E1857">
        <f>IF(OR(C1857="",D1857=""),"",IF(D1857=1,C1857,ROUND(C1857*(1+D1857/30),1)))</f>
        <v/>
      </c>
    </row>
    <row r="1858">
      <c r="A1858">
        <f>'Month 08'!B34</f>
        <v/>
      </c>
      <c r="B1858" t="inlineStr">
        <is>
          <t>Chin-up</t>
        </is>
      </c>
      <c r="C1858">
        <f>IF(AND('Month 08'!L62&lt;&gt;"",N('Month 08'!I62)&gt;0),'Month 08'!I62,"")</f>
        <v/>
      </c>
      <c r="D1858">
        <f>IF(C1858="","",IF(N('Month 08'!J62)&gt;0,'Month 08'!J62,1))</f>
        <v/>
      </c>
      <c r="E1858">
        <f>IF(OR(C1858="",D1858=""),"",IF(D1858=1,C1858,ROUND(C1858*(1+D1858/30),1)))</f>
        <v/>
      </c>
    </row>
    <row r="1859">
      <c r="A1859">
        <f>'Month 08'!B34</f>
        <v/>
      </c>
      <c r="B1859" t="inlineStr">
        <is>
          <t>Chin-up</t>
        </is>
      </c>
      <c r="C1859">
        <f>IF(AND('Month 08'!L63&lt;&gt;"",N('Month 08'!I63)&gt;0),'Month 08'!I63,"")</f>
        <v/>
      </c>
      <c r="D1859">
        <f>IF(C1859="","",IF(N('Month 08'!J63)&gt;0,'Month 08'!J63,1))</f>
        <v/>
      </c>
      <c r="E1859">
        <f>IF(OR(C1859="",D1859=""),"",IF(D1859=1,C1859,ROUND(C1859*(1+D1859/30),1)))</f>
        <v/>
      </c>
    </row>
    <row r="1860">
      <c r="A1860">
        <f>'Month 08'!B34</f>
        <v/>
      </c>
      <c r="B1860" t="inlineStr">
        <is>
          <t>Chin-up</t>
        </is>
      </c>
      <c r="C1860">
        <f>IF(AND('Month 08'!L64&lt;&gt;"",N('Month 08'!I64)&gt;0),'Month 08'!I64,"")</f>
        <v/>
      </c>
      <c r="D1860">
        <f>IF(C1860="","",IF(N('Month 08'!J64)&gt;0,'Month 08'!J64,1))</f>
        <v/>
      </c>
      <c r="E1860">
        <f>IF(OR(C1860="",D1860=""),"",IF(D1860=1,C1860,ROUND(C1860*(1+D1860/30),1)))</f>
        <v/>
      </c>
    </row>
    <row r="1861">
      <c r="A1861">
        <f>'Month 08'!B34</f>
        <v/>
      </c>
      <c r="B1861" t="inlineStr">
        <is>
          <t>Plank</t>
        </is>
      </c>
      <c r="C1861">
        <f>IF(AND('Month 08'!L66&lt;&gt;"",N('Month 08'!I66)&gt;0),'Month 08'!I66,"")</f>
        <v/>
      </c>
      <c r="D1861">
        <f>IF(C1861="","",IF(N('Month 08'!J66)&gt;0,'Month 08'!J66,1))</f>
        <v/>
      </c>
      <c r="E1861">
        <f>IF(OR(C1861="",D1861=""),"",IF(D1861=1,C1861,ROUND(C1861*(1+D1861/30),1)))</f>
        <v/>
      </c>
    </row>
    <row r="1862">
      <c r="A1862">
        <f>'Month 08'!B34</f>
        <v/>
      </c>
      <c r="B1862" t="inlineStr">
        <is>
          <t>Plank</t>
        </is>
      </c>
      <c r="C1862">
        <f>IF(AND('Month 08'!L67&lt;&gt;"",N('Month 08'!I67)&gt;0),'Month 08'!I67,"")</f>
        <v/>
      </c>
      <c r="D1862">
        <f>IF(C1862="","",IF(N('Month 08'!J67)&gt;0,'Month 08'!J67,1))</f>
        <v/>
      </c>
      <c r="E1862">
        <f>IF(OR(C1862="",D1862=""),"",IF(D1862=1,C1862,ROUND(C1862*(1+D1862/30),1)))</f>
        <v/>
      </c>
    </row>
    <row r="1863">
      <c r="A1863">
        <f>'Month 08'!B34</f>
        <v/>
      </c>
      <c r="B1863" t="inlineStr">
        <is>
          <t>Plank</t>
        </is>
      </c>
      <c r="C1863">
        <f>IF(AND('Month 08'!L68&lt;&gt;"",N('Month 08'!I68)&gt;0),'Month 08'!I68,"")</f>
        <v/>
      </c>
      <c r="D1863">
        <f>IF(C1863="","",IF(N('Month 08'!J68)&gt;0,'Month 08'!J68,1))</f>
        <v/>
      </c>
      <c r="E1863">
        <f>IF(OR(C1863="",D1863=""),"",IF(D1863=1,C1863,ROUND(C1863*(1+D1863/30),1)))</f>
        <v/>
      </c>
    </row>
    <row r="1864">
      <c r="A1864">
        <f>'Month 08'!B69</f>
        <v/>
      </c>
      <c r="B1864" t="inlineStr">
        <is>
          <t>Hurdle Hop</t>
        </is>
      </c>
      <c r="C1864">
        <f>IF(AND('Month 08'!L71&lt;&gt;"",N('Month 08'!I71)&gt;0),'Month 08'!I71,"")</f>
        <v/>
      </c>
      <c r="D1864">
        <f>IF(C1864="","",IF(N('Month 08'!J71)&gt;0,'Month 08'!J71,1))</f>
        <v/>
      </c>
      <c r="E1864">
        <f>IF(OR(C1864="",D1864=""),"",IF(D1864=1,C1864,ROUND(C1864*(1+D1864/30),1)))</f>
        <v/>
      </c>
    </row>
    <row r="1865">
      <c r="A1865">
        <f>'Month 08'!B69</f>
        <v/>
      </c>
      <c r="B1865" t="inlineStr">
        <is>
          <t>Hurdle Hop</t>
        </is>
      </c>
      <c r="C1865">
        <f>IF(AND('Month 08'!L72&lt;&gt;"",N('Month 08'!I72)&gt;0),'Month 08'!I72,"")</f>
        <v/>
      </c>
      <c r="D1865">
        <f>IF(C1865="","",IF(N('Month 08'!J72)&gt;0,'Month 08'!J72,1))</f>
        <v/>
      </c>
      <c r="E1865">
        <f>IF(OR(C1865="",D1865=""),"",IF(D1865=1,C1865,ROUND(C1865*(1+D1865/30),1)))</f>
        <v/>
      </c>
    </row>
    <row r="1866">
      <c r="A1866">
        <f>'Month 08'!B69</f>
        <v/>
      </c>
      <c r="B1866" t="inlineStr">
        <is>
          <t>Hurdle Hop</t>
        </is>
      </c>
      <c r="C1866">
        <f>IF(AND('Month 08'!L73&lt;&gt;"",N('Month 08'!I73)&gt;0),'Month 08'!I73,"")</f>
        <v/>
      </c>
      <c r="D1866">
        <f>IF(C1866="","",IF(N('Month 08'!J73)&gt;0,'Month 08'!J73,1))</f>
        <v/>
      </c>
      <c r="E1866">
        <f>IF(OR(C1866="",D1866=""),"",IF(D1866=1,C1866,ROUND(C1866*(1+D1866/30),1)))</f>
        <v/>
      </c>
    </row>
    <row r="1867">
      <c r="A1867">
        <f>'Month 08'!B69</f>
        <v/>
      </c>
      <c r="B1867" t="inlineStr">
        <is>
          <t>Hurdle Hop</t>
        </is>
      </c>
      <c r="C1867">
        <f>IF(AND('Month 08'!L74&lt;&gt;"",N('Month 08'!I74)&gt;0),'Month 08'!I74,"")</f>
        <v/>
      </c>
      <c r="D1867">
        <f>IF(C1867="","",IF(N('Month 08'!J74)&gt;0,'Month 08'!J74,1))</f>
        <v/>
      </c>
      <c r="E1867">
        <f>IF(OR(C1867="",D1867=""),"",IF(D1867=1,C1867,ROUND(C1867*(1+D1867/30),1)))</f>
        <v/>
      </c>
    </row>
    <row r="1868">
      <c r="A1868">
        <f>'Month 08'!B69</f>
        <v/>
      </c>
      <c r="B1868" t="inlineStr">
        <is>
          <t>Split Jerk</t>
        </is>
      </c>
      <c r="C1868">
        <f>IF(AND('Month 08'!L76&lt;&gt;"",N('Month 08'!I76)&gt;0),'Month 08'!I76,"")</f>
        <v/>
      </c>
      <c r="D1868">
        <f>IF(C1868="","",IF(N('Month 08'!J76)&gt;0,'Month 08'!J76,1))</f>
        <v/>
      </c>
      <c r="E1868">
        <f>IF(OR(C1868="",D1868=""),"",IF(D1868=1,C1868,ROUND(C1868*(1+D1868/30),1)))</f>
        <v/>
      </c>
    </row>
    <row r="1869">
      <c r="A1869">
        <f>'Month 08'!B69</f>
        <v/>
      </c>
      <c r="B1869" t="inlineStr">
        <is>
          <t>Split Jerk</t>
        </is>
      </c>
      <c r="C1869">
        <f>IF(AND('Month 08'!L77&lt;&gt;"",N('Month 08'!I77)&gt;0),'Month 08'!I77,"")</f>
        <v/>
      </c>
      <c r="D1869">
        <f>IF(C1869="","",IF(N('Month 08'!J77)&gt;0,'Month 08'!J77,1))</f>
        <v/>
      </c>
      <c r="E1869">
        <f>IF(OR(C1869="",D1869=""),"",IF(D1869=1,C1869,ROUND(C1869*(1+D1869/30),1)))</f>
        <v/>
      </c>
    </row>
    <row r="1870">
      <c r="A1870">
        <f>'Month 08'!B69</f>
        <v/>
      </c>
      <c r="B1870" t="inlineStr">
        <is>
          <t>Split Jerk</t>
        </is>
      </c>
      <c r="C1870">
        <f>IF(AND('Month 08'!L78&lt;&gt;"",N('Month 08'!I78)&gt;0),'Month 08'!I78,"")</f>
        <v/>
      </c>
      <c r="D1870">
        <f>IF(C1870="","",IF(N('Month 08'!J78)&gt;0,'Month 08'!J78,1))</f>
        <v/>
      </c>
      <c r="E1870">
        <f>IF(OR(C1870="",D1870=""),"",IF(D1870=1,C1870,ROUND(C1870*(1+D1870/30),1)))</f>
        <v/>
      </c>
    </row>
    <row r="1871">
      <c r="A1871">
        <f>'Month 08'!B69</f>
        <v/>
      </c>
      <c r="B1871" t="inlineStr">
        <is>
          <t>Split Jerk</t>
        </is>
      </c>
      <c r="C1871">
        <f>IF(AND('Month 08'!L79&lt;&gt;"",N('Month 08'!I79)&gt;0),'Month 08'!I79,"")</f>
        <v/>
      </c>
      <c r="D1871">
        <f>IF(C1871="","",IF(N('Month 08'!J79)&gt;0,'Month 08'!J79,1))</f>
        <v/>
      </c>
      <c r="E1871">
        <f>IF(OR(C1871="",D1871=""),"",IF(D1871=1,C1871,ROUND(C1871*(1+D1871/30),1)))</f>
        <v/>
      </c>
    </row>
    <row r="1872">
      <c r="A1872">
        <f>'Month 08'!B69</f>
        <v/>
      </c>
      <c r="B1872" t="inlineStr">
        <is>
          <t>Front Squat</t>
        </is>
      </c>
      <c r="C1872">
        <f>IF(AND('Month 08'!L81&lt;&gt;"",N('Month 08'!I81)&gt;0),'Month 08'!I81,"")</f>
        <v/>
      </c>
      <c r="D1872">
        <f>IF(C1872="","",IF(N('Month 08'!J81)&gt;0,'Month 08'!J81,1))</f>
        <v/>
      </c>
      <c r="E1872">
        <f>IF(OR(C1872="",D1872=""),"",IF(D1872=1,C1872,ROUND(C1872*(1+D1872/30),1)))</f>
        <v/>
      </c>
    </row>
    <row r="1873">
      <c r="A1873">
        <f>'Month 08'!B69</f>
        <v/>
      </c>
      <c r="B1873" t="inlineStr">
        <is>
          <t>Front Squat</t>
        </is>
      </c>
      <c r="C1873">
        <f>IF(AND('Month 08'!L82&lt;&gt;"",N('Month 08'!I82)&gt;0),'Month 08'!I82,"")</f>
        <v/>
      </c>
      <c r="D1873">
        <f>IF(C1873="","",IF(N('Month 08'!J82)&gt;0,'Month 08'!J82,1))</f>
        <v/>
      </c>
      <c r="E1873">
        <f>IF(OR(C1873="",D1873=""),"",IF(D1873=1,C1873,ROUND(C1873*(1+D1873/30),1)))</f>
        <v/>
      </c>
    </row>
    <row r="1874">
      <c r="A1874">
        <f>'Month 08'!B69</f>
        <v/>
      </c>
      <c r="B1874" t="inlineStr">
        <is>
          <t>Front Squat</t>
        </is>
      </c>
      <c r="C1874">
        <f>IF(AND('Month 08'!L83&lt;&gt;"",N('Month 08'!I83)&gt;0),'Month 08'!I83,"")</f>
        <v/>
      </c>
      <c r="D1874">
        <f>IF(C1874="","",IF(N('Month 08'!J83)&gt;0,'Month 08'!J83,1))</f>
        <v/>
      </c>
      <c r="E1874">
        <f>IF(OR(C1874="",D1874=""),"",IF(D1874=1,C1874,ROUND(C1874*(1+D1874/30),1)))</f>
        <v/>
      </c>
    </row>
    <row r="1875">
      <c r="A1875">
        <f>'Month 08'!B69</f>
        <v/>
      </c>
      <c r="B1875" t="inlineStr">
        <is>
          <t>Close-Grip Bench Press</t>
        </is>
      </c>
      <c r="C1875">
        <f>IF(AND('Month 08'!L85&lt;&gt;"",N('Month 08'!I85)&gt;0),'Month 08'!I85,"")</f>
        <v/>
      </c>
      <c r="D1875">
        <f>IF(C1875="","",IF(N('Month 08'!J85)&gt;0,'Month 08'!J85,1))</f>
        <v/>
      </c>
      <c r="E1875">
        <f>IF(OR(C1875="",D1875=""),"",IF(D1875=1,C1875,ROUND(C1875*(1+D1875/30),1)))</f>
        <v/>
      </c>
    </row>
    <row r="1876">
      <c r="A1876">
        <f>'Month 08'!B69</f>
        <v/>
      </c>
      <c r="B1876" t="inlineStr">
        <is>
          <t>Close-Grip Bench Press</t>
        </is>
      </c>
      <c r="C1876">
        <f>IF(AND('Month 08'!L86&lt;&gt;"",N('Month 08'!I86)&gt;0),'Month 08'!I86,"")</f>
        <v/>
      </c>
      <c r="D1876">
        <f>IF(C1876="","",IF(N('Month 08'!J86)&gt;0,'Month 08'!J86,1))</f>
        <v/>
      </c>
      <c r="E1876">
        <f>IF(OR(C1876="",D1876=""),"",IF(D1876=1,C1876,ROUND(C1876*(1+D1876/30),1)))</f>
        <v/>
      </c>
    </row>
    <row r="1877">
      <c r="A1877">
        <f>'Month 08'!B69</f>
        <v/>
      </c>
      <c r="B1877" t="inlineStr">
        <is>
          <t>Close-Grip Bench Press</t>
        </is>
      </c>
      <c r="C1877">
        <f>IF(AND('Month 08'!L87&lt;&gt;"",N('Month 08'!I87)&gt;0),'Month 08'!I87,"")</f>
        <v/>
      </c>
      <c r="D1877">
        <f>IF(C1877="","",IF(N('Month 08'!J87)&gt;0,'Month 08'!J87,1))</f>
        <v/>
      </c>
      <c r="E1877">
        <f>IF(OR(C1877="",D1877=""),"",IF(D1877=1,C1877,ROUND(C1877*(1+D1877/30),1)))</f>
        <v/>
      </c>
    </row>
    <row r="1878">
      <c r="A1878">
        <f>'Month 08'!B69</f>
        <v/>
      </c>
      <c r="B1878" t="inlineStr">
        <is>
          <t>Block Pull</t>
        </is>
      </c>
      <c r="C1878">
        <f>IF(AND('Month 08'!L89&lt;&gt;"",N('Month 08'!I89)&gt;0),'Month 08'!I89,"")</f>
        <v/>
      </c>
      <c r="D1878">
        <f>IF(C1878="","",IF(N('Month 08'!J89)&gt;0,'Month 08'!J89,1))</f>
        <v/>
      </c>
      <c r="E1878">
        <f>IF(OR(C1878="",D1878=""),"",IF(D1878=1,C1878,ROUND(C1878*(1+D1878/30),1)))</f>
        <v/>
      </c>
    </row>
    <row r="1879">
      <c r="A1879">
        <f>'Month 08'!B69</f>
        <v/>
      </c>
      <c r="B1879" t="inlineStr">
        <is>
          <t>Block Pull</t>
        </is>
      </c>
      <c r="C1879">
        <f>IF(AND('Month 08'!L90&lt;&gt;"",N('Month 08'!I90)&gt;0),'Month 08'!I90,"")</f>
        <v/>
      </c>
      <c r="D1879">
        <f>IF(C1879="","",IF(N('Month 08'!J90)&gt;0,'Month 08'!J90,1))</f>
        <v/>
      </c>
      <c r="E1879">
        <f>IF(OR(C1879="",D1879=""),"",IF(D1879=1,C1879,ROUND(C1879*(1+D1879/30),1)))</f>
        <v/>
      </c>
    </row>
    <row r="1880">
      <c r="A1880">
        <f>'Month 08'!B69</f>
        <v/>
      </c>
      <c r="B1880" t="inlineStr">
        <is>
          <t>Block Pull</t>
        </is>
      </c>
      <c r="C1880">
        <f>IF(AND('Month 08'!L91&lt;&gt;"",N('Month 08'!I91)&gt;0),'Month 08'!I91,"")</f>
        <v/>
      </c>
      <c r="D1880">
        <f>IF(C1880="","",IF(N('Month 08'!J91)&gt;0,'Month 08'!J91,1))</f>
        <v/>
      </c>
      <c r="E1880">
        <f>IF(OR(C1880="",D1880=""),"",IF(D1880=1,C1880,ROUND(C1880*(1+D1880/30),1)))</f>
        <v/>
      </c>
    </row>
    <row r="1881">
      <c r="A1881">
        <f>'Month 08'!B69</f>
        <v/>
      </c>
      <c r="B1881" t="inlineStr">
        <is>
          <t>Incline Dumbbell Press</t>
        </is>
      </c>
      <c r="C1881">
        <f>IF(AND('Month 08'!L93&lt;&gt;"",N('Month 08'!I93)&gt;0),'Month 08'!I93,"")</f>
        <v/>
      </c>
      <c r="D1881">
        <f>IF(C1881="","",IF(N('Month 08'!J93)&gt;0,'Month 08'!J93,1))</f>
        <v/>
      </c>
      <c r="E1881">
        <f>IF(OR(C1881="",D1881=""),"",IF(D1881=1,C1881,ROUND(C1881*(1+D1881/30),1)))</f>
        <v/>
      </c>
    </row>
    <row r="1882">
      <c r="A1882">
        <f>'Month 08'!B69</f>
        <v/>
      </c>
      <c r="B1882" t="inlineStr">
        <is>
          <t>Incline Dumbbell Press</t>
        </is>
      </c>
      <c r="C1882">
        <f>IF(AND('Month 08'!L94&lt;&gt;"",N('Month 08'!I94)&gt;0),'Month 08'!I94,"")</f>
        <v/>
      </c>
      <c r="D1882">
        <f>IF(C1882="","",IF(N('Month 08'!J94)&gt;0,'Month 08'!J94,1))</f>
        <v/>
      </c>
      <c r="E1882">
        <f>IF(OR(C1882="",D1882=""),"",IF(D1882=1,C1882,ROUND(C1882*(1+D1882/30),1)))</f>
        <v/>
      </c>
    </row>
    <row r="1883">
      <c r="A1883">
        <f>'Month 08'!B69</f>
        <v/>
      </c>
      <c r="B1883" t="inlineStr">
        <is>
          <t>Incline Dumbbell Press</t>
        </is>
      </c>
      <c r="C1883">
        <f>IF(AND('Month 08'!L95&lt;&gt;"",N('Month 08'!I95)&gt;0),'Month 08'!I95,"")</f>
        <v/>
      </c>
      <c r="D1883">
        <f>IF(C1883="","",IF(N('Month 08'!J95)&gt;0,'Month 08'!J95,1))</f>
        <v/>
      </c>
      <c r="E1883">
        <f>IF(OR(C1883="",D1883=""),"",IF(D1883=1,C1883,ROUND(C1883*(1+D1883/30),1)))</f>
        <v/>
      </c>
    </row>
    <row r="1884">
      <c r="A1884">
        <f>'Month 08'!B69</f>
        <v/>
      </c>
      <c r="B1884" t="inlineStr">
        <is>
          <t>Triceps Pushdown</t>
        </is>
      </c>
      <c r="C1884">
        <f>IF(AND('Month 08'!L97&lt;&gt;"",N('Month 08'!I97)&gt;0),'Month 08'!I97,"")</f>
        <v/>
      </c>
      <c r="D1884">
        <f>IF(C1884="","",IF(N('Month 08'!J97)&gt;0,'Month 08'!J97,1))</f>
        <v/>
      </c>
      <c r="E1884">
        <f>IF(OR(C1884="",D1884=""),"",IF(D1884=1,C1884,ROUND(C1884*(1+D1884/30),1)))</f>
        <v/>
      </c>
    </row>
    <row r="1885">
      <c r="A1885">
        <f>'Month 08'!B69</f>
        <v/>
      </c>
      <c r="B1885" t="inlineStr">
        <is>
          <t>Triceps Pushdown</t>
        </is>
      </c>
      <c r="C1885">
        <f>IF(AND('Month 08'!L98&lt;&gt;"",N('Month 08'!I98)&gt;0),'Month 08'!I98,"")</f>
        <v/>
      </c>
      <c r="D1885">
        <f>IF(C1885="","",IF(N('Month 08'!J98)&gt;0,'Month 08'!J98,1))</f>
        <v/>
      </c>
      <c r="E1885">
        <f>IF(OR(C1885="",D1885=""),"",IF(D1885=1,C1885,ROUND(C1885*(1+D1885/30),1)))</f>
        <v/>
      </c>
    </row>
    <row r="1886">
      <c r="A1886">
        <f>'Month 08'!B69</f>
        <v/>
      </c>
      <c r="B1886" t="inlineStr">
        <is>
          <t>Triceps Pushdown</t>
        </is>
      </c>
      <c r="C1886">
        <f>IF(AND('Month 08'!L99&lt;&gt;"",N('Month 08'!I99)&gt;0),'Month 08'!I99,"")</f>
        <v/>
      </c>
      <c r="D1886">
        <f>IF(C1886="","",IF(N('Month 08'!J99)&gt;0,'Month 08'!J99,1))</f>
        <v/>
      </c>
      <c r="E1886">
        <f>IF(OR(C1886="",D1886=""),"",IF(D1886=1,C1886,ROUND(C1886*(1+D1886/30),1)))</f>
        <v/>
      </c>
    </row>
    <row r="1887">
      <c r="A1887">
        <f>'Month 08'!B102</f>
        <v/>
      </c>
      <c r="B1887" t="inlineStr">
        <is>
          <t>Box Jump</t>
        </is>
      </c>
      <c r="C1887">
        <f>IF(AND('Month 08'!L104&lt;&gt;"",N('Month 08'!I104)&gt;0),'Month 08'!I104,"")</f>
        <v/>
      </c>
      <c r="D1887">
        <f>IF(C1887="","",IF(N('Month 08'!J104)&gt;0,'Month 08'!J104,1))</f>
        <v/>
      </c>
      <c r="E1887">
        <f>IF(OR(C1887="",D1887=""),"",IF(D1887=1,C1887,ROUND(C1887*(1+D1887/30),1)))</f>
        <v/>
      </c>
    </row>
    <row r="1888">
      <c r="A1888">
        <f>'Month 08'!B102</f>
        <v/>
      </c>
      <c r="B1888" t="inlineStr">
        <is>
          <t>Box Jump</t>
        </is>
      </c>
      <c r="C1888">
        <f>IF(AND('Month 08'!L105&lt;&gt;"",N('Month 08'!I105)&gt;0),'Month 08'!I105,"")</f>
        <v/>
      </c>
      <c r="D1888">
        <f>IF(C1888="","",IF(N('Month 08'!J105)&gt;0,'Month 08'!J105,1))</f>
        <v/>
      </c>
      <c r="E1888">
        <f>IF(OR(C1888="",D1888=""),"",IF(D1888=1,C1888,ROUND(C1888*(1+D1888/30),1)))</f>
        <v/>
      </c>
    </row>
    <row r="1889">
      <c r="A1889">
        <f>'Month 08'!B102</f>
        <v/>
      </c>
      <c r="B1889" t="inlineStr">
        <is>
          <t>Box Jump</t>
        </is>
      </c>
      <c r="C1889">
        <f>IF(AND('Month 08'!L106&lt;&gt;"",N('Month 08'!I106)&gt;0),'Month 08'!I106,"")</f>
        <v/>
      </c>
      <c r="D1889">
        <f>IF(C1889="","",IF(N('Month 08'!J106)&gt;0,'Month 08'!J106,1))</f>
        <v/>
      </c>
      <c r="E1889">
        <f>IF(OR(C1889="",D1889=""),"",IF(D1889=1,C1889,ROUND(C1889*(1+D1889/30),1)))</f>
        <v/>
      </c>
    </row>
    <row r="1890">
      <c r="A1890">
        <f>'Month 08'!B102</f>
        <v/>
      </c>
      <c r="B1890" t="inlineStr">
        <is>
          <t>Box Jump</t>
        </is>
      </c>
      <c r="C1890">
        <f>IF(AND('Month 08'!L107&lt;&gt;"",N('Month 08'!I107)&gt;0),'Month 08'!I107,"")</f>
        <v/>
      </c>
      <c r="D1890">
        <f>IF(C1890="","",IF(N('Month 08'!J107)&gt;0,'Month 08'!J107,1))</f>
        <v/>
      </c>
      <c r="E1890">
        <f>IF(OR(C1890="",D1890=""),"",IF(D1890=1,C1890,ROUND(C1890*(1+D1890/30),1)))</f>
        <v/>
      </c>
    </row>
    <row r="1891">
      <c r="A1891">
        <f>'Month 08'!B102</f>
        <v/>
      </c>
      <c r="B1891" t="inlineStr">
        <is>
          <t>Snatch</t>
        </is>
      </c>
      <c r="C1891">
        <f>IF(AND('Month 08'!L109&lt;&gt;"",N('Month 08'!I109)&gt;0),'Month 08'!I109,"")</f>
        <v/>
      </c>
      <c r="D1891">
        <f>IF(C1891="","",IF(N('Month 08'!J109)&gt;0,'Month 08'!J109,1))</f>
        <v/>
      </c>
      <c r="E1891">
        <f>IF(OR(C1891="",D1891=""),"",IF(D1891=1,C1891,ROUND(C1891*(1+D1891/30),1)))</f>
        <v/>
      </c>
    </row>
    <row r="1892">
      <c r="A1892">
        <f>'Month 08'!B102</f>
        <v/>
      </c>
      <c r="B1892" t="inlineStr">
        <is>
          <t>Snatch</t>
        </is>
      </c>
      <c r="C1892">
        <f>IF(AND('Month 08'!L110&lt;&gt;"",N('Month 08'!I110)&gt;0),'Month 08'!I110,"")</f>
        <v/>
      </c>
      <c r="D1892">
        <f>IF(C1892="","",IF(N('Month 08'!J110)&gt;0,'Month 08'!J110,1))</f>
        <v/>
      </c>
      <c r="E1892">
        <f>IF(OR(C1892="",D1892=""),"",IF(D1892=1,C1892,ROUND(C1892*(1+D1892/30),1)))</f>
        <v/>
      </c>
    </row>
    <row r="1893">
      <c r="A1893">
        <f>'Month 08'!B102</f>
        <v/>
      </c>
      <c r="B1893" t="inlineStr">
        <is>
          <t>Snatch</t>
        </is>
      </c>
      <c r="C1893">
        <f>IF(AND('Month 08'!L111&lt;&gt;"",N('Month 08'!I111)&gt;0),'Month 08'!I111,"")</f>
        <v/>
      </c>
      <c r="D1893">
        <f>IF(C1893="","",IF(N('Month 08'!J111)&gt;0,'Month 08'!J111,1))</f>
        <v/>
      </c>
      <c r="E1893">
        <f>IF(OR(C1893="",D1893=""),"",IF(D1893=1,C1893,ROUND(C1893*(1+D1893/30),1)))</f>
        <v/>
      </c>
    </row>
    <row r="1894">
      <c r="A1894">
        <f>'Month 08'!B102</f>
        <v/>
      </c>
      <c r="B1894" t="inlineStr">
        <is>
          <t>Snatch</t>
        </is>
      </c>
      <c r="C1894">
        <f>IF(AND('Month 08'!L112&lt;&gt;"",N('Month 08'!I112)&gt;0),'Month 08'!I112,"")</f>
        <v/>
      </c>
      <c r="D1894">
        <f>IF(C1894="","",IF(N('Month 08'!J112)&gt;0,'Month 08'!J112,1))</f>
        <v/>
      </c>
      <c r="E1894">
        <f>IF(OR(C1894="",D1894=""),"",IF(D1894=1,C1894,ROUND(C1894*(1+D1894/30),1)))</f>
        <v/>
      </c>
    </row>
    <row r="1895">
      <c r="A1895">
        <f>'Month 08'!B102</f>
        <v/>
      </c>
      <c r="B1895" t="inlineStr">
        <is>
          <t>Snatch</t>
        </is>
      </c>
      <c r="C1895">
        <f>IF(AND('Month 08'!L113&lt;&gt;"",N('Month 08'!I113)&gt;0),'Month 08'!I113,"")</f>
        <v/>
      </c>
      <c r="D1895">
        <f>IF(C1895="","",IF(N('Month 08'!J113)&gt;0,'Month 08'!J113,1))</f>
        <v/>
      </c>
      <c r="E1895">
        <f>IF(OR(C1895="",D1895=""),"",IF(D1895=1,C1895,ROUND(C1895*(1+D1895/30),1)))</f>
        <v/>
      </c>
    </row>
    <row r="1896">
      <c r="A1896">
        <f>'Month 08'!B102</f>
        <v/>
      </c>
      <c r="B1896" t="inlineStr">
        <is>
          <t>Squat</t>
        </is>
      </c>
      <c r="C1896">
        <f>IF(AND('Month 08'!L115&lt;&gt;"",N('Month 08'!I115)&gt;0),'Month 08'!I115,"")</f>
        <v/>
      </c>
      <c r="D1896">
        <f>IF(C1896="","",IF(N('Month 08'!J115)&gt;0,'Month 08'!J115,1))</f>
        <v/>
      </c>
      <c r="E1896">
        <f>IF(OR(C1896="",D1896=""),"",IF(D1896=1,C1896,ROUND(C1896*(1+D1896/30),1)))</f>
        <v/>
      </c>
    </row>
    <row r="1897">
      <c r="A1897">
        <f>'Month 08'!B102</f>
        <v/>
      </c>
      <c r="B1897" t="inlineStr">
        <is>
          <t>Squat</t>
        </is>
      </c>
      <c r="C1897">
        <f>IF(AND('Month 08'!L116&lt;&gt;"",N('Month 08'!I116)&gt;0),'Month 08'!I116,"")</f>
        <v/>
      </c>
      <c r="D1897">
        <f>IF(C1897="","",IF(N('Month 08'!J116)&gt;0,'Month 08'!J116,1))</f>
        <v/>
      </c>
      <c r="E1897">
        <f>IF(OR(C1897="",D1897=""),"",IF(D1897=1,C1897,ROUND(C1897*(1+D1897/30),1)))</f>
        <v/>
      </c>
    </row>
    <row r="1898">
      <c r="A1898">
        <f>'Month 08'!B102</f>
        <v/>
      </c>
      <c r="B1898" t="inlineStr">
        <is>
          <t>Squat</t>
        </is>
      </c>
      <c r="C1898">
        <f>IF(AND('Month 08'!L117&lt;&gt;"",N('Month 08'!I117)&gt;0),'Month 08'!I117,"")</f>
        <v/>
      </c>
      <c r="D1898">
        <f>IF(C1898="","",IF(N('Month 08'!J117)&gt;0,'Month 08'!J117,1))</f>
        <v/>
      </c>
      <c r="E1898">
        <f>IF(OR(C1898="",D1898=""),"",IF(D1898=1,C1898,ROUND(C1898*(1+D1898/30),1)))</f>
        <v/>
      </c>
    </row>
    <row r="1899">
      <c r="A1899">
        <f>'Month 08'!B102</f>
        <v/>
      </c>
      <c r="B1899" t="inlineStr">
        <is>
          <t>Squat</t>
        </is>
      </c>
      <c r="C1899">
        <f>IF(AND('Month 08'!L118&lt;&gt;"",N('Month 08'!I118)&gt;0),'Month 08'!I118,"")</f>
        <v/>
      </c>
      <c r="D1899">
        <f>IF(C1899="","",IF(N('Month 08'!J118)&gt;0,'Month 08'!J118,1))</f>
        <v/>
      </c>
      <c r="E1899">
        <f>IF(OR(C1899="",D1899=""),"",IF(D1899=1,C1899,ROUND(C1899*(1+D1899/30),1)))</f>
        <v/>
      </c>
    </row>
    <row r="1900">
      <c r="A1900">
        <f>'Month 08'!B102</f>
        <v/>
      </c>
      <c r="B1900" t="inlineStr">
        <is>
          <t>Bench Press</t>
        </is>
      </c>
      <c r="C1900">
        <f>IF(AND('Month 08'!L120&lt;&gt;"",N('Month 08'!I120)&gt;0),'Month 08'!I120,"")</f>
        <v/>
      </c>
      <c r="D1900">
        <f>IF(C1900="","",IF(N('Month 08'!J120)&gt;0,'Month 08'!J120,1))</f>
        <v/>
      </c>
      <c r="E1900">
        <f>IF(OR(C1900="",D1900=""),"",IF(D1900=1,C1900,ROUND(C1900*(1+D1900/30),1)))</f>
        <v/>
      </c>
    </row>
    <row r="1901">
      <c r="A1901">
        <f>'Month 08'!B102</f>
        <v/>
      </c>
      <c r="B1901" t="inlineStr">
        <is>
          <t>Bench Press</t>
        </is>
      </c>
      <c r="C1901">
        <f>IF(AND('Month 08'!L121&lt;&gt;"",N('Month 08'!I121)&gt;0),'Month 08'!I121,"")</f>
        <v/>
      </c>
      <c r="D1901">
        <f>IF(C1901="","",IF(N('Month 08'!J121)&gt;0,'Month 08'!J121,1))</f>
        <v/>
      </c>
      <c r="E1901">
        <f>IF(OR(C1901="",D1901=""),"",IF(D1901=1,C1901,ROUND(C1901*(1+D1901/30),1)))</f>
        <v/>
      </c>
    </row>
    <row r="1902">
      <c r="A1902">
        <f>'Month 08'!B102</f>
        <v/>
      </c>
      <c r="B1902" t="inlineStr">
        <is>
          <t>Bench Press</t>
        </is>
      </c>
      <c r="C1902">
        <f>IF(AND('Month 08'!L122&lt;&gt;"",N('Month 08'!I122)&gt;0),'Month 08'!I122,"")</f>
        <v/>
      </c>
      <c r="D1902">
        <f>IF(C1902="","",IF(N('Month 08'!J122)&gt;0,'Month 08'!J122,1))</f>
        <v/>
      </c>
      <c r="E1902">
        <f>IF(OR(C1902="",D1902=""),"",IF(D1902=1,C1902,ROUND(C1902*(1+D1902/30),1)))</f>
        <v/>
      </c>
    </row>
    <row r="1903">
      <c r="A1903">
        <f>'Month 08'!B102</f>
        <v/>
      </c>
      <c r="B1903" t="inlineStr">
        <is>
          <t>Bench Press</t>
        </is>
      </c>
      <c r="C1903">
        <f>IF(AND('Month 08'!L123&lt;&gt;"",N('Month 08'!I123)&gt;0),'Month 08'!I123,"")</f>
        <v/>
      </c>
      <c r="D1903">
        <f>IF(C1903="","",IF(N('Month 08'!J123)&gt;0,'Month 08'!J123,1))</f>
        <v/>
      </c>
      <c r="E1903">
        <f>IF(OR(C1903="",D1903=""),"",IF(D1903=1,C1903,ROUND(C1903*(1+D1903/30),1)))</f>
        <v/>
      </c>
    </row>
    <row r="1904">
      <c r="A1904">
        <f>'Month 08'!B102</f>
        <v/>
      </c>
      <c r="B1904" t="inlineStr">
        <is>
          <t>Barbell Row</t>
        </is>
      </c>
      <c r="C1904">
        <f>IF(AND('Month 08'!L125&lt;&gt;"",N('Month 08'!I125)&gt;0),'Month 08'!I125,"")</f>
        <v/>
      </c>
      <c r="D1904">
        <f>IF(C1904="","",IF(N('Month 08'!J125)&gt;0,'Month 08'!J125,1))</f>
        <v/>
      </c>
      <c r="E1904">
        <f>IF(OR(C1904="",D1904=""),"",IF(D1904=1,C1904,ROUND(C1904*(1+D1904/30),1)))</f>
        <v/>
      </c>
    </row>
    <row r="1905">
      <c r="A1905">
        <f>'Month 08'!B102</f>
        <v/>
      </c>
      <c r="B1905" t="inlineStr">
        <is>
          <t>Barbell Row</t>
        </is>
      </c>
      <c r="C1905">
        <f>IF(AND('Month 08'!L126&lt;&gt;"",N('Month 08'!I126)&gt;0),'Month 08'!I126,"")</f>
        <v/>
      </c>
      <c r="D1905">
        <f>IF(C1905="","",IF(N('Month 08'!J126)&gt;0,'Month 08'!J126,1))</f>
        <v/>
      </c>
      <c r="E1905">
        <f>IF(OR(C1905="",D1905=""),"",IF(D1905=1,C1905,ROUND(C1905*(1+D1905/30),1)))</f>
        <v/>
      </c>
    </row>
    <row r="1906">
      <c r="A1906">
        <f>'Month 08'!B102</f>
        <v/>
      </c>
      <c r="B1906" t="inlineStr">
        <is>
          <t>Barbell Row</t>
        </is>
      </c>
      <c r="C1906">
        <f>IF(AND('Month 08'!L127&lt;&gt;"",N('Month 08'!I127)&gt;0),'Month 08'!I127,"")</f>
        <v/>
      </c>
      <c r="D1906">
        <f>IF(C1906="","",IF(N('Month 08'!J127)&gt;0,'Month 08'!J127,1))</f>
        <v/>
      </c>
      <c r="E1906">
        <f>IF(OR(C1906="",D1906=""),"",IF(D1906=1,C1906,ROUND(C1906*(1+D1906/30),1)))</f>
        <v/>
      </c>
    </row>
    <row r="1907">
      <c r="A1907">
        <f>'Month 08'!B102</f>
        <v/>
      </c>
      <c r="B1907" t="inlineStr">
        <is>
          <t>Face Pull</t>
        </is>
      </c>
      <c r="C1907">
        <f>IF(AND('Month 08'!L129&lt;&gt;"",N('Month 08'!I129)&gt;0),'Month 08'!I129,"")</f>
        <v/>
      </c>
      <c r="D1907">
        <f>IF(C1907="","",IF(N('Month 08'!J129)&gt;0,'Month 08'!J129,1))</f>
        <v/>
      </c>
      <c r="E1907">
        <f>IF(OR(C1907="",D1907=""),"",IF(D1907=1,C1907,ROUND(C1907*(1+D1907/30),1)))</f>
        <v/>
      </c>
    </row>
    <row r="1908">
      <c r="A1908">
        <f>'Month 08'!B102</f>
        <v/>
      </c>
      <c r="B1908" t="inlineStr">
        <is>
          <t>Face Pull</t>
        </is>
      </c>
      <c r="C1908">
        <f>IF(AND('Month 08'!L130&lt;&gt;"",N('Month 08'!I130)&gt;0),'Month 08'!I130,"")</f>
        <v/>
      </c>
      <c r="D1908">
        <f>IF(C1908="","",IF(N('Month 08'!J130)&gt;0,'Month 08'!J130,1))</f>
        <v/>
      </c>
      <c r="E1908">
        <f>IF(OR(C1908="",D1908=""),"",IF(D1908=1,C1908,ROUND(C1908*(1+D1908/30),1)))</f>
        <v/>
      </c>
    </row>
    <row r="1909">
      <c r="A1909">
        <f>'Month 08'!B102</f>
        <v/>
      </c>
      <c r="B1909" t="inlineStr">
        <is>
          <t>Face Pull</t>
        </is>
      </c>
      <c r="C1909">
        <f>IF(AND('Month 08'!L131&lt;&gt;"",N('Month 08'!I131)&gt;0),'Month 08'!I131,"")</f>
        <v/>
      </c>
      <c r="D1909">
        <f>IF(C1909="","",IF(N('Month 08'!J131)&gt;0,'Month 08'!J131,1))</f>
        <v/>
      </c>
      <c r="E1909">
        <f>IF(OR(C1909="",D1909=""),"",IF(D1909=1,C1909,ROUND(C1909*(1+D1909/30),1)))</f>
        <v/>
      </c>
    </row>
    <row r="1910">
      <c r="A1910">
        <f>'Month 08'!B132</f>
        <v/>
      </c>
      <c r="B1910" t="inlineStr">
        <is>
          <t>Broad Jump</t>
        </is>
      </c>
      <c r="C1910">
        <f>IF(AND('Month 08'!L134&lt;&gt;"",N('Month 08'!I134)&gt;0),'Month 08'!I134,"")</f>
        <v/>
      </c>
      <c r="D1910">
        <f>IF(C1910="","",IF(N('Month 08'!J134)&gt;0,'Month 08'!J134,1))</f>
        <v/>
      </c>
      <c r="E1910">
        <f>IF(OR(C1910="",D1910=""),"",IF(D1910=1,C1910,ROUND(C1910*(1+D1910/30),1)))</f>
        <v/>
      </c>
    </row>
    <row r="1911">
      <c r="A1911">
        <f>'Month 08'!B132</f>
        <v/>
      </c>
      <c r="B1911" t="inlineStr">
        <is>
          <t>Broad Jump</t>
        </is>
      </c>
      <c r="C1911">
        <f>IF(AND('Month 08'!L135&lt;&gt;"",N('Month 08'!I135)&gt;0),'Month 08'!I135,"")</f>
        <v/>
      </c>
      <c r="D1911">
        <f>IF(C1911="","",IF(N('Month 08'!J135)&gt;0,'Month 08'!J135,1))</f>
        <v/>
      </c>
      <c r="E1911">
        <f>IF(OR(C1911="",D1911=""),"",IF(D1911=1,C1911,ROUND(C1911*(1+D1911/30),1)))</f>
        <v/>
      </c>
    </row>
    <row r="1912">
      <c r="A1912">
        <f>'Month 08'!B132</f>
        <v/>
      </c>
      <c r="B1912" t="inlineStr">
        <is>
          <t>Broad Jump</t>
        </is>
      </c>
      <c r="C1912">
        <f>IF(AND('Month 08'!L136&lt;&gt;"",N('Month 08'!I136)&gt;0),'Month 08'!I136,"")</f>
        <v/>
      </c>
      <c r="D1912">
        <f>IF(C1912="","",IF(N('Month 08'!J136)&gt;0,'Month 08'!J136,1))</f>
        <v/>
      </c>
      <c r="E1912">
        <f>IF(OR(C1912="",D1912=""),"",IF(D1912=1,C1912,ROUND(C1912*(1+D1912/30),1)))</f>
        <v/>
      </c>
    </row>
    <row r="1913">
      <c r="A1913">
        <f>'Month 08'!B132</f>
        <v/>
      </c>
      <c r="B1913" t="inlineStr">
        <is>
          <t>Broad Jump</t>
        </is>
      </c>
      <c r="C1913">
        <f>IF(AND('Month 08'!L137&lt;&gt;"",N('Month 08'!I137)&gt;0),'Month 08'!I137,"")</f>
        <v/>
      </c>
      <c r="D1913">
        <f>IF(C1913="","",IF(N('Month 08'!J137)&gt;0,'Month 08'!J137,1))</f>
        <v/>
      </c>
      <c r="E1913">
        <f>IF(OR(C1913="",D1913=""),"",IF(D1913=1,C1913,ROUND(C1913*(1+D1913/30),1)))</f>
        <v/>
      </c>
    </row>
    <row r="1914">
      <c r="A1914">
        <f>'Month 08'!B132</f>
        <v/>
      </c>
      <c r="B1914" t="inlineStr">
        <is>
          <t>Med Ball Chest Pass</t>
        </is>
      </c>
      <c r="C1914">
        <f>IF(AND('Month 08'!L139&lt;&gt;"",N('Month 08'!I139)&gt;0),'Month 08'!I139,"")</f>
        <v/>
      </c>
      <c r="D1914">
        <f>IF(C1914="","",IF(N('Month 08'!J139)&gt;0,'Month 08'!J139,1))</f>
        <v/>
      </c>
      <c r="E1914">
        <f>IF(OR(C1914="",D1914=""),"",IF(D1914=1,C1914,ROUND(C1914*(1+D1914/30),1)))</f>
        <v/>
      </c>
    </row>
    <row r="1915">
      <c r="A1915">
        <f>'Month 08'!B132</f>
        <v/>
      </c>
      <c r="B1915" t="inlineStr">
        <is>
          <t>Med Ball Chest Pass</t>
        </is>
      </c>
      <c r="C1915">
        <f>IF(AND('Month 08'!L140&lt;&gt;"",N('Month 08'!I140)&gt;0),'Month 08'!I140,"")</f>
        <v/>
      </c>
      <c r="D1915">
        <f>IF(C1915="","",IF(N('Month 08'!J140)&gt;0,'Month 08'!J140,1))</f>
        <v/>
      </c>
      <c r="E1915">
        <f>IF(OR(C1915="",D1915=""),"",IF(D1915=1,C1915,ROUND(C1915*(1+D1915/30),1)))</f>
        <v/>
      </c>
    </row>
    <row r="1916">
      <c r="A1916">
        <f>'Month 08'!B132</f>
        <v/>
      </c>
      <c r="B1916" t="inlineStr">
        <is>
          <t>Med Ball Chest Pass</t>
        </is>
      </c>
      <c r="C1916">
        <f>IF(AND('Month 08'!L141&lt;&gt;"",N('Month 08'!I141)&gt;0),'Month 08'!I141,"")</f>
        <v/>
      </c>
      <c r="D1916">
        <f>IF(C1916="","",IF(N('Month 08'!J141)&gt;0,'Month 08'!J141,1))</f>
        <v/>
      </c>
      <c r="E1916">
        <f>IF(OR(C1916="",D1916=""),"",IF(D1916=1,C1916,ROUND(C1916*(1+D1916/30),1)))</f>
        <v/>
      </c>
    </row>
    <row r="1917">
      <c r="A1917">
        <f>'Month 08'!B132</f>
        <v/>
      </c>
      <c r="B1917" t="inlineStr">
        <is>
          <t>Clean &amp; Jerk</t>
        </is>
      </c>
      <c r="C1917">
        <f>IF(AND('Month 08'!L143&lt;&gt;"",N('Month 08'!I143)&gt;0),'Month 08'!I143,"")</f>
        <v/>
      </c>
      <c r="D1917">
        <f>IF(C1917="","",IF(N('Month 08'!J143)&gt;0,'Month 08'!J143,1))</f>
        <v/>
      </c>
      <c r="E1917">
        <f>IF(OR(C1917="",D1917=""),"",IF(D1917=1,C1917,ROUND(C1917*(1+D1917/30),1)))</f>
        <v/>
      </c>
    </row>
    <row r="1918">
      <c r="A1918">
        <f>'Month 08'!B132</f>
        <v/>
      </c>
      <c r="B1918" t="inlineStr">
        <is>
          <t>Clean &amp; Jerk</t>
        </is>
      </c>
      <c r="C1918">
        <f>IF(AND('Month 08'!L144&lt;&gt;"",N('Month 08'!I144)&gt;0),'Month 08'!I144,"")</f>
        <v/>
      </c>
      <c r="D1918">
        <f>IF(C1918="","",IF(N('Month 08'!J144)&gt;0,'Month 08'!J144,1))</f>
        <v/>
      </c>
      <c r="E1918">
        <f>IF(OR(C1918="",D1918=""),"",IF(D1918=1,C1918,ROUND(C1918*(1+D1918/30),1)))</f>
        <v/>
      </c>
    </row>
    <row r="1919">
      <c r="A1919">
        <f>'Month 08'!B132</f>
        <v/>
      </c>
      <c r="B1919" t="inlineStr">
        <is>
          <t>Clean &amp; Jerk</t>
        </is>
      </c>
      <c r="C1919">
        <f>IF(AND('Month 08'!L145&lt;&gt;"",N('Month 08'!I145)&gt;0),'Month 08'!I145,"")</f>
        <v/>
      </c>
      <c r="D1919">
        <f>IF(C1919="","",IF(N('Month 08'!J145)&gt;0,'Month 08'!J145,1))</f>
        <v/>
      </c>
      <c r="E1919">
        <f>IF(OR(C1919="",D1919=""),"",IF(D1919=1,C1919,ROUND(C1919*(1+D1919/30),1)))</f>
        <v/>
      </c>
    </row>
    <row r="1920">
      <c r="A1920">
        <f>'Month 08'!B132</f>
        <v/>
      </c>
      <c r="B1920" t="inlineStr">
        <is>
          <t>Clean &amp; Jerk</t>
        </is>
      </c>
      <c r="C1920">
        <f>IF(AND('Month 08'!L146&lt;&gt;"",N('Month 08'!I146)&gt;0),'Month 08'!I146,"")</f>
        <v/>
      </c>
      <c r="D1920">
        <f>IF(C1920="","",IF(N('Month 08'!J146)&gt;0,'Month 08'!J146,1))</f>
        <v/>
      </c>
      <c r="E1920">
        <f>IF(OR(C1920="",D1920=""),"",IF(D1920=1,C1920,ROUND(C1920*(1+D1920/30),1)))</f>
        <v/>
      </c>
    </row>
    <row r="1921">
      <c r="A1921">
        <f>'Month 08'!B132</f>
        <v/>
      </c>
      <c r="B1921" t="inlineStr">
        <is>
          <t>Clean &amp; Jerk</t>
        </is>
      </c>
      <c r="C1921">
        <f>IF(AND('Month 08'!L147&lt;&gt;"",N('Month 08'!I147)&gt;0),'Month 08'!I147,"")</f>
        <v/>
      </c>
      <c r="D1921">
        <f>IF(C1921="","",IF(N('Month 08'!J147)&gt;0,'Month 08'!J147,1))</f>
        <v/>
      </c>
      <c r="E1921">
        <f>IF(OR(C1921="",D1921=""),"",IF(D1921=1,C1921,ROUND(C1921*(1+D1921/30),1)))</f>
        <v/>
      </c>
    </row>
    <row r="1922">
      <c r="A1922">
        <f>'Month 08'!B132</f>
        <v/>
      </c>
      <c r="B1922" t="inlineStr">
        <is>
          <t>Squat</t>
        </is>
      </c>
      <c r="C1922">
        <f>IF(AND('Month 08'!L149&lt;&gt;"",N('Month 08'!I149)&gt;0),'Month 08'!I149,"")</f>
        <v/>
      </c>
      <c r="D1922">
        <f>IF(C1922="","",IF(N('Month 08'!J149)&gt;0,'Month 08'!J149,1))</f>
        <v/>
      </c>
      <c r="E1922">
        <f>IF(OR(C1922="",D1922=""),"",IF(D1922=1,C1922,ROUND(C1922*(1+D1922/30),1)))</f>
        <v/>
      </c>
    </row>
    <row r="1923">
      <c r="A1923">
        <f>'Month 08'!B132</f>
        <v/>
      </c>
      <c r="B1923" t="inlineStr">
        <is>
          <t>Squat</t>
        </is>
      </c>
      <c r="C1923">
        <f>IF(AND('Month 08'!L150&lt;&gt;"",N('Month 08'!I150)&gt;0),'Month 08'!I150,"")</f>
        <v/>
      </c>
      <c r="D1923">
        <f>IF(C1923="","",IF(N('Month 08'!J150)&gt;0,'Month 08'!J150,1))</f>
        <v/>
      </c>
      <c r="E1923">
        <f>IF(OR(C1923="",D1923=""),"",IF(D1923=1,C1923,ROUND(C1923*(1+D1923/30),1)))</f>
        <v/>
      </c>
    </row>
    <row r="1924">
      <c r="A1924">
        <f>'Month 08'!B132</f>
        <v/>
      </c>
      <c r="B1924" t="inlineStr">
        <is>
          <t>Squat</t>
        </is>
      </c>
      <c r="C1924">
        <f>IF(AND('Month 08'!L151&lt;&gt;"",N('Month 08'!I151)&gt;0),'Month 08'!I151,"")</f>
        <v/>
      </c>
      <c r="D1924">
        <f>IF(C1924="","",IF(N('Month 08'!J151)&gt;0,'Month 08'!J151,1))</f>
        <v/>
      </c>
      <c r="E1924">
        <f>IF(OR(C1924="",D1924=""),"",IF(D1924=1,C1924,ROUND(C1924*(1+D1924/30),1)))</f>
        <v/>
      </c>
    </row>
    <row r="1925">
      <c r="A1925">
        <f>'Month 08'!B132</f>
        <v/>
      </c>
      <c r="B1925" t="inlineStr">
        <is>
          <t>Overhead Press</t>
        </is>
      </c>
      <c r="C1925">
        <f>IF(AND('Month 08'!L153&lt;&gt;"",N('Month 08'!I153)&gt;0),'Month 08'!I153,"")</f>
        <v/>
      </c>
      <c r="D1925">
        <f>IF(C1925="","",IF(N('Month 08'!J153)&gt;0,'Month 08'!J153,1))</f>
        <v/>
      </c>
      <c r="E1925">
        <f>IF(OR(C1925="",D1925=""),"",IF(D1925=1,C1925,ROUND(C1925*(1+D1925/30),1)))</f>
        <v/>
      </c>
    </row>
    <row r="1926">
      <c r="A1926">
        <f>'Month 08'!B132</f>
        <v/>
      </c>
      <c r="B1926" t="inlineStr">
        <is>
          <t>Overhead Press</t>
        </is>
      </c>
      <c r="C1926">
        <f>IF(AND('Month 08'!L154&lt;&gt;"",N('Month 08'!I154)&gt;0),'Month 08'!I154,"")</f>
        <v/>
      </c>
      <c r="D1926">
        <f>IF(C1926="","",IF(N('Month 08'!J154)&gt;0,'Month 08'!J154,1))</f>
        <v/>
      </c>
      <c r="E1926">
        <f>IF(OR(C1926="",D1926=""),"",IF(D1926=1,C1926,ROUND(C1926*(1+D1926/30),1)))</f>
        <v/>
      </c>
    </row>
    <row r="1927">
      <c r="A1927">
        <f>'Month 08'!B132</f>
        <v/>
      </c>
      <c r="B1927" t="inlineStr">
        <is>
          <t>Overhead Press</t>
        </is>
      </c>
      <c r="C1927">
        <f>IF(AND('Month 08'!L155&lt;&gt;"",N('Month 08'!I155)&gt;0),'Month 08'!I155,"")</f>
        <v/>
      </c>
      <c r="D1927">
        <f>IF(C1927="","",IF(N('Month 08'!J155)&gt;0,'Month 08'!J155,1))</f>
        <v/>
      </c>
      <c r="E1927">
        <f>IF(OR(C1927="",D1927=""),"",IF(D1927=1,C1927,ROUND(C1927*(1+D1927/30),1)))</f>
        <v/>
      </c>
    </row>
    <row r="1928">
      <c r="A1928">
        <f>'Month 08'!B132</f>
        <v/>
      </c>
      <c r="B1928" t="inlineStr">
        <is>
          <t>Deadlift</t>
        </is>
      </c>
      <c r="C1928">
        <f>IF(AND('Month 08'!L157&lt;&gt;"",N('Month 08'!I157)&gt;0),'Month 08'!I157,"")</f>
        <v/>
      </c>
      <c r="D1928">
        <f>IF(C1928="","",IF(N('Month 08'!J157)&gt;0,'Month 08'!J157,1))</f>
        <v/>
      </c>
      <c r="E1928">
        <f>IF(OR(C1928="",D1928=""),"",IF(D1928=1,C1928,ROUND(C1928*(1+D1928/30),1)))</f>
        <v/>
      </c>
    </row>
    <row r="1929">
      <c r="A1929">
        <f>'Month 08'!B132</f>
        <v/>
      </c>
      <c r="B1929" t="inlineStr">
        <is>
          <t>Deadlift</t>
        </is>
      </c>
      <c r="C1929">
        <f>IF(AND('Month 08'!L158&lt;&gt;"",N('Month 08'!I158)&gt;0),'Month 08'!I158,"")</f>
        <v/>
      </c>
      <c r="D1929">
        <f>IF(C1929="","",IF(N('Month 08'!J158)&gt;0,'Month 08'!J158,1))</f>
        <v/>
      </c>
      <c r="E1929">
        <f>IF(OR(C1929="",D1929=""),"",IF(D1929=1,C1929,ROUND(C1929*(1+D1929/30),1)))</f>
        <v/>
      </c>
    </row>
    <row r="1930">
      <c r="A1930">
        <f>'Month 08'!B132</f>
        <v/>
      </c>
      <c r="B1930" t="inlineStr">
        <is>
          <t>Deadlift</t>
        </is>
      </c>
      <c r="C1930">
        <f>IF(AND('Month 08'!L159&lt;&gt;"",N('Month 08'!I159)&gt;0),'Month 08'!I159,"")</f>
        <v/>
      </c>
      <c r="D1930">
        <f>IF(C1930="","",IF(N('Month 08'!J159)&gt;0,'Month 08'!J159,1))</f>
        <v/>
      </c>
      <c r="E1930">
        <f>IF(OR(C1930="",D1930=""),"",IF(D1930=1,C1930,ROUND(C1930*(1+D1930/30),1)))</f>
        <v/>
      </c>
    </row>
    <row r="1931">
      <c r="A1931">
        <f>'Month 08'!B132</f>
        <v/>
      </c>
      <c r="B1931" t="inlineStr">
        <is>
          <t>Chin-up</t>
        </is>
      </c>
      <c r="C1931">
        <f>IF(AND('Month 08'!L161&lt;&gt;"",N('Month 08'!I161)&gt;0),'Month 08'!I161,"")</f>
        <v/>
      </c>
      <c r="D1931">
        <f>IF(C1931="","",IF(N('Month 08'!J161)&gt;0,'Month 08'!J161,1))</f>
        <v/>
      </c>
      <c r="E1931">
        <f>IF(OR(C1931="",D1931=""),"",IF(D1931=1,C1931,ROUND(C1931*(1+D1931/30),1)))</f>
        <v/>
      </c>
    </row>
    <row r="1932">
      <c r="A1932">
        <f>'Month 08'!B132</f>
        <v/>
      </c>
      <c r="B1932" t="inlineStr">
        <is>
          <t>Chin-up</t>
        </is>
      </c>
      <c r="C1932">
        <f>IF(AND('Month 08'!L162&lt;&gt;"",N('Month 08'!I162)&gt;0),'Month 08'!I162,"")</f>
        <v/>
      </c>
      <c r="D1932">
        <f>IF(C1932="","",IF(N('Month 08'!J162)&gt;0,'Month 08'!J162,1))</f>
        <v/>
      </c>
      <c r="E1932">
        <f>IF(OR(C1932="",D1932=""),"",IF(D1932=1,C1932,ROUND(C1932*(1+D1932/30),1)))</f>
        <v/>
      </c>
    </row>
    <row r="1933">
      <c r="A1933">
        <f>'Month 08'!B132</f>
        <v/>
      </c>
      <c r="B1933" t="inlineStr">
        <is>
          <t>Chin-up</t>
        </is>
      </c>
      <c r="C1933">
        <f>IF(AND('Month 08'!L163&lt;&gt;"",N('Month 08'!I163)&gt;0),'Month 08'!I163,"")</f>
        <v/>
      </c>
      <c r="D1933">
        <f>IF(C1933="","",IF(N('Month 08'!J163)&gt;0,'Month 08'!J163,1))</f>
        <v/>
      </c>
      <c r="E1933">
        <f>IF(OR(C1933="",D1933=""),"",IF(D1933=1,C1933,ROUND(C1933*(1+D1933/30),1)))</f>
        <v/>
      </c>
    </row>
    <row r="1934">
      <c r="A1934">
        <f>'Month 08'!B132</f>
        <v/>
      </c>
      <c r="B1934" t="inlineStr">
        <is>
          <t>Plank</t>
        </is>
      </c>
      <c r="C1934">
        <f>IF(AND('Month 08'!L165&lt;&gt;"",N('Month 08'!I165)&gt;0),'Month 08'!I165,"")</f>
        <v/>
      </c>
      <c r="D1934">
        <f>IF(C1934="","",IF(N('Month 08'!J165)&gt;0,'Month 08'!J165,1))</f>
        <v/>
      </c>
      <c r="E1934">
        <f>IF(OR(C1934="",D1934=""),"",IF(D1934=1,C1934,ROUND(C1934*(1+D1934/30),1)))</f>
        <v/>
      </c>
    </row>
    <row r="1935">
      <c r="A1935">
        <f>'Month 08'!B132</f>
        <v/>
      </c>
      <c r="B1935" t="inlineStr">
        <is>
          <t>Plank</t>
        </is>
      </c>
      <c r="C1935">
        <f>IF(AND('Month 08'!L166&lt;&gt;"",N('Month 08'!I166)&gt;0),'Month 08'!I166,"")</f>
        <v/>
      </c>
      <c r="D1935">
        <f>IF(C1935="","",IF(N('Month 08'!J166)&gt;0,'Month 08'!J166,1))</f>
        <v/>
      </c>
      <c r="E1935">
        <f>IF(OR(C1935="",D1935=""),"",IF(D1935=1,C1935,ROUND(C1935*(1+D1935/30),1)))</f>
        <v/>
      </c>
    </row>
    <row r="1936">
      <c r="A1936">
        <f>'Month 08'!B132</f>
        <v/>
      </c>
      <c r="B1936" t="inlineStr">
        <is>
          <t>Plank</t>
        </is>
      </c>
      <c r="C1936">
        <f>IF(AND('Month 08'!L167&lt;&gt;"",N('Month 08'!I167)&gt;0),'Month 08'!I167,"")</f>
        <v/>
      </c>
      <c r="D1936">
        <f>IF(C1936="","",IF(N('Month 08'!J167)&gt;0,'Month 08'!J167,1))</f>
        <v/>
      </c>
      <c r="E1936">
        <f>IF(OR(C1936="",D1936=""),"",IF(D1936=1,C1936,ROUND(C1936*(1+D1936/30),1)))</f>
        <v/>
      </c>
    </row>
    <row r="1937">
      <c r="A1937">
        <f>'Month 08'!B168</f>
        <v/>
      </c>
      <c r="B1937" t="inlineStr">
        <is>
          <t>Hurdle Hop</t>
        </is>
      </c>
      <c r="C1937">
        <f>IF(AND('Month 08'!L170&lt;&gt;"",N('Month 08'!I170)&gt;0),'Month 08'!I170,"")</f>
        <v/>
      </c>
      <c r="D1937">
        <f>IF(C1937="","",IF(N('Month 08'!J170)&gt;0,'Month 08'!J170,1))</f>
        <v/>
      </c>
      <c r="E1937">
        <f>IF(OR(C1937="",D1937=""),"",IF(D1937=1,C1937,ROUND(C1937*(1+D1937/30),1)))</f>
        <v/>
      </c>
    </row>
    <row r="1938">
      <c r="A1938">
        <f>'Month 08'!B168</f>
        <v/>
      </c>
      <c r="B1938" t="inlineStr">
        <is>
          <t>Hurdle Hop</t>
        </is>
      </c>
      <c r="C1938">
        <f>IF(AND('Month 08'!L171&lt;&gt;"",N('Month 08'!I171)&gt;0),'Month 08'!I171,"")</f>
        <v/>
      </c>
      <c r="D1938">
        <f>IF(C1938="","",IF(N('Month 08'!J171)&gt;0,'Month 08'!J171,1))</f>
        <v/>
      </c>
      <c r="E1938">
        <f>IF(OR(C1938="",D1938=""),"",IF(D1938=1,C1938,ROUND(C1938*(1+D1938/30),1)))</f>
        <v/>
      </c>
    </row>
    <row r="1939">
      <c r="A1939">
        <f>'Month 08'!B168</f>
        <v/>
      </c>
      <c r="B1939" t="inlineStr">
        <is>
          <t>Hurdle Hop</t>
        </is>
      </c>
      <c r="C1939">
        <f>IF(AND('Month 08'!L172&lt;&gt;"",N('Month 08'!I172)&gt;0),'Month 08'!I172,"")</f>
        <v/>
      </c>
      <c r="D1939">
        <f>IF(C1939="","",IF(N('Month 08'!J172)&gt;0,'Month 08'!J172,1))</f>
        <v/>
      </c>
      <c r="E1939">
        <f>IF(OR(C1939="",D1939=""),"",IF(D1939=1,C1939,ROUND(C1939*(1+D1939/30),1)))</f>
        <v/>
      </c>
    </row>
    <row r="1940">
      <c r="A1940">
        <f>'Month 08'!B168</f>
        <v/>
      </c>
      <c r="B1940" t="inlineStr">
        <is>
          <t>Hurdle Hop</t>
        </is>
      </c>
      <c r="C1940">
        <f>IF(AND('Month 08'!L173&lt;&gt;"",N('Month 08'!I173)&gt;0),'Month 08'!I173,"")</f>
        <v/>
      </c>
      <c r="D1940">
        <f>IF(C1940="","",IF(N('Month 08'!J173)&gt;0,'Month 08'!J173,1))</f>
        <v/>
      </c>
      <c r="E1940">
        <f>IF(OR(C1940="",D1940=""),"",IF(D1940=1,C1940,ROUND(C1940*(1+D1940/30),1)))</f>
        <v/>
      </c>
    </row>
    <row r="1941">
      <c r="A1941">
        <f>'Month 08'!B168</f>
        <v/>
      </c>
      <c r="B1941" t="inlineStr">
        <is>
          <t>Split Jerk</t>
        </is>
      </c>
      <c r="C1941">
        <f>IF(AND('Month 08'!L175&lt;&gt;"",N('Month 08'!I175)&gt;0),'Month 08'!I175,"")</f>
        <v/>
      </c>
      <c r="D1941">
        <f>IF(C1941="","",IF(N('Month 08'!J175)&gt;0,'Month 08'!J175,1))</f>
        <v/>
      </c>
      <c r="E1941">
        <f>IF(OR(C1941="",D1941=""),"",IF(D1941=1,C1941,ROUND(C1941*(1+D1941/30),1)))</f>
        <v/>
      </c>
    </row>
    <row r="1942">
      <c r="A1942">
        <f>'Month 08'!B168</f>
        <v/>
      </c>
      <c r="B1942" t="inlineStr">
        <is>
          <t>Split Jerk</t>
        </is>
      </c>
      <c r="C1942">
        <f>IF(AND('Month 08'!L176&lt;&gt;"",N('Month 08'!I176)&gt;0),'Month 08'!I176,"")</f>
        <v/>
      </c>
      <c r="D1942">
        <f>IF(C1942="","",IF(N('Month 08'!J176)&gt;0,'Month 08'!J176,1))</f>
        <v/>
      </c>
      <c r="E1942">
        <f>IF(OR(C1942="",D1942=""),"",IF(D1942=1,C1942,ROUND(C1942*(1+D1942/30),1)))</f>
        <v/>
      </c>
    </row>
    <row r="1943">
      <c r="A1943">
        <f>'Month 08'!B168</f>
        <v/>
      </c>
      <c r="B1943" t="inlineStr">
        <is>
          <t>Split Jerk</t>
        </is>
      </c>
      <c r="C1943">
        <f>IF(AND('Month 08'!L177&lt;&gt;"",N('Month 08'!I177)&gt;0),'Month 08'!I177,"")</f>
        <v/>
      </c>
      <c r="D1943">
        <f>IF(C1943="","",IF(N('Month 08'!J177)&gt;0,'Month 08'!J177,1))</f>
        <v/>
      </c>
      <c r="E1943">
        <f>IF(OR(C1943="",D1943=""),"",IF(D1943=1,C1943,ROUND(C1943*(1+D1943/30),1)))</f>
        <v/>
      </c>
    </row>
    <row r="1944">
      <c r="A1944">
        <f>'Month 08'!B168</f>
        <v/>
      </c>
      <c r="B1944" t="inlineStr">
        <is>
          <t>Split Jerk</t>
        </is>
      </c>
      <c r="C1944">
        <f>IF(AND('Month 08'!L178&lt;&gt;"",N('Month 08'!I178)&gt;0),'Month 08'!I178,"")</f>
        <v/>
      </c>
      <c r="D1944">
        <f>IF(C1944="","",IF(N('Month 08'!J178)&gt;0,'Month 08'!J178,1))</f>
        <v/>
      </c>
      <c r="E1944">
        <f>IF(OR(C1944="",D1944=""),"",IF(D1944=1,C1944,ROUND(C1944*(1+D1944/30),1)))</f>
        <v/>
      </c>
    </row>
    <row r="1945">
      <c r="A1945">
        <f>'Month 08'!B168</f>
        <v/>
      </c>
      <c r="B1945" t="inlineStr">
        <is>
          <t>Front Squat</t>
        </is>
      </c>
      <c r="C1945">
        <f>IF(AND('Month 08'!L180&lt;&gt;"",N('Month 08'!I180)&gt;0),'Month 08'!I180,"")</f>
        <v/>
      </c>
      <c r="D1945">
        <f>IF(C1945="","",IF(N('Month 08'!J180)&gt;0,'Month 08'!J180,1))</f>
        <v/>
      </c>
      <c r="E1945">
        <f>IF(OR(C1945="",D1945=""),"",IF(D1945=1,C1945,ROUND(C1945*(1+D1945/30),1)))</f>
        <v/>
      </c>
    </row>
    <row r="1946">
      <c r="A1946">
        <f>'Month 08'!B168</f>
        <v/>
      </c>
      <c r="B1946" t="inlineStr">
        <is>
          <t>Front Squat</t>
        </is>
      </c>
      <c r="C1946">
        <f>IF(AND('Month 08'!L181&lt;&gt;"",N('Month 08'!I181)&gt;0),'Month 08'!I181,"")</f>
        <v/>
      </c>
      <c r="D1946">
        <f>IF(C1946="","",IF(N('Month 08'!J181)&gt;0,'Month 08'!J181,1))</f>
        <v/>
      </c>
      <c r="E1946">
        <f>IF(OR(C1946="",D1946=""),"",IF(D1946=1,C1946,ROUND(C1946*(1+D1946/30),1)))</f>
        <v/>
      </c>
    </row>
    <row r="1947">
      <c r="A1947">
        <f>'Month 08'!B168</f>
        <v/>
      </c>
      <c r="B1947" t="inlineStr">
        <is>
          <t>Front Squat</t>
        </is>
      </c>
      <c r="C1947">
        <f>IF(AND('Month 08'!L182&lt;&gt;"",N('Month 08'!I182)&gt;0),'Month 08'!I182,"")</f>
        <v/>
      </c>
      <c r="D1947">
        <f>IF(C1947="","",IF(N('Month 08'!J182)&gt;0,'Month 08'!J182,1))</f>
        <v/>
      </c>
      <c r="E1947">
        <f>IF(OR(C1947="",D1947=""),"",IF(D1947=1,C1947,ROUND(C1947*(1+D1947/30),1)))</f>
        <v/>
      </c>
    </row>
    <row r="1948">
      <c r="A1948">
        <f>'Month 08'!B168</f>
        <v/>
      </c>
      <c r="B1948" t="inlineStr">
        <is>
          <t>Close-Grip Bench Press</t>
        </is>
      </c>
      <c r="C1948">
        <f>IF(AND('Month 08'!L184&lt;&gt;"",N('Month 08'!I184)&gt;0),'Month 08'!I184,"")</f>
        <v/>
      </c>
      <c r="D1948">
        <f>IF(C1948="","",IF(N('Month 08'!J184)&gt;0,'Month 08'!J184,1))</f>
        <v/>
      </c>
      <c r="E1948">
        <f>IF(OR(C1948="",D1948=""),"",IF(D1948=1,C1948,ROUND(C1948*(1+D1948/30),1)))</f>
        <v/>
      </c>
    </row>
    <row r="1949">
      <c r="A1949">
        <f>'Month 08'!B168</f>
        <v/>
      </c>
      <c r="B1949" t="inlineStr">
        <is>
          <t>Close-Grip Bench Press</t>
        </is>
      </c>
      <c r="C1949">
        <f>IF(AND('Month 08'!L185&lt;&gt;"",N('Month 08'!I185)&gt;0),'Month 08'!I185,"")</f>
        <v/>
      </c>
      <c r="D1949">
        <f>IF(C1949="","",IF(N('Month 08'!J185)&gt;0,'Month 08'!J185,1))</f>
        <v/>
      </c>
      <c r="E1949">
        <f>IF(OR(C1949="",D1949=""),"",IF(D1949=1,C1949,ROUND(C1949*(1+D1949/30),1)))</f>
        <v/>
      </c>
    </row>
    <row r="1950">
      <c r="A1950">
        <f>'Month 08'!B168</f>
        <v/>
      </c>
      <c r="B1950" t="inlineStr">
        <is>
          <t>Close-Grip Bench Press</t>
        </is>
      </c>
      <c r="C1950">
        <f>IF(AND('Month 08'!L186&lt;&gt;"",N('Month 08'!I186)&gt;0),'Month 08'!I186,"")</f>
        <v/>
      </c>
      <c r="D1950">
        <f>IF(C1950="","",IF(N('Month 08'!J186)&gt;0,'Month 08'!J186,1))</f>
        <v/>
      </c>
      <c r="E1950">
        <f>IF(OR(C1950="",D1950=""),"",IF(D1950=1,C1950,ROUND(C1950*(1+D1950/30),1)))</f>
        <v/>
      </c>
    </row>
    <row r="1951">
      <c r="A1951">
        <f>'Month 08'!B168</f>
        <v/>
      </c>
      <c r="B1951" t="inlineStr">
        <is>
          <t>Block Pull</t>
        </is>
      </c>
      <c r="C1951">
        <f>IF(AND('Month 08'!L188&lt;&gt;"",N('Month 08'!I188)&gt;0),'Month 08'!I188,"")</f>
        <v/>
      </c>
      <c r="D1951">
        <f>IF(C1951="","",IF(N('Month 08'!J188)&gt;0,'Month 08'!J188,1))</f>
        <v/>
      </c>
      <c r="E1951">
        <f>IF(OR(C1951="",D1951=""),"",IF(D1951=1,C1951,ROUND(C1951*(1+D1951/30),1)))</f>
        <v/>
      </c>
    </row>
    <row r="1952">
      <c r="A1952">
        <f>'Month 08'!B168</f>
        <v/>
      </c>
      <c r="B1952" t="inlineStr">
        <is>
          <t>Block Pull</t>
        </is>
      </c>
      <c r="C1952">
        <f>IF(AND('Month 08'!L189&lt;&gt;"",N('Month 08'!I189)&gt;0),'Month 08'!I189,"")</f>
        <v/>
      </c>
      <c r="D1952">
        <f>IF(C1952="","",IF(N('Month 08'!J189)&gt;0,'Month 08'!J189,1))</f>
        <v/>
      </c>
      <c r="E1952">
        <f>IF(OR(C1952="",D1952=""),"",IF(D1952=1,C1952,ROUND(C1952*(1+D1952/30),1)))</f>
        <v/>
      </c>
    </row>
    <row r="1953">
      <c r="A1953">
        <f>'Month 08'!B168</f>
        <v/>
      </c>
      <c r="B1953" t="inlineStr">
        <is>
          <t>Block Pull</t>
        </is>
      </c>
      <c r="C1953">
        <f>IF(AND('Month 08'!L190&lt;&gt;"",N('Month 08'!I190)&gt;0),'Month 08'!I190,"")</f>
        <v/>
      </c>
      <c r="D1953">
        <f>IF(C1953="","",IF(N('Month 08'!J190)&gt;0,'Month 08'!J190,1))</f>
        <v/>
      </c>
      <c r="E1953">
        <f>IF(OR(C1953="",D1953=""),"",IF(D1953=1,C1953,ROUND(C1953*(1+D1953/30),1)))</f>
        <v/>
      </c>
    </row>
    <row r="1954">
      <c r="A1954">
        <f>'Month 08'!B168</f>
        <v/>
      </c>
      <c r="B1954" t="inlineStr">
        <is>
          <t>Incline Dumbbell Press</t>
        </is>
      </c>
      <c r="C1954">
        <f>IF(AND('Month 08'!L192&lt;&gt;"",N('Month 08'!I192)&gt;0),'Month 08'!I192,"")</f>
        <v/>
      </c>
      <c r="D1954">
        <f>IF(C1954="","",IF(N('Month 08'!J192)&gt;0,'Month 08'!J192,1))</f>
        <v/>
      </c>
      <c r="E1954">
        <f>IF(OR(C1954="",D1954=""),"",IF(D1954=1,C1954,ROUND(C1954*(1+D1954/30),1)))</f>
        <v/>
      </c>
    </row>
    <row r="1955">
      <c r="A1955">
        <f>'Month 08'!B168</f>
        <v/>
      </c>
      <c r="B1955" t="inlineStr">
        <is>
          <t>Incline Dumbbell Press</t>
        </is>
      </c>
      <c r="C1955">
        <f>IF(AND('Month 08'!L193&lt;&gt;"",N('Month 08'!I193)&gt;0),'Month 08'!I193,"")</f>
        <v/>
      </c>
      <c r="D1955">
        <f>IF(C1955="","",IF(N('Month 08'!J193)&gt;0,'Month 08'!J193,1))</f>
        <v/>
      </c>
      <c r="E1955">
        <f>IF(OR(C1955="",D1955=""),"",IF(D1955=1,C1955,ROUND(C1955*(1+D1955/30),1)))</f>
        <v/>
      </c>
    </row>
    <row r="1956">
      <c r="A1956">
        <f>'Month 08'!B168</f>
        <v/>
      </c>
      <c r="B1956" t="inlineStr">
        <is>
          <t>Incline Dumbbell Press</t>
        </is>
      </c>
      <c r="C1956">
        <f>IF(AND('Month 08'!L194&lt;&gt;"",N('Month 08'!I194)&gt;0),'Month 08'!I194,"")</f>
        <v/>
      </c>
      <c r="D1956">
        <f>IF(C1956="","",IF(N('Month 08'!J194)&gt;0,'Month 08'!J194,1))</f>
        <v/>
      </c>
      <c r="E1956">
        <f>IF(OR(C1956="",D1956=""),"",IF(D1956=1,C1956,ROUND(C1956*(1+D1956/30),1)))</f>
        <v/>
      </c>
    </row>
    <row r="1957">
      <c r="A1957">
        <f>'Month 08'!B168</f>
        <v/>
      </c>
      <c r="B1957" t="inlineStr">
        <is>
          <t>Triceps Pushdown</t>
        </is>
      </c>
      <c r="C1957">
        <f>IF(AND('Month 08'!L196&lt;&gt;"",N('Month 08'!I196)&gt;0),'Month 08'!I196,"")</f>
        <v/>
      </c>
      <c r="D1957">
        <f>IF(C1957="","",IF(N('Month 08'!J196)&gt;0,'Month 08'!J196,1))</f>
        <v/>
      </c>
      <c r="E1957">
        <f>IF(OR(C1957="",D1957=""),"",IF(D1957=1,C1957,ROUND(C1957*(1+D1957/30),1)))</f>
        <v/>
      </c>
    </row>
    <row r="1958">
      <c r="A1958">
        <f>'Month 08'!B168</f>
        <v/>
      </c>
      <c r="B1958" t="inlineStr">
        <is>
          <t>Triceps Pushdown</t>
        </is>
      </c>
      <c r="C1958">
        <f>IF(AND('Month 08'!L197&lt;&gt;"",N('Month 08'!I197)&gt;0),'Month 08'!I197,"")</f>
        <v/>
      </c>
      <c r="D1958">
        <f>IF(C1958="","",IF(N('Month 08'!J197)&gt;0,'Month 08'!J197,1))</f>
        <v/>
      </c>
      <c r="E1958">
        <f>IF(OR(C1958="",D1958=""),"",IF(D1958=1,C1958,ROUND(C1958*(1+D1958/30),1)))</f>
        <v/>
      </c>
    </row>
    <row r="1959">
      <c r="A1959">
        <f>'Month 08'!B168</f>
        <v/>
      </c>
      <c r="B1959" t="inlineStr">
        <is>
          <t>Triceps Pushdown</t>
        </is>
      </c>
      <c r="C1959">
        <f>IF(AND('Month 08'!L198&lt;&gt;"",N('Month 08'!I198)&gt;0),'Month 08'!I198,"")</f>
        <v/>
      </c>
      <c r="D1959">
        <f>IF(C1959="","",IF(N('Month 08'!J198)&gt;0,'Month 08'!J198,1))</f>
        <v/>
      </c>
      <c r="E1959">
        <f>IF(OR(C1959="",D1959=""),"",IF(D1959=1,C1959,ROUND(C1959*(1+D1959/30),1)))</f>
        <v/>
      </c>
    </row>
    <row r="1960">
      <c r="A1960">
        <f>'Month 08'!B201</f>
        <v/>
      </c>
      <c r="B1960" t="inlineStr">
        <is>
          <t>Box Jump</t>
        </is>
      </c>
      <c r="C1960">
        <f>IF(AND('Month 08'!L203&lt;&gt;"",N('Month 08'!I203)&gt;0),'Month 08'!I203,"")</f>
        <v/>
      </c>
      <c r="D1960">
        <f>IF(C1960="","",IF(N('Month 08'!J203)&gt;0,'Month 08'!J203,1))</f>
        <v/>
      </c>
      <c r="E1960">
        <f>IF(OR(C1960="",D1960=""),"",IF(D1960=1,C1960,ROUND(C1960*(1+D1960/30),1)))</f>
        <v/>
      </c>
    </row>
    <row r="1961">
      <c r="A1961">
        <f>'Month 08'!B201</f>
        <v/>
      </c>
      <c r="B1961" t="inlineStr">
        <is>
          <t>Box Jump</t>
        </is>
      </c>
      <c r="C1961">
        <f>IF(AND('Month 08'!L204&lt;&gt;"",N('Month 08'!I204)&gt;0),'Month 08'!I204,"")</f>
        <v/>
      </c>
      <c r="D1961">
        <f>IF(C1961="","",IF(N('Month 08'!J204)&gt;0,'Month 08'!J204,1))</f>
        <v/>
      </c>
      <c r="E1961">
        <f>IF(OR(C1961="",D1961=""),"",IF(D1961=1,C1961,ROUND(C1961*(1+D1961/30),1)))</f>
        <v/>
      </c>
    </row>
    <row r="1962">
      <c r="A1962">
        <f>'Month 08'!B201</f>
        <v/>
      </c>
      <c r="B1962" t="inlineStr">
        <is>
          <t>Box Jump</t>
        </is>
      </c>
      <c r="C1962">
        <f>IF(AND('Month 08'!L205&lt;&gt;"",N('Month 08'!I205)&gt;0),'Month 08'!I205,"")</f>
        <v/>
      </c>
      <c r="D1962">
        <f>IF(C1962="","",IF(N('Month 08'!J205)&gt;0,'Month 08'!J205,1))</f>
        <v/>
      </c>
      <c r="E1962">
        <f>IF(OR(C1962="",D1962=""),"",IF(D1962=1,C1962,ROUND(C1962*(1+D1962/30),1)))</f>
        <v/>
      </c>
    </row>
    <row r="1963">
      <c r="A1963">
        <f>'Month 08'!B201</f>
        <v/>
      </c>
      <c r="B1963" t="inlineStr">
        <is>
          <t>Box Jump</t>
        </is>
      </c>
      <c r="C1963">
        <f>IF(AND('Month 08'!L206&lt;&gt;"",N('Month 08'!I206)&gt;0),'Month 08'!I206,"")</f>
        <v/>
      </c>
      <c r="D1963">
        <f>IF(C1963="","",IF(N('Month 08'!J206)&gt;0,'Month 08'!J206,1))</f>
        <v/>
      </c>
      <c r="E1963">
        <f>IF(OR(C1963="",D1963=""),"",IF(D1963=1,C1963,ROUND(C1963*(1+D1963/30),1)))</f>
        <v/>
      </c>
    </row>
    <row r="1964">
      <c r="A1964">
        <f>'Month 08'!B201</f>
        <v/>
      </c>
      <c r="B1964" t="inlineStr">
        <is>
          <t>Snatch</t>
        </is>
      </c>
      <c r="C1964">
        <f>IF(AND('Month 08'!L208&lt;&gt;"",N('Month 08'!I208)&gt;0),'Month 08'!I208,"")</f>
        <v/>
      </c>
      <c r="D1964">
        <f>IF(C1964="","",IF(N('Month 08'!J208)&gt;0,'Month 08'!J208,1))</f>
        <v/>
      </c>
      <c r="E1964">
        <f>IF(OR(C1964="",D1964=""),"",IF(D1964=1,C1964,ROUND(C1964*(1+D1964/30),1)))</f>
        <v/>
      </c>
    </row>
    <row r="1965">
      <c r="A1965">
        <f>'Month 08'!B201</f>
        <v/>
      </c>
      <c r="B1965" t="inlineStr">
        <is>
          <t>Snatch</t>
        </is>
      </c>
      <c r="C1965">
        <f>IF(AND('Month 08'!L209&lt;&gt;"",N('Month 08'!I209)&gt;0),'Month 08'!I209,"")</f>
        <v/>
      </c>
      <c r="D1965">
        <f>IF(C1965="","",IF(N('Month 08'!J209)&gt;0,'Month 08'!J209,1))</f>
        <v/>
      </c>
      <c r="E1965">
        <f>IF(OR(C1965="",D1965=""),"",IF(D1965=1,C1965,ROUND(C1965*(1+D1965/30),1)))</f>
        <v/>
      </c>
    </row>
    <row r="1966">
      <c r="A1966">
        <f>'Month 08'!B201</f>
        <v/>
      </c>
      <c r="B1966" t="inlineStr">
        <is>
          <t>Snatch</t>
        </is>
      </c>
      <c r="C1966">
        <f>IF(AND('Month 08'!L210&lt;&gt;"",N('Month 08'!I210)&gt;0),'Month 08'!I210,"")</f>
        <v/>
      </c>
      <c r="D1966">
        <f>IF(C1966="","",IF(N('Month 08'!J210)&gt;0,'Month 08'!J210,1))</f>
        <v/>
      </c>
      <c r="E1966">
        <f>IF(OR(C1966="",D1966=""),"",IF(D1966=1,C1966,ROUND(C1966*(1+D1966/30),1)))</f>
        <v/>
      </c>
    </row>
    <row r="1967">
      <c r="A1967">
        <f>'Month 08'!B201</f>
        <v/>
      </c>
      <c r="B1967" t="inlineStr">
        <is>
          <t>Snatch</t>
        </is>
      </c>
      <c r="C1967">
        <f>IF(AND('Month 08'!L211&lt;&gt;"",N('Month 08'!I211)&gt;0),'Month 08'!I211,"")</f>
        <v/>
      </c>
      <c r="D1967">
        <f>IF(C1967="","",IF(N('Month 08'!J211)&gt;0,'Month 08'!J211,1))</f>
        <v/>
      </c>
      <c r="E1967">
        <f>IF(OR(C1967="",D1967=""),"",IF(D1967=1,C1967,ROUND(C1967*(1+D1967/30),1)))</f>
        <v/>
      </c>
    </row>
    <row r="1968">
      <c r="A1968">
        <f>'Month 08'!B201</f>
        <v/>
      </c>
      <c r="B1968" t="inlineStr">
        <is>
          <t>Snatch</t>
        </is>
      </c>
      <c r="C1968">
        <f>IF(AND('Month 08'!L212&lt;&gt;"",N('Month 08'!I212)&gt;0),'Month 08'!I212,"")</f>
        <v/>
      </c>
      <c r="D1968">
        <f>IF(C1968="","",IF(N('Month 08'!J212)&gt;0,'Month 08'!J212,1))</f>
        <v/>
      </c>
      <c r="E1968">
        <f>IF(OR(C1968="",D1968=""),"",IF(D1968=1,C1968,ROUND(C1968*(1+D1968/30),1)))</f>
        <v/>
      </c>
    </row>
    <row r="1969">
      <c r="A1969">
        <f>'Month 08'!B201</f>
        <v/>
      </c>
      <c r="B1969" t="inlineStr">
        <is>
          <t>Squat</t>
        </is>
      </c>
      <c r="C1969">
        <f>IF(AND('Month 08'!L214&lt;&gt;"",N('Month 08'!I214)&gt;0),'Month 08'!I214,"")</f>
        <v/>
      </c>
      <c r="D1969">
        <f>IF(C1969="","",IF(N('Month 08'!J214)&gt;0,'Month 08'!J214,1))</f>
        <v/>
      </c>
      <c r="E1969">
        <f>IF(OR(C1969="",D1969=""),"",IF(D1969=1,C1969,ROUND(C1969*(1+D1969/30),1)))</f>
        <v/>
      </c>
    </row>
    <row r="1970">
      <c r="A1970">
        <f>'Month 08'!B201</f>
        <v/>
      </c>
      <c r="B1970" t="inlineStr">
        <is>
          <t>Squat</t>
        </is>
      </c>
      <c r="C1970">
        <f>IF(AND('Month 08'!L215&lt;&gt;"",N('Month 08'!I215)&gt;0),'Month 08'!I215,"")</f>
        <v/>
      </c>
      <c r="D1970">
        <f>IF(C1970="","",IF(N('Month 08'!J215)&gt;0,'Month 08'!J215,1))</f>
        <v/>
      </c>
      <c r="E1970">
        <f>IF(OR(C1970="",D1970=""),"",IF(D1970=1,C1970,ROUND(C1970*(1+D1970/30),1)))</f>
        <v/>
      </c>
    </row>
    <row r="1971">
      <c r="A1971">
        <f>'Month 08'!B201</f>
        <v/>
      </c>
      <c r="B1971" t="inlineStr">
        <is>
          <t>Squat</t>
        </is>
      </c>
      <c r="C1971">
        <f>IF(AND('Month 08'!L216&lt;&gt;"",N('Month 08'!I216)&gt;0),'Month 08'!I216,"")</f>
        <v/>
      </c>
      <c r="D1971">
        <f>IF(C1971="","",IF(N('Month 08'!J216)&gt;0,'Month 08'!J216,1))</f>
        <v/>
      </c>
      <c r="E1971">
        <f>IF(OR(C1971="",D1971=""),"",IF(D1971=1,C1971,ROUND(C1971*(1+D1971/30),1)))</f>
        <v/>
      </c>
    </row>
    <row r="1972">
      <c r="A1972">
        <f>'Month 08'!B201</f>
        <v/>
      </c>
      <c r="B1972" t="inlineStr">
        <is>
          <t>Squat</t>
        </is>
      </c>
      <c r="C1972">
        <f>IF(AND('Month 08'!L217&lt;&gt;"",N('Month 08'!I217)&gt;0),'Month 08'!I217,"")</f>
        <v/>
      </c>
      <c r="D1972">
        <f>IF(C1972="","",IF(N('Month 08'!J217)&gt;0,'Month 08'!J217,1))</f>
        <v/>
      </c>
      <c r="E1972">
        <f>IF(OR(C1972="",D1972=""),"",IF(D1972=1,C1972,ROUND(C1972*(1+D1972/30),1)))</f>
        <v/>
      </c>
    </row>
    <row r="1973">
      <c r="A1973">
        <f>'Month 08'!B201</f>
        <v/>
      </c>
      <c r="B1973" t="inlineStr">
        <is>
          <t>Bench Press</t>
        </is>
      </c>
      <c r="C1973">
        <f>IF(AND('Month 08'!L219&lt;&gt;"",N('Month 08'!I219)&gt;0),'Month 08'!I219,"")</f>
        <v/>
      </c>
      <c r="D1973">
        <f>IF(C1973="","",IF(N('Month 08'!J219)&gt;0,'Month 08'!J219,1))</f>
        <v/>
      </c>
      <c r="E1973">
        <f>IF(OR(C1973="",D1973=""),"",IF(D1973=1,C1973,ROUND(C1973*(1+D1973/30),1)))</f>
        <v/>
      </c>
    </row>
    <row r="1974">
      <c r="A1974">
        <f>'Month 08'!B201</f>
        <v/>
      </c>
      <c r="B1974" t="inlineStr">
        <is>
          <t>Bench Press</t>
        </is>
      </c>
      <c r="C1974">
        <f>IF(AND('Month 08'!L220&lt;&gt;"",N('Month 08'!I220)&gt;0),'Month 08'!I220,"")</f>
        <v/>
      </c>
      <c r="D1974">
        <f>IF(C1974="","",IF(N('Month 08'!J220)&gt;0,'Month 08'!J220,1))</f>
        <v/>
      </c>
      <c r="E1974">
        <f>IF(OR(C1974="",D1974=""),"",IF(D1974=1,C1974,ROUND(C1974*(1+D1974/30),1)))</f>
        <v/>
      </c>
    </row>
    <row r="1975">
      <c r="A1975">
        <f>'Month 08'!B201</f>
        <v/>
      </c>
      <c r="B1975" t="inlineStr">
        <is>
          <t>Bench Press</t>
        </is>
      </c>
      <c r="C1975">
        <f>IF(AND('Month 08'!L221&lt;&gt;"",N('Month 08'!I221)&gt;0),'Month 08'!I221,"")</f>
        <v/>
      </c>
      <c r="D1975">
        <f>IF(C1975="","",IF(N('Month 08'!J221)&gt;0,'Month 08'!J221,1))</f>
        <v/>
      </c>
      <c r="E1975">
        <f>IF(OR(C1975="",D1975=""),"",IF(D1975=1,C1975,ROUND(C1975*(1+D1975/30),1)))</f>
        <v/>
      </c>
    </row>
    <row r="1976">
      <c r="A1976">
        <f>'Month 08'!B201</f>
        <v/>
      </c>
      <c r="B1976" t="inlineStr">
        <is>
          <t>Bench Press</t>
        </is>
      </c>
      <c r="C1976">
        <f>IF(AND('Month 08'!L222&lt;&gt;"",N('Month 08'!I222)&gt;0),'Month 08'!I222,"")</f>
        <v/>
      </c>
      <c r="D1976">
        <f>IF(C1976="","",IF(N('Month 08'!J222)&gt;0,'Month 08'!J222,1))</f>
        <v/>
      </c>
      <c r="E1976">
        <f>IF(OR(C1976="",D1976=""),"",IF(D1976=1,C1976,ROUND(C1976*(1+D1976/30),1)))</f>
        <v/>
      </c>
    </row>
    <row r="1977">
      <c r="A1977">
        <f>'Month 08'!B201</f>
        <v/>
      </c>
      <c r="B1977" t="inlineStr">
        <is>
          <t>Barbell Row</t>
        </is>
      </c>
      <c r="C1977">
        <f>IF(AND('Month 08'!L224&lt;&gt;"",N('Month 08'!I224)&gt;0),'Month 08'!I224,"")</f>
        <v/>
      </c>
      <c r="D1977">
        <f>IF(C1977="","",IF(N('Month 08'!J224)&gt;0,'Month 08'!J224,1))</f>
        <v/>
      </c>
      <c r="E1977">
        <f>IF(OR(C1977="",D1977=""),"",IF(D1977=1,C1977,ROUND(C1977*(1+D1977/30),1)))</f>
        <v/>
      </c>
    </row>
    <row r="1978">
      <c r="A1978">
        <f>'Month 08'!B201</f>
        <v/>
      </c>
      <c r="B1978" t="inlineStr">
        <is>
          <t>Barbell Row</t>
        </is>
      </c>
      <c r="C1978">
        <f>IF(AND('Month 08'!L225&lt;&gt;"",N('Month 08'!I225)&gt;0),'Month 08'!I225,"")</f>
        <v/>
      </c>
      <c r="D1978">
        <f>IF(C1978="","",IF(N('Month 08'!J225)&gt;0,'Month 08'!J225,1))</f>
        <v/>
      </c>
      <c r="E1978">
        <f>IF(OR(C1978="",D1978=""),"",IF(D1978=1,C1978,ROUND(C1978*(1+D1978/30),1)))</f>
        <v/>
      </c>
    </row>
    <row r="1979">
      <c r="A1979">
        <f>'Month 08'!B201</f>
        <v/>
      </c>
      <c r="B1979" t="inlineStr">
        <is>
          <t>Barbell Row</t>
        </is>
      </c>
      <c r="C1979">
        <f>IF(AND('Month 08'!L226&lt;&gt;"",N('Month 08'!I226)&gt;0),'Month 08'!I226,"")</f>
        <v/>
      </c>
      <c r="D1979">
        <f>IF(C1979="","",IF(N('Month 08'!J226)&gt;0,'Month 08'!J226,1))</f>
        <v/>
      </c>
      <c r="E1979">
        <f>IF(OR(C1979="",D1979=""),"",IF(D1979=1,C1979,ROUND(C1979*(1+D1979/30),1)))</f>
        <v/>
      </c>
    </row>
    <row r="1980">
      <c r="A1980">
        <f>'Month 08'!B201</f>
        <v/>
      </c>
      <c r="B1980" t="inlineStr">
        <is>
          <t>Face Pull</t>
        </is>
      </c>
      <c r="C1980">
        <f>IF(AND('Month 08'!L228&lt;&gt;"",N('Month 08'!I228)&gt;0),'Month 08'!I228,"")</f>
        <v/>
      </c>
      <c r="D1980">
        <f>IF(C1980="","",IF(N('Month 08'!J228)&gt;0,'Month 08'!J228,1))</f>
        <v/>
      </c>
      <c r="E1980">
        <f>IF(OR(C1980="",D1980=""),"",IF(D1980=1,C1980,ROUND(C1980*(1+D1980/30),1)))</f>
        <v/>
      </c>
    </row>
    <row r="1981">
      <c r="A1981">
        <f>'Month 08'!B201</f>
        <v/>
      </c>
      <c r="B1981" t="inlineStr">
        <is>
          <t>Face Pull</t>
        </is>
      </c>
      <c r="C1981">
        <f>IF(AND('Month 08'!L229&lt;&gt;"",N('Month 08'!I229)&gt;0),'Month 08'!I229,"")</f>
        <v/>
      </c>
      <c r="D1981">
        <f>IF(C1981="","",IF(N('Month 08'!J229)&gt;0,'Month 08'!J229,1))</f>
        <v/>
      </c>
      <c r="E1981">
        <f>IF(OR(C1981="",D1981=""),"",IF(D1981=1,C1981,ROUND(C1981*(1+D1981/30),1)))</f>
        <v/>
      </c>
    </row>
    <row r="1982">
      <c r="A1982">
        <f>'Month 08'!B201</f>
        <v/>
      </c>
      <c r="B1982" t="inlineStr">
        <is>
          <t>Face Pull</t>
        </is>
      </c>
      <c r="C1982">
        <f>IF(AND('Month 08'!L230&lt;&gt;"",N('Month 08'!I230)&gt;0),'Month 08'!I230,"")</f>
        <v/>
      </c>
      <c r="D1982">
        <f>IF(C1982="","",IF(N('Month 08'!J230)&gt;0,'Month 08'!J230,1))</f>
        <v/>
      </c>
      <c r="E1982">
        <f>IF(OR(C1982="",D1982=""),"",IF(D1982=1,C1982,ROUND(C1982*(1+D1982/30),1)))</f>
        <v/>
      </c>
    </row>
    <row r="1983">
      <c r="A1983">
        <f>'Month 08'!B231</f>
        <v/>
      </c>
      <c r="B1983" t="inlineStr">
        <is>
          <t>Broad Jump</t>
        </is>
      </c>
      <c r="C1983">
        <f>IF(AND('Month 08'!L233&lt;&gt;"",N('Month 08'!I233)&gt;0),'Month 08'!I233,"")</f>
        <v/>
      </c>
      <c r="D1983">
        <f>IF(C1983="","",IF(N('Month 08'!J233)&gt;0,'Month 08'!J233,1))</f>
        <v/>
      </c>
      <c r="E1983">
        <f>IF(OR(C1983="",D1983=""),"",IF(D1983=1,C1983,ROUND(C1983*(1+D1983/30),1)))</f>
        <v/>
      </c>
    </row>
    <row r="1984">
      <c r="A1984">
        <f>'Month 08'!B231</f>
        <v/>
      </c>
      <c r="B1984" t="inlineStr">
        <is>
          <t>Broad Jump</t>
        </is>
      </c>
      <c r="C1984">
        <f>IF(AND('Month 08'!L234&lt;&gt;"",N('Month 08'!I234)&gt;0),'Month 08'!I234,"")</f>
        <v/>
      </c>
      <c r="D1984">
        <f>IF(C1984="","",IF(N('Month 08'!J234)&gt;0,'Month 08'!J234,1))</f>
        <v/>
      </c>
      <c r="E1984">
        <f>IF(OR(C1984="",D1984=""),"",IF(D1984=1,C1984,ROUND(C1984*(1+D1984/30),1)))</f>
        <v/>
      </c>
    </row>
    <row r="1985">
      <c r="A1985">
        <f>'Month 08'!B231</f>
        <v/>
      </c>
      <c r="B1985" t="inlineStr">
        <is>
          <t>Broad Jump</t>
        </is>
      </c>
      <c r="C1985">
        <f>IF(AND('Month 08'!L235&lt;&gt;"",N('Month 08'!I235)&gt;0),'Month 08'!I235,"")</f>
        <v/>
      </c>
      <c r="D1985">
        <f>IF(C1985="","",IF(N('Month 08'!J235)&gt;0,'Month 08'!J235,1))</f>
        <v/>
      </c>
      <c r="E1985">
        <f>IF(OR(C1985="",D1985=""),"",IF(D1985=1,C1985,ROUND(C1985*(1+D1985/30),1)))</f>
        <v/>
      </c>
    </row>
    <row r="1986">
      <c r="A1986">
        <f>'Month 08'!B231</f>
        <v/>
      </c>
      <c r="B1986" t="inlineStr">
        <is>
          <t>Broad Jump</t>
        </is>
      </c>
      <c r="C1986">
        <f>IF(AND('Month 08'!L236&lt;&gt;"",N('Month 08'!I236)&gt;0),'Month 08'!I236,"")</f>
        <v/>
      </c>
      <c r="D1986">
        <f>IF(C1986="","",IF(N('Month 08'!J236)&gt;0,'Month 08'!J236,1))</f>
        <v/>
      </c>
      <c r="E1986">
        <f>IF(OR(C1986="",D1986=""),"",IF(D1986=1,C1986,ROUND(C1986*(1+D1986/30),1)))</f>
        <v/>
      </c>
    </row>
    <row r="1987">
      <c r="A1987">
        <f>'Month 08'!B231</f>
        <v/>
      </c>
      <c r="B1987" t="inlineStr">
        <is>
          <t>Med Ball Chest Pass</t>
        </is>
      </c>
      <c r="C1987">
        <f>IF(AND('Month 08'!L238&lt;&gt;"",N('Month 08'!I238)&gt;0),'Month 08'!I238,"")</f>
        <v/>
      </c>
      <c r="D1987">
        <f>IF(C1987="","",IF(N('Month 08'!J238)&gt;0,'Month 08'!J238,1))</f>
        <v/>
      </c>
      <c r="E1987">
        <f>IF(OR(C1987="",D1987=""),"",IF(D1987=1,C1987,ROUND(C1987*(1+D1987/30),1)))</f>
        <v/>
      </c>
    </row>
    <row r="1988">
      <c r="A1988">
        <f>'Month 08'!B231</f>
        <v/>
      </c>
      <c r="B1988" t="inlineStr">
        <is>
          <t>Med Ball Chest Pass</t>
        </is>
      </c>
      <c r="C1988">
        <f>IF(AND('Month 08'!L239&lt;&gt;"",N('Month 08'!I239)&gt;0),'Month 08'!I239,"")</f>
        <v/>
      </c>
      <c r="D1988">
        <f>IF(C1988="","",IF(N('Month 08'!J239)&gt;0,'Month 08'!J239,1))</f>
        <v/>
      </c>
      <c r="E1988">
        <f>IF(OR(C1988="",D1988=""),"",IF(D1988=1,C1988,ROUND(C1988*(1+D1988/30),1)))</f>
        <v/>
      </c>
    </row>
    <row r="1989">
      <c r="A1989">
        <f>'Month 08'!B231</f>
        <v/>
      </c>
      <c r="B1989" t="inlineStr">
        <is>
          <t>Med Ball Chest Pass</t>
        </is>
      </c>
      <c r="C1989">
        <f>IF(AND('Month 08'!L240&lt;&gt;"",N('Month 08'!I240)&gt;0),'Month 08'!I240,"")</f>
        <v/>
      </c>
      <c r="D1989">
        <f>IF(C1989="","",IF(N('Month 08'!J240)&gt;0,'Month 08'!J240,1))</f>
        <v/>
      </c>
      <c r="E1989">
        <f>IF(OR(C1989="",D1989=""),"",IF(D1989=1,C1989,ROUND(C1989*(1+D1989/30),1)))</f>
        <v/>
      </c>
    </row>
    <row r="1990">
      <c r="A1990">
        <f>'Month 08'!B231</f>
        <v/>
      </c>
      <c r="B1990" t="inlineStr">
        <is>
          <t>Clean &amp; Jerk</t>
        </is>
      </c>
      <c r="C1990">
        <f>IF(AND('Month 08'!L242&lt;&gt;"",N('Month 08'!I242)&gt;0),'Month 08'!I242,"")</f>
        <v/>
      </c>
      <c r="D1990">
        <f>IF(C1990="","",IF(N('Month 08'!J242)&gt;0,'Month 08'!J242,1))</f>
        <v/>
      </c>
      <c r="E1990">
        <f>IF(OR(C1990="",D1990=""),"",IF(D1990=1,C1990,ROUND(C1990*(1+D1990/30),1)))</f>
        <v/>
      </c>
    </row>
    <row r="1991">
      <c r="A1991">
        <f>'Month 08'!B231</f>
        <v/>
      </c>
      <c r="B1991" t="inlineStr">
        <is>
          <t>Clean &amp; Jerk</t>
        </is>
      </c>
      <c r="C1991">
        <f>IF(AND('Month 08'!L243&lt;&gt;"",N('Month 08'!I243)&gt;0),'Month 08'!I243,"")</f>
        <v/>
      </c>
      <c r="D1991">
        <f>IF(C1991="","",IF(N('Month 08'!J243)&gt;0,'Month 08'!J243,1))</f>
        <v/>
      </c>
      <c r="E1991">
        <f>IF(OR(C1991="",D1991=""),"",IF(D1991=1,C1991,ROUND(C1991*(1+D1991/30),1)))</f>
        <v/>
      </c>
    </row>
    <row r="1992">
      <c r="A1992">
        <f>'Month 08'!B231</f>
        <v/>
      </c>
      <c r="B1992" t="inlineStr">
        <is>
          <t>Clean &amp; Jerk</t>
        </is>
      </c>
      <c r="C1992">
        <f>IF(AND('Month 08'!L244&lt;&gt;"",N('Month 08'!I244)&gt;0),'Month 08'!I244,"")</f>
        <v/>
      </c>
      <c r="D1992">
        <f>IF(C1992="","",IF(N('Month 08'!J244)&gt;0,'Month 08'!J244,1))</f>
        <v/>
      </c>
      <c r="E1992">
        <f>IF(OR(C1992="",D1992=""),"",IF(D1992=1,C1992,ROUND(C1992*(1+D1992/30),1)))</f>
        <v/>
      </c>
    </row>
    <row r="1993">
      <c r="A1993">
        <f>'Month 08'!B231</f>
        <v/>
      </c>
      <c r="B1993" t="inlineStr">
        <is>
          <t>Clean &amp; Jerk</t>
        </is>
      </c>
      <c r="C1993">
        <f>IF(AND('Month 08'!L245&lt;&gt;"",N('Month 08'!I245)&gt;0),'Month 08'!I245,"")</f>
        <v/>
      </c>
      <c r="D1993">
        <f>IF(C1993="","",IF(N('Month 08'!J245)&gt;0,'Month 08'!J245,1))</f>
        <v/>
      </c>
      <c r="E1993">
        <f>IF(OR(C1993="",D1993=""),"",IF(D1993=1,C1993,ROUND(C1993*(1+D1993/30),1)))</f>
        <v/>
      </c>
    </row>
    <row r="1994">
      <c r="A1994">
        <f>'Month 08'!B231</f>
        <v/>
      </c>
      <c r="B1994" t="inlineStr">
        <is>
          <t>Clean &amp; Jerk</t>
        </is>
      </c>
      <c r="C1994">
        <f>IF(AND('Month 08'!L246&lt;&gt;"",N('Month 08'!I246)&gt;0),'Month 08'!I246,"")</f>
        <v/>
      </c>
      <c r="D1994">
        <f>IF(C1994="","",IF(N('Month 08'!J246)&gt;0,'Month 08'!J246,1))</f>
        <v/>
      </c>
      <c r="E1994">
        <f>IF(OR(C1994="",D1994=""),"",IF(D1994=1,C1994,ROUND(C1994*(1+D1994/30),1)))</f>
        <v/>
      </c>
    </row>
    <row r="1995">
      <c r="A1995">
        <f>'Month 08'!B231</f>
        <v/>
      </c>
      <c r="B1995" t="inlineStr">
        <is>
          <t>Squat</t>
        </is>
      </c>
      <c r="C1995">
        <f>IF(AND('Month 08'!L248&lt;&gt;"",N('Month 08'!I248)&gt;0),'Month 08'!I248,"")</f>
        <v/>
      </c>
      <c r="D1995">
        <f>IF(C1995="","",IF(N('Month 08'!J248)&gt;0,'Month 08'!J248,1))</f>
        <v/>
      </c>
      <c r="E1995">
        <f>IF(OR(C1995="",D1995=""),"",IF(D1995=1,C1995,ROUND(C1995*(1+D1995/30),1)))</f>
        <v/>
      </c>
    </row>
    <row r="1996">
      <c r="A1996">
        <f>'Month 08'!B231</f>
        <v/>
      </c>
      <c r="B1996" t="inlineStr">
        <is>
          <t>Squat</t>
        </is>
      </c>
      <c r="C1996">
        <f>IF(AND('Month 08'!L249&lt;&gt;"",N('Month 08'!I249)&gt;0),'Month 08'!I249,"")</f>
        <v/>
      </c>
      <c r="D1996">
        <f>IF(C1996="","",IF(N('Month 08'!J249)&gt;0,'Month 08'!J249,1))</f>
        <v/>
      </c>
      <c r="E1996">
        <f>IF(OR(C1996="",D1996=""),"",IF(D1996=1,C1996,ROUND(C1996*(1+D1996/30),1)))</f>
        <v/>
      </c>
    </row>
    <row r="1997">
      <c r="A1997">
        <f>'Month 08'!B231</f>
        <v/>
      </c>
      <c r="B1997" t="inlineStr">
        <is>
          <t>Squat</t>
        </is>
      </c>
      <c r="C1997">
        <f>IF(AND('Month 08'!L250&lt;&gt;"",N('Month 08'!I250)&gt;0),'Month 08'!I250,"")</f>
        <v/>
      </c>
      <c r="D1997">
        <f>IF(C1997="","",IF(N('Month 08'!J250)&gt;0,'Month 08'!J250,1))</f>
        <v/>
      </c>
      <c r="E1997">
        <f>IF(OR(C1997="",D1997=""),"",IF(D1997=1,C1997,ROUND(C1997*(1+D1997/30),1)))</f>
        <v/>
      </c>
    </row>
    <row r="1998">
      <c r="A1998">
        <f>'Month 08'!B231</f>
        <v/>
      </c>
      <c r="B1998" t="inlineStr">
        <is>
          <t>Overhead Press</t>
        </is>
      </c>
      <c r="C1998">
        <f>IF(AND('Month 08'!L252&lt;&gt;"",N('Month 08'!I252)&gt;0),'Month 08'!I252,"")</f>
        <v/>
      </c>
      <c r="D1998">
        <f>IF(C1998="","",IF(N('Month 08'!J252)&gt;0,'Month 08'!J252,1))</f>
        <v/>
      </c>
      <c r="E1998">
        <f>IF(OR(C1998="",D1998=""),"",IF(D1998=1,C1998,ROUND(C1998*(1+D1998/30),1)))</f>
        <v/>
      </c>
    </row>
    <row r="1999">
      <c r="A1999">
        <f>'Month 08'!B231</f>
        <v/>
      </c>
      <c r="B1999" t="inlineStr">
        <is>
          <t>Overhead Press</t>
        </is>
      </c>
      <c r="C1999">
        <f>IF(AND('Month 08'!L253&lt;&gt;"",N('Month 08'!I253)&gt;0),'Month 08'!I253,"")</f>
        <v/>
      </c>
      <c r="D1999">
        <f>IF(C1999="","",IF(N('Month 08'!J253)&gt;0,'Month 08'!J253,1))</f>
        <v/>
      </c>
      <c r="E1999">
        <f>IF(OR(C1999="",D1999=""),"",IF(D1999=1,C1999,ROUND(C1999*(1+D1999/30),1)))</f>
        <v/>
      </c>
    </row>
    <row r="2000">
      <c r="A2000">
        <f>'Month 08'!B231</f>
        <v/>
      </c>
      <c r="B2000" t="inlineStr">
        <is>
          <t>Overhead Press</t>
        </is>
      </c>
      <c r="C2000">
        <f>IF(AND('Month 08'!L254&lt;&gt;"",N('Month 08'!I254)&gt;0),'Month 08'!I254,"")</f>
        <v/>
      </c>
      <c r="D2000">
        <f>IF(C2000="","",IF(N('Month 08'!J254)&gt;0,'Month 08'!J254,1))</f>
        <v/>
      </c>
      <c r="E2000">
        <f>IF(OR(C2000="",D2000=""),"",IF(D2000=1,C2000,ROUND(C2000*(1+D2000/30),1)))</f>
        <v/>
      </c>
    </row>
    <row r="2001">
      <c r="A2001">
        <f>'Month 08'!B231</f>
        <v/>
      </c>
      <c r="B2001" t="inlineStr">
        <is>
          <t>Deadlift</t>
        </is>
      </c>
      <c r="C2001">
        <f>IF(AND('Month 08'!L256&lt;&gt;"",N('Month 08'!I256)&gt;0),'Month 08'!I256,"")</f>
        <v/>
      </c>
      <c r="D2001">
        <f>IF(C2001="","",IF(N('Month 08'!J256)&gt;0,'Month 08'!J256,1))</f>
        <v/>
      </c>
      <c r="E2001">
        <f>IF(OR(C2001="",D2001=""),"",IF(D2001=1,C2001,ROUND(C2001*(1+D2001/30),1)))</f>
        <v/>
      </c>
    </row>
    <row r="2002">
      <c r="A2002">
        <f>'Month 08'!B231</f>
        <v/>
      </c>
      <c r="B2002" t="inlineStr">
        <is>
          <t>Deadlift</t>
        </is>
      </c>
      <c r="C2002">
        <f>IF(AND('Month 08'!L257&lt;&gt;"",N('Month 08'!I257)&gt;0),'Month 08'!I257,"")</f>
        <v/>
      </c>
      <c r="D2002">
        <f>IF(C2002="","",IF(N('Month 08'!J257)&gt;0,'Month 08'!J257,1))</f>
        <v/>
      </c>
      <c r="E2002">
        <f>IF(OR(C2002="",D2002=""),"",IF(D2002=1,C2002,ROUND(C2002*(1+D2002/30),1)))</f>
        <v/>
      </c>
    </row>
    <row r="2003">
      <c r="A2003">
        <f>'Month 08'!B231</f>
        <v/>
      </c>
      <c r="B2003" t="inlineStr">
        <is>
          <t>Deadlift</t>
        </is>
      </c>
      <c r="C2003">
        <f>IF(AND('Month 08'!L258&lt;&gt;"",N('Month 08'!I258)&gt;0),'Month 08'!I258,"")</f>
        <v/>
      </c>
      <c r="D2003">
        <f>IF(C2003="","",IF(N('Month 08'!J258)&gt;0,'Month 08'!J258,1))</f>
        <v/>
      </c>
      <c r="E2003">
        <f>IF(OR(C2003="",D2003=""),"",IF(D2003=1,C2003,ROUND(C2003*(1+D2003/30),1)))</f>
        <v/>
      </c>
    </row>
    <row r="2004">
      <c r="A2004">
        <f>'Month 08'!B231</f>
        <v/>
      </c>
      <c r="B2004" t="inlineStr">
        <is>
          <t>Chin-up</t>
        </is>
      </c>
      <c r="C2004">
        <f>IF(AND('Month 08'!L260&lt;&gt;"",N('Month 08'!I260)&gt;0),'Month 08'!I260,"")</f>
        <v/>
      </c>
      <c r="D2004">
        <f>IF(C2004="","",IF(N('Month 08'!J260)&gt;0,'Month 08'!J260,1))</f>
        <v/>
      </c>
      <c r="E2004">
        <f>IF(OR(C2004="",D2004=""),"",IF(D2004=1,C2004,ROUND(C2004*(1+D2004/30),1)))</f>
        <v/>
      </c>
    </row>
    <row r="2005">
      <c r="A2005">
        <f>'Month 08'!B231</f>
        <v/>
      </c>
      <c r="B2005" t="inlineStr">
        <is>
          <t>Chin-up</t>
        </is>
      </c>
      <c r="C2005">
        <f>IF(AND('Month 08'!L261&lt;&gt;"",N('Month 08'!I261)&gt;0),'Month 08'!I261,"")</f>
        <v/>
      </c>
      <c r="D2005">
        <f>IF(C2005="","",IF(N('Month 08'!J261)&gt;0,'Month 08'!J261,1))</f>
        <v/>
      </c>
      <c r="E2005">
        <f>IF(OR(C2005="",D2005=""),"",IF(D2005=1,C2005,ROUND(C2005*(1+D2005/30),1)))</f>
        <v/>
      </c>
    </row>
    <row r="2006">
      <c r="A2006">
        <f>'Month 08'!B231</f>
        <v/>
      </c>
      <c r="B2006" t="inlineStr">
        <is>
          <t>Chin-up</t>
        </is>
      </c>
      <c r="C2006">
        <f>IF(AND('Month 08'!L262&lt;&gt;"",N('Month 08'!I262)&gt;0),'Month 08'!I262,"")</f>
        <v/>
      </c>
      <c r="D2006">
        <f>IF(C2006="","",IF(N('Month 08'!J262)&gt;0,'Month 08'!J262,1))</f>
        <v/>
      </c>
      <c r="E2006">
        <f>IF(OR(C2006="",D2006=""),"",IF(D2006=1,C2006,ROUND(C2006*(1+D2006/30),1)))</f>
        <v/>
      </c>
    </row>
    <row r="2007">
      <c r="A2007">
        <f>'Month 08'!B231</f>
        <v/>
      </c>
      <c r="B2007" t="inlineStr">
        <is>
          <t>Plank</t>
        </is>
      </c>
      <c r="C2007">
        <f>IF(AND('Month 08'!L264&lt;&gt;"",N('Month 08'!I264)&gt;0),'Month 08'!I264,"")</f>
        <v/>
      </c>
      <c r="D2007">
        <f>IF(C2007="","",IF(N('Month 08'!J264)&gt;0,'Month 08'!J264,1))</f>
        <v/>
      </c>
      <c r="E2007">
        <f>IF(OR(C2007="",D2007=""),"",IF(D2007=1,C2007,ROUND(C2007*(1+D2007/30),1)))</f>
        <v/>
      </c>
    </row>
    <row r="2008">
      <c r="A2008">
        <f>'Month 08'!B231</f>
        <v/>
      </c>
      <c r="B2008" t="inlineStr">
        <is>
          <t>Plank</t>
        </is>
      </c>
      <c r="C2008">
        <f>IF(AND('Month 08'!L265&lt;&gt;"",N('Month 08'!I265)&gt;0),'Month 08'!I265,"")</f>
        <v/>
      </c>
      <c r="D2008">
        <f>IF(C2008="","",IF(N('Month 08'!J265)&gt;0,'Month 08'!J265,1))</f>
        <v/>
      </c>
      <c r="E2008">
        <f>IF(OR(C2008="",D2008=""),"",IF(D2008=1,C2008,ROUND(C2008*(1+D2008/30),1)))</f>
        <v/>
      </c>
    </row>
    <row r="2009">
      <c r="A2009">
        <f>'Month 08'!B231</f>
        <v/>
      </c>
      <c r="B2009" t="inlineStr">
        <is>
          <t>Plank</t>
        </is>
      </c>
      <c r="C2009">
        <f>IF(AND('Month 08'!L266&lt;&gt;"",N('Month 08'!I266)&gt;0),'Month 08'!I266,"")</f>
        <v/>
      </c>
      <c r="D2009">
        <f>IF(C2009="","",IF(N('Month 08'!J266)&gt;0,'Month 08'!J266,1))</f>
        <v/>
      </c>
      <c r="E2009">
        <f>IF(OR(C2009="",D2009=""),"",IF(D2009=1,C2009,ROUND(C2009*(1+D2009/30),1)))</f>
        <v/>
      </c>
    </row>
    <row r="2010">
      <c r="A2010">
        <f>'Month 08'!B267</f>
        <v/>
      </c>
      <c r="B2010" t="inlineStr">
        <is>
          <t>Hurdle Hop</t>
        </is>
      </c>
      <c r="C2010">
        <f>IF(AND('Month 08'!L269&lt;&gt;"",N('Month 08'!I269)&gt;0),'Month 08'!I269,"")</f>
        <v/>
      </c>
      <c r="D2010">
        <f>IF(C2010="","",IF(N('Month 08'!J269)&gt;0,'Month 08'!J269,1))</f>
        <v/>
      </c>
      <c r="E2010">
        <f>IF(OR(C2010="",D2010=""),"",IF(D2010=1,C2010,ROUND(C2010*(1+D2010/30),1)))</f>
        <v/>
      </c>
    </row>
    <row r="2011">
      <c r="A2011">
        <f>'Month 08'!B267</f>
        <v/>
      </c>
      <c r="B2011" t="inlineStr">
        <is>
          <t>Hurdle Hop</t>
        </is>
      </c>
      <c r="C2011">
        <f>IF(AND('Month 08'!L270&lt;&gt;"",N('Month 08'!I270)&gt;0),'Month 08'!I270,"")</f>
        <v/>
      </c>
      <c r="D2011">
        <f>IF(C2011="","",IF(N('Month 08'!J270)&gt;0,'Month 08'!J270,1))</f>
        <v/>
      </c>
      <c r="E2011">
        <f>IF(OR(C2011="",D2011=""),"",IF(D2011=1,C2011,ROUND(C2011*(1+D2011/30),1)))</f>
        <v/>
      </c>
    </row>
    <row r="2012">
      <c r="A2012">
        <f>'Month 08'!B267</f>
        <v/>
      </c>
      <c r="B2012" t="inlineStr">
        <is>
          <t>Hurdle Hop</t>
        </is>
      </c>
      <c r="C2012">
        <f>IF(AND('Month 08'!L271&lt;&gt;"",N('Month 08'!I271)&gt;0),'Month 08'!I271,"")</f>
        <v/>
      </c>
      <c r="D2012">
        <f>IF(C2012="","",IF(N('Month 08'!J271)&gt;0,'Month 08'!J271,1))</f>
        <v/>
      </c>
      <c r="E2012">
        <f>IF(OR(C2012="",D2012=""),"",IF(D2012=1,C2012,ROUND(C2012*(1+D2012/30),1)))</f>
        <v/>
      </c>
    </row>
    <row r="2013">
      <c r="A2013">
        <f>'Month 08'!B267</f>
        <v/>
      </c>
      <c r="B2013" t="inlineStr">
        <is>
          <t>Hurdle Hop</t>
        </is>
      </c>
      <c r="C2013">
        <f>IF(AND('Month 08'!L272&lt;&gt;"",N('Month 08'!I272)&gt;0),'Month 08'!I272,"")</f>
        <v/>
      </c>
      <c r="D2013">
        <f>IF(C2013="","",IF(N('Month 08'!J272)&gt;0,'Month 08'!J272,1))</f>
        <v/>
      </c>
      <c r="E2013">
        <f>IF(OR(C2013="",D2013=""),"",IF(D2013=1,C2013,ROUND(C2013*(1+D2013/30),1)))</f>
        <v/>
      </c>
    </row>
    <row r="2014">
      <c r="A2014">
        <f>'Month 08'!B267</f>
        <v/>
      </c>
      <c r="B2014" t="inlineStr">
        <is>
          <t>Split Jerk</t>
        </is>
      </c>
      <c r="C2014">
        <f>IF(AND('Month 08'!L274&lt;&gt;"",N('Month 08'!I274)&gt;0),'Month 08'!I274,"")</f>
        <v/>
      </c>
      <c r="D2014">
        <f>IF(C2014="","",IF(N('Month 08'!J274)&gt;0,'Month 08'!J274,1))</f>
        <v/>
      </c>
      <c r="E2014">
        <f>IF(OR(C2014="",D2014=""),"",IF(D2014=1,C2014,ROUND(C2014*(1+D2014/30),1)))</f>
        <v/>
      </c>
    </row>
    <row r="2015">
      <c r="A2015">
        <f>'Month 08'!B267</f>
        <v/>
      </c>
      <c r="B2015" t="inlineStr">
        <is>
          <t>Split Jerk</t>
        </is>
      </c>
      <c r="C2015">
        <f>IF(AND('Month 08'!L275&lt;&gt;"",N('Month 08'!I275)&gt;0),'Month 08'!I275,"")</f>
        <v/>
      </c>
      <c r="D2015">
        <f>IF(C2015="","",IF(N('Month 08'!J275)&gt;0,'Month 08'!J275,1))</f>
        <v/>
      </c>
      <c r="E2015">
        <f>IF(OR(C2015="",D2015=""),"",IF(D2015=1,C2015,ROUND(C2015*(1+D2015/30),1)))</f>
        <v/>
      </c>
    </row>
    <row r="2016">
      <c r="A2016">
        <f>'Month 08'!B267</f>
        <v/>
      </c>
      <c r="B2016" t="inlineStr">
        <is>
          <t>Split Jerk</t>
        </is>
      </c>
      <c r="C2016">
        <f>IF(AND('Month 08'!L276&lt;&gt;"",N('Month 08'!I276)&gt;0),'Month 08'!I276,"")</f>
        <v/>
      </c>
      <c r="D2016">
        <f>IF(C2016="","",IF(N('Month 08'!J276)&gt;0,'Month 08'!J276,1))</f>
        <v/>
      </c>
      <c r="E2016">
        <f>IF(OR(C2016="",D2016=""),"",IF(D2016=1,C2016,ROUND(C2016*(1+D2016/30),1)))</f>
        <v/>
      </c>
    </row>
    <row r="2017">
      <c r="A2017">
        <f>'Month 08'!B267</f>
        <v/>
      </c>
      <c r="B2017" t="inlineStr">
        <is>
          <t>Split Jerk</t>
        </is>
      </c>
      <c r="C2017">
        <f>IF(AND('Month 08'!L277&lt;&gt;"",N('Month 08'!I277)&gt;0),'Month 08'!I277,"")</f>
        <v/>
      </c>
      <c r="D2017">
        <f>IF(C2017="","",IF(N('Month 08'!J277)&gt;0,'Month 08'!J277,1))</f>
        <v/>
      </c>
      <c r="E2017">
        <f>IF(OR(C2017="",D2017=""),"",IF(D2017=1,C2017,ROUND(C2017*(1+D2017/30),1)))</f>
        <v/>
      </c>
    </row>
    <row r="2018">
      <c r="A2018">
        <f>'Month 08'!B267</f>
        <v/>
      </c>
      <c r="B2018" t="inlineStr">
        <is>
          <t>Front Squat</t>
        </is>
      </c>
      <c r="C2018">
        <f>IF(AND('Month 08'!L279&lt;&gt;"",N('Month 08'!I279)&gt;0),'Month 08'!I279,"")</f>
        <v/>
      </c>
      <c r="D2018">
        <f>IF(C2018="","",IF(N('Month 08'!J279)&gt;0,'Month 08'!J279,1))</f>
        <v/>
      </c>
      <c r="E2018">
        <f>IF(OR(C2018="",D2018=""),"",IF(D2018=1,C2018,ROUND(C2018*(1+D2018/30),1)))</f>
        <v/>
      </c>
    </row>
    <row r="2019">
      <c r="A2019">
        <f>'Month 08'!B267</f>
        <v/>
      </c>
      <c r="B2019" t="inlineStr">
        <is>
          <t>Front Squat</t>
        </is>
      </c>
      <c r="C2019">
        <f>IF(AND('Month 08'!L280&lt;&gt;"",N('Month 08'!I280)&gt;0),'Month 08'!I280,"")</f>
        <v/>
      </c>
      <c r="D2019">
        <f>IF(C2019="","",IF(N('Month 08'!J280)&gt;0,'Month 08'!J280,1))</f>
        <v/>
      </c>
      <c r="E2019">
        <f>IF(OR(C2019="",D2019=""),"",IF(D2019=1,C2019,ROUND(C2019*(1+D2019/30),1)))</f>
        <v/>
      </c>
    </row>
    <row r="2020">
      <c r="A2020">
        <f>'Month 08'!B267</f>
        <v/>
      </c>
      <c r="B2020" t="inlineStr">
        <is>
          <t>Front Squat</t>
        </is>
      </c>
      <c r="C2020">
        <f>IF(AND('Month 08'!L281&lt;&gt;"",N('Month 08'!I281)&gt;0),'Month 08'!I281,"")</f>
        <v/>
      </c>
      <c r="D2020">
        <f>IF(C2020="","",IF(N('Month 08'!J281)&gt;0,'Month 08'!J281,1))</f>
        <v/>
      </c>
      <c r="E2020">
        <f>IF(OR(C2020="",D2020=""),"",IF(D2020=1,C2020,ROUND(C2020*(1+D2020/30),1)))</f>
        <v/>
      </c>
    </row>
    <row r="2021">
      <c r="A2021">
        <f>'Month 08'!B267</f>
        <v/>
      </c>
      <c r="B2021" t="inlineStr">
        <is>
          <t>Close-Grip Bench Press</t>
        </is>
      </c>
      <c r="C2021">
        <f>IF(AND('Month 08'!L283&lt;&gt;"",N('Month 08'!I283)&gt;0),'Month 08'!I283,"")</f>
        <v/>
      </c>
      <c r="D2021">
        <f>IF(C2021="","",IF(N('Month 08'!J283)&gt;0,'Month 08'!J283,1))</f>
        <v/>
      </c>
      <c r="E2021">
        <f>IF(OR(C2021="",D2021=""),"",IF(D2021=1,C2021,ROUND(C2021*(1+D2021/30),1)))</f>
        <v/>
      </c>
    </row>
    <row r="2022">
      <c r="A2022">
        <f>'Month 08'!B267</f>
        <v/>
      </c>
      <c r="B2022" t="inlineStr">
        <is>
          <t>Close-Grip Bench Press</t>
        </is>
      </c>
      <c r="C2022">
        <f>IF(AND('Month 08'!L284&lt;&gt;"",N('Month 08'!I284)&gt;0),'Month 08'!I284,"")</f>
        <v/>
      </c>
      <c r="D2022">
        <f>IF(C2022="","",IF(N('Month 08'!J284)&gt;0,'Month 08'!J284,1))</f>
        <v/>
      </c>
      <c r="E2022">
        <f>IF(OR(C2022="",D2022=""),"",IF(D2022=1,C2022,ROUND(C2022*(1+D2022/30),1)))</f>
        <v/>
      </c>
    </row>
    <row r="2023">
      <c r="A2023">
        <f>'Month 08'!B267</f>
        <v/>
      </c>
      <c r="B2023" t="inlineStr">
        <is>
          <t>Close-Grip Bench Press</t>
        </is>
      </c>
      <c r="C2023">
        <f>IF(AND('Month 08'!L285&lt;&gt;"",N('Month 08'!I285)&gt;0),'Month 08'!I285,"")</f>
        <v/>
      </c>
      <c r="D2023">
        <f>IF(C2023="","",IF(N('Month 08'!J285)&gt;0,'Month 08'!J285,1))</f>
        <v/>
      </c>
      <c r="E2023">
        <f>IF(OR(C2023="",D2023=""),"",IF(D2023=1,C2023,ROUND(C2023*(1+D2023/30),1)))</f>
        <v/>
      </c>
    </row>
    <row r="2024">
      <c r="A2024">
        <f>'Month 08'!B267</f>
        <v/>
      </c>
      <c r="B2024" t="inlineStr">
        <is>
          <t>Block Pull</t>
        </is>
      </c>
      <c r="C2024">
        <f>IF(AND('Month 08'!L287&lt;&gt;"",N('Month 08'!I287)&gt;0),'Month 08'!I287,"")</f>
        <v/>
      </c>
      <c r="D2024">
        <f>IF(C2024="","",IF(N('Month 08'!J287)&gt;0,'Month 08'!J287,1))</f>
        <v/>
      </c>
      <c r="E2024">
        <f>IF(OR(C2024="",D2024=""),"",IF(D2024=1,C2024,ROUND(C2024*(1+D2024/30),1)))</f>
        <v/>
      </c>
    </row>
    <row r="2025">
      <c r="A2025">
        <f>'Month 08'!B267</f>
        <v/>
      </c>
      <c r="B2025" t="inlineStr">
        <is>
          <t>Block Pull</t>
        </is>
      </c>
      <c r="C2025">
        <f>IF(AND('Month 08'!L288&lt;&gt;"",N('Month 08'!I288)&gt;0),'Month 08'!I288,"")</f>
        <v/>
      </c>
      <c r="D2025">
        <f>IF(C2025="","",IF(N('Month 08'!J288)&gt;0,'Month 08'!J288,1))</f>
        <v/>
      </c>
      <c r="E2025">
        <f>IF(OR(C2025="",D2025=""),"",IF(D2025=1,C2025,ROUND(C2025*(1+D2025/30),1)))</f>
        <v/>
      </c>
    </row>
    <row r="2026">
      <c r="A2026">
        <f>'Month 08'!B267</f>
        <v/>
      </c>
      <c r="B2026" t="inlineStr">
        <is>
          <t>Block Pull</t>
        </is>
      </c>
      <c r="C2026">
        <f>IF(AND('Month 08'!L289&lt;&gt;"",N('Month 08'!I289)&gt;0),'Month 08'!I289,"")</f>
        <v/>
      </c>
      <c r="D2026">
        <f>IF(C2026="","",IF(N('Month 08'!J289)&gt;0,'Month 08'!J289,1))</f>
        <v/>
      </c>
      <c r="E2026">
        <f>IF(OR(C2026="",D2026=""),"",IF(D2026=1,C2026,ROUND(C2026*(1+D2026/30),1)))</f>
        <v/>
      </c>
    </row>
    <row r="2027">
      <c r="A2027">
        <f>'Month 08'!B267</f>
        <v/>
      </c>
      <c r="B2027" t="inlineStr">
        <is>
          <t>Incline Dumbbell Press</t>
        </is>
      </c>
      <c r="C2027">
        <f>IF(AND('Month 08'!L291&lt;&gt;"",N('Month 08'!I291)&gt;0),'Month 08'!I291,"")</f>
        <v/>
      </c>
      <c r="D2027">
        <f>IF(C2027="","",IF(N('Month 08'!J291)&gt;0,'Month 08'!J291,1))</f>
        <v/>
      </c>
      <c r="E2027">
        <f>IF(OR(C2027="",D2027=""),"",IF(D2027=1,C2027,ROUND(C2027*(1+D2027/30),1)))</f>
        <v/>
      </c>
    </row>
    <row r="2028">
      <c r="A2028">
        <f>'Month 08'!B267</f>
        <v/>
      </c>
      <c r="B2028" t="inlineStr">
        <is>
          <t>Incline Dumbbell Press</t>
        </is>
      </c>
      <c r="C2028">
        <f>IF(AND('Month 08'!L292&lt;&gt;"",N('Month 08'!I292)&gt;0),'Month 08'!I292,"")</f>
        <v/>
      </c>
      <c r="D2028">
        <f>IF(C2028="","",IF(N('Month 08'!J292)&gt;0,'Month 08'!J292,1))</f>
        <v/>
      </c>
      <c r="E2028">
        <f>IF(OR(C2028="",D2028=""),"",IF(D2028=1,C2028,ROUND(C2028*(1+D2028/30),1)))</f>
        <v/>
      </c>
    </row>
    <row r="2029">
      <c r="A2029">
        <f>'Month 08'!B267</f>
        <v/>
      </c>
      <c r="B2029" t="inlineStr">
        <is>
          <t>Incline Dumbbell Press</t>
        </is>
      </c>
      <c r="C2029">
        <f>IF(AND('Month 08'!L293&lt;&gt;"",N('Month 08'!I293)&gt;0),'Month 08'!I293,"")</f>
        <v/>
      </c>
      <c r="D2029">
        <f>IF(C2029="","",IF(N('Month 08'!J293)&gt;0,'Month 08'!J293,1))</f>
        <v/>
      </c>
      <c r="E2029">
        <f>IF(OR(C2029="",D2029=""),"",IF(D2029=1,C2029,ROUND(C2029*(1+D2029/30),1)))</f>
        <v/>
      </c>
    </row>
    <row r="2030">
      <c r="A2030">
        <f>'Month 08'!B267</f>
        <v/>
      </c>
      <c r="B2030" t="inlineStr">
        <is>
          <t>Triceps Pushdown</t>
        </is>
      </c>
      <c r="C2030">
        <f>IF(AND('Month 08'!L295&lt;&gt;"",N('Month 08'!I295)&gt;0),'Month 08'!I295,"")</f>
        <v/>
      </c>
      <c r="D2030">
        <f>IF(C2030="","",IF(N('Month 08'!J295)&gt;0,'Month 08'!J295,1))</f>
        <v/>
      </c>
      <c r="E2030">
        <f>IF(OR(C2030="",D2030=""),"",IF(D2030=1,C2030,ROUND(C2030*(1+D2030/30),1)))</f>
        <v/>
      </c>
    </row>
    <row r="2031">
      <c r="A2031">
        <f>'Month 08'!B267</f>
        <v/>
      </c>
      <c r="B2031" t="inlineStr">
        <is>
          <t>Triceps Pushdown</t>
        </is>
      </c>
      <c r="C2031">
        <f>IF(AND('Month 08'!L296&lt;&gt;"",N('Month 08'!I296)&gt;0),'Month 08'!I296,"")</f>
        <v/>
      </c>
      <c r="D2031">
        <f>IF(C2031="","",IF(N('Month 08'!J296)&gt;0,'Month 08'!J296,1))</f>
        <v/>
      </c>
      <c r="E2031">
        <f>IF(OR(C2031="",D2031=""),"",IF(D2031=1,C2031,ROUND(C2031*(1+D2031/30),1)))</f>
        <v/>
      </c>
    </row>
    <row r="2032">
      <c r="A2032">
        <f>'Month 08'!B267</f>
        <v/>
      </c>
      <c r="B2032" t="inlineStr">
        <is>
          <t>Triceps Pushdown</t>
        </is>
      </c>
      <c r="C2032">
        <f>IF(AND('Month 08'!L297&lt;&gt;"",N('Month 08'!I297)&gt;0),'Month 08'!I297,"")</f>
        <v/>
      </c>
      <c r="D2032">
        <f>IF(C2032="","",IF(N('Month 08'!J297)&gt;0,'Month 08'!J297,1))</f>
        <v/>
      </c>
      <c r="E2032">
        <f>IF(OR(C2032="",D2032=""),"",IF(D2032=1,C2032,ROUND(C2032*(1+D2032/30),1)))</f>
        <v/>
      </c>
    </row>
    <row r="2033">
      <c r="A2033">
        <f>'Month 08'!B300</f>
        <v/>
      </c>
      <c r="B2033" t="inlineStr">
        <is>
          <t>Box Jump</t>
        </is>
      </c>
      <c r="C2033">
        <f>IF(AND('Month 08'!L302&lt;&gt;"",N('Month 08'!I302)&gt;0),'Month 08'!I302,"")</f>
        <v/>
      </c>
      <c r="D2033">
        <f>IF(C2033="","",IF(N('Month 08'!J302)&gt;0,'Month 08'!J302,1))</f>
        <v/>
      </c>
      <c r="E2033">
        <f>IF(OR(C2033="",D2033=""),"",IF(D2033=1,C2033,ROUND(C2033*(1+D2033/30),1)))</f>
        <v/>
      </c>
    </row>
    <row r="2034">
      <c r="A2034">
        <f>'Month 08'!B300</f>
        <v/>
      </c>
      <c r="B2034" t="inlineStr">
        <is>
          <t>Box Jump</t>
        </is>
      </c>
      <c r="C2034">
        <f>IF(AND('Month 08'!L303&lt;&gt;"",N('Month 08'!I303)&gt;0),'Month 08'!I303,"")</f>
        <v/>
      </c>
      <c r="D2034">
        <f>IF(C2034="","",IF(N('Month 08'!J303)&gt;0,'Month 08'!J303,1))</f>
        <v/>
      </c>
      <c r="E2034">
        <f>IF(OR(C2034="",D2034=""),"",IF(D2034=1,C2034,ROUND(C2034*(1+D2034/30),1)))</f>
        <v/>
      </c>
    </row>
    <row r="2035">
      <c r="A2035">
        <f>'Month 08'!B300</f>
        <v/>
      </c>
      <c r="B2035" t="inlineStr">
        <is>
          <t>Snatch</t>
        </is>
      </c>
      <c r="C2035">
        <f>IF(AND('Month 08'!L305&lt;&gt;"",N('Month 08'!I305)&gt;0),'Month 08'!I305,"")</f>
        <v/>
      </c>
      <c r="D2035">
        <f>IF(C2035="","",IF(N('Month 08'!J305)&gt;0,'Month 08'!J305,1))</f>
        <v/>
      </c>
      <c r="E2035">
        <f>IF(OR(C2035="",D2035=""),"",IF(D2035=1,C2035,ROUND(C2035*(1+D2035/30),1)))</f>
        <v/>
      </c>
    </row>
    <row r="2036">
      <c r="A2036">
        <f>'Month 08'!B300</f>
        <v/>
      </c>
      <c r="B2036" t="inlineStr">
        <is>
          <t>Snatch</t>
        </is>
      </c>
      <c r="C2036">
        <f>IF(AND('Month 08'!L306&lt;&gt;"",N('Month 08'!I306)&gt;0),'Month 08'!I306,"")</f>
        <v/>
      </c>
      <c r="D2036">
        <f>IF(C2036="","",IF(N('Month 08'!J306)&gt;0,'Month 08'!J306,1))</f>
        <v/>
      </c>
      <c r="E2036">
        <f>IF(OR(C2036="",D2036=""),"",IF(D2036=1,C2036,ROUND(C2036*(1+D2036/30),1)))</f>
        <v/>
      </c>
    </row>
    <row r="2037">
      <c r="A2037">
        <f>'Month 08'!B300</f>
        <v/>
      </c>
      <c r="B2037" t="inlineStr">
        <is>
          <t>Squat</t>
        </is>
      </c>
      <c r="C2037">
        <f>IF(AND('Month 08'!L308&lt;&gt;"",N('Month 08'!I308)&gt;0),'Month 08'!I308,"")</f>
        <v/>
      </c>
      <c r="D2037">
        <f>IF(C2037="","",IF(N('Month 08'!J308)&gt;0,'Month 08'!J308,1))</f>
        <v/>
      </c>
      <c r="E2037">
        <f>IF(OR(C2037="",D2037=""),"",IF(D2037=1,C2037,ROUND(C2037*(1+D2037/30),1)))</f>
        <v/>
      </c>
    </row>
    <row r="2038">
      <c r="A2038">
        <f>'Month 08'!B300</f>
        <v/>
      </c>
      <c r="B2038" t="inlineStr">
        <is>
          <t>Squat</t>
        </is>
      </c>
      <c r="C2038">
        <f>IF(AND('Month 08'!L309&lt;&gt;"",N('Month 08'!I309)&gt;0),'Month 08'!I309,"")</f>
        <v/>
      </c>
      <c r="D2038">
        <f>IF(C2038="","",IF(N('Month 08'!J309)&gt;0,'Month 08'!J309,1))</f>
        <v/>
      </c>
      <c r="E2038">
        <f>IF(OR(C2038="",D2038=""),"",IF(D2038=1,C2038,ROUND(C2038*(1+D2038/30),1)))</f>
        <v/>
      </c>
    </row>
    <row r="2039">
      <c r="A2039">
        <f>'Month 08'!B300</f>
        <v/>
      </c>
      <c r="B2039" t="inlineStr">
        <is>
          <t>Bench Press</t>
        </is>
      </c>
      <c r="C2039">
        <f>IF(AND('Month 08'!L311&lt;&gt;"",N('Month 08'!I311)&gt;0),'Month 08'!I311,"")</f>
        <v/>
      </c>
      <c r="D2039">
        <f>IF(C2039="","",IF(N('Month 08'!J311)&gt;0,'Month 08'!J311,1))</f>
        <v/>
      </c>
      <c r="E2039">
        <f>IF(OR(C2039="",D2039=""),"",IF(D2039=1,C2039,ROUND(C2039*(1+D2039/30),1)))</f>
        <v/>
      </c>
    </row>
    <row r="2040">
      <c r="A2040">
        <f>'Month 08'!B300</f>
        <v/>
      </c>
      <c r="B2040" t="inlineStr">
        <is>
          <t>Bench Press</t>
        </is>
      </c>
      <c r="C2040">
        <f>IF(AND('Month 08'!L312&lt;&gt;"",N('Month 08'!I312)&gt;0),'Month 08'!I312,"")</f>
        <v/>
      </c>
      <c r="D2040">
        <f>IF(C2040="","",IF(N('Month 08'!J312)&gt;0,'Month 08'!J312,1))</f>
        <v/>
      </c>
      <c r="E2040">
        <f>IF(OR(C2040="",D2040=""),"",IF(D2040=1,C2040,ROUND(C2040*(1+D2040/30),1)))</f>
        <v/>
      </c>
    </row>
    <row r="2041">
      <c r="A2041">
        <f>'Month 08'!B300</f>
        <v/>
      </c>
      <c r="B2041" t="inlineStr">
        <is>
          <t>Barbell Row</t>
        </is>
      </c>
      <c r="C2041">
        <f>IF(AND('Month 08'!L314&lt;&gt;"",N('Month 08'!I314)&gt;0),'Month 08'!I314,"")</f>
        <v/>
      </c>
      <c r="D2041">
        <f>IF(C2041="","",IF(N('Month 08'!J314)&gt;0,'Month 08'!J314,1))</f>
        <v/>
      </c>
      <c r="E2041">
        <f>IF(OR(C2041="",D2041=""),"",IF(D2041=1,C2041,ROUND(C2041*(1+D2041/30),1)))</f>
        <v/>
      </c>
    </row>
    <row r="2042">
      <c r="A2042">
        <f>'Month 08'!B300</f>
        <v/>
      </c>
      <c r="B2042" t="inlineStr">
        <is>
          <t>Barbell Row</t>
        </is>
      </c>
      <c r="C2042">
        <f>IF(AND('Month 08'!L315&lt;&gt;"",N('Month 08'!I315)&gt;0),'Month 08'!I315,"")</f>
        <v/>
      </c>
      <c r="D2042">
        <f>IF(C2042="","",IF(N('Month 08'!J315)&gt;0,'Month 08'!J315,1))</f>
        <v/>
      </c>
      <c r="E2042">
        <f>IF(OR(C2042="",D2042=""),"",IF(D2042=1,C2042,ROUND(C2042*(1+D2042/30),1)))</f>
        <v/>
      </c>
    </row>
    <row r="2043">
      <c r="A2043">
        <f>'Month 08'!B300</f>
        <v/>
      </c>
      <c r="B2043" t="inlineStr">
        <is>
          <t>Face Pull</t>
        </is>
      </c>
      <c r="C2043">
        <f>IF(AND('Month 08'!L317&lt;&gt;"",N('Month 08'!I317)&gt;0),'Month 08'!I317,"")</f>
        <v/>
      </c>
      <c r="D2043">
        <f>IF(C2043="","",IF(N('Month 08'!J317)&gt;0,'Month 08'!J317,1))</f>
        <v/>
      </c>
      <c r="E2043">
        <f>IF(OR(C2043="",D2043=""),"",IF(D2043=1,C2043,ROUND(C2043*(1+D2043/30),1)))</f>
        <v/>
      </c>
    </row>
    <row r="2044">
      <c r="A2044">
        <f>'Month 08'!B300</f>
        <v/>
      </c>
      <c r="B2044" t="inlineStr">
        <is>
          <t>Face Pull</t>
        </is>
      </c>
      <c r="C2044">
        <f>IF(AND('Month 08'!L318&lt;&gt;"",N('Month 08'!I318)&gt;0),'Month 08'!I318,"")</f>
        <v/>
      </c>
      <c r="D2044">
        <f>IF(C2044="","",IF(N('Month 08'!J318)&gt;0,'Month 08'!J318,1))</f>
        <v/>
      </c>
      <c r="E2044">
        <f>IF(OR(C2044="",D2044=""),"",IF(D2044=1,C2044,ROUND(C2044*(1+D2044/30),1)))</f>
        <v/>
      </c>
    </row>
    <row r="2045">
      <c r="A2045">
        <f>'Month 08'!B319</f>
        <v/>
      </c>
      <c r="B2045" t="inlineStr">
        <is>
          <t>Broad Jump</t>
        </is>
      </c>
      <c r="C2045">
        <f>IF(AND('Month 08'!L321&lt;&gt;"",N('Month 08'!I321)&gt;0),'Month 08'!I321,"")</f>
        <v/>
      </c>
      <c r="D2045">
        <f>IF(C2045="","",IF(N('Month 08'!J321)&gt;0,'Month 08'!J321,1))</f>
        <v/>
      </c>
      <c r="E2045">
        <f>IF(OR(C2045="",D2045=""),"",IF(D2045=1,C2045,ROUND(C2045*(1+D2045/30),1)))</f>
        <v/>
      </c>
    </row>
    <row r="2046">
      <c r="A2046">
        <f>'Month 08'!B319</f>
        <v/>
      </c>
      <c r="B2046" t="inlineStr">
        <is>
          <t>Broad Jump</t>
        </is>
      </c>
      <c r="C2046">
        <f>IF(AND('Month 08'!L322&lt;&gt;"",N('Month 08'!I322)&gt;0),'Month 08'!I322,"")</f>
        <v/>
      </c>
      <c r="D2046">
        <f>IF(C2046="","",IF(N('Month 08'!J322)&gt;0,'Month 08'!J322,1))</f>
        <v/>
      </c>
      <c r="E2046">
        <f>IF(OR(C2046="",D2046=""),"",IF(D2046=1,C2046,ROUND(C2046*(1+D2046/30),1)))</f>
        <v/>
      </c>
    </row>
    <row r="2047">
      <c r="A2047">
        <f>'Month 08'!B319</f>
        <v/>
      </c>
      <c r="B2047" t="inlineStr">
        <is>
          <t>Med Ball Chest Pass</t>
        </is>
      </c>
      <c r="C2047">
        <f>IF(AND('Month 08'!L324&lt;&gt;"",N('Month 08'!I324)&gt;0),'Month 08'!I324,"")</f>
        <v/>
      </c>
      <c r="D2047">
        <f>IF(C2047="","",IF(N('Month 08'!J324)&gt;0,'Month 08'!J324,1))</f>
        <v/>
      </c>
      <c r="E2047">
        <f>IF(OR(C2047="",D2047=""),"",IF(D2047=1,C2047,ROUND(C2047*(1+D2047/30),1)))</f>
        <v/>
      </c>
    </row>
    <row r="2048">
      <c r="A2048">
        <f>'Month 08'!B319</f>
        <v/>
      </c>
      <c r="B2048" t="inlineStr">
        <is>
          <t>Med Ball Chest Pass</t>
        </is>
      </c>
      <c r="C2048">
        <f>IF(AND('Month 08'!L325&lt;&gt;"",N('Month 08'!I325)&gt;0),'Month 08'!I325,"")</f>
        <v/>
      </c>
      <c r="D2048">
        <f>IF(C2048="","",IF(N('Month 08'!J325)&gt;0,'Month 08'!J325,1))</f>
        <v/>
      </c>
      <c r="E2048">
        <f>IF(OR(C2048="",D2048=""),"",IF(D2048=1,C2048,ROUND(C2048*(1+D2048/30),1)))</f>
        <v/>
      </c>
    </row>
    <row r="2049">
      <c r="A2049">
        <f>'Month 08'!B319</f>
        <v/>
      </c>
      <c r="B2049" t="inlineStr">
        <is>
          <t>Clean &amp; Jerk</t>
        </is>
      </c>
      <c r="C2049">
        <f>IF(AND('Month 08'!L327&lt;&gt;"",N('Month 08'!I327)&gt;0),'Month 08'!I327,"")</f>
        <v/>
      </c>
      <c r="D2049">
        <f>IF(C2049="","",IF(N('Month 08'!J327)&gt;0,'Month 08'!J327,1))</f>
        <v/>
      </c>
      <c r="E2049">
        <f>IF(OR(C2049="",D2049=""),"",IF(D2049=1,C2049,ROUND(C2049*(1+D2049/30),1)))</f>
        <v/>
      </c>
    </row>
    <row r="2050">
      <c r="A2050">
        <f>'Month 08'!B319</f>
        <v/>
      </c>
      <c r="B2050" t="inlineStr">
        <is>
          <t>Clean &amp; Jerk</t>
        </is>
      </c>
      <c r="C2050">
        <f>IF(AND('Month 08'!L328&lt;&gt;"",N('Month 08'!I328)&gt;0),'Month 08'!I328,"")</f>
        <v/>
      </c>
      <c r="D2050">
        <f>IF(C2050="","",IF(N('Month 08'!J328)&gt;0,'Month 08'!J328,1))</f>
        <v/>
      </c>
      <c r="E2050">
        <f>IF(OR(C2050="",D2050=""),"",IF(D2050=1,C2050,ROUND(C2050*(1+D2050/30),1)))</f>
        <v/>
      </c>
    </row>
    <row r="2051">
      <c r="A2051">
        <f>'Month 08'!B319</f>
        <v/>
      </c>
      <c r="B2051" t="inlineStr">
        <is>
          <t>Squat</t>
        </is>
      </c>
      <c r="C2051">
        <f>IF(AND('Month 08'!L330&lt;&gt;"",N('Month 08'!I330)&gt;0),'Month 08'!I330,"")</f>
        <v/>
      </c>
      <c r="D2051">
        <f>IF(C2051="","",IF(N('Month 08'!J330)&gt;0,'Month 08'!J330,1))</f>
        <v/>
      </c>
      <c r="E2051">
        <f>IF(OR(C2051="",D2051=""),"",IF(D2051=1,C2051,ROUND(C2051*(1+D2051/30),1)))</f>
        <v/>
      </c>
    </row>
    <row r="2052">
      <c r="A2052">
        <f>'Month 08'!B319</f>
        <v/>
      </c>
      <c r="B2052" t="inlineStr">
        <is>
          <t>Squat</t>
        </is>
      </c>
      <c r="C2052">
        <f>IF(AND('Month 08'!L331&lt;&gt;"",N('Month 08'!I331)&gt;0),'Month 08'!I331,"")</f>
        <v/>
      </c>
      <c r="D2052">
        <f>IF(C2052="","",IF(N('Month 08'!J331)&gt;0,'Month 08'!J331,1))</f>
        <v/>
      </c>
      <c r="E2052">
        <f>IF(OR(C2052="",D2052=""),"",IF(D2052=1,C2052,ROUND(C2052*(1+D2052/30),1)))</f>
        <v/>
      </c>
    </row>
    <row r="2053">
      <c r="A2053">
        <f>'Month 08'!B319</f>
        <v/>
      </c>
      <c r="B2053" t="inlineStr">
        <is>
          <t>Overhead Press</t>
        </is>
      </c>
      <c r="C2053">
        <f>IF(AND('Month 08'!L333&lt;&gt;"",N('Month 08'!I333)&gt;0),'Month 08'!I333,"")</f>
        <v/>
      </c>
      <c r="D2053">
        <f>IF(C2053="","",IF(N('Month 08'!J333)&gt;0,'Month 08'!J333,1))</f>
        <v/>
      </c>
      <c r="E2053">
        <f>IF(OR(C2053="",D2053=""),"",IF(D2053=1,C2053,ROUND(C2053*(1+D2053/30),1)))</f>
        <v/>
      </c>
    </row>
    <row r="2054">
      <c r="A2054">
        <f>'Month 08'!B319</f>
        <v/>
      </c>
      <c r="B2054" t="inlineStr">
        <is>
          <t>Overhead Press</t>
        </is>
      </c>
      <c r="C2054">
        <f>IF(AND('Month 08'!L334&lt;&gt;"",N('Month 08'!I334)&gt;0),'Month 08'!I334,"")</f>
        <v/>
      </c>
      <c r="D2054">
        <f>IF(C2054="","",IF(N('Month 08'!J334)&gt;0,'Month 08'!J334,1))</f>
        <v/>
      </c>
      <c r="E2054">
        <f>IF(OR(C2054="",D2054=""),"",IF(D2054=1,C2054,ROUND(C2054*(1+D2054/30),1)))</f>
        <v/>
      </c>
    </row>
    <row r="2055">
      <c r="A2055">
        <f>'Month 08'!B319</f>
        <v/>
      </c>
      <c r="B2055" t="inlineStr">
        <is>
          <t>Deadlift</t>
        </is>
      </c>
      <c r="C2055">
        <f>IF(AND('Month 08'!L336&lt;&gt;"",N('Month 08'!I336)&gt;0),'Month 08'!I336,"")</f>
        <v/>
      </c>
      <c r="D2055">
        <f>IF(C2055="","",IF(N('Month 08'!J336)&gt;0,'Month 08'!J336,1))</f>
        <v/>
      </c>
      <c r="E2055">
        <f>IF(OR(C2055="",D2055=""),"",IF(D2055=1,C2055,ROUND(C2055*(1+D2055/30),1)))</f>
        <v/>
      </c>
    </row>
    <row r="2056">
      <c r="A2056">
        <f>'Month 08'!B319</f>
        <v/>
      </c>
      <c r="B2056" t="inlineStr">
        <is>
          <t>Deadlift</t>
        </is>
      </c>
      <c r="C2056">
        <f>IF(AND('Month 08'!L337&lt;&gt;"",N('Month 08'!I337)&gt;0),'Month 08'!I337,"")</f>
        <v/>
      </c>
      <c r="D2056">
        <f>IF(C2056="","",IF(N('Month 08'!J337)&gt;0,'Month 08'!J337,1))</f>
        <v/>
      </c>
      <c r="E2056">
        <f>IF(OR(C2056="",D2056=""),"",IF(D2056=1,C2056,ROUND(C2056*(1+D2056/30),1)))</f>
        <v/>
      </c>
    </row>
    <row r="2057">
      <c r="A2057">
        <f>'Month 08'!B319</f>
        <v/>
      </c>
      <c r="B2057" t="inlineStr">
        <is>
          <t>Chin-up</t>
        </is>
      </c>
      <c r="C2057">
        <f>IF(AND('Month 08'!L339&lt;&gt;"",N('Month 08'!I339)&gt;0),'Month 08'!I339,"")</f>
        <v/>
      </c>
      <c r="D2057">
        <f>IF(C2057="","",IF(N('Month 08'!J339)&gt;0,'Month 08'!J339,1))</f>
        <v/>
      </c>
      <c r="E2057">
        <f>IF(OR(C2057="",D2057=""),"",IF(D2057=1,C2057,ROUND(C2057*(1+D2057/30),1)))</f>
        <v/>
      </c>
    </row>
    <row r="2058">
      <c r="A2058">
        <f>'Month 08'!B319</f>
        <v/>
      </c>
      <c r="B2058" t="inlineStr">
        <is>
          <t>Chin-up</t>
        </is>
      </c>
      <c r="C2058">
        <f>IF(AND('Month 08'!L340&lt;&gt;"",N('Month 08'!I340)&gt;0),'Month 08'!I340,"")</f>
        <v/>
      </c>
      <c r="D2058">
        <f>IF(C2058="","",IF(N('Month 08'!J340)&gt;0,'Month 08'!J340,1))</f>
        <v/>
      </c>
      <c r="E2058">
        <f>IF(OR(C2058="",D2058=""),"",IF(D2058=1,C2058,ROUND(C2058*(1+D2058/30),1)))</f>
        <v/>
      </c>
    </row>
    <row r="2059">
      <c r="A2059">
        <f>'Month 08'!B319</f>
        <v/>
      </c>
      <c r="B2059" t="inlineStr">
        <is>
          <t>Plank</t>
        </is>
      </c>
      <c r="C2059">
        <f>IF(AND('Month 08'!L342&lt;&gt;"",N('Month 08'!I342)&gt;0),'Month 08'!I342,"")</f>
        <v/>
      </c>
      <c r="D2059">
        <f>IF(C2059="","",IF(N('Month 08'!J342)&gt;0,'Month 08'!J342,1))</f>
        <v/>
      </c>
      <c r="E2059">
        <f>IF(OR(C2059="",D2059=""),"",IF(D2059=1,C2059,ROUND(C2059*(1+D2059/30),1)))</f>
        <v/>
      </c>
    </row>
    <row r="2060">
      <c r="A2060">
        <f>'Month 08'!B319</f>
        <v/>
      </c>
      <c r="B2060" t="inlineStr">
        <is>
          <t>Plank</t>
        </is>
      </c>
      <c r="C2060">
        <f>IF(AND('Month 08'!L343&lt;&gt;"",N('Month 08'!I343)&gt;0),'Month 08'!I343,"")</f>
        <v/>
      </c>
      <c r="D2060">
        <f>IF(C2060="","",IF(N('Month 08'!J343)&gt;0,'Month 08'!J343,1))</f>
        <v/>
      </c>
      <c r="E2060">
        <f>IF(OR(C2060="",D2060=""),"",IF(D2060=1,C2060,ROUND(C2060*(1+D2060/30),1)))</f>
        <v/>
      </c>
    </row>
    <row r="2061">
      <c r="A2061">
        <f>'Month 08'!B344</f>
        <v/>
      </c>
      <c r="B2061" t="inlineStr">
        <is>
          <t>Hurdle Hop</t>
        </is>
      </c>
      <c r="C2061">
        <f>IF(AND('Month 08'!L346&lt;&gt;"",N('Month 08'!I346)&gt;0),'Month 08'!I346,"")</f>
        <v/>
      </c>
      <c r="D2061">
        <f>IF(C2061="","",IF(N('Month 08'!J346)&gt;0,'Month 08'!J346,1))</f>
        <v/>
      </c>
      <c r="E2061">
        <f>IF(OR(C2061="",D2061=""),"",IF(D2061=1,C2061,ROUND(C2061*(1+D2061/30),1)))</f>
        <v/>
      </c>
    </row>
    <row r="2062">
      <c r="A2062">
        <f>'Month 08'!B344</f>
        <v/>
      </c>
      <c r="B2062" t="inlineStr">
        <is>
          <t>Hurdle Hop</t>
        </is>
      </c>
      <c r="C2062">
        <f>IF(AND('Month 08'!L347&lt;&gt;"",N('Month 08'!I347)&gt;0),'Month 08'!I347,"")</f>
        <v/>
      </c>
      <c r="D2062">
        <f>IF(C2062="","",IF(N('Month 08'!J347)&gt;0,'Month 08'!J347,1))</f>
        <v/>
      </c>
      <c r="E2062">
        <f>IF(OR(C2062="",D2062=""),"",IF(D2062=1,C2062,ROUND(C2062*(1+D2062/30),1)))</f>
        <v/>
      </c>
    </row>
    <row r="2063">
      <c r="A2063">
        <f>'Month 08'!B344</f>
        <v/>
      </c>
      <c r="B2063" t="inlineStr">
        <is>
          <t>Split Jerk</t>
        </is>
      </c>
      <c r="C2063">
        <f>IF(AND('Month 08'!L349&lt;&gt;"",N('Month 08'!I349)&gt;0),'Month 08'!I349,"")</f>
        <v/>
      </c>
      <c r="D2063">
        <f>IF(C2063="","",IF(N('Month 08'!J349)&gt;0,'Month 08'!J349,1))</f>
        <v/>
      </c>
      <c r="E2063">
        <f>IF(OR(C2063="",D2063=""),"",IF(D2063=1,C2063,ROUND(C2063*(1+D2063/30),1)))</f>
        <v/>
      </c>
    </row>
    <row r="2064">
      <c r="A2064">
        <f>'Month 08'!B344</f>
        <v/>
      </c>
      <c r="B2064" t="inlineStr">
        <is>
          <t>Split Jerk</t>
        </is>
      </c>
      <c r="C2064">
        <f>IF(AND('Month 08'!L350&lt;&gt;"",N('Month 08'!I350)&gt;0),'Month 08'!I350,"")</f>
        <v/>
      </c>
      <c r="D2064">
        <f>IF(C2064="","",IF(N('Month 08'!J350)&gt;0,'Month 08'!J350,1))</f>
        <v/>
      </c>
      <c r="E2064">
        <f>IF(OR(C2064="",D2064=""),"",IF(D2064=1,C2064,ROUND(C2064*(1+D2064/30),1)))</f>
        <v/>
      </c>
    </row>
    <row r="2065">
      <c r="A2065">
        <f>'Month 08'!B344</f>
        <v/>
      </c>
      <c r="B2065" t="inlineStr">
        <is>
          <t>Front Squat</t>
        </is>
      </c>
      <c r="C2065">
        <f>IF(AND('Month 08'!L352&lt;&gt;"",N('Month 08'!I352)&gt;0),'Month 08'!I352,"")</f>
        <v/>
      </c>
      <c r="D2065">
        <f>IF(C2065="","",IF(N('Month 08'!J352)&gt;0,'Month 08'!J352,1))</f>
        <v/>
      </c>
      <c r="E2065">
        <f>IF(OR(C2065="",D2065=""),"",IF(D2065=1,C2065,ROUND(C2065*(1+D2065/30),1)))</f>
        <v/>
      </c>
    </row>
    <row r="2066">
      <c r="A2066">
        <f>'Month 08'!B344</f>
        <v/>
      </c>
      <c r="B2066" t="inlineStr">
        <is>
          <t>Front Squat</t>
        </is>
      </c>
      <c r="C2066">
        <f>IF(AND('Month 08'!L353&lt;&gt;"",N('Month 08'!I353)&gt;0),'Month 08'!I353,"")</f>
        <v/>
      </c>
      <c r="D2066">
        <f>IF(C2066="","",IF(N('Month 08'!J353)&gt;0,'Month 08'!J353,1))</f>
        <v/>
      </c>
      <c r="E2066">
        <f>IF(OR(C2066="",D2066=""),"",IF(D2066=1,C2066,ROUND(C2066*(1+D2066/30),1)))</f>
        <v/>
      </c>
    </row>
    <row r="2067">
      <c r="A2067">
        <f>'Month 08'!B344</f>
        <v/>
      </c>
      <c r="B2067" t="inlineStr">
        <is>
          <t>Close-Grip Bench Press</t>
        </is>
      </c>
      <c r="C2067">
        <f>IF(AND('Month 08'!L355&lt;&gt;"",N('Month 08'!I355)&gt;0),'Month 08'!I355,"")</f>
        <v/>
      </c>
      <c r="D2067">
        <f>IF(C2067="","",IF(N('Month 08'!J355)&gt;0,'Month 08'!J355,1))</f>
        <v/>
      </c>
      <c r="E2067">
        <f>IF(OR(C2067="",D2067=""),"",IF(D2067=1,C2067,ROUND(C2067*(1+D2067/30),1)))</f>
        <v/>
      </c>
    </row>
    <row r="2068">
      <c r="A2068">
        <f>'Month 08'!B344</f>
        <v/>
      </c>
      <c r="B2068" t="inlineStr">
        <is>
          <t>Close-Grip Bench Press</t>
        </is>
      </c>
      <c r="C2068">
        <f>IF(AND('Month 08'!L356&lt;&gt;"",N('Month 08'!I356)&gt;0),'Month 08'!I356,"")</f>
        <v/>
      </c>
      <c r="D2068">
        <f>IF(C2068="","",IF(N('Month 08'!J356)&gt;0,'Month 08'!J356,1))</f>
        <v/>
      </c>
      <c r="E2068">
        <f>IF(OR(C2068="",D2068=""),"",IF(D2068=1,C2068,ROUND(C2068*(1+D2068/30),1)))</f>
        <v/>
      </c>
    </row>
    <row r="2069">
      <c r="A2069">
        <f>'Month 08'!B344</f>
        <v/>
      </c>
      <c r="B2069" t="inlineStr">
        <is>
          <t>Block Pull</t>
        </is>
      </c>
      <c r="C2069">
        <f>IF(AND('Month 08'!L358&lt;&gt;"",N('Month 08'!I358)&gt;0),'Month 08'!I358,"")</f>
        <v/>
      </c>
      <c r="D2069">
        <f>IF(C2069="","",IF(N('Month 08'!J358)&gt;0,'Month 08'!J358,1))</f>
        <v/>
      </c>
      <c r="E2069">
        <f>IF(OR(C2069="",D2069=""),"",IF(D2069=1,C2069,ROUND(C2069*(1+D2069/30),1)))</f>
        <v/>
      </c>
    </row>
    <row r="2070">
      <c r="A2070">
        <f>'Month 08'!B344</f>
        <v/>
      </c>
      <c r="B2070" t="inlineStr">
        <is>
          <t>Block Pull</t>
        </is>
      </c>
      <c r="C2070">
        <f>IF(AND('Month 08'!L359&lt;&gt;"",N('Month 08'!I359)&gt;0),'Month 08'!I359,"")</f>
        <v/>
      </c>
      <c r="D2070">
        <f>IF(C2070="","",IF(N('Month 08'!J359)&gt;0,'Month 08'!J359,1))</f>
        <v/>
      </c>
      <c r="E2070">
        <f>IF(OR(C2070="",D2070=""),"",IF(D2070=1,C2070,ROUND(C2070*(1+D2070/30),1)))</f>
        <v/>
      </c>
    </row>
    <row r="2071">
      <c r="A2071">
        <f>'Month 08'!B344</f>
        <v/>
      </c>
      <c r="B2071" t="inlineStr">
        <is>
          <t>Incline Dumbbell Press</t>
        </is>
      </c>
      <c r="C2071">
        <f>IF(AND('Month 08'!L361&lt;&gt;"",N('Month 08'!I361)&gt;0),'Month 08'!I361,"")</f>
        <v/>
      </c>
      <c r="D2071">
        <f>IF(C2071="","",IF(N('Month 08'!J361)&gt;0,'Month 08'!J361,1))</f>
        <v/>
      </c>
      <c r="E2071">
        <f>IF(OR(C2071="",D2071=""),"",IF(D2071=1,C2071,ROUND(C2071*(1+D2071/30),1)))</f>
        <v/>
      </c>
    </row>
    <row r="2072">
      <c r="A2072">
        <f>'Month 08'!B344</f>
        <v/>
      </c>
      <c r="B2072" t="inlineStr">
        <is>
          <t>Incline Dumbbell Press</t>
        </is>
      </c>
      <c r="C2072">
        <f>IF(AND('Month 08'!L362&lt;&gt;"",N('Month 08'!I362)&gt;0),'Month 08'!I362,"")</f>
        <v/>
      </c>
      <c r="D2072">
        <f>IF(C2072="","",IF(N('Month 08'!J362)&gt;0,'Month 08'!J362,1))</f>
        <v/>
      </c>
      <c r="E2072">
        <f>IF(OR(C2072="",D2072=""),"",IF(D2072=1,C2072,ROUND(C2072*(1+D2072/30),1)))</f>
        <v/>
      </c>
    </row>
    <row r="2073">
      <c r="A2073">
        <f>'Month 08'!B344</f>
        <v/>
      </c>
      <c r="B2073" t="inlineStr">
        <is>
          <t>Triceps Pushdown</t>
        </is>
      </c>
      <c r="C2073">
        <f>IF(AND('Month 08'!L364&lt;&gt;"",N('Month 08'!I364)&gt;0),'Month 08'!I364,"")</f>
        <v/>
      </c>
      <c r="D2073">
        <f>IF(C2073="","",IF(N('Month 08'!J364)&gt;0,'Month 08'!J364,1))</f>
        <v/>
      </c>
      <c r="E2073">
        <f>IF(OR(C2073="",D2073=""),"",IF(D2073=1,C2073,ROUND(C2073*(1+D2073/30),1)))</f>
        <v/>
      </c>
    </row>
    <row r="2074">
      <c r="A2074">
        <f>'Month 08'!B344</f>
        <v/>
      </c>
      <c r="B2074" t="inlineStr">
        <is>
          <t>Triceps Pushdown</t>
        </is>
      </c>
      <c r="C2074">
        <f>IF(AND('Month 08'!L365&lt;&gt;"",N('Month 08'!I365)&gt;0),'Month 08'!I365,"")</f>
        <v/>
      </c>
      <c r="D2074">
        <f>IF(C2074="","",IF(N('Month 08'!J365)&gt;0,'Month 08'!J365,1))</f>
        <v/>
      </c>
      <c r="E2074">
        <f>IF(OR(C2074="",D2074=""),"",IF(D2074=1,C2074,ROUND(C2074*(1+D2074/30),1)))</f>
        <v/>
      </c>
    </row>
    <row r="2075">
      <c r="A2075">
        <f>'Month 09'!B7</f>
        <v/>
      </c>
      <c r="B2075" t="inlineStr">
        <is>
          <t>Box Jump</t>
        </is>
      </c>
      <c r="C2075">
        <f>IF(AND('Month 09'!L9&lt;&gt;"",N('Month 09'!I9)&gt;0),'Month 09'!I9,"")</f>
        <v/>
      </c>
      <c r="D2075">
        <f>IF(C2075="","",IF(N('Month 09'!J9)&gt;0,'Month 09'!J9,1))</f>
        <v/>
      </c>
      <c r="E2075">
        <f>IF(OR(C2075="",D2075=""),"",IF(D2075=1,C2075,ROUND(C2075*(1+D2075/30),1)))</f>
        <v/>
      </c>
    </row>
    <row r="2076">
      <c r="A2076">
        <f>'Month 09'!B7</f>
        <v/>
      </c>
      <c r="B2076" t="inlineStr">
        <is>
          <t>Box Jump</t>
        </is>
      </c>
      <c r="C2076">
        <f>IF(AND('Month 09'!L10&lt;&gt;"",N('Month 09'!I10)&gt;0),'Month 09'!I10,"")</f>
        <v/>
      </c>
      <c r="D2076">
        <f>IF(C2076="","",IF(N('Month 09'!J10)&gt;0,'Month 09'!J10,1))</f>
        <v/>
      </c>
      <c r="E2076">
        <f>IF(OR(C2076="",D2076=""),"",IF(D2076=1,C2076,ROUND(C2076*(1+D2076/30),1)))</f>
        <v/>
      </c>
    </row>
    <row r="2077">
      <c r="A2077">
        <f>'Month 09'!B7</f>
        <v/>
      </c>
      <c r="B2077" t="inlineStr">
        <is>
          <t>Box Jump</t>
        </is>
      </c>
      <c r="C2077">
        <f>IF(AND('Month 09'!L11&lt;&gt;"",N('Month 09'!I11)&gt;0),'Month 09'!I11,"")</f>
        <v/>
      </c>
      <c r="D2077">
        <f>IF(C2077="","",IF(N('Month 09'!J11)&gt;0,'Month 09'!J11,1))</f>
        <v/>
      </c>
      <c r="E2077">
        <f>IF(OR(C2077="",D2077=""),"",IF(D2077=1,C2077,ROUND(C2077*(1+D2077/30),1)))</f>
        <v/>
      </c>
    </row>
    <row r="2078">
      <c r="A2078">
        <f>'Month 09'!B7</f>
        <v/>
      </c>
      <c r="B2078" t="inlineStr">
        <is>
          <t>Snatch</t>
        </is>
      </c>
      <c r="C2078">
        <f>IF(AND('Month 09'!L13&lt;&gt;"",N('Month 09'!I13)&gt;0),'Month 09'!I13,"")</f>
        <v/>
      </c>
      <c r="D2078">
        <f>IF(C2078="","",IF(N('Month 09'!J13)&gt;0,'Month 09'!J13,1))</f>
        <v/>
      </c>
      <c r="E2078">
        <f>IF(OR(C2078="",D2078=""),"",IF(D2078=1,C2078,ROUND(C2078*(1+D2078/30),1)))</f>
        <v/>
      </c>
    </row>
    <row r="2079">
      <c r="A2079">
        <f>'Month 09'!B7</f>
        <v/>
      </c>
      <c r="B2079" t="inlineStr">
        <is>
          <t>Snatch</t>
        </is>
      </c>
      <c r="C2079">
        <f>IF(AND('Month 09'!L14&lt;&gt;"",N('Month 09'!I14)&gt;0),'Month 09'!I14,"")</f>
        <v/>
      </c>
      <c r="D2079">
        <f>IF(C2079="","",IF(N('Month 09'!J14)&gt;0,'Month 09'!J14,1))</f>
        <v/>
      </c>
      <c r="E2079">
        <f>IF(OR(C2079="",D2079=""),"",IF(D2079=1,C2079,ROUND(C2079*(1+D2079/30),1)))</f>
        <v/>
      </c>
    </row>
    <row r="2080">
      <c r="A2080">
        <f>'Month 09'!B7</f>
        <v/>
      </c>
      <c r="B2080" t="inlineStr">
        <is>
          <t>Snatch</t>
        </is>
      </c>
      <c r="C2080">
        <f>IF(AND('Month 09'!L15&lt;&gt;"",N('Month 09'!I15)&gt;0),'Month 09'!I15,"")</f>
        <v/>
      </c>
      <c r="D2080">
        <f>IF(C2080="","",IF(N('Month 09'!J15)&gt;0,'Month 09'!J15,1))</f>
        <v/>
      </c>
      <c r="E2080">
        <f>IF(OR(C2080="",D2080=""),"",IF(D2080=1,C2080,ROUND(C2080*(1+D2080/30),1)))</f>
        <v/>
      </c>
    </row>
    <row r="2081">
      <c r="A2081">
        <f>'Month 09'!B7</f>
        <v/>
      </c>
      <c r="B2081" t="inlineStr">
        <is>
          <t>Snatch</t>
        </is>
      </c>
      <c r="C2081">
        <f>IF(AND('Month 09'!L16&lt;&gt;"",N('Month 09'!I16)&gt;0),'Month 09'!I16,"")</f>
        <v/>
      </c>
      <c r="D2081">
        <f>IF(C2081="","",IF(N('Month 09'!J16)&gt;0,'Month 09'!J16,1))</f>
        <v/>
      </c>
      <c r="E2081">
        <f>IF(OR(C2081="",D2081=""),"",IF(D2081=1,C2081,ROUND(C2081*(1+D2081/30),1)))</f>
        <v/>
      </c>
    </row>
    <row r="2082">
      <c r="A2082">
        <f>'Month 09'!B7</f>
        <v/>
      </c>
      <c r="B2082" t="inlineStr">
        <is>
          <t>Snatch</t>
        </is>
      </c>
      <c r="C2082">
        <f>IF(AND('Month 09'!L17&lt;&gt;"",N('Month 09'!I17)&gt;0),'Month 09'!I17,"")</f>
        <v/>
      </c>
      <c r="D2082">
        <f>IF(C2082="","",IF(N('Month 09'!J17)&gt;0,'Month 09'!J17,1))</f>
        <v/>
      </c>
      <c r="E2082">
        <f>IF(OR(C2082="",D2082=""),"",IF(D2082=1,C2082,ROUND(C2082*(1+D2082/30),1)))</f>
        <v/>
      </c>
    </row>
    <row r="2083">
      <c r="A2083">
        <f>'Month 09'!B7</f>
        <v/>
      </c>
      <c r="B2083" t="inlineStr">
        <is>
          <t>Squat</t>
        </is>
      </c>
      <c r="C2083">
        <f>IF(AND('Month 09'!L19&lt;&gt;"",N('Month 09'!I19)&gt;0),'Month 09'!I19,"")</f>
        <v/>
      </c>
      <c r="D2083">
        <f>IF(C2083="","",IF(N('Month 09'!J19)&gt;0,'Month 09'!J19,1))</f>
        <v/>
      </c>
      <c r="E2083">
        <f>IF(OR(C2083="",D2083=""),"",IF(D2083=1,C2083,ROUND(C2083*(1+D2083/30),1)))</f>
        <v/>
      </c>
    </row>
    <row r="2084">
      <c r="A2084">
        <f>'Month 09'!B7</f>
        <v/>
      </c>
      <c r="B2084" t="inlineStr">
        <is>
          <t>Squat</t>
        </is>
      </c>
      <c r="C2084">
        <f>IF(AND('Month 09'!L20&lt;&gt;"",N('Month 09'!I20)&gt;0),'Month 09'!I20,"")</f>
        <v/>
      </c>
      <c r="D2084">
        <f>IF(C2084="","",IF(N('Month 09'!J20)&gt;0,'Month 09'!J20,1))</f>
        <v/>
      </c>
      <c r="E2084">
        <f>IF(OR(C2084="",D2084=""),"",IF(D2084=1,C2084,ROUND(C2084*(1+D2084/30),1)))</f>
        <v/>
      </c>
    </row>
    <row r="2085">
      <c r="A2085">
        <f>'Month 09'!B7</f>
        <v/>
      </c>
      <c r="B2085" t="inlineStr">
        <is>
          <t>Squat</t>
        </is>
      </c>
      <c r="C2085">
        <f>IF(AND('Month 09'!L21&lt;&gt;"",N('Month 09'!I21)&gt;0),'Month 09'!I21,"")</f>
        <v/>
      </c>
      <c r="D2085">
        <f>IF(C2085="","",IF(N('Month 09'!J21)&gt;0,'Month 09'!J21,1))</f>
        <v/>
      </c>
      <c r="E2085">
        <f>IF(OR(C2085="",D2085=""),"",IF(D2085=1,C2085,ROUND(C2085*(1+D2085/30),1)))</f>
        <v/>
      </c>
    </row>
    <row r="2086">
      <c r="A2086">
        <f>'Month 09'!B7</f>
        <v/>
      </c>
      <c r="B2086" t="inlineStr">
        <is>
          <t>Squat</t>
        </is>
      </c>
      <c r="C2086">
        <f>IF(AND('Month 09'!L22&lt;&gt;"",N('Month 09'!I22)&gt;0),'Month 09'!I22,"")</f>
        <v/>
      </c>
      <c r="D2086">
        <f>IF(C2086="","",IF(N('Month 09'!J22)&gt;0,'Month 09'!J22,1))</f>
        <v/>
      </c>
      <c r="E2086">
        <f>IF(OR(C2086="",D2086=""),"",IF(D2086=1,C2086,ROUND(C2086*(1+D2086/30),1)))</f>
        <v/>
      </c>
    </row>
    <row r="2087">
      <c r="A2087">
        <f>'Month 09'!B7</f>
        <v/>
      </c>
      <c r="B2087" t="inlineStr">
        <is>
          <t>Squat</t>
        </is>
      </c>
      <c r="C2087">
        <f>IF(AND('Month 09'!L23&lt;&gt;"",N('Month 09'!I23)&gt;0),'Month 09'!I23,"")</f>
        <v/>
      </c>
      <c r="D2087">
        <f>IF(C2087="","",IF(N('Month 09'!J23)&gt;0,'Month 09'!J23,1))</f>
        <v/>
      </c>
      <c r="E2087">
        <f>IF(OR(C2087="",D2087=""),"",IF(D2087=1,C2087,ROUND(C2087*(1+D2087/30),1)))</f>
        <v/>
      </c>
    </row>
    <row r="2088">
      <c r="A2088">
        <f>'Month 09'!B7</f>
        <v/>
      </c>
      <c r="B2088" t="inlineStr">
        <is>
          <t>Bench Press</t>
        </is>
      </c>
      <c r="C2088">
        <f>IF(AND('Month 09'!L25&lt;&gt;"",N('Month 09'!I25)&gt;0),'Month 09'!I25,"")</f>
        <v/>
      </c>
      <c r="D2088">
        <f>IF(C2088="","",IF(N('Month 09'!J25)&gt;0,'Month 09'!J25,1))</f>
        <v/>
      </c>
      <c r="E2088">
        <f>IF(OR(C2088="",D2088=""),"",IF(D2088=1,C2088,ROUND(C2088*(1+D2088/30),1)))</f>
        <v/>
      </c>
    </row>
    <row r="2089">
      <c r="A2089">
        <f>'Month 09'!B7</f>
        <v/>
      </c>
      <c r="B2089" t="inlineStr">
        <is>
          <t>Bench Press</t>
        </is>
      </c>
      <c r="C2089">
        <f>IF(AND('Month 09'!L26&lt;&gt;"",N('Month 09'!I26)&gt;0),'Month 09'!I26,"")</f>
        <v/>
      </c>
      <c r="D2089">
        <f>IF(C2089="","",IF(N('Month 09'!J26)&gt;0,'Month 09'!J26,1))</f>
        <v/>
      </c>
      <c r="E2089">
        <f>IF(OR(C2089="",D2089=""),"",IF(D2089=1,C2089,ROUND(C2089*(1+D2089/30),1)))</f>
        <v/>
      </c>
    </row>
    <row r="2090">
      <c r="A2090">
        <f>'Month 09'!B7</f>
        <v/>
      </c>
      <c r="B2090" t="inlineStr">
        <is>
          <t>Bench Press</t>
        </is>
      </c>
      <c r="C2090">
        <f>IF(AND('Month 09'!L27&lt;&gt;"",N('Month 09'!I27)&gt;0),'Month 09'!I27,"")</f>
        <v/>
      </c>
      <c r="D2090">
        <f>IF(C2090="","",IF(N('Month 09'!J27)&gt;0,'Month 09'!J27,1))</f>
        <v/>
      </c>
      <c r="E2090">
        <f>IF(OR(C2090="",D2090=""),"",IF(D2090=1,C2090,ROUND(C2090*(1+D2090/30),1)))</f>
        <v/>
      </c>
    </row>
    <row r="2091">
      <c r="A2091">
        <f>'Month 09'!B7</f>
        <v/>
      </c>
      <c r="B2091" t="inlineStr">
        <is>
          <t>Bench Press</t>
        </is>
      </c>
      <c r="C2091">
        <f>IF(AND('Month 09'!L28&lt;&gt;"",N('Month 09'!I28)&gt;0),'Month 09'!I28,"")</f>
        <v/>
      </c>
      <c r="D2091">
        <f>IF(C2091="","",IF(N('Month 09'!J28)&gt;0,'Month 09'!J28,1))</f>
        <v/>
      </c>
      <c r="E2091">
        <f>IF(OR(C2091="",D2091=""),"",IF(D2091=1,C2091,ROUND(C2091*(1+D2091/30),1)))</f>
        <v/>
      </c>
    </row>
    <row r="2092">
      <c r="A2092">
        <f>'Month 09'!B7</f>
        <v/>
      </c>
      <c r="B2092" t="inlineStr">
        <is>
          <t>Bench Press</t>
        </is>
      </c>
      <c r="C2092">
        <f>IF(AND('Month 09'!L29&lt;&gt;"",N('Month 09'!I29)&gt;0),'Month 09'!I29,"")</f>
        <v/>
      </c>
      <c r="D2092">
        <f>IF(C2092="","",IF(N('Month 09'!J29)&gt;0,'Month 09'!J29,1))</f>
        <v/>
      </c>
      <c r="E2092">
        <f>IF(OR(C2092="",D2092=""),"",IF(D2092=1,C2092,ROUND(C2092*(1+D2092/30),1)))</f>
        <v/>
      </c>
    </row>
    <row r="2093">
      <c r="A2093">
        <f>'Month 09'!B7</f>
        <v/>
      </c>
      <c r="B2093" t="inlineStr">
        <is>
          <t>Barbell Row</t>
        </is>
      </c>
      <c r="C2093">
        <f>IF(AND('Month 09'!L31&lt;&gt;"",N('Month 09'!I31)&gt;0),'Month 09'!I31,"")</f>
        <v/>
      </c>
      <c r="D2093">
        <f>IF(C2093="","",IF(N('Month 09'!J31)&gt;0,'Month 09'!J31,1))</f>
        <v/>
      </c>
      <c r="E2093">
        <f>IF(OR(C2093="",D2093=""),"",IF(D2093=1,C2093,ROUND(C2093*(1+D2093/30),1)))</f>
        <v/>
      </c>
    </row>
    <row r="2094">
      <c r="A2094">
        <f>'Month 09'!B7</f>
        <v/>
      </c>
      <c r="B2094" t="inlineStr">
        <is>
          <t>Barbell Row</t>
        </is>
      </c>
      <c r="C2094">
        <f>IF(AND('Month 09'!L32&lt;&gt;"",N('Month 09'!I32)&gt;0),'Month 09'!I32,"")</f>
        <v/>
      </c>
      <c r="D2094">
        <f>IF(C2094="","",IF(N('Month 09'!J32)&gt;0,'Month 09'!J32,1))</f>
        <v/>
      </c>
      <c r="E2094">
        <f>IF(OR(C2094="",D2094=""),"",IF(D2094=1,C2094,ROUND(C2094*(1+D2094/30),1)))</f>
        <v/>
      </c>
    </row>
    <row r="2095">
      <c r="A2095">
        <f>'Month 09'!B7</f>
        <v/>
      </c>
      <c r="B2095" t="inlineStr">
        <is>
          <t>Barbell Row</t>
        </is>
      </c>
      <c r="C2095">
        <f>IF(AND('Month 09'!L33&lt;&gt;"",N('Month 09'!I33)&gt;0),'Month 09'!I33,"")</f>
        <v/>
      </c>
      <c r="D2095">
        <f>IF(C2095="","",IF(N('Month 09'!J33)&gt;0,'Month 09'!J33,1))</f>
        <v/>
      </c>
      <c r="E2095">
        <f>IF(OR(C2095="",D2095=""),"",IF(D2095=1,C2095,ROUND(C2095*(1+D2095/30),1)))</f>
        <v/>
      </c>
    </row>
    <row r="2096">
      <c r="A2096">
        <f>'Month 09'!B7</f>
        <v/>
      </c>
      <c r="B2096" t="inlineStr">
        <is>
          <t>Face Pull</t>
        </is>
      </c>
      <c r="C2096">
        <f>IF(AND('Month 09'!L35&lt;&gt;"",N('Month 09'!I35)&gt;0),'Month 09'!I35,"")</f>
        <v/>
      </c>
      <c r="D2096">
        <f>IF(C2096="","",IF(N('Month 09'!J35)&gt;0,'Month 09'!J35,1))</f>
        <v/>
      </c>
      <c r="E2096">
        <f>IF(OR(C2096="",D2096=""),"",IF(D2096=1,C2096,ROUND(C2096*(1+D2096/30),1)))</f>
        <v/>
      </c>
    </row>
    <row r="2097">
      <c r="A2097">
        <f>'Month 09'!B7</f>
        <v/>
      </c>
      <c r="B2097" t="inlineStr">
        <is>
          <t>Face Pull</t>
        </is>
      </c>
      <c r="C2097">
        <f>IF(AND('Month 09'!L36&lt;&gt;"",N('Month 09'!I36)&gt;0),'Month 09'!I36,"")</f>
        <v/>
      </c>
      <c r="D2097">
        <f>IF(C2097="","",IF(N('Month 09'!J36)&gt;0,'Month 09'!J36,1))</f>
        <v/>
      </c>
      <c r="E2097">
        <f>IF(OR(C2097="",D2097=""),"",IF(D2097=1,C2097,ROUND(C2097*(1+D2097/30),1)))</f>
        <v/>
      </c>
    </row>
    <row r="2098">
      <c r="A2098">
        <f>'Month 09'!B7</f>
        <v/>
      </c>
      <c r="B2098" t="inlineStr">
        <is>
          <t>Face Pull</t>
        </is>
      </c>
      <c r="C2098">
        <f>IF(AND('Month 09'!L37&lt;&gt;"",N('Month 09'!I37)&gt;0),'Month 09'!I37,"")</f>
        <v/>
      </c>
      <c r="D2098">
        <f>IF(C2098="","",IF(N('Month 09'!J37)&gt;0,'Month 09'!J37,1))</f>
        <v/>
      </c>
      <c r="E2098">
        <f>IF(OR(C2098="",D2098=""),"",IF(D2098=1,C2098,ROUND(C2098*(1+D2098/30),1)))</f>
        <v/>
      </c>
    </row>
    <row r="2099">
      <c r="A2099">
        <f>'Month 09'!B38</f>
        <v/>
      </c>
      <c r="B2099" t="inlineStr">
        <is>
          <t>Broad Jump</t>
        </is>
      </c>
      <c r="C2099">
        <f>IF(AND('Month 09'!L40&lt;&gt;"",N('Month 09'!I40)&gt;0),'Month 09'!I40,"")</f>
        <v/>
      </c>
      <c r="D2099">
        <f>IF(C2099="","",IF(N('Month 09'!J40)&gt;0,'Month 09'!J40,1))</f>
        <v/>
      </c>
      <c r="E2099">
        <f>IF(OR(C2099="",D2099=""),"",IF(D2099=1,C2099,ROUND(C2099*(1+D2099/30),1)))</f>
        <v/>
      </c>
    </row>
    <row r="2100">
      <c r="A2100">
        <f>'Month 09'!B38</f>
        <v/>
      </c>
      <c r="B2100" t="inlineStr">
        <is>
          <t>Broad Jump</t>
        </is>
      </c>
      <c r="C2100">
        <f>IF(AND('Month 09'!L41&lt;&gt;"",N('Month 09'!I41)&gt;0),'Month 09'!I41,"")</f>
        <v/>
      </c>
      <c r="D2100">
        <f>IF(C2100="","",IF(N('Month 09'!J41)&gt;0,'Month 09'!J41,1))</f>
        <v/>
      </c>
      <c r="E2100">
        <f>IF(OR(C2100="",D2100=""),"",IF(D2100=1,C2100,ROUND(C2100*(1+D2100/30),1)))</f>
        <v/>
      </c>
    </row>
    <row r="2101">
      <c r="A2101">
        <f>'Month 09'!B38</f>
        <v/>
      </c>
      <c r="B2101" t="inlineStr">
        <is>
          <t>Broad Jump</t>
        </is>
      </c>
      <c r="C2101">
        <f>IF(AND('Month 09'!L42&lt;&gt;"",N('Month 09'!I42)&gt;0),'Month 09'!I42,"")</f>
        <v/>
      </c>
      <c r="D2101">
        <f>IF(C2101="","",IF(N('Month 09'!J42)&gt;0,'Month 09'!J42,1))</f>
        <v/>
      </c>
      <c r="E2101">
        <f>IF(OR(C2101="",D2101=""),"",IF(D2101=1,C2101,ROUND(C2101*(1+D2101/30),1)))</f>
        <v/>
      </c>
    </row>
    <row r="2102">
      <c r="A2102">
        <f>'Month 09'!B38</f>
        <v/>
      </c>
      <c r="B2102" t="inlineStr">
        <is>
          <t>Med Ball Chest Pass</t>
        </is>
      </c>
      <c r="C2102">
        <f>IF(AND('Month 09'!L44&lt;&gt;"",N('Month 09'!I44)&gt;0),'Month 09'!I44,"")</f>
        <v/>
      </c>
      <c r="D2102">
        <f>IF(C2102="","",IF(N('Month 09'!J44)&gt;0,'Month 09'!J44,1))</f>
        <v/>
      </c>
      <c r="E2102">
        <f>IF(OR(C2102="",D2102=""),"",IF(D2102=1,C2102,ROUND(C2102*(1+D2102/30),1)))</f>
        <v/>
      </c>
    </row>
    <row r="2103">
      <c r="A2103">
        <f>'Month 09'!B38</f>
        <v/>
      </c>
      <c r="B2103" t="inlineStr">
        <is>
          <t>Med Ball Chest Pass</t>
        </is>
      </c>
      <c r="C2103">
        <f>IF(AND('Month 09'!L45&lt;&gt;"",N('Month 09'!I45)&gt;0),'Month 09'!I45,"")</f>
        <v/>
      </c>
      <c r="D2103">
        <f>IF(C2103="","",IF(N('Month 09'!J45)&gt;0,'Month 09'!J45,1))</f>
        <v/>
      </c>
      <c r="E2103">
        <f>IF(OR(C2103="",D2103=""),"",IF(D2103=1,C2103,ROUND(C2103*(1+D2103/30),1)))</f>
        <v/>
      </c>
    </row>
    <row r="2104">
      <c r="A2104">
        <f>'Month 09'!B38</f>
        <v/>
      </c>
      <c r="B2104" t="inlineStr">
        <is>
          <t>Clean &amp; Jerk</t>
        </is>
      </c>
      <c r="C2104">
        <f>IF(AND('Month 09'!L47&lt;&gt;"",N('Month 09'!I47)&gt;0),'Month 09'!I47,"")</f>
        <v/>
      </c>
      <c r="D2104">
        <f>IF(C2104="","",IF(N('Month 09'!J47)&gt;0,'Month 09'!J47,1))</f>
        <v/>
      </c>
      <c r="E2104">
        <f>IF(OR(C2104="",D2104=""),"",IF(D2104=1,C2104,ROUND(C2104*(1+D2104/30),1)))</f>
        <v/>
      </c>
    </row>
    <row r="2105">
      <c r="A2105">
        <f>'Month 09'!B38</f>
        <v/>
      </c>
      <c r="B2105" t="inlineStr">
        <is>
          <t>Clean &amp; Jerk</t>
        </is>
      </c>
      <c r="C2105">
        <f>IF(AND('Month 09'!L48&lt;&gt;"",N('Month 09'!I48)&gt;0),'Month 09'!I48,"")</f>
        <v/>
      </c>
      <c r="D2105">
        <f>IF(C2105="","",IF(N('Month 09'!J48)&gt;0,'Month 09'!J48,1))</f>
        <v/>
      </c>
      <c r="E2105">
        <f>IF(OR(C2105="",D2105=""),"",IF(D2105=1,C2105,ROUND(C2105*(1+D2105/30),1)))</f>
        <v/>
      </c>
    </row>
    <row r="2106">
      <c r="A2106">
        <f>'Month 09'!B38</f>
        <v/>
      </c>
      <c r="B2106" t="inlineStr">
        <is>
          <t>Clean &amp; Jerk</t>
        </is>
      </c>
      <c r="C2106">
        <f>IF(AND('Month 09'!L49&lt;&gt;"",N('Month 09'!I49)&gt;0),'Month 09'!I49,"")</f>
        <v/>
      </c>
      <c r="D2106">
        <f>IF(C2106="","",IF(N('Month 09'!J49)&gt;0,'Month 09'!J49,1))</f>
        <v/>
      </c>
      <c r="E2106">
        <f>IF(OR(C2106="",D2106=""),"",IF(D2106=1,C2106,ROUND(C2106*(1+D2106/30),1)))</f>
        <v/>
      </c>
    </row>
    <row r="2107">
      <c r="A2107">
        <f>'Month 09'!B38</f>
        <v/>
      </c>
      <c r="B2107" t="inlineStr">
        <is>
          <t>Clean &amp; Jerk</t>
        </is>
      </c>
      <c r="C2107">
        <f>IF(AND('Month 09'!L50&lt;&gt;"",N('Month 09'!I50)&gt;0),'Month 09'!I50,"")</f>
        <v/>
      </c>
      <c r="D2107">
        <f>IF(C2107="","",IF(N('Month 09'!J50)&gt;0,'Month 09'!J50,1))</f>
        <v/>
      </c>
      <c r="E2107">
        <f>IF(OR(C2107="",D2107=""),"",IF(D2107=1,C2107,ROUND(C2107*(1+D2107/30),1)))</f>
        <v/>
      </c>
    </row>
    <row r="2108">
      <c r="A2108">
        <f>'Month 09'!B38</f>
        <v/>
      </c>
      <c r="B2108" t="inlineStr">
        <is>
          <t>Clean &amp; Jerk</t>
        </is>
      </c>
      <c r="C2108">
        <f>IF(AND('Month 09'!L51&lt;&gt;"",N('Month 09'!I51)&gt;0),'Month 09'!I51,"")</f>
        <v/>
      </c>
      <c r="D2108">
        <f>IF(C2108="","",IF(N('Month 09'!J51)&gt;0,'Month 09'!J51,1))</f>
        <v/>
      </c>
      <c r="E2108">
        <f>IF(OR(C2108="",D2108=""),"",IF(D2108=1,C2108,ROUND(C2108*(1+D2108/30),1)))</f>
        <v/>
      </c>
    </row>
    <row r="2109">
      <c r="A2109">
        <f>'Month 09'!B38</f>
        <v/>
      </c>
      <c r="B2109" t="inlineStr">
        <is>
          <t>Squat</t>
        </is>
      </c>
      <c r="C2109">
        <f>IF(AND('Month 09'!L53&lt;&gt;"",N('Month 09'!I53)&gt;0),'Month 09'!I53,"")</f>
        <v/>
      </c>
      <c r="D2109">
        <f>IF(C2109="","",IF(N('Month 09'!J53)&gt;0,'Month 09'!J53,1))</f>
        <v/>
      </c>
      <c r="E2109">
        <f>IF(OR(C2109="",D2109=""),"",IF(D2109=1,C2109,ROUND(C2109*(1+D2109/30),1)))</f>
        <v/>
      </c>
    </row>
    <row r="2110">
      <c r="A2110">
        <f>'Month 09'!B38</f>
        <v/>
      </c>
      <c r="B2110" t="inlineStr">
        <is>
          <t>Squat</t>
        </is>
      </c>
      <c r="C2110">
        <f>IF(AND('Month 09'!L54&lt;&gt;"",N('Month 09'!I54)&gt;0),'Month 09'!I54,"")</f>
        <v/>
      </c>
      <c r="D2110">
        <f>IF(C2110="","",IF(N('Month 09'!J54)&gt;0,'Month 09'!J54,1))</f>
        <v/>
      </c>
      <c r="E2110">
        <f>IF(OR(C2110="",D2110=""),"",IF(D2110=1,C2110,ROUND(C2110*(1+D2110/30),1)))</f>
        <v/>
      </c>
    </row>
    <row r="2111">
      <c r="A2111">
        <f>'Month 09'!B38</f>
        <v/>
      </c>
      <c r="B2111" t="inlineStr">
        <is>
          <t>Squat</t>
        </is>
      </c>
      <c r="C2111">
        <f>IF(AND('Month 09'!L55&lt;&gt;"",N('Month 09'!I55)&gt;0),'Month 09'!I55,"")</f>
        <v/>
      </c>
      <c r="D2111">
        <f>IF(C2111="","",IF(N('Month 09'!J55)&gt;0,'Month 09'!J55,1))</f>
        <v/>
      </c>
      <c r="E2111">
        <f>IF(OR(C2111="",D2111=""),"",IF(D2111=1,C2111,ROUND(C2111*(1+D2111/30),1)))</f>
        <v/>
      </c>
    </row>
    <row r="2112">
      <c r="A2112">
        <f>'Month 09'!B38</f>
        <v/>
      </c>
      <c r="B2112" t="inlineStr">
        <is>
          <t>Squat</t>
        </is>
      </c>
      <c r="C2112">
        <f>IF(AND('Month 09'!L56&lt;&gt;"",N('Month 09'!I56)&gt;0),'Month 09'!I56,"")</f>
        <v/>
      </c>
      <c r="D2112">
        <f>IF(C2112="","",IF(N('Month 09'!J56)&gt;0,'Month 09'!J56,1))</f>
        <v/>
      </c>
      <c r="E2112">
        <f>IF(OR(C2112="",D2112=""),"",IF(D2112=1,C2112,ROUND(C2112*(1+D2112/30),1)))</f>
        <v/>
      </c>
    </row>
    <row r="2113">
      <c r="A2113">
        <f>'Month 09'!B38</f>
        <v/>
      </c>
      <c r="B2113" t="inlineStr">
        <is>
          <t>Overhead Press</t>
        </is>
      </c>
      <c r="C2113">
        <f>IF(AND('Month 09'!L58&lt;&gt;"",N('Month 09'!I58)&gt;0),'Month 09'!I58,"")</f>
        <v/>
      </c>
      <c r="D2113">
        <f>IF(C2113="","",IF(N('Month 09'!J58)&gt;0,'Month 09'!J58,1))</f>
        <v/>
      </c>
      <c r="E2113">
        <f>IF(OR(C2113="",D2113=""),"",IF(D2113=1,C2113,ROUND(C2113*(1+D2113/30),1)))</f>
        <v/>
      </c>
    </row>
    <row r="2114">
      <c r="A2114">
        <f>'Month 09'!B38</f>
        <v/>
      </c>
      <c r="B2114" t="inlineStr">
        <is>
          <t>Overhead Press</t>
        </is>
      </c>
      <c r="C2114">
        <f>IF(AND('Month 09'!L59&lt;&gt;"",N('Month 09'!I59)&gt;0),'Month 09'!I59,"")</f>
        <v/>
      </c>
      <c r="D2114">
        <f>IF(C2114="","",IF(N('Month 09'!J59)&gt;0,'Month 09'!J59,1))</f>
        <v/>
      </c>
      <c r="E2114">
        <f>IF(OR(C2114="",D2114=""),"",IF(D2114=1,C2114,ROUND(C2114*(1+D2114/30),1)))</f>
        <v/>
      </c>
    </row>
    <row r="2115">
      <c r="A2115">
        <f>'Month 09'!B38</f>
        <v/>
      </c>
      <c r="B2115" t="inlineStr">
        <is>
          <t>Overhead Press</t>
        </is>
      </c>
      <c r="C2115">
        <f>IF(AND('Month 09'!L60&lt;&gt;"",N('Month 09'!I60)&gt;0),'Month 09'!I60,"")</f>
        <v/>
      </c>
      <c r="D2115">
        <f>IF(C2115="","",IF(N('Month 09'!J60)&gt;0,'Month 09'!J60,1))</f>
        <v/>
      </c>
      <c r="E2115">
        <f>IF(OR(C2115="",D2115=""),"",IF(D2115=1,C2115,ROUND(C2115*(1+D2115/30),1)))</f>
        <v/>
      </c>
    </row>
    <row r="2116">
      <c r="A2116">
        <f>'Month 09'!B38</f>
        <v/>
      </c>
      <c r="B2116" t="inlineStr">
        <is>
          <t>Overhead Press</t>
        </is>
      </c>
      <c r="C2116">
        <f>IF(AND('Month 09'!L61&lt;&gt;"",N('Month 09'!I61)&gt;0),'Month 09'!I61,"")</f>
        <v/>
      </c>
      <c r="D2116">
        <f>IF(C2116="","",IF(N('Month 09'!J61)&gt;0,'Month 09'!J61,1))</f>
        <v/>
      </c>
      <c r="E2116">
        <f>IF(OR(C2116="",D2116=""),"",IF(D2116=1,C2116,ROUND(C2116*(1+D2116/30),1)))</f>
        <v/>
      </c>
    </row>
    <row r="2117">
      <c r="A2117">
        <f>'Month 09'!B38</f>
        <v/>
      </c>
      <c r="B2117" t="inlineStr">
        <is>
          <t>Deadlift</t>
        </is>
      </c>
      <c r="C2117">
        <f>IF(AND('Month 09'!L63&lt;&gt;"",N('Month 09'!I63)&gt;0),'Month 09'!I63,"")</f>
        <v/>
      </c>
      <c r="D2117">
        <f>IF(C2117="","",IF(N('Month 09'!J63)&gt;0,'Month 09'!J63,1))</f>
        <v/>
      </c>
      <c r="E2117">
        <f>IF(OR(C2117="",D2117=""),"",IF(D2117=1,C2117,ROUND(C2117*(1+D2117/30),1)))</f>
        <v/>
      </c>
    </row>
    <row r="2118">
      <c r="A2118">
        <f>'Month 09'!B38</f>
        <v/>
      </c>
      <c r="B2118" t="inlineStr">
        <is>
          <t>Deadlift</t>
        </is>
      </c>
      <c r="C2118">
        <f>IF(AND('Month 09'!L64&lt;&gt;"",N('Month 09'!I64)&gt;0),'Month 09'!I64,"")</f>
        <v/>
      </c>
      <c r="D2118">
        <f>IF(C2118="","",IF(N('Month 09'!J64)&gt;0,'Month 09'!J64,1))</f>
        <v/>
      </c>
      <c r="E2118">
        <f>IF(OR(C2118="",D2118=""),"",IF(D2118=1,C2118,ROUND(C2118*(1+D2118/30),1)))</f>
        <v/>
      </c>
    </row>
    <row r="2119">
      <c r="A2119">
        <f>'Month 09'!B38</f>
        <v/>
      </c>
      <c r="B2119" t="inlineStr">
        <is>
          <t>Deadlift</t>
        </is>
      </c>
      <c r="C2119">
        <f>IF(AND('Month 09'!L65&lt;&gt;"",N('Month 09'!I65)&gt;0),'Month 09'!I65,"")</f>
        <v/>
      </c>
      <c r="D2119">
        <f>IF(C2119="","",IF(N('Month 09'!J65)&gt;0,'Month 09'!J65,1))</f>
        <v/>
      </c>
      <c r="E2119">
        <f>IF(OR(C2119="",D2119=""),"",IF(D2119=1,C2119,ROUND(C2119*(1+D2119/30),1)))</f>
        <v/>
      </c>
    </row>
    <row r="2120">
      <c r="A2120">
        <f>'Month 09'!B38</f>
        <v/>
      </c>
      <c r="B2120" t="inlineStr">
        <is>
          <t>Chin-up</t>
        </is>
      </c>
      <c r="C2120">
        <f>IF(AND('Month 09'!L67&lt;&gt;"",N('Month 09'!I67)&gt;0),'Month 09'!I67,"")</f>
        <v/>
      </c>
      <c r="D2120">
        <f>IF(C2120="","",IF(N('Month 09'!J67)&gt;0,'Month 09'!J67,1))</f>
        <v/>
      </c>
      <c r="E2120">
        <f>IF(OR(C2120="",D2120=""),"",IF(D2120=1,C2120,ROUND(C2120*(1+D2120/30),1)))</f>
        <v/>
      </c>
    </row>
    <row r="2121">
      <c r="A2121">
        <f>'Month 09'!B38</f>
        <v/>
      </c>
      <c r="B2121" t="inlineStr">
        <is>
          <t>Chin-up</t>
        </is>
      </c>
      <c r="C2121">
        <f>IF(AND('Month 09'!L68&lt;&gt;"",N('Month 09'!I68)&gt;0),'Month 09'!I68,"")</f>
        <v/>
      </c>
      <c r="D2121">
        <f>IF(C2121="","",IF(N('Month 09'!J68)&gt;0,'Month 09'!J68,1))</f>
        <v/>
      </c>
      <c r="E2121">
        <f>IF(OR(C2121="",D2121=""),"",IF(D2121=1,C2121,ROUND(C2121*(1+D2121/30),1)))</f>
        <v/>
      </c>
    </row>
    <row r="2122">
      <c r="A2122">
        <f>'Month 09'!B38</f>
        <v/>
      </c>
      <c r="B2122" t="inlineStr">
        <is>
          <t>Chin-up</t>
        </is>
      </c>
      <c r="C2122">
        <f>IF(AND('Month 09'!L69&lt;&gt;"",N('Month 09'!I69)&gt;0),'Month 09'!I69,"")</f>
        <v/>
      </c>
      <c r="D2122">
        <f>IF(C2122="","",IF(N('Month 09'!J69)&gt;0,'Month 09'!J69,1))</f>
        <v/>
      </c>
      <c r="E2122">
        <f>IF(OR(C2122="",D2122=""),"",IF(D2122=1,C2122,ROUND(C2122*(1+D2122/30),1)))</f>
        <v/>
      </c>
    </row>
    <row r="2123">
      <c r="A2123">
        <f>'Month 09'!B38</f>
        <v/>
      </c>
      <c r="B2123" t="inlineStr">
        <is>
          <t>Plank</t>
        </is>
      </c>
      <c r="C2123">
        <f>IF(AND('Month 09'!L71&lt;&gt;"",N('Month 09'!I71)&gt;0),'Month 09'!I71,"")</f>
        <v/>
      </c>
      <c r="D2123">
        <f>IF(C2123="","",IF(N('Month 09'!J71)&gt;0,'Month 09'!J71,1))</f>
        <v/>
      </c>
      <c r="E2123">
        <f>IF(OR(C2123="",D2123=""),"",IF(D2123=1,C2123,ROUND(C2123*(1+D2123/30),1)))</f>
        <v/>
      </c>
    </row>
    <row r="2124">
      <c r="A2124">
        <f>'Month 09'!B38</f>
        <v/>
      </c>
      <c r="B2124" t="inlineStr">
        <is>
          <t>Plank</t>
        </is>
      </c>
      <c r="C2124">
        <f>IF(AND('Month 09'!L72&lt;&gt;"",N('Month 09'!I72)&gt;0),'Month 09'!I72,"")</f>
        <v/>
      </c>
      <c r="D2124">
        <f>IF(C2124="","",IF(N('Month 09'!J72)&gt;0,'Month 09'!J72,1))</f>
        <v/>
      </c>
      <c r="E2124">
        <f>IF(OR(C2124="",D2124=""),"",IF(D2124=1,C2124,ROUND(C2124*(1+D2124/30),1)))</f>
        <v/>
      </c>
    </row>
    <row r="2125">
      <c r="A2125">
        <f>'Month 09'!B38</f>
        <v/>
      </c>
      <c r="B2125" t="inlineStr">
        <is>
          <t>Plank</t>
        </is>
      </c>
      <c r="C2125">
        <f>IF(AND('Month 09'!L73&lt;&gt;"",N('Month 09'!I73)&gt;0),'Month 09'!I73,"")</f>
        <v/>
      </c>
      <c r="D2125">
        <f>IF(C2125="","",IF(N('Month 09'!J73)&gt;0,'Month 09'!J73,1))</f>
        <v/>
      </c>
      <c r="E2125">
        <f>IF(OR(C2125="",D2125=""),"",IF(D2125=1,C2125,ROUND(C2125*(1+D2125/30),1)))</f>
        <v/>
      </c>
    </row>
    <row r="2126">
      <c r="A2126">
        <f>'Month 09'!B74</f>
        <v/>
      </c>
      <c r="B2126" t="inlineStr">
        <is>
          <t>Vertical Jump</t>
        </is>
      </c>
      <c r="C2126">
        <f>IF(AND('Month 09'!L76&lt;&gt;"",N('Month 09'!I76)&gt;0),'Month 09'!I76,"")</f>
        <v/>
      </c>
      <c r="D2126">
        <f>IF(C2126="","",IF(N('Month 09'!J76)&gt;0,'Month 09'!J76,1))</f>
        <v/>
      </c>
      <c r="E2126">
        <f>IF(OR(C2126="",D2126=""),"",IF(D2126=1,C2126,ROUND(C2126*(1+D2126/30),1)))</f>
        <v/>
      </c>
    </row>
    <row r="2127">
      <c r="A2127">
        <f>'Month 09'!B74</f>
        <v/>
      </c>
      <c r="B2127" t="inlineStr">
        <is>
          <t>Vertical Jump</t>
        </is>
      </c>
      <c r="C2127">
        <f>IF(AND('Month 09'!L77&lt;&gt;"",N('Month 09'!I77)&gt;0),'Month 09'!I77,"")</f>
        <v/>
      </c>
      <c r="D2127">
        <f>IF(C2127="","",IF(N('Month 09'!J77)&gt;0,'Month 09'!J77,1))</f>
        <v/>
      </c>
      <c r="E2127">
        <f>IF(OR(C2127="",D2127=""),"",IF(D2127=1,C2127,ROUND(C2127*(1+D2127/30),1)))</f>
        <v/>
      </c>
    </row>
    <row r="2128">
      <c r="A2128">
        <f>'Month 09'!B74</f>
        <v/>
      </c>
      <c r="B2128" t="inlineStr">
        <is>
          <t>Vertical Jump</t>
        </is>
      </c>
      <c r="C2128">
        <f>IF(AND('Month 09'!L78&lt;&gt;"",N('Month 09'!I78)&gt;0),'Month 09'!I78,"")</f>
        <v/>
      </c>
      <c r="D2128">
        <f>IF(C2128="","",IF(N('Month 09'!J78)&gt;0,'Month 09'!J78,1))</f>
        <v/>
      </c>
      <c r="E2128">
        <f>IF(OR(C2128="",D2128=""),"",IF(D2128=1,C2128,ROUND(C2128*(1+D2128/30),1)))</f>
        <v/>
      </c>
    </row>
    <row r="2129">
      <c r="A2129">
        <f>'Month 09'!B74</f>
        <v/>
      </c>
      <c r="B2129" t="inlineStr">
        <is>
          <t>Power Snatch</t>
        </is>
      </c>
      <c r="C2129">
        <f>IF(AND('Month 09'!L80&lt;&gt;"",N('Month 09'!I80)&gt;0),'Month 09'!I80,"")</f>
        <v/>
      </c>
      <c r="D2129">
        <f>IF(C2129="","",IF(N('Month 09'!J80)&gt;0,'Month 09'!J80,1))</f>
        <v/>
      </c>
      <c r="E2129">
        <f>IF(OR(C2129="",D2129=""),"",IF(D2129=1,C2129,ROUND(C2129*(1+D2129/30),1)))</f>
        <v/>
      </c>
    </row>
    <row r="2130">
      <c r="A2130">
        <f>'Month 09'!B74</f>
        <v/>
      </c>
      <c r="B2130" t="inlineStr">
        <is>
          <t>Power Snatch</t>
        </is>
      </c>
      <c r="C2130">
        <f>IF(AND('Month 09'!L81&lt;&gt;"",N('Month 09'!I81)&gt;0),'Month 09'!I81,"")</f>
        <v/>
      </c>
      <c r="D2130">
        <f>IF(C2130="","",IF(N('Month 09'!J81)&gt;0,'Month 09'!J81,1))</f>
        <v/>
      </c>
      <c r="E2130">
        <f>IF(OR(C2130="",D2130=""),"",IF(D2130=1,C2130,ROUND(C2130*(1+D2130/30),1)))</f>
        <v/>
      </c>
    </row>
    <row r="2131">
      <c r="A2131">
        <f>'Month 09'!B74</f>
        <v/>
      </c>
      <c r="B2131" t="inlineStr">
        <is>
          <t>Power Snatch</t>
        </is>
      </c>
      <c r="C2131">
        <f>IF(AND('Month 09'!L82&lt;&gt;"",N('Month 09'!I82)&gt;0),'Month 09'!I82,"")</f>
        <v/>
      </c>
      <c r="D2131">
        <f>IF(C2131="","",IF(N('Month 09'!J82)&gt;0,'Month 09'!J82,1))</f>
        <v/>
      </c>
      <c r="E2131">
        <f>IF(OR(C2131="",D2131=""),"",IF(D2131=1,C2131,ROUND(C2131*(1+D2131/30),1)))</f>
        <v/>
      </c>
    </row>
    <row r="2132">
      <c r="A2132">
        <f>'Month 09'!B74</f>
        <v/>
      </c>
      <c r="B2132" t="inlineStr">
        <is>
          <t>Power Snatch</t>
        </is>
      </c>
      <c r="C2132">
        <f>IF(AND('Month 09'!L83&lt;&gt;"",N('Month 09'!I83)&gt;0),'Month 09'!I83,"")</f>
        <v/>
      </c>
      <c r="D2132">
        <f>IF(C2132="","",IF(N('Month 09'!J83)&gt;0,'Month 09'!J83,1))</f>
        <v/>
      </c>
      <c r="E2132">
        <f>IF(OR(C2132="",D2132=""),"",IF(D2132=1,C2132,ROUND(C2132*(1+D2132/30),1)))</f>
        <v/>
      </c>
    </row>
    <row r="2133">
      <c r="A2133">
        <f>'Month 09'!B74</f>
        <v/>
      </c>
      <c r="B2133" t="inlineStr">
        <is>
          <t>Safety Bar Squat</t>
        </is>
      </c>
      <c r="C2133">
        <f>IF(AND('Month 09'!L85&lt;&gt;"",N('Month 09'!I85)&gt;0),'Month 09'!I85,"")</f>
        <v/>
      </c>
      <c r="D2133">
        <f>IF(C2133="","",IF(N('Month 09'!J85)&gt;0,'Month 09'!J85,1))</f>
        <v/>
      </c>
      <c r="E2133">
        <f>IF(OR(C2133="",D2133=""),"",IF(D2133=1,C2133,ROUND(C2133*(1+D2133/30),1)))</f>
        <v/>
      </c>
    </row>
    <row r="2134">
      <c r="A2134">
        <f>'Month 09'!B74</f>
        <v/>
      </c>
      <c r="B2134" t="inlineStr">
        <is>
          <t>Safety Bar Squat</t>
        </is>
      </c>
      <c r="C2134">
        <f>IF(AND('Month 09'!L86&lt;&gt;"",N('Month 09'!I86)&gt;0),'Month 09'!I86,"")</f>
        <v/>
      </c>
      <c r="D2134">
        <f>IF(C2134="","",IF(N('Month 09'!J86)&gt;0,'Month 09'!J86,1))</f>
        <v/>
      </c>
      <c r="E2134">
        <f>IF(OR(C2134="",D2134=""),"",IF(D2134=1,C2134,ROUND(C2134*(1+D2134/30),1)))</f>
        <v/>
      </c>
    </row>
    <row r="2135">
      <c r="A2135">
        <f>'Month 09'!B74</f>
        <v/>
      </c>
      <c r="B2135" t="inlineStr">
        <is>
          <t>Safety Bar Squat</t>
        </is>
      </c>
      <c r="C2135">
        <f>IF(AND('Month 09'!L87&lt;&gt;"",N('Month 09'!I87)&gt;0),'Month 09'!I87,"")</f>
        <v/>
      </c>
      <c r="D2135">
        <f>IF(C2135="","",IF(N('Month 09'!J87)&gt;0,'Month 09'!J87,1))</f>
        <v/>
      </c>
      <c r="E2135">
        <f>IF(OR(C2135="",D2135=""),"",IF(D2135=1,C2135,ROUND(C2135*(1+D2135/30),1)))</f>
        <v/>
      </c>
    </row>
    <row r="2136">
      <c r="A2136">
        <f>'Month 09'!B74</f>
        <v/>
      </c>
      <c r="B2136" t="inlineStr">
        <is>
          <t>Safety Bar Squat</t>
        </is>
      </c>
      <c r="C2136">
        <f>IF(AND('Month 09'!L88&lt;&gt;"",N('Month 09'!I88)&gt;0),'Month 09'!I88,"")</f>
        <v/>
      </c>
      <c r="D2136">
        <f>IF(C2136="","",IF(N('Month 09'!J88)&gt;0,'Month 09'!J88,1))</f>
        <v/>
      </c>
      <c r="E2136">
        <f>IF(OR(C2136="",D2136=""),"",IF(D2136=1,C2136,ROUND(C2136*(1+D2136/30),1)))</f>
        <v/>
      </c>
    </row>
    <row r="2137">
      <c r="A2137">
        <f>'Month 09'!B74</f>
        <v/>
      </c>
      <c r="B2137" t="inlineStr">
        <is>
          <t>2-Board Press</t>
        </is>
      </c>
      <c r="C2137">
        <f>IF(AND('Month 09'!L90&lt;&gt;"",N('Month 09'!I90)&gt;0),'Month 09'!I90,"")</f>
        <v/>
      </c>
      <c r="D2137">
        <f>IF(C2137="","",IF(N('Month 09'!J90)&gt;0,'Month 09'!J90,1))</f>
        <v/>
      </c>
      <c r="E2137">
        <f>IF(OR(C2137="",D2137=""),"",IF(D2137=1,C2137,ROUND(C2137*(1+D2137/30),1)))</f>
        <v/>
      </c>
    </row>
    <row r="2138">
      <c r="A2138">
        <f>'Month 09'!B74</f>
        <v/>
      </c>
      <c r="B2138" t="inlineStr">
        <is>
          <t>2-Board Press</t>
        </is>
      </c>
      <c r="C2138">
        <f>IF(AND('Month 09'!L91&lt;&gt;"",N('Month 09'!I91)&gt;0),'Month 09'!I91,"")</f>
        <v/>
      </c>
      <c r="D2138">
        <f>IF(C2138="","",IF(N('Month 09'!J91)&gt;0,'Month 09'!J91,1))</f>
        <v/>
      </c>
      <c r="E2138">
        <f>IF(OR(C2138="",D2138=""),"",IF(D2138=1,C2138,ROUND(C2138*(1+D2138/30),1)))</f>
        <v/>
      </c>
    </row>
    <row r="2139">
      <c r="A2139">
        <f>'Month 09'!B74</f>
        <v/>
      </c>
      <c r="B2139" t="inlineStr">
        <is>
          <t>2-Board Press</t>
        </is>
      </c>
      <c r="C2139">
        <f>IF(AND('Month 09'!L92&lt;&gt;"",N('Month 09'!I92)&gt;0),'Month 09'!I92,"")</f>
        <v/>
      </c>
      <c r="D2139">
        <f>IF(C2139="","",IF(N('Month 09'!J92)&gt;0,'Month 09'!J92,1))</f>
        <v/>
      </c>
      <c r="E2139">
        <f>IF(OR(C2139="",D2139=""),"",IF(D2139=1,C2139,ROUND(C2139*(1+D2139/30),1)))</f>
        <v/>
      </c>
    </row>
    <row r="2140">
      <c r="A2140">
        <f>'Month 09'!B74</f>
        <v/>
      </c>
      <c r="B2140" t="inlineStr">
        <is>
          <t>2-Board Press</t>
        </is>
      </c>
      <c r="C2140">
        <f>IF(AND('Month 09'!L93&lt;&gt;"",N('Month 09'!I93)&gt;0),'Month 09'!I93,"")</f>
        <v/>
      </c>
      <c r="D2140">
        <f>IF(C2140="","",IF(N('Month 09'!J93)&gt;0,'Month 09'!J93,1))</f>
        <v/>
      </c>
      <c r="E2140">
        <f>IF(OR(C2140="",D2140=""),"",IF(D2140=1,C2140,ROUND(C2140*(1+D2140/30),1)))</f>
        <v/>
      </c>
    </row>
    <row r="2141">
      <c r="A2141">
        <f>'Month 09'!B74</f>
        <v/>
      </c>
      <c r="B2141" t="inlineStr">
        <is>
          <t>Romanian Deadlift</t>
        </is>
      </c>
      <c r="C2141">
        <f>IF(AND('Month 09'!L95&lt;&gt;"",N('Month 09'!I95)&gt;0),'Month 09'!I95,"")</f>
        <v/>
      </c>
      <c r="D2141">
        <f>IF(C2141="","",IF(N('Month 09'!J95)&gt;0,'Month 09'!J95,1))</f>
        <v/>
      </c>
      <c r="E2141">
        <f>IF(OR(C2141="",D2141=""),"",IF(D2141=1,C2141,ROUND(C2141*(1+D2141/30),1)))</f>
        <v/>
      </c>
    </row>
    <row r="2142">
      <c r="A2142">
        <f>'Month 09'!B74</f>
        <v/>
      </c>
      <c r="B2142" t="inlineStr">
        <is>
          <t>Romanian Deadlift</t>
        </is>
      </c>
      <c r="C2142">
        <f>IF(AND('Month 09'!L96&lt;&gt;"",N('Month 09'!I96)&gt;0),'Month 09'!I96,"")</f>
        <v/>
      </c>
      <c r="D2142">
        <f>IF(C2142="","",IF(N('Month 09'!J96)&gt;0,'Month 09'!J96,1))</f>
        <v/>
      </c>
      <c r="E2142">
        <f>IF(OR(C2142="",D2142=""),"",IF(D2142=1,C2142,ROUND(C2142*(1+D2142/30),1)))</f>
        <v/>
      </c>
    </row>
    <row r="2143">
      <c r="A2143">
        <f>'Month 09'!B74</f>
        <v/>
      </c>
      <c r="B2143" t="inlineStr">
        <is>
          <t>Romanian Deadlift</t>
        </is>
      </c>
      <c r="C2143">
        <f>IF(AND('Month 09'!L97&lt;&gt;"",N('Month 09'!I97)&gt;0),'Month 09'!I97,"")</f>
        <v/>
      </c>
      <c r="D2143">
        <f>IF(C2143="","",IF(N('Month 09'!J97)&gt;0,'Month 09'!J97,1))</f>
        <v/>
      </c>
      <c r="E2143">
        <f>IF(OR(C2143="",D2143=""),"",IF(D2143=1,C2143,ROUND(C2143*(1+D2143/30),1)))</f>
        <v/>
      </c>
    </row>
    <row r="2144">
      <c r="A2144">
        <f>'Month 09'!B74</f>
        <v/>
      </c>
      <c r="B2144" t="inlineStr">
        <is>
          <t>Romanian Deadlift</t>
        </is>
      </c>
      <c r="C2144">
        <f>IF(AND('Month 09'!L98&lt;&gt;"",N('Month 09'!I98)&gt;0),'Month 09'!I98,"")</f>
        <v/>
      </c>
      <c r="D2144">
        <f>IF(C2144="","",IF(N('Month 09'!J98)&gt;0,'Month 09'!J98,1))</f>
        <v/>
      </c>
      <c r="E2144">
        <f>IF(OR(C2144="",D2144=""),"",IF(D2144=1,C2144,ROUND(C2144*(1+D2144/30),1)))</f>
        <v/>
      </c>
    </row>
    <row r="2145">
      <c r="A2145">
        <f>'Month 09'!B74</f>
        <v/>
      </c>
      <c r="B2145" t="inlineStr">
        <is>
          <t>Incline Dumbbell Press</t>
        </is>
      </c>
      <c r="C2145">
        <f>IF(AND('Month 09'!L100&lt;&gt;"",N('Month 09'!I100)&gt;0),'Month 09'!I100,"")</f>
        <v/>
      </c>
      <c r="D2145">
        <f>IF(C2145="","",IF(N('Month 09'!J100)&gt;0,'Month 09'!J100,1))</f>
        <v/>
      </c>
      <c r="E2145">
        <f>IF(OR(C2145="",D2145=""),"",IF(D2145=1,C2145,ROUND(C2145*(1+D2145/30),1)))</f>
        <v/>
      </c>
    </row>
    <row r="2146">
      <c r="A2146">
        <f>'Month 09'!B74</f>
        <v/>
      </c>
      <c r="B2146" t="inlineStr">
        <is>
          <t>Incline Dumbbell Press</t>
        </is>
      </c>
      <c r="C2146">
        <f>IF(AND('Month 09'!L101&lt;&gt;"",N('Month 09'!I101)&gt;0),'Month 09'!I101,"")</f>
        <v/>
      </c>
      <c r="D2146">
        <f>IF(C2146="","",IF(N('Month 09'!J101)&gt;0,'Month 09'!J101,1))</f>
        <v/>
      </c>
      <c r="E2146">
        <f>IF(OR(C2146="",D2146=""),"",IF(D2146=1,C2146,ROUND(C2146*(1+D2146/30),1)))</f>
        <v/>
      </c>
    </row>
    <row r="2147">
      <c r="A2147">
        <f>'Month 09'!B74</f>
        <v/>
      </c>
      <c r="B2147" t="inlineStr">
        <is>
          <t>Incline Dumbbell Press</t>
        </is>
      </c>
      <c r="C2147">
        <f>IF(AND('Month 09'!L102&lt;&gt;"",N('Month 09'!I102)&gt;0),'Month 09'!I102,"")</f>
        <v/>
      </c>
      <c r="D2147">
        <f>IF(C2147="","",IF(N('Month 09'!J102)&gt;0,'Month 09'!J102,1))</f>
        <v/>
      </c>
      <c r="E2147">
        <f>IF(OR(C2147="",D2147=""),"",IF(D2147=1,C2147,ROUND(C2147*(1+D2147/30),1)))</f>
        <v/>
      </c>
    </row>
    <row r="2148">
      <c r="A2148">
        <f>'Month 09'!B74</f>
        <v/>
      </c>
      <c r="B2148" t="inlineStr">
        <is>
          <t>Triceps Pushdown</t>
        </is>
      </c>
      <c r="C2148">
        <f>IF(AND('Month 09'!L104&lt;&gt;"",N('Month 09'!I104)&gt;0),'Month 09'!I104,"")</f>
        <v/>
      </c>
      <c r="D2148">
        <f>IF(C2148="","",IF(N('Month 09'!J104)&gt;0,'Month 09'!J104,1))</f>
        <v/>
      </c>
      <c r="E2148">
        <f>IF(OR(C2148="",D2148=""),"",IF(D2148=1,C2148,ROUND(C2148*(1+D2148/30),1)))</f>
        <v/>
      </c>
    </row>
    <row r="2149">
      <c r="A2149">
        <f>'Month 09'!B74</f>
        <v/>
      </c>
      <c r="B2149" t="inlineStr">
        <is>
          <t>Triceps Pushdown</t>
        </is>
      </c>
      <c r="C2149">
        <f>IF(AND('Month 09'!L105&lt;&gt;"",N('Month 09'!I105)&gt;0),'Month 09'!I105,"")</f>
        <v/>
      </c>
      <c r="D2149">
        <f>IF(C2149="","",IF(N('Month 09'!J105)&gt;0,'Month 09'!J105,1))</f>
        <v/>
      </c>
      <c r="E2149">
        <f>IF(OR(C2149="",D2149=""),"",IF(D2149=1,C2149,ROUND(C2149*(1+D2149/30),1)))</f>
        <v/>
      </c>
    </row>
    <row r="2150">
      <c r="A2150">
        <f>'Month 09'!B74</f>
        <v/>
      </c>
      <c r="B2150" t="inlineStr">
        <is>
          <t>Triceps Pushdown</t>
        </is>
      </c>
      <c r="C2150">
        <f>IF(AND('Month 09'!L106&lt;&gt;"",N('Month 09'!I106)&gt;0),'Month 09'!I106,"")</f>
        <v/>
      </c>
      <c r="D2150">
        <f>IF(C2150="","",IF(N('Month 09'!J106)&gt;0,'Month 09'!J106,1))</f>
        <v/>
      </c>
      <c r="E2150">
        <f>IF(OR(C2150="",D2150=""),"",IF(D2150=1,C2150,ROUND(C2150*(1+D2150/30),1)))</f>
        <v/>
      </c>
    </row>
    <row r="2151">
      <c r="A2151">
        <f>'Month 09'!B109</f>
        <v/>
      </c>
      <c r="B2151" t="inlineStr">
        <is>
          <t>Box Jump</t>
        </is>
      </c>
      <c r="C2151">
        <f>IF(AND('Month 09'!L111&lt;&gt;"",N('Month 09'!I111)&gt;0),'Month 09'!I111,"")</f>
        <v/>
      </c>
      <c r="D2151">
        <f>IF(C2151="","",IF(N('Month 09'!J111)&gt;0,'Month 09'!J111,1))</f>
        <v/>
      </c>
      <c r="E2151">
        <f>IF(OR(C2151="",D2151=""),"",IF(D2151=1,C2151,ROUND(C2151*(1+D2151/30),1)))</f>
        <v/>
      </c>
    </row>
    <row r="2152">
      <c r="A2152">
        <f>'Month 09'!B109</f>
        <v/>
      </c>
      <c r="B2152" t="inlineStr">
        <is>
          <t>Box Jump</t>
        </is>
      </c>
      <c r="C2152">
        <f>IF(AND('Month 09'!L112&lt;&gt;"",N('Month 09'!I112)&gt;0),'Month 09'!I112,"")</f>
        <v/>
      </c>
      <c r="D2152">
        <f>IF(C2152="","",IF(N('Month 09'!J112)&gt;0,'Month 09'!J112,1))</f>
        <v/>
      </c>
      <c r="E2152">
        <f>IF(OR(C2152="",D2152=""),"",IF(D2152=1,C2152,ROUND(C2152*(1+D2152/30),1)))</f>
        <v/>
      </c>
    </row>
    <row r="2153">
      <c r="A2153">
        <f>'Month 09'!B109</f>
        <v/>
      </c>
      <c r="B2153" t="inlineStr">
        <is>
          <t>Box Jump</t>
        </is>
      </c>
      <c r="C2153">
        <f>IF(AND('Month 09'!L113&lt;&gt;"",N('Month 09'!I113)&gt;0),'Month 09'!I113,"")</f>
        <v/>
      </c>
      <c r="D2153">
        <f>IF(C2153="","",IF(N('Month 09'!J113)&gt;0,'Month 09'!J113,1))</f>
        <v/>
      </c>
      <c r="E2153">
        <f>IF(OR(C2153="",D2153=""),"",IF(D2153=1,C2153,ROUND(C2153*(1+D2153/30),1)))</f>
        <v/>
      </c>
    </row>
    <row r="2154">
      <c r="A2154">
        <f>'Month 09'!B109</f>
        <v/>
      </c>
      <c r="B2154" t="inlineStr">
        <is>
          <t>Snatch</t>
        </is>
      </c>
      <c r="C2154">
        <f>IF(AND('Month 09'!L115&lt;&gt;"",N('Month 09'!I115)&gt;0),'Month 09'!I115,"")</f>
        <v/>
      </c>
      <c r="D2154">
        <f>IF(C2154="","",IF(N('Month 09'!J115)&gt;0,'Month 09'!J115,1))</f>
        <v/>
      </c>
      <c r="E2154">
        <f>IF(OR(C2154="",D2154=""),"",IF(D2154=1,C2154,ROUND(C2154*(1+D2154/30),1)))</f>
        <v/>
      </c>
    </row>
    <row r="2155">
      <c r="A2155">
        <f>'Month 09'!B109</f>
        <v/>
      </c>
      <c r="B2155" t="inlineStr">
        <is>
          <t>Snatch</t>
        </is>
      </c>
      <c r="C2155">
        <f>IF(AND('Month 09'!L116&lt;&gt;"",N('Month 09'!I116)&gt;0),'Month 09'!I116,"")</f>
        <v/>
      </c>
      <c r="D2155">
        <f>IF(C2155="","",IF(N('Month 09'!J116)&gt;0,'Month 09'!J116,1))</f>
        <v/>
      </c>
      <c r="E2155">
        <f>IF(OR(C2155="",D2155=""),"",IF(D2155=1,C2155,ROUND(C2155*(1+D2155/30),1)))</f>
        <v/>
      </c>
    </row>
    <row r="2156">
      <c r="A2156">
        <f>'Month 09'!B109</f>
        <v/>
      </c>
      <c r="B2156" t="inlineStr">
        <is>
          <t>Snatch</t>
        </is>
      </c>
      <c r="C2156">
        <f>IF(AND('Month 09'!L117&lt;&gt;"",N('Month 09'!I117)&gt;0),'Month 09'!I117,"")</f>
        <v/>
      </c>
      <c r="D2156">
        <f>IF(C2156="","",IF(N('Month 09'!J117)&gt;0,'Month 09'!J117,1))</f>
        <v/>
      </c>
      <c r="E2156">
        <f>IF(OR(C2156="",D2156=""),"",IF(D2156=1,C2156,ROUND(C2156*(1+D2156/30),1)))</f>
        <v/>
      </c>
    </row>
    <row r="2157">
      <c r="A2157">
        <f>'Month 09'!B109</f>
        <v/>
      </c>
      <c r="B2157" t="inlineStr">
        <is>
          <t>Snatch</t>
        </is>
      </c>
      <c r="C2157">
        <f>IF(AND('Month 09'!L118&lt;&gt;"",N('Month 09'!I118)&gt;0),'Month 09'!I118,"")</f>
        <v/>
      </c>
      <c r="D2157">
        <f>IF(C2157="","",IF(N('Month 09'!J118)&gt;0,'Month 09'!J118,1))</f>
        <v/>
      </c>
      <c r="E2157">
        <f>IF(OR(C2157="",D2157=""),"",IF(D2157=1,C2157,ROUND(C2157*(1+D2157/30),1)))</f>
        <v/>
      </c>
    </row>
    <row r="2158">
      <c r="A2158">
        <f>'Month 09'!B109</f>
        <v/>
      </c>
      <c r="B2158" t="inlineStr">
        <is>
          <t>Squat</t>
        </is>
      </c>
      <c r="C2158">
        <f>IF(AND('Month 09'!L120&lt;&gt;"",N('Month 09'!I120)&gt;0),'Month 09'!I120,"")</f>
        <v/>
      </c>
      <c r="D2158">
        <f>IF(C2158="","",IF(N('Month 09'!J120)&gt;0,'Month 09'!J120,1))</f>
        <v/>
      </c>
      <c r="E2158">
        <f>IF(OR(C2158="",D2158=""),"",IF(D2158=1,C2158,ROUND(C2158*(1+D2158/30),1)))</f>
        <v/>
      </c>
    </row>
    <row r="2159">
      <c r="A2159">
        <f>'Month 09'!B109</f>
        <v/>
      </c>
      <c r="B2159" t="inlineStr">
        <is>
          <t>Squat</t>
        </is>
      </c>
      <c r="C2159">
        <f>IF(AND('Month 09'!L121&lt;&gt;"",N('Month 09'!I121)&gt;0),'Month 09'!I121,"")</f>
        <v/>
      </c>
      <c r="D2159">
        <f>IF(C2159="","",IF(N('Month 09'!J121)&gt;0,'Month 09'!J121,1))</f>
        <v/>
      </c>
      <c r="E2159">
        <f>IF(OR(C2159="",D2159=""),"",IF(D2159=1,C2159,ROUND(C2159*(1+D2159/30),1)))</f>
        <v/>
      </c>
    </row>
    <row r="2160">
      <c r="A2160">
        <f>'Month 09'!B109</f>
        <v/>
      </c>
      <c r="B2160" t="inlineStr">
        <is>
          <t>Squat</t>
        </is>
      </c>
      <c r="C2160">
        <f>IF(AND('Month 09'!L122&lt;&gt;"",N('Month 09'!I122)&gt;0),'Month 09'!I122,"")</f>
        <v/>
      </c>
      <c r="D2160">
        <f>IF(C2160="","",IF(N('Month 09'!J122)&gt;0,'Month 09'!J122,1))</f>
        <v/>
      </c>
      <c r="E2160">
        <f>IF(OR(C2160="",D2160=""),"",IF(D2160=1,C2160,ROUND(C2160*(1+D2160/30),1)))</f>
        <v/>
      </c>
    </row>
    <row r="2161">
      <c r="A2161">
        <f>'Month 09'!B109</f>
        <v/>
      </c>
      <c r="B2161" t="inlineStr">
        <is>
          <t>Squat</t>
        </is>
      </c>
      <c r="C2161">
        <f>IF(AND('Month 09'!L123&lt;&gt;"",N('Month 09'!I123)&gt;0),'Month 09'!I123,"")</f>
        <v/>
      </c>
      <c r="D2161">
        <f>IF(C2161="","",IF(N('Month 09'!J123)&gt;0,'Month 09'!J123,1))</f>
        <v/>
      </c>
      <c r="E2161">
        <f>IF(OR(C2161="",D2161=""),"",IF(D2161=1,C2161,ROUND(C2161*(1+D2161/30),1)))</f>
        <v/>
      </c>
    </row>
    <row r="2162">
      <c r="A2162">
        <f>'Month 09'!B109</f>
        <v/>
      </c>
      <c r="B2162" t="inlineStr">
        <is>
          <t>Bench Press</t>
        </is>
      </c>
      <c r="C2162">
        <f>IF(AND('Month 09'!L125&lt;&gt;"",N('Month 09'!I125)&gt;0),'Month 09'!I125,"")</f>
        <v/>
      </c>
      <c r="D2162">
        <f>IF(C2162="","",IF(N('Month 09'!J125)&gt;0,'Month 09'!J125,1))</f>
        <v/>
      </c>
      <c r="E2162">
        <f>IF(OR(C2162="",D2162=""),"",IF(D2162=1,C2162,ROUND(C2162*(1+D2162/30),1)))</f>
        <v/>
      </c>
    </row>
    <row r="2163">
      <c r="A2163">
        <f>'Month 09'!B109</f>
        <v/>
      </c>
      <c r="B2163" t="inlineStr">
        <is>
          <t>Bench Press</t>
        </is>
      </c>
      <c r="C2163">
        <f>IF(AND('Month 09'!L126&lt;&gt;"",N('Month 09'!I126)&gt;0),'Month 09'!I126,"")</f>
        <v/>
      </c>
      <c r="D2163">
        <f>IF(C2163="","",IF(N('Month 09'!J126)&gt;0,'Month 09'!J126,1))</f>
        <v/>
      </c>
      <c r="E2163">
        <f>IF(OR(C2163="",D2163=""),"",IF(D2163=1,C2163,ROUND(C2163*(1+D2163/30),1)))</f>
        <v/>
      </c>
    </row>
    <row r="2164">
      <c r="A2164">
        <f>'Month 09'!B109</f>
        <v/>
      </c>
      <c r="B2164" t="inlineStr">
        <is>
          <t>Bench Press</t>
        </is>
      </c>
      <c r="C2164">
        <f>IF(AND('Month 09'!L127&lt;&gt;"",N('Month 09'!I127)&gt;0),'Month 09'!I127,"")</f>
        <v/>
      </c>
      <c r="D2164">
        <f>IF(C2164="","",IF(N('Month 09'!J127)&gt;0,'Month 09'!J127,1))</f>
        <v/>
      </c>
      <c r="E2164">
        <f>IF(OR(C2164="",D2164=""),"",IF(D2164=1,C2164,ROUND(C2164*(1+D2164/30),1)))</f>
        <v/>
      </c>
    </row>
    <row r="2165">
      <c r="A2165">
        <f>'Month 09'!B109</f>
        <v/>
      </c>
      <c r="B2165" t="inlineStr">
        <is>
          <t>Bench Press</t>
        </is>
      </c>
      <c r="C2165">
        <f>IF(AND('Month 09'!L128&lt;&gt;"",N('Month 09'!I128)&gt;0),'Month 09'!I128,"")</f>
        <v/>
      </c>
      <c r="D2165">
        <f>IF(C2165="","",IF(N('Month 09'!J128)&gt;0,'Month 09'!J128,1))</f>
        <v/>
      </c>
      <c r="E2165">
        <f>IF(OR(C2165="",D2165=""),"",IF(D2165=1,C2165,ROUND(C2165*(1+D2165/30),1)))</f>
        <v/>
      </c>
    </row>
    <row r="2166">
      <c r="A2166">
        <f>'Month 09'!B109</f>
        <v/>
      </c>
      <c r="B2166" t="inlineStr">
        <is>
          <t>Barbell Row</t>
        </is>
      </c>
      <c r="C2166">
        <f>IF(AND('Month 09'!L130&lt;&gt;"",N('Month 09'!I130)&gt;0),'Month 09'!I130,"")</f>
        <v/>
      </c>
      <c r="D2166">
        <f>IF(C2166="","",IF(N('Month 09'!J130)&gt;0,'Month 09'!J130,1))</f>
        <v/>
      </c>
      <c r="E2166">
        <f>IF(OR(C2166="",D2166=""),"",IF(D2166=1,C2166,ROUND(C2166*(1+D2166/30),1)))</f>
        <v/>
      </c>
    </row>
    <row r="2167">
      <c r="A2167">
        <f>'Month 09'!B109</f>
        <v/>
      </c>
      <c r="B2167" t="inlineStr">
        <is>
          <t>Barbell Row</t>
        </is>
      </c>
      <c r="C2167">
        <f>IF(AND('Month 09'!L131&lt;&gt;"",N('Month 09'!I131)&gt;0),'Month 09'!I131,"")</f>
        <v/>
      </c>
      <c r="D2167">
        <f>IF(C2167="","",IF(N('Month 09'!J131)&gt;0,'Month 09'!J131,1))</f>
        <v/>
      </c>
      <c r="E2167">
        <f>IF(OR(C2167="",D2167=""),"",IF(D2167=1,C2167,ROUND(C2167*(1+D2167/30),1)))</f>
        <v/>
      </c>
    </row>
    <row r="2168">
      <c r="A2168">
        <f>'Month 09'!B109</f>
        <v/>
      </c>
      <c r="B2168" t="inlineStr">
        <is>
          <t>Barbell Row</t>
        </is>
      </c>
      <c r="C2168">
        <f>IF(AND('Month 09'!L132&lt;&gt;"",N('Month 09'!I132)&gt;0),'Month 09'!I132,"")</f>
        <v/>
      </c>
      <c r="D2168">
        <f>IF(C2168="","",IF(N('Month 09'!J132)&gt;0,'Month 09'!J132,1))</f>
        <v/>
      </c>
      <c r="E2168">
        <f>IF(OR(C2168="",D2168=""),"",IF(D2168=1,C2168,ROUND(C2168*(1+D2168/30),1)))</f>
        <v/>
      </c>
    </row>
    <row r="2169">
      <c r="A2169">
        <f>'Month 09'!B109</f>
        <v/>
      </c>
      <c r="B2169" t="inlineStr">
        <is>
          <t>Face Pull</t>
        </is>
      </c>
      <c r="C2169">
        <f>IF(AND('Month 09'!L134&lt;&gt;"",N('Month 09'!I134)&gt;0),'Month 09'!I134,"")</f>
        <v/>
      </c>
      <c r="D2169">
        <f>IF(C2169="","",IF(N('Month 09'!J134)&gt;0,'Month 09'!J134,1))</f>
        <v/>
      </c>
      <c r="E2169">
        <f>IF(OR(C2169="",D2169=""),"",IF(D2169=1,C2169,ROUND(C2169*(1+D2169/30),1)))</f>
        <v/>
      </c>
    </row>
    <row r="2170">
      <c r="A2170">
        <f>'Month 09'!B109</f>
        <v/>
      </c>
      <c r="B2170" t="inlineStr">
        <is>
          <t>Face Pull</t>
        </is>
      </c>
      <c r="C2170">
        <f>IF(AND('Month 09'!L135&lt;&gt;"",N('Month 09'!I135)&gt;0),'Month 09'!I135,"")</f>
        <v/>
      </c>
      <c r="D2170">
        <f>IF(C2170="","",IF(N('Month 09'!J135)&gt;0,'Month 09'!J135,1))</f>
        <v/>
      </c>
      <c r="E2170">
        <f>IF(OR(C2170="",D2170=""),"",IF(D2170=1,C2170,ROUND(C2170*(1+D2170/30),1)))</f>
        <v/>
      </c>
    </row>
    <row r="2171">
      <c r="A2171">
        <f>'Month 09'!B109</f>
        <v/>
      </c>
      <c r="B2171" t="inlineStr">
        <is>
          <t>Face Pull</t>
        </is>
      </c>
      <c r="C2171">
        <f>IF(AND('Month 09'!L136&lt;&gt;"",N('Month 09'!I136)&gt;0),'Month 09'!I136,"")</f>
        <v/>
      </c>
      <c r="D2171">
        <f>IF(C2171="","",IF(N('Month 09'!J136)&gt;0,'Month 09'!J136,1))</f>
        <v/>
      </c>
      <c r="E2171">
        <f>IF(OR(C2171="",D2171=""),"",IF(D2171=1,C2171,ROUND(C2171*(1+D2171/30),1)))</f>
        <v/>
      </c>
    </row>
    <row r="2172">
      <c r="A2172">
        <f>'Month 09'!B137</f>
        <v/>
      </c>
      <c r="B2172" t="inlineStr">
        <is>
          <t>Broad Jump</t>
        </is>
      </c>
      <c r="C2172">
        <f>IF(AND('Month 09'!L139&lt;&gt;"",N('Month 09'!I139)&gt;0),'Month 09'!I139,"")</f>
        <v/>
      </c>
      <c r="D2172">
        <f>IF(C2172="","",IF(N('Month 09'!J139)&gt;0,'Month 09'!J139,1))</f>
        <v/>
      </c>
      <c r="E2172">
        <f>IF(OR(C2172="",D2172=""),"",IF(D2172=1,C2172,ROUND(C2172*(1+D2172/30),1)))</f>
        <v/>
      </c>
    </row>
    <row r="2173">
      <c r="A2173">
        <f>'Month 09'!B137</f>
        <v/>
      </c>
      <c r="B2173" t="inlineStr">
        <is>
          <t>Broad Jump</t>
        </is>
      </c>
      <c r="C2173">
        <f>IF(AND('Month 09'!L140&lt;&gt;"",N('Month 09'!I140)&gt;0),'Month 09'!I140,"")</f>
        <v/>
      </c>
      <c r="D2173">
        <f>IF(C2173="","",IF(N('Month 09'!J140)&gt;0,'Month 09'!J140,1))</f>
        <v/>
      </c>
      <c r="E2173">
        <f>IF(OR(C2173="",D2173=""),"",IF(D2173=1,C2173,ROUND(C2173*(1+D2173/30),1)))</f>
        <v/>
      </c>
    </row>
    <row r="2174">
      <c r="A2174">
        <f>'Month 09'!B137</f>
        <v/>
      </c>
      <c r="B2174" t="inlineStr">
        <is>
          <t>Broad Jump</t>
        </is>
      </c>
      <c r="C2174">
        <f>IF(AND('Month 09'!L141&lt;&gt;"",N('Month 09'!I141)&gt;0),'Month 09'!I141,"")</f>
        <v/>
      </c>
      <c r="D2174">
        <f>IF(C2174="","",IF(N('Month 09'!J141)&gt;0,'Month 09'!J141,1))</f>
        <v/>
      </c>
      <c r="E2174">
        <f>IF(OR(C2174="",D2174=""),"",IF(D2174=1,C2174,ROUND(C2174*(1+D2174/30),1)))</f>
        <v/>
      </c>
    </row>
    <row r="2175">
      <c r="A2175">
        <f>'Month 09'!B137</f>
        <v/>
      </c>
      <c r="B2175" t="inlineStr">
        <is>
          <t>Med Ball Chest Pass</t>
        </is>
      </c>
      <c r="C2175">
        <f>IF(AND('Month 09'!L143&lt;&gt;"",N('Month 09'!I143)&gt;0),'Month 09'!I143,"")</f>
        <v/>
      </c>
      <c r="D2175">
        <f>IF(C2175="","",IF(N('Month 09'!J143)&gt;0,'Month 09'!J143,1))</f>
        <v/>
      </c>
      <c r="E2175">
        <f>IF(OR(C2175="",D2175=""),"",IF(D2175=1,C2175,ROUND(C2175*(1+D2175/30),1)))</f>
        <v/>
      </c>
    </row>
    <row r="2176">
      <c r="A2176">
        <f>'Month 09'!B137</f>
        <v/>
      </c>
      <c r="B2176" t="inlineStr">
        <is>
          <t>Med Ball Chest Pass</t>
        </is>
      </c>
      <c r="C2176">
        <f>IF(AND('Month 09'!L144&lt;&gt;"",N('Month 09'!I144)&gt;0),'Month 09'!I144,"")</f>
        <v/>
      </c>
      <c r="D2176">
        <f>IF(C2176="","",IF(N('Month 09'!J144)&gt;0,'Month 09'!J144,1))</f>
        <v/>
      </c>
      <c r="E2176">
        <f>IF(OR(C2176="",D2176=""),"",IF(D2176=1,C2176,ROUND(C2176*(1+D2176/30),1)))</f>
        <v/>
      </c>
    </row>
    <row r="2177">
      <c r="A2177">
        <f>'Month 09'!B137</f>
        <v/>
      </c>
      <c r="B2177" t="inlineStr">
        <is>
          <t>Clean &amp; Jerk</t>
        </is>
      </c>
      <c r="C2177">
        <f>IF(AND('Month 09'!L146&lt;&gt;"",N('Month 09'!I146)&gt;0),'Month 09'!I146,"")</f>
        <v/>
      </c>
      <c r="D2177">
        <f>IF(C2177="","",IF(N('Month 09'!J146)&gt;0,'Month 09'!J146,1))</f>
        <v/>
      </c>
      <c r="E2177">
        <f>IF(OR(C2177="",D2177=""),"",IF(D2177=1,C2177,ROUND(C2177*(1+D2177/30),1)))</f>
        <v/>
      </c>
    </row>
    <row r="2178">
      <c r="A2178">
        <f>'Month 09'!B137</f>
        <v/>
      </c>
      <c r="B2178" t="inlineStr">
        <is>
          <t>Clean &amp; Jerk</t>
        </is>
      </c>
      <c r="C2178">
        <f>IF(AND('Month 09'!L147&lt;&gt;"",N('Month 09'!I147)&gt;0),'Month 09'!I147,"")</f>
        <v/>
      </c>
      <c r="D2178">
        <f>IF(C2178="","",IF(N('Month 09'!J147)&gt;0,'Month 09'!J147,1))</f>
        <v/>
      </c>
      <c r="E2178">
        <f>IF(OR(C2178="",D2178=""),"",IF(D2178=1,C2178,ROUND(C2178*(1+D2178/30),1)))</f>
        <v/>
      </c>
    </row>
    <row r="2179">
      <c r="A2179">
        <f>'Month 09'!B137</f>
        <v/>
      </c>
      <c r="B2179" t="inlineStr">
        <is>
          <t>Clean &amp; Jerk</t>
        </is>
      </c>
      <c r="C2179">
        <f>IF(AND('Month 09'!L148&lt;&gt;"",N('Month 09'!I148)&gt;0),'Month 09'!I148,"")</f>
        <v/>
      </c>
      <c r="D2179">
        <f>IF(C2179="","",IF(N('Month 09'!J148)&gt;0,'Month 09'!J148,1))</f>
        <v/>
      </c>
      <c r="E2179">
        <f>IF(OR(C2179="",D2179=""),"",IF(D2179=1,C2179,ROUND(C2179*(1+D2179/30),1)))</f>
        <v/>
      </c>
    </row>
    <row r="2180">
      <c r="A2180">
        <f>'Month 09'!B137</f>
        <v/>
      </c>
      <c r="B2180" t="inlineStr">
        <is>
          <t>Clean &amp; Jerk</t>
        </is>
      </c>
      <c r="C2180">
        <f>IF(AND('Month 09'!L149&lt;&gt;"",N('Month 09'!I149)&gt;0),'Month 09'!I149,"")</f>
        <v/>
      </c>
      <c r="D2180">
        <f>IF(C2180="","",IF(N('Month 09'!J149)&gt;0,'Month 09'!J149,1))</f>
        <v/>
      </c>
      <c r="E2180">
        <f>IF(OR(C2180="",D2180=""),"",IF(D2180=1,C2180,ROUND(C2180*(1+D2180/30),1)))</f>
        <v/>
      </c>
    </row>
    <row r="2181">
      <c r="A2181">
        <f>'Month 09'!B137</f>
        <v/>
      </c>
      <c r="B2181" t="inlineStr">
        <is>
          <t>Squat</t>
        </is>
      </c>
      <c r="C2181">
        <f>IF(AND('Month 09'!L151&lt;&gt;"",N('Month 09'!I151)&gt;0),'Month 09'!I151,"")</f>
        <v/>
      </c>
      <c r="D2181">
        <f>IF(C2181="","",IF(N('Month 09'!J151)&gt;0,'Month 09'!J151,1))</f>
        <v/>
      </c>
      <c r="E2181">
        <f>IF(OR(C2181="",D2181=""),"",IF(D2181=1,C2181,ROUND(C2181*(1+D2181/30),1)))</f>
        <v/>
      </c>
    </row>
    <row r="2182">
      <c r="A2182">
        <f>'Month 09'!B137</f>
        <v/>
      </c>
      <c r="B2182" t="inlineStr">
        <is>
          <t>Squat</t>
        </is>
      </c>
      <c r="C2182">
        <f>IF(AND('Month 09'!L152&lt;&gt;"",N('Month 09'!I152)&gt;0),'Month 09'!I152,"")</f>
        <v/>
      </c>
      <c r="D2182">
        <f>IF(C2182="","",IF(N('Month 09'!J152)&gt;0,'Month 09'!J152,1))</f>
        <v/>
      </c>
      <c r="E2182">
        <f>IF(OR(C2182="",D2182=""),"",IF(D2182=1,C2182,ROUND(C2182*(1+D2182/30),1)))</f>
        <v/>
      </c>
    </row>
    <row r="2183">
      <c r="A2183">
        <f>'Month 09'!B137</f>
        <v/>
      </c>
      <c r="B2183" t="inlineStr">
        <is>
          <t>Squat</t>
        </is>
      </c>
      <c r="C2183">
        <f>IF(AND('Month 09'!L153&lt;&gt;"",N('Month 09'!I153)&gt;0),'Month 09'!I153,"")</f>
        <v/>
      </c>
      <c r="D2183">
        <f>IF(C2183="","",IF(N('Month 09'!J153)&gt;0,'Month 09'!J153,1))</f>
        <v/>
      </c>
      <c r="E2183">
        <f>IF(OR(C2183="",D2183=""),"",IF(D2183=1,C2183,ROUND(C2183*(1+D2183/30),1)))</f>
        <v/>
      </c>
    </row>
    <row r="2184">
      <c r="A2184">
        <f>'Month 09'!B137</f>
        <v/>
      </c>
      <c r="B2184" t="inlineStr">
        <is>
          <t>Overhead Press</t>
        </is>
      </c>
      <c r="C2184">
        <f>IF(AND('Month 09'!L155&lt;&gt;"",N('Month 09'!I155)&gt;0),'Month 09'!I155,"")</f>
        <v/>
      </c>
      <c r="D2184">
        <f>IF(C2184="","",IF(N('Month 09'!J155)&gt;0,'Month 09'!J155,1))</f>
        <v/>
      </c>
      <c r="E2184">
        <f>IF(OR(C2184="",D2184=""),"",IF(D2184=1,C2184,ROUND(C2184*(1+D2184/30),1)))</f>
        <v/>
      </c>
    </row>
    <row r="2185">
      <c r="A2185">
        <f>'Month 09'!B137</f>
        <v/>
      </c>
      <c r="B2185" t="inlineStr">
        <is>
          <t>Overhead Press</t>
        </is>
      </c>
      <c r="C2185">
        <f>IF(AND('Month 09'!L156&lt;&gt;"",N('Month 09'!I156)&gt;0),'Month 09'!I156,"")</f>
        <v/>
      </c>
      <c r="D2185">
        <f>IF(C2185="","",IF(N('Month 09'!J156)&gt;0,'Month 09'!J156,1))</f>
        <v/>
      </c>
      <c r="E2185">
        <f>IF(OR(C2185="",D2185=""),"",IF(D2185=1,C2185,ROUND(C2185*(1+D2185/30),1)))</f>
        <v/>
      </c>
    </row>
    <row r="2186">
      <c r="A2186">
        <f>'Month 09'!B137</f>
        <v/>
      </c>
      <c r="B2186" t="inlineStr">
        <is>
          <t>Overhead Press</t>
        </is>
      </c>
      <c r="C2186">
        <f>IF(AND('Month 09'!L157&lt;&gt;"",N('Month 09'!I157)&gt;0),'Month 09'!I157,"")</f>
        <v/>
      </c>
      <c r="D2186">
        <f>IF(C2186="","",IF(N('Month 09'!J157)&gt;0,'Month 09'!J157,1))</f>
        <v/>
      </c>
      <c r="E2186">
        <f>IF(OR(C2186="",D2186=""),"",IF(D2186=1,C2186,ROUND(C2186*(1+D2186/30),1)))</f>
        <v/>
      </c>
    </row>
    <row r="2187">
      <c r="A2187">
        <f>'Month 09'!B137</f>
        <v/>
      </c>
      <c r="B2187" t="inlineStr">
        <is>
          <t>Overhead Press</t>
        </is>
      </c>
      <c r="C2187">
        <f>IF(AND('Month 09'!L158&lt;&gt;"",N('Month 09'!I158)&gt;0),'Month 09'!I158,"")</f>
        <v/>
      </c>
      <c r="D2187">
        <f>IF(C2187="","",IF(N('Month 09'!J158)&gt;0,'Month 09'!J158,1))</f>
        <v/>
      </c>
      <c r="E2187">
        <f>IF(OR(C2187="",D2187=""),"",IF(D2187=1,C2187,ROUND(C2187*(1+D2187/30),1)))</f>
        <v/>
      </c>
    </row>
    <row r="2188">
      <c r="A2188">
        <f>'Month 09'!B137</f>
        <v/>
      </c>
      <c r="B2188" t="inlineStr">
        <is>
          <t>Overhead Press</t>
        </is>
      </c>
      <c r="C2188">
        <f>IF(AND('Month 09'!L159&lt;&gt;"",N('Month 09'!I159)&gt;0),'Month 09'!I159,"")</f>
        <v/>
      </c>
      <c r="D2188">
        <f>IF(C2188="","",IF(N('Month 09'!J159)&gt;0,'Month 09'!J159,1))</f>
        <v/>
      </c>
      <c r="E2188">
        <f>IF(OR(C2188="",D2188=""),"",IF(D2188=1,C2188,ROUND(C2188*(1+D2188/30),1)))</f>
        <v/>
      </c>
    </row>
    <row r="2189">
      <c r="A2189">
        <f>'Month 09'!B137</f>
        <v/>
      </c>
      <c r="B2189" t="inlineStr">
        <is>
          <t>Deadlift</t>
        </is>
      </c>
      <c r="C2189">
        <f>IF(AND('Month 09'!L161&lt;&gt;"",N('Month 09'!I161)&gt;0),'Month 09'!I161,"")</f>
        <v/>
      </c>
      <c r="D2189">
        <f>IF(C2189="","",IF(N('Month 09'!J161)&gt;0,'Month 09'!J161,1))</f>
        <v/>
      </c>
      <c r="E2189">
        <f>IF(OR(C2189="",D2189=""),"",IF(D2189=1,C2189,ROUND(C2189*(1+D2189/30),1)))</f>
        <v/>
      </c>
    </row>
    <row r="2190">
      <c r="A2190">
        <f>'Month 09'!B137</f>
        <v/>
      </c>
      <c r="B2190" t="inlineStr">
        <is>
          <t>Deadlift</t>
        </is>
      </c>
      <c r="C2190">
        <f>IF(AND('Month 09'!L162&lt;&gt;"",N('Month 09'!I162)&gt;0),'Month 09'!I162,"")</f>
        <v/>
      </c>
      <c r="D2190">
        <f>IF(C2190="","",IF(N('Month 09'!J162)&gt;0,'Month 09'!J162,1))</f>
        <v/>
      </c>
      <c r="E2190">
        <f>IF(OR(C2190="",D2190=""),"",IF(D2190=1,C2190,ROUND(C2190*(1+D2190/30),1)))</f>
        <v/>
      </c>
    </row>
    <row r="2191">
      <c r="A2191">
        <f>'Month 09'!B137</f>
        <v/>
      </c>
      <c r="B2191" t="inlineStr">
        <is>
          <t>Deadlift</t>
        </is>
      </c>
      <c r="C2191">
        <f>IF(AND('Month 09'!L163&lt;&gt;"",N('Month 09'!I163)&gt;0),'Month 09'!I163,"")</f>
        <v/>
      </c>
      <c r="D2191">
        <f>IF(C2191="","",IF(N('Month 09'!J163)&gt;0,'Month 09'!J163,1))</f>
        <v/>
      </c>
      <c r="E2191">
        <f>IF(OR(C2191="",D2191=""),"",IF(D2191=1,C2191,ROUND(C2191*(1+D2191/30),1)))</f>
        <v/>
      </c>
    </row>
    <row r="2192">
      <c r="A2192">
        <f>'Month 09'!B137</f>
        <v/>
      </c>
      <c r="B2192" t="inlineStr">
        <is>
          <t>Deadlift</t>
        </is>
      </c>
      <c r="C2192">
        <f>IF(AND('Month 09'!L164&lt;&gt;"",N('Month 09'!I164)&gt;0),'Month 09'!I164,"")</f>
        <v/>
      </c>
      <c r="D2192">
        <f>IF(C2192="","",IF(N('Month 09'!J164)&gt;0,'Month 09'!J164,1))</f>
        <v/>
      </c>
      <c r="E2192">
        <f>IF(OR(C2192="",D2192=""),"",IF(D2192=1,C2192,ROUND(C2192*(1+D2192/30),1)))</f>
        <v/>
      </c>
    </row>
    <row r="2193">
      <c r="A2193">
        <f>'Month 09'!B137</f>
        <v/>
      </c>
      <c r="B2193" t="inlineStr">
        <is>
          <t>Chin-up</t>
        </is>
      </c>
      <c r="C2193">
        <f>IF(AND('Month 09'!L166&lt;&gt;"",N('Month 09'!I166)&gt;0),'Month 09'!I166,"")</f>
        <v/>
      </c>
      <c r="D2193">
        <f>IF(C2193="","",IF(N('Month 09'!J166)&gt;0,'Month 09'!J166,1))</f>
        <v/>
      </c>
      <c r="E2193">
        <f>IF(OR(C2193="",D2193=""),"",IF(D2193=1,C2193,ROUND(C2193*(1+D2193/30),1)))</f>
        <v/>
      </c>
    </row>
    <row r="2194">
      <c r="A2194">
        <f>'Month 09'!B137</f>
        <v/>
      </c>
      <c r="B2194" t="inlineStr">
        <is>
          <t>Chin-up</t>
        </is>
      </c>
      <c r="C2194">
        <f>IF(AND('Month 09'!L167&lt;&gt;"",N('Month 09'!I167)&gt;0),'Month 09'!I167,"")</f>
        <v/>
      </c>
      <c r="D2194">
        <f>IF(C2194="","",IF(N('Month 09'!J167)&gt;0,'Month 09'!J167,1))</f>
        <v/>
      </c>
      <c r="E2194">
        <f>IF(OR(C2194="",D2194=""),"",IF(D2194=1,C2194,ROUND(C2194*(1+D2194/30),1)))</f>
        <v/>
      </c>
    </row>
    <row r="2195">
      <c r="A2195">
        <f>'Month 09'!B137</f>
        <v/>
      </c>
      <c r="B2195" t="inlineStr">
        <is>
          <t>Chin-up</t>
        </is>
      </c>
      <c r="C2195">
        <f>IF(AND('Month 09'!L168&lt;&gt;"",N('Month 09'!I168)&gt;0),'Month 09'!I168,"")</f>
        <v/>
      </c>
      <c r="D2195">
        <f>IF(C2195="","",IF(N('Month 09'!J168)&gt;0,'Month 09'!J168,1))</f>
        <v/>
      </c>
      <c r="E2195">
        <f>IF(OR(C2195="",D2195=""),"",IF(D2195=1,C2195,ROUND(C2195*(1+D2195/30),1)))</f>
        <v/>
      </c>
    </row>
    <row r="2196">
      <c r="A2196">
        <f>'Month 09'!B137</f>
        <v/>
      </c>
      <c r="B2196" t="inlineStr">
        <is>
          <t>Plank</t>
        </is>
      </c>
      <c r="C2196">
        <f>IF(AND('Month 09'!L170&lt;&gt;"",N('Month 09'!I170)&gt;0),'Month 09'!I170,"")</f>
        <v/>
      </c>
      <c r="D2196">
        <f>IF(C2196="","",IF(N('Month 09'!J170)&gt;0,'Month 09'!J170,1))</f>
        <v/>
      </c>
      <c r="E2196">
        <f>IF(OR(C2196="",D2196=""),"",IF(D2196=1,C2196,ROUND(C2196*(1+D2196/30),1)))</f>
        <v/>
      </c>
    </row>
    <row r="2197">
      <c r="A2197">
        <f>'Month 09'!B137</f>
        <v/>
      </c>
      <c r="B2197" t="inlineStr">
        <is>
          <t>Plank</t>
        </is>
      </c>
      <c r="C2197">
        <f>IF(AND('Month 09'!L171&lt;&gt;"",N('Month 09'!I171)&gt;0),'Month 09'!I171,"")</f>
        <v/>
      </c>
      <c r="D2197">
        <f>IF(C2197="","",IF(N('Month 09'!J171)&gt;0,'Month 09'!J171,1))</f>
        <v/>
      </c>
      <c r="E2197">
        <f>IF(OR(C2197="",D2197=""),"",IF(D2197=1,C2197,ROUND(C2197*(1+D2197/30),1)))</f>
        <v/>
      </c>
    </row>
    <row r="2198">
      <c r="A2198">
        <f>'Month 09'!B137</f>
        <v/>
      </c>
      <c r="B2198" t="inlineStr">
        <is>
          <t>Plank</t>
        </is>
      </c>
      <c r="C2198">
        <f>IF(AND('Month 09'!L172&lt;&gt;"",N('Month 09'!I172)&gt;0),'Month 09'!I172,"")</f>
        <v/>
      </c>
      <c r="D2198">
        <f>IF(C2198="","",IF(N('Month 09'!J172)&gt;0,'Month 09'!J172,1))</f>
        <v/>
      </c>
      <c r="E2198">
        <f>IF(OR(C2198="",D2198=""),"",IF(D2198=1,C2198,ROUND(C2198*(1+D2198/30),1)))</f>
        <v/>
      </c>
    </row>
    <row r="2199">
      <c r="A2199">
        <f>'Month 09'!B173</f>
        <v/>
      </c>
      <c r="B2199" t="inlineStr">
        <is>
          <t>Vertical Jump</t>
        </is>
      </c>
      <c r="C2199">
        <f>IF(AND('Month 09'!L175&lt;&gt;"",N('Month 09'!I175)&gt;0),'Month 09'!I175,"")</f>
        <v/>
      </c>
      <c r="D2199">
        <f>IF(C2199="","",IF(N('Month 09'!J175)&gt;0,'Month 09'!J175,1))</f>
        <v/>
      </c>
      <c r="E2199">
        <f>IF(OR(C2199="",D2199=""),"",IF(D2199=1,C2199,ROUND(C2199*(1+D2199/30),1)))</f>
        <v/>
      </c>
    </row>
    <row r="2200">
      <c r="A2200">
        <f>'Month 09'!B173</f>
        <v/>
      </c>
      <c r="B2200" t="inlineStr">
        <is>
          <t>Vertical Jump</t>
        </is>
      </c>
      <c r="C2200">
        <f>IF(AND('Month 09'!L176&lt;&gt;"",N('Month 09'!I176)&gt;0),'Month 09'!I176,"")</f>
        <v/>
      </c>
      <c r="D2200">
        <f>IF(C2200="","",IF(N('Month 09'!J176)&gt;0,'Month 09'!J176,1))</f>
        <v/>
      </c>
      <c r="E2200">
        <f>IF(OR(C2200="",D2200=""),"",IF(D2200=1,C2200,ROUND(C2200*(1+D2200/30),1)))</f>
        <v/>
      </c>
    </row>
    <row r="2201">
      <c r="A2201">
        <f>'Month 09'!B173</f>
        <v/>
      </c>
      <c r="B2201" t="inlineStr">
        <is>
          <t>Vertical Jump</t>
        </is>
      </c>
      <c r="C2201">
        <f>IF(AND('Month 09'!L177&lt;&gt;"",N('Month 09'!I177)&gt;0),'Month 09'!I177,"")</f>
        <v/>
      </c>
      <c r="D2201">
        <f>IF(C2201="","",IF(N('Month 09'!J177)&gt;0,'Month 09'!J177,1))</f>
        <v/>
      </c>
      <c r="E2201">
        <f>IF(OR(C2201="",D2201=""),"",IF(D2201=1,C2201,ROUND(C2201*(1+D2201/30),1)))</f>
        <v/>
      </c>
    </row>
    <row r="2202">
      <c r="A2202">
        <f>'Month 09'!B173</f>
        <v/>
      </c>
      <c r="B2202" t="inlineStr">
        <is>
          <t>Power Snatch</t>
        </is>
      </c>
      <c r="C2202">
        <f>IF(AND('Month 09'!L179&lt;&gt;"",N('Month 09'!I179)&gt;0),'Month 09'!I179,"")</f>
        <v/>
      </c>
      <c r="D2202">
        <f>IF(C2202="","",IF(N('Month 09'!J179)&gt;0,'Month 09'!J179,1))</f>
        <v/>
      </c>
      <c r="E2202">
        <f>IF(OR(C2202="",D2202=""),"",IF(D2202=1,C2202,ROUND(C2202*(1+D2202/30),1)))</f>
        <v/>
      </c>
    </row>
    <row r="2203">
      <c r="A2203">
        <f>'Month 09'!B173</f>
        <v/>
      </c>
      <c r="B2203" t="inlineStr">
        <is>
          <t>Power Snatch</t>
        </is>
      </c>
      <c r="C2203">
        <f>IF(AND('Month 09'!L180&lt;&gt;"",N('Month 09'!I180)&gt;0),'Month 09'!I180,"")</f>
        <v/>
      </c>
      <c r="D2203">
        <f>IF(C2203="","",IF(N('Month 09'!J180)&gt;0,'Month 09'!J180,1))</f>
        <v/>
      </c>
      <c r="E2203">
        <f>IF(OR(C2203="",D2203=""),"",IF(D2203=1,C2203,ROUND(C2203*(1+D2203/30),1)))</f>
        <v/>
      </c>
    </row>
    <row r="2204">
      <c r="A2204">
        <f>'Month 09'!B173</f>
        <v/>
      </c>
      <c r="B2204" t="inlineStr">
        <is>
          <t>Power Snatch</t>
        </is>
      </c>
      <c r="C2204">
        <f>IF(AND('Month 09'!L181&lt;&gt;"",N('Month 09'!I181)&gt;0),'Month 09'!I181,"")</f>
        <v/>
      </c>
      <c r="D2204">
        <f>IF(C2204="","",IF(N('Month 09'!J181)&gt;0,'Month 09'!J181,1))</f>
        <v/>
      </c>
      <c r="E2204">
        <f>IF(OR(C2204="",D2204=""),"",IF(D2204=1,C2204,ROUND(C2204*(1+D2204/30),1)))</f>
        <v/>
      </c>
    </row>
    <row r="2205">
      <c r="A2205">
        <f>'Month 09'!B173</f>
        <v/>
      </c>
      <c r="B2205" t="inlineStr">
        <is>
          <t>Power Snatch</t>
        </is>
      </c>
      <c r="C2205">
        <f>IF(AND('Month 09'!L182&lt;&gt;"",N('Month 09'!I182)&gt;0),'Month 09'!I182,"")</f>
        <v/>
      </c>
      <c r="D2205">
        <f>IF(C2205="","",IF(N('Month 09'!J182)&gt;0,'Month 09'!J182,1))</f>
        <v/>
      </c>
      <c r="E2205">
        <f>IF(OR(C2205="",D2205=""),"",IF(D2205=1,C2205,ROUND(C2205*(1+D2205/30),1)))</f>
        <v/>
      </c>
    </row>
    <row r="2206">
      <c r="A2206">
        <f>'Month 09'!B173</f>
        <v/>
      </c>
      <c r="B2206" t="inlineStr">
        <is>
          <t>Power Snatch</t>
        </is>
      </c>
      <c r="C2206">
        <f>IF(AND('Month 09'!L183&lt;&gt;"",N('Month 09'!I183)&gt;0),'Month 09'!I183,"")</f>
        <v/>
      </c>
      <c r="D2206">
        <f>IF(C2206="","",IF(N('Month 09'!J183)&gt;0,'Month 09'!J183,1))</f>
        <v/>
      </c>
      <c r="E2206">
        <f>IF(OR(C2206="",D2206=""),"",IF(D2206=1,C2206,ROUND(C2206*(1+D2206/30),1)))</f>
        <v/>
      </c>
    </row>
    <row r="2207">
      <c r="A2207">
        <f>'Month 09'!B173</f>
        <v/>
      </c>
      <c r="B2207" t="inlineStr">
        <is>
          <t>Safety Bar Squat</t>
        </is>
      </c>
      <c r="C2207">
        <f>IF(AND('Month 09'!L185&lt;&gt;"",N('Month 09'!I185)&gt;0),'Month 09'!I185,"")</f>
        <v/>
      </c>
      <c r="D2207">
        <f>IF(C2207="","",IF(N('Month 09'!J185)&gt;0,'Month 09'!J185,1))</f>
        <v/>
      </c>
      <c r="E2207">
        <f>IF(OR(C2207="",D2207=""),"",IF(D2207=1,C2207,ROUND(C2207*(1+D2207/30),1)))</f>
        <v/>
      </c>
    </row>
    <row r="2208">
      <c r="A2208">
        <f>'Month 09'!B173</f>
        <v/>
      </c>
      <c r="B2208" t="inlineStr">
        <is>
          <t>Safety Bar Squat</t>
        </is>
      </c>
      <c r="C2208">
        <f>IF(AND('Month 09'!L186&lt;&gt;"",N('Month 09'!I186)&gt;0),'Month 09'!I186,"")</f>
        <v/>
      </c>
      <c r="D2208">
        <f>IF(C2208="","",IF(N('Month 09'!J186)&gt;0,'Month 09'!J186,1))</f>
        <v/>
      </c>
      <c r="E2208">
        <f>IF(OR(C2208="",D2208=""),"",IF(D2208=1,C2208,ROUND(C2208*(1+D2208/30),1)))</f>
        <v/>
      </c>
    </row>
    <row r="2209">
      <c r="A2209">
        <f>'Month 09'!B173</f>
        <v/>
      </c>
      <c r="B2209" t="inlineStr">
        <is>
          <t>Safety Bar Squat</t>
        </is>
      </c>
      <c r="C2209">
        <f>IF(AND('Month 09'!L187&lt;&gt;"",N('Month 09'!I187)&gt;0),'Month 09'!I187,"")</f>
        <v/>
      </c>
      <c r="D2209">
        <f>IF(C2209="","",IF(N('Month 09'!J187)&gt;0,'Month 09'!J187,1))</f>
        <v/>
      </c>
      <c r="E2209">
        <f>IF(OR(C2209="",D2209=""),"",IF(D2209=1,C2209,ROUND(C2209*(1+D2209/30),1)))</f>
        <v/>
      </c>
    </row>
    <row r="2210">
      <c r="A2210">
        <f>'Month 09'!B173</f>
        <v/>
      </c>
      <c r="B2210" t="inlineStr">
        <is>
          <t>Safety Bar Squat</t>
        </is>
      </c>
      <c r="C2210">
        <f>IF(AND('Month 09'!L188&lt;&gt;"",N('Month 09'!I188)&gt;0),'Month 09'!I188,"")</f>
        <v/>
      </c>
      <c r="D2210">
        <f>IF(C2210="","",IF(N('Month 09'!J188)&gt;0,'Month 09'!J188,1))</f>
        <v/>
      </c>
      <c r="E2210">
        <f>IF(OR(C2210="",D2210=""),"",IF(D2210=1,C2210,ROUND(C2210*(1+D2210/30),1)))</f>
        <v/>
      </c>
    </row>
    <row r="2211">
      <c r="A2211">
        <f>'Month 09'!B173</f>
        <v/>
      </c>
      <c r="B2211" t="inlineStr">
        <is>
          <t>Safety Bar Squat</t>
        </is>
      </c>
      <c r="C2211">
        <f>IF(AND('Month 09'!L189&lt;&gt;"",N('Month 09'!I189)&gt;0),'Month 09'!I189,"")</f>
        <v/>
      </c>
      <c r="D2211">
        <f>IF(C2211="","",IF(N('Month 09'!J189)&gt;0,'Month 09'!J189,1))</f>
        <v/>
      </c>
      <c r="E2211">
        <f>IF(OR(C2211="",D2211=""),"",IF(D2211=1,C2211,ROUND(C2211*(1+D2211/30),1)))</f>
        <v/>
      </c>
    </row>
    <row r="2212">
      <c r="A2212">
        <f>'Month 09'!B173</f>
        <v/>
      </c>
      <c r="B2212" t="inlineStr">
        <is>
          <t>2-Board Press</t>
        </is>
      </c>
      <c r="C2212">
        <f>IF(AND('Month 09'!L191&lt;&gt;"",N('Month 09'!I191)&gt;0),'Month 09'!I191,"")</f>
        <v/>
      </c>
      <c r="D2212">
        <f>IF(C2212="","",IF(N('Month 09'!J191)&gt;0,'Month 09'!J191,1))</f>
        <v/>
      </c>
      <c r="E2212">
        <f>IF(OR(C2212="",D2212=""),"",IF(D2212=1,C2212,ROUND(C2212*(1+D2212/30),1)))</f>
        <v/>
      </c>
    </row>
    <row r="2213">
      <c r="A2213">
        <f>'Month 09'!B173</f>
        <v/>
      </c>
      <c r="B2213" t="inlineStr">
        <is>
          <t>2-Board Press</t>
        </is>
      </c>
      <c r="C2213">
        <f>IF(AND('Month 09'!L192&lt;&gt;"",N('Month 09'!I192)&gt;0),'Month 09'!I192,"")</f>
        <v/>
      </c>
      <c r="D2213">
        <f>IF(C2213="","",IF(N('Month 09'!J192)&gt;0,'Month 09'!J192,1))</f>
        <v/>
      </c>
      <c r="E2213">
        <f>IF(OR(C2213="",D2213=""),"",IF(D2213=1,C2213,ROUND(C2213*(1+D2213/30),1)))</f>
        <v/>
      </c>
    </row>
    <row r="2214">
      <c r="A2214">
        <f>'Month 09'!B173</f>
        <v/>
      </c>
      <c r="B2214" t="inlineStr">
        <is>
          <t>2-Board Press</t>
        </is>
      </c>
      <c r="C2214">
        <f>IF(AND('Month 09'!L193&lt;&gt;"",N('Month 09'!I193)&gt;0),'Month 09'!I193,"")</f>
        <v/>
      </c>
      <c r="D2214">
        <f>IF(C2214="","",IF(N('Month 09'!J193)&gt;0,'Month 09'!J193,1))</f>
        <v/>
      </c>
      <c r="E2214">
        <f>IF(OR(C2214="",D2214=""),"",IF(D2214=1,C2214,ROUND(C2214*(1+D2214/30),1)))</f>
        <v/>
      </c>
    </row>
    <row r="2215">
      <c r="A2215">
        <f>'Month 09'!B173</f>
        <v/>
      </c>
      <c r="B2215" t="inlineStr">
        <is>
          <t>2-Board Press</t>
        </is>
      </c>
      <c r="C2215">
        <f>IF(AND('Month 09'!L194&lt;&gt;"",N('Month 09'!I194)&gt;0),'Month 09'!I194,"")</f>
        <v/>
      </c>
      <c r="D2215">
        <f>IF(C2215="","",IF(N('Month 09'!J194)&gt;0,'Month 09'!J194,1))</f>
        <v/>
      </c>
      <c r="E2215">
        <f>IF(OR(C2215="",D2215=""),"",IF(D2215=1,C2215,ROUND(C2215*(1+D2215/30),1)))</f>
        <v/>
      </c>
    </row>
    <row r="2216">
      <c r="A2216">
        <f>'Month 09'!B173</f>
        <v/>
      </c>
      <c r="B2216" t="inlineStr">
        <is>
          <t>2-Board Press</t>
        </is>
      </c>
      <c r="C2216">
        <f>IF(AND('Month 09'!L195&lt;&gt;"",N('Month 09'!I195)&gt;0),'Month 09'!I195,"")</f>
        <v/>
      </c>
      <c r="D2216">
        <f>IF(C2216="","",IF(N('Month 09'!J195)&gt;0,'Month 09'!J195,1))</f>
        <v/>
      </c>
      <c r="E2216">
        <f>IF(OR(C2216="",D2216=""),"",IF(D2216=1,C2216,ROUND(C2216*(1+D2216/30),1)))</f>
        <v/>
      </c>
    </row>
    <row r="2217">
      <c r="A2217">
        <f>'Month 09'!B173</f>
        <v/>
      </c>
      <c r="B2217" t="inlineStr">
        <is>
          <t>Romanian Deadlift</t>
        </is>
      </c>
      <c r="C2217">
        <f>IF(AND('Month 09'!L197&lt;&gt;"",N('Month 09'!I197)&gt;0),'Month 09'!I197,"")</f>
        <v/>
      </c>
      <c r="D2217">
        <f>IF(C2217="","",IF(N('Month 09'!J197)&gt;0,'Month 09'!J197,1))</f>
        <v/>
      </c>
      <c r="E2217">
        <f>IF(OR(C2217="",D2217=""),"",IF(D2217=1,C2217,ROUND(C2217*(1+D2217/30),1)))</f>
        <v/>
      </c>
    </row>
    <row r="2218">
      <c r="A2218">
        <f>'Month 09'!B173</f>
        <v/>
      </c>
      <c r="B2218" t="inlineStr">
        <is>
          <t>Romanian Deadlift</t>
        </is>
      </c>
      <c r="C2218">
        <f>IF(AND('Month 09'!L198&lt;&gt;"",N('Month 09'!I198)&gt;0),'Month 09'!I198,"")</f>
        <v/>
      </c>
      <c r="D2218">
        <f>IF(C2218="","",IF(N('Month 09'!J198)&gt;0,'Month 09'!J198,1))</f>
        <v/>
      </c>
      <c r="E2218">
        <f>IF(OR(C2218="",D2218=""),"",IF(D2218=1,C2218,ROUND(C2218*(1+D2218/30),1)))</f>
        <v/>
      </c>
    </row>
    <row r="2219">
      <c r="A2219">
        <f>'Month 09'!B173</f>
        <v/>
      </c>
      <c r="B2219" t="inlineStr">
        <is>
          <t>Romanian Deadlift</t>
        </is>
      </c>
      <c r="C2219">
        <f>IF(AND('Month 09'!L199&lt;&gt;"",N('Month 09'!I199)&gt;0),'Month 09'!I199,"")</f>
        <v/>
      </c>
      <c r="D2219">
        <f>IF(C2219="","",IF(N('Month 09'!J199)&gt;0,'Month 09'!J199,1))</f>
        <v/>
      </c>
      <c r="E2219">
        <f>IF(OR(C2219="",D2219=""),"",IF(D2219=1,C2219,ROUND(C2219*(1+D2219/30),1)))</f>
        <v/>
      </c>
    </row>
    <row r="2220">
      <c r="A2220">
        <f>'Month 09'!B173</f>
        <v/>
      </c>
      <c r="B2220" t="inlineStr">
        <is>
          <t>Incline Dumbbell Press</t>
        </is>
      </c>
      <c r="C2220">
        <f>IF(AND('Month 09'!L201&lt;&gt;"",N('Month 09'!I201)&gt;0),'Month 09'!I201,"")</f>
        <v/>
      </c>
      <c r="D2220">
        <f>IF(C2220="","",IF(N('Month 09'!J201)&gt;0,'Month 09'!J201,1))</f>
        <v/>
      </c>
      <c r="E2220">
        <f>IF(OR(C2220="",D2220=""),"",IF(D2220=1,C2220,ROUND(C2220*(1+D2220/30),1)))</f>
        <v/>
      </c>
    </row>
    <row r="2221">
      <c r="A2221">
        <f>'Month 09'!B173</f>
        <v/>
      </c>
      <c r="B2221" t="inlineStr">
        <is>
          <t>Incline Dumbbell Press</t>
        </is>
      </c>
      <c r="C2221">
        <f>IF(AND('Month 09'!L202&lt;&gt;"",N('Month 09'!I202)&gt;0),'Month 09'!I202,"")</f>
        <v/>
      </c>
      <c r="D2221">
        <f>IF(C2221="","",IF(N('Month 09'!J202)&gt;0,'Month 09'!J202,1))</f>
        <v/>
      </c>
      <c r="E2221">
        <f>IF(OR(C2221="",D2221=""),"",IF(D2221=1,C2221,ROUND(C2221*(1+D2221/30),1)))</f>
        <v/>
      </c>
    </row>
    <row r="2222">
      <c r="A2222">
        <f>'Month 09'!B173</f>
        <v/>
      </c>
      <c r="B2222" t="inlineStr">
        <is>
          <t>Incline Dumbbell Press</t>
        </is>
      </c>
      <c r="C2222">
        <f>IF(AND('Month 09'!L203&lt;&gt;"",N('Month 09'!I203)&gt;0),'Month 09'!I203,"")</f>
        <v/>
      </c>
      <c r="D2222">
        <f>IF(C2222="","",IF(N('Month 09'!J203)&gt;0,'Month 09'!J203,1))</f>
        <v/>
      </c>
      <c r="E2222">
        <f>IF(OR(C2222="",D2222=""),"",IF(D2222=1,C2222,ROUND(C2222*(1+D2222/30),1)))</f>
        <v/>
      </c>
    </row>
    <row r="2223">
      <c r="A2223">
        <f>'Month 09'!B173</f>
        <v/>
      </c>
      <c r="B2223" t="inlineStr">
        <is>
          <t>Triceps Pushdown</t>
        </is>
      </c>
      <c r="C2223">
        <f>IF(AND('Month 09'!L205&lt;&gt;"",N('Month 09'!I205)&gt;0),'Month 09'!I205,"")</f>
        <v/>
      </c>
      <c r="D2223">
        <f>IF(C2223="","",IF(N('Month 09'!J205)&gt;0,'Month 09'!J205,1))</f>
        <v/>
      </c>
      <c r="E2223">
        <f>IF(OR(C2223="",D2223=""),"",IF(D2223=1,C2223,ROUND(C2223*(1+D2223/30),1)))</f>
        <v/>
      </c>
    </row>
    <row r="2224">
      <c r="A2224">
        <f>'Month 09'!B173</f>
        <v/>
      </c>
      <c r="B2224" t="inlineStr">
        <is>
          <t>Triceps Pushdown</t>
        </is>
      </c>
      <c r="C2224">
        <f>IF(AND('Month 09'!L206&lt;&gt;"",N('Month 09'!I206)&gt;0),'Month 09'!I206,"")</f>
        <v/>
      </c>
      <c r="D2224">
        <f>IF(C2224="","",IF(N('Month 09'!J206)&gt;0,'Month 09'!J206,1))</f>
        <v/>
      </c>
      <c r="E2224">
        <f>IF(OR(C2224="",D2224=""),"",IF(D2224=1,C2224,ROUND(C2224*(1+D2224/30),1)))</f>
        <v/>
      </c>
    </row>
    <row r="2225">
      <c r="A2225">
        <f>'Month 09'!B173</f>
        <v/>
      </c>
      <c r="B2225" t="inlineStr">
        <is>
          <t>Triceps Pushdown</t>
        </is>
      </c>
      <c r="C2225">
        <f>IF(AND('Month 09'!L207&lt;&gt;"",N('Month 09'!I207)&gt;0),'Month 09'!I207,"")</f>
        <v/>
      </c>
      <c r="D2225">
        <f>IF(C2225="","",IF(N('Month 09'!J207)&gt;0,'Month 09'!J207,1))</f>
        <v/>
      </c>
      <c r="E2225">
        <f>IF(OR(C2225="",D2225=""),"",IF(D2225=1,C2225,ROUND(C2225*(1+D2225/30),1)))</f>
        <v/>
      </c>
    </row>
    <row r="2226">
      <c r="A2226">
        <f>'Month 09'!B210</f>
        <v/>
      </c>
      <c r="B2226" t="inlineStr">
        <is>
          <t>Box Jump</t>
        </is>
      </c>
      <c r="C2226">
        <f>IF(AND('Month 09'!L212&lt;&gt;"",N('Month 09'!I212)&gt;0),'Month 09'!I212,"")</f>
        <v/>
      </c>
      <c r="D2226">
        <f>IF(C2226="","",IF(N('Month 09'!J212)&gt;0,'Month 09'!J212,1))</f>
        <v/>
      </c>
      <c r="E2226">
        <f>IF(OR(C2226="",D2226=""),"",IF(D2226=1,C2226,ROUND(C2226*(1+D2226/30),1)))</f>
        <v/>
      </c>
    </row>
    <row r="2227">
      <c r="A2227">
        <f>'Month 09'!B210</f>
        <v/>
      </c>
      <c r="B2227" t="inlineStr">
        <is>
          <t>Box Jump</t>
        </is>
      </c>
      <c r="C2227">
        <f>IF(AND('Month 09'!L213&lt;&gt;"",N('Month 09'!I213)&gt;0),'Month 09'!I213,"")</f>
        <v/>
      </c>
      <c r="D2227">
        <f>IF(C2227="","",IF(N('Month 09'!J213)&gt;0,'Month 09'!J213,1))</f>
        <v/>
      </c>
      <c r="E2227">
        <f>IF(OR(C2227="",D2227=""),"",IF(D2227=1,C2227,ROUND(C2227*(1+D2227/30),1)))</f>
        <v/>
      </c>
    </row>
    <row r="2228">
      <c r="A2228">
        <f>'Month 09'!B210</f>
        <v/>
      </c>
      <c r="B2228" t="inlineStr">
        <is>
          <t>Snatch</t>
        </is>
      </c>
      <c r="C2228">
        <f>IF(AND('Month 09'!L215&lt;&gt;"",N('Month 09'!I215)&gt;0),'Month 09'!I215,"")</f>
        <v/>
      </c>
      <c r="D2228">
        <f>IF(C2228="","",IF(N('Month 09'!J215)&gt;0,'Month 09'!J215,1))</f>
        <v/>
      </c>
      <c r="E2228">
        <f>IF(OR(C2228="",D2228=""),"",IF(D2228=1,C2228,ROUND(C2228*(1+D2228/30),1)))</f>
        <v/>
      </c>
    </row>
    <row r="2229">
      <c r="A2229">
        <f>'Month 09'!B210</f>
        <v/>
      </c>
      <c r="B2229" t="inlineStr">
        <is>
          <t>Snatch</t>
        </is>
      </c>
      <c r="C2229">
        <f>IF(AND('Month 09'!L216&lt;&gt;"",N('Month 09'!I216)&gt;0),'Month 09'!I216,"")</f>
        <v/>
      </c>
      <c r="D2229">
        <f>IF(C2229="","",IF(N('Month 09'!J216)&gt;0,'Month 09'!J216,1))</f>
        <v/>
      </c>
      <c r="E2229">
        <f>IF(OR(C2229="",D2229=""),"",IF(D2229=1,C2229,ROUND(C2229*(1+D2229/30),1)))</f>
        <v/>
      </c>
    </row>
    <row r="2230">
      <c r="A2230">
        <f>'Month 09'!B210</f>
        <v/>
      </c>
      <c r="B2230" t="inlineStr">
        <is>
          <t>Snatch</t>
        </is>
      </c>
      <c r="C2230">
        <f>IF(AND('Month 09'!L217&lt;&gt;"",N('Month 09'!I217)&gt;0),'Month 09'!I217,"")</f>
        <v/>
      </c>
      <c r="D2230">
        <f>IF(C2230="","",IF(N('Month 09'!J217)&gt;0,'Month 09'!J217,1))</f>
        <v/>
      </c>
      <c r="E2230">
        <f>IF(OR(C2230="",D2230=""),"",IF(D2230=1,C2230,ROUND(C2230*(1+D2230/30),1)))</f>
        <v/>
      </c>
    </row>
    <row r="2231">
      <c r="A2231">
        <f>'Month 09'!B210</f>
        <v/>
      </c>
      <c r="B2231" t="inlineStr">
        <is>
          <t>Squat</t>
        </is>
      </c>
      <c r="C2231">
        <f>IF(AND('Month 09'!L219&lt;&gt;"",N('Month 09'!I219)&gt;0),'Month 09'!I219,"")</f>
        <v/>
      </c>
      <c r="D2231">
        <f>IF(C2231="","",IF(N('Month 09'!J219)&gt;0,'Month 09'!J219,1))</f>
        <v/>
      </c>
      <c r="E2231">
        <f>IF(OR(C2231="",D2231=""),"",IF(D2231=1,C2231,ROUND(C2231*(1+D2231/30),1)))</f>
        <v/>
      </c>
    </row>
    <row r="2232">
      <c r="A2232">
        <f>'Month 09'!B210</f>
        <v/>
      </c>
      <c r="B2232" t="inlineStr">
        <is>
          <t>Squat</t>
        </is>
      </c>
      <c r="C2232">
        <f>IF(AND('Month 09'!L220&lt;&gt;"",N('Month 09'!I220)&gt;0),'Month 09'!I220,"")</f>
        <v/>
      </c>
      <c r="D2232">
        <f>IF(C2232="","",IF(N('Month 09'!J220)&gt;0,'Month 09'!J220,1))</f>
        <v/>
      </c>
      <c r="E2232">
        <f>IF(OR(C2232="",D2232=""),"",IF(D2232=1,C2232,ROUND(C2232*(1+D2232/30),1)))</f>
        <v/>
      </c>
    </row>
    <row r="2233">
      <c r="A2233">
        <f>'Month 09'!B210</f>
        <v/>
      </c>
      <c r="B2233" t="inlineStr">
        <is>
          <t>Squat</t>
        </is>
      </c>
      <c r="C2233">
        <f>IF(AND('Month 09'!L221&lt;&gt;"",N('Month 09'!I221)&gt;0),'Month 09'!I221,"")</f>
        <v/>
      </c>
      <c r="D2233">
        <f>IF(C2233="","",IF(N('Month 09'!J221)&gt;0,'Month 09'!J221,1))</f>
        <v/>
      </c>
      <c r="E2233">
        <f>IF(OR(C2233="",D2233=""),"",IF(D2233=1,C2233,ROUND(C2233*(1+D2233/30),1)))</f>
        <v/>
      </c>
    </row>
    <row r="2234">
      <c r="A2234">
        <f>'Month 09'!B210</f>
        <v/>
      </c>
      <c r="B2234" t="inlineStr">
        <is>
          <t>Bench Press</t>
        </is>
      </c>
      <c r="C2234">
        <f>IF(AND('Month 09'!L223&lt;&gt;"",N('Month 09'!I223)&gt;0),'Month 09'!I223,"")</f>
        <v/>
      </c>
      <c r="D2234">
        <f>IF(C2234="","",IF(N('Month 09'!J223)&gt;0,'Month 09'!J223,1))</f>
        <v/>
      </c>
      <c r="E2234">
        <f>IF(OR(C2234="",D2234=""),"",IF(D2234=1,C2234,ROUND(C2234*(1+D2234/30),1)))</f>
        <v/>
      </c>
    </row>
    <row r="2235">
      <c r="A2235">
        <f>'Month 09'!B210</f>
        <v/>
      </c>
      <c r="B2235" t="inlineStr">
        <is>
          <t>Bench Press</t>
        </is>
      </c>
      <c r="C2235">
        <f>IF(AND('Month 09'!L224&lt;&gt;"",N('Month 09'!I224)&gt;0),'Month 09'!I224,"")</f>
        <v/>
      </c>
      <c r="D2235">
        <f>IF(C2235="","",IF(N('Month 09'!J224)&gt;0,'Month 09'!J224,1))</f>
        <v/>
      </c>
      <c r="E2235">
        <f>IF(OR(C2235="",D2235=""),"",IF(D2235=1,C2235,ROUND(C2235*(1+D2235/30),1)))</f>
        <v/>
      </c>
    </row>
    <row r="2236">
      <c r="A2236">
        <f>'Month 09'!B210</f>
        <v/>
      </c>
      <c r="B2236" t="inlineStr">
        <is>
          <t>Bench Press</t>
        </is>
      </c>
      <c r="C2236">
        <f>IF(AND('Month 09'!L225&lt;&gt;"",N('Month 09'!I225)&gt;0),'Month 09'!I225,"")</f>
        <v/>
      </c>
      <c r="D2236">
        <f>IF(C2236="","",IF(N('Month 09'!J225)&gt;0,'Month 09'!J225,1))</f>
        <v/>
      </c>
      <c r="E2236">
        <f>IF(OR(C2236="",D2236=""),"",IF(D2236=1,C2236,ROUND(C2236*(1+D2236/30),1)))</f>
        <v/>
      </c>
    </row>
    <row r="2237">
      <c r="A2237">
        <f>'Month 09'!B210</f>
        <v/>
      </c>
      <c r="B2237" t="inlineStr">
        <is>
          <t>Barbell Row</t>
        </is>
      </c>
      <c r="C2237">
        <f>IF(AND('Month 09'!L227&lt;&gt;"",N('Month 09'!I227)&gt;0),'Month 09'!I227,"")</f>
        <v/>
      </c>
      <c r="D2237">
        <f>IF(C2237="","",IF(N('Month 09'!J227)&gt;0,'Month 09'!J227,1))</f>
        <v/>
      </c>
      <c r="E2237">
        <f>IF(OR(C2237="",D2237=""),"",IF(D2237=1,C2237,ROUND(C2237*(1+D2237/30),1)))</f>
        <v/>
      </c>
    </row>
    <row r="2238">
      <c r="A2238">
        <f>'Month 09'!B210</f>
        <v/>
      </c>
      <c r="B2238" t="inlineStr">
        <is>
          <t>Barbell Row</t>
        </is>
      </c>
      <c r="C2238">
        <f>IF(AND('Month 09'!L228&lt;&gt;"",N('Month 09'!I228)&gt;0),'Month 09'!I228,"")</f>
        <v/>
      </c>
      <c r="D2238">
        <f>IF(C2238="","",IF(N('Month 09'!J228)&gt;0,'Month 09'!J228,1))</f>
        <v/>
      </c>
      <c r="E2238">
        <f>IF(OR(C2238="",D2238=""),"",IF(D2238=1,C2238,ROUND(C2238*(1+D2238/30),1)))</f>
        <v/>
      </c>
    </row>
    <row r="2239">
      <c r="A2239">
        <f>'Month 09'!B210</f>
        <v/>
      </c>
      <c r="B2239" t="inlineStr">
        <is>
          <t>Face Pull</t>
        </is>
      </c>
      <c r="C2239">
        <f>IF(AND('Month 09'!L230&lt;&gt;"",N('Month 09'!I230)&gt;0),'Month 09'!I230,"")</f>
        <v/>
      </c>
      <c r="D2239">
        <f>IF(C2239="","",IF(N('Month 09'!J230)&gt;0,'Month 09'!J230,1))</f>
        <v/>
      </c>
      <c r="E2239">
        <f>IF(OR(C2239="",D2239=""),"",IF(D2239=1,C2239,ROUND(C2239*(1+D2239/30),1)))</f>
        <v/>
      </c>
    </row>
    <row r="2240">
      <c r="A2240">
        <f>'Month 09'!B210</f>
        <v/>
      </c>
      <c r="B2240" t="inlineStr">
        <is>
          <t>Face Pull</t>
        </is>
      </c>
      <c r="C2240">
        <f>IF(AND('Month 09'!L231&lt;&gt;"",N('Month 09'!I231)&gt;0),'Month 09'!I231,"")</f>
        <v/>
      </c>
      <c r="D2240">
        <f>IF(C2240="","",IF(N('Month 09'!J231)&gt;0,'Month 09'!J231,1))</f>
        <v/>
      </c>
      <c r="E2240">
        <f>IF(OR(C2240="",D2240=""),"",IF(D2240=1,C2240,ROUND(C2240*(1+D2240/30),1)))</f>
        <v/>
      </c>
    </row>
    <row r="2241">
      <c r="A2241">
        <f>'Month 09'!B232</f>
        <v/>
      </c>
      <c r="B2241" t="inlineStr">
        <is>
          <t>Broad Jump</t>
        </is>
      </c>
      <c r="C2241">
        <f>IF(AND('Month 09'!L234&lt;&gt;"",N('Month 09'!I234)&gt;0),'Month 09'!I234,"")</f>
        <v/>
      </c>
      <c r="D2241">
        <f>IF(C2241="","",IF(N('Month 09'!J234)&gt;0,'Month 09'!J234,1))</f>
        <v/>
      </c>
      <c r="E2241">
        <f>IF(OR(C2241="",D2241=""),"",IF(D2241=1,C2241,ROUND(C2241*(1+D2241/30),1)))</f>
        <v/>
      </c>
    </row>
    <row r="2242">
      <c r="A2242">
        <f>'Month 09'!B232</f>
        <v/>
      </c>
      <c r="B2242" t="inlineStr">
        <is>
          <t>Broad Jump</t>
        </is>
      </c>
      <c r="C2242">
        <f>IF(AND('Month 09'!L235&lt;&gt;"",N('Month 09'!I235)&gt;0),'Month 09'!I235,"")</f>
        <v/>
      </c>
      <c r="D2242">
        <f>IF(C2242="","",IF(N('Month 09'!J235)&gt;0,'Month 09'!J235,1))</f>
        <v/>
      </c>
      <c r="E2242">
        <f>IF(OR(C2242="",D2242=""),"",IF(D2242=1,C2242,ROUND(C2242*(1+D2242/30),1)))</f>
        <v/>
      </c>
    </row>
    <row r="2243">
      <c r="A2243">
        <f>'Month 09'!B232</f>
        <v/>
      </c>
      <c r="B2243" t="inlineStr">
        <is>
          <t>Med Ball Chest Pass</t>
        </is>
      </c>
      <c r="C2243">
        <f>IF(AND('Month 09'!L237&lt;&gt;"",N('Month 09'!I237)&gt;0),'Month 09'!I237,"")</f>
        <v/>
      </c>
      <c r="D2243">
        <f>IF(C2243="","",IF(N('Month 09'!J237)&gt;0,'Month 09'!J237,1))</f>
        <v/>
      </c>
      <c r="E2243">
        <f>IF(OR(C2243="",D2243=""),"",IF(D2243=1,C2243,ROUND(C2243*(1+D2243/30),1)))</f>
        <v/>
      </c>
    </row>
    <row r="2244">
      <c r="A2244">
        <f>'Month 09'!B232</f>
        <v/>
      </c>
      <c r="B2244" t="inlineStr">
        <is>
          <t>Med Ball Chest Pass</t>
        </is>
      </c>
      <c r="C2244">
        <f>IF(AND('Month 09'!L238&lt;&gt;"",N('Month 09'!I238)&gt;0),'Month 09'!I238,"")</f>
        <v/>
      </c>
      <c r="D2244">
        <f>IF(C2244="","",IF(N('Month 09'!J238)&gt;0,'Month 09'!J238,1))</f>
        <v/>
      </c>
      <c r="E2244">
        <f>IF(OR(C2244="",D2244=""),"",IF(D2244=1,C2244,ROUND(C2244*(1+D2244/30),1)))</f>
        <v/>
      </c>
    </row>
    <row r="2245">
      <c r="A2245">
        <f>'Month 09'!B232</f>
        <v/>
      </c>
      <c r="B2245" t="inlineStr">
        <is>
          <t>Clean &amp; Jerk</t>
        </is>
      </c>
      <c r="C2245">
        <f>IF(AND('Month 09'!L240&lt;&gt;"",N('Month 09'!I240)&gt;0),'Month 09'!I240,"")</f>
        <v/>
      </c>
      <c r="D2245">
        <f>IF(C2245="","",IF(N('Month 09'!J240)&gt;0,'Month 09'!J240,1))</f>
        <v/>
      </c>
      <c r="E2245">
        <f>IF(OR(C2245="",D2245=""),"",IF(D2245=1,C2245,ROUND(C2245*(1+D2245/30),1)))</f>
        <v/>
      </c>
    </row>
    <row r="2246">
      <c r="A2246">
        <f>'Month 09'!B232</f>
        <v/>
      </c>
      <c r="B2246" t="inlineStr">
        <is>
          <t>Clean &amp; Jerk</t>
        </is>
      </c>
      <c r="C2246">
        <f>IF(AND('Month 09'!L241&lt;&gt;"",N('Month 09'!I241)&gt;0),'Month 09'!I241,"")</f>
        <v/>
      </c>
      <c r="D2246">
        <f>IF(C2246="","",IF(N('Month 09'!J241)&gt;0,'Month 09'!J241,1))</f>
        <v/>
      </c>
      <c r="E2246">
        <f>IF(OR(C2246="",D2246=""),"",IF(D2246=1,C2246,ROUND(C2246*(1+D2246/30),1)))</f>
        <v/>
      </c>
    </row>
    <row r="2247">
      <c r="A2247">
        <f>'Month 09'!B232</f>
        <v/>
      </c>
      <c r="B2247" t="inlineStr">
        <is>
          <t>Squat</t>
        </is>
      </c>
      <c r="C2247">
        <f>IF(AND('Month 09'!L243&lt;&gt;"",N('Month 09'!I243)&gt;0),'Month 09'!I243,"")</f>
        <v/>
      </c>
      <c r="D2247">
        <f>IF(C2247="","",IF(N('Month 09'!J243)&gt;0,'Month 09'!J243,1))</f>
        <v/>
      </c>
      <c r="E2247">
        <f>IF(OR(C2247="",D2247=""),"",IF(D2247=1,C2247,ROUND(C2247*(1+D2247/30),1)))</f>
        <v/>
      </c>
    </row>
    <row r="2248">
      <c r="A2248">
        <f>'Month 09'!B232</f>
        <v/>
      </c>
      <c r="B2248" t="inlineStr">
        <is>
          <t>Squat</t>
        </is>
      </c>
      <c r="C2248">
        <f>IF(AND('Month 09'!L244&lt;&gt;"",N('Month 09'!I244)&gt;0),'Month 09'!I244,"")</f>
        <v/>
      </c>
      <c r="D2248">
        <f>IF(C2248="","",IF(N('Month 09'!J244)&gt;0,'Month 09'!J244,1))</f>
        <v/>
      </c>
      <c r="E2248">
        <f>IF(OR(C2248="",D2248=""),"",IF(D2248=1,C2248,ROUND(C2248*(1+D2248/30),1)))</f>
        <v/>
      </c>
    </row>
    <row r="2249">
      <c r="A2249">
        <f>'Month 09'!B232</f>
        <v/>
      </c>
      <c r="B2249" t="inlineStr">
        <is>
          <t>Overhead Press</t>
        </is>
      </c>
      <c r="C2249">
        <f>IF(AND('Month 09'!L246&lt;&gt;"",N('Month 09'!I246)&gt;0),'Month 09'!I246,"")</f>
        <v/>
      </c>
      <c r="D2249">
        <f>IF(C2249="","",IF(N('Month 09'!J246)&gt;0,'Month 09'!J246,1))</f>
        <v/>
      </c>
      <c r="E2249">
        <f>IF(OR(C2249="",D2249=""),"",IF(D2249=1,C2249,ROUND(C2249*(1+D2249/30),1)))</f>
        <v/>
      </c>
    </row>
    <row r="2250">
      <c r="A2250">
        <f>'Month 09'!B232</f>
        <v/>
      </c>
      <c r="B2250" t="inlineStr">
        <is>
          <t>Overhead Press</t>
        </is>
      </c>
      <c r="C2250">
        <f>IF(AND('Month 09'!L247&lt;&gt;"",N('Month 09'!I247)&gt;0),'Month 09'!I247,"")</f>
        <v/>
      </c>
      <c r="D2250">
        <f>IF(C2250="","",IF(N('Month 09'!J247)&gt;0,'Month 09'!J247,1))</f>
        <v/>
      </c>
      <c r="E2250">
        <f>IF(OR(C2250="",D2250=""),"",IF(D2250=1,C2250,ROUND(C2250*(1+D2250/30),1)))</f>
        <v/>
      </c>
    </row>
    <row r="2251">
      <c r="A2251">
        <f>'Month 09'!B232</f>
        <v/>
      </c>
      <c r="B2251" t="inlineStr">
        <is>
          <t>Deadlift</t>
        </is>
      </c>
      <c r="C2251">
        <f>IF(AND('Month 09'!L249&lt;&gt;"",N('Month 09'!I249)&gt;0),'Month 09'!I249,"")</f>
        <v/>
      </c>
      <c r="D2251">
        <f>IF(C2251="","",IF(N('Month 09'!J249)&gt;0,'Month 09'!J249,1))</f>
        <v/>
      </c>
      <c r="E2251">
        <f>IF(OR(C2251="",D2251=""),"",IF(D2251=1,C2251,ROUND(C2251*(1+D2251/30),1)))</f>
        <v/>
      </c>
    </row>
    <row r="2252">
      <c r="A2252">
        <f>'Month 09'!B232</f>
        <v/>
      </c>
      <c r="B2252" t="inlineStr">
        <is>
          <t>Deadlift</t>
        </is>
      </c>
      <c r="C2252">
        <f>IF(AND('Month 09'!L250&lt;&gt;"",N('Month 09'!I250)&gt;0),'Month 09'!I250,"")</f>
        <v/>
      </c>
      <c r="D2252">
        <f>IF(C2252="","",IF(N('Month 09'!J250)&gt;0,'Month 09'!J250,1))</f>
        <v/>
      </c>
      <c r="E2252">
        <f>IF(OR(C2252="",D2252=""),"",IF(D2252=1,C2252,ROUND(C2252*(1+D2252/30),1)))</f>
        <v/>
      </c>
    </row>
    <row r="2253">
      <c r="A2253">
        <f>'Month 09'!B232</f>
        <v/>
      </c>
      <c r="B2253" t="inlineStr">
        <is>
          <t>Chin-up</t>
        </is>
      </c>
      <c r="C2253">
        <f>IF(AND('Month 09'!L252&lt;&gt;"",N('Month 09'!I252)&gt;0),'Month 09'!I252,"")</f>
        <v/>
      </c>
      <c r="D2253">
        <f>IF(C2253="","",IF(N('Month 09'!J252)&gt;0,'Month 09'!J252,1))</f>
        <v/>
      </c>
      <c r="E2253">
        <f>IF(OR(C2253="",D2253=""),"",IF(D2253=1,C2253,ROUND(C2253*(1+D2253/30),1)))</f>
        <v/>
      </c>
    </row>
    <row r="2254">
      <c r="A2254">
        <f>'Month 09'!B232</f>
        <v/>
      </c>
      <c r="B2254" t="inlineStr">
        <is>
          <t>Chin-up</t>
        </is>
      </c>
      <c r="C2254">
        <f>IF(AND('Month 09'!L253&lt;&gt;"",N('Month 09'!I253)&gt;0),'Month 09'!I253,"")</f>
        <v/>
      </c>
      <c r="D2254">
        <f>IF(C2254="","",IF(N('Month 09'!J253)&gt;0,'Month 09'!J253,1))</f>
        <v/>
      </c>
      <c r="E2254">
        <f>IF(OR(C2254="",D2254=""),"",IF(D2254=1,C2254,ROUND(C2254*(1+D2254/30),1)))</f>
        <v/>
      </c>
    </row>
    <row r="2255">
      <c r="A2255">
        <f>'Month 09'!B232</f>
        <v/>
      </c>
      <c r="B2255" t="inlineStr">
        <is>
          <t>Plank</t>
        </is>
      </c>
      <c r="C2255">
        <f>IF(AND('Month 09'!L255&lt;&gt;"",N('Month 09'!I255)&gt;0),'Month 09'!I255,"")</f>
        <v/>
      </c>
      <c r="D2255">
        <f>IF(C2255="","",IF(N('Month 09'!J255)&gt;0,'Month 09'!J255,1))</f>
        <v/>
      </c>
      <c r="E2255">
        <f>IF(OR(C2255="",D2255=""),"",IF(D2255=1,C2255,ROUND(C2255*(1+D2255/30),1)))</f>
        <v/>
      </c>
    </row>
    <row r="2256">
      <c r="A2256">
        <f>'Month 09'!B232</f>
        <v/>
      </c>
      <c r="B2256" t="inlineStr">
        <is>
          <t>Plank</t>
        </is>
      </c>
      <c r="C2256">
        <f>IF(AND('Month 09'!L256&lt;&gt;"",N('Month 09'!I256)&gt;0),'Month 09'!I256,"")</f>
        <v/>
      </c>
      <c r="D2256">
        <f>IF(C2256="","",IF(N('Month 09'!J256)&gt;0,'Month 09'!J256,1))</f>
        <v/>
      </c>
      <c r="E2256">
        <f>IF(OR(C2256="",D2256=""),"",IF(D2256=1,C2256,ROUND(C2256*(1+D2256/30),1)))</f>
        <v/>
      </c>
    </row>
    <row r="2257">
      <c r="A2257">
        <f>'Month 09'!B257</f>
        <v/>
      </c>
      <c r="B2257" t="inlineStr">
        <is>
          <t>Vertical Jump</t>
        </is>
      </c>
      <c r="C2257">
        <f>IF(AND('Month 09'!L259&lt;&gt;"",N('Month 09'!I259)&gt;0),'Month 09'!I259,"")</f>
        <v/>
      </c>
      <c r="D2257">
        <f>IF(C2257="","",IF(N('Month 09'!J259)&gt;0,'Month 09'!J259,1))</f>
        <v/>
      </c>
      <c r="E2257">
        <f>IF(OR(C2257="",D2257=""),"",IF(D2257=1,C2257,ROUND(C2257*(1+D2257/30),1)))</f>
        <v/>
      </c>
    </row>
    <row r="2258">
      <c r="A2258">
        <f>'Month 09'!B257</f>
        <v/>
      </c>
      <c r="B2258" t="inlineStr">
        <is>
          <t>Vertical Jump</t>
        </is>
      </c>
      <c r="C2258">
        <f>IF(AND('Month 09'!L260&lt;&gt;"",N('Month 09'!I260)&gt;0),'Month 09'!I260,"")</f>
        <v/>
      </c>
      <c r="D2258">
        <f>IF(C2258="","",IF(N('Month 09'!J260)&gt;0,'Month 09'!J260,1))</f>
        <v/>
      </c>
      <c r="E2258">
        <f>IF(OR(C2258="",D2258=""),"",IF(D2258=1,C2258,ROUND(C2258*(1+D2258/30),1)))</f>
        <v/>
      </c>
    </row>
    <row r="2259">
      <c r="A2259">
        <f>'Month 09'!B257</f>
        <v/>
      </c>
      <c r="B2259" t="inlineStr">
        <is>
          <t>Power Snatch</t>
        </is>
      </c>
      <c r="C2259">
        <f>IF(AND('Month 09'!L262&lt;&gt;"",N('Month 09'!I262)&gt;0),'Month 09'!I262,"")</f>
        <v/>
      </c>
      <c r="D2259">
        <f>IF(C2259="","",IF(N('Month 09'!J262)&gt;0,'Month 09'!J262,1))</f>
        <v/>
      </c>
      <c r="E2259">
        <f>IF(OR(C2259="",D2259=""),"",IF(D2259=1,C2259,ROUND(C2259*(1+D2259/30),1)))</f>
        <v/>
      </c>
    </row>
    <row r="2260">
      <c r="A2260">
        <f>'Month 09'!B257</f>
        <v/>
      </c>
      <c r="B2260" t="inlineStr">
        <is>
          <t>Power Snatch</t>
        </is>
      </c>
      <c r="C2260">
        <f>IF(AND('Month 09'!L263&lt;&gt;"",N('Month 09'!I263)&gt;0),'Month 09'!I263,"")</f>
        <v/>
      </c>
      <c r="D2260">
        <f>IF(C2260="","",IF(N('Month 09'!J263)&gt;0,'Month 09'!J263,1))</f>
        <v/>
      </c>
      <c r="E2260">
        <f>IF(OR(C2260="",D2260=""),"",IF(D2260=1,C2260,ROUND(C2260*(1+D2260/30),1)))</f>
        <v/>
      </c>
    </row>
    <row r="2261">
      <c r="A2261">
        <f>'Month 09'!B257</f>
        <v/>
      </c>
      <c r="B2261" t="inlineStr">
        <is>
          <t>Safety Bar Squat</t>
        </is>
      </c>
      <c r="C2261">
        <f>IF(AND('Month 09'!L265&lt;&gt;"",N('Month 09'!I265)&gt;0),'Month 09'!I265,"")</f>
        <v/>
      </c>
      <c r="D2261">
        <f>IF(C2261="","",IF(N('Month 09'!J265)&gt;0,'Month 09'!J265,1))</f>
        <v/>
      </c>
      <c r="E2261">
        <f>IF(OR(C2261="",D2261=""),"",IF(D2261=1,C2261,ROUND(C2261*(1+D2261/30),1)))</f>
        <v/>
      </c>
    </row>
    <row r="2262">
      <c r="A2262">
        <f>'Month 09'!B257</f>
        <v/>
      </c>
      <c r="B2262" t="inlineStr">
        <is>
          <t>Safety Bar Squat</t>
        </is>
      </c>
      <c r="C2262">
        <f>IF(AND('Month 09'!L266&lt;&gt;"",N('Month 09'!I266)&gt;0),'Month 09'!I266,"")</f>
        <v/>
      </c>
      <c r="D2262">
        <f>IF(C2262="","",IF(N('Month 09'!J266)&gt;0,'Month 09'!J266,1))</f>
        <v/>
      </c>
      <c r="E2262">
        <f>IF(OR(C2262="",D2262=""),"",IF(D2262=1,C2262,ROUND(C2262*(1+D2262/30),1)))</f>
        <v/>
      </c>
    </row>
    <row r="2263">
      <c r="A2263">
        <f>'Month 09'!B257</f>
        <v/>
      </c>
      <c r="B2263" t="inlineStr">
        <is>
          <t>2-Board Press</t>
        </is>
      </c>
      <c r="C2263">
        <f>IF(AND('Month 09'!L268&lt;&gt;"",N('Month 09'!I268)&gt;0),'Month 09'!I268,"")</f>
        <v/>
      </c>
      <c r="D2263">
        <f>IF(C2263="","",IF(N('Month 09'!J268)&gt;0,'Month 09'!J268,1))</f>
        <v/>
      </c>
      <c r="E2263">
        <f>IF(OR(C2263="",D2263=""),"",IF(D2263=1,C2263,ROUND(C2263*(1+D2263/30),1)))</f>
        <v/>
      </c>
    </row>
    <row r="2264">
      <c r="A2264">
        <f>'Month 09'!B257</f>
        <v/>
      </c>
      <c r="B2264" t="inlineStr">
        <is>
          <t>2-Board Press</t>
        </is>
      </c>
      <c r="C2264">
        <f>IF(AND('Month 09'!L269&lt;&gt;"",N('Month 09'!I269)&gt;0),'Month 09'!I269,"")</f>
        <v/>
      </c>
      <c r="D2264">
        <f>IF(C2264="","",IF(N('Month 09'!J269)&gt;0,'Month 09'!J269,1))</f>
        <v/>
      </c>
      <c r="E2264">
        <f>IF(OR(C2264="",D2264=""),"",IF(D2264=1,C2264,ROUND(C2264*(1+D2264/30),1)))</f>
        <v/>
      </c>
    </row>
    <row r="2265">
      <c r="A2265">
        <f>'Month 09'!B257</f>
        <v/>
      </c>
      <c r="B2265" t="inlineStr">
        <is>
          <t>Romanian Deadlift</t>
        </is>
      </c>
      <c r="C2265">
        <f>IF(AND('Month 09'!L271&lt;&gt;"",N('Month 09'!I271)&gt;0),'Month 09'!I271,"")</f>
        <v/>
      </c>
      <c r="D2265">
        <f>IF(C2265="","",IF(N('Month 09'!J271)&gt;0,'Month 09'!J271,1))</f>
        <v/>
      </c>
      <c r="E2265">
        <f>IF(OR(C2265="",D2265=""),"",IF(D2265=1,C2265,ROUND(C2265*(1+D2265/30),1)))</f>
        <v/>
      </c>
    </row>
    <row r="2266">
      <c r="A2266">
        <f>'Month 09'!B257</f>
        <v/>
      </c>
      <c r="B2266" t="inlineStr">
        <is>
          <t>Romanian Deadlift</t>
        </is>
      </c>
      <c r="C2266">
        <f>IF(AND('Month 09'!L272&lt;&gt;"",N('Month 09'!I272)&gt;0),'Month 09'!I272,"")</f>
        <v/>
      </c>
      <c r="D2266">
        <f>IF(C2266="","",IF(N('Month 09'!J272)&gt;0,'Month 09'!J272,1))</f>
        <v/>
      </c>
      <c r="E2266">
        <f>IF(OR(C2266="",D2266=""),"",IF(D2266=1,C2266,ROUND(C2266*(1+D2266/30),1)))</f>
        <v/>
      </c>
    </row>
    <row r="2267">
      <c r="A2267">
        <f>'Month 09'!B257</f>
        <v/>
      </c>
      <c r="B2267" t="inlineStr">
        <is>
          <t>Incline Dumbbell Press</t>
        </is>
      </c>
      <c r="C2267">
        <f>IF(AND('Month 09'!L274&lt;&gt;"",N('Month 09'!I274)&gt;0),'Month 09'!I274,"")</f>
        <v/>
      </c>
      <c r="D2267">
        <f>IF(C2267="","",IF(N('Month 09'!J274)&gt;0,'Month 09'!J274,1))</f>
        <v/>
      </c>
      <c r="E2267">
        <f>IF(OR(C2267="",D2267=""),"",IF(D2267=1,C2267,ROUND(C2267*(1+D2267/30),1)))</f>
        <v/>
      </c>
    </row>
    <row r="2268">
      <c r="A2268">
        <f>'Month 09'!B257</f>
        <v/>
      </c>
      <c r="B2268" t="inlineStr">
        <is>
          <t>Incline Dumbbell Press</t>
        </is>
      </c>
      <c r="C2268">
        <f>IF(AND('Month 09'!L275&lt;&gt;"",N('Month 09'!I275)&gt;0),'Month 09'!I275,"")</f>
        <v/>
      </c>
      <c r="D2268">
        <f>IF(C2268="","",IF(N('Month 09'!J275)&gt;0,'Month 09'!J275,1))</f>
        <v/>
      </c>
      <c r="E2268">
        <f>IF(OR(C2268="",D2268=""),"",IF(D2268=1,C2268,ROUND(C2268*(1+D2268/30),1)))</f>
        <v/>
      </c>
    </row>
    <row r="2269">
      <c r="A2269">
        <f>'Month 09'!B257</f>
        <v/>
      </c>
      <c r="B2269" t="inlineStr">
        <is>
          <t>Triceps Pushdown</t>
        </is>
      </c>
      <c r="C2269">
        <f>IF(AND('Month 09'!L277&lt;&gt;"",N('Month 09'!I277)&gt;0),'Month 09'!I277,"")</f>
        <v/>
      </c>
      <c r="D2269">
        <f>IF(C2269="","",IF(N('Month 09'!J277)&gt;0,'Month 09'!J277,1))</f>
        <v/>
      </c>
      <c r="E2269">
        <f>IF(OR(C2269="",D2269=""),"",IF(D2269=1,C2269,ROUND(C2269*(1+D2269/30),1)))</f>
        <v/>
      </c>
    </row>
    <row r="2270">
      <c r="A2270">
        <f>'Month 09'!B257</f>
        <v/>
      </c>
      <c r="B2270" t="inlineStr">
        <is>
          <t>Triceps Pushdown</t>
        </is>
      </c>
      <c r="C2270">
        <f>IF(AND('Month 09'!L278&lt;&gt;"",N('Month 09'!I278)&gt;0),'Month 09'!I278,"")</f>
        <v/>
      </c>
      <c r="D2270">
        <f>IF(C2270="","",IF(N('Month 09'!J278)&gt;0,'Month 09'!J278,1))</f>
        <v/>
      </c>
      <c r="E2270">
        <f>IF(OR(C2270="",D2270=""),"",IF(D2270=1,C2270,ROUND(C2270*(1+D2270/30),1)))</f>
        <v/>
      </c>
    </row>
    <row r="2271">
      <c r="A2271">
        <f>'Month 09'!B281</f>
        <v/>
      </c>
      <c r="B2271" t="inlineStr">
        <is>
          <t>Box Jump</t>
        </is>
      </c>
      <c r="C2271">
        <f>IF(AND('Month 09'!L283&lt;&gt;"",N('Month 09'!I283)&gt;0),'Month 09'!I283,"")</f>
        <v/>
      </c>
      <c r="D2271">
        <f>IF(C2271="","",IF(N('Month 09'!J283)&gt;0,'Month 09'!J283,1))</f>
        <v/>
      </c>
      <c r="E2271">
        <f>IF(OR(C2271="",D2271=""),"",IF(D2271=1,C2271,ROUND(C2271*(1+D2271/30),1)))</f>
        <v/>
      </c>
    </row>
    <row r="2272">
      <c r="A2272">
        <f>'Month 09'!B281</f>
        <v/>
      </c>
      <c r="B2272" t="inlineStr">
        <is>
          <t>Snatch</t>
        </is>
      </c>
      <c r="C2272">
        <f>IF(AND('Month 09'!L285&lt;&gt;"",N('Month 09'!I285)&gt;0),'Month 09'!I285,"")</f>
        <v/>
      </c>
      <c r="D2272">
        <f>IF(C2272="","",IF(N('Month 09'!J285)&gt;0,'Month 09'!J285,1))</f>
        <v/>
      </c>
      <c r="E2272">
        <f>IF(OR(C2272="",D2272=""),"",IF(D2272=1,C2272,ROUND(C2272*(1+D2272/30),1)))</f>
        <v/>
      </c>
    </row>
    <row r="2273">
      <c r="A2273">
        <f>'Month 09'!B281</f>
        <v/>
      </c>
      <c r="B2273" t="inlineStr">
        <is>
          <t>Squat</t>
        </is>
      </c>
      <c r="C2273">
        <f>IF(AND('Month 09'!L287&lt;&gt;"",N('Month 09'!I287)&gt;0),'Month 09'!I287,"")</f>
        <v/>
      </c>
      <c r="D2273">
        <f>IF(C2273="","",IF(N('Month 09'!J287)&gt;0,'Month 09'!J287,1))</f>
        <v/>
      </c>
      <c r="E2273">
        <f>IF(OR(C2273="",D2273=""),"",IF(D2273=1,C2273,ROUND(C2273*(1+D2273/30),1)))</f>
        <v/>
      </c>
    </row>
    <row r="2274">
      <c r="A2274">
        <f>'Month 09'!B281</f>
        <v/>
      </c>
      <c r="B2274" t="inlineStr">
        <is>
          <t>Bench Press</t>
        </is>
      </c>
      <c r="C2274">
        <f>IF(AND('Month 09'!L289&lt;&gt;"",N('Month 09'!I289)&gt;0),'Month 09'!I289,"")</f>
        <v/>
      </c>
      <c r="D2274">
        <f>IF(C2274="","",IF(N('Month 09'!J289)&gt;0,'Month 09'!J289,1))</f>
        <v/>
      </c>
      <c r="E2274">
        <f>IF(OR(C2274="",D2274=""),"",IF(D2274=1,C2274,ROUND(C2274*(1+D2274/30),1)))</f>
        <v/>
      </c>
    </row>
    <row r="2275">
      <c r="A2275">
        <f>'Month 09'!B281</f>
        <v/>
      </c>
      <c r="B2275" t="inlineStr">
        <is>
          <t>Barbell Row</t>
        </is>
      </c>
      <c r="C2275">
        <f>IF(AND('Month 09'!L291&lt;&gt;"",N('Month 09'!I291)&gt;0),'Month 09'!I291,"")</f>
        <v/>
      </c>
      <c r="D2275">
        <f>IF(C2275="","",IF(N('Month 09'!J291)&gt;0,'Month 09'!J291,1))</f>
        <v/>
      </c>
      <c r="E2275">
        <f>IF(OR(C2275="",D2275=""),"",IF(D2275=1,C2275,ROUND(C2275*(1+D2275/30),1)))</f>
        <v/>
      </c>
    </row>
    <row r="2276">
      <c r="A2276">
        <f>'Month 09'!B281</f>
        <v/>
      </c>
      <c r="B2276" t="inlineStr">
        <is>
          <t>Barbell Row</t>
        </is>
      </c>
      <c r="C2276">
        <f>IF(AND('Month 09'!L292&lt;&gt;"",N('Month 09'!I292)&gt;0),'Month 09'!I292,"")</f>
        <v/>
      </c>
      <c r="D2276">
        <f>IF(C2276="","",IF(N('Month 09'!J292)&gt;0,'Month 09'!J292,1))</f>
        <v/>
      </c>
      <c r="E2276">
        <f>IF(OR(C2276="",D2276=""),"",IF(D2276=1,C2276,ROUND(C2276*(1+D2276/30),1)))</f>
        <v/>
      </c>
    </row>
    <row r="2277">
      <c r="A2277">
        <f>'Month 09'!B281</f>
        <v/>
      </c>
      <c r="B2277" t="inlineStr">
        <is>
          <t>Face Pull</t>
        </is>
      </c>
      <c r="C2277">
        <f>IF(AND('Month 09'!L294&lt;&gt;"",N('Month 09'!I294)&gt;0),'Month 09'!I294,"")</f>
        <v/>
      </c>
      <c r="D2277">
        <f>IF(C2277="","",IF(N('Month 09'!J294)&gt;0,'Month 09'!J294,1))</f>
        <v/>
      </c>
      <c r="E2277">
        <f>IF(OR(C2277="",D2277=""),"",IF(D2277=1,C2277,ROUND(C2277*(1+D2277/30),1)))</f>
        <v/>
      </c>
    </row>
    <row r="2278">
      <c r="A2278">
        <f>'Month 09'!B281</f>
        <v/>
      </c>
      <c r="B2278" t="inlineStr">
        <is>
          <t>Face Pull</t>
        </is>
      </c>
      <c r="C2278">
        <f>IF(AND('Month 09'!L295&lt;&gt;"",N('Month 09'!I295)&gt;0),'Month 09'!I295,"")</f>
        <v/>
      </c>
      <c r="D2278">
        <f>IF(C2278="","",IF(N('Month 09'!J295)&gt;0,'Month 09'!J295,1))</f>
        <v/>
      </c>
      <c r="E2278">
        <f>IF(OR(C2278="",D2278=""),"",IF(D2278=1,C2278,ROUND(C2278*(1+D2278/30),1)))</f>
        <v/>
      </c>
    </row>
    <row r="2279">
      <c r="A2279">
        <f>'Month 09'!B296</f>
        <v/>
      </c>
      <c r="B2279" t="inlineStr">
        <is>
          <t>Broad Jump</t>
        </is>
      </c>
      <c r="C2279">
        <f>IF(AND('Month 09'!L298&lt;&gt;"",N('Month 09'!I298)&gt;0),'Month 09'!I298,"")</f>
        <v/>
      </c>
      <c r="D2279">
        <f>IF(C2279="","",IF(N('Month 09'!J298)&gt;0,'Month 09'!J298,1))</f>
        <v/>
      </c>
      <c r="E2279">
        <f>IF(OR(C2279="",D2279=""),"",IF(D2279=1,C2279,ROUND(C2279*(1+D2279/30),1)))</f>
        <v/>
      </c>
    </row>
    <row r="2280">
      <c r="A2280">
        <f>'Month 09'!B296</f>
        <v/>
      </c>
      <c r="B2280" t="inlineStr">
        <is>
          <t>Clean &amp; Jerk</t>
        </is>
      </c>
      <c r="C2280">
        <f>IF(AND('Month 09'!L300&lt;&gt;"",N('Month 09'!I300)&gt;0),'Month 09'!I300,"")</f>
        <v/>
      </c>
      <c r="D2280">
        <f>IF(C2280="","",IF(N('Month 09'!J300)&gt;0,'Month 09'!J300,1))</f>
        <v/>
      </c>
      <c r="E2280">
        <f>IF(OR(C2280="",D2280=""),"",IF(D2280=1,C2280,ROUND(C2280*(1+D2280/30),1)))</f>
        <v/>
      </c>
    </row>
    <row r="2281">
      <c r="A2281">
        <f>'Month 09'!B296</f>
        <v/>
      </c>
      <c r="B2281" t="inlineStr">
        <is>
          <t>Squat</t>
        </is>
      </c>
      <c r="C2281">
        <f>IF(AND('Month 09'!L302&lt;&gt;"",N('Month 09'!I302)&gt;0),'Month 09'!I302,"")</f>
        <v/>
      </c>
      <c r="D2281">
        <f>IF(C2281="","",IF(N('Month 09'!J302)&gt;0,'Month 09'!J302,1))</f>
        <v/>
      </c>
      <c r="E2281">
        <f>IF(OR(C2281="",D2281=""),"",IF(D2281=1,C2281,ROUND(C2281*(1+D2281/30),1)))</f>
        <v/>
      </c>
    </row>
    <row r="2282">
      <c r="A2282">
        <f>'Month 09'!B296</f>
        <v/>
      </c>
      <c r="B2282" t="inlineStr">
        <is>
          <t>Squat</t>
        </is>
      </c>
      <c r="C2282">
        <f>IF(AND('Month 09'!L303&lt;&gt;"",N('Month 09'!I303)&gt;0),'Month 09'!I303,"")</f>
        <v/>
      </c>
      <c r="D2282">
        <f>IF(C2282="","",IF(N('Month 09'!J303)&gt;0,'Month 09'!J303,1))</f>
        <v/>
      </c>
      <c r="E2282">
        <f>IF(OR(C2282="",D2282=""),"",IF(D2282=1,C2282,ROUND(C2282*(1+D2282/30),1)))</f>
        <v/>
      </c>
    </row>
    <row r="2283">
      <c r="A2283">
        <f>'Month 09'!B296</f>
        <v/>
      </c>
      <c r="B2283" t="inlineStr">
        <is>
          <t>Overhead Press</t>
        </is>
      </c>
      <c r="C2283">
        <f>IF(AND('Month 09'!L305&lt;&gt;"",N('Month 09'!I305)&gt;0),'Month 09'!I305,"")</f>
        <v/>
      </c>
      <c r="D2283">
        <f>IF(C2283="","",IF(N('Month 09'!J305)&gt;0,'Month 09'!J305,1))</f>
        <v/>
      </c>
      <c r="E2283">
        <f>IF(OR(C2283="",D2283=""),"",IF(D2283=1,C2283,ROUND(C2283*(1+D2283/30),1)))</f>
        <v/>
      </c>
    </row>
    <row r="2284">
      <c r="A2284">
        <f>'Month 09'!B296</f>
        <v/>
      </c>
      <c r="B2284" t="inlineStr">
        <is>
          <t>Deadlift</t>
        </is>
      </c>
      <c r="C2284">
        <f>IF(AND('Month 09'!L307&lt;&gt;"",N('Month 09'!I307)&gt;0),'Month 09'!I307,"")</f>
        <v/>
      </c>
      <c r="D2284">
        <f>IF(C2284="","",IF(N('Month 09'!J307)&gt;0,'Month 09'!J307,1))</f>
        <v/>
      </c>
      <c r="E2284">
        <f>IF(OR(C2284="",D2284=""),"",IF(D2284=1,C2284,ROUND(C2284*(1+D2284/30),1)))</f>
        <v/>
      </c>
    </row>
    <row r="2285">
      <c r="A2285">
        <f>'Month 09'!B296</f>
        <v/>
      </c>
      <c r="B2285" t="inlineStr">
        <is>
          <t>Chin-up</t>
        </is>
      </c>
      <c r="C2285">
        <f>IF(AND('Month 09'!L309&lt;&gt;"",N('Month 09'!I309)&gt;0),'Month 09'!I309,"")</f>
        <v/>
      </c>
      <c r="D2285">
        <f>IF(C2285="","",IF(N('Month 09'!J309)&gt;0,'Month 09'!J309,1))</f>
        <v/>
      </c>
      <c r="E2285">
        <f>IF(OR(C2285="",D2285=""),"",IF(D2285=1,C2285,ROUND(C2285*(1+D2285/30),1)))</f>
        <v/>
      </c>
    </row>
    <row r="2286">
      <c r="A2286">
        <f>'Month 09'!B296</f>
        <v/>
      </c>
      <c r="B2286" t="inlineStr">
        <is>
          <t>Chin-up</t>
        </is>
      </c>
      <c r="C2286">
        <f>IF(AND('Month 09'!L310&lt;&gt;"",N('Month 09'!I310)&gt;0),'Month 09'!I310,"")</f>
        <v/>
      </c>
      <c r="D2286">
        <f>IF(C2286="","",IF(N('Month 09'!J310)&gt;0,'Month 09'!J310,1))</f>
        <v/>
      </c>
      <c r="E2286">
        <f>IF(OR(C2286="",D2286=""),"",IF(D2286=1,C2286,ROUND(C2286*(1+D2286/30),1)))</f>
        <v/>
      </c>
    </row>
    <row r="2287">
      <c r="A2287">
        <f>'Month 09'!B296</f>
        <v/>
      </c>
      <c r="B2287" t="inlineStr">
        <is>
          <t>Plank</t>
        </is>
      </c>
      <c r="C2287">
        <f>IF(AND('Month 09'!L312&lt;&gt;"",N('Month 09'!I312)&gt;0),'Month 09'!I312,"")</f>
        <v/>
      </c>
      <c r="D2287">
        <f>IF(C2287="","",IF(N('Month 09'!J312)&gt;0,'Month 09'!J312,1))</f>
        <v/>
      </c>
      <c r="E2287">
        <f>IF(OR(C2287="",D2287=""),"",IF(D2287=1,C2287,ROUND(C2287*(1+D2287/30),1)))</f>
        <v/>
      </c>
    </row>
    <row r="2288">
      <c r="A2288">
        <f>'Month 09'!B296</f>
        <v/>
      </c>
      <c r="B2288" t="inlineStr">
        <is>
          <t>Plank</t>
        </is>
      </c>
      <c r="C2288">
        <f>IF(AND('Month 09'!L313&lt;&gt;"",N('Month 09'!I313)&gt;0),'Month 09'!I313,"")</f>
        <v/>
      </c>
      <c r="D2288">
        <f>IF(C2288="","",IF(N('Month 09'!J313)&gt;0,'Month 09'!J313,1))</f>
        <v/>
      </c>
      <c r="E2288">
        <f>IF(OR(C2288="",D2288=""),"",IF(D2288=1,C2288,ROUND(C2288*(1+D2288/30),1)))</f>
        <v/>
      </c>
    </row>
    <row r="2289">
      <c r="A2289">
        <f>'Month 09'!B314</f>
        <v/>
      </c>
      <c r="B2289" t="inlineStr">
        <is>
          <t>Vertical Jump</t>
        </is>
      </c>
      <c r="C2289">
        <f>IF(AND('Month 09'!L316&lt;&gt;"",N('Month 09'!I316)&gt;0),'Month 09'!I316,"")</f>
        <v/>
      </c>
      <c r="D2289">
        <f>IF(C2289="","",IF(N('Month 09'!J316)&gt;0,'Month 09'!J316,1))</f>
        <v/>
      </c>
      <c r="E2289">
        <f>IF(OR(C2289="",D2289=""),"",IF(D2289=1,C2289,ROUND(C2289*(1+D2289/30),1)))</f>
        <v/>
      </c>
    </row>
    <row r="2290">
      <c r="A2290">
        <f>'Month 09'!B314</f>
        <v/>
      </c>
      <c r="B2290" t="inlineStr">
        <is>
          <t>Power Snatch</t>
        </is>
      </c>
      <c r="C2290">
        <f>IF(AND('Month 09'!L318&lt;&gt;"",N('Month 09'!I318)&gt;0),'Month 09'!I318,"")</f>
        <v/>
      </c>
      <c r="D2290">
        <f>IF(C2290="","",IF(N('Month 09'!J318)&gt;0,'Month 09'!J318,1))</f>
        <v/>
      </c>
      <c r="E2290">
        <f>IF(OR(C2290="",D2290=""),"",IF(D2290=1,C2290,ROUND(C2290*(1+D2290/30),1)))</f>
        <v/>
      </c>
    </row>
    <row r="2291">
      <c r="A2291">
        <f>'Month 09'!B314</f>
        <v/>
      </c>
      <c r="B2291" t="inlineStr">
        <is>
          <t>Safety Bar Squat</t>
        </is>
      </c>
      <c r="C2291">
        <f>IF(AND('Month 09'!L320&lt;&gt;"",N('Month 09'!I320)&gt;0),'Month 09'!I320,"")</f>
        <v/>
      </c>
      <c r="D2291">
        <f>IF(C2291="","",IF(N('Month 09'!J320)&gt;0,'Month 09'!J320,1))</f>
        <v/>
      </c>
      <c r="E2291">
        <f>IF(OR(C2291="",D2291=""),"",IF(D2291=1,C2291,ROUND(C2291*(1+D2291/30),1)))</f>
        <v/>
      </c>
    </row>
    <row r="2292">
      <c r="A2292">
        <f>'Month 09'!B314</f>
        <v/>
      </c>
      <c r="B2292" t="inlineStr">
        <is>
          <t>2-Board Press</t>
        </is>
      </c>
      <c r="C2292">
        <f>IF(AND('Month 09'!L322&lt;&gt;"",N('Month 09'!I322)&gt;0),'Month 09'!I322,"")</f>
        <v/>
      </c>
      <c r="D2292">
        <f>IF(C2292="","",IF(N('Month 09'!J322)&gt;0,'Month 09'!J322,1))</f>
        <v/>
      </c>
      <c r="E2292">
        <f>IF(OR(C2292="",D2292=""),"",IF(D2292=1,C2292,ROUND(C2292*(1+D2292/30),1)))</f>
        <v/>
      </c>
    </row>
    <row r="2293">
      <c r="A2293">
        <f>'Month 09'!B314</f>
        <v/>
      </c>
      <c r="B2293" t="inlineStr">
        <is>
          <t>Romanian Deadlift</t>
        </is>
      </c>
      <c r="C2293">
        <f>IF(AND('Month 09'!L324&lt;&gt;"",N('Month 09'!I324)&gt;0),'Month 09'!I324,"")</f>
        <v/>
      </c>
      <c r="D2293">
        <f>IF(C2293="","",IF(N('Month 09'!J324)&gt;0,'Month 09'!J324,1))</f>
        <v/>
      </c>
      <c r="E2293">
        <f>IF(OR(C2293="",D2293=""),"",IF(D2293=1,C2293,ROUND(C2293*(1+D2293/30),1)))</f>
        <v/>
      </c>
    </row>
    <row r="2294">
      <c r="A2294">
        <f>'Month 09'!B314</f>
        <v/>
      </c>
      <c r="B2294" t="inlineStr">
        <is>
          <t>Incline Dumbbell Press</t>
        </is>
      </c>
      <c r="C2294">
        <f>IF(AND('Month 09'!L326&lt;&gt;"",N('Month 09'!I326)&gt;0),'Month 09'!I326,"")</f>
        <v/>
      </c>
      <c r="D2294">
        <f>IF(C2294="","",IF(N('Month 09'!J326)&gt;0,'Month 09'!J326,1))</f>
        <v/>
      </c>
      <c r="E2294">
        <f>IF(OR(C2294="",D2294=""),"",IF(D2294=1,C2294,ROUND(C2294*(1+D2294/30),1)))</f>
        <v/>
      </c>
    </row>
    <row r="2295">
      <c r="A2295">
        <f>'Month 09'!B314</f>
        <v/>
      </c>
      <c r="B2295" t="inlineStr">
        <is>
          <t>Incline Dumbbell Press</t>
        </is>
      </c>
      <c r="C2295">
        <f>IF(AND('Month 09'!L327&lt;&gt;"",N('Month 09'!I327)&gt;0),'Month 09'!I327,"")</f>
        <v/>
      </c>
      <c r="D2295">
        <f>IF(C2295="","",IF(N('Month 09'!J327)&gt;0,'Month 09'!J327,1))</f>
        <v/>
      </c>
      <c r="E2295">
        <f>IF(OR(C2295="",D2295=""),"",IF(D2295=1,C2295,ROUND(C2295*(1+D2295/30),1)))</f>
        <v/>
      </c>
    </row>
    <row r="2296">
      <c r="A2296">
        <f>'Month 09'!B314</f>
        <v/>
      </c>
      <c r="B2296" t="inlineStr">
        <is>
          <t>Triceps Pushdown</t>
        </is>
      </c>
      <c r="C2296">
        <f>IF(AND('Month 09'!L329&lt;&gt;"",N('Month 09'!I329)&gt;0),'Month 09'!I329,"")</f>
        <v/>
      </c>
      <c r="D2296">
        <f>IF(C2296="","",IF(N('Month 09'!J329)&gt;0,'Month 09'!J329,1))</f>
        <v/>
      </c>
      <c r="E2296">
        <f>IF(OR(C2296="",D2296=""),"",IF(D2296=1,C2296,ROUND(C2296*(1+D2296/30),1)))</f>
        <v/>
      </c>
    </row>
    <row r="2297">
      <c r="A2297">
        <f>'Month 09'!B314</f>
        <v/>
      </c>
      <c r="B2297" t="inlineStr">
        <is>
          <t>Triceps Pushdown</t>
        </is>
      </c>
      <c r="C2297">
        <f>IF(AND('Month 09'!L330&lt;&gt;"",N('Month 09'!I330)&gt;0),'Month 09'!I330,"")</f>
        <v/>
      </c>
      <c r="D2297">
        <f>IF(C2297="","",IF(N('Month 09'!J330)&gt;0,'Month 09'!J330,1))</f>
        <v/>
      </c>
      <c r="E2297">
        <f>IF(OR(C2297="",D2297=""),"",IF(D2297=1,C2297,ROUND(C2297*(1+D2297/30),1)))</f>
        <v/>
      </c>
    </row>
    <row r="2298">
      <c r="A2298">
        <f>'Month 10'!B7</f>
        <v/>
      </c>
      <c r="B2298" t="inlineStr">
        <is>
          <t>Box Jump</t>
        </is>
      </c>
      <c r="C2298">
        <f>IF(AND('Month 10'!L9&lt;&gt;"",N('Month 10'!I9)&gt;0),'Month 10'!I9,"")</f>
        <v/>
      </c>
      <c r="D2298">
        <f>IF(C2298="","",IF(N('Month 10'!J9)&gt;0,'Month 10'!J9,1))</f>
        <v/>
      </c>
      <c r="E2298">
        <f>IF(OR(C2298="",D2298=""),"",IF(D2298=1,C2298,ROUND(C2298*(1+D2298/30),1)))</f>
        <v/>
      </c>
    </row>
    <row r="2299">
      <c r="A2299">
        <f>'Month 10'!B7</f>
        <v/>
      </c>
      <c r="B2299" t="inlineStr">
        <is>
          <t>Box Jump</t>
        </is>
      </c>
      <c r="C2299">
        <f>IF(AND('Month 10'!L10&lt;&gt;"",N('Month 10'!I10)&gt;0),'Month 10'!I10,"")</f>
        <v/>
      </c>
      <c r="D2299">
        <f>IF(C2299="","",IF(N('Month 10'!J10)&gt;0,'Month 10'!J10,1))</f>
        <v/>
      </c>
      <c r="E2299">
        <f>IF(OR(C2299="",D2299=""),"",IF(D2299=1,C2299,ROUND(C2299*(1+D2299/30),1)))</f>
        <v/>
      </c>
    </row>
    <row r="2300">
      <c r="A2300">
        <f>'Month 10'!B7</f>
        <v/>
      </c>
      <c r="B2300" t="inlineStr">
        <is>
          <t>Box Jump</t>
        </is>
      </c>
      <c r="C2300">
        <f>IF(AND('Month 10'!L11&lt;&gt;"",N('Month 10'!I11)&gt;0),'Month 10'!I11,"")</f>
        <v/>
      </c>
      <c r="D2300">
        <f>IF(C2300="","",IF(N('Month 10'!J11)&gt;0,'Month 10'!J11,1))</f>
        <v/>
      </c>
      <c r="E2300">
        <f>IF(OR(C2300="",D2300=""),"",IF(D2300=1,C2300,ROUND(C2300*(1+D2300/30),1)))</f>
        <v/>
      </c>
    </row>
    <row r="2301">
      <c r="A2301">
        <f>'Month 10'!B7</f>
        <v/>
      </c>
      <c r="B2301" t="inlineStr">
        <is>
          <t>Box Jump</t>
        </is>
      </c>
      <c r="C2301">
        <f>IF(AND('Month 10'!L12&lt;&gt;"",N('Month 10'!I12)&gt;0),'Month 10'!I12,"")</f>
        <v/>
      </c>
      <c r="D2301">
        <f>IF(C2301="","",IF(N('Month 10'!J12)&gt;0,'Month 10'!J12,1))</f>
        <v/>
      </c>
      <c r="E2301">
        <f>IF(OR(C2301="",D2301=""),"",IF(D2301=1,C2301,ROUND(C2301*(1+D2301/30),1)))</f>
        <v/>
      </c>
    </row>
    <row r="2302">
      <c r="A2302">
        <f>'Month 10'!B7</f>
        <v/>
      </c>
      <c r="B2302" t="inlineStr">
        <is>
          <t>Snatch</t>
        </is>
      </c>
      <c r="C2302">
        <f>IF(AND('Month 10'!L14&lt;&gt;"",N('Month 10'!I14)&gt;0),'Month 10'!I14,"")</f>
        <v/>
      </c>
      <c r="D2302">
        <f>IF(C2302="","",IF(N('Month 10'!J14)&gt;0,'Month 10'!J14,1))</f>
        <v/>
      </c>
      <c r="E2302">
        <f>IF(OR(C2302="",D2302=""),"",IF(D2302=1,C2302,ROUND(C2302*(1+D2302/30),1)))</f>
        <v/>
      </c>
    </row>
    <row r="2303">
      <c r="A2303">
        <f>'Month 10'!B7</f>
        <v/>
      </c>
      <c r="B2303" t="inlineStr">
        <is>
          <t>Snatch</t>
        </is>
      </c>
      <c r="C2303">
        <f>IF(AND('Month 10'!L15&lt;&gt;"",N('Month 10'!I15)&gt;0),'Month 10'!I15,"")</f>
        <v/>
      </c>
      <c r="D2303">
        <f>IF(C2303="","",IF(N('Month 10'!J15)&gt;0,'Month 10'!J15,1))</f>
        <v/>
      </c>
      <c r="E2303">
        <f>IF(OR(C2303="",D2303=""),"",IF(D2303=1,C2303,ROUND(C2303*(1+D2303/30),1)))</f>
        <v/>
      </c>
    </row>
    <row r="2304">
      <c r="A2304">
        <f>'Month 10'!B7</f>
        <v/>
      </c>
      <c r="B2304" t="inlineStr">
        <is>
          <t>Snatch</t>
        </is>
      </c>
      <c r="C2304">
        <f>IF(AND('Month 10'!L16&lt;&gt;"",N('Month 10'!I16)&gt;0),'Month 10'!I16,"")</f>
        <v/>
      </c>
      <c r="D2304">
        <f>IF(C2304="","",IF(N('Month 10'!J16)&gt;0,'Month 10'!J16,1))</f>
        <v/>
      </c>
      <c r="E2304">
        <f>IF(OR(C2304="",D2304=""),"",IF(D2304=1,C2304,ROUND(C2304*(1+D2304/30),1)))</f>
        <v/>
      </c>
    </row>
    <row r="2305">
      <c r="A2305">
        <f>'Month 10'!B7</f>
        <v/>
      </c>
      <c r="B2305" t="inlineStr">
        <is>
          <t>Snatch</t>
        </is>
      </c>
      <c r="C2305">
        <f>IF(AND('Month 10'!L17&lt;&gt;"",N('Month 10'!I17)&gt;0),'Month 10'!I17,"")</f>
        <v/>
      </c>
      <c r="D2305">
        <f>IF(C2305="","",IF(N('Month 10'!J17)&gt;0,'Month 10'!J17,1))</f>
        <v/>
      </c>
      <c r="E2305">
        <f>IF(OR(C2305="",D2305=""),"",IF(D2305=1,C2305,ROUND(C2305*(1+D2305/30),1)))</f>
        <v/>
      </c>
    </row>
    <row r="2306">
      <c r="A2306">
        <f>'Month 10'!B7</f>
        <v/>
      </c>
      <c r="B2306" t="inlineStr">
        <is>
          <t>Squat</t>
        </is>
      </c>
      <c r="C2306">
        <f>IF(AND('Month 10'!L19&lt;&gt;"",N('Month 10'!I19)&gt;0),'Month 10'!I19,"")</f>
        <v/>
      </c>
      <c r="D2306">
        <f>IF(C2306="","",IF(N('Month 10'!J19)&gt;0,'Month 10'!J19,1))</f>
        <v/>
      </c>
      <c r="E2306">
        <f>IF(OR(C2306="",D2306=""),"",IF(D2306=1,C2306,ROUND(C2306*(1+D2306/30),1)))</f>
        <v/>
      </c>
    </row>
    <row r="2307">
      <c r="A2307">
        <f>'Month 10'!B7</f>
        <v/>
      </c>
      <c r="B2307" t="inlineStr">
        <is>
          <t>Squat</t>
        </is>
      </c>
      <c r="C2307">
        <f>IF(AND('Month 10'!L20&lt;&gt;"",N('Month 10'!I20)&gt;0),'Month 10'!I20,"")</f>
        <v/>
      </c>
      <c r="D2307">
        <f>IF(C2307="","",IF(N('Month 10'!J20)&gt;0,'Month 10'!J20,1))</f>
        <v/>
      </c>
      <c r="E2307">
        <f>IF(OR(C2307="",D2307=""),"",IF(D2307=1,C2307,ROUND(C2307*(1+D2307/30),1)))</f>
        <v/>
      </c>
    </row>
    <row r="2308">
      <c r="A2308">
        <f>'Month 10'!B7</f>
        <v/>
      </c>
      <c r="B2308" t="inlineStr">
        <is>
          <t>Squat</t>
        </is>
      </c>
      <c r="C2308">
        <f>IF(AND('Month 10'!L21&lt;&gt;"",N('Month 10'!I21)&gt;0),'Month 10'!I21,"")</f>
        <v/>
      </c>
      <c r="D2308">
        <f>IF(C2308="","",IF(N('Month 10'!J21)&gt;0,'Month 10'!J21,1))</f>
        <v/>
      </c>
      <c r="E2308">
        <f>IF(OR(C2308="",D2308=""),"",IF(D2308=1,C2308,ROUND(C2308*(1+D2308/30),1)))</f>
        <v/>
      </c>
    </row>
    <row r="2309">
      <c r="A2309">
        <f>'Month 10'!B7</f>
        <v/>
      </c>
      <c r="B2309" t="inlineStr">
        <is>
          <t>Bench Press</t>
        </is>
      </c>
      <c r="C2309">
        <f>IF(AND('Month 10'!L23&lt;&gt;"",N('Month 10'!I23)&gt;0),'Month 10'!I23,"")</f>
        <v/>
      </c>
      <c r="D2309">
        <f>IF(C2309="","",IF(N('Month 10'!J23)&gt;0,'Month 10'!J23,1))</f>
        <v/>
      </c>
      <c r="E2309">
        <f>IF(OR(C2309="",D2309=""),"",IF(D2309=1,C2309,ROUND(C2309*(1+D2309/30),1)))</f>
        <v/>
      </c>
    </row>
    <row r="2310">
      <c r="A2310">
        <f>'Month 10'!B7</f>
        <v/>
      </c>
      <c r="B2310" t="inlineStr">
        <is>
          <t>Bench Press</t>
        </is>
      </c>
      <c r="C2310">
        <f>IF(AND('Month 10'!L24&lt;&gt;"",N('Month 10'!I24)&gt;0),'Month 10'!I24,"")</f>
        <v/>
      </c>
      <c r="D2310">
        <f>IF(C2310="","",IF(N('Month 10'!J24)&gt;0,'Month 10'!J24,1))</f>
        <v/>
      </c>
      <c r="E2310">
        <f>IF(OR(C2310="",D2310=""),"",IF(D2310=1,C2310,ROUND(C2310*(1+D2310/30),1)))</f>
        <v/>
      </c>
    </row>
    <row r="2311">
      <c r="A2311">
        <f>'Month 10'!B7</f>
        <v/>
      </c>
      <c r="B2311" t="inlineStr">
        <is>
          <t>Bench Press</t>
        </is>
      </c>
      <c r="C2311">
        <f>IF(AND('Month 10'!L25&lt;&gt;"",N('Month 10'!I25)&gt;0),'Month 10'!I25,"")</f>
        <v/>
      </c>
      <c r="D2311">
        <f>IF(C2311="","",IF(N('Month 10'!J25)&gt;0,'Month 10'!J25,1))</f>
        <v/>
      </c>
      <c r="E2311">
        <f>IF(OR(C2311="",D2311=""),"",IF(D2311=1,C2311,ROUND(C2311*(1+D2311/30),1)))</f>
        <v/>
      </c>
    </row>
    <row r="2312">
      <c r="A2312">
        <f>'Month 10'!B7</f>
        <v/>
      </c>
      <c r="B2312" t="inlineStr">
        <is>
          <t>Barbell Row</t>
        </is>
      </c>
      <c r="C2312">
        <f>IF(AND('Month 10'!L27&lt;&gt;"",N('Month 10'!I27)&gt;0),'Month 10'!I27,"")</f>
        <v/>
      </c>
      <c r="D2312">
        <f>IF(C2312="","",IF(N('Month 10'!J27)&gt;0,'Month 10'!J27,1))</f>
        <v/>
      </c>
      <c r="E2312">
        <f>IF(OR(C2312="",D2312=""),"",IF(D2312=1,C2312,ROUND(C2312*(1+D2312/30),1)))</f>
        <v/>
      </c>
    </row>
    <row r="2313">
      <c r="A2313">
        <f>'Month 10'!B7</f>
        <v/>
      </c>
      <c r="B2313" t="inlineStr">
        <is>
          <t>Barbell Row</t>
        </is>
      </c>
      <c r="C2313">
        <f>IF(AND('Month 10'!L28&lt;&gt;"",N('Month 10'!I28)&gt;0),'Month 10'!I28,"")</f>
        <v/>
      </c>
      <c r="D2313">
        <f>IF(C2313="","",IF(N('Month 10'!J28)&gt;0,'Month 10'!J28,1))</f>
        <v/>
      </c>
      <c r="E2313">
        <f>IF(OR(C2313="",D2313=""),"",IF(D2313=1,C2313,ROUND(C2313*(1+D2313/30),1)))</f>
        <v/>
      </c>
    </row>
    <row r="2314">
      <c r="A2314">
        <f>'Month 10'!B7</f>
        <v/>
      </c>
      <c r="B2314" t="inlineStr">
        <is>
          <t>Barbell Row</t>
        </is>
      </c>
      <c r="C2314">
        <f>IF(AND('Month 10'!L29&lt;&gt;"",N('Month 10'!I29)&gt;0),'Month 10'!I29,"")</f>
        <v/>
      </c>
      <c r="D2314">
        <f>IF(C2314="","",IF(N('Month 10'!J29)&gt;0,'Month 10'!J29,1))</f>
        <v/>
      </c>
      <c r="E2314">
        <f>IF(OR(C2314="",D2314=""),"",IF(D2314=1,C2314,ROUND(C2314*(1+D2314/30),1)))</f>
        <v/>
      </c>
    </row>
    <row r="2315">
      <c r="A2315">
        <f>'Month 10'!B7</f>
        <v/>
      </c>
      <c r="B2315" t="inlineStr">
        <is>
          <t>Barbell Row</t>
        </is>
      </c>
      <c r="C2315">
        <f>IF(AND('Month 10'!L30&lt;&gt;"",N('Month 10'!I30)&gt;0),'Month 10'!I30,"")</f>
        <v/>
      </c>
      <c r="D2315">
        <f>IF(C2315="","",IF(N('Month 10'!J30)&gt;0,'Month 10'!J30,1))</f>
        <v/>
      </c>
      <c r="E2315">
        <f>IF(OR(C2315="",D2315=""),"",IF(D2315=1,C2315,ROUND(C2315*(1+D2315/30),1)))</f>
        <v/>
      </c>
    </row>
    <row r="2316">
      <c r="A2316">
        <f>'Month 10'!B7</f>
        <v/>
      </c>
      <c r="B2316" t="inlineStr">
        <is>
          <t>Face Pull</t>
        </is>
      </c>
      <c r="C2316">
        <f>IF(AND('Month 10'!L32&lt;&gt;"",N('Month 10'!I32)&gt;0),'Month 10'!I32,"")</f>
        <v/>
      </c>
      <c r="D2316">
        <f>IF(C2316="","",IF(N('Month 10'!J32)&gt;0,'Month 10'!J32,1))</f>
        <v/>
      </c>
      <c r="E2316">
        <f>IF(OR(C2316="",D2316=""),"",IF(D2316=1,C2316,ROUND(C2316*(1+D2316/30),1)))</f>
        <v/>
      </c>
    </row>
    <row r="2317">
      <c r="A2317">
        <f>'Month 10'!B7</f>
        <v/>
      </c>
      <c r="B2317" t="inlineStr">
        <is>
          <t>Face Pull</t>
        </is>
      </c>
      <c r="C2317">
        <f>IF(AND('Month 10'!L33&lt;&gt;"",N('Month 10'!I33)&gt;0),'Month 10'!I33,"")</f>
        <v/>
      </c>
      <c r="D2317">
        <f>IF(C2317="","",IF(N('Month 10'!J33)&gt;0,'Month 10'!J33,1))</f>
        <v/>
      </c>
      <c r="E2317">
        <f>IF(OR(C2317="",D2317=""),"",IF(D2317=1,C2317,ROUND(C2317*(1+D2317/30),1)))</f>
        <v/>
      </c>
    </row>
    <row r="2318">
      <c r="A2318">
        <f>'Month 10'!B7</f>
        <v/>
      </c>
      <c r="B2318" t="inlineStr">
        <is>
          <t>Face Pull</t>
        </is>
      </c>
      <c r="C2318">
        <f>IF(AND('Month 10'!L34&lt;&gt;"",N('Month 10'!I34)&gt;0),'Month 10'!I34,"")</f>
        <v/>
      </c>
      <c r="D2318">
        <f>IF(C2318="","",IF(N('Month 10'!J34)&gt;0,'Month 10'!J34,1))</f>
        <v/>
      </c>
      <c r="E2318">
        <f>IF(OR(C2318="",D2318=""),"",IF(D2318=1,C2318,ROUND(C2318*(1+D2318/30),1)))</f>
        <v/>
      </c>
    </row>
    <row r="2319">
      <c r="A2319">
        <f>'Month 10'!B7</f>
        <v/>
      </c>
      <c r="B2319" t="inlineStr">
        <is>
          <t>Face Pull</t>
        </is>
      </c>
      <c r="C2319">
        <f>IF(AND('Month 10'!L35&lt;&gt;"",N('Month 10'!I35)&gt;0),'Month 10'!I35,"")</f>
        <v/>
      </c>
      <c r="D2319">
        <f>IF(C2319="","",IF(N('Month 10'!J35)&gt;0,'Month 10'!J35,1))</f>
        <v/>
      </c>
      <c r="E2319">
        <f>IF(OR(C2319="",D2319=""),"",IF(D2319=1,C2319,ROUND(C2319*(1+D2319/30),1)))</f>
        <v/>
      </c>
    </row>
    <row r="2320">
      <c r="A2320">
        <f>'Month 10'!B36</f>
        <v/>
      </c>
      <c r="B2320" t="inlineStr">
        <is>
          <t>Broad Jump</t>
        </is>
      </c>
      <c r="C2320">
        <f>IF(AND('Month 10'!L38&lt;&gt;"",N('Month 10'!I38)&gt;0),'Month 10'!I38,"")</f>
        <v/>
      </c>
      <c r="D2320">
        <f>IF(C2320="","",IF(N('Month 10'!J38)&gt;0,'Month 10'!J38,1))</f>
        <v/>
      </c>
      <c r="E2320">
        <f>IF(OR(C2320="",D2320=""),"",IF(D2320=1,C2320,ROUND(C2320*(1+D2320/30),1)))</f>
        <v/>
      </c>
    </row>
    <row r="2321">
      <c r="A2321">
        <f>'Month 10'!B36</f>
        <v/>
      </c>
      <c r="B2321" t="inlineStr">
        <is>
          <t>Broad Jump</t>
        </is>
      </c>
      <c r="C2321">
        <f>IF(AND('Month 10'!L39&lt;&gt;"",N('Month 10'!I39)&gt;0),'Month 10'!I39,"")</f>
        <v/>
      </c>
      <c r="D2321">
        <f>IF(C2321="","",IF(N('Month 10'!J39)&gt;0,'Month 10'!J39,1))</f>
        <v/>
      </c>
      <c r="E2321">
        <f>IF(OR(C2321="",D2321=""),"",IF(D2321=1,C2321,ROUND(C2321*(1+D2321/30),1)))</f>
        <v/>
      </c>
    </row>
    <row r="2322">
      <c r="A2322">
        <f>'Month 10'!B36</f>
        <v/>
      </c>
      <c r="B2322" t="inlineStr">
        <is>
          <t>Broad Jump</t>
        </is>
      </c>
      <c r="C2322">
        <f>IF(AND('Month 10'!L40&lt;&gt;"",N('Month 10'!I40)&gt;0),'Month 10'!I40,"")</f>
        <v/>
      </c>
      <c r="D2322">
        <f>IF(C2322="","",IF(N('Month 10'!J40)&gt;0,'Month 10'!J40,1))</f>
        <v/>
      </c>
      <c r="E2322">
        <f>IF(OR(C2322="",D2322=""),"",IF(D2322=1,C2322,ROUND(C2322*(1+D2322/30),1)))</f>
        <v/>
      </c>
    </row>
    <row r="2323">
      <c r="A2323">
        <f>'Month 10'!B36</f>
        <v/>
      </c>
      <c r="B2323" t="inlineStr">
        <is>
          <t>Broad Jump</t>
        </is>
      </c>
      <c r="C2323">
        <f>IF(AND('Month 10'!L41&lt;&gt;"",N('Month 10'!I41)&gt;0),'Month 10'!I41,"")</f>
        <v/>
      </c>
      <c r="D2323">
        <f>IF(C2323="","",IF(N('Month 10'!J41)&gt;0,'Month 10'!J41,1))</f>
        <v/>
      </c>
      <c r="E2323">
        <f>IF(OR(C2323="",D2323=""),"",IF(D2323=1,C2323,ROUND(C2323*(1+D2323/30),1)))</f>
        <v/>
      </c>
    </row>
    <row r="2324">
      <c r="A2324">
        <f>'Month 10'!B36</f>
        <v/>
      </c>
      <c r="B2324" t="inlineStr">
        <is>
          <t>Med Ball Chest Pass</t>
        </is>
      </c>
      <c r="C2324">
        <f>IF(AND('Month 10'!L43&lt;&gt;"",N('Month 10'!I43)&gt;0),'Month 10'!I43,"")</f>
        <v/>
      </c>
      <c r="D2324">
        <f>IF(C2324="","",IF(N('Month 10'!J43)&gt;0,'Month 10'!J43,1))</f>
        <v/>
      </c>
      <c r="E2324">
        <f>IF(OR(C2324="",D2324=""),"",IF(D2324=1,C2324,ROUND(C2324*(1+D2324/30),1)))</f>
        <v/>
      </c>
    </row>
    <row r="2325">
      <c r="A2325">
        <f>'Month 10'!B36</f>
        <v/>
      </c>
      <c r="B2325" t="inlineStr">
        <is>
          <t>Med Ball Chest Pass</t>
        </is>
      </c>
      <c r="C2325">
        <f>IF(AND('Month 10'!L44&lt;&gt;"",N('Month 10'!I44)&gt;0),'Month 10'!I44,"")</f>
        <v/>
      </c>
      <c r="D2325">
        <f>IF(C2325="","",IF(N('Month 10'!J44)&gt;0,'Month 10'!J44,1))</f>
        <v/>
      </c>
      <c r="E2325">
        <f>IF(OR(C2325="",D2325=""),"",IF(D2325=1,C2325,ROUND(C2325*(1+D2325/30),1)))</f>
        <v/>
      </c>
    </row>
    <row r="2326">
      <c r="A2326">
        <f>'Month 10'!B36</f>
        <v/>
      </c>
      <c r="B2326" t="inlineStr">
        <is>
          <t>Med Ball Chest Pass</t>
        </is>
      </c>
      <c r="C2326">
        <f>IF(AND('Month 10'!L45&lt;&gt;"",N('Month 10'!I45)&gt;0),'Month 10'!I45,"")</f>
        <v/>
      </c>
      <c r="D2326">
        <f>IF(C2326="","",IF(N('Month 10'!J45)&gt;0,'Month 10'!J45,1))</f>
        <v/>
      </c>
      <c r="E2326">
        <f>IF(OR(C2326="",D2326=""),"",IF(D2326=1,C2326,ROUND(C2326*(1+D2326/30),1)))</f>
        <v/>
      </c>
    </row>
    <row r="2327">
      <c r="A2327">
        <f>'Month 10'!B36</f>
        <v/>
      </c>
      <c r="B2327" t="inlineStr">
        <is>
          <t>Clean &amp; Jerk</t>
        </is>
      </c>
      <c r="C2327">
        <f>IF(AND('Month 10'!L47&lt;&gt;"",N('Month 10'!I47)&gt;0),'Month 10'!I47,"")</f>
        <v/>
      </c>
      <c r="D2327">
        <f>IF(C2327="","",IF(N('Month 10'!J47)&gt;0,'Month 10'!J47,1))</f>
        <v/>
      </c>
      <c r="E2327">
        <f>IF(OR(C2327="",D2327=""),"",IF(D2327=1,C2327,ROUND(C2327*(1+D2327/30),1)))</f>
        <v/>
      </c>
    </row>
    <row r="2328">
      <c r="A2328">
        <f>'Month 10'!B36</f>
        <v/>
      </c>
      <c r="B2328" t="inlineStr">
        <is>
          <t>Clean &amp; Jerk</t>
        </is>
      </c>
      <c r="C2328">
        <f>IF(AND('Month 10'!L48&lt;&gt;"",N('Month 10'!I48)&gt;0),'Month 10'!I48,"")</f>
        <v/>
      </c>
      <c r="D2328">
        <f>IF(C2328="","",IF(N('Month 10'!J48)&gt;0,'Month 10'!J48,1))</f>
        <v/>
      </c>
      <c r="E2328">
        <f>IF(OR(C2328="",D2328=""),"",IF(D2328=1,C2328,ROUND(C2328*(1+D2328/30),1)))</f>
        <v/>
      </c>
    </row>
    <row r="2329">
      <c r="A2329">
        <f>'Month 10'!B36</f>
        <v/>
      </c>
      <c r="B2329" t="inlineStr">
        <is>
          <t>Clean &amp; Jerk</t>
        </is>
      </c>
      <c r="C2329">
        <f>IF(AND('Month 10'!L49&lt;&gt;"",N('Month 10'!I49)&gt;0),'Month 10'!I49,"")</f>
        <v/>
      </c>
      <c r="D2329">
        <f>IF(C2329="","",IF(N('Month 10'!J49)&gt;0,'Month 10'!J49,1))</f>
        <v/>
      </c>
      <c r="E2329">
        <f>IF(OR(C2329="",D2329=""),"",IF(D2329=1,C2329,ROUND(C2329*(1+D2329/30),1)))</f>
        <v/>
      </c>
    </row>
    <row r="2330">
      <c r="A2330">
        <f>'Month 10'!B36</f>
        <v/>
      </c>
      <c r="B2330" t="inlineStr">
        <is>
          <t>Clean &amp; Jerk</t>
        </is>
      </c>
      <c r="C2330">
        <f>IF(AND('Month 10'!L50&lt;&gt;"",N('Month 10'!I50)&gt;0),'Month 10'!I50,"")</f>
        <v/>
      </c>
      <c r="D2330">
        <f>IF(C2330="","",IF(N('Month 10'!J50)&gt;0,'Month 10'!J50,1))</f>
        <v/>
      </c>
      <c r="E2330">
        <f>IF(OR(C2330="",D2330=""),"",IF(D2330=1,C2330,ROUND(C2330*(1+D2330/30),1)))</f>
        <v/>
      </c>
    </row>
    <row r="2331">
      <c r="A2331">
        <f>'Month 10'!B36</f>
        <v/>
      </c>
      <c r="B2331" t="inlineStr">
        <is>
          <t>Squat</t>
        </is>
      </c>
      <c r="C2331">
        <f>IF(AND('Month 10'!L52&lt;&gt;"",N('Month 10'!I52)&gt;0),'Month 10'!I52,"")</f>
        <v/>
      </c>
      <c r="D2331">
        <f>IF(C2331="","",IF(N('Month 10'!J52)&gt;0,'Month 10'!J52,1))</f>
        <v/>
      </c>
      <c r="E2331">
        <f>IF(OR(C2331="",D2331=""),"",IF(D2331=1,C2331,ROUND(C2331*(1+D2331/30),1)))</f>
        <v/>
      </c>
    </row>
    <row r="2332">
      <c r="A2332">
        <f>'Month 10'!B36</f>
        <v/>
      </c>
      <c r="B2332" t="inlineStr">
        <is>
          <t>Squat</t>
        </is>
      </c>
      <c r="C2332">
        <f>IF(AND('Month 10'!L53&lt;&gt;"",N('Month 10'!I53)&gt;0),'Month 10'!I53,"")</f>
        <v/>
      </c>
      <c r="D2332">
        <f>IF(C2332="","",IF(N('Month 10'!J53)&gt;0,'Month 10'!J53,1))</f>
        <v/>
      </c>
      <c r="E2332">
        <f>IF(OR(C2332="",D2332=""),"",IF(D2332=1,C2332,ROUND(C2332*(1+D2332/30),1)))</f>
        <v/>
      </c>
    </row>
    <row r="2333">
      <c r="A2333">
        <f>'Month 10'!B36</f>
        <v/>
      </c>
      <c r="B2333" t="inlineStr">
        <is>
          <t>Squat</t>
        </is>
      </c>
      <c r="C2333">
        <f>IF(AND('Month 10'!L54&lt;&gt;"",N('Month 10'!I54)&gt;0),'Month 10'!I54,"")</f>
        <v/>
      </c>
      <c r="D2333">
        <f>IF(C2333="","",IF(N('Month 10'!J54)&gt;0,'Month 10'!J54,1))</f>
        <v/>
      </c>
      <c r="E2333">
        <f>IF(OR(C2333="",D2333=""),"",IF(D2333=1,C2333,ROUND(C2333*(1+D2333/30),1)))</f>
        <v/>
      </c>
    </row>
    <row r="2334">
      <c r="A2334">
        <f>'Month 10'!B36</f>
        <v/>
      </c>
      <c r="B2334" t="inlineStr">
        <is>
          <t>Overhead Press</t>
        </is>
      </c>
      <c r="C2334">
        <f>IF(AND('Month 10'!L56&lt;&gt;"",N('Month 10'!I56)&gt;0),'Month 10'!I56,"")</f>
        <v/>
      </c>
      <c r="D2334">
        <f>IF(C2334="","",IF(N('Month 10'!J56)&gt;0,'Month 10'!J56,1))</f>
        <v/>
      </c>
      <c r="E2334">
        <f>IF(OR(C2334="",D2334=""),"",IF(D2334=1,C2334,ROUND(C2334*(1+D2334/30),1)))</f>
        <v/>
      </c>
    </row>
    <row r="2335">
      <c r="A2335">
        <f>'Month 10'!B36</f>
        <v/>
      </c>
      <c r="B2335" t="inlineStr">
        <is>
          <t>Overhead Press</t>
        </is>
      </c>
      <c r="C2335">
        <f>IF(AND('Month 10'!L57&lt;&gt;"",N('Month 10'!I57)&gt;0),'Month 10'!I57,"")</f>
        <v/>
      </c>
      <c r="D2335">
        <f>IF(C2335="","",IF(N('Month 10'!J57)&gt;0,'Month 10'!J57,1))</f>
        <v/>
      </c>
      <c r="E2335">
        <f>IF(OR(C2335="",D2335=""),"",IF(D2335=1,C2335,ROUND(C2335*(1+D2335/30),1)))</f>
        <v/>
      </c>
    </row>
    <row r="2336">
      <c r="A2336">
        <f>'Month 10'!B36</f>
        <v/>
      </c>
      <c r="B2336" t="inlineStr">
        <is>
          <t>Overhead Press</t>
        </is>
      </c>
      <c r="C2336">
        <f>IF(AND('Month 10'!L58&lt;&gt;"",N('Month 10'!I58)&gt;0),'Month 10'!I58,"")</f>
        <v/>
      </c>
      <c r="D2336">
        <f>IF(C2336="","",IF(N('Month 10'!J58)&gt;0,'Month 10'!J58,1))</f>
        <v/>
      </c>
      <c r="E2336">
        <f>IF(OR(C2336="",D2336=""),"",IF(D2336=1,C2336,ROUND(C2336*(1+D2336/30),1)))</f>
        <v/>
      </c>
    </row>
    <row r="2337">
      <c r="A2337">
        <f>'Month 10'!B36</f>
        <v/>
      </c>
      <c r="B2337" t="inlineStr">
        <is>
          <t>Overhead Press</t>
        </is>
      </c>
      <c r="C2337">
        <f>IF(AND('Month 10'!L59&lt;&gt;"",N('Month 10'!I59)&gt;0),'Month 10'!I59,"")</f>
        <v/>
      </c>
      <c r="D2337">
        <f>IF(C2337="","",IF(N('Month 10'!J59)&gt;0,'Month 10'!J59,1))</f>
        <v/>
      </c>
      <c r="E2337">
        <f>IF(OR(C2337="",D2337=""),"",IF(D2337=1,C2337,ROUND(C2337*(1+D2337/30),1)))</f>
        <v/>
      </c>
    </row>
    <row r="2338">
      <c r="A2338">
        <f>'Month 10'!B36</f>
        <v/>
      </c>
      <c r="B2338" t="inlineStr">
        <is>
          <t>Deadlift</t>
        </is>
      </c>
      <c r="C2338">
        <f>IF(AND('Month 10'!L61&lt;&gt;"",N('Month 10'!I61)&gt;0),'Month 10'!I61,"")</f>
        <v/>
      </c>
      <c r="D2338">
        <f>IF(C2338="","",IF(N('Month 10'!J61)&gt;0,'Month 10'!J61,1))</f>
        <v/>
      </c>
      <c r="E2338">
        <f>IF(OR(C2338="",D2338=""),"",IF(D2338=1,C2338,ROUND(C2338*(1+D2338/30),1)))</f>
        <v/>
      </c>
    </row>
    <row r="2339">
      <c r="A2339">
        <f>'Month 10'!B36</f>
        <v/>
      </c>
      <c r="B2339" t="inlineStr">
        <is>
          <t>Deadlift</t>
        </is>
      </c>
      <c r="C2339">
        <f>IF(AND('Month 10'!L62&lt;&gt;"",N('Month 10'!I62)&gt;0),'Month 10'!I62,"")</f>
        <v/>
      </c>
      <c r="D2339">
        <f>IF(C2339="","",IF(N('Month 10'!J62)&gt;0,'Month 10'!J62,1))</f>
        <v/>
      </c>
      <c r="E2339">
        <f>IF(OR(C2339="",D2339=""),"",IF(D2339=1,C2339,ROUND(C2339*(1+D2339/30),1)))</f>
        <v/>
      </c>
    </row>
    <row r="2340">
      <c r="A2340">
        <f>'Month 10'!B36</f>
        <v/>
      </c>
      <c r="B2340" t="inlineStr">
        <is>
          <t>Deadlift</t>
        </is>
      </c>
      <c r="C2340">
        <f>IF(AND('Month 10'!L63&lt;&gt;"",N('Month 10'!I63)&gt;0),'Month 10'!I63,"")</f>
        <v/>
      </c>
      <c r="D2340">
        <f>IF(C2340="","",IF(N('Month 10'!J63)&gt;0,'Month 10'!J63,1))</f>
        <v/>
      </c>
      <c r="E2340">
        <f>IF(OR(C2340="",D2340=""),"",IF(D2340=1,C2340,ROUND(C2340*(1+D2340/30),1)))</f>
        <v/>
      </c>
    </row>
    <row r="2341">
      <c r="A2341">
        <f>'Month 10'!B36</f>
        <v/>
      </c>
      <c r="B2341" t="inlineStr">
        <is>
          <t>Chin-up</t>
        </is>
      </c>
      <c r="C2341">
        <f>IF(AND('Month 10'!L65&lt;&gt;"",N('Month 10'!I65)&gt;0),'Month 10'!I65,"")</f>
        <v/>
      </c>
      <c r="D2341">
        <f>IF(C2341="","",IF(N('Month 10'!J65)&gt;0,'Month 10'!J65,1))</f>
        <v/>
      </c>
      <c r="E2341">
        <f>IF(OR(C2341="",D2341=""),"",IF(D2341=1,C2341,ROUND(C2341*(1+D2341/30),1)))</f>
        <v/>
      </c>
    </row>
    <row r="2342">
      <c r="A2342">
        <f>'Month 10'!B36</f>
        <v/>
      </c>
      <c r="B2342" t="inlineStr">
        <is>
          <t>Chin-up</t>
        </is>
      </c>
      <c r="C2342">
        <f>IF(AND('Month 10'!L66&lt;&gt;"",N('Month 10'!I66)&gt;0),'Month 10'!I66,"")</f>
        <v/>
      </c>
      <c r="D2342">
        <f>IF(C2342="","",IF(N('Month 10'!J66)&gt;0,'Month 10'!J66,1))</f>
        <v/>
      </c>
      <c r="E2342">
        <f>IF(OR(C2342="",D2342=""),"",IF(D2342=1,C2342,ROUND(C2342*(1+D2342/30),1)))</f>
        <v/>
      </c>
    </row>
    <row r="2343">
      <c r="A2343">
        <f>'Month 10'!B36</f>
        <v/>
      </c>
      <c r="B2343" t="inlineStr">
        <is>
          <t>Chin-up</t>
        </is>
      </c>
      <c r="C2343">
        <f>IF(AND('Month 10'!L67&lt;&gt;"",N('Month 10'!I67)&gt;0),'Month 10'!I67,"")</f>
        <v/>
      </c>
      <c r="D2343">
        <f>IF(C2343="","",IF(N('Month 10'!J67)&gt;0,'Month 10'!J67,1))</f>
        <v/>
      </c>
      <c r="E2343">
        <f>IF(OR(C2343="",D2343=""),"",IF(D2343=1,C2343,ROUND(C2343*(1+D2343/30),1)))</f>
        <v/>
      </c>
    </row>
    <row r="2344">
      <c r="A2344">
        <f>'Month 10'!B36</f>
        <v/>
      </c>
      <c r="B2344" t="inlineStr">
        <is>
          <t>Chin-up</t>
        </is>
      </c>
      <c r="C2344">
        <f>IF(AND('Month 10'!L68&lt;&gt;"",N('Month 10'!I68)&gt;0),'Month 10'!I68,"")</f>
        <v/>
      </c>
      <c r="D2344">
        <f>IF(C2344="","",IF(N('Month 10'!J68)&gt;0,'Month 10'!J68,1))</f>
        <v/>
      </c>
      <c r="E2344">
        <f>IF(OR(C2344="",D2344=""),"",IF(D2344=1,C2344,ROUND(C2344*(1+D2344/30),1)))</f>
        <v/>
      </c>
    </row>
    <row r="2345">
      <c r="A2345">
        <f>'Month 10'!B36</f>
        <v/>
      </c>
      <c r="B2345" t="inlineStr">
        <is>
          <t>Plank</t>
        </is>
      </c>
      <c r="C2345">
        <f>IF(AND('Month 10'!L70&lt;&gt;"",N('Month 10'!I70)&gt;0),'Month 10'!I70,"")</f>
        <v/>
      </c>
      <c r="D2345">
        <f>IF(C2345="","",IF(N('Month 10'!J70)&gt;0,'Month 10'!J70,1))</f>
        <v/>
      </c>
      <c r="E2345">
        <f>IF(OR(C2345="",D2345=""),"",IF(D2345=1,C2345,ROUND(C2345*(1+D2345/30),1)))</f>
        <v/>
      </c>
    </row>
    <row r="2346">
      <c r="A2346">
        <f>'Month 10'!B36</f>
        <v/>
      </c>
      <c r="B2346" t="inlineStr">
        <is>
          <t>Plank</t>
        </is>
      </c>
      <c r="C2346">
        <f>IF(AND('Month 10'!L71&lt;&gt;"",N('Month 10'!I71)&gt;0),'Month 10'!I71,"")</f>
        <v/>
      </c>
      <c r="D2346">
        <f>IF(C2346="","",IF(N('Month 10'!J71)&gt;0,'Month 10'!J71,1))</f>
        <v/>
      </c>
      <c r="E2346">
        <f>IF(OR(C2346="",D2346=""),"",IF(D2346=1,C2346,ROUND(C2346*(1+D2346/30),1)))</f>
        <v/>
      </c>
    </row>
    <row r="2347">
      <c r="A2347">
        <f>'Month 10'!B36</f>
        <v/>
      </c>
      <c r="B2347" t="inlineStr">
        <is>
          <t>Plank</t>
        </is>
      </c>
      <c r="C2347">
        <f>IF(AND('Month 10'!L72&lt;&gt;"",N('Month 10'!I72)&gt;0),'Month 10'!I72,"")</f>
        <v/>
      </c>
      <c r="D2347">
        <f>IF(C2347="","",IF(N('Month 10'!J72)&gt;0,'Month 10'!J72,1))</f>
        <v/>
      </c>
      <c r="E2347">
        <f>IF(OR(C2347="",D2347=""),"",IF(D2347=1,C2347,ROUND(C2347*(1+D2347/30),1)))</f>
        <v/>
      </c>
    </row>
    <row r="2348">
      <c r="A2348">
        <f>'Month 10'!B36</f>
        <v/>
      </c>
      <c r="B2348" t="inlineStr">
        <is>
          <t>Plank</t>
        </is>
      </c>
      <c r="C2348">
        <f>IF(AND('Month 10'!L73&lt;&gt;"",N('Month 10'!I73)&gt;0),'Month 10'!I73,"")</f>
        <v/>
      </c>
      <c r="D2348">
        <f>IF(C2348="","",IF(N('Month 10'!J73)&gt;0,'Month 10'!J73,1))</f>
        <v/>
      </c>
      <c r="E2348">
        <f>IF(OR(C2348="",D2348=""),"",IF(D2348=1,C2348,ROUND(C2348*(1+D2348/30),1)))</f>
        <v/>
      </c>
    </row>
    <row r="2349">
      <c r="A2349">
        <f>'Month 10'!B74</f>
        <v/>
      </c>
      <c r="B2349" t="inlineStr">
        <is>
          <t>Lateral Bound</t>
        </is>
      </c>
      <c r="C2349">
        <f>IF(AND('Month 10'!L76&lt;&gt;"",N('Month 10'!I76)&gt;0),'Month 10'!I76,"")</f>
        <v/>
      </c>
      <c r="D2349">
        <f>IF(C2349="","",IF(N('Month 10'!J76)&gt;0,'Month 10'!J76,1))</f>
        <v/>
      </c>
      <c r="E2349">
        <f>IF(OR(C2349="",D2349=""),"",IF(D2349=1,C2349,ROUND(C2349*(1+D2349/30),1)))</f>
        <v/>
      </c>
    </row>
    <row r="2350">
      <c r="A2350">
        <f>'Month 10'!B74</f>
        <v/>
      </c>
      <c r="B2350" t="inlineStr">
        <is>
          <t>Lateral Bound</t>
        </is>
      </c>
      <c r="C2350">
        <f>IF(AND('Month 10'!L77&lt;&gt;"",N('Month 10'!I77)&gt;0),'Month 10'!I77,"")</f>
        <v/>
      </c>
      <c r="D2350">
        <f>IF(C2350="","",IF(N('Month 10'!J77)&gt;0,'Month 10'!J77,1))</f>
        <v/>
      </c>
      <c r="E2350">
        <f>IF(OR(C2350="",D2350=""),"",IF(D2350=1,C2350,ROUND(C2350*(1+D2350/30),1)))</f>
        <v/>
      </c>
    </row>
    <row r="2351">
      <c r="A2351">
        <f>'Month 10'!B74</f>
        <v/>
      </c>
      <c r="B2351" t="inlineStr">
        <is>
          <t>Lateral Bound</t>
        </is>
      </c>
      <c r="C2351">
        <f>IF(AND('Month 10'!L78&lt;&gt;"",N('Month 10'!I78)&gt;0),'Month 10'!I78,"")</f>
        <v/>
      </c>
      <c r="D2351">
        <f>IF(C2351="","",IF(N('Month 10'!J78)&gt;0,'Month 10'!J78,1))</f>
        <v/>
      </c>
      <c r="E2351">
        <f>IF(OR(C2351="",D2351=""),"",IF(D2351=1,C2351,ROUND(C2351*(1+D2351/30),1)))</f>
        <v/>
      </c>
    </row>
    <row r="2352">
      <c r="A2352">
        <f>'Month 10'!B74</f>
        <v/>
      </c>
      <c r="B2352" t="inlineStr">
        <is>
          <t>Lateral Bound</t>
        </is>
      </c>
      <c r="C2352">
        <f>IF(AND('Month 10'!L79&lt;&gt;"",N('Month 10'!I79)&gt;0),'Month 10'!I79,"")</f>
        <v/>
      </c>
      <c r="D2352">
        <f>IF(C2352="","",IF(N('Month 10'!J79)&gt;0,'Month 10'!J79,1))</f>
        <v/>
      </c>
      <c r="E2352">
        <f>IF(OR(C2352="",D2352=""),"",IF(D2352=1,C2352,ROUND(C2352*(1+D2352/30),1)))</f>
        <v/>
      </c>
    </row>
    <row r="2353">
      <c r="A2353">
        <f>'Month 10'!B74</f>
        <v/>
      </c>
      <c r="B2353" t="inlineStr">
        <is>
          <t>Power Clean</t>
        </is>
      </c>
      <c r="C2353">
        <f>IF(AND('Month 10'!L81&lt;&gt;"",N('Month 10'!I81)&gt;0),'Month 10'!I81,"")</f>
        <v/>
      </c>
      <c r="D2353">
        <f>IF(C2353="","",IF(N('Month 10'!J81)&gt;0,'Month 10'!J81,1))</f>
        <v/>
      </c>
      <c r="E2353">
        <f>IF(OR(C2353="",D2353=""),"",IF(D2353=1,C2353,ROUND(C2353*(1+D2353/30),1)))</f>
        <v/>
      </c>
    </row>
    <row r="2354">
      <c r="A2354">
        <f>'Month 10'!B74</f>
        <v/>
      </c>
      <c r="B2354" t="inlineStr">
        <is>
          <t>Power Clean</t>
        </is>
      </c>
      <c r="C2354">
        <f>IF(AND('Month 10'!L82&lt;&gt;"",N('Month 10'!I82)&gt;0),'Month 10'!I82,"")</f>
        <v/>
      </c>
      <c r="D2354">
        <f>IF(C2354="","",IF(N('Month 10'!J82)&gt;0,'Month 10'!J82,1))</f>
        <v/>
      </c>
      <c r="E2354">
        <f>IF(OR(C2354="",D2354=""),"",IF(D2354=1,C2354,ROUND(C2354*(1+D2354/30),1)))</f>
        <v/>
      </c>
    </row>
    <row r="2355">
      <c r="A2355">
        <f>'Month 10'!B74</f>
        <v/>
      </c>
      <c r="B2355" t="inlineStr">
        <is>
          <t>Power Clean</t>
        </is>
      </c>
      <c r="C2355">
        <f>IF(AND('Month 10'!L83&lt;&gt;"",N('Month 10'!I83)&gt;0),'Month 10'!I83,"")</f>
        <v/>
      </c>
      <c r="D2355">
        <f>IF(C2355="","",IF(N('Month 10'!J83)&gt;0,'Month 10'!J83,1))</f>
        <v/>
      </c>
      <c r="E2355">
        <f>IF(OR(C2355="",D2355=""),"",IF(D2355=1,C2355,ROUND(C2355*(1+D2355/30),1)))</f>
        <v/>
      </c>
    </row>
    <row r="2356">
      <c r="A2356">
        <f>'Month 10'!B74</f>
        <v/>
      </c>
      <c r="B2356" t="inlineStr">
        <is>
          <t>Power Clean</t>
        </is>
      </c>
      <c r="C2356">
        <f>IF(AND('Month 10'!L84&lt;&gt;"",N('Month 10'!I84)&gt;0),'Month 10'!I84,"")</f>
        <v/>
      </c>
      <c r="D2356">
        <f>IF(C2356="","",IF(N('Month 10'!J84)&gt;0,'Month 10'!J84,1))</f>
        <v/>
      </c>
      <c r="E2356">
        <f>IF(OR(C2356="",D2356=""),"",IF(D2356=1,C2356,ROUND(C2356*(1+D2356/30),1)))</f>
        <v/>
      </c>
    </row>
    <row r="2357">
      <c r="A2357">
        <f>'Month 10'!B74</f>
        <v/>
      </c>
      <c r="B2357" t="inlineStr">
        <is>
          <t>Power Clean</t>
        </is>
      </c>
      <c r="C2357">
        <f>IF(AND('Month 10'!L85&lt;&gt;"",N('Month 10'!I85)&gt;0),'Month 10'!I85,"")</f>
        <v/>
      </c>
      <c r="D2357">
        <f>IF(C2357="","",IF(N('Month 10'!J85)&gt;0,'Month 10'!J85,1))</f>
        <v/>
      </c>
      <c r="E2357">
        <f>IF(OR(C2357="",D2357=""),"",IF(D2357=1,C2357,ROUND(C2357*(1+D2357/30),1)))</f>
        <v/>
      </c>
    </row>
    <row r="2358">
      <c r="A2358">
        <f>'Month 10'!B74</f>
        <v/>
      </c>
      <c r="B2358" t="inlineStr">
        <is>
          <t>Power Clean</t>
        </is>
      </c>
      <c r="C2358">
        <f>IF(AND('Month 10'!L86&lt;&gt;"",N('Month 10'!I86)&gt;0),'Month 10'!I86,"")</f>
        <v/>
      </c>
      <c r="D2358">
        <f>IF(C2358="","",IF(N('Month 10'!J86)&gt;0,'Month 10'!J86,1))</f>
        <v/>
      </c>
      <c r="E2358">
        <f>IF(OR(C2358="",D2358=""),"",IF(D2358=1,C2358,ROUND(C2358*(1+D2358/30),1)))</f>
        <v/>
      </c>
    </row>
    <row r="2359">
      <c r="A2359">
        <f>'Month 10'!B74</f>
        <v/>
      </c>
      <c r="B2359" t="inlineStr">
        <is>
          <t>Pin Squat</t>
        </is>
      </c>
      <c r="C2359">
        <f>IF(AND('Month 10'!L88&lt;&gt;"",N('Month 10'!I88)&gt;0),'Month 10'!I88,"")</f>
        <v/>
      </c>
      <c r="D2359">
        <f>IF(C2359="","",IF(N('Month 10'!J88)&gt;0,'Month 10'!J88,1))</f>
        <v/>
      </c>
      <c r="E2359">
        <f>IF(OR(C2359="",D2359=""),"",IF(D2359=1,C2359,ROUND(C2359*(1+D2359/30),1)))</f>
        <v/>
      </c>
    </row>
    <row r="2360">
      <c r="A2360">
        <f>'Month 10'!B74</f>
        <v/>
      </c>
      <c r="B2360" t="inlineStr">
        <is>
          <t>Pin Squat</t>
        </is>
      </c>
      <c r="C2360">
        <f>IF(AND('Month 10'!L89&lt;&gt;"",N('Month 10'!I89)&gt;0),'Month 10'!I89,"")</f>
        <v/>
      </c>
      <c r="D2360">
        <f>IF(C2360="","",IF(N('Month 10'!J89)&gt;0,'Month 10'!J89,1))</f>
        <v/>
      </c>
      <c r="E2360">
        <f>IF(OR(C2360="",D2360=""),"",IF(D2360=1,C2360,ROUND(C2360*(1+D2360/30),1)))</f>
        <v/>
      </c>
    </row>
    <row r="2361">
      <c r="A2361">
        <f>'Month 10'!B74</f>
        <v/>
      </c>
      <c r="B2361" t="inlineStr">
        <is>
          <t>Pin Squat</t>
        </is>
      </c>
      <c r="C2361">
        <f>IF(AND('Month 10'!L90&lt;&gt;"",N('Month 10'!I90)&gt;0),'Month 10'!I90,"")</f>
        <v/>
      </c>
      <c r="D2361">
        <f>IF(C2361="","",IF(N('Month 10'!J90)&gt;0,'Month 10'!J90,1))</f>
        <v/>
      </c>
      <c r="E2361">
        <f>IF(OR(C2361="",D2361=""),"",IF(D2361=1,C2361,ROUND(C2361*(1+D2361/30),1)))</f>
        <v/>
      </c>
    </row>
    <row r="2362">
      <c r="A2362">
        <f>'Month 10'!B74</f>
        <v/>
      </c>
      <c r="B2362" t="inlineStr">
        <is>
          <t>Pin Squat</t>
        </is>
      </c>
      <c r="C2362">
        <f>IF(AND('Month 10'!L91&lt;&gt;"",N('Month 10'!I91)&gt;0),'Month 10'!I91,"")</f>
        <v/>
      </c>
      <c r="D2362">
        <f>IF(C2362="","",IF(N('Month 10'!J91)&gt;0,'Month 10'!J91,1))</f>
        <v/>
      </c>
      <c r="E2362">
        <f>IF(OR(C2362="",D2362=""),"",IF(D2362=1,C2362,ROUND(C2362*(1+D2362/30),1)))</f>
        <v/>
      </c>
    </row>
    <row r="2363">
      <c r="A2363">
        <f>'Month 10'!B74</f>
        <v/>
      </c>
      <c r="B2363" t="inlineStr">
        <is>
          <t>Pause Bench Press</t>
        </is>
      </c>
      <c r="C2363">
        <f>IF(AND('Month 10'!L93&lt;&gt;"",N('Month 10'!I93)&gt;0),'Month 10'!I93,"")</f>
        <v/>
      </c>
      <c r="D2363">
        <f>IF(C2363="","",IF(N('Month 10'!J93)&gt;0,'Month 10'!J93,1))</f>
        <v/>
      </c>
      <c r="E2363">
        <f>IF(OR(C2363="",D2363=""),"",IF(D2363=1,C2363,ROUND(C2363*(1+D2363/30),1)))</f>
        <v/>
      </c>
    </row>
    <row r="2364">
      <c r="A2364">
        <f>'Month 10'!B74</f>
        <v/>
      </c>
      <c r="B2364" t="inlineStr">
        <is>
          <t>Pause Bench Press</t>
        </is>
      </c>
      <c r="C2364">
        <f>IF(AND('Month 10'!L94&lt;&gt;"",N('Month 10'!I94)&gt;0),'Month 10'!I94,"")</f>
        <v/>
      </c>
      <c r="D2364">
        <f>IF(C2364="","",IF(N('Month 10'!J94)&gt;0,'Month 10'!J94,1))</f>
        <v/>
      </c>
      <c r="E2364">
        <f>IF(OR(C2364="",D2364=""),"",IF(D2364=1,C2364,ROUND(C2364*(1+D2364/30),1)))</f>
        <v/>
      </c>
    </row>
    <row r="2365">
      <c r="A2365">
        <f>'Month 10'!B74</f>
        <v/>
      </c>
      <c r="B2365" t="inlineStr">
        <is>
          <t>Pause Bench Press</t>
        </is>
      </c>
      <c r="C2365">
        <f>IF(AND('Month 10'!L95&lt;&gt;"",N('Month 10'!I95)&gt;0),'Month 10'!I95,"")</f>
        <v/>
      </c>
      <c r="D2365">
        <f>IF(C2365="","",IF(N('Month 10'!J95)&gt;0,'Month 10'!J95,1))</f>
        <v/>
      </c>
      <c r="E2365">
        <f>IF(OR(C2365="",D2365=""),"",IF(D2365=1,C2365,ROUND(C2365*(1+D2365/30),1)))</f>
        <v/>
      </c>
    </row>
    <row r="2366">
      <c r="A2366">
        <f>'Month 10'!B74</f>
        <v/>
      </c>
      <c r="B2366" t="inlineStr">
        <is>
          <t>Pause Bench Press</t>
        </is>
      </c>
      <c r="C2366">
        <f>IF(AND('Month 10'!L96&lt;&gt;"",N('Month 10'!I96)&gt;0),'Month 10'!I96,"")</f>
        <v/>
      </c>
      <c r="D2366">
        <f>IF(C2366="","",IF(N('Month 10'!J96)&gt;0,'Month 10'!J96,1))</f>
        <v/>
      </c>
      <c r="E2366">
        <f>IF(OR(C2366="",D2366=""),"",IF(D2366=1,C2366,ROUND(C2366*(1+D2366/30),1)))</f>
        <v/>
      </c>
    </row>
    <row r="2367">
      <c r="A2367">
        <f>'Month 10'!B74</f>
        <v/>
      </c>
      <c r="B2367" t="inlineStr">
        <is>
          <t>Deficit Deadlift</t>
        </is>
      </c>
      <c r="C2367">
        <f>IF(AND('Month 10'!L98&lt;&gt;"",N('Month 10'!I98)&gt;0),'Month 10'!I98,"")</f>
        <v/>
      </c>
      <c r="D2367">
        <f>IF(C2367="","",IF(N('Month 10'!J98)&gt;0,'Month 10'!J98,1))</f>
        <v/>
      </c>
      <c r="E2367">
        <f>IF(OR(C2367="",D2367=""),"",IF(D2367=1,C2367,ROUND(C2367*(1+D2367/30),1)))</f>
        <v/>
      </c>
    </row>
    <row r="2368">
      <c r="A2368">
        <f>'Month 10'!B74</f>
        <v/>
      </c>
      <c r="B2368" t="inlineStr">
        <is>
          <t>Deficit Deadlift</t>
        </is>
      </c>
      <c r="C2368">
        <f>IF(AND('Month 10'!L99&lt;&gt;"",N('Month 10'!I99)&gt;0),'Month 10'!I99,"")</f>
        <v/>
      </c>
      <c r="D2368">
        <f>IF(C2368="","",IF(N('Month 10'!J99)&gt;0,'Month 10'!J99,1))</f>
        <v/>
      </c>
      <c r="E2368">
        <f>IF(OR(C2368="",D2368=""),"",IF(D2368=1,C2368,ROUND(C2368*(1+D2368/30),1)))</f>
        <v/>
      </c>
    </row>
    <row r="2369">
      <c r="A2369">
        <f>'Month 10'!B74</f>
        <v/>
      </c>
      <c r="B2369" t="inlineStr">
        <is>
          <t>Deficit Deadlift</t>
        </is>
      </c>
      <c r="C2369">
        <f>IF(AND('Month 10'!L100&lt;&gt;"",N('Month 10'!I100)&gt;0),'Month 10'!I100,"")</f>
        <v/>
      </c>
      <c r="D2369">
        <f>IF(C2369="","",IF(N('Month 10'!J100)&gt;0,'Month 10'!J100,1))</f>
        <v/>
      </c>
      <c r="E2369">
        <f>IF(OR(C2369="",D2369=""),"",IF(D2369=1,C2369,ROUND(C2369*(1+D2369/30),1)))</f>
        <v/>
      </c>
    </row>
    <row r="2370">
      <c r="A2370">
        <f>'Month 10'!B74</f>
        <v/>
      </c>
      <c r="B2370" t="inlineStr">
        <is>
          <t>Incline Dumbbell Press</t>
        </is>
      </c>
      <c r="C2370">
        <f>IF(AND('Month 10'!L102&lt;&gt;"",N('Month 10'!I102)&gt;0),'Month 10'!I102,"")</f>
        <v/>
      </c>
      <c r="D2370">
        <f>IF(C2370="","",IF(N('Month 10'!J102)&gt;0,'Month 10'!J102,1))</f>
        <v/>
      </c>
      <c r="E2370">
        <f>IF(OR(C2370="",D2370=""),"",IF(D2370=1,C2370,ROUND(C2370*(1+D2370/30),1)))</f>
        <v/>
      </c>
    </row>
    <row r="2371">
      <c r="A2371">
        <f>'Month 10'!B74</f>
        <v/>
      </c>
      <c r="B2371" t="inlineStr">
        <is>
          <t>Incline Dumbbell Press</t>
        </is>
      </c>
      <c r="C2371">
        <f>IF(AND('Month 10'!L103&lt;&gt;"",N('Month 10'!I103)&gt;0),'Month 10'!I103,"")</f>
        <v/>
      </c>
      <c r="D2371">
        <f>IF(C2371="","",IF(N('Month 10'!J103)&gt;0,'Month 10'!J103,1))</f>
        <v/>
      </c>
      <c r="E2371">
        <f>IF(OR(C2371="",D2371=""),"",IF(D2371=1,C2371,ROUND(C2371*(1+D2371/30),1)))</f>
        <v/>
      </c>
    </row>
    <row r="2372">
      <c r="A2372">
        <f>'Month 10'!B74</f>
        <v/>
      </c>
      <c r="B2372" t="inlineStr">
        <is>
          <t>Incline Dumbbell Press</t>
        </is>
      </c>
      <c r="C2372">
        <f>IF(AND('Month 10'!L104&lt;&gt;"",N('Month 10'!I104)&gt;0),'Month 10'!I104,"")</f>
        <v/>
      </c>
      <c r="D2372">
        <f>IF(C2372="","",IF(N('Month 10'!J104)&gt;0,'Month 10'!J104,1))</f>
        <v/>
      </c>
      <c r="E2372">
        <f>IF(OR(C2372="",D2372=""),"",IF(D2372=1,C2372,ROUND(C2372*(1+D2372/30),1)))</f>
        <v/>
      </c>
    </row>
    <row r="2373">
      <c r="A2373">
        <f>'Month 10'!B74</f>
        <v/>
      </c>
      <c r="B2373" t="inlineStr">
        <is>
          <t>Incline Dumbbell Press</t>
        </is>
      </c>
      <c r="C2373">
        <f>IF(AND('Month 10'!L105&lt;&gt;"",N('Month 10'!I105)&gt;0),'Month 10'!I105,"")</f>
        <v/>
      </c>
      <c r="D2373">
        <f>IF(C2373="","",IF(N('Month 10'!J105)&gt;0,'Month 10'!J105,1))</f>
        <v/>
      </c>
      <c r="E2373">
        <f>IF(OR(C2373="",D2373=""),"",IF(D2373=1,C2373,ROUND(C2373*(1+D2373/30),1)))</f>
        <v/>
      </c>
    </row>
    <row r="2374">
      <c r="A2374">
        <f>'Month 10'!B74</f>
        <v/>
      </c>
      <c r="B2374" t="inlineStr">
        <is>
          <t>Triceps Pushdown</t>
        </is>
      </c>
      <c r="C2374">
        <f>IF(AND('Month 10'!L107&lt;&gt;"",N('Month 10'!I107)&gt;0),'Month 10'!I107,"")</f>
        <v/>
      </c>
      <c r="D2374">
        <f>IF(C2374="","",IF(N('Month 10'!J107)&gt;0,'Month 10'!J107,1))</f>
        <v/>
      </c>
      <c r="E2374">
        <f>IF(OR(C2374="",D2374=""),"",IF(D2374=1,C2374,ROUND(C2374*(1+D2374/30),1)))</f>
        <v/>
      </c>
    </row>
    <row r="2375">
      <c r="A2375">
        <f>'Month 10'!B74</f>
        <v/>
      </c>
      <c r="B2375" t="inlineStr">
        <is>
          <t>Triceps Pushdown</t>
        </is>
      </c>
      <c r="C2375">
        <f>IF(AND('Month 10'!L108&lt;&gt;"",N('Month 10'!I108)&gt;0),'Month 10'!I108,"")</f>
        <v/>
      </c>
      <c r="D2375">
        <f>IF(C2375="","",IF(N('Month 10'!J108)&gt;0,'Month 10'!J108,1))</f>
        <v/>
      </c>
      <c r="E2375">
        <f>IF(OR(C2375="",D2375=""),"",IF(D2375=1,C2375,ROUND(C2375*(1+D2375/30),1)))</f>
        <v/>
      </c>
    </row>
    <row r="2376">
      <c r="A2376">
        <f>'Month 10'!B74</f>
        <v/>
      </c>
      <c r="B2376" t="inlineStr">
        <is>
          <t>Triceps Pushdown</t>
        </is>
      </c>
      <c r="C2376">
        <f>IF(AND('Month 10'!L109&lt;&gt;"",N('Month 10'!I109)&gt;0),'Month 10'!I109,"")</f>
        <v/>
      </c>
      <c r="D2376">
        <f>IF(C2376="","",IF(N('Month 10'!J109)&gt;0,'Month 10'!J109,1))</f>
        <v/>
      </c>
      <c r="E2376">
        <f>IF(OR(C2376="",D2376=""),"",IF(D2376=1,C2376,ROUND(C2376*(1+D2376/30),1)))</f>
        <v/>
      </c>
    </row>
    <row r="2377">
      <c r="A2377">
        <f>'Month 10'!B74</f>
        <v/>
      </c>
      <c r="B2377" t="inlineStr">
        <is>
          <t>Triceps Pushdown</t>
        </is>
      </c>
      <c r="C2377">
        <f>IF(AND('Month 10'!L110&lt;&gt;"",N('Month 10'!I110)&gt;0),'Month 10'!I110,"")</f>
        <v/>
      </c>
      <c r="D2377">
        <f>IF(C2377="","",IF(N('Month 10'!J110)&gt;0,'Month 10'!J110,1))</f>
        <v/>
      </c>
      <c r="E2377">
        <f>IF(OR(C2377="",D2377=""),"",IF(D2377=1,C2377,ROUND(C2377*(1+D2377/30),1)))</f>
        <v/>
      </c>
    </row>
    <row r="2378">
      <c r="A2378">
        <f>'Month 10'!B113</f>
        <v/>
      </c>
      <c r="B2378" t="inlineStr">
        <is>
          <t>Box Jump</t>
        </is>
      </c>
      <c r="C2378">
        <f>IF(AND('Month 10'!L115&lt;&gt;"",N('Month 10'!I115)&gt;0),'Month 10'!I115,"")</f>
        <v/>
      </c>
      <c r="D2378">
        <f>IF(C2378="","",IF(N('Month 10'!J115)&gt;0,'Month 10'!J115,1))</f>
        <v/>
      </c>
      <c r="E2378">
        <f>IF(OR(C2378="",D2378=""),"",IF(D2378=1,C2378,ROUND(C2378*(1+D2378/30),1)))</f>
        <v/>
      </c>
    </row>
    <row r="2379">
      <c r="A2379">
        <f>'Month 10'!B113</f>
        <v/>
      </c>
      <c r="B2379" t="inlineStr">
        <is>
          <t>Box Jump</t>
        </is>
      </c>
      <c r="C2379">
        <f>IF(AND('Month 10'!L116&lt;&gt;"",N('Month 10'!I116)&gt;0),'Month 10'!I116,"")</f>
        <v/>
      </c>
      <c r="D2379">
        <f>IF(C2379="","",IF(N('Month 10'!J116)&gt;0,'Month 10'!J116,1))</f>
        <v/>
      </c>
      <c r="E2379">
        <f>IF(OR(C2379="",D2379=""),"",IF(D2379=1,C2379,ROUND(C2379*(1+D2379/30),1)))</f>
        <v/>
      </c>
    </row>
    <row r="2380">
      <c r="A2380">
        <f>'Month 10'!B113</f>
        <v/>
      </c>
      <c r="B2380" t="inlineStr">
        <is>
          <t>Box Jump</t>
        </is>
      </c>
      <c r="C2380">
        <f>IF(AND('Month 10'!L117&lt;&gt;"",N('Month 10'!I117)&gt;0),'Month 10'!I117,"")</f>
        <v/>
      </c>
      <c r="D2380">
        <f>IF(C2380="","",IF(N('Month 10'!J117)&gt;0,'Month 10'!J117,1))</f>
        <v/>
      </c>
      <c r="E2380">
        <f>IF(OR(C2380="",D2380=""),"",IF(D2380=1,C2380,ROUND(C2380*(1+D2380/30),1)))</f>
        <v/>
      </c>
    </row>
    <row r="2381">
      <c r="A2381">
        <f>'Month 10'!B113</f>
        <v/>
      </c>
      <c r="B2381" t="inlineStr">
        <is>
          <t>Box Jump</t>
        </is>
      </c>
      <c r="C2381">
        <f>IF(AND('Month 10'!L118&lt;&gt;"",N('Month 10'!I118)&gt;0),'Month 10'!I118,"")</f>
        <v/>
      </c>
      <c r="D2381">
        <f>IF(C2381="","",IF(N('Month 10'!J118)&gt;0,'Month 10'!J118,1))</f>
        <v/>
      </c>
      <c r="E2381">
        <f>IF(OR(C2381="",D2381=""),"",IF(D2381=1,C2381,ROUND(C2381*(1+D2381/30),1)))</f>
        <v/>
      </c>
    </row>
    <row r="2382">
      <c r="A2382">
        <f>'Month 10'!B113</f>
        <v/>
      </c>
      <c r="B2382" t="inlineStr">
        <is>
          <t>Snatch</t>
        </is>
      </c>
      <c r="C2382">
        <f>IF(AND('Month 10'!L120&lt;&gt;"",N('Month 10'!I120)&gt;0),'Month 10'!I120,"")</f>
        <v/>
      </c>
      <c r="D2382">
        <f>IF(C2382="","",IF(N('Month 10'!J120)&gt;0,'Month 10'!J120,1))</f>
        <v/>
      </c>
      <c r="E2382">
        <f>IF(OR(C2382="",D2382=""),"",IF(D2382=1,C2382,ROUND(C2382*(1+D2382/30),1)))</f>
        <v/>
      </c>
    </row>
    <row r="2383">
      <c r="A2383">
        <f>'Month 10'!B113</f>
        <v/>
      </c>
      <c r="B2383" t="inlineStr">
        <is>
          <t>Snatch</t>
        </is>
      </c>
      <c r="C2383">
        <f>IF(AND('Month 10'!L121&lt;&gt;"",N('Month 10'!I121)&gt;0),'Month 10'!I121,"")</f>
        <v/>
      </c>
      <c r="D2383">
        <f>IF(C2383="","",IF(N('Month 10'!J121)&gt;0,'Month 10'!J121,1))</f>
        <v/>
      </c>
      <c r="E2383">
        <f>IF(OR(C2383="",D2383=""),"",IF(D2383=1,C2383,ROUND(C2383*(1+D2383/30),1)))</f>
        <v/>
      </c>
    </row>
    <row r="2384">
      <c r="A2384">
        <f>'Month 10'!B113</f>
        <v/>
      </c>
      <c r="B2384" t="inlineStr">
        <is>
          <t>Snatch</t>
        </is>
      </c>
      <c r="C2384">
        <f>IF(AND('Month 10'!L122&lt;&gt;"",N('Month 10'!I122)&gt;0),'Month 10'!I122,"")</f>
        <v/>
      </c>
      <c r="D2384">
        <f>IF(C2384="","",IF(N('Month 10'!J122)&gt;0,'Month 10'!J122,1))</f>
        <v/>
      </c>
      <c r="E2384">
        <f>IF(OR(C2384="",D2384=""),"",IF(D2384=1,C2384,ROUND(C2384*(1+D2384/30),1)))</f>
        <v/>
      </c>
    </row>
    <row r="2385">
      <c r="A2385">
        <f>'Month 10'!B113</f>
        <v/>
      </c>
      <c r="B2385" t="inlineStr">
        <is>
          <t>Snatch</t>
        </is>
      </c>
      <c r="C2385">
        <f>IF(AND('Month 10'!L123&lt;&gt;"",N('Month 10'!I123)&gt;0),'Month 10'!I123,"")</f>
        <v/>
      </c>
      <c r="D2385">
        <f>IF(C2385="","",IF(N('Month 10'!J123)&gt;0,'Month 10'!J123,1))</f>
        <v/>
      </c>
      <c r="E2385">
        <f>IF(OR(C2385="",D2385=""),"",IF(D2385=1,C2385,ROUND(C2385*(1+D2385/30),1)))</f>
        <v/>
      </c>
    </row>
    <row r="2386">
      <c r="A2386">
        <f>'Month 10'!B113</f>
        <v/>
      </c>
      <c r="B2386" t="inlineStr">
        <is>
          <t>Squat</t>
        </is>
      </c>
      <c r="C2386">
        <f>IF(AND('Month 10'!L125&lt;&gt;"",N('Month 10'!I125)&gt;0),'Month 10'!I125,"")</f>
        <v/>
      </c>
      <c r="D2386">
        <f>IF(C2386="","",IF(N('Month 10'!J125)&gt;0,'Month 10'!J125,1))</f>
        <v/>
      </c>
      <c r="E2386">
        <f>IF(OR(C2386="",D2386=""),"",IF(D2386=1,C2386,ROUND(C2386*(1+D2386/30),1)))</f>
        <v/>
      </c>
    </row>
    <row r="2387">
      <c r="A2387">
        <f>'Month 10'!B113</f>
        <v/>
      </c>
      <c r="B2387" t="inlineStr">
        <is>
          <t>Squat</t>
        </is>
      </c>
      <c r="C2387">
        <f>IF(AND('Month 10'!L126&lt;&gt;"",N('Month 10'!I126)&gt;0),'Month 10'!I126,"")</f>
        <v/>
      </c>
      <c r="D2387">
        <f>IF(C2387="","",IF(N('Month 10'!J126)&gt;0,'Month 10'!J126,1))</f>
        <v/>
      </c>
      <c r="E2387">
        <f>IF(OR(C2387="",D2387=""),"",IF(D2387=1,C2387,ROUND(C2387*(1+D2387/30),1)))</f>
        <v/>
      </c>
    </row>
    <row r="2388">
      <c r="A2388">
        <f>'Month 10'!B113</f>
        <v/>
      </c>
      <c r="B2388" t="inlineStr">
        <is>
          <t>Squat</t>
        </is>
      </c>
      <c r="C2388">
        <f>IF(AND('Month 10'!L127&lt;&gt;"",N('Month 10'!I127)&gt;0),'Month 10'!I127,"")</f>
        <v/>
      </c>
      <c r="D2388">
        <f>IF(C2388="","",IF(N('Month 10'!J127)&gt;0,'Month 10'!J127,1))</f>
        <v/>
      </c>
      <c r="E2388">
        <f>IF(OR(C2388="",D2388=""),"",IF(D2388=1,C2388,ROUND(C2388*(1+D2388/30),1)))</f>
        <v/>
      </c>
    </row>
    <row r="2389">
      <c r="A2389">
        <f>'Month 10'!B113</f>
        <v/>
      </c>
      <c r="B2389" t="inlineStr">
        <is>
          <t>Bench Press</t>
        </is>
      </c>
      <c r="C2389">
        <f>IF(AND('Month 10'!L129&lt;&gt;"",N('Month 10'!I129)&gt;0),'Month 10'!I129,"")</f>
        <v/>
      </c>
      <c r="D2389">
        <f>IF(C2389="","",IF(N('Month 10'!J129)&gt;0,'Month 10'!J129,1))</f>
        <v/>
      </c>
      <c r="E2389">
        <f>IF(OR(C2389="",D2389=""),"",IF(D2389=1,C2389,ROUND(C2389*(1+D2389/30),1)))</f>
        <v/>
      </c>
    </row>
    <row r="2390">
      <c r="A2390">
        <f>'Month 10'!B113</f>
        <v/>
      </c>
      <c r="B2390" t="inlineStr">
        <is>
          <t>Bench Press</t>
        </is>
      </c>
      <c r="C2390">
        <f>IF(AND('Month 10'!L130&lt;&gt;"",N('Month 10'!I130)&gt;0),'Month 10'!I130,"")</f>
        <v/>
      </c>
      <c r="D2390">
        <f>IF(C2390="","",IF(N('Month 10'!J130)&gt;0,'Month 10'!J130,1))</f>
        <v/>
      </c>
      <c r="E2390">
        <f>IF(OR(C2390="",D2390=""),"",IF(D2390=1,C2390,ROUND(C2390*(1+D2390/30),1)))</f>
        <v/>
      </c>
    </row>
    <row r="2391">
      <c r="A2391">
        <f>'Month 10'!B113</f>
        <v/>
      </c>
      <c r="B2391" t="inlineStr">
        <is>
          <t>Bench Press</t>
        </is>
      </c>
      <c r="C2391">
        <f>IF(AND('Month 10'!L131&lt;&gt;"",N('Month 10'!I131)&gt;0),'Month 10'!I131,"")</f>
        <v/>
      </c>
      <c r="D2391">
        <f>IF(C2391="","",IF(N('Month 10'!J131)&gt;0,'Month 10'!J131,1))</f>
        <v/>
      </c>
      <c r="E2391">
        <f>IF(OR(C2391="",D2391=""),"",IF(D2391=1,C2391,ROUND(C2391*(1+D2391/30),1)))</f>
        <v/>
      </c>
    </row>
    <row r="2392">
      <c r="A2392">
        <f>'Month 10'!B113</f>
        <v/>
      </c>
      <c r="B2392" t="inlineStr">
        <is>
          <t>Barbell Row</t>
        </is>
      </c>
      <c r="C2392">
        <f>IF(AND('Month 10'!L133&lt;&gt;"",N('Month 10'!I133)&gt;0),'Month 10'!I133,"")</f>
        <v/>
      </c>
      <c r="D2392">
        <f>IF(C2392="","",IF(N('Month 10'!J133)&gt;0,'Month 10'!J133,1))</f>
        <v/>
      </c>
      <c r="E2392">
        <f>IF(OR(C2392="",D2392=""),"",IF(D2392=1,C2392,ROUND(C2392*(1+D2392/30),1)))</f>
        <v/>
      </c>
    </row>
    <row r="2393">
      <c r="A2393">
        <f>'Month 10'!B113</f>
        <v/>
      </c>
      <c r="B2393" t="inlineStr">
        <is>
          <t>Barbell Row</t>
        </is>
      </c>
      <c r="C2393">
        <f>IF(AND('Month 10'!L134&lt;&gt;"",N('Month 10'!I134)&gt;0),'Month 10'!I134,"")</f>
        <v/>
      </c>
      <c r="D2393">
        <f>IF(C2393="","",IF(N('Month 10'!J134)&gt;0,'Month 10'!J134,1))</f>
        <v/>
      </c>
      <c r="E2393">
        <f>IF(OR(C2393="",D2393=""),"",IF(D2393=1,C2393,ROUND(C2393*(1+D2393/30),1)))</f>
        <v/>
      </c>
    </row>
    <row r="2394">
      <c r="A2394">
        <f>'Month 10'!B113</f>
        <v/>
      </c>
      <c r="B2394" t="inlineStr">
        <is>
          <t>Barbell Row</t>
        </is>
      </c>
      <c r="C2394">
        <f>IF(AND('Month 10'!L135&lt;&gt;"",N('Month 10'!I135)&gt;0),'Month 10'!I135,"")</f>
        <v/>
      </c>
      <c r="D2394">
        <f>IF(C2394="","",IF(N('Month 10'!J135)&gt;0,'Month 10'!J135,1))</f>
        <v/>
      </c>
      <c r="E2394">
        <f>IF(OR(C2394="",D2394=""),"",IF(D2394=1,C2394,ROUND(C2394*(1+D2394/30),1)))</f>
        <v/>
      </c>
    </row>
    <row r="2395">
      <c r="A2395">
        <f>'Month 10'!B113</f>
        <v/>
      </c>
      <c r="B2395" t="inlineStr">
        <is>
          <t>Barbell Row</t>
        </is>
      </c>
      <c r="C2395">
        <f>IF(AND('Month 10'!L136&lt;&gt;"",N('Month 10'!I136)&gt;0),'Month 10'!I136,"")</f>
        <v/>
      </c>
      <c r="D2395">
        <f>IF(C2395="","",IF(N('Month 10'!J136)&gt;0,'Month 10'!J136,1))</f>
        <v/>
      </c>
      <c r="E2395">
        <f>IF(OR(C2395="",D2395=""),"",IF(D2395=1,C2395,ROUND(C2395*(1+D2395/30),1)))</f>
        <v/>
      </c>
    </row>
    <row r="2396">
      <c r="A2396">
        <f>'Month 10'!B113</f>
        <v/>
      </c>
      <c r="B2396" t="inlineStr">
        <is>
          <t>Face Pull</t>
        </is>
      </c>
      <c r="C2396">
        <f>IF(AND('Month 10'!L138&lt;&gt;"",N('Month 10'!I138)&gt;0),'Month 10'!I138,"")</f>
        <v/>
      </c>
      <c r="D2396">
        <f>IF(C2396="","",IF(N('Month 10'!J138)&gt;0,'Month 10'!J138,1))</f>
        <v/>
      </c>
      <c r="E2396">
        <f>IF(OR(C2396="",D2396=""),"",IF(D2396=1,C2396,ROUND(C2396*(1+D2396/30),1)))</f>
        <v/>
      </c>
    </row>
    <row r="2397">
      <c r="A2397">
        <f>'Month 10'!B113</f>
        <v/>
      </c>
      <c r="B2397" t="inlineStr">
        <is>
          <t>Face Pull</t>
        </is>
      </c>
      <c r="C2397">
        <f>IF(AND('Month 10'!L139&lt;&gt;"",N('Month 10'!I139)&gt;0),'Month 10'!I139,"")</f>
        <v/>
      </c>
      <c r="D2397">
        <f>IF(C2397="","",IF(N('Month 10'!J139)&gt;0,'Month 10'!J139,1))</f>
        <v/>
      </c>
      <c r="E2397">
        <f>IF(OR(C2397="",D2397=""),"",IF(D2397=1,C2397,ROUND(C2397*(1+D2397/30),1)))</f>
        <v/>
      </c>
    </row>
    <row r="2398">
      <c r="A2398">
        <f>'Month 10'!B113</f>
        <v/>
      </c>
      <c r="B2398" t="inlineStr">
        <is>
          <t>Face Pull</t>
        </is>
      </c>
      <c r="C2398">
        <f>IF(AND('Month 10'!L140&lt;&gt;"",N('Month 10'!I140)&gt;0),'Month 10'!I140,"")</f>
        <v/>
      </c>
      <c r="D2398">
        <f>IF(C2398="","",IF(N('Month 10'!J140)&gt;0,'Month 10'!J140,1))</f>
        <v/>
      </c>
      <c r="E2398">
        <f>IF(OR(C2398="",D2398=""),"",IF(D2398=1,C2398,ROUND(C2398*(1+D2398/30),1)))</f>
        <v/>
      </c>
    </row>
    <row r="2399">
      <c r="A2399">
        <f>'Month 10'!B113</f>
        <v/>
      </c>
      <c r="B2399" t="inlineStr">
        <is>
          <t>Face Pull</t>
        </is>
      </c>
      <c r="C2399">
        <f>IF(AND('Month 10'!L141&lt;&gt;"",N('Month 10'!I141)&gt;0),'Month 10'!I141,"")</f>
        <v/>
      </c>
      <c r="D2399">
        <f>IF(C2399="","",IF(N('Month 10'!J141)&gt;0,'Month 10'!J141,1))</f>
        <v/>
      </c>
      <c r="E2399">
        <f>IF(OR(C2399="",D2399=""),"",IF(D2399=1,C2399,ROUND(C2399*(1+D2399/30),1)))</f>
        <v/>
      </c>
    </row>
    <row r="2400">
      <c r="A2400">
        <f>'Month 10'!B142</f>
        <v/>
      </c>
      <c r="B2400" t="inlineStr">
        <is>
          <t>Broad Jump</t>
        </is>
      </c>
      <c r="C2400">
        <f>IF(AND('Month 10'!L144&lt;&gt;"",N('Month 10'!I144)&gt;0),'Month 10'!I144,"")</f>
        <v/>
      </c>
      <c r="D2400">
        <f>IF(C2400="","",IF(N('Month 10'!J144)&gt;0,'Month 10'!J144,1))</f>
        <v/>
      </c>
      <c r="E2400">
        <f>IF(OR(C2400="",D2400=""),"",IF(D2400=1,C2400,ROUND(C2400*(1+D2400/30),1)))</f>
        <v/>
      </c>
    </row>
    <row r="2401">
      <c r="A2401">
        <f>'Month 10'!B142</f>
        <v/>
      </c>
      <c r="B2401" t="inlineStr">
        <is>
          <t>Broad Jump</t>
        </is>
      </c>
      <c r="C2401">
        <f>IF(AND('Month 10'!L145&lt;&gt;"",N('Month 10'!I145)&gt;0),'Month 10'!I145,"")</f>
        <v/>
      </c>
      <c r="D2401">
        <f>IF(C2401="","",IF(N('Month 10'!J145)&gt;0,'Month 10'!J145,1))</f>
        <v/>
      </c>
      <c r="E2401">
        <f>IF(OR(C2401="",D2401=""),"",IF(D2401=1,C2401,ROUND(C2401*(1+D2401/30),1)))</f>
        <v/>
      </c>
    </row>
    <row r="2402">
      <c r="A2402">
        <f>'Month 10'!B142</f>
        <v/>
      </c>
      <c r="B2402" t="inlineStr">
        <is>
          <t>Broad Jump</t>
        </is>
      </c>
      <c r="C2402">
        <f>IF(AND('Month 10'!L146&lt;&gt;"",N('Month 10'!I146)&gt;0),'Month 10'!I146,"")</f>
        <v/>
      </c>
      <c r="D2402">
        <f>IF(C2402="","",IF(N('Month 10'!J146)&gt;0,'Month 10'!J146,1))</f>
        <v/>
      </c>
      <c r="E2402">
        <f>IF(OR(C2402="",D2402=""),"",IF(D2402=1,C2402,ROUND(C2402*(1+D2402/30),1)))</f>
        <v/>
      </c>
    </row>
    <row r="2403">
      <c r="A2403">
        <f>'Month 10'!B142</f>
        <v/>
      </c>
      <c r="B2403" t="inlineStr">
        <is>
          <t>Broad Jump</t>
        </is>
      </c>
      <c r="C2403">
        <f>IF(AND('Month 10'!L147&lt;&gt;"",N('Month 10'!I147)&gt;0),'Month 10'!I147,"")</f>
        <v/>
      </c>
      <c r="D2403">
        <f>IF(C2403="","",IF(N('Month 10'!J147)&gt;0,'Month 10'!J147,1))</f>
        <v/>
      </c>
      <c r="E2403">
        <f>IF(OR(C2403="",D2403=""),"",IF(D2403=1,C2403,ROUND(C2403*(1+D2403/30),1)))</f>
        <v/>
      </c>
    </row>
    <row r="2404">
      <c r="A2404">
        <f>'Month 10'!B142</f>
        <v/>
      </c>
      <c r="B2404" t="inlineStr">
        <is>
          <t>Med Ball Chest Pass</t>
        </is>
      </c>
      <c r="C2404">
        <f>IF(AND('Month 10'!L149&lt;&gt;"",N('Month 10'!I149)&gt;0),'Month 10'!I149,"")</f>
        <v/>
      </c>
      <c r="D2404">
        <f>IF(C2404="","",IF(N('Month 10'!J149)&gt;0,'Month 10'!J149,1))</f>
        <v/>
      </c>
      <c r="E2404">
        <f>IF(OR(C2404="",D2404=""),"",IF(D2404=1,C2404,ROUND(C2404*(1+D2404/30),1)))</f>
        <v/>
      </c>
    </row>
    <row r="2405">
      <c r="A2405">
        <f>'Month 10'!B142</f>
        <v/>
      </c>
      <c r="B2405" t="inlineStr">
        <is>
          <t>Med Ball Chest Pass</t>
        </is>
      </c>
      <c r="C2405">
        <f>IF(AND('Month 10'!L150&lt;&gt;"",N('Month 10'!I150)&gt;0),'Month 10'!I150,"")</f>
        <v/>
      </c>
      <c r="D2405">
        <f>IF(C2405="","",IF(N('Month 10'!J150)&gt;0,'Month 10'!J150,1))</f>
        <v/>
      </c>
      <c r="E2405">
        <f>IF(OR(C2405="",D2405=""),"",IF(D2405=1,C2405,ROUND(C2405*(1+D2405/30),1)))</f>
        <v/>
      </c>
    </row>
    <row r="2406">
      <c r="A2406">
        <f>'Month 10'!B142</f>
        <v/>
      </c>
      <c r="B2406" t="inlineStr">
        <is>
          <t>Med Ball Chest Pass</t>
        </is>
      </c>
      <c r="C2406">
        <f>IF(AND('Month 10'!L151&lt;&gt;"",N('Month 10'!I151)&gt;0),'Month 10'!I151,"")</f>
        <v/>
      </c>
      <c r="D2406">
        <f>IF(C2406="","",IF(N('Month 10'!J151)&gt;0,'Month 10'!J151,1))</f>
        <v/>
      </c>
      <c r="E2406">
        <f>IF(OR(C2406="",D2406=""),"",IF(D2406=1,C2406,ROUND(C2406*(1+D2406/30),1)))</f>
        <v/>
      </c>
    </row>
    <row r="2407">
      <c r="A2407">
        <f>'Month 10'!B142</f>
        <v/>
      </c>
      <c r="B2407" t="inlineStr">
        <is>
          <t>Clean &amp; Jerk</t>
        </is>
      </c>
      <c r="C2407">
        <f>IF(AND('Month 10'!L153&lt;&gt;"",N('Month 10'!I153)&gt;0),'Month 10'!I153,"")</f>
        <v/>
      </c>
      <c r="D2407">
        <f>IF(C2407="","",IF(N('Month 10'!J153)&gt;0,'Month 10'!J153,1))</f>
        <v/>
      </c>
      <c r="E2407">
        <f>IF(OR(C2407="",D2407=""),"",IF(D2407=1,C2407,ROUND(C2407*(1+D2407/30),1)))</f>
        <v/>
      </c>
    </row>
    <row r="2408">
      <c r="A2408">
        <f>'Month 10'!B142</f>
        <v/>
      </c>
      <c r="B2408" t="inlineStr">
        <is>
          <t>Clean &amp; Jerk</t>
        </is>
      </c>
      <c r="C2408">
        <f>IF(AND('Month 10'!L154&lt;&gt;"",N('Month 10'!I154)&gt;0),'Month 10'!I154,"")</f>
        <v/>
      </c>
      <c r="D2408">
        <f>IF(C2408="","",IF(N('Month 10'!J154)&gt;0,'Month 10'!J154,1))</f>
        <v/>
      </c>
      <c r="E2408">
        <f>IF(OR(C2408="",D2408=""),"",IF(D2408=1,C2408,ROUND(C2408*(1+D2408/30),1)))</f>
        <v/>
      </c>
    </row>
    <row r="2409">
      <c r="A2409">
        <f>'Month 10'!B142</f>
        <v/>
      </c>
      <c r="B2409" t="inlineStr">
        <is>
          <t>Clean &amp; Jerk</t>
        </is>
      </c>
      <c r="C2409">
        <f>IF(AND('Month 10'!L155&lt;&gt;"",N('Month 10'!I155)&gt;0),'Month 10'!I155,"")</f>
        <v/>
      </c>
      <c r="D2409">
        <f>IF(C2409="","",IF(N('Month 10'!J155)&gt;0,'Month 10'!J155,1))</f>
        <v/>
      </c>
      <c r="E2409">
        <f>IF(OR(C2409="",D2409=""),"",IF(D2409=1,C2409,ROUND(C2409*(1+D2409/30),1)))</f>
        <v/>
      </c>
    </row>
    <row r="2410">
      <c r="A2410">
        <f>'Month 10'!B142</f>
        <v/>
      </c>
      <c r="B2410" t="inlineStr">
        <is>
          <t>Clean &amp; Jerk</t>
        </is>
      </c>
      <c r="C2410">
        <f>IF(AND('Month 10'!L156&lt;&gt;"",N('Month 10'!I156)&gt;0),'Month 10'!I156,"")</f>
        <v/>
      </c>
      <c r="D2410">
        <f>IF(C2410="","",IF(N('Month 10'!J156)&gt;0,'Month 10'!J156,1))</f>
        <v/>
      </c>
      <c r="E2410">
        <f>IF(OR(C2410="",D2410=""),"",IF(D2410=1,C2410,ROUND(C2410*(1+D2410/30),1)))</f>
        <v/>
      </c>
    </row>
    <row r="2411">
      <c r="A2411">
        <f>'Month 10'!B142</f>
        <v/>
      </c>
      <c r="B2411" t="inlineStr">
        <is>
          <t>Squat</t>
        </is>
      </c>
      <c r="C2411">
        <f>IF(AND('Month 10'!L158&lt;&gt;"",N('Month 10'!I158)&gt;0),'Month 10'!I158,"")</f>
        <v/>
      </c>
      <c r="D2411">
        <f>IF(C2411="","",IF(N('Month 10'!J158)&gt;0,'Month 10'!J158,1))</f>
        <v/>
      </c>
      <c r="E2411">
        <f>IF(OR(C2411="",D2411=""),"",IF(D2411=1,C2411,ROUND(C2411*(1+D2411/30),1)))</f>
        <v/>
      </c>
    </row>
    <row r="2412">
      <c r="A2412">
        <f>'Month 10'!B142</f>
        <v/>
      </c>
      <c r="B2412" t="inlineStr">
        <is>
          <t>Squat</t>
        </is>
      </c>
      <c r="C2412">
        <f>IF(AND('Month 10'!L159&lt;&gt;"",N('Month 10'!I159)&gt;0),'Month 10'!I159,"")</f>
        <v/>
      </c>
      <c r="D2412">
        <f>IF(C2412="","",IF(N('Month 10'!J159)&gt;0,'Month 10'!J159,1))</f>
        <v/>
      </c>
      <c r="E2412">
        <f>IF(OR(C2412="",D2412=""),"",IF(D2412=1,C2412,ROUND(C2412*(1+D2412/30),1)))</f>
        <v/>
      </c>
    </row>
    <row r="2413">
      <c r="A2413">
        <f>'Month 10'!B142</f>
        <v/>
      </c>
      <c r="B2413" t="inlineStr">
        <is>
          <t>Squat</t>
        </is>
      </c>
      <c r="C2413">
        <f>IF(AND('Month 10'!L160&lt;&gt;"",N('Month 10'!I160)&gt;0),'Month 10'!I160,"")</f>
        <v/>
      </c>
      <c r="D2413">
        <f>IF(C2413="","",IF(N('Month 10'!J160)&gt;0,'Month 10'!J160,1))</f>
        <v/>
      </c>
      <c r="E2413">
        <f>IF(OR(C2413="",D2413=""),"",IF(D2413=1,C2413,ROUND(C2413*(1+D2413/30),1)))</f>
        <v/>
      </c>
    </row>
    <row r="2414">
      <c r="A2414">
        <f>'Month 10'!B142</f>
        <v/>
      </c>
      <c r="B2414" t="inlineStr">
        <is>
          <t>Overhead Press</t>
        </is>
      </c>
      <c r="C2414">
        <f>IF(AND('Month 10'!L162&lt;&gt;"",N('Month 10'!I162)&gt;0),'Month 10'!I162,"")</f>
        <v/>
      </c>
      <c r="D2414">
        <f>IF(C2414="","",IF(N('Month 10'!J162)&gt;0,'Month 10'!J162,1))</f>
        <v/>
      </c>
      <c r="E2414">
        <f>IF(OR(C2414="",D2414=""),"",IF(D2414=1,C2414,ROUND(C2414*(1+D2414/30),1)))</f>
        <v/>
      </c>
    </row>
    <row r="2415">
      <c r="A2415">
        <f>'Month 10'!B142</f>
        <v/>
      </c>
      <c r="B2415" t="inlineStr">
        <is>
          <t>Overhead Press</t>
        </is>
      </c>
      <c r="C2415">
        <f>IF(AND('Month 10'!L163&lt;&gt;"",N('Month 10'!I163)&gt;0),'Month 10'!I163,"")</f>
        <v/>
      </c>
      <c r="D2415">
        <f>IF(C2415="","",IF(N('Month 10'!J163)&gt;0,'Month 10'!J163,1))</f>
        <v/>
      </c>
      <c r="E2415">
        <f>IF(OR(C2415="",D2415=""),"",IF(D2415=1,C2415,ROUND(C2415*(1+D2415/30),1)))</f>
        <v/>
      </c>
    </row>
    <row r="2416">
      <c r="A2416">
        <f>'Month 10'!B142</f>
        <v/>
      </c>
      <c r="B2416" t="inlineStr">
        <is>
          <t>Overhead Press</t>
        </is>
      </c>
      <c r="C2416">
        <f>IF(AND('Month 10'!L164&lt;&gt;"",N('Month 10'!I164)&gt;0),'Month 10'!I164,"")</f>
        <v/>
      </c>
      <c r="D2416">
        <f>IF(C2416="","",IF(N('Month 10'!J164)&gt;0,'Month 10'!J164,1))</f>
        <v/>
      </c>
      <c r="E2416">
        <f>IF(OR(C2416="",D2416=""),"",IF(D2416=1,C2416,ROUND(C2416*(1+D2416/30),1)))</f>
        <v/>
      </c>
    </row>
    <row r="2417">
      <c r="A2417">
        <f>'Month 10'!B142</f>
        <v/>
      </c>
      <c r="B2417" t="inlineStr">
        <is>
          <t>Overhead Press</t>
        </is>
      </c>
      <c r="C2417">
        <f>IF(AND('Month 10'!L165&lt;&gt;"",N('Month 10'!I165)&gt;0),'Month 10'!I165,"")</f>
        <v/>
      </c>
      <c r="D2417">
        <f>IF(C2417="","",IF(N('Month 10'!J165)&gt;0,'Month 10'!J165,1))</f>
        <v/>
      </c>
      <c r="E2417">
        <f>IF(OR(C2417="",D2417=""),"",IF(D2417=1,C2417,ROUND(C2417*(1+D2417/30),1)))</f>
        <v/>
      </c>
    </row>
    <row r="2418">
      <c r="A2418">
        <f>'Month 10'!B142</f>
        <v/>
      </c>
      <c r="B2418" t="inlineStr">
        <is>
          <t>Deadlift</t>
        </is>
      </c>
      <c r="C2418">
        <f>IF(AND('Month 10'!L167&lt;&gt;"",N('Month 10'!I167)&gt;0),'Month 10'!I167,"")</f>
        <v/>
      </c>
      <c r="D2418">
        <f>IF(C2418="","",IF(N('Month 10'!J167)&gt;0,'Month 10'!J167,1))</f>
        <v/>
      </c>
      <c r="E2418">
        <f>IF(OR(C2418="",D2418=""),"",IF(D2418=1,C2418,ROUND(C2418*(1+D2418/30),1)))</f>
        <v/>
      </c>
    </row>
    <row r="2419">
      <c r="A2419">
        <f>'Month 10'!B142</f>
        <v/>
      </c>
      <c r="B2419" t="inlineStr">
        <is>
          <t>Deadlift</t>
        </is>
      </c>
      <c r="C2419">
        <f>IF(AND('Month 10'!L168&lt;&gt;"",N('Month 10'!I168)&gt;0),'Month 10'!I168,"")</f>
        <v/>
      </c>
      <c r="D2419">
        <f>IF(C2419="","",IF(N('Month 10'!J168)&gt;0,'Month 10'!J168,1))</f>
        <v/>
      </c>
      <c r="E2419">
        <f>IF(OR(C2419="",D2419=""),"",IF(D2419=1,C2419,ROUND(C2419*(1+D2419/30),1)))</f>
        <v/>
      </c>
    </row>
    <row r="2420">
      <c r="A2420">
        <f>'Month 10'!B142</f>
        <v/>
      </c>
      <c r="B2420" t="inlineStr">
        <is>
          <t>Deadlift</t>
        </is>
      </c>
      <c r="C2420">
        <f>IF(AND('Month 10'!L169&lt;&gt;"",N('Month 10'!I169)&gt;0),'Month 10'!I169,"")</f>
        <v/>
      </c>
      <c r="D2420">
        <f>IF(C2420="","",IF(N('Month 10'!J169)&gt;0,'Month 10'!J169,1))</f>
        <v/>
      </c>
      <c r="E2420">
        <f>IF(OR(C2420="",D2420=""),"",IF(D2420=1,C2420,ROUND(C2420*(1+D2420/30),1)))</f>
        <v/>
      </c>
    </row>
    <row r="2421">
      <c r="A2421">
        <f>'Month 10'!B142</f>
        <v/>
      </c>
      <c r="B2421" t="inlineStr">
        <is>
          <t>Chin-up</t>
        </is>
      </c>
      <c r="C2421">
        <f>IF(AND('Month 10'!L171&lt;&gt;"",N('Month 10'!I171)&gt;0),'Month 10'!I171,"")</f>
        <v/>
      </c>
      <c r="D2421">
        <f>IF(C2421="","",IF(N('Month 10'!J171)&gt;0,'Month 10'!J171,1))</f>
        <v/>
      </c>
      <c r="E2421">
        <f>IF(OR(C2421="",D2421=""),"",IF(D2421=1,C2421,ROUND(C2421*(1+D2421/30),1)))</f>
        <v/>
      </c>
    </row>
    <row r="2422">
      <c r="A2422">
        <f>'Month 10'!B142</f>
        <v/>
      </c>
      <c r="B2422" t="inlineStr">
        <is>
          <t>Chin-up</t>
        </is>
      </c>
      <c r="C2422">
        <f>IF(AND('Month 10'!L172&lt;&gt;"",N('Month 10'!I172)&gt;0),'Month 10'!I172,"")</f>
        <v/>
      </c>
      <c r="D2422">
        <f>IF(C2422="","",IF(N('Month 10'!J172)&gt;0,'Month 10'!J172,1))</f>
        <v/>
      </c>
      <c r="E2422">
        <f>IF(OR(C2422="",D2422=""),"",IF(D2422=1,C2422,ROUND(C2422*(1+D2422/30),1)))</f>
        <v/>
      </c>
    </row>
    <row r="2423">
      <c r="A2423">
        <f>'Month 10'!B142</f>
        <v/>
      </c>
      <c r="B2423" t="inlineStr">
        <is>
          <t>Chin-up</t>
        </is>
      </c>
      <c r="C2423">
        <f>IF(AND('Month 10'!L173&lt;&gt;"",N('Month 10'!I173)&gt;0),'Month 10'!I173,"")</f>
        <v/>
      </c>
      <c r="D2423">
        <f>IF(C2423="","",IF(N('Month 10'!J173)&gt;0,'Month 10'!J173,1))</f>
        <v/>
      </c>
      <c r="E2423">
        <f>IF(OR(C2423="",D2423=""),"",IF(D2423=1,C2423,ROUND(C2423*(1+D2423/30),1)))</f>
        <v/>
      </c>
    </row>
    <row r="2424">
      <c r="A2424">
        <f>'Month 10'!B142</f>
        <v/>
      </c>
      <c r="B2424" t="inlineStr">
        <is>
          <t>Chin-up</t>
        </is>
      </c>
      <c r="C2424">
        <f>IF(AND('Month 10'!L174&lt;&gt;"",N('Month 10'!I174)&gt;0),'Month 10'!I174,"")</f>
        <v/>
      </c>
      <c r="D2424">
        <f>IF(C2424="","",IF(N('Month 10'!J174)&gt;0,'Month 10'!J174,1))</f>
        <v/>
      </c>
      <c r="E2424">
        <f>IF(OR(C2424="",D2424=""),"",IF(D2424=1,C2424,ROUND(C2424*(1+D2424/30),1)))</f>
        <v/>
      </c>
    </row>
    <row r="2425">
      <c r="A2425">
        <f>'Month 10'!B142</f>
        <v/>
      </c>
      <c r="B2425" t="inlineStr">
        <is>
          <t>Plank</t>
        </is>
      </c>
      <c r="C2425">
        <f>IF(AND('Month 10'!L176&lt;&gt;"",N('Month 10'!I176)&gt;0),'Month 10'!I176,"")</f>
        <v/>
      </c>
      <c r="D2425">
        <f>IF(C2425="","",IF(N('Month 10'!J176)&gt;0,'Month 10'!J176,1))</f>
        <v/>
      </c>
      <c r="E2425">
        <f>IF(OR(C2425="",D2425=""),"",IF(D2425=1,C2425,ROUND(C2425*(1+D2425/30),1)))</f>
        <v/>
      </c>
    </row>
    <row r="2426">
      <c r="A2426">
        <f>'Month 10'!B142</f>
        <v/>
      </c>
      <c r="B2426" t="inlineStr">
        <is>
          <t>Plank</t>
        </is>
      </c>
      <c r="C2426">
        <f>IF(AND('Month 10'!L177&lt;&gt;"",N('Month 10'!I177)&gt;0),'Month 10'!I177,"")</f>
        <v/>
      </c>
      <c r="D2426">
        <f>IF(C2426="","",IF(N('Month 10'!J177)&gt;0,'Month 10'!J177,1))</f>
        <v/>
      </c>
      <c r="E2426">
        <f>IF(OR(C2426="",D2426=""),"",IF(D2426=1,C2426,ROUND(C2426*(1+D2426/30),1)))</f>
        <v/>
      </c>
    </row>
    <row r="2427">
      <c r="A2427">
        <f>'Month 10'!B142</f>
        <v/>
      </c>
      <c r="B2427" t="inlineStr">
        <is>
          <t>Plank</t>
        </is>
      </c>
      <c r="C2427">
        <f>IF(AND('Month 10'!L178&lt;&gt;"",N('Month 10'!I178)&gt;0),'Month 10'!I178,"")</f>
        <v/>
      </c>
      <c r="D2427">
        <f>IF(C2427="","",IF(N('Month 10'!J178)&gt;0,'Month 10'!J178,1))</f>
        <v/>
      </c>
      <c r="E2427">
        <f>IF(OR(C2427="",D2427=""),"",IF(D2427=1,C2427,ROUND(C2427*(1+D2427/30),1)))</f>
        <v/>
      </c>
    </row>
    <row r="2428">
      <c r="A2428">
        <f>'Month 10'!B142</f>
        <v/>
      </c>
      <c r="B2428" t="inlineStr">
        <is>
          <t>Plank</t>
        </is>
      </c>
      <c r="C2428">
        <f>IF(AND('Month 10'!L179&lt;&gt;"",N('Month 10'!I179)&gt;0),'Month 10'!I179,"")</f>
        <v/>
      </c>
      <c r="D2428">
        <f>IF(C2428="","",IF(N('Month 10'!J179)&gt;0,'Month 10'!J179,1))</f>
        <v/>
      </c>
      <c r="E2428">
        <f>IF(OR(C2428="",D2428=""),"",IF(D2428=1,C2428,ROUND(C2428*(1+D2428/30),1)))</f>
        <v/>
      </c>
    </row>
    <row r="2429">
      <c r="A2429">
        <f>'Month 10'!B180</f>
        <v/>
      </c>
      <c r="B2429" t="inlineStr">
        <is>
          <t>Lateral Bound</t>
        </is>
      </c>
      <c r="C2429">
        <f>IF(AND('Month 10'!L182&lt;&gt;"",N('Month 10'!I182)&gt;0),'Month 10'!I182,"")</f>
        <v/>
      </c>
      <c r="D2429">
        <f>IF(C2429="","",IF(N('Month 10'!J182)&gt;0,'Month 10'!J182,1))</f>
        <v/>
      </c>
      <c r="E2429">
        <f>IF(OR(C2429="",D2429=""),"",IF(D2429=1,C2429,ROUND(C2429*(1+D2429/30),1)))</f>
        <v/>
      </c>
    </row>
    <row r="2430">
      <c r="A2430">
        <f>'Month 10'!B180</f>
        <v/>
      </c>
      <c r="B2430" t="inlineStr">
        <is>
          <t>Lateral Bound</t>
        </is>
      </c>
      <c r="C2430">
        <f>IF(AND('Month 10'!L183&lt;&gt;"",N('Month 10'!I183)&gt;0),'Month 10'!I183,"")</f>
        <v/>
      </c>
      <c r="D2430">
        <f>IF(C2430="","",IF(N('Month 10'!J183)&gt;0,'Month 10'!J183,1))</f>
        <v/>
      </c>
      <c r="E2430">
        <f>IF(OR(C2430="",D2430=""),"",IF(D2430=1,C2430,ROUND(C2430*(1+D2430/30),1)))</f>
        <v/>
      </c>
    </row>
    <row r="2431">
      <c r="A2431">
        <f>'Month 10'!B180</f>
        <v/>
      </c>
      <c r="B2431" t="inlineStr">
        <is>
          <t>Lateral Bound</t>
        </is>
      </c>
      <c r="C2431">
        <f>IF(AND('Month 10'!L184&lt;&gt;"",N('Month 10'!I184)&gt;0),'Month 10'!I184,"")</f>
        <v/>
      </c>
      <c r="D2431">
        <f>IF(C2431="","",IF(N('Month 10'!J184)&gt;0,'Month 10'!J184,1))</f>
        <v/>
      </c>
      <c r="E2431">
        <f>IF(OR(C2431="",D2431=""),"",IF(D2431=1,C2431,ROUND(C2431*(1+D2431/30),1)))</f>
        <v/>
      </c>
    </row>
    <row r="2432">
      <c r="A2432">
        <f>'Month 10'!B180</f>
        <v/>
      </c>
      <c r="B2432" t="inlineStr">
        <is>
          <t>Lateral Bound</t>
        </is>
      </c>
      <c r="C2432">
        <f>IF(AND('Month 10'!L185&lt;&gt;"",N('Month 10'!I185)&gt;0),'Month 10'!I185,"")</f>
        <v/>
      </c>
      <c r="D2432">
        <f>IF(C2432="","",IF(N('Month 10'!J185)&gt;0,'Month 10'!J185,1))</f>
        <v/>
      </c>
      <c r="E2432">
        <f>IF(OR(C2432="",D2432=""),"",IF(D2432=1,C2432,ROUND(C2432*(1+D2432/30),1)))</f>
        <v/>
      </c>
    </row>
    <row r="2433">
      <c r="A2433">
        <f>'Month 10'!B180</f>
        <v/>
      </c>
      <c r="B2433" t="inlineStr">
        <is>
          <t>Power Clean</t>
        </is>
      </c>
      <c r="C2433">
        <f>IF(AND('Month 10'!L187&lt;&gt;"",N('Month 10'!I187)&gt;0),'Month 10'!I187,"")</f>
        <v/>
      </c>
      <c r="D2433">
        <f>IF(C2433="","",IF(N('Month 10'!J187)&gt;0,'Month 10'!J187,1))</f>
        <v/>
      </c>
      <c r="E2433">
        <f>IF(OR(C2433="",D2433=""),"",IF(D2433=1,C2433,ROUND(C2433*(1+D2433/30),1)))</f>
        <v/>
      </c>
    </row>
    <row r="2434">
      <c r="A2434">
        <f>'Month 10'!B180</f>
        <v/>
      </c>
      <c r="B2434" t="inlineStr">
        <is>
          <t>Power Clean</t>
        </is>
      </c>
      <c r="C2434">
        <f>IF(AND('Month 10'!L188&lt;&gt;"",N('Month 10'!I188)&gt;0),'Month 10'!I188,"")</f>
        <v/>
      </c>
      <c r="D2434">
        <f>IF(C2434="","",IF(N('Month 10'!J188)&gt;0,'Month 10'!J188,1))</f>
        <v/>
      </c>
      <c r="E2434">
        <f>IF(OR(C2434="",D2434=""),"",IF(D2434=1,C2434,ROUND(C2434*(1+D2434/30),1)))</f>
        <v/>
      </c>
    </row>
    <row r="2435">
      <c r="A2435">
        <f>'Month 10'!B180</f>
        <v/>
      </c>
      <c r="B2435" t="inlineStr">
        <is>
          <t>Power Clean</t>
        </is>
      </c>
      <c r="C2435">
        <f>IF(AND('Month 10'!L189&lt;&gt;"",N('Month 10'!I189)&gt;0),'Month 10'!I189,"")</f>
        <v/>
      </c>
      <c r="D2435">
        <f>IF(C2435="","",IF(N('Month 10'!J189)&gt;0,'Month 10'!J189,1))</f>
        <v/>
      </c>
      <c r="E2435">
        <f>IF(OR(C2435="",D2435=""),"",IF(D2435=1,C2435,ROUND(C2435*(1+D2435/30),1)))</f>
        <v/>
      </c>
    </row>
    <row r="2436">
      <c r="A2436">
        <f>'Month 10'!B180</f>
        <v/>
      </c>
      <c r="B2436" t="inlineStr">
        <is>
          <t>Power Clean</t>
        </is>
      </c>
      <c r="C2436">
        <f>IF(AND('Month 10'!L190&lt;&gt;"",N('Month 10'!I190)&gt;0),'Month 10'!I190,"")</f>
        <v/>
      </c>
      <c r="D2436">
        <f>IF(C2436="","",IF(N('Month 10'!J190)&gt;0,'Month 10'!J190,1))</f>
        <v/>
      </c>
      <c r="E2436">
        <f>IF(OR(C2436="",D2436=""),"",IF(D2436=1,C2436,ROUND(C2436*(1+D2436/30),1)))</f>
        <v/>
      </c>
    </row>
    <row r="2437">
      <c r="A2437">
        <f>'Month 10'!B180</f>
        <v/>
      </c>
      <c r="B2437" t="inlineStr">
        <is>
          <t>Power Clean</t>
        </is>
      </c>
      <c r="C2437">
        <f>IF(AND('Month 10'!L191&lt;&gt;"",N('Month 10'!I191)&gt;0),'Month 10'!I191,"")</f>
        <v/>
      </c>
      <c r="D2437">
        <f>IF(C2437="","",IF(N('Month 10'!J191)&gt;0,'Month 10'!J191,1))</f>
        <v/>
      </c>
      <c r="E2437">
        <f>IF(OR(C2437="",D2437=""),"",IF(D2437=1,C2437,ROUND(C2437*(1+D2437/30),1)))</f>
        <v/>
      </c>
    </row>
    <row r="2438">
      <c r="A2438">
        <f>'Month 10'!B180</f>
        <v/>
      </c>
      <c r="B2438" t="inlineStr">
        <is>
          <t>Power Clean</t>
        </is>
      </c>
      <c r="C2438">
        <f>IF(AND('Month 10'!L192&lt;&gt;"",N('Month 10'!I192)&gt;0),'Month 10'!I192,"")</f>
        <v/>
      </c>
      <c r="D2438">
        <f>IF(C2438="","",IF(N('Month 10'!J192)&gt;0,'Month 10'!J192,1))</f>
        <v/>
      </c>
      <c r="E2438">
        <f>IF(OR(C2438="",D2438=""),"",IF(D2438=1,C2438,ROUND(C2438*(1+D2438/30),1)))</f>
        <v/>
      </c>
    </row>
    <row r="2439">
      <c r="A2439">
        <f>'Month 10'!B180</f>
        <v/>
      </c>
      <c r="B2439" t="inlineStr">
        <is>
          <t>Pin Squat</t>
        </is>
      </c>
      <c r="C2439">
        <f>IF(AND('Month 10'!L194&lt;&gt;"",N('Month 10'!I194)&gt;0),'Month 10'!I194,"")</f>
        <v/>
      </c>
      <c r="D2439">
        <f>IF(C2439="","",IF(N('Month 10'!J194)&gt;0,'Month 10'!J194,1))</f>
        <v/>
      </c>
      <c r="E2439">
        <f>IF(OR(C2439="",D2439=""),"",IF(D2439=1,C2439,ROUND(C2439*(1+D2439/30),1)))</f>
        <v/>
      </c>
    </row>
    <row r="2440">
      <c r="A2440">
        <f>'Month 10'!B180</f>
        <v/>
      </c>
      <c r="B2440" t="inlineStr">
        <is>
          <t>Pin Squat</t>
        </is>
      </c>
      <c r="C2440">
        <f>IF(AND('Month 10'!L195&lt;&gt;"",N('Month 10'!I195)&gt;0),'Month 10'!I195,"")</f>
        <v/>
      </c>
      <c r="D2440">
        <f>IF(C2440="","",IF(N('Month 10'!J195)&gt;0,'Month 10'!J195,1))</f>
        <v/>
      </c>
      <c r="E2440">
        <f>IF(OR(C2440="",D2440=""),"",IF(D2440=1,C2440,ROUND(C2440*(1+D2440/30),1)))</f>
        <v/>
      </c>
    </row>
    <row r="2441">
      <c r="A2441">
        <f>'Month 10'!B180</f>
        <v/>
      </c>
      <c r="B2441" t="inlineStr">
        <is>
          <t>Pin Squat</t>
        </is>
      </c>
      <c r="C2441">
        <f>IF(AND('Month 10'!L196&lt;&gt;"",N('Month 10'!I196)&gt;0),'Month 10'!I196,"")</f>
        <v/>
      </c>
      <c r="D2441">
        <f>IF(C2441="","",IF(N('Month 10'!J196)&gt;0,'Month 10'!J196,1))</f>
        <v/>
      </c>
      <c r="E2441">
        <f>IF(OR(C2441="",D2441=""),"",IF(D2441=1,C2441,ROUND(C2441*(1+D2441/30),1)))</f>
        <v/>
      </c>
    </row>
    <row r="2442">
      <c r="A2442">
        <f>'Month 10'!B180</f>
        <v/>
      </c>
      <c r="B2442" t="inlineStr">
        <is>
          <t>Pin Squat</t>
        </is>
      </c>
      <c r="C2442">
        <f>IF(AND('Month 10'!L197&lt;&gt;"",N('Month 10'!I197)&gt;0),'Month 10'!I197,"")</f>
        <v/>
      </c>
      <c r="D2442">
        <f>IF(C2442="","",IF(N('Month 10'!J197)&gt;0,'Month 10'!J197,1))</f>
        <v/>
      </c>
      <c r="E2442">
        <f>IF(OR(C2442="",D2442=""),"",IF(D2442=1,C2442,ROUND(C2442*(1+D2442/30),1)))</f>
        <v/>
      </c>
    </row>
    <row r="2443">
      <c r="A2443">
        <f>'Month 10'!B180</f>
        <v/>
      </c>
      <c r="B2443" t="inlineStr">
        <is>
          <t>Pause Bench Press</t>
        </is>
      </c>
      <c r="C2443">
        <f>IF(AND('Month 10'!L199&lt;&gt;"",N('Month 10'!I199)&gt;0),'Month 10'!I199,"")</f>
        <v/>
      </c>
      <c r="D2443">
        <f>IF(C2443="","",IF(N('Month 10'!J199)&gt;0,'Month 10'!J199,1))</f>
        <v/>
      </c>
      <c r="E2443">
        <f>IF(OR(C2443="",D2443=""),"",IF(D2443=1,C2443,ROUND(C2443*(1+D2443/30),1)))</f>
        <v/>
      </c>
    </row>
    <row r="2444">
      <c r="A2444">
        <f>'Month 10'!B180</f>
        <v/>
      </c>
      <c r="B2444" t="inlineStr">
        <is>
          <t>Pause Bench Press</t>
        </is>
      </c>
      <c r="C2444">
        <f>IF(AND('Month 10'!L200&lt;&gt;"",N('Month 10'!I200)&gt;0),'Month 10'!I200,"")</f>
        <v/>
      </c>
      <c r="D2444">
        <f>IF(C2444="","",IF(N('Month 10'!J200)&gt;0,'Month 10'!J200,1))</f>
        <v/>
      </c>
      <c r="E2444">
        <f>IF(OR(C2444="",D2444=""),"",IF(D2444=1,C2444,ROUND(C2444*(1+D2444/30),1)))</f>
        <v/>
      </c>
    </row>
    <row r="2445">
      <c r="A2445">
        <f>'Month 10'!B180</f>
        <v/>
      </c>
      <c r="B2445" t="inlineStr">
        <is>
          <t>Pause Bench Press</t>
        </is>
      </c>
      <c r="C2445">
        <f>IF(AND('Month 10'!L201&lt;&gt;"",N('Month 10'!I201)&gt;0),'Month 10'!I201,"")</f>
        <v/>
      </c>
      <c r="D2445">
        <f>IF(C2445="","",IF(N('Month 10'!J201)&gt;0,'Month 10'!J201,1))</f>
        <v/>
      </c>
      <c r="E2445">
        <f>IF(OR(C2445="",D2445=""),"",IF(D2445=1,C2445,ROUND(C2445*(1+D2445/30),1)))</f>
        <v/>
      </c>
    </row>
    <row r="2446">
      <c r="A2446">
        <f>'Month 10'!B180</f>
        <v/>
      </c>
      <c r="B2446" t="inlineStr">
        <is>
          <t>Pause Bench Press</t>
        </is>
      </c>
      <c r="C2446">
        <f>IF(AND('Month 10'!L202&lt;&gt;"",N('Month 10'!I202)&gt;0),'Month 10'!I202,"")</f>
        <v/>
      </c>
      <c r="D2446">
        <f>IF(C2446="","",IF(N('Month 10'!J202)&gt;0,'Month 10'!J202,1))</f>
        <v/>
      </c>
      <c r="E2446">
        <f>IF(OR(C2446="",D2446=""),"",IF(D2446=1,C2446,ROUND(C2446*(1+D2446/30),1)))</f>
        <v/>
      </c>
    </row>
    <row r="2447">
      <c r="A2447">
        <f>'Month 10'!B180</f>
        <v/>
      </c>
      <c r="B2447" t="inlineStr">
        <is>
          <t>Deficit Deadlift</t>
        </is>
      </c>
      <c r="C2447">
        <f>IF(AND('Month 10'!L204&lt;&gt;"",N('Month 10'!I204)&gt;0),'Month 10'!I204,"")</f>
        <v/>
      </c>
      <c r="D2447">
        <f>IF(C2447="","",IF(N('Month 10'!J204)&gt;0,'Month 10'!J204,1))</f>
        <v/>
      </c>
      <c r="E2447">
        <f>IF(OR(C2447="",D2447=""),"",IF(D2447=1,C2447,ROUND(C2447*(1+D2447/30),1)))</f>
        <v/>
      </c>
    </row>
    <row r="2448">
      <c r="A2448">
        <f>'Month 10'!B180</f>
        <v/>
      </c>
      <c r="B2448" t="inlineStr">
        <is>
          <t>Deficit Deadlift</t>
        </is>
      </c>
      <c r="C2448">
        <f>IF(AND('Month 10'!L205&lt;&gt;"",N('Month 10'!I205)&gt;0),'Month 10'!I205,"")</f>
        <v/>
      </c>
      <c r="D2448">
        <f>IF(C2448="","",IF(N('Month 10'!J205)&gt;0,'Month 10'!J205,1))</f>
        <v/>
      </c>
      <c r="E2448">
        <f>IF(OR(C2448="",D2448=""),"",IF(D2448=1,C2448,ROUND(C2448*(1+D2448/30),1)))</f>
        <v/>
      </c>
    </row>
    <row r="2449">
      <c r="A2449">
        <f>'Month 10'!B180</f>
        <v/>
      </c>
      <c r="B2449" t="inlineStr">
        <is>
          <t>Deficit Deadlift</t>
        </is>
      </c>
      <c r="C2449">
        <f>IF(AND('Month 10'!L206&lt;&gt;"",N('Month 10'!I206)&gt;0),'Month 10'!I206,"")</f>
        <v/>
      </c>
      <c r="D2449">
        <f>IF(C2449="","",IF(N('Month 10'!J206)&gt;0,'Month 10'!J206,1))</f>
        <v/>
      </c>
      <c r="E2449">
        <f>IF(OR(C2449="",D2449=""),"",IF(D2449=1,C2449,ROUND(C2449*(1+D2449/30),1)))</f>
        <v/>
      </c>
    </row>
    <row r="2450">
      <c r="A2450">
        <f>'Month 10'!B180</f>
        <v/>
      </c>
      <c r="B2450" t="inlineStr">
        <is>
          <t>Incline Dumbbell Press</t>
        </is>
      </c>
      <c r="C2450">
        <f>IF(AND('Month 10'!L208&lt;&gt;"",N('Month 10'!I208)&gt;0),'Month 10'!I208,"")</f>
        <v/>
      </c>
      <c r="D2450">
        <f>IF(C2450="","",IF(N('Month 10'!J208)&gt;0,'Month 10'!J208,1))</f>
        <v/>
      </c>
      <c r="E2450">
        <f>IF(OR(C2450="",D2450=""),"",IF(D2450=1,C2450,ROUND(C2450*(1+D2450/30),1)))</f>
        <v/>
      </c>
    </row>
    <row r="2451">
      <c r="A2451">
        <f>'Month 10'!B180</f>
        <v/>
      </c>
      <c r="B2451" t="inlineStr">
        <is>
          <t>Incline Dumbbell Press</t>
        </is>
      </c>
      <c r="C2451">
        <f>IF(AND('Month 10'!L209&lt;&gt;"",N('Month 10'!I209)&gt;0),'Month 10'!I209,"")</f>
        <v/>
      </c>
      <c r="D2451">
        <f>IF(C2451="","",IF(N('Month 10'!J209)&gt;0,'Month 10'!J209,1))</f>
        <v/>
      </c>
      <c r="E2451">
        <f>IF(OR(C2451="",D2451=""),"",IF(D2451=1,C2451,ROUND(C2451*(1+D2451/30),1)))</f>
        <v/>
      </c>
    </row>
    <row r="2452">
      <c r="A2452">
        <f>'Month 10'!B180</f>
        <v/>
      </c>
      <c r="B2452" t="inlineStr">
        <is>
          <t>Incline Dumbbell Press</t>
        </is>
      </c>
      <c r="C2452">
        <f>IF(AND('Month 10'!L210&lt;&gt;"",N('Month 10'!I210)&gt;0),'Month 10'!I210,"")</f>
        <v/>
      </c>
      <c r="D2452">
        <f>IF(C2452="","",IF(N('Month 10'!J210)&gt;0,'Month 10'!J210,1))</f>
        <v/>
      </c>
      <c r="E2452">
        <f>IF(OR(C2452="",D2452=""),"",IF(D2452=1,C2452,ROUND(C2452*(1+D2452/30),1)))</f>
        <v/>
      </c>
    </row>
    <row r="2453">
      <c r="A2453">
        <f>'Month 10'!B180</f>
        <v/>
      </c>
      <c r="B2453" t="inlineStr">
        <is>
          <t>Incline Dumbbell Press</t>
        </is>
      </c>
      <c r="C2453">
        <f>IF(AND('Month 10'!L211&lt;&gt;"",N('Month 10'!I211)&gt;0),'Month 10'!I211,"")</f>
        <v/>
      </c>
      <c r="D2453">
        <f>IF(C2453="","",IF(N('Month 10'!J211)&gt;0,'Month 10'!J211,1))</f>
        <v/>
      </c>
      <c r="E2453">
        <f>IF(OR(C2453="",D2453=""),"",IF(D2453=1,C2453,ROUND(C2453*(1+D2453/30),1)))</f>
        <v/>
      </c>
    </row>
    <row r="2454">
      <c r="A2454">
        <f>'Month 10'!B180</f>
        <v/>
      </c>
      <c r="B2454" t="inlineStr">
        <is>
          <t>Triceps Pushdown</t>
        </is>
      </c>
      <c r="C2454">
        <f>IF(AND('Month 10'!L213&lt;&gt;"",N('Month 10'!I213)&gt;0),'Month 10'!I213,"")</f>
        <v/>
      </c>
      <c r="D2454">
        <f>IF(C2454="","",IF(N('Month 10'!J213)&gt;0,'Month 10'!J213,1))</f>
        <v/>
      </c>
      <c r="E2454">
        <f>IF(OR(C2454="",D2454=""),"",IF(D2454=1,C2454,ROUND(C2454*(1+D2454/30),1)))</f>
        <v/>
      </c>
    </row>
    <row r="2455">
      <c r="A2455">
        <f>'Month 10'!B180</f>
        <v/>
      </c>
      <c r="B2455" t="inlineStr">
        <is>
          <t>Triceps Pushdown</t>
        </is>
      </c>
      <c r="C2455">
        <f>IF(AND('Month 10'!L214&lt;&gt;"",N('Month 10'!I214)&gt;0),'Month 10'!I214,"")</f>
        <v/>
      </c>
      <c r="D2455">
        <f>IF(C2455="","",IF(N('Month 10'!J214)&gt;0,'Month 10'!J214,1))</f>
        <v/>
      </c>
      <c r="E2455">
        <f>IF(OR(C2455="",D2455=""),"",IF(D2455=1,C2455,ROUND(C2455*(1+D2455/30),1)))</f>
        <v/>
      </c>
    </row>
    <row r="2456">
      <c r="A2456">
        <f>'Month 10'!B180</f>
        <v/>
      </c>
      <c r="B2456" t="inlineStr">
        <is>
          <t>Triceps Pushdown</t>
        </is>
      </c>
      <c r="C2456">
        <f>IF(AND('Month 10'!L215&lt;&gt;"",N('Month 10'!I215)&gt;0),'Month 10'!I215,"")</f>
        <v/>
      </c>
      <c r="D2456">
        <f>IF(C2456="","",IF(N('Month 10'!J215)&gt;0,'Month 10'!J215,1))</f>
        <v/>
      </c>
      <c r="E2456">
        <f>IF(OR(C2456="",D2456=""),"",IF(D2456=1,C2456,ROUND(C2456*(1+D2456/30),1)))</f>
        <v/>
      </c>
    </row>
    <row r="2457">
      <c r="A2457">
        <f>'Month 10'!B180</f>
        <v/>
      </c>
      <c r="B2457" t="inlineStr">
        <is>
          <t>Triceps Pushdown</t>
        </is>
      </c>
      <c r="C2457">
        <f>IF(AND('Month 10'!L216&lt;&gt;"",N('Month 10'!I216)&gt;0),'Month 10'!I216,"")</f>
        <v/>
      </c>
      <c r="D2457">
        <f>IF(C2457="","",IF(N('Month 10'!J216)&gt;0,'Month 10'!J216,1))</f>
        <v/>
      </c>
      <c r="E2457">
        <f>IF(OR(C2457="",D2457=""),"",IF(D2457=1,C2457,ROUND(C2457*(1+D2457/30),1)))</f>
        <v/>
      </c>
    </row>
    <row r="2458">
      <c r="A2458">
        <f>'Month 10'!B219</f>
        <v/>
      </c>
      <c r="B2458" t="inlineStr">
        <is>
          <t>Box Jump</t>
        </is>
      </c>
      <c r="C2458">
        <f>IF(AND('Month 10'!L221&lt;&gt;"",N('Month 10'!I221)&gt;0),'Month 10'!I221,"")</f>
        <v/>
      </c>
      <c r="D2458">
        <f>IF(C2458="","",IF(N('Month 10'!J221)&gt;0,'Month 10'!J221,1))</f>
        <v/>
      </c>
      <c r="E2458">
        <f>IF(OR(C2458="",D2458=""),"",IF(D2458=1,C2458,ROUND(C2458*(1+D2458/30),1)))</f>
        <v/>
      </c>
    </row>
    <row r="2459">
      <c r="A2459">
        <f>'Month 10'!B219</f>
        <v/>
      </c>
      <c r="B2459" t="inlineStr">
        <is>
          <t>Box Jump</t>
        </is>
      </c>
      <c r="C2459">
        <f>IF(AND('Month 10'!L222&lt;&gt;"",N('Month 10'!I222)&gt;0),'Month 10'!I222,"")</f>
        <v/>
      </c>
      <c r="D2459">
        <f>IF(C2459="","",IF(N('Month 10'!J222)&gt;0,'Month 10'!J222,1))</f>
        <v/>
      </c>
      <c r="E2459">
        <f>IF(OR(C2459="",D2459=""),"",IF(D2459=1,C2459,ROUND(C2459*(1+D2459/30),1)))</f>
        <v/>
      </c>
    </row>
    <row r="2460">
      <c r="A2460">
        <f>'Month 10'!B219</f>
        <v/>
      </c>
      <c r="B2460" t="inlineStr">
        <is>
          <t>Box Jump</t>
        </is>
      </c>
      <c r="C2460">
        <f>IF(AND('Month 10'!L223&lt;&gt;"",N('Month 10'!I223)&gt;0),'Month 10'!I223,"")</f>
        <v/>
      </c>
      <c r="D2460">
        <f>IF(C2460="","",IF(N('Month 10'!J223)&gt;0,'Month 10'!J223,1))</f>
        <v/>
      </c>
      <c r="E2460">
        <f>IF(OR(C2460="",D2460=""),"",IF(D2460=1,C2460,ROUND(C2460*(1+D2460/30),1)))</f>
        <v/>
      </c>
    </row>
    <row r="2461">
      <c r="A2461">
        <f>'Month 10'!B219</f>
        <v/>
      </c>
      <c r="B2461" t="inlineStr">
        <is>
          <t>Box Jump</t>
        </is>
      </c>
      <c r="C2461">
        <f>IF(AND('Month 10'!L224&lt;&gt;"",N('Month 10'!I224)&gt;0),'Month 10'!I224,"")</f>
        <v/>
      </c>
      <c r="D2461">
        <f>IF(C2461="","",IF(N('Month 10'!J224)&gt;0,'Month 10'!J224,1))</f>
        <v/>
      </c>
      <c r="E2461">
        <f>IF(OR(C2461="",D2461=""),"",IF(D2461=1,C2461,ROUND(C2461*(1+D2461/30),1)))</f>
        <v/>
      </c>
    </row>
    <row r="2462">
      <c r="A2462">
        <f>'Month 10'!B219</f>
        <v/>
      </c>
      <c r="B2462" t="inlineStr">
        <is>
          <t>Snatch</t>
        </is>
      </c>
      <c r="C2462">
        <f>IF(AND('Month 10'!L226&lt;&gt;"",N('Month 10'!I226)&gt;0),'Month 10'!I226,"")</f>
        <v/>
      </c>
      <c r="D2462">
        <f>IF(C2462="","",IF(N('Month 10'!J226)&gt;0,'Month 10'!J226,1))</f>
        <v/>
      </c>
      <c r="E2462">
        <f>IF(OR(C2462="",D2462=""),"",IF(D2462=1,C2462,ROUND(C2462*(1+D2462/30),1)))</f>
        <v/>
      </c>
    </row>
    <row r="2463">
      <c r="A2463">
        <f>'Month 10'!B219</f>
        <v/>
      </c>
      <c r="B2463" t="inlineStr">
        <is>
          <t>Snatch</t>
        </is>
      </c>
      <c r="C2463">
        <f>IF(AND('Month 10'!L227&lt;&gt;"",N('Month 10'!I227)&gt;0),'Month 10'!I227,"")</f>
        <v/>
      </c>
      <c r="D2463">
        <f>IF(C2463="","",IF(N('Month 10'!J227)&gt;0,'Month 10'!J227,1))</f>
        <v/>
      </c>
      <c r="E2463">
        <f>IF(OR(C2463="",D2463=""),"",IF(D2463=1,C2463,ROUND(C2463*(1+D2463/30),1)))</f>
        <v/>
      </c>
    </row>
    <row r="2464">
      <c r="A2464">
        <f>'Month 10'!B219</f>
        <v/>
      </c>
      <c r="B2464" t="inlineStr">
        <is>
          <t>Snatch</t>
        </is>
      </c>
      <c r="C2464">
        <f>IF(AND('Month 10'!L228&lt;&gt;"",N('Month 10'!I228)&gt;0),'Month 10'!I228,"")</f>
        <v/>
      </c>
      <c r="D2464">
        <f>IF(C2464="","",IF(N('Month 10'!J228)&gt;0,'Month 10'!J228,1))</f>
        <v/>
      </c>
      <c r="E2464">
        <f>IF(OR(C2464="",D2464=""),"",IF(D2464=1,C2464,ROUND(C2464*(1+D2464/30),1)))</f>
        <v/>
      </c>
    </row>
    <row r="2465">
      <c r="A2465">
        <f>'Month 10'!B219</f>
        <v/>
      </c>
      <c r="B2465" t="inlineStr">
        <is>
          <t>Snatch</t>
        </is>
      </c>
      <c r="C2465">
        <f>IF(AND('Month 10'!L229&lt;&gt;"",N('Month 10'!I229)&gt;0),'Month 10'!I229,"")</f>
        <v/>
      </c>
      <c r="D2465">
        <f>IF(C2465="","",IF(N('Month 10'!J229)&gt;0,'Month 10'!J229,1))</f>
        <v/>
      </c>
      <c r="E2465">
        <f>IF(OR(C2465="",D2465=""),"",IF(D2465=1,C2465,ROUND(C2465*(1+D2465/30),1)))</f>
        <v/>
      </c>
    </row>
    <row r="2466">
      <c r="A2466">
        <f>'Month 10'!B219</f>
        <v/>
      </c>
      <c r="B2466" t="inlineStr">
        <is>
          <t>Squat</t>
        </is>
      </c>
      <c r="C2466">
        <f>IF(AND('Month 10'!L231&lt;&gt;"",N('Month 10'!I231)&gt;0),'Month 10'!I231,"")</f>
        <v/>
      </c>
      <c r="D2466">
        <f>IF(C2466="","",IF(N('Month 10'!J231)&gt;0,'Month 10'!J231,1))</f>
        <v/>
      </c>
      <c r="E2466">
        <f>IF(OR(C2466="",D2466=""),"",IF(D2466=1,C2466,ROUND(C2466*(1+D2466/30),1)))</f>
        <v/>
      </c>
    </row>
    <row r="2467">
      <c r="A2467">
        <f>'Month 10'!B219</f>
        <v/>
      </c>
      <c r="B2467" t="inlineStr">
        <is>
          <t>Squat</t>
        </is>
      </c>
      <c r="C2467">
        <f>IF(AND('Month 10'!L232&lt;&gt;"",N('Month 10'!I232)&gt;0),'Month 10'!I232,"")</f>
        <v/>
      </c>
      <c r="D2467">
        <f>IF(C2467="","",IF(N('Month 10'!J232)&gt;0,'Month 10'!J232,1))</f>
        <v/>
      </c>
      <c r="E2467">
        <f>IF(OR(C2467="",D2467=""),"",IF(D2467=1,C2467,ROUND(C2467*(1+D2467/30),1)))</f>
        <v/>
      </c>
    </row>
    <row r="2468">
      <c r="A2468">
        <f>'Month 10'!B219</f>
        <v/>
      </c>
      <c r="B2468" t="inlineStr">
        <is>
          <t>Squat</t>
        </is>
      </c>
      <c r="C2468">
        <f>IF(AND('Month 10'!L233&lt;&gt;"",N('Month 10'!I233)&gt;0),'Month 10'!I233,"")</f>
        <v/>
      </c>
      <c r="D2468">
        <f>IF(C2468="","",IF(N('Month 10'!J233)&gt;0,'Month 10'!J233,1))</f>
        <v/>
      </c>
      <c r="E2468">
        <f>IF(OR(C2468="",D2468=""),"",IF(D2468=1,C2468,ROUND(C2468*(1+D2468/30),1)))</f>
        <v/>
      </c>
    </row>
    <row r="2469">
      <c r="A2469">
        <f>'Month 10'!B219</f>
        <v/>
      </c>
      <c r="B2469" t="inlineStr">
        <is>
          <t>Bench Press</t>
        </is>
      </c>
      <c r="C2469">
        <f>IF(AND('Month 10'!L235&lt;&gt;"",N('Month 10'!I235)&gt;0),'Month 10'!I235,"")</f>
        <v/>
      </c>
      <c r="D2469">
        <f>IF(C2469="","",IF(N('Month 10'!J235)&gt;0,'Month 10'!J235,1))</f>
        <v/>
      </c>
      <c r="E2469">
        <f>IF(OR(C2469="",D2469=""),"",IF(D2469=1,C2469,ROUND(C2469*(1+D2469/30),1)))</f>
        <v/>
      </c>
    </row>
    <row r="2470">
      <c r="A2470">
        <f>'Month 10'!B219</f>
        <v/>
      </c>
      <c r="B2470" t="inlineStr">
        <is>
          <t>Bench Press</t>
        </is>
      </c>
      <c r="C2470">
        <f>IF(AND('Month 10'!L236&lt;&gt;"",N('Month 10'!I236)&gt;0),'Month 10'!I236,"")</f>
        <v/>
      </c>
      <c r="D2470">
        <f>IF(C2470="","",IF(N('Month 10'!J236)&gt;0,'Month 10'!J236,1))</f>
        <v/>
      </c>
      <c r="E2470">
        <f>IF(OR(C2470="",D2470=""),"",IF(D2470=1,C2470,ROUND(C2470*(1+D2470/30),1)))</f>
        <v/>
      </c>
    </row>
    <row r="2471">
      <c r="A2471">
        <f>'Month 10'!B219</f>
        <v/>
      </c>
      <c r="B2471" t="inlineStr">
        <is>
          <t>Bench Press</t>
        </is>
      </c>
      <c r="C2471">
        <f>IF(AND('Month 10'!L237&lt;&gt;"",N('Month 10'!I237)&gt;0),'Month 10'!I237,"")</f>
        <v/>
      </c>
      <c r="D2471">
        <f>IF(C2471="","",IF(N('Month 10'!J237)&gt;0,'Month 10'!J237,1))</f>
        <v/>
      </c>
      <c r="E2471">
        <f>IF(OR(C2471="",D2471=""),"",IF(D2471=1,C2471,ROUND(C2471*(1+D2471/30),1)))</f>
        <v/>
      </c>
    </row>
    <row r="2472">
      <c r="A2472">
        <f>'Month 10'!B219</f>
        <v/>
      </c>
      <c r="B2472" t="inlineStr">
        <is>
          <t>Barbell Row</t>
        </is>
      </c>
      <c r="C2472">
        <f>IF(AND('Month 10'!L239&lt;&gt;"",N('Month 10'!I239)&gt;0),'Month 10'!I239,"")</f>
        <v/>
      </c>
      <c r="D2472">
        <f>IF(C2472="","",IF(N('Month 10'!J239)&gt;0,'Month 10'!J239,1))</f>
        <v/>
      </c>
      <c r="E2472">
        <f>IF(OR(C2472="",D2472=""),"",IF(D2472=1,C2472,ROUND(C2472*(1+D2472/30),1)))</f>
        <v/>
      </c>
    </row>
    <row r="2473">
      <c r="A2473">
        <f>'Month 10'!B219</f>
        <v/>
      </c>
      <c r="B2473" t="inlineStr">
        <is>
          <t>Barbell Row</t>
        </is>
      </c>
      <c r="C2473">
        <f>IF(AND('Month 10'!L240&lt;&gt;"",N('Month 10'!I240)&gt;0),'Month 10'!I240,"")</f>
        <v/>
      </c>
      <c r="D2473">
        <f>IF(C2473="","",IF(N('Month 10'!J240)&gt;0,'Month 10'!J240,1))</f>
        <v/>
      </c>
      <c r="E2473">
        <f>IF(OR(C2473="",D2473=""),"",IF(D2473=1,C2473,ROUND(C2473*(1+D2473/30),1)))</f>
        <v/>
      </c>
    </row>
    <row r="2474">
      <c r="A2474">
        <f>'Month 10'!B219</f>
        <v/>
      </c>
      <c r="B2474" t="inlineStr">
        <is>
          <t>Barbell Row</t>
        </is>
      </c>
      <c r="C2474">
        <f>IF(AND('Month 10'!L241&lt;&gt;"",N('Month 10'!I241)&gt;0),'Month 10'!I241,"")</f>
        <v/>
      </c>
      <c r="D2474">
        <f>IF(C2474="","",IF(N('Month 10'!J241)&gt;0,'Month 10'!J241,1))</f>
        <v/>
      </c>
      <c r="E2474">
        <f>IF(OR(C2474="",D2474=""),"",IF(D2474=1,C2474,ROUND(C2474*(1+D2474/30),1)))</f>
        <v/>
      </c>
    </row>
    <row r="2475">
      <c r="A2475">
        <f>'Month 10'!B219</f>
        <v/>
      </c>
      <c r="B2475" t="inlineStr">
        <is>
          <t>Barbell Row</t>
        </is>
      </c>
      <c r="C2475">
        <f>IF(AND('Month 10'!L242&lt;&gt;"",N('Month 10'!I242)&gt;0),'Month 10'!I242,"")</f>
        <v/>
      </c>
      <c r="D2475">
        <f>IF(C2475="","",IF(N('Month 10'!J242)&gt;0,'Month 10'!J242,1))</f>
        <v/>
      </c>
      <c r="E2475">
        <f>IF(OR(C2475="",D2475=""),"",IF(D2475=1,C2475,ROUND(C2475*(1+D2475/30),1)))</f>
        <v/>
      </c>
    </row>
    <row r="2476">
      <c r="A2476">
        <f>'Month 10'!B219</f>
        <v/>
      </c>
      <c r="B2476" t="inlineStr">
        <is>
          <t>Face Pull</t>
        </is>
      </c>
      <c r="C2476">
        <f>IF(AND('Month 10'!L244&lt;&gt;"",N('Month 10'!I244)&gt;0),'Month 10'!I244,"")</f>
        <v/>
      </c>
      <c r="D2476">
        <f>IF(C2476="","",IF(N('Month 10'!J244)&gt;0,'Month 10'!J244,1))</f>
        <v/>
      </c>
      <c r="E2476">
        <f>IF(OR(C2476="",D2476=""),"",IF(D2476=1,C2476,ROUND(C2476*(1+D2476/30),1)))</f>
        <v/>
      </c>
    </row>
    <row r="2477">
      <c r="A2477">
        <f>'Month 10'!B219</f>
        <v/>
      </c>
      <c r="B2477" t="inlineStr">
        <is>
          <t>Face Pull</t>
        </is>
      </c>
      <c r="C2477">
        <f>IF(AND('Month 10'!L245&lt;&gt;"",N('Month 10'!I245)&gt;0),'Month 10'!I245,"")</f>
        <v/>
      </c>
      <c r="D2477">
        <f>IF(C2477="","",IF(N('Month 10'!J245)&gt;0,'Month 10'!J245,1))</f>
        <v/>
      </c>
      <c r="E2477">
        <f>IF(OR(C2477="",D2477=""),"",IF(D2477=1,C2477,ROUND(C2477*(1+D2477/30),1)))</f>
        <v/>
      </c>
    </row>
    <row r="2478">
      <c r="A2478">
        <f>'Month 10'!B219</f>
        <v/>
      </c>
      <c r="B2478" t="inlineStr">
        <is>
          <t>Face Pull</t>
        </is>
      </c>
      <c r="C2478">
        <f>IF(AND('Month 10'!L246&lt;&gt;"",N('Month 10'!I246)&gt;0),'Month 10'!I246,"")</f>
        <v/>
      </c>
      <c r="D2478">
        <f>IF(C2478="","",IF(N('Month 10'!J246)&gt;0,'Month 10'!J246,1))</f>
        <v/>
      </c>
      <c r="E2478">
        <f>IF(OR(C2478="",D2478=""),"",IF(D2478=1,C2478,ROUND(C2478*(1+D2478/30),1)))</f>
        <v/>
      </c>
    </row>
    <row r="2479">
      <c r="A2479">
        <f>'Month 10'!B219</f>
        <v/>
      </c>
      <c r="B2479" t="inlineStr">
        <is>
          <t>Face Pull</t>
        </is>
      </c>
      <c r="C2479">
        <f>IF(AND('Month 10'!L247&lt;&gt;"",N('Month 10'!I247)&gt;0),'Month 10'!I247,"")</f>
        <v/>
      </c>
      <c r="D2479">
        <f>IF(C2479="","",IF(N('Month 10'!J247)&gt;0,'Month 10'!J247,1))</f>
        <v/>
      </c>
      <c r="E2479">
        <f>IF(OR(C2479="",D2479=""),"",IF(D2479=1,C2479,ROUND(C2479*(1+D2479/30),1)))</f>
        <v/>
      </c>
    </row>
    <row r="2480">
      <c r="A2480">
        <f>'Month 10'!B248</f>
        <v/>
      </c>
      <c r="B2480" t="inlineStr">
        <is>
          <t>Broad Jump</t>
        </is>
      </c>
      <c r="C2480">
        <f>IF(AND('Month 10'!L250&lt;&gt;"",N('Month 10'!I250)&gt;0),'Month 10'!I250,"")</f>
        <v/>
      </c>
      <c r="D2480">
        <f>IF(C2480="","",IF(N('Month 10'!J250)&gt;0,'Month 10'!J250,1))</f>
        <v/>
      </c>
      <c r="E2480">
        <f>IF(OR(C2480="",D2480=""),"",IF(D2480=1,C2480,ROUND(C2480*(1+D2480/30),1)))</f>
        <v/>
      </c>
    </row>
    <row r="2481">
      <c r="A2481">
        <f>'Month 10'!B248</f>
        <v/>
      </c>
      <c r="B2481" t="inlineStr">
        <is>
          <t>Broad Jump</t>
        </is>
      </c>
      <c r="C2481">
        <f>IF(AND('Month 10'!L251&lt;&gt;"",N('Month 10'!I251)&gt;0),'Month 10'!I251,"")</f>
        <v/>
      </c>
      <c r="D2481">
        <f>IF(C2481="","",IF(N('Month 10'!J251)&gt;0,'Month 10'!J251,1))</f>
        <v/>
      </c>
      <c r="E2481">
        <f>IF(OR(C2481="",D2481=""),"",IF(D2481=1,C2481,ROUND(C2481*(1+D2481/30),1)))</f>
        <v/>
      </c>
    </row>
    <row r="2482">
      <c r="A2482">
        <f>'Month 10'!B248</f>
        <v/>
      </c>
      <c r="B2482" t="inlineStr">
        <is>
          <t>Broad Jump</t>
        </is>
      </c>
      <c r="C2482">
        <f>IF(AND('Month 10'!L252&lt;&gt;"",N('Month 10'!I252)&gt;0),'Month 10'!I252,"")</f>
        <v/>
      </c>
      <c r="D2482">
        <f>IF(C2482="","",IF(N('Month 10'!J252)&gt;0,'Month 10'!J252,1))</f>
        <v/>
      </c>
      <c r="E2482">
        <f>IF(OR(C2482="",D2482=""),"",IF(D2482=1,C2482,ROUND(C2482*(1+D2482/30),1)))</f>
        <v/>
      </c>
    </row>
    <row r="2483">
      <c r="A2483">
        <f>'Month 10'!B248</f>
        <v/>
      </c>
      <c r="B2483" t="inlineStr">
        <is>
          <t>Broad Jump</t>
        </is>
      </c>
      <c r="C2483">
        <f>IF(AND('Month 10'!L253&lt;&gt;"",N('Month 10'!I253)&gt;0),'Month 10'!I253,"")</f>
        <v/>
      </c>
      <c r="D2483">
        <f>IF(C2483="","",IF(N('Month 10'!J253)&gt;0,'Month 10'!J253,1))</f>
        <v/>
      </c>
      <c r="E2483">
        <f>IF(OR(C2483="",D2483=""),"",IF(D2483=1,C2483,ROUND(C2483*(1+D2483/30),1)))</f>
        <v/>
      </c>
    </row>
    <row r="2484">
      <c r="A2484">
        <f>'Month 10'!B248</f>
        <v/>
      </c>
      <c r="B2484" t="inlineStr">
        <is>
          <t>Med Ball Chest Pass</t>
        </is>
      </c>
      <c r="C2484">
        <f>IF(AND('Month 10'!L255&lt;&gt;"",N('Month 10'!I255)&gt;0),'Month 10'!I255,"")</f>
        <v/>
      </c>
      <c r="D2484">
        <f>IF(C2484="","",IF(N('Month 10'!J255)&gt;0,'Month 10'!J255,1))</f>
        <v/>
      </c>
      <c r="E2484">
        <f>IF(OR(C2484="",D2484=""),"",IF(D2484=1,C2484,ROUND(C2484*(1+D2484/30),1)))</f>
        <v/>
      </c>
    </row>
    <row r="2485">
      <c r="A2485">
        <f>'Month 10'!B248</f>
        <v/>
      </c>
      <c r="B2485" t="inlineStr">
        <is>
          <t>Med Ball Chest Pass</t>
        </is>
      </c>
      <c r="C2485">
        <f>IF(AND('Month 10'!L256&lt;&gt;"",N('Month 10'!I256)&gt;0),'Month 10'!I256,"")</f>
        <v/>
      </c>
      <c r="D2485">
        <f>IF(C2485="","",IF(N('Month 10'!J256)&gt;0,'Month 10'!J256,1))</f>
        <v/>
      </c>
      <c r="E2485">
        <f>IF(OR(C2485="",D2485=""),"",IF(D2485=1,C2485,ROUND(C2485*(1+D2485/30),1)))</f>
        <v/>
      </c>
    </row>
    <row r="2486">
      <c r="A2486">
        <f>'Month 10'!B248</f>
        <v/>
      </c>
      <c r="B2486" t="inlineStr">
        <is>
          <t>Med Ball Chest Pass</t>
        </is>
      </c>
      <c r="C2486">
        <f>IF(AND('Month 10'!L257&lt;&gt;"",N('Month 10'!I257)&gt;0),'Month 10'!I257,"")</f>
        <v/>
      </c>
      <c r="D2486">
        <f>IF(C2486="","",IF(N('Month 10'!J257)&gt;0,'Month 10'!J257,1))</f>
        <v/>
      </c>
      <c r="E2486">
        <f>IF(OR(C2486="",D2486=""),"",IF(D2486=1,C2486,ROUND(C2486*(1+D2486/30),1)))</f>
        <v/>
      </c>
    </row>
    <row r="2487">
      <c r="A2487">
        <f>'Month 10'!B248</f>
        <v/>
      </c>
      <c r="B2487" t="inlineStr">
        <is>
          <t>Clean &amp; Jerk</t>
        </is>
      </c>
      <c r="C2487">
        <f>IF(AND('Month 10'!L259&lt;&gt;"",N('Month 10'!I259)&gt;0),'Month 10'!I259,"")</f>
        <v/>
      </c>
      <c r="D2487">
        <f>IF(C2487="","",IF(N('Month 10'!J259)&gt;0,'Month 10'!J259,1))</f>
        <v/>
      </c>
      <c r="E2487">
        <f>IF(OR(C2487="",D2487=""),"",IF(D2487=1,C2487,ROUND(C2487*(1+D2487/30),1)))</f>
        <v/>
      </c>
    </row>
    <row r="2488">
      <c r="A2488">
        <f>'Month 10'!B248</f>
        <v/>
      </c>
      <c r="B2488" t="inlineStr">
        <is>
          <t>Clean &amp; Jerk</t>
        </is>
      </c>
      <c r="C2488">
        <f>IF(AND('Month 10'!L260&lt;&gt;"",N('Month 10'!I260)&gt;0),'Month 10'!I260,"")</f>
        <v/>
      </c>
      <c r="D2488">
        <f>IF(C2488="","",IF(N('Month 10'!J260)&gt;0,'Month 10'!J260,1))</f>
        <v/>
      </c>
      <c r="E2488">
        <f>IF(OR(C2488="",D2488=""),"",IF(D2488=1,C2488,ROUND(C2488*(1+D2488/30),1)))</f>
        <v/>
      </c>
    </row>
    <row r="2489">
      <c r="A2489">
        <f>'Month 10'!B248</f>
        <v/>
      </c>
      <c r="B2489" t="inlineStr">
        <is>
          <t>Clean &amp; Jerk</t>
        </is>
      </c>
      <c r="C2489">
        <f>IF(AND('Month 10'!L261&lt;&gt;"",N('Month 10'!I261)&gt;0),'Month 10'!I261,"")</f>
        <v/>
      </c>
      <c r="D2489">
        <f>IF(C2489="","",IF(N('Month 10'!J261)&gt;0,'Month 10'!J261,1))</f>
        <v/>
      </c>
      <c r="E2489">
        <f>IF(OR(C2489="",D2489=""),"",IF(D2489=1,C2489,ROUND(C2489*(1+D2489/30),1)))</f>
        <v/>
      </c>
    </row>
    <row r="2490">
      <c r="A2490">
        <f>'Month 10'!B248</f>
        <v/>
      </c>
      <c r="B2490" t="inlineStr">
        <is>
          <t>Clean &amp; Jerk</t>
        </is>
      </c>
      <c r="C2490">
        <f>IF(AND('Month 10'!L262&lt;&gt;"",N('Month 10'!I262)&gt;0),'Month 10'!I262,"")</f>
        <v/>
      </c>
      <c r="D2490">
        <f>IF(C2490="","",IF(N('Month 10'!J262)&gt;0,'Month 10'!J262,1))</f>
        <v/>
      </c>
      <c r="E2490">
        <f>IF(OR(C2490="",D2490=""),"",IF(D2490=1,C2490,ROUND(C2490*(1+D2490/30),1)))</f>
        <v/>
      </c>
    </row>
    <row r="2491">
      <c r="A2491">
        <f>'Month 10'!B248</f>
        <v/>
      </c>
      <c r="B2491" t="inlineStr">
        <is>
          <t>Squat</t>
        </is>
      </c>
      <c r="C2491">
        <f>IF(AND('Month 10'!L264&lt;&gt;"",N('Month 10'!I264)&gt;0),'Month 10'!I264,"")</f>
        <v/>
      </c>
      <c r="D2491">
        <f>IF(C2491="","",IF(N('Month 10'!J264)&gt;0,'Month 10'!J264,1))</f>
        <v/>
      </c>
      <c r="E2491">
        <f>IF(OR(C2491="",D2491=""),"",IF(D2491=1,C2491,ROUND(C2491*(1+D2491/30),1)))</f>
        <v/>
      </c>
    </row>
    <row r="2492">
      <c r="A2492">
        <f>'Month 10'!B248</f>
        <v/>
      </c>
      <c r="B2492" t="inlineStr">
        <is>
          <t>Squat</t>
        </is>
      </c>
      <c r="C2492">
        <f>IF(AND('Month 10'!L265&lt;&gt;"",N('Month 10'!I265)&gt;0),'Month 10'!I265,"")</f>
        <v/>
      </c>
      <c r="D2492">
        <f>IF(C2492="","",IF(N('Month 10'!J265)&gt;0,'Month 10'!J265,1))</f>
        <v/>
      </c>
      <c r="E2492">
        <f>IF(OR(C2492="",D2492=""),"",IF(D2492=1,C2492,ROUND(C2492*(1+D2492/30),1)))</f>
        <v/>
      </c>
    </row>
    <row r="2493">
      <c r="A2493">
        <f>'Month 10'!B248</f>
        <v/>
      </c>
      <c r="B2493" t="inlineStr">
        <is>
          <t>Squat</t>
        </is>
      </c>
      <c r="C2493">
        <f>IF(AND('Month 10'!L266&lt;&gt;"",N('Month 10'!I266)&gt;0),'Month 10'!I266,"")</f>
        <v/>
      </c>
      <c r="D2493">
        <f>IF(C2493="","",IF(N('Month 10'!J266)&gt;0,'Month 10'!J266,1))</f>
        <v/>
      </c>
      <c r="E2493">
        <f>IF(OR(C2493="",D2493=""),"",IF(D2493=1,C2493,ROUND(C2493*(1+D2493/30),1)))</f>
        <v/>
      </c>
    </row>
    <row r="2494">
      <c r="A2494">
        <f>'Month 10'!B248</f>
        <v/>
      </c>
      <c r="B2494" t="inlineStr">
        <is>
          <t>Overhead Press</t>
        </is>
      </c>
      <c r="C2494">
        <f>IF(AND('Month 10'!L268&lt;&gt;"",N('Month 10'!I268)&gt;0),'Month 10'!I268,"")</f>
        <v/>
      </c>
      <c r="D2494">
        <f>IF(C2494="","",IF(N('Month 10'!J268)&gt;0,'Month 10'!J268,1))</f>
        <v/>
      </c>
      <c r="E2494">
        <f>IF(OR(C2494="",D2494=""),"",IF(D2494=1,C2494,ROUND(C2494*(1+D2494/30),1)))</f>
        <v/>
      </c>
    </row>
    <row r="2495">
      <c r="A2495">
        <f>'Month 10'!B248</f>
        <v/>
      </c>
      <c r="B2495" t="inlineStr">
        <is>
          <t>Overhead Press</t>
        </is>
      </c>
      <c r="C2495">
        <f>IF(AND('Month 10'!L269&lt;&gt;"",N('Month 10'!I269)&gt;0),'Month 10'!I269,"")</f>
        <v/>
      </c>
      <c r="D2495">
        <f>IF(C2495="","",IF(N('Month 10'!J269)&gt;0,'Month 10'!J269,1))</f>
        <v/>
      </c>
      <c r="E2495">
        <f>IF(OR(C2495="",D2495=""),"",IF(D2495=1,C2495,ROUND(C2495*(1+D2495/30),1)))</f>
        <v/>
      </c>
    </row>
    <row r="2496">
      <c r="A2496">
        <f>'Month 10'!B248</f>
        <v/>
      </c>
      <c r="B2496" t="inlineStr">
        <is>
          <t>Overhead Press</t>
        </is>
      </c>
      <c r="C2496">
        <f>IF(AND('Month 10'!L270&lt;&gt;"",N('Month 10'!I270)&gt;0),'Month 10'!I270,"")</f>
        <v/>
      </c>
      <c r="D2496">
        <f>IF(C2496="","",IF(N('Month 10'!J270)&gt;0,'Month 10'!J270,1))</f>
        <v/>
      </c>
      <c r="E2496">
        <f>IF(OR(C2496="",D2496=""),"",IF(D2496=1,C2496,ROUND(C2496*(1+D2496/30),1)))</f>
        <v/>
      </c>
    </row>
    <row r="2497">
      <c r="A2497">
        <f>'Month 10'!B248</f>
        <v/>
      </c>
      <c r="B2497" t="inlineStr">
        <is>
          <t>Deadlift</t>
        </is>
      </c>
      <c r="C2497">
        <f>IF(AND('Month 10'!L272&lt;&gt;"",N('Month 10'!I272)&gt;0),'Month 10'!I272,"")</f>
        <v/>
      </c>
      <c r="D2497">
        <f>IF(C2497="","",IF(N('Month 10'!J272)&gt;0,'Month 10'!J272,1))</f>
        <v/>
      </c>
      <c r="E2497">
        <f>IF(OR(C2497="",D2497=""),"",IF(D2497=1,C2497,ROUND(C2497*(1+D2497/30),1)))</f>
        <v/>
      </c>
    </row>
    <row r="2498">
      <c r="A2498">
        <f>'Month 10'!B248</f>
        <v/>
      </c>
      <c r="B2498" t="inlineStr">
        <is>
          <t>Deadlift</t>
        </is>
      </c>
      <c r="C2498">
        <f>IF(AND('Month 10'!L273&lt;&gt;"",N('Month 10'!I273)&gt;0),'Month 10'!I273,"")</f>
        <v/>
      </c>
      <c r="D2498">
        <f>IF(C2498="","",IF(N('Month 10'!J273)&gt;0,'Month 10'!J273,1))</f>
        <v/>
      </c>
      <c r="E2498">
        <f>IF(OR(C2498="",D2498=""),"",IF(D2498=1,C2498,ROUND(C2498*(1+D2498/30),1)))</f>
        <v/>
      </c>
    </row>
    <row r="2499">
      <c r="A2499">
        <f>'Month 10'!B248</f>
        <v/>
      </c>
      <c r="B2499" t="inlineStr">
        <is>
          <t>Deadlift</t>
        </is>
      </c>
      <c r="C2499">
        <f>IF(AND('Month 10'!L274&lt;&gt;"",N('Month 10'!I274)&gt;0),'Month 10'!I274,"")</f>
        <v/>
      </c>
      <c r="D2499">
        <f>IF(C2499="","",IF(N('Month 10'!J274)&gt;0,'Month 10'!J274,1))</f>
        <v/>
      </c>
      <c r="E2499">
        <f>IF(OR(C2499="",D2499=""),"",IF(D2499=1,C2499,ROUND(C2499*(1+D2499/30),1)))</f>
        <v/>
      </c>
    </row>
    <row r="2500">
      <c r="A2500">
        <f>'Month 10'!B248</f>
        <v/>
      </c>
      <c r="B2500" t="inlineStr">
        <is>
          <t>Chin-up</t>
        </is>
      </c>
      <c r="C2500">
        <f>IF(AND('Month 10'!L276&lt;&gt;"",N('Month 10'!I276)&gt;0),'Month 10'!I276,"")</f>
        <v/>
      </c>
      <c r="D2500">
        <f>IF(C2500="","",IF(N('Month 10'!J276)&gt;0,'Month 10'!J276,1))</f>
        <v/>
      </c>
      <c r="E2500">
        <f>IF(OR(C2500="",D2500=""),"",IF(D2500=1,C2500,ROUND(C2500*(1+D2500/30),1)))</f>
        <v/>
      </c>
    </row>
    <row r="2501">
      <c r="A2501">
        <f>'Month 10'!B248</f>
        <v/>
      </c>
      <c r="B2501" t="inlineStr">
        <is>
          <t>Chin-up</t>
        </is>
      </c>
      <c r="C2501">
        <f>IF(AND('Month 10'!L277&lt;&gt;"",N('Month 10'!I277)&gt;0),'Month 10'!I277,"")</f>
        <v/>
      </c>
      <c r="D2501">
        <f>IF(C2501="","",IF(N('Month 10'!J277)&gt;0,'Month 10'!J277,1))</f>
        <v/>
      </c>
      <c r="E2501">
        <f>IF(OR(C2501="",D2501=""),"",IF(D2501=1,C2501,ROUND(C2501*(1+D2501/30),1)))</f>
        <v/>
      </c>
    </row>
    <row r="2502">
      <c r="A2502">
        <f>'Month 10'!B248</f>
        <v/>
      </c>
      <c r="B2502" t="inlineStr">
        <is>
          <t>Chin-up</t>
        </is>
      </c>
      <c r="C2502">
        <f>IF(AND('Month 10'!L278&lt;&gt;"",N('Month 10'!I278)&gt;0),'Month 10'!I278,"")</f>
        <v/>
      </c>
      <c r="D2502">
        <f>IF(C2502="","",IF(N('Month 10'!J278)&gt;0,'Month 10'!J278,1))</f>
        <v/>
      </c>
      <c r="E2502">
        <f>IF(OR(C2502="",D2502=""),"",IF(D2502=1,C2502,ROUND(C2502*(1+D2502/30),1)))</f>
        <v/>
      </c>
    </row>
    <row r="2503">
      <c r="A2503">
        <f>'Month 10'!B248</f>
        <v/>
      </c>
      <c r="B2503" t="inlineStr">
        <is>
          <t>Chin-up</t>
        </is>
      </c>
      <c r="C2503">
        <f>IF(AND('Month 10'!L279&lt;&gt;"",N('Month 10'!I279)&gt;0),'Month 10'!I279,"")</f>
        <v/>
      </c>
      <c r="D2503">
        <f>IF(C2503="","",IF(N('Month 10'!J279)&gt;0,'Month 10'!J279,1))</f>
        <v/>
      </c>
      <c r="E2503">
        <f>IF(OR(C2503="",D2503=""),"",IF(D2503=1,C2503,ROUND(C2503*(1+D2503/30),1)))</f>
        <v/>
      </c>
    </row>
    <row r="2504">
      <c r="A2504">
        <f>'Month 10'!B248</f>
        <v/>
      </c>
      <c r="B2504" t="inlineStr">
        <is>
          <t>Plank</t>
        </is>
      </c>
      <c r="C2504">
        <f>IF(AND('Month 10'!L281&lt;&gt;"",N('Month 10'!I281)&gt;0),'Month 10'!I281,"")</f>
        <v/>
      </c>
      <c r="D2504">
        <f>IF(C2504="","",IF(N('Month 10'!J281)&gt;0,'Month 10'!J281,1))</f>
        <v/>
      </c>
      <c r="E2504">
        <f>IF(OR(C2504="",D2504=""),"",IF(D2504=1,C2504,ROUND(C2504*(1+D2504/30),1)))</f>
        <v/>
      </c>
    </row>
    <row r="2505">
      <c r="A2505">
        <f>'Month 10'!B248</f>
        <v/>
      </c>
      <c r="B2505" t="inlineStr">
        <is>
          <t>Plank</t>
        </is>
      </c>
      <c r="C2505">
        <f>IF(AND('Month 10'!L282&lt;&gt;"",N('Month 10'!I282)&gt;0),'Month 10'!I282,"")</f>
        <v/>
      </c>
      <c r="D2505">
        <f>IF(C2505="","",IF(N('Month 10'!J282)&gt;0,'Month 10'!J282,1))</f>
        <v/>
      </c>
      <c r="E2505">
        <f>IF(OR(C2505="",D2505=""),"",IF(D2505=1,C2505,ROUND(C2505*(1+D2505/30),1)))</f>
        <v/>
      </c>
    </row>
    <row r="2506">
      <c r="A2506">
        <f>'Month 10'!B248</f>
        <v/>
      </c>
      <c r="B2506" t="inlineStr">
        <is>
          <t>Plank</t>
        </is>
      </c>
      <c r="C2506">
        <f>IF(AND('Month 10'!L283&lt;&gt;"",N('Month 10'!I283)&gt;0),'Month 10'!I283,"")</f>
        <v/>
      </c>
      <c r="D2506">
        <f>IF(C2506="","",IF(N('Month 10'!J283)&gt;0,'Month 10'!J283,1))</f>
        <v/>
      </c>
      <c r="E2506">
        <f>IF(OR(C2506="",D2506=""),"",IF(D2506=1,C2506,ROUND(C2506*(1+D2506/30),1)))</f>
        <v/>
      </c>
    </row>
    <row r="2507">
      <c r="A2507">
        <f>'Month 10'!B248</f>
        <v/>
      </c>
      <c r="B2507" t="inlineStr">
        <is>
          <t>Plank</t>
        </is>
      </c>
      <c r="C2507">
        <f>IF(AND('Month 10'!L284&lt;&gt;"",N('Month 10'!I284)&gt;0),'Month 10'!I284,"")</f>
        <v/>
      </c>
      <c r="D2507">
        <f>IF(C2507="","",IF(N('Month 10'!J284)&gt;0,'Month 10'!J284,1))</f>
        <v/>
      </c>
      <c r="E2507">
        <f>IF(OR(C2507="",D2507=""),"",IF(D2507=1,C2507,ROUND(C2507*(1+D2507/30),1)))</f>
        <v/>
      </c>
    </row>
    <row r="2508">
      <c r="A2508">
        <f>'Month 10'!B285</f>
        <v/>
      </c>
      <c r="B2508" t="inlineStr">
        <is>
          <t>Lateral Bound</t>
        </is>
      </c>
      <c r="C2508">
        <f>IF(AND('Month 10'!L287&lt;&gt;"",N('Month 10'!I287)&gt;0),'Month 10'!I287,"")</f>
        <v/>
      </c>
      <c r="D2508">
        <f>IF(C2508="","",IF(N('Month 10'!J287)&gt;0,'Month 10'!J287,1))</f>
        <v/>
      </c>
      <c r="E2508">
        <f>IF(OR(C2508="",D2508=""),"",IF(D2508=1,C2508,ROUND(C2508*(1+D2508/30),1)))</f>
        <v/>
      </c>
    </row>
    <row r="2509">
      <c r="A2509">
        <f>'Month 10'!B285</f>
        <v/>
      </c>
      <c r="B2509" t="inlineStr">
        <is>
          <t>Lateral Bound</t>
        </is>
      </c>
      <c r="C2509">
        <f>IF(AND('Month 10'!L288&lt;&gt;"",N('Month 10'!I288)&gt;0),'Month 10'!I288,"")</f>
        <v/>
      </c>
      <c r="D2509">
        <f>IF(C2509="","",IF(N('Month 10'!J288)&gt;0,'Month 10'!J288,1))</f>
        <v/>
      </c>
      <c r="E2509">
        <f>IF(OR(C2509="",D2509=""),"",IF(D2509=1,C2509,ROUND(C2509*(1+D2509/30),1)))</f>
        <v/>
      </c>
    </row>
    <row r="2510">
      <c r="A2510">
        <f>'Month 10'!B285</f>
        <v/>
      </c>
      <c r="B2510" t="inlineStr">
        <is>
          <t>Lateral Bound</t>
        </is>
      </c>
      <c r="C2510">
        <f>IF(AND('Month 10'!L289&lt;&gt;"",N('Month 10'!I289)&gt;0),'Month 10'!I289,"")</f>
        <v/>
      </c>
      <c r="D2510">
        <f>IF(C2510="","",IF(N('Month 10'!J289)&gt;0,'Month 10'!J289,1))</f>
        <v/>
      </c>
      <c r="E2510">
        <f>IF(OR(C2510="",D2510=""),"",IF(D2510=1,C2510,ROUND(C2510*(1+D2510/30),1)))</f>
        <v/>
      </c>
    </row>
    <row r="2511">
      <c r="A2511">
        <f>'Month 10'!B285</f>
        <v/>
      </c>
      <c r="B2511" t="inlineStr">
        <is>
          <t>Lateral Bound</t>
        </is>
      </c>
      <c r="C2511">
        <f>IF(AND('Month 10'!L290&lt;&gt;"",N('Month 10'!I290)&gt;0),'Month 10'!I290,"")</f>
        <v/>
      </c>
      <c r="D2511">
        <f>IF(C2511="","",IF(N('Month 10'!J290)&gt;0,'Month 10'!J290,1))</f>
        <v/>
      </c>
      <c r="E2511">
        <f>IF(OR(C2511="",D2511=""),"",IF(D2511=1,C2511,ROUND(C2511*(1+D2511/30),1)))</f>
        <v/>
      </c>
    </row>
    <row r="2512">
      <c r="A2512">
        <f>'Month 10'!B285</f>
        <v/>
      </c>
      <c r="B2512" t="inlineStr">
        <is>
          <t>Power Clean</t>
        </is>
      </c>
      <c r="C2512">
        <f>IF(AND('Month 10'!L292&lt;&gt;"",N('Month 10'!I292)&gt;0),'Month 10'!I292,"")</f>
        <v/>
      </c>
      <c r="D2512">
        <f>IF(C2512="","",IF(N('Month 10'!J292)&gt;0,'Month 10'!J292,1))</f>
        <v/>
      </c>
      <c r="E2512">
        <f>IF(OR(C2512="",D2512=""),"",IF(D2512=1,C2512,ROUND(C2512*(1+D2512/30),1)))</f>
        <v/>
      </c>
    </row>
    <row r="2513">
      <c r="A2513">
        <f>'Month 10'!B285</f>
        <v/>
      </c>
      <c r="B2513" t="inlineStr">
        <is>
          <t>Power Clean</t>
        </is>
      </c>
      <c r="C2513">
        <f>IF(AND('Month 10'!L293&lt;&gt;"",N('Month 10'!I293)&gt;0),'Month 10'!I293,"")</f>
        <v/>
      </c>
      <c r="D2513">
        <f>IF(C2513="","",IF(N('Month 10'!J293)&gt;0,'Month 10'!J293,1))</f>
        <v/>
      </c>
      <c r="E2513">
        <f>IF(OR(C2513="",D2513=""),"",IF(D2513=1,C2513,ROUND(C2513*(1+D2513/30),1)))</f>
        <v/>
      </c>
    </row>
    <row r="2514">
      <c r="A2514">
        <f>'Month 10'!B285</f>
        <v/>
      </c>
      <c r="B2514" t="inlineStr">
        <is>
          <t>Power Clean</t>
        </is>
      </c>
      <c r="C2514">
        <f>IF(AND('Month 10'!L294&lt;&gt;"",N('Month 10'!I294)&gt;0),'Month 10'!I294,"")</f>
        <v/>
      </c>
      <c r="D2514">
        <f>IF(C2514="","",IF(N('Month 10'!J294)&gt;0,'Month 10'!J294,1))</f>
        <v/>
      </c>
      <c r="E2514">
        <f>IF(OR(C2514="",D2514=""),"",IF(D2514=1,C2514,ROUND(C2514*(1+D2514/30),1)))</f>
        <v/>
      </c>
    </row>
    <row r="2515">
      <c r="A2515">
        <f>'Month 10'!B285</f>
        <v/>
      </c>
      <c r="B2515" t="inlineStr">
        <is>
          <t>Power Clean</t>
        </is>
      </c>
      <c r="C2515">
        <f>IF(AND('Month 10'!L295&lt;&gt;"",N('Month 10'!I295)&gt;0),'Month 10'!I295,"")</f>
        <v/>
      </c>
      <c r="D2515">
        <f>IF(C2515="","",IF(N('Month 10'!J295)&gt;0,'Month 10'!J295,1))</f>
        <v/>
      </c>
      <c r="E2515">
        <f>IF(OR(C2515="",D2515=""),"",IF(D2515=1,C2515,ROUND(C2515*(1+D2515/30),1)))</f>
        <v/>
      </c>
    </row>
    <row r="2516">
      <c r="A2516">
        <f>'Month 10'!B285</f>
        <v/>
      </c>
      <c r="B2516" t="inlineStr">
        <is>
          <t>Pin Squat</t>
        </is>
      </c>
      <c r="C2516">
        <f>IF(AND('Month 10'!L297&lt;&gt;"",N('Month 10'!I297)&gt;0),'Month 10'!I297,"")</f>
        <v/>
      </c>
      <c r="D2516">
        <f>IF(C2516="","",IF(N('Month 10'!J297)&gt;0,'Month 10'!J297,1))</f>
        <v/>
      </c>
      <c r="E2516">
        <f>IF(OR(C2516="",D2516=""),"",IF(D2516=1,C2516,ROUND(C2516*(1+D2516/30),1)))</f>
        <v/>
      </c>
    </row>
    <row r="2517">
      <c r="A2517">
        <f>'Month 10'!B285</f>
        <v/>
      </c>
      <c r="B2517" t="inlineStr">
        <is>
          <t>Pin Squat</t>
        </is>
      </c>
      <c r="C2517">
        <f>IF(AND('Month 10'!L298&lt;&gt;"",N('Month 10'!I298)&gt;0),'Month 10'!I298,"")</f>
        <v/>
      </c>
      <c r="D2517">
        <f>IF(C2517="","",IF(N('Month 10'!J298)&gt;0,'Month 10'!J298,1))</f>
        <v/>
      </c>
      <c r="E2517">
        <f>IF(OR(C2517="",D2517=""),"",IF(D2517=1,C2517,ROUND(C2517*(1+D2517/30),1)))</f>
        <v/>
      </c>
    </row>
    <row r="2518">
      <c r="A2518">
        <f>'Month 10'!B285</f>
        <v/>
      </c>
      <c r="B2518" t="inlineStr">
        <is>
          <t>Pin Squat</t>
        </is>
      </c>
      <c r="C2518">
        <f>IF(AND('Month 10'!L299&lt;&gt;"",N('Month 10'!I299)&gt;0),'Month 10'!I299,"")</f>
        <v/>
      </c>
      <c r="D2518">
        <f>IF(C2518="","",IF(N('Month 10'!J299)&gt;0,'Month 10'!J299,1))</f>
        <v/>
      </c>
      <c r="E2518">
        <f>IF(OR(C2518="",D2518=""),"",IF(D2518=1,C2518,ROUND(C2518*(1+D2518/30),1)))</f>
        <v/>
      </c>
    </row>
    <row r="2519">
      <c r="A2519">
        <f>'Month 10'!B285</f>
        <v/>
      </c>
      <c r="B2519" t="inlineStr">
        <is>
          <t>Pause Bench Press</t>
        </is>
      </c>
      <c r="C2519">
        <f>IF(AND('Month 10'!L301&lt;&gt;"",N('Month 10'!I301)&gt;0),'Month 10'!I301,"")</f>
        <v/>
      </c>
      <c r="D2519">
        <f>IF(C2519="","",IF(N('Month 10'!J301)&gt;0,'Month 10'!J301,1))</f>
        <v/>
      </c>
      <c r="E2519">
        <f>IF(OR(C2519="",D2519=""),"",IF(D2519=1,C2519,ROUND(C2519*(1+D2519/30),1)))</f>
        <v/>
      </c>
    </row>
    <row r="2520">
      <c r="A2520">
        <f>'Month 10'!B285</f>
        <v/>
      </c>
      <c r="B2520" t="inlineStr">
        <is>
          <t>Pause Bench Press</t>
        </is>
      </c>
      <c r="C2520">
        <f>IF(AND('Month 10'!L302&lt;&gt;"",N('Month 10'!I302)&gt;0),'Month 10'!I302,"")</f>
        <v/>
      </c>
      <c r="D2520">
        <f>IF(C2520="","",IF(N('Month 10'!J302)&gt;0,'Month 10'!J302,1))</f>
        <v/>
      </c>
      <c r="E2520">
        <f>IF(OR(C2520="",D2520=""),"",IF(D2520=1,C2520,ROUND(C2520*(1+D2520/30),1)))</f>
        <v/>
      </c>
    </row>
    <row r="2521">
      <c r="A2521">
        <f>'Month 10'!B285</f>
        <v/>
      </c>
      <c r="B2521" t="inlineStr">
        <is>
          <t>Pause Bench Press</t>
        </is>
      </c>
      <c r="C2521">
        <f>IF(AND('Month 10'!L303&lt;&gt;"",N('Month 10'!I303)&gt;0),'Month 10'!I303,"")</f>
        <v/>
      </c>
      <c r="D2521">
        <f>IF(C2521="","",IF(N('Month 10'!J303)&gt;0,'Month 10'!J303,1))</f>
        <v/>
      </c>
      <c r="E2521">
        <f>IF(OR(C2521="",D2521=""),"",IF(D2521=1,C2521,ROUND(C2521*(1+D2521/30),1)))</f>
        <v/>
      </c>
    </row>
    <row r="2522">
      <c r="A2522">
        <f>'Month 10'!B285</f>
        <v/>
      </c>
      <c r="B2522" t="inlineStr">
        <is>
          <t>Deficit Deadlift</t>
        </is>
      </c>
      <c r="C2522">
        <f>IF(AND('Month 10'!L305&lt;&gt;"",N('Month 10'!I305)&gt;0),'Month 10'!I305,"")</f>
        <v/>
      </c>
      <c r="D2522">
        <f>IF(C2522="","",IF(N('Month 10'!J305)&gt;0,'Month 10'!J305,1))</f>
        <v/>
      </c>
      <c r="E2522">
        <f>IF(OR(C2522="",D2522=""),"",IF(D2522=1,C2522,ROUND(C2522*(1+D2522/30),1)))</f>
        <v/>
      </c>
    </row>
    <row r="2523">
      <c r="A2523">
        <f>'Month 10'!B285</f>
        <v/>
      </c>
      <c r="B2523" t="inlineStr">
        <is>
          <t>Deficit Deadlift</t>
        </is>
      </c>
      <c r="C2523">
        <f>IF(AND('Month 10'!L306&lt;&gt;"",N('Month 10'!I306)&gt;0),'Month 10'!I306,"")</f>
        <v/>
      </c>
      <c r="D2523">
        <f>IF(C2523="","",IF(N('Month 10'!J306)&gt;0,'Month 10'!J306,1))</f>
        <v/>
      </c>
      <c r="E2523">
        <f>IF(OR(C2523="",D2523=""),"",IF(D2523=1,C2523,ROUND(C2523*(1+D2523/30),1)))</f>
        <v/>
      </c>
    </row>
    <row r="2524">
      <c r="A2524">
        <f>'Month 10'!B285</f>
        <v/>
      </c>
      <c r="B2524" t="inlineStr">
        <is>
          <t>Deficit Deadlift</t>
        </is>
      </c>
      <c r="C2524">
        <f>IF(AND('Month 10'!L307&lt;&gt;"",N('Month 10'!I307)&gt;0),'Month 10'!I307,"")</f>
        <v/>
      </c>
      <c r="D2524">
        <f>IF(C2524="","",IF(N('Month 10'!J307)&gt;0,'Month 10'!J307,1))</f>
        <v/>
      </c>
      <c r="E2524">
        <f>IF(OR(C2524="",D2524=""),"",IF(D2524=1,C2524,ROUND(C2524*(1+D2524/30),1)))</f>
        <v/>
      </c>
    </row>
    <row r="2525">
      <c r="A2525">
        <f>'Month 10'!B285</f>
        <v/>
      </c>
      <c r="B2525" t="inlineStr">
        <is>
          <t>Incline Dumbbell Press</t>
        </is>
      </c>
      <c r="C2525">
        <f>IF(AND('Month 10'!L309&lt;&gt;"",N('Month 10'!I309)&gt;0),'Month 10'!I309,"")</f>
        <v/>
      </c>
      <c r="D2525">
        <f>IF(C2525="","",IF(N('Month 10'!J309)&gt;0,'Month 10'!J309,1))</f>
        <v/>
      </c>
      <c r="E2525">
        <f>IF(OR(C2525="",D2525=""),"",IF(D2525=1,C2525,ROUND(C2525*(1+D2525/30),1)))</f>
        <v/>
      </c>
    </row>
    <row r="2526">
      <c r="A2526">
        <f>'Month 10'!B285</f>
        <v/>
      </c>
      <c r="B2526" t="inlineStr">
        <is>
          <t>Incline Dumbbell Press</t>
        </is>
      </c>
      <c r="C2526">
        <f>IF(AND('Month 10'!L310&lt;&gt;"",N('Month 10'!I310)&gt;0),'Month 10'!I310,"")</f>
        <v/>
      </c>
      <c r="D2526">
        <f>IF(C2526="","",IF(N('Month 10'!J310)&gt;0,'Month 10'!J310,1))</f>
        <v/>
      </c>
      <c r="E2526">
        <f>IF(OR(C2526="",D2526=""),"",IF(D2526=1,C2526,ROUND(C2526*(1+D2526/30),1)))</f>
        <v/>
      </c>
    </row>
    <row r="2527">
      <c r="A2527">
        <f>'Month 10'!B285</f>
        <v/>
      </c>
      <c r="B2527" t="inlineStr">
        <is>
          <t>Incline Dumbbell Press</t>
        </is>
      </c>
      <c r="C2527">
        <f>IF(AND('Month 10'!L311&lt;&gt;"",N('Month 10'!I311)&gt;0),'Month 10'!I311,"")</f>
        <v/>
      </c>
      <c r="D2527">
        <f>IF(C2527="","",IF(N('Month 10'!J311)&gt;0,'Month 10'!J311,1))</f>
        <v/>
      </c>
      <c r="E2527">
        <f>IF(OR(C2527="",D2527=""),"",IF(D2527=1,C2527,ROUND(C2527*(1+D2527/30),1)))</f>
        <v/>
      </c>
    </row>
    <row r="2528">
      <c r="A2528">
        <f>'Month 10'!B285</f>
        <v/>
      </c>
      <c r="B2528" t="inlineStr">
        <is>
          <t>Incline Dumbbell Press</t>
        </is>
      </c>
      <c r="C2528">
        <f>IF(AND('Month 10'!L312&lt;&gt;"",N('Month 10'!I312)&gt;0),'Month 10'!I312,"")</f>
        <v/>
      </c>
      <c r="D2528">
        <f>IF(C2528="","",IF(N('Month 10'!J312)&gt;0,'Month 10'!J312,1))</f>
        <v/>
      </c>
      <c r="E2528">
        <f>IF(OR(C2528="",D2528=""),"",IF(D2528=1,C2528,ROUND(C2528*(1+D2528/30),1)))</f>
        <v/>
      </c>
    </row>
    <row r="2529">
      <c r="A2529">
        <f>'Month 10'!B285</f>
        <v/>
      </c>
      <c r="B2529" t="inlineStr">
        <is>
          <t>Triceps Pushdown</t>
        </is>
      </c>
      <c r="C2529">
        <f>IF(AND('Month 10'!L314&lt;&gt;"",N('Month 10'!I314)&gt;0),'Month 10'!I314,"")</f>
        <v/>
      </c>
      <c r="D2529">
        <f>IF(C2529="","",IF(N('Month 10'!J314)&gt;0,'Month 10'!J314,1))</f>
        <v/>
      </c>
      <c r="E2529">
        <f>IF(OR(C2529="",D2529=""),"",IF(D2529=1,C2529,ROUND(C2529*(1+D2529/30),1)))</f>
        <v/>
      </c>
    </row>
    <row r="2530">
      <c r="A2530">
        <f>'Month 10'!B285</f>
        <v/>
      </c>
      <c r="B2530" t="inlineStr">
        <is>
          <t>Triceps Pushdown</t>
        </is>
      </c>
      <c r="C2530">
        <f>IF(AND('Month 10'!L315&lt;&gt;"",N('Month 10'!I315)&gt;0),'Month 10'!I315,"")</f>
        <v/>
      </c>
      <c r="D2530">
        <f>IF(C2530="","",IF(N('Month 10'!J315)&gt;0,'Month 10'!J315,1))</f>
        <v/>
      </c>
      <c r="E2530">
        <f>IF(OR(C2530="",D2530=""),"",IF(D2530=1,C2530,ROUND(C2530*(1+D2530/30),1)))</f>
        <v/>
      </c>
    </row>
    <row r="2531">
      <c r="A2531">
        <f>'Month 10'!B285</f>
        <v/>
      </c>
      <c r="B2531" t="inlineStr">
        <is>
          <t>Triceps Pushdown</t>
        </is>
      </c>
      <c r="C2531">
        <f>IF(AND('Month 10'!L316&lt;&gt;"",N('Month 10'!I316)&gt;0),'Month 10'!I316,"")</f>
        <v/>
      </c>
      <c r="D2531">
        <f>IF(C2531="","",IF(N('Month 10'!J316)&gt;0,'Month 10'!J316,1))</f>
        <v/>
      </c>
      <c r="E2531">
        <f>IF(OR(C2531="",D2531=""),"",IF(D2531=1,C2531,ROUND(C2531*(1+D2531/30),1)))</f>
        <v/>
      </c>
    </row>
    <row r="2532">
      <c r="A2532">
        <f>'Month 10'!B285</f>
        <v/>
      </c>
      <c r="B2532" t="inlineStr">
        <is>
          <t>Triceps Pushdown</t>
        </is>
      </c>
      <c r="C2532">
        <f>IF(AND('Month 10'!L317&lt;&gt;"",N('Month 10'!I317)&gt;0),'Month 10'!I317,"")</f>
        <v/>
      </c>
      <c r="D2532">
        <f>IF(C2532="","",IF(N('Month 10'!J317)&gt;0,'Month 10'!J317,1))</f>
        <v/>
      </c>
      <c r="E2532">
        <f>IF(OR(C2532="",D2532=""),"",IF(D2532=1,C2532,ROUND(C2532*(1+D2532/30),1)))</f>
        <v/>
      </c>
    </row>
    <row r="2533">
      <c r="A2533">
        <f>'Month 10'!B320</f>
        <v/>
      </c>
      <c r="B2533" t="inlineStr">
        <is>
          <t>Box Jump</t>
        </is>
      </c>
      <c r="C2533">
        <f>IF(AND('Month 10'!L322&lt;&gt;"",N('Month 10'!I322)&gt;0),'Month 10'!I322,"")</f>
        <v/>
      </c>
      <c r="D2533">
        <f>IF(C2533="","",IF(N('Month 10'!J322)&gt;0,'Month 10'!J322,1))</f>
        <v/>
      </c>
      <c r="E2533">
        <f>IF(OR(C2533="",D2533=""),"",IF(D2533=1,C2533,ROUND(C2533*(1+D2533/30),1)))</f>
        <v/>
      </c>
    </row>
    <row r="2534">
      <c r="A2534">
        <f>'Month 10'!B320</f>
        <v/>
      </c>
      <c r="B2534" t="inlineStr">
        <is>
          <t>Box Jump</t>
        </is>
      </c>
      <c r="C2534">
        <f>IF(AND('Month 10'!L323&lt;&gt;"",N('Month 10'!I323)&gt;0),'Month 10'!I323,"")</f>
        <v/>
      </c>
      <c r="D2534">
        <f>IF(C2534="","",IF(N('Month 10'!J323)&gt;0,'Month 10'!J323,1))</f>
        <v/>
      </c>
      <c r="E2534">
        <f>IF(OR(C2534="",D2534=""),"",IF(D2534=1,C2534,ROUND(C2534*(1+D2534/30),1)))</f>
        <v/>
      </c>
    </row>
    <row r="2535">
      <c r="A2535">
        <f>'Month 10'!B320</f>
        <v/>
      </c>
      <c r="B2535" t="inlineStr">
        <is>
          <t>Snatch</t>
        </is>
      </c>
      <c r="C2535">
        <f>IF(AND('Month 10'!L325&lt;&gt;"",N('Month 10'!I325)&gt;0),'Month 10'!I325,"")</f>
        <v/>
      </c>
      <c r="D2535">
        <f>IF(C2535="","",IF(N('Month 10'!J325)&gt;0,'Month 10'!J325,1))</f>
        <v/>
      </c>
      <c r="E2535">
        <f>IF(OR(C2535="",D2535=""),"",IF(D2535=1,C2535,ROUND(C2535*(1+D2535/30),1)))</f>
        <v/>
      </c>
    </row>
    <row r="2536">
      <c r="A2536">
        <f>'Month 10'!B320</f>
        <v/>
      </c>
      <c r="B2536" t="inlineStr">
        <is>
          <t>Snatch</t>
        </is>
      </c>
      <c r="C2536">
        <f>IF(AND('Month 10'!L326&lt;&gt;"",N('Month 10'!I326)&gt;0),'Month 10'!I326,"")</f>
        <v/>
      </c>
      <c r="D2536">
        <f>IF(C2536="","",IF(N('Month 10'!J326)&gt;0,'Month 10'!J326,1))</f>
        <v/>
      </c>
      <c r="E2536">
        <f>IF(OR(C2536="",D2536=""),"",IF(D2536=1,C2536,ROUND(C2536*(1+D2536/30),1)))</f>
        <v/>
      </c>
    </row>
    <row r="2537">
      <c r="A2537">
        <f>'Month 10'!B320</f>
        <v/>
      </c>
      <c r="B2537" t="inlineStr">
        <is>
          <t>Squat</t>
        </is>
      </c>
      <c r="C2537">
        <f>IF(AND('Month 10'!L328&lt;&gt;"",N('Month 10'!I328)&gt;0),'Month 10'!I328,"")</f>
        <v/>
      </c>
      <c r="D2537">
        <f>IF(C2537="","",IF(N('Month 10'!J328)&gt;0,'Month 10'!J328,1))</f>
        <v/>
      </c>
      <c r="E2537">
        <f>IF(OR(C2537="",D2537=""),"",IF(D2537=1,C2537,ROUND(C2537*(1+D2537/30),1)))</f>
        <v/>
      </c>
    </row>
    <row r="2538">
      <c r="A2538">
        <f>'Month 10'!B320</f>
        <v/>
      </c>
      <c r="B2538" t="inlineStr">
        <is>
          <t>Squat</t>
        </is>
      </c>
      <c r="C2538">
        <f>IF(AND('Month 10'!L329&lt;&gt;"",N('Month 10'!I329)&gt;0),'Month 10'!I329,"")</f>
        <v/>
      </c>
      <c r="D2538">
        <f>IF(C2538="","",IF(N('Month 10'!J329)&gt;0,'Month 10'!J329,1))</f>
        <v/>
      </c>
      <c r="E2538">
        <f>IF(OR(C2538="",D2538=""),"",IF(D2538=1,C2538,ROUND(C2538*(1+D2538/30),1)))</f>
        <v/>
      </c>
    </row>
    <row r="2539">
      <c r="A2539">
        <f>'Month 10'!B320</f>
        <v/>
      </c>
      <c r="B2539" t="inlineStr">
        <is>
          <t>Bench Press</t>
        </is>
      </c>
      <c r="C2539">
        <f>IF(AND('Month 10'!L331&lt;&gt;"",N('Month 10'!I331)&gt;0),'Month 10'!I331,"")</f>
        <v/>
      </c>
      <c r="D2539">
        <f>IF(C2539="","",IF(N('Month 10'!J331)&gt;0,'Month 10'!J331,1))</f>
        <v/>
      </c>
      <c r="E2539">
        <f>IF(OR(C2539="",D2539=""),"",IF(D2539=1,C2539,ROUND(C2539*(1+D2539/30),1)))</f>
        <v/>
      </c>
    </row>
    <row r="2540">
      <c r="A2540">
        <f>'Month 10'!B320</f>
        <v/>
      </c>
      <c r="B2540" t="inlineStr">
        <is>
          <t>Bench Press</t>
        </is>
      </c>
      <c r="C2540">
        <f>IF(AND('Month 10'!L332&lt;&gt;"",N('Month 10'!I332)&gt;0),'Month 10'!I332,"")</f>
        <v/>
      </c>
      <c r="D2540">
        <f>IF(C2540="","",IF(N('Month 10'!J332)&gt;0,'Month 10'!J332,1))</f>
        <v/>
      </c>
      <c r="E2540">
        <f>IF(OR(C2540="",D2540=""),"",IF(D2540=1,C2540,ROUND(C2540*(1+D2540/30),1)))</f>
        <v/>
      </c>
    </row>
    <row r="2541">
      <c r="A2541">
        <f>'Month 10'!B320</f>
        <v/>
      </c>
      <c r="B2541" t="inlineStr">
        <is>
          <t>Barbell Row</t>
        </is>
      </c>
      <c r="C2541">
        <f>IF(AND('Month 10'!L334&lt;&gt;"",N('Month 10'!I334)&gt;0),'Month 10'!I334,"")</f>
        <v/>
      </c>
      <c r="D2541">
        <f>IF(C2541="","",IF(N('Month 10'!J334)&gt;0,'Month 10'!J334,1))</f>
        <v/>
      </c>
      <c r="E2541">
        <f>IF(OR(C2541="",D2541=""),"",IF(D2541=1,C2541,ROUND(C2541*(1+D2541/30),1)))</f>
        <v/>
      </c>
    </row>
    <row r="2542">
      <c r="A2542">
        <f>'Month 10'!B320</f>
        <v/>
      </c>
      <c r="B2542" t="inlineStr">
        <is>
          <t>Barbell Row</t>
        </is>
      </c>
      <c r="C2542">
        <f>IF(AND('Month 10'!L335&lt;&gt;"",N('Month 10'!I335)&gt;0),'Month 10'!I335,"")</f>
        <v/>
      </c>
      <c r="D2542">
        <f>IF(C2542="","",IF(N('Month 10'!J335)&gt;0,'Month 10'!J335,1))</f>
        <v/>
      </c>
      <c r="E2542">
        <f>IF(OR(C2542="",D2542=""),"",IF(D2542=1,C2542,ROUND(C2542*(1+D2542/30),1)))</f>
        <v/>
      </c>
    </row>
    <row r="2543">
      <c r="A2543">
        <f>'Month 10'!B320</f>
        <v/>
      </c>
      <c r="B2543" t="inlineStr">
        <is>
          <t>Face Pull</t>
        </is>
      </c>
      <c r="C2543">
        <f>IF(AND('Month 10'!L337&lt;&gt;"",N('Month 10'!I337)&gt;0),'Month 10'!I337,"")</f>
        <v/>
      </c>
      <c r="D2543">
        <f>IF(C2543="","",IF(N('Month 10'!J337)&gt;0,'Month 10'!J337,1))</f>
        <v/>
      </c>
      <c r="E2543">
        <f>IF(OR(C2543="",D2543=""),"",IF(D2543=1,C2543,ROUND(C2543*(1+D2543/30),1)))</f>
        <v/>
      </c>
    </row>
    <row r="2544">
      <c r="A2544">
        <f>'Month 10'!B320</f>
        <v/>
      </c>
      <c r="B2544" t="inlineStr">
        <is>
          <t>Face Pull</t>
        </is>
      </c>
      <c r="C2544">
        <f>IF(AND('Month 10'!L338&lt;&gt;"",N('Month 10'!I338)&gt;0),'Month 10'!I338,"")</f>
        <v/>
      </c>
      <c r="D2544">
        <f>IF(C2544="","",IF(N('Month 10'!J338)&gt;0,'Month 10'!J338,1))</f>
        <v/>
      </c>
      <c r="E2544">
        <f>IF(OR(C2544="",D2544=""),"",IF(D2544=1,C2544,ROUND(C2544*(1+D2544/30),1)))</f>
        <v/>
      </c>
    </row>
    <row r="2545">
      <c r="A2545">
        <f>'Month 10'!B339</f>
        <v/>
      </c>
      <c r="B2545" t="inlineStr">
        <is>
          <t>Broad Jump</t>
        </is>
      </c>
      <c r="C2545">
        <f>IF(AND('Month 10'!L341&lt;&gt;"",N('Month 10'!I341)&gt;0),'Month 10'!I341,"")</f>
        <v/>
      </c>
      <c r="D2545">
        <f>IF(C2545="","",IF(N('Month 10'!J341)&gt;0,'Month 10'!J341,1))</f>
        <v/>
      </c>
      <c r="E2545">
        <f>IF(OR(C2545="",D2545=""),"",IF(D2545=1,C2545,ROUND(C2545*(1+D2545/30),1)))</f>
        <v/>
      </c>
    </row>
    <row r="2546">
      <c r="A2546">
        <f>'Month 10'!B339</f>
        <v/>
      </c>
      <c r="B2546" t="inlineStr">
        <is>
          <t>Broad Jump</t>
        </is>
      </c>
      <c r="C2546">
        <f>IF(AND('Month 10'!L342&lt;&gt;"",N('Month 10'!I342)&gt;0),'Month 10'!I342,"")</f>
        <v/>
      </c>
      <c r="D2546">
        <f>IF(C2546="","",IF(N('Month 10'!J342)&gt;0,'Month 10'!J342,1))</f>
        <v/>
      </c>
      <c r="E2546">
        <f>IF(OR(C2546="",D2546=""),"",IF(D2546=1,C2546,ROUND(C2546*(1+D2546/30),1)))</f>
        <v/>
      </c>
    </row>
    <row r="2547">
      <c r="A2547">
        <f>'Month 10'!B339</f>
        <v/>
      </c>
      <c r="B2547" t="inlineStr">
        <is>
          <t>Med Ball Chest Pass</t>
        </is>
      </c>
      <c r="C2547">
        <f>IF(AND('Month 10'!L344&lt;&gt;"",N('Month 10'!I344)&gt;0),'Month 10'!I344,"")</f>
        <v/>
      </c>
      <c r="D2547">
        <f>IF(C2547="","",IF(N('Month 10'!J344)&gt;0,'Month 10'!J344,1))</f>
        <v/>
      </c>
      <c r="E2547">
        <f>IF(OR(C2547="",D2547=""),"",IF(D2547=1,C2547,ROUND(C2547*(1+D2547/30),1)))</f>
        <v/>
      </c>
    </row>
    <row r="2548">
      <c r="A2548">
        <f>'Month 10'!B339</f>
        <v/>
      </c>
      <c r="B2548" t="inlineStr">
        <is>
          <t>Med Ball Chest Pass</t>
        </is>
      </c>
      <c r="C2548">
        <f>IF(AND('Month 10'!L345&lt;&gt;"",N('Month 10'!I345)&gt;0),'Month 10'!I345,"")</f>
        <v/>
      </c>
      <c r="D2548">
        <f>IF(C2548="","",IF(N('Month 10'!J345)&gt;0,'Month 10'!J345,1))</f>
        <v/>
      </c>
      <c r="E2548">
        <f>IF(OR(C2548="",D2548=""),"",IF(D2548=1,C2548,ROUND(C2548*(1+D2548/30),1)))</f>
        <v/>
      </c>
    </row>
    <row r="2549">
      <c r="A2549">
        <f>'Month 10'!B339</f>
        <v/>
      </c>
      <c r="B2549" t="inlineStr">
        <is>
          <t>Clean &amp; Jerk</t>
        </is>
      </c>
      <c r="C2549">
        <f>IF(AND('Month 10'!L347&lt;&gt;"",N('Month 10'!I347)&gt;0),'Month 10'!I347,"")</f>
        <v/>
      </c>
      <c r="D2549">
        <f>IF(C2549="","",IF(N('Month 10'!J347)&gt;0,'Month 10'!J347,1))</f>
        <v/>
      </c>
      <c r="E2549">
        <f>IF(OR(C2549="",D2549=""),"",IF(D2549=1,C2549,ROUND(C2549*(1+D2549/30),1)))</f>
        <v/>
      </c>
    </row>
    <row r="2550">
      <c r="A2550">
        <f>'Month 10'!B339</f>
        <v/>
      </c>
      <c r="B2550" t="inlineStr">
        <is>
          <t>Clean &amp; Jerk</t>
        </is>
      </c>
      <c r="C2550">
        <f>IF(AND('Month 10'!L348&lt;&gt;"",N('Month 10'!I348)&gt;0),'Month 10'!I348,"")</f>
        <v/>
      </c>
      <c r="D2550">
        <f>IF(C2550="","",IF(N('Month 10'!J348)&gt;0,'Month 10'!J348,1))</f>
        <v/>
      </c>
      <c r="E2550">
        <f>IF(OR(C2550="",D2550=""),"",IF(D2550=1,C2550,ROUND(C2550*(1+D2550/30),1)))</f>
        <v/>
      </c>
    </row>
    <row r="2551">
      <c r="A2551">
        <f>'Month 10'!B339</f>
        <v/>
      </c>
      <c r="B2551" t="inlineStr">
        <is>
          <t>Squat</t>
        </is>
      </c>
      <c r="C2551">
        <f>IF(AND('Month 10'!L350&lt;&gt;"",N('Month 10'!I350)&gt;0),'Month 10'!I350,"")</f>
        <v/>
      </c>
      <c r="D2551">
        <f>IF(C2551="","",IF(N('Month 10'!J350)&gt;0,'Month 10'!J350,1))</f>
        <v/>
      </c>
      <c r="E2551">
        <f>IF(OR(C2551="",D2551=""),"",IF(D2551=1,C2551,ROUND(C2551*(1+D2551/30),1)))</f>
        <v/>
      </c>
    </row>
    <row r="2552">
      <c r="A2552">
        <f>'Month 10'!B339</f>
        <v/>
      </c>
      <c r="B2552" t="inlineStr">
        <is>
          <t>Squat</t>
        </is>
      </c>
      <c r="C2552">
        <f>IF(AND('Month 10'!L351&lt;&gt;"",N('Month 10'!I351)&gt;0),'Month 10'!I351,"")</f>
        <v/>
      </c>
      <c r="D2552">
        <f>IF(C2552="","",IF(N('Month 10'!J351)&gt;0,'Month 10'!J351,1))</f>
        <v/>
      </c>
      <c r="E2552">
        <f>IF(OR(C2552="",D2552=""),"",IF(D2552=1,C2552,ROUND(C2552*(1+D2552/30),1)))</f>
        <v/>
      </c>
    </row>
    <row r="2553">
      <c r="A2553">
        <f>'Month 10'!B339</f>
        <v/>
      </c>
      <c r="B2553" t="inlineStr">
        <is>
          <t>Overhead Press</t>
        </is>
      </c>
      <c r="C2553">
        <f>IF(AND('Month 10'!L353&lt;&gt;"",N('Month 10'!I353)&gt;0),'Month 10'!I353,"")</f>
        <v/>
      </c>
      <c r="D2553">
        <f>IF(C2553="","",IF(N('Month 10'!J353)&gt;0,'Month 10'!J353,1))</f>
        <v/>
      </c>
      <c r="E2553">
        <f>IF(OR(C2553="",D2553=""),"",IF(D2553=1,C2553,ROUND(C2553*(1+D2553/30),1)))</f>
        <v/>
      </c>
    </row>
    <row r="2554">
      <c r="A2554">
        <f>'Month 10'!B339</f>
        <v/>
      </c>
      <c r="B2554" t="inlineStr">
        <is>
          <t>Overhead Press</t>
        </is>
      </c>
      <c r="C2554">
        <f>IF(AND('Month 10'!L354&lt;&gt;"",N('Month 10'!I354)&gt;0),'Month 10'!I354,"")</f>
        <v/>
      </c>
      <c r="D2554">
        <f>IF(C2554="","",IF(N('Month 10'!J354)&gt;0,'Month 10'!J354,1))</f>
        <v/>
      </c>
      <c r="E2554">
        <f>IF(OR(C2554="",D2554=""),"",IF(D2554=1,C2554,ROUND(C2554*(1+D2554/30),1)))</f>
        <v/>
      </c>
    </row>
    <row r="2555">
      <c r="A2555">
        <f>'Month 10'!B339</f>
        <v/>
      </c>
      <c r="B2555" t="inlineStr">
        <is>
          <t>Deadlift</t>
        </is>
      </c>
      <c r="C2555">
        <f>IF(AND('Month 10'!L356&lt;&gt;"",N('Month 10'!I356)&gt;0),'Month 10'!I356,"")</f>
        <v/>
      </c>
      <c r="D2555">
        <f>IF(C2555="","",IF(N('Month 10'!J356)&gt;0,'Month 10'!J356,1))</f>
        <v/>
      </c>
      <c r="E2555">
        <f>IF(OR(C2555="",D2555=""),"",IF(D2555=1,C2555,ROUND(C2555*(1+D2555/30),1)))</f>
        <v/>
      </c>
    </row>
    <row r="2556">
      <c r="A2556">
        <f>'Month 10'!B339</f>
        <v/>
      </c>
      <c r="B2556" t="inlineStr">
        <is>
          <t>Deadlift</t>
        </is>
      </c>
      <c r="C2556">
        <f>IF(AND('Month 10'!L357&lt;&gt;"",N('Month 10'!I357)&gt;0),'Month 10'!I357,"")</f>
        <v/>
      </c>
      <c r="D2556">
        <f>IF(C2556="","",IF(N('Month 10'!J357)&gt;0,'Month 10'!J357,1))</f>
        <v/>
      </c>
      <c r="E2556">
        <f>IF(OR(C2556="",D2556=""),"",IF(D2556=1,C2556,ROUND(C2556*(1+D2556/30),1)))</f>
        <v/>
      </c>
    </row>
    <row r="2557">
      <c r="A2557">
        <f>'Month 10'!B339</f>
        <v/>
      </c>
      <c r="B2557" t="inlineStr">
        <is>
          <t>Chin-up</t>
        </is>
      </c>
      <c r="C2557">
        <f>IF(AND('Month 10'!L359&lt;&gt;"",N('Month 10'!I359)&gt;0),'Month 10'!I359,"")</f>
        <v/>
      </c>
      <c r="D2557">
        <f>IF(C2557="","",IF(N('Month 10'!J359)&gt;0,'Month 10'!J359,1))</f>
        <v/>
      </c>
      <c r="E2557">
        <f>IF(OR(C2557="",D2557=""),"",IF(D2557=1,C2557,ROUND(C2557*(1+D2557/30),1)))</f>
        <v/>
      </c>
    </row>
    <row r="2558">
      <c r="A2558">
        <f>'Month 10'!B339</f>
        <v/>
      </c>
      <c r="B2558" t="inlineStr">
        <is>
          <t>Chin-up</t>
        </is>
      </c>
      <c r="C2558">
        <f>IF(AND('Month 10'!L360&lt;&gt;"",N('Month 10'!I360)&gt;0),'Month 10'!I360,"")</f>
        <v/>
      </c>
      <c r="D2558">
        <f>IF(C2558="","",IF(N('Month 10'!J360)&gt;0,'Month 10'!J360,1))</f>
        <v/>
      </c>
      <c r="E2558">
        <f>IF(OR(C2558="",D2558=""),"",IF(D2558=1,C2558,ROUND(C2558*(1+D2558/30),1)))</f>
        <v/>
      </c>
    </row>
    <row r="2559">
      <c r="A2559">
        <f>'Month 10'!B339</f>
        <v/>
      </c>
      <c r="B2559" t="inlineStr">
        <is>
          <t>Plank</t>
        </is>
      </c>
      <c r="C2559">
        <f>IF(AND('Month 10'!L362&lt;&gt;"",N('Month 10'!I362)&gt;0),'Month 10'!I362,"")</f>
        <v/>
      </c>
      <c r="D2559">
        <f>IF(C2559="","",IF(N('Month 10'!J362)&gt;0,'Month 10'!J362,1))</f>
        <v/>
      </c>
      <c r="E2559">
        <f>IF(OR(C2559="",D2559=""),"",IF(D2559=1,C2559,ROUND(C2559*(1+D2559/30),1)))</f>
        <v/>
      </c>
    </row>
    <row r="2560">
      <c r="A2560">
        <f>'Month 10'!B339</f>
        <v/>
      </c>
      <c r="B2560" t="inlineStr">
        <is>
          <t>Plank</t>
        </is>
      </c>
      <c r="C2560">
        <f>IF(AND('Month 10'!L363&lt;&gt;"",N('Month 10'!I363)&gt;0),'Month 10'!I363,"")</f>
        <v/>
      </c>
      <c r="D2560">
        <f>IF(C2560="","",IF(N('Month 10'!J363)&gt;0,'Month 10'!J363,1))</f>
        <v/>
      </c>
      <c r="E2560">
        <f>IF(OR(C2560="",D2560=""),"",IF(D2560=1,C2560,ROUND(C2560*(1+D2560/30),1)))</f>
        <v/>
      </c>
    </row>
    <row r="2561">
      <c r="A2561">
        <f>'Month 10'!B364</f>
        <v/>
      </c>
      <c r="B2561" t="inlineStr">
        <is>
          <t>Lateral Bound</t>
        </is>
      </c>
      <c r="C2561">
        <f>IF(AND('Month 10'!L366&lt;&gt;"",N('Month 10'!I366)&gt;0),'Month 10'!I366,"")</f>
        <v/>
      </c>
      <c r="D2561">
        <f>IF(C2561="","",IF(N('Month 10'!J366)&gt;0,'Month 10'!J366,1))</f>
        <v/>
      </c>
      <c r="E2561">
        <f>IF(OR(C2561="",D2561=""),"",IF(D2561=1,C2561,ROUND(C2561*(1+D2561/30),1)))</f>
        <v/>
      </c>
    </row>
    <row r="2562">
      <c r="A2562">
        <f>'Month 10'!B364</f>
        <v/>
      </c>
      <c r="B2562" t="inlineStr">
        <is>
          <t>Lateral Bound</t>
        </is>
      </c>
      <c r="C2562">
        <f>IF(AND('Month 10'!L367&lt;&gt;"",N('Month 10'!I367)&gt;0),'Month 10'!I367,"")</f>
        <v/>
      </c>
      <c r="D2562">
        <f>IF(C2562="","",IF(N('Month 10'!J367)&gt;0,'Month 10'!J367,1))</f>
        <v/>
      </c>
      <c r="E2562">
        <f>IF(OR(C2562="",D2562=""),"",IF(D2562=1,C2562,ROUND(C2562*(1+D2562/30),1)))</f>
        <v/>
      </c>
    </row>
    <row r="2563">
      <c r="A2563">
        <f>'Month 10'!B364</f>
        <v/>
      </c>
      <c r="B2563" t="inlineStr">
        <is>
          <t>Power Clean</t>
        </is>
      </c>
      <c r="C2563">
        <f>IF(AND('Month 10'!L369&lt;&gt;"",N('Month 10'!I369)&gt;0),'Month 10'!I369,"")</f>
        <v/>
      </c>
      <c r="D2563">
        <f>IF(C2563="","",IF(N('Month 10'!J369)&gt;0,'Month 10'!J369,1))</f>
        <v/>
      </c>
      <c r="E2563">
        <f>IF(OR(C2563="",D2563=""),"",IF(D2563=1,C2563,ROUND(C2563*(1+D2563/30),1)))</f>
        <v/>
      </c>
    </row>
    <row r="2564">
      <c r="A2564">
        <f>'Month 10'!B364</f>
        <v/>
      </c>
      <c r="B2564" t="inlineStr">
        <is>
          <t>Power Clean</t>
        </is>
      </c>
      <c r="C2564">
        <f>IF(AND('Month 10'!L370&lt;&gt;"",N('Month 10'!I370)&gt;0),'Month 10'!I370,"")</f>
        <v/>
      </c>
      <c r="D2564">
        <f>IF(C2564="","",IF(N('Month 10'!J370)&gt;0,'Month 10'!J370,1))</f>
        <v/>
      </c>
      <c r="E2564">
        <f>IF(OR(C2564="",D2564=""),"",IF(D2564=1,C2564,ROUND(C2564*(1+D2564/30),1)))</f>
        <v/>
      </c>
    </row>
    <row r="2565">
      <c r="A2565">
        <f>'Month 10'!B364</f>
        <v/>
      </c>
      <c r="B2565" t="inlineStr">
        <is>
          <t>Pin Squat</t>
        </is>
      </c>
      <c r="C2565">
        <f>IF(AND('Month 10'!L372&lt;&gt;"",N('Month 10'!I372)&gt;0),'Month 10'!I372,"")</f>
        <v/>
      </c>
      <c r="D2565">
        <f>IF(C2565="","",IF(N('Month 10'!J372)&gt;0,'Month 10'!J372,1))</f>
        <v/>
      </c>
      <c r="E2565">
        <f>IF(OR(C2565="",D2565=""),"",IF(D2565=1,C2565,ROUND(C2565*(1+D2565/30),1)))</f>
        <v/>
      </c>
    </row>
    <row r="2566">
      <c r="A2566">
        <f>'Month 10'!B364</f>
        <v/>
      </c>
      <c r="B2566" t="inlineStr">
        <is>
          <t>Pin Squat</t>
        </is>
      </c>
      <c r="C2566">
        <f>IF(AND('Month 10'!L373&lt;&gt;"",N('Month 10'!I373)&gt;0),'Month 10'!I373,"")</f>
        <v/>
      </c>
      <c r="D2566">
        <f>IF(C2566="","",IF(N('Month 10'!J373)&gt;0,'Month 10'!J373,1))</f>
        <v/>
      </c>
      <c r="E2566">
        <f>IF(OR(C2566="",D2566=""),"",IF(D2566=1,C2566,ROUND(C2566*(1+D2566/30),1)))</f>
        <v/>
      </c>
    </row>
    <row r="2567">
      <c r="A2567">
        <f>'Month 10'!B364</f>
        <v/>
      </c>
      <c r="B2567" t="inlineStr">
        <is>
          <t>Pause Bench Press</t>
        </is>
      </c>
      <c r="C2567">
        <f>IF(AND('Month 10'!L375&lt;&gt;"",N('Month 10'!I375)&gt;0),'Month 10'!I375,"")</f>
        <v/>
      </c>
      <c r="D2567">
        <f>IF(C2567="","",IF(N('Month 10'!J375)&gt;0,'Month 10'!J375,1))</f>
        <v/>
      </c>
      <c r="E2567">
        <f>IF(OR(C2567="",D2567=""),"",IF(D2567=1,C2567,ROUND(C2567*(1+D2567/30),1)))</f>
        <v/>
      </c>
    </row>
    <row r="2568">
      <c r="A2568">
        <f>'Month 10'!B364</f>
        <v/>
      </c>
      <c r="B2568" t="inlineStr">
        <is>
          <t>Pause Bench Press</t>
        </is>
      </c>
      <c r="C2568">
        <f>IF(AND('Month 10'!L376&lt;&gt;"",N('Month 10'!I376)&gt;0),'Month 10'!I376,"")</f>
        <v/>
      </c>
      <c r="D2568">
        <f>IF(C2568="","",IF(N('Month 10'!J376)&gt;0,'Month 10'!J376,1))</f>
        <v/>
      </c>
      <c r="E2568">
        <f>IF(OR(C2568="",D2568=""),"",IF(D2568=1,C2568,ROUND(C2568*(1+D2568/30),1)))</f>
        <v/>
      </c>
    </row>
    <row r="2569">
      <c r="A2569">
        <f>'Month 10'!B364</f>
        <v/>
      </c>
      <c r="B2569" t="inlineStr">
        <is>
          <t>Deficit Deadlift</t>
        </is>
      </c>
      <c r="C2569">
        <f>IF(AND('Month 10'!L378&lt;&gt;"",N('Month 10'!I378)&gt;0),'Month 10'!I378,"")</f>
        <v/>
      </c>
      <c r="D2569">
        <f>IF(C2569="","",IF(N('Month 10'!J378)&gt;0,'Month 10'!J378,1))</f>
        <v/>
      </c>
      <c r="E2569">
        <f>IF(OR(C2569="",D2569=""),"",IF(D2569=1,C2569,ROUND(C2569*(1+D2569/30),1)))</f>
        <v/>
      </c>
    </row>
    <row r="2570">
      <c r="A2570">
        <f>'Month 10'!B364</f>
        <v/>
      </c>
      <c r="B2570" t="inlineStr">
        <is>
          <t>Deficit Deadlift</t>
        </is>
      </c>
      <c r="C2570">
        <f>IF(AND('Month 10'!L379&lt;&gt;"",N('Month 10'!I379)&gt;0),'Month 10'!I379,"")</f>
        <v/>
      </c>
      <c r="D2570">
        <f>IF(C2570="","",IF(N('Month 10'!J379)&gt;0,'Month 10'!J379,1))</f>
        <v/>
      </c>
      <c r="E2570">
        <f>IF(OR(C2570="",D2570=""),"",IF(D2570=1,C2570,ROUND(C2570*(1+D2570/30),1)))</f>
        <v/>
      </c>
    </row>
    <row r="2571">
      <c r="A2571">
        <f>'Month 10'!B364</f>
        <v/>
      </c>
      <c r="B2571" t="inlineStr">
        <is>
          <t>Incline Dumbbell Press</t>
        </is>
      </c>
      <c r="C2571">
        <f>IF(AND('Month 10'!L381&lt;&gt;"",N('Month 10'!I381)&gt;0),'Month 10'!I381,"")</f>
        <v/>
      </c>
      <c r="D2571">
        <f>IF(C2571="","",IF(N('Month 10'!J381)&gt;0,'Month 10'!J381,1))</f>
        <v/>
      </c>
      <c r="E2571">
        <f>IF(OR(C2571="",D2571=""),"",IF(D2571=1,C2571,ROUND(C2571*(1+D2571/30),1)))</f>
        <v/>
      </c>
    </row>
    <row r="2572">
      <c r="A2572">
        <f>'Month 10'!B364</f>
        <v/>
      </c>
      <c r="B2572" t="inlineStr">
        <is>
          <t>Incline Dumbbell Press</t>
        </is>
      </c>
      <c r="C2572">
        <f>IF(AND('Month 10'!L382&lt;&gt;"",N('Month 10'!I382)&gt;0),'Month 10'!I382,"")</f>
        <v/>
      </c>
      <c r="D2572">
        <f>IF(C2572="","",IF(N('Month 10'!J382)&gt;0,'Month 10'!J382,1))</f>
        <v/>
      </c>
      <c r="E2572">
        <f>IF(OR(C2572="",D2572=""),"",IF(D2572=1,C2572,ROUND(C2572*(1+D2572/30),1)))</f>
        <v/>
      </c>
    </row>
    <row r="2573">
      <c r="A2573">
        <f>'Month 10'!B364</f>
        <v/>
      </c>
      <c r="B2573" t="inlineStr">
        <is>
          <t>Triceps Pushdown</t>
        </is>
      </c>
      <c r="C2573">
        <f>IF(AND('Month 10'!L384&lt;&gt;"",N('Month 10'!I384)&gt;0),'Month 10'!I384,"")</f>
        <v/>
      </c>
      <c r="D2573">
        <f>IF(C2573="","",IF(N('Month 10'!J384)&gt;0,'Month 10'!J384,1))</f>
        <v/>
      </c>
      <c r="E2573">
        <f>IF(OR(C2573="",D2573=""),"",IF(D2573=1,C2573,ROUND(C2573*(1+D2573/30),1)))</f>
        <v/>
      </c>
    </row>
    <row r="2574">
      <c r="A2574">
        <f>'Month 10'!B364</f>
        <v/>
      </c>
      <c r="B2574" t="inlineStr">
        <is>
          <t>Triceps Pushdown</t>
        </is>
      </c>
      <c r="C2574">
        <f>IF(AND('Month 10'!L385&lt;&gt;"",N('Month 10'!I385)&gt;0),'Month 10'!I385,"")</f>
        <v/>
      </c>
      <c r="D2574">
        <f>IF(C2574="","",IF(N('Month 10'!J385)&gt;0,'Month 10'!J385,1))</f>
        <v/>
      </c>
      <c r="E2574">
        <f>IF(OR(C2574="",D2574=""),"",IF(D2574=1,C2574,ROUND(C2574*(1+D2574/30),1)))</f>
        <v/>
      </c>
    </row>
    <row r="2575">
      <c r="A2575">
        <f>'Month 11'!B7</f>
        <v/>
      </c>
      <c r="B2575" t="inlineStr">
        <is>
          <t>Box Jump</t>
        </is>
      </c>
      <c r="C2575">
        <f>IF(AND('Month 11'!L9&lt;&gt;"",N('Month 11'!I9)&gt;0),'Month 11'!I9,"")</f>
        <v/>
      </c>
      <c r="D2575">
        <f>IF(C2575="","",IF(N('Month 11'!J9)&gt;0,'Month 11'!J9,1))</f>
        <v/>
      </c>
      <c r="E2575">
        <f>IF(OR(C2575="",D2575=""),"",IF(D2575=1,C2575,ROUND(C2575*(1+D2575/30),1)))</f>
        <v/>
      </c>
    </row>
    <row r="2576">
      <c r="A2576">
        <f>'Month 11'!B7</f>
        <v/>
      </c>
      <c r="B2576" t="inlineStr">
        <is>
          <t>Box Jump</t>
        </is>
      </c>
      <c r="C2576">
        <f>IF(AND('Month 11'!L10&lt;&gt;"",N('Month 11'!I10)&gt;0),'Month 11'!I10,"")</f>
        <v/>
      </c>
      <c r="D2576">
        <f>IF(C2576="","",IF(N('Month 11'!J10)&gt;0,'Month 11'!J10,1))</f>
        <v/>
      </c>
      <c r="E2576">
        <f>IF(OR(C2576="",D2576=""),"",IF(D2576=1,C2576,ROUND(C2576*(1+D2576/30),1)))</f>
        <v/>
      </c>
    </row>
    <row r="2577">
      <c r="A2577">
        <f>'Month 11'!B7</f>
        <v/>
      </c>
      <c r="B2577" t="inlineStr">
        <is>
          <t>Box Jump</t>
        </is>
      </c>
      <c r="C2577">
        <f>IF(AND('Month 11'!L11&lt;&gt;"",N('Month 11'!I11)&gt;0),'Month 11'!I11,"")</f>
        <v/>
      </c>
      <c r="D2577">
        <f>IF(C2577="","",IF(N('Month 11'!J11)&gt;0,'Month 11'!J11,1))</f>
        <v/>
      </c>
      <c r="E2577">
        <f>IF(OR(C2577="",D2577=""),"",IF(D2577=1,C2577,ROUND(C2577*(1+D2577/30),1)))</f>
        <v/>
      </c>
    </row>
    <row r="2578">
      <c r="A2578">
        <f>'Month 11'!B7</f>
        <v/>
      </c>
      <c r="B2578" t="inlineStr">
        <is>
          <t>Box Jump</t>
        </is>
      </c>
      <c r="C2578">
        <f>IF(AND('Month 11'!L12&lt;&gt;"",N('Month 11'!I12)&gt;0),'Month 11'!I12,"")</f>
        <v/>
      </c>
      <c r="D2578">
        <f>IF(C2578="","",IF(N('Month 11'!J12)&gt;0,'Month 11'!J12,1))</f>
        <v/>
      </c>
      <c r="E2578">
        <f>IF(OR(C2578="",D2578=""),"",IF(D2578=1,C2578,ROUND(C2578*(1+D2578/30),1)))</f>
        <v/>
      </c>
    </row>
    <row r="2579">
      <c r="A2579">
        <f>'Month 11'!B7</f>
        <v/>
      </c>
      <c r="B2579" t="inlineStr">
        <is>
          <t>Snatch</t>
        </is>
      </c>
      <c r="C2579">
        <f>IF(AND('Month 11'!L14&lt;&gt;"",N('Month 11'!I14)&gt;0),'Month 11'!I14,"")</f>
        <v/>
      </c>
      <c r="D2579">
        <f>IF(C2579="","",IF(N('Month 11'!J14)&gt;0,'Month 11'!J14,1))</f>
        <v/>
      </c>
      <c r="E2579">
        <f>IF(OR(C2579="",D2579=""),"",IF(D2579=1,C2579,ROUND(C2579*(1+D2579/30),1)))</f>
        <v/>
      </c>
    </row>
    <row r="2580">
      <c r="A2580">
        <f>'Month 11'!B7</f>
        <v/>
      </c>
      <c r="B2580" t="inlineStr">
        <is>
          <t>Snatch</t>
        </is>
      </c>
      <c r="C2580">
        <f>IF(AND('Month 11'!L15&lt;&gt;"",N('Month 11'!I15)&gt;0),'Month 11'!I15,"")</f>
        <v/>
      </c>
      <c r="D2580">
        <f>IF(C2580="","",IF(N('Month 11'!J15)&gt;0,'Month 11'!J15,1))</f>
        <v/>
      </c>
      <c r="E2580">
        <f>IF(OR(C2580="",D2580=""),"",IF(D2580=1,C2580,ROUND(C2580*(1+D2580/30),1)))</f>
        <v/>
      </c>
    </row>
    <row r="2581">
      <c r="A2581">
        <f>'Month 11'!B7</f>
        <v/>
      </c>
      <c r="B2581" t="inlineStr">
        <is>
          <t>Snatch</t>
        </is>
      </c>
      <c r="C2581">
        <f>IF(AND('Month 11'!L16&lt;&gt;"",N('Month 11'!I16)&gt;0),'Month 11'!I16,"")</f>
        <v/>
      </c>
      <c r="D2581">
        <f>IF(C2581="","",IF(N('Month 11'!J16)&gt;0,'Month 11'!J16,1))</f>
        <v/>
      </c>
      <c r="E2581">
        <f>IF(OR(C2581="",D2581=""),"",IF(D2581=1,C2581,ROUND(C2581*(1+D2581/30),1)))</f>
        <v/>
      </c>
    </row>
    <row r="2582">
      <c r="A2582">
        <f>'Month 11'!B7</f>
        <v/>
      </c>
      <c r="B2582" t="inlineStr">
        <is>
          <t>Snatch</t>
        </is>
      </c>
      <c r="C2582">
        <f>IF(AND('Month 11'!L17&lt;&gt;"",N('Month 11'!I17)&gt;0),'Month 11'!I17,"")</f>
        <v/>
      </c>
      <c r="D2582">
        <f>IF(C2582="","",IF(N('Month 11'!J17)&gt;0,'Month 11'!J17,1))</f>
        <v/>
      </c>
      <c r="E2582">
        <f>IF(OR(C2582="",D2582=""),"",IF(D2582=1,C2582,ROUND(C2582*(1+D2582/30),1)))</f>
        <v/>
      </c>
    </row>
    <row r="2583">
      <c r="A2583">
        <f>'Month 11'!B7</f>
        <v/>
      </c>
      <c r="B2583" t="inlineStr">
        <is>
          <t>Squat</t>
        </is>
      </c>
      <c r="C2583">
        <f>IF(AND('Month 11'!L19&lt;&gt;"",N('Month 11'!I19)&gt;0),'Month 11'!I19,"")</f>
        <v/>
      </c>
      <c r="D2583">
        <f>IF(C2583="","",IF(N('Month 11'!J19)&gt;0,'Month 11'!J19,1))</f>
        <v/>
      </c>
      <c r="E2583">
        <f>IF(OR(C2583="",D2583=""),"",IF(D2583=1,C2583,ROUND(C2583*(1+D2583/30),1)))</f>
        <v/>
      </c>
    </row>
    <row r="2584">
      <c r="A2584">
        <f>'Month 11'!B7</f>
        <v/>
      </c>
      <c r="B2584" t="inlineStr">
        <is>
          <t>Squat</t>
        </is>
      </c>
      <c r="C2584">
        <f>IF(AND('Month 11'!L20&lt;&gt;"",N('Month 11'!I20)&gt;0),'Month 11'!I20,"")</f>
        <v/>
      </c>
      <c r="D2584">
        <f>IF(C2584="","",IF(N('Month 11'!J20)&gt;0,'Month 11'!J20,1))</f>
        <v/>
      </c>
      <c r="E2584">
        <f>IF(OR(C2584="",D2584=""),"",IF(D2584=1,C2584,ROUND(C2584*(1+D2584/30),1)))</f>
        <v/>
      </c>
    </row>
    <row r="2585">
      <c r="A2585">
        <f>'Month 11'!B7</f>
        <v/>
      </c>
      <c r="B2585" t="inlineStr">
        <is>
          <t>Squat</t>
        </is>
      </c>
      <c r="C2585">
        <f>IF(AND('Month 11'!L21&lt;&gt;"",N('Month 11'!I21)&gt;0),'Month 11'!I21,"")</f>
        <v/>
      </c>
      <c r="D2585">
        <f>IF(C2585="","",IF(N('Month 11'!J21)&gt;0,'Month 11'!J21,1))</f>
        <v/>
      </c>
      <c r="E2585">
        <f>IF(OR(C2585="",D2585=""),"",IF(D2585=1,C2585,ROUND(C2585*(1+D2585/30),1)))</f>
        <v/>
      </c>
    </row>
    <row r="2586">
      <c r="A2586">
        <f>'Month 11'!B7</f>
        <v/>
      </c>
      <c r="B2586" t="inlineStr">
        <is>
          <t>Bench Press</t>
        </is>
      </c>
      <c r="C2586">
        <f>IF(AND('Month 11'!L23&lt;&gt;"",N('Month 11'!I23)&gt;0),'Month 11'!I23,"")</f>
        <v/>
      </c>
      <c r="D2586">
        <f>IF(C2586="","",IF(N('Month 11'!J23)&gt;0,'Month 11'!J23,1))</f>
        <v/>
      </c>
      <c r="E2586">
        <f>IF(OR(C2586="",D2586=""),"",IF(D2586=1,C2586,ROUND(C2586*(1+D2586/30),1)))</f>
        <v/>
      </c>
    </row>
    <row r="2587">
      <c r="A2587">
        <f>'Month 11'!B7</f>
        <v/>
      </c>
      <c r="B2587" t="inlineStr">
        <is>
          <t>Bench Press</t>
        </is>
      </c>
      <c r="C2587">
        <f>IF(AND('Month 11'!L24&lt;&gt;"",N('Month 11'!I24)&gt;0),'Month 11'!I24,"")</f>
        <v/>
      </c>
      <c r="D2587">
        <f>IF(C2587="","",IF(N('Month 11'!J24)&gt;0,'Month 11'!J24,1))</f>
        <v/>
      </c>
      <c r="E2587">
        <f>IF(OR(C2587="",D2587=""),"",IF(D2587=1,C2587,ROUND(C2587*(1+D2587/30),1)))</f>
        <v/>
      </c>
    </row>
    <row r="2588">
      <c r="A2588">
        <f>'Month 11'!B7</f>
        <v/>
      </c>
      <c r="B2588" t="inlineStr">
        <is>
          <t>Bench Press</t>
        </is>
      </c>
      <c r="C2588">
        <f>IF(AND('Month 11'!L25&lt;&gt;"",N('Month 11'!I25)&gt;0),'Month 11'!I25,"")</f>
        <v/>
      </c>
      <c r="D2588">
        <f>IF(C2588="","",IF(N('Month 11'!J25)&gt;0,'Month 11'!J25,1))</f>
        <v/>
      </c>
      <c r="E2588">
        <f>IF(OR(C2588="",D2588=""),"",IF(D2588=1,C2588,ROUND(C2588*(1+D2588/30),1)))</f>
        <v/>
      </c>
    </row>
    <row r="2589">
      <c r="A2589">
        <f>'Month 11'!B7</f>
        <v/>
      </c>
      <c r="B2589" t="inlineStr">
        <is>
          <t>Barbell Row</t>
        </is>
      </c>
      <c r="C2589">
        <f>IF(AND('Month 11'!L27&lt;&gt;"",N('Month 11'!I27)&gt;0),'Month 11'!I27,"")</f>
        <v/>
      </c>
      <c r="D2589">
        <f>IF(C2589="","",IF(N('Month 11'!J27)&gt;0,'Month 11'!J27,1))</f>
        <v/>
      </c>
      <c r="E2589">
        <f>IF(OR(C2589="",D2589=""),"",IF(D2589=1,C2589,ROUND(C2589*(1+D2589/30),1)))</f>
        <v/>
      </c>
    </row>
    <row r="2590">
      <c r="A2590">
        <f>'Month 11'!B7</f>
        <v/>
      </c>
      <c r="B2590" t="inlineStr">
        <is>
          <t>Barbell Row</t>
        </is>
      </c>
      <c r="C2590">
        <f>IF(AND('Month 11'!L28&lt;&gt;"",N('Month 11'!I28)&gt;0),'Month 11'!I28,"")</f>
        <v/>
      </c>
      <c r="D2590">
        <f>IF(C2590="","",IF(N('Month 11'!J28)&gt;0,'Month 11'!J28,1))</f>
        <v/>
      </c>
      <c r="E2590">
        <f>IF(OR(C2590="",D2590=""),"",IF(D2590=1,C2590,ROUND(C2590*(1+D2590/30),1)))</f>
        <v/>
      </c>
    </row>
    <row r="2591">
      <c r="A2591">
        <f>'Month 11'!B7</f>
        <v/>
      </c>
      <c r="B2591" t="inlineStr">
        <is>
          <t>Barbell Row</t>
        </is>
      </c>
      <c r="C2591">
        <f>IF(AND('Month 11'!L29&lt;&gt;"",N('Month 11'!I29)&gt;0),'Month 11'!I29,"")</f>
        <v/>
      </c>
      <c r="D2591">
        <f>IF(C2591="","",IF(N('Month 11'!J29)&gt;0,'Month 11'!J29,1))</f>
        <v/>
      </c>
      <c r="E2591">
        <f>IF(OR(C2591="",D2591=""),"",IF(D2591=1,C2591,ROUND(C2591*(1+D2591/30),1)))</f>
        <v/>
      </c>
    </row>
    <row r="2592">
      <c r="A2592">
        <f>'Month 11'!B7</f>
        <v/>
      </c>
      <c r="B2592" t="inlineStr">
        <is>
          <t>Face Pull</t>
        </is>
      </c>
      <c r="C2592">
        <f>IF(AND('Month 11'!L31&lt;&gt;"",N('Month 11'!I31)&gt;0),'Month 11'!I31,"")</f>
        <v/>
      </c>
      <c r="D2592">
        <f>IF(C2592="","",IF(N('Month 11'!J31)&gt;0,'Month 11'!J31,1))</f>
        <v/>
      </c>
      <c r="E2592">
        <f>IF(OR(C2592="",D2592=""),"",IF(D2592=1,C2592,ROUND(C2592*(1+D2592/30),1)))</f>
        <v/>
      </c>
    </row>
    <row r="2593">
      <c r="A2593">
        <f>'Month 11'!B7</f>
        <v/>
      </c>
      <c r="B2593" t="inlineStr">
        <is>
          <t>Face Pull</t>
        </is>
      </c>
      <c r="C2593">
        <f>IF(AND('Month 11'!L32&lt;&gt;"",N('Month 11'!I32)&gt;0),'Month 11'!I32,"")</f>
        <v/>
      </c>
      <c r="D2593">
        <f>IF(C2593="","",IF(N('Month 11'!J32)&gt;0,'Month 11'!J32,1))</f>
        <v/>
      </c>
      <c r="E2593">
        <f>IF(OR(C2593="",D2593=""),"",IF(D2593=1,C2593,ROUND(C2593*(1+D2593/30),1)))</f>
        <v/>
      </c>
    </row>
    <row r="2594">
      <c r="A2594">
        <f>'Month 11'!B7</f>
        <v/>
      </c>
      <c r="B2594" t="inlineStr">
        <is>
          <t>Face Pull</t>
        </is>
      </c>
      <c r="C2594">
        <f>IF(AND('Month 11'!L33&lt;&gt;"",N('Month 11'!I33)&gt;0),'Month 11'!I33,"")</f>
        <v/>
      </c>
      <c r="D2594">
        <f>IF(C2594="","",IF(N('Month 11'!J33)&gt;0,'Month 11'!J33,1))</f>
        <v/>
      </c>
      <c r="E2594">
        <f>IF(OR(C2594="",D2594=""),"",IF(D2594=1,C2594,ROUND(C2594*(1+D2594/30),1)))</f>
        <v/>
      </c>
    </row>
    <row r="2595">
      <c r="A2595">
        <f>'Month 11'!B34</f>
        <v/>
      </c>
      <c r="B2595" t="inlineStr">
        <is>
          <t>Broad Jump</t>
        </is>
      </c>
      <c r="C2595">
        <f>IF(AND('Month 11'!L36&lt;&gt;"",N('Month 11'!I36)&gt;0),'Month 11'!I36,"")</f>
        <v/>
      </c>
      <c r="D2595">
        <f>IF(C2595="","",IF(N('Month 11'!J36)&gt;0,'Month 11'!J36,1))</f>
        <v/>
      </c>
      <c r="E2595">
        <f>IF(OR(C2595="",D2595=""),"",IF(D2595=1,C2595,ROUND(C2595*(1+D2595/30),1)))</f>
        <v/>
      </c>
    </row>
    <row r="2596">
      <c r="A2596">
        <f>'Month 11'!B34</f>
        <v/>
      </c>
      <c r="B2596" t="inlineStr">
        <is>
          <t>Broad Jump</t>
        </is>
      </c>
      <c r="C2596">
        <f>IF(AND('Month 11'!L37&lt;&gt;"",N('Month 11'!I37)&gt;0),'Month 11'!I37,"")</f>
        <v/>
      </c>
      <c r="D2596">
        <f>IF(C2596="","",IF(N('Month 11'!J37)&gt;0,'Month 11'!J37,1))</f>
        <v/>
      </c>
      <c r="E2596">
        <f>IF(OR(C2596="",D2596=""),"",IF(D2596=1,C2596,ROUND(C2596*(1+D2596/30),1)))</f>
        <v/>
      </c>
    </row>
    <row r="2597">
      <c r="A2597">
        <f>'Month 11'!B34</f>
        <v/>
      </c>
      <c r="B2597" t="inlineStr">
        <is>
          <t>Broad Jump</t>
        </is>
      </c>
      <c r="C2597">
        <f>IF(AND('Month 11'!L38&lt;&gt;"",N('Month 11'!I38)&gt;0),'Month 11'!I38,"")</f>
        <v/>
      </c>
      <c r="D2597">
        <f>IF(C2597="","",IF(N('Month 11'!J38)&gt;0,'Month 11'!J38,1))</f>
        <v/>
      </c>
      <c r="E2597">
        <f>IF(OR(C2597="",D2597=""),"",IF(D2597=1,C2597,ROUND(C2597*(1+D2597/30),1)))</f>
        <v/>
      </c>
    </row>
    <row r="2598">
      <c r="A2598">
        <f>'Month 11'!B34</f>
        <v/>
      </c>
      <c r="B2598" t="inlineStr">
        <is>
          <t>Broad Jump</t>
        </is>
      </c>
      <c r="C2598">
        <f>IF(AND('Month 11'!L39&lt;&gt;"",N('Month 11'!I39)&gt;0),'Month 11'!I39,"")</f>
        <v/>
      </c>
      <c r="D2598">
        <f>IF(C2598="","",IF(N('Month 11'!J39)&gt;0,'Month 11'!J39,1))</f>
        <v/>
      </c>
      <c r="E2598">
        <f>IF(OR(C2598="",D2598=""),"",IF(D2598=1,C2598,ROUND(C2598*(1+D2598/30),1)))</f>
        <v/>
      </c>
    </row>
    <row r="2599">
      <c r="A2599">
        <f>'Month 11'!B34</f>
        <v/>
      </c>
      <c r="B2599" t="inlineStr">
        <is>
          <t>Med Ball Chest Pass</t>
        </is>
      </c>
      <c r="C2599">
        <f>IF(AND('Month 11'!L41&lt;&gt;"",N('Month 11'!I41)&gt;0),'Month 11'!I41,"")</f>
        <v/>
      </c>
      <c r="D2599">
        <f>IF(C2599="","",IF(N('Month 11'!J41)&gt;0,'Month 11'!J41,1))</f>
        <v/>
      </c>
      <c r="E2599">
        <f>IF(OR(C2599="",D2599=""),"",IF(D2599=1,C2599,ROUND(C2599*(1+D2599/30),1)))</f>
        <v/>
      </c>
    </row>
    <row r="2600">
      <c r="A2600">
        <f>'Month 11'!B34</f>
        <v/>
      </c>
      <c r="B2600" t="inlineStr">
        <is>
          <t>Med Ball Chest Pass</t>
        </is>
      </c>
      <c r="C2600">
        <f>IF(AND('Month 11'!L42&lt;&gt;"",N('Month 11'!I42)&gt;0),'Month 11'!I42,"")</f>
        <v/>
      </c>
      <c r="D2600">
        <f>IF(C2600="","",IF(N('Month 11'!J42)&gt;0,'Month 11'!J42,1))</f>
        <v/>
      </c>
      <c r="E2600">
        <f>IF(OR(C2600="",D2600=""),"",IF(D2600=1,C2600,ROUND(C2600*(1+D2600/30),1)))</f>
        <v/>
      </c>
    </row>
    <row r="2601">
      <c r="A2601">
        <f>'Month 11'!B34</f>
        <v/>
      </c>
      <c r="B2601" t="inlineStr">
        <is>
          <t>Med Ball Chest Pass</t>
        </is>
      </c>
      <c r="C2601">
        <f>IF(AND('Month 11'!L43&lt;&gt;"",N('Month 11'!I43)&gt;0),'Month 11'!I43,"")</f>
        <v/>
      </c>
      <c r="D2601">
        <f>IF(C2601="","",IF(N('Month 11'!J43)&gt;0,'Month 11'!J43,1))</f>
        <v/>
      </c>
      <c r="E2601">
        <f>IF(OR(C2601="",D2601=""),"",IF(D2601=1,C2601,ROUND(C2601*(1+D2601/30),1)))</f>
        <v/>
      </c>
    </row>
    <row r="2602">
      <c r="A2602">
        <f>'Month 11'!B34</f>
        <v/>
      </c>
      <c r="B2602" t="inlineStr">
        <is>
          <t>Clean &amp; Jerk</t>
        </is>
      </c>
      <c r="C2602">
        <f>IF(AND('Month 11'!L45&lt;&gt;"",N('Month 11'!I45)&gt;0),'Month 11'!I45,"")</f>
        <v/>
      </c>
      <c r="D2602">
        <f>IF(C2602="","",IF(N('Month 11'!J45)&gt;0,'Month 11'!J45,1))</f>
        <v/>
      </c>
      <c r="E2602">
        <f>IF(OR(C2602="",D2602=""),"",IF(D2602=1,C2602,ROUND(C2602*(1+D2602/30),1)))</f>
        <v/>
      </c>
    </row>
    <row r="2603">
      <c r="A2603">
        <f>'Month 11'!B34</f>
        <v/>
      </c>
      <c r="B2603" t="inlineStr">
        <is>
          <t>Clean &amp; Jerk</t>
        </is>
      </c>
      <c r="C2603">
        <f>IF(AND('Month 11'!L46&lt;&gt;"",N('Month 11'!I46)&gt;0),'Month 11'!I46,"")</f>
        <v/>
      </c>
      <c r="D2603">
        <f>IF(C2603="","",IF(N('Month 11'!J46)&gt;0,'Month 11'!J46,1))</f>
        <v/>
      </c>
      <c r="E2603">
        <f>IF(OR(C2603="",D2603=""),"",IF(D2603=1,C2603,ROUND(C2603*(1+D2603/30),1)))</f>
        <v/>
      </c>
    </row>
    <row r="2604">
      <c r="A2604">
        <f>'Month 11'!B34</f>
        <v/>
      </c>
      <c r="B2604" t="inlineStr">
        <is>
          <t>Clean &amp; Jerk</t>
        </is>
      </c>
      <c r="C2604">
        <f>IF(AND('Month 11'!L47&lt;&gt;"",N('Month 11'!I47)&gt;0),'Month 11'!I47,"")</f>
        <v/>
      </c>
      <c r="D2604">
        <f>IF(C2604="","",IF(N('Month 11'!J47)&gt;0,'Month 11'!J47,1))</f>
        <v/>
      </c>
      <c r="E2604">
        <f>IF(OR(C2604="",D2604=""),"",IF(D2604=1,C2604,ROUND(C2604*(1+D2604/30),1)))</f>
        <v/>
      </c>
    </row>
    <row r="2605">
      <c r="A2605">
        <f>'Month 11'!B34</f>
        <v/>
      </c>
      <c r="B2605" t="inlineStr">
        <is>
          <t>Clean &amp; Jerk</t>
        </is>
      </c>
      <c r="C2605">
        <f>IF(AND('Month 11'!L48&lt;&gt;"",N('Month 11'!I48)&gt;0),'Month 11'!I48,"")</f>
        <v/>
      </c>
      <c r="D2605">
        <f>IF(C2605="","",IF(N('Month 11'!J48)&gt;0,'Month 11'!J48,1))</f>
        <v/>
      </c>
      <c r="E2605">
        <f>IF(OR(C2605="",D2605=""),"",IF(D2605=1,C2605,ROUND(C2605*(1+D2605/30),1)))</f>
        <v/>
      </c>
    </row>
    <row r="2606">
      <c r="A2606">
        <f>'Month 11'!B34</f>
        <v/>
      </c>
      <c r="B2606" t="inlineStr">
        <is>
          <t>Squat</t>
        </is>
      </c>
      <c r="C2606">
        <f>IF(AND('Month 11'!L50&lt;&gt;"",N('Month 11'!I50)&gt;0),'Month 11'!I50,"")</f>
        <v/>
      </c>
      <c r="D2606">
        <f>IF(C2606="","",IF(N('Month 11'!J50)&gt;0,'Month 11'!J50,1))</f>
        <v/>
      </c>
      <c r="E2606">
        <f>IF(OR(C2606="",D2606=""),"",IF(D2606=1,C2606,ROUND(C2606*(1+D2606/30),1)))</f>
        <v/>
      </c>
    </row>
    <row r="2607">
      <c r="A2607">
        <f>'Month 11'!B34</f>
        <v/>
      </c>
      <c r="B2607" t="inlineStr">
        <is>
          <t>Squat</t>
        </is>
      </c>
      <c r="C2607">
        <f>IF(AND('Month 11'!L51&lt;&gt;"",N('Month 11'!I51)&gt;0),'Month 11'!I51,"")</f>
        <v/>
      </c>
      <c r="D2607">
        <f>IF(C2607="","",IF(N('Month 11'!J51)&gt;0,'Month 11'!J51,1))</f>
        <v/>
      </c>
      <c r="E2607">
        <f>IF(OR(C2607="",D2607=""),"",IF(D2607=1,C2607,ROUND(C2607*(1+D2607/30),1)))</f>
        <v/>
      </c>
    </row>
    <row r="2608">
      <c r="A2608">
        <f>'Month 11'!B34</f>
        <v/>
      </c>
      <c r="B2608" t="inlineStr">
        <is>
          <t>Squat</t>
        </is>
      </c>
      <c r="C2608">
        <f>IF(AND('Month 11'!L52&lt;&gt;"",N('Month 11'!I52)&gt;0),'Month 11'!I52,"")</f>
        <v/>
      </c>
      <c r="D2608">
        <f>IF(C2608="","",IF(N('Month 11'!J52)&gt;0,'Month 11'!J52,1))</f>
        <v/>
      </c>
      <c r="E2608">
        <f>IF(OR(C2608="",D2608=""),"",IF(D2608=1,C2608,ROUND(C2608*(1+D2608/30),1)))</f>
        <v/>
      </c>
    </row>
    <row r="2609">
      <c r="A2609">
        <f>'Month 11'!B34</f>
        <v/>
      </c>
      <c r="B2609" t="inlineStr">
        <is>
          <t>Overhead Press</t>
        </is>
      </c>
      <c r="C2609">
        <f>IF(AND('Month 11'!L54&lt;&gt;"",N('Month 11'!I54)&gt;0),'Month 11'!I54,"")</f>
        <v/>
      </c>
      <c r="D2609">
        <f>IF(C2609="","",IF(N('Month 11'!J54)&gt;0,'Month 11'!J54,1))</f>
        <v/>
      </c>
      <c r="E2609">
        <f>IF(OR(C2609="",D2609=""),"",IF(D2609=1,C2609,ROUND(C2609*(1+D2609/30),1)))</f>
        <v/>
      </c>
    </row>
    <row r="2610">
      <c r="A2610">
        <f>'Month 11'!B34</f>
        <v/>
      </c>
      <c r="B2610" t="inlineStr">
        <is>
          <t>Overhead Press</t>
        </is>
      </c>
      <c r="C2610">
        <f>IF(AND('Month 11'!L55&lt;&gt;"",N('Month 11'!I55)&gt;0),'Month 11'!I55,"")</f>
        <v/>
      </c>
      <c r="D2610">
        <f>IF(C2610="","",IF(N('Month 11'!J55)&gt;0,'Month 11'!J55,1))</f>
        <v/>
      </c>
      <c r="E2610">
        <f>IF(OR(C2610="",D2610=""),"",IF(D2610=1,C2610,ROUND(C2610*(1+D2610/30),1)))</f>
        <v/>
      </c>
    </row>
    <row r="2611">
      <c r="A2611">
        <f>'Month 11'!B34</f>
        <v/>
      </c>
      <c r="B2611" t="inlineStr">
        <is>
          <t>Overhead Press</t>
        </is>
      </c>
      <c r="C2611">
        <f>IF(AND('Month 11'!L56&lt;&gt;"",N('Month 11'!I56)&gt;0),'Month 11'!I56,"")</f>
        <v/>
      </c>
      <c r="D2611">
        <f>IF(C2611="","",IF(N('Month 11'!J56)&gt;0,'Month 11'!J56,1))</f>
        <v/>
      </c>
      <c r="E2611">
        <f>IF(OR(C2611="",D2611=""),"",IF(D2611=1,C2611,ROUND(C2611*(1+D2611/30),1)))</f>
        <v/>
      </c>
    </row>
    <row r="2612">
      <c r="A2612">
        <f>'Month 11'!B34</f>
        <v/>
      </c>
      <c r="B2612" t="inlineStr">
        <is>
          <t>Deadlift</t>
        </is>
      </c>
      <c r="C2612">
        <f>IF(AND('Month 11'!L58&lt;&gt;"",N('Month 11'!I58)&gt;0),'Month 11'!I58,"")</f>
        <v/>
      </c>
      <c r="D2612">
        <f>IF(C2612="","",IF(N('Month 11'!J58)&gt;0,'Month 11'!J58,1))</f>
        <v/>
      </c>
      <c r="E2612">
        <f>IF(OR(C2612="",D2612=""),"",IF(D2612=1,C2612,ROUND(C2612*(1+D2612/30),1)))</f>
        <v/>
      </c>
    </row>
    <row r="2613">
      <c r="A2613">
        <f>'Month 11'!B34</f>
        <v/>
      </c>
      <c r="B2613" t="inlineStr">
        <is>
          <t>Deadlift</t>
        </is>
      </c>
      <c r="C2613">
        <f>IF(AND('Month 11'!L59&lt;&gt;"",N('Month 11'!I59)&gt;0),'Month 11'!I59,"")</f>
        <v/>
      </c>
      <c r="D2613">
        <f>IF(C2613="","",IF(N('Month 11'!J59)&gt;0,'Month 11'!J59,1))</f>
        <v/>
      </c>
      <c r="E2613">
        <f>IF(OR(C2613="",D2613=""),"",IF(D2613=1,C2613,ROUND(C2613*(1+D2613/30),1)))</f>
        <v/>
      </c>
    </row>
    <row r="2614">
      <c r="A2614">
        <f>'Month 11'!B34</f>
        <v/>
      </c>
      <c r="B2614" t="inlineStr">
        <is>
          <t>Deadlift</t>
        </is>
      </c>
      <c r="C2614">
        <f>IF(AND('Month 11'!L60&lt;&gt;"",N('Month 11'!I60)&gt;0),'Month 11'!I60,"")</f>
        <v/>
      </c>
      <c r="D2614">
        <f>IF(C2614="","",IF(N('Month 11'!J60)&gt;0,'Month 11'!J60,1))</f>
        <v/>
      </c>
      <c r="E2614">
        <f>IF(OR(C2614="",D2614=""),"",IF(D2614=1,C2614,ROUND(C2614*(1+D2614/30),1)))</f>
        <v/>
      </c>
    </row>
    <row r="2615">
      <c r="A2615">
        <f>'Month 11'!B34</f>
        <v/>
      </c>
      <c r="B2615" t="inlineStr">
        <is>
          <t>Chin-up</t>
        </is>
      </c>
      <c r="C2615">
        <f>IF(AND('Month 11'!L62&lt;&gt;"",N('Month 11'!I62)&gt;0),'Month 11'!I62,"")</f>
        <v/>
      </c>
      <c r="D2615">
        <f>IF(C2615="","",IF(N('Month 11'!J62)&gt;0,'Month 11'!J62,1))</f>
        <v/>
      </c>
      <c r="E2615">
        <f>IF(OR(C2615="",D2615=""),"",IF(D2615=1,C2615,ROUND(C2615*(1+D2615/30),1)))</f>
        <v/>
      </c>
    </row>
    <row r="2616">
      <c r="A2616">
        <f>'Month 11'!B34</f>
        <v/>
      </c>
      <c r="B2616" t="inlineStr">
        <is>
          <t>Chin-up</t>
        </is>
      </c>
      <c r="C2616">
        <f>IF(AND('Month 11'!L63&lt;&gt;"",N('Month 11'!I63)&gt;0),'Month 11'!I63,"")</f>
        <v/>
      </c>
      <c r="D2616">
        <f>IF(C2616="","",IF(N('Month 11'!J63)&gt;0,'Month 11'!J63,1))</f>
        <v/>
      </c>
      <c r="E2616">
        <f>IF(OR(C2616="",D2616=""),"",IF(D2616=1,C2616,ROUND(C2616*(1+D2616/30),1)))</f>
        <v/>
      </c>
    </row>
    <row r="2617">
      <c r="A2617">
        <f>'Month 11'!B34</f>
        <v/>
      </c>
      <c r="B2617" t="inlineStr">
        <is>
          <t>Chin-up</t>
        </is>
      </c>
      <c r="C2617">
        <f>IF(AND('Month 11'!L64&lt;&gt;"",N('Month 11'!I64)&gt;0),'Month 11'!I64,"")</f>
        <v/>
      </c>
      <c r="D2617">
        <f>IF(C2617="","",IF(N('Month 11'!J64)&gt;0,'Month 11'!J64,1))</f>
        <v/>
      </c>
      <c r="E2617">
        <f>IF(OR(C2617="",D2617=""),"",IF(D2617=1,C2617,ROUND(C2617*(1+D2617/30),1)))</f>
        <v/>
      </c>
    </row>
    <row r="2618">
      <c r="A2618">
        <f>'Month 11'!B34</f>
        <v/>
      </c>
      <c r="B2618" t="inlineStr">
        <is>
          <t>Plank</t>
        </is>
      </c>
      <c r="C2618">
        <f>IF(AND('Month 11'!L66&lt;&gt;"",N('Month 11'!I66)&gt;0),'Month 11'!I66,"")</f>
        <v/>
      </c>
      <c r="D2618">
        <f>IF(C2618="","",IF(N('Month 11'!J66)&gt;0,'Month 11'!J66,1))</f>
        <v/>
      </c>
      <c r="E2618">
        <f>IF(OR(C2618="",D2618=""),"",IF(D2618=1,C2618,ROUND(C2618*(1+D2618/30),1)))</f>
        <v/>
      </c>
    </row>
    <row r="2619">
      <c r="A2619">
        <f>'Month 11'!B34</f>
        <v/>
      </c>
      <c r="B2619" t="inlineStr">
        <is>
          <t>Plank</t>
        </is>
      </c>
      <c r="C2619">
        <f>IF(AND('Month 11'!L67&lt;&gt;"",N('Month 11'!I67)&gt;0),'Month 11'!I67,"")</f>
        <v/>
      </c>
      <c r="D2619">
        <f>IF(C2619="","",IF(N('Month 11'!J67)&gt;0,'Month 11'!J67,1))</f>
        <v/>
      </c>
      <c r="E2619">
        <f>IF(OR(C2619="",D2619=""),"",IF(D2619=1,C2619,ROUND(C2619*(1+D2619/30),1)))</f>
        <v/>
      </c>
    </row>
    <row r="2620">
      <c r="A2620">
        <f>'Month 11'!B34</f>
        <v/>
      </c>
      <c r="B2620" t="inlineStr">
        <is>
          <t>Plank</t>
        </is>
      </c>
      <c r="C2620">
        <f>IF(AND('Month 11'!L68&lt;&gt;"",N('Month 11'!I68)&gt;0),'Month 11'!I68,"")</f>
        <v/>
      </c>
      <c r="D2620">
        <f>IF(C2620="","",IF(N('Month 11'!J68)&gt;0,'Month 11'!J68,1))</f>
        <v/>
      </c>
      <c r="E2620">
        <f>IF(OR(C2620="",D2620=""),"",IF(D2620=1,C2620,ROUND(C2620*(1+D2620/30),1)))</f>
        <v/>
      </c>
    </row>
    <row r="2621">
      <c r="A2621">
        <f>'Month 11'!B69</f>
        <v/>
      </c>
      <c r="B2621" t="inlineStr">
        <is>
          <t>Plyo Push-up</t>
        </is>
      </c>
      <c r="C2621">
        <f>IF(AND('Month 11'!L71&lt;&gt;"",N('Month 11'!I71)&gt;0),'Month 11'!I71,"")</f>
        <v/>
      </c>
      <c r="D2621">
        <f>IF(C2621="","",IF(N('Month 11'!J71)&gt;0,'Month 11'!J71,1))</f>
        <v/>
      </c>
      <c r="E2621">
        <f>IF(OR(C2621="",D2621=""),"",IF(D2621=1,C2621,ROUND(C2621*(1+D2621/30),1)))</f>
        <v/>
      </c>
    </row>
    <row r="2622">
      <c r="A2622">
        <f>'Month 11'!B69</f>
        <v/>
      </c>
      <c r="B2622" t="inlineStr">
        <is>
          <t>Plyo Push-up</t>
        </is>
      </c>
      <c r="C2622">
        <f>IF(AND('Month 11'!L72&lt;&gt;"",N('Month 11'!I72)&gt;0),'Month 11'!I72,"")</f>
        <v/>
      </c>
      <c r="D2622">
        <f>IF(C2622="","",IF(N('Month 11'!J72)&gt;0,'Month 11'!J72,1))</f>
        <v/>
      </c>
      <c r="E2622">
        <f>IF(OR(C2622="",D2622=""),"",IF(D2622=1,C2622,ROUND(C2622*(1+D2622/30),1)))</f>
        <v/>
      </c>
    </row>
    <row r="2623">
      <c r="A2623">
        <f>'Month 11'!B69</f>
        <v/>
      </c>
      <c r="B2623" t="inlineStr">
        <is>
          <t>Plyo Push-up</t>
        </is>
      </c>
      <c r="C2623">
        <f>IF(AND('Month 11'!L73&lt;&gt;"",N('Month 11'!I73)&gt;0),'Month 11'!I73,"")</f>
        <v/>
      </c>
      <c r="D2623">
        <f>IF(C2623="","",IF(N('Month 11'!J73)&gt;0,'Month 11'!J73,1))</f>
        <v/>
      </c>
      <c r="E2623">
        <f>IF(OR(C2623="",D2623=""),"",IF(D2623=1,C2623,ROUND(C2623*(1+D2623/30),1)))</f>
        <v/>
      </c>
    </row>
    <row r="2624">
      <c r="A2624">
        <f>'Month 11'!B69</f>
        <v/>
      </c>
      <c r="B2624" t="inlineStr">
        <is>
          <t>Plyo Push-up</t>
        </is>
      </c>
      <c r="C2624">
        <f>IF(AND('Month 11'!L74&lt;&gt;"",N('Month 11'!I74)&gt;0),'Month 11'!I74,"")</f>
        <v/>
      </c>
      <c r="D2624">
        <f>IF(C2624="","",IF(N('Month 11'!J74)&gt;0,'Month 11'!J74,1))</f>
        <v/>
      </c>
      <c r="E2624">
        <f>IF(OR(C2624="",D2624=""),"",IF(D2624=1,C2624,ROUND(C2624*(1+D2624/30),1)))</f>
        <v/>
      </c>
    </row>
    <row r="2625">
      <c r="A2625">
        <f>'Month 11'!B69</f>
        <v/>
      </c>
      <c r="B2625" t="inlineStr">
        <is>
          <t>Hang Snatch</t>
        </is>
      </c>
      <c r="C2625">
        <f>IF(AND('Month 11'!L76&lt;&gt;"",N('Month 11'!I76)&gt;0),'Month 11'!I76,"")</f>
        <v/>
      </c>
      <c r="D2625">
        <f>IF(C2625="","",IF(N('Month 11'!J76)&gt;0,'Month 11'!J76,1))</f>
        <v/>
      </c>
      <c r="E2625">
        <f>IF(OR(C2625="",D2625=""),"",IF(D2625=1,C2625,ROUND(C2625*(1+D2625/30),1)))</f>
        <v/>
      </c>
    </row>
    <row r="2626">
      <c r="A2626">
        <f>'Month 11'!B69</f>
        <v/>
      </c>
      <c r="B2626" t="inlineStr">
        <is>
          <t>Hang Snatch</t>
        </is>
      </c>
      <c r="C2626">
        <f>IF(AND('Month 11'!L77&lt;&gt;"",N('Month 11'!I77)&gt;0),'Month 11'!I77,"")</f>
        <v/>
      </c>
      <c r="D2626">
        <f>IF(C2626="","",IF(N('Month 11'!J77)&gt;0,'Month 11'!J77,1))</f>
        <v/>
      </c>
      <c r="E2626">
        <f>IF(OR(C2626="",D2626=""),"",IF(D2626=1,C2626,ROUND(C2626*(1+D2626/30),1)))</f>
        <v/>
      </c>
    </row>
    <row r="2627">
      <c r="A2627">
        <f>'Month 11'!B69</f>
        <v/>
      </c>
      <c r="B2627" t="inlineStr">
        <is>
          <t>Hang Snatch</t>
        </is>
      </c>
      <c r="C2627">
        <f>IF(AND('Month 11'!L78&lt;&gt;"",N('Month 11'!I78)&gt;0),'Month 11'!I78,"")</f>
        <v/>
      </c>
      <c r="D2627">
        <f>IF(C2627="","",IF(N('Month 11'!J78)&gt;0,'Month 11'!J78,1))</f>
        <v/>
      </c>
      <c r="E2627">
        <f>IF(OR(C2627="",D2627=""),"",IF(D2627=1,C2627,ROUND(C2627*(1+D2627/30),1)))</f>
        <v/>
      </c>
    </row>
    <row r="2628">
      <c r="A2628">
        <f>'Month 11'!B69</f>
        <v/>
      </c>
      <c r="B2628" t="inlineStr">
        <is>
          <t>Hang Snatch</t>
        </is>
      </c>
      <c r="C2628">
        <f>IF(AND('Month 11'!L79&lt;&gt;"",N('Month 11'!I79)&gt;0),'Month 11'!I79,"")</f>
        <v/>
      </c>
      <c r="D2628">
        <f>IF(C2628="","",IF(N('Month 11'!J79)&gt;0,'Month 11'!J79,1))</f>
        <v/>
      </c>
      <c r="E2628">
        <f>IF(OR(C2628="",D2628=""),"",IF(D2628=1,C2628,ROUND(C2628*(1+D2628/30),1)))</f>
        <v/>
      </c>
    </row>
    <row r="2629">
      <c r="A2629">
        <f>'Month 11'!B69</f>
        <v/>
      </c>
      <c r="B2629" t="inlineStr">
        <is>
          <t>Box Squat</t>
        </is>
      </c>
      <c r="C2629">
        <f>IF(AND('Month 11'!L81&lt;&gt;"",N('Month 11'!I81)&gt;0),'Month 11'!I81,"")</f>
        <v/>
      </c>
      <c r="D2629">
        <f>IF(C2629="","",IF(N('Month 11'!J81)&gt;0,'Month 11'!J81,1))</f>
        <v/>
      </c>
      <c r="E2629">
        <f>IF(OR(C2629="",D2629=""),"",IF(D2629=1,C2629,ROUND(C2629*(1+D2629/30),1)))</f>
        <v/>
      </c>
    </row>
    <row r="2630">
      <c r="A2630">
        <f>'Month 11'!B69</f>
        <v/>
      </c>
      <c r="B2630" t="inlineStr">
        <is>
          <t>Box Squat</t>
        </is>
      </c>
      <c r="C2630">
        <f>IF(AND('Month 11'!L82&lt;&gt;"",N('Month 11'!I82)&gt;0),'Month 11'!I82,"")</f>
        <v/>
      </c>
      <c r="D2630">
        <f>IF(C2630="","",IF(N('Month 11'!J82)&gt;0,'Month 11'!J82,1))</f>
        <v/>
      </c>
      <c r="E2630">
        <f>IF(OR(C2630="",D2630=""),"",IF(D2630=1,C2630,ROUND(C2630*(1+D2630/30),1)))</f>
        <v/>
      </c>
    </row>
    <row r="2631">
      <c r="A2631">
        <f>'Month 11'!B69</f>
        <v/>
      </c>
      <c r="B2631" t="inlineStr">
        <is>
          <t>Box Squat</t>
        </is>
      </c>
      <c r="C2631">
        <f>IF(AND('Month 11'!L83&lt;&gt;"",N('Month 11'!I83)&gt;0),'Month 11'!I83,"")</f>
        <v/>
      </c>
      <c r="D2631">
        <f>IF(C2631="","",IF(N('Month 11'!J83)&gt;0,'Month 11'!J83,1))</f>
        <v/>
      </c>
      <c r="E2631">
        <f>IF(OR(C2631="",D2631=""),"",IF(D2631=1,C2631,ROUND(C2631*(1+D2631/30),1)))</f>
        <v/>
      </c>
    </row>
    <row r="2632">
      <c r="A2632">
        <f>'Month 11'!B69</f>
        <v/>
      </c>
      <c r="B2632" t="inlineStr">
        <is>
          <t>1-Board Press</t>
        </is>
      </c>
      <c r="C2632">
        <f>IF(AND('Month 11'!L85&lt;&gt;"",N('Month 11'!I85)&gt;0),'Month 11'!I85,"")</f>
        <v/>
      </c>
      <c r="D2632">
        <f>IF(C2632="","",IF(N('Month 11'!J85)&gt;0,'Month 11'!J85,1))</f>
        <v/>
      </c>
      <c r="E2632">
        <f>IF(OR(C2632="",D2632=""),"",IF(D2632=1,C2632,ROUND(C2632*(1+D2632/30),1)))</f>
        <v/>
      </c>
    </row>
    <row r="2633">
      <c r="A2633">
        <f>'Month 11'!B69</f>
        <v/>
      </c>
      <c r="B2633" t="inlineStr">
        <is>
          <t>1-Board Press</t>
        </is>
      </c>
      <c r="C2633">
        <f>IF(AND('Month 11'!L86&lt;&gt;"",N('Month 11'!I86)&gt;0),'Month 11'!I86,"")</f>
        <v/>
      </c>
      <c r="D2633">
        <f>IF(C2633="","",IF(N('Month 11'!J86)&gt;0,'Month 11'!J86,1))</f>
        <v/>
      </c>
      <c r="E2633">
        <f>IF(OR(C2633="",D2633=""),"",IF(D2633=1,C2633,ROUND(C2633*(1+D2633/30),1)))</f>
        <v/>
      </c>
    </row>
    <row r="2634">
      <c r="A2634">
        <f>'Month 11'!B69</f>
        <v/>
      </c>
      <c r="B2634" t="inlineStr">
        <is>
          <t>1-Board Press</t>
        </is>
      </c>
      <c r="C2634">
        <f>IF(AND('Month 11'!L87&lt;&gt;"",N('Month 11'!I87)&gt;0),'Month 11'!I87,"")</f>
        <v/>
      </c>
      <c r="D2634">
        <f>IF(C2634="","",IF(N('Month 11'!J87)&gt;0,'Month 11'!J87,1))</f>
        <v/>
      </c>
      <c r="E2634">
        <f>IF(OR(C2634="",D2634=""),"",IF(D2634=1,C2634,ROUND(C2634*(1+D2634/30),1)))</f>
        <v/>
      </c>
    </row>
    <row r="2635">
      <c r="A2635">
        <f>'Month 11'!B69</f>
        <v/>
      </c>
      <c r="B2635" t="inlineStr">
        <is>
          <t>Paused Deadlift</t>
        </is>
      </c>
      <c r="C2635">
        <f>IF(AND('Month 11'!L89&lt;&gt;"",N('Month 11'!I89)&gt;0),'Month 11'!I89,"")</f>
        <v/>
      </c>
      <c r="D2635">
        <f>IF(C2635="","",IF(N('Month 11'!J89)&gt;0,'Month 11'!J89,1))</f>
        <v/>
      </c>
      <c r="E2635">
        <f>IF(OR(C2635="",D2635=""),"",IF(D2635=1,C2635,ROUND(C2635*(1+D2635/30),1)))</f>
        <v/>
      </c>
    </row>
    <row r="2636">
      <c r="A2636">
        <f>'Month 11'!B69</f>
        <v/>
      </c>
      <c r="B2636" t="inlineStr">
        <is>
          <t>Paused Deadlift</t>
        </is>
      </c>
      <c r="C2636">
        <f>IF(AND('Month 11'!L90&lt;&gt;"",N('Month 11'!I90)&gt;0),'Month 11'!I90,"")</f>
        <v/>
      </c>
      <c r="D2636">
        <f>IF(C2636="","",IF(N('Month 11'!J90)&gt;0,'Month 11'!J90,1))</f>
        <v/>
      </c>
      <c r="E2636">
        <f>IF(OR(C2636="",D2636=""),"",IF(D2636=1,C2636,ROUND(C2636*(1+D2636/30),1)))</f>
        <v/>
      </c>
    </row>
    <row r="2637">
      <c r="A2637">
        <f>'Month 11'!B69</f>
        <v/>
      </c>
      <c r="B2637" t="inlineStr">
        <is>
          <t>Paused Deadlift</t>
        </is>
      </c>
      <c r="C2637">
        <f>IF(AND('Month 11'!L91&lt;&gt;"",N('Month 11'!I91)&gt;0),'Month 11'!I91,"")</f>
        <v/>
      </c>
      <c r="D2637">
        <f>IF(C2637="","",IF(N('Month 11'!J91)&gt;0,'Month 11'!J91,1))</f>
        <v/>
      </c>
      <c r="E2637">
        <f>IF(OR(C2637="",D2637=""),"",IF(D2637=1,C2637,ROUND(C2637*(1+D2637/30),1)))</f>
        <v/>
      </c>
    </row>
    <row r="2638">
      <c r="A2638">
        <f>'Month 11'!B69</f>
        <v/>
      </c>
      <c r="B2638" t="inlineStr">
        <is>
          <t>Incline Dumbbell Press</t>
        </is>
      </c>
      <c r="C2638">
        <f>IF(AND('Month 11'!L93&lt;&gt;"",N('Month 11'!I93)&gt;0),'Month 11'!I93,"")</f>
        <v/>
      </c>
      <c r="D2638">
        <f>IF(C2638="","",IF(N('Month 11'!J93)&gt;0,'Month 11'!J93,1))</f>
        <v/>
      </c>
      <c r="E2638">
        <f>IF(OR(C2638="",D2638=""),"",IF(D2638=1,C2638,ROUND(C2638*(1+D2638/30),1)))</f>
        <v/>
      </c>
    </row>
    <row r="2639">
      <c r="A2639">
        <f>'Month 11'!B69</f>
        <v/>
      </c>
      <c r="B2639" t="inlineStr">
        <is>
          <t>Incline Dumbbell Press</t>
        </is>
      </c>
      <c r="C2639">
        <f>IF(AND('Month 11'!L94&lt;&gt;"",N('Month 11'!I94)&gt;0),'Month 11'!I94,"")</f>
        <v/>
      </c>
      <c r="D2639">
        <f>IF(C2639="","",IF(N('Month 11'!J94)&gt;0,'Month 11'!J94,1))</f>
        <v/>
      </c>
      <c r="E2639">
        <f>IF(OR(C2639="",D2639=""),"",IF(D2639=1,C2639,ROUND(C2639*(1+D2639/30),1)))</f>
        <v/>
      </c>
    </row>
    <row r="2640">
      <c r="A2640">
        <f>'Month 11'!B69</f>
        <v/>
      </c>
      <c r="B2640" t="inlineStr">
        <is>
          <t>Incline Dumbbell Press</t>
        </is>
      </c>
      <c r="C2640">
        <f>IF(AND('Month 11'!L95&lt;&gt;"",N('Month 11'!I95)&gt;0),'Month 11'!I95,"")</f>
        <v/>
      </c>
      <c r="D2640">
        <f>IF(C2640="","",IF(N('Month 11'!J95)&gt;0,'Month 11'!J95,1))</f>
        <v/>
      </c>
      <c r="E2640">
        <f>IF(OR(C2640="",D2640=""),"",IF(D2640=1,C2640,ROUND(C2640*(1+D2640/30),1)))</f>
        <v/>
      </c>
    </row>
    <row r="2641">
      <c r="A2641">
        <f>'Month 11'!B69</f>
        <v/>
      </c>
      <c r="B2641" t="inlineStr">
        <is>
          <t>Triceps Pushdown</t>
        </is>
      </c>
      <c r="C2641">
        <f>IF(AND('Month 11'!L97&lt;&gt;"",N('Month 11'!I97)&gt;0),'Month 11'!I97,"")</f>
        <v/>
      </c>
      <c r="D2641">
        <f>IF(C2641="","",IF(N('Month 11'!J97)&gt;0,'Month 11'!J97,1))</f>
        <v/>
      </c>
      <c r="E2641">
        <f>IF(OR(C2641="",D2641=""),"",IF(D2641=1,C2641,ROUND(C2641*(1+D2641/30),1)))</f>
        <v/>
      </c>
    </row>
    <row r="2642">
      <c r="A2642">
        <f>'Month 11'!B69</f>
        <v/>
      </c>
      <c r="B2642" t="inlineStr">
        <is>
          <t>Triceps Pushdown</t>
        </is>
      </c>
      <c r="C2642">
        <f>IF(AND('Month 11'!L98&lt;&gt;"",N('Month 11'!I98)&gt;0),'Month 11'!I98,"")</f>
        <v/>
      </c>
      <c r="D2642">
        <f>IF(C2642="","",IF(N('Month 11'!J98)&gt;0,'Month 11'!J98,1))</f>
        <v/>
      </c>
      <c r="E2642">
        <f>IF(OR(C2642="",D2642=""),"",IF(D2642=1,C2642,ROUND(C2642*(1+D2642/30),1)))</f>
        <v/>
      </c>
    </row>
    <row r="2643">
      <c r="A2643">
        <f>'Month 11'!B69</f>
        <v/>
      </c>
      <c r="B2643" t="inlineStr">
        <is>
          <t>Triceps Pushdown</t>
        </is>
      </c>
      <c r="C2643">
        <f>IF(AND('Month 11'!L99&lt;&gt;"",N('Month 11'!I99)&gt;0),'Month 11'!I99,"")</f>
        <v/>
      </c>
      <c r="D2643">
        <f>IF(C2643="","",IF(N('Month 11'!J99)&gt;0,'Month 11'!J99,1))</f>
        <v/>
      </c>
      <c r="E2643">
        <f>IF(OR(C2643="",D2643=""),"",IF(D2643=1,C2643,ROUND(C2643*(1+D2643/30),1)))</f>
        <v/>
      </c>
    </row>
    <row r="2644">
      <c r="A2644">
        <f>'Month 11'!B102</f>
        <v/>
      </c>
      <c r="B2644" t="inlineStr">
        <is>
          <t>Box Jump</t>
        </is>
      </c>
      <c r="C2644">
        <f>IF(AND('Month 11'!L104&lt;&gt;"",N('Month 11'!I104)&gt;0),'Month 11'!I104,"")</f>
        <v/>
      </c>
      <c r="D2644">
        <f>IF(C2644="","",IF(N('Month 11'!J104)&gt;0,'Month 11'!J104,1))</f>
        <v/>
      </c>
      <c r="E2644">
        <f>IF(OR(C2644="",D2644=""),"",IF(D2644=1,C2644,ROUND(C2644*(1+D2644/30),1)))</f>
        <v/>
      </c>
    </row>
    <row r="2645">
      <c r="A2645">
        <f>'Month 11'!B102</f>
        <v/>
      </c>
      <c r="B2645" t="inlineStr">
        <is>
          <t>Box Jump</t>
        </is>
      </c>
      <c r="C2645">
        <f>IF(AND('Month 11'!L105&lt;&gt;"",N('Month 11'!I105)&gt;0),'Month 11'!I105,"")</f>
        <v/>
      </c>
      <c r="D2645">
        <f>IF(C2645="","",IF(N('Month 11'!J105)&gt;0,'Month 11'!J105,1))</f>
        <v/>
      </c>
      <c r="E2645">
        <f>IF(OR(C2645="",D2645=""),"",IF(D2645=1,C2645,ROUND(C2645*(1+D2645/30),1)))</f>
        <v/>
      </c>
    </row>
    <row r="2646">
      <c r="A2646">
        <f>'Month 11'!B102</f>
        <v/>
      </c>
      <c r="B2646" t="inlineStr">
        <is>
          <t>Box Jump</t>
        </is>
      </c>
      <c r="C2646">
        <f>IF(AND('Month 11'!L106&lt;&gt;"",N('Month 11'!I106)&gt;0),'Month 11'!I106,"")</f>
        <v/>
      </c>
      <c r="D2646">
        <f>IF(C2646="","",IF(N('Month 11'!J106)&gt;0,'Month 11'!J106,1))</f>
        <v/>
      </c>
      <c r="E2646">
        <f>IF(OR(C2646="",D2646=""),"",IF(D2646=1,C2646,ROUND(C2646*(1+D2646/30),1)))</f>
        <v/>
      </c>
    </row>
    <row r="2647">
      <c r="A2647">
        <f>'Month 11'!B102</f>
        <v/>
      </c>
      <c r="B2647" t="inlineStr">
        <is>
          <t>Box Jump</t>
        </is>
      </c>
      <c r="C2647">
        <f>IF(AND('Month 11'!L107&lt;&gt;"",N('Month 11'!I107)&gt;0),'Month 11'!I107,"")</f>
        <v/>
      </c>
      <c r="D2647">
        <f>IF(C2647="","",IF(N('Month 11'!J107)&gt;0,'Month 11'!J107,1))</f>
        <v/>
      </c>
      <c r="E2647">
        <f>IF(OR(C2647="",D2647=""),"",IF(D2647=1,C2647,ROUND(C2647*(1+D2647/30),1)))</f>
        <v/>
      </c>
    </row>
    <row r="2648">
      <c r="A2648">
        <f>'Month 11'!B102</f>
        <v/>
      </c>
      <c r="B2648" t="inlineStr">
        <is>
          <t>Snatch</t>
        </is>
      </c>
      <c r="C2648">
        <f>IF(AND('Month 11'!L109&lt;&gt;"",N('Month 11'!I109)&gt;0),'Month 11'!I109,"")</f>
        <v/>
      </c>
      <c r="D2648">
        <f>IF(C2648="","",IF(N('Month 11'!J109)&gt;0,'Month 11'!J109,1))</f>
        <v/>
      </c>
      <c r="E2648">
        <f>IF(OR(C2648="",D2648=""),"",IF(D2648=1,C2648,ROUND(C2648*(1+D2648/30),1)))</f>
        <v/>
      </c>
    </row>
    <row r="2649">
      <c r="A2649">
        <f>'Month 11'!B102</f>
        <v/>
      </c>
      <c r="B2649" t="inlineStr">
        <is>
          <t>Snatch</t>
        </is>
      </c>
      <c r="C2649">
        <f>IF(AND('Month 11'!L110&lt;&gt;"",N('Month 11'!I110)&gt;0),'Month 11'!I110,"")</f>
        <v/>
      </c>
      <c r="D2649">
        <f>IF(C2649="","",IF(N('Month 11'!J110)&gt;0,'Month 11'!J110,1))</f>
        <v/>
      </c>
      <c r="E2649">
        <f>IF(OR(C2649="",D2649=""),"",IF(D2649=1,C2649,ROUND(C2649*(1+D2649/30),1)))</f>
        <v/>
      </c>
    </row>
    <row r="2650">
      <c r="A2650">
        <f>'Month 11'!B102</f>
        <v/>
      </c>
      <c r="B2650" t="inlineStr">
        <is>
          <t>Snatch</t>
        </is>
      </c>
      <c r="C2650">
        <f>IF(AND('Month 11'!L111&lt;&gt;"",N('Month 11'!I111)&gt;0),'Month 11'!I111,"")</f>
        <v/>
      </c>
      <c r="D2650">
        <f>IF(C2650="","",IF(N('Month 11'!J111)&gt;0,'Month 11'!J111,1))</f>
        <v/>
      </c>
      <c r="E2650">
        <f>IF(OR(C2650="",D2650=""),"",IF(D2650=1,C2650,ROUND(C2650*(1+D2650/30),1)))</f>
        <v/>
      </c>
    </row>
    <row r="2651">
      <c r="A2651">
        <f>'Month 11'!B102</f>
        <v/>
      </c>
      <c r="B2651" t="inlineStr">
        <is>
          <t>Snatch</t>
        </is>
      </c>
      <c r="C2651">
        <f>IF(AND('Month 11'!L112&lt;&gt;"",N('Month 11'!I112)&gt;0),'Month 11'!I112,"")</f>
        <v/>
      </c>
      <c r="D2651">
        <f>IF(C2651="","",IF(N('Month 11'!J112)&gt;0,'Month 11'!J112,1))</f>
        <v/>
      </c>
      <c r="E2651">
        <f>IF(OR(C2651="",D2651=""),"",IF(D2651=1,C2651,ROUND(C2651*(1+D2651/30),1)))</f>
        <v/>
      </c>
    </row>
    <row r="2652">
      <c r="A2652">
        <f>'Month 11'!B102</f>
        <v/>
      </c>
      <c r="B2652" t="inlineStr">
        <is>
          <t>Snatch</t>
        </is>
      </c>
      <c r="C2652">
        <f>IF(AND('Month 11'!L113&lt;&gt;"",N('Month 11'!I113)&gt;0),'Month 11'!I113,"")</f>
        <v/>
      </c>
      <c r="D2652">
        <f>IF(C2652="","",IF(N('Month 11'!J113)&gt;0,'Month 11'!J113,1))</f>
        <v/>
      </c>
      <c r="E2652">
        <f>IF(OR(C2652="",D2652=""),"",IF(D2652=1,C2652,ROUND(C2652*(1+D2652/30),1)))</f>
        <v/>
      </c>
    </row>
    <row r="2653">
      <c r="A2653">
        <f>'Month 11'!B102</f>
        <v/>
      </c>
      <c r="B2653" t="inlineStr">
        <is>
          <t>Squat</t>
        </is>
      </c>
      <c r="C2653">
        <f>IF(AND('Month 11'!L115&lt;&gt;"",N('Month 11'!I115)&gt;0),'Month 11'!I115,"")</f>
        <v/>
      </c>
      <c r="D2653">
        <f>IF(C2653="","",IF(N('Month 11'!J115)&gt;0,'Month 11'!J115,1))</f>
        <v/>
      </c>
      <c r="E2653">
        <f>IF(OR(C2653="",D2653=""),"",IF(D2653=1,C2653,ROUND(C2653*(1+D2653/30),1)))</f>
        <v/>
      </c>
    </row>
    <row r="2654">
      <c r="A2654">
        <f>'Month 11'!B102</f>
        <v/>
      </c>
      <c r="B2654" t="inlineStr">
        <is>
          <t>Squat</t>
        </is>
      </c>
      <c r="C2654">
        <f>IF(AND('Month 11'!L116&lt;&gt;"",N('Month 11'!I116)&gt;0),'Month 11'!I116,"")</f>
        <v/>
      </c>
      <c r="D2654">
        <f>IF(C2654="","",IF(N('Month 11'!J116)&gt;0,'Month 11'!J116,1))</f>
        <v/>
      </c>
      <c r="E2654">
        <f>IF(OR(C2654="",D2654=""),"",IF(D2654=1,C2654,ROUND(C2654*(1+D2654/30),1)))</f>
        <v/>
      </c>
    </row>
    <row r="2655">
      <c r="A2655">
        <f>'Month 11'!B102</f>
        <v/>
      </c>
      <c r="B2655" t="inlineStr">
        <is>
          <t>Squat</t>
        </is>
      </c>
      <c r="C2655">
        <f>IF(AND('Month 11'!L117&lt;&gt;"",N('Month 11'!I117)&gt;0),'Month 11'!I117,"")</f>
        <v/>
      </c>
      <c r="D2655">
        <f>IF(C2655="","",IF(N('Month 11'!J117)&gt;0,'Month 11'!J117,1))</f>
        <v/>
      </c>
      <c r="E2655">
        <f>IF(OR(C2655="",D2655=""),"",IF(D2655=1,C2655,ROUND(C2655*(1+D2655/30),1)))</f>
        <v/>
      </c>
    </row>
    <row r="2656">
      <c r="A2656">
        <f>'Month 11'!B102</f>
        <v/>
      </c>
      <c r="B2656" t="inlineStr">
        <is>
          <t>Squat</t>
        </is>
      </c>
      <c r="C2656">
        <f>IF(AND('Month 11'!L118&lt;&gt;"",N('Month 11'!I118)&gt;0),'Month 11'!I118,"")</f>
        <v/>
      </c>
      <c r="D2656">
        <f>IF(C2656="","",IF(N('Month 11'!J118)&gt;0,'Month 11'!J118,1))</f>
        <v/>
      </c>
      <c r="E2656">
        <f>IF(OR(C2656="",D2656=""),"",IF(D2656=1,C2656,ROUND(C2656*(1+D2656/30),1)))</f>
        <v/>
      </c>
    </row>
    <row r="2657">
      <c r="A2657">
        <f>'Month 11'!B102</f>
        <v/>
      </c>
      <c r="B2657" t="inlineStr">
        <is>
          <t>Bench Press</t>
        </is>
      </c>
      <c r="C2657">
        <f>IF(AND('Month 11'!L120&lt;&gt;"",N('Month 11'!I120)&gt;0),'Month 11'!I120,"")</f>
        <v/>
      </c>
      <c r="D2657">
        <f>IF(C2657="","",IF(N('Month 11'!J120)&gt;0,'Month 11'!J120,1))</f>
        <v/>
      </c>
      <c r="E2657">
        <f>IF(OR(C2657="",D2657=""),"",IF(D2657=1,C2657,ROUND(C2657*(1+D2657/30),1)))</f>
        <v/>
      </c>
    </row>
    <row r="2658">
      <c r="A2658">
        <f>'Month 11'!B102</f>
        <v/>
      </c>
      <c r="B2658" t="inlineStr">
        <is>
          <t>Bench Press</t>
        </is>
      </c>
      <c r="C2658">
        <f>IF(AND('Month 11'!L121&lt;&gt;"",N('Month 11'!I121)&gt;0),'Month 11'!I121,"")</f>
        <v/>
      </c>
      <c r="D2658">
        <f>IF(C2658="","",IF(N('Month 11'!J121)&gt;0,'Month 11'!J121,1))</f>
        <v/>
      </c>
      <c r="E2658">
        <f>IF(OR(C2658="",D2658=""),"",IF(D2658=1,C2658,ROUND(C2658*(1+D2658/30),1)))</f>
        <v/>
      </c>
    </row>
    <row r="2659">
      <c r="A2659">
        <f>'Month 11'!B102</f>
        <v/>
      </c>
      <c r="B2659" t="inlineStr">
        <is>
          <t>Bench Press</t>
        </is>
      </c>
      <c r="C2659">
        <f>IF(AND('Month 11'!L122&lt;&gt;"",N('Month 11'!I122)&gt;0),'Month 11'!I122,"")</f>
        <v/>
      </c>
      <c r="D2659">
        <f>IF(C2659="","",IF(N('Month 11'!J122)&gt;0,'Month 11'!J122,1))</f>
        <v/>
      </c>
      <c r="E2659">
        <f>IF(OR(C2659="",D2659=""),"",IF(D2659=1,C2659,ROUND(C2659*(1+D2659/30),1)))</f>
        <v/>
      </c>
    </row>
    <row r="2660">
      <c r="A2660">
        <f>'Month 11'!B102</f>
        <v/>
      </c>
      <c r="B2660" t="inlineStr">
        <is>
          <t>Bench Press</t>
        </is>
      </c>
      <c r="C2660">
        <f>IF(AND('Month 11'!L123&lt;&gt;"",N('Month 11'!I123)&gt;0),'Month 11'!I123,"")</f>
        <v/>
      </c>
      <c r="D2660">
        <f>IF(C2660="","",IF(N('Month 11'!J123)&gt;0,'Month 11'!J123,1))</f>
        <v/>
      </c>
      <c r="E2660">
        <f>IF(OR(C2660="",D2660=""),"",IF(D2660=1,C2660,ROUND(C2660*(1+D2660/30),1)))</f>
        <v/>
      </c>
    </row>
    <row r="2661">
      <c r="A2661">
        <f>'Month 11'!B102</f>
        <v/>
      </c>
      <c r="B2661" t="inlineStr">
        <is>
          <t>Barbell Row</t>
        </is>
      </c>
      <c r="C2661">
        <f>IF(AND('Month 11'!L125&lt;&gt;"",N('Month 11'!I125)&gt;0),'Month 11'!I125,"")</f>
        <v/>
      </c>
      <c r="D2661">
        <f>IF(C2661="","",IF(N('Month 11'!J125)&gt;0,'Month 11'!J125,1))</f>
        <v/>
      </c>
      <c r="E2661">
        <f>IF(OR(C2661="",D2661=""),"",IF(D2661=1,C2661,ROUND(C2661*(1+D2661/30),1)))</f>
        <v/>
      </c>
    </row>
    <row r="2662">
      <c r="A2662">
        <f>'Month 11'!B102</f>
        <v/>
      </c>
      <c r="B2662" t="inlineStr">
        <is>
          <t>Barbell Row</t>
        </is>
      </c>
      <c r="C2662">
        <f>IF(AND('Month 11'!L126&lt;&gt;"",N('Month 11'!I126)&gt;0),'Month 11'!I126,"")</f>
        <v/>
      </c>
      <c r="D2662">
        <f>IF(C2662="","",IF(N('Month 11'!J126)&gt;0,'Month 11'!J126,1))</f>
        <v/>
      </c>
      <c r="E2662">
        <f>IF(OR(C2662="",D2662=""),"",IF(D2662=1,C2662,ROUND(C2662*(1+D2662/30),1)))</f>
        <v/>
      </c>
    </row>
    <row r="2663">
      <c r="A2663">
        <f>'Month 11'!B102</f>
        <v/>
      </c>
      <c r="B2663" t="inlineStr">
        <is>
          <t>Barbell Row</t>
        </is>
      </c>
      <c r="C2663">
        <f>IF(AND('Month 11'!L127&lt;&gt;"",N('Month 11'!I127)&gt;0),'Month 11'!I127,"")</f>
        <v/>
      </c>
      <c r="D2663">
        <f>IF(C2663="","",IF(N('Month 11'!J127)&gt;0,'Month 11'!J127,1))</f>
        <v/>
      </c>
      <c r="E2663">
        <f>IF(OR(C2663="",D2663=""),"",IF(D2663=1,C2663,ROUND(C2663*(1+D2663/30),1)))</f>
        <v/>
      </c>
    </row>
    <row r="2664">
      <c r="A2664">
        <f>'Month 11'!B102</f>
        <v/>
      </c>
      <c r="B2664" t="inlineStr">
        <is>
          <t>Face Pull</t>
        </is>
      </c>
      <c r="C2664">
        <f>IF(AND('Month 11'!L129&lt;&gt;"",N('Month 11'!I129)&gt;0),'Month 11'!I129,"")</f>
        <v/>
      </c>
      <c r="D2664">
        <f>IF(C2664="","",IF(N('Month 11'!J129)&gt;0,'Month 11'!J129,1))</f>
        <v/>
      </c>
      <c r="E2664">
        <f>IF(OR(C2664="",D2664=""),"",IF(D2664=1,C2664,ROUND(C2664*(1+D2664/30),1)))</f>
        <v/>
      </c>
    </row>
    <row r="2665">
      <c r="A2665">
        <f>'Month 11'!B102</f>
        <v/>
      </c>
      <c r="B2665" t="inlineStr">
        <is>
          <t>Face Pull</t>
        </is>
      </c>
      <c r="C2665">
        <f>IF(AND('Month 11'!L130&lt;&gt;"",N('Month 11'!I130)&gt;0),'Month 11'!I130,"")</f>
        <v/>
      </c>
      <c r="D2665">
        <f>IF(C2665="","",IF(N('Month 11'!J130)&gt;0,'Month 11'!J130,1))</f>
        <v/>
      </c>
      <c r="E2665">
        <f>IF(OR(C2665="",D2665=""),"",IF(D2665=1,C2665,ROUND(C2665*(1+D2665/30),1)))</f>
        <v/>
      </c>
    </row>
    <row r="2666">
      <c r="A2666">
        <f>'Month 11'!B102</f>
        <v/>
      </c>
      <c r="B2666" t="inlineStr">
        <is>
          <t>Face Pull</t>
        </is>
      </c>
      <c r="C2666">
        <f>IF(AND('Month 11'!L131&lt;&gt;"",N('Month 11'!I131)&gt;0),'Month 11'!I131,"")</f>
        <v/>
      </c>
      <c r="D2666">
        <f>IF(C2666="","",IF(N('Month 11'!J131)&gt;0,'Month 11'!J131,1))</f>
        <v/>
      </c>
      <c r="E2666">
        <f>IF(OR(C2666="",D2666=""),"",IF(D2666=1,C2666,ROUND(C2666*(1+D2666/30),1)))</f>
        <v/>
      </c>
    </row>
    <row r="2667">
      <c r="A2667">
        <f>'Month 11'!B132</f>
        <v/>
      </c>
      <c r="B2667" t="inlineStr">
        <is>
          <t>Broad Jump</t>
        </is>
      </c>
      <c r="C2667">
        <f>IF(AND('Month 11'!L134&lt;&gt;"",N('Month 11'!I134)&gt;0),'Month 11'!I134,"")</f>
        <v/>
      </c>
      <c r="D2667">
        <f>IF(C2667="","",IF(N('Month 11'!J134)&gt;0,'Month 11'!J134,1))</f>
        <v/>
      </c>
      <c r="E2667">
        <f>IF(OR(C2667="",D2667=""),"",IF(D2667=1,C2667,ROUND(C2667*(1+D2667/30),1)))</f>
        <v/>
      </c>
    </row>
    <row r="2668">
      <c r="A2668">
        <f>'Month 11'!B132</f>
        <v/>
      </c>
      <c r="B2668" t="inlineStr">
        <is>
          <t>Broad Jump</t>
        </is>
      </c>
      <c r="C2668">
        <f>IF(AND('Month 11'!L135&lt;&gt;"",N('Month 11'!I135)&gt;0),'Month 11'!I135,"")</f>
        <v/>
      </c>
      <c r="D2668">
        <f>IF(C2668="","",IF(N('Month 11'!J135)&gt;0,'Month 11'!J135,1))</f>
        <v/>
      </c>
      <c r="E2668">
        <f>IF(OR(C2668="",D2668=""),"",IF(D2668=1,C2668,ROUND(C2668*(1+D2668/30),1)))</f>
        <v/>
      </c>
    </row>
    <row r="2669">
      <c r="A2669">
        <f>'Month 11'!B132</f>
        <v/>
      </c>
      <c r="B2669" t="inlineStr">
        <is>
          <t>Broad Jump</t>
        </is>
      </c>
      <c r="C2669">
        <f>IF(AND('Month 11'!L136&lt;&gt;"",N('Month 11'!I136)&gt;0),'Month 11'!I136,"")</f>
        <v/>
      </c>
      <c r="D2669">
        <f>IF(C2669="","",IF(N('Month 11'!J136)&gt;0,'Month 11'!J136,1))</f>
        <v/>
      </c>
      <c r="E2669">
        <f>IF(OR(C2669="",D2669=""),"",IF(D2669=1,C2669,ROUND(C2669*(1+D2669/30),1)))</f>
        <v/>
      </c>
    </row>
    <row r="2670">
      <c r="A2670">
        <f>'Month 11'!B132</f>
        <v/>
      </c>
      <c r="B2670" t="inlineStr">
        <is>
          <t>Broad Jump</t>
        </is>
      </c>
      <c r="C2670">
        <f>IF(AND('Month 11'!L137&lt;&gt;"",N('Month 11'!I137)&gt;0),'Month 11'!I137,"")</f>
        <v/>
      </c>
      <c r="D2670">
        <f>IF(C2670="","",IF(N('Month 11'!J137)&gt;0,'Month 11'!J137,1))</f>
        <v/>
      </c>
      <c r="E2670">
        <f>IF(OR(C2670="",D2670=""),"",IF(D2670=1,C2670,ROUND(C2670*(1+D2670/30),1)))</f>
        <v/>
      </c>
    </row>
    <row r="2671">
      <c r="A2671">
        <f>'Month 11'!B132</f>
        <v/>
      </c>
      <c r="B2671" t="inlineStr">
        <is>
          <t>Med Ball Chest Pass</t>
        </is>
      </c>
      <c r="C2671">
        <f>IF(AND('Month 11'!L139&lt;&gt;"",N('Month 11'!I139)&gt;0),'Month 11'!I139,"")</f>
        <v/>
      </c>
      <c r="D2671">
        <f>IF(C2671="","",IF(N('Month 11'!J139)&gt;0,'Month 11'!J139,1))</f>
        <v/>
      </c>
      <c r="E2671">
        <f>IF(OR(C2671="",D2671=""),"",IF(D2671=1,C2671,ROUND(C2671*(1+D2671/30),1)))</f>
        <v/>
      </c>
    </row>
    <row r="2672">
      <c r="A2672">
        <f>'Month 11'!B132</f>
        <v/>
      </c>
      <c r="B2672" t="inlineStr">
        <is>
          <t>Med Ball Chest Pass</t>
        </is>
      </c>
      <c r="C2672">
        <f>IF(AND('Month 11'!L140&lt;&gt;"",N('Month 11'!I140)&gt;0),'Month 11'!I140,"")</f>
        <v/>
      </c>
      <c r="D2672">
        <f>IF(C2672="","",IF(N('Month 11'!J140)&gt;0,'Month 11'!J140,1))</f>
        <v/>
      </c>
      <c r="E2672">
        <f>IF(OR(C2672="",D2672=""),"",IF(D2672=1,C2672,ROUND(C2672*(1+D2672/30),1)))</f>
        <v/>
      </c>
    </row>
    <row r="2673">
      <c r="A2673">
        <f>'Month 11'!B132</f>
        <v/>
      </c>
      <c r="B2673" t="inlineStr">
        <is>
          <t>Med Ball Chest Pass</t>
        </is>
      </c>
      <c r="C2673">
        <f>IF(AND('Month 11'!L141&lt;&gt;"",N('Month 11'!I141)&gt;0),'Month 11'!I141,"")</f>
        <v/>
      </c>
      <c r="D2673">
        <f>IF(C2673="","",IF(N('Month 11'!J141)&gt;0,'Month 11'!J141,1))</f>
        <v/>
      </c>
      <c r="E2673">
        <f>IF(OR(C2673="",D2673=""),"",IF(D2673=1,C2673,ROUND(C2673*(1+D2673/30),1)))</f>
        <v/>
      </c>
    </row>
    <row r="2674">
      <c r="A2674">
        <f>'Month 11'!B132</f>
        <v/>
      </c>
      <c r="B2674" t="inlineStr">
        <is>
          <t>Clean &amp; Jerk</t>
        </is>
      </c>
      <c r="C2674">
        <f>IF(AND('Month 11'!L143&lt;&gt;"",N('Month 11'!I143)&gt;0),'Month 11'!I143,"")</f>
        <v/>
      </c>
      <c r="D2674">
        <f>IF(C2674="","",IF(N('Month 11'!J143)&gt;0,'Month 11'!J143,1))</f>
        <v/>
      </c>
      <c r="E2674">
        <f>IF(OR(C2674="",D2674=""),"",IF(D2674=1,C2674,ROUND(C2674*(1+D2674/30),1)))</f>
        <v/>
      </c>
    </row>
    <row r="2675">
      <c r="A2675">
        <f>'Month 11'!B132</f>
        <v/>
      </c>
      <c r="B2675" t="inlineStr">
        <is>
          <t>Clean &amp; Jerk</t>
        </is>
      </c>
      <c r="C2675">
        <f>IF(AND('Month 11'!L144&lt;&gt;"",N('Month 11'!I144)&gt;0),'Month 11'!I144,"")</f>
        <v/>
      </c>
      <c r="D2675">
        <f>IF(C2675="","",IF(N('Month 11'!J144)&gt;0,'Month 11'!J144,1))</f>
        <v/>
      </c>
      <c r="E2675">
        <f>IF(OR(C2675="",D2675=""),"",IF(D2675=1,C2675,ROUND(C2675*(1+D2675/30),1)))</f>
        <v/>
      </c>
    </row>
    <row r="2676">
      <c r="A2676">
        <f>'Month 11'!B132</f>
        <v/>
      </c>
      <c r="B2676" t="inlineStr">
        <is>
          <t>Clean &amp; Jerk</t>
        </is>
      </c>
      <c r="C2676">
        <f>IF(AND('Month 11'!L145&lt;&gt;"",N('Month 11'!I145)&gt;0),'Month 11'!I145,"")</f>
        <v/>
      </c>
      <c r="D2676">
        <f>IF(C2676="","",IF(N('Month 11'!J145)&gt;0,'Month 11'!J145,1))</f>
        <v/>
      </c>
      <c r="E2676">
        <f>IF(OR(C2676="",D2676=""),"",IF(D2676=1,C2676,ROUND(C2676*(1+D2676/30),1)))</f>
        <v/>
      </c>
    </row>
    <row r="2677">
      <c r="A2677">
        <f>'Month 11'!B132</f>
        <v/>
      </c>
      <c r="B2677" t="inlineStr">
        <is>
          <t>Clean &amp; Jerk</t>
        </is>
      </c>
      <c r="C2677">
        <f>IF(AND('Month 11'!L146&lt;&gt;"",N('Month 11'!I146)&gt;0),'Month 11'!I146,"")</f>
        <v/>
      </c>
      <c r="D2677">
        <f>IF(C2677="","",IF(N('Month 11'!J146)&gt;0,'Month 11'!J146,1))</f>
        <v/>
      </c>
      <c r="E2677">
        <f>IF(OR(C2677="",D2677=""),"",IF(D2677=1,C2677,ROUND(C2677*(1+D2677/30),1)))</f>
        <v/>
      </c>
    </row>
    <row r="2678">
      <c r="A2678">
        <f>'Month 11'!B132</f>
        <v/>
      </c>
      <c r="B2678" t="inlineStr">
        <is>
          <t>Clean &amp; Jerk</t>
        </is>
      </c>
      <c r="C2678">
        <f>IF(AND('Month 11'!L147&lt;&gt;"",N('Month 11'!I147)&gt;0),'Month 11'!I147,"")</f>
        <v/>
      </c>
      <c r="D2678">
        <f>IF(C2678="","",IF(N('Month 11'!J147)&gt;0,'Month 11'!J147,1))</f>
        <v/>
      </c>
      <c r="E2678">
        <f>IF(OR(C2678="",D2678=""),"",IF(D2678=1,C2678,ROUND(C2678*(1+D2678/30),1)))</f>
        <v/>
      </c>
    </row>
    <row r="2679">
      <c r="A2679">
        <f>'Month 11'!B132</f>
        <v/>
      </c>
      <c r="B2679" t="inlineStr">
        <is>
          <t>Squat</t>
        </is>
      </c>
      <c r="C2679">
        <f>IF(AND('Month 11'!L149&lt;&gt;"",N('Month 11'!I149)&gt;0),'Month 11'!I149,"")</f>
        <v/>
      </c>
      <c r="D2679">
        <f>IF(C2679="","",IF(N('Month 11'!J149)&gt;0,'Month 11'!J149,1))</f>
        <v/>
      </c>
      <c r="E2679">
        <f>IF(OR(C2679="",D2679=""),"",IF(D2679=1,C2679,ROUND(C2679*(1+D2679/30),1)))</f>
        <v/>
      </c>
    </row>
    <row r="2680">
      <c r="A2680">
        <f>'Month 11'!B132</f>
        <v/>
      </c>
      <c r="B2680" t="inlineStr">
        <is>
          <t>Squat</t>
        </is>
      </c>
      <c r="C2680">
        <f>IF(AND('Month 11'!L150&lt;&gt;"",N('Month 11'!I150)&gt;0),'Month 11'!I150,"")</f>
        <v/>
      </c>
      <c r="D2680">
        <f>IF(C2680="","",IF(N('Month 11'!J150)&gt;0,'Month 11'!J150,1))</f>
        <v/>
      </c>
      <c r="E2680">
        <f>IF(OR(C2680="",D2680=""),"",IF(D2680=1,C2680,ROUND(C2680*(1+D2680/30),1)))</f>
        <v/>
      </c>
    </row>
    <row r="2681">
      <c r="A2681">
        <f>'Month 11'!B132</f>
        <v/>
      </c>
      <c r="B2681" t="inlineStr">
        <is>
          <t>Squat</t>
        </is>
      </c>
      <c r="C2681">
        <f>IF(AND('Month 11'!L151&lt;&gt;"",N('Month 11'!I151)&gt;0),'Month 11'!I151,"")</f>
        <v/>
      </c>
      <c r="D2681">
        <f>IF(C2681="","",IF(N('Month 11'!J151)&gt;0,'Month 11'!J151,1))</f>
        <v/>
      </c>
      <c r="E2681">
        <f>IF(OR(C2681="",D2681=""),"",IF(D2681=1,C2681,ROUND(C2681*(1+D2681/30),1)))</f>
        <v/>
      </c>
    </row>
    <row r="2682">
      <c r="A2682">
        <f>'Month 11'!B132</f>
        <v/>
      </c>
      <c r="B2682" t="inlineStr">
        <is>
          <t>Overhead Press</t>
        </is>
      </c>
      <c r="C2682">
        <f>IF(AND('Month 11'!L153&lt;&gt;"",N('Month 11'!I153)&gt;0),'Month 11'!I153,"")</f>
        <v/>
      </c>
      <c r="D2682">
        <f>IF(C2682="","",IF(N('Month 11'!J153)&gt;0,'Month 11'!J153,1))</f>
        <v/>
      </c>
      <c r="E2682">
        <f>IF(OR(C2682="",D2682=""),"",IF(D2682=1,C2682,ROUND(C2682*(1+D2682/30),1)))</f>
        <v/>
      </c>
    </row>
    <row r="2683">
      <c r="A2683">
        <f>'Month 11'!B132</f>
        <v/>
      </c>
      <c r="B2683" t="inlineStr">
        <is>
          <t>Overhead Press</t>
        </is>
      </c>
      <c r="C2683">
        <f>IF(AND('Month 11'!L154&lt;&gt;"",N('Month 11'!I154)&gt;0),'Month 11'!I154,"")</f>
        <v/>
      </c>
      <c r="D2683">
        <f>IF(C2683="","",IF(N('Month 11'!J154)&gt;0,'Month 11'!J154,1))</f>
        <v/>
      </c>
      <c r="E2683">
        <f>IF(OR(C2683="",D2683=""),"",IF(D2683=1,C2683,ROUND(C2683*(1+D2683/30),1)))</f>
        <v/>
      </c>
    </row>
    <row r="2684">
      <c r="A2684">
        <f>'Month 11'!B132</f>
        <v/>
      </c>
      <c r="B2684" t="inlineStr">
        <is>
          <t>Overhead Press</t>
        </is>
      </c>
      <c r="C2684">
        <f>IF(AND('Month 11'!L155&lt;&gt;"",N('Month 11'!I155)&gt;0),'Month 11'!I155,"")</f>
        <v/>
      </c>
      <c r="D2684">
        <f>IF(C2684="","",IF(N('Month 11'!J155)&gt;0,'Month 11'!J155,1))</f>
        <v/>
      </c>
      <c r="E2684">
        <f>IF(OR(C2684="",D2684=""),"",IF(D2684=1,C2684,ROUND(C2684*(1+D2684/30),1)))</f>
        <v/>
      </c>
    </row>
    <row r="2685">
      <c r="A2685">
        <f>'Month 11'!B132</f>
        <v/>
      </c>
      <c r="B2685" t="inlineStr">
        <is>
          <t>Deadlift</t>
        </is>
      </c>
      <c r="C2685">
        <f>IF(AND('Month 11'!L157&lt;&gt;"",N('Month 11'!I157)&gt;0),'Month 11'!I157,"")</f>
        <v/>
      </c>
      <c r="D2685">
        <f>IF(C2685="","",IF(N('Month 11'!J157)&gt;0,'Month 11'!J157,1))</f>
        <v/>
      </c>
      <c r="E2685">
        <f>IF(OR(C2685="",D2685=""),"",IF(D2685=1,C2685,ROUND(C2685*(1+D2685/30),1)))</f>
        <v/>
      </c>
    </row>
    <row r="2686">
      <c r="A2686">
        <f>'Month 11'!B132</f>
        <v/>
      </c>
      <c r="B2686" t="inlineStr">
        <is>
          <t>Deadlift</t>
        </is>
      </c>
      <c r="C2686">
        <f>IF(AND('Month 11'!L158&lt;&gt;"",N('Month 11'!I158)&gt;0),'Month 11'!I158,"")</f>
        <v/>
      </c>
      <c r="D2686">
        <f>IF(C2686="","",IF(N('Month 11'!J158)&gt;0,'Month 11'!J158,1))</f>
        <v/>
      </c>
      <c r="E2686">
        <f>IF(OR(C2686="",D2686=""),"",IF(D2686=1,C2686,ROUND(C2686*(1+D2686/30),1)))</f>
        <v/>
      </c>
    </row>
    <row r="2687">
      <c r="A2687">
        <f>'Month 11'!B132</f>
        <v/>
      </c>
      <c r="B2687" t="inlineStr">
        <is>
          <t>Deadlift</t>
        </is>
      </c>
      <c r="C2687">
        <f>IF(AND('Month 11'!L159&lt;&gt;"",N('Month 11'!I159)&gt;0),'Month 11'!I159,"")</f>
        <v/>
      </c>
      <c r="D2687">
        <f>IF(C2687="","",IF(N('Month 11'!J159)&gt;0,'Month 11'!J159,1))</f>
        <v/>
      </c>
      <c r="E2687">
        <f>IF(OR(C2687="",D2687=""),"",IF(D2687=1,C2687,ROUND(C2687*(1+D2687/30),1)))</f>
        <v/>
      </c>
    </row>
    <row r="2688">
      <c r="A2688">
        <f>'Month 11'!B132</f>
        <v/>
      </c>
      <c r="B2688" t="inlineStr">
        <is>
          <t>Chin-up</t>
        </is>
      </c>
      <c r="C2688">
        <f>IF(AND('Month 11'!L161&lt;&gt;"",N('Month 11'!I161)&gt;0),'Month 11'!I161,"")</f>
        <v/>
      </c>
      <c r="D2688">
        <f>IF(C2688="","",IF(N('Month 11'!J161)&gt;0,'Month 11'!J161,1))</f>
        <v/>
      </c>
      <c r="E2688">
        <f>IF(OR(C2688="",D2688=""),"",IF(D2688=1,C2688,ROUND(C2688*(1+D2688/30),1)))</f>
        <v/>
      </c>
    </row>
    <row r="2689">
      <c r="A2689">
        <f>'Month 11'!B132</f>
        <v/>
      </c>
      <c r="B2689" t="inlineStr">
        <is>
          <t>Chin-up</t>
        </is>
      </c>
      <c r="C2689">
        <f>IF(AND('Month 11'!L162&lt;&gt;"",N('Month 11'!I162)&gt;0),'Month 11'!I162,"")</f>
        <v/>
      </c>
      <c r="D2689">
        <f>IF(C2689="","",IF(N('Month 11'!J162)&gt;0,'Month 11'!J162,1))</f>
        <v/>
      </c>
      <c r="E2689">
        <f>IF(OR(C2689="",D2689=""),"",IF(D2689=1,C2689,ROUND(C2689*(1+D2689/30),1)))</f>
        <v/>
      </c>
    </row>
    <row r="2690">
      <c r="A2690">
        <f>'Month 11'!B132</f>
        <v/>
      </c>
      <c r="B2690" t="inlineStr">
        <is>
          <t>Chin-up</t>
        </is>
      </c>
      <c r="C2690">
        <f>IF(AND('Month 11'!L163&lt;&gt;"",N('Month 11'!I163)&gt;0),'Month 11'!I163,"")</f>
        <v/>
      </c>
      <c r="D2690">
        <f>IF(C2690="","",IF(N('Month 11'!J163)&gt;0,'Month 11'!J163,1))</f>
        <v/>
      </c>
      <c r="E2690">
        <f>IF(OR(C2690="",D2690=""),"",IF(D2690=1,C2690,ROUND(C2690*(1+D2690/30),1)))</f>
        <v/>
      </c>
    </row>
    <row r="2691">
      <c r="A2691">
        <f>'Month 11'!B132</f>
        <v/>
      </c>
      <c r="B2691" t="inlineStr">
        <is>
          <t>Plank</t>
        </is>
      </c>
      <c r="C2691">
        <f>IF(AND('Month 11'!L165&lt;&gt;"",N('Month 11'!I165)&gt;0),'Month 11'!I165,"")</f>
        <v/>
      </c>
      <c r="D2691">
        <f>IF(C2691="","",IF(N('Month 11'!J165)&gt;0,'Month 11'!J165,1))</f>
        <v/>
      </c>
      <c r="E2691">
        <f>IF(OR(C2691="",D2691=""),"",IF(D2691=1,C2691,ROUND(C2691*(1+D2691/30),1)))</f>
        <v/>
      </c>
    </row>
    <row r="2692">
      <c r="A2692">
        <f>'Month 11'!B132</f>
        <v/>
      </c>
      <c r="B2692" t="inlineStr">
        <is>
          <t>Plank</t>
        </is>
      </c>
      <c r="C2692">
        <f>IF(AND('Month 11'!L166&lt;&gt;"",N('Month 11'!I166)&gt;0),'Month 11'!I166,"")</f>
        <v/>
      </c>
      <c r="D2692">
        <f>IF(C2692="","",IF(N('Month 11'!J166)&gt;0,'Month 11'!J166,1))</f>
        <v/>
      </c>
      <c r="E2692">
        <f>IF(OR(C2692="",D2692=""),"",IF(D2692=1,C2692,ROUND(C2692*(1+D2692/30),1)))</f>
        <v/>
      </c>
    </row>
    <row r="2693">
      <c r="A2693">
        <f>'Month 11'!B132</f>
        <v/>
      </c>
      <c r="B2693" t="inlineStr">
        <is>
          <t>Plank</t>
        </is>
      </c>
      <c r="C2693">
        <f>IF(AND('Month 11'!L167&lt;&gt;"",N('Month 11'!I167)&gt;0),'Month 11'!I167,"")</f>
        <v/>
      </c>
      <c r="D2693">
        <f>IF(C2693="","",IF(N('Month 11'!J167)&gt;0,'Month 11'!J167,1))</f>
        <v/>
      </c>
      <c r="E2693">
        <f>IF(OR(C2693="",D2693=""),"",IF(D2693=1,C2693,ROUND(C2693*(1+D2693/30),1)))</f>
        <v/>
      </c>
    </row>
    <row r="2694">
      <c r="A2694">
        <f>'Month 11'!B168</f>
        <v/>
      </c>
      <c r="B2694" t="inlineStr">
        <is>
          <t>Plyo Push-up</t>
        </is>
      </c>
      <c r="C2694">
        <f>IF(AND('Month 11'!L170&lt;&gt;"",N('Month 11'!I170)&gt;0),'Month 11'!I170,"")</f>
        <v/>
      </c>
      <c r="D2694">
        <f>IF(C2694="","",IF(N('Month 11'!J170)&gt;0,'Month 11'!J170,1))</f>
        <v/>
      </c>
      <c r="E2694">
        <f>IF(OR(C2694="",D2694=""),"",IF(D2694=1,C2694,ROUND(C2694*(1+D2694/30),1)))</f>
        <v/>
      </c>
    </row>
    <row r="2695">
      <c r="A2695">
        <f>'Month 11'!B168</f>
        <v/>
      </c>
      <c r="B2695" t="inlineStr">
        <is>
          <t>Plyo Push-up</t>
        </is>
      </c>
      <c r="C2695">
        <f>IF(AND('Month 11'!L171&lt;&gt;"",N('Month 11'!I171)&gt;0),'Month 11'!I171,"")</f>
        <v/>
      </c>
      <c r="D2695">
        <f>IF(C2695="","",IF(N('Month 11'!J171)&gt;0,'Month 11'!J171,1))</f>
        <v/>
      </c>
      <c r="E2695">
        <f>IF(OR(C2695="",D2695=""),"",IF(D2695=1,C2695,ROUND(C2695*(1+D2695/30),1)))</f>
        <v/>
      </c>
    </row>
    <row r="2696">
      <c r="A2696">
        <f>'Month 11'!B168</f>
        <v/>
      </c>
      <c r="B2696" t="inlineStr">
        <is>
          <t>Plyo Push-up</t>
        </is>
      </c>
      <c r="C2696">
        <f>IF(AND('Month 11'!L172&lt;&gt;"",N('Month 11'!I172)&gt;0),'Month 11'!I172,"")</f>
        <v/>
      </c>
      <c r="D2696">
        <f>IF(C2696="","",IF(N('Month 11'!J172)&gt;0,'Month 11'!J172,1))</f>
        <v/>
      </c>
      <c r="E2696">
        <f>IF(OR(C2696="",D2696=""),"",IF(D2696=1,C2696,ROUND(C2696*(1+D2696/30),1)))</f>
        <v/>
      </c>
    </row>
    <row r="2697">
      <c r="A2697">
        <f>'Month 11'!B168</f>
        <v/>
      </c>
      <c r="B2697" t="inlineStr">
        <is>
          <t>Plyo Push-up</t>
        </is>
      </c>
      <c r="C2697">
        <f>IF(AND('Month 11'!L173&lt;&gt;"",N('Month 11'!I173)&gt;0),'Month 11'!I173,"")</f>
        <v/>
      </c>
      <c r="D2697">
        <f>IF(C2697="","",IF(N('Month 11'!J173)&gt;0,'Month 11'!J173,1))</f>
        <v/>
      </c>
      <c r="E2697">
        <f>IF(OR(C2697="",D2697=""),"",IF(D2697=1,C2697,ROUND(C2697*(1+D2697/30),1)))</f>
        <v/>
      </c>
    </row>
    <row r="2698">
      <c r="A2698">
        <f>'Month 11'!B168</f>
        <v/>
      </c>
      <c r="B2698" t="inlineStr">
        <is>
          <t>Hang Snatch</t>
        </is>
      </c>
      <c r="C2698">
        <f>IF(AND('Month 11'!L175&lt;&gt;"",N('Month 11'!I175)&gt;0),'Month 11'!I175,"")</f>
        <v/>
      </c>
      <c r="D2698">
        <f>IF(C2698="","",IF(N('Month 11'!J175)&gt;0,'Month 11'!J175,1))</f>
        <v/>
      </c>
      <c r="E2698">
        <f>IF(OR(C2698="",D2698=""),"",IF(D2698=1,C2698,ROUND(C2698*(1+D2698/30),1)))</f>
        <v/>
      </c>
    </row>
    <row r="2699">
      <c r="A2699">
        <f>'Month 11'!B168</f>
        <v/>
      </c>
      <c r="B2699" t="inlineStr">
        <is>
          <t>Hang Snatch</t>
        </is>
      </c>
      <c r="C2699">
        <f>IF(AND('Month 11'!L176&lt;&gt;"",N('Month 11'!I176)&gt;0),'Month 11'!I176,"")</f>
        <v/>
      </c>
      <c r="D2699">
        <f>IF(C2699="","",IF(N('Month 11'!J176)&gt;0,'Month 11'!J176,1))</f>
        <v/>
      </c>
      <c r="E2699">
        <f>IF(OR(C2699="",D2699=""),"",IF(D2699=1,C2699,ROUND(C2699*(1+D2699/30),1)))</f>
        <v/>
      </c>
    </row>
    <row r="2700">
      <c r="A2700">
        <f>'Month 11'!B168</f>
        <v/>
      </c>
      <c r="B2700" t="inlineStr">
        <is>
          <t>Hang Snatch</t>
        </is>
      </c>
      <c r="C2700">
        <f>IF(AND('Month 11'!L177&lt;&gt;"",N('Month 11'!I177)&gt;0),'Month 11'!I177,"")</f>
        <v/>
      </c>
      <c r="D2700">
        <f>IF(C2700="","",IF(N('Month 11'!J177)&gt;0,'Month 11'!J177,1))</f>
        <v/>
      </c>
      <c r="E2700">
        <f>IF(OR(C2700="",D2700=""),"",IF(D2700=1,C2700,ROUND(C2700*(1+D2700/30),1)))</f>
        <v/>
      </c>
    </row>
    <row r="2701">
      <c r="A2701">
        <f>'Month 11'!B168</f>
        <v/>
      </c>
      <c r="B2701" t="inlineStr">
        <is>
          <t>Hang Snatch</t>
        </is>
      </c>
      <c r="C2701">
        <f>IF(AND('Month 11'!L178&lt;&gt;"",N('Month 11'!I178)&gt;0),'Month 11'!I178,"")</f>
        <v/>
      </c>
      <c r="D2701">
        <f>IF(C2701="","",IF(N('Month 11'!J178)&gt;0,'Month 11'!J178,1))</f>
        <v/>
      </c>
      <c r="E2701">
        <f>IF(OR(C2701="",D2701=""),"",IF(D2701=1,C2701,ROUND(C2701*(1+D2701/30),1)))</f>
        <v/>
      </c>
    </row>
    <row r="2702">
      <c r="A2702">
        <f>'Month 11'!B168</f>
        <v/>
      </c>
      <c r="B2702" t="inlineStr">
        <is>
          <t>Box Squat</t>
        </is>
      </c>
      <c r="C2702">
        <f>IF(AND('Month 11'!L180&lt;&gt;"",N('Month 11'!I180)&gt;0),'Month 11'!I180,"")</f>
        <v/>
      </c>
      <c r="D2702">
        <f>IF(C2702="","",IF(N('Month 11'!J180)&gt;0,'Month 11'!J180,1))</f>
        <v/>
      </c>
      <c r="E2702">
        <f>IF(OR(C2702="",D2702=""),"",IF(D2702=1,C2702,ROUND(C2702*(1+D2702/30),1)))</f>
        <v/>
      </c>
    </row>
    <row r="2703">
      <c r="A2703">
        <f>'Month 11'!B168</f>
        <v/>
      </c>
      <c r="B2703" t="inlineStr">
        <is>
          <t>Box Squat</t>
        </is>
      </c>
      <c r="C2703">
        <f>IF(AND('Month 11'!L181&lt;&gt;"",N('Month 11'!I181)&gt;0),'Month 11'!I181,"")</f>
        <v/>
      </c>
      <c r="D2703">
        <f>IF(C2703="","",IF(N('Month 11'!J181)&gt;0,'Month 11'!J181,1))</f>
        <v/>
      </c>
      <c r="E2703">
        <f>IF(OR(C2703="",D2703=""),"",IF(D2703=1,C2703,ROUND(C2703*(1+D2703/30),1)))</f>
        <v/>
      </c>
    </row>
    <row r="2704">
      <c r="A2704">
        <f>'Month 11'!B168</f>
        <v/>
      </c>
      <c r="B2704" t="inlineStr">
        <is>
          <t>Box Squat</t>
        </is>
      </c>
      <c r="C2704">
        <f>IF(AND('Month 11'!L182&lt;&gt;"",N('Month 11'!I182)&gt;0),'Month 11'!I182,"")</f>
        <v/>
      </c>
      <c r="D2704">
        <f>IF(C2704="","",IF(N('Month 11'!J182)&gt;0,'Month 11'!J182,1))</f>
        <v/>
      </c>
      <c r="E2704">
        <f>IF(OR(C2704="",D2704=""),"",IF(D2704=1,C2704,ROUND(C2704*(1+D2704/30),1)))</f>
        <v/>
      </c>
    </row>
    <row r="2705">
      <c r="A2705">
        <f>'Month 11'!B168</f>
        <v/>
      </c>
      <c r="B2705" t="inlineStr">
        <is>
          <t>1-Board Press</t>
        </is>
      </c>
      <c r="C2705">
        <f>IF(AND('Month 11'!L184&lt;&gt;"",N('Month 11'!I184)&gt;0),'Month 11'!I184,"")</f>
        <v/>
      </c>
      <c r="D2705">
        <f>IF(C2705="","",IF(N('Month 11'!J184)&gt;0,'Month 11'!J184,1))</f>
        <v/>
      </c>
      <c r="E2705">
        <f>IF(OR(C2705="",D2705=""),"",IF(D2705=1,C2705,ROUND(C2705*(1+D2705/30),1)))</f>
        <v/>
      </c>
    </row>
    <row r="2706">
      <c r="A2706">
        <f>'Month 11'!B168</f>
        <v/>
      </c>
      <c r="B2706" t="inlineStr">
        <is>
          <t>1-Board Press</t>
        </is>
      </c>
      <c r="C2706">
        <f>IF(AND('Month 11'!L185&lt;&gt;"",N('Month 11'!I185)&gt;0),'Month 11'!I185,"")</f>
        <v/>
      </c>
      <c r="D2706">
        <f>IF(C2706="","",IF(N('Month 11'!J185)&gt;0,'Month 11'!J185,1))</f>
        <v/>
      </c>
      <c r="E2706">
        <f>IF(OR(C2706="",D2706=""),"",IF(D2706=1,C2706,ROUND(C2706*(1+D2706/30),1)))</f>
        <v/>
      </c>
    </row>
    <row r="2707">
      <c r="A2707">
        <f>'Month 11'!B168</f>
        <v/>
      </c>
      <c r="B2707" t="inlineStr">
        <is>
          <t>1-Board Press</t>
        </is>
      </c>
      <c r="C2707">
        <f>IF(AND('Month 11'!L186&lt;&gt;"",N('Month 11'!I186)&gt;0),'Month 11'!I186,"")</f>
        <v/>
      </c>
      <c r="D2707">
        <f>IF(C2707="","",IF(N('Month 11'!J186)&gt;0,'Month 11'!J186,1))</f>
        <v/>
      </c>
      <c r="E2707">
        <f>IF(OR(C2707="",D2707=""),"",IF(D2707=1,C2707,ROUND(C2707*(1+D2707/30),1)))</f>
        <v/>
      </c>
    </row>
    <row r="2708">
      <c r="A2708">
        <f>'Month 11'!B168</f>
        <v/>
      </c>
      <c r="B2708" t="inlineStr">
        <is>
          <t>Paused Deadlift</t>
        </is>
      </c>
      <c r="C2708">
        <f>IF(AND('Month 11'!L188&lt;&gt;"",N('Month 11'!I188)&gt;0),'Month 11'!I188,"")</f>
        <v/>
      </c>
      <c r="D2708">
        <f>IF(C2708="","",IF(N('Month 11'!J188)&gt;0,'Month 11'!J188,1))</f>
        <v/>
      </c>
      <c r="E2708">
        <f>IF(OR(C2708="",D2708=""),"",IF(D2708=1,C2708,ROUND(C2708*(1+D2708/30),1)))</f>
        <v/>
      </c>
    </row>
    <row r="2709">
      <c r="A2709">
        <f>'Month 11'!B168</f>
        <v/>
      </c>
      <c r="B2709" t="inlineStr">
        <is>
          <t>Paused Deadlift</t>
        </is>
      </c>
      <c r="C2709">
        <f>IF(AND('Month 11'!L189&lt;&gt;"",N('Month 11'!I189)&gt;0),'Month 11'!I189,"")</f>
        <v/>
      </c>
      <c r="D2709">
        <f>IF(C2709="","",IF(N('Month 11'!J189)&gt;0,'Month 11'!J189,1))</f>
        <v/>
      </c>
      <c r="E2709">
        <f>IF(OR(C2709="",D2709=""),"",IF(D2709=1,C2709,ROUND(C2709*(1+D2709/30),1)))</f>
        <v/>
      </c>
    </row>
    <row r="2710">
      <c r="A2710">
        <f>'Month 11'!B168</f>
        <v/>
      </c>
      <c r="B2710" t="inlineStr">
        <is>
          <t>Paused Deadlift</t>
        </is>
      </c>
      <c r="C2710">
        <f>IF(AND('Month 11'!L190&lt;&gt;"",N('Month 11'!I190)&gt;0),'Month 11'!I190,"")</f>
        <v/>
      </c>
      <c r="D2710">
        <f>IF(C2710="","",IF(N('Month 11'!J190)&gt;0,'Month 11'!J190,1))</f>
        <v/>
      </c>
      <c r="E2710">
        <f>IF(OR(C2710="",D2710=""),"",IF(D2710=1,C2710,ROUND(C2710*(1+D2710/30),1)))</f>
        <v/>
      </c>
    </row>
    <row r="2711">
      <c r="A2711">
        <f>'Month 11'!B168</f>
        <v/>
      </c>
      <c r="B2711" t="inlineStr">
        <is>
          <t>Incline Dumbbell Press</t>
        </is>
      </c>
      <c r="C2711">
        <f>IF(AND('Month 11'!L192&lt;&gt;"",N('Month 11'!I192)&gt;0),'Month 11'!I192,"")</f>
        <v/>
      </c>
      <c r="D2711">
        <f>IF(C2711="","",IF(N('Month 11'!J192)&gt;0,'Month 11'!J192,1))</f>
        <v/>
      </c>
      <c r="E2711">
        <f>IF(OR(C2711="",D2711=""),"",IF(D2711=1,C2711,ROUND(C2711*(1+D2711/30),1)))</f>
        <v/>
      </c>
    </row>
    <row r="2712">
      <c r="A2712">
        <f>'Month 11'!B168</f>
        <v/>
      </c>
      <c r="B2712" t="inlineStr">
        <is>
          <t>Incline Dumbbell Press</t>
        </is>
      </c>
      <c r="C2712">
        <f>IF(AND('Month 11'!L193&lt;&gt;"",N('Month 11'!I193)&gt;0),'Month 11'!I193,"")</f>
        <v/>
      </c>
      <c r="D2712">
        <f>IF(C2712="","",IF(N('Month 11'!J193)&gt;0,'Month 11'!J193,1))</f>
        <v/>
      </c>
      <c r="E2712">
        <f>IF(OR(C2712="",D2712=""),"",IF(D2712=1,C2712,ROUND(C2712*(1+D2712/30),1)))</f>
        <v/>
      </c>
    </row>
    <row r="2713">
      <c r="A2713">
        <f>'Month 11'!B168</f>
        <v/>
      </c>
      <c r="B2713" t="inlineStr">
        <is>
          <t>Incline Dumbbell Press</t>
        </is>
      </c>
      <c r="C2713">
        <f>IF(AND('Month 11'!L194&lt;&gt;"",N('Month 11'!I194)&gt;0),'Month 11'!I194,"")</f>
        <v/>
      </c>
      <c r="D2713">
        <f>IF(C2713="","",IF(N('Month 11'!J194)&gt;0,'Month 11'!J194,1))</f>
        <v/>
      </c>
      <c r="E2713">
        <f>IF(OR(C2713="",D2713=""),"",IF(D2713=1,C2713,ROUND(C2713*(1+D2713/30),1)))</f>
        <v/>
      </c>
    </row>
    <row r="2714">
      <c r="A2714">
        <f>'Month 11'!B168</f>
        <v/>
      </c>
      <c r="B2714" t="inlineStr">
        <is>
          <t>Triceps Pushdown</t>
        </is>
      </c>
      <c r="C2714">
        <f>IF(AND('Month 11'!L196&lt;&gt;"",N('Month 11'!I196)&gt;0),'Month 11'!I196,"")</f>
        <v/>
      </c>
      <c r="D2714">
        <f>IF(C2714="","",IF(N('Month 11'!J196)&gt;0,'Month 11'!J196,1))</f>
        <v/>
      </c>
      <c r="E2714">
        <f>IF(OR(C2714="",D2714=""),"",IF(D2714=1,C2714,ROUND(C2714*(1+D2714/30),1)))</f>
        <v/>
      </c>
    </row>
    <row r="2715">
      <c r="A2715">
        <f>'Month 11'!B168</f>
        <v/>
      </c>
      <c r="B2715" t="inlineStr">
        <is>
          <t>Triceps Pushdown</t>
        </is>
      </c>
      <c r="C2715">
        <f>IF(AND('Month 11'!L197&lt;&gt;"",N('Month 11'!I197)&gt;0),'Month 11'!I197,"")</f>
        <v/>
      </c>
      <c r="D2715">
        <f>IF(C2715="","",IF(N('Month 11'!J197)&gt;0,'Month 11'!J197,1))</f>
        <v/>
      </c>
      <c r="E2715">
        <f>IF(OR(C2715="",D2715=""),"",IF(D2715=1,C2715,ROUND(C2715*(1+D2715/30),1)))</f>
        <v/>
      </c>
    </row>
    <row r="2716">
      <c r="A2716">
        <f>'Month 11'!B168</f>
        <v/>
      </c>
      <c r="B2716" t="inlineStr">
        <is>
          <t>Triceps Pushdown</t>
        </is>
      </c>
      <c r="C2716">
        <f>IF(AND('Month 11'!L198&lt;&gt;"",N('Month 11'!I198)&gt;0),'Month 11'!I198,"")</f>
        <v/>
      </c>
      <c r="D2716">
        <f>IF(C2716="","",IF(N('Month 11'!J198)&gt;0,'Month 11'!J198,1))</f>
        <v/>
      </c>
      <c r="E2716">
        <f>IF(OR(C2716="",D2716=""),"",IF(D2716=1,C2716,ROUND(C2716*(1+D2716/30),1)))</f>
        <v/>
      </c>
    </row>
    <row r="2717">
      <c r="A2717">
        <f>'Month 11'!B201</f>
        <v/>
      </c>
      <c r="B2717" t="inlineStr">
        <is>
          <t>Box Jump</t>
        </is>
      </c>
      <c r="C2717">
        <f>IF(AND('Month 11'!L203&lt;&gt;"",N('Month 11'!I203)&gt;0),'Month 11'!I203,"")</f>
        <v/>
      </c>
      <c r="D2717">
        <f>IF(C2717="","",IF(N('Month 11'!J203)&gt;0,'Month 11'!J203,1))</f>
        <v/>
      </c>
      <c r="E2717">
        <f>IF(OR(C2717="",D2717=""),"",IF(D2717=1,C2717,ROUND(C2717*(1+D2717/30),1)))</f>
        <v/>
      </c>
    </row>
    <row r="2718">
      <c r="A2718">
        <f>'Month 11'!B201</f>
        <v/>
      </c>
      <c r="B2718" t="inlineStr">
        <is>
          <t>Box Jump</t>
        </is>
      </c>
      <c r="C2718">
        <f>IF(AND('Month 11'!L204&lt;&gt;"",N('Month 11'!I204)&gt;0),'Month 11'!I204,"")</f>
        <v/>
      </c>
      <c r="D2718">
        <f>IF(C2718="","",IF(N('Month 11'!J204)&gt;0,'Month 11'!J204,1))</f>
        <v/>
      </c>
      <c r="E2718">
        <f>IF(OR(C2718="",D2718=""),"",IF(D2718=1,C2718,ROUND(C2718*(1+D2718/30),1)))</f>
        <v/>
      </c>
    </row>
    <row r="2719">
      <c r="A2719">
        <f>'Month 11'!B201</f>
        <v/>
      </c>
      <c r="B2719" t="inlineStr">
        <is>
          <t>Box Jump</t>
        </is>
      </c>
      <c r="C2719">
        <f>IF(AND('Month 11'!L205&lt;&gt;"",N('Month 11'!I205)&gt;0),'Month 11'!I205,"")</f>
        <v/>
      </c>
      <c r="D2719">
        <f>IF(C2719="","",IF(N('Month 11'!J205)&gt;0,'Month 11'!J205,1))</f>
        <v/>
      </c>
      <c r="E2719">
        <f>IF(OR(C2719="",D2719=""),"",IF(D2719=1,C2719,ROUND(C2719*(1+D2719/30),1)))</f>
        <v/>
      </c>
    </row>
    <row r="2720">
      <c r="A2720">
        <f>'Month 11'!B201</f>
        <v/>
      </c>
      <c r="B2720" t="inlineStr">
        <is>
          <t>Box Jump</t>
        </is>
      </c>
      <c r="C2720">
        <f>IF(AND('Month 11'!L206&lt;&gt;"",N('Month 11'!I206)&gt;0),'Month 11'!I206,"")</f>
        <v/>
      </c>
      <c r="D2720">
        <f>IF(C2720="","",IF(N('Month 11'!J206)&gt;0,'Month 11'!J206,1))</f>
        <v/>
      </c>
      <c r="E2720">
        <f>IF(OR(C2720="",D2720=""),"",IF(D2720=1,C2720,ROUND(C2720*(1+D2720/30),1)))</f>
        <v/>
      </c>
    </row>
    <row r="2721">
      <c r="A2721">
        <f>'Month 11'!B201</f>
        <v/>
      </c>
      <c r="B2721" t="inlineStr">
        <is>
          <t>Snatch</t>
        </is>
      </c>
      <c r="C2721">
        <f>IF(AND('Month 11'!L208&lt;&gt;"",N('Month 11'!I208)&gt;0),'Month 11'!I208,"")</f>
        <v/>
      </c>
      <c r="D2721">
        <f>IF(C2721="","",IF(N('Month 11'!J208)&gt;0,'Month 11'!J208,1))</f>
        <v/>
      </c>
      <c r="E2721">
        <f>IF(OR(C2721="",D2721=""),"",IF(D2721=1,C2721,ROUND(C2721*(1+D2721/30),1)))</f>
        <v/>
      </c>
    </row>
    <row r="2722">
      <c r="A2722">
        <f>'Month 11'!B201</f>
        <v/>
      </c>
      <c r="B2722" t="inlineStr">
        <is>
          <t>Snatch</t>
        </is>
      </c>
      <c r="C2722">
        <f>IF(AND('Month 11'!L209&lt;&gt;"",N('Month 11'!I209)&gt;0),'Month 11'!I209,"")</f>
        <v/>
      </c>
      <c r="D2722">
        <f>IF(C2722="","",IF(N('Month 11'!J209)&gt;0,'Month 11'!J209,1))</f>
        <v/>
      </c>
      <c r="E2722">
        <f>IF(OR(C2722="",D2722=""),"",IF(D2722=1,C2722,ROUND(C2722*(1+D2722/30),1)))</f>
        <v/>
      </c>
    </row>
    <row r="2723">
      <c r="A2723">
        <f>'Month 11'!B201</f>
        <v/>
      </c>
      <c r="B2723" t="inlineStr">
        <is>
          <t>Snatch</t>
        </is>
      </c>
      <c r="C2723">
        <f>IF(AND('Month 11'!L210&lt;&gt;"",N('Month 11'!I210)&gt;0),'Month 11'!I210,"")</f>
        <v/>
      </c>
      <c r="D2723">
        <f>IF(C2723="","",IF(N('Month 11'!J210)&gt;0,'Month 11'!J210,1))</f>
        <v/>
      </c>
      <c r="E2723">
        <f>IF(OR(C2723="",D2723=""),"",IF(D2723=1,C2723,ROUND(C2723*(1+D2723/30),1)))</f>
        <v/>
      </c>
    </row>
    <row r="2724">
      <c r="A2724">
        <f>'Month 11'!B201</f>
        <v/>
      </c>
      <c r="B2724" t="inlineStr">
        <is>
          <t>Snatch</t>
        </is>
      </c>
      <c r="C2724">
        <f>IF(AND('Month 11'!L211&lt;&gt;"",N('Month 11'!I211)&gt;0),'Month 11'!I211,"")</f>
        <v/>
      </c>
      <c r="D2724">
        <f>IF(C2724="","",IF(N('Month 11'!J211)&gt;0,'Month 11'!J211,1))</f>
        <v/>
      </c>
      <c r="E2724">
        <f>IF(OR(C2724="",D2724=""),"",IF(D2724=1,C2724,ROUND(C2724*(1+D2724/30),1)))</f>
        <v/>
      </c>
    </row>
    <row r="2725">
      <c r="A2725">
        <f>'Month 11'!B201</f>
        <v/>
      </c>
      <c r="B2725" t="inlineStr">
        <is>
          <t>Snatch</t>
        </is>
      </c>
      <c r="C2725">
        <f>IF(AND('Month 11'!L212&lt;&gt;"",N('Month 11'!I212)&gt;0),'Month 11'!I212,"")</f>
        <v/>
      </c>
      <c r="D2725">
        <f>IF(C2725="","",IF(N('Month 11'!J212)&gt;0,'Month 11'!J212,1))</f>
        <v/>
      </c>
      <c r="E2725">
        <f>IF(OR(C2725="",D2725=""),"",IF(D2725=1,C2725,ROUND(C2725*(1+D2725/30),1)))</f>
        <v/>
      </c>
    </row>
    <row r="2726">
      <c r="A2726">
        <f>'Month 11'!B201</f>
        <v/>
      </c>
      <c r="B2726" t="inlineStr">
        <is>
          <t>Squat</t>
        </is>
      </c>
      <c r="C2726">
        <f>IF(AND('Month 11'!L214&lt;&gt;"",N('Month 11'!I214)&gt;0),'Month 11'!I214,"")</f>
        <v/>
      </c>
      <c r="D2726">
        <f>IF(C2726="","",IF(N('Month 11'!J214)&gt;0,'Month 11'!J214,1))</f>
        <v/>
      </c>
      <c r="E2726">
        <f>IF(OR(C2726="",D2726=""),"",IF(D2726=1,C2726,ROUND(C2726*(1+D2726/30),1)))</f>
        <v/>
      </c>
    </row>
    <row r="2727">
      <c r="A2727">
        <f>'Month 11'!B201</f>
        <v/>
      </c>
      <c r="B2727" t="inlineStr">
        <is>
          <t>Squat</t>
        </is>
      </c>
      <c r="C2727">
        <f>IF(AND('Month 11'!L215&lt;&gt;"",N('Month 11'!I215)&gt;0),'Month 11'!I215,"")</f>
        <v/>
      </c>
      <c r="D2727">
        <f>IF(C2727="","",IF(N('Month 11'!J215)&gt;0,'Month 11'!J215,1))</f>
        <v/>
      </c>
      <c r="E2727">
        <f>IF(OR(C2727="",D2727=""),"",IF(D2727=1,C2727,ROUND(C2727*(1+D2727/30),1)))</f>
        <v/>
      </c>
    </row>
    <row r="2728">
      <c r="A2728">
        <f>'Month 11'!B201</f>
        <v/>
      </c>
      <c r="B2728" t="inlineStr">
        <is>
          <t>Squat</t>
        </is>
      </c>
      <c r="C2728">
        <f>IF(AND('Month 11'!L216&lt;&gt;"",N('Month 11'!I216)&gt;0),'Month 11'!I216,"")</f>
        <v/>
      </c>
      <c r="D2728">
        <f>IF(C2728="","",IF(N('Month 11'!J216)&gt;0,'Month 11'!J216,1))</f>
        <v/>
      </c>
      <c r="E2728">
        <f>IF(OR(C2728="",D2728=""),"",IF(D2728=1,C2728,ROUND(C2728*(1+D2728/30),1)))</f>
        <v/>
      </c>
    </row>
    <row r="2729">
      <c r="A2729">
        <f>'Month 11'!B201</f>
        <v/>
      </c>
      <c r="B2729" t="inlineStr">
        <is>
          <t>Squat</t>
        </is>
      </c>
      <c r="C2729">
        <f>IF(AND('Month 11'!L217&lt;&gt;"",N('Month 11'!I217)&gt;0),'Month 11'!I217,"")</f>
        <v/>
      </c>
      <c r="D2729">
        <f>IF(C2729="","",IF(N('Month 11'!J217)&gt;0,'Month 11'!J217,1))</f>
        <v/>
      </c>
      <c r="E2729">
        <f>IF(OR(C2729="",D2729=""),"",IF(D2729=1,C2729,ROUND(C2729*(1+D2729/30),1)))</f>
        <v/>
      </c>
    </row>
    <row r="2730">
      <c r="A2730">
        <f>'Month 11'!B201</f>
        <v/>
      </c>
      <c r="B2730" t="inlineStr">
        <is>
          <t>Bench Press</t>
        </is>
      </c>
      <c r="C2730">
        <f>IF(AND('Month 11'!L219&lt;&gt;"",N('Month 11'!I219)&gt;0),'Month 11'!I219,"")</f>
        <v/>
      </c>
      <c r="D2730">
        <f>IF(C2730="","",IF(N('Month 11'!J219)&gt;0,'Month 11'!J219,1))</f>
        <v/>
      </c>
      <c r="E2730">
        <f>IF(OR(C2730="",D2730=""),"",IF(D2730=1,C2730,ROUND(C2730*(1+D2730/30),1)))</f>
        <v/>
      </c>
    </row>
    <row r="2731">
      <c r="A2731">
        <f>'Month 11'!B201</f>
        <v/>
      </c>
      <c r="B2731" t="inlineStr">
        <is>
          <t>Bench Press</t>
        </is>
      </c>
      <c r="C2731">
        <f>IF(AND('Month 11'!L220&lt;&gt;"",N('Month 11'!I220)&gt;0),'Month 11'!I220,"")</f>
        <v/>
      </c>
      <c r="D2731">
        <f>IF(C2731="","",IF(N('Month 11'!J220)&gt;0,'Month 11'!J220,1))</f>
        <v/>
      </c>
      <c r="E2731">
        <f>IF(OR(C2731="",D2731=""),"",IF(D2731=1,C2731,ROUND(C2731*(1+D2731/30),1)))</f>
        <v/>
      </c>
    </row>
    <row r="2732">
      <c r="A2732">
        <f>'Month 11'!B201</f>
        <v/>
      </c>
      <c r="B2732" t="inlineStr">
        <is>
          <t>Bench Press</t>
        </is>
      </c>
      <c r="C2732">
        <f>IF(AND('Month 11'!L221&lt;&gt;"",N('Month 11'!I221)&gt;0),'Month 11'!I221,"")</f>
        <v/>
      </c>
      <c r="D2732">
        <f>IF(C2732="","",IF(N('Month 11'!J221)&gt;0,'Month 11'!J221,1))</f>
        <v/>
      </c>
      <c r="E2732">
        <f>IF(OR(C2732="",D2732=""),"",IF(D2732=1,C2732,ROUND(C2732*(1+D2732/30),1)))</f>
        <v/>
      </c>
    </row>
    <row r="2733">
      <c r="A2733">
        <f>'Month 11'!B201</f>
        <v/>
      </c>
      <c r="B2733" t="inlineStr">
        <is>
          <t>Bench Press</t>
        </is>
      </c>
      <c r="C2733">
        <f>IF(AND('Month 11'!L222&lt;&gt;"",N('Month 11'!I222)&gt;0),'Month 11'!I222,"")</f>
        <v/>
      </c>
      <c r="D2733">
        <f>IF(C2733="","",IF(N('Month 11'!J222)&gt;0,'Month 11'!J222,1))</f>
        <v/>
      </c>
      <c r="E2733">
        <f>IF(OR(C2733="",D2733=""),"",IF(D2733=1,C2733,ROUND(C2733*(1+D2733/30),1)))</f>
        <v/>
      </c>
    </row>
    <row r="2734">
      <c r="A2734">
        <f>'Month 11'!B201</f>
        <v/>
      </c>
      <c r="B2734" t="inlineStr">
        <is>
          <t>Barbell Row</t>
        </is>
      </c>
      <c r="C2734">
        <f>IF(AND('Month 11'!L224&lt;&gt;"",N('Month 11'!I224)&gt;0),'Month 11'!I224,"")</f>
        <v/>
      </c>
      <c r="D2734">
        <f>IF(C2734="","",IF(N('Month 11'!J224)&gt;0,'Month 11'!J224,1))</f>
        <v/>
      </c>
      <c r="E2734">
        <f>IF(OR(C2734="",D2734=""),"",IF(D2734=1,C2734,ROUND(C2734*(1+D2734/30),1)))</f>
        <v/>
      </c>
    </row>
    <row r="2735">
      <c r="A2735">
        <f>'Month 11'!B201</f>
        <v/>
      </c>
      <c r="B2735" t="inlineStr">
        <is>
          <t>Barbell Row</t>
        </is>
      </c>
      <c r="C2735">
        <f>IF(AND('Month 11'!L225&lt;&gt;"",N('Month 11'!I225)&gt;0),'Month 11'!I225,"")</f>
        <v/>
      </c>
      <c r="D2735">
        <f>IF(C2735="","",IF(N('Month 11'!J225)&gt;0,'Month 11'!J225,1))</f>
        <v/>
      </c>
      <c r="E2735">
        <f>IF(OR(C2735="",D2735=""),"",IF(D2735=1,C2735,ROUND(C2735*(1+D2735/30),1)))</f>
        <v/>
      </c>
    </row>
    <row r="2736">
      <c r="A2736">
        <f>'Month 11'!B201</f>
        <v/>
      </c>
      <c r="B2736" t="inlineStr">
        <is>
          <t>Barbell Row</t>
        </is>
      </c>
      <c r="C2736">
        <f>IF(AND('Month 11'!L226&lt;&gt;"",N('Month 11'!I226)&gt;0),'Month 11'!I226,"")</f>
        <v/>
      </c>
      <c r="D2736">
        <f>IF(C2736="","",IF(N('Month 11'!J226)&gt;0,'Month 11'!J226,1))</f>
        <v/>
      </c>
      <c r="E2736">
        <f>IF(OR(C2736="",D2736=""),"",IF(D2736=1,C2736,ROUND(C2736*(1+D2736/30),1)))</f>
        <v/>
      </c>
    </row>
    <row r="2737">
      <c r="A2737">
        <f>'Month 11'!B201</f>
        <v/>
      </c>
      <c r="B2737" t="inlineStr">
        <is>
          <t>Face Pull</t>
        </is>
      </c>
      <c r="C2737">
        <f>IF(AND('Month 11'!L228&lt;&gt;"",N('Month 11'!I228)&gt;0),'Month 11'!I228,"")</f>
        <v/>
      </c>
      <c r="D2737">
        <f>IF(C2737="","",IF(N('Month 11'!J228)&gt;0,'Month 11'!J228,1))</f>
        <v/>
      </c>
      <c r="E2737">
        <f>IF(OR(C2737="",D2737=""),"",IF(D2737=1,C2737,ROUND(C2737*(1+D2737/30),1)))</f>
        <v/>
      </c>
    </row>
    <row r="2738">
      <c r="A2738">
        <f>'Month 11'!B201</f>
        <v/>
      </c>
      <c r="B2738" t="inlineStr">
        <is>
          <t>Face Pull</t>
        </is>
      </c>
      <c r="C2738">
        <f>IF(AND('Month 11'!L229&lt;&gt;"",N('Month 11'!I229)&gt;0),'Month 11'!I229,"")</f>
        <v/>
      </c>
      <c r="D2738">
        <f>IF(C2738="","",IF(N('Month 11'!J229)&gt;0,'Month 11'!J229,1))</f>
        <v/>
      </c>
      <c r="E2738">
        <f>IF(OR(C2738="",D2738=""),"",IF(D2738=1,C2738,ROUND(C2738*(1+D2738/30),1)))</f>
        <v/>
      </c>
    </row>
    <row r="2739">
      <c r="A2739">
        <f>'Month 11'!B201</f>
        <v/>
      </c>
      <c r="B2739" t="inlineStr">
        <is>
          <t>Face Pull</t>
        </is>
      </c>
      <c r="C2739">
        <f>IF(AND('Month 11'!L230&lt;&gt;"",N('Month 11'!I230)&gt;0),'Month 11'!I230,"")</f>
        <v/>
      </c>
      <c r="D2739">
        <f>IF(C2739="","",IF(N('Month 11'!J230)&gt;0,'Month 11'!J230,1))</f>
        <v/>
      </c>
      <c r="E2739">
        <f>IF(OR(C2739="",D2739=""),"",IF(D2739=1,C2739,ROUND(C2739*(1+D2739/30),1)))</f>
        <v/>
      </c>
    </row>
    <row r="2740">
      <c r="A2740">
        <f>'Month 11'!B231</f>
        <v/>
      </c>
      <c r="B2740" t="inlineStr">
        <is>
          <t>Broad Jump</t>
        </is>
      </c>
      <c r="C2740">
        <f>IF(AND('Month 11'!L233&lt;&gt;"",N('Month 11'!I233)&gt;0),'Month 11'!I233,"")</f>
        <v/>
      </c>
      <c r="D2740">
        <f>IF(C2740="","",IF(N('Month 11'!J233)&gt;0,'Month 11'!J233,1))</f>
        <v/>
      </c>
      <c r="E2740">
        <f>IF(OR(C2740="",D2740=""),"",IF(D2740=1,C2740,ROUND(C2740*(1+D2740/30),1)))</f>
        <v/>
      </c>
    </row>
    <row r="2741">
      <c r="A2741">
        <f>'Month 11'!B231</f>
        <v/>
      </c>
      <c r="B2741" t="inlineStr">
        <is>
          <t>Broad Jump</t>
        </is>
      </c>
      <c r="C2741">
        <f>IF(AND('Month 11'!L234&lt;&gt;"",N('Month 11'!I234)&gt;0),'Month 11'!I234,"")</f>
        <v/>
      </c>
      <c r="D2741">
        <f>IF(C2741="","",IF(N('Month 11'!J234)&gt;0,'Month 11'!J234,1))</f>
        <v/>
      </c>
      <c r="E2741">
        <f>IF(OR(C2741="",D2741=""),"",IF(D2741=1,C2741,ROUND(C2741*(1+D2741/30),1)))</f>
        <v/>
      </c>
    </row>
    <row r="2742">
      <c r="A2742">
        <f>'Month 11'!B231</f>
        <v/>
      </c>
      <c r="B2742" t="inlineStr">
        <is>
          <t>Broad Jump</t>
        </is>
      </c>
      <c r="C2742">
        <f>IF(AND('Month 11'!L235&lt;&gt;"",N('Month 11'!I235)&gt;0),'Month 11'!I235,"")</f>
        <v/>
      </c>
      <c r="D2742">
        <f>IF(C2742="","",IF(N('Month 11'!J235)&gt;0,'Month 11'!J235,1))</f>
        <v/>
      </c>
      <c r="E2742">
        <f>IF(OR(C2742="",D2742=""),"",IF(D2742=1,C2742,ROUND(C2742*(1+D2742/30),1)))</f>
        <v/>
      </c>
    </row>
    <row r="2743">
      <c r="A2743">
        <f>'Month 11'!B231</f>
        <v/>
      </c>
      <c r="B2743" t="inlineStr">
        <is>
          <t>Broad Jump</t>
        </is>
      </c>
      <c r="C2743">
        <f>IF(AND('Month 11'!L236&lt;&gt;"",N('Month 11'!I236)&gt;0),'Month 11'!I236,"")</f>
        <v/>
      </c>
      <c r="D2743">
        <f>IF(C2743="","",IF(N('Month 11'!J236)&gt;0,'Month 11'!J236,1))</f>
        <v/>
      </c>
      <c r="E2743">
        <f>IF(OR(C2743="",D2743=""),"",IF(D2743=1,C2743,ROUND(C2743*(1+D2743/30),1)))</f>
        <v/>
      </c>
    </row>
    <row r="2744">
      <c r="A2744">
        <f>'Month 11'!B231</f>
        <v/>
      </c>
      <c r="B2744" t="inlineStr">
        <is>
          <t>Med Ball Chest Pass</t>
        </is>
      </c>
      <c r="C2744">
        <f>IF(AND('Month 11'!L238&lt;&gt;"",N('Month 11'!I238)&gt;0),'Month 11'!I238,"")</f>
        <v/>
      </c>
      <c r="D2744">
        <f>IF(C2744="","",IF(N('Month 11'!J238)&gt;0,'Month 11'!J238,1))</f>
        <v/>
      </c>
      <c r="E2744">
        <f>IF(OR(C2744="",D2744=""),"",IF(D2744=1,C2744,ROUND(C2744*(1+D2744/30),1)))</f>
        <v/>
      </c>
    </row>
    <row r="2745">
      <c r="A2745">
        <f>'Month 11'!B231</f>
        <v/>
      </c>
      <c r="B2745" t="inlineStr">
        <is>
          <t>Med Ball Chest Pass</t>
        </is>
      </c>
      <c r="C2745">
        <f>IF(AND('Month 11'!L239&lt;&gt;"",N('Month 11'!I239)&gt;0),'Month 11'!I239,"")</f>
        <v/>
      </c>
      <c r="D2745">
        <f>IF(C2745="","",IF(N('Month 11'!J239)&gt;0,'Month 11'!J239,1))</f>
        <v/>
      </c>
      <c r="E2745">
        <f>IF(OR(C2745="",D2745=""),"",IF(D2745=1,C2745,ROUND(C2745*(1+D2745/30),1)))</f>
        <v/>
      </c>
    </row>
    <row r="2746">
      <c r="A2746">
        <f>'Month 11'!B231</f>
        <v/>
      </c>
      <c r="B2746" t="inlineStr">
        <is>
          <t>Med Ball Chest Pass</t>
        </is>
      </c>
      <c r="C2746">
        <f>IF(AND('Month 11'!L240&lt;&gt;"",N('Month 11'!I240)&gt;0),'Month 11'!I240,"")</f>
        <v/>
      </c>
      <c r="D2746">
        <f>IF(C2746="","",IF(N('Month 11'!J240)&gt;0,'Month 11'!J240,1))</f>
        <v/>
      </c>
      <c r="E2746">
        <f>IF(OR(C2746="",D2746=""),"",IF(D2746=1,C2746,ROUND(C2746*(1+D2746/30),1)))</f>
        <v/>
      </c>
    </row>
    <row r="2747">
      <c r="A2747">
        <f>'Month 11'!B231</f>
        <v/>
      </c>
      <c r="B2747" t="inlineStr">
        <is>
          <t>Clean &amp; Jerk</t>
        </is>
      </c>
      <c r="C2747">
        <f>IF(AND('Month 11'!L242&lt;&gt;"",N('Month 11'!I242)&gt;0),'Month 11'!I242,"")</f>
        <v/>
      </c>
      <c r="D2747">
        <f>IF(C2747="","",IF(N('Month 11'!J242)&gt;0,'Month 11'!J242,1))</f>
        <v/>
      </c>
      <c r="E2747">
        <f>IF(OR(C2747="",D2747=""),"",IF(D2747=1,C2747,ROUND(C2747*(1+D2747/30),1)))</f>
        <v/>
      </c>
    </row>
    <row r="2748">
      <c r="A2748">
        <f>'Month 11'!B231</f>
        <v/>
      </c>
      <c r="B2748" t="inlineStr">
        <is>
          <t>Clean &amp; Jerk</t>
        </is>
      </c>
      <c r="C2748">
        <f>IF(AND('Month 11'!L243&lt;&gt;"",N('Month 11'!I243)&gt;0),'Month 11'!I243,"")</f>
        <v/>
      </c>
      <c r="D2748">
        <f>IF(C2748="","",IF(N('Month 11'!J243)&gt;0,'Month 11'!J243,1))</f>
        <v/>
      </c>
      <c r="E2748">
        <f>IF(OR(C2748="",D2748=""),"",IF(D2748=1,C2748,ROUND(C2748*(1+D2748/30),1)))</f>
        <v/>
      </c>
    </row>
    <row r="2749">
      <c r="A2749">
        <f>'Month 11'!B231</f>
        <v/>
      </c>
      <c r="B2749" t="inlineStr">
        <is>
          <t>Clean &amp; Jerk</t>
        </is>
      </c>
      <c r="C2749">
        <f>IF(AND('Month 11'!L244&lt;&gt;"",N('Month 11'!I244)&gt;0),'Month 11'!I244,"")</f>
        <v/>
      </c>
      <c r="D2749">
        <f>IF(C2749="","",IF(N('Month 11'!J244)&gt;0,'Month 11'!J244,1))</f>
        <v/>
      </c>
      <c r="E2749">
        <f>IF(OR(C2749="",D2749=""),"",IF(D2749=1,C2749,ROUND(C2749*(1+D2749/30),1)))</f>
        <v/>
      </c>
    </row>
    <row r="2750">
      <c r="A2750">
        <f>'Month 11'!B231</f>
        <v/>
      </c>
      <c r="B2750" t="inlineStr">
        <is>
          <t>Clean &amp; Jerk</t>
        </is>
      </c>
      <c r="C2750">
        <f>IF(AND('Month 11'!L245&lt;&gt;"",N('Month 11'!I245)&gt;0),'Month 11'!I245,"")</f>
        <v/>
      </c>
      <c r="D2750">
        <f>IF(C2750="","",IF(N('Month 11'!J245)&gt;0,'Month 11'!J245,1))</f>
        <v/>
      </c>
      <c r="E2750">
        <f>IF(OR(C2750="",D2750=""),"",IF(D2750=1,C2750,ROUND(C2750*(1+D2750/30),1)))</f>
        <v/>
      </c>
    </row>
    <row r="2751">
      <c r="A2751">
        <f>'Month 11'!B231</f>
        <v/>
      </c>
      <c r="B2751" t="inlineStr">
        <is>
          <t>Clean &amp; Jerk</t>
        </is>
      </c>
      <c r="C2751">
        <f>IF(AND('Month 11'!L246&lt;&gt;"",N('Month 11'!I246)&gt;0),'Month 11'!I246,"")</f>
        <v/>
      </c>
      <c r="D2751">
        <f>IF(C2751="","",IF(N('Month 11'!J246)&gt;0,'Month 11'!J246,1))</f>
        <v/>
      </c>
      <c r="E2751">
        <f>IF(OR(C2751="",D2751=""),"",IF(D2751=1,C2751,ROUND(C2751*(1+D2751/30),1)))</f>
        <v/>
      </c>
    </row>
    <row r="2752">
      <c r="A2752">
        <f>'Month 11'!B231</f>
        <v/>
      </c>
      <c r="B2752" t="inlineStr">
        <is>
          <t>Squat</t>
        </is>
      </c>
      <c r="C2752">
        <f>IF(AND('Month 11'!L248&lt;&gt;"",N('Month 11'!I248)&gt;0),'Month 11'!I248,"")</f>
        <v/>
      </c>
      <c r="D2752">
        <f>IF(C2752="","",IF(N('Month 11'!J248)&gt;0,'Month 11'!J248,1))</f>
        <v/>
      </c>
      <c r="E2752">
        <f>IF(OR(C2752="",D2752=""),"",IF(D2752=1,C2752,ROUND(C2752*(1+D2752/30),1)))</f>
        <v/>
      </c>
    </row>
    <row r="2753">
      <c r="A2753">
        <f>'Month 11'!B231</f>
        <v/>
      </c>
      <c r="B2753" t="inlineStr">
        <is>
          <t>Squat</t>
        </is>
      </c>
      <c r="C2753">
        <f>IF(AND('Month 11'!L249&lt;&gt;"",N('Month 11'!I249)&gt;0),'Month 11'!I249,"")</f>
        <v/>
      </c>
      <c r="D2753">
        <f>IF(C2753="","",IF(N('Month 11'!J249)&gt;0,'Month 11'!J249,1))</f>
        <v/>
      </c>
      <c r="E2753">
        <f>IF(OR(C2753="",D2753=""),"",IF(D2753=1,C2753,ROUND(C2753*(1+D2753/30),1)))</f>
        <v/>
      </c>
    </row>
    <row r="2754">
      <c r="A2754">
        <f>'Month 11'!B231</f>
        <v/>
      </c>
      <c r="B2754" t="inlineStr">
        <is>
          <t>Squat</t>
        </is>
      </c>
      <c r="C2754">
        <f>IF(AND('Month 11'!L250&lt;&gt;"",N('Month 11'!I250)&gt;0),'Month 11'!I250,"")</f>
        <v/>
      </c>
      <c r="D2754">
        <f>IF(C2754="","",IF(N('Month 11'!J250)&gt;0,'Month 11'!J250,1))</f>
        <v/>
      </c>
      <c r="E2754">
        <f>IF(OR(C2754="",D2754=""),"",IF(D2754=1,C2754,ROUND(C2754*(1+D2754/30),1)))</f>
        <v/>
      </c>
    </row>
    <row r="2755">
      <c r="A2755">
        <f>'Month 11'!B231</f>
        <v/>
      </c>
      <c r="B2755" t="inlineStr">
        <is>
          <t>Overhead Press</t>
        </is>
      </c>
      <c r="C2755">
        <f>IF(AND('Month 11'!L252&lt;&gt;"",N('Month 11'!I252)&gt;0),'Month 11'!I252,"")</f>
        <v/>
      </c>
      <c r="D2755">
        <f>IF(C2755="","",IF(N('Month 11'!J252)&gt;0,'Month 11'!J252,1))</f>
        <v/>
      </c>
      <c r="E2755">
        <f>IF(OR(C2755="",D2755=""),"",IF(D2755=1,C2755,ROUND(C2755*(1+D2755/30),1)))</f>
        <v/>
      </c>
    </row>
    <row r="2756">
      <c r="A2756">
        <f>'Month 11'!B231</f>
        <v/>
      </c>
      <c r="B2756" t="inlineStr">
        <is>
          <t>Overhead Press</t>
        </is>
      </c>
      <c r="C2756">
        <f>IF(AND('Month 11'!L253&lt;&gt;"",N('Month 11'!I253)&gt;0),'Month 11'!I253,"")</f>
        <v/>
      </c>
      <c r="D2756">
        <f>IF(C2756="","",IF(N('Month 11'!J253)&gt;0,'Month 11'!J253,1))</f>
        <v/>
      </c>
      <c r="E2756">
        <f>IF(OR(C2756="",D2756=""),"",IF(D2756=1,C2756,ROUND(C2756*(1+D2756/30),1)))</f>
        <v/>
      </c>
    </row>
    <row r="2757">
      <c r="A2757">
        <f>'Month 11'!B231</f>
        <v/>
      </c>
      <c r="B2757" t="inlineStr">
        <is>
          <t>Overhead Press</t>
        </is>
      </c>
      <c r="C2757">
        <f>IF(AND('Month 11'!L254&lt;&gt;"",N('Month 11'!I254)&gt;0),'Month 11'!I254,"")</f>
        <v/>
      </c>
      <c r="D2757">
        <f>IF(C2757="","",IF(N('Month 11'!J254)&gt;0,'Month 11'!J254,1))</f>
        <v/>
      </c>
      <c r="E2757">
        <f>IF(OR(C2757="",D2757=""),"",IF(D2757=1,C2757,ROUND(C2757*(1+D2757/30),1)))</f>
        <v/>
      </c>
    </row>
    <row r="2758">
      <c r="A2758">
        <f>'Month 11'!B231</f>
        <v/>
      </c>
      <c r="B2758" t="inlineStr">
        <is>
          <t>Deadlift</t>
        </is>
      </c>
      <c r="C2758">
        <f>IF(AND('Month 11'!L256&lt;&gt;"",N('Month 11'!I256)&gt;0),'Month 11'!I256,"")</f>
        <v/>
      </c>
      <c r="D2758">
        <f>IF(C2758="","",IF(N('Month 11'!J256)&gt;0,'Month 11'!J256,1))</f>
        <v/>
      </c>
      <c r="E2758">
        <f>IF(OR(C2758="",D2758=""),"",IF(D2758=1,C2758,ROUND(C2758*(1+D2758/30),1)))</f>
        <v/>
      </c>
    </row>
    <row r="2759">
      <c r="A2759">
        <f>'Month 11'!B231</f>
        <v/>
      </c>
      <c r="B2759" t="inlineStr">
        <is>
          <t>Deadlift</t>
        </is>
      </c>
      <c r="C2759">
        <f>IF(AND('Month 11'!L257&lt;&gt;"",N('Month 11'!I257)&gt;0),'Month 11'!I257,"")</f>
        <v/>
      </c>
      <c r="D2759">
        <f>IF(C2759="","",IF(N('Month 11'!J257)&gt;0,'Month 11'!J257,1))</f>
        <v/>
      </c>
      <c r="E2759">
        <f>IF(OR(C2759="",D2759=""),"",IF(D2759=1,C2759,ROUND(C2759*(1+D2759/30),1)))</f>
        <v/>
      </c>
    </row>
    <row r="2760">
      <c r="A2760">
        <f>'Month 11'!B231</f>
        <v/>
      </c>
      <c r="B2760" t="inlineStr">
        <is>
          <t>Deadlift</t>
        </is>
      </c>
      <c r="C2760">
        <f>IF(AND('Month 11'!L258&lt;&gt;"",N('Month 11'!I258)&gt;0),'Month 11'!I258,"")</f>
        <v/>
      </c>
      <c r="D2760">
        <f>IF(C2760="","",IF(N('Month 11'!J258)&gt;0,'Month 11'!J258,1))</f>
        <v/>
      </c>
      <c r="E2760">
        <f>IF(OR(C2760="",D2760=""),"",IF(D2760=1,C2760,ROUND(C2760*(1+D2760/30),1)))</f>
        <v/>
      </c>
    </row>
    <row r="2761">
      <c r="A2761">
        <f>'Month 11'!B231</f>
        <v/>
      </c>
      <c r="B2761" t="inlineStr">
        <is>
          <t>Chin-up</t>
        </is>
      </c>
      <c r="C2761">
        <f>IF(AND('Month 11'!L260&lt;&gt;"",N('Month 11'!I260)&gt;0),'Month 11'!I260,"")</f>
        <v/>
      </c>
      <c r="D2761">
        <f>IF(C2761="","",IF(N('Month 11'!J260)&gt;0,'Month 11'!J260,1))</f>
        <v/>
      </c>
      <c r="E2761">
        <f>IF(OR(C2761="",D2761=""),"",IF(D2761=1,C2761,ROUND(C2761*(1+D2761/30),1)))</f>
        <v/>
      </c>
    </row>
    <row r="2762">
      <c r="A2762">
        <f>'Month 11'!B231</f>
        <v/>
      </c>
      <c r="B2762" t="inlineStr">
        <is>
          <t>Chin-up</t>
        </is>
      </c>
      <c r="C2762">
        <f>IF(AND('Month 11'!L261&lt;&gt;"",N('Month 11'!I261)&gt;0),'Month 11'!I261,"")</f>
        <v/>
      </c>
      <c r="D2762">
        <f>IF(C2762="","",IF(N('Month 11'!J261)&gt;0,'Month 11'!J261,1))</f>
        <v/>
      </c>
      <c r="E2762">
        <f>IF(OR(C2762="",D2762=""),"",IF(D2762=1,C2762,ROUND(C2762*(1+D2762/30),1)))</f>
        <v/>
      </c>
    </row>
    <row r="2763">
      <c r="A2763">
        <f>'Month 11'!B231</f>
        <v/>
      </c>
      <c r="B2763" t="inlineStr">
        <is>
          <t>Chin-up</t>
        </is>
      </c>
      <c r="C2763">
        <f>IF(AND('Month 11'!L262&lt;&gt;"",N('Month 11'!I262)&gt;0),'Month 11'!I262,"")</f>
        <v/>
      </c>
      <c r="D2763">
        <f>IF(C2763="","",IF(N('Month 11'!J262)&gt;0,'Month 11'!J262,1))</f>
        <v/>
      </c>
      <c r="E2763">
        <f>IF(OR(C2763="",D2763=""),"",IF(D2763=1,C2763,ROUND(C2763*(1+D2763/30),1)))</f>
        <v/>
      </c>
    </row>
    <row r="2764">
      <c r="A2764">
        <f>'Month 11'!B231</f>
        <v/>
      </c>
      <c r="B2764" t="inlineStr">
        <is>
          <t>Plank</t>
        </is>
      </c>
      <c r="C2764">
        <f>IF(AND('Month 11'!L264&lt;&gt;"",N('Month 11'!I264)&gt;0),'Month 11'!I264,"")</f>
        <v/>
      </c>
      <c r="D2764">
        <f>IF(C2764="","",IF(N('Month 11'!J264)&gt;0,'Month 11'!J264,1))</f>
        <v/>
      </c>
      <c r="E2764">
        <f>IF(OR(C2764="",D2764=""),"",IF(D2764=1,C2764,ROUND(C2764*(1+D2764/30),1)))</f>
        <v/>
      </c>
    </row>
    <row r="2765">
      <c r="A2765">
        <f>'Month 11'!B231</f>
        <v/>
      </c>
      <c r="B2765" t="inlineStr">
        <is>
          <t>Plank</t>
        </is>
      </c>
      <c r="C2765">
        <f>IF(AND('Month 11'!L265&lt;&gt;"",N('Month 11'!I265)&gt;0),'Month 11'!I265,"")</f>
        <v/>
      </c>
      <c r="D2765">
        <f>IF(C2765="","",IF(N('Month 11'!J265)&gt;0,'Month 11'!J265,1))</f>
        <v/>
      </c>
      <c r="E2765">
        <f>IF(OR(C2765="",D2765=""),"",IF(D2765=1,C2765,ROUND(C2765*(1+D2765/30),1)))</f>
        <v/>
      </c>
    </row>
    <row r="2766">
      <c r="A2766">
        <f>'Month 11'!B231</f>
        <v/>
      </c>
      <c r="B2766" t="inlineStr">
        <is>
          <t>Plank</t>
        </is>
      </c>
      <c r="C2766">
        <f>IF(AND('Month 11'!L266&lt;&gt;"",N('Month 11'!I266)&gt;0),'Month 11'!I266,"")</f>
        <v/>
      </c>
      <c r="D2766">
        <f>IF(C2766="","",IF(N('Month 11'!J266)&gt;0,'Month 11'!J266,1))</f>
        <v/>
      </c>
      <c r="E2766">
        <f>IF(OR(C2766="",D2766=""),"",IF(D2766=1,C2766,ROUND(C2766*(1+D2766/30),1)))</f>
        <v/>
      </c>
    </row>
    <row r="2767">
      <c r="A2767">
        <f>'Month 11'!B267</f>
        <v/>
      </c>
      <c r="B2767" t="inlineStr">
        <is>
          <t>Plyo Push-up</t>
        </is>
      </c>
      <c r="C2767">
        <f>IF(AND('Month 11'!L269&lt;&gt;"",N('Month 11'!I269)&gt;0),'Month 11'!I269,"")</f>
        <v/>
      </c>
      <c r="D2767">
        <f>IF(C2767="","",IF(N('Month 11'!J269)&gt;0,'Month 11'!J269,1))</f>
        <v/>
      </c>
      <c r="E2767">
        <f>IF(OR(C2767="",D2767=""),"",IF(D2767=1,C2767,ROUND(C2767*(1+D2767/30),1)))</f>
        <v/>
      </c>
    </row>
    <row r="2768">
      <c r="A2768">
        <f>'Month 11'!B267</f>
        <v/>
      </c>
      <c r="B2768" t="inlineStr">
        <is>
          <t>Plyo Push-up</t>
        </is>
      </c>
      <c r="C2768">
        <f>IF(AND('Month 11'!L270&lt;&gt;"",N('Month 11'!I270)&gt;0),'Month 11'!I270,"")</f>
        <v/>
      </c>
      <c r="D2768">
        <f>IF(C2768="","",IF(N('Month 11'!J270)&gt;0,'Month 11'!J270,1))</f>
        <v/>
      </c>
      <c r="E2768">
        <f>IF(OR(C2768="",D2768=""),"",IF(D2768=1,C2768,ROUND(C2768*(1+D2768/30),1)))</f>
        <v/>
      </c>
    </row>
    <row r="2769">
      <c r="A2769">
        <f>'Month 11'!B267</f>
        <v/>
      </c>
      <c r="B2769" t="inlineStr">
        <is>
          <t>Plyo Push-up</t>
        </is>
      </c>
      <c r="C2769">
        <f>IF(AND('Month 11'!L271&lt;&gt;"",N('Month 11'!I271)&gt;0),'Month 11'!I271,"")</f>
        <v/>
      </c>
      <c r="D2769">
        <f>IF(C2769="","",IF(N('Month 11'!J271)&gt;0,'Month 11'!J271,1))</f>
        <v/>
      </c>
      <c r="E2769">
        <f>IF(OR(C2769="",D2769=""),"",IF(D2769=1,C2769,ROUND(C2769*(1+D2769/30),1)))</f>
        <v/>
      </c>
    </row>
    <row r="2770">
      <c r="A2770">
        <f>'Month 11'!B267</f>
        <v/>
      </c>
      <c r="B2770" t="inlineStr">
        <is>
          <t>Plyo Push-up</t>
        </is>
      </c>
      <c r="C2770">
        <f>IF(AND('Month 11'!L272&lt;&gt;"",N('Month 11'!I272)&gt;0),'Month 11'!I272,"")</f>
        <v/>
      </c>
      <c r="D2770">
        <f>IF(C2770="","",IF(N('Month 11'!J272)&gt;0,'Month 11'!J272,1))</f>
        <v/>
      </c>
      <c r="E2770">
        <f>IF(OR(C2770="",D2770=""),"",IF(D2770=1,C2770,ROUND(C2770*(1+D2770/30),1)))</f>
        <v/>
      </c>
    </row>
    <row r="2771">
      <c r="A2771">
        <f>'Month 11'!B267</f>
        <v/>
      </c>
      <c r="B2771" t="inlineStr">
        <is>
          <t>Hang Snatch</t>
        </is>
      </c>
      <c r="C2771">
        <f>IF(AND('Month 11'!L274&lt;&gt;"",N('Month 11'!I274)&gt;0),'Month 11'!I274,"")</f>
        <v/>
      </c>
      <c r="D2771">
        <f>IF(C2771="","",IF(N('Month 11'!J274)&gt;0,'Month 11'!J274,1))</f>
        <v/>
      </c>
      <c r="E2771">
        <f>IF(OR(C2771="",D2771=""),"",IF(D2771=1,C2771,ROUND(C2771*(1+D2771/30),1)))</f>
        <v/>
      </c>
    </row>
    <row r="2772">
      <c r="A2772">
        <f>'Month 11'!B267</f>
        <v/>
      </c>
      <c r="B2772" t="inlineStr">
        <is>
          <t>Hang Snatch</t>
        </is>
      </c>
      <c r="C2772">
        <f>IF(AND('Month 11'!L275&lt;&gt;"",N('Month 11'!I275)&gt;0),'Month 11'!I275,"")</f>
        <v/>
      </c>
      <c r="D2772">
        <f>IF(C2772="","",IF(N('Month 11'!J275)&gt;0,'Month 11'!J275,1))</f>
        <v/>
      </c>
      <c r="E2772">
        <f>IF(OR(C2772="",D2772=""),"",IF(D2772=1,C2772,ROUND(C2772*(1+D2772/30),1)))</f>
        <v/>
      </c>
    </row>
    <row r="2773">
      <c r="A2773">
        <f>'Month 11'!B267</f>
        <v/>
      </c>
      <c r="B2773" t="inlineStr">
        <is>
          <t>Hang Snatch</t>
        </is>
      </c>
      <c r="C2773">
        <f>IF(AND('Month 11'!L276&lt;&gt;"",N('Month 11'!I276)&gt;0),'Month 11'!I276,"")</f>
        <v/>
      </c>
      <c r="D2773">
        <f>IF(C2773="","",IF(N('Month 11'!J276)&gt;0,'Month 11'!J276,1))</f>
        <v/>
      </c>
      <c r="E2773">
        <f>IF(OR(C2773="",D2773=""),"",IF(D2773=1,C2773,ROUND(C2773*(1+D2773/30),1)))</f>
        <v/>
      </c>
    </row>
    <row r="2774">
      <c r="A2774">
        <f>'Month 11'!B267</f>
        <v/>
      </c>
      <c r="B2774" t="inlineStr">
        <is>
          <t>Hang Snatch</t>
        </is>
      </c>
      <c r="C2774">
        <f>IF(AND('Month 11'!L277&lt;&gt;"",N('Month 11'!I277)&gt;0),'Month 11'!I277,"")</f>
        <v/>
      </c>
      <c r="D2774">
        <f>IF(C2774="","",IF(N('Month 11'!J277)&gt;0,'Month 11'!J277,1))</f>
        <v/>
      </c>
      <c r="E2774">
        <f>IF(OR(C2774="",D2774=""),"",IF(D2774=1,C2774,ROUND(C2774*(1+D2774/30),1)))</f>
        <v/>
      </c>
    </row>
    <row r="2775">
      <c r="A2775">
        <f>'Month 11'!B267</f>
        <v/>
      </c>
      <c r="B2775" t="inlineStr">
        <is>
          <t>Box Squat</t>
        </is>
      </c>
      <c r="C2775">
        <f>IF(AND('Month 11'!L279&lt;&gt;"",N('Month 11'!I279)&gt;0),'Month 11'!I279,"")</f>
        <v/>
      </c>
      <c r="D2775">
        <f>IF(C2775="","",IF(N('Month 11'!J279)&gt;0,'Month 11'!J279,1))</f>
        <v/>
      </c>
      <c r="E2775">
        <f>IF(OR(C2775="",D2775=""),"",IF(D2775=1,C2775,ROUND(C2775*(1+D2775/30),1)))</f>
        <v/>
      </c>
    </row>
    <row r="2776">
      <c r="A2776">
        <f>'Month 11'!B267</f>
        <v/>
      </c>
      <c r="B2776" t="inlineStr">
        <is>
          <t>Box Squat</t>
        </is>
      </c>
      <c r="C2776">
        <f>IF(AND('Month 11'!L280&lt;&gt;"",N('Month 11'!I280)&gt;0),'Month 11'!I280,"")</f>
        <v/>
      </c>
      <c r="D2776">
        <f>IF(C2776="","",IF(N('Month 11'!J280)&gt;0,'Month 11'!J280,1))</f>
        <v/>
      </c>
      <c r="E2776">
        <f>IF(OR(C2776="",D2776=""),"",IF(D2776=1,C2776,ROUND(C2776*(1+D2776/30),1)))</f>
        <v/>
      </c>
    </row>
    <row r="2777">
      <c r="A2777">
        <f>'Month 11'!B267</f>
        <v/>
      </c>
      <c r="B2777" t="inlineStr">
        <is>
          <t>Box Squat</t>
        </is>
      </c>
      <c r="C2777">
        <f>IF(AND('Month 11'!L281&lt;&gt;"",N('Month 11'!I281)&gt;0),'Month 11'!I281,"")</f>
        <v/>
      </c>
      <c r="D2777">
        <f>IF(C2777="","",IF(N('Month 11'!J281)&gt;0,'Month 11'!J281,1))</f>
        <v/>
      </c>
      <c r="E2777">
        <f>IF(OR(C2777="",D2777=""),"",IF(D2777=1,C2777,ROUND(C2777*(1+D2777/30),1)))</f>
        <v/>
      </c>
    </row>
    <row r="2778">
      <c r="A2778">
        <f>'Month 11'!B267</f>
        <v/>
      </c>
      <c r="B2778" t="inlineStr">
        <is>
          <t>1-Board Press</t>
        </is>
      </c>
      <c r="C2778">
        <f>IF(AND('Month 11'!L283&lt;&gt;"",N('Month 11'!I283)&gt;0),'Month 11'!I283,"")</f>
        <v/>
      </c>
      <c r="D2778">
        <f>IF(C2778="","",IF(N('Month 11'!J283)&gt;0,'Month 11'!J283,1))</f>
        <v/>
      </c>
      <c r="E2778">
        <f>IF(OR(C2778="",D2778=""),"",IF(D2778=1,C2778,ROUND(C2778*(1+D2778/30),1)))</f>
        <v/>
      </c>
    </row>
    <row r="2779">
      <c r="A2779">
        <f>'Month 11'!B267</f>
        <v/>
      </c>
      <c r="B2779" t="inlineStr">
        <is>
          <t>1-Board Press</t>
        </is>
      </c>
      <c r="C2779">
        <f>IF(AND('Month 11'!L284&lt;&gt;"",N('Month 11'!I284)&gt;0),'Month 11'!I284,"")</f>
        <v/>
      </c>
      <c r="D2779">
        <f>IF(C2779="","",IF(N('Month 11'!J284)&gt;0,'Month 11'!J284,1))</f>
        <v/>
      </c>
      <c r="E2779">
        <f>IF(OR(C2779="",D2779=""),"",IF(D2779=1,C2779,ROUND(C2779*(1+D2779/30),1)))</f>
        <v/>
      </c>
    </row>
    <row r="2780">
      <c r="A2780">
        <f>'Month 11'!B267</f>
        <v/>
      </c>
      <c r="B2780" t="inlineStr">
        <is>
          <t>1-Board Press</t>
        </is>
      </c>
      <c r="C2780">
        <f>IF(AND('Month 11'!L285&lt;&gt;"",N('Month 11'!I285)&gt;0),'Month 11'!I285,"")</f>
        <v/>
      </c>
      <c r="D2780">
        <f>IF(C2780="","",IF(N('Month 11'!J285)&gt;0,'Month 11'!J285,1))</f>
        <v/>
      </c>
      <c r="E2780">
        <f>IF(OR(C2780="",D2780=""),"",IF(D2780=1,C2780,ROUND(C2780*(1+D2780/30),1)))</f>
        <v/>
      </c>
    </row>
    <row r="2781">
      <c r="A2781">
        <f>'Month 11'!B267</f>
        <v/>
      </c>
      <c r="B2781" t="inlineStr">
        <is>
          <t>Paused Deadlift</t>
        </is>
      </c>
      <c r="C2781">
        <f>IF(AND('Month 11'!L287&lt;&gt;"",N('Month 11'!I287)&gt;0),'Month 11'!I287,"")</f>
        <v/>
      </c>
      <c r="D2781">
        <f>IF(C2781="","",IF(N('Month 11'!J287)&gt;0,'Month 11'!J287,1))</f>
        <v/>
      </c>
      <c r="E2781">
        <f>IF(OR(C2781="",D2781=""),"",IF(D2781=1,C2781,ROUND(C2781*(1+D2781/30),1)))</f>
        <v/>
      </c>
    </row>
    <row r="2782">
      <c r="A2782">
        <f>'Month 11'!B267</f>
        <v/>
      </c>
      <c r="B2782" t="inlineStr">
        <is>
          <t>Paused Deadlift</t>
        </is>
      </c>
      <c r="C2782">
        <f>IF(AND('Month 11'!L288&lt;&gt;"",N('Month 11'!I288)&gt;0),'Month 11'!I288,"")</f>
        <v/>
      </c>
      <c r="D2782">
        <f>IF(C2782="","",IF(N('Month 11'!J288)&gt;0,'Month 11'!J288,1))</f>
        <v/>
      </c>
      <c r="E2782">
        <f>IF(OR(C2782="",D2782=""),"",IF(D2782=1,C2782,ROUND(C2782*(1+D2782/30),1)))</f>
        <v/>
      </c>
    </row>
    <row r="2783">
      <c r="A2783">
        <f>'Month 11'!B267</f>
        <v/>
      </c>
      <c r="B2783" t="inlineStr">
        <is>
          <t>Paused Deadlift</t>
        </is>
      </c>
      <c r="C2783">
        <f>IF(AND('Month 11'!L289&lt;&gt;"",N('Month 11'!I289)&gt;0),'Month 11'!I289,"")</f>
        <v/>
      </c>
      <c r="D2783">
        <f>IF(C2783="","",IF(N('Month 11'!J289)&gt;0,'Month 11'!J289,1))</f>
        <v/>
      </c>
      <c r="E2783">
        <f>IF(OR(C2783="",D2783=""),"",IF(D2783=1,C2783,ROUND(C2783*(1+D2783/30),1)))</f>
        <v/>
      </c>
    </row>
    <row r="2784">
      <c r="A2784">
        <f>'Month 11'!B267</f>
        <v/>
      </c>
      <c r="B2784" t="inlineStr">
        <is>
          <t>Incline Dumbbell Press</t>
        </is>
      </c>
      <c r="C2784">
        <f>IF(AND('Month 11'!L291&lt;&gt;"",N('Month 11'!I291)&gt;0),'Month 11'!I291,"")</f>
        <v/>
      </c>
      <c r="D2784">
        <f>IF(C2784="","",IF(N('Month 11'!J291)&gt;0,'Month 11'!J291,1))</f>
        <v/>
      </c>
      <c r="E2784">
        <f>IF(OR(C2784="",D2784=""),"",IF(D2784=1,C2784,ROUND(C2784*(1+D2784/30),1)))</f>
        <v/>
      </c>
    </row>
    <row r="2785">
      <c r="A2785">
        <f>'Month 11'!B267</f>
        <v/>
      </c>
      <c r="B2785" t="inlineStr">
        <is>
          <t>Incline Dumbbell Press</t>
        </is>
      </c>
      <c r="C2785">
        <f>IF(AND('Month 11'!L292&lt;&gt;"",N('Month 11'!I292)&gt;0),'Month 11'!I292,"")</f>
        <v/>
      </c>
      <c r="D2785">
        <f>IF(C2785="","",IF(N('Month 11'!J292)&gt;0,'Month 11'!J292,1))</f>
        <v/>
      </c>
      <c r="E2785">
        <f>IF(OR(C2785="",D2785=""),"",IF(D2785=1,C2785,ROUND(C2785*(1+D2785/30),1)))</f>
        <v/>
      </c>
    </row>
    <row r="2786">
      <c r="A2786">
        <f>'Month 11'!B267</f>
        <v/>
      </c>
      <c r="B2786" t="inlineStr">
        <is>
          <t>Incline Dumbbell Press</t>
        </is>
      </c>
      <c r="C2786">
        <f>IF(AND('Month 11'!L293&lt;&gt;"",N('Month 11'!I293)&gt;0),'Month 11'!I293,"")</f>
        <v/>
      </c>
      <c r="D2786">
        <f>IF(C2786="","",IF(N('Month 11'!J293)&gt;0,'Month 11'!J293,1))</f>
        <v/>
      </c>
      <c r="E2786">
        <f>IF(OR(C2786="",D2786=""),"",IF(D2786=1,C2786,ROUND(C2786*(1+D2786/30),1)))</f>
        <v/>
      </c>
    </row>
    <row r="2787">
      <c r="A2787">
        <f>'Month 11'!B267</f>
        <v/>
      </c>
      <c r="B2787" t="inlineStr">
        <is>
          <t>Triceps Pushdown</t>
        </is>
      </c>
      <c r="C2787">
        <f>IF(AND('Month 11'!L295&lt;&gt;"",N('Month 11'!I295)&gt;0),'Month 11'!I295,"")</f>
        <v/>
      </c>
      <c r="D2787">
        <f>IF(C2787="","",IF(N('Month 11'!J295)&gt;0,'Month 11'!J295,1))</f>
        <v/>
      </c>
      <c r="E2787">
        <f>IF(OR(C2787="",D2787=""),"",IF(D2787=1,C2787,ROUND(C2787*(1+D2787/30),1)))</f>
        <v/>
      </c>
    </row>
    <row r="2788">
      <c r="A2788">
        <f>'Month 11'!B267</f>
        <v/>
      </c>
      <c r="B2788" t="inlineStr">
        <is>
          <t>Triceps Pushdown</t>
        </is>
      </c>
      <c r="C2788">
        <f>IF(AND('Month 11'!L296&lt;&gt;"",N('Month 11'!I296)&gt;0),'Month 11'!I296,"")</f>
        <v/>
      </c>
      <c r="D2788">
        <f>IF(C2788="","",IF(N('Month 11'!J296)&gt;0,'Month 11'!J296,1))</f>
        <v/>
      </c>
      <c r="E2788">
        <f>IF(OR(C2788="",D2788=""),"",IF(D2788=1,C2788,ROUND(C2788*(1+D2788/30),1)))</f>
        <v/>
      </c>
    </row>
    <row r="2789">
      <c r="A2789">
        <f>'Month 11'!B267</f>
        <v/>
      </c>
      <c r="B2789" t="inlineStr">
        <is>
          <t>Triceps Pushdown</t>
        </is>
      </c>
      <c r="C2789">
        <f>IF(AND('Month 11'!L297&lt;&gt;"",N('Month 11'!I297)&gt;0),'Month 11'!I297,"")</f>
        <v/>
      </c>
      <c r="D2789">
        <f>IF(C2789="","",IF(N('Month 11'!J297)&gt;0,'Month 11'!J297,1))</f>
        <v/>
      </c>
      <c r="E2789">
        <f>IF(OR(C2789="",D2789=""),"",IF(D2789=1,C2789,ROUND(C2789*(1+D2789/30),1)))</f>
        <v/>
      </c>
    </row>
    <row r="2790">
      <c r="A2790">
        <f>'Month 11'!B300</f>
        <v/>
      </c>
      <c r="B2790" t="inlineStr">
        <is>
          <t>Box Jump</t>
        </is>
      </c>
      <c r="C2790">
        <f>IF(AND('Month 11'!L302&lt;&gt;"",N('Month 11'!I302)&gt;0),'Month 11'!I302,"")</f>
        <v/>
      </c>
      <c r="D2790">
        <f>IF(C2790="","",IF(N('Month 11'!J302)&gt;0,'Month 11'!J302,1))</f>
        <v/>
      </c>
      <c r="E2790">
        <f>IF(OR(C2790="",D2790=""),"",IF(D2790=1,C2790,ROUND(C2790*(1+D2790/30),1)))</f>
        <v/>
      </c>
    </row>
    <row r="2791">
      <c r="A2791">
        <f>'Month 11'!B300</f>
        <v/>
      </c>
      <c r="B2791" t="inlineStr">
        <is>
          <t>Box Jump</t>
        </is>
      </c>
      <c r="C2791">
        <f>IF(AND('Month 11'!L303&lt;&gt;"",N('Month 11'!I303)&gt;0),'Month 11'!I303,"")</f>
        <v/>
      </c>
      <c r="D2791">
        <f>IF(C2791="","",IF(N('Month 11'!J303)&gt;0,'Month 11'!J303,1))</f>
        <v/>
      </c>
      <c r="E2791">
        <f>IF(OR(C2791="",D2791=""),"",IF(D2791=1,C2791,ROUND(C2791*(1+D2791/30),1)))</f>
        <v/>
      </c>
    </row>
    <row r="2792">
      <c r="A2792">
        <f>'Month 11'!B300</f>
        <v/>
      </c>
      <c r="B2792" t="inlineStr">
        <is>
          <t>Snatch</t>
        </is>
      </c>
      <c r="C2792">
        <f>IF(AND('Month 11'!L305&lt;&gt;"",N('Month 11'!I305)&gt;0),'Month 11'!I305,"")</f>
        <v/>
      </c>
      <c r="D2792">
        <f>IF(C2792="","",IF(N('Month 11'!J305)&gt;0,'Month 11'!J305,1))</f>
        <v/>
      </c>
      <c r="E2792">
        <f>IF(OR(C2792="",D2792=""),"",IF(D2792=1,C2792,ROUND(C2792*(1+D2792/30),1)))</f>
        <v/>
      </c>
    </row>
    <row r="2793">
      <c r="A2793">
        <f>'Month 11'!B300</f>
        <v/>
      </c>
      <c r="B2793" t="inlineStr">
        <is>
          <t>Snatch</t>
        </is>
      </c>
      <c r="C2793">
        <f>IF(AND('Month 11'!L306&lt;&gt;"",N('Month 11'!I306)&gt;0),'Month 11'!I306,"")</f>
        <v/>
      </c>
      <c r="D2793">
        <f>IF(C2793="","",IF(N('Month 11'!J306)&gt;0,'Month 11'!J306,1))</f>
        <v/>
      </c>
      <c r="E2793">
        <f>IF(OR(C2793="",D2793=""),"",IF(D2793=1,C2793,ROUND(C2793*(1+D2793/30),1)))</f>
        <v/>
      </c>
    </row>
    <row r="2794">
      <c r="A2794">
        <f>'Month 11'!B300</f>
        <v/>
      </c>
      <c r="B2794" t="inlineStr">
        <is>
          <t>Squat</t>
        </is>
      </c>
      <c r="C2794">
        <f>IF(AND('Month 11'!L308&lt;&gt;"",N('Month 11'!I308)&gt;0),'Month 11'!I308,"")</f>
        <v/>
      </c>
      <c r="D2794">
        <f>IF(C2794="","",IF(N('Month 11'!J308)&gt;0,'Month 11'!J308,1))</f>
        <v/>
      </c>
      <c r="E2794">
        <f>IF(OR(C2794="",D2794=""),"",IF(D2794=1,C2794,ROUND(C2794*(1+D2794/30),1)))</f>
        <v/>
      </c>
    </row>
    <row r="2795">
      <c r="A2795">
        <f>'Month 11'!B300</f>
        <v/>
      </c>
      <c r="B2795" t="inlineStr">
        <is>
          <t>Squat</t>
        </is>
      </c>
      <c r="C2795">
        <f>IF(AND('Month 11'!L309&lt;&gt;"",N('Month 11'!I309)&gt;0),'Month 11'!I309,"")</f>
        <v/>
      </c>
      <c r="D2795">
        <f>IF(C2795="","",IF(N('Month 11'!J309)&gt;0,'Month 11'!J309,1))</f>
        <v/>
      </c>
      <c r="E2795">
        <f>IF(OR(C2795="",D2795=""),"",IF(D2795=1,C2795,ROUND(C2795*(1+D2795/30),1)))</f>
        <v/>
      </c>
    </row>
    <row r="2796">
      <c r="A2796">
        <f>'Month 11'!B300</f>
        <v/>
      </c>
      <c r="B2796" t="inlineStr">
        <is>
          <t>Bench Press</t>
        </is>
      </c>
      <c r="C2796">
        <f>IF(AND('Month 11'!L311&lt;&gt;"",N('Month 11'!I311)&gt;0),'Month 11'!I311,"")</f>
        <v/>
      </c>
      <c r="D2796">
        <f>IF(C2796="","",IF(N('Month 11'!J311)&gt;0,'Month 11'!J311,1))</f>
        <v/>
      </c>
      <c r="E2796">
        <f>IF(OR(C2796="",D2796=""),"",IF(D2796=1,C2796,ROUND(C2796*(1+D2796/30),1)))</f>
        <v/>
      </c>
    </row>
    <row r="2797">
      <c r="A2797">
        <f>'Month 11'!B300</f>
        <v/>
      </c>
      <c r="B2797" t="inlineStr">
        <is>
          <t>Bench Press</t>
        </is>
      </c>
      <c r="C2797">
        <f>IF(AND('Month 11'!L312&lt;&gt;"",N('Month 11'!I312)&gt;0),'Month 11'!I312,"")</f>
        <v/>
      </c>
      <c r="D2797">
        <f>IF(C2797="","",IF(N('Month 11'!J312)&gt;0,'Month 11'!J312,1))</f>
        <v/>
      </c>
      <c r="E2797">
        <f>IF(OR(C2797="",D2797=""),"",IF(D2797=1,C2797,ROUND(C2797*(1+D2797/30),1)))</f>
        <v/>
      </c>
    </row>
    <row r="2798">
      <c r="A2798">
        <f>'Month 11'!B300</f>
        <v/>
      </c>
      <c r="B2798" t="inlineStr">
        <is>
          <t>Barbell Row</t>
        </is>
      </c>
      <c r="C2798">
        <f>IF(AND('Month 11'!L314&lt;&gt;"",N('Month 11'!I314)&gt;0),'Month 11'!I314,"")</f>
        <v/>
      </c>
      <c r="D2798">
        <f>IF(C2798="","",IF(N('Month 11'!J314)&gt;0,'Month 11'!J314,1))</f>
        <v/>
      </c>
      <c r="E2798">
        <f>IF(OR(C2798="",D2798=""),"",IF(D2798=1,C2798,ROUND(C2798*(1+D2798/30),1)))</f>
        <v/>
      </c>
    </row>
    <row r="2799">
      <c r="A2799">
        <f>'Month 11'!B300</f>
        <v/>
      </c>
      <c r="B2799" t="inlineStr">
        <is>
          <t>Barbell Row</t>
        </is>
      </c>
      <c r="C2799">
        <f>IF(AND('Month 11'!L315&lt;&gt;"",N('Month 11'!I315)&gt;0),'Month 11'!I315,"")</f>
        <v/>
      </c>
      <c r="D2799">
        <f>IF(C2799="","",IF(N('Month 11'!J315)&gt;0,'Month 11'!J315,1))</f>
        <v/>
      </c>
      <c r="E2799">
        <f>IF(OR(C2799="",D2799=""),"",IF(D2799=1,C2799,ROUND(C2799*(1+D2799/30),1)))</f>
        <v/>
      </c>
    </row>
    <row r="2800">
      <c r="A2800">
        <f>'Month 11'!B300</f>
        <v/>
      </c>
      <c r="B2800" t="inlineStr">
        <is>
          <t>Face Pull</t>
        </is>
      </c>
      <c r="C2800">
        <f>IF(AND('Month 11'!L317&lt;&gt;"",N('Month 11'!I317)&gt;0),'Month 11'!I317,"")</f>
        <v/>
      </c>
      <c r="D2800">
        <f>IF(C2800="","",IF(N('Month 11'!J317)&gt;0,'Month 11'!J317,1))</f>
        <v/>
      </c>
      <c r="E2800">
        <f>IF(OR(C2800="",D2800=""),"",IF(D2800=1,C2800,ROUND(C2800*(1+D2800/30),1)))</f>
        <v/>
      </c>
    </row>
    <row r="2801">
      <c r="A2801">
        <f>'Month 11'!B300</f>
        <v/>
      </c>
      <c r="B2801" t="inlineStr">
        <is>
          <t>Face Pull</t>
        </is>
      </c>
      <c r="C2801">
        <f>IF(AND('Month 11'!L318&lt;&gt;"",N('Month 11'!I318)&gt;0),'Month 11'!I318,"")</f>
        <v/>
      </c>
      <c r="D2801">
        <f>IF(C2801="","",IF(N('Month 11'!J318)&gt;0,'Month 11'!J318,1))</f>
        <v/>
      </c>
      <c r="E2801">
        <f>IF(OR(C2801="",D2801=""),"",IF(D2801=1,C2801,ROUND(C2801*(1+D2801/30),1)))</f>
        <v/>
      </c>
    </row>
    <row r="2802">
      <c r="A2802">
        <f>'Month 11'!B319</f>
        <v/>
      </c>
      <c r="B2802" t="inlineStr">
        <is>
          <t>Broad Jump</t>
        </is>
      </c>
      <c r="C2802">
        <f>IF(AND('Month 11'!L321&lt;&gt;"",N('Month 11'!I321)&gt;0),'Month 11'!I321,"")</f>
        <v/>
      </c>
      <c r="D2802">
        <f>IF(C2802="","",IF(N('Month 11'!J321)&gt;0,'Month 11'!J321,1))</f>
        <v/>
      </c>
      <c r="E2802">
        <f>IF(OR(C2802="",D2802=""),"",IF(D2802=1,C2802,ROUND(C2802*(1+D2802/30),1)))</f>
        <v/>
      </c>
    </row>
    <row r="2803">
      <c r="A2803">
        <f>'Month 11'!B319</f>
        <v/>
      </c>
      <c r="B2803" t="inlineStr">
        <is>
          <t>Broad Jump</t>
        </is>
      </c>
      <c r="C2803">
        <f>IF(AND('Month 11'!L322&lt;&gt;"",N('Month 11'!I322)&gt;0),'Month 11'!I322,"")</f>
        <v/>
      </c>
      <c r="D2803">
        <f>IF(C2803="","",IF(N('Month 11'!J322)&gt;0,'Month 11'!J322,1))</f>
        <v/>
      </c>
      <c r="E2803">
        <f>IF(OR(C2803="",D2803=""),"",IF(D2803=1,C2803,ROUND(C2803*(1+D2803/30),1)))</f>
        <v/>
      </c>
    </row>
    <row r="2804">
      <c r="A2804">
        <f>'Month 11'!B319</f>
        <v/>
      </c>
      <c r="B2804" t="inlineStr">
        <is>
          <t>Med Ball Chest Pass</t>
        </is>
      </c>
      <c r="C2804">
        <f>IF(AND('Month 11'!L324&lt;&gt;"",N('Month 11'!I324)&gt;0),'Month 11'!I324,"")</f>
        <v/>
      </c>
      <c r="D2804">
        <f>IF(C2804="","",IF(N('Month 11'!J324)&gt;0,'Month 11'!J324,1))</f>
        <v/>
      </c>
      <c r="E2804">
        <f>IF(OR(C2804="",D2804=""),"",IF(D2804=1,C2804,ROUND(C2804*(1+D2804/30),1)))</f>
        <v/>
      </c>
    </row>
    <row r="2805">
      <c r="A2805">
        <f>'Month 11'!B319</f>
        <v/>
      </c>
      <c r="B2805" t="inlineStr">
        <is>
          <t>Med Ball Chest Pass</t>
        </is>
      </c>
      <c r="C2805">
        <f>IF(AND('Month 11'!L325&lt;&gt;"",N('Month 11'!I325)&gt;0),'Month 11'!I325,"")</f>
        <v/>
      </c>
      <c r="D2805">
        <f>IF(C2805="","",IF(N('Month 11'!J325)&gt;0,'Month 11'!J325,1))</f>
        <v/>
      </c>
      <c r="E2805">
        <f>IF(OR(C2805="",D2805=""),"",IF(D2805=1,C2805,ROUND(C2805*(1+D2805/30),1)))</f>
        <v/>
      </c>
    </row>
    <row r="2806">
      <c r="A2806">
        <f>'Month 11'!B319</f>
        <v/>
      </c>
      <c r="B2806" t="inlineStr">
        <is>
          <t>Clean &amp; Jerk</t>
        </is>
      </c>
      <c r="C2806">
        <f>IF(AND('Month 11'!L327&lt;&gt;"",N('Month 11'!I327)&gt;0),'Month 11'!I327,"")</f>
        <v/>
      </c>
      <c r="D2806">
        <f>IF(C2806="","",IF(N('Month 11'!J327)&gt;0,'Month 11'!J327,1))</f>
        <v/>
      </c>
      <c r="E2806">
        <f>IF(OR(C2806="",D2806=""),"",IF(D2806=1,C2806,ROUND(C2806*(1+D2806/30),1)))</f>
        <v/>
      </c>
    </row>
    <row r="2807">
      <c r="A2807">
        <f>'Month 11'!B319</f>
        <v/>
      </c>
      <c r="B2807" t="inlineStr">
        <is>
          <t>Clean &amp; Jerk</t>
        </is>
      </c>
      <c r="C2807">
        <f>IF(AND('Month 11'!L328&lt;&gt;"",N('Month 11'!I328)&gt;0),'Month 11'!I328,"")</f>
        <v/>
      </c>
      <c r="D2807">
        <f>IF(C2807="","",IF(N('Month 11'!J328)&gt;0,'Month 11'!J328,1))</f>
        <v/>
      </c>
      <c r="E2807">
        <f>IF(OR(C2807="",D2807=""),"",IF(D2807=1,C2807,ROUND(C2807*(1+D2807/30),1)))</f>
        <v/>
      </c>
    </row>
    <row r="2808">
      <c r="A2808">
        <f>'Month 11'!B319</f>
        <v/>
      </c>
      <c r="B2808" t="inlineStr">
        <is>
          <t>Squat</t>
        </is>
      </c>
      <c r="C2808">
        <f>IF(AND('Month 11'!L330&lt;&gt;"",N('Month 11'!I330)&gt;0),'Month 11'!I330,"")</f>
        <v/>
      </c>
      <c r="D2808">
        <f>IF(C2808="","",IF(N('Month 11'!J330)&gt;0,'Month 11'!J330,1))</f>
        <v/>
      </c>
      <c r="E2808">
        <f>IF(OR(C2808="",D2808=""),"",IF(D2808=1,C2808,ROUND(C2808*(1+D2808/30),1)))</f>
        <v/>
      </c>
    </row>
    <row r="2809">
      <c r="A2809">
        <f>'Month 11'!B319</f>
        <v/>
      </c>
      <c r="B2809" t="inlineStr">
        <is>
          <t>Squat</t>
        </is>
      </c>
      <c r="C2809">
        <f>IF(AND('Month 11'!L331&lt;&gt;"",N('Month 11'!I331)&gt;0),'Month 11'!I331,"")</f>
        <v/>
      </c>
      <c r="D2809">
        <f>IF(C2809="","",IF(N('Month 11'!J331)&gt;0,'Month 11'!J331,1))</f>
        <v/>
      </c>
      <c r="E2809">
        <f>IF(OR(C2809="",D2809=""),"",IF(D2809=1,C2809,ROUND(C2809*(1+D2809/30),1)))</f>
        <v/>
      </c>
    </row>
    <row r="2810">
      <c r="A2810">
        <f>'Month 11'!B319</f>
        <v/>
      </c>
      <c r="B2810" t="inlineStr">
        <is>
          <t>Overhead Press</t>
        </is>
      </c>
      <c r="C2810">
        <f>IF(AND('Month 11'!L333&lt;&gt;"",N('Month 11'!I333)&gt;0),'Month 11'!I333,"")</f>
        <v/>
      </c>
      <c r="D2810">
        <f>IF(C2810="","",IF(N('Month 11'!J333)&gt;0,'Month 11'!J333,1))</f>
        <v/>
      </c>
      <c r="E2810">
        <f>IF(OR(C2810="",D2810=""),"",IF(D2810=1,C2810,ROUND(C2810*(1+D2810/30),1)))</f>
        <v/>
      </c>
    </row>
    <row r="2811">
      <c r="A2811">
        <f>'Month 11'!B319</f>
        <v/>
      </c>
      <c r="B2811" t="inlineStr">
        <is>
          <t>Overhead Press</t>
        </is>
      </c>
      <c r="C2811">
        <f>IF(AND('Month 11'!L334&lt;&gt;"",N('Month 11'!I334)&gt;0),'Month 11'!I334,"")</f>
        <v/>
      </c>
      <c r="D2811">
        <f>IF(C2811="","",IF(N('Month 11'!J334)&gt;0,'Month 11'!J334,1))</f>
        <v/>
      </c>
      <c r="E2811">
        <f>IF(OR(C2811="",D2811=""),"",IF(D2811=1,C2811,ROUND(C2811*(1+D2811/30),1)))</f>
        <v/>
      </c>
    </row>
    <row r="2812">
      <c r="A2812">
        <f>'Month 11'!B319</f>
        <v/>
      </c>
      <c r="B2812" t="inlineStr">
        <is>
          <t>Deadlift</t>
        </is>
      </c>
      <c r="C2812">
        <f>IF(AND('Month 11'!L336&lt;&gt;"",N('Month 11'!I336)&gt;0),'Month 11'!I336,"")</f>
        <v/>
      </c>
      <c r="D2812">
        <f>IF(C2812="","",IF(N('Month 11'!J336)&gt;0,'Month 11'!J336,1))</f>
        <v/>
      </c>
      <c r="E2812">
        <f>IF(OR(C2812="",D2812=""),"",IF(D2812=1,C2812,ROUND(C2812*(1+D2812/30),1)))</f>
        <v/>
      </c>
    </row>
    <row r="2813">
      <c r="A2813">
        <f>'Month 11'!B319</f>
        <v/>
      </c>
      <c r="B2813" t="inlineStr">
        <is>
          <t>Deadlift</t>
        </is>
      </c>
      <c r="C2813">
        <f>IF(AND('Month 11'!L337&lt;&gt;"",N('Month 11'!I337)&gt;0),'Month 11'!I337,"")</f>
        <v/>
      </c>
      <c r="D2813">
        <f>IF(C2813="","",IF(N('Month 11'!J337)&gt;0,'Month 11'!J337,1))</f>
        <v/>
      </c>
      <c r="E2813">
        <f>IF(OR(C2813="",D2813=""),"",IF(D2813=1,C2813,ROUND(C2813*(1+D2813/30),1)))</f>
        <v/>
      </c>
    </row>
    <row r="2814">
      <c r="A2814">
        <f>'Month 11'!B319</f>
        <v/>
      </c>
      <c r="B2814" t="inlineStr">
        <is>
          <t>Chin-up</t>
        </is>
      </c>
      <c r="C2814">
        <f>IF(AND('Month 11'!L339&lt;&gt;"",N('Month 11'!I339)&gt;0),'Month 11'!I339,"")</f>
        <v/>
      </c>
      <c r="D2814">
        <f>IF(C2814="","",IF(N('Month 11'!J339)&gt;0,'Month 11'!J339,1))</f>
        <v/>
      </c>
      <c r="E2814">
        <f>IF(OR(C2814="",D2814=""),"",IF(D2814=1,C2814,ROUND(C2814*(1+D2814/30),1)))</f>
        <v/>
      </c>
    </row>
    <row r="2815">
      <c r="A2815">
        <f>'Month 11'!B319</f>
        <v/>
      </c>
      <c r="B2815" t="inlineStr">
        <is>
          <t>Chin-up</t>
        </is>
      </c>
      <c r="C2815">
        <f>IF(AND('Month 11'!L340&lt;&gt;"",N('Month 11'!I340)&gt;0),'Month 11'!I340,"")</f>
        <v/>
      </c>
      <c r="D2815">
        <f>IF(C2815="","",IF(N('Month 11'!J340)&gt;0,'Month 11'!J340,1))</f>
        <v/>
      </c>
      <c r="E2815">
        <f>IF(OR(C2815="",D2815=""),"",IF(D2815=1,C2815,ROUND(C2815*(1+D2815/30),1)))</f>
        <v/>
      </c>
    </row>
    <row r="2816">
      <c r="A2816">
        <f>'Month 11'!B319</f>
        <v/>
      </c>
      <c r="B2816" t="inlineStr">
        <is>
          <t>Plank</t>
        </is>
      </c>
      <c r="C2816">
        <f>IF(AND('Month 11'!L342&lt;&gt;"",N('Month 11'!I342)&gt;0),'Month 11'!I342,"")</f>
        <v/>
      </c>
      <c r="D2816">
        <f>IF(C2816="","",IF(N('Month 11'!J342)&gt;0,'Month 11'!J342,1))</f>
        <v/>
      </c>
      <c r="E2816">
        <f>IF(OR(C2816="",D2816=""),"",IF(D2816=1,C2816,ROUND(C2816*(1+D2816/30),1)))</f>
        <v/>
      </c>
    </row>
    <row r="2817">
      <c r="A2817">
        <f>'Month 11'!B319</f>
        <v/>
      </c>
      <c r="B2817" t="inlineStr">
        <is>
          <t>Plank</t>
        </is>
      </c>
      <c r="C2817">
        <f>IF(AND('Month 11'!L343&lt;&gt;"",N('Month 11'!I343)&gt;0),'Month 11'!I343,"")</f>
        <v/>
      </c>
      <c r="D2817">
        <f>IF(C2817="","",IF(N('Month 11'!J343)&gt;0,'Month 11'!J343,1))</f>
        <v/>
      </c>
      <c r="E2817">
        <f>IF(OR(C2817="",D2817=""),"",IF(D2817=1,C2817,ROUND(C2817*(1+D2817/30),1)))</f>
        <v/>
      </c>
    </row>
    <row r="2818">
      <c r="A2818">
        <f>'Month 11'!B344</f>
        <v/>
      </c>
      <c r="B2818" t="inlineStr">
        <is>
          <t>Plyo Push-up</t>
        </is>
      </c>
      <c r="C2818">
        <f>IF(AND('Month 11'!L346&lt;&gt;"",N('Month 11'!I346)&gt;0),'Month 11'!I346,"")</f>
        <v/>
      </c>
      <c r="D2818">
        <f>IF(C2818="","",IF(N('Month 11'!J346)&gt;0,'Month 11'!J346,1))</f>
        <v/>
      </c>
      <c r="E2818">
        <f>IF(OR(C2818="",D2818=""),"",IF(D2818=1,C2818,ROUND(C2818*(1+D2818/30),1)))</f>
        <v/>
      </c>
    </row>
    <row r="2819">
      <c r="A2819">
        <f>'Month 11'!B344</f>
        <v/>
      </c>
      <c r="B2819" t="inlineStr">
        <is>
          <t>Plyo Push-up</t>
        </is>
      </c>
      <c r="C2819">
        <f>IF(AND('Month 11'!L347&lt;&gt;"",N('Month 11'!I347)&gt;0),'Month 11'!I347,"")</f>
        <v/>
      </c>
      <c r="D2819">
        <f>IF(C2819="","",IF(N('Month 11'!J347)&gt;0,'Month 11'!J347,1))</f>
        <v/>
      </c>
      <c r="E2819">
        <f>IF(OR(C2819="",D2819=""),"",IF(D2819=1,C2819,ROUND(C2819*(1+D2819/30),1)))</f>
        <v/>
      </c>
    </row>
    <row r="2820">
      <c r="A2820">
        <f>'Month 11'!B344</f>
        <v/>
      </c>
      <c r="B2820" t="inlineStr">
        <is>
          <t>Hang Snatch</t>
        </is>
      </c>
      <c r="C2820">
        <f>IF(AND('Month 11'!L349&lt;&gt;"",N('Month 11'!I349)&gt;0),'Month 11'!I349,"")</f>
        <v/>
      </c>
      <c r="D2820">
        <f>IF(C2820="","",IF(N('Month 11'!J349)&gt;0,'Month 11'!J349,1))</f>
        <v/>
      </c>
      <c r="E2820">
        <f>IF(OR(C2820="",D2820=""),"",IF(D2820=1,C2820,ROUND(C2820*(1+D2820/30),1)))</f>
        <v/>
      </c>
    </row>
    <row r="2821">
      <c r="A2821">
        <f>'Month 11'!B344</f>
        <v/>
      </c>
      <c r="B2821" t="inlineStr">
        <is>
          <t>Hang Snatch</t>
        </is>
      </c>
      <c r="C2821">
        <f>IF(AND('Month 11'!L350&lt;&gt;"",N('Month 11'!I350)&gt;0),'Month 11'!I350,"")</f>
        <v/>
      </c>
      <c r="D2821">
        <f>IF(C2821="","",IF(N('Month 11'!J350)&gt;0,'Month 11'!J350,1))</f>
        <v/>
      </c>
      <c r="E2821">
        <f>IF(OR(C2821="",D2821=""),"",IF(D2821=1,C2821,ROUND(C2821*(1+D2821/30),1)))</f>
        <v/>
      </c>
    </row>
    <row r="2822">
      <c r="A2822">
        <f>'Month 11'!B344</f>
        <v/>
      </c>
      <c r="B2822" t="inlineStr">
        <is>
          <t>Box Squat</t>
        </is>
      </c>
      <c r="C2822">
        <f>IF(AND('Month 11'!L352&lt;&gt;"",N('Month 11'!I352)&gt;0),'Month 11'!I352,"")</f>
        <v/>
      </c>
      <c r="D2822">
        <f>IF(C2822="","",IF(N('Month 11'!J352)&gt;0,'Month 11'!J352,1))</f>
        <v/>
      </c>
      <c r="E2822">
        <f>IF(OR(C2822="",D2822=""),"",IF(D2822=1,C2822,ROUND(C2822*(1+D2822/30),1)))</f>
        <v/>
      </c>
    </row>
    <row r="2823">
      <c r="A2823">
        <f>'Month 11'!B344</f>
        <v/>
      </c>
      <c r="B2823" t="inlineStr">
        <is>
          <t>Box Squat</t>
        </is>
      </c>
      <c r="C2823">
        <f>IF(AND('Month 11'!L353&lt;&gt;"",N('Month 11'!I353)&gt;0),'Month 11'!I353,"")</f>
        <v/>
      </c>
      <c r="D2823">
        <f>IF(C2823="","",IF(N('Month 11'!J353)&gt;0,'Month 11'!J353,1))</f>
        <v/>
      </c>
      <c r="E2823">
        <f>IF(OR(C2823="",D2823=""),"",IF(D2823=1,C2823,ROUND(C2823*(1+D2823/30),1)))</f>
        <v/>
      </c>
    </row>
    <row r="2824">
      <c r="A2824">
        <f>'Month 11'!B344</f>
        <v/>
      </c>
      <c r="B2824" t="inlineStr">
        <is>
          <t>1-Board Press</t>
        </is>
      </c>
      <c r="C2824">
        <f>IF(AND('Month 11'!L355&lt;&gt;"",N('Month 11'!I355)&gt;0),'Month 11'!I355,"")</f>
        <v/>
      </c>
      <c r="D2824">
        <f>IF(C2824="","",IF(N('Month 11'!J355)&gt;0,'Month 11'!J355,1))</f>
        <v/>
      </c>
      <c r="E2824">
        <f>IF(OR(C2824="",D2824=""),"",IF(D2824=1,C2824,ROUND(C2824*(1+D2824/30),1)))</f>
        <v/>
      </c>
    </row>
    <row r="2825">
      <c r="A2825">
        <f>'Month 11'!B344</f>
        <v/>
      </c>
      <c r="B2825" t="inlineStr">
        <is>
          <t>1-Board Press</t>
        </is>
      </c>
      <c r="C2825">
        <f>IF(AND('Month 11'!L356&lt;&gt;"",N('Month 11'!I356)&gt;0),'Month 11'!I356,"")</f>
        <v/>
      </c>
      <c r="D2825">
        <f>IF(C2825="","",IF(N('Month 11'!J356)&gt;0,'Month 11'!J356,1))</f>
        <v/>
      </c>
      <c r="E2825">
        <f>IF(OR(C2825="",D2825=""),"",IF(D2825=1,C2825,ROUND(C2825*(1+D2825/30),1)))</f>
        <v/>
      </c>
    </row>
    <row r="2826">
      <c r="A2826">
        <f>'Month 11'!B344</f>
        <v/>
      </c>
      <c r="B2826" t="inlineStr">
        <is>
          <t>Paused Deadlift</t>
        </is>
      </c>
      <c r="C2826">
        <f>IF(AND('Month 11'!L358&lt;&gt;"",N('Month 11'!I358)&gt;0),'Month 11'!I358,"")</f>
        <v/>
      </c>
      <c r="D2826">
        <f>IF(C2826="","",IF(N('Month 11'!J358)&gt;0,'Month 11'!J358,1))</f>
        <v/>
      </c>
      <c r="E2826">
        <f>IF(OR(C2826="",D2826=""),"",IF(D2826=1,C2826,ROUND(C2826*(1+D2826/30),1)))</f>
        <v/>
      </c>
    </row>
    <row r="2827">
      <c r="A2827">
        <f>'Month 11'!B344</f>
        <v/>
      </c>
      <c r="B2827" t="inlineStr">
        <is>
          <t>Paused Deadlift</t>
        </is>
      </c>
      <c r="C2827">
        <f>IF(AND('Month 11'!L359&lt;&gt;"",N('Month 11'!I359)&gt;0),'Month 11'!I359,"")</f>
        <v/>
      </c>
      <c r="D2827">
        <f>IF(C2827="","",IF(N('Month 11'!J359)&gt;0,'Month 11'!J359,1))</f>
        <v/>
      </c>
      <c r="E2827">
        <f>IF(OR(C2827="",D2827=""),"",IF(D2827=1,C2827,ROUND(C2827*(1+D2827/30),1)))</f>
        <v/>
      </c>
    </row>
    <row r="2828">
      <c r="A2828">
        <f>'Month 11'!B344</f>
        <v/>
      </c>
      <c r="B2828" t="inlineStr">
        <is>
          <t>Incline Dumbbell Press</t>
        </is>
      </c>
      <c r="C2828">
        <f>IF(AND('Month 11'!L361&lt;&gt;"",N('Month 11'!I361)&gt;0),'Month 11'!I361,"")</f>
        <v/>
      </c>
      <c r="D2828">
        <f>IF(C2828="","",IF(N('Month 11'!J361)&gt;0,'Month 11'!J361,1))</f>
        <v/>
      </c>
      <c r="E2828">
        <f>IF(OR(C2828="",D2828=""),"",IF(D2828=1,C2828,ROUND(C2828*(1+D2828/30),1)))</f>
        <v/>
      </c>
    </row>
    <row r="2829">
      <c r="A2829">
        <f>'Month 11'!B344</f>
        <v/>
      </c>
      <c r="B2829" t="inlineStr">
        <is>
          <t>Incline Dumbbell Press</t>
        </is>
      </c>
      <c r="C2829">
        <f>IF(AND('Month 11'!L362&lt;&gt;"",N('Month 11'!I362)&gt;0),'Month 11'!I362,"")</f>
        <v/>
      </c>
      <c r="D2829">
        <f>IF(C2829="","",IF(N('Month 11'!J362)&gt;0,'Month 11'!J362,1))</f>
        <v/>
      </c>
      <c r="E2829">
        <f>IF(OR(C2829="",D2829=""),"",IF(D2829=1,C2829,ROUND(C2829*(1+D2829/30),1)))</f>
        <v/>
      </c>
    </row>
    <row r="2830">
      <c r="A2830">
        <f>'Month 11'!B344</f>
        <v/>
      </c>
      <c r="B2830" t="inlineStr">
        <is>
          <t>Triceps Pushdown</t>
        </is>
      </c>
      <c r="C2830">
        <f>IF(AND('Month 11'!L364&lt;&gt;"",N('Month 11'!I364)&gt;0),'Month 11'!I364,"")</f>
        <v/>
      </c>
      <c r="D2830">
        <f>IF(C2830="","",IF(N('Month 11'!J364)&gt;0,'Month 11'!J364,1))</f>
        <v/>
      </c>
      <c r="E2830">
        <f>IF(OR(C2830="",D2830=""),"",IF(D2830=1,C2830,ROUND(C2830*(1+D2830/30),1)))</f>
        <v/>
      </c>
    </row>
    <row r="2831">
      <c r="A2831">
        <f>'Month 11'!B344</f>
        <v/>
      </c>
      <c r="B2831" t="inlineStr">
        <is>
          <t>Triceps Pushdown</t>
        </is>
      </c>
      <c r="C2831">
        <f>IF(AND('Month 11'!L365&lt;&gt;"",N('Month 11'!I365)&gt;0),'Month 11'!I365,"")</f>
        <v/>
      </c>
      <c r="D2831">
        <f>IF(C2831="","",IF(N('Month 11'!J365)&gt;0,'Month 11'!J365,1))</f>
        <v/>
      </c>
      <c r="E2831">
        <f>IF(OR(C2831="",D2831=""),"",IF(D2831=1,C2831,ROUND(C2831*(1+D2831/30),1)))</f>
        <v/>
      </c>
    </row>
    <row r="2832">
      <c r="A2832">
        <f>'Month 12'!B7</f>
        <v/>
      </c>
      <c r="B2832" t="inlineStr">
        <is>
          <t>Box Jump</t>
        </is>
      </c>
      <c r="C2832">
        <f>IF(AND('Month 12'!L9&lt;&gt;"",N('Month 12'!I9)&gt;0),'Month 12'!I9,"")</f>
        <v/>
      </c>
      <c r="D2832">
        <f>IF(C2832="","",IF(N('Month 12'!J9)&gt;0,'Month 12'!J9,1))</f>
        <v/>
      </c>
      <c r="E2832">
        <f>IF(OR(C2832="",D2832=""),"",IF(D2832=1,C2832,ROUND(C2832*(1+D2832/30),1)))</f>
        <v/>
      </c>
    </row>
    <row r="2833">
      <c r="A2833">
        <f>'Month 12'!B7</f>
        <v/>
      </c>
      <c r="B2833" t="inlineStr">
        <is>
          <t>Box Jump</t>
        </is>
      </c>
      <c r="C2833">
        <f>IF(AND('Month 12'!L10&lt;&gt;"",N('Month 12'!I10)&gt;0),'Month 12'!I10,"")</f>
        <v/>
      </c>
      <c r="D2833">
        <f>IF(C2833="","",IF(N('Month 12'!J10)&gt;0,'Month 12'!J10,1))</f>
        <v/>
      </c>
      <c r="E2833">
        <f>IF(OR(C2833="",D2833=""),"",IF(D2833=1,C2833,ROUND(C2833*(1+D2833/30),1)))</f>
        <v/>
      </c>
    </row>
    <row r="2834">
      <c r="A2834">
        <f>'Month 12'!B7</f>
        <v/>
      </c>
      <c r="B2834" t="inlineStr">
        <is>
          <t>Box Jump</t>
        </is>
      </c>
      <c r="C2834">
        <f>IF(AND('Month 12'!L11&lt;&gt;"",N('Month 12'!I11)&gt;0),'Month 12'!I11,"")</f>
        <v/>
      </c>
      <c r="D2834">
        <f>IF(C2834="","",IF(N('Month 12'!J11)&gt;0,'Month 12'!J11,1))</f>
        <v/>
      </c>
      <c r="E2834">
        <f>IF(OR(C2834="",D2834=""),"",IF(D2834=1,C2834,ROUND(C2834*(1+D2834/30),1)))</f>
        <v/>
      </c>
    </row>
    <row r="2835">
      <c r="A2835">
        <f>'Month 12'!B7</f>
        <v/>
      </c>
      <c r="B2835" t="inlineStr">
        <is>
          <t>Snatch</t>
        </is>
      </c>
      <c r="C2835">
        <f>IF(AND('Month 12'!L13&lt;&gt;"",N('Month 12'!I13)&gt;0),'Month 12'!I13,"")</f>
        <v/>
      </c>
      <c r="D2835">
        <f>IF(C2835="","",IF(N('Month 12'!J13)&gt;0,'Month 12'!J13,1))</f>
        <v/>
      </c>
      <c r="E2835">
        <f>IF(OR(C2835="",D2835=""),"",IF(D2835=1,C2835,ROUND(C2835*(1+D2835/30),1)))</f>
        <v/>
      </c>
    </row>
    <row r="2836">
      <c r="A2836">
        <f>'Month 12'!B7</f>
        <v/>
      </c>
      <c r="B2836" t="inlineStr">
        <is>
          <t>Snatch</t>
        </is>
      </c>
      <c r="C2836">
        <f>IF(AND('Month 12'!L14&lt;&gt;"",N('Month 12'!I14)&gt;0),'Month 12'!I14,"")</f>
        <v/>
      </c>
      <c r="D2836">
        <f>IF(C2836="","",IF(N('Month 12'!J14)&gt;0,'Month 12'!J14,1))</f>
        <v/>
      </c>
      <c r="E2836">
        <f>IF(OR(C2836="",D2836=""),"",IF(D2836=1,C2836,ROUND(C2836*(1+D2836/30),1)))</f>
        <v/>
      </c>
    </row>
    <row r="2837">
      <c r="A2837">
        <f>'Month 12'!B7</f>
        <v/>
      </c>
      <c r="B2837" t="inlineStr">
        <is>
          <t>Snatch</t>
        </is>
      </c>
      <c r="C2837">
        <f>IF(AND('Month 12'!L15&lt;&gt;"",N('Month 12'!I15)&gt;0),'Month 12'!I15,"")</f>
        <v/>
      </c>
      <c r="D2837">
        <f>IF(C2837="","",IF(N('Month 12'!J15)&gt;0,'Month 12'!J15,1))</f>
        <v/>
      </c>
      <c r="E2837">
        <f>IF(OR(C2837="",D2837=""),"",IF(D2837=1,C2837,ROUND(C2837*(1+D2837/30),1)))</f>
        <v/>
      </c>
    </row>
    <row r="2838">
      <c r="A2838">
        <f>'Month 12'!B7</f>
        <v/>
      </c>
      <c r="B2838" t="inlineStr">
        <is>
          <t>Snatch</t>
        </is>
      </c>
      <c r="C2838">
        <f>IF(AND('Month 12'!L16&lt;&gt;"",N('Month 12'!I16)&gt;0),'Month 12'!I16,"")</f>
        <v/>
      </c>
      <c r="D2838">
        <f>IF(C2838="","",IF(N('Month 12'!J16)&gt;0,'Month 12'!J16,1))</f>
        <v/>
      </c>
      <c r="E2838">
        <f>IF(OR(C2838="",D2838=""),"",IF(D2838=1,C2838,ROUND(C2838*(1+D2838/30),1)))</f>
        <v/>
      </c>
    </row>
    <row r="2839">
      <c r="A2839">
        <f>'Month 12'!B7</f>
        <v/>
      </c>
      <c r="B2839" t="inlineStr">
        <is>
          <t>Snatch</t>
        </is>
      </c>
      <c r="C2839">
        <f>IF(AND('Month 12'!L17&lt;&gt;"",N('Month 12'!I17)&gt;0),'Month 12'!I17,"")</f>
        <v/>
      </c>
      <c r="D2839">
        <f>IF(C2839="","",IF(N('Month 12'!J17)&gt;0,'Month 12'!J17,1))</f>
        <v/>
      </c>
      <c r="E2839">
        <f>IF(OR(C2839="",D2839=""),"",IF(D2839=1,C2839,ROUND(C2839*(1+D2839/30),1)))</f>
        <v/>
      </c>
    </row>
    <row r="2840">
      <c r="A2840">
        <f>'Month 12'!B7</f>
        <v/>
      </c>
      <c r="B2840" t="inlineStr">
        <is>
          <t>Squat</t>
        </is>
      </c>
      <c r="C2840">
        <f>IF(AND('Month 12'!L19&lt;&gt;"",N('Month 12'!I19)&gt;0),'Month 12'!I19,"")</f>
        <v/>
      </c>
      <c r="D2840">
        <f>IF(C2840="","",IF(N('Month 12'!J19)&gt;0,'Month 12'!J19,1))</f>
        <v/>
      </c>
      <c r="E2840">
        <f>IF(OR(C2840="",D2840=""),"",IF(D2840=1,C2840,ROUND(C2840*(1+D2840/30),1)))</f>
        <v/>
      </c>
    </row>
    <row r="2841">
      <c r="A2841">
        <f>'Month 12'!B7</f>
        <v/>
      </c>
      <c r="B2841" t="inlineStr">
        <is>
          <t>Squat</t>
        </is>
      </c>
      <c r="C2841">
        <f>IF(AND('Month 12'!L20&lt;&gt;"",N('Month 12'!I20)&gt;0),'Month 12'!I20,"")</f>
        <v/>
      </c>
      <c r="D2841">
        <f>IF(C2841="","",IF(N('Month 12'!J20)&gt;0,'Month 12'!J20,1))</f>
        <v/>
      </c>
      <c r="E2841">
        <f>IF(OR(C2841="",D2841=""),"",IF(D2841=1,C2841,ROUND(C2841*(1+D2841/30),1)))</f>
        <v/>
      </c>
    </row>
    <row r="2842">
      <c r="A2842">
        <f>'Month 12'!B7</f>
        <v/>
      </c>
      <c r="B2842" t="inlineStr">
        <is>
          <t>Squat</t>
        </is>
      </c>
      <c r="C2842">
        <f>IF(AND('Month 12'!L21&lt;&gt;"",N('Month 12'!I21)&gt;0),'Month 12'!I21,"")</f>
        <v/>
      </c>
      <c r="D2842">
        <f>IF(C2842="","",IF(N('Month 12'!J21)&gt;0,'Month 12'!J21,1))</f>
        <v/>
      </c>
      <c r="E2842">
        <f>IF(OR(C2842="",D2842=""),"",IF(D2842=1,C2842,ROUND(C2842*(1+D2842/30),1)))</f>
        <v/>
      </c>
    </row>
    <row r="2843">
      <c r="A2843">
        <f>'Month 12'!B7</f>
        <v/>
      </c>
      <c r="B2843" t="inlineStr">
        <is>
          <t>Squat</t>
        </is>
      </c>
      <c r="C2843">
        <f>IF(AND('Month 12'!L22&lt;&gt;"",N('Month 12'!I22)&gt;0),'Month 12'!I22,"")</f>
        <v/>
      </c>
      <c r="D2843">
        <f>IF(C2843="","",IF(N('Month 12'!J22)&gt;0,'Month 12'!J22,1))</f>
        <v/>
      </c>
      <c r="E2843">
        <f>IF(OR(C2843="",D2843=""),"",IF(D2843=1,C2843,ROUND(C2843*(1+D2843/30),1)))</f>
        <v/>
      </c>
    </row>
    <row r="2844">
      <c r="A2844">
        <f>'Month 12'!B7</f>
        <v/>
      </c>
      <c r="B2844" t="inlineStr">
        <is>
          <t>Squat</t>
        </is>
      </c>
      <c r="C2844">
        <f>IF(AND('Month 12'!L23&lt;&gt;"",N('Month 12'!I23)&gt;0),'Month 12'!I23,"")</f>
        <v/>
      </c>
      <c r="D2844">
        <f>IF(C2844="","",IF(N('Month 12'!J23)&gt;0,'Month 12'!J23,1))</f>
        <v/>
      </c>
      <c r="E2844">
        <f>IF(OR(C2844="",D2844=""),"",IF(D2844=1,C2844,ROUND(C2844*(1+D2844/30),1)))</f>
        <v/>
      </c>
    </row>
    <row r="2845">
      <c r="A2845">
        <f>'Month 12'!B7</f>
        <v/>
      </c>
      <c r="B2845" t="inlineStr">
        <is>
          <t>Bench Press</t>
        </is>
      </c>
      <c r="C2845">
        <f>IF(AND('Month 12'!L25&lt;&gt;"",N('Month 12'!I25)&gt;0),'Month 12'!I25,"")</f>
        <v/>
      </c>
      <c r="D2845">
        <f>IF(C2845="","",IF(N('Month 12'!J25)&gt;0,'Month 12'!J25,1))</f>
        <v/>
      </c>
      <c r="E2845">
        <f>IF(OR(C2845="",D2845=""),"",IF(D2845=1,C2845,ROUND(C2845*(1+D2845/30),1)))</f>
        <v/>
      </c>
    </row>
    <row r="2846">
      <c r="A2846">
        <f>'Month 12'!B7</f>
        <v/>
      </c>
      <c r="B2846" t="inlineStr">
        <is>
          <t>Bench Press</t>
        </is>
      </c>
      <c r="C2846">
        <f>IF(AND('Month 12'!L26&lt;&gt;"",N('Month 12'!I26)&gt;0),'Month 12'!I26,"")</f>
        <v/>
      </c>
      <c r="D2846">
        <f>IF(C2846="","",IF(N('Month 12'!J26)&gt;0,'Month 12'!J26,1))</f>
        <v/>
      </c>
      <c r="E2846">
        <f>IF(OR(C2846="",D2846=""),"",IF(D2846=1,C2846,ROUND(C2846*(1+D2846/30),1)))</f>
        <v/>
      </c>
    </row>
    <row r="2847">
      <c r="A2847">
        <f>'Month 12'!B7</f>
        <v/>
      </c>
      <c r="B2847" t="inlineStr">
        <is>
          <t>Bench Press</t>
        </is>
      </c>
      <c r="C2847">
        <f>IF(AND('Month 12'!L27&lt;&gt;"",N('Month 12'!I27)&gt;0),'Month 12'!I27,"")</f>
        <v/>
      </c>
      <c r="D2847">
        <f>IF(C2847="","",IF(N('Month 12'!J27)&gt;0,'Month 12'!J27,1))</f>
        <v/>
      </c>
      <c r="E2847">
        <f>IF(OR(C2847="",D2847=""),"",IF(D2847=1,C2847,ROUND(C2847*(1+D2847/30),1)))</f>
        <v/>
      </c>
    </row>
    <row r="2848">
      <c r="A2848">
        <f>'Month 12'!B7</f>
        <v/>
      </c>
      <c r="B2848" t="inlineStr">
        <is>
          <t>Bench Press</t>
        </is>
      </c>
      <c r="C2848">
        <f>IF(AND('Month 12'!L28&lt;&gt;"",N('Month 12'!I28)&gt;0),'Month 12'!I28,"")</f>
        <v/>
      </c>
      <c r="D2848">
        <f>IF(C2848="","",IF(N('Month 12'!J28)&gt;0,'Month 12'!J28,1))</f>
        <v/>
      </c>
      <c r="E2848">
        <f>IF(OR(C2848="",D2848=""),"",IF(D2848=1,C2848,ROUND(C2848*(1+D2848/30),1)))</f>
        <v/>
      </c>
    </row>
    <row r="2849">
      <c r="A2849">
        <f>'Month 12'!B7</f>
        <v/>
      </c>
      <c r="B2849" t="inlineStr">
        <is>
          <t>Bench Press</t>
        </is>
      </c>
      <c r="C2849">
        <f>IF(AND('Month 12'!L29&lt;&gt;"",N('Month 12'!I29)&gt;0),'Month 12'!I29,"")</f>
        <v/>
      </c>
      <c r="D2849">
        <f>IF(C2849="","",IF(N('Month 12'!J29)&gt;0,'Month 12'!J29,1))</f>
        <v/>
      </c>
      <c r="E2849">
        <f>IF(OR(C2849="",D2849=""),"",IF(D2849=1,C2849,ROUND(C2849*(1+D2849/30),1)))</f>
        <v/>
      </c>
    </row>
    <row r="2850">
      <c r="A2850">
        <f>'Month 12'!B7</f>
        <v/>
      </c>
      <c r="B2850" t="inlineStr">
        <is>
          <t>Barbell Row</t>
        </is>
      </c>
      <c r="C2850">
        <f>IF(AND('Month 12'!L31&lt;&gt;"",N('Month 12'!I31)&gt;0),'Month 12'!I31,"")</f>
        <v/>
      </c>
      <c r="D2850">
        <f>IF(C2850="","",IF(N('Month 12'!J31)&gt;0,'Month 12'!J31,1))</f>
        <v/>
      </c>
      <c r="E2850">
        <f>IF(OR(C2850="",D2850=""),"",IF(D2850=1,C2850,ROUND(C2850*(1+D2850/30),1)))</f>
        <v/>
      </c>
    </row>
    <row r="2851">
      <c r="A2851">
        <f>'Month 12'!B7</f>
        <v/>
      </c>
      <c r="B2851" t="inlineStr">
        <is>
          <t>Barbell Row</t>
        </is>
      </c>
      <c r="C2851">
        <f>IF(AND('Month 12'!L32&lt;&gt;"",N('Month 12'!I32)&gt;0),'Month 12'!I32,"")</f>
        <v/>
      </c>
      <c r="D2851">
        <f>IF(C2851="","",IF(N('Month 12'!J32)&gt;0,'Month 12'!J32,1))</f>
        <v/>
      </c>
      <c r="E2851">
        <f>IF(OR(C2851="",D2851=""),"",IF(D2851=1,C2851,ROUND(C2851*(1+D2851/30),1)))</f>
        <v/>
      </c>
    </row>
    <row r="2852">
      <c r="A2852">
        <f>'Month 12'!B7</f>
        <v/>
      </c>
      <c r="B2852" t="inlineStr">
        <is>
          <t>Barbell Row</t>
        </is>
      </c>
      <c r="C2852">
        <f>IF(AND('Month 12'!L33&lt;&gt;"",N('Month 12'!I33)&gt;0),'Month 12'!I33,"")</f>
        <v/>
      </c>
      <c r="D2852">
        <f>IF(C2852="","",IF(N('Month 12'!J33)&gt;0,'Month 12'!J33,1))</f>
        <v/>
      </c>
      <c r="E2852">
        <f>IF(OR(C2852="",D2852=""),"",IF(D2852=1,C2852,ROUND(C2852*(1+D2852/30),1)))</f>
        <v/>
      </c>
    </row>
    <row r="2853">
      <c r="A2853">
        <f>'Month 12'!B7</f>
        <v/>
      </c>
      <c r="B2853" t="inlineStr">
        <is>
          <t>Face Pull</t>
        </is>
      </c>
      <c r="C2853">
        <f>IF(AND('Month 12'!L35&lt;&gt;"",N('Month 12'!I35)&gt;0),'Month 12'!I35,"")</f>
        <v/>
      </c>
      <c r="D2853">
        <f>IF(C2853="","",IF(N('Month 12'!J35)&gt;0,'Month 12'!J35,1))</f>
        <v/>
      </c>
      <c r="E2853">
        <f>IF(OR(C2853="",D2853=""),"",IF(D2853=1,C2853,ROUND(C2853*(1+D2853/30),1)))</f>
        <v/>
      </c>
    </row>
    <row r="2854">
      <c r="A2854">
        <f>'Month 12'!B7</f>
        <v/>
      </c>
      <c r="B2854" t="inlineStr">
        <is>
          <t>Face Pull</t>
        </is>
      </c>
      <c r="C2854">
        <f>IF(AND('Month 12'!L36&lt;&gt;"",N('Month 12'!I36)&gt;0),'Month 12'!I36,"")</f>
        <v/>
      </c>
      <c r="D2854">
        <f>IF(C2854="","",IF(N('Month 12'!J36)&gt;0,'Month 12'!J36,1))</f>
        <v/>
      </c>
      <c r="E2854">
        <f>IF(OR(C2854="",D2854=""),"",IF(D2854=1,C2854,ROUND(C2854*(1+D2854/30),1)))</f>
        <v/>
      </c>
    </row>
    <row r="2855">
      <c r="A2855">
        <f>'Month 12'!B7</f>
        <v/>
      </c>
      <c r="B2855" t="inlineStr">
        <is>
          <t>Face Pull</t>
        </is>
      </c>
      <c r="C2855">
        <f>IF(AND('Month 12'!L37&lt;&gt;"",N('Month 12'!I37)&gt;0),'Month 12'!I37,"")</f>
        <v/>
      </c>
      <c r="D2855">
        <f>IF(C2855="","",IF(N('Month 12'!J37)&gt;0,'Month 12'!J37,1))</f>
        <v/>
      </c>
      <c r="E2855">
        <f>IF(OR(C2855="",D2855=""),"",IF(D2855=1,C2855,ROUND(C2855*(1+D2855/30),1)))</f>
        <v/>
      </c>
    </row>
    <row r="2856">
      <c r="A2856">
        <f>'Month 12'!B38</f>
        <v/>
      </c>
      <c r="B2856" t="inlineStr">
        <is>
          <t>Broad Jump</t>
        </is>
      </c>
      <c r="C2856">
        <f>IF(AND('Month 12'!L40&lt;&gt;"",N('Month 12'!I40)&gt;0),'Month 12'!I40,"")</f>
        <v/>
      </c>
      <c r="D2856">
        <f>IF(C2856="","",IF(N('Month 12'!J40)&gt;0,'Month 12'!J40,1))</f>
        <v/>
      </c>
      <c r="E2856">
        <f>IF(OR(C2856="",D2856=""),"",IF(D2856=1,C2856,ROUND(C2856*(1+D2856/30),1)))</f>
        <v/>
      </c>
    </row>
    <row r="2857">
      <c r="A2857">
        <f>'Month 12'!B38</f>
        <v/>
      </c>
      <c r="B2857" t="inlineStr">
        <is>
          <t>Broad Jump</t>
        </is>
      </c>
      <c r="C2857">
        <f>IF(AND('Month 12'!L41&lt;&gt;"",N('Month 12'!I41)&gt;0),'Month 12'!I41,"")</f>
        <v/>
      </c>
      <c r="D2857">
        <f>IF(C2857="","",IF(N('Month 12'!J41)&gt;0,'Month 12'!J41,1))</f>
        <v/>
      </c>
      <c r="E2857">
        <f>IF(OR(C2857="",D2857=""),"",IF(D2857=1,C2857,ROUND(C2857*(1+D2857/30),1)))</f>
        <v/>
      </c>
    </row>
    <row r="2858">
      <c r="A2858">
        <f>'Month 12'!B38</f>
        <v/>
      </c>
      <c r="B2858" t="inlineStr">
        <is>
          <t>Broad Jump</t>
        </is>
      </c>
      <c r="C2858">
        <f>IF(AND('Month 12'!L42&lt;&gt;"",N('Month 12'!I42)&gt;0),'Month 12'!I42,"")</f>
        <v/>
      </c>
      <c r="D2858">
        <f>IF(C2858="","",IF(N('Month 12'!J42)&gt;0,'Month 12'!J42,1))</f>
        <v/>
      </c>
      <c r="E2858">
        <f>IF(OR(C2858="",D2858=""),"",IF(D2858=1,C2858,ROUND(C2858*(1+D2858/30),1)))</f>
        <v/>
      </c>
    </row>
    <row r="2859">
      <c r="A2859">
        <f>'Month 12'!B38</f>
        <v/>
      </c>
      <c r="B2859" t="inlineStr">
        <is>
          <t>Med Ball Chest Pass</t>
        </is>
      </c>
      <c r="C2859">
        <f>IF(AND('Month 12'!L44&lt;&gt;"",N('Month 12'!I44)&gt;0),'Month 12'!I44,"")</f>
        <v/>
      </c>
      <c r="D2859">
        <f>IF(C2859="","",IF(N('Month 12'!J44)&gt;0,'Month 12'!J44,1))</f>
        <v/>
      </c>
      <c r="E2859">
        <f>IF(OR(C2859="",D2859=""),"",IF(D2859=1,C2859,ROUND(C2859*(1+D2859/30),1)))</f>
        <v/>
      </c>
    </row>
    <row r="2860">
      <c r="A2860">
        <f>'Month 12'!B38</f>
        <v/>
      </c>
      <c r="B2860" t="inlineStr">
        <is>
          <t>Med Ball Chest Pass</t>
        </is>
      </c>
      <c r="C2860">
        <f>IF(AND('Month 12'!L45&lt;&gt;"",N('Month 12'!I45)&gt;0),'Month 12'!I45,"")</f>
        <v/>
      </c>
      <c r="D2860">
        <f>IF(C2860="","",IF(N('Month 12'!J45)&gt;0,'Month 12'!J45,1))</f>
        <v/>
      </c>
      <c r="E2860">
        <f>IF(OR(C2860="",D2860=""),"",IF(D2860=1,C2860,ROUND(C2860*(1+D2860/30),1)))</f>
        <v/>
      </c>
    </row>
    <row r="2861">
      <c r="A2861">
        <f>'Month 12'!B38</f>
        <v/>
      </c>
      <c r="B2861" t="inlineStr">
        <is>
          <t>Clean &amp; Jerk</t>
        </is>
      </c>
      <c r="C2861">
        <f>IF(AND('Month 12'!L47&lt;&gt;"",N('Month 12'!I47)&gt;0),'Month 12'!I47,"")</f>
        <v/>
      </c>
      <c r="D2861">
        <f>IF(C2861="","",IF(N('Month 12'!J47)&gt;0,'Month 12'!J47,1))</f>
        <v/>
      </c>
      <c r="E2861">
        <f>IF(OR(C2861="",D2861=""),"",IF(D2861=1,C2861,ROUND(C2861*(1+D2861/30),1)))</f>
        <v/>
      </c>
    </row>
    <row r="2862">
      <c r="A2862">
        <f>'Month 12'!B38</f>
        <v/>
      </c>
      <c r="B2862" t="inlineStr">
        <is>
          <t>Clean &amp; Jerk</t>
        </is>
      </c>
      <c r="C2862">
        <f>IF(AND('Month 12'!L48&lt;&gt;"",N('Month 12'!I48)&gt;0),'Month 12'!I48,"")</f>
        <v/>
      </c>
      <c r="D2862">
        <f>IF(C2862="","",IF(N('Month 12'!J48)&gt;0,'Month 12'!J48,1))</f>
        <v/>
      </c>
      <c r="E2862">
        <f>IF(OR(C2862="",D2862=""),"",IF(D2862=1,C2862,ROUND(C2862*(1+D2862/30),1)))</f>
        <v/>
      </c>
    </row>
    <row r="2863">
      <c r="A2863">
        <f>'Month 12'!B38</f>
        <v/>
      </c>
      <c r="B2863" t="inlineStr">
        <is>
          <t>Clean &amp; Jerk</t>
        </is>
      </c>
      <c r="C2863">
        <f>IF(AND('Month 12'!L49&lt;&gt;"",N('Month 12'!I49)&gt;0),'Month 12'!I49,"")</f>
        <v/>
      </c>
      <c r="D2863">
        <f>IF(C2863="","",IF(N('Month 12'!J49)&gt;0,'Month 12'!J49,1))</f>
        <v/>
      </c>
      <c r="E2863">
        <f>IF(OR(C2863="",D2863=""),"",IF(D2863=1,C2863,ROUND(C2863*(1+D2863/30),1)))</f>
        <v/>
      </c>
    </row>
    <row r="2864">
      <c r="A2864">
        <f>'Month 12'!B38</f>
        <v/>
      </c>
      <c r="B2864" t="inlineStr">
        <is>
          <t>Clean &amp; Jerk</t>
        </is>
      </c>
      <c r="C2864">
        <f>IF(AND('Month 12'!L50&lt;&gt;"",N('Month 12'!I50)&gt;0),'Month 12'!I50,"")</f>
        <v/>
      </c>
      <c r="D2864">
        <f>IF(C2864="","",IF(N('Month 12'!J50)&gt;0,'Month 12'!J50,1))</f>
        <v/>
      </c>
      <c r="E2864">
        <f>IF(OR(C2864="",D2864=""),"",IF(D2864=1,C2864,ROUND(C2864*(1+D2864/30),1)))</f>
        <v/>
      </c>
    </row>
    <row r="2865">
      <c r="A2865">
        <f>'Month 12'!B38</f>
        <v/>
      </c>
      <c r="B2865" t="inlineStr">
        <is>
          <t>Clean &amp; Jerk</t>
        </is>
      </c>
      <c r="C2865">
        <f>IF(AND('Month 12'!L51&lt;&gt;"",N('Month 12'!I51)&gt;0),'Month 12'!I51,"")</f>
        <v/>
      </c>
      <c r="D2865">
        <f>IF(C2865="","",IF(N('Month 12'!J51)&gt;0,'Month 12'!J51,1))</f>
        <v/>
      </c>
      <c r="E2865">
        <f>IF(OR(C2865="",D2865=""),"",IF(D2865=1,C2865,ROUND(C2865*(1+D2865/30),1)))</f>
        <v/>
      </c>
    </row>
    <row r="2866">
      <c r="A2866">
        <f>'Month 12'!B38</f>
        <v/>
      </c>
      <c r="B2866" t="inlineStr">
        <is>
          <t>Squat</t>
        </is>
      </c>
      <c r="C2866">
        <f>IF(AND('Month 12'!L53&lt;&gt;"",N('Month 12'!I53)&gt;0),'Month 12'!I53,"")</f>
        <v/>
      </c>
      <c r="D2866">
        <f>IF(C2866="","",IF(N('Month 12'!J53)&gt;0,'Month 12'!J53,1))</f>
        <v/>
      </c>
      <c r="E2866">
        <f>IF(OR(C2866="",D2866=""),"",IF(D2866=1,C2866,ROUND(C2866*(1+D2866/30),1)))</f>
        <v/>
      </c>
    </row>
    <row r="2867">
      <c r="A2867">
        <f>'Month 12'!B38</f>
        <v/>
      </c>
      <c r="B2867" t="inlineStr">
        <is>
          <t>Squat</t>
        </is>
      </c>
      <c r="C2867">
        <f>IF(AND('Month 12'!L54&lt;&gt;"",N('Month 12'!I54)&gt;0),'Month 12'!I54,"")</f>
        <v/>
      </c>
      <c r="D2867">
        <f>IF(C2867="","",IF(N('Month 12'!J54)&gt;0,'Month 12'!J54,1))</f>
        <v/>
      </c>
      <c r="E2867">
        <f>IF(OR(C2867="",D2867=""),"",IF(D2867=1,C2867,ROUND(C2867*(1+D2867/30),1)))</f>
        <v/>
      </c>
    </row>
    <row r="2868">
      <c r="A2868">
        <f>'Month 12'!B38</f>
        <v/>
      </c>
      <c r="B2868" t="inlineStr">
        <is>
          <t>Squat</t>
        </is>
      </c>
      <c r="C2868">
        <f>IF(AND('Month 12'!L55&lt;&gt;"",N('Month 12'!I55)&gt;0),'Month 12'!I55,"")</f>
        <v/>
      </c>
      <c r="D2868">
        <f>IF(C2868="","",IF(N('Month 12'!J55)&gt;0,'Month 12'!J55,1))</f>
        <v/>
      </c>
      <c r="E2868">
        <f>IF(OR(C2868="",D2868=""),"",IF(D2868=1,C2868,ROUND(C2868*(1+D2868/30),1)))</f>
        <v/>
      </c>
    </row>
    <row r="2869">
      <c r="A2869">
        <f>'Month 12'!B38</f>
        <v/>
      </c>
      <c r="B2869" t="inlineStr">
        <is>
          <t>Squat</t>
        </is>
      </c>
      <c r="C2869">
        <f>IF(AND('Month 12'!L56&lt;&gt;"",N('Month 12'!I56)&gt;0),'Month 12'!I56,"")</f>
        <v/>
      </c>
      <c r="D2869">
        <f>IF(C2869="","",IF(N('Month 12'!J56)&gt;0,'Month 12'!J56,1))</f>
        <v/>
      </c>
      <c r="E2869">
        <f>IF(OR(C2869="",D2869=""),"",IF(D2869=1,C2869,ROUND(C2869*(1+D2869/30),1)))</f>
        <v/>
      </c>
    </row>
    <row r="2870">
      <c r="A2870">
        <f>'Month 12'!B38</f>
        <v/>
      </c>
      <c r="B2870" t="inlineStr">
        <is>
          <t>Overhead Press</t>
        </is>
      </c>
      <c r="C2870">
        <f>IF(AND('Month 12'!L58&lt;&gt;"",N('Month 12'!I58)&gt;0),'Month 12'!I58,"")</f>
        <v/>
      </c>
      <c r="D2870">
        <f>IF(C2870="","",IF(N('Month 12'!J58)&gt;0,'Month 12'!J58,1))</f>
        <v/>
      </c>
      <c r="E2870">
        <f>IF(OR(C2870="",D2870=""),"",IF(D2870=1,C2870,ROUND(C2870*(1+D2870/30),1)))</f>
        <v/>
      </c>
    </row>
    <row r="2871">
      <c r="A2871">
        <f>'Month 12'!B38</f>
        <v/>
      </c>
      <c r="B2871" t="inlineStr">
        <is>
          <t>Overhead Press</t>
        </is>
      </c>
      <c r="C2871">
        <f>IF(AND('Month 12'!L59&lt;&gt;"",N('Month 12'!I59)&gt;0),'Month 12'!I59,"")</f>
        <v/>
      </c>
      <c r="D2871">
        <f>IF(C2871="","",IF(N('Month 12'!J59)&gt;0,'Month 12'!J59,1))</f>
        <v/>
      </c>
      <c r="E2871">
        <f>IF(OR(C2871="",D2871=""),"",IF(D2871=1,C2871,ROUND(C2871*(1+D2871/30),1)))</f>
        <v/>
      </c>
    </row>
    <row r="2872">
      <c r="A2872">
        <f>'Month 12'!B38</f>
        <v/>
      </c>
      <c r="B2872" t="inlineStr">
        <is>
          <t>Overhead Press</t>
        </is>
      </c>
      <c r="C2872">
        <f>IF(AND('Month 12'!L60&lt;&gt;"",N('Month 12'!I60)&gt;0),'Month 12'!I60,"")</f>
        <v/>
      </c>
      <c r="D2872">
        <f>IF(C2872="","",IF(N('Month 12'!J60)&gt;0,'Month 12'!J60,1))</f>
        <v/>
      </c>
      <c r="E2872">
        <f>IF(OR(C2872="",D2872=""),"",IF(D2872=1,C2872,ROUND(C2872*(1+D2872/30),1)))</f>
        <v/>
      </c>
    </row>
    <row r="2873">
      <c r="A2873">
        <f>'Month 12'!B38</f>
        <v/>
      </c>
      <c r="B2873" t="inlineStr">
        <is>
          <t>Overhead Press</t>
        </is>
      </c>
      <c r="C2873">
        <f>IF(AND('Month 12'!L61&lt;&gt;"",N('Month 12'!I61)&gt;0),'Month 12'!I61,"")</f>
        <v/>
      </c>
      <c r="D2873">
        <f>IF(C2873="","",IF(N('Month 12'!J61)&gt;0,'Month 12'!J61,1))</f>
        <v/>
      </c>
      <c r="E2873">
        <f>IF(OR(C2873="",D2873=""),"",IF(D2873=1,C2873,ROUND(C2873*(1+D2873/30),1)))</f>
        <v/>
      </c>
    </row>
    <row r="2874">
      <c r="A2874">
        <f>'Month 12'!B38</f>
        <v/>
      </c>
      <c r="B2874" t="inlineStr">
        <is>
          <t>Deadlift</t>
        </is>
      </c>
      <c r="C2874">
        <f>IF(AND('Month 12'!L63&lt;&gt;"",N('Month 12'!I63)&gt;0),'Month 12'!I63,"")</f>
        <v/>
      </c>
      <c r="D2874">
        <f>IF(C2874="","",IF(N('Month 12'!J63)&gt;0,'Month 12'!J63,1))</f>
        <v/>
      </c>
      <c r="E2874">
        <f>IF(OR(C2874="",D2874=""),"",IF(D2874=1,C2874,ROUND(C2874*(1+D2874/30),1)))</f>
        <v/>
      </c>
    </row>
    <row r="2875">
      <c r="A2875">
        <f>'Month 12'!B38</f>
        <v/>
      </c>
      <c r="B2875" t="inlineStr">
        <is>
          <t>Deadlift</t>
        </is>
      </c>
      <c r="C2875">
        <f>IF(AND('Month 12'!L64&lt;&gt;"",N('Month 12'!I64)&gt;0),'Month 12'!I64,"")</f>
        <v/>
      </c>
      <c r="D2875">
        <f>IF(C2875="","",IF(N('Month 12'!J64)&gt;0,'Month 12'!J64,1))</f>
        <v/>
      </c>
      <c r="E2875">
        <f>IF(OR(C2875="",D2875=""),"",IF(D2875=1,C2875,ROUND(C2875*(1+D2875/30),1)))</f>
        <v/>
      </c>
    </row>
    <row r="2876">
      <c r="A2876">
        <f>'Month 12'!B38</f>
        <v/>
      </c>
      <c r="B2876" t="inlineStr">
        <is>
          <t>Deadlift</t>
        </is>
      </c>
      <c r="C2876">
        <f>IF(AND('Month 12'!L65&lt;&gt;"",N('Month 12'!I65)&gt;0),'Month 12'!I65,"")</f>
        <v/>
      </c>
      <c r="D2876">
        <f>IF(C2876="","",IF(N('Month 12'!J65)&gt;0,'Month 12'!J65,1))</f>
        <v/>
      </c>
      <c r="E2876">
        <f>IF(OR(C2876="",D2876=""),"",IF(D2876=1,C2876,ROUND(C2876*(1+D2876/30),1)))</f>
        <v/>
      </c>
    </row>
    <row r="2877">
      <c r="A2877">
        <f>'Month 12'!B38</f>
        <v/>
      </c>
      <c r="B2877" t="inlineStr">
        <is>
          <t>Chin-up</t>
        </is>
      </c>
      <c r="C2877">
        <f>IF(AND('Month 12'!L67&lt;&gt;"",N('Month 12'!I67)&gt;0),'Month 12'!I67,"")</f>
        <v/>
      </c>
      <c r="D2877">
        <f>IF(C2877="","",IF(N('Month 12'!J67)&gt;0,'Month 12'!J67,1))</f>
        <v/>
      </c>
      <c r="E2877">
        <f>IF(OR(C2877="",D2877=""),"",IF(D2877=1,C2877,ROUND(C2877*(1+D2877/30),1)))</f>
        <v/>
      </c>
    </row>
    <row r="2878">
      <c r="A2878">
        <f>'Month 12'!B38</f>
        <v/>
      </c>
      <c r="B2878" t="inlineStr">
        <is>
          <t>Chin-up</t>
        </is>
      </c>
      <c r="C2878">
        <f>IF(AND('Month 12'!L68&lt;&gt;"",N('Month 12'!I68)&gt;0),'Month 12'!I68,"")</f>
        <v/>
      </c>
      <c r="D2878">
        <f>IF(C2878="","",IF(N('Month 12'!J68)&gt;0,'Month 12'!J68,1))</f>
        <v/>
      </c>
      <c r="E2878">
        <f>IF(OR(C2878="",D2878=""),"",IF(D2878=1,C2878,ROUND(C2878*(1+D2878/30),1)))</f>
        <v/>
      </c>
    </row>
    <row r="2879">
      <c r="A2879">
        <f>'Month 12'!B38</f>
        <v/>
      </c>
      <c r="B2879" t="inlineStr">
        <is>
          <t>Chin-up</t>
        </is>
      </c>
      <c r="C2879">
        <f>IF(AND('Month 12'!L69&lt;&gt;"",N('Month 12'!I69)&gt;0),'Month 12'!I69,"")</f>
        <v/>
      </c>
      <c r="D2879">
        <f>IF(C2879="","",IF(N('Month 12'!J69)&gt;0,'Month 12'!J69,1))</f>
        <v/>
      </c>
      <c r="E2879">
        <f>IF(OR(C2879="",D2879=""),"",IF(D2879=1,C2879,ROUND(C2879*(1+D2879/30),1)))</f>
        <v/>
      </c>
    </row>
    <row r="2880">
      <c r="A2880">
        <f>'Month 12'!B38</f>
        <v/>
      </c>
      <c r="B2880" t="inlineStr">
        <is>
          <t>Plank</t>
        </is>
      </c>
      <c r="C2880">
        <f>IF(AND('Month 12'!L71&lt;&gt;"",N('Month 12'!I71)&gt;0),'Month 12'!I71,"")</f>
        <v/>
      </c>
      <c r="D2880">
        <f>IF(C2880="","",IF(N('Month 12'!J71)&gt;0,'Month 12'!J71,1))</f>
        <v/>
      </c>
      <c r="E2880">
        <f>IF(OR(C2880="",D2880=""),"",IF(D2880=1,C2880,ROUND(C2880*(1+D2880/30),1)))</f>
        <v/>
      </c>
    </row>
    <row r="2881">
      <c r="A2881">
        <f>'Month 12'!B38</f>
        <v/>
      </c>
      <c r="B2881" t="inlineStr">
        <is>
          <t>Plank</t>
        </is>
      </c>
      <c r="C2881">
        <f>IF(AND('Month 12'!L72&lt;&gt;"",N('Month 12'!I72)&gt;0),'Month 12'!I72,"")</f>
        <v/>
      </c>
      <c r="D2881">
        <f>IF(C2881="","",IF(N('Month 12'!J72)&gt;0,'Month 12'!J72,1))</f>
        <v/>
      </c>
      <c r="E2881">
        <f>IF(OR(C2881="",D2881=""),"",IF(D2881=1,C2881,ROUND(C2881*(1+D2881/30),1)))</f>
        <v/>
      </c>
    </row>
    <row r="2882">
      <c r="A2882">
        <f>'Month 12'!B38</f>
        <v/>
      </c>
      <c r="B2882" t="inlineStr">
        <is>
          <t>Plank</t>
        </is>
      </c>
      <c r="C2882">
        <f>IF(AND('Month 12'!L73&lt;&gt;"",N('Month 12'!I73)&gt;0),'Month 12'!I73,"")</f>
        <v/>
      </c>
      <c r="D2882">
        <f>IF(C2882="","",IF(N('Month 12'!J73)&gt;0,'Month 12'!J73,1))</f>
        <v/>
      </c>
      <c r="E2882">
        <f>IF(OR(C2882="",D2882=""),"",IF(D2882=1,C2882,ROUND(C2882*(1+D2882/30),1)))</f>
        <v/>
      </c>
    </row>
    <row r="2883">
      <c r="A2883">
        <f>'Month 12'!B74</f>
        <v/>
      </c>
      <c r="B2883" t="inlineStr">
        <is>
          <t>Seated Box Jump</t>
        </is>
      </c>
      <c r="C2883">
        <f>IF(AND('Month 12'!L76&lt;&gt;"",N('Month 12'!I76)&gt;0),'Month 12'!I76,"")</f>
        <v/>
      </c>
      <c r="D2883">
        <f>IF(C2883="","",IF(N('Month 12'!J76)&gt;0,'Month 12'!J76,1))</f>
        <v/>
      </c>
      <c r="E2883">
        <f>IF(OR(C2883="",D2883=""),"",IF(D2883=1,C2883,ROUND(C2883*(1+D2883/30),1)))</f>
        <v/>
      </c>
    </row>
    <row r="2884">
      <c r="A2884">
        <f>'Month 12'!B74</f>
        <v/>
      </c>
      <c r="B2884" t="inlineStr">
        <is>
          <t>Seated Box Jump</t>
        </is>
      </c>
      <c r="C2884">
        <f>IF(AND('Month 12'!L77&lt;&gt;"",N('Month 12'!I77)&gt;0),'Month 12'!I77,"")</f>
        <v/>
      </c>
      <c r="D2884">
        <f>IF(C2884="","",IF(N('Month 12'!J77)&gt;0,'Month 12'!J77,1))</f>
        <v/>
      </c>
      <c r="E2884">
        <f>IF(OR(C2884="",D2884=""),"",IF(D2884=1,C2884,ROUND(C2884*(1+D2884/30),1)))</f>
        <v/>
      </c>
    </row>
    <row r="2885">
      <c r="A2885">
        <f>'Month 12'!B74</f>
        <v/>
      </c>
      <c r="B2885" t="inlineStr">
        <is>
          <t>Seated Box Jump</t>
        </is>
      </c>
      <c r="C2885">
        <f>IF(AND('Month 12'!L78&lt;&gt;"",N('Month 12'!I78)&gt;0),'Month 12'!I78,"")</f>
        <v/>
      </c>
      <c r="D2885">
        <f>IF(C2885="","",IF(N('Month 12'!J78)&gt;0,'Month 12'!J78,1))</f>
        <v/>
      </c>
      <c r="E2885">
        <f>IF(OR(C2885="",D2885=""),"",IF(D2885=1,C2885,ROUND(C2885*(1+D2885/30),1)))</f>
        <v/>
      </c>
    </row>
    <row r="2886">
      <c r="A2886">
        <f>'Month 12'!B74</f>
        <v/>
      </c>
      <c r="B2886" t="inlineStr">
        <is>
          <t>Hang Clean</t>
        </is>
      </c>
      <c r="C2886">
        <f>IF(AND('Month 12'!L80&lt;&gt;"",N('Month 12'!I80)&gt;0),'Month 12'!I80,"")</f>
        <v/>
      </c>
      <c r="D2886">
        <f>IF(C2886="","",IF(N('Month 12'!J80)&gt;0,'Month 12'!J80,1))</f>
        <v/>
      </c>
      <c r="E2886">
        <f>IF(OR(C2886="",D2886=""),"",IF(D2886=1,C2886,ROUND(C2886*(1+D2886/30),1)))</f>
        <v/>
      </c>
    </row>
    <row r="2887">
      <c r="A2887">
        <f>'Month 12'!B74</f>
        <v/>
      </c>
      <c r="B2887" t="inlineStr">
        <is>
          <t>Hang Clean</t>
        </is>
      </c>
      <c r="C2887">
        <f>IF(AND('Month 12'!L81&lt;&gt;"",N('Month 12'!I81)&gt;0),'Month 12'!I81,"")</f>
        <v/>
      </c>
      <c r="D2887">
        <f>IF(C2887="","",IF(N('Month 12'!J81)&gt;0,'Month 12'!J81,1))</f>
        <v/>
      </c>
      <c r="E2887">
        <f>IF(OR(C2887="",D2887=""),"",IF(D2887=1,C2887,ROUND(C2887*(1+D2887/30),1)))</f>
        <v/>
      </c>
    </row>
    <row r="2888">
      <c r="A2888">
        <f>'Month 12'!B74</f>
        <v/>
      </c>
      <c r="B2888" t="inlineStr">
        <is>
          <t>Hang Clean</t>
        </is>
      </c>
      <c r="C2888">
        <f>IF(AND('Month 12'!L82&lt;&gt;"",N('Month 12'!I82)&gt;0),'Month 12'!I82,"")</f>
        <v/>
      </c>
      <c r="D2888">
        <f>IF(C2888="","",IF(N('Month 12'!J82)&gt;0,'Month 12'!J82,1))</f>
        <v/>
      </c>
      <c r="E2888">
        <f>IF(OR(C2888="",D2888=""),"",IF(D2888=1,C2888,ROUND(C2888*(1+D2888/30),1)))</f>
        <v/>
      </c>
    </row>
    <row r="2889">
      <c r="A2889">
        <f>'Month 12'!B74</f>
        <v/>
      </c>
      <c r="B2889" t="inlineStr">
        <is>
          <t>Hang Clean</t>
        </is>
      </c>
      <c r="C2889">
        <f>IF(AND('Month 12'!L83&lt;&gt;"",N('Month 12'!I83)&gt;0),'Month 12'!I83,"")</f>
        <v/>
      </c>
      <c r="D2889">
        <f>IF(C2889="","",IF(N('Month 12'!J83)&gt;0,'Month 12'!J83,1))</f>
        <v/>
      </c>
      <c r="E2889">
        <f>IF(OR(C2889="",D2889=""),"",IF(D2889=1,C2889,ROUND(C2889*(1+D2889/30),1)))</f>
        <v/>
      </c>
    </row>
    <row r="2890">
      <c r="A2890">
        <f>'Month 12'!B74</f>
        <v/>
      </c>
      <c r="B2890" t="inlineStr">
        <is>
          <t>Pause Squat</t>
        </is>
      </c>
      <c r="C2890">
        <f>IF(AND('Month 12'!L85&lt;&gt;"",N('Month 12'!I85)&gt;0),'Month 12'!I85,"")</f>
        <v/>
      </c>
      <c r="D2890">
        <f>IF(C2890="","",IF(N('Month 12'!J85)&gt;0,'Month 12'!J85,1))</f>
        <v/>
      </c>
      <c r="E2890">
        <f>IF(OR(C2890="",D2890=""),"",IF(D2890=1,C2890,ROUND(C2890*(1+D2890/30),1)))</f>
        <v/>
      </c>
    </row>
    <row r="2891">
      <c r="A2891">
        <f>'Month 12'!B74</f>
        <v/>
      </c>
      <c r="B2891" t="inlineStr">
        <is>
          <t>Pause Squat</t>
        </is>
      </c>
      <c r="C2891">
        <f>IF(AND('Month 12'!L86&lt;&gt;"",N('Month 12'!I86)&gt;0),'Month 12'!I86,"")</f>
        <v/>
      </c>
      <c r="D2891">
        <f>IF(C2891="","",IF(N('Month 12'!J86)&gt;0,'Month 12'!J86,1))</f>
        <v/>
      </c>
      <c r="E2891">
        <f>IF(OR(C2891="",D2891=""),"",IF(D2891=1,C2891,ROUND(C2891*(1+D2891/30),1)))</f>
        <v/>
      </c>
    </row>
    <row r="2892">
      <c r="A2892">
        <f>'Month 12'!B74</f>
        <v/>
      </c>
      <c r="B2892" t="inlineStr">
        <is>
          <t>Pause Squat</t>
        </is>
      </c>
      <c r="C2892">
        <f>IF(AND('Month 12'!L87&lt;&gt;"",N('Month 12'!I87)&gt;0),'Month 12'!I87,"")</f>
        <v/>
      </c>
      <c r="D2892">
        <f>IF(C2892="","",IF(N('Month 12'!J87)&gt;0,'Month 12'!J87,1))</f>
        <v/>
      </c>
      <c r="E2892">
        <f>IF(OR(C2892="",D2892=""),"",IF(D2892=1,C2892,ROUND(C2892*(1+D2892/30),1)))</f>
        <v/>
      </c>
    </row>
    <row r="2893">
      <c r="A2893">
        <f>'Month 12'!B74</f>
        <v/>
      </c>
      <c r="B2893" t="inlineStr">
        <is>
          <t>Pause Squat</t>
        </is>
      </c>
      <c r="C2893">
        <f>IF(AND('Month 12'!L88&lt;&gt;"",N('Month 12'!I88)&gt;0),'Month 12'!I88,"")</f>
        <v/>
      </c>
      <c r="D2893">
        <f>IF(C2893="","",IF(N('Month 12'!J88)&gt;0,'Month 12'!J88,1))</f>
        <v/>
      </c>
      <c r="E2893">
        <f>IF(OR(C2893="",D2893=""),"",IF(D2893=1,C2893,ROUND(C2893*(1+D2893/30),1)))</f>
        <v/>
      </c>
    </row>
    <row r="2894">
      <c r="A2894">
        <f>'Month 12'!B74</f>
        <v/>
      </c>
      <c r="B2894" t="inlineStr">
        <is>
          <t>Floor Press</t>
        </is>
      </c>
      <c r="C2894">
        <f>IF(AND('Month 12'!L90&lt;&gt;"",N('Month 12'!I90)&gt;0),'Month 12'!I90,"")</f>
        <v/>
      </c>
      <c r="D2894">
        <f>IF(C2894="","",IF(N('Month 12'!J90)&gt;0,'Month 12'!J90,1))</f>
        <v/>
      </c>
      <c r="E2894">
        <f>IF(OR(C2894="",D2894=""),"",IF(D2894=1,C2894,ROUND(C2894*(1+D2894/30),1)))</f>
        <v/>
      </c>
    </row>
    <row r="2895">
      <c r="A2895">
        <f>'Month 12'!B74</f>
        <v/>
      </c>
      <c r="B2895" t="inlineStr">
        <is>
          <t>Floor Press</t>
        </is>
      </c>
      <c r="C2895">
        <f>IF(AND('Month 12'!L91&lt;&gt;"",N('Month 12'!I91)&gt;0),'Month 12'!I91,"")</f>
        <v/>
      </c>
      <c r="D2895">
        <f>IF(C2895="","",IF(N('Month 12'!J91)&gt;0,'Month 12'!J91,1))</f>
        <v/>
      </c>
      <c r="E2895">
        <f>IF(OR(C2895="",D2895=""),"",IF(D2895=1,C2895,ROUND(C2895*(1+D2895/30),1)))</f>
        <v/>
      </c>
    </row>
    <row r="2896">
      <c r="A2896">
        <f>'Month 12'!B74</f>
        <v/>
      </c>
      <c r="B2896" t="inlineStr">
        <is>
          <t>Floor Press</t>
        </is>
      </c>
      <c r="C2896">
        <f>IF(AND('Month 12'!L92&lt;&gt;"",N('Month 12'!I92)&gt;0),'Month 12'!I92,"")</f>
        <v/>
      </c>
      <c r="D2896">
        <f>IF(C2896="","",IF(N('Month 12'!J92)&gt;0,'Month 12'!J92,1))</f>
        <v/>
      </c>
      <c r="E2896">
        <f>IF(OR(C2896="",D2896=""),"",IF(D2896=1,C2896,ROUND(C2896*(1+D2896/30),1)))</f>
        <v/>
      </c>
    </row>
    <row r="2897">
      <c r="A2897">
        <f>'Month 12'!B74</f>
        <v/>
      </c>
      <c r="B2897" t="inlineStr">
        <is>
          <t>Floor Press</t>
        </is>
      </c>
      <c r="C2897">
        <f>IF(AND('Month 12'!L93&lt;&gt;"",N('Month 12'!I93)&gt;0),'Month 12'!I93,"")</f>
        <v/>
      </c>
      <c r="D2897">
        <f>IF(C2897="","",IF(N('Month 12'!J93)&gt;0,'Month 12'!J93,1))</f>
        <v/>
      </c>
      <c r="E2897">
        <f>IF(OR(C2897="",D2897=""),"",IF(D2897=1,C2897,ROUND(C2897*(1+D2897/30),1)))</f>
        <v/>
      </c>
    </row>
    <row r="2898">
      <c r="A2898">
        <f>'Month 12'!B74</f>
        <v/>
      </c>
      <c r="B2898" t="inlineStr">
        <is>
          <t>Block Pull</t>
        </is>
      </c>
      <c r="C2898">
        <f>IF(AND('Month 12'!L95&lt;&gt;"",N('Month 12'!I95)&gt;0),'Month 12'!I95,"")</f>
        <v/>
      </c>
      <c r="D2898">
        <f>IF(C2898="","",IF(N('Month 12'!J95)&gt;0,'Month 12'!J95,1))</f>
        <v/>
      </c>
      <c r="E2898">
        <f>IF(OR(C2898="",D2898=""),"",IF(D2898=1,C2898,ROUND(C2898*(1+D2898/30),1)))</f>
        <v/>
      </c>
    </row>
    <row r="2899">
      <c r="A2899">
        <f>'Month 12'!B74</f>
        <v/>
      </c>
      <c r="B2899" t="inlineStr">
        <is>
          <t>Block Pull</t>
        </is>
      </c>
      <c r="C2899">
        <f>IF(AND('Month 12'!L96&lt;&gt;"",N('Month 12'!I96)&gt;0),'Month 12'!I96,"")</f>
        <v/>
      </c>
      <c r="D2899">
        <f>IF(C2899="","",IF(N('Month 12'!J96)&gt;0,'Month 12'!J96,1))</f>
        <v/>
      </c>
      <c r="E2899">
        <f>IF(OR(C2899="",D2899=""),"",IF(D2899=1,C2899,ROUND(C2899*(1+D2899/30),1)))</f>
        <v/>
      </c>
    </row>
    <row r="2900">
      <c r="A2900">
        <f>'Month 12'!B74</f>
        <v/>
      </c>
      <c r="B2900" t="inlineStr">
        <is>
          <t>Block Pull</t>
        </is>
      </c>
      <c r="C2900">
        <f>IF(AND('Month 12'!L97&lt;&gt;"",N('Month 12'!I97)&gt;0),'Month 12'!I97,"")</f>
        <v/>
      </c>
      <c r="D2900">
        <f>IF(C2900="","",IF(N('Month 12'!J97)&gt;0,'Month 12'!J97,1))</f>
        <v/>
      </c>
      <c r="E2900">
        <f>IF(OR(C2900="",D2900=""),"",IF(D2900=1,C2900,ROUND(C2900*(1+D2900/30),1)))</f>
        <v/>
      </c>
    </row>
    <row r="2901">
      <c r="A2901">
        <f>'Month 12'!B74</f>
        <v/>
      </c>
      <c r="B2901" t="inlineStr">
        <is>
          <t>Block Pull</t>
        </is>
      </c>
      <c r="C2901">
        <f>IF(AND('Month 12'!L98&lt;&gt;"",N('Month 12'!I98)&gt;0),'Month 12'!I98,"")</f>
        <v/>
      </c>
      <c r="D2901">
        <f>IF(C2901="","",IF(N('Month 12'!J98)&gt;0,'Month 12'!J98,1))</f>
        <v/>
      </c>
      <c r="E2901">
        <f>IF(OR(C2901="",D2901=""),"",IF(D2901=1,C2901,ROUND(C2901*(1+D2901/30),1)))</f>
        <v/>
      </c>
    </row>
    <row r="2902">
      <c r="A2902">
        <f>'Month 12'!B74</f>
        <v/>
      </c>
      <c r="B2902" t="inlineStr">
        <is>
          <t>Incline Dumbbell Press</t>
        </is>
      </c>
      <c r="C2902">
        <f>IF(AND('Month 12'!L100&lt;&gt;"",N('Month 12'!I100)&gt;0),'Month 12'!I100,"")</f>
        <v/>
      </c>
      <c r="D2902">
        <f>IF(C2902="","",IF(N('Month 12'!J100)&gt;0,'Month 12'!J100,1))</f>
        <v/>
      </c>
      <c r="E2902">
        <f>IF(OR(C2902="",D2902=""),"",IF(D2902=1,C2902,ROUND(C2902*(1+D2902/30),1)))</f>
        <v/>
      </c>
    </row>
    <row r="2903">
      <c r="A2903">
        <f>'Month 12'!B74</f>
        <v/>
      </c>
      <c r="B2903" t="inlineStr">
        <is>
          <t>Incline Dumbbell Press</t>
        </is>
      </c>
      <c r="C2903">
        <f>IF(AND('Month 12'!L101&lt;&gt;"",N('Month 12'!I101)&gt;0),'Month 12'!I101,"")</f>
        <v/>
      </c>
      <c r="D2903">
        <f>IF(C2903="","",IF(N('Month 12'!J101)&gt;0,'Month 12'!J101,1))</f>
        <v/>
      </c>
      <c r="E2903">
        <f>IF(OR(C2903="",D2903=""),"",IF(D2903=1,C2903,ROUND(C2903*(1+D2903/30),1)))</f>
        <v/>
      </c>
    </row>
    <row r="2904">
      <c r="A2904">
        <f>'Month 12'!B74</f>
        <v/>
      </c>
      <c r="B2904" t="inlineStr">
        <is>
          <t>Incline Dumbbell Press</t>
        </is>
      </c>
      <c r="C2904">
        <f>IF(AND('Month 12'!L102&lt;&gt;"",N('Month 12'!I102)&gt;0),'Month 12'!I102,"")</f>
        <v/>
      </c>
      <c r="D2904">
        <f>IF(C2904="","",IF(N('Month 12'!J102)&gt;0,'Month 12'!J102,1))</f>
        <v/>
      </c>
      <c r="E2904">
        <f>IF(OR(C2904="",D2904=""),"",IF(D2904=1,C2904,ROUND(C2904*(1+D2904/30),1)))</f>
        <v/>
      </c>
    </row>
    <row r="2905">
      <c r="A2905">
        <f>'Month 12'!B74</f>
        <v/>
      </c>
      <c r="B2905" t="inlineStr">
        <is>
          <t>Triceps Pushdown</t>
        </is>
      </c>
      <c r="C2905">
        <f>IF(AND('Month 12'!L104&lt;&gt;"",N('Month 12'!I104)&gt;0),'Month 12'!I104,"")</f>
        <v/>
      </c>
      <c r="D2905">
        <f>IF(C2905="","",IF(N('Month 12'!J104)&gt;0,'Month 12'!J104,1))</f>
        <v/>
      </c>
      <c r="E2905">
        <f>IF(OR(C2905="",D2905=""),"",IF(D2905=1,C2905,ROUND(C2905*(1+D2905/30),1)))</f>
        <v/>
      </c>
    </row>
    <row r="2906">
      <c r="A2906">
        <f>'Month 12'!B74</f>
        <v/>
      </c>
      <c r="B2906" t="inlineStr">
        <is>
          <t>Triceps Pushdown</t>
        </is>
      </c>
      <c r="C2906">
        <f>IF(AND('Month 12'!L105&lt;&gt;"",N('Month 12'!I105)&gt;0),'Month 12'!I105,"")</f>
        <v/>
      </c>
      <c r="D2906">
        <f>IF(C2906="","",IF(N('Month 12'!J105)&gt;0,'Month 12'!J105,1))</f>
        <v/>
      </c>
      <c r="E2906">
        <f>IF(OR(C2906="",D2906=""),"",IF(D2906=1,C2906,ROUND(C2906*(1+D2906/30),1)))</f>
        <v/>
      </c>
    </row>
    <row r="2907">
      <c r="A2907">
        <f>'Month 12'!B74</f>
        <v/>
      </c>
      <c r="B2907" t="inlineStr">
        <is>
          <t>Triceps Pushdown</t>
        </is>
      </c>
      <c r="C2907">
        <f>IF(AND('Month 12'!L106&lt;&gt;"",N('Month 12'!I106)&gt;0),'Month 12'!I106,"")</f>
        <v/>
      </c>
      <c r="D2907">
        <f>IF(C2907="","",IF(N('Month 12'!J106)&gt;0,'Month 12'!J106,1))</f>
        <v/>
      </c>
      <c r="E2907">
        <f>IF(OR(C2907="",D2907=""),"",IF(D2907=1,C2907,ROUND(C2907*(1+D2907/30),1)))</f>
        <v/>
      </c>
    </row>
    <row r="2908">
      <c r="A2908">
        <f>'Month 12'!B109</f>
        <v/>
      </c>
      <c r="B2908" t="inlineStr">
        <is>
          <t>Box Jump</t>
        </is>
      </c>
      <c r="C2908">
        <f>IF(AND('Month 12'!L111&lt;&gt;"",N('Month 12'!I111)&gt;0),'Month 12'!I111,"")</f>
        <v/>
      </c>
      <c r="D2908">
        <f>IF(C2908="","",IF(N('Month 12'!J111)&gt;0,'Month 12'!J111,1))</f>
        <v/>
      </c>
      <c r="E2908">
        <f>IF(OR(C2908="",D2908=""),"",IF(D2908=1,C2908,ROUND(C2908*(1+D2908/30),1)))</f>
        <v/>
      </c>
    </row>
    <row r="2909">
      <c r="A2909">
        <f>'Month 12'!B109</f>
        <v/>
      </c>
      <c r="B2909" t="inlineStr">
        <is>
          <t>Box Jump</t>
        </is>
      </c>
      <c r="C2909">
        <f>IF(AND('Month 12'!L112&lt;&gt;"",N('Month 12'!I112)&gt;0),'Month 12'!I112,"")</f>
        <v/>
      </c>
      <c r="D2909">
        <f>IF(C2909="","",IF(N('Month 12'!J112)&gt;0,'Month 12'!J112,1))</f>
        <v/>
      </c>
      <c r="E2909">
        <f>IF(OR(C2909="",D2909=""),"",IF(D2909=1,C2909,ROUND(C2909*(1+D2909/30),1)))</f>
        <v/>
      </c>
    </row>
    <row r="2910">
      <c r="A2910">
        <f>'Month 12'!B109</f>
        <v/>
      </c>
      <c r="B2910" t="inlineStr">
        <is>
          <t>Box Jump</t>
        </is>
      </c>
      <c r="C2910">
        <f>IF(AND('Month 12'!L113&lt;&gt;"",N('Month 12'!I113)&gt;0),'Month 12'!I113,"")</f>
        <v/>
      </c>
      <c r="D2910">
        <f>IF(C2910="","",IF(N('Month 12'!J113)&gt;0,'Month 12'!J113,1))</f>
        <v/>
      </c>
      <c r="E2910">
        <f>IF(OR(C2910="",D2910=""),"",IF(D2910=1,C2910,ROUND(C2910*(1+D2910/30),1)))</f>
        <v/>
      </c>
    </row>
    <row r="2911">
      <c r="A2911">
        <f>'Month 12'!B109</f>
        <v/>
      </c>
      <c r="B2911" t="inlineStr">
        <is>
          <t>Snatch</t>
        </is>
      </c>
      <c r="C2911">
        <f>IF(AND('Month 12'!L115&lt;&gt;"",N('Month 12'!I115)&gt;0),'Month 12'!I115,"")</f>
        <v/>
      </c>
      <c r="D2911">
        <f>IF(C2911="","",IF(N('Month 12'!J115)&gt;0,'Month 12'!J115,1))</f>
        <v/>
      </c>
      <c r="E2911">
        <f>IF(OR(C2911="",D2911=""),"",IF(D2911=1,C2911,ROUND(C2911*(1+D2911/30),1)))</f>
        <v/>
      </c>
    </row>
    <row r="2912">
      <c r="A2912">
        <f>'Month 12'!B109</f>
        <v/>
      </c>
      <c r="B2912" t="inlineStr">
        <is>
          <t>Snatch</t>
        </is>
      </c>
      <c r="C2912">
        <f>IF(AND('Month 12'!L116&lt;&gt;"",N('Month 12'!I116)&gt;0),'Month 12'!I116,"")</f>
        <v/>
      </c>
      <c r="D2912">
        <f>IF(C2912="","",IF(N('Month 12'!J116)&gt;0,'Month 12'!J116,1))</f>
        <v/>
      </c>
      <c r="E2912">
        <f>IF(OR(C2912="",D2912=""),"",IF(D2912=1,C2912,ROUND(C2912*(1+D2912/30),1)))</f>
        <v/>
      </c>
    </row>
    <row r="2913">
      <c r="A2913">
        <f>'Month 12'!B109</f>
        <v/>
      </c>
      <c r="B2913" t="inlineStr">
        <is>
          <t>Snatch</t>
        </is>
      </c>
      <c r="C2913">
        <f>IF(AND('Month 12'!L117&lt;&gt;"",N('Month 12'!I117)&gt;0),'Month 12'!I117,"")</f>
        <v/>
      </c>
      <c r="D2913">
        <f>IF(C2913="","",IF(N('Month 12'!J117)&gt;0,'Month 12'!J117,1))</f>
        <v/>
      </c>
      <c r="E2913">
        <f>IF(OR(C2913="",D2913=""),"",IF(D2913=1,C2913,ROUND(C2913*(1+D2913/30),1)))</f>
        <v/>
      </c>
    </row>
    <row r="2914">
      <c r="A2914">
        <f>'Month 12'!B109</f>
        <v/>
      </c>
      <c r="B2914" t="inlineStr">
        <is>
          <t>Snatch</t>
        </is>
      </c>
      <c r="C2914">
        <f>IF(AND('Month 12'!L118&lt;&gt;"",N('Month 12'!I118)&gt;0),'Month 12'!I118,"")</f>
        <v/>
      </c>
      <c r="D2914">
        <f>IF(C2914="","",IF(N('Month 12'!J118)&gt;0,'Month 12'!J118,1))</f>
        <v/>
      </c>
      <c r="E2914">
        <f>IF(OR(C2914="",D2914=""),"",IF(D2914=1,C2914,ROUND(C2914*(1+D2914/30),1)))</f>
        <v/>
      </c>
    </row>
    <row r="2915">
      <c r="A2915">
        <f>'Month 12'!B109</f>
        <v/>
      </c>
      <c r="B2915" t="inlineStr">
        <is>
          <t>Squat</t>
        </is>
      </c>
      <c r="C2915">
        <f>IF(AND('Month 12'!L120&lt;&gt;"",N('Month 12'!I120)&gt;0),'Month 12'!I120,"")</f>
        <v/>
      </c>
      <c r="D2915">
        <f>IF(C2915="","",IF(N('Month 12'!J120)&gt;0,'Month 12'!J120,1))</f>
        <v/>
      </c>
      <c r="E2915">
        <f>IF(OR(C2915="",D2915=""),"",IF(D2915=1,C2915,ROUND(C2915*(1+D2915/30),1)))</f>
        <v/>
      </c>
    </row>
    <row r="2916">
      <c r="A2916">
        <f>'Month 12'!B109</f>
        <v/>
      </c>
      <c r="B2916" t="inlineStr">
        <is>
          <t>Squat</t>
        </is>
      </c>
      <c r="C2916">
        <f>IF(AND('Month 12'!L121&lt;&gt;"",N('Month 12'!I121)&gt;0),'Month 12'!I121,"")</f>
        <v/>
      </c>
      <c r="D2916">
        <f>IF(C2916="","",IF(N('Month 12'!J121)&gt;0,'Month 12'!J121,1))</f>
        <v/>
      </c>
      <c r="E2916">
        <f>IF(OR(C2916="",D2916=""),"",IF(D2916=1,C2916,ROUND(C2916*(1+D2916/30),1)))</f>
        <v/>
      </c>
    </row>
    <row r="2917">
      <c r="A2917">
        <f>'Month 12'!B109</f>
        <v/>
      </c>
      <c r="B2917" t="inlineStr">
        <is>
          <t>Squat</t>
        </is>
      </c>
      <c r="C2917">
        <f>IF(AND('Month 12'!L122&lt;&gt;"",N('Month 12'!I122)&gt;0),'Month 12'!I122,"")</f>
        <v/>
      </c>
      <c r="D2917">
        <f>IF(C2917="","",IF(N('Month 12'!J122)&gt;0,'Month 12'!J122,1))</f>
        <v/>
      </c>
      <c r="E2917">
        <f>IF(OR(C2917="",D2917=""),"",IF(D2917=1,C2917,ROUND(C2917*(1+D2917/30),1)))</f>
        <v/>
      </c>
    </row>
    <row r="2918">
      <c r="A2918">
        <f>'Month 12'!B109</f>
        <v/>
      </c>
      <c r="B2918" t="inlineStr">
        <is>
          <t>Squat</t>
        </is>
      </c>
      <c r="C2918">
        <f>IF(AND('Month 12'!L123&lt;&gt;"",N('Month 12'!I123)&gt;0),'Month 12'!I123,"")</f>
        <v/>
      </c>
      <c r="D2918">
        <f>IF(C2918="","",IF(N('Month 12'!J123)&gt;0,'Month 12'!J123,1))</f>
        <v/>
      </c>
      <c r="E2918">
        <f>IF(OR(C2918="",D2918=""),"",IF(D2918=1,C2918,ROUND(C2918*(1+D2918/30),1)))</f>
        <v/>
      </c>
    </row>
    <row r="2919">
      <c r="A2919">
        <f>'Month 12'!B109</f>
        <v/>
      </c>
      <c r="B2919" t="inlineStr">
        <is>
          <t>Bench Press</t>
        </is>
      </c>
      <c r="C2919">
        <f>IF(AND('Month 12'!L125&lt;&gt;"",N('Month 12'!I125)&gt;0),'Month 12'!I125,"")</f>
        <v/>
      </c>
      <c r="D2919">
        <f>IF(C2919="","",IF(N('Month 12'!J125)&gt;0,'Month 12'!J125,1))</f>
        <v/>
      </c>
      <c r="E2919">
        <f>IF(OR(C2919="",D2919=""),"",IF(D2919=1,C2919,ROUND(C2919*(1+D2919/30),1)))</f>
        <v/>
      </c>
    </row>
    <row r="2920">
      <c r="A2920">
        <f>'Month 12'!B109</f>
        <v/>
      </c>
      <c r="B2920" t="inlineStr">
        <is>
          <t>Bench Press</t>
        </is>
      </c>
      <c r="C2920">
        <f>IF(AND('Month 12'!L126&lt;&gt;"",N('Month 12'!I126)&gt;0),'Month 12'!I126,"")</f>
        <v/>
      </c>
      <c r="D2920">
        <f>IF(C2920="","",IF(N('Month 12'!J126)&gt;0,'Month 12'!J126,1))</f>
        <v/>
      </c>
      <c r="E2920">
        <f>IF(OR(C2920="",D2920=""),"",IF(D2920=1,C2920,ROUND(C2920*(1+D2920/30),1)))</f>
        <v/>
      </c>
    </row>
    <row r="2921">
      <c r="A2921">
        <f>'Month 12'!B109</f>
        <v/>
      </c>
      <c r="B2921" t="inlineStr">
        <is>
          <t>Bench Press</t>
        </is>
      </c>
      <c r="C2921">
        <f>IF(AND('Month 12'!L127&lt;&gt;"",N('Month 12'!I127)&gt;0),'Month 12'!I127,"")</f>
        <v/>
      </c>
      <c r="D2921">
        <f>IF(C2921="","",IF(N('Month 12'!J127)&gt;0,'Month 12'!J127,1))</f>
        <v/>
      </c>
      <c r="E2921">
        <f>IF(OR(C2921="",D2921=""),"",IF(D2921=1,C2921,ROUND(C2921*(1+D2921/30),1)))</f>
        <v/>
      </c>
    </row>
    <row r="2922">
      <c r="A2922">
        <f>'Month 12'!B109</f>
        <v/>
      </c>
      <c r="B2922" t="inlineStr">
        <is>
          <t>Bench Press</t>
        </is>
      </c>
      <c r="C2922">
        <f>IF(AND('Month 12'!L128&lt;&gt;"",N('Month 12'!I128)&gt;0),'Month 12'!I128,"")</f>
        <v/>
      </c>
      <c r="D2922">
        <f>IF(C2922="","",IF(N('Month 12'!J128)&gt;0,'Month 12'!J128,1))</f>
        <v/>
      </c>
      <c r="E2922">
        <f>IF(OR(C2922="",D2922=""),"",IF(D2922=1,C2922,ROUND(C2922*(1+D2922/30),1)))</f>
        <v/>
      </c>
    </row>
    <row r="2923">
      <c r="A2923">
        <f>'Month 12'!B109</f>
        <v/>
      </c>
      <c r="B2923" t="inlineStr">
        <is>
          <t>Barbell Row</t>
        </is>
      </c>
      <c r="C2923">
        <f>IF(AND('Month 12'!L130&lt;&gt;"",N('Month 12'!I130)&gt;0),'Month 12'!I130,"")</f>
        <v/>
      </c>
      <c r="D2923">
        <f>IF(C2923="","",IF(N('Month 12'!J130)&gt;0,'Month 12'!J130,1))</f>
        <v/>
      </c>
      <c r="E2923">
        <f>IF(OR(C2923="",D2923=""),"",IF(D2923=1,C2923,ROUND(C2923*(1+D2923/30),1)))</f>
        <v/>
      </c>
    </row>
    <row r="2924">
      <c r="A2924">
        <f>'Month 12'!B109</f>
        <v/>
      </c>
      <c r="B2924" t="inlineStr">
        <is>
          <t>Barbell Row</t>
        </is>
      </c>
      <c r="C2924">
        <f>IF(AND('Month 12'!L131&lt;&gt;"",N('Month 12'!I131)&gt;0),'Month 12'!I131,"")</f>
        <v/>
      </c>
      <c r="D2924">
        <f>IF(C2924="","",IF(N('Month 12'!J131)&gt;0,'Month 12'!J131,1))</f>
        <v/>
      </c>
      <c r="E2924">
        <f>IF(OR(C2924="",D2924=""),"",IF(D2924=1,C2924,ROUND(C2924*(1+D2924/30),1)))</f>
        <v/>
      </c>
    </row>
    <row r="2925">
      <c r="A2925">
        <f>'Month 12'!B109</f>
        <v/>
      </c>
      <c r="B2925" t="inlineStr">
        <is>
          <t>Barbell Row</t>
        </is>
      </c>
      <c r="C2925">
        <f>IF(AND('Month 12'!L132&lt;&gt;"",N('Month 12'!I132)&gt;0),'Month 12'!I132,"")</f>
        <v/>
      </c>
      <c r="D2925">
        <f>IF(C2925="","",IF(N('Month 12'!J132)&gt;0,'Month 12'!J132,1))</f>
        <v/>
      </c>
      <c r="E2925">
        <f>IF(OR(C2925="",D2925=""),"",IF(D2925=1,C2925,ROUND(C2925*(1+D2925/30),1)))</f>
        <v/>
      </c>
    </row>
    <row r="2926">
      <c r="A2926">
        <f>'Month 12'!B109</f>
        <v/>
      </c>
      <c r="B2926" t="inlineStr">
        <is>
          <t>Face Pull</t>
        </is>
      </c>
      <c r="C2926">
        <f>IF(AND('Month 12'!L134&lt;&gt;"",N('Month 12'!I134)&gt;0),'Month 12'!I134,"")</f>
        <v/>
      </c>
      <c r="D2926">
        <f>IF(C2926="","",IF(N('Month 12'!J134)&gt;0,'Month 12'!J134,1))</f>
        <v/>
      </c>
      <c r="E2926">
        <f>IF(OR(C2926="",D2926=""),"",IF(D2926=1,C2926,ROUND(C2926*(1+D2926/30),1)))</f>
        <v/>
      </c>
    </row>
    <row r="2927">
      <c r="A2927">
        <f>'Month 12'!B109</f>
        <v/>
      </c>
      <c r="B2927" t="inlineStr">
        <is>
          <t>Face Pull</t>
        </is>
      </c>
      <c r="C2927">
        <f>IF(AND('Month 12'!L135&lt;&gt;"",N('Month 12'!I135)&gt;0),'Month 12'!I135,"")</f>
        <v/>
      </c>
      <c r="D2927">
        <f>IF(C2927="","",IF(N('Month 12'!J135)&gt;0,'Month 12'!J135,1))</f>
        <v/>
      </c>
      <c r="E2927">
        <f>IF(OR(C2927="",D2927=""),"",IF(D2927=1,C2927,ROUND(C2927*(1+D2927/30),1)))</f>
        <v/>
      </c>
    </row>
    <row r="2928">
      <c r="A2928">
        <f>'Month 12'!B109</f>
        <v/>
      </c>
      <c r="B2928" t="inlineStr">
        <is>
          <t>Face Pull</t>
        </is>
      </c>
      <c r="C2928">
        <f>IF(AND('Month 12'!L136&lt;&gt;"",N('Month 12'!I136)&gt;0),'Month 12'!I136,"")</f>
        <v/>
      </c>
      <c r="D2928">
        <f>IF(C2928="","",IF(N('Month 12'!J136)&gt;0,'Month 12'!J136,1))</f>
        <v/>
      </c>
      <c r="E2928">
        <f>IF(OR(C2928="",D2928=""),"",IF(D2928=1,C2928,ROUND(C2928*(1+D2928/30),1)))</f>
        <v/>
      </c>
    </row>
    <row r="2929">
      <c r="A2929">
        <f>'Month 12'!B137</f>
        <v/>
      </c>
      <c r="B2929" t="inlineStr">
        <is>
          <t>Broad Jump</t>
        </is>
      </c>
      <c r="C2929">
        <f>IF(AND('Month 12'!L139&lt;&gt;"",N('Month 12'!I139)&gt;0),'Month 12'!I139,"")</f>
        <v/>
      </c>
      <c r="D2929">
        <f>IF(C2929="","",IF(N('Month 12'!J139)&gt;0,'Month 12'!J139,1))</f>
        <v/>
      </c>
      <c r="E2929">
        <f>IF(OR(C2929="",D2929=""),"",IF(D2929=1,C2929,ROUND(C2929*(1+D2929/30),1)))</f>
        <v/>
      </c>
    </row>
    <row r="2930">
      <c r="A2930">
        <f>'Month 12'!B137</f>
        <v/>
      </c>
      <c r="B2930" t="inlineStr">
        <is>
          <t>Broad Jump</t>
        </is>
      </c>
      <c r="C2930">
        <f>IF(AND('Month 12'!L140&lt;&gt;"",N('Month 12'!I140)&gt;0),'Month 12'!I140,"")</f>
        <v/>
      </c>
      <c r="D2930">
        <f>IF(C2930="","",IF(N('Month 12'!J140)&gt;0,'Month 12'!J140,1))</f>
        <v/>
      </c>
      <c r="E2930">
        <f>IF(OR(C2930="",D2930=""),"",IF(D2930=1,C2930,ROUND(C2930*(1+D2930/30),1)))</f>
        <v/>
      </c>
    </row>
    <row r="2931">
      <c r="A2931">
        <f>'Month 12'!B137</f>
        <v/>
      </c>
      <c r="B2931" t="inlineStr">
        <is>
          <t>Broad Jump</t>
        </is>
      </c>
      <c r="C2931">
        <f>IF(AND('Month 12'!L141&lt;&gt;"",N('Month 12'!I141)&gt;0),'Month 12'!I141,"")</f>
        <v/>
      </c>
      <c r="D2931">
        <f>IF(C2931="","",IF(N('Month 12'!J141)&gt;0,'Month 12'!J141,1))</f>
        <v/>
      </c>
      <c r="E2931">
        <f>IF(OR(C2931="",D2931=""),"",IF(D2931=1,C2931,ROUND(C2931*(1+D2931/30),1)))</f>
        <v/>
      </c>
    </row>
    <row r="2932">
      <c r="A2932">
        <f>'Month 12'!B137</f>
        <v/>
      </c>
      <c r="B2932" t="inlineStr">
        <is>
          <t>Med Ball Chest Pass</t>
        </is>
      </c>
      <c r="C2932">
        <f>IF(AND('Month 12'!L143&lt;&gt;"",N('Month 12'!I143)&gt;0),'Month 12'!I143,"")</f>
        <v/>
      </c>
      <c r="D2932">
        <f>IF(C2932="","",IF(N('Month 12'!J143)&gt;0,'Month 12'!J143,1))</f>
        <v/>
      </c>
      <c r="E2932">
        <f>IF(OR(C2932="",D2932=""),"",IF(D2932=1,C2932,ROUND(C2932*(1+D2932/30),1)))</f>
        <v/>
      </c>
    </row>
    <row r="2933">
      <c r="A2933">
        <f>'Month 12'!B137</f>
        <v/>
      </c>
      <c r="B2933" t="inlineStr">
        <is>
          <t>Med Ball Chest Pass</t>
        </is>
      </c>
      <c r="C2933">
        <f>IF(AND('Month 12'!L144&lt;&gt;"",N('Month 12'!I144)&gt;0),'Month 12'!I144,"")</f>
        <v/>
      </c>
      <c r="D2933">
        <f>IF(C2933="","",IF(N('Month 12'!J144)&gt;0,'Month 12'!J144,1))</f>
        <v/>
      </c>
      <c r="E2933">
        <f>IF(OR(C2933="",D2933=""),"",IF(D2933=1,C2933,ROUND(C2933*(1+D2933/30),1)))</f>
        <v/>
      </c>
    </row>
    <row r="2934">
      <c r="A2934">
        <f>'Month 12'!B137</f>
        <v/>
      </c>
      <c r="B2934" t="inlineStr">
        <is>
          <t>Clean &amp; Jerk</t>
        </is>
      </c>
      <c r="C2934">
        <f>IF(AND('Month 12'!L146&lt;&gt;"",N('Month 12'!I146)&gt;0),'Month 12'!I146,"")</f>
        <v/>
      </c>
      <c r="D2934">
        <f>IF(C2934="","",IF(N('Month 12'!J146)&gt;0,'Month 12'!J146,1))</f>
        <v/>
      </c>
      <c r="E2934">
        <f>IF(OR(C2934="",D2934=""),"",IF(D2934=1,C2934,ROUND(C2934*(1+D2934/30),1)))</f>
        <v/>
      </c>
    </row>
    <row r="2935">
      <c r="A2935">
        <f>'Month 12'!B137</f>
        <v/>
      </c>
      <c r="B2935" t="inlineStr">
        <is>
          <t>Clean &amp; Jerk</t>
        </is>
      </c>
      <c r="C2935">
        <f>IF(AND('Month 12'!L147&lt;&gt;"",N('Month 12'!I147)&gt;0),'Month 12'!I147,"")</f>
        <v/>
      </c>
      <c r="D2935">
        <f>IF(C2935="","",IF(N('Month 12'!J147)&gt;0,'Month 12'!J147,1))</f>
        <v/>
      </c>
      <c r="E2935">
        <f>IF(OR(C2935="",D2935=""),"",IF(D2935=1,C2935,ROUND(C2935*(1+D2935/30),1)))</f>
        <v/>
      </c>
    </row>
    <row r="2936">
      <c r="A2936">
        <f>'Month 12'!B137</f>
        <v/>
      </c>
      <c r="B2936" t="inlineStr">
        <is>
          <t>Clean &amp; Jerk</t>
        </is>
      </c>
      <c r="C2936">
        <f>IF(AND('Month 12'!L148&lt;&gt;"",N('Month 12'!I148)&gt;0),'Month 12'!I148,"")</f>
        <v/>
      </c>
      <c r="D2936">
        <f>IF(C2936="","",IF(N('Month 12'!J148)&gt;0,'Month 12'!J148,1))</f>
        <v/>
      </c>
      <c r="E2936">
        <f>IF(OR(C2936="",D2936=""),"",IF(D2936=1,C2936,ROUND(C2936*(1+D2936/30),1)))</f>
        <v/>
      </c>
    </row>
    <row r="2937">
      <c r="A2937">
        <f>'Month 12'!B137</f>
        <v/>
      </c>
      <c r="B2937" t="inlineStr">
        <is>
          <t>Clean &amp; Jerk</t>
        </is>
      </c>
      <c r="C2937">
        <f>IF(AND('Month 12'!L149&lt;&gt;"",N('Month 12'!I149)&gt;0),'Month 12'!I149,"")</f>
        <v/>
      </c>
      <c r="D2937">
        <f>IF(C2937="","",IF(N('Month 12'!J149)&gt;0,'Month 12'!J149,1))</f>
        <v/>
      </c>
      <c r="E2937">
        <f>IF(OR(C2937="",D2937=""),"",IF(D2937=1,C2937,ROUND(C2937*(1+D2937/30),1)))</f>
        <v/>
      </c>
    </row>
    <row r="2938">
      <c r="A2938">
        <f>'Month 12'!B137</f>
        <v/>
      </c>
      <c r="B2938" t="inlineStr">
        <is>
          <t>Squat</t>
        </is>
      </c>
      <c r="C2938">
        <f>IF(AND('Month 12'!L151&lt;&gt;"",N('Month 12'!I151)&gt;0),'Month 12'!I151,"")</f>
        <v/>
      </c>
      <c r="D2938">
        <f>IF(C2938="","",IF(N('Month 12'!J151)&gt;0,'Month 12'!J151,1))</f>
        <v/>
      </c>
      <c r="E2938">
        <f>IF(OR(C2938="",D2938=""),"",IF(D2938=1,C2938,ROUND(C2938*(1+D2938/30),1)))</f>
        <v/>
      </c>
    </row>
    <row r="2939">
      <c r="A2939">
        <f>'Month 12'!B137</f>
        <v/>
      </c>
      <c r="B2939" t="inlineStr">
        <is>
          <t>Squat</t>
        </is>
      </c>
      <c r="C2939">
        <f>IF(AND('Month 12'!L152&lt;&gt;"",N('Month 12'!I152)&gt;0),'Month 12'!I152,"")</f>
        <v/>
      </c>
      <c r="D2939">
        <f>IF(C2939="","",IF(N('Month 12'!J152)&gt;0,'Month 12'!J152,1))</f>
        <v/>
      </c>
      <c r="E2939">
        <f>IF(OR(C2939="",D2939=""),"",IF(D2939=1,C2939,ROUND(C2939*(1+D2939/30),1)))</f>
        <v/>
      </c>
    </row>
    <row r="2940">
      <c r="A2940">
        <f>'Month 12'!B137</f>
        <v/>
      </c>
      <c r="B2940" t="inlineStr">
        <is>
          <t>Squat</t>
        </is>
      </c>
      <c r="C2940">
        <f>IF(AND('Month 12'!L153&lt;&gt;"",N('Month 12'!I153)&gt;0),'Month 12'!I153,"")</f>
        <v/>
      </c>
      <c r="D2940">
        <f>IF(C2940="","",IF(N('Month 12'!J153)&gt;0,'Month 12'!J153,1))</f>
        <v/>
      </c>
      <c r="E2940">
        <f>IF(OR(C2940="",D2940=""),"",IF(D2940=1,C2940,ROUND(C2940*(1+D2940/30),1)))</f>
        <v/>
      </c>
    </row>
    <row r="2941">
      <c r="A2941">
        <f>'Month 12'!B137</f>
        <v/>
      </c>
      <c r="B2941" t="inlineStr">
        <is>
          <t>Overhead Press</t>
        </is>
      </c>
      <c r="C2941">
        <f>IF(AND('Month 12'!L155&lt;&gt;"",N('Month 12'!I155)&gt;0),'Month 12'!I155,"")</f>
        <v/>
      </c>
      <c r="D2941">
        <f>IF(C2941="","",IF(N('Month 12'!J155)&gt;0,'Month 12'!J155,1))</f>
        <v/>
      </c>
      <c r="E2941">
        <f>IF(OR(C2941="",D2941=""),"",IF(D2941=1,C2941,ROUND(C2941*(1+D2941/30),1)))</f>
        <v/>
      </c>
    </row>
    <row r="2942">
      <c r="A2942">
        <f>'Month 12'!B137</f>
        <v/>
      </c>
      <c r="B2942" t="inlineStr">
        <is>
          <t>Overhead Press</t>
        </is>
      </c>
      <c r="C2942">
        <f>IF(AND('Month 12'!L156&lt;&gt;"",N('Month 12'!I156)&gt;0),'Month 12'!I156,"")</f>
        <v/>
      </c>
      <c r="D2942">
        <f>IF(C2942="","",IF(N('Month 12'!J156)&gt;0,'Month 12'!J156,1))</f>
        <v/>
      </c>
      <c r="E2942">
        <f>IF(OR(C2942="",D2942=""),"",IF(D2942=1,C2942,ROUND(C2942*(1+D2942/30),1)))</f>
        <v/>
      </c>
    </row>
    <row r="2943">
      <c r="A2943">
        <f>'Month 12'!B137</f>
        <v/>
      </c>
      <c r="B2943" t="inlineStr">
        <is>
          <t>Overhead Press</t>
        </is>
      </c>
      <c r="C2943">
        <f>IF(AND('Month 12'!L157&lt;&gt;"",N('Month 12'!I157)&gt;0),'Month 12'!I157,"")</f>
        <v/>
      </c>
      <c r="D2943">
        <f>IF(C2943="","",IF(N('Month 12'!J157)&gt;0,'Month 12'!J157,1))</f>
        <v/>
      </c>
      <c r="E2943">
        <f>IF(OR(C2943="",D2943=""),"",IF(D2943=1,C2943,ROUND(C2943*(1+D2943/30),1)))</f>
        <v/>
      </c>
    </row>
    <row r="2944">
      <c r="A2944">
        <f>'Month 12'!B137</f>
        <v/>
      </c>
      <c r="B2944" t="inlineStr">
        <is>
          <t>Overhead Press</t>
        </is>
      </c>
      <c r="C2944">
        <f>IF(AND('Month 12'!L158&lt;&gt;"",N('Month 12'!I158)&gt;0),'Month 12'!I158,"")</f>
        <v/>
      </c>
      <c r="D2944">
        <f>IF(C2944="","",IF(N('Month 12'!J158)&gt;0,'Month 12'!J158,1))</f>
        <v/>
      </c>
      <c r="E2944">
        <f>IF(OR(C2944="",D2944=""),"",IF(D2944=1,C2944,ROUND(C2944*(1+D2944/30),1)))</f>
        <v/>
      </c>
    </row>
    <row r="2945">
      <c r="A2945">
        <f>'Month 12'!B137</f>
        <v/>
      </c>
      <c r="B2945" t="inlineStr">
        <is>
          <t>Overhead Press</t>
        </is>
      </c>
      <c r="C2945">
        <f>IF(AND('Month 12'!L159&lt;&gt;"",N('Month 12'!I159)&gt;0),'Month 12'!I159,"")</f>
        <v/>
      </c>
      <c r="D2945">
        <f>IF(C2945="","",IF(N('Month 12'!J159)&gt;0,'Month 12'!J159,1))</f>
        <v/>
      </c>
      <c r="E2945">
        <f>IF(OR(C2945="",D2945=""),"",IF(D2945=1,C2945,ROUND(C2945*(1+D2945/30),1)))</f>
        <v/>
      </c>
    </row>
    <row r="2946">
      <c r="A2946">
        <f>'Month 12'!B137</f>
        <v/>
      </c>
      <c r="B2946" t="inlineStr">
        <is>
          <t>Deadlift</t>
        </is>
      </c>
      <c r="C2946">
        <f>IF(AND('Month 12'!L161&lt;&gt;"",N('Month 12'!I161)&gt;0),'Month 12'!I161,"")</f>
        <v/>
      </c>
      <c r="D2946">
        <f>IF(C2946="","",IF(N('Month 12'!J161)&gt;0,'Month 12'!J161,1))</f>
        <v/>
      </c>
      <c r="E2946">
        <f>IF(OR(C2946="",D2946=""),"",IF(D2946=1,C2946,ROUND(C2946*(1+D2946/30),1)))</f>
        <v/>
      </c>
    </row>
    <row r="2947">
      <c r="A2947">
        <f>'Month 12'!B137</f>
        <v/>
      </c>
      <c r="B2947" t="inlineStr">
        <is>
          <t>Deadlift</t>
        </is>
      </c>
      <c r="C2947">
        <f>IF(AND('Month 12'!L162&lt;&gt;"",N('Month 12'!I162)&gt;0),'Month 12'!I162,"")</f>
        <v/>
      </c>
      <c r="D2947">
        <f>IF(C2947="","",IF(N('Month 12'!J162)&gt;0,'Month 12'!J162,1))</f>
        <v/>
      </c>
      <c r="E2947">
        <f>IF(OR(C2947="",D2947=""),"",IF(D2947=1,C2947,ROUND(C2947*(1+D2947/30),1)))</f>
        <v/>
      </c>
    </row>
    <row r="2948">
      <c r="A2948">
        <f>'Month 12'!B137</f>
        <v/>
      </c>
      <c r="B2948" t="inlineStr">
        <is>
          <t>Deadlift</t>
        </is>
      </c>
      <c r="C2948">
        <f>IF(AND('Month 12'!L163&lt;&gt;"",N('Month 12'!I163)&gt;0),'Month 12'!I163,"")</f>
        <v/>
      </c>
      <c r="D2948">
        <f>IF(C2948="","",IF(N('Month 12'!J163)&gt;0,'Month 12'!J163,1))</f>
        <v/>
      </c>
      <c r="E2948">
        <f>IF(OR(C2948="",D2948=""),"",IF(D2948=1,C2948,ROUND(C2948*(1+D2948/30),1)))</f>
        <v/>
      </c>
    </row>
    <row r="2949">
      <c r="A2949">
        <f>'Month 12'!B137</f>
        <v/>
      </c>
      <c r="B2949" t="inlineStr">
        <is>
          <t>Deadlift</t>
        </is>
      </c>
      <c r="C2949">
        <f>IF(AND('Month 12'!L164&lt;&gt;"",N('Month 12'!I164)&gt;0),'Month 12'!I164,"")</f>
        <v/>
      </c>
      <c r="D2949">
        <f>IF(C2949="","",IF(N('Month 12'!J164)&gt;0,'Month 12'!J164,1))</f>
        <v/>
      </c>
      <c r="E2949">
        <f>IF(OR(C2949="",D2949=""),"",IF(D2949=1,C2949,ROUND(C2949*(1+D2949/30),1)))</f>
        <v/>
      </c>
    </row>
    <row r="2950">
      <c r="A2950">
        <f>'Month 12'!B137</f>
        <v/>
      </c>
      <c r="B2950" t="inlineStr">
        <is>
          <t>Chin-up</t>
        </is>
      </c>
      <c r="C2950">
        <f>IF(AND('Month 12'!L166&lt;&gt;"",N('Month 12'!I166)&gt;0),'Month 12'!I166,"")</f>
        <v/>
      </c>
      <c r="D2950">
        <f>IF(C2950="","",IF(N('Month 12'!J166)&gt;0,'Month 12'!J166,1))</f>
        <v/>
      </c>
      <c r="E2950">
        <f>IF(OR(C2950="",D2950=""),"",IF(D2950=1,C2950,ROUND(C2950*(1+D2950/30),1)))</f>
        <v/>
      </c>
    </row>
    <row r="2951">
      <c r="A2951">
        <f>'Month 12'!B137</f>
        <v/>
      </c>
      <c r="B2951" t="inlineStr">
        <is>
          <t>Chin-up</t>
        </is>
      </c>
      <c r="C2951">
        <f>IF(AND('Month 12'!L167&lt;&gt;"",N('Month 12'!I167)&gt;0),'Month 12'!I167,"")</f>
        <v/>
      </c>
      <c r="D2951">
        <f>IF(C2951="","",IF(N('Month 12'!J167)&gt;0,'Month 12'!J167,1))</f>
        <v/>
      </c>
      <c r="E2951">
        <f>IF(OR(C2951="",D2951=""),"",IF(D2951=1,C2951,ROUND(C2951*(1+D2951/30),1)))</f>
        <v/>
      </c>
    </row>
    <row r="2952">
      <c r="A2952">
        <f>'Month 12'!B137</f>
        <v/>
      </c>
      <c r="B2952" t="inlineStr">
        <is>
          <t>Chin-up</t>
        </is>
      </c>
      <c r="C2952">
        <f>IF(AND('Month 12'!L168&lt;&gt;"",N('Month 12'!I168)&gt;0),'Month 12'!I168,"")</f>
        <v/>
      </c>
      <c r="D2952">
        <f>IF(C2952="","",IF(N('Month 12'!J168)&gt;0,'Month 12'!J168,1))</f>
        <v/>
      </c>
      <c r="E2952">
        <f>IF(OR(C2952="",D2952=""),"",IF(D2952=1,C2952,ROUND(C2952*(1+D2952/30),1)))</f>
        <v/>
      </c>
    </row>
    <row r="2953">
      <c r="A2953">
        <f>'Month 12'!B137</f>
        <v/>
      </c>
      <c r="B2953" t="inlineStr">
        <is>
          <t>Plank</t>
        </is>
      </c>
      <c r="C2953">
        <f>IF(AND('Month 12'!L170&lt;&gt;"",N('Month 12'!I170)&gt;0),'Month 12'!I170,"")</f>
        <v/>
      </c>
      <c r="D2953">
        <f>IF(C2953="","",IF(N('Month 12'!J170)&gt;0,'Month 12'!J170,1))</f>
        <v/>
      </c>
      <c r="E2953">
        <f>IF(OR(C2953="",D2953=""),"",IF(D2953=1,C2953,ROUND(C2953*(1+D2953/30),1)))</f>
        <v/>
      </c>
    </row>
    <row r="2954">
      <c r="A2954">
        <f>'Month 12'!B137</f>
        <v/>
      </c>
      <c r="B2954" t="inlineStr">
        <is>
          <t>Plank</t>
        </is>
      </c>
      <c r="C2954">
        <f>IF(AND('Month 12'!L171&lt;&gt;"",N('Month 12'!I171)&gt;0),'Month 12'!I171,"")</f>
        <v/>
      </c>
      <c r="D2954">
        <f>IF(C2954="","",IF(N('Month 12'!J171)&gt;0,'Month 12'!J171,1))</f>
        <v/>
      </c>
      <c r="E2954">
        <f>IF(OR(C2954="",D2954=""),"",IF(D2954=1,C2954,ROUND(C2954*(1+D2954/30),1)))</f>
        <v/>
      </c>
    </row>
    <row r="2955">
      <c r="A2955">
        <f>'Month 12'!B137</f>
        <v/>
      </c>
      <c r="B2955" t="inlineStr">
        <is>
          <t>Plank</t>
        </is>
      </c>
      <c r="C2955">
        <f>IF(AND('Month 12'!L172&lt;&gt;"",N('Month 12'!I172)&gt;0),'Month 12'!I172,"")</f>
        <v/>
      </c>
      <c r="D2955">
        <f>IF(C2955="","",IF(N('Month 12'!J172)&gt;0,'Month 12'!J172,1))</f>
        <v/>
      </c>
      <c r="E2955">
        <f>IF(OR(C2955="",D2955=""),"",IF(D2955=1,C2955,ROUND(C2955*(1+D2955/30),1)))</f>
        <v/>
      </c>
    </row>
    <row r="2956">
      <c r="A2956">
        <f>'Month 12'!B173</f>
        <v/>
      </c>
      <c r="B2956" t="inlineStr">
        <is>
          <t>Seated Box Jump</t>
        </is>
      </c>
      <c r="C2956">
        <f>IF(AND('Month 12'!L175&lt;&gt;"",N('Month 12'!I175)&gt;0),'Month 12'!I175,"")</f>
        <v/>
      </c>
      <c r="D2956">
        <f>IF(C2956="","",IF(N('Month 12'!J175)&gt;0,'Month 12'!J175,1))</f>
        <v/>
      </c>
      <c r="E2956">
        <f>IF(OR(C2956="",D2956=""),"",IF(D2956=1,C2956,ROUND(C2956*(1+D2956/30),1)))</f>
        <v/>
      </c>
    </row>
    <row r="2957">
      <c r="A2957">
        <f>'Month 12'!B173</f>
        <v/>
      </c>
      <c r="B2957" t="inlineStr">
        <is>
          <t>Seated Box Jump</t>
        </is>
      </c>
      <c r="C2957">
        <f>IF(AND('Month 12'!L176&lt;&gt;"",N('Month 12'!I176)&gt;0),'Month 12'!I176,"")</f>
        <v/>
      </c>
      <c r="D2957">
        <f>IF(C2957="","",IF(N('Month 12'!J176)&gt;0,'Month 12'!J176,1))</f>
        <v/>
      </c>
      <c r="E2957">
        <f>IF(OR(C2957="",D2957=""),"",IF(D2957=1,C2957,ROUND(C2957*(1+D2957/30),1)))</f>
        <v/>
      </c>
    </row>
    <row r="2958">
      <c r="A2958">
        <f>'Month 12'!B173</f>
        <v/>
      </c>
      <c r="B2958" t="inlineStr">
        <is>
          <t>Seated Box Jump</t>
        </is>
      </c>
      <c r="C2958">
        <f>IF(AND('Month 12'!L177&lt;&gt;"",N('Month 12'!I177)&gt;0),'Month 12'!I177,"")</f>
        <v/>
      </c>
      <c r="D2958">
        <f>IF(C2958="","",IF(N('Month 12'!J177)&gt;0,'Month 12'!J177,1))</f>
        <v/>
      </c>
      <c r="E2958">
        <f>IF(OR(C2958="",D2958=""),"",IF(D2958=1,C2958,ROUND(C2958*(1+D2958/30),1)))</f>
        <v/>
      </c>
    </row>
    <row r="2959">
      <c r="A2959">
        <f>'Month 12'!B173</f>
        <v/>
      </c>
      <c r="B2959" t="inlineStr">
        <is>
          <t>Hang Clean</t>
        </is>
      </c>
      <c r="C2959">
        <f>IF(AND('Month 12'!L179&lt;&gt;"",N('Month 12'!I179)&gt;0),'Month 12'!I179,"")</f>
        <v/>
      </c>
      <c r="D2959">
        <f>IF(C2959="","",IF(N('Month 12'!J179)&gt;0,'Month 12'!J179,1))</f>
        <v/>
      </c>
      <c r="E2959">
        <f>IF(OR(C2959="",D2959=""),"",IF(D2959=1,C2959,ROUND(C2959*(1+D2959/30),1)))</f>
        <v/>
      </c>
    </row>
    <row r="2960">
      <c r="A2960">
        <f>'Month 12'!B173</f>
        <v/>
      </c>
      <c r="B2960" t="inlineStr">
        <is>
          <t>Hang Clean</t>
        </is>
      </c>
      <c r="C2960">
        <f>IF(AND('Month 12'!L180&lt;&gt;"",N('Month 12'!I180)&gt;0),'Month 12'!I180,"")</f>
        <v/>
      </c>
      <c r="D2960">
        <f>IF(C2960="","",IF(N('Month 12'!J180)&gt;0,'Month 12'!J180,1))</f>
        <v/>
      </c>
      <c r="E2960">
        <f>IF(OR(C2960="",D2960=""),"",IF(D2960=1,C2960,ROUND(C2960*(1+D2960/30),1)))</f>
        <v/>
      </c>
    </row>
    <row r="2961">
      <c r="A2961">
        <f>'Month 12'!B173</f>
        <v/>
      </c>
      <c r="B2961" t="inlineStr">
        <is>
          <t>Hang Clean</t>
        </is>
      </c>
      <c r="C2961">
        <f>IF(AND('Month 12'!L181&lt;&gt;"",N('Month 12'!I181)&gt;0),'Month 12'!I181,"")</f>
        <v/>
      </c>
      <c r="D2961">
        <f>IF(C2961="","",IF(N('Month 12'!J181)&gt;0,'Month 12'!J181,1))</f>
        <v/>
      </c>
      <c r="E2961">
        <f>IF(OR(C2961="",D2961=""),"",IF(D2961=1,C2961,ROUND(C2961*(1+D2961/30),1)))</f>
        <v/>
      </c>
    </row>
    <row r="2962">
      <c r="A2962">
        <f>'Month 12'!B173</f>
        <v/>
      </c>
      <c r="B2962" t="inlineStr">
        <is>
          <t>Hang Clean</t>
        </is>
      </c>
      <c r="C2962">
        <f>IF(AND('Month 12'!L182&lt;&gt;"",N('Month 12'!I182)&gt;0),'Month 12'!I182,"")</f>
        <v/>
      </c>
      <c r="D2962">
        <f>IF(C2962="","",IF(N('Month 12'!J182)&gt;0,'Month 12'!J182,1))</f>
        <v/>
      </c>
      <c r="E2962">
        <f>IF(OR(C2962="",D2962=""),"",IF(D2962=1,C2962,ROUND(C2962*(1+D2962/30),1)))</f>
        <v/>
      </c>
    </row>
    <row r="2963">
      <c r="A2963">
        <f>'Month 12'!B173</f>
        <v/>
      </c>
      <c r="B2963" t="inlineStr">
        <is>
          <t>Hang Clean</t>
        </is>
      </c>
      <c r="C2963">
        <f>IF(AND('Month 12'!L183&lt;&gt;"",N('Month 12'!I183)&gt;0),'Month 12'!I183,"")</f>
        <v/>
      </c>
      <c r="D2963">
        <f>IF(C2963="","",IF(N('Month 12'!J183)&gt;0,'Month 12'!J183,1))</f>
        <v/>
      </c>
      <c r="E2963">
        <f>IF(OR(C2963="",D2963=""),"",IF(D2963=1,C2963,ROUND(C2963*(1+D2963/30),1)))</f>
        <v/>
      </c>
    </row>
    <row r="2964">
      <c r="A2964">
        <f>'Month 12'!B173</f>
        <v/>
      </c>
      <c r="B2964" t="inlineStr">
        <is>
          <t>Pause Squat</t>
        </is>
      </c>
      <c r="C2964">
        <f>IF(AND('Month 12'!L185&lt;&gt;"",N('Month 12'!I185)&gt;0),'Month 12'!I185,"")</f>
        <v/>
      </c>
      <c r="D2964">
        <f>IF(C2964="","",IF(N('Month 12'!J185)&gt;0,'Month 12'!J185,1))</f>
        <v/>
      </c>
      <c r="E2964">
        <f>IF(OR(C2964="",D2964=""),"",IF(D2964=1,C2964,ROUND(C2964*(1+D2964/30),1)))</f>
        <v/>
      </c>
    </row>
    <row r="2965">
      <c r="A2965">
        <f>'Month 12'!B173</f>
        <v/>
      </c>
      <c r="B2965" t="inlineStr">
        <is>
          <t>Pause Squat</t>
        </is>
      </c>
      <c r="C2965">
        <f>IF(AND('Month 12'!L186&lt;&gt;"",N('Month 12'!I186)&gt;0),'Month 12'!I186,"")</f>
        <v/>
      </c>
      <c r="D2965">
        <f>IF(C2965="","",IF(N('Month 12'!J186)&gt;0,'Month 12'!J186,1))</f>
        <v/>
      </c>
      <c r="E2965">
        <f>IF(OR(C2965="",D2965=""),"",IF(D2965=1,C2965,ROUND(C2965*(1+D2965/30),1)))</f>
        <v/>
      </c>
    </row>
    <row r="2966">
      <c r="A2966">
        <f>'Month 12'!B173</f>
        <v/>
      </c>
      <c r="B2966" t="inlineStr">
        <is>
          <t>Pause Squat</t>
        </is>
      </c>
      <c r="C2966">
        <f>IF(AND('Month 12'!L187&lt;&gt;"",N('Month 12'!I187)&gt;0),'Month 12'!I187,"")</f>
        <v/>
      </c>
      <c r="D2966">
        <f>IF(C2966="","",IF(N('Month 12'!J187)&gt;0,'Month 12'!J187,1))</f>
        <v/>
      </c>
      <c r="E2966">
        <f>IF(OR(C2966="",D2966=""),"",IF(D2966=1,C2966,ROUND(C2966*(1+D2966/30),1)))</f>
        <v/>
      </c>
    </row>
    <row r="2967">
      <c r="A2967">
        <f>'Month 12'!B173</f>
        <v/>
      </c>
      <c r="B2967" t="inlineStr">
        <is>
          <t>Pause Squat</t>
        </is>
      </c>
      <c r="C2967">
        <f>IF(AND('Month 12'!L188&lt;&gt;"",N('Month 12'!I188)&gt;0),'Month 12'!I188,"")</f>
        <v/>
      </c>
      <c r="D2967">
        <f>IF(C2967="","",IF(N('Month 12'!J188)&gt;0,'Month 12'!J188,1))</f>
        <v/>
      </c>
      <c r="E2967">
        <f>IF(OR(C2967="",D2967=""),"",IF(D2967=1,C2967,ROUND(C2967*(1+D2967/30),1)))</f>
        <v/>
      </c>
    </row>
    <row r="2968">
      <c r="A2968">
        <f>'Month 12'!B173</f>
        <v/>
      </c>
      <c r="B2968" t="inlineStr">
        <is>
          <t>Pause Squat</t>
        </is>
      </c>
      <c r="C2968">
        <f>IF(AND('Month 12'!L189&lt;&gt;"",N('Month 12'!I189)&gt;0),'Month 12'!I189,"")</f>
        <v/>
      </c>
      <c r="D2968">
        <f>IF(C2968="","",IF(N('Month 12'!J189)&gt;0,'Month 12'!J189,1))</f>
        <v/>
      </c>
      <c r="E2968">
        <f>IF(OR(C2968="",D2968=""),"",IF(D2968=1,C2968,ROUND(C2968*(1+D2968/30),1)))</f>
        <v/>
      </c>
    </row>
    <row r="2969">
      <c r="A2969">
        <f>'Month 12'!B173</f>
        <v/>
      </c>
      <c r="B2969" t="inlineStr">
        <is>
          <t>Floor Press</t>
        </is>
      </c>
      <c r="C2969">
        <f>IF(AND('Month 12'!L191&lt;&gt;"",N('Month 12'!I191)&gt;0),'Month 12'!I191,"")</f>
        <v/>
      </c>
      <c r="D2969">
        <f>IF(C2969="","",IF(N('Month 12'!J191)&gt;0,'Month 12'!J191,1))</f>
        <v/>
      </c>
      <c r="E2969">
        <f>IF(OR(C2969="",D2969=""),"",IF(D2969=1,C2969,ROUND(C2969*(1+D2969/30),1)))</f>
        <v/>
      </c>
    </row>
    <row r="2970">
      <c r="A2970">
        <f>'Month 12'!B173</f>
        <v/>
      </c>
      <c r="B2970" t="inlineStr">
        <is>
          <t>Floor Press</t>
        </is>
      </c>
      <c r="C2970">
        <f>IF(AND('Month 12'!L192&lt;&gt;"",N('Month 12'!I192)&gt;0),'Month 12'!I192,"")</f>
        <v/>
      </c>
      <c r="D2970">
        <f>IF(C2970="","",IF(N('Month 12'!J192)&gt;0,'Month 12'!J192,1))</f>
        <v/>
      </c>
      <c r="E2970">
        <f>IF(OR(C2970="",D2970=""),"",IF(D2970=1,C2970,ROUND(C2970*(1+D2970/30),1)))</f>
        <v/>
      </c>
    </row>
    <row r="2971">
      <c r="A2971">
        <f>'Month 12'!B173</f>
        <v/>
      </c>
      <c r="B2971" t="inlineStr">
        <is>
          <t>Floor Press</t>
        </is>
      </c>
      <c r="C2971">
        <f>IF(AND('Month 12'!L193&lt;&gt;"",N('Month 12'!I193)&gt;0),'Month 12'!I193,"")</f>
        <v/>
      </c>
      <c r="D2971">
        <f>IF(C2971="","",IF(N('Month 12'!J193)&gt;0,'Month 12'!J193,1))</f>
        <v/>
      </c>
      <c r="E2971">
        <f>IF(OR(C2971="",D2971=""),"",IF(D2971=1,C2971,ROUND(C2971*(1+D2971/30),1)))</f>
        <v/>
      </c>
    </row>
    <row r="2972">
      <c r="A2972">
        <f>'Month 12'!B173</f>
        <v/>
      </c>
      <c r="B2972" t="inlineStr">
        <is>
          <t>Floor Press</t>
        </is>
      </c>
      <c r="C2972">
        <f>IF(AND('Month 12'!L194&lt;&gt;"",N('Month 12'!I194)&gt;0),'Month 12'!I194,"")</f>
        <v/>
      </c>
      <c r="D2972">
        <f>IF(C2972="","",IF(N('Month 12'!J194)&gt;0,'Month 12'!J194,1))</f>
        <v/>
      </c>
      <c r="E2972">
        <f>IF(OR(C2972="",D2972=""),"",IF(D2972=1,C2972,ROUND(C2972*(1+D2972/30),1)))</f>
        <v/>
      </c>
    </row>
    <row r="2973">
      <c r="A2973">
        <f>'Month 12'!B173</f>
        <v/>
      </c>
      <c r="B2973" t="inlineStr">
        <is>
          <t>Floor Press</t>
        </is>
      </c>
      <c r="C2973">
        <f>IF(AND('Month 12'!L195&lt;&gt;"",N('Month 12'!I195)&gt;0),'Month 12'!I195,"")</f>
        <v/>
      </c>
      <c r="D2973">
        <f>IF(C2973="","",IF(N('Month 12'!J195)&gt;0,'Month 12'!J195,1))</f>
        <v/>
      </c>
      <c r="E2973">
        <f>IF(OR(C2973="",D2973=""),"",IF(D2973=1,C2973,ROUND(C2973*(1+D2973/30),1)))</f>
        <v/>
      </c>
    </row>
    <row r="2974">
      <c r="A2974">
        <f>'Month 12'!B173</f>
        <v/>
      </c>
      <c r="B2974" t="inlineStr">
        <is>
          <t>Block Pull</t>
        </is>
      </c>
      <c r="C2974">
        <f>IF(AND('Month 12'!L197&lt;&gt;"",N('Month 12'!I197)&gt;0),'Month 12'!I197,"")</f>
        <v/>
      </c>
      <c r="D2974">
        <f>IF(C2974="","",IF(N('Month 12'!J197)&gt;0,'Month 12'!J197,1))</f>
        <v/>
      </c>
      <c r="E2974">
        <f>IF(OR(C2974="",D2974=""),"",IF(D2974=1,C2974,ROUND(C2974*(1+D2974/30),1)))</f>
        <v/>
      </c>
    </row>
    <row r="2975">
      <c r="A2975">
        <f>'Month 12'!B173</f>
        <v/>
      </c>
      <c r="B2975" t="inlineStr">
        <is>
          <t>Block Pull</t>
        </is>
      </c>
      <c r="C2975">
        <f>IF(AND('Month 12'!L198&lt;&gt;"",N('Month 12'!I198)&gt;0),'Month 12'!I198,"")</f>
        <v/>
      </c>
      <c r="D2975">
        <f>IF(C2975="","",IF(N('Month 12'!J198)&gt;0,'Month 12'!J198,1))</f>
        <v/>
      </c>
      <c r="E2975">
        <f>IF(OR(C2975="",D2975=""),"",IF(D2975=1,C2975,ROUND(C2975*(1+D2975/30),1)))</f>
        <v/>
      </c>
    </row>
    <row r="2976">
      <c r="A2976">
        <f>'Month 12'!B173</f>
        <v/>
      </c>
      <c r="B2976" t="inlineStr">
        <is>
          <t>Block Pull</t>
        </is>
      </c>
      <c r="C2976">
        <f>IF(AND('Month 12'!L199&lt;&gt;"",N('Month 12'!I199)&gt;0),'Month 12'!I199,"")</f>
        <v/>
      </c>
      <c r="D2976">
        <f>IF(C2976="","",IF(N('Month 12'!J199)&gt;0,'Month 12'!J199,1))</f>
        <v/>
      </c>
      <c r="E2976">
        <f>IF(OR(C2976="",D2976=""),"",IF(D2976=1,C2976,ROUND(C2976*(1+D2976/30),1)))</f>
        <v/>
      </c>
    </row>
    <row r="2977">
      <c r="A2977">
        <f>'Month 12'!B173</f>
        <v/>
      </c>
      <c r="B2977" t="inlineStr">
        <is>
          <t>Incline Dumbbell Press</t>
        </is>
      </c>
      <c r="C2977">
        <f>IF(AND('Month 12'!L201&lt;&gt;"",N('Month 12'!I201)&gt;0),'Month 12'!I201,"")</f>
        <v/>
      </c>
      <c r="D2977">
        <f>IF(C2977="","",IF(N('Month 12'!J201)&gt;0,'Month 12'!J201,1))</f>
        <v/>
      </c>
      <c r="E2977">
        <f>IF(OR(C2977="",D2977=""),"",IF(D2977=1,C2977,ROUND(C2977*(1+D2977/30),1)))</f>
        <v/>
      </c>
    </row>
    <row r="2978">
      <c r="A2978">
        <f>'Month 12'!B173</f>
        <v/>
      </c>
      <c r="B2978" t="inlineStr">
        <is>
          <t>Incline Dumbbell Press</t>
        </is>
      </c>
      <c r="C2978">
        <f>IF(AND('Month 12'!L202&lt;&gt;"",N('Month 12'!I202)&gt;0),'Month 12'!I202,"")</f>
        <v/>
      </c>
      <c r="D2978">
        <f>IF(C2978="","",IF(N('Month 12'!J202)&gt;0,'Month 12'!J202,1))</f>
        <v/>
      </c>
      <c r="E2978">
        <f>IF(OR(C2978="",D2978=""),"",IF(D2978=1,C2978,ROUND(C2978*(1+D2978/30),1)))</f>
        <v/>
      </c>
    </row>
    <row r="2979">
      <c r="A2979">
        <f>'Month 12'!B173</f>
        <v/>
      </c>
      <c r="B2979" t="inlineStr">
        <is>
          <t>Incline Dumbbell Press</t>
        </is>
      </c>
      <c r="C2979">
        <f>IF(AND('Month 12'!L203&lt;&gt;"",N('Month 12'!I203)&gt;0),'Month 12'!I203,"")</f>
        <v/>
      </c>
      <c r="D2979">
        <f>IF(C2979="","",IF(N('Month 12'!J203)&gt;0,'Month 12'!J203,1))</f>
        <v/>
      </c>
      <c r="E2979">
        <f>IF(OR(C2979="",D2979=""),"",IF(D2979=1,C2979,ROUND(C2979*(1+D2979/30),1)))</f>
        <v/>
      </c>
    </row>
    <row r="2980">
      <c r="A2980">
        <f>'Month 12'!B173</f>
        <v/>
      </c>
      <c r="B2980" t="inlineStr">
        <is>
          <t>Triceps Pushdown</t>
        </is>
      </c>
      <c r="C2980">
        <f>IF(AND('Month 12'!L205&lt;&gt;"",N('Month 12'!I205)&gt;0),'Month 12'!I205,"")</f>
        <v/>
      </c>
      <c r="D2980">
        <f>IF(C2980="","",IF(N('Month 12'!J205)&gt;0,'Month 12'!J205,1))</f>
        <v/>
      </c>
      <c r="E2980">
        <f>IF(OR(C2980="",D2980=""),"",IF(D2980=1,C2980,ROUND(C2980*(1+D2980/30),1)))</f>
        <v/>
      </c>
    </row>
    <row r="2981">
      <c r="A2981">
        <f>'Month 12'!B173</f>
        <v/>
      </c>
      <c r="B2981" t="inlineStr">
        <is>
          <t>Triceps Pushdown</t>
        </is>
      </c>
      <c r="C2981">
        <f>IF(AND('Month 12'!L206&lt;&gt;"",N('Month 12'!I206)&gt;0),'Month 12'!I206,"")</f>
        <v/>
      </c>
      <c r="D2981">
        <f>IF(C2981="","",IF(N('Month 12'!J206)&gt;0,'Month 12'!J206,1))</f>
        <v/>
      </c>
      <c r="E2981">
        <f>IF(OR(C2981="",D2981=""),"",IF(D2981=1,C2981,ROUND(C2981*(1+D2981/30),1)))</f>
        <v/>
      </c>
    </row>
    <row r="2982">
      <c r="A2982">
        <f>'Month 12'!B173</f>
        <v/>
      </c>
      <c r="B2982" t="inlineStr">
        <is>
          <t>Triceps Pushdown</t>
        </is>
      </c>
      <c r="C2982">
        <f>IF(AND('Month 12'!L207&lt;&gt;"",N('Month 12'!I207)&gt;0),'Month 12'!I207,"")</f>
        <v/>
      </c>
      <c r="D2982">
        <f>IF(C2982="","",IF(N('Month 12'!J207)&gt;0,'Month 12'!J207,1))</f>
        <v/>
      </c>
      <c r="E2982">
        <f>IF(OR(C2982="",D2982=""),"",IF(D2982=1,C2982,ROUND(C2982*(1+D2982/30),1)))</f>
        <v/>
      </c>
    </row>
    <row r="2983">
      <c r="A2983">
        <f>'Month 12'!B210</f>
        <v/>
      </c>
      <c r="B2983" t="inlineStr">
        <is>
          <t>Box Jump</t>
        </is>
      </c>
      <c r="C2983">
        <f>IF(AND('Month 12'!L212&lt;&gt;"",N('Month 12'!I212)&gt;0),'Month 12'!I212,"")</f>
        <v/>
      </c>
      <c r="D2983">
        <f>IF(C2983="","",IF(N('Month 12'!J212)&gt;0,'Month 12'!J212,1))</f>
        <v/>
      </c>
      <c r="E2983">
        <f>IF(OR(C2983="",D2983=""),"",IF(D2983=1,C2983,ROUND(C2983*(1+D2983/30),1)))</f>
        <v/>
      </c>
    </row>
    <row r="2984">
      <c r="A2984">
        <f>'Month 12'!B210</f>
        <v/>
      </c>
      <c r="B2984" t="inlineStr">
        <is>
          <t>Box Jump</t>
        </is>
      </c>
      <c r="C2984">
        <f>IF(AND('Month 12'!L213&lt;&gt;"",N('Month 12'!I213)&gt;0),'Month 12'!I213,"")</f>
        <v/>
      </c>
      <c r="D2984">
        <f>IF(C2984="","",IF(N('Month 12'!J213)&gt;0,'Month 12'!J213,1))</f>
        <v/>
      </c>
      <c r="E2984">
        <f>IF(OR(C2984="",D2984=""),"",IF(D2984=1,C2984,ROUND(C2984*(1+D2984/30),1)))</f>
        <v/>
      </c>
    </row>
    <row r="2985">
      <c r="A2985">
        <f>'Month 12'!B210</f>
        <v/>
      </c>
      <c r="B2985" t="inlineStr">
        <is>
          <t>Snatch</t>
        </is>
      </c>
      <c r="C2985">
        <f>IF(AND('Month 12'!L215&lt;&gt;"",N('Month 12'!I215)&gt;0),'Month 12'!I215,"")</f>
        <v/>
      </c>
      <c r="D2985">
        <f>IF(C2985="","",IF(N('Month 12'!J215)&gt;0,'Month 12'!J215,1))</f>
        <v/>
      </c>
      <c r="E2985">
        <f>IF(OR(C2985="",D2985=""),"",IF(D2985=1,C2985,ROUND(C2985*(1+D2985/30),1)))</f>
        <v/>
      </c>
    </row>
    <row r="2986">
      <c r="A2986">
        <f>'Month 12'!B210</f>
        <v/>
      </c>
      <c r="B2986" t="inlineStr">
        <is>
          <t>Snatch</t>
        </is>
      </c>
      <c r="C2986">
        <f>IF(AND('Month 12'!L216&lt;&gt;"",N('Month 12'!I216)&gt;0),'Month 12'!I216,"")</f>
        <v/>
      </c>
      <c r="D2986">
        <f>IF(C2986="","",IF(N('Month 12'!J216)&gt;0,'Month 12'!J216,1))</f>
        <v/>
      </c>
      <c r="E2986">
        <f>IF(OR(C2986="",D2986=""),"",IF(D2986=1,C2986,ROUND(C2986*(1+D2986/30),1)))</f>
        <v/>
      </c>
    </row>
    <row r="2987">
      <c r="A2987">
        <f>'Month 12'!B210</f>
        <v/>
      </c>
      <c r="B2987" t="inlineStr">
        <is>
          <t>Snatch</t>
        </is>
      </c>
      <c r="C2987">
        <f>IF(AND('Month 12'!L217&lt;&gt;"",N('Month 12'!I217)&gt;0),'Month 12'!I217,"")</f>
        <v/>
      </c>
      <c r="D2987">
        <f>IF(C2987="","",IF(N('Month 12'!J217)&gt;0,'Month 12'!J217,1))</f>
        <v/>
      </c>
      <c r="E2987">
        <f>IF(OR(C2987="",D2987=""),"",IF(D2987=1,C2987,ROUND(C2987*(1+D2987/30),1)))</f>
        <v/>
      </c>
    </row>
    <row r="2988">
      <c r="A2988">
        <f>'Month 12'!B210</f>
        <v/>
      </c>
      <c r="B2988" t="inlineStr">
        <is>
          <t>Squat</t>
        </is>
      </c>
      <c r="C2988">
        <f>IF(AND('Month 12'!L219&lt;&gt;"",N('Month 12'!I219)&gt;0),'Month 12'!I219,"")</f>
        <v/>
      </c>
      <c r="D2988">
        <f>IF(C2988="","",IF(N('Month 12'!J219)&gt;0,'Month 12'!J219,1))</f>
        <v/>
      </c>
      <c r="E2988">
        <f>IF(OR(C2988="",D2988=""),"",IF(D2988=1,C2988,ROUND(C2988*(1+D2988/30),1)))</f>
        <v/>
      </c>
    </row>
    <row r="2989">
      <c r="A2989">
        <f>'Month 12'!B210</f>
        <v/>
      </c>
      <c r="B2989" t="inlineStr">
        <is>
          <t>Squat</t>
        </is>
      </c>
      <c r="C2989">
        <f>IF(AND('Month 12'!L220&lt;&gt;"",N('Month 12'!I220)&gt;0),'Month 12'!I220,"")</f>
        <v/>
      </c>
      <c r="D2989">
        <f>IF(C2989="","",IF(N('Month 12'!J220)&gt;0,'Month 12'!J220,1))</f>
        <v/>
      </c>
      <c r="E2989">
        <f>IF(OR(C2989="",D2989=""),"",IF(D2989=1,C2989,ROUND(C2989*(1+D2989/30),1)))</f>
        <v/>
      </c>
    </row>
    <row r="2990">
      <c r="A2990">
        <f>'Month 12'!B210</f>
        <v/>
      </c>
      <c r="B2990" t="inlineStr">
        <is>
          <t>Squat</t>
        </is>
      </c>
      <c r="C2990">
        <f>IF(AND('Month 12'!L221&lt;&gt;"",N('Month 12'!I221)&gt;0),'Month 12'!I221,"")</f>
        <v/>
      </c>
      <c r="D2990">
        <f>IF(C2990="","",IF(N('Month 12'!J221)&gt;0,'Month 12'!J221,1))</f>
        <v/>
      </c>
      <c r="E2990">
        <f>IF(OR(C2990="",D2990=""),"",IF(D2990=1,C2990,ROUND(C2990*(1+D2990/30),1)))</f>
        <v/>
      </c>
    </row>
    <row r="2991">
      <c r="A2991">
        <f>'Month 12'!B210</f>
        <v/>
      </c>
      <c r="B2991" t="inlineStr">
        <is>
          <t>Bench Press</t>
        </is>
      </c>
      <c r="C2991">
        <f>IF(AND('Month 12'!L223&lt;&gt;"",N('Month 12'!I223)&gt;0),'Month 12'!I223,"")</f>
        <v/>
      </c>
      <c r="D2991">
        <f>IF(C2991="","",IF(N('Month 12'!J223)&gt;0,'Month 12'!J223,1))</f>
        <v/>
      </c>
      <c r="E2991">
        <f>IF(OR(C2991="",D2991=""),"",IF(D2991=1,C2991,ROUND(C2991*(1+D2991/30),1)))</f>
        <v/>
      </c>
    </row>
    <row r="2992">
      <c r="A2992">
        <f>'Month 12'!B210</f>
        <v/>
      </c>
      <c r="B2992" t="inlineStr">
        <is>
          <t>Bench Press</t>
        </is>
      </c>
      <c r="C2992">
        <f>IF(AND('Month 12'!L224&lt;&gt;"",N('Month 12'!I224)&gt;0),'Month 12'!I224,"")</f>
        <v/>
      </c>
      <c r="D2992">
        <f>IF(C2992="","",IF(N('Month 12'!J224)&gt;0,'Month 12'!J224,1))</f>
        <v/>
      </c>
      <c r="E2992">
        <f>IF(OR(C2992="",D2992=""),"",IF(D2992=1,C2992,ROUND(C2992*(1+D2992/30),1)))</f>
        <v/>
      </c>
    </row>
    <row r="2993">
      <c r="A2993">
        <f>'Month 12'!B210</f>
        <v/>
      </c>
      <c r="B2993" t="inlineStr">
        <is>
          <t>Bench Press</t>
        </is>
      </c>
      <c r="C2993">
        <f>IF(AND('Month 12'!L225&lt;&gt;"",N('Month 12'!I225)&gt;0),'Month 12'!I225,"")</f>
        <v/>
      </c>
      <c r="D2993">
        <f>IF(C2993="","",IF(N('Month 12'!J225)&gt;0,'Month 12'!J225,1))</f>
        <v/>
      </c>
      <c r="E2993">
        <f>IF(OR(C2993="",D2993=""),"",IF(D2993=1,C2993,ROUND(C2993*(1+D2993/30),1)))</f>
        <v/>
      </c>
    </row>
    <row r="2994">
      <c r="A2994">
        <f>'Month 12'!B210</f>
        <v/>
      </c>
      <c r="B2994" t="inlineStr">
        <is>
          <t>Barbell Row</t>
        </is>
      </c>
      <c r="C2994">
        <f>IF(AND('Month 12'!L227&lt;&gt;"",N('Month 12'!I227)&gt;0),'Month 12'!I227,"")</f>
        <v/>
      </c>
      <c r="D2994">
        <f>IF(C2994="","",IF(N('Month 12'!J227)&gt;0,'Month 12'!J227,1))</f>
        <v/>
      </c>
      <c r="E2994">
        <f>IF(OR(C2994="",D2994=""),"",IF(D2994=1,C2994,ROUND(C2994*(1+D2994/30),1)))</f>
        <v/>
      </c>
    </row>
    <row r="2995">
      <c r="A2995">
        <f>'Month 12'!B210</f>
        <v/>
      </c>
      <c r="B2995" t="inlineStr">
        <is>
          <t>Barbell Row</t>
        </is>
      </c>
      <c r="C2995">
        <f>IF(AND('Month 12'!L228&lt;&gt;"",N('Month 12'!I228)&gt;0),'Month 12'!I228,"")</f>
        <v/>
      </c>
      <c r="D2995">
        <f>IF(C2995="","",IF(N('Month 12'!J228)&gt;0,'Month 12'!J228,1))</f>
        <v/>
      </c>
      <c r="E2995">
        <f>IF(OR(C2995="",D2995=""),"",IF(D2995=1,C2995,ROUND(C2995*(1+D2995/30),1)))</f>
        <v/>
      </c>
    </row>
    <row r="2996">
      <c r="A2996">
        <f>'Month 12'!B210</f>
        <v/>
      </c>
      <c r="B2996" t="inlineStr">
        <is>
          <t>Face Pull</t>
        </is>
      </c>
      <c r="C2996">
        <f>IF(AND('Month 12'!L230&lt;&gt;"",N('Month 12'!I230)&gt;0),'Month 12'!I230,"")</f>
        <v/>
      </c>
      <c r="D2996">
        <f>IF(C2996="","",IF(N('Month 12'!J230)&gt;0,'Month 12'!J230,1))</f>
        <v/>
      </c>
      <c r="E2996">
        <f>IF(OR(C2996="",D2996=""),"",IF(D2996=1,C2996,ROUND(C2996*(1+D2996/30),1)))</f>
        <v/>
      </c>
    </row>
    <row r="2997">
      <c r="A2997">
        <f>'Month 12'!B210</f>
        <v/>
      </c>
      <c r="B2997" t="inlineStr">
        <is>
          <t>Face Pull</t>
        </is>
      </c>
      <c r="C2997">
        <f>IF(AND('Month 12'!L231&lt;&gt;"",N('Month 12'!I231)&gt;0),'Month 12'!I231,"")</f>
        <v/>
      </c>
      <c r="D2997">
        <f>IF(C2997="","",IF(N('Month 12'!J231)&gt;0,'Month 12'!J231,1))</f>
        <v/>
      </c>
      <c r="E2997">
        <f>IF(OR(C2997="",D2997=""),"",IF(D2997=1,C2997,ROUND(C2997*(1+D2997/30),1)))</f>
        <v/>
      </c>
    </row>
    <row r="2998">
      <c r="A2998">
        <f>'Month 12'!B232</f>
        <v/>
      </c>
      <c r="B2998" t="inlineStr">
        <is>
          <t>Broad Jump</t>
        </is>
      </c>
      <c r="C2998">
        <f>IF(AND('Month 12'!L234&lt;&gt;"",N('Month 12'!I234)&gt;0),'Month 12'!I234,"")</f>
        <v/>
      </c>
      <c r="D2998">
        <f>IF(C2998="","",IF(N('Month 12'!J234)&gt;0,'Month 12'!J234,1))</f>
        <v/>
      </c>
      <c r="E2998">
        <f>IF(OR(C2998="",D2998=""),"",IF(D2998=1,C2998,ROUND(C2998*(1+D2998/30),1)))</f>
        <v/>
      </c>
    </row>
    <row r="2999">
      <c r="A2999">
        <f>'Month 12'!B232</f>
        <v/>
      </c>
      <c r="B2999" t="inlineStr">
        <is>
          <t>Broad Jump</t>
        </is>
      </c>
      <c r="C2999">
        <f>IF(AND('Month 12'!L235&lt;&gt;"",N('Month 12'!I235)&gt;0),'Month 12'!I235,"")</f>
        <v/>
      </c>
      <c r="D2999">
        <f>IF(C2999="","",IF(N('Month 12'!J235)&gt;0,'Month 12'!J235,1))</f>
        <v/>
      </c>
      <c r="E2999">
        <f>IF(OR(C2999="",D2999=""),"",IF(D2999=1,C2999,ROUND(C2999*(1+D2999/30),1)))</f>
        <v/>
      </c>
    </row>
    <row r="3000">
      <c r="A3000">
        <f>'Month 12'!B232</f>
        <v/>
      </c>
      <c r="B3000" t="inlineStr">
        <is>
          <t>Med Ball Chest Pass</t>
        </is>
      </c>
      <c r="C3000">
        <f>IF(AND('Month 12'!L237&lt;&gt;"",N('Month 12'!I237)&gt;0),'Month 12'!I237,"")</f>
        <v/>
      </c>
      <c r="D3000">
        <f>IF(C3000="","",IF(N('Month 12'!J237)&gt;0,'Month 12'!J237,1))</f>
        <v/>
      </c>
      <c r="E3000">
        <f>IF(OR(C3000="",D3000=""),"",IF(D3000=1,C3000,ROUND(C3000*(1+D3000/30),1)))</f>
        <v/>
      </c>
    </row>
    <row r="3001">
      <c r="A3001">
        <f>'Month 12'!B232</f>
        <v/>
      </c>
      <c r="B3001" t="inlineStr">
        <is>
          <t>Med Ball Chest Pass</t>
        </is>
      </c>
      <c r="C3001">
        <f>IF(AND('Month 12'!L238&lt;&gt;"",N('Month 12'!I238)&gt;0),'Month 12'!I238,"")</f>
        <v/>
      </c>
      <c r="D3001">
        <f>IF(C3001="","",IF(N('Month 12'!J238)&gt;0,'Month 12'!J238,1))</f>
        <v/>
      </c>
      <c r="E3001">
        <f>IF(OR(C3001="",D3001=""),"",IF(D3001=1,C3001,ROUND(C3001*(1+D3001/30),1)))</f>
        <v/>
      </c>
    </row>
    <row r="3002">
      <c r="A3002">
        <f>'Month 12'!B232</f>
        <v/>
      </c>
      <c r="B3002" t="inlineStr">
        <is>
          <t>Clean &amp; Jerk</t>
        </is>
      </c>
      <c r="C3002">
        <f>IF(AND('Month 12'!L240&lt;&gt;"",N('Month 12'!I240)&gt;0),'Month 12'!I240,"")</f>
        <v/>
      </c>
      <c r="D3002">
        <f>IF(C3002="","",IF(N('Month 12'!J240)&gt;0,'Month 12'!J240,1))</f>
        <v/>
      </c>
      <c r="E3002">
        <f>IF(OR(C3002="",D3002=""),"",IF(D3002=1,C3002,ROUND(C3002*(1+D3002/30),1)))</f>
        <v/>
      </c>
    </row>
    <row r="3003">
      <c r="A3003">
        <f>'Month 12'!B232</f>
        <v/>
      </c>
      <c r="B3003" t="inlineStr">
        <is>
          <t>Clean &amp; Jerk</t>
        </is>
      </c>
      <c r="C3003">
        <f>IF(AND('Month 12'!L241&lt;&gt;"",N('Month 12'!I241)&gt;0),'Month 12'!I241,"")</f>
        <v/>
      </c>
      <c r="D3003">
        <f>IF(C3003="","",IF(N('Month 12'!J241)&gt;0,'Month 12'!J241,1))</f>
        <v/>
      </c>
      <c r="E3003">
        <f>IF(OR(C3003="",D3003=""),"",IF(D3003=1,C3003,ROUND(C3003*(1+D3003/30),1)))</f>
        <v/>
      </c>
    </row>
    <row r="3004">
      <c r="A3004">
        <f>'Month 12'!B232</f>
        <v/>
      </c>
      <c r="B3004" t="inlineStr">
        <is>
          <t>Squat</t>
        </is>
      </c>
      <c r="C3004">
        <f>IF(AND('Month 12'!L243&lt;&gt;"",N('Month 12'!I243)&gt;0),'Month 12'!I243,"")</f>
        <v/>
      </c>
      <c r="D3004">
        <f>IF(C3004="","",IF(N('Month 12'!J243)&gt;0,'Month 12'!J243,1))</f>
        <v/>
      </c>
      <c r="E3004">
        <f>IF(OR(C3004="",D3004=""),"",IF(D3004=1,C3004,ROUND(C3004*(1+D3004/30),1)))</f>
        <v/>
      </c>
    </row>
    <row r="3005">
      <c r="A3005">
        <f>'Month 12'!B232</f>
        <v/>
      </c>
      <c r="B3005" t="inlineStr">
        <is>
          <t>Squat</t>
        </is>
      </c>
      <c r="C3005">
        <f>IF(AND('Month 12'!L244&lt;&gt;"",N('Month 12'!I244)&gt;0),'Month 12'!I244,"")</f>
        <v/>
      </c>
      <c r="D3005">
        <f>IF(C3005="","",IF(N('Month 12'!J244)&gt;0,'Month 12'!J244,1))</f>
        <v/>
      </c>
      <c r="E3005">
        <f>IF(OR(C3005="",D3005=""),"",IF(D3005=1,C3005,ROUND(C3005*(1+D3005/30),1)))</f>
        <v/>
      </c>
    </row>
    <row r="3006">
      <c r="A3006">
        <f>'Month 12'!B232</f>
        <v/>
      </c>
      <c r="B3006" t="inlineStr">
        <is>
          <t>Overhead Press</t>
        </is>
      </c>
      <c r="C3006">
        <f>IF(AND('Month 12'!L246&lt;&gt;"",N('Month 12'!I246)&gt;0),'Month 12'!I246,"")</f>
        <v/>
      </c>
      <c r="D3006">
        <f>IF(C3006="","",IF(N('Month 12'!J246)&gt;0,'Month 12'!J246,1))</f>
        <v/>
      </c>
      <c r="E3006">
        <f>IF(OR(C3006="",D3006=""),"",IF(D3006=1,C3006,ROUND(C3006*(1+D3006/30),1)))</f>
        <v/>
      </c>
    </row>
    <row r="3007">
      <c r="A3007">
        <f>'Month 12'!B232</f>
        <v/>
      </c>
      <c r="B3007" t="inlineStr">
        <is>
          <t>Overhead Press</t>
        </is>
      </c>
      <c r="C3007">
        <f>IF(AND('Month 12'!L247&lt;&gt;"",N('Month 12'!I247)&gt;0),'Month 12'!I247,"")</f>
        <v/>
      </c>
      <c r="D3007">
        <f>IF(C3007="","",IF(N('Month 12'!J247)&gt;0,'Month 12'!J247,1))</f>
        <v/>
      </c>
      <c r="E3007">
        <f>IF(OR(C3007="",D3007=""),"",IF(D3007=1,C3007,ROUND(C3007*(1+D3007/30),1)))</f>
        <v/>
      </c>
    </row>
    <row r="3008">
      <c r="A3008">
        <f>'Month 12'!B232</f>
        <v/>
      </c>
      <c r="B3008" t="inlineStr">
        <is>
          <t>Deadlift</t>
        </is>
      </c>
      <c r="C3008">
        <f>IF(AND('Month 12'!L249&lt;&gt;"",N('Month 12'!I249)&gt;0),'Month 12'!I249,"")</f>
        <v/>
      </c>
      <c r="D3008">
        <f>IF(C3008="","",IF(N('Month 12'!J249)&gt;0,'Month 12'!J249,1))</f>
        <v/>
      </c>
      <c r="E3008">
        <f>IF(OR(C3008="",D3008=""),"",IF(D3008=1,C3008,ROUND(C3008*(1+D3008/30),1)))</f>
        <v/>
      </c>
    </row>
    <row r="3009">
      <c r="A3009">
        <f>'Month 12'!B232</f>
        <v/>
      </c>
      <c r="B3009" t="inlineStr">
        <is>
          <t>Deadlift</t>
        </is>
      </c>
      <c r="C3009">
        <f>IF(AND('Month 12'!L250&lt;&gt;"",N('Month 12'!I250)&gt;0),'Month 12'!I250,"")</f>
        <v/>
      </c>
      <c r="D3009">
        <f>IF(C3009="","",IF(N('Month 12'!J250)&gt;0,'Month 12'!J250,1))</f>
        <v/>
      </c>
      <c r="E3009">
        <f>IF(OR(C3009="",D3009=""),"",IF(D3009=1,C3009,ROUND(C3009*(1+D3009/30),1)))</f>
        <v/>
      </c>
    </row>
    <row r="3010">
      <c r="A3010">
        <f>'Month 12'!B232</f>
        <v/>
      </c>
      <c r="B3010" t="inlineStr">
        <is>
          <t>Chin-up</t>
        </is>
      </c>
      <c r="C3010">
        <f>IF(AND('Month 12'!L252&lt;&gt;"",N('Month 12'!I252)&gt;0),'Month 12'!I252,"")</f>
        <v/>
      </c>
      <c r="D3010">
        <f>IF(C3010="","",IF(N('Month 12'!J252)&gt;0,'Month 12'!J252,1))</f>
        <v/>
      </c>
      <c r="E3010">
        <f>IF(OR(C3010="",D3010=""),"",IF(D3010=1,C3010,ROUND(C3010*(1+D3010/30),1)))</f>
        <v/>
      </c>
    </row>
    <row r="3011">
      <c r="A3011">
        <f>'Month 12'!B232</f>
        <v/>
      </c>
      <c r="B3011" t="inlineStr">
        <is>
          <t>Chin-up</t>
        </is>
      </c>
      <c r="C3011">
        <f>IF(AND('Month 12'!L253&lt;&gt;"",N('Month 12'!I253)&gt;0),'Month 12'!I253,"")</f>
        <v/>
      </c>
      <c r="D3011">
        <f>IF(C3011="","",IF(N('Month 12'!J253)&gt;0,'Month 12'!J253,1))</f>
        <v/>
      </c>
      <c r="E3011">
        <f>IF(OR(C3011="",D3011=""),"",IF(D3011=1,C3011,ROUND(C3011*(1+D3011/30),1)))</f>
        <v/>
      </c>
    </row>
    <row r="3012">
      <c r="A3012">
        <f>'Month 12'!B232</f>
        <v/>
      </c>
      <c r="B3012" t="inlineStr">
        <is>
          <t>Plank</t>
        </is>
      </c>
      <c r="C3012">
        <f>IF(AND('Month 12'!L255&lt;&gt;"",N('Month 12'!I255)&gt;0),'Month 12'!I255,"")</f>
        <v/>
      </c>
      <c r="D3012">
        <f>IF(C3012="","",IF(N('Month 12'!J255)&gt;0,'Month 12'!J255,1))</f>
        <v/>
      </c>
      <c r="E3012">
        <f>IF(OR(C3012="",D3012=""),"",IF(D3012=1,C3012,ROUND(C3012*(1+D3012/30),1)))</f>
        <v/>
      </c>
    </row>
    <row r="3013">
      <c r="A3013">
        <f>'Month 12'!B232</f>
        <v/>
      </c>
      <c r="B3013" t="inlineStr">
        <is>
          <t>Plank</t>
        </is>
      </c>
      <c r="C3013">
        <f>IF(AND('Month 12'!L256&lt;&gt;"",N('Month 12'!I256)&gt;0),'Month 12'!I256,"")</f>
        <v/>
      </c>
      <c r="D3013">
        <f>IF(C3013="","",IF(N('Month 12'!J256)&gt;0,'Month 12'!J256,1))</f>
        <v/>
      </c>
      <c r="E3013">
        <f>IF(OR(C3013="",D3013=""),"",IF(D3013=1,C3013,ROUND(C3013*(1+D3013/30),1)))</f>
        <v/>
      </c>
    </row>
    <row r="3014">
      <c r="A3014">
        <f>'Month 12'!B257</f>
        <v/>
      </c>
      <c r="B3014" t="inlineStr">
        <is>
          <t>Seated Box Jump</t>
        </is>
      </c>
      <c r="C3014">
        <f>IF(AND('Month 12'!L259&lt;&gt;"",N('Month 12'!I259)&gt;0),'Month 12'!I259,"")</f>
        <v/>
      </c>
      <c r="D3014">
        <f>IF(C3014="","",IF(N('Month 12'!J259)&gt;0,'Month 12'!J259,1))</f>
        <v/>
      </c>
      <c r="E3014">
        <f>IF(OR(C3014="",D3014=""),"",IF(D3014=1,C3014,ROUND(C3014*(1+D3014/30),1)))</f>
        <v/>
      </c>
    </row>
    <row r="3015">
      <c r="A3015">
        <f>'Month 12'!B257</f>
        <v/>
      </c>
      <c r="B3015" t="inlineStr">
        <is>
          <t>Seated Box Jump</t>
        </is>
      </c>
      <c r="C3015">
        <f>IF(AND('Month 12'!L260&lt;&gt;"",N('Month 12'!I260)&gt;0),'Month 12'!I260,"")</f>
        <v/>
      </c>
      <c r="D3015">
        <f>IF(C3015="","",IF(N('Month 12'!J260)&gt;0,'Month 12'!J260,1))</f>
        <v/>
      </c>
      <c r="E3015">
        <f>IF(OR(C3015="",D3015=""),"",IF(D3015=1,C3015,ROUND(C3015*(1+D3015/30),1)))</f>
        <v/>
      </c>
    </row>
    <row r="3016">
      <c r="A3016">
        <f>'Month 12'!B257</f>
        <v/>
      </c>
      <c r="B3016" t="inlineStr">
        <is>
          <t>Hang Clean</t>
        </is>
      </c>
      <c r="C3016">
        <f>IF(AND('Month 12'!L262&lt;&gt;"",N('Month 12'!I262)&gt;0),'Month 12'!I262,"")</f>
        <v/>
      </c>
      <c r="D3016">
        <f>IF(C3016="","",IF(N('Month 12'!J262)&gt;0,'Month 12'!J262,1))</f>
        <v/>
      </c>
      <c r="E3016">
        <f>IF(OR(C3016="",D3016=""),"",IF(D3016=1,C3016,ROUND(C3016*(1+D3016/30),1)))</f>
        <v/>
      </c>
    </row>
    <row r="3017">
      <c r="A3017">
        <f>'Month 12'!B257</f>
        <v/>
      </c>
      <c r="B3017" t="inlineStr">
        <is>
          <t>Hang Clean</t>
        </is>
      </c>
      <c r="C3017">
        <f>IF(AND('Month 12'!L263&lt;&gt;"",N('Month 12'!I263)&gt;0),'Month 12'!I263,"")</f>
        <v/>
      </c>
      <c r="D3017">
        <f>IF(C3017="","",IF(N('Month 12'!J263)&gt;0,'Month 12'!J263,1))</f>
        <v/>
      </c>
      <c r="E3017">
        <f>IF(OR(C3017="",D3017=""),"",IF(D3017=1,C3017,ROUND(C3017*(1+D3017/30),1)))</f>
        <v/>
      </c>
    </row>
    <row r="3018">
      <c r="A3018">
        <f>'Month 12'!B257</f>
        <v/>
      </c>
      <c r="B3018" t="inlineStr">
        <is>
          <t>Pause Squat</t>
        </is>
      </c>
      <c r="C3018">
        <f>IF(AND('Month 12'!L265&lt;&gt;"",N('Month 12'!I265)&gt;0),'Month 12'!I265,"")</f>
        <v/>
      </c>
      <c r="D3018">
        <f>IF(C3018="","",IF(N('Month 12'!J265)&gt;0,'Month 12'!J265,1))</f>
        <v/>
      </c>
      <c r="E3018">
        <f>IF(OR(C3018="",D3018=""),"",IF(D3018=1,C3018,ROUND(C3018*(1+D3018/30),1)))</f>
        <v/>
      </c>
    </row>
    <row r="3019">
      <c r="A3019">
        <f>'Month 12'!B257</f>
        <v/>
      </c>
      <c r="B3019" t="inlineStr">
        <is>
          <t>Pause Squat</t>
        </is>
      </c>
      <c r="C3019">
        <f>IF(AND('Month 12'!L266&lt;&gt;"",N('Month 12'!I266)&gt;0),'Month 12'!I266,"")</f>
        <v/>
      </c>
      <c r="D3019">
        <f>IF(C3019="","",IF(N('Month 12'!J266)&gt;0,'Month 12'!J266,1))</f>
        <v/>
      </c>
      <c r="E3019">
        <f>IF(OR(C3019="",D3019=""),"",IF(D3019=1,C3019,ROUND(C3019*(1+D3019/30),1)))</f>
        <v/>
      </c>
    </row>
    <row r="3020">
      <c r="A3020">
        <f>'Month 12'!B257</f>
        <v/>
      </c>
      <c r="B3020" t="inlineStr">
        <is>
          <t>Floor Press</t>
        </is>
      </c>
      <c r="C3020">
        <f>IF(AND('Month 12'!L268&lt;&gt;"",N('Month 12'!I268)&gt;0),'Month 12'!I268,"")</f>
        <v/>
      </c>
      <c r="D3020">
        <f>IF(C3020="","",IF(N('Month 12'!J268)&gt;0,'Month 12'!J268,1))</f>
        <v/>
      </c>
      <c r="E3020">
        <f>IF(OR(C3020="",D3020=""),"",IF(D3020=1,C3020,ROUND(C3020*(1+D3020/30),1)))</f>
        <v/>
      </c>
    </row>
    <row r="3021">
      <c r="A3021">
        <f>'Month 12'!B257</f>
        <v/>
      </c>
      <c r="B3021" t="inlineStr">
        <is>
          <t>Floor Press</t>
        </is>
      </c>
      <c r="C3021">
        <f>IF(AND('Month 12'!L269&lt;&gt;"",N('Month 12'!I269)&gt;0),'Month 12'!I269,"")</f>
        <v/>
      </c>
      <c r="D3021">
        <f>IF(C3021="","",IF(N('Month 12'!J269)&gt;0,'Month 12'!J269,1))</f>
        <v/>
      </c>
      <c r="E3021">
        <f>IF(OR(C3021="",D3021=""),"",IF(D3021=1,C3021,ROUND(C3021*(1+D3021/30),1)))</f>
        <v/>
      </c>
    </row>
    <row r="3022">
      <c r="A3022">
        <f>'Month 12'!B257</f>
        <v/>
      </c>
      <c r="B3022" t="inlineStr">
        <is>
          <t>Block Pull</t>
        </is>
      </c>
      <c r="C3022">
        <f>IF(AND('Month 12'!L271&lt;&gt;"",N('Month 12'!I271)&gt;0),'Month 12'!I271,"")</f>
        <v/>
      </c>
      <c r="D3022">
        <f>IF(C3022="","",IF(N('Month 12'!J271)&gt;0,'Month 12'!J271,1))</f>
        <v/>
      </c>
      <c r="E3022">
        <f>IF(OR(C3022="",D3022=""),"",IF(D3022=1,C3022,ROUND(C3022*(1+D3022/30),1)))</f>
        <v/>
      </c>
    </row>
    <row r="3023">
      <c r="A3023">
        <f>'Month 12'!B257</f>
        <v/>
      </c>
      <c r="B3023" t="inlineStr">
        <is>
          <t>Block Pull</t>
        </is>
      </c>
      <c r="C3023">
        <f>IF(AND('Month 12'!L272&lt;&gt;"",N('Month 12'!I272)&gt;0),'Month 12'!I272,"")</f>
        <v/>
      </c>
      <c r="D3023">
        <f>IF(C3023="","",IF(N('Month 12'!J272)&gt;0,'Month 12'!J272,1))</f>
        <v/>
      </c>
      <c r="E3023">
        <f>IF(OR(C3023="",D3023=""),"",IF(D3023=1,C3023,ROUND(C3023*(1+D3023/30),1)))</f>
        <v/>
      </c>
    </row>
    <row r="3024">
      <c r="A3024">
        <f>'Month 12'!B257</f>
        <v/>
      </c>
      <c r="B3024" t="inlineStr">
        <is>
          <t>Incline Dumbbell Press</t>
        </is>
      </c>
      <c r="C3024">
        <f>IF(AND('Month 12'!L274&lt;&gt;"",N('Month 12'!I274)&gt;0),'Month 12'!I274,"")</f>
        <v/>
      </c>
      <c r="D3024">
        <f>IF(C3024="","",IF(N('Month 12'!J274)&gt;0,'Month 12'!J274,1))</f>
        <v/>
      </c>
      <c r="E3024">
        <f>IF(OR(C3024="",D3024=""),"",IF(D3024=1,C3024,ROUND(C3024*(1+D3024/30),1)))</f>
        <v/>
      </c>
    </row>
    <row r="3025">
      <c r="A3025">
        <f>'Month 12'!B257</f>
        <v/>
      </c>
      <c r="B3025" t="inlineStr">
        <is>
          <t>Incline Dumbbell Press</t>
        </is>
      </c>
      <c r="C3025">
        <f>IF(AND('Month 12'!L275&lt;&gt;"",N('Month 12'!I275)&gt;0),'Month 12'!I275,"")</f>
        <v/>
      </c>
      <c r="D3025">
        <f>IF(C3025="","",IF(N('Month 12'!J275)&gt;0,'Month 12'!J275,1))</f>
        <v/>
      </c>
      <c r="E3025">
        <f>IF(OR(C3025="",D3025=""),"",IF(D3025=1,C3025,ROUND(C3025*(1+D3025/30),1)))</f>
        <v/>
      </c>
    </row>
    <row r="3026">
      <c r="A3026">
        <f>'Month 12'!B257</f>
        <v/>
      </c>
      <c r="B3026" t="inlineStr">
        <is>
          <t>Triceps Pushdown</t>
        </is>
      </c>
      <c r="C3026">
        <f>IF(AND('Month 12'!L277&lt;&gt;"",N('Month 12'!I277)&gt;0),'Month 12'!I277,"")</f>
        <v/>
      </c>
      <c r="D3026">
        <f>IF(C3026="","",IF(N('Month 12'!J277)&gt;0,'Month 12'!J277,1))</f>
        <v/>
      </c>
      <c r="E3026">
        <f>IF(OR(C3026="",D3026=""),"",IF(D3026=1,C3026,ROUND(C3026*(1+D3026/30),1)))</f>
        <v/>
      </c>
    </row>
    <row r="3027">
      <c r="A3027">
        <f>'Month 12'!B257</f>
        <v/>
      </c>
      <c r="B3027" t="inlineStr">
        <is>
          <t>Triceps Pushdown</t>
        </is>
      </c>
      <c r="C3027">
        <f>IF(AND('Month 12'!L278&lt;&gt;"",N('Month 12'!I278)&gt;0),'Month 12'!I278,"")</f>
        <v/>
      </c>
      <c r="D3027">
        <f>IF(C3027="","",IF(N('Month 12'!J278)&gt;0,'Month 12'!J278,1))</f>
        <v/>
      </c>
      <c r="E3027">
        <f>IF(OR(C3027="",D3027=""),"",IF(D3027=1,C3027,ROUND(C3027*(1+D3027/30),1)))</f>
        <v/>
      </c>
    </row>
    <row r="3028">
      <c r="A3028">
        <f>'Month 12'!B281</f>
        <v/>
      </c>
      <c r="B3028" t="inlineStr">
        <is>
          <t>Box Jump</t>
        </is>
      </c>
      <c r="C3028">
        <f>IF(AND('Month 12'!L283&lt;&gt;"",N('Month 12'!I283)&gt;0),'Month 12'!I283,"")</f>
        <v/>
      </c>
      <c r="D3028">
        <f>IF(C3028="","",IF(N('Month 12'!J283)&gt;0,'Month 12'!J283,1))</f>
        <v/>
      </c>
      <c r="E3028">
        <f>IF(OR(C3028="",D3028=""),"",IF(D3028=1,C3028,ROUND(C3028*(1+D3028/30),1)))</f>
        <v/>
      </c>
    </row>
    <row r="3029">
      <c r="A3029">
        <f>'Month 12'!B281</f>
        <v/>
      </c>
      <c r="B3029" t="inlineStr">
        <is>
          <t>Snatch</t>
        </is>
      </c>
      <c r="C3029">
        <f>IF(AND('Month 12'!L285&lt;&gt;"",N('Month 12'!I285)&gt;0),'Month 12'!I285,"")</f>
        <v/>
      </c>
      <c r="D3029">
        <f>IF(C3029="","",IF(N('Month 12'!J285)&gt;0,'Month 12'!J285,1))</f>
        <v/>
      </c>
      <c r="E3029">
        <f>IF(OR(C3029="",D3029=""),"",IF(D3029=1,C3029,ROUND(C3029*(1+D3029/30),1)))</f>
        <v/>
      </c>
    </row>
    <row r="3030">
      <c r="A3030">
        <f>'Month 12'!B281</f>
        <v/>
      </c>
      <c r="B3030" t="inlineStr">
        <is>
          <t>Squat</t>
        </is>
      </c>
      <c r="C3030">
        <f>IF(AND('Month 12'!L287&lt;&gt;"",N('Month 12'!I287)&gt;0),'Month 12'!I287,"")</f>
        <v/>
      </c>
      <c r="D3030">
        <f>IF(C3030="","",IF(N('Month 12'!J287)&gt;0,'Month 12'!J287,1))</f>
        <v/>
      </c>
      <c r="E3030">
        <f>IF(OR(C3030="",D3030=""),"",IF(D3030=1,C3030,ROUND(C3030*(1+D3030/30),1)))</f>
        <v/>
      </c>
    </row>
    <row r="3031">
      <c r="A3031">
        <f>'Month 12'!B281</f>
        <v/>
      </c>
      <c r="B3031" t="inlineStr">
        <is>
          <t>Bench Press</t>
        </is>
      </c>
      <c r="C3031">
        <f>IF(AND('Month 12'!L289&lt;&gt;"",N('Month 12'!I289)&gt;0),'Month 12'!I289,"")</f>
        <v/>
      </c>
      <c r="D3031">
        <f>IF(C3031="","",IF(N('Month 12'!J289)&gt;0,'Month 12'!J289,1))</f>
        <v/>
      </c>
      <c r="E3031">
        <f>IF(OR(C3031="",D3031=""),"",IF(D3031=1,C3031,ROUND(C3031*(1+D3031/30),1)))</f>
        <v/>
      </c>
    </row>
    <row r="3032">
      <c r="A3032">
        <f>'Month 12'!B281</f>
        <v/>
      </c>
      <c r="B3032" t="inlineStr">
        <is>
          <t>Barbell Row</t>
        </is>
      </c>
      <c r="C3032">
        <f>IF(AND('Month 12'!L291&lt;&gt;"",N('Month 12'!I291)&gt;0),'Month 12'!I291,"")</f>
        <v/>
      </c>
      <c r="D3032">
        <f>IF(C3032="","",IF(N('Month 12'!J291)&gt;0,'Month 12'!J291,1))</f>
        <v/>
      </c>
      <c r="E3032">
        <f>IF(OR(C3032="",D3032=""),"",IF(D3032=1,C3032,ROUND(C3032*(1+D3032/30),1)))</f>
        <v/>
      </c>
    </row>
    <row r="3033">
      <c r="A3033">
        <f>'Month 12'!B281</f>
        <v/>
      </c>
      <c r="B3033" t="inlineStr">
        <is>
          <t>Barbell Row</t>
        </is>
      </c>
      <c r="C3033">
        <f>IF(AND('Month 12'!L292&lt;&gt;"",N('Month 12'!I292)&gt;0),'Month 12'!I292,"")</f>
        <v/>
      </c>
      <c r="D3033">
        <f>IF(C3033="","",IF(N('Month 12'!J292)&gt;0,'Month 12'!J292,1))</f>
        <v/>
      </c>
      <c r="E3033">
        <f>IF(OR(C3033="",D3033=""),"",IF(D3033=1,C3033,ROUND(C3033*(1+D3033/30),1)))</f>
        <v/>
      </c>
    </row>
    <row r="3034">
      <c r="A3034">
        <f>'Month 12'!B281</f>
        <v/>
      </c>
      <c r="B3034" t="inlineStr">
        <is>
          <t>Face Pull</t>
        </is>
      </c>
      <c r="C3034">
        <f>IF(AND('Month 12'!L294&lt;&gt;"",N('Month 12'!I294)&gt;0),'Month 12'!I294,"")</f>
        <v/>
      </c>
      <c r="D3034">
        <f>IF(C3034="","",IF(N('Month 12'!J294)&gt;0,'Month 12'!J294,1))</f>
        <v/>
      </c>
      <c r="E3034">
        <f>IF(OR(C3034="",D3034=""),"",IF(D3034=1,C3034,ROUND(C3034*(1+D3034/30),1)))</f>
        <v/>
      </c>
    </row>
    <row r="3035">
      <c r="A3035">
        <f>'Month 12'!B281</f>
        <v/>
      </c>
      <c r="B3035" t="inlineStr">
        <is>
          <t>Face Pull</t>
        </is>
      </c>
      <c r="C3035">
        <f>IF(AND('Month 12'!L295&lt;&gt;"",N('Month 12'!I295)&gt;0),'Month 12'!I295,"")</f>
        <v/>
      </c>
      <c r="D3035">
        <f>IF(C3035="","",IF(N('Month 12'!J295)&gt;0,'Month 12'!J295,1))</f>
        <v/>
      </c>
      <c r="E3035">
        <f>IF(OR(C3035="",D3035=""),"",IF(D3035=1,C3035,ROUND(C3035*(1+D3035/30),1)))</f>
        <v/>
      </c>
    </row>
    <row r="3036">
      <c r="A3036">
        <f>'Month 12'!B296</f>
        <v/>
      </c>
      <c r="B3036" t="inlineStr">
        <is>
          <t>Broad Jump</t>
        </is>
      </c>
      <c r="C3036">
        <f>IF(AND('Month 12'!L298&lt;&gt;"",N('Month 12'!I298)&gt;0),'Month 12'!I298,"")</f>
        <v/>
      </c>
      <c r="D3036">
        <f>IF(C3036="","",IF(N('Month 12'!J298)&gt;0,'Month 12'!J298,1))</f>
        <v/>
      </c>
      <c r="E3036">
        <f>IF(OR(C3036="",D3036=""),"",IF(D3036=1,C3036,ROUND(C3036*(1+D3036/30),1)))</f>
        <v/>
      </c>
    </row>
    <row r="3037">
      <c r="A3037">
        <f>'Month 12'!B296</f>
        <v/>
      </c>
      <c r="B3037" t="inlineStr">
        <is>
          <t>Clean &amp; Jerk</t>
        </is>
      </c>
      <c r="C3037">
        <f>IF(AND('Month 12'!L300&lt;&gt;"",N('Month 12'!I300)&gt;0),'Month 12'!I300,"")</f>
        <v/>
      </c>
      <c r="D3037">
        <f>IF(C3037="","",IF(N('Month 12'!J300)&gt;0,'Month 12'!J300,1))</f>
        <v/>
      </c>
      <c r="E3037">
        <f>IF(OR(C3037="",D3037=""),"",IF(D3037=1,C3037,ROUND(C3037*(1+D3037/30),1)))</f>
        <v/>
      </c>
    </row>
    <row r="3038">
      <c r="A3038">
        <f>'Month 12'!B296</f>
        <v/>
      </c>
      <c r="B3038" t="inlineStr">
        <is>
          <t>Squat</t>
        </is>
      </c>
      <c r="C3038">
        <f>IF(AND('Month 12'!L302&lt;&gt;"",N('Month 12'!I302)&gt;0),'Month 12'!I302,"")</f>
        <v/>
      </c>
      <c r="D3038">
        <f>IF(C3038="","",IF(N('Month 12'!J302)&gt;0,'Month 12'!J302,1))</f>
        <v/>
      </c>
      <c r="E3038">
        <f>IF(OR(C3038="",D3038=""),"",IF(D3038=1,C3038,ROUND(C3038*(1+D3038/30),1)))</f>
        <v/>
      </c>
    </row>
    <row r="3039">
      <c r="A3039">
        <f>'Month 12'!B296</f>
        <v/>
      </c>
      <c r="B3039" t="inlineStr">
        <is>
          <t>Squat</t>
        </is>
      </c>
      <c r="C3039">
        <f>IF(AND('Month 12'!L303&lt;&gt;"",N('Month 12'!I303)&gt;0),'Month 12'!I303,"")</f>
        <v/>
      </c>
      <c r="D3039">
        <f>IF(C3039="","",IF(N('Month 12'!J303)&gt;0,'Month 12'!J303,1))</f>
        <v/>
      </c>
      <c r="E3039">
        <f>IF(OR(C3039="",D3039=""),"",IF(D3039=1,C3039,ROUND(C3039*(1+D3039/30),1)))</f>
        <v/>
      </c>
    </row>
    <row r="3040">
      <c r="A3040">
        <f>'Month 12'!B296</f>
        <v/>
      </c>
      <c r="B3040" t="inlineStr">
        <is>
          <t>Overhead Press</t>
        </is>
      </c>
      <c r="C3040">
        <f>IF(AND('Month 12'!L305&lt;&gt;"",N('Month 12'!I305)&gt;0),'Month 12'!I305,"")</f>
        <v/>
      </c>
      <c r="D3040">
        <f>IF(C3040="","",IF(N('Month 12'!J305)&gt;0,'Month 12'!J305,1))</f>
        <v/>
      </c>
      <c r="E3040">
        <f>IF(OR(C3040="",D3040=""),"",IF(D3040=1,C3040,ROUND(C3040*(1+D3040/30),1)))</f>
        <v/>
      </c>
    </row>
    <row r="3041">
      <c r="A3041">
        <f>'Month 12'!B296</f>
        <v/>
      </c>
      <c r="B3041" t="inlineStr">
        <is>
          <t>Deadlift</t>
        </is>
      </c>
      <c r="C3041">
        <f>IF(AND('Month 12'!L307&lt;&gt;"",N('Month 12'!I307)&gt;0),'Month 12'!I307,"")</f>
        <v/>
      </c>
      <c r="D3041">
        <f>IF(C3041="","",IF(N('Month 12'!J307)&gt;0,'Month 12'!J307,1))</f>
        <v/>
      </c>
      <c r="E3041">
        <f>IF(OR(C3041="",D3041=""),"",IF(D3041=1,C3041,ROUND(C3041*(1+D3041/30),1)))</f>
        <v/>
      </c>
    </row>
    <row r="3042">
      <c r="A3042">
        <f>'Month 12'!B296</f>
        <v/>
      </c>
      <c r="B3042" t="inlineStr">
        <is>
          <t>Chin-up</t>
        </is>
      </c>
      <c r="C3042">
        <f>IF(AND('Month 12'!L309&lt;&gt;"",N('Month 12'!I309)&gt;0),'Month 12'!I309,"")</f>
        <v/>
      </c>
      <c r="D3042">
        <f>IF(C3042="","",IF(N('Month 12'!J309)&gt;0,'Month 12'!J309,1))</f>
        <v/>
      </c>
      <c r="E3042">
        <f>IF(OR(C3042="",D3042=""),"",IF(D3042=1,C3042,ROUND(C3042*(1+D3042/30),1)))</f>
        <v/>
      </c>
    </row>
    <row r="3043">
      <c r="A3043">
        <f>'Month 12'!B296</f>
        <v/>
      </c>
      <c r="B3043" t="inlineStr">
        <is>
          <t>Chin-up</t>
        </is>
      </c>
      <c r="C3043">
        <f>IF(AND('Month 12'!L310&lt;&gt;"",N('Month 12'!I310)&gt;0),'Month 12'!I310,"")</f>
        <v/>
      </c>
      <c r="D3043">
        <f>IF(C3043="","",IF(N('Month 12'!J310)&gt;0,'Month 12'!J310,1))</f>
        <v/>
      </c>
      <c r="E3043">
        <f>IF(OR(C3043="",D3043=""),"",IF(D3043=1,C3043,ROUND(C3043*(1+D3043/30),1)))</f>
        <v/>
      </c>
    </row>
    <row r="3044">
      <c r="A3044">
        <f>'Month 12'!B296</f>
        <v/>
      </c>
      <c r="B3044" t="inlineStr">
        <is>
          <t>Plank</t>
        </is>
      </c>
      <c r="C3044">
        <f>IF(AND('Month 12'!L312&lt;&gt;"",N('Month 12'!I312)&gt;0),'Month 12'!I312,"")</f>
        <v/>
      </c>
      <c r="D3044">
        <f>IF(C3044="","",IF(N('Month 12'!J312)&gt;0,'Month 12'!J312,1))</f>
        <v/>
      </c>
      <c r="E3044">
        <f>IF(OR(C3044="",D3044=""),"",IF(D3044=1,C3044,ROUND(C3044*(1+D3044/30),1)))</f>
        <v/>
      </c>
    </row>
    <row r="3045">
      <c r="A3045">
        <f>'Month 12'!B296</f>
        <v/>
      </c>
      <c r="B3045" t="inlineStr">
        <is>
          <t>Plank</t>
        </is>
      </c>
      <c r="C3045">
        <f>IF(AND('Month 12'!L313&lt;&gt;"",N('Month 12'!I313)&gt;0),'Month 12'!I313,"")</f>
        <v/>
      </c>
      <c r="D3045">
        <f>IF(C3045="","",IF(N('Month 12'!J313)&gt;0,'Month 12'!J313,1))</f>
        <v/>
      </c>
      <c r="E3045">
        <f>IF(OR(C3045="",D3045=""),"",IF(D3045=1,C3045,ROUND(C3045*(1+D3045/30),1)))</f>
        <v/>
      </c>
    </row>
    <row r="3046">
      <c r="A3046">
        <f>'Month 12'!B314</f>
        <v/>
      </c>
      <c r="B3046" t="inlineStr">
        <is>
          <t>Vertical Jump</t>
        </is>
      </c>
      <c r="C3046">
        <f>IF(AND('Month 12'!L316&lt;&gt;"",N('Month 12'!I316)&gt;0),'Month 12'!I316,"")</f>
        <v/>
      </c>
      <c r="D3046">
        <f>IF(C3046="","",IF(N('Month 12'!J316)&gt;0,'Month 12'!J316,1))</f>
        <v/>
      </c>
      <c r="E3046">
        <f>IF(OR(C3046="",D3046=""),"",IF(D3046=1,C3046,ROUND(C3046*(1+D3046/30),1)))</f>
        <v/>
      </c>
    </row>
    <row r="3047">
      <c r="A3047">
        <f>'Month 12'!B314</f>
        <v/>
      </c>
      <c r="B3047" t="inlineStr">
        <is>
          <t>Hang Clean</t>
        </is>
      </c>
      <c r="C3047">
        <f>IF(AND('Month 12'!L318&lt;&gt;"",N('Month 12'!I318)&gt;0),'Month 12'!I318,"")</f>
        <v/>
      </c>
      <c r="D3047">
        <f>IF(C3047="","",IF(N('Month 12'!J318)&gt;0,'Month 12'!J318,1))</f>
        <v/>
      </c>
      <c r="E3047">
        <f>IF(OR(C3047="",D3047=""),"",IF(D3047=1,C3047,ROUND(C3047*(1+D3047/30),1)))</f>
        <v/>
      </c>
    </row>
    <row r="3048">
      <c r="A3048">
        <f>'Month 12'!B314</f>
        <v/>
      </c>
      <c r="B3048" t="inlineStr">
        <is>
          <t>Pause Squat</t>
        </is>
      </c>
      <c r="C3048">
        <f>IF(AND('Month 12'!L320&lt;&gt;"",N('Month 12'!I320)&gt;0),'Month 12'!I320,"")</f>
        <v/>
      </c>
      <c r="D3048">
        <f>IF(C3048="","",IF(N('Month 12'!J320)&gt;0,'Month 12'!J320,1))</f>
        <v/>
      </c>
      <c r="E3048">
        <f>IF(OR(C3048="",D3048=""),"",IF(D3048=1,C3048,ROUND(C3048*(1+D3048/30),1)))</f>
        <v/>
      </c>
    </row>
    <row r="3049">
      <c r="A3049">
        <f>'Month 12'!B314</f>
        <v/>
      </c>
      <c r="B3049" t="inlineStr">
        <is>
          <t>Floor Press</t>
        </is>
      </c>
      <c r="C3049">
        <f>IF(AND('Month 12'!L322&lt;&gt;"",N('Month 12'!I322)&gt;0),'Month 12'!I322,"")</f>
        <v/>
      </c>
      <c r="D3049">
        <f>IF(C3049="","",IF(N('Month 12'!J322)&gt;0,'Month 12'!J322,1))</f>
        <v/>
      </c>
      <c r="E3049">
        <f>IF(OR(C3049="",D3049=""),"",IF(D3049=1,C3049,ROUND(C3049*(1+D3049/30),1)))</f>
        <v/>
      </c>
    </row>
    <row r="3050">
      <c r="A3050">
        <f>'Month 12'!B314</f>
        <v/>
      </c>
      <c r="B3050" t="inlineStr">
        <is>
          <t>Block Pull</t>
        </is>
      </c>
      <c r="C3050">
        <f>IF(AND('Month 12'!L324&lt;&gt;"",N('Month 12'!I324)&gt;0),'Month 12'!I324,"")</f>
        <v/>
      </c>
      <c r="D3050">
        <f>IF(C3050="","",IF(N('Month 12'!J324)&gt;0,'Month 12'!J324,1))</f>
        <v/>
      </c>
      <c r="E3050">
        <f>IF(OR(C3050="",D3050=""),"",IF(D3050=1,C3050,ROUND(C3050*(1+D3050/30),1)))</f>
        <v/>
      </c>
    </row>
    <row r="3051">
      <c r="A3051">
        <f>'Month 12'!B314</f>
        <v/>
      </c>
      <c r="B3051" t="inlineStr">
        <is>
          <t>Incline Dumbbell Press</t>
        </is>
      </c>
      <c r="C3051">
        <f>IF(AND('Month 12'!L326&lt;&gt;"",N('Month 12'!I326)&gt;0),'Month 12'!I326,"")</f>
        <v/>
      </c>
      <c r="D3051">
        <f>IF(C3051="","",IF(N('Month 12'!J326)&gt;0,'Month 12'!J326,1))</f>
        <v/>
      </c>
      <c r="E3051">
        <f>IF(OR(C3051="",D3051=""),"",IF(D3051=1,C3051,ROUND(C3051*(1+D3051/30),1)))</f>
        <v/>
      </c>
    </row>
    <row r="3052">
      <c r="A3052">
        <f>'Month 12'!B314</f>
        <v/>
      </c>
      <c r="B3052" t="inlineStr">
        <is>
          <t>Incline Dumbbell Press</t>
        </is>
      </c>
      <c r="C3052">
        <f>IF(AND('Month 12'!L327&lt;&gt;"",N('Month 12'!I327)&gt;0),'Month 12'!I327,"")</f>
        <v/>
      </c>
      <c r="D3052">
        <f>IF(C3052="","",IF(N('Month 12'!J327)&gt;0,'Month 12'!J327,1))</f>
        <v/>
      </c>
      <c r="E3052">
        <f>IF(OR(C3052="",D3052=""),"",IF(D3052=1,C3052,ROUND(C3052*(1+D3052/30),1)))</f>
        <v/>
      </c>
    </row>
    <row r="3053">
      <c r="A3053">
        <f>'Month 12'!B314</f>
        <v/>
      </c>
      <c r="B3053" t="inlineStr">
        <is>
          <t>Triceps Pushdown</t>
        </is>
      </c>
      <c r="C3053">
        <f>IF(AND('Month 12'!L329&lt;&gt;"",N('Month 12'!I329)&gt;0),'Month 12'!I329,"")</f>
        <v/>
      </c>
      <c r="D3053">
        <f>IF(C3053="","",IF(N('Month 12'!J329)&gt;0,'Month 12'!J329,1))</f>
        <v/>
      </c>
      <c r="E3053">
        <f>IF(OR(C3053="",D3053=""),"",IF(D3053=1,C3053,ROUND(C3053*(1+D3053/30),1)))</f>
        <v/>
      </c>
    </row>
    <row r="3054">
      <c r="A3054">
        <f>'Month 12'!B314</f>
        <v/>
      </c>
      <c r="B3054" t="inlineStr">
        <is>
          <t>Triceps Pushdown</t>
        </is>
      </c>
      <c r="C3054">
        <f>IF(AND('Month 12'!L330&lt;&gt;"",N('Month 12'!I330)&gt;0),'Month 12'!I330,"")</f>
        <v/>
      </c>
      <c r="D3054">
        <f>IF(C3054="","",IF(N('Month 12'!J330)&gt;0,'Month 12'!J330,1))</f>
        <v/>
      </c>
      <c r="E3054">
        <f>IF(OR(C3054="",D3054=""),"",IF(D3054=1,C3054,ROUND(C3054*(1+D3054/30),1)))</f>
        <v/>
      </c>
    </row>
    <row r="3055">
      <c r="A3055">
        <f>'Month 13'!B7</f>
        <v/>
      </c>
      <c r="B3055" t="inlineStr">
        <is>
          <t>Box Jump</t>
        </is>
      </c>
      <c r="C3055">
        <f>IF(AND('Month 13'!L9&lt;&gt;"",N('Month 13'!I9)&gt;0),'Month 13'!I9,"")</f>
        <v/>
      </c>
      <c r="D3055">
        <f>IF(C3055="","",IF(N('Month 13'!J9)&gt;0,'Month 13'!J9,1))</f>
        <v/>
      </c>
      <c r="E3055">
        <f>IF(OR(C3055="",D3055=""),"",IF(D3055=1,C3055,ROUND(C3055*(1+D3055/30),1)))</f>
        <v/>
      </c>
    </row>
    <row r="3056">
      <c r="A3056">
        <f>'Month 13'!B7</f>
        <v/>
      </c>
      <c r="B3056" t="inlineStr">
        <is>
          <t>Box Jump</t>
        </is>
      </c>
      <c r="C3056">
        <f>IF(AND('Month 13'!L10&lt;&gt;"",N('Month 13'!I10)&gt;0),'Month 13'!I10,"")</f>
        <v/>
      </c>
      <c r="D3056">
        <f>IF(C3056="","",IF(N('Month 13'!J10)&gt;0,'Month 13'!J10,1))</f>
        <v/>
      </c>
      <c r="E3056">
        <f>IF(OR(C3056="",D3056=""),"",IF(D3056=1,C3056,ROUND(C3056*(1+D3056/30),1)))</f>
        <v/>
      </c>
    </row>
    <row r="3057">
      <c r="A3057">
        <f>'Month 13'!B7</f>
        <v/>
      </c>
      <c r="B3057" t="inlineStr">
        <is>
          <t>Box Jump</t>
        </is>
      </c>
      <c r="C3057">
        <f>IF(AND('Month 13'!L11&lt;&gt;"",N('Month 13'!I11)&gt;0),'Month 13'!I11,"")</f>
        <v/>
      </c>
      <c r="D3057">
        <f>IF(C3057="","",IF(N('Month 13'!J11)&gt;0,'Month 13'!J11,1))</f>
        <v/>
      </c>
      <c r="E3057">
        <f>IF(OR(C3057="",D3057=""),"",IF(D3057=1,C3057,ROUND(C3057*(1+D3057/30),1)))</f>
        <v/>
      </c>
    </row>
    <row r="3058">
      <c r="A3058">
        <f>'Month 13'!B7</f>
        <v/>
      </c>
      <c r="B3058" t="inlineStr">
        <is>
          <t>Snatch</t>
        </is>
      </c>
      <c r="C3058">
        <f>IF(AND('Month 13'!L13&lt;&gt;"",N('Month 13'!I13)&gt;0),'Month 13'!I13,"")</f>
        <v/>
      </c>
      <c r="D3058">
        <f>IF(C3058="","",IF(N('Month 13'!J13)&gt;0,'Month 13'!J13,1))</f>
        <v/>
      </c>
      <c r="E3058">
        <f>IF(OR(C3058="",D3058=""),"",IF(D3058=1,C3058,ROUND(C3058*(1+D3058/30),1)))</f>
        <v/>
      </c>
    </row>
    <row r="3059">
      <c r="A3059">
        <f>'Month 13'!B7</f>
        <v/>
      </c>
      <c r="B3059" t="inlineStr">
        <is>
          <t>Snatch</t>
        </is>
      </c>
      <c r="C3059">
        <f>IF(AND('Month 13'!L14&lt;&gt;"",N('Month 13'!I14)&gt;0),'Month 13'!I14,"")</f>
        <v/>
      </c>
      <c r="D3059">
        <f>IF(C3059="","",IF(N('Month 13'!J14)&gt;0,'Month 13'!J14,1))</f>
        <v/>
      </c>
      <c r="E3059">
        <f>IF(OR(C3059="",D3059=""),"",IF(D3059=1,C3059,ROUND(C3059*(1+D3059/30),1)))</f>
        <v/>
      </c>
    </row>
    <row r="3060">
      <c r="A3060">
        <f>'Month 13'!B7</f>
        <v/>
      </c>
      <c r="B3060" t="inlineStr">
        <is>
          <t>Snatch</t>
        </is>
      </c>
      <c r="C3060">
        <f>IF(AND('Month 13'!L15&lt;&gt;"",N('Month 13'!I15)&gt;0),'Month 13'!I15,"")</f>
        <v/>
      </c>
      <c r="D3060">
        <f>IF(C3060="","",IF(N('Month 13'!J15)&gt;0,'Month 13'!J15,1))</f>
        <v/>
      </c>
      <c r="E3060">
        <f>IF(OR(C3060="",D3060=""),"",IF(D3060=1,C3060,ROUND(C3060*(1+D3060/30),1)))</f>
        <v/>
      </c>
    </row>
    <row r="3061">
      <c r="A3061">
        <f>'Month 13'!B7</f>
        <v/>
      </c>
      <c r="B3061" t="inlineStr">
        <is>
          <t>Squat</t>
        </is>
      </c>
      <c r="C3061">
        <f>IF(AND('Month 13'!L17&lt;&gt;"",N('Month 13'!I17)&gt;0),'Month 13'!I17,"")</f>
        <v/>
      </c>
      <c r="D3061">
        <f>IF(C3061="","",IF(N('Month 13'!J17)&gt;0,'Month 13'!J17,1))</f>
        <v/>
      </c>
      <c r="E3061">
        <f>IF(OR(C3061="",D3061=""),"",IF(D3061=1,C3061,ROUND(C3061*(1+D3061/30),1)))</f>
        <v/>
      </c>
    </row>
    <row r="3062">
      <c r="A3062">
        <f>'Month 13'!B7</f>
        <v/>
      </c>
      <c r="B3062" t="inlineStr">
        <is>
          <t>Squat</t>
        </is>
      </c>
      <c r="C3062">
        <f>IF(AND('Month 13'!L18&lt;&gt;"",N('Month 13'!I18)&gt;0),'Month 13'!I18,"")</f>
        <v/>
      </c>
      <c r="D3062">
        <f>IF(C3062="","",IF(N('Month 13'!J18)&gt;0,'Month 13'!J18,1))</f>
        <v/>
      </c>
      <c r="E3062">
        <f>IF(OR(C3062="",D3062=""),"",IF(D3062=1,C3062,ROUND(C3062*(1+D3062/30),1)))</f>
        <v/>
      </c>
    </row>
    <row r="3063">
      <c r="A3063">
        <f>'Month 13'!B7</f>
        <v/>
      </c>
      <c r="B3063" t="inlineStr">
        <is>
          <t>Squat</t>
        </is>
      </c>
      <c r="C3063">
        <f>IF(AND('Month 13'!L19&lt;&gt;"",N('Month 13'!I19)&gt;0),'Month 13'!I19,"")</f>
        <v/>
      </c>
      <c r="D3063">
        <f>IF(C3063="","",IF(N('Month 13'!J19)&gt;0,'Month 13'!J19,1))</f>
        <v/>
      </c>
      <c r="E3063">
        <f>IF(OR(C3063="",D3063=""),"",IF(D3063=1,C3063,ROUND(C3063*(1+D3063/30),1)))</f>
        <v/>
      </c>
    </row>
    <row r="3064">
      <c r="A3064">
        <f>'Month 13'!B7</f>
        <v/>
      </c>
      <c r="B3064" t="inlineStr">
        <is>
          <t>Bench Press</t>
        </is>
      </c>
      <c r="C3064">
        <f>IF(AND('Month 13'!L21&lt;&gt;"",N('Month 13'!I21)&gt;0),'Month 13'!I21,"")</f>
        <v/>
      </c>
      <c r="D3064">
        <f>IF(C3064="","",IF(N('Month 13'!J21)&gt;0,'Month 13'!J21,1))</f>
        <v/>
      </c>
      <c r="E3064">
        <f>IF(OR(C3064="",D3064=""),"",IF(D3064=1,C3064,ROUND(C3064*(1+D3064/30),1)))</f>
        <v/>
      </c>
    </row>
    <row r="3065">
      <c r="A3065">
        <f>'Month 13'!B7</f>
        <v/>
      </c>
      <c r="B3065" t="inlineStr">
        <is>
          <t>Bench Press</t>
        </is>
      </c>
      <c r="C3065">
        <f>IF(AND('Month 13'!L22&lt;&gt;"",N('Month 13'!I22)&gt;0),'Month 13'!I22,"")</f>
        <v/>
      </c>
      <c r="D3065">
        <f>IF(C3065="","",IF(N('Month 13'!J22)&gt;0,'Month 13'!J22,1))</f>
        <v/>
      </c>
      <c r="E3065">
        <f>IF(OR(C3065="",D3065=""),"",IF(D3065=1,C3065,ROUND(C3065*(1+D3065/30),1)))</f>
        <v/>
      </c>
    </row>
    <row r="3066">
      <c r="A3066">
        <f>'Month 13'!B7</f>
        <v/>
      </c>
      <c r="B3066" t="inlineStr">
        <is>
          <t>Bench Press</t>
        </is>
      </c>
      <c r="C3066">
        <f>IF(AND('Month 13'!L23&lt;&gt;"",N('Month 13'!I23)&gt;0),'Month 13'!I23,"")</f>
        <v/>
      </c>
      <c r="D3066">
        <f>IF(C3066="","",IF(N('Month 13'!J23)&gt;0,'Month 13'!J23,1))</f>
        <v/>
      </c>
      <c r="E3066">
        <f>IF(OR(C3066="",D3066=""),"",IF(D3066=1,C3066,ROUND(C3066*(1+D3066/30),1)))</f>
        <v/>
      </c>
    </row>
    <row r="3067">
      <c r="A3067">
        <f>'Month 13'!B7</f>
        <v/>
      </c>
      <c r="B3067" t="inlineStr">
        <is>
          <t>Barbell Row</t>
        </is>
      </c>
      <c r="C3067">
        <f>IF(AND('Month 13'!L25&lt;&gt;"",N('Month 13'!I25)&gt;0),'Month 13'!I25,"")</f>
        <v/>
      </c>
      <c r="D3067">
        <f>IF(C3067="","",IF(N('Month 13'!J25)&gt;0,'Month 13'!J25,1))</f>
        <v/>
      </c>
      <c r="E3067">
        <f>IF(OR(C3067="",D3067=""),"",IF(D3067=1,C3067,ROUND(C3067*(1+D3067/30),1)))</f>
        <v/>
      </c>
    </row>
    <row r="3068">
      <c r="A3068">
        <f>'Month 13'!B7</f>
        <v/>
      </c>
      <c r="B3068" t="inlineStr">
        <is>
          <t>Barbell Row</t>
        </is>
      </c>
      <c r="C3068">
        <f>IF(AND('Month 13'!L26&lt;&gt;"",N('Month 13'!I26)&gt;0),'Month 13'!I26,"")</f>
        <v/>
      </c>
      <c r="D3068">
        <f>IF(C3068="","",IF(N('Month 13'!J26)&gt;0,'Month 13'!J26,1))</f>
        <v/>
      </c>
      <c r="E3068">
        <f>IF(OR(C3068="",D3068=""),"",IF(D3068=1,C3068,ROUND(C3068*(1+D3068/30),1)))</f>
        <v/>
      </c>
    </row>
    <row r="3069">
      <c r="A3069">
        <f>'Month 13'!B7</f>
        <v/>
      </c>
      <c r="B3069" t="inlineStr">
        <is>
          <t>Barbell Row</t>
        </is>
      </c>
      <c r="C3069">
        <f>IF(AND('Month 13'!L27&lt;&gt;"",N('Month 13'!I27)&gt;0),'Month 13'!I27,"")</f>
        <v/>
      </c>
      <c r="D3069">
        <f>IF(C3069="","",IF(N('Month 13'!J27)&gt;0,'Month 13'!J27,1))</f>
        <v/>
      </c>
      <c r="E3069">
        <f>IF(OR(C3069="",D3069=""),"",IF(D3069=1,C3069,ROUND(C3069*(1+D3069/30),1)))</f>
        <v/>
      </c>
    </row>
    <row r="3070">
      <c r="A3070">
        <f>'Month 13'!B7</f>
        <v/>
      </c>
      <c r="B3070" t="inlineStr">
        <is>
          <t>Barbell Row</t>
        </is>
      </c>
      <c r="C3070">
        <f>IF(AND('Month 13'!L28&lt;&gt;"",N('Month 13'!I28)&gt;0),'Month 13'!I28,"")</f>
        <v/>
      </c>
      <c r="D3070">
        <f>IF(C3070="","",IF(N('Month 13'!J28)&gt;0,'Month 13'!J28,1))</f>
        <v/>
      </c>
      <c r="E3070">
        <f>IF(OR(C3070="",D3070=""),"",IF(D3070=1,C3070,ROUND(C3070*(1+D3070/30),1)))</f>
        <v/>
      </c>
    </row>
    <row r="3071">
      <c r="A3071">
        <f>'Month 13'!B7</f>
        <v/>
      </c>
      <c r="B3071" t="inlineStr">
        <is>
          <t>Face Pull</t>
        </is>
      </c>
      <c r="C3071">
        <f>IF(AND('Month 13'!L30&lt;&gt;"",N('Month 13'!I30)&gt;0),'Month 13'!I30,"")</f>
        <v/>
      </c>
      <c r="D3071">
        <f>IF(C3071="","",IF(N('Month 13'!J30)&gt;0,'Month 13'!J30,1))</f>
        <v/>
      </c>
      <c r="E3071">
        <f>IF(OR(C3071="",D3071=""),"",IF(D3071=1,C3071,ROUND(C3071*(1+D3071/30),1)))</f>
        <v/>
      </c>
    </row>
    <row r="3072">
      <c r="A3072">
        <f>'Month 13'!B7</f>
        <v/>
      </c>
      <c r="B3072" t="inlineStr">
        <is>
          <t>Face Pull</t>
        </is>
      </c>
      <c r="C3072">
        <f>IF(AND('Month 13'!L31&lt;&gt;"",N('Month 13'!I31)&gt;0),'Month 13'!I31,"")</f>
        <v/>
      </c>
      <c r="D3072">
        <f>IF(C3072="","",IF(N('Month 13'!J31)&gt;0,'Month 13'!J31,1))</f>
        <v/>
      </c>
      <c r="E3072">
        <f>IF(OR(C3072="",D3072=""),"",IF(D3072=1,C3072,ROUND(C3072*(1+D3072/30),1)))</f>
        <v/>
      </c>
    </row>
    <row r="3073">
      <c r="A3073">
        <f>'Month 13'!B7</f>
        <v/>
      </c>
      <c r="B3073" t="inlineStr">
        <is>
          <t>Face Pull</t>
        </is>
      </c>
      <c r="C3073">
        <f>IF(AND('Month 13'!L32&lt;&gt;"",N('Month 13'!I32)&gt;0),'Month 13'!I32,"")</f>
        <v/>
      </c>
      <c r="D3073">
        <f>IF(C3073="","",IF(N('Month 13'!J32)&gt;0,'Month 13'!J32,1))</f>
        <v/>
      </c>
      <c r="E3073">
        <f>IF(OR(C3073="",D3073=""),"",IF(D3073=1,C3073,ROUND(C3073*(1+D3073/30),1)))</f>
        <v/>
      </c>
    </row>
    <row r="3074">
      <c r="A3074">
        <f>'Month 13'!B7</f>
        <v/>
      </c>
      <c r="B3074" t="inlineStr">
        <is>
          <t>Face Pull</t>
        </is>
      </c>
      <c r="C3074">
        <f>IF(AND('Month 13'!L33&lt;&gt;"",N('Month 13'!I33)&gt;0),'Month 13'!I33,"")</f>
        <v/>
      </c>
      <c r="D3074">
        <f>IF(C3074="","",IF(N('Month 13'!J33)&gt;0,'Month 13'!J33,1))</f>
        <v/>
      </c>
      <c r="E3074">
        <f>IF(OR(C3074="",D3074=""),"",IF(D3074=1,C3074,ROUND(C3074*(1+D3074/30),1)))</f>
        <v/>
      </c>
    </row>
    <row r="3075">
      <c r="A3075">
        <f>'Month 13'!B34</f>
        <v/>
      </c>
      <c r="B3075" t="inlineStr">
        <is>
          <t>Broad Jump</t>
        </is>
      </c>
      <c r="C3075">
        <f>IF(AND('Month 13'!L36&lt;&gt;"",N('Month 13'!I36)&gt;0),'Month 13'!I36,"")</f>
        <v/>
      </c>
      <c r="D3075">
        <f>IF(C3075="","",IF(N('Month 13'!J36)&gt;0,'Month 13'!J36,1))</f>
        <v/>
      </c>
      <c r="E3075">
        <f>IF(OR(C3075="",D3075=""),"",IF(D3075=1,C3075,ROUND(C3075*(1+D3075/30),1)))</f>
        <v/>
      </c>
    </row>
    <row r="3076">
      <c r="A3076">
        <f>'Month 13'!B34</f>
        <v/>
      </c>
      <c r="B3076" t="inlineStr">
        <is>
          <t>Broad Jump</t>
        </is>
      </c>
      <c r="C3076">
        <f>IF(AND('Month 13'!L37&lt;&gt;"",N('Month 13'!I37)&gt;0),'Month 13'!I37,"")</f>
        <v/>
      </c>
      <c r="D3076">
        <f>IF(C3076="","",IF(N('Month 13'!J37)&gt;0,'Month 13'!J37,1))</f>
        <v/>
      </c>
      <c r="E3076">
        <f>IF(OR(C3076="",D3076=""),"",IF(D3076=1,C3076,ROUND(C3076*(1+D3076/30),1)))</f>
        <v/>
      </c>
    </row>
    <row r="3077">
      <c r="A3077">
        <f>'Month 13'!B34</f>
        <v/>
      </c>
      <c r="B3077" t="inlineStr">
        <is>
          <t>Broad Jump</t>
        </is>
      </c>
      <c r="C3077">
        <f>IF(AND('Month 13'!L38&lt;&gt;"",N('Month 13'!I38)&gt;0),'Month 13'!I38,"")</f>
        <v/>
      </c>
      <c r="D3077">
        <f>IF(C3077="","",IF(N('Month 13'!J38)&gt;0,'Month 13'!J38,1))</f>
        <v/>
      </c>
      <c r="E3077">
        <f>IF(OR(C3077="",D3077=""),"",IF(D3077=1,C3077,ROUND(C3077*(1+D3077/30),1)))</f>
        <v/>
      </c>
    </row>
    <row r="3078">
      <c r="A3078">
        <f>'Month 13'!B34</f>
        <v/>
      </c>
      <c r="B3078" t="inlineStr">
        <is>
          <t>Med Ball Chest Pass</t>
        </is>
      </c>
      <c r="C3078">
        <f>IF(AND('Month 13'!L40&lt;&gt;"",N('Month 13'!I40)&gt;0),'Month 13'!I40,"")</f>
        <v/>
      </c>
      <c r="D3078">
        <f>IF(C3078="","",IF(N('Month 13'!J40)&gt;0,'Month 13'!J40,1))</f>
        <v/>
      </c>
      <c r="E3078">
        <f>IF(OR(C3078="",D3078=""),"",IF(D3078=1,C3078,ROUND(C3078*(1+D3078/30),1)))</f>
        <v/>
      </c>
    </row>
    <row r="3079">
      <c r="A3079">
        <f>'Month 13'!B34</f>
        <v/>
      </c>
      <c r="B3079" t="inlineStr">
        <is>
          <t>Med Ball Chest Pass</t>
        </is>
      </c>
      <c r="C3079">
        <f>IF(AND('Month 13'!L41&lt;&gt;"",N('Month 13'!I41)&gt;0),'Month 13'!I41,"")</f>
        <v/>
      </c>
      <c r="D3079">
        <f>IF(C3079="","",IF(N('Month 13'!J41)&gt;0,'Month 13'!J41,1))</f>
        <v/>
      </c>
      <c r="E3079">
        <f>IF(OR(C3079="",D3079=""),"",IF(D3079=1,C3079,ROUND(C3079*(1+D3079/30),1)))</f>
        <v/>
      </c>
    </row>
    <row r="3080">
      <c r="A3080">
        <f>'Month 13'!B34</f>
        <v/>
      </c>
      <c r="B3080" t="inlineStr">
        <is>
          <t>Clean &amp; Jerk</t>
        </is>
      </c>
      <c r="C3080">
        <f>IF(AND('Month 13'!L43&lt;&gt;"",N('Month 13'!I43)&gt;0),'Month 13'!I43,"")</f>
        <v/>
      </c>
      <c r="D3080">
        <f>IF(C3080="","",IF(N('Month 13'!J43)&gt;0,'Month 13'!J43,1))</f>
        <v/>
      </c>
      <c r="E3080">
        <f>IF(OR(C3080="",D3080=""),"",IF(D3080=1,C3080,ROUND(C3080*(1+D3080/30),1)))</f>
        <v/>
      </c>
    </row>
    <row r="3081">
      <c r="A3081">
        <f>'Month 13'!B34</f>
        <v/>
      </c>
      <c r="B3081" t="inlineStr">
        <is>
          <t>Clean &amp; Jerk</t>
        </is>
      </c>
      <c r="C3081">
        <f>IF(AND('Month 13'!L44&lt;&gt;"",N('Month 13'!I44)&gt;0),'Month 13'!I44,"")</f>
        <v/>
      </c>
      <c r="D3081">
        <f>IF(C3081="","",IF(N('Month 13'!J44)&gt;0,'Month 13'!J44,1))</f>
        <v/>
      </c>
      <c r="E3081">
        <f>IF(OR(C3081="",D3081=""),"",IF(D3081=1,C3081,ROUND(C3081*(1+D3081/30),1)))</f>
        <v/>
      </c>
    </row>
    <row r="3082">
      <c r="A3082">
        <f>'Month 13'!B34</f>
        <v/>
      </c>
      <c r="B3082" t="inlineStr">
        <is>
          <t>Clean &amp; Jerk</t>
        </is>
      </c>
      <c r="C3082">
        <f>IF(AND('Month 13'!L45&lt;&gt;"",N('Month 13'!I45)&gt;0),'Month 13'!I45,"")</f>
        <v/>
      </c>
      <c r="D3082">
        <f>IF(C3082="","",IF(N('Month 13'!J45)&gt;0,'Month 13'!J45,1))</f>
        <v/>
      </c>
      <c r="E3082">
        <f>IF(OR(C3082="",D3082=""),"",IF(D3082=1,C3082,ROUND(C3082*(1+D3082/30),1)))</f>
        <v/>
      </c>
    </row>
    <row r="3083">
      <c r="A3083">
        <f>'Month 13'!B34</f>
        <v/>
      </c>
      <c r="B3083" t="inlineStr">
        <is>
          <t>Squat</t>
        </is>
      </c>
      <c r="C3083">
        <f>IF(AND('Month 13'!L47&lt;&gt;"",N('Month 13'!I47)&gt;0),'Month 13'!I47,"")</f>
        <v/>
      </c>
      <c r="D3083">
        <f>IF(C3083="","",IF(N('Month 13'!J47)&gt;0,'Month 13'!J47,1))</f>
        <v/>
      </c>
      <c r="E3083">
        <f>IF(OR(C3083="",D3083=""),"",IF(D3083=1,C3083,ROUND(C3083*(1+D3083/30),1)))</f>
        <v/>
      </c>
    </row>
    <row r="3084">
      <c r="A3084">
        <f>'Month 13'!B34</f>
        <v/>
      </c>
      <c r="B3084" t="inlineStr">
        <is>
          <t>Squat</t>
        </is>
      </c>
      <c r="C3084">
        <f>IF(AND('Month 13'!L48&lt;&gt;"",N('Month 13'!I48)&gt;0),'Month 13'!I48,"")</f>
        <v/>
      </c>
      <c r="D3084">
        <f>IF(C3084="","",IF(N('Month 13'!J48)&gt;0,'Month 13'!J48,1))</f>
        <v/>
      </c>
      <c r="E3084">
        <f>IF(OR(C3084="",D3084=""),"",IF(D3084=1,C3084,ROUND(C3084*(1+D3084/30),1)))</f>
        <v/>
      </c>
    </row>
    <row r="3085">
      <c r="A3085">
        <f>'Month 13'!B34</f>
        <v/>
      </c>
      <c r="B3085" t="inlineStr">
        <is>
          <t>Squat</t>
        </is>
      </c>
      <c r="C3085">
        <f>IF(AND('Month 13'!L49&lt;&gt;"",N('Month 13'!I49)&gt;0),'Month 13'!I49,"")</f>
        <v/>
      </c>
      <c r="D3085">
        <f>IF(C3085="","",IF(N('Month 13'!J49)&gt;0,'Month 13'!J49,1))</f>
        <v/>
      </c>
      <c r="E3085">
        <f>IF(OR(C3085="",D3085=""),"",IF(D3085=1,C3085,ROUND(C3085*(1+D3085/30),1)))</f>
        <v/>
      </c>
    </row>
    <row r="3086">
      <c r="A3086">
        <f>'Month 13'!B34</f>
        <v/>
      </c>
      <c r="B3086" t="inlineStr">
        <is>
          <t>Overhead Press</t>
        </is>
      </c>
      <c r="C3086">
        <f>IF(AND('Month 13'!L51&lt;&gt;"",N('Month 13'!I51)&gt;0),'Month 13'!I51,"")</f>
        <v/>
      </c>
      <c r="D3086">
        <f>IF(C3086="","",IF(N('Month 13'!J51)&gt;0,'Month 13'!J51,1))</f>
        <v/>
      </c>
      <c r="E3086">
        <f>IF(OR(C3086="",D3086=""),"",IF(D3086=1,C3086,ROUND(C3086*(1+D3086/30),1)))</f>
        <v/>
      </c>
    </row>
    <row r="3087">
      <c r="A3087">
        <f>'Month 13'!B34</f>
        <v/>
      </c>
      <c r="B3087" t="inlineStr">
        <is>
          <t>Overhead Press</t>
        </is>
      </c>
      <c r="C3087">
        <f>IF(AND('Month 13'!L52&lt;&gt;"",N('Month 13'!I52)&gt;0),'Month 13'!I52,"")</f>
        <v/>
      </c>
      <c r="D3087">
        <f>IF(C3087="","",IF(N('Month 13'!J52)&gt;0,'Month 13'!J52,1))</f>
        <v/>
      </c>
      <c r="E3087">
        <f>IF(OR(C3087="",D3087=""),"",IF(D3087=1,C3087,ROUND(C3087*(1+D3087/30),1)))</f>
        <v/>
      </c>
    </row>
    <row r="3088">
      <c r="A3088">
        <f>'Month 13'!B34</f>
        <v/>
      </c>
      <c r="B3088" t="inlineStr">
        <is>
          <t>Overhead Press</t>
        </is>
      </c>
      <c r="C3088">
        <f>IF(AND('Month 13'!L53&lt;&gt;"",N('Month 13'!I53)&gt;0),'Month 13'!I53,"")</f>
        <v/>
      </c>
      <c r="D3088">
        <f>IF(C3088="","",IF(N('Month 13'!J53)&gt;0,'Month 13'!J53,1))</f>
        <v/>
      </c>
      <c r="E3088">
        <f>IF(OR(C3088="",D3088=""),"",IF(D3088=1,C3088,ROUND(C3088*(1+D3088/30),1)))</f>
        <v/>
      </c>
    </row>
    <row r="3089">
      <c r="A3089">
        <f>'Month 13'!B34</f>
        <v/>
      </c>
      <c r="B3089" t="inlineStr">
        <is>
          <t>Deadlift</t>
        </is>
      </c>
      <c r="C3089">
        <f>IF(AND('Month 13'!L55&lt;&gt;"",N('Month 13'!I55)&gt;0),'Month 13'!I55,"")</f>
        <v/>
      </c>
      <c r="D3089">
        <f>IF(C3089="","",IF(N('Month 13'!J55)&gt;0,'Month 13'!J55,1))</f>
        <v/>
      </c>
      <c r="E3089">
        <f>IF(OR(C3089="",D3089=""),"",IF(D3089=1,C3089,ROUND(C3089*(1+D3089/30),1)))</f>
        <v/>
      </c>
    </row>
    <row r="3090">
      <c r="A3090">
        <f>'Month 13'!B34</f>
        <v/>
      </c>
      <c r="B3090" t="inlineStr">
        <is>
          <t>Deadlift</t>
        </is>
      </c>
      <c r="C3090">
        <f>IF(AND('Month 13'!L56&lt;&gt;"",N('Month 13'!I56)&gt;0),'Month 13'!I56,"")</f>
        <v/>
      </c>
      <c r="D3090">
        <f>IF(C3090="","",IF(N('Month 13'!J56)&gt;0,'Month 13'!J56,1))</f>
        <v/>
      </c>
      <c r="E3090">
        <f>IF(OR(C3090="",D3090=""),"",IF(D3090=1,C3090,ROUND(C3090*(1+D3090/30),1)))</f>
        <v/>
      </c>
    </row>
    <row r="3091">
      <c r="A3091">
        <f>'Month 13'!B34</f>
        <v/>
      </c>
      <c r="B3091" t="inlineStr">
        <is>
          <t>Deadlift</t>
        </is>
      </c>
      <c r="C3091">
        <f>IF(AND('Month 13'!L57&lt;&gt;"",N('Month 13'!I57)&gt;0),'Month 13'!I57,"")</f>
        <v/>
      </c>
      <c r="D3091">
        <f>IF(C3091="","",IF(N('Month 13'!J57)&gt;0,'Month 13'!J57,1))</f>
        <v/>
      </c>
      <c r="E3091">
        <f>IF(OR(C3091="",D3091=""),"",IF(D3091=1,C3091,ROUND(C3091*(1+D3091/30),1)))</f>
        <v/>
      </c>
    </row>
    <row r="3092">
      <c r="A3092">
        <f>'Month 13'!B34</f>
        <v/>
      </c>
      <c r="B3092" t="inlineStr">
        <is>
          <t>Chin-up</t>
        </is>
      </c>
      <c r="C3092">
        <f>IF(AND('Month 13'!L59&lt;&gt;"",N('Month 13'!I59)&gt;0),'Month 13'!I59,"")</f>
        <v/>
      </c>
      <c r="D3092">
        <f>IF(C3092="","",IF(N('Month 13'!J59)&gt;0,'Month 13'!J59,1))</f>
        <v/>
      </c>
      <c r="E3092">
        <f>IF(OR(C3092="",D3092=""),"",IF(D3092=1,C3092,ROUND(C3092*(1+D3092/30),1)))</f>
        <v/>
      </c>
    </row>
    <row r="3093">
      <c r="A3093">
        <f>'Month 13'!B34</f>
        <v/>
      </c>
      <c r="B3093" t="inlineStr">
        <is>
          <t>Chin-up</t>
        </is>
      </c>
      <c r="C3093">
        <f>IF(AND('Month 13'!L60&lt;&gt;"",N('Month 13'!I60)&gt;0),'Month 13'!I60,"")</f>
        <v/>
      </c>
      <c r="D3093">
        <f>IF(C3093="","",IF(N('Month 13'!J60)&gt;0,'Month 13'!J60,1))</f>
        <v/>
      </c>
      <c r="E3093">
        <f>IF(OR(C3093="",D3093=""),"",IF(D3093=1,C3093,ROUND(C3093*(1+D3093/30),1)))</f>
        <v/>
      </c>
    </row>
    <row r="3094">
      <c r="A3094">
        <f>'Month 13'!B34</f>
        <v/>
      </c>
      <c r="B3094" t="inlineStr">
        <is>
          <t>Chin-up</t>
        </is>
      </c>
      <c r="C3094">
        <f>IF(AND('Month 13'!L61&lt;&gt;"",N('Month 13'!I61)&gt;0),'Month 13'!I61,"")</f>
        <v/>
      </c>
      <c r="D3094">
        <f>IF(C3094="","",IF(N('Month 13'!J61)&gt;0,'Month 13'!J61,1))</f>
        <v/>
      </c>
      <c r="E3094">
        <f>IF(OR(C3094="",D3094=""),"",IF(D3094=1,C3094,ROUND(C3094*(1+D3094/30),1)))</f>
        <v/>
      </c>
    </row>
    <row r="3095">
      <c r="A3095">
        <f>'Month 13'!B34</f>
        <v/>
      </c>
      <c r="B3095" t="inlineStr">
        <is>
          <t>Chin-up</t>
        </is>
      </c>
      <c r="C3095">
        <f>IF(AND('Month 13'!L62&lt;&gt;"",N('Month 13'!I62)&gt;0),'Month 13'!I62,"")</f>
        <v/>
      </c>
      <c r="D3095">
        <f>IF(C3095="","",IF(N('Month 13'!J62)&gt;0,'Month 13'!J62,1))</f>
        <v/>
      </c>
      <c r="E3095">
        <f>IF(OR(C3095="",D3095=""),"",IF(D3095=1,C3095,ROUND(C3095*(1+D3095/30),1)))</f>
        <v/>
      </c>
    </row>
    <row r="3096">
      <c r="A3096">
        <f>'Month 13'!B34</f>
        <v/>
      </c>
      <c r="B3096" t="inlineStr">
        <is>
          <t>Plank</t>
        </is>
      </c>
      <c r="C3096">
        <f>IF(AND('Month 13'!L64&lt;&gt;"",N('Month 13'!I64)&gt;0),'Month 13'!I64,"")</f>
        <v/>
      </c>
      <c r="D3096">
        <f>IF(C3096="","",IF(N('Month 13'!J64)&gt;0,'Month 13'!J64,1))</f>
        <v/>
      </c>
      <c r="E3096">
        <f>IF(OR(C3096="",D3096=""),"",IF(D3096=1,C3096,ROUND(C3096*(1+D3096/30),1)))</f>
        <v/>
      </c>
    </row>
    <row r="3097">
      <c r="A3097">
        <f>'Month 13'!B34</f>
        <v/>
      </c>
      <c r="B3097" t="inlineStr">
        <is>
          <t>Plank</t>
        </is>
      </c>
      <c r="C3097">
        <f>IF(AND('Month 13'!L65&lt;&gt;"",N('Month 13'!I65)&gt;0),'Month 13'!I65,"")</f>
        <v/>
      </c>
      <c r="D3097">
        <f>IF(C3097="","",IF(N('Month 13'!J65)&gt;0,'Month 13'!J65,1))</f>
        <v/>
      </c>
      <c r="E3097">
        <f>IF(OR(C3097="",D3097=""),"",IF(D3097=1,C3097,ROUND(C3097*(1+D3097/30),1)))</f>
        <v/>
      </c>
    </row>
    <row r="3098">
      <c r="A3098">
        <f>'Month 13'!B34</f>
        <v/>
      </c>
      <c r="B3098" t="inlineStr">
        <is>
          <t>Plank</t>
        </is>
      </c>
      <c r="C3098">
        <f>IF(AND('Month 13'!L66&lt;&gt;"",N('Month 13'!I66)&gt;0),'Month 13'!I66,"")</f>
        <v/>
      </c>
      <c r="D3098">
        <f>IF(C3098="","",IF(N('Month 13'!J66)&gt;0,'Month 13'!J66,1))</f>
        <v/>
      </c>
      <c r="E3098">
        <f>IF(OR(C3098="",D3098=""),"",IF(D3098=1,C3098,ROUND(C3098*(1+D3098/30),1)))</f>
        <v/>
      </c>
    </row>
    <row r="3099">
      <c r="A3099">
        <f>'Month 13'!B34</f>
        <v/>
      </c>
      <c r="B3099" t="inlineStr">
        <is>
          <t>Plank</t>
        </is>
      </c>
      <c r="C3099">
        <f>IF(AND('Month 13'!L67&lt;&gt;"",N('Month 13'!I67)&gt;0),'Month 13'!I67,"")</f>
        <v/>
      </c>
      <c r="D3099">
        <f>IF(C3099="","",IF(N('Month 13'!J67)&gt;0,'Month 13'!J67,1))</f>
        <v/>
      </c>
      <c r="E3099">
        <f>IF(OR(C3099="",D3099=""),"",IF(D3099=1,C3099,ROUND(C3099*(1+D3099/30),1)))</f>
        <v/>
      </c>
    </row>
    <row r="3100">
      <c r="A3100">
        <f>'Month 13'!B68</f>
        <v/>
      </c>
      <c r="B3100" t="inlineStr">
        <is>
          <t>Depth Jump</t>
        </is>
      </c>
      <c r="C3100">
        <f>IF(AND('Month 13'!L70&lt;&gt;"",N('Month 13'!I70)&gt;0),'Month 13'!I70,"")</f>
        <v/>
      </c>
      <c r="D3100">
        <f>IF(C3100="","",IF(N('Month 13'!J70)&gt;0,'Month 13'!J70,1))</f>
        <v/>
      </c>
      <c r="E3100">
        <f>IF(OR(C3100="",D3100=""),"",IF(D3100=1,C3100,ROUND(C3100*(1+D3100/30),1)))</f>
        <v/>
      </c>
    </row>
    <row r="3101">
      <c r="A3101">
        <f>'Month 13'!B68</f>
        <v/>
      </c>
      <c r="B3101" t="inlineStr">
        <is>
          <t>Depth Jump</t>
        </is>
      </c>
      <c r="C3101">
        <f>IF(AND('Month 13'!L71&lt;&gt;"",N('Month 13'!I71)&gt;0),'Month 13'!I71,"")</f>
        <v/>
      </c>
      <c r="D3101">
        <f>IF(C3101="","",IF(N('Month 13'!J71)&gt;0,'Month 13'!J71,1))</f>
        <v/>
      </c>
      <c r="E3101">
        <f>IF(OR(C3101="",D3101=""),"",IF(D3101=1,C3101,ROUND(C3101*(1+D3101/30),1)))</f>
        <v/>
      </c>
    </row>
    <row r="3102">
      <c r="A3102">
        <f>'Month 13'!B68</f>
        <v/>
      </c>
      <c r="B3102" t="inlineStr">
        <is>
          <t>Depth Jump</t>
        </is>
      </c>
      <c r="C3102">
        <f>IF(AND('Month 13'!L72&lt;&gt;"",N('Month 13'!I72)&gt;0),'Month 13'!I72,"")</f>
        <v/>
      </c>
      <c r="D3102">
        <f>IF(C3102="","",IF(N('Month 13'!J72)&gt;0,'Month 13'!J72,1))</f>
        <v/>
      </c>
      <c r="E3102">
        <f>IF(OR(C3102="",D3102=""),"",IF(D3102=1,C3102,ROUND(C3102*(1+D3102/30),1)))</f>
        <v/>
      </c>
    </row>
    <row r="3103">
      <c r="A3103">
        <f>'Month 13'!B68</f>
        <v/>
      </c>
      <c r="B3103" t="inlineStr">
        <is>
          <t>Snatch Balance</t>
        </is>
      </c>
      <c r="C3103">
        <f>IF(AND('Month 13'!L74&lt;&gt;"",N('Month 13'!I74)&gt;0),'Month 13'!I74,"")</f>
        <v/>
      </c>
      <c r="D3103">
        <f>IF(C3103="","",IF(N('Month 13'!J74)&gt;0,'Month 13'!J74,1))</f>
        <v/>
      </c>
      <c r="E3103">
        <f>IF(OR(C3103="",D3103=""),"",IF(D3103=1,C3103,ROUND(C3103*(1+D3103/30),1)))</f>
        <v/>
      </c>
    </row>
    <row r="3104">
      <c r="A3104">
        <f>'Month 13'!B68</f>
        <v/>
      </c>
      <c r="B3104" t="inlineStr">
        <is>
          <t>Snatch Balance</t>
        </is>
      </c>
      <c r="C3104">
        <f>IF(AND('Month 13'!L75&lt;&gt;"",N('Month 13'!I75)&gt;0),'Month 13'!I75,"")</f>
        <v/>
      </c>
      <c r="D3104">
        <f>IF(C3104="","",IF(N('Month 13'!J75)&gt;0,'Month 13'!J75,1))</f>
        <v/>
      </c>
      <c r="E3104">
        <f>IF(OR(C3104="",D3104=""),"",IF(D3104=1,C3104,ROUND(C3104*(1+D3104/30),1)))</f>
        <v/>
      </c>
    </row>
    <row r="3105">
      <c r="A3105">
        <f>'Month 13'!B68</f>
        <v/>
      </c>
      <c r="B3105" t="inlineStr">
        <is>
          <t>Snatch Balance</t>
        </is>
      </c>
      <c r="C3105">
        <f>IF(AND('Month 13'!L76&lt;&gt;"",N('Month 13'!I76)&gt;0),'Month 13'!I76,"")</f>
        <v/>
      </c>
      <c r="D3105">
        <f>IF(C3105="","",IF(N('Month 13'!J76)&gt;0,'Month 13'!J76,1))</f>
        <v/>
      </c>
      <c r="E3105">
        <f>IF(OR(C3105="",D3105=""),"",IF(D3105=1,C3105,ROUND(C3105*(1+D3105/30),1)))</f>
        <v/>
      </c>
    </row>
    <row r="3106">
      <c r="A3106">
        <f>'Month 13'!B68</f>
        <v/>
      </c>
      <c r="B3106" t="inlineStr">
        <is>
          <t>Front Squat</t>
        </is>
      </c>
      <c r="C3106">
        <f>IF(AND('Month 13'!L78&lt;&gt;"",N('Month 13'!I78)&gt;0),'Month 13'!I78,"")</f>
        <v/>
      </c>
      <c r="D3106">
        <f>IF(C3106="","",IF(N('Month 13'!J78)&gt;0,'Month 13'!J78,1))</f>
        <v/>
      </c>
      <c r="E3106">
        <f>IF(OR(C3106="",D3106=""),"",IF(D3106=1,C3106,ROUND(C3106*(1+D3106/30),1)))</f>
        <v/>
      </c>
    </row>
    <row r="3107">
      <c r="A3107">
        <f>'Month 13'!B68</f>
        <v/>
      </c>
      <c r="B3107" t="inlineStr">
        <is>
          <t>Front Squat</t>
        </is>
      </c>
      <c r="C3107">
        <f>IF(AND('Month 13'!L79&lt;&gt;"",N('Month 13'!I79)&gt;0),'Month 13'!I79,"")</f>
        <v/>
      </c>
      <c r="D3107">
        <f>IF(C3107="","",IF(N('Month 13'!J79)&gt;0,'Month 13'!J79,1))</f>
        <v/>
      </c>
      <c r="E3107">
        <f>IF(OR(C3107="",D3107=""),"",IF(D3107=1,C3107,ROUND(C3107*(1+D3107/30),1)))</f>
        <v/>
      </c>
    </row>
    <row r="3108">
      <c r="A3108">
        <f>'Month 13'!B68</f>
        <v/>
      </c>
      <c r="B3108" t="inlineStr">
        <is>
          <t>Front Squat</t>
        </is>
      </c>
      <c r="C3108">
        <f>IF(AND('Month 13'!L80&lt;&gt;"",N('Month 13'!I80)&gt;0),'Month 13'!I80,"")</f>
        <v/>
      </c>
      <c r="D3108">
        <f>IF(C3108="","",IF(N('Month 13'!J80)&gt;0,'Month 13'!J80,1))</f>
        <v/>
      </c>
      <c r="E3108">
        <f>IF(OR(C3108="",D3108=""),"",IF(D3108=1,C3108,ROUND(C3108*(1+D3108/30),1)))</f>
        <v/>
      </c>
    </row>
    <row r="3109">
      <c r="A3109">
        <f>'Month 13'!B68</f>
        <v/>
      </c>
      <c r="B3109" t="inlineStr">
        <is>
          <t>3-Board Press</t>
        </is>
      </c>
      <c r="C3109">
        <f>IF(AND('Month 13'!L82&lt;&gt;"",N('Month 13'!I82)&gt;0),'Month 13'!I82,"")</f>
        <v/>
      </c>
      <c r="D3109">
        <f>IF(C3109="","",IF(N('Month 13'!J82)&gt;0,'Month 13'!J82,1))</f>
        <v/>
      </c>
      <c r="E3109">
        <f>IF(OR(C3109="",D3109=""),"",IF(D3109=1,C3109,ROUND(C3109*(1+D3109/30),1)))</f>
        <v/>
      </c>
    </row>
    <row r="3110">
      <c r="A3110">
        <f>'Month 13'!B68</f>
        <v/>
      </c>
      <c r="B3110" t="inlineStr">
        <is>
          <t>3-Board Press</t>
        </is>
      </c>
      <c r="C3110">
        <f>IF(AND('Month 13'!L83&lt;&gt;"",N('Month 13'!I83)&gt;0),'Month 13'!I83,"")</f>
        <v/>
      </c>
      <c r="D3110">
        <f>IF(C3110="","",IF(N('Month 13'!J83)&gt;0,'Month 13'!J83,1))</f>
        <v/>
      </c>
      <c r="E3110">
        <f>IF(OR(C3110="",D3110=""),"",IF(D3110=1,C3110,ROUND(C3110*(1+D3110/30),1)))</f>
        <v/>
      </c>
    </row>
    <row r="3111">
      <c r="A3111">
        <f>'Month 13'!B68</f>
        <v/>
      </c>
      <c r="B3111" t="inlineStr">
        <is>
          <t>3-Board Press</t>
        </is>
      </c>
      <c r="C3111">
        <f>IF(AND('Month 13'!L84&lt;&gt;"",N('Month 13'!I84)&gt;0),'Month 13'!I84,"")</f>
        <v/>
      </c>
      <c r="D3111">
        <f>IF(C3111="","",IF(N('Month 13'!J84)&gt;0,'Month 13'!J84,1))</f>
        <v/>
      </c>
      <c r="E3111">
        <f>IF(OR(C3111="",D3111=""),"",IF(D3111=1,C3111,ROUND(C3111*(1+D3111/30),1)))</f>
        <v/>
      </c>
    </row>
    <row r="3112">
      <c r="A3112">
        <f>'Month 13'!B68</f>
        <v/>
      </c>
      <c r="B3112" t="inlineStr">
        <is>
          <t>Romanian Deadlift</t>
        </is>
      </c>
      <c r="C3112">
        <f>IF(AND('Month 13'!L86&lt;&gt;"",N('Month 13'!I86)&gt;0),'Month 13'!I86,"")</f>
        <v/>
      </c>
      <c r="D3112">
        <f>IF(C3112="","",IF(N('Month 13'!J86)&gt;0,'Month 13'!J86,1))</f>
        <v/>
      </c>
      <c r="E3112">
        <f>IF(OR(C3112="",D3112=""),"",IF(D3112=1,C3112,ROUND(C3112*(1+D3112/30),1)))</f>
        <v/>
      </c>
    </row>
    <row r="3113">
      <c r="A3113">
        <f>'Month 13'!B68</f>
        <v/>
      </c>
      <c r="B3113" t="inlineStr">
        <is>
          <t>Romanian Deadlift</t>
        </is>
      </c>
      <c r="C3113">
        <f>IF(AND('Month 13'!L87&lt;&gt;"",N('Month 13'!I87)&gt;0),'Month 13'!I87,"")</f>
        <v/>
      </c>
      <c r="D3113">
        <f>IF(C3113="","",IF(N('Month 13'!J87)&gt;0,'Month 13'!J87,1))</f>
        <v/>
      </c>
      <c r="E3113">
        <f>IF(OR(C3113="",D3113=""),"",IF(D3113=1,C3113,ROUND(C3113*(1+D3113/30),1)))</f>
        <v/>
      </c>
    </row>
    <row r="3114">
      <c r="A3114">
        <f>'Month 13'!B68</f>
        <v/>
      </c>
      <c r="B3114" t="inlineStr">
        <is>
          <t>Romanian Deadlift</t>
        </is>
      </c>
      <c r="C3114">
        <f>IF(AND('Month 13'!L88&lt;&gt;"",N('Month 13'!I88)&gt;0),'Month 13'!I88,"")</f>
        <v/>
      </c>
      <c r="D3114">
        <f>IF(C3114="","",IF(N('Month 13'!J88)&gt;0,'Month 13'!J88,1))</f>
        <v/>
      </c>
      <c r="E3114">
        <f>IF(OR(C3114="",D3114=""),"",IF(D3114=1,C3114,ROUND(C3114*(1+D3114/30),1)))</f>
        <v/>
      </c>
    </row>
    <row r="3115">
      <c r="A3115">
        <f>'Month 13'!B68</f>
        <v/>
      </c>
      <c r="B3115" t="inlineStr">
        <is>
          <t>Incline Dumbbell Press</t>
        </is>
      </c>
      <c r="C3115">
        <f>IF(AND('Month 13'!L90&lt;&gt;"",N('Month 13'!I90)&gt;0),'Month 13'!I90,"")</f>
        <v/>
      </c>
      <c r="D3115">
        <f>IF(C3115="","",IF(N('Month 13'!J90)&gt;0,'Month 13'!J90,1))</f>
        <v/>
      </c>
      <c r="E3115">
        <f>IF(OR(C3115="",D3115=""),"",IF(D3115=1,C3115,ROUND(C3115*(1+D3115/30),1)))</f>
        <v/>
      </c>
    </row>
    <row r="3116">
      <c r="A3116">
        <f>'Month 13'!B68</f>
        <v/>
      </c>
      <c r="B3116" t="inlineStr">
        <is>
          <t>Incline Dumbbell Press</t>
        </is>
      </c>
      <c r="C3116">
        <f>IF(AND('Month 13'!L91&lt;&gt;"",N('Month 13'!I91)&gt;0),'Month 13'!I91,"")</f>
        <v/>
      </c>
      <c r="D3116">
        <f>IF(C3116="","",IF(N('Month 13'!J91)&gt;0,'Month 13'!J91,1))</f>
        <v/>
      </c>
      <c r="E3116">
        <f>IF(OR(C3116="",D3116=""),"",IF(D3116=1,C3116,ROUND(C3116*(1+D3116/30),1)))</f>
        <v/>
      </c>
    </row>
    <row r="3117">
      <c r="A3117">
        <f>'Month 13'!B68</f>
        <v/>
      </c>
      <c r="B3117" t="inlineStr">
        <is>
          <t>Incline Dumbbell Press</t>
        </is>
      </c>
      <c r="C3117">
        <f>IF(AND('Month 13'!L92&lt;&gt;"",N('Month 13'!I92)&gt;0),'Month 13'!I92,"")</f>
        <v/>
      </c>
      <c r="D3117">
        <f>IF(C3117="","",IF(N('Month 13'!J92)&gt;0,'Month 13'!J92,1))</f>
        <v/>
      </c>
      <c r="E3117">
        <f>IF(OR(C3117="",D3117=""),"",IF(D3117=1,C3117,ROUND(C3117*(1+D3117/30),1)))</f>
        <v/>
      </c>
    </row>
    <row r="3118">
      <c r="A3118">
        <f>'Month 13'!B68</f>
        <v/>
      </c>
      <c r="B3118" t="inlineStr">
        <is>
          <t>Incline Dumbbell Press</t>
        </is>
      </c>
      <c r="C3118">
        <f>IF(AND('Month 13'!L93&lt;&gt;"",N('Month 13'!I93)&gt;0),'Month 13'!I93,"")</f>
        <v/>
      </c>
      <c r="D3118">
        <f>IF(C3118="","",IF(N('Month 13'!J93)&gt;0,'Month 13'!J93,1))</f>
        <v/>
      </c>
      <c r="E3118">
        <f>IF(OR(C3118="",D3118=""),"",IF(D3118=1,C3118,ROUND(C3118*(1+D3118/30),1)))</f>
        <v/>
      </c>
    </row>
    <row r="3119">
      <c r="A3119">
        <f>'Month 13'!B68</f>
        <v/>
      </c>
      <c r="B3119" t="inlineStr">
        <is>
          <t>Triceps Pushdown</t>
        </is>
      </c>
      <c r="C3119">
        <f>IF(AND('Month 13'!L95&lt;&gt;"",N('Month 13'!I95)&gt;0),'Month 13'!I95,"")</f>
        <v/>
      </c>
      <c r="D3119">
        <f>IF(C3119="","",IF(N('Month 13'!J95)&gt;0,'Month 13'!J95,1))</f>
        <v/>
      </c>
      <c r="E3119">
        <f>IF(OR(C3119="",D3119=""),"",IF(D3119=1,C3119,ROUND(C3119*(1+D3119/30),1)))</f>
        <v/>
      </c>
    </row>
    <row r="3120">
      <c r="A3120">
        <f>'Month 13'!B68</f>
        <v/>
      </c>
      <c r="B3120" t="inlineStr">
        <is>
          <t>Triceps Pushdown</t>
        </is>
      </c>
      <c r="C3120">
        <f>IF(AND('Month 13'!L96&lt;&gt;"",N('Month 13'!I96)&gt;0),'Month 13'!I96,"")</f>
        <v/>
      </c>
      <c r="D3120">
        <f>IF(C3120="","",IF(N('Month 13'!J96)&gt;0,'Month 13'!J96,1))</f>
        <v/>
      </c>
      <c r="E3120">
        <f>IF(OR(C3120="",D3120=""),"",IF(D3120=1,C3120,ROUND(C3120*(1+D3120/30),1)))</f>
        <v/>
      </c>
    </row>
    <row r="3121">
      <c r="A3121">
        <f>'Month 13'!B68</f>
        <v/>
      </c>
      <c r="B3121" t="inlineStr">
        <is>
          <t>Triceps Pushdown</t>
        </is>
      </c>
      <c r="C3121">
        <f>IF(AND('Month 13'!L97&lt;&gt;"",N('Month 13'!I97)&gt;0),'Month 13'!I97,"")</f>
        <v/>
      </c>
      <c r="D3121">
        <f>IF(C3121="","",IF(N('Month 13'!J97)&gt;0,'Month 13'!J97,1))</f>
        <v/>
      </c>
      <c r="E3121">
        <f>IF(OR(C3121="",D3121=""),"",IF(D3121=1,C3121,ROUND(C3121*(1+D3121/30),1)))</f>
        <v/>
      </c>
    </row>
    <row r="3122">
      <c r="A3122">
        <f>'Month 13'!B68</f>
        <v/>
      </c>
      <c r="B3122" t="inlineStr">
        <is>
          <t>Triceps Pushdown</t>
        </is>
      </c>
      <c r="C3122">
        <f>IF(AND('Month 13'!L98&lt;&gt;"",N('Month 13'!I98)&gt;0),'Month 13'!I98,"")</f>
        <v/>
      </c>
      <c r="D3122">
        <f>IF(C3122="","",IF(N('Month 13'!J98)&gt;0,'Month 13'!J98,1))</f>
        <v/>
      </c>
      <c r="E3122">
        <f>IF(OR(C3122="",D3122=""),"",IF(D3122=1,C3122,ROUND(C3122*(1+D3122/30),1)))</f>
        <v/>
      </c>
    </row>
    <row r="3123">
      <c r="A3123">
        <f>'Month 13'!B101</f>
        <v/>
      </c>
      <c r="B3123" t="inlineStr">
        <is>
          <t>Box Jump</t>
        </is>
      </c>
      <c r="C3123">
        <f>IF(AND('Month 13'!L103&lt;&gt;"",N('Month 13'!I103)&gt;0),'Month 13'!I103,"")</f>
        <v/>
      </c>
      <c r="D3123">
        <f>IF(C3123="","",IF(N('Month 13'!J103)&gt;0,'Month 13'!J103,1))</f>
        <v/>
      </c>
      <c r="E3123">
        <f>IF(OR(C3123="",D3123=""),"",IF(D3123=1,C3123,ROUND(C3123*(1+D3123/30),1)))</f>
        <v/>
      </c>
    </row>
    <row r="3124">
      <c r="A3124">
        <f>'Month 13'!B101</f>
        <v/>
      </c>
      <c r="B3124" t="inlineStr">
        <is>
          <t>Box Jump</t>
        </is>
      </c>
      <c r="C3124">
        <f>IF(AND('Month 13'!L104&lt;&gt;"",N('Month 13'!I104)&gt;0),'Month 13'!I104,"")</f>
        <v/>
      </c>
      <c r="D3124">
        <f>IF(C3124="","",IF(N('Month 13'!J104)&gt;0,'Month 13'!J104,1))</f>
        <v/>
      </c>
      <c r="E3124">
        <f>IF(OR(C3124="",D3124=""),"",IF(D3124=1,C3124,ROUND(C3124*(1+D3124/30),1)))</f>
        <v/>
      </c>
    </row>
    <row r="3125">
      <c r="A3125">
        <f>'Month 13'!B101</f>
        <v/>
      </c>
      <c r="B3125" t="inlineStr">
        <is>
          <t>Box Jump</t>
        </is>
      </c>
      <c r="C3125">
        <f>IF(AND('Month 13'!L105&lt;&gt;"",N('Month 13'!I105)&gt;0),'Month 13'!I105,"")</f>
        <v/>
      </c>
      <c r="D3125">
        <f>IF(C3125="","",IF(N('Month 13'!J105)&gt;0,'Month 13'!J105,1))</f>
        <v/>
      </c>
      <c r="E3125">
        <f>IF(OR(C3125="",D3125=""),"",IF(D3125=1,C3125,ROUND(C3125*(1+D3125/30),1)))</f>
        <v/>
      </c>
    </row>
    <row r="3126">
      <c r="A3126">
        <f>'Month 13'!B101</f>
        <v/>
      </c>
      <c r="B3126" t="inlineStr">
        <is>
          <t>Snatch</t>
        </is>
      </c>
      <c r="C3126">
        <f>IF(AND('Month 13'!L107&lt;&gt;"",N('Month 13'!I107)&gt;0),'Month 13'!I107,"")</f>
        <v/>
      </c>
      <c r="D3126">
        <f>IF(C3126="","",IF(N('Month 13'!J107)&gt;0,'Month 13'!J107,1))</f>
        <v/>
      </c>
      <c r="E3126">
        <f>IF(OR(C3126="",D3126=""),"",IF(D3126=1,C3126,ROUND(C3126*(1+D3126/30),1)))</f>
        <v/>
      </c>
    </row>
    <row r="3127">
      <c r="A3127">
        <f>'Month 13'!B101</f>
        <v/>
      </c>
      <c r="B3127" t="inlineStr">
        <is>
          <t>Snatch</t>
        </is>
      </c>
      <c r="C3127">
        <f>IF(AND('Month 13'!L108&lt;&gt;"",N('Month 13'!I108)&gt;0),'Month 13'!I108,"")</f>
        <v/>
      </c>
      <c r="D3127">
        <f>IF(C3127="","",IF(N('Month 13'!J108)&gt;0,'Month 13'!J108,1))</f>
        <v/>
      </c>
      <c r="E3127">
        <f>IF(OR(C3127="",D3127=""),"",IF(D3127=1,C3127,ROUND(C3127*(1+D3127/30),1)))</f>
        <v/>
      </c>
    </row>
    <row r="3128">
      <c r="A3128">
        <f>'Month 13'!B101</f>
        <v/>
      </c>
      <c r="B3128" t="inlineStr">
        <is>
          <t>Snatch</t>
        </is>
      </c>
      <c r="C3128">
        <f>IF(AND('Month 13'!L109&lt;&gt;"",N('Month 13'!I109)&gt;0),'Month 13'!I109,"")</f>
        <v/>
      </c>
      <c r="D3128">
        <f>IF(C3128="","",IF(N('Month 13'!J109)&gt;0,'Month 13'!J109,1))</f>
        <v/>
      </c>
      <c r="E3128">
        <f>IF(OR(C3128="",D3128=""),"",IF(D3128=1,C3128,ROUND(C3128*(1+D3128/30),1)))</f>
        <v/>
      </c>
    </row>
    <row r="3129">
      <c r="A3129">
        <f>'Month 13'!B101</f>
        <v/>
      </c>
      <c r="B3129" t="inlineStr">
        <is>
          <t>Squat</t>
        </is>
      </c>
      <c r="C3129">
        <f>IF(AND('Month 13'!L111&lt;&gt;"",N('Month 13'!I111)&gt;0),'Month 13'!I111,"")</f>
        <v/>
      </c>
      <c r="D3129">
        <f>IF(C3129="","",IF(N('Month 13'!J111)&gt;0,'Month 13'!J111,1))</f>
        <v/>
      </c>
      <c r="E3129">
        <f>IF(OR(C3129="",D3129=""),"",IF(D3129=1,C3129,ROUND(C3129*(1+D3129/30),1)))</f>
        <v/>
      </c>
    </row>
    <row r="3130">
      <c r="A3130">
        <f>'Month 13'!B101</f>
        <v/>
      </c>
      <c r="B3130" t="inlineStr">
        <is>
          <t>Squat</t>
        </is>
      </c>
      <c r="C3130">
        <f>IF(AND('Month 13'!L112&lt;&gt;"",N('Month 13'!I112)&gt;0),'Month 13'!I112,"")</f>
        <v/>
      </c>
      <c r="D3130">
        <f>IF(C3130="","",IF(N('Month 13'!J112)&gt;0,'Month 13'!J112,1))</f>
        <v/>
      </c>
      <c r="E3130">
        <f>IF(OR(C3130="",D3130=""),"",IF(D3130=1,C3130,ROUND(C3130*(1+D3130/30),1)))</f>
        <v/>
      </c>
    </row>
    <row r="3131">
      <c r="A3131">
        <f>'Month 13'!B101</f>
        <v/>
      </c>
      <c r="B3131" t="inlineStr">
        <is>
          <t>Squat</t>
        </is>
      </c>
      <c r="C3131">
        <f>IF(AND('Month 13'!L113&lt;&gt;"",N('Month 13'!I113)&gt;0),'Month 13'!I113,"")</f>
        <v/>
      </c>
      <c r="D3131">
        <f>IF(C3131="","",IF(N('Month 13'!J113)&gt;0,'Month 13'!J113,1))</f>
        <v/>
      </c>
      <c r="E3131">
        <f>IF(OR(C3131="",D3131=""),"",IF(D3131=1,C3131,ROUND(C3131*(1+D3131/30),1)))</f>
        <v/>
      </c>
    </row>
    <row r="3132">
      <c r="A3132">
        <f>'Month 13'!B101</f>
        <v/>
      </c>
      <c r="B3132" t="inlineStr">
        <is>
          <t>Bench Press</t>
        </is>
      </c>
      <c r="C3132">
        <f>IF(AND('Month 13'!L115&lt;&gt;"",N('Month 13'!I115)&gt;0),'Month 13'!I115,"")</f>
        <v/>
      </c>
      <c r="D3132">
        <f>IF(C3132="","",IF(N('Month 13'!J115)&gt;0,'Month 13'!J115,1))</f>
        <v/>
      </c>
      <c r="E3132">
        <f>IF(OR(C3132="",D3132=""),"",IF(D3132=1,C3132,ROUND(C3132*(1+D3132/30),1)))</f>
        <v/>
      </c>
    </row>
    <row r="3133">
      <c r="A3133">
        <f>'Month 13'!B101</f>
        <v/>
      </c>
      <c r="B3133" t="inlineStr">
        <is>
          <t>Bench Press</t>
        </is>
      </c>
      <c r="C3133">
        <f>IF(AND('Month 13'!L116&lt;&gt;"",N('Month 13'!I116)&gt;0),'Month 13'!I116,"")</f>
        <v/>
      </c>
      <c r="D3133">
        <f>IF(C3133="","",IF(N('Month 13'!J116)&gt;0,'Month 13'!J116,1))</f>
        <v/>
      </c>
      <c r="E3133">
        <f>IF(OR(C3133="",D3133=""),"",IF(D3133=1,C3133,ROUND(C3133*(1+D3133/30),1)))</f>
        <v/>
      </c>
    </row>
    <row r="3134">
      <c r="A3134">
        <f>'Month 13'!B101</f>
        <v/>
      </c>
      <c r="B3134" t="inlineStr">
        <is>
          <t>Bench Press</t>
        </is>
      </c>
      <c r="C3134">
        <f>IF(AND('Month 13'!L117&lt;&gt;"",N('Month 13'!I117)&gt;0),'Month 13'!I117,"")</f>
        <v/>
      </c>
      <c r="D3134">
        <f>IF(C3134="","",IF(N('Month 13'!J117)&gt;0,'Month 13'!J117,1))</f>
        <v/>
      </c>
      <c r="E3134">
        <f>IF(OR(C3134="",D3134=""),"",IF(D3134=1,C3134,ROUND(C3134*(1+D3134/30),1)))</f>
        <v/>
      </c>
    </row>
    <row r="3135">
      <c r="A3135">
        <f>'Month 13'!B101</f>
        <v/>
      </c>
      <c r="B3135" t="inlineStr">
        <is>
          <t>Barbell Row</t>
        </is>
      </c>
      <c r="C3135">
        <f>IF(AND('Month 13'!L119&lt;&gt;"",N('Month 13'!I119)&gt;0),'Month 13'!I119,"")</f>
        <v/>
      </c>
      <c r="D3135">
        <f>IF(C3135="","",IF(N('Month 13'!J119)&gt;0,'Month 13'!J119,1))</f>
        <v/>
      </c>
      <c r="E3135">
        <f>IF(OR(C3135="",D3135=""),"",IF(D3135=1,C3135,ROUND(C3135*(1+D3135/30),1)))</f>
        <v/>
      </c>
    </row>
    <row r="3136">
      <c r="A3136">
        <f>'Month 13'!B101</f>
        <v/>
      </c>
      <c r="B3136" t="inlineStr">
        <is>
          <t>Barbell Row</t>
        </is>
      </c>
      <c r="C3136">
        <f>IF(AND('Month 13'!L120&lt;&gt;"",N('Month 13'!I120)&gt;0),'Month 13'!I120,"")</f>
        <v/>
      </c>
      <c r="D3136">
        <f>IF(C3136="","",IF(N('Month 13'!J120)&gt;0,'Month 13'!J120,1))</f>
        <v/>
      </c>
      <c r="E3136">
        <f>IF(OR(C3136="",D3136=""),"",IF(D3136=1,C3136,ROUND(C3136*(1+D3136/30),1)))</f>
        <v/>
      </c>
    </row>
    <row r="3137">
      <c r="A3137">
        <f>'Month 13'!B101</f>
        <v/>
      </c>
      <c r="B3137" t="inlineStr">
        <is>
          <t>Barbell Row</t>
        </is>
      </c>
      <c r="C3137">
        <f>IF(AND('Month 13'!L121&lt;&gt;"",N('Month 13'!I121)&gt;0),'Month 13'!I121,"")</f>
        <v/>
      </c>
      <c r="D3137">
        <f>IF(C3137="","",IF(N('Month 13'!J121)&gt;0,'Month 13'!J121,1))</f>
        <v/>
      </c>
      <c r="E3137">
        <f>IF(OR(C3137="",D3137=""),"",IF(D3137=1,C3137,ROUND(C3137*(1+D3137/30),1)))</f>
        <v/>
      </c>
    </row>
    <row r="3138">
      <c r="A3138">
        <f>'Month 13'!B101</f>
        <v/>
      </c>
      <c r="B3138" t="inlineStr">
        <is>
          <t>Barbell Row</t>
        </is>
      </c>
      <c r="C3138">
        <f>IF(AND('Month 13'!L122&lt;&gt;"",N('Month 13'!I122)&gt;0),'Month 13'!I122,"")</f>
        <v/>
      </c>
      <c r="D3138">
        <f>IF(C3138="","",IF(N('Month 13'!J122)&gt;0,'Month 13'!J122,1))</f>
        <v/>
      </c>
      <c r="E3138">
        <f>IF(OR(C3138="",D3138=""),"",IF(D3138=1,C3138,ROUND(C3138*(1+D3138/30),1)))</f>
        <v/>
      </c>
    </row>
    <row r="3139">
      <c r="A3139">
        <f>'Month 13'!B101</f>
        <v/>
      </c>
      <c r="B3139" t="inlineStr">
        <is>
          <t>Face Pull</t>
        </is>
      </c>
      <c r="C3139">
        <f>IF(AND('Month 13'!L124&lt;&gt;"",N('Month 13'!I124)&gt;0),'Month 13'!I124,"")</f>
        <v/>
      </c>
      <c r="D3139">
        <f>IF(C3139="","",IF(N('Month 13'!J124)&gt;0,'Month 13'!J124,1))</f>
        <v/>
      </c>
      <c r="E3139">
        <f>IF(OR(C3139="",D3139=""),"",IF(D3139=1,C3139,ROUND(C3139*(1+D3139/30),1)))</f>
        <v/>
      </c>
    </row>
    <row r="3140">
      <c r="A3140">
        <f>'Month 13'!B101</f>
        <v/>
      </c>
      <c r="B3140" t="inlineStr">
        <is>
          <t>Face Pull</t>
        </is>
      </c>
      <c r="C3140">
        <f>IF(AND('Month 13'!L125&lt;&gt;"",N('Month 13'!I125)&gt;0),'Month 13'!I125,"")</f>
        <v/>
      </c>
      <c r="D3140">
        <f>IF(C3140="","",IF(N('Month 13'!J125)&gt;0,'Month 13'!J125,1))</f>
        <v/>
      </c>
      <c r="E3140">
        <f>IF(OR(C3140="",D3140=""),"",IF(D3140=1,C3140,ROUND(C3140*(1+D3140/30),1)))</f>
        <v/>
      </c>
    </row>
    <row r="3141">
      <c r="A3141">
        <f>'Month 13'!B101</f>
        <v/>
      </c>
      <c r="B3141" t="inlineStr">
        <is>
          <t>Face Pull</t>
        </is>
      </c>
      <c r="C3141">
        <f>IF(AND('Month 13'!L126&lt;&gt;"",N('Month 13'!I126)&gt;0),'Month 13'!I126,"")</f>
        <v/>
      </c>
      <c r="D3141">
        <f>IF(C3141="","",IF(N('Month 13'!J126)&gt;0,'Month 13'!J126,1))</f>
        <v/>
      </c>
      <c r="E3141">
        <f>IF(OR(C3141="",D3141=""),"",IF(D3141=1,C3141,ROUND(C3141*(1+D3141/30),1)))</f>
        <v/>
      </c>
    </row>
    <row r="3142">
      <c r="A3142">
        <f>'Month 13'!B101</f>
        <v/>
      </c>
      <c r="B3142" t="inlineStr">
        <is>
          <t>Face Pull</t>
        </is>
      </c>
      <c r="C3142">
        <f>IF(AND('Month 13'!L127&lt;&gt;"",N('Month 13'!I127)&gt;0),'Month 13'!I127,"")</f>
        <v/>
      </c>
      <c r="D3142">
        <f>IF(C3142="","",IF(N('Month 13'!J127)&gt;0,'Month 13'!J127,1))</f>
        <v/>
      </c>
      <c r="E3142">
        <f>IF(OR(C3142="",D3142=""),"",IF(D3142=1,C3142,ROUND(C3142*(1+D3142/30),1)))</f>
        <v/>
      </c>
    </row>
    <row r="3143">
      <c r="A3143">
        <f>'Month 13'!B128</f>
        <v/>
      </c>
      <c r="B3143" t="inlineStr">
        <is>
          <t>Broad Jump</t>
        </is>
      </c>
      <c r="C3143">
        <f>IF(AND('Month 13'!L130&lt;&gt;"",N('Month 13'!I130)&gt;0),'Month 13'!I130,"")</f>
        <v/>
      </c>
      <c r="D3143">
        <f>IF(C3143="","",IF(N('Month 13'!J130)&gt;0,'Month 13'!J130,1))</f>
        <v/>
      </c>
      <c r="E3143">
        <f>IF(OR(C3143="",D3143=""),"",IF(D3143=1,C3143,ROUND(C3143*(1+D3143/30),1)))</f>
        <v/>
      </c>
    </row>
    <row r="3144">
      <c r="A3144">
        <f>'Month 13'!B128</f>
        <v/>
      </c>
      <c r="B3144" t="inlineStr">
        <is>
          <t>Broad Jump</t>
        </is>
      </c>
      <c r="C3144">
        <f>IF(AND('Month 13'!L131&lt;&gt;"",N('Month 13'!I131)&gt;0),'Month 13'!I131,"")</f>
        <v/>
      </c>
      <c r="D3144">
        <f>IF(C3144="","",IF(N('Month 13'!J131)&gt;0,'Month 13'!J131,1))</f>
        <v/>
      </c>
      <c r="E3144">
        <f>IF(OR(C3144="",D3144=""),"",IF(D3144=1,C3144,ROUND(C3144*(1+D3144/30),1)))</f>
        <v/>
      </c>
    </row>
    <row r="3145">
      <c r="A3145">
        <f>'Month 13'!B128</f>
        <v/>
      </c>
      <c r="B3145" t="inlineStr">
        <is>
          <t>Broad Jump</t>
        </is>
      </c>
      <c r="C3145">
        <f>IF(AND('Month 13'!L132&lt;&gt;"",N('Month 13'!I132)&gt;0),'Month 13'!I132,"")</f>
        <v/>
      </c>
      <c r="D3145">
        <f>IF(C3145="","",IF(N('Month 13'!J132)&gt;0,'Month 13'!J132,1))</f>
        <v/>
      </c>
      <c r="E3145">
        <f>IF(OR(C3145="",D3145=""),"",IF(D3145=1,C3145,ROUND(C3145*(1+D3145/30),1)))</f>
        <v/>
      </c>
    </row>
    <row r="3146">
      <c r="A3146">
        <f>'Month 13'!B128</f>
        <v/>
      </c>
      <c r="B3146" t="inlineStr">
        <is>
          <t>Med Ball Chest Pass</t>
        </is>
      </c>
      <c r="C3146">
        <f>IF(AND('Month 13'!L134&lt;&gt;"",N('Month 13'!I134)&gt;0),'Month 13'!I134,"")</f>
        <v/>
      </c>
      <c r="D3146">
        <f>IF(C3146="","",IF(N('Month 13'!J134)&gt;0,'Month 13'!J134,1))</f>
        <v/>
      </c>
      <c r="E3146">
        <f>IF(OR(C3146="",D3146=""),"",IF(D3146=1,C3146,ROUND(C3146*(1+D3146/30),1)))</f>
        <v/>
      </c>
    </row>
    <row r="3147">
      <c r="A3147">
        <f>'Month 13'!B128</f>
        <v/>
      </c>
      <c r="B3147" t="inlineStr">
        <is>
          <t>Med Ball Chest Pass</t>
        </is>
      </c>
      <c r="C3147">
        <f>IF(AND('Month 13'!L135&lt;&gt;"",N('Month 13'!I135)&gt;0),'Month 13'!I135,"")</f>
        <v/>
      </c>
      <c r="D3147">
        <f>IF(C3147="","",IF(N('Month 13'!J135)&gt;0,'Month 13'!J135,1))</f>
        <v/>
      </c>
      <c r="E3147">
        <f>IF(OR(C3147="",D3147=""),"",IF(D3147=1,C3147,ROUND(C3147*(1+D3147/30),1)))</f>
        <v/>
      </c>
    </row>
    <row r="3148">
      <c r="A3148">
        <f>'Month 13'!B128</f>
        <v/>
      </c>
      <c r="B3148" t="inlineStr">
        <is>
          <t>Clean &amp; Jerk</t>
        </is>
      </c>
      <c r="C3148">
        <f>IF(AND('Month 13'!L137&lt;&gt;"",N('Month 13'!I137)&gt;0),'Month 13'!I137,"")</f>
        <v/>
      </c>
      <c r="D3148">
        <f>IF(C3148="","",IF(N('Month 13'!J137)&gt;0,'Month 13'!J137,1))</f>
        <v/>
      </c>
      <c r="E3148">
        <f>IF(OR(C3148="",D3148=""),"",IF(D3148=1,C3148,ROUND(C3148*(1+D3148/30),1)))</f>
        <v/>
      </c>
    </row>
    <row r="3149">
      <c r="A3149">
        <f>'Month 13'!B128</f>
        <v/>
      </c>
      <c r="B3149" t="inlineStr">
        <is>
          <t>Clean &amp; Jerk</t>
        </is>
      </c>
      <c r="C3149">
        <f>IF(AND('Month 13'!L138&lt;&gt;"",N('Month 13'!I138)&gt;0),'Month 13'!I138,"")</f>
        <v/>
      </c>
      <c r="D3149">
        <f>IF(C3149="","",IF(N('Month 13'!J138)&gt;0,'Month 13'!J138,1))</f>
        <v/>
      </c>
      <c r="E3149">
        <f>IF(OR(C3149="",D3149=""),"",IF(D3149=1,C3149,ROUND(C3149*(1+D3149/30),1)))</f>
        <v/>
      </c>
    </row>
    <row r="3150">
      <c r="A3150">
        <f>'Month 13'!B128</f>
        <v/>
      </c>
      <c r="B3150" t="inlineStr">
        <is>
          <t>Clean &amp; Jerk</t>
        </is>
      </c>
      <c r="C3150">
        <f>IF(AND('Month 13'!L139&lt;&gt;"",N('Month 13'!I139)&gt;0),'Month 13'!I139,"")</f>
        <v/>
      </c>
      <c r="D3150">
        <f>IF(C3150="","",IF(N('Month 13'!J139)&gt;0,'Month 13'!J139,1))</f>
        <v/>
      </c>
      <c r="E3150">
        <f>IF(OR(C3150="",D3150=""),"",IF(D3150=1,C3150,ROUND(C3150*(1+D3150/30),1)))</f>
        <v/>
      </c>
    </row>
    <row r="3151">
      <c r="A3151">
        <f>'Month 13'!B128</f>
        <v/>
      </c>
      <c r="B3151" t="inlineStr">
        <is>
          <t>Squat</t>
        </is>
      </c>
      <c r="C3151">
        <f>IF(AND('Month 13'!L141&lt;&gt;"",N('Month 13'!I141)&gt;0),'Month 13'!I141,"")</f>
        <v/>
      </c>
      <c r="D3151">
        <f>IF(C3151="","",IF(N('Month 13'!J141)&gt;0,'Month 13'!J141,1))</f>
        <v/>
      </c>
      <c r="E3151">
        <f>IF(OR(C3151="",D3151=""),"",IF(D3151=1,C3151,ROUND(C3151*(1+D3151/30),1)))</f>
        <v/>
      </c>
    </row>
    <row r="3152">
      <c r="A3152">
        <f>'Month 13'!B128</f>
        <v/>
      </c>
      <c r="B3152" t="inlineStr">
        <is>
          <t>Squat</t>
        </is>
      </c>
      <c r="C3152">
        <f>IF(AND('Month 13'!L142&lt;&gt;"",N('Month 13'!I142)&gt;0),'Month 13'!I142,"")</f>
        <v/>
      </c>
      <c r="D3152">
        <f>IF(C3152="","",IF(N('Month 13'!J142)&gt;0,'Month 13'!J142,1))</f>
        <v/>
      </c>
      <c r="E3152">
        <f>IF(OR(C3152="",D3152=""),"",IF(D3152=1,C3152,ROUND(C3152*(1+D3152/30),1)))</f>
        <v/>
      </c>
    </row>
    <row r="3153">
      <c r="A3153">
        <f>'Month 13'!B128</f>
        <v/>
      </c>
      <c r="B3153" t="inlineStr">
        <is>
          <t>Squat</t>
        </is>
      </c>
      <c r="C3153">
        <f>IF(AND('Month 13'!L143&lt;&gt;"",N('Month 13'!I143)&gt;0),'Month 13'!I143,"")</f>
        <v/>
      </c>
      <c r="D3153">
        <f>IF(C3153="","",IF(N('Month 13'!J143)&gt;0,'Month 13'!J143,1))</f>
        <v/>
      </c>
      <c r="E3153">
        <f>IF(OR(C3153="",D3153=""),"",IF(D3153=1,C3153,ROUND(C3153*(1+D3153/30),1)))</f>
        <v/>
      </c>
    </row>
    <row r="3154">
      <c r="A3154">
        <f>'Month 13'!B128</f>
        <v/>
      </c>
      <c r="B3154" t="inlineStr">
        <is>
          <t>Overhead Press</t>
        </is>
      </c>
      <c r="C3154">
        <f>IF(AND('Month 13'!L145&lt;&gt;"",N('Month 13'!I145)&gt;0),'Month 13'!I145,"")</f>
        <v/>
      </c>
      <c r="D3154">
        <f>IF(C3154="","",IF(N('Month 13'!J145)&gt;0,'Month 13'!J145,1))</f>
        <v/>
      </c>
      <c r="E3154">
        <f>IF(OR(C3154="",D3154=""),"",IF(D3154=1,C3154,ROUND(C3154*(1+D3154/30),1)))</f>
        <v/>
      </c>
    </row>
    <row r="3155">
      <c r="A3155">
        <f>'Month 13'!B128</f>
        <v/>
      </c>
      <c r="B3155" t="inlineStr">
        <is>
          <t>Overhead Press</t>
        </is>
      </c>
      <c r="C3155">
        <f>IF(AND('Month 13'!L146&lt;&gt;"",N('Month 13'!I146)&gt;0),'Month 13'!I146,"")</f>
        <v/>
      </c>
      <c r="D3155">
        <f>IF(C3155="","",IF(N('Month 13'!J146)&gt;0,'Month 13'!J146,1))</f>
        <v/>
      </c>
      <c r="E3155">
        <f>IF(OR(C3155="",D3155=""),"",IF(D3155=1,C3155,ROUND(C3155*(1+D3155/30),1)))</f>
        <v/>
      </c>
    </row>
    <row r="3156">
      <c r="A3156">
        <f>'Month 13'!B128</f>
        <v/>
      </c>
      <c r="B3156" t="inlineStr">
        <is>
          <t>Overhead Press</t>
        </is>
      </c>
      <c r="C3156">
        <f>IF(AND('Month 13'!L147&lt;&gt;"",N('Month 13'!I147)&gt;0),'Month 13'!I147,"")</f>
        <v/>
      </c>
      <c r="D3156">
        <f>IF(C3156="","",IF(N('Month 13'!J147)&gt;0,'Month 13'!J147,1))</f>
        <v/>
      </c>
      <c r="E3156">
        <f>IF(OR(C3156="",D3156=""),"",IF(D3156=1,C3156,ROUND(C3156*(1+D3156/30),1)))</f>
        <v/>
      </c>
    </row>
    <row r="3157">
      <c r="A3157">
        <f>'Month 13'!B128</f>
        <v/>
      </c>
      <c r="B3157" t="inlineStr">
        <is>
          <t>Deadlift</t>
        </is>
      </c>
      <c r="C3157">
        <f>IF(AND('Month 13'!L149&lt;&gt;"",N('Month 13'!I149)&gt;0),'Month 13'!I149,"")</f>
        <v/>
      </c>
      <c r="D3157">
        <f>IF(C3157="","",IF(N('Month 13'!J149)&gt;0,'Month 13'!J149,1))</f>
        <v/>
      </c>
      <c r="E3157">
        <f>IF(OR(C3157="",D3157=""),"",IF(D3157=1,C3157,ROUND(C3157*(1+D3157/30),1)))</f>
        <v/>
      </c>
    </row>
    <row r="3158">
      <c r="A3158">
        <f>'Month 13'!B128</f>
        <v/>
      </c>
      <c r="B3158" t="inlineStr">
        <is>
          <t>Deadlift</t>
        </is>
      </c>
      <c r="C3158">
        <f>IF(AND('Month 13'!L150&lt;&gt;"",N('Month 13'!I150)&gt;0),'Month 13'!I150,"")</f>
        <v/>
      </c>
      <c r="D3158">
        <f>IF(C3158="","",IF(N('Month 13'!J150)&gt;0,'Month 13'!J150,1))</f>
        <v/>
      </c>
      <c r="E3158">
        <f>IF(OR(C3158="",D3158=""),"",IF(D3158=1,C3158,ROUND(C3158*(1+D3158/30),1)))</f>
        <v/>
      </c>
    </row>
    <row r="3159">
      <c r="A3159">
        <f>'Month 13'!B128</f>
        <v/>
      </c>
      <c r="B3159" t="inlineStr">
        <is>
          <t>Deadlift</t>
        </is>
      </c>
      <c r="C3159">
        <f>IF(AND('Month 13'!L151&lt;&gt;"",N('Month 13'!I151)&gt;0),'Month 13'!I151,"")</f>
        <v/>
      </c>
      <c r="D3159">
        <f>IF(C3159="","",IF(N('Month 13'!J151)&gt;0,'Month 13'!J151,1))</f>
        <v/>
      </c>
      <c r="E3159">
        <f>IF(OR(C3159="",D3159=""),"",IF(D3159=1,C3159,ROUND(C3159*(1+D3159/30),1)))</f>
        <v/>
      </c>
    </row>
    <row r="3160">
      <c r="A3160">
        <f>'Month 13'!B128</f>
        <v/>
      </c>
      <c r="B3160" t="inlineStr">
        <is>
          <t>Chin-up</t>
        </is>
      </c>
      <c r="C3160">
        <f>IF(AND('Month 13'!L153&lt;&gt;"",N('Month 13'!I153)&gt;0),'Month 13'!I153,"")</f>
        <v/>
      </c>
      <c r="D3160">
        <f>IF(C3160="","",IF(N('Month 13'!J153)&gt;0,'Month 13'!J153,1))</f>
        <v/>
      </c>
      <c r="E3160">
        <f>IF(OR(C3160="",D3160=""),"",IF(D3160=1,C3160,ROUND(C3160*(1+D3160/30),1)))</f>
        <v/>
      </c>
    </row>
    <row r="3161">
      <c r="A3161">
        <f>'Month 13'!B128</f>
        <v/>
      </c>
      <c r="B3161" t="inlineStr">
        <is>
          <t>Chin-up</t>
        </is>
      </c>
      <c r="C3161">
        <f>IF(AND('Month 13'!L154&lt;&gt;"",N('Month 13'!I154)&gt;0),'Month 13'!I154,"")</f>
        <v/>
      </c>
      <c r="D3161">
        <f>IF(C3161="","",IF(N('Month 13'!J154)&gt;0,'Month 13'!J154,1))</f>
        <v/>
      </c>
      <c r="E3161">
        <f>IF(OR(C3161="",D3161=""),"",IF(D3161=1,C3161,ROUND(C3161*(1+D3161/30),1)))</f>
        <v/>
      </c>
    </row>
    <row r="3162">
      <c r="A3162">
        <f>'Month 13'!B128</f>
        <v/>
      </c>
      <c r="B3162" t="inlineStr">
        <is>
          <t>Chin-up</t>
        </is>
      </c>
      <c r="C3162">
        <f>IF(AND('Month 13'!L155&lt;&gt;"",N('Month 13'!I155)&gt;0),'Month 13'!I155,"")</f>
        <v/>
      </c>
      <c r="D3162">
        <f>IF(C3162="","",IF(N('Month 13'!J155)&gt;0,'Month 13'!J155,1))</f>
        <v/>
      </c>
      <c r="E3162">
        <f>IF(OR(C3162="",D3162=""),"",IF(D3162=1,C3162,ROUND(C3162*(1+D3162/30),1)))</f>
        <v/>
      </c>
    </row>
    <row r="3163">
      <c r="A3163">
        <f>'Month 13'!B128</f>
        <v/>
      </c>
      <c r="B3163" t="inlineStr">
        <is>
          <t>Chin-up</t>
        </is>
      </c>
      <c r="C3163">
        <f>IF(AND('Month 13'!L156&lt;&gt;"",N('Month 13'!I156)&gt;0),'Month 13'!I156,"")</f>
        <v/>
      </c>
      <c r="D3163">
        <f>IF(C3163="","",IF(N('Month 13'!J156)&gt;0,'Month 13'!J156,1))</f>
        <v/>
      </c>
      <c r="E3163">
        <f>IF(OR(C3163="",D3163=""),"",IF(D3163=1,C3163,ROUND(C3163*(1+D3163/30),1)))</f>
        <v/>
      </c>
    </row>
    <row r="3164">
      <c r="A3164">
        <f>'Month 13'!B128</f>
        <v/>
      </c>
      <c r="B3164" t="inlineStr">
        <is>
          <t>Plank</t>
        </is>
      </c>
      <c r="C3164">
        <f>IF(AND('Month 13'!L158&lt;&gt;"",N('Month 13'!I158)&gt;0),'Month 13'!I158,"")</f>
        <v/>
      </c>
      <c r="D3164">
        <f>IF(C3164="","",IF(N('Month 13'!J158)&gt;0,'Month 13'!J158,1))</f>
        <v/>
      </c>
      <c r="E3164">
        <f>IF(OR(C3164="",D3164=""),"",IF(D3164=1,C3164,ROUND(C3164*(1+D3164/30),1)))</f>
        <v/>
      </c>
    </row>
    <row r="3165">
      <c r="A3165">
        <f>'Month 13'!B128</f>
        <v/>
      </c>
      <c r="B3165" t="inlineStr">
        <is>
          <t>Plank</t>
        </is>
      </c>
      <c r="C3165">
        <f>IF(AND('Month 13'!L159&lt;&gt;"",N('Month 13'!I159)&gt;0),'Month 13'!I159,"")</f>
        <v/>
      </c>
      <c r="D3165">
        <f>IF(C3165="","",IF(N('Month 13'!J159)&gt;0,'Month 13'!J159,1))</f>
        <v/>
      </c>
      <c r="E3165">
        <f>IF(OR(C3165="",D3165=""),"",IF(D3165=1,C3165,ROUND(C3165*(1+D3165/30),1)))</f>
        <v/>
      </c>
    </row>
    <row r="3166">
      <c r="A3166">
        <f>'Month 13'!B128</f>
        <v/>
      </c>
      <c r="B3166" t="inlineStr">
        <is>
          <t>Plank</t>
        </is>
      </c>
      <c r="C3166">
        <f>IF(AND('Month 13'!L160&lt;&gt;"",N('Month 13'!I160)&gt;0),'Month 13'!I160,"")</f>
        <v/>
      </c>
      <c r="D3166">
        <f>IF(C3166="","",IF(N('Month 13'!J160)&gt;0,'Month 13'!J160,1))</f>
        <v/>
      </c>
      <c r="E3166">
        <f>IF(OR(C3166="",D3166=""),"",IF(D3166=1,C3166,ROUND(C3166*(1+D3166/30),1)))</f>
        <v/>
      </c>
    </row>
    <row r="3167">
      <c r="A3167">
        <f>'Month 13'!B128</f>
        <v/>
      </c>
      <c r="B3167" t="inlineStr">
        <is>
          <t>Plank</t>
        </is>
      </c>
      <c r="C3167">
        <f>IF(AND('Month 13'!L161&lt;&gt;"",N('Month 13'!I161)&gt;0),'Month 13'!I161,"")</f>
        <v/>
      </c>
      <c r="D3167">
        <f>IF(C3167="","",IF(N('Month 13'!J161)&gt;0,'Month 13'!J161,1))</f>
        <v/>
      </c>
      <c r="E3167">
        <f>IF(OR(C3167="",D3167=""),"",IF(D3167=1,C3167,ROUND(C3167*(1+D3167/30),1)))</f>
        <v/>
      </c>
    </row>
    <row r="3168">
      <c r="A3168">
        <f>'Month 13'!B162</f>
        <v/>
      </c>
      <c r="B3168" t="inlineStr">
        <is>
          <t>Depth Jump</t>
        </is>
      </c>
      <c r="C3168">
        <f>IF(AND('Month 13'!L164&lt;&gt;"",N('Month 13'!I164)&gt;0),'Month 13'!I164,"")</f>
        <v/>
      </c>
      <c r="D3168">
        <f>IF(C3168="","",IF(N('Month 13'!J164)&gt;0,'Month 13'!J164,1))</f>
        <v/>
      </c>
      <c r="E3168">
        <f>IF(OR(C3168="",D3168=""),"",IF(D3168=1,C3168,ROUND(C3168*(1+D3168/30),1)))</f>
        <v/>
      </c>
    </row>
    <row r="3169">
      <c r="A3169">
        <f>'Month 13'!B162</f>
        <v/>
      </c>
      <c r="B3169" t="inlineStr">
        <is>
          <t>Depth Jump</t>
        </is>
      </c>
      <c r="C3169">
        <f>IF(AND('Month 13'!L165&lt;&gt;"",N('Month 13'!I165)&gt;0),'Month 13'!I165,"")</f>
        <v/>
      </c>
      <c r="D3169">
        <f>IF(C3169="","",IF(N('Month 13'!J165)&gt;0,'Month 13'!J165,1))</f>
        <v/>
      </c>
      <c r="E3169">
        <f>IF(OR(C3169="",D3169=""),"",IF(D3169=1,C3169,ROUND(C3169*(1+D3169/30),1)))</f>
        <v/>
      </c>
    </row>
    <row r="3170">
      <c r="A3170">
        <f>'Month 13'!B162</f>
        <v/>
      </c>
      <c r="B3170" t="inlineStr">
        <is>
          <t>Depth Jump</t>
        </is>
      </c>
      <c r="C3170">
        <f>IF(AND('Month 13'!L166&lt;&gt;"",N('Month 13'!I166)&gt;0),'Month 13'!I166,"")</f>
        <v/>
      </c>
      <c r="D3170">
        <f>IF(C3170="","",IF(N('Month 13'!J166)&gt;0,'Month 13'!J166,1))</f>
        <v/>
      </c>
      <c r="E3170">
        <f>IF(OR(C3170="",D3170=""),"",IF(D3170=1,C3170,ROUND(C3170*(1+D3170/30),1)))</f>
        <v/>
      </c>
    </row>
    <row r="3171">
      <c r="A3171">
        <f>'Month 13'!B162</f>
        <v/>
      </c>
      <c r="B3171" t="inlineStr">
        <is>
          <t>Snatch Balance</t>
        </is>
      </c>
      <c r="C3171">
        <f>IF(AND('Month 13'!L168&lt;&gt;"",N('Month 13'!I168)&gt;0),'Month 13'!I168,"")</f>
        <v/>
      </c>
      <c r="D3171">
        <f>IF(C3171="","",IF(N('Month 13'!J168)&gt;0,'Month 13'!J168,1))</f>
        <v/>
      </c>
      <c r="E3171">
        <f>IF(OR(C3171="",D3171=""),"",IF(D3171=1,C3171,ROUND(C3171*(1+D3171/30),1)))</f>
        <v/>
      </c>
    </row>
    <row r="3172">
      <c r="A3172">
        <f>'Month 13'!B162</f>
        <v/>
      </c>
      <c r="B3172" t="inlineStr">
        <is>
          <t>Snatch Balance</t>
        </is>
      </c>
      <c r="C3172">
        <f>IF(AND('Month 13'!L169&lt;&gt;"",N('Month 13'!I169)&gt;0),'Month 13'!I169,"")</f>
        <v/>
      </c>
      <c r="D3172">
        <f>IF(C3172="","",IF(N('Month 13'!J169)&gt;0,'Month 13'!J169,1))</f>
        <v/>
      </c>
      <c r="E3172">
        <f>IF(OR(C3172="",D3172=""),"",IF(D3172=1,C3172,ROUND(C3172*(1+D3172/30),1)))</f>
        <v/>
      </c>
    </row>
    <row r="3173">
      <c r="A3173">
        <f>'Month 13'!B162</f>
        <v/>
      </c>
      <c r="B3173" t="inlineStr">
        <is>
          <t>Snatch Balance</t>
        </is>
      </c>
      <c r="C3173">
        <f>IF(AND('Month 13'!L170&lt;&gt;"",N('Month 13'!I170)&gt;0),'Month 13'!I170,"")</f>
        <v/>
      </c>
      <c r="D3173">
        <f>IF(C3173="","",IF(N('Month 13'!J170)&gt;0,'Month 13'!J170,1))</f>
        <v/>
      </c>
      <c r="E3173">
        <f>IF(OR(C3173="",D3173=""),"",IF(D3173=1,C3173,ROUND(C3173*(1+D3173/30),1)))</f>
        <v/>
      </c>
    </row>
    <row r="3174">
      <c r="A3174">
        <f>'Month 13'!B162</f>
        <v/>
      </c>
      <c r="B3174" t="inlineStr">
        <is>
          <t>Front Squat</t>
        </is>
      </c>
      <c r="C3174">
        <f>IF(AND('Month 13'!L172&lt;&gt;"",N('Month 13'!I172)&gt;0),'Month 13'!I172,"")</f>
        <v/>
      </c>
      <c r="D3174">
        <f>IF(C3174="","",IF(N('Month 13'!J172)&gt;0,'Month 13'!J172,1))</f>
        <v/>
      </c>
      <c r="E3174">
        <f>IF(OR(C3174="",D3174=""),"",IF(D3174=1,C3174,ROUND(C3174*(1+D3174/30),1)))</f>
        <v/>
      </c>
    </row>
    <row r="3175">
      <c r="A3175">
        <f>'Month 13'!B162</f>
        <v/>
      </c>
      <c r="B3175" t="inlineStr">
        <is>
          <t>Front Squat</t>
        </is>
      </c>
      <c r="C3175">
        <f>IF(AND('Month 13'!L173&lt;&gt;"",N('Month 13'!I173)&gt;0),'Month 13'!I173,"")</f>
        <v/>
      </c>
      <c r="D3175">
        <f>IF(C3175="","",IF(N('Month 13'!J173)&gt;0,'Month 13'!J173,1))</f>
        <v/>
      </c>
      <c r="E3175">
        <f>IF(OR(C3175="",D3175=""),"",IF(D3175=1,C3175,ROUND(C3175*(1+D3175/30),1)))</f>
        <v/>
      </c>
    </row>
    <row r="3176">
      <c r="A3176">
        <f>'Month 13'!B162</f>
        <v/>
      </c>
      <c r="B3176" t="inlineStr">
        <is>
          <t>Front Squat</t>
        </is>
      </c>
      <c r="C3176">
        <f>IF(AND('Month 13'!L174&lt;&gt;"",N('Month 13'!I174)&gt;0),'Month 13'!I174,"")</f>
        <v/>
      </c>
      <c r="D3176">
        <f>IF(C3176="","",IF(N('Month 13'!J174)&gt;0,'Month 13'!J174,1))</f>
        <v/>
      </c>
      <c r="E3176">
        <f>IF(OR(C3176="",D3176=""),"",IF(D3176=1,C3176,ROUND(C3176*(1+D3176/30),1)))</f>
        <v/>
      </c>
    </row>
    <row r="3177">
      <c r="A3177">
        <f>'Month 13'!B162</f>
        <v/>
      </c>
      <c r="B3177" t="inlineStr">
        <is>
          <t>3-Board Press</t>
        </is>
      </c>
      <c r="C3177">
        <f>IF(AND('Month 13'!L176&lt;&gt;"",N('Month 13'!I176)&gt;0),'Month 13'!I176,"")</f>
        <v/>
      </c>
      <c r="D3177">
        <f>IF(C3177="","",IF(N('Month 13'!J176)&gt;0,'Month 13'!J176,1))</f>
        <v/>
      </c>
      <c r="E3177">
        <f>IF(OR(C3177="",D3177=""),"",IF(D3177=1,C3177,ROUND(C3177*(1+D3177/30),1)))</f>
        <v/>
      </c>
    </row>
    <row r="3178">
      <c r="A3178">
        <f>'Month 13'!B162</f>
        <v/>
      </c>
      <c r="B3178" t="inlineStr">
        <is>
          <t>3-Board Press</t>
        </is>
      </c>
      <c r="C3178">
        <f>IF(AND('Month 13'!L177&lt;&gt;"",N('Month 13'!I177)&gt;0),'Month 13'!I177,"")</f>
        <v/>
      </c>
      <c r="D3178">
        <f>IF(C3178="","",IF(N('Month 13'!J177)&gt;0,'Month 13'!J177,1))</f>
        <v/>
      </c>
      <c r="E3178">
        <f>IF(OR(C3178="",D3178=""),"",IF(D3178=1,C3178,ROUND(C3178*(1+D3178/30),1)))</f>
        <v/>
      </c>
    </row>
    <row r="3179">
      <c r="A3179">
        <f>'Month 13'!B162</f>
        <v/>
      </c>
      <c r="B3179" t="inlineStr">
        <is>
          <t>3-Board Press</t>
        </is>
      </c>
      <c r="C3179">
        <f>IF(AND('Month 13'!L178&lt;&gt;"",N('Month 13'!I178)&gt;0),'Month 13'!I178,"")</f>
        <v/>
      </c>
      <c r="D3179">
        <f>IF(C3179="","",IF(N('Month 13'!J178)&gt;0,'Month 13'!J178,1))</f>
        <v/>
      </c>
      <c r="E3179">
        <f>IF(OR(C3179="",D3179=""),"",IF(D3179=1,C3179,ROUND(C3179*(1+D3179/30),1)))</f>
        <v/>
      </c>
    </row>
    <row r="3180">
      <c r="A3180">
        <f>'Month 13'!B162</f>
        <v/>
      </c>
      <c r="B3180" t="inlineStr">
        <is>
          <t>Romanian Deadlift</t>
        </is>
      </c>
      <c r="C3180">
        <f>IF(AND('Month 13'!L180&lt;&gt;"",N('Month 13'!I180)&gt;0),'Month 13'!I180,"")</f>
        <v/>
      </c>
      <c r="D3180">
        <f>IF(C3180="","",IF(N('Month 13'!J180)&gt;0,'Month 13'!J180,1))</f>
        <v/>
      </c>
      <c r="E3180">
        <f>IF(OR(C3180="",D3180=""),"",IF(D3180=1,C3180,ROUND(C3180*(1+D3180/30),1)))</f>
        <v/>
      </c>
    </row>
    <row r="3181">
      <c r="A3181">
        <f>'Month 13'!B162</f>
        <v/>
      </c>
      <c r="B3181" t="inlineStr">
        <is>
          <t>Romanian Deadlift</t>
        </is>
      </c>
      <c r="C3181">
        <f>IF(AND('Month 13'!L181&lt;&gt;"",N('Month 13'!I181)&gt;0),'Month 13'!I181,"")</f>
        <v/>
      </c>
      <c r="D3181">
        <f>IF(C3181="","",IF(N('Month 13'!J181)&gt;0,'Month 13'!J181,1))</f>
        <v/>
      </c>
      <c r="E3181">
        <f>IF(OR(C3181="",D3181=""),"",IF(D3181=1,C3181,ROUND(C3181*(1+D3181/30),1)))</f>
        <v/>
      </c>
    </row>
    <row r="3182">
      <c r="A3182">
        <f>'Month 13'!B162</f>
        <v/>
      </c>
      <c r="B3182" t="inlineStr">
        <is>
          <t>Romanian Deadlift</t>
        </is>
      </c>
      <c r="C3182">
        <f>IF(AND('Month 13'!L182&lt;&gt;"",N('Month 13'!I182)&gt;0),'Month 13'!I182,"")</f>
        <v/>
      </c>
      <c r="D3182">
        <f>IF(C3182="","",IF(N('Month 13'!J182)&gt;0,'Month 13'!J182,1))</f>
        <v/>
      </c>
      <c r="E3182">
        <f>IF(OR(C3182="",D3182=""),"",IF(D3182=1,C3182,ROUND(C3182*(1+D3182/30),1)))</f>
        <v/>
      </c>
    </row>
    <row r="3183">
      <c r="A3183">
        <f>'Month 13'!B162</f>
        <v/>
      </c>
      <c r="B3183" t="inlineStr">
        <is>
          <t>Incline Dumbbell Press</t>
        </is>
      </c>
      <c r="C3183">
        <f>IF(AND('Month 13'!L184&lt;&gt;"",N('Month 13'!I184)&gt;0),'Month 13'!I184,"")</f>
        <v/>
      </c>
      <c r="D3183">
        <f>IF(C3183="","",IF(N('Month 13'!J184)&gt;0,'Month 13'!J184,1))</f>
        <v/>
      </c>
      <c r="E3183">
        <f>IF(OR(C3183="",D3183=""),"",IF(D3183=1,C3183,ROUND(C3183*(1+D3183/30),1)))</f>
        <v/>
      </c>
    </row>
    <row r="3184">
      <c r="A3184">
        <f>'Month 13'!B162</f>
        <v/>
      </c>
      <c r="B3184" t="inlineStr">
        <is>
          <t>Incline Dumbbell Press</t>
        </is>
      </c>
      <c r="C3184">
        <f>IF(AND('Month 13'!L185&lt;&gt;"",N('Month 13'!I185)&gt;0),'Month 13'!I185,"")</f>
        <v/>
      </c>
      <c r="D3184">
        <f>IF(C3184="","",IF(N('Month 13'!J185)&gt;0,'Month 13'!J185,1))</f>
        <v/>
      </c>
      <c r="E3184">
        <f>IF(OR(C3184="",D3184=""),"",IF(D3184=1,C3184,ROUND(C3184*(1+D3184/30),1)))</f>
        <v/>
      </c>
    </row>
    <row r="3185">
      <c r="A3185">
        <f>'Month 13'!B162</f>
        <v/>
      </c>
      <c r="B3185" t="inlineStr">
        <is>
          <t>Incline Dumbbell Press</t>
        </is>
      </c>
      <c r="C3185">
        <f>IF(AND('Month 13'!L186&lt;&gt;"",N('Month 13'!I186)&gt;0),'Month 13'!I186,"")</f>
        <v/>
      </c>
      <c r="D3185">
        <f>IF(C3185="","",IF(N('Month 13'!J186)&gt;0,'Month 13'!J186,1))</f>
        <v/>
      </c>
      <c r="E3185">
        <f>IF(OR(C3185="",D3185=""),"",IF(D3185=1,C3185,ROUND(C3185*(1+D3185/30),1)))</f>
        <v/>
      </c>
    </row>
    <row r="3186">
      <c r="A3186">
        <f>'Month 13'!B162</f>
        <v/>
      </c>
      <c r="B3186" t="inlineStr">
        <is>
          <t>Incline Dumbbell Press</t>
        </is>
      </c>
      <c r="C3186">
        <f>IF(AND('Month 13'!L187&lt;&gt;"",N('Month 13'!I187)&gt;0),'Month 13'!I187,"")</f>
        <v/>
      </c>
      <c r="D3186">
        <f>IF(C3186="","",IF(N('Month 13'!J187)&gt;0,'Month 13'!J187,1))</f>
        <v/>
      </c>
      <c r="E3186">
        <f>IF(OR(C3186="",D3186=""),"",IF(D3186=1,C3186,ROUND(C3186*(1+D3186/30),1)))</f>
        <v/>
      </c>
    </row>
    <row r="3187">
      <c r="A3187">
        <f>'Month 13'!B162</f>
        <v/>
      </c>
      <c r="B3187" t="inlineStr">
        <is>
          <t>Triceps Pushdown</t>
        </is>
      </c>
      <c r="C3187">
        <f>IF(AND('Month 13'!L189&lt;&gt;"",N('Month 13'!I189)&gt;0),'Month 13'!I189,"")</f>
        <v/>
      </c>
      <c r="D3187">
        <f>IF(C3187="","",IF(N('Month 13'!J189)&gt;0,'Month 13'!J189,1))</f>
        <v/>
      </c>
      <c r="E3187">
        <f>IF(OR(C3187="",D3187=""),"",IF(D3187=1,C3187,ROUND(C3187*(1+D3187/30),1)))</f>
        <v/>
      </c>
    </row>
    <row r="3188">
      <c r="A3188">
        <f>'Month 13'!B162</f>
        <v/>
      </c>
      <c r="B3188" t="inlineStr">
        <is>
          <t>Triceps Pushdown</t>
        </is>
      </c>
      <c r="C3188">
        <f>IF(AND('Month 13'!L190&lt;&gt;"",N('Month 13'!I190)&gt;0),'Month 13'!I190,"")</f>
        <v/>
      </c>
      <c r="D3188">
        <f>IF(C3188="","",IF(N('Month 13'!J190)&gt;0,'Month 13'!J190,1))</f>
        <v/>
      </c>
      <c r="E3188">
        <f>IF(OR(C3188="",D3188=""),"",IF(D3188=1,C3188,ROUND(C3188*(1+D3188/30),1)))</f>
        <v/>
      </c>
    </row>
    <row r="3189">
      <c r="A3189">
        <f>'Month 13'!B162</f>
        <v/>
      </c>
      <c r="B3189" t="inlineStr">
        <is>
          <t>Triceps Pushdown</t>
        </is>
      </c>
      <c r="C3189">
        <f>IF(AND('Month 13'!L191&lt;&gt;"",N('Month 13'!I191)&gt;0),'Month 13'!I191,"")</f>
        <v/>
      </c>
      <c r="D3189">
        <f>IF(C3189="","",IF(N('Month 13'!J191)&gt;0,'Month 13'!J191,1))</f>
        <v/>
      </c>
      <c r="E3189">
        <f>IF(OR(C3189="",D3189=""),"",IF(D3189=1,C3189,ROUND(C3189*(1+D3189/30),1)))</f>
        <v/>
      </c>
    </row>
    <row r="3190">
      <c r="A3190">
        <f>'Month 13'!B162</f>
        <v/>
      </c>
      <c r="B3190" t="inlineStr">
        <is>
          <t>Triceps Pushdown</t>
        </is>
      </c>
      <c r="C3190">
        <f>IF(AND('Month 13'!L192&lt;&gt;"",N('Month 13'!I192)&gt;0),'Month 13'!I192,"")</f>
        <v/>
      </c>
      <c r="D3190">
        <f>IF(C3190="","",IF(N('Month 13'!J192)&gt;0,'Month 13'!J192,1))</f>
        <v/>
      </c>
      <c r="E3190">
        <f>IF(OR(C3190="",D3190=""),"",IF(D3190=1,C3190,ROUND(C3190*(1+D3190/30),1)))</f>
        <v/>
      </c>
    </row>
    <row r="3191">
      <c r="A3191">
        <f>'Month 13'!B195</f>
        <v/>
      </c>
      <c r="B3191" t="inlineStr">
        <is>
          <t>Box Jump</t>
        </is>
      </c>
      <c r="C3191">
        <f>IF(AND('Month 13'!L197&lt;&gt;"",N('Month 13'!I197)&gt;0),'Month 13'!I197,"")</f>
        <v/>
      </c>
      <c r="D3191">
        <f>IF(C3191="","",IF(N('Month 13'!J197)&gt;0,'Month 13'!J197,1))</f>
        <v/>
      </c>
      <c r="E3191">
        <f>IF(OR(C3191="",D3191=""),"",IF(D3191=1,C3191,ROUND(C3191*(1+D3191/30),1)))</f>
        <v/>
      </c>
    </row>
    <row r="3192">
      <c r="A3192">
        <f>'Month 13'!B195</f>
        <v/>
      </c>
      <c r="B3192" t="inlineStr">
        <is>
          <t>Box Jump</t>
        </is>
      </c>
      <c r="C3192">
        <f>IF(AND('Month 13'!L198&lt;&gt;"",N('Month 13'!I198)&gt;0),'Month 13'!I198,"")</f>
        <v/>
      </c>
      <c r="D3192">
        <f>IF(C3192="","",IF(N('Month 13'!J198)&gt;0,'Month 13'!J198,1))</f>
        <v/>
      </c>
      <c r="E3192">
        <f>IF(OR(C3192="",D3192=""),"",IF(D3192=1,C3192,ROUND(C3192*(1+D3192/30),1)))</f>
        <v/>
      </c>
    </row>
    <row r="3193">
      <c r="A3193">
        <f>'Month 13'!B195</f>
        <v/>
      </c>
      <c r="B3193" t="inlineStr">
        <is>
          <t>Box Jump</t>
        </is>
      </c>
      <c r="C3193">
        <f>IF(AND('Month 13'!L199&lt;&gt;"",N('Month 13'!I199)&gt;0),'Month 13'!I199,"")</f>
        <v/>
      </c>
      <c r="D3193">
        <f>IF(C3193="","",IF(N('Month 13'!J199)&gt;0,'Month 13'!J199,1))</f>
        <v/>
      </c>
      <c r="E3193">
        <f>IF(OR(C3193="",D3193=""),"",IF(D3193=1,C3193,ROUND(C3193*(1+D3193/30),1)))</f>
        <v/>
      </c>
    </row>
    <row r="3194">
      <c r="A3194">
        <f>'Month 13'!B195</f>
        <v/>
      </c>
      <c r="B3194" t="inlineStr">
        <is>
          <t>Snatch</t>
        </is>
      </c>
      <c r="C3194">
        <f>IF(AND('Month 13'!L201&lt;&gt;"",N('Month 13'!I201)&gt;0),'Month 13'!I201,"")</f>
        <v/>
      </c>
      <c r="D3194">
        <f>IF(C3194="","",IF(N('Month 13'!J201)&gt;0,'Month 13'!J201,1))</f>
        <v/>
      </c>
      <c r="E3194">
        <f>IF(OR(C3194="",D3194=""),"",IF(D3194=1,C3194,ROUND(C3194*(1+D3194/30),1)))</f>
        <v/>
      </c>
    </row>
    <row r="3195">
      <c r="A3195">
        <f>'Month 13'!B195</f>
        <v/>
      </c>
      <c r="B3195" t="inlineStr">
        <is>
          <t>Snatch</t>
        </is>
      </c>
      <c r="C3195">
        <f>IF(AND('Month 13'!L202&lt;&gt;"",N('Month 13'!I202)&gt;0),'Month 13'!I202,"")</f>
        <v/>
      </c>
      <c r="D3195">
        <f>IF(C3195="","",IF(N('Month 13'!J202)&gt;0,'Month 13'!J202,1))</f>
        <v/>
      </c>
      <c r="E3195">
        <f>IF(OR(C3195="",D3195=""),"",IF(D3195=1,C3195,ROUND(C3195*(1+D3195/30),1)))</f>
        <v/>
      </c>
    </row>
    <row r="3196">
      <c r="A3196">
        <f>'Month 13'!B195</f>
        <v/>
      </c>
      <c r="B3196" t="inlineStr">
        <is>
          <t>Snatch</t>
        </is>
      </c>
      <c r="C3196">
        <f>IF(AND('Month 13'!L203&lt;&gt;"",N('Month 13'!I203)&gt;0),'Month 13'!I203,"")</f>
        <v/>
      </c>
      <c r="D3196">
        <f>IF(C3196="","",IF(N('Month 13'!J203)&gt;0,'Month 13'!J203,1))</f>
        <v/>
      </c>
      <c r="E3196">
        <f>IF(OR(C3196="",D3196=""),"",IF(D3196=1,C3196,ROUND(C3196*(1+D3196/30),1)))</f>
        <v/>
      </c>
    </row>
    <row r="3197">
      <c r="A3197">
        <f>'Month 13'!B195</f>
        <v/>
      </c>
      <c r="B3197" t="inlineStr">
        <is>
          <t>Squat</t>
        </is>
      </c>
      <c r="C3197">
        <f>IF(AND('Month 13'!L205&lt;&gt;"",N('Month 13'!I205)&gt;0),'Month 13'!I205,"")</f>
        <v/>
      </c>
      <c r="D3197">
        <f>IF(C3197="","",IF(N('Month 13'!J205)&gt;0,'Month 13'!J205,1))</f>
        <v/>
      </c>
      <c r="E3197">
        <f>IF(OR(C3197="",D3197=""),"",IF(D3197=1,C3197,ROUND(C3197*(1+D3197/30),1)))</f>
        <v/>
      </c>
    </row>
    <row r="3198">
      <c r="A3198">
        <f>'Month 13'!B195</f>
        <v/>
      </c>
      <c r="B3198" t="inlineStr">
        <is>
          <t>Squat</t>
        </is>
      </c>
      <c r="C3198">
        <f>IF(AND('Month 13'!L206&lt;&gt;"",N('Month 13'!I206)&gt;0),'Month 13'!I206,"")</f>
        <v/>
      </c>
      <c r="D3198">
        <f>IF(C3198="","",IF(N('Month 13'!J206)&gt;0,'Month 13'!J206,1))</f>
        <v/>
      </c>
      <c r="E3198">
        <f>IF(OR(C3198="",D3198=""),"",IF(D3198=1,C3198,ROUND(C3198*(1+D3198/30),1)))</f>
        <v/>
      </c>
    </row>
    <row r="3199">
      <c r="A3199">
        <f>'Month 13'!B195</f>
        <v/>
      </c>
      <c r="B3199" t="inlineStr">
        <is>
          <t>Squat</t>
        </is>
      </c>
      <c r="C3199">
        <f>IF(AND('Month 13'!L207&lt;&gt;"",N('Month 13'!I207)&gt;0),'Month 13'!I207,"")</f>
        <v/>
      </c>
      <c r="D3199">
        <f>IF(C3199="","",IF(N('Month 13'!J207)&gt;0,'Month 13'!J207,1))</f>
        <v/>
      </c>
      <c r="E3199">
        <f>IF(OR(C3199="",D3199=""),"",IF(D3199=1,C3199,ROUND(C3199*(1+D3199/30),1)))</f>
        <v/>
      </c>
    </row>
    <row r="3200">
      <c r="A3200">
        <f>'Month 13'!B195</f>
        <v/>
      </c>
      <c r="B3200" t="inlineStr">
        <is>
          <t>Bench Press</t>
        </is>
      </c>
      <c r="C3200">
        <f>IF(AND('Month 13'!L209&lt;&gt;"",N('Month 13'!I209)&gt;0),'Month 13'!I209,"")</f>
        <v/>
      </c>
      <c r="D3200">
        <f>IF(C3200="","",IF(N('Month 13'!J209)&gt;0,'Month 13'!J209,1))</f>
        <v/>
      </c>
      <c r="E3200">
        <f>IF(OR(C3200="",D3200=""),"",IF(D3200=1,C3200,ROUND(C3200*(1+D3200/30),1)))</f>
        <v/>
      </c>
    </row>
    <row r="3201">
      <c r="A3201">
        <f>'Month 13'!B195</f>
        <v/>
      </c>
      <c r="B3201" t="inlineStr">
        <is>
          <t>Bench Press</t>
        </is>
      </c>
      <c r="C3201">
        <f>IF(AND('Month 13'!L210&lt;&gt;"",N('Month 13'!I210)&gt;0),'Month 13'!I210,"")</f>
        <v/>
      </c>
      <c r="D3201">
        <f>IF(C3201="","",IF(N('Month 13'!J210)&gt;0,'Month 13'!J210,1))</f>
        <v/>
      </c>
      <c r="E3201">
        <f>IF(OR(C3201="",D3201=""),"",IF(D3201=1,C3201,ROUND(C3201*(1+D3201/30),1)))</f>
        <v/>
      </c>
    </row>
    <row r="3202">
      <c r="A3202">
        <f>'Month 13'!B195</f>
        <v/>
      </c>
      <c r="B3202" t="inlineStr">
        <is>
          <t>Bench Press</t>
        </is>
      </c>
      <c r="C3202">
        <f>IF(AND('Month 13'!L211&lt;&gt;"",N('Month 13'!I211)&gt;0),'Month 13'!I211,"")</f>
        <v/>
      </c>
      <c r="D3202">
        <f>IF(C3202="","",IF(N('Month 13'!J211)&gt;0,'Month 13'!J211,1))</f>
        <v/>
      </c>
      <c r="E3202">
        <f>IF(OR(C3202="",D3202=""),"",IF(D3202=1,C3202,ROUND(C3202*(1+D3202/30),1)))</f>
        <v/>
      </c>
    </row>
    <row r="3203">
      <c r="A3203">
        <f>'Month 13'!B195</f>
        <v/>
      </c>
      <c r="B3203" t="inlineStr">
        <is>
          <t>Barbell Row</t>
        </is>
      </c>
      <c r="C3203">
        <f>IF(AND('Month 13'!L213&lt;&gt;"",N('Month 13'!I213)&gt;0),'Month 13'!I213,"")</f>
        <v/>
      </c>
      <c r="D3203">
        <f>IF(C3203="","",IF(N('Month 13'!J213)&gt;0,'Month 13'!J213,1))</f>
        <v/>
      </c>
      <c r="E3203">
        <f>IF(OR(C3203="",D3203=""),"",IF(D3203=1,C3203,ROUND(C3203*(1+D3203/30),1)))</f>
        <v/>
      </c>
    </row>
    <row r="3204">
      <c r="A3204">
        <f>'Month 13'!B195</f>
        <v/>
      </c>
      <c r="B3204" t="inlineStr">
        <is>
          <t>Barbell Row</t>
        </is>
      </c>
      <c r="C3204">
        <f>IF(AND('Month 13'!L214&lt;&gt;"",N('Month 13'!I214)&gt;0),'Month 13'!I214,"")</f>
        <v/>
      </c>
      <c r="D3204">
        <f>IF(C3204="","",IF(N('Month 13'!J214)&gt;0,'Month 13'!J214,1))</f>
        <v/>
      </c>
      <c r="E3204">
        <f>IF(OR(C3204="",D3204=""),"",IF(D3204=1,C3204,ROUND(C3204*(1+D3204/30),1)))</f>
        <v/>
      </c>
    </row>
    <row r="3205">
      <c r="A3205">
        <f>'Month 13'!B195</f>
        <v/>
      </c>
      <c r="B3205" t="inlineStr">
        <is>
          <t>Barbell Row</t>
        </is>
      </c>
      <c r="C3205">
        <f>IF(AND('Month 13'!L215&lt;&gt;"",N('Month 13'!I215)&gt;0),'Month 13'!I215,"")</f>
        <v/>
      </c>
      <c r="D3205">
        <f>IF(C3205="","",IF(N('Month 13'!J215)&gt;0,'Month 13'!J215,1))</f>
        <v/>
      </c>
      <c r="E3205">
        <f>IF(OR(C3205="",D3205=""),"",IF(D3205=1,C3205,ROUND(C3205*(1+D3205/30),1)))</f>
        <v/>
      </c>
    </row>
    <row r="3206">
      <c r="A3206">
        <f>'Month 13'!B195</f>
        <v/>
      </c>
      <c r="B3206" t="inlineStr">
        <is>
          <t>Barbell Row</t>
        </is>
      </c>
      <c r="C3206">
        <f>IF(AND('Month 13'!L216&lt;&gt;"",N('Month 13'!I216)&gt;0),'Month 13'!I216,"")</f>
        <v/>
      </c>
      <c r="D3206">
        <f>IF(C3206="","",IF(N('Month 13'!J216)&gt;0,'Month 13'!J216,1))</f>
        <v/>
      </c>
      <c r="E3206">
        <f>IF(OR(C3206="",D3206=""),"",IF(D3206=1,C3206,ROUND(C3206*(1+D3206/30),1)))</f>
        <v/>
      </c>
    </row>
    <row r="3207">
      <c r="A3207">
        <f>'Month 13'!B195</f>
        <v/>
      </c>
      <c r="B3207" t="inlineStr">
        <is>
          <t>Face Pull</t>
        </is>
      </c>
      <c r="C3207">
        <f>IF(AND('Month 13'!L218&lt;&gt;"",N('Month 13'!I218)&gt;0),'Month 13'!I218,"")</f>
        <v/>
      </c>
      <c r="D3207">
        <f>IF(C3207="","",IF(N('Month 13'!J218)&gt;0,'Month 13'!J218,1))</f>
        <v/>
      </c>
      <c r="E3207">
        <f>IF(OR(C3207="",D3207=""),"",IF(D3207=1,C3207,ROUND(C3207*(1+D3207/30),1)))</f>
        <v/>
      </c>
    </row>
    <row r="3208">
      <c r="A3208">
        <f>'Month 13'!B195</f>
        <v/>
      </c>
      <c r="B3208" t="inlineStr">
        <is>
          <t>Face Pull</t>
        </is>
      </c>
      <c r="C3208">
        <f>IF(AND('Month 13'!L219&lt;&gt;"",N('Month 13'!I219)&gt;0),'Month 13'!I219,"")</f>
        <v/>
      </c>
      <c r="D3208">
        <f>IF(C3208="","",IF(N('Month 13'!J219)&gt;0,'Month 13'!J219,1))</f>
        <v/>
      </c>
      <c r="E3208">
        <f>IF(OR(C3208="",D3208=""),"",IF(D3208=1,C3208,ROUND(C3208*(1+D3208/30),1)))</f>
        <v/>
      </c>
    </row>
    <row r="3209">
      <c r="A3209">
        <f>'Month 13'!B195</f>
        <v/>
      </c>
      <c r="B3209" t="inlineStr">
        <is>
          <t>Face Pull</t>
        </is>
      </c>
      <c r="C3209">
        <f>IF(AND('Month 13'!L220&lt;&gt;"",N('Month 13'!I220)&gt;0),'Month 13'!I220,"")</f>
        <v/>
      </c>
      <c r="D3209">
        <f>IF(C3209="","",IF(N('Month 13'!J220)&gt;0,'Month 13'!J220,1))</f>
        <v/>
      </c>
      <c r="E3209">
        <f>IF(OR(C3209="",D3209=""),"",IF(D3209=1,C3209,ROUND(C3209*(1+D3209/30),1)))</f>
        <v/>
      </c>
    </row>
    <row r="3210">
      <c r="A3210">
        <f>'Month 13'!B195</f>
        <v/>
      </c>
      <c r="B3210" t="inlineStr">
        <is>
          <t>Face Pull</t>
        </is>
      </c>
      <c r="C3210">
        <f>IF(AND('Month 13'!L221&lt;&gt;"",N('Month 13'!I221)&gt;0),'Month 13'!I221,"")</f>
        <v/>
      </c>
      <c r="D3210">
        <f>IF(C3210="","",IF(N('Month 13'!J221)&gt;0,'Month 13'!J221,1))</f>
        <v/>
      </c>
      <c r="E3210">
        <f>IF(OR(C3210="",D3210=""),"",IF(D3210=1,C3210,ROUND(C3210*(1+D3210/30),1)))</f>
        <v/>
      </c>
    </row>
    <row r="3211">
      <c r="A3211">
        <f>'Month 13'!B222</f>
        <v/>
      </c>
      <c r="B3211" t="inlineStr">
        <is>
          <t>Broad Jump</t>
        </is>
      </c>
      <c r="C3211">
        <f>IF(AND('Month 13'!L224&lt;&gt;"",N('Month 13'!I224)&gt;0),'Month 13'!I224,"")</f>
        <v/>
      </c>
      <c r="D3211">
        <f>IF(C3211="","",IF(N('Month 13'!J224)&gt;0,'Month 13'!J224,1))</f>
        <v/>
      </c>
      <c r="E3211">
        <f>IF(OR(C3211="",D3211=""),"",IF(D3211=1,C3211,ROUND(C3211*(1+D3211/30),1)))</f>
        <v/>
      </c>
    </row>
    <row r="3212">
      <c r="A3212">
        <f>'Month 13'!B222</f>
        <v/>
      </c>
      <c r="B3212" t="inlineStr">
        <is>
          <t>Broad Jump</t>
        </is>
      </c>
      <c r="C3212">
        <f>IF(AND('Month 13'!L225&lt;&gt;"",N('Month 13'!I225)&gt;0),'Month 13'!I225,"")</f>
        <v/>
      </c>
      <c r="D3212">
        <f>IF(C3212="","",IF(N('Month 13'!J225)&gt;0,'Month 13'!J225,1))</f>
        <v/>
      </c>
      <c r="E3212">
        <f>IF(OR(C3212="",D3212=""),"",IF(D3212=1,C3212,ROUND(C3212*(1+D3212/30),1)))</f>
        <v/>
      </c>
    </row>
    <row r="3213">
      <c r="A3213">
        <f>'Month 13'!B222</f>
        <v/>
      </c>
      <c r="B3213" t="inlineStr">
        <is>
          <t>Broad Jump</t>
        </is>
      </c>
      <c r="C3213">
        <f>IF(AND('Month 13'!L226&lt;&gt;"",N('Month 13'!I226)&gt;0),'Month 13'!I226,"")</f>
        <v/>
      </c>
      <c r="D3213">
        <f>IF(C3213="","",IF(N('Month 13'!J226)&gt;0,'Month 13'!J226,1))</f>
        <v/>
      </c>
      <c r="E3213">
        <f>IF(OR(C3213="",D3213=""),"",IF(D3213=1,C3213,ROUND(C3213*(1+D3213/30),1)))</f>
        <v/>
      </c>
    </row>
    <row r="3214">
      <c r="A3214">
        <f>'Month 13'!B222</f>
        <v/>
      </c>
      <c r="B3214" t="inlineStr">
        <is>
          <t>Med Ball Chest Pass</t>
        </is>
      </c>
      <c r="C3214">
        <f>IF(AND('Month 13'!L228&lt;&gt;"",N('Month 13'!I228)&gt;0),'Month 13'!I228,"")</f>
        <v/>
      </c>
      <c r="D3214">
        <f>IF(C3214="","",IF(N('Month 13'!J228)&gt;0,'Month 13'!J228,1))</f>
        <v/>
      </c>
      <c r="E3214">
        <f>IF(OR(C3214="",D3214=""),"",IF(D3214=1,C3214,ROUND(C3214*(1+D3214/30),1)))</f>
        <v/>
      </c>
    </row>
    <row r="3215">
      <c r="A3215">
        <f>'Month 13'!B222</f>
        <v/>
      </c>
      <c r="B3215" t="inlineStr">
        <is>
          <t>Med Ball Chest Pass</t>
        </is>
      </c>
      <c r="C3215">
        <f>IF(AND('Month 13'!L229&lt;&gt;"",N('Month 13'!I229)&gt;0),'Month 13'!I229,"")</f>
        <v/>
      </c>
      <c r="D3215">
        <f>IF(C3215="","",IF(N('Month 13'!J229)&gt;0,'Month 13'!J229,1))</f>
        <v/>
      </c>
      <c r="E3215">
        <f>IF(OR(C3215="",D3215=""),"",IF(D3215=1,C3215,ROUND(C3215*(1+D3215/30),1)))</f>
        <v/>
      </c>
    </row>
    <row r="3216">
      <c r="A3216">
        <f>'Month 13'!B222</f>
        <v/>
      </c>
      <c r="B3216" t="inlineStr">
        <is>
          <t>Clean &amp; Jerk</t>
        </is>
      </c>
      <c r="C3216">
        <f>IF(AND('Month 13'!L231&lt;&gt;"",N('Month 13'!I231)&gt;0),'Month 13'!I231,"")</f>
        <v/>
      </c>
      <c r="D3216">
        <f>IF(C3216="","",IF(N('Month 13'!J231)&gt;0,'Month 13'!J231,1))</f>
        <v/>
      </c>
      <c r="E3216">
        <f>IF(OR(C3216="",D3216=""),"",IF(D3216=1,C3216,ROUND(C3216*(1+D3216/30),1)))</f>
        <v/>
      </c>
    </row>
    <row r="3217">
      <c r="A3217">
        <f>'Month 13'!B222</f>
        <v/>
      </c>
      <c r="B3217" t="inlineStr">
        <is>
          <t>Clean &amp; Jerk</t>
        </is>
      </c>
      <c r="C3217">
        <f>IF(AND('Month 13'!L232&lt;&gt;"",N('Month 13'!I232)&gt;0),'Month 13'!I232,"")</f>
        <v/>
      </c>
      <c r="D3217">
        <f>IF(C3217="","",IF(N('Month 13'!J232)&gt;0,'Month 13'!J232,1))</f>
        <v/>
      </c>
      <c r="E3217">
        <f>IF(OR(C3217="",D3217=""),"",IF(D3217=1,C3217,ROUND(C3217*(1+D3217/30),1)))</f>
        <v/>
      </c>
    </row>
    <row r="3218">
      <c r="A3218">
        <f>'Month 13'!B222</f>
        <v/>
      </c>
      <c r="B3218" t="inlineStr">
        <is>
          <t>Clean &amp; Jerk</t>
        </is>
      </c>
      <c r="C3218">
        <f>IF(AND('Month 13'!L233&lt;&gt;"",N('Month 13'!I233)&gt;0),'Month 13'!I233,"")</f>
        <v/>
      </c>
      <c r="D3218">
        <f>IF(C3218="","",IF(N('Month 13'!J233)&gt;0,'Month 13'!J233,1))</f>
        <v/>
      </c>
      <c r="E3218">
        <f>IF(OR(C3218="",D3218=""),"",IF(D3218=1,C3218,ROUND(C3218*(1+D3218/30),1)))</f>
        <v/>
      </c>
    </row>
    <row r="3219">
      <c r="A3219">
        <f>'Month 13'!B222</f>
        <v/>
      </c>
      <c r="B3219" t="inlineStr">
        <is>
          <t>Squat</t>
        </is>
      </c>
      <c r="C3219">
        <f>IF(AND('Month 13'!L235&lt;&gt;"",N('Month 13'!I235)&gt;0),'Month 13'!I235,"")</f>
        <v/>
      </c>
      <c r="D3219">
        <f>IF(C3219="","",IF(N('Month 13'!J235)&gt;0,'Month 13'!J235,1))</f>
        <v/>
      </c>
      <c r="E3219">
        <f>IF(OR(C3219="",D3219=""),"",IF(D3219=1,C3219,ROUND(C3219*(1+D3219/30),1)))</f>
        <v/>
      </c>
    </row>
    <row r="3220">
      <c r="A3220">
        <f>'Month 13'!B222</f>
        <v/>
      </c>
      <c r="B3220" t="inlineStr">
        <is>
          <t>Squat</t>
        </is>
      </c>
      <c r="C3220">
        <f>IF(AND('Month 13'!L236&lt;&gt;"",N('Month 13'!I236)&gt;0),'Month 13'!I236,"")</f>
        <v/>
      </c>
      <c r="D3220">
        <f>IF(C3220="","",IF(N('Month 13'!J236)&gt;0,'Month 13'!J236,1))</f>
        <v/>
      </c>
      <c r="E3220">
        <f>IF(OR(C3220="",D3220=""),"",IF(D3220=1,C3220,ROUND(C3220*(1+D3220/30),1)))</f>
        <v/>
      </c>
    </row>
    <row r="3221">
      <c r="A3221">
        <f>'Month 13'!B222</f>
        <v/>
      </c>
      <c r="B3221" t="inlineStr">
        <is>
          <t>Squat</t>
        </is>
      </c>
      <c r="C3221">
        <f>IF(AND('Month 13'!L237&lt;&gt;"",N('Month 13'!I237)&gt;0),'Month 13'!I237,"")</f>
        <v/>
      </c>
      <c r="D3221">
        <f>IF(C3221="","",IF(N('Month 13'!J237)&gt;0,'Month 13'!J237,1))</f>
        <v/>
      </c>
      <c r="E3221">
        <f>IF(OR(C3221="",D3221=""),"",IF(D3221=1,C3221,ROUND(C3221*(1+D3221/30),1)))</f>
        <v/>
      </c>
    </row>
    <row r="3222">
      <c r="A3222">
        <f>'Month 13'!B222</f>
        <v/>
      </c>
      <c r="B3222" t="inlineStr">
        <is>
          <t>Overhead Press</t>
        </is>
      </c>
      <c r="C3222">
        <f>IF(AND('Month 13'!L239&lt;&gt;"",N('Month 13'!I239)&gt;0),'Month 13'!I239,"")</f>
        <v/>
      </c>
      <c r="D3222">
        <f>IF(C3222="","",IF(N('Month 13'!J239)&gt;0,'Month 13'!J239,1))</f>
        <v/>
      </c>
      <c r="E3222">
        <f>IF(OR(C3222="",D3222=""),"",IF(D3222=1,C3222,ROUND(C3222*(1+D3222/30),1)))</f>
        <v/>
      </c>
    </row>
    <row r="3223">
      <c r="A3223">
        <f>'Month 13'!B222</f>
        <v/>
      </c>
      <c r="B3223" t="inlineStr">
        <is>
          <t>Overhead Press</t>
        </is>
      </c>
      <c r="C3223">
        <f>IF(AND('Month 13'!L240&lt;&gt;"",N('Month 13'!I240)&gt;0),'Month 13'!I240,"")</f>
        <v/>
      </c>
      <c r="D3223">
        <f>IF(C3223="","",IF(N('Month 13'!J240)&gt;0,'Month 13'!J240,1))</f>
        <v/>
      </c>
      <c r="E3223">
        <f>IF(OR(C3223="",D3223=""),"",IF(D3223=1,C3223,ROUND(C3223*(1+D3223/30),1)))</f>
        <v/>
      </c>
    </row>
    <row r="3224">
      <c r="A3224">
        <f>'Month 13'!B222</f>
        <v/>
      </c>
      <c r="B3224" t="inlineStr">
        <is>
          <t>Overhead Press</t>
        </is>
      </c>
      <c r="C3224">
        <f>IF(AND('Month 13'!L241&lt;&gt;"",N('Month 13'!I241)&gt;0),'Month 13'!I241,"")</f>
        <v/>
      </c>
      <c r="D3224">
        <f>IF(C3224="","",IF(N('Month 13'!J241)&gt;0,'Month 13'!J241,1))</f>
        <v/>
      </c>
      <c r="E3224">
        <f>IF(OR(C3224="",D3224=""),"",IF(D3224=1,C3224,ROUND(C3224*(1+D3224/30),1)))</f>
        <v/>
      </c>
    </row>
    <row r="3225">
      <c r="A3225">
        <f>'Month 13'!B222</f>
        <v/>
      </c>
      <c r="B3225" t="inlineStr">
        <is>
          <t>Deadlift</t>
        </is>
      </c>
      <c r="C3225">
        <f>IF(AND('Month 13'!L243&lt;&gt;"",N('Month 13'!I243)&gt;0),'Month 13'!I243,"")</f>
        <v/>
      </c>
      <c r="D3225">
        <f>IF(C3225="","",IF(N('Month 13'!J243)&gt;0,'Month 13'!J243,1))</f>
        <v/>
      </c>
      <c r="E3225">
        <f>IF(OR(C3225="",D3225=""),"",IF(D3225=1,C3225,ROUND(C3225*(1+D3225/30),1)))</f>
        <v/>
      </c>
    </row>
    <row r="3226">
      <c r="A3226">
        <f>'Month 13'!B222</f>
        <v/>
      </c>
      <c r="B3226" t="inlineStr">
        <is>
          <t>Deadlift</t>
        </is>
      </c>
      <c r="C3226">
        <f>IF(AND('Month 13'!L244&lt;&gt;"",N('Month 13'!I244)&gt;0),'Month 13'!I244,"")</f>
        <v/>
      </c>
      <c r="D3226">
        <f>IF(C3226="","",IF(N('Month 13'!J244)&gt;0,'Month 13'!J244,1))</f>
        <v/>
      </c>
      <c r="E3226">
        <f>IF(OR(C3226="",D3226=""),"",IF(D3226=1,C3226,ROUND(C3226*(1+D3226/30),1)))</f>
        <v/>
      </c>
    </row>
    <row r="3227">
      <c r="A3227">
        <f>'Month 13'!B222</f>
        <v/>
      </c>
      <c r="B3227" t="inlineStr">
        <is>
          <t>Deadlift</t>
        </is>
      </c>
      <c r="C3227">
        <f>IF(AND('Month 13'!L245&lt;&gt;"",N('Month 13'!I245)&gt;0),'Month 13'!I245,"")</f>
        <v/>
      </c>
      <c r="D3227">
        <f>IF(C3227="","",IF(N('Month 13'!J245)&gt;0,'Month 13'!J245,1))</f>
        <v/>
      </c>
      <c r="E3227">
        <f>IF(OR(C3227="",D3227=""),"",IF(D3227=1,C3227,ROUND(C3227*(1+D3227/30),1)))</f>
        <v/>
      </c>
    </row>
    <row r="3228">
      <c r="A3228">
        <f>'Month 13'!B222</f>
        <v/>
      </c>
      <c r="B3228" t="inlineStr">
        <is>
          <t>Chin-up</t>
        </is>
      </c>
      <c r="C3228">
        <f>IF(AND('Month 13'!L247&lt;&gt;"",N('Month 13'!I247)&gt;0),'Month 13'!I247,"")</f>
        <v/>
      </c>
      <c r="D3228">
        <f>IF(C3228="","",IF(N('Month 13'!J247)&gt;0,'Month 13'!J247,1))</f>
        <v/>
      </c>
      <c r="E3228">
        <f>IF(OR(C3228="",D3228=""),"",IF(D3228=1,C3228,ROUND(C3228*(1+D3228/30),1)))</f>
        <v/>
      </c>
    </row>
    <row r="3229">
      <c r="A3229">
        <f>'Month 13'!B222</f>
        <v/>
      </c>
      <c r="B3229" t="inlineStr">
        <is>
          <t>Chin-up</t>
        </is>
      </c>
      <c r="C3229">
        <f>IF(AND('Month 13'!L248&lt;&gt;"",N('Month 13'!I248)&gt;0),'Month 13'!I248,"")</f>
        <v/>
      </c>
      <c r="D3229">
        <f>IF(C3229="","",IF(N('Month 13'!J248)&gt;0,'Month 13'!J248,1))</f>
        <v/>
      </c>
      <c r="E3229">
        <f>IF(OR(C3229="",D3229=""),"",IF(D3229=1,C3229,ROUND(C3229*(1+D3229/30),1)))</f>
        <v/>
      </c>
    </row>
    <row r="3230">
      <c r="A3230">
        <f>'Month 13'!B222</f>
        <v/>
      </c>
      <c r="B3230" t="inlineStr">
        <is>
          <t>Chin-up</t>
        </is>
      </c>
      <c r="C3230">
        <f>IF(AND('Month 13'!L249&lt;&gt;"",N('Month 13'!I249)&gt;0),'Month 13'!I249,"")</f>
        <v/>
      </c>
      <c r="D3230">
        <f>IF(C3230="","",IF(N('Month 13'!J249)&gt;0,'Month 13'!J249,1))</f>
        <v/>
      </c>
      <c r="E3230">
        <f>IF(OR(C3230="",D3230=""),"",IF(D3230=1,C3230,ROUND(C3230*(1+D3230/30),1)))</f>
        <v/>
      </c>
    </row>
    <row r="3231">
      <c r="A3231">
        <f>'Month 13'!B222</f>
        <v/>
      </c>
      <c r="B3231" t="inlineStr">
        <is>
          <t>Chin-up</t>
        </is>
      </c>
      <c r="C3231">
        <f>IF(AND('Month 13'!L250&lt;&gt;"",N('Month 13'!I250)&gt;0),'Month 13'!I250,"")</f>
        <v/>
      </c>
      <c r="D3231">
        <f>IF(C3231="","",IF(N('Month 13'!J250)&gt;0,'Month 13'!J250,1))</f>
        <v/>
      </c>
      <c r="E3231">
        <f>IF(OR(C3231="",D3231=""),"",IF(D3231=1,C3231,ROUND(C3231*(1+D3231/30),1)))</f>
        <v/>
      </c>
    </row>
    <row r="3232">
      <c r="A3232">
        <f>'Month 13'!B222</f>
        <v/>
      </c>
      <c r="B3232" t="inlineStr">
        <is>
          <t>Plank</t>
        </is>
      </c>
      <c r="C3232">
        <f>IF(AND('Month 13'!L252&lt;&gt;"",N('Month 13'!I252)&gt;0),'Month 13'!I252,"")</f>
        <v/>
      </c>
      <c r="D3232">
        <f>IF(C3232="","",IF(N('Month 13'!J252)&gt;0,'Month 13'!J252,1))</f>
        <v/>
      </c>
      <c r="E3232">
        <f>IF(OR(C3232="",D3232=""),"",IF(D3232=1,C3232,ROUND(C3232*(1+D3232/30),1)))</f>
        <v/>
      </c>
    </row>
    <row r="3233">
      <c r="A3233">
        <f>'Month 13'!B222</f>
        <v/>
      </c>
      <c r="B3233" t="inlineStr">
        <is>
          <t>Plank</t>
        </is>
      </c>
      <c r="C3233">
        <f>IF(AND('Month 13'!L253&lt;&gt;"",N('Month 13'!I253)&gt;0),'Month 13'!I253,"")</f>
        <v/>
      </c>
      <c r="D3233">
        <f>IF(C3233="","",IF(N('Month 13'!J253)&gt;0,'Month 13'!J253,1))</f>
        <v/>
      </c>
      <c r="E3233">
        <f>IF(OR(C3233="",D3233=""),"",IF(D3233=1,C3233,ROUND(C3233*(1+D3233/30),1)))</f>
        <v/>
      </c>
    </row>
    <row r="3234">
      <c r="A3234">
        <f>'Month 13'!B222</f>
        <v/>
      </c>
      <c r="B3234" t="inlineStr">
        <is>
          <t>Plank</t>
        </is>
      </c>
      <c r="C3234">
        <f>IF(AND('Month 13'!L254&lt;&gt;"",N('Month 13'!I254)&gt;0),'Month 13'!I254,"")</f>
        <v/>
      </c>
      <c r="D3234">
        <f>IF(C3234="","",IF(N('Month 13'!J254)&gt;0,'Month 13'!J254,1))</f>
        <v/>
      </c>
      <c r="E3234">
        <f>IF(OR(C3234="",D3234=""),"",IF(D3234=1,C3234,ROUND(C3234*(1+D3234/30),1)))</f>
        <v/>
      </c>
    </row>
    <row r="3235">
      <c r="A3235">
        <f>'Month 13'!B222</f>
        <v/>
      </c>
      <c r="B3235" t="inlineStr">
        <is>
          <t>Plank</t>
        </is>
      </c>
      <c r="C3235">
        <f>IF(AND('Month 13'!L255&lt;&gt;"",N('Month 13'!I255)&gt;0),'Month 13'!I255,"")</f>
        <v/>
      </c>
      <c r="D3235">
        <f>IF(C3235="","",IF(N('Month 13'!J255)&gt;0,'Month 13'!J255,1))</f>
        <v/>
      </c>
      <c r="E3235">
        <f>IF(OR(C3235="",D3235=""),"",IF(D3235=1,C3235,ROUND(C3235*(1+D3235/30),1)))</f>
        <v/>
      </c>
    </row>
    <row r="3236">
      <c r="A3236">
        <f>'Month 13'!B256</f>
        <v/>
      </c>
      <c r="B3236" t="inlineStr">
        <is>
          <t>Depth Jump</t>
        </is>
      </c>
      <c r="C3236">
        <f>IF(AND('Month 13'!L258&lt;&gt;"",N('Month 13'!I258)&gt;0),'Month 13'!I258,"")</f>
        <v/>
      </c>
      <c r="D3236">
        <f>IF(C3236="","",IF(N('Month 13'!J258)&gt;0,'Month 13'!J258,1))</f>
        <v/>
      </c>
      <c r="E3236">
        <f>IF(OR(C3236="",D3236=""),"",IF(D3236=1,C3236,ROUND(C3236*(1+D3236/30),1)))</f>
        <v/>
      </c>
    </row>
    <row r="3237">
      <c r="A3237">
        <f>'Month 13'!B256</f>
        <v/>
      </c>
      <c r="B3237" t="inlineStr">
        <is>
          <t>Depth Jump</t>
        </is>
      </c>
      <c r="C3237">
        <f>IF(AND('Month 13'!L259&lt;&gt;"",N('Month 13'!I259)&gt;0),'Month 13'!I259,"")</f>
        <v/>
      </c>
      <c r="D3237">
        <f>IF(C3237="","",IF(N('Month 13'!J259)&gt;0,'Month 13'!J259,1))</f>
        <v/>
      </c>
      <c r="E3237">
        <f>IF(OR(C3237="",D3237=""),"",IF(D3237=1,C3237,ROUND(C3237*(1+D3237/30),1)))</f>
        <v/>
      </c>
    </row>
    <row r="3238">
      <c r="A3238">
        <f>'Month 13'!B256</f>
        <v/>
      </c>
      <c r="B3238" t="inlineStr">
        <is>
          <t>Depth Jump</t>
        </is>
      </c>
      <c r="C3238">
        <f>IF(AND('Month 13'!L260&lt;&gt;"",N('Month 13'!I260)&gt;0),'Month 13'!I260,"")</f>
        <v/>
      </c>
      <c r="D3238">
        <f>IF(C3238="","",IF(N('Month 13'!J260)&gt;0,'Month 13'!J260,1))</f>
        <v/>
      </c>
      <c r="E3238">
        <f>IF(OR(C3238="",D3238=""),"",IF(D3238=1,C3238,ROUND(C3238*(1+D3238/30),1)))</f>
        <v/>
      </c>
    </row>
    <row r="3239">
      <c r="A3239">
        <f>'Month 13'!B256</f>
        <v/>
      </c>
      <c r="B3239" t="inlineStr">
        <is>
          <t>Snatch Balance</t>
        </is>
      </c>
      <c r="C3239">
        <f>IF(AND('Month 13'!L262&lt;&gt;"",N('Month 13'!I262)&gt;0),'Month 13'!I262,"")</f>
        <v/>
      </c>
      <c r="D3239">
        <f>IF(C3239="","",IF(N('Month 13'!J262)&gt;0,'Month 13'!J262,1))</f>
        <v/>
      </c>
      <c r="E3239">
        <f>IF(OR(C3239="",D3239=""),"",IF(D3239=1,C3239,ROUND(C3239*(1+D3239/30),1)))</f>
        <v/>
      </c>
    </row>
    <row r="3240">
      <c r="A3240">
        <f>'Month 13'!B256</f>
        <v/>
      </c>
      <c r="B3240" t="inlineStr">
        <is>
          <t>Snatch Balance</t>
        </is>
      </c>
      <c r="C3240">
        <f>IF(AND('Month 13'!L263&lt;&gt;"",N('Month 13'!I263)&gt;0),'Month 13'!I263,"")</f>
        <v/>
      </c>
      <c r="D3240">
        <f>IF(C3240="","",IF(N('Month 13'!J263)&gt;0,'Month 13'!J263,1))</f>
        <v/>
      </c>
      <c r="E3240">
        <f>IF(OR(C3240="",D3240=""),"",IF(D3240=1,C3240,ROUND(C3240*(1+D3240/30),1)))</f>
        <v/>
      </c>
    </row>
    <row r="3241">
      <c r="A3241">
        <f>'Month 13'!B256</f>
        <v/>
      </c>
      <c r="B3241" t="inlineStr">
        <is>
          <t>Snatch Balance</t>
        </is>
      </c>
      <c r="C3241">
        <f>IF(AND('Month 13'!L264&lt;&gt;"",N('Month 13'!I264)&gt;0),'Month 13'!I264,"")</f>
        <v/>
      </c>
      <c r="D3241">
        <f>IF(C3241="","",IF(N('Month 13'!J264)&gt;0,'Month 13'!J264,1))</f>
        <v/>
      </c>
      <c r="E3241">
        <f>IF(OR(C3241="",D3241=""),"",IF(D3241=1,C3241,ROUND(C3241*(1+D3241/30),1)))</f>
        <v/>
      </c>
    </row>
    <row r="3242">
      <c r="A3242">
        <f>'Month 13'!B256</f>
        <v/>
      </c>
      <c r="B3242" t="inlineStr">
        <is>
          <t>Front Squat</t>
        </is>
      </c>
      <c r="C3242">
        <f>IF(AND('Month 13'!L266&lt;&gt;"",N('Month 13'!I266)&gt;0),'Month 13'!I266,"")</f>
        <v/>
      </c>
      <c r="D3242">
        <f>IF(C3242="","",IF(N('Month 13'!J266)&gt;0,'Month 13'!J266,1))</f>
        <v/>
      </c>
      <c r="E3242">
        <f>IF(OR(C3242="",D3242=""),"",IF(D3242=1,C3242,ROUND(C3242*(1+D3242/30),1)))</f>
        <v/>
      </c>
    </row>
    <row r="3243">
      <c r="A3243">
        <f>'Month 13'!B256</f>
        <v/>
      </c>
      <c r="B3243" t="inlineStr">
        <is>
          <t>Front Squat</t>
        </is>
      </c>
      <c r="C3243">
        <f>IF(AND('Month 13'!L267&lt;&gt;"",N('Month 13'!I267)&gt;0),'Month 13'!I267,"")</f>
        <v/>
      </c>
      <c r="D3243">
        <f>IF(C3243="","",IF(N('Month 13'!J267)&gt;0,'Month 13'!J267,1))</f>
        <v/>
      </c>
      <c r="E3243">
        <f>IF(OR(C3243="",D3243=""),"",IF(D3243=1,C3243,ROUND(C3243*(1+D3243/30),1)))</f>
        <v/>
      </c>
    </row>
    <row r="3244">
      <c r="A3244">
        <f>'Month 13'!B256</f>
        <v/>
      </c>
      <c r="B3244" t="inlineStr">
        <is>
          <t>Front Squat</t>
        </is>
      </c>
      <c r="C3244">
        <f>IF(AND('Month 13'!L268&lt;&gt;"",N('Month 13'!I268)&gt;0),'Month 13'!I268,"")</f>
        <v/>
      </c>
      <c r="D3244">
        <f>IF(C3244="","",IF(N('Month 13'!J268)&gt;0,'Month 13'!J268,1))</f>
        <v/>
      </c>
      <c r="E3244">
        <f>IF(OR(C3244="",D3244=""),"",IF(D3244=1,C3244,ROUND(C3244*(1+D3244/30),1)))</f>
        <v/>
      </c>
    </row>
    <row r="3245">
      <c r="A3245">
        <f>'Month 13'!B256</f>
        <v/>
      </c>
      <c r="B3245" t="inlineStr">
        <is>
          <t>3-Board Press</t>
        </is>
      </c>
      <c r="C3245">
        <f>IF(AND('Month 13'!L270&lt;&gt;"",N('Month 13'!I270)&gt;0),'Month 13'!I270,"")</f>
        <v/>
      </c>
      <c r="D3245">
        <f>IF(C3245="","",IF(N('Month 13'!J270)&gt;0,'Month 13'!J270,1))</f>
        <v/>
      </c>
      <c r="E3245">
        <f>IF(OR(C3245="",D3245=""),"",IF(D3245=1,C3245,ROUND(C3245*(1+D3245/30),1)))</f>
        <v/>
      </c>
    </row>
    <row r="3246">
      <c r="A3246">
        <f>'Month 13'!B256</f>
        <v/>
      </c>
      <c r="B3246" t="inlineStr">
        <is>
          <t>3-Board Press</t>
        </is>
      </c>
      <c r="C3246">
        <f>IF(AND('Month 13'!L271&lt;&gt;"",N('Month 13'!I271)&gt;0),'Month 13'!I271,"")</f>
        <v/>
      </c>
      <c r="D3246">
        <f>IF(C3246="","",IF(N('Month 13'!J271)&gt;0,'Month 13'!J271,1))</f>
        <v/>
      </c>
      <c r="E3246">
        <f>IF(OR(C3246="",D3246=""),"",IF(D3246=1,C3246,ROUND(C3246*(1+D3246/30),1)))</f>
        <v/>
      </c>
    </row>
    <row r="3247">
      <c r="A3247">
        <f>'Month 13'!B256</f>
        <v/>
      </c>
      <c r="B3247" t="inlineStr">
        <is>
          <t>3-Board Press</t>
        </is>
      </c>
      <c r="C3247">
        <f>IF(AND('Month 13'!L272&lt;&gt;"",N('Month 13'!I272)&gt;0),'Month 13'!I272,"")</f>
        <v/>
      </c>
      <c r="D3247">
        <f>IF(C3247="","",IF(N('Month 13'!J272)&gt;0,'Month 13'!J272,1))</f>
        <v/>
      </c>
      <c r="E3247">
        <f>IF(OR(C3247="",D3247=""),"",IF(D3247=1,C3247,ROUND(C3247*(1+D3247/30),1)))</f>
        <v/>
      </c>
    </row>
    <row r="3248">
      <c r="A3248">
        <f>'Month 13'!B256</f>
        <v/>
      </c>
      <c r="B3248" t="inlineStr">
        <is>
          <t>Romanian Deadlift</t>
        </is>
      </c>
      <c r="C3248">
        <f>IF(AND('Month 13'!L274&lt;&gt;"",N('Month 13'!I274)&gt;0),'Month 13'!I274,"")</f>
        <v/>
      </c>
      <c r="D3248">
        <f>IF(C3248="","",IF(N('Month 13'!J274)&gt;0,'Month 13'!J274,1))</f>
        <v/>
      </c>
      <c r="E3248">
        <f>IF(OR(C3248="",D3248=""),"",IF(D3248=1,C3248,ROUND(C3248*(1+D3248/30),1)))</f>
        <v/>
      </c>
    </row>
    <row r="3249">
      <c r="A3249">
        <f>'Month 13'!B256</f>
        <v/>
      </c>
      <c r="B3249" t="inlineStr">
        <is>
          <t>Romanian Deadlift</t>
        </is>
      </c>
      <c r="C3249">
        <f>IF(AND('Month 13'!L275&lt;&gt;"",N('Month 13'!I275)&gt;0),'Month 13'!I275,"")</f>
        <v/>
      </c>
      <c r="D3249">
        <f>IF(C3249="","",IF(N('Month 13'!J275)&gt;0,'Month 13'!J275,1))</f>
        <v/>
      </c>
      <c r="E3249">
        <f>IF(OR(C3249="",D3249=""),"",IF(D3249=1,C3249,ROUND(C3249*(1+D3249/30),1)))</f>
        <v/>
      </c>
    </row>
    <row r="3250">
      <c r="A3250">
        <f>'Month 13'!B256</f>
        <v/>
      </c>
      <c r="B3250" t="inlineStr">
        <is>
          <t>Romanian Deadlift</t>
        </is>
      </c>
      <c r="C3250">
        <f>IF(AND('Month 13'!L276&lt;&gt;"",N('Month 13'!I276)&gt;0),'Month 13'!I276,"")</f>
        <v/>
      </c>
      <c r="D3250">
        <f>IF(C3250="","",IF(N('Month 13'!J276)&gt;0,'Month 13'!J276,1))</f>
        <v/>
      </c>
      <c r="E3250">
        <f>IF(OR(C3250="",D3250=""),"",IF(D3250=1,C3250,ROUND(C3250*(1+D3250/30),1)))</f>
        <v/>
      </c>
    </row>
    <row r="3251">
      <c r="A3251">
        <f>'Month 13'!B256</f>
        <v/>
      </c>
      <c r="B3251" t="inlineStr">
        <is>
          <t>Incline Dumbbell Press</t>
        </is>
      </c>
      <c r="C3251">
        <f>IF(AND('Month 13'!L278&lt;&gt;"",N('Month 13'!I278)&gt;0),'Month 13'!I278,"")</f>
        <v/>
      </c>
      <c r="D3251">
        <f>IF(C3251="","",IF(N('Month 13'!J278)&gt;0,'Month 13'!J278,1))</f>
        <v/>
      </c>
      <c r="E3251">
        <f>IF(OR(C3251="",D3251=""),"",IF(D3251=1,C3251,ROUND(C3251*(1+D3251/30),1)))</f>
        <v/>
      </c>
    </row>
    <row r="3252">
      <c r="A3252">
        <f>'Month 13'!B256</f>
        <v/>
      </c>
      <c r="B3252" t="inlineStr">
        <is>
          <t>Incline Dumbbell Press</t>
        </is>
      </c>
      <c r="C3252">
        <f>IF(AND('Month 13'!L279&lt;&gt;"",N('Month 13'!I279)&gt;0),'Month 13'!I279,"")</f>
        <v/>
      </c>
      <c r="D3252">
        <f>IF(C3252="","",IF(N('Month 13'!J279)&gt;0,'Month 13'!J279,1))</f>
        <v/>
      </c>
      <c r="E3252">
        <f>IF(OR(C3252="",D3252=""),"",IF(D3252=1,C3252,ROUND(C3252*(1+D3252/30),1)))</f>
        <v/>
      </c>
    </row>
    <row r="3253">
      <c r="A3253">
        <f>'Month 13'!B256</f>
        <v/>
      </c>
      <c r="B3253" t="inlineStr">
        <is>
          <t>Incline Dumbbell Press</t>
        </is>
      </c>
      <c r="C3253">
        <f>IF(AND('Month 13'!L280&lt;&gt;"",N('Month 13'!I280)&gt;0),'Month 13'!I280,"")</f>
        <v/>
      </c>
      <c r="D3253">
        <f>IF(C3253="","",IF(N('Month 13'!J280)&gt;0,'Month 13'!J280,1))</f>
        <v/>
      </c>
      <c r="E3253">
        <f>IF(OR(C3253="",D3253=""),"",IF(D3253=1,C3253,ROUND(C3253*(1+D3253/30),1)))</f>
        <v/>
      </c>
    </row>
    <row r="3254">
      <c r="A3254">
        <f>'Month 13'!B256</f>
        <v/>
      </c>
      <c r="B3254" t="inlineStr">
        <is>
          <t>Incline Dumbbell Press</t>
        </is>
      </c>
      <c r="C3254">
        <f>IF(AND('Month 13'!L281&lt;&gt;"",N('Month 13'!I281)&gt;0),'Month 13'!I281,"")</f>
        <v/>
      </c>
      <c r="D3254">
        <f>IF(C3254="","",IF(N('Month 13'!J281)&gt;0,'Month 13'!J281,1))</f>
        <v/>
      </c>
      <c r="E3254">
        <f>IF(OR(C3254="",D3254=""),"",IF(D3254=1,C3254,ROUND(C3254*(1+D3254/30),1)))</f>
        <v/>
      </c>
    </row>
    <row r="3255">
      <c r="A3255">
        <f>'Month 13'!B256</f>
        <v/>
      </c>
      <c r="B3255" t="inlineStr">
        <is>
          <t>Triceps Pushdown</t>
        </is>
      </c>
      <c r="C3255">
        <f>IF(AND('Month 13'!L283&lt;&gt;"",N('Month 13'!I283)&gt;0),'Month 13'!I283,"")</f>
        <v/>
      </c>
      <c r="D3255">
        <f>IF(C3255="","",IF(N('Month 13'!J283)&gt;0,'Month 13'!J283,1))</f>
        <v/>
      </c>
      <c r="E3255">
        <f>IF(OR(C3255="",D3255=""),"",IF(D3255=1,C3255,ROUND(C3255*(1+D3255/30),1)))</f>
        <v/>
      </c>
    </row>
    <row r="3256">
      <c r="A3256">
        <f>'Month 13'!B256</f>
        <v/>
      </c>
      <c r="B3256" t="inlineStr">
        <is>
          <t>Triceps Pushdown</t>
        </is>
      </c>
      <c r="C3256">
        <f>IF(AND('Month 13'!L284&lt;&gt;"",N('Month 13'!I284)&gt;0),'Month 13'!I284,"")</f>
        <v/>
      </c>
      <c r="D3256">
        <f>IF(C3256="","",IF(N('Month 13'!J284)&gt;0,'Month 13'!J284,1))</f>
        <v/>
      </c>
      <c r="E3256">
        <f>IF(OR(C3256="",D3256=""),"",IF(D3256=1,C3256,ROUND(C3256*(1+D3256/30),1)))</f>
        <v/>
      </c>
    </row>
    <row r="3257">
      <c r="A3257">
        <f>'Month 13'!B256</f>
        <v/>
      </c>
      <c r="B3257" t="inlineStr">
        <is>
          <t>Triceps Pushdown</t>
        </is>
      </c>
      <c r="C3257">
        <f>IF(AND('Month 13'!L285&lt;&gt;"",N('Month 13'!I285)&gt;0),'Month 13'!I285,"")</f>
        <v/>
      </c>
      <c r="D3257">
        <f>IF(C3257="","",IF(N('Month 13'!J285)&gt;0,'Month 13'!J285,1))</f>
        <v/>
      </c>
      <c r="E3257">
        <f>IF(OR(C3257="",D3257=""),"",IF(D3257=1,C3257,ROUND(C3257*(1+D3257/30),1)))</f>
        <v/>
      </c>
    </row>
    <row r="3258">
      <c r="A3258">
        <f>'Month 13'!B256</f>
        <v/>
      </c>
      <c r="B3258" t="inlineStr">
        <is>
          <t>Triceps Pushdown</t>
        </is>
      </c>
      <c r="C3258">
        <f>IF(AND('Month 13'!L286&lt;&gt;"",N('Month 13'!I286)&gt;0),'Month 13'!I286,"")</f>
        <v/>
      </c>
      <c r="D3258">
        <f>IF(C3258="","",IF(N('Month 13'!J286)&gt;0,'Month 13'!J286,1))</f>
        <v/>
      </c>
      <c r="E3258">
        <f>IF(OR(C3258="",D3258=""),"",IF(D3258=1,C3258,ROUND(C3258*(1+D3258/30),1)))</f>
        <v/>
      </c>
    </row>
    <row r="3259">
      <c r="A3259">
        <f>'Month 13'!B289</f>
        <v/>
      </c>
      <c r="B3259" t="inlineStr">
        <is>
          <t>Box Jump</t>
        </is>
      </c>
      <c r="C3259">
        <f>IF(AND('Month 13'!L291&lt;&gt;"",N('Month 13'!I291)&gt;0),'Month 13'!I291,"")</f>
        <v/>
      </c>
      <c r="D3259">
        <f>IF(C3259="","",IF(N('Month 13'!J291)&gt;0,'Month 13'!J291,1))</f>
        <v/>
      </c>
      <c r="E3259">
        <f>IF(OR(C3259="",D3259=""),"",IF(D3259=1,C3259,ROUND(C3259*(1+D3259/30),1)))</f>
        <v/>
      </c>
    </row>
    <row r="3260">
      <c r="A3260">
        <f>'Month 13'!B289</f>
        <v/>
      </c>
      <c r="B3260" t="inlineStr">
        <is>
          <t>Box Jump</t>
        </is>
      </c>
      <c r="C3260">
        <f>IF(AND('Month 13'!L292&lt;&gt;"",N('Month 13'!I292)&gt;0),'Month 13'!I292,"")</f>
        <v/>
      </c>
      <c r="D3260">
        <f>IF(C3260="","",IF(N('Month 13'!J292)&gt;0,'Month 13'!J292,1))</f>
        <v/>
      </c>
      <c r="E3260">
        <f>IF(OR(C3260="",D3260=""),"",IF(D3260=1,C3260,ROUND(C3260*(1+D3260/30),1)))</f>
        <v/>
      </c>
    </row>
    <row r="3261">
      <c r="A3261">
        <f>'Month 13'!B289</f>
        <v/>
      </c>
      <c r="B3261" t="inlineStr">
        <is>
          <t>Snatch</t>
        </is>
      </c>
      <c r="C3261">
        <f>IF(AND('Month 13'!L294&lt;&gt;"",N('Month 13'!I294)&gt;0),'Month 13'!I294,"")</f>
        <v/>
      </c>
      <c r="D3261">
        <f>IF(C3261="","",IF(N('Month 13'!J294)&gt;0,'Month 13'!J294,1))</f>
        <v/>
      </c>
      <c r="E3261">
        <f>IF(OR(C3261="",D3261=""),"",IF(D3261=1,C3261,ROUND(C3261*(1+D3261/30),1)))</f>
        <v/>
      </c>
    </row>
    <row r="3262">
      <c r="A3262">
        <f>'Month 13'!B289</f>
        <v/>
      </c>
      <c r="B3262" t="inlineStr">
        <is>
          <t>Snatch</t>
        </is>
      </c>
      <c r="C3262">
        <f>IF(AND('Month 13'!L295&lt;&gt;"",N('Month 13'!I295)&gt;0),'Month 13'!I295,"")</f>
        <v/>
      </c>
      <c r="D3262">
        <f>IF(C3262="","",IF(N('Month 13'!J295)&gt;0,'Month 13'!J295,1))</f>
        <v/>
      </c>
      <c r="E3262">
        <f>IF(OR(C3262="",D3262=""),"",IF(D3262=1,C3262,ROUND(C3262*(1+D3262/30),1)))</f>
        <v/>
      </c>
    </row>
    <row r="3263">
      <c r="A3263">
        <f>'Month 13'!B289</f>
        <v/>
      </c>
      <c r="B3263" t="inlineStr">
        <is>
          <t>Squat</t>
        </is>
      </c>
      <c r="C3263">
        <f>IF(AND('Month 13'!L297&lt;&gt;"",N('Month 13'!I297)&gt;0),'Month 13'!I297,"")</f>
        <v/>
      </c>
      <c r="D3263">
        <f>IF(C3263="","",IF(N('Month 13'!J297)&gt;0,'Month 13'!J297,1))</f>
        <v/>
      </c>
      <c r="E3263">
        <f>IF(OR(C3263="",D3263=""),"",IF(D3263=1,C3263,ROUND(C3263*(1+D3263/30),1)))</f>
        <v/>
      </c>
    </row>
    <row r="3264">
      <c r="A3264">
        <f>'Month 13'!B289</f>
        <v/>
      </c>
      <c r="B3264" t="inlineStr">
        <is>
          <t>Squat</t>
        </is>
      </c>
      <c r="C3264">
        <f>IF(AND('Month 13'!L298&lt;&gt;"",N('Month 13'!I298)&gt;0),'Month 13'!I298,"")</f>
        <v/>
      </c>
      <c r="D3264">
        <f>IF(C3264="","",IF(N('Month 13'!J298)&gt;0,'Month 13'!J298,1))</f>
        <v/>
      </c>
      <c r="E3264">
        <f>IF(OR(C3264="",D3264=""),"",IF(D3264=1,C3264,ROUND(C3264*(1+D3264/30),1)))</f>
        <v/>
      </c>
    </row>
    <row r="3265">
      <c r="A3265">
        <f>'Month 13'!B289</f>
        <v/>
      </c>
      <c r="B3265" t="inlineStr">
        <is>
          <t>Bench Press</t>
        </is>
      </c>
      <c r="C3265">
        <f>IF(AND('Month 13'!L300&lt;&gt;"",N('Month 13'!I300)&gt;0),'Month 13'!I300,"")</f>
        <v/>
      </c>
      <c r="D3265">
        <f>IF(C3265="","",IF(N('Month 13'!J300)&gt;0,'Month 13'!J300,1))</f>
        <v/>
      </c>
      <c r="E3265">
        <f>IF(OR(C3265="",D3265=""),"",IF(D3265=1,C3265,ROUND(C3265*(1+D3265/30),1)))</f>
        <v/>
      </c>
    </row>
    <row r="3266">
      <c r="A3266">
        <f>'Month 13'!B289</f>
        <v/>
      </c>
      <c r="B3266" t="inlineStr">
        <is>
          <t>Bench Press</t>
        </is>
      </c>
      <c r="C3266">
        <f>IF(AND('Month 13'!L301&lt;&gt;"",N('Month 13'!I301)&gt;0),'Month 13'!I301,"")</f>
        <v/>
      </c>
      <c r="D3266">
        <f>IF(C3266="","",IF(N('Month 13'!J301)&gt;0,'Month 13'!J301,1))</f>
        <v/>
      </c>
      <c r="E3266">
        <f>IF(OR(C3266="",D3266=""),"",IF(D3266=1,C3266,ROUND(C3266*(1+D3266/30),1)))</f>
        <v/>
      </c>
    </row>
    <row r="3267">
      <c r="A3267">
        <f>'Month 13'!B289</f>
        <v/>
      </c>
      <c r="B3267" t="inlineStr">
        <is>
          <t>Barbell Row</t>
        </is>
      </c>
      <c r="C3267">
        <f>IF(AND('Month 13'!L303&lt;&gt;"",N('Month 13'!I303)&gt;0),'Month 13'!I303,"")</f>
        <v/>
      </c>
      <c r="D3267">
        <f>IF(C3267="","",IF(N('Month 13'!J303)&gt;0,'Month 13'!J303,1))</f>
        <v/>
      </c>
      <c r="E3267">
        <f>IF(OR(C3267="",D3267=""),"",IF(D3267=1,C3267,ROUND(C3267*(1+D3267/30),1)))</f>
        <v/>
      </c>
    </row>
    <row r="3268">
      <c r="A3268">
        <f>'Month 13'!B289</f>
        <v/>
      </c>
      <c r="B3268" t="inlineStr">
        <is>
          <t>Barbell Row</t>
        </is>
      </c>
      <c r="C3268">
        <f>IF(AND('Month 13'!L304&lt;&gt;"",N('Month 13'!I304)&gt;0),'Month 13'!I304,"")</f>
        <v/>
      </c>
      <c r="D3268">
        <f>IF(C3268="","",IF(N('Month 13'!J304)&gt;0,'Month 13'!J304,1))</f>
        <v/>
      </c>
      <c r="E3268">
        <f>IF(OR(C3268="",D3268=""),"",IF(D3268=1,C3268,ROUND(C3268*(1+D3268/30),1)))</f>
        <v/>
      </c>
    </row>
    <row r="3269">
      <c r="A3269">
        <f>'Month 13'!B289</f>
        <v/>
      </c>
      <c r="B3269" t="inlineStr">
        <is>
          <t>Face Pull</t>
        </is>
      </c>
      <c r="C3269">
        <f>IF(AND('Month 13'!L306&lt;&gt;"",N('Month 13'!I306)&gt;0),'Month 13'!I306,"")</f>
        <v/>
      </c>
      <c r="D3269">
        <f>IF(C3269="","",IF(N('Month 13'!J306)&gt;0,'Month 13'!J306,1))</f>
        <v/>
      </c>
      <c r="E3269">
        <f>IF(OR(C3269="",D3269=""),"",IF(D3269=1,C3269,ROUND(C3269*(1+D3269/30),1)))</f>
        <v/>
      </c>
    </row>
    <row r="3270">
      <c r="A3270">
        <f>'Month 13'!B289</f>
        <v/>
      </c>
      <c r="B3270" t="inlineStr">
        <is>
          <t>Face Pull</t>
        </is>
      </c>
      <c r="C3270">
        <f>IF(AND('Month 13'!L307&lt;&gt;"",N('Month 13'!I307)&gt;0),'Month 13'!I307,"")</f>
        <v/>
      </c>
      <c r="D3270">
        <f>IF(C3270="","",IF(N('Month 13'!J307)&gt;0,'Month 13'!J307,1))</f>
        <v/>
      </c>
      <c r="E3270">
        <f>IF(OR(C3270="",D3270=""),"",IF(D3270=1,C3270,ROUND(C3270*(1+D3270/30),1)))</f>
        <v/>
      </c>
    </row>
    <row r="3271">
      <c r="A3271">
        <f>'Month 13'!B308</f>
        <v/>
      </c>
      <c r="B3271" t="inlineStr">
        <is>
          <t>Broad Jump</t>
        </is>
      </c>
      <c r="C3271">
        <f>IF(AND('Month 13'!L310&lt;&gt;"",N('Month 13'!I310)&gt;0),'Month 13'!I310,"")</f>
        <v/>
      </c>
      <c r="D3271">
        <f>IF(C3271="","",IF(N('Month 13'!J310)&gt;0,'Month 13'!J310,1))</f>
        <v/>
      </c>
      <c r="E3271">
        <f>IF(OR(C3271="",D3271=""),"",IF(D3271=1,C3271,ROUND(C3271*(1+D3271/30),1)))</f>
        <v/>
      </c>
    </row>
    <row r="3272">
      <c r="A3272">
        <f>'Month 13'!B308</f>
        <v/>
      </c>
      <c r="B3272" t="inlineStr">
        <is>
          <t>Broad Jump</t>
        </is>
      </c>
      <c r="C3272">
        <f>IF(AND('Month 13'!L311&lt;&gt;"",N('Month 13'!I311)&gt;0),'Month 13'!I311,"")</f>
        <v/>
      </c>
      <c r="D3272">
        <f>IF(C3272="","",IF(N('Month 13'!J311)&gt;0,'Month 13'!J311,1))</f>
        <v/>
      </c>
      <c r="E3272">
        <f>IF(OR(C3272="",D3272=""),"",IF(D3272=1,C3272,ROUND(C3272*(1+D3272/30),1)))</f>
        <v/>
      </c>
    </row>
    <row r="3273">
      <c r="A3273">
        <f>'Month 13'!B308</f>
        <v/>
      </c>
      <c r="B3273" t="inlineStr">
        <is>
          <t>Med Ball Chest Pass</t>
        </is>
      </c>
      <c r="C3273">
        <f>IF(AND('Month 13'!L313&lt;&gt;"",N('Month 13'!I313)&gt;0),'Month 13'!I313,"")</f>
        <v/>
      </c>
      <c r="D3273">
        <f>IF(C3273="","",IF(N('Month 13'!J313)&gt;0,'Month 13'!J313,1))</f>
        <v/>
      </c>
      <c r="E3273">
        <f>IF(OR(C3273="",D3273=""),"",IF(D3273=1,C3273,ROUND(C3273*(1+D3273/30),1)))</f>
        <v/>
      </c>
    </row>
    <row r="3274">
      <c r="A3274">
        <f>'Month 13'!B308</f>
        <v/>
      </c>
      <c r="B3274" t="inlineStr">
        <is>
          <t>Med Ball Chest Pass</t>
        </is>
      </c>
      <c r="C3274">
        <f>IF(AND('Month 13'!L314&lt;&gt;"",N('Month 13'!I314)&gt;0),'Month 13'!I314,"")</f>
        <v/>
      </c>
      <c r="D3274">
        <f>IF(C3274="","",IF(N('Month 13'!J314)&gt;0,'Month 13'!J314,1))</f>
        <v/>
      </c>
      <c r="E3274">
        <f>IF(OR(C3274="",D3274=""),"",IF(D3274=1,C3274,ROUND(C3274*(1+D3274/30),1)))</f>
        <v/>
      </c>
    </row>
    <row r="3275">
      <c r="A3275">
        <f>'Month 13'!B308</f>
        <v/>
      </c>
      <c r="B3275" t="inlineStr">
        <is>
          <t>Clean &amp; Jerk</t>
        </is>
      </c>
      <c r="C3275">
        <f>IF(AND('Month 13'!L316&lt;&gt;"",N('Month 13'!I316)&gt;0),'Month 13'!I316,"")</f>
        <v/>
      </c>
      <c r="D3275">
        <f>IF(C3275="","",IF(N('Month 13'!J316)&gt;0,'Month 13'!J316,1))</f>
        <v/>
      </c>
      <c r="E3275">
        <f>IF(OR(C3275="",D3275=""),"",IF(D3275=1,C3275,ROUND(C3275*(1+D3275/30),1)))</f>
        <v/>
      </c>
    </row>
    <row r="3276">
      <c r="A3276">
        <f>'Month 13'!B308</f>
        <v/>
      </c>
      <c r="B3276" t="inlineStr">
        <is>
          <t>Clean &amp; Jerk</t>
        </is>
      </c>
      <c r="C3276">
        <f>IF(AND('Month 13'!L317&lt;&gt;"",N('Month 13'!I317)&gt;0),'Month 13'!I317,"")</f>
        <v/>
      </c>
      <c r="D3276">
        <f>IF(C3276="","",IF(N('Month 13'!J317)&gt;0,'Month 13'!J317,1))</f>
        <v/>
      </c>
      <c r="E3276">
        <f>IF(OR(C3276="",D3276=""),"",IF(D3276=1,C3276,ROUND(C3276*(1+D3276/30),1)))</f>
        <v/>
      </c>
    </row>
    <row r="3277">
      <c r="A3277">
        <f>'Month 13'!B308</f>
        <v/>
      </c>
      <c r="B3277" t="inlineStr">
        <is>
          <t>Squat</t>
        </is>
      </c>
      <c r="C3277">
        <f>IF(AND('Month 13'!L319&lt;&gt;"",N('Month 13'!I319)&gt;0),'Month 13'!I319,"")</f>
        <v/>
      </c>
      <c r="D3277">
        <f>IF(C3277="","",IF(N('Month 13'!J319)&gt;0,'Month 13'!J319,1))</f>
        <v/>
      </c>
      <c r="E3277">
        <f>IF(OR(C3277="",D3277=""),"",IF(D3277=1,C3277,ROUND(C3277*(1+D3277/30),1)))</f>
        <v/>
      </c>
    </row>
    <row r="3278">
      <c r="A3278">
        <f>'Month 13'!B308</f>
        <v/>
      </c>
      <c r="B3278" t="inlineStr">
        <is>
          <t>Squat</t>
        </is>
      </c>
      <c r="C3278">
        <f>IF(AND('Month 13'!L320&lt;&gt;"",N('Month 13'!I320)&gt;0),'Month 13'!I320,"")</f>
        <v/>
      </c>
      <c r="D3278">
        <f>IF(C3278="","",IF(N('Month 13'!J320)&gt;0,'Month 13'!J320,1))</f>
        <v/>
      </c>
      <c r="E3278">
        <f>IF(OR(C3278="",D3278=""),"",IF(D3278=1,C3278,ROUND(C3278*(1+D3278/30),1)))</f>
        <v/>
      </c>
    </row>
    <row r="3279">
      <c r="A3279">
        <f>'Month 13'!B308</f>
        <v/>
      </c>
      <c r="B3279" t="inlineStr">
        <is>
          <t>Overhead Press</t>
        </is>
      </c>
      <c r="C3279">
        <f>IF(AND('Month 13'!L322&lt;&gt;"",N('Month 13'!I322)&gt;0),'Month 13'!I322,"")</f>
        <v/>
      </c>
      <c r="D3279">
        <f>IF(C3279="","",IF(N('Month 13'!J322)&gt;0,'Month 13'!J322,1))</f>
        <v/>
      </c>
      <c r="E3279">
        <f>IF(OR(C3279="",D3279=""),"",IF(D3279=1,C3279,ROUND(C3279*(1+D3279/30),1)))</f>
        <v/>
      </c>
    </row>
    <row r="3280">
      <c r="A3280">
        <f>'Month 13'!B308</f>
        <v/>
      </c>
      <c r="B3280" t="inlineStr">
        <is>
          <t>Overhead Press</t>
        </is>
      </c>
      <c r="C3280">
        <f>IF(AND('Month 13'!L323&lt;&gt;"",N('Month 13'!I323)&gt;0),'Month 13'!I323,"")</f>
        <v/>
      </c>
      <c r="D3280">
        <f>IF(C3280="","",IF(N('Month 13'!J323)&gt;0,'Month 13'!J323,1))</f>
        <v/>
      </c>
      <c r="E3280">
        <f>IF(OR(C3280="",D3280=""),"",IF(D3280=1,C3280,ROUND(C3280*(1+D3280/30),1)))</f>
        <v/>
      </c>
    </row>
    <row r="3281">
      <c r="A3281">
        <f>'Month 13'!B308</f>
        <v/>
      </c>
      <c r="B3281" t="inlineStr">
        <is>
          <t>Deadlift</t>
        </is>
      </c>
      <c r="C3281">
        <f>IF(AND('Month 13'!L325&lt;&gt;"",N('Month 13'!I325)&gt;0),'Month 13'!I325,"")</f>
        <v/>
      </c>
      <c r="D3281">
        <f>IF(C3281="","",IF(N('Month 13'!J325)&gt;0,'Month 13'!J325,1))</f>
        <v/>
      </c>
      <c r="E3281">
        <f>IF(OR(C3281="",D3281=""),"",IF(D3281=1,C3281,ROUND(C3281*(1+D3281/30),1)))</f>
        <v/>
      </c>
    </row>
    <row r="3282">
      <c r="A3282">
        <f>'Month 13'!B308</f>
        <v/>
      </c>
      <c r="B3282" t="inlineStr">
        <is>
          <t>Deadlift</t>
        </is>
      </c>
      <c r="C3282">
        <f>IF(AND('Month 13'!L326&lt;&gt;"",N('Month 13'!I326)&gt;0),'Month 13'!I326,"")</f>
        <v/>
      </c>
      <c r="D3282">
        <f>IF(C3282="","",IF(N('Month 13'!J326)&gt;0,'Month 13'!J326,1))</f>
        <v/>
      </c>
      <c r="E3282">
        <f>IF(OR(C3282="",D3282=""),"",IF(D3282=1,C3282,ROUND(C3282*(1+D3282/30),1)))</f>
        <v/>
      </c>
    </row>
    <row r="3283">
      <c r="A3283">
        <f>'Month 13'!B308</f>
        <v/>
      </c>
      <c r="B3283" t="inlineStr">
        <is>
          <t>Chin-up</t>
        </is>
      </c>
      <c r="C3283">
        <f>IF(AND('Month 13'!L328&lt;&gt;"",N('Month 13'!I328)&gt;0),'Month 13'!I328,"")</f>
        <v/>
      </c>
      <c r="D3283">
        <f>IF(C3283="","",IF(N('Month 13'!J328)&gt;0,'Month 13'!J328,1))</f>
        <v/>
      </c>
      <c r="E3283">
        <f>IF(OR(C3283="",D3283=""),"",IF(D3283=1,C3283,ROUND(C3283*(1+D3283/30),1)))</f>
        <v/>
      </c>
    </row>
    <row r="3284">
      <c r="A3284">
        <f>'Month 13'!B308</f>
        <v/>
      </c>
      <c r="B3284" t="inlineStr">
        <is>
          <t>Chin-up</t>
        </is>
      </c>
      <c r="C3284">
        <f>IF(AND('Month 13'!L329&lt;&gt;"",N('Month 13'!I329)&gt;0),'Month 13'!I329,"")</f>
        <v/>
      </c>
      <c r="D3284">
        <f>IF(C3284="","",IF(N('Month 13'!J329)&gt;0,'Month 13'!J329,1))</f>
        <v/>
      </c>
      <c r="E3284">
        <f>IF(OR(C3284="",D3284=""),"",IF(D3284=1,C3284,ROUND(C3284*(1+D3284/30),1)))</f>
        <v/>
      </c>
    </row>
    <row r="3285">
      <c r="A3285">
        <f>'Month 13'!B308</f>
        <v/>
      </c>
      <c r="B3285" t="inlineStr">
        <is>
          <t>Plank</t>
        </is>
      </c>
      <c r="C3285">
        <f>IF(AND('Month 13'!L331&lt;&gt;"",N('Month 13'!I331)&gt;0),'Month 13'!I331,"")</f>
        <v/>
      </c>
      <c r="D3285">
        <f>IF(C3285="","",IF(N('Month 13'!J331)&gt;0,'Month 13'!J331,1))</f>
        <v/>
      </c>
      <c r="E3285">
        <f>IF(OR(C3285="",D3285=""),"",IF(D3285=1,C3285,ROUND(C3285*(1+D3285/30),1)))</f>
        <v/>
      </c>
    </row>
    <row r="3286">
      <c r="A3286">
        <f>'Month 13'!B308</f>
        <v/>
      </c>
      <c r="B3286" t="inlineStr">
        <is>
          <t>Plank</t>
        </is>
      </c>
      <c r="C3286">
        <f>IF(AND('Month 13'!L332&lt;&gt;"",N('Month 13'!I332)&gt;0),'Month 13'!I332,"")</f>
        <v/>
      </c>
      <c r="D3286">
        <f>IF(C3286="","",IF(N('Month 13'!J332)&gt;0,'Month 13'!J332,1))</f>
        <v/>
      </c>
      <c r="E3286">
        <f>IF(OR(C3286="",D3286=""),"",IF(D3286=1,C3286,ROUND(C3286*(1+D3286/30),1)))</f>
        <v/>
      </c>
    </row>
    <row r="3287">
      <c r="A3287">
        <f>'Month 13'!B333</f>
        <v/>
      </c>
      <c r="B3287" t="inlineStr">
        <is>
          <t>Depth Jump</t>
        </is>
      </c>
      <c r="C3287">
        <f>IF(AND('Month 13'!L335&lt;&gt;"",N('Month 13'!I335)&gt;0),'Month 13'!I335,"")</f>
        <v/>
      </c>
      <c r="D3287">
        <f>IF(C3287="","",IF(N('Month 13'!J335)&gt;0,'Month 13'!J335,1))</f>
        <v/>
      </c>
      <c r="E3287">
        <f>IF(OR(C3287="",D3287=""),"",IF(D3287=1,C3287,ROUND(C3287*(1+D3287/30),1)))</f>
        <v/>
      </c>
    </row>
    <row r="3288">
      <c r="A3288">
        <f>'Month 13'!B333</f>
        <v/>
      </c>
      <c r="B3288" t="inlineStr">
        <is>
          <t>Depth Jump</t>
        </is>
      </c>
      <c r="C3288">
        <f>IF(AND('Month 13'!L336&lt;&gt;"",N('Month 13'!I336)&gt;0),'Month 13'!I336,"")</f>
        <v/>
      </c>
      <c r="D3288">
        <f>IF(C3288="","",IF(N('Month 13'!J336)&gt;0,'Month 13'!J336,1))</f>
        <v/>
      </c>
      <c r="E3288">
        <f>IF(OR(C3288="",D3288=""),"",IF(D3288=1,C3288,ROUND(C3288*(1+D3288/30),1)))</f>
        <v/>
      </c>
    </row>
    <row r="3289">
      <c r="A3289">
        <f>'Month 13'!B333</f>
        <v/>
      </c>
      <c r="B3289" t="inlineStr">
        <is>
          <t>Snatch Balance</t>
        </is>
      </c>
      <c r="C3289">
        <f>IF(AND('Month 13'!L338&lt;&gt;"",N('Month 13'!I338)&gt;0),'Month 13'!I338,"")</f>
        <v/>
      </c>
      <c r="D3289">
        <f>IF(C3289="","",IF(N('Month 13'!J338)&gt;0,'Month 13'!J338,1))</f>
        <v/>
      </c>
      <c r="E3289">
        <f>IF(OR(C3289="",D3289=""),"",IF(D3289=1,C3289,ROUND(C3289*(1+D3289/30),1)))</f>
        <v/>
      </c>
    </row>
    <row r="3290">
      <c r="A3290">
        <f>'Month 13'!B333</f>
        <v/>
      </c>
      <c r="B3290" t="inlineStr">
        <is>
          <t>Snatch Balance</t>
        </is>
      </c>
      <c r="C3290">
        <f>IF(AND('Month 13'!L339&lt;&gt;"",N('Month 13'!I339)&gt;0),'Month 13'!I339,"")</f>
        <v/>
      </c>
      <c r="D3290">
        <f>IF(C3290="","",IF(N('Month 13'!J339)&gt;0,'Month 13'!J339,1))</f>
        <v/>
      </c>
      <c r="E3290">
        <f>IF(OR(C3290="",D3290=""),"",IF(D3290=1,C3290,ROUND(C3290*(1+D3290/30),1)))</f>
        <v/>
      </c>
    </row>
    <row r="3291">
      <c r="A3291">
        <f>'Month 13'!B333</f>
        <v/>
      </c>
      <c r="B3291" t="inlineStr">
        <is>
          <t>Front Squat</t>
        </is>
      </c>
      <c r="C3291">
        <f>IF(AND('Month 13'!L341&lt;&gt;"",N('Month 13'!I341)&gt;0),'Month 13'!I341,"")</f>
        <v/>
      </c>
      <c r="D3291">
        <f>IF(C3291="","",IF(N('Month 13'!J341)&gt;0,'Month 13'!J341,1))</f>
        <v/>
      </c>
      <c r="E3291">
        <f>IF(OR(C3291="",D3291=""),"",IF(D3291=1,C3291,ROUND(C3291*(1+D3291/30),1)))</f>
        <v/>
      </c>
    </row>
    <row r="3292">
      <c r="A3292">
        <f>'Month 13'!B333</f>
        <v/>
      </c>
      <c r="B3292" t="inlineStr">
        <is>
          <t>Front Squat</t>
        </is>
      </c>
      <c r="C3292">
        <f>IF(AND('Month 13'!L342&lt;&gt;"",N('Month 13'!I342)&gt;0),'Month 13'!I342,"")</f>
        <v/>
      </c>
      <c r="D3292">
        <f>IF(C3292="","",IF(N('Month 13'!J342)&gt;0,'Month 13'!J342,1))</f>
        <v/>
      </c>
      <c r="E3292">
        <f>IF(OR(C3292="",D3292=""),"",IF(D3292=1,C3292,ROUND(C3292*(1+D3292/30),1)))</f>
        <v/>
      </c>
    </row>
    <row r="3293">
      <c r="A3293">
        <f>'Month 13'!B333</f>
        <v/>
      </c>
      <c r="B3293" t="inlineStr">
        <is>
          <t>3-Board Press</t>
        </is>
      </c>
      <c r="C3293">
        <f>IF(AND('Month 13'!L344&lt;&gt;"",N('Month 13'!I344)&gt;0),'Month 13'!I344,"")</f>
        <v/>
      </c>
      <c r="D3293">
        <f>IF(C3293="","",IF(N('Month 13'!J344)&gt;0,'Month 13'!J344,1))</f>
        <v/>
      </c>
      <c r="E3293">
        <f>IF(OR(C3293="",D3293=""),"",IF(D3293=1,C3293,ROUND(C3293*(1+D3293/30),1)))</f>
        <v/>
      </c>
    </row>
    <row r="3294">
      <c r="A3294">
        <f>'Month 13'!B333</f>
        <v/>
      </c>
      <c r="B3294" t="inlineStr">
        <is>
          <t>3-Board Press</t>
        </is>
      </c>
      <c r="C3294">
        <f>IF(AND('Month 13'!L345&lt;&gt;"",N('Month 13'!I345)&gt;0),'Month 13'!I345,"")</f>
        <v/>
      </c>
      <c r="D3294">
        <f>IF(C3294="","",IF(N('Month 13'!J345)&gt;0,'Month 13'!J345,1))</f>
        <v/>
      </c>
      <c r="E3294">
        <f>IF(OR(C3294="",D3294=""),"",IF(D3294=1,C3294,ROUND(C3294*(1+D3294/30),1)))</f>
        <v/>
      </c>
    </row>
    <row r="3295">
      <c r="A3295">
        <f>'Month 13'!B333</f>
        <v/>
      </c>
      <c r="B3295" t="inlineStr">
        <is>
          <t>Romanian Deadlift</t>
        </is>
      </c>
      <c r="C3295">
        <f>IF(AND('Month 13'!L347&lt;&gt;"",N('Month 13'!I347)&gt;0),'Month 13'!I347,"")</f>
        <v/>
      </c>
      <c r="D3295">
        <f>IF(C3295="","",IF(N('Month 13'!J347)&gt;0,'Month 13'!J347,1))</f>
        <v/>
      </c>
      <c r="E3295">
        <f>IF(OR(C3295="",D3295=""),"",IF(D3295=1,C3295,ROUND(C3295*(1+D3295/30),1)))</f>
        <v/>
      </c>
    </row>
    <row r="3296">
      <c r="A3296">
        <f>'Month 13'!B333</f>
        <v/>
      </c>
      <c r="B3296" t="inlineStr">
        <is>
          <t>Romanian Deadlift</t>
        </is>
      </c>
      <c r="C3296">
        <f>IF(AND('Month 13'!L348&lt;&gt;"",N('Month 13'!I348)&gt;0),'Month 13'!I348,"")</f>
        <v/>
      </c>
      <c r="D3296">
        <f>IF(C3296="","",IF(N('Month 13'!J348)&gt;0,'Month 13'!J348,1))</f>
        <v/>
      </c>
      <c r="E3296">
        <f>IF(OR(C3296="",D3296=""),"",IF(D3296=1,C3296,ROUND(C3296*(1+D3296/30),1)))</f>
        <v/>
      </c>
    </row>
    <row r="3297">
      <c r="A3297">
        <f>'Month 13'!B333</f>
        <v/>
      </c>
      <c r="B3297" t="inlineStr">
        <is>
          <t>Incline Dumbbell Press</t>
        </is>
      </c>
      <c r="C3297">
        <f>IF(AND('Month 13'!L350&lt;&gt;"",N('Month 13'!I350)&gt;0),'Month 13'!I350,"")</f>
        <v/>
      </c>
      <c r="D3297">
        <f>IF(C3297="","",IF(N('Month 13'!J350)&gt;0,'Month 13'!J350,1))</f>
        <v/>
      </c>
      <c r="E3297">
        <f>IF(OR(C3297="",D3297=""),"",IF(D3297=1,C3297,ROUND(C3297*(1+D3297/30),1)))</f>
        <v/>
      </c>
    </row>
    <row r="3298">
      <c r="A3298">
        <f>'Month 13'!B333</f>
        <v/>
      </c>
      <c r="B3298" t="inlineStr">
        <is>
          <t>Incline Dumbbell Press</t>
        </is>
      </c>
      <c r="C3298">
        <f>IF(AND('Month 13'!L351&lt;&gt;"",N('Month 13'!I351)&gt;0),'Month 13'!I351,"")</f>
        <v/>
      </c>
      <c r="D3298">
        <f>IF(C3298="","",IF(N('Month 13'!J351)&gt;0,'Month 13'!J351,1))</f>
        <v/>
      </c>
      <c r="E3298">
        <f>IF(OR(C3298="",D3298=""),"",IF(D3298=1,C3298,ROUND(C3298*(1+D3298/30),1)))</f>
        <v/>
      </c>
    </row>
    <row r="3299">
      <c r="A3299">
        <f>'Month 13'!B333</f>
        <v/>
      </c>
      <c r="B3299" t="inlineStr">
        <is>
          <t>Triceps Pushdown</t>
        </is>
      </c>
      <c r="C3299">
        <f>IF(AND('Month 13'!L353&lt;&gt;"",N('Month 13'!I353)&gt;0),'Month 13'!I353,"")</f>
        <v/>
      </c>
      <c r="D3299">
        <f>IF(C3299="","",IF(N('Month 13'!J353)&gt;0,'Month 13'!J353,1))</f>
        <v/>
      </c>
      <c r="E3299">
        <f>IF(OR(C3299="",D3299=""),"",IF(D3299=1,C3299,ROUND(C3299*(1+D3299/30),1)))</f>
        <v/>
      </c>
    </row>
    <row r="3300">
      <c r="A3300">
        <f>'Month 13'!B333</f>
        <v/>
      </c>
      <c r="B3300" t="inlineStr">
        <is>
          <t>Triceps Pushdown</t>
        </is>
      </c>
      <c r="C3300">
        <f>IF(AND('Month 13'!L354&lt;&gt;"",N('Month 13'!I354)&gt;0),'Month 13'!I354,"")</f>
        <v/>
      </c>
      <c r="D3300">
        <f>IF(C3300="","",IF(N('Month 13'!J354)&gt;0,'Month 13'!J354,1))</f>
        <v/>
      </c>
      <c r="E3300">
        <f>IF(OR(C3300="",D3300=""),"",IF(D3300=1,C3300,ROUND(C3300*(1+D3300/30),1)))</f>
        <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76"/>
  <sheetViews>
    <sheetView workbookViewId="0">
      <selection activeCell="A1" sqref="A1"/>
    </sheetView>
  </sheetViews>
  <sheetFormatPr baseColWidth="8" defaultRowHeight="15"/>
  <sheetData>
    <row r="1">
      <c r="A1" t="inlineStr">
        <is>
          <t>Squat</t>
        </is>
      </c>
      <c r="B1" t="inlineStr">
        <is>
          <t>Bod Pod</t>
        </is>
      </c>
    </row>
    <row r="2">
      <c r="A2" t="inlineStr">
        <is>
          <t>Bench Press</t>
        </is>
      </c>
      <c r="B2" t="inlineStr">
        <is>
          <t>InBody</t>
        </is>
      </c>
    </row>
    <row r="3">
      <c r="A3" t="inlineStr">
        <is>
          <t>Deadlift</t>
        </is>
      </c>
      <c r="B3" t="inlineStr">
        <is>
          <t>Hydrostatic (dunk tank)</t>
        </is>
      </c>
    </row>
    <row r="4">
      <c r="A4" t="inlineStr">
        <is>
          <t>Overhead Press</t>
        </is>
      </c>
      <c r="B4" t="inlineStr">
        <is>
          <t>DEXA</t>
        </is>
      </c>
    </row>
    <row r="5">
      <c r="A5" t="inlineStr">
        <is>
          <t>Snatch</t>
        </is>
      </c>
      <c r="B5" t="inlineStr">
        <is>
          <t>Calipers</t>
        </is>
      </c>
    </row>
    <row r="6">
      <c r="A6" t="inlineStr">
        <is>
          <t>Clean &amp; Jerk</t>
        </is>
      </c>
      <c r="B6" t="inlineStr">
        <is>
          <t>Other</t>
        </is>
      </c>
    </row>
    <row r="7">
      <c r="A7" t="inlineStr">
        <is>
          <t>Box Squat</t>
        </is>
      </c>
    </row>
    <row r="8">
      <c r="A8" t="inlineStr">
        <is>
          <t>Pause Squat</t>
        </is>
      </c>
    </row>
    <row r="9">
      <c r="A9" t="inlineStr">
        <is>
          <t>Front Squat</t>
        </is>
      </c>
    </row>
    <row r="10">
      <c r="A10" t="inlineStr">
        <is>
          <t>Safety Bar Squat</t>
        </is>
      </c>
    </row>
    <row r="11">
      <c r="A11" t="inlineStr">
        <is>
          <t>Pin Squat</t>
        </is>
      </c>
    </row>
    <row r="12">
      <c r="A12" t="inlineStr">
        <is>
          <t>Tempo Squat</t>
        </is>
      </c>
    </row>
    <row r="13">
      <c r="A13" t="inlineStr">
        <is>
          <t>Close-Grip Bench Press</t>
        </is>
      </c>
    </row>
    <row r="14">
      <c r="A14" t="inlineStr">
        <is>
          <t>1-Board Press</t>
        </is>
      </c>
    </row>
    <row r="15">
      <c r="A15" t="inlineStr">
        <is>
          <t>2-Board Press</t>
        </is>
      </c>
    </row>
    <row r="16">
      <c r="A16" t="inlineStr">
        <is>
          <t>3-Board Press</t>
        </is>
      </c>
    </row>
    <row r="17">
      <c r="A17" t="inlineStr">
        <is>
          <t>Pause Bench Press</t>
        </is>
      </c>
    </row>
    <row r="18">
      <c r="A18" t="inlineStr">
        <is>
          <t>Floor Press</t>
        </is>
      </c>
    </row>
    <row r="19">
      <c r="A19" t="inlineStr">
        <is>
          <t>Pin Press</t>
        </is>
      </c>
    </row>
    <row r="20">
      <c r="A20" t="inlineStr">
        <is>
          <t>Spoto Press</t>
        </is>
      </c>
    </row>
    <row r="21">
      <c r="A21" t="inlineStr">
        <is>
          <t>Incline Bench Press</t>
        </is>
      </c>
    </row>
    <row r="22">
      <c r="A22" t="inlineStr">
        <is>
          <t>Romanian Deadlift</t>
        </is>
      </c>
    </row>
    <row r="23">
      <c r="A23" t="inlineStr">
        <is>
          <t>Deficit Deadlift</t>
        </is>
      </c>
    </row>
    <row r="24">
      <c r="A24" t="inlineStr">
        <is>
          <t>Paused Deadlift</t>
        </is>
      </c>
    </row>
    <row r="25">
      <c r="A25" t="inlineStr">
        <is>
          <t>Block Pull</t>
        </is>
      </c>
    </row>
    <row r="26">
      <c r="A26" t="inlineStr">
        <is>
          <t>Rack Pull</t>
        </is>
      </c>
    </row>
    <row r="27">
      <c r="A27" t="inlineStr">
        <is>
          <t>Sumo Deadlift</t>
        </is>
      </c>
    </row>
    <row r="28">
      <c r="A28" t="inlineStr">
        <is>
          <t>Snatch-Grip Deadlift</t>
        </is>
      </c>
    </row>
    <row r="29">
      <c r="A29" t="inlineStr">
        <is>
          <t>Push Press</t>
        </is>
      </c>
    </row>
    <row r="30">
      <c r="A30" t="inlineStr">
        <is>
          <t>Seated Overhead Press</t>
        </is>
      </c>
    </row>
    <row r="31">
      <c r="A31" t="inlineStr">
        <is>
          <t>Z Press</t>
        </is>
      </c>
    </row>
    <row r="32">
      <c r="A32" t="inlineStr">
        <is>
          <t>Behind-the-Neck Press</t>
        </is>
      </c>
    </row>
    <row r="33">
      <c r="A33" t="inlineStr">
        <is>
          <t>Power Snatch</t>
        </is>
      </c>
    </row>
    <row r="34">
      <c r="A34" t="inlineStr">
        <is>
          <t>Hang Snatch</t>
        </is>
      </c>
    </row>
    <row r="35">
      <c r="A35" t="inlineStr">
        <is>
          <t>Hang Power Snatch</t>
        </is>
      </c>
    </row>
    <row r="36">
      <c r="A36" t="inlineStr">
        <is>
          <t>Muscle Snatch</t>
        </is>
      </c>
    </row>
    <row r="37">
      <c r="A37" t="inlineStr">
        <is>
          <t>Snatch Balance</t>
        </is>
      </c>
    </row>
    <row r="38">
      <c r="A38" t="inlineStr">
        <is>
          <t>Snatch Pull</t>
        </is>
      </c>
    </row>
    <row r="39">
      <c r="A39" t="inlineStr">
        <is>
          <t>Block Snatch</t>
        </is>
      </c>
    </row>
    <row r="40">
      <c r="A40" t="inlineStr">
        <is>
          <t>Clean</t>
        </is>
      </c>
    </row>
    <row r="41">
      <c r="A41" t="inlineStr">
        <is>
          <t>Power Clean</t>
        </is>
      </c>
    </row>
    <row r="42">
      <c r="A42" t="inlineStr">
        <is>
          <t>Hang Clean</t>
        </is>
      </c>
    </row>
    <row r="43">
      <c r="A43" t="inlineStr">
        <is>
          <t>Hang Power Clean</t>
        </is>
      </c>
    </row>
    <row r="44">
      <c r="A44" t="inlineStr">
        <is>
          <t>Push Jerk</t>
        </is>
      </c>
    </row>
    <row r="45">
      <c r="A45" t="inlineStr">
        <is>
          <t>Split Jerk</t>
        </is>
      </c>
    </row>
    <row r="46">
      <c r="A46" t="inlineStr">
        <is>
          <t>Push Press (Jerk Rack)</t>
        </is>
      </c>
    </row>
    <row r="47">
      <c r="A47" t="inlineStr">
        <is>
          <t>Clean Pull</t>
        </is>
      </c>
    </row>
    <row r="48">
      <c r="A48" t="inlineStr">
        <is>
          <t>Block Clean</t>
        </is>
      </c>
    </row>
    <row r="49">
      <c r="A49" t="inlineStr">
        <is>
          <t>Barbell Row</t>
        </is>
      </c>
    </row>
    <row r="50">
      <c r="A50" t="inlineStr">
        <is>
          <t>Face Pull</t>
        </is>
      </c>
    </row>
    <row r="51">
      <c r="A51" t="inlineStr">
        <is>
          <t>Dumbbell Curl</t>
        </is>
      </c>
    </row>
    <row r="52">
      <c r="A52" t="inlineStr">
        <is>
          <t>Chin-up</t>
        </is>
      </c>
    </row>
    <row r="53">
      <c r="A53" t="inlineStr">
        <is>
          <t>Lat Pulldown</t>
        </is>
      </c>
    </row>
    <row r="54">
      <c r="A54" t="inlineStr">
        <is>
          <t>Back Extension</t>
        </is>
      </c>
    </row>
    <row r="55">
      <c r="A55" t="inlineStr">
        <is>
          <t>Plank</t>
        </is>
      </c>
    </row>
    <row r="56">
      <c r="A56" t="inlineStr">
        <is>
          <t>Incline Dumbbell Press</t>
        </is>
      </c>
    </row>
    <row r="57">
      <c r="A57" t="inlineStr">
        <is>
          <t>One-Arm Dumbbell Row</t>
        </is>
      </c>
    </row>
    <row r="58">
      <c r="A58" t="inlineStr">
        <is>
          <t>Triceps Pushdown</t>
        </is>
      </c>
    </row>
    <row r="59">
      <c r="A59" t="inlineStr">
        <is>
          <t>Walking Lunge</t>
        </is>
      </c>
    </row>
    <row r="60">
      <c r="A60" t="inlineStr">
        <is>
          <t>Leg Press</t>
        </is>
      </c>
    </row>
    <row r="61">
      <c r="A61" t="inlineStr">
        <is>
          <t>Hanging Leg Raise</t>
        </is>
      </c>
    </row>
    <row r="62">
      <c r="A62" t="inlineStr">
        <is>
          <t>Dip</t>
        </is>
      </c>
    </row>
    <row r="63">
      <c r="A63" t="inlineStr">
        <is>
          <t>Hammer Curl</t>
        </is>
      </c>
    </row>
    <row r="64">
      <c r="A64" t="inlineStr">
        <is>
          <t>Lateral Raise</t>
        </is>
      </c>
    </row>
    <row r="65">
      <c r="A65" t="inlineStr">
        <is>
          <t>Reverse Hyper</t>
        </is>
      </c>
    </row>
    <row r="66">
      <c r="A66" t="inlineStr">
        <is>
          <t>Good Morning</t>
        </is>
      </c>
    </row>
    <row r="67">
      <c r="A67" t="inlineStr">
        <is>
          <t>Glute-Ham Raise</t>
        </is>
      </c>
    </row>
    <row r="68">
      <c r="A68" t="inlineStr">
        <is>
          <t>Box Jump</t>
        </is>
      </c>
    </row>
    <row r="69">
      <c r="A69" t="inlineStr">
        <is>
          <t>Broad Jump</t>
        </is>
      </c>
    </row>
    <row r="70">
      <c r="A70" t="inlineStr">
        <is>
          <t>Vertical Jump</t>
        </is>
      </c>
    </row>
    <row r="71">
      <c r="A71" t="inlineStr">
        <is>
          <t>Depth Jump</t>
        </is>
      </c>
    </row>
    <row r="72">
      <c r="A72" t="inlineStr">
        <is>
          <t>Hurdle Hop</t>
        </is>
      </c>
    </row>
    <row r="73">
      <c r="A73" t="inlineStr">
        <is>
          <t>Lateral Bound</t>
        </is>
      </c>
    </row>
    <row r="74">
      <c r="A74" t="inlineStr">
        <is>
          <t>Plyo Push-up</t>
        </is>
      </c>
    </row>
    <row r="75">
      <c r="A75" t="inlineStr">
        <is>
          <t>Seated Box Jump</t>
        </is>
      </c>
    </row>
    <row r="76">
      <c r="A76" t="inlineStr">
        <is>
          <t>Med Ball Chest Pass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2026-09-26T00:57:51Z</dcterms:created>
  <dcterms:modified xsi:type="dcterms:W3CDTF">2026-09-26T00:57:53Z</dcterms:modified>
</cp:coreProperties>
</file>