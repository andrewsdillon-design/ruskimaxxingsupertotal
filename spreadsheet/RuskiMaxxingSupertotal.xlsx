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drawings/drawing1.xml" ContentType="application/vnd.openxmlformats-officedocument.drawing+xml"/>
  <Override PartName="/xl/worksheets/sheet60.xml" ContentType="application/vnd.openxmlformats-officedocument.spreadsheetml.worksheet+xml"/>
  <Override PartName="/xl/worksheets/sheet61.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rt Here" sheetId="1" state="visible" r:id="rId1"/>
    <sheet name="Week 00" sheetId="2" state="visible" r:id="rId2"/>
    <sheet name="Week 01" sheetId="3" state="visible" r:id="rId3"/>
    <sheet name="Week 02" sheetId="4" state="visible" r:id="rId4"/>
    <sheet name="Week 03" sheetId="5" state="visible" r:id="rId5"/>
    <sheet name="Week 04" sheetId="6" state="visible" r:id="rId6"/>
    <sheet name="Week 05" sheetId="7" state="visible" r:id="rId7"/>
    <sheet name="Week 06" sheetId="8" state="visible" r:id="rId8"/>
    <sheet name="Week 07" sheetId="9" state="visible" r:id="rId9"/>
    <sheet name="Week 08" sheetId="10" state="visible" r:id="rId10"/>
    <sheet name="Week 09" sheetId="11" state="visible" r:id="rId11"/>
    <sheet name="Week 10" sheetId="12" state="visible" r:id="rId12"/>
    <sheet name="Week 11" sheetId="13" state="visible" r:id="rId13"/>
    <sheet name="Week 12" sheetId="14" state="visible" r:id="rId14"/>
    <sheet name="Week 13" sheetId="15" state="visible" r:id="rId15"/>
    <sheet name="Week 14" sheetId="16" state="visible" r:id="rId16"/>
    <sheet name="Week 15" sheetId="17" state="visible" r:id="rId17"/>
    <sheet name="Week 16" sheetId="18" state="visible" r:id="rId18"/>
    <sheet name="Week 17" sheetId="19" state="visible" r:id="rId19"/>
    <sheet name="Week 18" sheetId="20" state="visible" r:id="rId20"/>
    <sheet name="Week 19" sheetId="21" state="visible" r:id="rId21"/>
    <sheet name="Week 20" sheetId="22" state="visible" r:id="rId22"/>
    <sheet name="Week 21" sheetId="23" state="visible" r:id="rId23"/>
    <sheet name="Week 22" sheetId="24" state="visible" r:id="rId24"/>
    <sheet name="Week 23" sheetId="25" state="visible" r:id="rId25"/>
    <sheet name="Week 24" sheetId="26" state="visible" r:id="rId26"/>
    <sheet name="Week 25" sheetId="27" state="visible" r:id="rId27"/>
    <sheet name="Week 26" sheetId="28" state="visible" r:id="rId28"/>
    <sheet name="Week 27" sheetId="29" state="visible" r:id="rId29"/>
    <sheet name="Week 28" sheetId="30" state="visible" r:id="rId30"/>
    <sheet name="Week 29" sheetId="31" state="visible" r:id="rId31"/>
    <sheet name="Week 30" sheetId="32" state="visible" r:id="rId32"/>
    <sheet name="Week 31" sheetId="33" state="visible" r:id="rId33"/>
    <sheet name="Week 32" sheetId="34" state="visible" r:id="rId34"/>
    <sheet name="Week 33" sheetId="35" state="visible" r:id="rId35"/>
    <sheet name="Week 34" sheetId="36" state="visible" r:id="rId36"/>
    <sheet name="Week 35" sheetId="37" state="visible" r:id="rId37"/>
    <sheet name="Week 36" sheetId="38" state="visible" r:id="rId38"/>
    <sheet name="Week 37" sheetId="39" state="visible" r:id="rId39"/>
    <sheet name="Week 38" sheetId="40" state="visible" r:id="rId40"/>
    <sheet name="Week 39" sheetId="41" state="visible" r:id="rId41"/>
    <sheet name="Week 40" sheetId="42" state="visible" r:id="rId42"/>
    <sheet name="Week 41" sheetId="43" state="visible" r:id="rId43"/>
    <sheet name="Week 42" sheetId="44" state="visible" r:id="rId44"/>
    <sheet name="Week 43" sheetId="45" state="visible" r:id="rId45"/>
    <sheet name="Week 44" sheetId="46" state="visible" r:id="rId46"/>
    <sheet name="Week 45" sheetId="47" state="visible" r:id="rId47"/>
    <sheet name="Week 46" sheetId="48" state="visible" r:id="rId48"/>
    <sheet name="Week 47" sheetId="49" state="visible" r:id="rId49"/>
    <sheet name="Week 48" sheetId="50" state="visible" r:id="rId50"/>
    <sheet name="Week 49" sheetId="51" state="visible" r:id="rId51"/>
    <sheet name="Week 50" sheetId="52" state="visible" r:id="rId52"/>
    <sheet name="Week 51" sheetId="53" state="visible" r:id="rId53"/>
    <sheet name="Week 52" sheetId="54" state="visible" r:id="rId54"/>
    <sheet name="Log" sheetId="55" state="visible" r:id="rId55"/>
    <sheet name="PRs" sheetId="56" state="visible" r:id="rId56"/>
    <sheet name="Maxes" sheetId="57" state="visible" r:id="rId57"/>
    <sheet name="Body" sheetId="58" state="visible" r:id="rId58"/>
    <sheet name="Progress" sheetId="59" state="visible" r:id="rId59"/>
    <sheet name="Sets" sheetId="60" state="hidden" r:id="rId60"/>
    <sheet name="Lists" sheetId="61" state="hidden" r:id="rId61"/>
  </sheets>
  <definedNames/>
  <calcPr calcId="124519" fullCalcOnLoad="1"/>
</workbook>
</file>

<file path=xl/styles.xml><?xml version="1.0" encoding="utf-8"?>
<styleSheet xmlns="http://schemas.openxmlformats.org/spreadsheetml/2006/main">
  <numFmts count="3">
    <numFmt numFmtId="164" formatCode="yyyy-mm-dd"/>
    <numFmt numFmtId="165" formatCode="#,##0.#;-#,##0.#;&quot;&quot;"/>
    <numFmt numFmtId="166" formatCode="ddd mmm d"/>
  </numFmts>
  <fonts count="12">
    <font>
      <name val="Calibri"/>
      <family val="2"/>
      <color theme="1"/>
      <sz val="11"/>
      <scheme val="minor"/>
    </font>
    <font>
      <b val="1"/>
      <sz val="16"/>
    </font>
    <font>
      <b val="1"/>
      <color rgb="001F3A5F"/>
      <sz val="13"/>
    </font>
    <font>
      <b val="1"/>
      <color rgb="00FFFFFF"/>
    </font>
    <font>
      <b val="1"/>
    </font>
    <font>
      <b val="1"/>
      <color rgb="001F3A5F"/>
    </font>
    <font>
      <b val="1"/>
      <color rgb="00B00020"/>
    </font>
    <font>
      <color rgb="000563C1"/>
      <u val="single"/>
    </font>
    <font/>
    <font>
      <b val="1"/>
      <sz val="14"/>
    </font>
    <font>
      <b val="1"/>
      <color rgb="002E7D32"/>
    </font>
    <font>
      <b val="1"/>
      <color rgb="00B00020"/>
      <u val="single"/>
    </font>
  </fonts>
  <fills count="12">
    <fill>
      <patternFill/>
    </fill>
    <fill>
      <patternFill patternType="gray125"/>
    </fill>
    <fill>
      <patternFill patternType="solid">
        <fgColor rgb="00FFF4CC"/>
      </patternFill>
    </fill>
    <fill>
      <patternFill patternType="solid">
        <fgColor rgb="001F3A5F"/>
      </patternFill>
    </fill>
    <fill>
      <patternFill patternType="solid">
        <fgColor rgb="00DDE3F7"/>
      </patternFill>
    </fill>
    <fill>
      <patternFill patternType="solid">
        <fgColor rgb="00DCEFDC"/>
      </patternFill>
    </fill>
    <fill>
      <patternFill patternType="solid">
        <fgColor rgb="00E6E6E6"/>
      </patternFill>
    </fill>
    <fill>
      <patternFill patternType="solid">
        <fgColor rgb="00FCE9D2"/>
      </patternFill>
    </fill>
    <fill>
      <patternFill patternType="solid">
        <fgColor rgb="00F8D7D7"/>
      </patternFill>
    </fill>
    <fill>
      <patternFill patternType="solid">
        <fgColor rgb="00EDE0F5"/>
      </patternFill>
    </fill>
    <fill>
      <patternFill patternType="solid">
        <fgColor rgb="00E0F2F1"/>
      </patternFill>
    </fill>
    <fill>
      <patternFill patternType="solid">
        <fgColor rgb="00EEF3F8"/>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40">
    <xf numFmtId="0" fontId="0" fillId="0" borderId="0" pivotButton="0" quotePrefix="0" xfId="0"/>
    <xf numFmtId="0" fontId="1" fillId="0" borderId="0" pivotButton="0" quotePrefix="0" xfId="0"/>
    <xf numFmtId="0" fontId="2" fillId="0" borderId="0" pivotButton="0" quotePrefix="0" xfId="0"/>
    <xf numFmtId="0" fontId="0" fillId="0" borderId="1" pivotButton="0" quotePrefix="0" xfId="0"/>
    <xf numFmtId="0" fontId="0" fillId="2" borderId="1" pivotButton="0" quotePrefix="0" xfId="0"/>
    <xf numFmtId="0" fontId="3" fillId="3" borderId="1" applyAlignment="1" pivotButton="0" quotePrefix="0" xfId="0">
      <alignment horizontal="center" vertical="center" wrapText="1"/>
    </xf>
    <xf numFmtId="0" fontId="4" fillId="0" borderId="1" pivotButton="0" quotePrefix="0" xfId="0"/>
    <xf numFmtId="165" fontId="5" fillId="0" borderId="1" pivotButton="0" quotePrefix="0" xfId="0"/>
    <xf numFmtId="165" fontId="0" fillId="0" borderId="1" pivotButton="0" quotePrefix="0" xfId="0"/>
    <xf numFmtId="164" fontId="0" fillId="2" borderId="1" pivotButton="0" quotePrefix="0" xfId="0"/>
    <xf numFmtId="0" fontId="4" fillId="0" borderId="0" pivotButton="0" quotePrefix="0" xfId="0"/>
    <xf numFmtId="165" fontId="4" fillId="0" borderId="0" pivotButton="0" quotePrefix="0" xfId="0"/>
    <xf numFmtId="0" fontId="6" fillId="0" borderId="1" pivotButton="0" quotePrefix="0" xfId="0"/>
    <xf numFmtId="165" fontId="0" fillId="0" borderId="0" pivotButton="0" quotePrefix="0" xfId="0"/>
    <xf numFmtId="0" fontId="5" fillId="0" borderId="0" pivotButton="0" quotePrefix="0" xfId="0"/>
    <xf numFmtId="0" fontId="0" fillId="0" borderId="1" applyAlignment="1" pivotButton="0" quotePrefix="0" xfId="0">
      <alignment horizontal="center"/>
    </xf>
    <xf numFmtId="0" fontId="7" fillId="4" borderId="0" pivotButton="0" quotePrefix="0" xfId="0"/>
    <xf numFmtId="0" fontId="7" fillId="5" borderId="0" pivotButton="0" quotePrefix="0" xfId="0"/>
    <xf numFmtId="0" fontId="7" fillId="6" borderId="0" pivotButton="0" quotePrefix="0" xfId="0"/>
    <xf numFmtId="0" fontId="7" fillId="7" borderId="0" pivotButton="0" quotePrefix="0" xfId="0"/>
    <xf numFmtId="0" fontId="7" fillId="8" borderId="0" pivotButton="0" quotePrefix="0" xfId="0"/>
    <xf numFmtId="0" fontId="7" fillId="9" borderId="0" pivotButton="0" quotePrefix="0" xfId="0"/>
    <xf numFmtId="0" fontId="7" fillId="10" borderId="0" pivotButton="0" quotePrefix="0" xfId="0"/>
    <xf numFmtId="0" fontId="8" fillId="0" borderId="0" pivotButton="0" quotePrefix="0" xfId="0"/>
    <xf numFmtId="0" fontId="9" fillId="0" borderId="0" pivotButton="0" quotePrefix="0" xfId="0"/>
    <xf numFmtId="0" fontId="7" fillId="0" borderId="0" pivotButton="0" quotePrefix="0" xfId="0"/>
    <xf numFmtId="0" fontId="0" fillId="11" borderId="1" applyAlignment="1" pivotButton="0" quotePrefix="0" xfId="0">
      <alignment vertical="center"/>
    </xf>
    <xf numFmtId="166" fontId="0" fillId="0" borderId="1" applyAlignment="1" pivotButton="0" quotePrefix="0" xfId="0">
      <alignment vertical="center"/>
    </xf>
    <xf numFmtId="0" fontId="10" fillId="0" borderId="1" applyAlignment="1" pivotButton="0" quotePrefix="0" xfId="0">
      <alignment vertical="center"/>
    </xf>
    <xf numFmtId="0" fontId="0" fillId="0" borderId="1" applyAlignment="1" pivotButton="0" quotePrefix="0" xfId="0">
      <alignment vertical="center"/>
    </xf>
    <xf numFmtId="1" fontId="0" fillId="0" borderId="1" applyAlignment="1" pivotButton="0" quotePrefix="0" xfId="0">
      <alignment vertical="center"/>
    </xf>
    <xf numFmtId="0" fontId="4" fillId="0" borderId="1" applyAlignment="1" pivotButton="0" quotePrefix="0" xfId="0">
      <alignment vertical="center"/>
    </xf>
    <xf numFmtId="0" fontId="0" fillId="2" borderId="1" applyAlignment="1" pivotButton="0" quotePrefix="0" xfId="0">
      <alignment vertical="center"/>
    </xf>
    <xf numFmtId="0" fontId="6" fillId="0" borderId="1" applyAlignment="1" pivotButton="0" quotePrefix="0" xfId="0">
      <alignment vertical="center"/>
    </xf>
    <xf numFmtId="0" fontId="0" fillId="0" borderId="1" applyAlignment="1" pivotButton="0" quotePrefix="0" xfId="0">
      <alignment vertical="center" wrapText="1"/>
    </xf>
    <xf numFmtId="0" fontId="11" fillId="0" borderId="0" pivotButton="0" quotePrefix="0" xfId="0"/>
    <xf numFmtId="1" fontId="0" fillId="0" borderId="0" pivotButton="0" quotePrefix="0" xfId="0"/>
    <xf numFmtId="0" fontId="7" fillId="0" borderId="1" pivotButton="0" quotePrefix="0" xfId="0"/>
    <xf numFmtId="164" fontId="0" fillId="0" borderId="1" pivotButton="0" quotePrefix="0" xfId="0"/>
    <xf numFmtId="1" fontId="0" fillId="0" borderId="1" pivotButton="0" quotePrefix="0" xfId="0"/>
  </cellXfs>
  <cellStyles count="1">
    <cellStyle name="Normal" xfId="0" builtinId="0" hidden="0"/>
  </cellStyles>
  <dxfs count="1">
    <dxf>
      <font>
        <i val="1"/>
        <color rgb="00888888"/>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styles" Target="styles.xml" Id="rId62" /><Relationship Type="http://schemas.openxmlformats.org/officeDocument/2006/relationships/theme" Target="theme/theme1.xml" Id="rId63" /></Relationships>
</file>

<file path=xl/charts/chart1.xml><?xml version="1.0" encoding="utf-8"?>
<chartSpace xmlns:a="http://schemas.openxmlformats.org/drawingml/2006/main" xmlns="http://schemas.openxmlformats.org/drawingml/2006/chart">
  <chart>
    <title>
      <tx>
        <rich>
          <a:bodyPr/>
          <a:p>
            <a:pPr>
              <a:defRPr/>
            </a:pPr>
            <a:r>
              <a:t>Strength (est. 1RM) vs bodyweight</a:t>
            </a:r>
          </a:p>
        </rich>
      </tx>
    </title>
    <plotArea>
      <lineChart>
        <grouping val="standard"/>
        <ser>
          <idx val="0"/>
          <order val="0"/>
          <tx>
            <strRef>
              <f>'Progress'!C3</f>
            </strRef>
          </tx>
          <spPr>
            <a:ln>
              <a:prstDash val="solid"/>
            </a:ln>
          </spPr>
          <marker>
            <symbol val="none"/>
            <spPr>
              <a:ln>
                <a:prstDash val="solid"/>
              </a:ln>
            </spPr>
          </marker>
          <cat>
            <numRef>
              <f>'Progress'!$A$4:$A$8</f>
            </numRef>
          </cat>
          <val>
            <numRef>
              <f>'Progress'!$C$4:$C$8</f>
            </numRef>
          </val>
        </ser>
        <ser>
          <idx val="1"/>
          <order val="1"/>
          <tx>
            <strRef>
              <f>'Progress'!D3</f>
            </strRef>
          </tx>
          <spPr>
            <a:ln>
              <a:prstDash val="solid"/>
            </a:ln>
          </spPr>
          <marker>
            <symbol val="none"/>
            <spPr>
              <a:ln>
                <a:prstDash val="solid"/>
              </a:ln>
            </spPr>
          </marker>
          <cat>
            <numRef>
              <f>'Progress'!$A$4:$A$8</f>
            </numRef>
          </cat>
          <val>
            <numRef>
              <f>'Progress'!$D$4:$D$8</f>
            </numRef>
          </val>
        </ser>
        <ser>
          <idx val="2"/>
          <order val="2"/>
          <tx>
            <strRef>
              <f>'Progress'!E3</f>
            </strRef>
          </tx>
          <spPr>
            <a:ln>
              <a:prstDash val="solid"/>
            </a:ln>
          </spPr>
          <marker>
            <symbol val="none"/>
            <spPr>
              <a:ln>
                <a:prstDash val="solid"/>
              </a:ln>
            </spPr>
          </marker>
          <cat>
            <numRef>
              <f>'Progress'!$A$4:$A$8</f>
            </numRef>
          </cat>
          <val>
            <numRef>
              <f>'Progress'!$E$4:$E$8</f>
            </numRef>
          </val>
        </ser>
        <ser>
          <idx val="3"/>
          <order val="3"/>
          <tx>
            <strRef>
              <f>'Progress'!F3</f>
            </strRef>
          </tx>
          <spPr>
            <a:ln>
              <a:prstDash val="solid"/>
            </a:ln>
          </spPr>
          <marker>
            <symbol val="none"/>
            <spPr>
              <a:ln>
                <a:prstDash val="solid"/>
              </a:ln>
            </spPr>
          </marker>
          <cat>
            <numRef>
              <f>'Progress'!$A$4:$A$8</f>
            </numRef>
          </cat>
          <val>
            <numRef>
              <f>'Progress'!$F$4:$F$8</f>
            </numRef>
          </val>
        </ser>
        <ser>
          <idx val="4"/>
          <order val="4"/>
          <tx>
            <strRef>
              <f>'Progress'!G3</f>
            </strRef>
          </tx>
          <spPr>
            <a:ln>
              <a:prstDash val="solid"/>
            </a:ln>
          </spPr>
          <marker>
            <symbol val="none"/>
            <spPr>
              <a:ln>
                <a:prstDash val="solid"/>
              </a:ln>
            </spPr>
          </marker>
          <cat>
            <numRef>
              <f>'Progress'!$A$4:$A$8</f>
            </numRef>
          </cat>
          <val>
            <numRef>
              <f>'Progress'!$G$4:$G$8</f>
            </numRef>
          </val>
        </ser>
        <ser>
          <idx val="5"/>
          <order val="5"/>
          <tx>
            <strRef>
              <f>'Progress'!H3</f>
            </strRef>
          </tx>
          <spPr>
            <a:ln>
              <a:prstDash val="solid"/>
            </a:ln>
          </spPr>
          <marker>
            <symbol val="none"/>
            <spPr>
              <a:ln>
                <a:prstDash val="solid"/>
              </a:ln>
            </spPr>
          </marker>
          <cat>
            <numRef>
              <f>'Progress'!$A$4:$A$8</f>
            </numRef>
          </cat>
          <val>
            <numRef>
              <f>'Progress'!$H$4:$H$8</f>
            </numRef>
          </val>
        </ser>
        <axId val="10"/>
        <axId val="100"/>
      </lineChart>
      <lineChart>
        <grouping val="standard"/>
        <ser>
          <idx val="6"/>
          <order val="6"/>
          <tx>
            <strRef>
              <f>'Progress'!I3</f>
            </strRef>
          </tx>
          <spPr>
            <a:ln>
              <a:prstDash val="solid"/>
            </a:ln>
          </spPr>
          <marker>
            <symbol val="none"/>
            <spPr>
              <a:ln>
                <a:prstDash val="solid"/>
              </a:ln>
            </spPr>
          </marker>
          <val>
            <numRef>
              <f>'Progress'!$I$4:$I$8</f>
            </numRef>
          </val>
        </ser>
        <axId val="10"/>
        <axId val="200"/>
      </line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Estimated 1RM</a:t>
                </a:r>
              </a:p>
            </rich>
          </tx>
        </title>
        <majorTickMark val="none"/>
        <minorTickMark val="none"/>
        <crossAx val="10"/>
      </valAx>
      <valAx>
        <axId val="200"/>
        <scaling>
          <orientation val="minMax"/>
        </scaling>
        <axPos val="l"/>
        <majorGridlines/>
        <title>
          <tx>
            <rich>
              <a:bodyPr/>
              <a:p>
                <a:pPr>
                  <a:defRPr/>
                </a:pPr>
                <a:r>
                  <a:t>Bodyweight</a:t>
                </a:r>
              </a:p>
            </rich>
          </tx>
        </title>
        <majorTickMark val="none"/>
        <minorTickMark val="none"/>
        <crossAx val="10"/>
        <crosses val="max"/>
      </valAx>
    </plotArea>
    <legend>
      <legendPos val="r"/>
    </legend>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Bodyweight (weekly)</a:t>
            </a:r>
          </a:p>
        </rich>
      </tx>
    </title>
    <plotArea>
      <lineChart>
        <grouping val="standard"/>
        <ser>
          <idx val="0"/>
          <order val="0"/>
          <tx>
            <strRef>
              <f>'Body'!C3</f>
            </strRef>
          </tx>
          <spPr>
            <a:ln>
              <a:prstDash val="solid"/>
            </a:ln>
          </spPr>
          <marker>
            <symbol val="none"/>
            <spPr>
              <a:ln>
                <a:prstDash val="solid"/>
              </a:ln>
            </spPr>
          </marker>
          <cat>
            <numRef>
              <f>'Body'!$A$4:$A$56</f>
            </numRef>
          </cat>
          <val>
            <numRef>
              <f>'Body'!$C$4:$C$56</f>
            </numRef>
          </val>
        </ser>
        <axId val="10"/>
        <axId val="100"/>
      </lineChart>
      <catAx>
        <axId val="10"/>
        <scaling>
          <orientation val="minMax"/>
        </scaling>
        <axPos val="l"/>
        <title>
          <tx>
            <rich>
              <a:bodyPr/>
              <a:p>
                <a:pPr>
                  <a:defRPr/>
                </a:pPr>
                <a:r>
                  <a:t>Week</a:t>
                </a:r>
              </a:p>
            </rich>
          </tx>
        </title>
        <majorTickMark val="none"/>
        <minorTickMark val="none"/>
        <crossAx val="100"/>
        <lblOffset val="100"/>
      </catAx>
      <valAx>
        <axId val="100"/>
        <scaling>
          <orientation val="minMax"/>
        </scaling>
        <axPos val="l"/>
        <majorGridlines/>
        <title>
          <tx>
            <rich>
              <a:bodyPr/>
              <a:p>
                <a:pPr>
                  <a:defRPr/>
                </a:pPr>
                <a:r>
                  <a:t>Bodyweight</a:t>
                </a:r>
              </a:p>
            </rich>
          </tx>
        </title>
        <majorTickMark val="none"/>
        <minorTickMark val="none"/>
        <crossAx val="10"/>
      </valAx>
    </plotArea>
    <legend>
      <legendPos val="r"/>
    </legend>
    <plotVisOnly val="1"/>
    <dispBlanksAs val="gap"/>
  </chart>
</chartSpace>
</file>

<file path=xl/charts/chart3.xml><?xml version="1.0" encoding="utf-8"?>
<chartSpace xmlns:a="http://schemas.openxmlformats.org/drawingml/2006/main" xmlns="http://schemas.openxmlformats.org/drawingml/2006/chart">
  <chart>
    <title>
      <tx>
        <rich>
          <a:bodyPr/>
          <a:p>
            <a:pPr>
              <a:defRPr/>
            </a:pPr>
            <a:r>
              <a:t>Body fat % and lean mass (monthly)</a:t>
            </a:r>
          </a:p>
        </rich>
      </tx>
    </title>
    <plotArea>
      <lineChart>
        <grouping val="standard"/>
        <ser>
          <idx val="0"/>
          <order val="0"/>
          <tx>
            <strRef>
              <f>'Body'!H3</f>
            </strRef>
          </tx>
          <spPr>
            <a:ln>
              <a:prstDash val="solid"/>
            </a:ln>
          </spPr>
          <marker>
            <symbol val="none"/>
            <spPr>
              <a:ln>
                <a:prstDash val="solid"/>
              </a:ln>
            </spPr>
          </marker>
          <cat>
            <numRef>
              <f>'Body'!$E$4:$E$16</f>
            </numRef>
          </cat>
          <val>
            <numRef>
              <f>'Body'!$H$4:$H$16</f>
            </numRef>
          </val>
        </ser>
        <axId val="10"/>
        <axId val="100"/>
      </lineChart>
      <lineChart>
        <grouping val="standard"/>
        <ser>
          <idx val="1"/>
          <order val="1"/>
          <tx>
            <strRef>
              <f>'Body'!K3</f>
            </strRef>
          </tx>
          <spPr>
            <a:ln>
              <a:prstDash val="solid"/>
            </a:ln>
          </spPr>
          <marker>
            <symbol val="none"/>
            <spPr>
              <a:ln>
                <a:prstDash val="solid"/>
              </a:ln>
            </spPr>
          </marker>
          <val>
            <numRef>
              <f>'Body'!$K$4:$K$16</f>
            </numRef>
          </val>
        </ser>
        <axId val="10"/>
        <axId val="300"/>
      </lineChart>
      <catAx>
        <axId val="10"/>
        <scaling>
          <orientation val="minMax"/>
        </scaling>
        <axPos val="l"/>
        <title>
          <tx>
            <rich>
              <a:bodyPr/>
              <a:p>
                <a:pPr>
                  <a:defRPr/>
                </a:pPr>
                <a:r>
                  <a:t>Month</a:t>
                </a:r>
              </a:p>
            </rich>
          </tx>
        </title>
        <majorTickMark val="none"/>
        <minorTickMark val="none"/>
        <crossAx val="100"/>
        <lblOffset val="100"/>
      </catAx>
      <valAx>
        <axId val="100"/>
        <scaling>
          <orientation val="minMax"/>
        </scaling>
        <axPos val="l"/>
        <majorGridlines/>
        <title>
          <tx>
            <rich>
              <a:bodyPr/>
              <a:p>
                <a:pPr>
                  <a:defRPr/>
                </a:pPr>
                <a:r>
                  <a:t>Body fat %</a:t>
                </a:r>
              </a:p>
            </rich>
          </tx>
        </title>
        <majorTickMark val="none"/>
        <minorTickMark val="none"/>
        <crossAx val="10"/>
      </valAx>
      <valAx>
        <axId val="300"/>
        <scaling>
          <orientation val="minMax"/>
        </scaling>
        <axPos val="l"/>
        <majorGridlines/>
        <title>
          <tx>
            <rich>
              <a:bodyPr/>
              <a:p>
                <a:pPr>
                  <a:defRPr/>
                </a:pPr>
                <a:r>
                  <a:t>Lean mass</a:t>
                </a:r>
              </a:p>
            </rich>
          </tx>
        </title>
        <majorTickMark val="none"/>
        <minorTickMark val="none"/>
        <crossAx val="10"/>
        <crosses val="max"/>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11</row>
      <rowOff>0</rowOff>
    </from>
    <ext cx="6480000" cy="3240000"/>
    <graphicFrame>
      <nvGraphicFramePr>
        <cNvPr id="1" name="Chart 1"/>
        <cNvGraphicFramePr/>
      </nvGraphicFramePr>
      <xfrm/>
      <a:graphic>
        <a:graphicData uri="http://schemas.openxmlformats.org/drawingml/2006/chart">
          <c:chart r:id="rId1"/>
        </a:graphicData>
      </a:graphic>
    </graphicFrame>
    <clientData/>
  </oneCellAnchor>
  <oneCellAnchor>
    <from>
      <col>11</col>
      <colOff>0</colOff>
      <row>2</row>
      <rowOff>0</rowOff>
    </from>
    <ext cx="6480000" cy="3240000"/>
    <graphicFrame>
      <nvGraphicFramePr>
        <cNvPr id="2" name="Chart 2"/>
        <cNvGraphicFramePr/>
      </nvGraphicFramePr>
      <xfrm/>
      <a:graphic>
        <a:graphicData uri="http://schemas.openxmlformats.org/drawingml/2006/chart">
          <c:chart r:id="rId2"/>
        </a:graphicData>
      </a:graphic>
    </graphicFrame>
    <clientData/>
  </oneCellAnchor>
  <oneCellAnchor>
    <from>
      <col>11</col>
      <colOff>0</colOff>
      <row>21</row>
      <rowOff>0</rowOff>
    </from>
    <ext cx="6480000" cy="3240000"/>
    <graphicFrame>
      <nvGraphicFramePr>
        <cNvPr id="3" name="Chart 3"/>
        <cNvGraphicFramePr/>
      </nvGraphicFramePr>
      <xfrm/>
      <a:graphic>
        <a:graphicData uri="http://schemas.openxmlformats.org/drawingml/2006/chart">
          <c:chart r:id="rId3"/>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Week 00'!A1" TargetMode="External" Id="rId1" /><Relationship Type="http://schemas.openxmlformats.org/officeDocument/2006/relationships/hyperlink" Target="#'Week 01'!A1" TargetMode="External" Id="rId2" /><Relationship Type="http://schemas.openxmlformats.org/officeDocument/2006/relationships/hyperlink" Target="#'Week 02'!A1" TargetMode="External" Id="rId3" /><Relationship Type="http://schemas.openxmlformats.org/officeDocument/2006/relationships/hyperlink" Target="#'Week 03'!A1" TargetMode="External" Id="rId4" /><Relationship Type="http://schemas.openxmlformats.org/officeDocument/2006/relationships/hyperlink" Target="#'Week 04'!A1" TargetMode="External" Id="rId5" /><Relationship Type="http://schemas.openxmlformats.org/officeDocument/2006/relationships/hyperlink" Target="#'Week 05'!A1" TargetMode="External" Id="rId6" /><Relationship Type="http://schemas.openxmlformats.org/officeDocument/2006/relationships/hyperlink" Target="#'Week 06'!A1" TargetMode="External" Id="rId7" /><Relationship Type="http://schemas.openxmlformats.org/officeDocument/2006/relationships/hyperlink" Target="#'Week 07'!A1" TargetMode="External" Id="rId8" /><Relationship Type="http://schemas.openxmlformats.org/officeDocument/2006/relationships/hyperlink" Target="#'Week 08'!A1" TargetMode="External" Id="rId9" /><Relationship Type="http://schemas.openxmlformats.org/officeDocument/2006/relationships/hyperlink" Target="#'Week 09'!A1" TargetMode="External" Id="rId10" /><Relationship Type="http://schemas.openxmlformats.org/officeDocument/2006/relationships/hyperlink" Target="#'Week 10'!A1" TargetMode="External" Id="rId11" /><Relationship Type="http://schemas.openxmlformats.org/officeDocument/2006/relationships/hyperlink" Target="#'Week 11'!A1" TargetMode="External" Id="rId12" /><Relationship Type="http://schemas.openxmlformats.org/officeDocument/2006/relationships/hyperlink" Target="#'Week 12'!A1" TargetMode="External" Id="rId13" /><Relationship Type="http://schemas.openxmlformats.org/officeDocument/2006/relationships/hyperlink" Target="#'Week 13'!A1" TargetMode="External" Id="rId14" /><Relationship Type="http://schemas.openxmlformats.org/officeDocument/2006/relationships/hyperlink" Target="#'Week 14'!A1" TargetMode="External" Id="rId15" /><Relationship Type="http://schemas.openxmlformats.org/officeDocument/2006/relationships/hyperlink" Target="#'Week 15'!A1" TargetMode="External" Id="rId16" /><Relationship Type="http://schemas.openxmlformats.org/officeDocument/2006/relationships/hyperlink" Target="#'Week 16'!A1" TargetMode="External" Id="rId17" /><Relationship Type="http://schemas.openxmlformats.org/officeDocument/2006/relationships/hyperlink" Target="#'Week 17'!A1" TargetMode="External" Id="rId18" /><Relationship Type="http://schemas.openxmlformats.org/officeDocument/2006/relationships/hyperlink" Target="#'Week 18'!A1" TargetMode="External" Id="rId19" /><Relationship Type="http://schemas.openxmlformats.org/officeDocument/2006/relationships/hyperlink" Target="#'Week 19'!A1" TargetMode="External" Id="rId20" /><Relationship Type="http://schemas.openxmlformats.org/officeDocument/2006/relationships/hyperlink" Target="#'Week 20'!A1" TargetMode="External" Id="rId21" /><Relationship Type="http://schemas.openxmlformats.org/officeDocument/2006/relationships/hyperlink" Target="#'Week 21'!A1" TargetMode="External" Id="rId22" /><Relationship Type="http://schemas.openxmlformats.org/officeDocument/2006/relationships/hyperlink" Target="#'Week 22'!A1" TargetMode="External" Id="rId23" /><Relationship Type="http://schemas.openxmlformats.org/officeDocument/2006/relationships/hyperlink" Target="#'Week 23'!A1" TargetMode="External" Id="rId24" /><Relationship Type="http://schemas.openxmlformats.org/officeDocument/2006/relationships/hyperlink" Target="#'Week 24'!A1" TargetMode="External" Id="rId25" /><Relationship Type="http://schemas.openxmlformats.org/officeDocument/2006/relationships/hyperlink" Target="#'Week 25'!A1" TargetMode="External" Id="rId26" /><Relationship Type="http://schemas.openxmlformats.org/officeDocument/2006/relationships/hyperlink" Target="#'Week 26'!A1" TargetMode="External" Id="rId27" /><Relationship Type="http://schemas.openxmlformats.org/officeDocument/2006/relationships/hyperlink" Target="#'Week 27'!A1" TargetMode="External" Id="rId28" /><Relationship Type="http://schemas.openxmlformats.org/officeDocument/2006/relationships/hyperlink" Target="#'Week 28'!A1" TargetMode="External" Id="rId29" /><Relationship Type="http://schemas.openxmlformats.org/officeDocument/2006/relationships/hyperlink" Target="#'Week 29'!A1" TargetMode="External" Id="rId30" /><Relationship Type="http://schemas.openxmlformats.org/officeDocument/2006/relationships/hyperlink" Target="#'Week 30'!A1" TargetMode="External" Id="rId31" /><Relationship Type="http://schemas.openxmlformats.org/officeDocument/2006/relationships/hyperlink" Target="#'Week 31'!A1" TargetMode="External" Id="rId32" /><Relationship Type="http://schemas.openxmlformats.org/officeDocument/2006/relationships/hyperlink" Target="#'Week 32'!A1" TargetMode="External" Id="rId33" /><Relationship Type="http://schemas.openxmlformats.org/officeDocument/2006/relationships/hyperlink" Target="#'Week 33'!A1" TargetMode="External" Id="rId34" /><Relationship Type="http://schemas.openxmlformats.org/officeDocument/2006/relationships/hyperlink" Target="#'Week 34'!A1" TargetMode="External" Id="rId35" /><Relationship Type="http://schemas.openxmlformats.org/officeDocument/2006/relationships/hyperlink" Target="#'Week 35'!A1" TargetMode="External" Id="rId36" /><Relationship Type="http://schemas.openxmlformats.org/officeDocument/2006/relationships/hyperlink" Target="#'Week 36'!A1" TargetMode="External" Id="rId37" /><Relationship Type="http://schemas.openxmlformats.org/officeDocument/2006/relationships/hyperlink" Target="#'Week 37'!A1" TargetMode="External" Id="rId38" /><Relationship Type="http://schemas.openxmlformats.org/officeDocument/2006/relationships/hyperlink" Target="#'Week 38'!A1" TargetMode="External" Id="rId39" /><Relationship Type="http://schemas.openxmlformats.org/officeDocument/2006/relationships/hyperlink" Target="#'Week 39'!A1" TargetMode="External" Id="rId40" /><Relationship Type="http://schemas.openxmlformats.org/officeDocument/2006/relationships/hyperlink" Target="#'Week 40'!A1" TargetMode="External" Id="rId41" /><Relationship Type="http://schemas.openxmlformats.org/officeDocument/2006/relationships/hyperlink" Target="#'Week 41'!A1" TargetMode="External" Id="rId42" /><Relationship Type="http://schemas.openxmlformats.org/officeDocument/2006/relationships/hyperlink" Target="#'Week 42'!A1" TargetMode="External" Id="rId43" /><Relationship Type="http://schemas.openxmlformats.org/officeDocument/2006/relationships/hyperlink" Target="#'Week 43'!A1" TargetMode="External" Id="rId44" /><Relationship Type="http://schemas.openxmlformats.org/officeDocument/2006/relationships/hyperlink" Target="#'Week 44'!A1" TargetMode="External" Id="rId45" /><Relationship Type="http://schemas.openxmlformats.org/officeDocument/2006/relationships/hyperlink" Target="#'Week 45'!A1" TargetMode="External" Id="rId46" /><Relationship Type="http://schemas.openxmlformats.org/officeDocument/2006/relationships/hyperlink" Target="#'Week 46'!A1" TargetMode="External" Id="rId47" /><Relationship Type="http://schemas.openxmlformats.org/officeDocument/2006/relationships/hyperlink" Target="#'Week 47'!A1" TargetMode="External" Id="rId48" /><Relationship Type="http://schemas.openxmlformats.org/officeDocument/2006/relationships/hyperlink" Target="#'Week 48'!A1" TargetMode="External" Id="rId49" /><Relationship Type="http://schemas.openxmlformats.org/officeDocument/2006/relationships/hyperlink" Target="#'Week 49'!A1" TargetMode="External" Id="rId50" /><Relationship Type="http://schemas.openxmlformats.org/officeDocument/2006/relationships/hyperlink" Target="#'Week 50'!A1" TargetMode="External" Id="rId51" /><Relationship Type="http://schemas.openxmlformats.org/officeDocument/2006/relationships/hyperlink" Target="#'Week 51'!A1" TargetMode="External" Id="rId52" /><Relationship Type="http://schemas.openxmlformats.org/officeDocument/2006/relationships/hyperlink" Target="#'Week 52'!A1" TargetMode="External" Id="rId53" /></Relationships>
</file>

<file path=xl/worksheets/_rels/sheet2.xml.rels><Relationships xmlns="http://schemas.openxmlformats.org/package/2006/relationships"><Relationship Type="http://schemas.openxmlformats.org/officeDocument/2006/relationships/hyperlink" Target="#'Start Here'!A1" TargetMode="External" Id="rId1" /><Relationship Type="http://schemas.openxmlformats.org/officeDocument/2006/relationships/hyperlink" Target="#'Week 01'!A1" TargetMode="External" Id="rId2" /></Relationships>
</file>

<file path=xl/worksheets/_rels/sheet3.xml.rels><Relationships xmlns="http://schemas.openxmlformats.org/package/2006/relationships"><Relationship Type="http://schemas.openxmlformats.org/officeDocument/2006/relationships/hyperlink" Target="#'Week 00'!A1" TargetMode="External" Id="rId1" /><Relationship Type="http://schemas.openxmlformats.org/officeDocument/2006/relationships/hyperlink" Target="#'Start Here'!A1" TargetMode="External" Id="rId2" /><Relationship Type="http://schemas.openxmlformats.org/officeDocument/2006/relationships/hyperlink" Target="#'Week 02'!A1" TargetMode="External" Id="rId3" /><Relationship Type="http://schemas.openxmlformats.org/officeDocument/2006/relationships/hyperlink" Target="#'Body'!A1" TargetMode="External" Id="rId4" /></Relationships>
</file>

<file path=xl/worksheets/_rels/sheet4.xml.rels><Relationships xmlns="http://schemas.openxmlformats.org/package/2006/relationships"><Relationship Type="http://schemas.openxmlformats.org/officeDocument/2006/relationships/hyperlink" Target="#'Week 01'!A1" TargetMode="External" Id="rId1" /><Relationship Type="http://schemas.openxmlformats.org/officeDocument/2006/relationships/hyperlink" Target="#'Start Here'!A1" TargetMode="External" Id="rId2" /><Relationship Type="http://schemas.openxmlformats.org/officeDocument/2006/relationships/hyperlink" Target="#'Week 03'!A1" TargetMode="External" Id="rId3" /></Relationships>
</file>

<file path=xl/worksheets/_rels/sheet5.xml.rels><Relationships xmlns="http://schemas.openxmlformats.org/package/2006/relationships"><Relationship Type="http://schemas.openxmlformats.org/officeDocument/2006/relationships/hyperlink" Target="#'Week 02'!A1" TargetMode="External" Id="rId1" /><Relationship Type="http://schemas.openxmlformats.org/officeDocument/2006/relationships/hyperlink" Target="#'Start Here'!A1" TargetMode="External" Id="rId2" /><Relationship Type="http://schemas.openxmlformats.org/officeDocument/2006/relationships/hyperlink" Target="#'Week 04'!A1" TargetMode="External" Id="rId3" /></Relationships>
</file>

<file path=xl/worksheets/_rels/sheet6.xml.rels><Relationships xmlns="http://schemas.openxmlformats.org/package/2006/relationships"><Relationship Type="http://schemas.openxmlformats.org/officeDocument/2006/relationships/hyperlink" Target="#'Week 03'!A1" TargetMode="External" Id="rId1" /><Relationship Type="http://schemas.openxmlformats.org/officeDocument/2006/relationships/hyperlink" Target="#'Start Here'!A1" TargetMode="External" Id="rId2" /><Relationship Type="http://schemas.openxmlformats.org/officeDocument/2006/relationships/hyperlink" Target="#'Week 05'!A1" TargetMode="External" Id="rId3" /></Relationships>
</file>

<file path=xl/worksheets/_rels/sheet7.xml.rels><Relationships xmlns="http://schemas.openxmlformats.org/package/2006/relationships"><Relationship Type="http://schemas.openxmlformats.org/officeDocument/2006/relationships/hyperlink" Target="#'Week 04'!A1" TargetMode="External" Id="rId1" /><Relationship Type="http://schemas.openxmlformats.org/officeDocument/2006/relationships/hyperlink" Target="#'Start Here'!A1" TargetMode="External" Id="rId2" /><Relationship Type="http://schemas.openxmlformats.org/officeDocument/2006/relationships/hyperlink" Target="#'Week 06'!A1" TargetMode="External" Id="rId3" /><Relationship Type="http://schemas.openxmlformats.org/officeDocument/2006/relationships/hyperlink" Target="#'Body'!A1" TargetMode="External" Id="rId4" /></Relationships>
</file>

<file path=xl/worksheets/_rels/sheet8.xml.rels><Relationships xmlns="http://schemas.openxmlformats.org/package/2006/relationships"><Relationship Type="http://schemas.openxmlformats.org/officeDocument/2006/relationships/hyperlink" Target="#'Week 05'!A1" TargetMode="External" Id="rId1" /><Relationship Type="http://schemas.openxmlformats.org/officeDocument/2006/relationships/hyperlink" Target="#'Start Here'!A1" TargetMode="External" Id="rId2" /><Relationship Type="http://schemas.openxmlformats.org/officeDocument/2006/relationships/hyperlink" Target="#'Week 07'!A1" TargetMode="External" Id="rId3" /></Relationships>
</file>

<file path=xl/worksheets/_rels/sheet9.xml.rels><Relationships xmlns="http://schemas.openxmlformats.org/package/2006/relationships"><Relationship Type="http://schemas.openxmlformats.org/officeDocument/2006/relationships/hyperlink" Target="#'Week 06'!A1" TargetMode="External" Id="rId1" /><Relationship Type="http://schemas.openxmlformats.org/officeDocument/2006/relationships/hyperlink" Target="#'Start Here'!A1" TargetMode="External" Id="rId2" /><Relationship Type="http://schemas.openxmlformats.org/officeDocument/2006/relationships/hyperlink" Target="#'Week 08'!A1" TargetMode="External" Id="rId3" /></Relationships>
</file>

<file path=xl/worksheets/_rels/sheet10.xml.rels><Relationships xmlns="http://schemas.openxmlformats.org/package/2006/relationships"><Relationship Type="http://schemas.openxmlformats.org/officeDocument/2006/relationships/hyperlink" Target="#'Week 07'!A1" TargetMode="External" Id="rId1" /><Relationship Type="http://schemas.openxmlformats.org/officeDocument/2006/relationships/hyperlink" Target="#'Start Here'!A1" TargetMode="External" Id="rId2" /><Relationship Type="http://schemas.openxmlformats.org/officeDocument/2006/relationships/hyperlink" Target="#'Week 09'!A1" TargetMode="External" Id="rId3" /></Relationships>
</file>

<file path=xl/worksheets/_rels/sheet11.xml.rels><Relationships xmlns="http://schemas.openxmlformats.org/package/2006/relationships"><Relationship Type="http://schemas.openxmlformats.org/officeDocument/2006/relationships/hyperlink" Target="#'Week 08'!A1" TargetMode="External" Id="rId1" /><Relationship Type="http://schemas.openxmlformats.org/officeDocument/2006/relationships/hyperlink" Target="#'Start Here'!A1" TargetMode="External" Id="rId2" /><Relationship Type="http://schemas.openxmlformats.org/officeDocument/2006/relationships/hyperlink" Target="#'Week 10'!A1" TargetMode="External" Id="rId3" /></Relationships>
</file>

<file path=xl/worksheets/_rels/sheet12.xml.rels><Relationships xmlns="http://schemas.openxmlformats.org/package/2006/relationships"><Relationship Type="http://schemas.openxmlformats.org/officeDocument/2006/relationships/hyperlink" Target="#'Week 09'!A1" TargetMode="External" Id="rId1" /><Relationship Type="http://schemas.openxmlformats.org/officeDocument/2006/relationships/hyperlink" Target="#'Start Here'!A1" TargetMode="External" Id="rId2" /><Relationship Type="http://schemas.openxmlformats.org/officeDocument/2006/relationships/hyperlink" Target="#'Week 11'!A1" TargetMode="External" Id="rId3" /><Relationship Type="http://schemas.openxmlformats.org/officeDocument/2006/relationships/hyperlink" Target="#'Body'!A1" TargetMode="External" Id="rId4" /></Relationships>
</file>

<file path=xl/worksheets/_rels/sheet13.xml.rels><Relationships xmlns="http://schemas.openxmlformats.org/package/2006/relationships"><Relationship Type="http://schemas.openxmlformats.org/officeDocument/2006/relationships/hyperlink" Target="#'Week 10'!A1" TargetMode="External" Id="rId1" /><Relationship Type="http://schemas.openxmlformats.org/officeDocument/2006/relationships/hyperlink" Target="#'Start Here'!A1" TargetMode="External" Id="rId2" /><Relationship Type="http://schemas.openxmlformats.org/officeDocument/2006/relationships/hyperlink" Target="#'Week 12'!A1" TargetMode="External" Id="rId3" /></Relationships>
</file>

<file path=xl/worksheets/_rels/sheet14.xml.rels><Relationships xmlns="http://schemas.openxmlformats.org/package/2006/relationships"><Relationship Type="http://schemas.openxmlformats.org/officeDocument/2006/relationships/hyperlink" Target="#'Week 11'!A1" TargetMode="External" Id="rId1" /><Relationship Type="http://schemas.openxmlformats.org/officeDocument/2006/relationships/hyperlink" Target="#'Start Here'!A1" TargetMode="External" Id="rId2" /><Relationship Type="http://schemas.openxmlformats.org/officeDocument/2006/relationships/hyperlink" Target="#'Week 13'!A1" TargetMode="External" Id="rId3" /></Relationships>
</file>

<file path=xl/worksheets/_rels/sheet15.xml.rels><Relationships xmlns="http://schemas.openxmlformats.org/package/2006/relationships"><Relationship Type="http://schemas.openxmlformats.org/officeDocument/2006/relationships/hyperlink" Target="#'Week 12'!A1" TargetMode="External" Id="rId1" /><Relationship Type="http://schemas.openxmlformats.org/officeDocument/2006/relationships/hyperlink" Target="#'Start Here'!A1" TargetMode="External" Id="rId2" /><Relationship Type="http://schemas.openxmlformats.org/officeDocument/2006/relationships/hyperlink" Target="#'Week 14'!A1" TargetMode="External" Id="rId3" /></Relationships>
</file>

<file path=xl/worksheets/_rels/sheet16.xml.rels><Relationships xmlns="http://schemas.openxmlformats.org/package/2006/relationships"><Relationship Type="http://schemas.openxmlformats.org/officeDocument/2006/relationships/hyperlink" Target="#'Week 13'!A1" TargetMode="External" Id="rId1" /><Relationship Type="http://schemas.openxmlformats.org/officeDocument/2006/relationships/hyperlink" Target="#'Start Here'!A1" TargetMode="External" Id="rId2" /><Relationship Type="http://schemas.openxmlformats.org/officeDocument/2006/relationships/hyperlink" Target="#'Week 15'!A1" TargetMode="External" Id="rId3" /><Relationship Type="http://schemas.openxmlformats.org/officeDocument/2006/relationships/hyperlink" Target="#'Body'!A1" TargetMode="External" Id="rId4" /></Relationships>
</file>

<file path=xl/worksheets/_rels/sheet17.xml.rels><Relationships xmlns="http://schemas.openxmlformats.org/package/2006/relationships"><Relationship Type="http://schemas.openxmlformats.org/officeDocument/2006/relationships/hyperlink" Target="#'Week 14'!A1" TargetMode="External" Id="rId1" /><Relationship Type="http://schemas.openxmlformats.org/officeDocument/2006/relationships/hyperlink" Target="#'Start Here'!A1" TargetMode="External" Id="rId2" /><Relationship Type="http://schemas.openxmlformats.org/officeDocument/2006/relationships/hyperlink" Target="#'Week 16'!A1" TargetMode="External" Id="rId3" /></Relationships>
</file>

<file path=xl/worksheets/_rels/sheet18.xml.rels><Relationships xmlns="http://schemas.openxmlformats.org/package/2006/relationships"><Relationship Type="http://schemas.openxmlformats.org/officeDocument/2006/relationships/hyperlink" Target="#'Week 15'!A1" TargetMode="External" Id="rId1" /><Relationship Type="http://schemas.openxmlformats.org/officeDocument/2006/relationships/hyperlink" Target="#'Start Here'!A1" TargetMode="External" Id="rId2" /><Relationship Type="http://schemas.openxmlformats.org/officeDocument/2006/relationships/hyperlink" Target="#'Week 17'!A1" TargetMode="External" Id="rId3" /></Relationships>
</file>

<file path=xl/worksheets/_rels/sheet19.xml.rels><Relationships xmlns="http://schemas.openxmlformats.org/package/2006/relationships"><Relationship Type="http://schemas.openxmlformats.org/officeDocument/2006/relationships/hyperlink" Target="#'Week 16'!A1" TargetMode="External" Id="rId1" /><Relationship Type="http://schemas.openxmlformats.org/officeDocument/2006/relationships/hyperlink" Target="#'Start Here'!A1" TargetMode="External" Id="rId2" /><Relationship Type="http://schemas.openxmlformats.org/officeDocument/2006/relationships/hyperlink" Target="#'Week 18'!A1" TargetMode="External" Id="rId3" /></Relationships>
</file>

<file path=xl/worksheets/_rels/sheet20.xml.rels><Relationships xmlns="http://schemas.openxmlformats.org/package/2006/relationships"><Relationship Type="http://schemas.openxmlformats.org/officeDocument/2006/relationships/hyperlink" Target="#'Week 17'!A1" TargetMode="External" Id="rId1" /><Relationship Type="http://schemas.openxmlformats.org/officeDocument/2006/relationships/hyperlink" Target="#'Start Here'!A1" TargetMode="External" Id="rId2" /><Relationship Type="http://schemas.openxmlformats.org/officeDocument/2006/relationships/hyperlink" Target="#'Week 19'!A1" TargetMode="External" Id="rId3" /><Relationship Type="http://schemas.openxmlformats.org/officeDocument/2006/relationships/hyperlink" Target="#'Body'!A1" TargetMode="External" Id="rId4" /></Relationships>
</file>

<file path=xl/worksheets/_rels/sheet21.xml.rels><Relationships xmlns="http://schemas.openxmlformats.org/package/2006/relationships"><Relationship Type="http://schemas.openxmlformats.org/officeDocument/2006/relationships/hyperlink" Target="#'Week 18'!A1" TargetMode="External" Id="rId1" /><Relationship Type="http://schemas.openxmlformats.org/officeDocument/2006/relationships/hyperlink" Target="#'Start Here'!A1" TargetMode="External" Id="rId2" /><Relationship Type="http://schemas.openxmlformats.org/officeDocument/2006/relationships/hyperlink" Target="#'Week 20'!A1" TargetMode="External" Id="rId3" /></Relationships>
</file>

<file path=xl/worksheets/_rels/sheet22.xml.rels><Relationships xmlns="http://schemas.openxmlformats.org/package/2006/relationships"><Relationship Type="http://schemas.openxmlformats.org/officeDocument/2006/relationships/hyperlink" Target="#'Week 19'!A1" TargetMode="External" Id="rId1" /><Relationship Type="http://schemas.openxmlformats.org/officeDocument/2006/relationships/hyperlink" Target="#'Start Here'!A1" TargetMode="External" Id="rId2" /><Relationship Type="http://schemas.openxmlformats.org/officeDocument/2006/relationships/hyperlink" Target="#'Week 21'!A1" TargetMode="External" Id="rId3" /></Relationships>
</file>

<file path=xl/worksheets/_rels/sheet23.xml.rels><Relationships xmlns="http://schemas.openxmlformats.org/package/2006/relationships"><Relationship Type="http://schemas.openxmlformats.org/officeDocument/2006/relationships/hyperlink" Target="#'Week 20'!A1" TargetMode="External" Id="rId1" /><Relationship Type="http://schemas.openxmlformats.org/officeDocument/2006/relationships/hyperlink" Target="#'Start Here'!A1" TargetMode="External" Id="rId2" /><Relationship Type="http://schemas.openxmlformats.org/officeDocument/2006/relationships/hyperlink" Target="#'Week 22'!A1" TargetMode="External" Id="rId3" /></Relationships>
</file>

<file path=xl/worksheets/_rels/sheet24.xml.rels><Relationships xmlns="http://schemas.openxmlformats.org/package/2006/relationships"><Relationship Type="http://schemas.openxmlformats.org/officeDocument/2006/relationships/hyperlink" Target="#'Week 21'!A1" TargetMode="External" Id="rId1" /><Relationship Type="http://schemas.openxmlformats.org/officeDocument/2006/relationships/hyperlink" Target="#'Start Here'!A1" TargetMode="External" Id="rId2" /><Relationship Type="http://schemas.openxmlformats.org/officeDocument/2006/relationships/hyperlink" Target="#'Week 23'!A1" TargetMode="External" Id="rId3" /></Relationships>
</file>

<file path=xl/worksheets/_rels/sheet25.xml.rels><Relationships xmlns="http://schemas.openxmlformats.org/package/2006/relationships"><Relationship Type="http://schemas.openxmlformats.org/officeDocument/2006/relationships/hyperlink" Target="#'Week 22'!A1" TargetMode="External" Id="rId1" /><Relationship Type="http://schemas.openxmlformats.org/officeDocument/2006/relationships/hyperlink" Target="#'Start Here'!A1" TargetMode="External" Id="rId2" /><Relationship Type="http://schemas.openxmlformats.org/officeDocument/2006/relationships/hyperlink" Target="#'Week 24'!A1" TargetMode="External" Id="rId3" /><Relationship Type="http://schemas.openxmlformats.org/officeDocument/2006/relationships/hyperlink" Target="#'Body'!A1" TargetMode="External" Id="rId4" /></Relationships>
</file>

<file path=xl/worksheets/_rels/sheet26.xml.rels><Relationships xmlns="http://schemas.openxmlformats.org/package/2006/relationships"><Relationship Type="http://schemas.openxmlformats.org/officeDocument/2006/relationships/hyperlink" Target="#'Week 23'!A1" TargetMode="External" Id="rId1" /><Relationship Type="http://schemas.openxmlformats.org/officeDocument/2006/relationships/hyperlink" Target="#'Start Here'!A1" TargetMode="External" Id="rId2" /><Relationship Type="http://schemas.openxmlformats.org/officeDocument/2006/relationships/hyperlink" Target="#'Week 25'!A1" TargetMode="External" Id="rId3" /></Relationships>
</file>

<file path=xl/worksheets/_rels/sheet27.xml.rels><Relationships xmlns="http://schemas.openxmlformats.org/package/2006/relationships"><Relationship Type="http://schemas.openxmlformats.org/officeDocument/2006/relationships/hyperlink" Target="#'Week 24'!A1" TargetMode="External" Id="rId1" /><Relationship Type="http://schemas.openxmlformats.org/officeDocument/2006/relationships/hyperlink" Target="#'Start Here'!A1" TargetMode="External" Id="rId2" /><Relationship Type="http://schemas.openxmlformats.org/officeDocument/2006/relationships/hyperlink" Target="#'Week 26'!A1" TargetMode="External" Id="rId3" /></Relationships>
</file>

<file path=xl/worksheets/_rels/sheet28.xml.rels><Relationships xmlns="http://schemas.openxmlformats.org/package/2006/relationships"><Relationship Type="http://schemas.openxmlformats.org/officeDocument/2006/relationships/hyperlink" Target="#'Week 25'!A1" TargetMode="External" Id="rId1" /><Relationship Type="http://schemas.openxmlformats.org/officeDocument/2006/relationships/hyperlink" Target="#'Start Here'!A1" TargetMode="External" Id="rId2" /><Relationship Type="http://schemas.openxmlformats.org/officeDocument/2006/relationships/hyperlink" Target="#'Week 27'!A1" TargetMode="External" Id="rId3" /></Relationships>
</file>

<file path=xl/worksheets/_rels/sheet29.xml.rels><Relationships xmlns="http://schemas.openxmlformats.org/package/2006/relationships"><Relationship Type="http://schemas.openxmlformats.org/officeDocument/2006/relationships/hyperlink" Target="#'Week 26'!A1" TargetMode="External" Id="rId1" /><Relationship Type="http://schemas.openxmlformats.org/officeDocument/2006/relationships/hyperlink" Target="#'Start Here'!A1" TargetMode="External" Id="rId2" /><Relationship Type="http://schemas.openxmlformats.org/officeDocument/2006/relationships/hyperlink" Target="#'Week 28'!A1" TargetMode="External" Id="rId3" /><Relationship Type="http://schemas.openxmlformats.org/officeDocument/2006/relationships/hyperlink" Target="#'Body'!A1" TargetMode="External" Id="rId4" /></Relationships>
</file>

<file path=xl/worksheets/_rels/sheet30.xml.rels><Relationships xmlns="http://schemas.openxmlformats.org/package/2006/relationships"><Relationship Type="http://schemas.openxmlformats.org/officeDocument/2006/relationships/hyperlink" Target="#'Week 27'!A1" TargetMode="External" Id="rId1" /><Relationship Type="http://schemas.openxmlformats.org/officeDocument/2006/relationships/hyperlink" Target="#'Start Here'!A1" TargetMode="External" Id="rId2" /><Relationship Type="http://schemas.openxmlformats.org/officeDocument/2006/relationships/hyperlink" Target="#'Week 29'!A1" TargetMode="External" Id="rId3" /></Relationships>
</file>

<file path=xl/worksheets/_rels/sheet31.xml.rels><Relationships xmlns="http://schemas.openxmlformats.org/package/2006/relationships"><Relationship Type="http://schemas.openxmlformats.org/officeDocument/2006/relationships/hyperlink" Target="#'Week 28'!A1" TargetMode="External" Id="rId1" /><Relationship Type="http://schemas.openxmlformats.org/officeDocument/2006/relationships/hyperlink" Target="#'Start Here'!A1" TargetMode="External" Id="rId2" /><Relationship Type="http://schemas.openxmlformats.org/officeDocument/2006/relationships/hyperlink" Target="#'Week 30'!A1" TargetMode="External" Id="rId3" /></Relationships>
</file>

<file path=xl/worksheets/_rels/sheet32.xml.rels><Relationships xmlns="http://schemas.openxmlformats.org/package/2006/relationships"><Relationship Type="http://schemas.openxmlformats.org/officeDocument/2006/relationships/hyperlink" Target="#'Week 29'!A1" TargetMode="External" Id="rId1" /><Relationship Type="http://schemas.openxmlformats.org/officeDocument/2006/relationships/hyperlink" Target="#'Start Here'!A1" TargetMode="External" Id="rId2" /><Relationship Type="http://schemas.openxmlformats.org/officeDocument/2006/relationships/hyperlink" Target="#'Week 31'!A1" TargetMode="External" Id="rId3" /></Relationships>
</file>

<file path=xl/worksheets/_rels/sheet33.xml.rels><Relationships xmlns="http://schemas.openxmlformats.org/package/2006/relationships"><Relationship Type="http://schemas.openxmlformats.org/officeDocument/2006/relationships/hyperlink" Target="#'Week 30'!A1" TargetMode="External" Id="rId1" /><Relationship Type="http://schemas.openxmlformats.org/officeDocument/2006/relationships/hyperlink" Target="#'Start Here'!A1" TargetMode="External" Id="rId2" /><Relationship Type="http://schemas.openxmlformats.org/officeDocument/2006/relationships/hyperlink" Target="#'Week 32'!A1" TargetMode="External" Id="rId3" /><Relationship Type="http://schemas.openxmlformats.org/officeDocument/2006/relationships/hyperlink" Target="#'Body'!A1" TargetMode="External" Id="rId4" /></Relationships>
</file>

<file path=xl/worksheets/_rels/sheet34.xml.rels><Relationships xmlns="http://schemas.openxmlformats.org/package/2006/relationships"><Relationship Type="http://schemas.openxmlformats.org/officeDocument/2006/relationships/hyperlink" Target="#'Week 31'!A1" TargetMode="External" Id="rId1" /><Relationship Type="http://schemas.openxmlformats.org/officeDocument/2006/relationships/hyperlink" Target="#'Start Here'!A1" TargetMode="External" Id="rId2" /><Relationship Type="http://schemas.openxmlformats.org/officeDocument/2006/relationships/hyperlink" Target="#'Week 33'!A1" TargetMode="External" Id="rId3" /></Relationships>
</file>

<file path=xl/worksheets/_rels/sheet35.xml.rels><Relationships xmlns="http://schemas.openxmlformats.org/package/2006/relationships"><Relationship Type="http://schemas.openxmlformats.org/officeDocument/2006/relationships/hyperlink" Target="#'Week 32'!A1" TargetMode="External" Id="rId1" /><Relationship Type="http://schemas.openxmlformats.org/officeDocument/2006/relationships/hyperlink" Target="#'Start Here'!A1" TargetMode="External" Id="rId2" /><Relationship Type="http://schemas.openxmlformats.org/officeDocument/2006/relationships/hyperlink" Target="#'Week 34'!A1" TargetMode="External" Id="rId3" /></Relationships>
</file>

<file path=xl/worksheets/_rels/sheet36.xml.rels><Relationships xmlns="http://schemas.openxmlformats.org/package/2006/relationships"><Relationship Type="http://schemas.openxmlformats.org/officeDocument/2006/relationships/hyperlink" Target="#'Week 33'!A1" TargetMode="External" Id="rId1" /><Relationship Type="http://schemas.openxmlformats.org/officeDocument/2006/relationships/hyperlink" Target="#'Start Here'!A1" TargetMode="External" Id="rId2" /><Relationship Type="http://schemas.openxmlformats.org/officeDocument/2006/relationships/hyperlink" Target="#'Week 35'!A1" TargetMode="External" Id="rId3" /></Relationships>
</file>

<file path=xl/worksheets/_rels/sheet37.xml.rels><Relationships xmlns="http://schemas.openxmlformats.org/package/2006/relationships"><Relationship Type="http://schemas.openxmlformats.org/officeDocument/2006/relationships/hyperlink" Target="#'Week 34'!A1" TargetMode="External" Id="rId1" /><Relationship Type="http://schemas.openxmlformats.org/officeDocument/2006/relationships/hyperlink" Target="#'Start Here'!A1" TargetMode="External" Id="rId2" /><Relationship Type="http://schemas.openxmlformats.org/officeDocument/2006/relationships/hyperlink" Target="#'Week 36'!A1" TargetMode="External" Id="rId3" /></Relationships>
</file>

<file path=xl/worksheets/_rels/sheet38.xml.rels><Relationships xmlns="http://schemas.openxmlformats.org/package/2006/relationships"><Relationship Type="http://schemas.openxmlformats.org/officeDocument/2006/relationships/hyperlink" Target="#'Week 35'!A1" TargetMode="External" Id="rId1" /><Relationship Type="http://schemas.openxmlformats.org/officeDocument/2006/relationships/hyperlink" Target="#'Start Here'!A1" TargetMode="External" Id="rId2" /><Relationship Type="http://schemas.openxmlformats.org/officeDocument/2006/relationships/hyperlink" Target="#'Week 37'!A1" TargetMode="External" Id="rId3" /><Relationship Type="http://schemas.openxmlformats.org/officeDocument/2006/relationships/hyperlink" Target="#'Body'!A1" TargetMode="External" Id="rId4" /></Relationships>
</file>

<file path=xl/worksheets/_rels/sheet39.xml.rels><Relationships xmlns="http://schemas.openxmlformats.org/package/2006/relationships"><Relationship Type="http://schemas.openxmlformats.org/officeDocument/2006/relationships/hyperlink" Target="#'Week 36'!A1" TargetMode="External" Id="rId1" /><Relationship Type="http://schemas.openxmlformats.org/officeDocument/2006/relationships/hyperlink" Target="#'Start Here'!A1" TargetMode="External" Id="rId2" /><Relationship Type="http://schemas.openxmlformats.org/officeDocument/2006/relationships/hyperlink" Target="#'Week 38'!A1" TargetMode="External" Id="rId3" /></Relationships>
</file>

<file path=xl/worksheets/_rels/sheet40.xml.rels><Relationships xmlns="http://schemas.openxmlformats.org/package/2006/relationships"><Relationship Type="http://schemas.openxmlformats.org/officeDocument/2006/relationships/hyperlink" Target="#'Week 37'!A1" TargetMode="External" Id="rId1" /><Relationship Type="http://schemas.openxmlformats.org/officeDocument/2006/relationships/hyperlink" Target="#'Start Here'!A1" TargetMode="External" Id="rId2" /><Relationship Type="http://schemas.openxmlformats.org/officeDocument/2006/relationships/hyperlink" Target="#'Week 39'!A1" TargetMode="External" Id="rId3" /></Relationships>
</file>

<file path=xl/worksheets/_rels/sheet41.xml.rels><Relationships xmlns="http://schemas.openxmlformats.org/package/2006/relationships"><Relationship Type="http://schemas.openxmlformats.org/officeDocument/2006/relationships/hyperlink" Target="#'Week 38'!A1" TargetMode="External" Id="rId1" /><Relationship Type="http://schemas.openxmlformats.org/officeDocument/2006/relationships/hyperlink" Target="#'Start Here'!A1" TargetMode="External" Id="rId2" /><Relationship Type="http://schemas.openxmlformats.org/officeDocument/2006/relationships/hyperlink" Target="#'Week 40'!A1" TargetMode="External" Id="rId3" /></Relationships>
</file>

<file path=xl/worksheets/_rels/sheet42.xml.rels><Relationships xmlns="http://schemas.openxmlformats.org/package/2006/relationships"><Relationship Type="http://schemas.openxmlformats.org/officeDocument/2006/relationships/hyperlink" Target="#'Week 39'!A1" TargetMode="External" Id="rId1" /><Relationship Type="http://schemas.openxmlformats.org/officeDocument/2006/relationships/hyperlink" Target="#'Start Here'!A1" TargetMode="External" Id="rId2" /><Relationship Type="http://schemas.openxmlformats.org/officeDocument/2006/relationships/hyperlink" Target="#'Week 41'!A1" TargetMode="External" Id="rId3" /><Relationship Type="http://schemas.openxmlformats.org/officeDocument/2006/relationships/hyperlink" Target="#'Body'!A1" TargetMode="External" Id="rId4" /></Relationships>
</file>

<file path=xl/worksheets/_rels/sheet43.xml.rels><Relationships xmlns="http://schemas.openxmlformats.org/package/2006/relationships"><Relationship Type="http://schemas.openxmlformats.org/officeDocument/2006/relationships/hyperlink" Target="#'Week 40'!A1" TargetMode="External" Id="rId1" /><Relationship Type="http://schemas.openxmlformats.org/officeDocument/2006/relationships/hyperlink" Target="#'Start Here'!A1" TargetMode="External" Id="rId2" /><Relationship Type="http://schemas.openxmlformats.org/officeDocument/2006/relationships/hyperlink" Target="#'Week 42'!A1" TargetMode="External" Id="rId3" /></Relationships>
</file>

<file path=xl/worksheets/_rels/sheet44.xml.rels><Relationships xmlns="http://schemas.openxmlformats.org/package/2006/relationships"><Relationship Type="http://schemas.openxmlformats.org/officeDocument/2006/relationships/hyperlink" Target="#'Week 41'!A1" TargetMode="External" Id="rId1" /><Relationship Type="http://schemas.openxmlformats.org/officeDocument/2006/relationships/hyperlink" Target="#'Start Here'!A1" TargetMode="External" Id="rId2" /><Relationship Type="http://schemas.openxmlformats.org/officeDocument/2006/relationships/hyperlink" Target="#'Week 43'!A1" TargetMode="External" Id="rId3" /></Relationships>
</file>

<file path=xl/worksheets/_rels/sheet45.xml.rels><Relationships xmlns="http://schemas.openxmlformats.org/package/2006/relationships"><Relationship Type="http://schemas.openxmlformats.org/officeDocument/2006/relationships/hyperlink" Target="#'Week 42'!A1" TargetMode="External" Id="rId1" /><Relationship Type="http://schemas.openxmlformats.org/officeDocument/2006/relationships/hyperlink" Target="#'Start Here'!A1" TargetMode="External" Id="rId2" /><Relationship Type="http://schemas.openxmlformats.org/officeDocument/2006/relationships/hyperlink" Target="#'Week 44'!A1" TargetMode="External" Id="rId3" /></Relationships>
</file>

<file path=xl/worksheets/_rels/sheet46.xml.rels><Relationships xmlns="http://schemas.openxmlformats.org/package/2006/relationships"><Relationship Type="http://schemas.openxmlformats.org/officeDocument/2006/relationships/hyperlink" Target="#'Week 43'!A1" TargetMode="External" Id="rId1" /><Relationship Type="http://schemas.openxmlformats.org/officeDocument/2006/relationships/hyperlink" Target="#'Start Here'!A1" TargetMode="External" Id="rId2" /><Relationship Type="http://schemas.openxmlformats.org/officeDocument/2006/relationships/hyperlink" Target="#'Week 45'!A1" TargetMode="External" Id="rId3" /><Relationship Type="http://schemas.openxmlformats.org/officeDocument/2006/relationships/hyperlink" Target="#'Body'!A1" TargetMode="External" Id="rId4" /></Relationships>
</file>

<file path=xl/worksheets/_rels/sheet47.xml.rels><Relationships xmlns="http://schemas.openxmlformats.org/package/2006/relationships"><Relationship Type="http://schemas.openxmlformats.org/officeDocument/2006/relationships/hyperlink" Target="#'Week 44'!A1" TargetMode="External" Id="rId1" /><Relationship Type="http://schemas.openxmlformats.org/officeDocument/2006/relationships/hyperlink" Target="#'Start Here'!A1" TargetMode="External" Id="rId2" /><Relationship Type="http://schemas.openxmlformats.org/officeDocument/2006/relationships/hyperlink" Target="#'Week 46'!A1" TargetMode="External" Id="rId3" /></Relationships>
</file>

<file path=xl/worksheets/_rels/sheet48.xml.rels><Relationships xmlns="http://schemas.openxmlformats.org/package/2006/relationships"><Relationship Type="http://schemas.openxmlformats.org/officeDocument/2006/relationships/hyperlink" Target="#'Week 45'!A1" TargetMode="External" Id="rId1" /><Relationship Type="http://schemas.openxmlformats.org/officeDocument/2006/relationships/hyperlink" Target="#'Start Here'!A1" TargetMode="External" Id="rId2" /><Relationship Type="http://schemas.openxmlformats.org/officeDocument/2006/relationships/hyperlink" Target="#'Week 47'!A1" TargetMode="External" Id="rId3" /></Relationships>
</file>

<file path=xl/worksheets/_rels/sheet49.xml.rels><Relationships xmlns="http://schemas.openxmlformats.org/package/2006/relationships"><Relationship Type="http://schemas.openxmlformats.org/officeDocument/2006/relationships/hyperlink" Target="#'Week 46'!A1" TargetMode="External" Id="rId1" /><Relationship Type="http://schemas.openxmlformats.org/officeDocument/2006/relationships/hyperlink" Target="#'Start Here'!A1" TargetMode="External" Id="rId2" /><Relationship Type="http://schemas.openxmlformats.org/officeDocument/2006/relationships/hyperlink" Target="#'Week 48'!A1" TargetMode="External" Id="rId3" /></Relationships>
</file>

<file path=xl/worksheets/_rels/sheet50.xml.rels><Relationships xmlns="http://schemas.openxmlformats.org/package/2006/relationships"><Relationship Type="http://schemas.openxmlformats.org/officeDocument/2006/relationships/hyperlink" Target="#'Week 47'!A1" TargetMode="External" Id="rId1" /><Relationship Type="http://schemas.openxmlformats.org/officeDocument/2006/relationships/hyperlink" Target="#'Start Here'!A1" TargetMode="External" Id="rId2" /><Relationship Type="http://schemas.openxmlformats.org/officeDocument/2006/relationships/hyperlink" Target="#'Week 49'!A1" TargetMode="External" Id="rId3" /></Relationships>
</file>

<file path=xl/worksheets/_rels/sheet51.xml.rels><Relationships xmlns="http://schemas.openxmlformats.org/package/2006/relationships"><Relationship Type="http://schemas.openxmlformats.org/officeDocument/2006/relationships/hyperlink" Target="#'Week 48'!A1" TargetMode="External" Id="rId1" /><Relationship Type="http://schemas.openxmlformats.org/officeDocument/2006/relationships/hyperlink" Target="#'Start Here'!A1" TargetMode="External" Id="rId2" /><Relationship Type="http://schemas.openxmlformats.org/officeDocument/2006/relationships/hyperlink" Target="#'Week 50'!A1" TargetMode="External" Id="rId3" /><Relationship Type="http://schemas.openxmlformats.org/officeDocument/2006/relationships/hyperlink" Target="#'Body'!A1" TargetMode="External" Id="rId4" /></Relationships>
</file>

<file path=xl/worksheets/_rels/sheet52.xml.rels><Relationships xmlns="http://schemas.openxmlformats.org/package/2006/relationships"><Relationship Type="http://schemas.openxmlformats.org/officeDocument/2006/relationships/hyperlink" Target="#'Week 49'!A1" TargetMode="External" Id="rId1" /><Relationship Type="http://schemas.openxmlformats.org/officeDocument/2006/relationships/hyperlink" Target="#'Start Here'!A1" TargetMode="External" Id="rId2" /><Relationship Type="http://schemas.openxmlformats.org/officeDocument/2006/relationships/hyperlink" Target="#'Week 51'!A1" TargetMode="External" Id="rId3" /></Relationships>
</file>

<file path=xl/worksheets/_rels/sheet53.xml.rels><Relationships xmlns="http://schemas.openxmlformats.org/package/2006/relationships"><Relationship Type="http://schemas.openxmlformats.org/officeDocument/2006/relationships/hyperlink" Target="#'Week 50'!A1" TargetMode="External" Id="rId1" /><Relationship Type="http://schemas.openxmlformats.org/officeDocument/2006/relationships/hyperlink" Target="#'Start Here'!A1" TargetMode="External" Id="rId2" /><Relationship Type="http://schemas.openxmlformats.org/officeDocument/2006/relationships/hyperlink" Target="#'Week 52'!A1" TargetMode="External" Id="rId3" /></Relationships>
</file>

<file path=xl/worksheets/_rels/sheet54.xml.rels><Relationships xmlns="http://schemas.openxmlformats.org/package/2006/relationships"><Relationship Type="http://schemas.openxmlformats.org/officeDocument/2006/relationships/hyperlink" Target="#'Week 51'!A1" TargetMode="External" Id="rId1" /><Relationship Type="http://schemas.openxmlformats.org/officeDocument/2006/relationships/hyperlink" Target="#'Start Here'!A1" TargetMode="External" Id="rId2" /></Relationships>
</file>

<file path=xl/worksheets/_rels/sheet58.xml.rels><Relationships xmlns="http://schemas.openxmlformats.org/package/2006/relationships"><Relationship Type="http://schemas.openxmlformats.org/officeDocument/2006/relationships/hyperlink" Target="#'Week 00'!A1" TargetMode="External" Id="rId1" /><Relationship Type="http://schemas.openxmlformats.org/officeDocument/2006/relationships/hyperlink" Target="#'Week 01'!A1" TargetMode="External" Id="rId2" /><Relationship Type="http://schemas.openxmlformats.org/officeDocument/2006/relationships/hyperlink" Target="#'Week 02'!A1" TargetMode="External" Id="rId3" /><Relationship Type="http://schemas.openxmlformats.org/officeDocument/2006/relationships/hyperlink" Target="#'Week 03'!A1" TargetMode="External" Id="rId4" /><Relationship Type="http://schemas.openxmlformats.org/officeDocument/2006/relationships/hyperlink" Target="#'Week 04'!A1" TargetMode="External" Id="rId5" /><Relationship Type="http://schemas.openxmlformats.org/officeDocument/2006/relationships/hyperlink" Target="#'Week 05'!A1" TargetMode="External" Id="rId6" /><Relationship Type="http://schemas.openxmlformats.org/officeDocument/2006/relationships/hyperlink" Target="#'Week 06'!A1" TargetMode="External" Id="rId7" /><Relationship Type="http://schemas.openxmlformats.org/officeDocument/2006/relationships/hyperlink" Target="#'Week 07'!A1" TargetMode="External" Id="rId8" /><Relationship Type="http://schemas.openxmlformats.org/officeDocument/2006/relationships/hyperlink" Target="#'Week 08'!A1" TargetMode="External" Id="rId9" /><Relationship Type="http://schemas.openxmlformats.org/officeDocument/2006/relationships/hyperlink" Target="#'Week 09'!A1" TargetMode="External" Id="rId10" /><Relationship Type="http://schemas.openxmlformats.org/officeDocument/2006/relationships/hyperlink" Target="#'Week 10'!A1" TargetMode="External" Id="rId11" /><Relationship Type="http://schemas.openxmlformats.org/officeDocument/2006/relationships/hyperlink" Target="#'Week 11'!A1" TargetMode="External" Id="rId12" /><Relationship Type="http://schemas.openxmlformats.org/officeDocument/2006/relationships/hyperlink" Target="#'Week 12'!A1" TargetMode="External" Id="rId13" /><Relationship Type="http://schemas.openxmlformats.org/officeDocument/2006/relationships/hyperlink" Target="#'Week 13'!A1" TargetMode="External" Id="rId14" /><Relationship Type="http://schemas.openxmlformats.org/officeDocument/2006/relationships/hyperlink" Target="#'Week 14'!A1" TargetMode="External" Id="rId15" /><Relationship Type="http://schemas.openxmlformats.org/officeDocument/2006/relationships/hyperlink" Target="#'Week 15'!A1" TargetMode="External" Id="rId16" /><Relationship Type="http://schemas.openxmlformats.org/officeDocument/2006/relationships/hyperlink" Target="#'Week 16'!A1" TargetMode="External" Id="rId17" /><Relationship Type="http://schemas.openxmlformats.org/officeDocument/2006/relationships/hyperlink" Target="#'Week 17'!A1" TargetMode="External" Id="rId18" /><Relationship Type="http://schemas.openxmlformats.org/officeDocument/2006/relationships/hyperlink" Target="#'Week 18'!A1" TargetMode="External" Id="rId19" /><Relationship Type="http://schemas.openxmlformats.org/officeDocument/2006/relationships/hyperlink" Target="#'Week 19'!A1" TargetMode="External" Id="rId20" /><Relationship Type="http://schemas.openxmlformats.org/officeDocument/2006/relationships/hyperlink" Target="#'Week 20'!A1" TargetMode="External" Id="rId21" /><Relationship Type="http://schemas.openxmlformats.org/officeDocument/2006/relationships/hyperlink" Target="#'Week 21'!A1" TargetMode="External" Id="rId22" /><Relationship Type="http://schemas.openxmlformats.org/officeDocument/2006/relationships/hyperlink" Target="#'Week 22'!A1" TargetMode="External" Id="rId23" /><Relationship Type="http://schemas.openxmlformats.org/officeDocument/2006/relationships/hyperlink" Target="#'Week 23'!A1" TargetMode="External" Id="rId24" /><Relationship Type="http://schemas.openxmlformats.org/officeDocument/2006/relationships/hyperlink" Target="#'Week 24'!A1" TargetMode="External" Id="rId25" /><Relationship Type="http://schemas.openxmlformats.org/officeDocument/2006/relationships/hyperlink" Target="#'Week 25'!A1" TargetMode="External" Id="rId26" /><Relationship Type="http://schemas.openxmlformats.org/officeDocument/2006/relationships/hyperlink" Target="#'Week 26'!A1" TargetMode="External" Id="rId27" /><Relationship Type="http://schemas.openxmlformats.org/officeDocument/2006/relationships/hyperlink" Target="#'Week 27'!A1" TargetMode="External" Id="rId28" /><Relationship Type="http://schemas.openxmlformats.org/officeDocument/2006/relationships/hyperlink" Target="#'Week 28'!A1" TargetMode="External" Id="rId29" /><Relationship Type="http://schemas.openxmlformats.org/officeDocument/2006/relationships/hyperlink" Target="#'Week 29'!A1" TargetMode="External" Id="rId30" /><Relationship Type="http://schemas.openxmlformats.org/officeDocument/2006/relationships/hyperlink" Target="#'Week 30'!A1" TargetMode="External" Id="rId31" /><Relationship Type="http://schemas.openxmlformats.org/officeDocument/2006/relationships/hyperlink" Target="#'Week 31'!A1" TargetMode="External" Id="rId32" /><Relationship Type="http://schemas.openxmlformats.org/officeDocument/2006/relationships/hyperlink" Target="#'Week 32'!A1" TargetMode="External" Id="rId33" /><Relationship Type="http://schemas.openxmlformats.org/officeDocument/2006/relationships/hyperlink" Target="#'Week 33'!A1" TargetMode="External" Id="rId34" /><Relationship Type="http://schemas.openxmlformats.org/officeDocument/2006/relationships/hyperlink" Target="#'Week 34'!A1" TargetMode="External" Id="rId35" /><Relationship Type="http://schemas.openxmlformats.org/officeDocument/2006/relationships/hyperlink" Target="#'Week 35'!A1" TargetMode="External" Id="rId36" /><Relationship Type="http://schemas.openxmlformats.org/officeDocument/2006/relationships/hyperlink" Target="#'Week 36'!A1" TargetMode="External" Id="rId37" /><Relationship Type="http://schemas.openxmlformats.org/officeDocument/2006/relationships/hyperlink" Target="#'Week 37'!A1" TargetMode="External" Id="rId38" /><Relationship Type="http://schemas.openxmlformats.org/officeDocument/2006/relationships/hyperlink" Target="#'Week 38'!A1" TargetMode="External" Id="rId39" /><Relationship Type="http://schemas.openxmlformats.org/officeDocument/2006/relationships/hyperlink" Target="#'Week 39'!A1" TargetMode="External" Id="rId40" /><Relationship Type="http://schemas.openxmlformats.org/officeDocument/2006/relationships/hyperlink" Target="#'Week 40'!A1" TargetMode="External" Id="rId41" /><Relationship Type="http://schemas.openxmlformats.org/officeDocument/2006/relationships/hyperlink" Target="#'Week 41'!A1" TargetMode="External" Id="rId42" /><Relationship Type="http://schemas.openxmlformats.org/officeDocument/2006/relationships/hyperlink" Target="#'Week 42'!A1" TargetMode="External" Id="rId43" /><Relationship Type="http://schemas.openxmlformats.org/officeDocument/2006/relationships/hyperlink" Target="#'Week 43'!A1" TargetMode="External" Id="rId44" /><Relationship Type="http://schemas.openxmlformats.org/officeDocument/2006/relationships/hyperlink" Target="#'Week 44'!A1" TargetMode="External" Id="rId45" /><Relationship Type="http://schemas.openxmlformats.org/officeDocument/2006/relationships/hyperlink" Target="#'Week 45'!A1" TargetMode="External" Id="rId46" /><Relationship Type="http://schemas.openxmlformats.org/officeDocument/2006/relationships/hyperlink" Target="#'Week 46'!A1" TargetMode="External" Id="rId47" /><Relationship Type="http://schemas.openxmlformats.org/officeDocument/2006/relationships/hyperlink" Target="#'Week 47'!A1" TargetMode="External" Id="rId48" /><Relationship Type="http://schemas.openxmlformats.org/officeDocument/2006/relationships/hyperlink" Target="#'Week 48'!A1" TargetMode="External" Id="rId49" /><Relationship Type="http://schemas.openxmlformats.org/officeDocument/2006/relationships/hyperlink" Target="#'Week 49'!A1" TargetMode="External" Id="rId50" /><Relationship Type="http://schemas.openxmlformats.org/officeDocument/2006/relationships/hyperlink" Target="#'Week 50'!A1" TargetMode="External" Id="rId51" /><Relationship Type="http://schemas.openxmlformats.org/officeDocument/2006/relationships/hyperlink" Target="#'Week 51'!A1" TargetMode="External" Id="rId52" /><Relationship Type="http://schemas.openxmlformats.org/officeDocument/2006/relationships/hyperlink" Target="#'Week 52'!A1" TargetMode="External" Id="rId53" /></Relationships>
</file>

<file path=xl/worksheets/_rels/sheet59.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M57"/>
  <sheetViews>
    <sheetView workbookViewId="0">
      <selection activeCell="A1" sqref="A1"/>
    </sheetView>
  </sheetViews>
  <sheetFormatPr baseColWidth="8" defaultRowHeight="15"/>
  <cols>
    <col width="30" customWidth="1" min="1" max="1"/>
    <col width="14" customWidth="1" min="2" max="2"/>
    <col width="8" customWidth="1" min="3" max="3"/>
    <col width="11" customWidth="1" min="4" max="4"/>
    <col width="3" customWidth="1" min="5" max="5"/>
    <col width="16" customWidth="1" min="6" max="6"/>
    <col width="14" customWidth="1" min="7" max="7"/>
    <col width="12" customWidth="1" min="8" max="8"/>
    <col width="10" customWidth="1" min="9" max="9"/>
    <col width="9" customWidth="1" min="10" max="10"/>
    <col width="9" customWidth="1" min="11" max="11"/>
    <col width="9" customWidth="1" min="12" max="12"/>
    <col width="9" customWidth="1" min="13" max="13"/>
  </cols>
  <sheetData>
    <row r="1">
      <c r="A1" s="1" t="inlineStr">
        <is>
          <t>RuskiMaxxing Supertotal - 1-Year Strength, Mass &amp; Power Program</t>
        </is>
      </c>
    </row>
    <row r="2">
      <c r="A2" t="inlineStr">
        <is>
          <t>Yellow cells are yours to fill in.</t>
        </is>
      </c>
    </row>
    <row r="3">
      <c r="A3" s="2" t="inlineStr">
        <is>
          <t>Intake</t>
        </is>
      </c>
      <c r="F3" s="2" t="inlineStr">
        <is>
          <t>PR board</t>
        </is>
      </c>
    </row>
    <row r="4">
      <c r="A4" s="3" t="inlineStr">
        <is>
          <t>Name (optional)</t>
        </is>
      </c>
      <c r="B4" s="4" t="n"/>
      <c r="F4" s="5" t="inlineStr">
        <is>
          <t>Lift</t>
        </is>
      </c>
      <c r="G4" s="5" t="inlineStr">
        <is>
          <t>Best est. 1RM</t>
        </is>
      </c>
      <c r="H4" s="5" t="inlineStr">
        <is>
          <t>1RM</t>
        </is>
      </c>
      <c r="I4" s="5" t="inlineStr">
        <is>
          <t>3RM</t>
        </is>
      </c>
      <c r="J4" s="5" t="inlineStr">
        <is>
          <t>5RM</t>
        </is>
      </c>
      <c r="K4" s="5" t="inlineStr">
        <is>
          <t>10RM</t>
        </is>
      </c>
    </row>
    <row r="5">
      <c r="A5" s="3" t="inlineStr">
        <is>
          <t>Units</t>
        </is>
      </c>
      <c r="B5" s="4" t="inlineStr">
        <is>
          <t>lb</t>
        </is>
      </c>
      <c r="F5" s="6" t="inlineStr">
        <is>
          <t>Squat</t>
        </is>
      </c>
      <c r="G5" s="7">
        <f>PRs!C2</f>
        <v/>
      </c>
      <c r="H5" s="8">
        <f>PRs!D2</f>
        <v/>
      </c>
      <c r="I5" s="8">
        <f>PRs!F2</f>
        <v/>
      </c>
      <c r="J5" s="8">
        <f>PRs!H2</f>
        <v/>
      </c>
      <c r="K5" s="8">
        <f>PRs!K2</f>
        <v/>
      </c>
    </row>
    <row r="6">
      <c r="A6" s="3" t="inlineStr">
        <is>
          <t>Round weights to nearest</t>
        </is>
      </c>
      <c r="B6" s="4" t="n">
        <v>5</v>
      </c>
      <c r="F6" s="6" t="inlineStr">
        <is>
          <t>Bench Press</t>
        </is>
      </c>
      <c r="G6" s="7">
        <f>PRs!C3</f>
        <v/>
      </c>
      <c r="H6" s="8">
        <f>PRs!D3</f>
        <v/>
      </c>
      <c r="I6" s="8">
        <f>PRs!F3</f>
        <v/>
      </c>
      <c r="J6" s="8">
        <f>PRs!H3</f>
        <v/>
      </c>
      <c r="K6" s="8">
        <f>PRs!K3</f>
        <v/>
      </c>
    </row>
    <row r="7">
      <c r="A7" s="3" t="inlineStr">
        <is>
          <t>Start date (a Monday)</t>
        </is>
      </c>
      <c r="B7" s="9" t="n">
        <v>46293</v>
      </c>
      <c r="F7" s="6" t="inlineStr">
        <is>
          <t>Deadlift</t>
        </is>
      </c>
      <c r="G7" s="7">
        <f>PRs!C4</f>
        <v/>
      </c>
      <c r="H7" s="8">
        <f>PRs!D4</f>
        <v/>
      </c>
      <c r="I7" s="8">
        <f>PRs!F4</f>
        <v/>
      </c>
      <c r="J7" s="8">
        <f>PRs!H4</f>
        <v/>
      </c>
      <c r="K7" s="8">
        <f>PRs!K4</f>
        <v/>
      </c>
    </row>
    <row r="8">
      <c r="A8" s="3" t="inlineStr">
        <is>
          <t>Height (inches if lb, cm if kg)</t>
        </is>
      </c>
      <c r="B8" s="4" t="n"/>
      <c r="F8" s="6" t="inlineStr">
        <is>
          <t>Overhead Press</t>
        </is>
      </c>
      <c r="G8" s="7">
        <f>PRs!C5</f>
        <v/>
      </c>
      <c r="H8" s="8">
        <f>PRs!D5</f>
        <v/>
      </c>
      <c r="I8" s="8">
        <f>PRs!F5</f>
        <v/>
      </c>
      <c r="J8" s="8">
        <f>PRs!H5</f>
        <v/>
      </c>
      <c r="K8" s="8">
        <f>PRs!K5</f>
        <v/>
      </c>
    </row>
    <row r="9">
      <c r="A9" s="3" t="inlineStr">
        <is>
          <t>Starting bodyweight</t>
        </is>
      </c>
      <c r="B9" s="4" t="n"/>
      <c r="F9" s="6" t="inlineStr">
        <is>
          <t>Snatch</t>
        </is>
      </c>
      <c r="G9" s="7">
        <f>PRs!C6</f>
        <v/>
      </c>
      <c r="H9" s="8">
        <f>PRs!D6</f>
        <v/>
      </c>
      <c r="I9" s="8">
        <f>PRs!F6</f>
        <v/>
      </c>
      <c r="J9" s="8">
        <f>PRs!H6</f>
        <v/>
      </c>
      <c r="K9" s="8">
        <f>PRs!K6</f>
        <v/>
      </c>
    </row>
    <row r="10">
      <c r="A10" s="3" t="inlineStr">
        <is>
          <t>Starting body fat % (optional)</t>
        </is>
      </c>
      <c r="B10" s="4" t="n"/>
      <c r="F10" s="6" t="inlineStr">
        <is>
          <t>Clean &amp; Jerk</t>
        </is>
      </c>
      <c r="G10" s="7">
        <f>PRs!C7</f>
        <v/>
      </c>
      <c r="H10" s="8">
        <f>PRs!D7</f>
        <v/>
      </c>
      <c r="I10" s="8">
        <f>PRs!F7</f>
        <v/>
      </c>
      <c r="J10" s="8">
        <f>PRs!H7</f>
        <v/>
      </c>
      <c r="K10" s="8">
        <f>PRs!K7</f>
        <v/>
      </c>
    </row>
    <row r="11">
      <c r="A11" s="3" t="inlineStr">
        <is>
          <t>Body fat method</t>
        </is>
      </c>
      <c r="B11" s="4" t="n"/>
      <c r="F11" s="10" t="inlineStr">
        <is>
          <t>Total (e1RM)</t>
        </is>
      </c>
      <c r="G11" s="11">
        <f>G5+G6+G7+G8+G9+G10</f>
        <v/>
      </c>
    </row>
    <row r="12">
      <c r="A12" s="3" t="inlineStr">
        <is>
          <t>Age (optional)</t>
        </is>
      </c>
      <c r="B12" s="4" t="n"/>
    </row>
    <row r="13">
      <c r="A13" s="3" t="inlineStr">
        <is>
          <t>Sex (optional)</t>
        </is>
      </c>
      <c r="B13" s="4" t="n"/>
      <c r="F13" s="2" t="inlineStr">
        <is>
          <t>Box jump standards (from your height)</t>
        </is>
      </c>
    </row>
    <row r="14">
      <c r="F14" s="5" t="inlineStr">
        <is>
          <t>Level</t>
        </is>
      </c>
      <c r="G14" s="5" t="inlineStr">
        <is>
          <t>Box height</t>
        </is>
      </c>
      <c r="H14" s="5" t="inlineStr">
        <is>
          <t>Target</t>
        </is>
      </c>
      <c r="I14" s="5" t="inlineStr">
        <is>
          <t>Reached?</t>
        </is>
      </c>
    </row>
    <row r="15">
      <c r="A15" s="2" t="inlineStr">
        <is>
          <t>Starting maxes (any movement or variation)</t>
        </is>
      </c>
      <c r="F15" s="6" t="inlineStr">
        <is>
          <t>Beginner</t>
        </is>
      </c>
      <c r="G15" s="3" t="inlineStr">
        <is>
          <t>1 step</t>
        </is>
      </c>
      <c r="H15" s="3">
        <f>IF('Start Here'!$B$5="kg",19,7.5)</f>
        <v/>
      </c>
      <c r="I15" s="12">
        <f>IF(AND(ISNUMBER(H15),PRs!D69&gt;0),IF(PRs!D69&gt;=H15,"YES",""),"")</f>
        <v/>
      </c>
    </row>
    <row r="16">
      <c r="A16" s="5" t="inlineStr">
        <is>
          <t>Exercise</t>
        </is>
      </c>
      <c r="B16" s="5" t="inlineStr">
        <is>
          <t>Weight</t>
        </is>
      </c>
      <c r="C16" s="5" t="inlineStr">
        <is>
          <t>Reps</t>
        </is>
      </c>
      <c r="D16" s="5" t="inlineStr">
        <is>
          <t>Est. 1RM</t>
        </is>
      </c>
      <c r="F16" s="6" t="inlineStr">
        <is>
          <t>Intermediate</t>
        </is>
      </c>
      <c r="G16" s="3" t="inlineStr">
        <is>
          <t>above knee</t>
        </is>
      </c>
      <c r="H16" s="3">
        <f>IF('Start Here'!$B$8="","enter height",ROUND('Start Here'!$B$8*0.3,1))</f>
        <v/>
      </c>
      <c r="I16" s="12">
        <f>IF(AND(ISNUMBER(H16),PRs!D69&gt;0),IF(PRs!D69&gt;=H16,"YES",""),"")</f>
        <v/>
      </c>
    </row>
    <row r="17">
      <c r="A17" s="4" t="inlineStr">
        <is>
          <t>Squat</t>
        </is>
      </c>
      <c r="B17" s="4" t="n"/>
      <c r="C17" s="4" t="n"/>
      <c r="D17" s="6">
        <f>IF(OR(B17="",C17=""),"",IF(C17=1,B17,ROUND(B17*(1+C17/30),1)))</f>
        <v/>
      </c>
      <c r="F17" s="6" t="inlineStr">
        <is>
          <t>Proficient</t>
        </is>
      </c>
      <c r="G17" s="3" t="inlineStr">
        <is>
          <t>chest height</t>
        </is>
      </c>
      <c r="H17" s="3">
        <f>IF('Start Here'!$B$8="","enter height",ROUND('Start Here'!$B$8*0.72,1))</f>
        <v/>
      </c>
      <c r="I17" s="12">
        <f>IF(AND(ISNUMBER(H17),PRs!D69&gt;0),IF(PRs!D69&gt;=H17,"YES",""),"")</f>
        <v/>
      </c>
    </row>
    <row r="18">
      <c r="A18" s="4" t="inlineStr">
        <is>
          <t>Bench Press</t>
        </is>
      </c>
      <c r="B18" s="4" t="n"/>
      <c r="C18" s="4" t="n"/>
      <c r="D18" s="6">
        <f>IF(OR(B18="",C18=""),"",IF(C18=1,B18,ROUND(B18*(1+C18/30),1)))</f>
        <v/>
      </c>
      <c r="F18" s="6" t="inlineStr">
        <is>
          <t>Elite</t>
        </is>
      </c>
      <c r="G18" s="3" t="inlineStr">
        <is>
          <t>head height</t>
        </is>
      </c>
      <c r="H18" s="3">
        <f>IF('Start Here'!$B$8="","enter height",ROUND('Start Here'!$B$8*0.93,1))</f>
        <v/>
      </c>
      <c r="I18" s="12">
        <f>IF(AND(ISNUMBER(H18),PRs!D69&gt;0),IF(PRs!D69&gt;=H18,"YES",""),"")</f>
        <v/>
      </c>
    </row>
    <row r="19">
      <c r="A19" s="4" t="inlineStr">
        <is>
          <t>Deadlift</t>
        </is>
      </c>
      <c r="B19" s="4" t="n"/>
      <c r="C19" s="4" t="n"/>
      <c r="D19" s="6">
        <f>IF(OR(B19="",C19=""),"",IF(C19=1,B19,ROUND(B19*(1+C19/30),1)))</f>
        <v/>
      </c>
      <c r="F19" s="10" t="inlineStr">
        <is>
          <t>Your best box jump</t>
        </is>
      </c>
      <c r="H19" s="13">
        <f>PRs!D69</f>
        <v/>
      </c>
    </row>
    <row r="20">
      <c r="A20" s="4" t="inlineStr">
        <is>
          <t>Overhead Press</t>
        </is>
      </c>
      <c r="B20" s="4" t="n"/>
      <c r="C20" s="4" t="n"/>
      <c r="D20" s="6">
        <f>IF(OR(B20="",C20=""),"",IF(C20=1,B20,ROUND(B20*(1+C20/30),1)))</f>
        <v/>
      </c>
      <c r="F20" s="10" t="inlineStr">
        <is>
          <t>Your level</t>
        </is>
      </c>
      <c r="H20" s="14">
        <f>IF(PRs!D69=0,"Not tested",IF(ISNUMBER('Start Here'!$H$18)*(PRs!D69&gt;='Start Here'!$H$18),"Elite",IF(ISNUMBER('Start Here'!$H$17)*(PRs!D69&gt;='Start Here'!$H$17),"Proficient",IF(ISNUMBER('Start Here'!$H$16)*(PRs!D69&gt;='Start Here'!$H$16),"Intermediate",IF(PRs!D69&gt;='Start Here'!$H$15,"Beginner","Below beginner")))))</f>
        <v/>
      </c>
    </row>
    <row r="21">
      <c r="A21" s="4" t="inlineStr">
        <is>
          <t>Snatch</t>
        </is>
      </c>
      <c r="B21" s="4" t="n"/>
      <c r="C21" s="4" t="n"/>
      <c r="D21" s="6">
        <f>IF(OR(B21="",C21=""),"",IF(C21=1,B21,ROUND(B21*(1+C21/30),1)))</f>
        <v/>
      </c>
      <c r="F21" t="inlineStr">
        <is>
          <t>1 step = beginner, above knee = intermediate, chest = proficient, head height = elite. Same unit as your height.</t>
        </is>
      </c>
    </row>
    <row r="22">
      <c r="A22" s="4" t="inlineStr">
        <is>
          <t>Clean &amp; Jerk</t>
        </is>
      </c>
      <c r="B22" s="4" t="n"/>
      <c r="C22" s="4" t="n"/>
      <c r="D22" s="6">
        <f>IF(OR(B22="",C22=""),"",IF(C22=1,B22,ROUND(B22*(1+C22/30),1)))</f>
        <v/>
      </c>
    </row>
    <row r="23">
      <c r="A23" s="4" t="inlineStr">
        <is>
          <t>Box Squat</t>
        </is>
      </c>
      <c r="B23" s="4" t="n"/>
      <c r="C23" s="4" t="n"/>
      <c r="D23" s="6">
        <f>IF(OR(B23="",C23=""),"",IF(C23=1,B23,ROUND(B23*(1+C23/30),1)))</f>
        <v/>
      </c>
      <c r="F23" s="2" t="inlineStr">
        <is>
          <t>Prilepin's chart</t>
        </is>
      </c>
    </row>
    <row r="24">
      <c r="A24" s="4" t="inlineStr">
        <is>
          <t>Close-Grip Bench Press</t>
        </is>
      </c>
      <c r="B24" s="4" t="n"/>
      <c r="C24" s="4" t="n"/>
      <c r="D24" s="6">
        <f>IF(OR(B24="",C24=""),"",IF(C24=1,B24,ROUND(B24*(1+C24/30),1)))</f>
        <v/>
      </c>
      <c r="F24" s="5" t="inlineStr">
        <is>
          <t>% of max</t>
        </is>
      </c>
      <c r="G24" s="5" t="inlineStr">
        <is>
          <t>Reps per set</t>
        </is>
      </c>
      <c r="H24" s="5" t="inlineStr">
        <is>
          <t>Optimal total</t>
        </is>
      </c>
      <c r="I24" s="5" t="inlineStr">
        <is>
          <t>Total range</t>
        </is>
      </c>
    </row>
    <row r="25">
      <c r="A25" s="4" t="inlineStr">
        <is>
          <t>Romanian Deadlift</t>
        </is>
      </c>
      <c r="B25" s="4" t="n"/>
      <c r="C25" s="4" t="n"/>
      <c r="D25" s="6">
        <f>IF(OR(B25="",C25=""),"",IF(C25=1,B25,ROUND(B25*(1+C25/30),1)))</f>
        <v/>
      </c>
      <c r="F25" s="15" t="inlineStr">
        <is>
          <t>Under 70%</t>
        </is>
      </c>
      <c r="G25" s="15" t="inlineStr">
        <is>
          <t>3-6</t>
        </is>
      </c>
      <c r="H25" s="15" t="n">
        <v>24</v>
      </c>
      <c r="I25" s="15" t="inlineStr">
        <is>
          <t>18-30</t>
        </is>
      </c>
    </row>
    <row r="26">
      <c r="A26" s="4" t="inlineStr">
        <is>
          <t>Box Jump</t>
        </is>
      </c>
      <c r="B26" s="4" t="n"/>
      <c r="C26" s="4" t="n"/>
      <c r="D26" s="6">
        <f>IF(OR(B26="",C26=""),"",IF(C26=1,B26,ROUND(B26*(1+C26/30),1)))</f>
        <v/>
      </c>
      <c r="F26" s="15" t="inlineStr">
        <is>
          <t>70-80%</t>
        </is>
      </c>
      <c r="G26" s="15" t="inlineStr">
        <is>
          <t>3-6</t>
        </is>
      </c>
      <c r="H26" s="15" t="n">
        <v>18</v>
      </c>
      <c r="I26" s="15" t="inlineStr">
        <is>
          <t>12-24</t>
        </is>
      </c>
    </row>
    <row r="27">
      <c r="A27" s="4" t="n"/>
      <c r="B27" s="4" t="n"/>
      <c r="C27" s="4" t="n"/>
      <c r="D27" s="6">
        <f>IF(OR(B27="",C27=""),"",IF(C27=1,B27,ROUND(B27*(1+C27/30),1)))</f>
        <v/>
      </c>
      <c r="F27" s="15" t="inlineStr">
        <is>
          <t>80-90%</t>
        </is>
      </c>
      <c r="G27" s="15" t="inlineStr">
        <is>
          <t>2-4</t>
        </is>
      </c>
      <c r="H27" s="15" t="n">
        <v>15</v>
      </c>
      <c r="I27" s="15" t="inlineStr">
        <is>
          <t>10-20</t>
        </is>
      </c>
    </row>
    <row r="28">
      <c r="A28" s="4" t="n"/>
      <c r="B28" s="4" t="n"/>
      <c r="C28" s="4" t="n"/>
      <c r="D28" s="6">
        <f>IF(OR(B28="",C28=""),"",IF(C28=1,B28,ROUND(B28*(1+C28/30),1)))</f>
        <v/>
      </c>
      <c r="F28" s="15" t="inlineStr">
        <is>
          <t>90%+</t>
        </is>
      </c>
      <c r="G28" s="15" t="inlineStr">
        <is>
          <t>1-2</t>
        </is>
      </c>
      <c r="H28" s="15" t="n">
        <v>7</v>
      </c>
      <c r="I28" s="15" t="inlineStr">
        <is>
          <t>4-10</t>
        </is>
      </c>
    </row>
    <row r="29">
      <c r="A29" s="4" t="n"/>
      <c r="B29" s="4" t="n"/>
      <c r="C29" s="4" t="n"/>
      <c r="D29" s="6">
        <f>IF(OR(B29="",C29=""),"",IF(C29=1,B29,ROUND(B29*(1+C29/30),1)))</f>
        <v/>
      </c>
      <c r="F29" t="inlineStr">
        <is>
          <t>Every loaded session's sets x reps come from this chart.</t>
        </is>
      </c>
    </row>
    <row r="30">
      <c r="A30" s="4" t="n"/>
      <c r="B30" s="4" t="n"/>
      <c r="C30" s="4" t="n"/>
      <c r="D30" s="6">
        <f>IF(OR(B30="",C30=""),"",IF(C30=1,B30,ROUND(B30*(1+C30/30),1)))</f>
        <v/>
      </c>
    </row>
    <row r="31">
      <c r="A31" s="4" t="n"/>
      <c r="B31" s="4" t="n"/>
      <c r="C31" s="4" t="n"/>
      <c r="D31" s="6">
        <f>IF(OR(B31="",C31=""),"",IF(C31=1,B31,ROUND(B31*(1+C31/30),1)))</f>
        <v/>
      </c>
      <c r="F31" s="2" t="inlineStr">
        <is>
          <t>Go to week</t>
        </is>
      </c>
    </row>
    <row r="32">
      <c r="A32" s="4" t="n"/>
      <c r="B32" s="4" t="n"/>
      <c r="C32" s="4" t="n"/>
      <c r="D32" s="6">
        <f>IF(OR(B32="",C32=""),"",IF(C32=1,B32,ROUND(B32*(1+C32/30),1)))</f>
        <v/>
      </c>
      <c r="F32" s="16" t="inlineStr">
        <is>
          <t>Week 00</t>
        </is>
      </c>
      <c r="G32" s="17" t="inlineStr">
        <is>
          <t>Week 01</t>
        </is>
      </c>
      <c r="H32" s="17" t="inlineStr">
        <is>
          <t>Week 02</t>
        </is>
      </c>
      <c r="I32" s="17" t="inlineStr">
        <is>
          <t>Week 03</t>
        </is>
      </c>
      <c r="J32" s="18" t="inlineStr">
        <is>
          <t>Week 04</t>
        </is>
      </c>
      <c r="K32" s="19" t="inlineStr">
        <is>
          <t>Week 05</t>
        </is>
      </c>
      <c r="L32" s="19" t="inlineStr">
        <is>
          <t>Week 06</t>
        </is>
      </c>
      <c r="M32" s="19" t="inlineStr">
        <is>
          <t>Week 07</t>
        </is>
      </c>
    </row>
    <row r="33">
      <c r="A33" s="4" t="n"/>
      <c r="B33" s="4" t="n"/>
      <c r="C33" s="4" t="n"/>
      <c r="D33" s="6">
        <f>IF(OR(B33="",C33=""),"",IF(C33=1,B33,ROUND(B33*(1+C33/30),1)))</f>
        <v/>
      </c>
      <c r="F33" s="18" t="inlineStr">
        <is>
          <t>Week 08</t>
        </is>
      </c>
      <c r="G33" s="20" t="inlineStr">
        <is>
          <t>Week 09</t>
        </is>
      </c>
      <c r="H33" s="20" t="inlineStr">
        <is>
          <t>Week 10</t>
        </is>
      </c>
      <c r="I33" s="21" t="inlineStr">
        <is>
          <t>Week 11</t>
        </is>
      </c>
      <c r="J33" s="16" t="inlineStr">
        <is>
          <t>Week 12</t>
        </is>
      </c>
      <c r="K33" s="17" t="inlineStr">
        <is>
          <t>Week 13</t>
        </is>
      </c>
      <c r="L33" s="17" t="inlineStr">
        <is>
          <t>Week 14</t>
        </is>
      </c>
      <c r="M33" s="17" t="inlineStr">
        <is>
          <t>Week 15</t>
        </is>
      </c>
    </row>
    <row r="34">
      <c r="A34" s="4" t="n"/>
      <c r="B34" s="4" t="n"/>
      <c r="C34" s="4" t="n"/>
      <c r="D34" s="6">
        <f>IF(OR(B34="",C34=""),"",IF(C34=1,B34,ROUND(B34*(1+C34/30),1)))</f>
        <v/>
      </c>
      <c r="F34" s="18" t="inlineStr">
        <is>
          <t>Week 16</t>
        </is>
      </c>
      <c r="G34" s="19" t="inlineStr">
        <is>
          <t>Week 17</t>
        </is>
      </c>
      <c r="H34" s="19" t="inlineStr">
        <is>
          <t>Week 18</t>
        </is>
      </c>
      <c r="I34" s="19" t="inlineStr">
        <is>
          <t>Week 19</t>
        </is>
      </c>
      <c r="J34" s="18" t="inlineStr">
        <is>
          <t>Week 20</t>
        </is>
      </c>
      <c r="K34" s="20" t="inlineStr">
        <is>
          <t>Week 21</t>
        </is>
      </c>
      <c r="L34" s="20" t="inlineStr">
        <is>
          <t>Week 22</t>
        </is>
      </c>
      <c r="M34" s="21" t="inlineStr">
        <is>
          <t>Week 23</t>
        </is>
      </c>
    </row>
    <row r="35">
      <c r="A35" s="4" t="n"/>
      <c r="B35" s="4" t="n"/>
      <c r="C35" s="4" t="n"/>
      <c r="D35" s="6">
        <f>IF(OR(B35="",C35=""),"",IF(C35=1,B35,ROUND(B35*(1+C35/30),1)))</f>
        <v/>
      </c>
      <c r="F35" s="16" t="inlineStr">
        <is>
          <t>Week 24</t>
        </is>
      </c>
      <c r="G35" s="17" t="inlineStr">
        <is>
          <t>Week 25</t>
        </is>
      </c>
      <c r="H35" s="17" t="inlineStr">
        <is>
          <t>Week 26</t>
        </is>
      </c>
      <c r="I35" s="17" t="inlineStr">
        <is>
          <t>Week 27</t>
        </is>
      </c>
      <c r="J35" s="18" t="inlineStr">
        <is>
          <t>Week 28</t>
        </is>
      </c>
      <c r="K35" s="19" t="inlineStr">
        <is>
          <t>Week 29</t>
        </is>
      </c>
      <c r="L35" s="19" t="inlineStr">
        <is>
          <t>Week 30</t>
        </is>
      </c>
      <c r="M35" s="19" t="inlineStr">
        <is>
          <t>Week 31</t>
        </is>
      </c>
    </row>
    <row r="36">
      <c r="A36" s="4" t="n"/>
      <c r="B36" s="4" t="n"/>
      <c r="C36" s="4" t="n"/>
      <c r="D36" s="6">
        <f>IF(OR(B36="",C36=""),"",IF(C36=1,B36,ROUND(B36*(1+C36/30),1)))</f>
        <v/>
      </c>
      <c r="F36" s="18" t="inlineStr">
        <is>
          <t>Week 32</t>
        </is>
      </c>
      <c r="G36" s="20" t="inlineStr">
        <is>
          <t>Week 33</t>
        </is>
      </c>
      <c r="H36" s="20" t="inlineStr">
        <is>
          <t>Week 34</t>
        </is>
      </c>
      <c r="I36" s="21" t="inlineStr">
        <is>
          <t>Week 35</t>
        </is>
      </c>
      <c r="J36" s="16" t="inlineStr">
        <is>
          <t>Week 36</t>
        </is>
      </c>
      <c r="K36" s="17" t="inlineStr">
        <is>
          <t>Week 37</t>
        </is>
      </c>
      <c r="L36" s="17" t="inlineStr">
        <is>
          <t>Week 38</t>
        </is>
      </c>
      <c r="M36" s="17" t="inlineStr">
        <is>
          <t>Week 39</t>
        </is>
      </c>
    </row>
    <row r="37">
      <c r="A37" s="4" t="n"/>
      <c r="B37" s="4" t="n"/>
      <c r="C37" s="4" t="n"/>
      <c r="D37" s="6">
        <f>IF(OR(B37="",C37=""),"",IF(C37=1,B37,ROUND(B37*(1+C37/30),1)))</f>
        <v/>
      </c>
      <c r="F37" s="18" t="inlineStr">
        <is>
          <t>Week 40</t>
        </is>
      </c>
      <c r="G37" s="19" t="inlineStr">
        <is>
          <t>Week 41</t>
        </is>
      </c>
      <c r="H37" s="19" t="inlineStr">
        <is>
          <t>Week 42</t>
        </is>
      </c>
      <c r="I37" s="19" t="inlineStr">
        <is>
          <t>Week 43</t>
        </is>
      </c>
      <c r="J37" s="18" t="inlineStr">
        <is>
          <t>Week 44</t>
        </is>
      </c>
      <c r="K37" s="20" t="inlineStr">
        <is>
          <t>Week 45</t>
        </is>
      </c>
      <c r="L37" s="20" t="inlineStr">
        <is>
          <t>Week 46</t>
        </is>
      </c>
      <c r="M37" s="21" t="inlineStr">
        <is>
          <t>Week 47</t>
        </is>
      </c>
    </row>
    <row r="38">
      <c r="A38" s="4" t="n"/>
      <c r="B38" s="4" t="n"/>
      <c r="C38" s="4" t="n"/>
      <c r="D38" s="6">
        <f>IF(OR(B38="",C38=""),"",IF(C38=1,B38,ROUND(B38*(1+C38/30),1)))</f>
        <v/>
      </c>
      <c r="F38" s="16" t="inlineStr">
        <is>
          <t>Week 48</t>
        </is>
      </c>
      <c r="G38" s="22" t="inlineStr">
        <is>
          <t>Week 49</t>
        </is>
      </c>
      <c r="H38" s="22" t="inlineStr">
        <is>
          <t>Week 50</t>
        </is>
      </c>
      <c r="I38" s="22" t="inlineStr">
        <is>
          <t>Week 51</t>
        </is>
      </c>
      <c r="J38" s="18" t="inlineStr">
        <is>
          <t>Week 52</t>
        </is>
      </c>
    </row>
    <row r="39">
      <c r="A39" s="4" t="n"/>
      <c r="B39" s="4" t="n"/>
      <c r="C39" s="4" t="n"/>
      <c r="D39" s="6">
        <f>IF(OR(B39="",C39=""),"",IF(C39=1,B39,ROUND(B39*(1+C39/30),1)))</f>
        <v/>
      </c>
    </row>
    <row r="40">
      <c r="A40" s="4" t="n"/>
      <c r="B40" s="4" t="n"/>
      <c r="C40" s="4" t="n"/>
      <c r="D40" s="6">
        <f>IF(OR(B40="",C40=""),"",IF(C40=1,B40,ROUND(B40*(1+C40/30),1)))</f>
        <v/>
      </c>
      <c r="F40" s="2" t="inlineStr">
        <is>
          <t>How to use this workbook</t>
        </is>
      </c>
    </row>
    <row r="41">
      <c r="A41" s="4" t="n"/>
      <c r="B41" s="4" t="n"/>
      <c r="C41" s="4" t="n"/>
      <c r="D41" s="6">
        <f>IF(OR(B41="",C41=""),"",IF(C41=1,B41,ROUND(B41*(1+C41/30),1)))</f>
        <v/>
      </c>
      <c r="F41" s="23" t="inlineStr">
        <is>
          <t>1. Fill in the intake (yellow cells, top left): units, rounding, the Monday you start, height, bodyweight.</t>
        </is>
      </c>
    </row>
    <row r="42">
      <c r="A42" s="4" t="n"/>
      <c r="B42" s="4" t="n"/>
      <c r="C42" s="4" t="n"/>
      <c r="D42" s="6">
        <f>IF(OR(B42="",C42=""),"",IF(C42=1,B42,ROUND(B42*(1+C42/30),1)))</f>
        <v/>
      </c>
      <c r="F42" s="23" t="inlineStr">
        <is>
          <t>2. Starting maxes - EITHER enter what you know in the Starting maxes table (any movement or variation,</t>
        </is>
      </c>
    </row>
    <row r="43">
      <c r="A43" s="4" t="n"/>
      <c r="B43" s="4" t="n"/>
      <c r="C43" s="4" t="n"/>
      <c r="D43" s="6">
        <f>IF(OR(B43="",C43=""),"",IF(C43=1,B43,ROUND(B43*(1+C43/30),1)))</f>
        <v/>
      </c>
      <c r="F43" s="23" t="inlineStr">
        <is>
          <t xml:space="preserve">   weight and reps: 1 for a true max, or e.g. 185 x 5), OR run Week 00 - a test week - and log it there.</t>
        </is>
      </c>
    </row>
    <row r="44">
      <c r="A44" s="4" t="n"/>
      <c r="B44" s="4" t="n"/>
      <c r="C44" s="4" t="n"/>
      <c r="D44" s="6">
        <f>IF(OR(B44="",C44=""),"",IF(C44=1,B44,ROUND(B44*(1+C44/30),1)))</f>
        <v/>
      </c>
      <c r="F44" s="23" t="inlineStr">
        <is>
          <t xml:space="preserve">   Variations you haven't done yet are estimated from the main lift until you log them.</t>
        </is>
      </c>
    </row>
    <row r="45">
      <c r="A45" s="4" t="n"/>
      <c r="B45" s="4" t="n"/>
      <c r="C45" s="4" t="n"/>
      <c r="D45" s="6">
        <f>IF(OR(B45="",C45=""),"",IF(C45=1,B45,ROUND(B45*(1+C45/30),1)))</f>
        <v/>
      </c>
      <c r="F45" s="23" t="inlineStr">
        <is>
          <t>3. Each week has its own sheet (Week 01 ... Week 52; links above). Weights fill in automatically.</t>
        </is>
      </c>
    </row>
    <row r="46">
      <c r="A46" s="4" t="n"/>
      <c r="B46" s="4" t="n"/>
      <c r="C46" s="4" t="n"/>
      <c r="D46" s="6">
        <f>IF(OR(B46="",C46=""),"",IF(C46=1,B46,ROUND(B46*(1+C46/30),1)))</f>
        <v/>
      </c>
      <c r="F46" s="23" t="inlineStr">
        <is>
          <t xml:space="preserve">   Log the weight and reps of your top set in the yellow columns - PRs are flagged in red.</t>
        </is>
      </c>
    </row>
    <row r="47">
      <c r="A47" s="4" t="n"/>
      <c r="B47" s="4" t="n"/>
      <c r="C47" s="4" t="n"/>
      <c r="D47" s="6">
        <f>IF(OR(B47="",C47=""),"",IF(C47=1,B47,ROUND(B47*(1+C47/30),1)))</f>
        <v/>
      </c>
      <c r="F47" s="23" t="inlineStr">
        <is>
          <t xml:space="preserve">   For jumps, log the box height / jump distance in the 'Actual' column.</t>
        </is>
      </c>
    </row>
    <row r="48">
      <c r="A48" s="4" t="n"/>
      <c r="B48" s="4" t="n"/>
      <c r="C48" s="4" t="n"/>
      <c r="D48" s="6">
        <f>IF(OR(B48="",C48=""),"",IF(C48=1,B48,ROUND(B48*(1+C48/30),1)))</f>
        <v/>
      </c>
      <c r="F48" s="23" t="inlineStr">
        <is>
          <t>4. Enter your bodyweight once a week at the top of each week sheet (same day, morning, before eating).</t>
        </is>
      </c>
    </row>
    <row r="49">
      <c r="A49" s="4" t="n"/>
      <c r="B49" s="4" t="n"/>
      <c r="C49" s="4" t="n"/>
      <c r="D49" s="6">
        <f>IF(OR(B49="",C49=""),"",IF(C49=1,B49,ROUND(B49*(1+C49/30),1)))</f>
        <v/>
      </c>
      <c r="F49" s="23" t="inlineStr">
        <is>
          <t>5. Get body fat measured once a month (Bod Pod, InBody or hydrostatic) - the week sheet reminds you;</t>
        </is>
      </c>
    </row>
    <row r="50">
      <c r="A50" s="4" t="n"/>
      <c r="B50" s="4" t="n"/>
      <c r="C50" s="4" t="n"/>
      <c r="D50" s="6">
        <f>IF(OR(B50="",C50=""),"",IF(C50=1,B50,ROUND(B50*(1+C50/30),1)))</f>
        <v/>
      </c>
      <c r="F50" s="23" t="inlineStr">
        <is>
          <t xml:space="preserve">   enter it on the Body sheet, which explains how to prepare for each kind of test.</t>
        </is>
      </c>
    </row>
    <row r="51">
      <c r="A51" s="4" t="n"/>
      <c r="B51" s="4" t="n"/>
      <c r="C51" s="4" t="n"/>
      <c r="D51" s="6">
        <f>IF(OR(B51="",C51=""),"",IF(C51=1,B51,ROUND(B51*(1+C51/30),1)))</f>
        <v/>
      </c>
      <c r="F51" s="23" t="inlineStr">
        <is>
          <t>6. Every 12th week (12, 24, 36, 48) is a test week. Those numbers become next cycle's training maxes.</t>
        </is>
      </c>
    </row>
    <row r="52">
      <c r="A52" s="4" t="n"/>
      <c r="B52" s="4" t="n"/>
      <c r="C52" s="4" t="n"/>
      <c r="D52" s="6">
        <f>IF(OR(B52="",C52=""),"",IF(C52=1,B52,ROUND(B52*(1+C52/30),1)))</f>
        <v/>
      </c>
      <c r="F52" s="23" t="inlineStr">
        <is>
          <t>7. The PR board shows your main lifts; the PRs sheet has every movement and variation.</t>
        </is>
      </c>
    </row>
    <row r="53">
      <c r="A53" s="4" t="n"/>
      <c r="B53" s="4" t="n"/>
      <c r="C53" s="4" t="n"/>
      <c r="D53" s="6">
        <f>IF(OR(B53="",C53=""),"",IF(C53=1,B53,ROUND(B53*(1+C53/30),1)))</f>
        <v/>
      </c>
      <c r="F53" s="23" t="inlineStr">
        <is>
          <t xml:space="preserve">   The Progress sheet charts strength next to bodyweight and body fat.</t>
        </is>
      </c>
    </row>
    <row r="54">
      <c r="A54" s="4" t="n"/>
      <c r="B54" s="4" t="n"/>
      <c r="C54" s="4" t="n"/>
      <c r="D54" s="6">
        <f>IF(OR(B54="",C54=""),"",IF(C54=1,B54,ROUND(B54*(1+C54/30),1)))</f>
        <v/>
      </c>
      <c r="F54" s="23" t="inlineStr">
        <is>
          <t>8. Train 3 days a week (Mon/Wed/Fri). Warm up before every main lift: empty bar x 10, then 3-4 sets up.</t>
        </is>
      </c>
    </row>
    <row r="55">
      <c r="A55" s="4" t="n"/>
      <c r="B55" s="4" t="n"/>
      <c r="C55" s="4" t="n"/>
      <c r="D55" s="6">
        <f>IF(OR(B55="",C55=""),"",IF(C55=1,B55,ROUND(B55*(1+C55/30),1)))</f>
        <v/>
      </c>
      <c r="F55" s="23" t="inlineStr"/>
    </row>
    <row r="56">
      <c r="A56" s="4" t="n"/>
      <c r="B56" s="4" t="n"/>
      <c r="C56" s="4" t="n"/>
      <c r="D56" s="6">
        <f>IF(OR(B56="",C56=""),"",IF(C56=1,B56,ROUND(B56*(1+C56/30),1)))</f>
        <v/>
      </c>
      <c r="F56" s="23" t="inlineStr">
        <is>
          <t>Eat enough to grow: a small calorie surplus and ~0.7-1 g protein per lb bodyweight (1.6-2.2 g/kg). Sleep 7-9 h.</t>
        </is>
      </c>
    </row>
    <row r="57">
      <c r="A57" t="inlineStr">
        <is>
          <t>Box / broad jump: enter the height or distance as 'Weight' with reps = 1.</t>
        </is>
      </c>
      <c r="F57" s="23" t="inlineStr">
        <is>
          <t>Free for everyone - MIT license. Not medical advice; check with a doctor before starting.</t>
        </is>
      </c>
    </row>
  </sheetData>
  <dataValidations count="4">
    <dataValidation sqref="B5" showDropDown="0" showInputMessage="0" showErrorMessage="0" allowBlank="1" type="list">
      <formula1>"lb,kg"</formula1>
    </dataValidation>
    <dataValidation sqref="B13" showDropDown="0" showInputMessage="0" showErrorMessage="0" allowBlank="1" type="list">
      <formula1>"Male,Female"</formula1>
    </dataValidation>
    <dataValidation sqref="B11" showDropDown="0" showInputMessage="0" showErrorMessage="0" allowBlank="1" type="list">
      <formula1>Lists!$B$1:$B$6</formula1>
    </dataValidation>
    <dataValidation sqref="A17 A18 A19 A20 A21 A22 A23 A24 A25 A26 A27 A28 A29 A30 A31 A32 A33 A34 A35 A36 A37 A38 A39 A40 A41 A42 A43 A44 A45 A46 A47 A48 A49 A50 A51 A52 A53 A54 A55 A56" showDropDown="0" showInputMessage="0" showErrorMessage="0" allowBlank="1" type="list">
      <formula1>Lists!$A$1:$A$69</formula1>
    </dataValidation>
  </dataValidations>
  <hyperlinks>
    <hyperlink xmlns:r="http://schemas.openxmlformats.org/officeDocument/2006/relationships" ref="F32" r:id="rId1"/>
    <hyperlink xmlns:r="http://schemas.openxmlformats.org/officeDocument/2006/relationships" ref="G32" r:id="rId2"/>
    <hyperlink xmlns:r="http://schemas.openxmlformats.org/officeDocument/2006/relationships" ref="H32" r:id="rId3"/>
    <hyperlink xmlns:r="http://schemas.openxmlformats.org/officeDocument/2006/relationships" ref="I32" r:id="rId4"/>
    <hyperlink xmlns:r="http://schemas.openxmlformats.org/officeDocument/2006/relationships" ref="J32" r:id="rId5"/>
    <hyperlink xmlns:r="http://schemas.openxmlformats.org/officeDocument/2006/relationships" ref="K32" r:id="rId6"/>
    <hyperlink xmlns:r="http://schemas.openxmlformats.org/officeDocument/2006/relationships" ref="L32" r:id="rId7"/>
    <hyperlink xmlns:r="http://schemas.openxmlformats.org/officeDocument/2006/relationships" ref="M32" r:id="rId8"/>
    <hyperlink xmlns:r="http://schemas.openxmlformats.org/officeDocument/2006/relationships" ref="F33" r:id="rId9"/>
    <hyperlink xmlns:r="http://schemas.openxmlformats.org/officeDocument/2006/relationships" ref="G33" r:id="rId10"/>
    <hyperlink xmlns:r="http://schemas.openxmlformats.org/officeDocument/2006/relationships" ref="H33" r:id="rId11"/>
    <hyperlink xmlns:r="http://schemas.openxmlformats.org/officeDocument/2006/relationships" ref="I33" r:id="rId12"/>
    <hyperlink xmlns:r="http://schemas.openxmlformats.org/officeDocument/2006/relationships" ref="J33" r:id="rId13"/>
    <hyperlink xmlns:r="http://schemas.openxmlformats.org/officeDocument/2006/relationships" ref="K33" r:id="rId14"/>
    <hyperlink xmlns:r="http://schemas.openxmlformats.org/officeDocument/2006/relationships" ref="L33" r:id="rId15"/>
    <hyperlink xmlns:r="http://schemas.openxmlformats.org/officeDocument/2006/relationships" ref="M33" r:id="rId16"/>
    <hyperlink xmlns:r="http://schemas.openxmlformats.org/officeDocument/2006/relationships" ref="F34" r:id="rId17"/>
    <hyperlink xmlns:r="http://schemas.openxmlformats.org/officeDocument/2006/relationships" ref="G34" r:id="rId18"/>
    <hyperlink xmlns:r="http://schemas.openxmlformats.org/officeDocument/2006/relationships" ref="H34" r:id="rId19"/>
    <hyperlink xmlns:r="http://schemas.openxmlformats.org/officeDocument/2006/relationships" ref="I34" r:id="rId20"/>
    <hyperlink xmlns:r="http://schemas.openxmlformats.org/officeDocument/2006/relationships" ref="J34" r:id="rId21"/>
    <hyperlink xmlns:r="http://schemas.openxmlformats.org/officeDocument/2006/relationships" ref="K34" r:id="rId22"/>
    <hyperlink xmlns:r="http://schemas.openxmlformats.org/officeDocument/2006/relationships" ref="L34" r:id="rId23"/>
    <hyperlink xmlns:r="http://schemas.openxmlformats.org/officeDocument/2006/relationships" ref="M34" r:id="rId24"/>
    <hyperlink xmlns:r="http://schemas.openxmlformats.org/officeDocument/2006/relationships" ref="F35" r:id="rId25"/>
    <hyperlink xmlns:r="http://schemas.openxmlformats.org/officeDocument/2006/relationships" ref="G35" r:id="rId26"/>
    <hyperlink xmlns:r="http://schemas.openxmlformats.org/officeDocument/2006/relationships" ref="H35" r:id="rId27"/>
    <hyperlink xmlns:r="http://schemas.openxmlformats.org/officeDocument/2006/relationships" ref="I35" r:id="rId28"/>
    <hyperlink xmlns:r="http://schemas.openxmlformats.org/officeDocument/2006/relationships" ref="J35" r:id="rId29"/>
    <hyperlink xmlns:r="http://schemas.openxmlformats.org/officeDocument/2006/relationships" ref="K35" r:id="rId30"/>
    <hyperlink xmlns:r="http://schemas.openxmlformats.org/officeDocument/2006/relationships" ref="L35" r:id="rId31"/>
    <hyperlink xmlns:r="http://schemas.openxmlformats.org/officeDocument/2006/relationships" ref="M35" r:id="rId32"/>
    <hyperlink xmlns:r="http://schemas.openxmlformats.org/officeDocument/2006/relationships" ref="F36" r:id="rId33"/>
    <hyperlink xmlns:r="http://schemas.openxmlformats.org/officeDocument/2006/relationships" ref="G36" r:id="rId34"/>
    <hyperlink xmlns:r="http://schemas.openxmlformats.org/officeDocument/2006/relationships" ref="H36" r:id="rId35"/>
    <hyperlink xmlns:r="http://schemas.openxmlformats.org/officeDocument/2006/relationships" ref="I36" r:id="rId36"/>
    <hyperlink xmlns:r="http://schemas.openxmlformats.org/officeDocument/2006/relationships" ref="J36" r:id="rId37"/>
    <hyperlink xmlns:r="http://schemas.openxmlformats.org/officeDocument/2006/relationships" ref="K36" r:id="rId38"/>
    <hyperlink xmlns:r="http://schemas.openxmlformats.org/officeDocument/2006/relationships" ref="L36" r:id="rId39"/>
    <hyperlink xmlns:r="http://schemas.openxmlformats.org/officeDocument/2006/relationships" ref="M36" r:id="rId40"/>
    <hyperlink xmlns:r="http://schemas.openxmlformats.org/officeDocument/2006/relationships" ref="F37" r:id="rId41"/>
    <hyperlink xmlns:r="http://schemas.openxmlformats.org/officeDocument/2006/relationships" ref="G37" r:id="rId42"/>
    <hyperlink xmlns:r="http://schemas.openxmlformats.org/officeDocument/2006/relationships" ref="H37" r:id="rId43"/>
    <hyperlink xmlns:r="http://schemas.openxmlformats.org/officeDocument/2006/relationships" ref="I37" r:id="rId44"/>
    <hyperlink xmlns:r="http://schemas.openxmlformats.org/officeDocument/2006/relationships" ref="J37" r:id="rId45"/>
    <hyperlink xmlns:r="http://schemas.openxmlformats.org/officeDocument/2006/relationships" ref="K37" r:id="rId46"/>
    <hyperlink xmlns:r="http://schemas.openxmlformats.org/officeDocument/2006/relationships" ref="L37" r:id="rId47"/>
    <hyperlink xmlns:r="http://schemas.openxmlformats.org/officeDocument/2006/relationships" ref="M37" r:id="rId48"/>
    <hyperlink xmlns:r="http://schemas.openxmlformats.org/officeDocument/2006/relationships" ref="F38" r:id="rId49"/>
    <hyperlink xmlns:r="http://schemas.openxmlformats.org/officeDocument/2006/relationships" ref="G38" r:id="rId50"/>
    <hyperlink xmlns:r="http://schemas.openxmlformats.org/officeDocument/2006/relationships" ref="H38" r:id="rId51"/>
    <hyperlink xmlns:r="http://schemas.openxmlformats.org/officeDocument/2006/relationships" ref="I38" r:id="rId52"/>
    <hyperlink xmlns:r="http://schemas.openxmlformats.org/officeDocument/2006/relationships" ref="J38" r:id="rId53"/>
  </hyperlinks>
  <pageMargins left="0.75" right="0.75" top="1" bottom="1" header="0.5" footer="0.5"/>
</worksheet>
</file>

<file path=xl/worksheets/sheet2.xml><?xml version="1.0" encoding="utf-8"?>
<worksheet xmlns="http://schemas.openxmlformats.org/spreadsheetml/2006/main">
  <sheetPr>
    <tabColor rgb="00DDE3F7"/>
    <outlinePr summaryBelow="1" summaryRight="1"/>
    <pageSetUpPr fitToPage="1"/>
  </sheetPr>
  <dimension ref="A1:N24"/>
  <sheetViews>
    <sheetView workbookViewId="0">
      <pane xSplit="3" ySplit="5" topLeftCell="D6" activePane="bottomRight" state="frozen"/>
      <selection pane="topRight"/>
      <selection pane="bottomLeft"/>
      <selection pane="bottomRight" activeCell="A1" sqref="A1"/>
    </sheetView>
  </sheetViews>
  <sheetFormatPr baseColWidth="8" defaultRowHeight="15"/>
  <cols>
    <col width="17" customWidth="1" min="1" max="1"/>
    <col width="11" customWidth="1" min="2" max="2"/>
    <col width="24" customWidth="1" min="3" max="3"/>
    <col width="5" customWidth="1" min="4" max="4"/>
    <col width="6" customWidth="1" min="5" max="5"/>
    <col width="6" customWidth="1" min="6" max="6"/>
    <col width="9" customWidth="1" min="7" max="7"/>
    <col width="10" customWidth="1" min="8" max="8"/>
    <col width="13" customWidth="1" min="9" max="9"/>
    <col width="8" customWidth="1" min="10" max="10"/>
    <col width="9" customWidth="1" min="11" max="11"/>
    <col width="5" customWidth="1" min="12" max="12"/>
    <col width="22" customWidth="1" min="13" max="13"/>
    <col width="62" customWidth="1" min="14" max="14"/>
  </cols>
  <sheetData>
    <row r="1">
      <c r="A1" s="24" t="inlineStr">
        <is>
          <t>Week 0 - Baseline test (optional)</t>
        </is>
      </c>
    </row>
    <row r="2">
      <c r="C2" s="25" t="inlineStr">
        <is>
          <t>Start Here</t>
        </is>
      </c>
      <c r="E2" s="25" t="inlineStr">
        <is>
          <t>Week 01 &gt;</t>
        </is>
      </c>
    </row>
    <row r="3">
      <c r="A3" s="10" t="inlineStr">
        <is>
          <t>Bodyweight this week</t>
        </is>
      </c>
      <c r="C3" s="4">
        <f>IF('Start Here'!$B$9="","",'Start Here'!$B$9)</f>
        <v/>
      </c>
      <c r="D3" t="inlineStr">
        <is>
          <t>Weigh in once this week: same morning routine, before eating.</t>
        </is>
      </c>
    </row>
    <row r="5">
      <c r="A5" s="5" t="inlineStr">
        <is>
          <t>Day</t>
        </is>
      </c>
      <c r="B5" s="5" t="inlineStr">
        <is>
          <t>Date</t>
        </is>
      </c>
      <c r="C5" s="5" t="inlineStr">
        <is>
          <t>Exercise</t>
        </is>
      </c>
      <c r="D5" s="5" t="inlineStr">
        <is>
          <t>Sets</t>
        </is>
      </c>
      <c r="E5" s="5" t="inlineStr">
        <is>
          <t>Reps</t>
        </is>
      </c>
      <c r="F5" s="5" t="inlineStr">
        <is>
          <t>% TM</t>
        </is>
      </c>
      <c r="G5" s="5" t="inlineStr">
        <is>
          <t>Training max</t>
        </is>
      </c>
      <c r="H5" s="5" t="inlineStr">
        <is>
          <t>Weight / target</t>
        </is>
      </c>
      <c r="I5" s="5" t="inlineStr">
        <is>
          <t>Actual (weight, height or distance)</t>
        </is>
      </c>
      <c r="J5" s="5" t="inlineStr">
        <is>
          <t>Actual reps</t>
        </is>
      </c>
      <c r="K5" s="5" t="inlineStr">
        <is>
          <t>Est. 1RM</t>
        </is>
      </c>
      <c r="L5" s="5" t="inlineStr">
        <is>
          <t>PR</t>
        </is>
      </c>
      <c r="M5" s="5" t="inlineStr">
        <is>
          <t>Notes</t>
        </is>
      </c>
      <c r="N5" s="5" t="inlineStr">
        <is>
          <t>Guidance</t>
        </is>
      </c>
    </row>
    <row r="6">
      <c r="A6" s="26" t="inlineStr">
        <is>
          <t>Day 1 - Heavy</t>
        </is>
      </c>
      <c r="B6" s="27">
        <f>'Start Here'!$B$7+-7</f>
        <v/>
      </c>
      <c r="C6" s="28" t="inlineStr">
        <is>
          <t>Box Jump</t>
        </is>
      </c>
      <c r="D6" s="29" t="n">
        <v>1</v>
      </c>
      <c r="E6" s="29" t="inlineStr">
        <is>
          <t>Max</t>
        </is>
      </c>
      <c r="F6" s="29" t="n"/>
      <c r="G6" s="30" t="n"/>
      <c r="H6" s="31">
        <f>IFERROR(IF(PRs!D69&lt;'Start Here'!$H$15,'Start Here'!$H$15,IF(PRs!D69&lt;'Start Here'!$H$16,'Start Here'!$H$16,IF(PRs!D69&lt;'Start Here'!$H$17,'Start Here'!$H$17,IF(PRs!D69&lt;'Start Here'!$H$18,'Start Here'!$H$18,"Elite!")))),"")</f>
        <v/>
      </c>
      <c r="I6" s="32" t="n"/>
      <c r="J6" s="32" t="n"/>
      <c r="K6" s="29" t="n"/>
      <c r="L6" s="33">
        <f>IF(I6="","",IF(I6&gt;=PRs!D69,"PR!",""))</f>
        <v/>
      </c>
      <c r="M6" s="32" t="n"/>
      <c r="N6" s="34" t="inlineStr">
        <is>
          <t>Find your best: work up box by box (or jump for distance). Log it - see the standards on Start Here</t>
        </is>
      </c>
    </row>
    <row r="7">
      <c r="A7" s="26" t="inlineStr">
        <is>
          <t>Day 1 - Heavy</t>
        </is>
      </c>
      <c r="B7" s="27">
        <f>'Start Here'!$B$7+-7</f>
        <v/>
      </c>
      <c r="C7" s="31" t="inlineStr">
        <is>
          <t>Snatch</t>
        </is>
      </c>
      <c r="D7" s="29" t="n">
        <v>1</v>
      </c>
      <c r="E7" s="29" t="inlineStr">
        <is>
          <t>1RM</t>
        </is>
      </c>
      <c r="F7" s="29" t="n"/>
      <c r="G7" s="30">
        <f>Maxes!E6</f>
        <v/>
      </c>
      <c r="H7" s="31" t="n"/>
      <c r="I7" s="32" t="n"/>
      <c r="J7" s="32" t="n"/>
      <c r="K7" s="29">
        <f>IF(OR(I7="",J7=""),"",IF(J7=1,I7,ROUND(I7*(1+J7/30),1)))</f>
        <v/>
      </c>
      <c r="L7" s="33">
        <f>IF(K7="","",IF(K7&gt;=PRs!C6,"PR!",""))</f>
        <v/>
      </c>
      <c r="M7" s="32" t="n"/>
      <c r="N7" s="34" t="inlineStr">
        <is>
          <t>Optional - skip if you entered maxes. Work up to a technically clean heavy single</t>
        </is>
      </c>
    </row>
    <row r="8">
      <c r="A8" s="26" t="inlineStr">
        <is>
          <t>Day 1 - Heavy</t>
        </is>
      </c>
      <c r="B8" s="27">
        <f>'Start Here'!$B$7+-7</f>
        <v/>
      </c>
      <c r="C8" s="31" t="inlineStr">
        <is>
          <t>Squat</t>
        </is>
      </c>
      <c r="D8" s="29" t="n">
        <v>1</v>
      </c>
      <c r="E8" s="29" t="inlineStr">
        <is>
          <t>5RM</t>
        </is>
      </c>
      <c r="F8" s="29" t="n"/>
      <c r="G8" s="30">
        <f>Maxes!E2</f>
        <v/>
      </c>
      <c r="H8" s="31" t="n"/>
      <c r="I8" s="32" t="n"/>
      <c r="J8" s="32" t="n"/>
      <c r="K8" s="29">
        <f>IF(OR(I8="",J8=""),"",IF(J8=1,I8,ROUND(I8*(1+J8/30),1)))</f>
        <v/>
      </c>
      <c r="L8" s="33">
        <f>IF(K8="","",IF(K8&gt;=PRs!C2,"PR!",""))</f>
        <v/>
      </c>
      <c r="M8" s="32" t="n"/>
      <c r="N8" s="34" t="inlineStr">
        <is>
          <t>Optional - skip if you entered maxes. Work up to a hard set of 5 (or a 1RM if you're experienced)</t>
        </is>
      </c>
    </row>
    <row r="9">
      <c r="A9" s="26" t="inlineStr">
        <is>
          <t>Day 1 - Heavy</t>
        </is>
      </c>
      <c r="B9" s="27">
        <f>'Start Here'!$B$7+-7</f>
        <v/>
      </c>
      <c r="C9" s="31" t="inlineStr">
        <is>
          <t>Bench Press</t>
        </is>
      </c>
      <c r="D9" s="29" t="n">
        <v>1</v>
      </c>
      <c r="E9" s="29" t="inlineStr">
        <is>
          <t>5RM</t>
        </is>
      </c>
      <c r="F9" s="29" t="n"/>
      <c r="G9" s="30">
        <f>Maxes!E3</f>
        <v/>
      </c>
      <c r="H9" s="31" t="n"/>
      <c r="I9" s="32" t="n"/>
      <c r="J9" s="32" t="n"/>
      <c r="K9" s="29">
        <f>IF(OR(I9="",J9=""),"",IF(J9=1,I9,ROUND(I9*(1+J9/30),1)))</f>
        <v/>
      </c>
      <c r="L9" s="33">
        <f>IF(K9="","",IF(K9&gt;=PRs!C3,"PR!",""))</f>
        <v/>
      </c>
      <c r="M9" s="32" t="n"/>
      <c r="N9" s="34" t="inlineStr">
        <is>
          <t>Optional - skip if you entered maxes. Work up to a hard set of 5 (or a 1RM if you're experienced)</t>
        </is>
      </c>
    </row>
    <row r="10">
      <c r="A10" s="26" t="inlineStr">
        <is>
          <t>Day 1 - Heavy</t>
        </is>
      </c>
      <c r="B10" s="27">
        <f>'Start Here'!$B$7+-7</f>
        <v/>
      </c>
      <c r="C10" s="29" t="inlineStr">
        <is>
          <t>Barbell Row</t>
        </is>
      </c>
      <c r="D10" s="29" t="n">
        <v>2</v>
      </c>
      <c r="E10" s="29" t="inlineStr">
        <is>
          <t>8-10</t>
        </is>
      </c>
      <c r="F10" s="29" t="n"/>
      <c r="G10" s="30" t="n"/>
      <c r="H10" s="31" t="n"/>
      <c r="I10" s="32" t="n"/>
      <c r="J10" s="32" t="n"/>
      <c r="K10" s="29">
        <f>IF(OR(I10="",J10=""),"",IF(J10=1,I10,ROUND(I10*(1+J10/30),1)))</f>
        <v/>
      </c>
      <c r="L10" s="33">
        <f>IF(K10="","",IF(K10&gt;=PRs!C50,"PR!",""))</f>
        <v/>
      </c>
      <c r="M10" s="32" t="n"/>
      <c r="N10" s="34" t="inlineStr">
        <is>
          <t>Find a weight you can do for the top of the range</t>
        </is>
      </c>
    </row>
    <row r="11">
      <c r="A11" s="26" t="inlineStr">
        <is>
          <t>Day 1 - Heavy</t>
        </is>
      </c>
      <c r="B11" s="27">
        <f>'Start Here'!$B$7+-7</f>
        <v/>
      </c>
      <c r="C11" s="29" t="inlineStr">
        <is>
          <t>Face Pull</t>
        </is>
      </c>
      <c r="D11" s="29" t="n">
        <v>2</v>
      </c>
      <c r="E11" s="29" t="inlineStr">
        <is>
          <t>12-15</t>
        </is>
      </c>
      <c r="F11" s="29" t="n"/>
      <c r="G11" s="30" t="n"/>
      <c r="H11" s="31" t="n"/>
      <c r="I11" s="32" t="n"/>
      <c r="J11" s="32" t="n"/>
      <c r="K11" s="29">
        <f>IF(OR(I11="",J11=""),"",IF(J11=1,I11,ROUND(I11*(1+J11/30),1)))</f>
        <v/>
      </c>
      <c r="L11" s="33">
        <f>IF(K11="","",IF(K11&gt;=PRs!C51,"PR!",""))</f>
        <v/>
      </c>
      <c r="M11" s="32" t="n"/>
      <c r="N11" s="34" t="inlineStr">
        <is>
          <t>Find a weight you can do for the top of the range</t>
        </is>
      </c>
    </row>
    <row r="12">
      <c r="A12" s="26" t="inlineStr">
        <is>
          <t>Day 2 - Light</t>
        </is>
      </c>
      <c r="B12" s="27">
        <f>'Start Here'!$B$7+-5</f>
        <v/>
      </c>
      <c r="C12" s="28" t="inlineStr">
        <is>
          <t>Broad Jump</t>
        </is>
      </c>
      <c r="D12" s="29" t="n">
        <v>1</v>
      </c>
      <c r="E12" s="29" t="inlineStr">
        <is>
          <t>Max</t>
        </is>
      </c>
      <c r="F12" s="29" t="n"/>
      <c r="G12" s="30" t="n"/>
      <c r="H12" s="31" t="n"/>
      <c r="I12" s="32" t="n"/>
      <c r="J12" s="32" t="n"/>
      <c r="K12" s="29" t="n"/>
      <c r="L12" s="33">
        <f>IF(I12="","",IF(I12&gt;=PRs!D70,"PR!",""))</f>
        <v/>
      </c>
      <c r="M12" s="32" t="n"/>
      <c r="N12" s="34" t="inlineStr">
        <is>
          <t>Find your best: work up box by box (or jump for distance). Log it - see the standards on Start Here</t>
        </is>
      </c>
    </row>
    <row r="13">
      <c r="A13" s="26" t="inlineStr">
        <is>
          <t>Day 2 - Light</t>
        </is>
      </c>
      <c r="B13" s="27">
        <f>'Start Here'!$B$7+-5</f>
        <v/>
      </c>
      <c r="C13" s="31" t="inlineStr">
        <is>
          <t>Clean &amp; Jerk</t>
        </is>
      </c>
      <c r="D13" s="29" t="n">
        <v>1</v>
      </c>
      <c r="E13" s="29" t="inlineStr">
        <is>
          <t>1RM</t>
        </is>
      </c>
      <c r="F13" s="29" t="n"/>
      <c r="G13" s="30">
        <f>Maxes!E7</f>
        <v/>
      </c>
      <c r="H13" s="31" t="n"/>
      <c r="I13" s="32" t="n"/>
      <c r="J13" s="32" t="n"/>
      <c r="K13" s="29">
        <f>IF(OR(I13="",J13=""),"",IF(J13=1,I13,ROUND(I13*(1+J13/30),1)))</f>
        <v/>
      </c>
      <c r="L13" s="33">
        <f>IF(K13="","",IF(K13&gt;=PRs!C7,"PR!",""))</f>
        <v/>
      </c>
      <c r="M13" s="32" t="n"/>
      <c r="N13" s="34" t="inlineStr">
        <is>
          <t>Optional - skip if you entered maxes. Work up to a technically clean heavy single</t>
        </is>
      </c>
    </row>
    <row r="14">
      <c r="A14" s="26" t="inlineStr">
        <is>
          <t>Day 2 - Light</t>
        </is>
      </c>
      <c r="B14" s="27">
        <f>'Start Here'!$B$7+-5</f>
        <v/>
      </c>
      <c r="C14" s="31" t="inlineStr">
        <is>
          <t>Overhead Press</t>
        </is>
      </c>
      <c r="D14" s="29" t="n">
        <v>1</v>
      </c>
      <c r="E14" s="29" t="inlineStr">
        <is>
          <t>5RM</t>
        </is>
      </c>
      <c r="F14" s="29" t="n"/>
      <c r="G14" s="30">
        <f>Maxes!E5</f>
        <v/>
      </c>
      <c r="H14" s="31" t="n"/>
      <c r="I14" s="32" t="n"/>
      <c r="J14" s="32" t="n"/>
      <c r="K14" s="29">
        <f>IF(OR(I14="",J14=""),"",IF(J14=1,I14,ROUND(I14*(1+J14/30),1)))</f>
        <v/>
      </c>
      <c r="L14" s="33">
        <f>IF(K14="","",IF(K14&gt;=PRs!C5,"PR!",""))</f>
        <v/>
      </c>
      <c r="M14" s="32" t="n"/>
      <c r="N14" s="34" t="inlineStr">
        <is>
          <t>Optional - skip if you entered maxes. Work up to a hard set of 5 (or a 1RM if you're experienced)</t>
        </is>
      </c>
    </row>
    <row r="15">
      <c r="A15" s="26" t="inlineStr">
        <is>
          <t>Day 2 - Light</t>
        </is>
      </c>
      <c r="B15" s="27">
        <f>'Start Here'!$B$7+-5</f>
        <v/>
      </c>
      <c r="C15" s="31" t="inlineStr">
        <is>
          <t>Deadlift</t>
        </is>
      </c>
      <c r="D15" s="29" t="n">
        <v>1</v>
      </c>
      <c r="E15" s="29" t="inlineStr">
        <is>
          <t>5RM</t>
        </is>
      </c>
      <c r="F15" s="29" t="n"/>
      <c r="G15" s="30">
        <f>Maxes!E4</f>
        <v/>
      </c>
      <c r="H15" s="31" t="n"/>
      <c r="I15" s="32" t="n"/>
      <c r="J15" s="32" t="n"/>
      <c r="K15" s="29">
        <f>IF(OR(I15="",J15=""),"",IF(J15=1,I15,ROUND(I15*(1+J15/30),1)))</f>
        <v/>
      </c>
      <c r="L15" s="33">
        <f>IF(K15="","",IF(K15&gt;=PRs!C4,"PR!",""))</f>
        <v/>
      </c>
      <c r="M15" s="32" t="n"/>
      <c r="N15" s="34" t="inlineStr">
        <is>
          <t>Optional - skip if you entered maxes. Work up to a hard set of 5 (or a 1RM if you're experienced)</t>
        </is>
      </c>
    </row>
    <row r="16">
      <c r="A16" s="26" t="inlineStr">
        <is>
          <t>Day 2 - Light</t>
        </is>
      </c>
      <c r="B16" s="27">
        <f>'Start Here'!$B$7+-5</f>
        <v/>
      </c>
      <c r="C16" s="29" t="inlineStr">
        <is>
          <t>Chin-up</t>
        </is>
      </c>
      <c r="D16" s="29" t="n">
        <v>2</v>
      </c>
      <c r="E16" s="29" t="inlineStr">
        <is>
          <t>6-10</t>
        </is>
      </c>
      <c r="F16" s="29" t="n"/>
      <c r="G16" s="30" t="n"/>
      <c r="H16" s="31" t="n"/>
      <c r="I16" s="32" t="n"/>
      <c r="J16" s="32" t="n"/>
      <c r="K16" s="29">
        <f>IF(OR(I16="",J16=""),"",IF(J16=1,I16,ROUND(I16*(1+J16/30),1)))</f>
        <v/>
      </c>
      <c r="L16" s="33">
        <f>IF(K16="","",IF(K16&gt;=PRs!C53,"PR!",""))</f>
        <v/>
      </c>
      <c r="M16" s="32" t="n"/>
      <c r="N16" s="34" t="inlineStr">
        <is>
          <t>Find a weight you can do for the top of the range</t>
        </is>
      </c>
    </row>
    <row r="17">
      <c r="A17" s="26" t="inlineStr">
        <is>
          <t>Day 2 - Light</t>
        </is>
      </c>
      <c r="B17" s="27">
        <f>'Start Here'!$B$7+-5</f>
        <v/>
      </c>
      <c r="C17" s="29" t="inlineStr">
        <is>
          <t>Plank</t>
        </is>
      </c>
      <c r="D17" s="29" t="n">
        <v>2</v>
      </c>
      <c r="E17" s="29" t="inlineStr">
        <is>
          <t>30-60s</t>
        </is>
      </c>
      <c r="F17" s="29" t="n"/>
      <c r="G17" s="30" t="n"/>
      <c r="H17" s="31" t="n"/>
      <c r="I17" s="32" t="n"/>
      <c r="J17" s="32" t="n"/>
      <c r="K17" s="29">
        <f>IF(OR(I17="",J17=""),"",IF(J17=1,I17,ROUND(I17*(1+J17/30),1)))</f>
        <v/>
      </c>
      <c r="L17" s="33">
        <f>IF(K17="","",IF(K17&gt;=PRs!C56,"PR!",""))</f>
        <v/>
      </c>
      <c r="M17" s="32" t="n"/>
      <c r="N17" s="34" t="inlineStr">
        <is>
          <t>Find a weight you can do for the top of the range</t>
        </is>
      </c>
    </row>
    <row r="18">
      <c r="A18" s="26" t="inlineStr">
        <is>
          <t>Day 3 - Variations</t>
        </is>
      </c>
      <c r="B18" s="27">
        <f>'Start Here'!$B$7+-3</f>
        <v/>
      </c>
      <c r="C18" s="28" t="inlineStr">
        <is>
          <t>Box Jump</t>
        </is>
      </c>
      <c r="D18" s="29" t="n">
        <v>1</v>
      </c>
      <c r="E18" s="29" t="inlineStr">
        <is>
          <t>Max</t>
        </is>
      </c>
      <c r="F18" s="29" t="n"/>
      <c r="G18" s="30" t="n"/>
      <c r="H18" s="31">
        <f>IFERROR(IF(PRs!D69&lt;'Start Here'!$H$15,'Start Here'!$H$15,IF(PRs!D69&lt;'Start Here'!$H$16,'Start Here'!$H$16,IF(PRs!D69&lt;'Start Here'!$H$17,'Start Here'!$H$17,IF(PRs!D69&lt;'Start Here'!$H$18,'Start Here'!$H$18,"Elite!")))),"")</f>
        <v/>
      </c>
      <c r="I18" s="32" t="n"/>
      <c r="J18" s="32" t="n"/>
      <c r="K18" s="29" t="n"/>
      <c r="L18" s="33">
        <f>IF(I18="","",IF(I18&gt;=PRs!D69,"PR!",""))</f>
        <v/>
      </c>
      <c r="M18" s="32" t="n"/>
      <c r="N18" s="34" t="inlineStr">
        <is>
          <t>Find your best: work up box by box (or jump for distance). Log it - see the standards on Start Here</t>
        </is>
      </c>
    </row>
    <row r="19">
      <c r="A19" s="26" t="inlineStr">
        <is>
          <t>Day 3 - Variations</t>
        </is>
      </c>
      <c r="B19" s="27">
        <f>'Start Here'!$B$7+-3</f>
        <v/>
      </c>
      <c r="C19" s="31" t="inlineStr">
        <is>
          <t>Power Snatch</t>
        </is>
      </c>
      <c r="D19" s="29" t="n">
        <v>1</v>
      </c>
      <c r="E19" s="29" t="inlineStr">
        <is>
          <t>1RM</t>
        </is>
      </c>
      <c r="F19" s="29" t="n"/>
      <c r="G19" s="30">
        <f>Maxes!E34</f>
        <v/>
      </c>
      <c r="H19" s="31" t="n"/>
      <c r="I19" s="32" t="n"/>
      <c r="J19" s="32" t="n"/>
      <c r="K19" s="29">
        <f>IF(OR(I19="",J19=""),"",IF(J19=1,I19,ROUND(I19*(1+J19/30),1)))</f>
        <v/>
      </c>
      <c r="L19" s="33">
        <f>IF(K19="","",IF(K19&gt;=PRs!C34,"PR!",""))</f>
        <v/>
      </c>
      <c r="M19" s="32" t="n"/>
      <c r="N19" s="34" t="inlineStr">
        <is>
          <t>Optional - skip if you entered maxes. Work up to a technically clean heavy single</t>
        </is>
      </c>
    </row>
    <row r="20">
      <c r="A20" s="26" t="inlineStr">
        <is>
          <t>Day 3 - Variations</t>
        </is>
      </c>
      <c r="B20" s="27">
        <f>'Start Here'!$B$7+-3</f>
        <v/>
      </c>
      <c r="C20" s="31" t="inlineStr">
        <is>
          <t>Box Squat</t>
        </is>
      </c>
      <c r="D20" s="29" t="n">
        <v>1</v>
      </c>
      <c r="E20" s="29" t="inlineStr">
        <is>
          <t>5RM</t>
        </is>
      </c>
      <c r="F20" s="29" t="n"/>
      <c r="G20" s="30">
        <f>Maxes!E8</f>
        <v/>
      </c>
      <c r="H20" s="31" t="n"/>
      <c r="I20" s="32" t="n"/>
      <c r="J20" s="32" t="n"/>
      <c r="K20" s="29">
        <f>IF(OR(I20="",J20=""),"",IF(J20=1,I20,ROUND(I20*(1+J20/30),1)))</f>
        <v/>
      </c>
      <c r="L20" s="33">
        <f>IF(K20="","",IF(K20&gt;=PRs!C8,"PR!",""))</f>
        <v/>
      </c>
      <c r="M20" s="32" t="n"/>
      <c r="N20" s="34" t="inlineStr">
        <is>
          <t>Optional - skip if you entered maxes. Work up to a hard set of 5 (or a 1RM if you're experienced)</t>
        </is>
      </c>
    </row>
    <row r="21">
      <c r="A21" s="26" t="inlineStr">
        <is>
          <t>Day 3 - Variations</t>
        </is>
      </c>
      <c r="B21" s="27">
        <f>'Start Here'!$B$7+-3</f>
        <v/>
      </c>
      <c r="C21" s="31" t="inlineStr">
        <is>
          <t>Close-Grip Bench Press</t>
        </is>
      </c>
      <c r="D21" s="29" t="n">
        <v>1</v>
      </c>
      <c r="E21" s="29" t="inlineStr">
        <is>
          <t>5RM</t>
        </is>
      </c>
      <c r="F21" s="29" t="n"/>
      <c r="G21" s="30">
        <f>Maxes!E14</f>
        <v/>
      </c>
      <c r="H21" s="31" t="n"/>
      <c r="I21" s="32" t="n"/>
      <c r="J21" s="32" t="n"/>
      <c r="K21" s="29">
        <f>IF(OR(I21="",J21=""),"",IF(J21=1,I21,ROUND(I21*(1+J21/30),1)))</f>
        <v/>
      </c>
      <c r="L21" s="33">
        <f>IF(K21="","",IF(K21&gt;=PRs!C14,"PR!",""))</f>
        <v/>
      </c>
      <c r="M21" s="32" t="n"/>
      <c r="N21" s="34" t="inlineStr">
        <is>
          <t>Optional - skip if you entered maxes. Work up to a hard set of 5 (or a 1RM if you're experienced)</t>
        </is>
      </c>
    </row>
    <row r="22">
      <c r="A22" s="26" t="inlineStr">
        <is>
          <t>Day 3 - Variations</t>
        </is>
      </c>
      <c r="B22" s="27">
        <f>'Start Here'!$B$7+-3</f>
        <v/>
      </c>
      <c r="C22" s="31" t="inlineStr">
        <is>
          <t>Romanian Deadlift</t>
        </is>
      </c>
      <c r="D22" s="29" t="n">
        <v>1</v>
      </c>
      <c r="E22" s="29" t="inlineStr">
        <is>
          <t>5RM</t>
        </is>
      </c>
      <c r="F22" s="29" t="n"/>
      <c r="G22" s="30">
        <f>Maxes!E23</f>
        <v/>
      </c>
      <c r="H22" s="31" t="n"/>
      <c r="I22" s="32" t="n"/>
      <c r="J22" s="32" t="n"/>
      <c r="K22" s="29">
        <f>IF(OR(I22="",J22=""),"",IF(J22=1,I22,ROUND(I22*(1+J22/30),1)))</f>
        <v/>
      </c>
      <c r="L22" s="33">
        <f>IF(K22="","",IF(K22&gt;=PRs!C23,"PR!",""))</f>
        <v/>
      </c>
      <c r="M22" s="32" t="n"/>
      <c r="N22" s="34" t="inlineStr">
        <is>
          <t>Optional - skip if you entered maxes. Work up to a hard set of 5 (or a 1RM if you're experienced)</t>
        </is>
      </c>
    </row>
    <row r="23">
      <c r="A23" s="26" t="inlineStr">
        <is>
          <t>Day 3 - Variations</t>
        </is>
      </c>
      <c r="B23" s="27">
        <f>'Start Here'!$B$7+-3</f>
        <v/>
      </c>
      <c r="C23" s="29" t="inlineStr">
        <is>
          <t>Incline Dumbbell Press</t>
        </is>
      </c>
      <c r="D23" s="29" t="n">
        <v>2</v>
      </c>
      <c r="E23" s="29" t="inlineStr">
        <is>
          <t>8-12</t>
        </is>
      </c>
      <c r="F23" s="29" t="n"/>
      <c r="G23" s="30" t="n"/>
      <c r="H23" s="31" t="n"/>
      <c r="I23" s="32" t="n"/>
      <c r="J23" s="32" t="n"/>
      <c r="K23" s="29">
        <f>IF(OR(I23="",J23=""),"",IF(J23=1,I23,ROUND(I23*(1+J23/30),1)))</f>
        <v/>
      </c>
      <c r="L23" s="33">
        <f>IF(K23="","",IF(K23&gt;=PRs!C57,"PR!",""))</f>
        <v/>
      </c>
      <c r="M23" s="32" t="n"/>
      <c r="N23" s="34" t="inlineStr">
        <is>
          <t>Find a weight you can do for the top of the range</t>
        </is>
      </c>
    </row>
    <row r="24">
      <c r="A24" s="26" t="inlineStr">
        <is>
          <t>Day 3 - Variations</t>
        </is>
      </c>
      <c r="B24" s="27">
        <f>'Start Here'!$B$7+-3</f>
        <v/>
      </c>
      <c r="C24" s="29" t="inlineStr">
        <is>
          <t>Triceps Pushdown</t>
        </is>
      </c>
      <c r="D24" s="29" t="n">
        <v>2</v>
      </c>
      <c r="E24" s="29" t="inlineStr">
        <is>
          <t>10-15</t>
        </is>
      </c>
      <c r="F24" s="29" t="n"/>
      <c r="G24" s="30" t="n"/>
      <c r="H24" s="31" t="n"/>
      <c r="I24" s="32" t="n"/>
      <c r="J24" s="32" t="n"/>
      <c r="K24" s="29">
        <f>IF(OR(I24="",J24=""),"",IF(J24=1,I24,ROUND(I24*(1+J24/30),1)))</f>
        <v/>
      </c>
      <c r="L24" s="33">
        <f>IF(K24="","",IF(K24&gt;=PRs!C59,"PR!",""))</f>
        <v/>
      </c>
      <c r="M24" s="32" t="n"/>
      <c r="N24" s="34" t="inlineStr">
        <is>
          <t>Find a weight you can do for the top of the range</t>
        </is>
      </c>
    </row>
  </sheetData>
  <hyperlinks>
    <hyperlink xmlns:r="http://schemas.openxmlformats.org/officeDocument/2006/relationships" ref="C2" r:id="rId1"/>
    <hyperlink xmlns:r="http://schemas.openxmlformats.org/officeDocument/2006/relationships" ref="E2" r:id="rId2"/>
  </hyperlinks>
  <pageMargins left="0.75" right="0.75" top="1" bottom="1" header="0.5" footer="0.5"/>
  <pageSetup orientation="landscape" fitToHeight="0" fitToWidth="1"/>
</worksheet>
</file>

<file path=xl/worksheets/sheet3.xml><?xml version="1.0" encoding="utf-8"?>
<worksheet xmlns="http://schemas.openxmlformats.org/spreadsheetml/2006/main">
  <sheetPr>
    <tabColor rgb="00DCEFDC"/>
    <outlinePr summaryBelow="1" summaryRight="1"/>
    <pageSetUpPr fitToPage="1"/>
  </sheetPr>
  <dimension ref="A1:N25"/>
  <sheetViews>
    <sheetView workbookViewId="0">
      <pane xSplit="3" ySplit="5" topLeftCell="D6" activePane="bottomRight" state="frozen"/>
      <selection pane="topRight"/>
      <selection pane="bottomLeft"/>
      <selection pane="bottomRight" activeCell="A1" sqref="A1"/>
    </sheetView>
  </sheetViews>
  <sheetFormatPr baseColWidth="8" defaultRowHeight="15"/>
  <cols>
    <col width="17" customWidth="1" min="1" max="1"/>
    <col width="11" customWidth="1" min="2" max="2"/>
    <col width="24" customWidth="1" min="3" max="3"/>
    <col width="5" customWidth="1" min="4" max="4"/>
    <col width="6" customWidth="1" min="5" max="5"/>
    <col width="6" customWidth="1" min="6" max="6"/>
    <col width="9" customWidth="1" min="7" max="7"/>
    <col width="10" customWidth="1" min="8" max="8"/>
    <col width="13" customWidth="1" min="9" max="9"/>
    <col width="8" customWidth="1" min="10" max="10"/>
    <col width="9" customWidth="1" min="11" max="11"/>
    <col width="5" customWidth="1" min="12" max="12"/>
    <col width="22" customWidth="1" min="13" max="13"/>
    <col width="62" customWidth="1" min="14" max="14"/>
  </cols>
  <sheetData>
    <row r="1">
      <c r="A1" s="24" t="inlineStr">
        <is>
          <t>Week 1 - Cycle 1 - Accumulation</t>
        </is>
      </c>
    </row>
    <row r="2">
      <c r="A2" s="25" t="inlineStr">
        <is>
          <t>&lt; Week 00</t>
        </is>
      </c>
      <c r="C2" s="25" t="inlineStr">
        <is>
          <t>Start Here</t>
        </is>
      </c>
      <c r="E2" s="25" t="inlineStr">
        <is>
          <t>Week 02 &gt;</t>
        </is>
      </c>
    </row>
    <row r="3">
      <c r="A3" s="10" t="inlineStr">
        <is>
          <t>Bodyweight this week</t>
        </is>
      </c>
      <c r="C3" s="4" t="n"/>
      <c r="D3" t="inlineStr">
        <is>
          <t>Weigh in once this week: same morning routine, before eating.</t>
        </is>
      </c>
    </row>
    <row r="4">
      <c r="A4" s="35" t="inlineStr">
        <is>
          <t>Body fat test due this week (month 1) - enter it on the Body sheet</t>
        </is>
      </c>
    </row>
    <row r="5">
      <c r="A5" s="5" t="inlineStr">
        <is>
          <t>Day</t>
        </is>
      </c>
      <c r="B5" s="5" t="inlineStr">
        <is>
          <t>Date</t>
        </is>
      </c>
      <c r="C5" s="5" t="inlineStr">
        <is>
          <t>Exercise</t>
        </is>
      </c>
      <c r="D5" s="5" t="inlineStr">
        <is>
          <t>Sets</t>
        </is>
      </c>
      <c r="E5" s="5" t="inlineStr">
        <is>
          <t>Reps</t>
        </is>
      </c>
      <c r="F5" s="5" t="inlineStr">
        <is>
          <t>% TM</t>
        </is>
      </c>
      <c r="G5" s="5" t="inlineStr">
        <is>
          <t>Training max</t>
        </is>
      </c>
      <c r="H5" s="5" t="inlineStr">
        <is>
          <t>Weight / target</t>
        </is>
      </c>
      <c r="I5" s="5" t="inlineStr">
        <is>
          <t>Actual (weight, height or distance)</t>
        </is>
      </c>
      <c r="J5" s="5" t="inlineStr">
        <is>
          <t>Actual reps</t>
        </is>
      </c>
      <c r="K5" s="5" t="inlineStr">
        <is>
          <t>Est. 1RM</t>
        </is>
      </c>
      <c r="L5" s="5" t="inlineStr">
        <is>
          <t>PR</t>
        </is>
      </c>
      <c r="M5" s="5" t="inlineStr">
        <is>
          <t>Notes</t>
        </is>
      </c>
      <c r="N5" s="5" t="inlineStr">
        <is>
          <t>Guidance</t>
        </is>
      </c>
    </row>
    <row r="6">
      <c r="A6" s="26" t="inlineStr">
        <is>
          <t>Day 1 - Heavy</t>
        </is>
      </c>
      <c r="B6" s="27">
        <f>'Start Here'!$B$7+0</f>
        <v/>
      </c>
      <c r="C6" s="28" t="inlineStr">
        <is>
          <t>Box Jump</t>
        </is>
      </c>
      <c r="D6" s="29" t="n">
        <v>4</v>
      </c>
      <c r="E6" s="29" t="inlineStr">
        <is>
          <t>3</t>
        </is>
      </c>
      <c r="F6" s="29" t="n"/>
      <c r="G6" s="30" t="n"/>
      <c r="H6" s="31">
        <f>IFERROR(IF(PRs!D69&lt;'Start Here'!$H$15,'Start Here'!$H$15,IF(PRs!D69&lt;'Start Here'!$H$16,'Start Here'!$H$16,IF(PRs!D69&lt;'Start Here'!$H$17,'Start Here'!$H$17,IF(PRs!D69&lt;'Start Here'!$H$18,'Start Here'!$H$18,"Elite!")))),"")</f>
        <v/>
      </c>
      <c r="I6" s="32" t="n"/>
      <c r="J6" s="32" t="n"/>
      <c r="K6" s="29" t="n"/>
      <c r="L6" s="33">
        <f>IF(I6="","",IF(I6&gt;=PRs!D69,"PR!",""))</f>
        <v/>
      </c>
      <c r="M6" s="32" t="n"/>
      <c r="N6" s="34" t="inlineStr">
        <is>
          <t>Explode up, land softly, STEP down. Full reset between reps. Log your box height; check the standards</t>
        </is>
      </c>
    </row>
    <row r="7">
      <c r="A7" s="26" t="inlineStr">
        <is>
          <t>Day 1 - Heavy</t>
        </is>
      </c>
      <c r="B7" s="27">
        <f>'Start Here'!$B$7+0</f>
        <v/>
      </c>
      <c r="C7" s="31" t="inlineStr">
        <is>
          <t>Snatch</t>
        </is>
      </c>
      <c r="D7" s="29" t="n">
        <v>4</v>
      </c>
      <c r="E7" s="29" t="inlineStr">
        <is>
          <t>3</t>
        </is>
      </c>
      <c r="F7" s="29" t="n">
        <v>70</v>
      </c>
      <c r="G7" s="30">
        <f>Maxes!E6</f>
        <v/>
      </c>
      <c r="H7" s="31">
        <f>IF(OR(G7="",F7=""),"",MROUND(G7*F7/100,'Start Here'!$B$6))</f>
        <v/>
      </c>
      <c r="I7" s="32" t="n"/>
      <c r="J7" s="32" t="n"/>
      <c r="K7" s="29">
        <f>IF(OR(I7="",J7=""),"",IF(J7=1,I7,ROUND(I7*(1+J7/30),1)))</f>
        <v/>
      </c>
      <c r="L7" s="33">
        <f>IF(K7="","",IF(K7&gt;=PRs!C6,"PR!",""))</f>
        <v/>
      </c>
      <c r="M7" s="32" t="n"/>
      <c r="N7" s="34" t="inlineStr"/>
    </row>
    <row r="8">
      <c r="A8" s="26" t="inlineStr">
        <is>
          <t>Day 1 - Heavy</t>
        </is>
      </c>
      <c r="B8" s="27">
        <f>'Start Here'!$B$7+0</f>
        <v/>
      </c>
      <c r="C8" s="31" t="inlineStr">
        <is>
          <t>Squat</t>
        </is>
      </c>
      <c r="D8" s="29" t="n">
        <v>3</v>
      </c>
      <c r="E8" s="29" t="inlineStr">
        <is>
          <t>6</t>
        </is>
      </c>
      <c r="F8" s="29" t="n">
        <v>70</v>
      </c>
      <c r="G8" s="30">
        <f>Maxes!E2</f>
        <v/>
      </c>
      <c r="H8" s="31">
        <f>IF(OR(G8="",F8=""),"",MROUND(G8*F8/100,'Start Here'!$B$6))</f>
        <v/>
      </c>
      <c r="I8" s="32" t="n"/>
      <c r="J8" s="32" t="n"/>
      <c r="K8" s="29">
        <f>IF(OR(I8="",J8=""),"",IF(J8=1,I8,ROUND(I8*(1+J8/30),1)))</f>
        <v/>
      </c>
      <c r="L8" s="33">
        <f>IF(K8="","",IF(K8&gt;=PRs!C2,"PR!",""))</f>
        <v/>
      </c>
      <c r="M8" s="32" t="n"/>
      <c r="N8" s="34" t="inlineStr"/>
    </row>
    <row r="9">
      <c r="A9" s="26" t="inlineStr">
        <is>
          <t>Day 1 - Heavy</t>
        </is>
      </c>
      <c r="B9" s="27">
        <f>'Start Here'!$B$7+0</f>
        <v/>
      </c>
      <c r="C9" s="31" t="inlineStr">
        <is>
          <t>Bench Press</t>
        </is>
      </c>
      <c r="D9" s="29" t="n">
        <v>3</v>
      </c>
      <c r="E9" s="29" t="inlineStr">
        <is>
          <t>6</t>
        </is>
      </c>
      <c r="F9" s="29" t="n">
        <v>70</v>
      </c>
      <c r="G9" s="30">
        <f>Maxes!E3</f>
        <v/>
      </c>
      <c r="H9" s="31">
        <f>IF(OR(G9="",F9=""),"",MROUND(G9*F9/100,'Start Here'!$B$6))</f>
        <v/>
      </c>
      <c r="I9" s="32" t="n"/>
      <c r="J9" s="32" t="n"/>
      <c r="K9" s="29">
        <f>IF(OR(I9="",J9=""),"",IF(J9=1,I9,ROUND(I9*(1+J9/30),1)))</f>
        <v/>
      </c>
      <c r="L9" s="33">
        <f>IF(K9="","",IF(K9&gt;=PRs!C3,"PR!",""))</f>
        <v/>
      </c>
      <c r="M9" s="32" t="n"/>
      <c r="N9" s="34" t="inlineStr"/>
    </row>
    <row r="10">
      <c r="A10" s="26" t="inlineStr">
        <is>
          <t>Day 1 - Heavy</t>
        </is>
      </c>
      <c r="B10" s="27">
        <f>'Start Here'!$B$7+0</f>
        <v/>
      </c>
      <c r="C10" s="29" t="inlineStr">
        <is>
          <t>Barbell Row</t>
        </is>
      </c>
      <c r="D10" s="29" t="n">
        <v>4</v>
      </c>
      <c r="E10" s="29" t="inlineStr">
        <is>
          <t>8-10</t>
        </is>
      </c>
      <c r="F10" s="29" t="n"/>
      <c r="G10" s="30" t="n"/>
      <c r="H10" s="31" t="n"/>
      <c r="I10" s="32" t="n"/>
      <c r="J10" s="32" t="n"/>
      <c r="K10" s="29">
        <f>IF(OR(I10="",J10=""),"",IF(J10=1,I10,ROUND(I10*(1+J10/30),1)))</f>
        <v/>
      </c>
      <c r="L10" s="33">
        <f>IF(K10="","",IF(K10&gt;=PRs!C50,"PR!",""))</f>
        <v/>
      </c>
      <c r="M10" s="32" t="n"/>
      <c r="N10" s="34" t="inlineStr">
        <is>
          <t>Leave 1-2 reps in the tank; add weight when you hit the top of the range</t>
        </is>
      </c>
    </row>
    <row r="11">
      <c r="A11" s="26" t="inlineStr">
        <is>
          <t>Day 1 - Heavy</t>
        </is>
      </c>
      <c r="B11" s="27">
        <f>'Start Here'!$B$7+0</f>
        <v/>
      </c>
      <c r="C11" s="29" t="inlineStr">
        <is>
          <t>Face Pull</t>
        </is>
      </c>
      <c r="D11" s="29" t="n">
        <v>4</v>
      </c>
      <c r="E11" s="29" t="inlineStr">
        <is>
          <t>12-15</t>
        </is>
      </c>
      <c r="F11" s="29" t="n"/>
      <c r="G11" s="30" t="n"/>
      <c r="H11" s="31" t="n"/>
      <c r="I11" s="32" t="n"/>
      <c r="J11" s="32" t="n"/>
      <c r="K11" s="29">
        <f>IF(OR(I11="",J11=""),"",IF(J11=1,I11,ROUND(I11*(1+J11/30),1)))</f>
        <v/>
      </c>
      <c r="L11" s="33">
        <f>IF(K11="","",IF(K11&gt;=PRs!C51,"PR!",""))</f>
        <v/>
      </c>
      <c r="M11" s="32" t="n"/>
      <c r="N11" s="34" t="inlineStr">
        <is>
          <t>Leave 1-2 reps in the tank; add weight when you hit the top of the range</t>
        </is>
      </c>
    </row>
    <row r="12">
      <c r="A12" s="26" t="inlineStr">
        <is>
          <t>Day 2 - Light</t>
        </is>
      </c>
      <c r="B12" s="27">
        <f>'Start Here'!$B$7+2</f>
        <v/>
      </c>
      <c r="C12" s="28" t="inlineStr">
        <is>
          <t>Broad Jump</t>
        </is>
      </c>
      <c r="D12" s="29" t="n">
        <v>4</v>
      </c>
      <c r="E12" s="29" t="inlineStr">
        <is>
          <t>3</t>
        </is>
      </c>
      <c r="F12" s="29" t="n"/>
      <c r="G12" s="30" t="n"/>
      <c r="H12" s="31" t="n"/>
      <c r="I12" s="32" t="n"/>
      <c r="J12" s="32" t="n"/>
      <c r="K12" s="29" t="n"/>
      <c r="L12" s="33">
        <f>IF(I12="","",IF(I12&gt;=PRs!D70,"PR!",""))</f>
        <v/>
      </c>
      <c r="M12" s="32" t="n"/>
      <c r="N12" s="34" t="inlineStr">
        <is>
          <t>Two-foot jump for distance, stick the landing. Full reset between reps. Log your best distance</t>
        </is>
      </c>
    </row>
    <row r="13">
      <c r="A13" s="26" t="inlineStr">
        <is>
          <t>Day 2 - Light</t>
        </is>
      </c>
      <c r="B13" s="27">
        <f>'Start Here'!$B$7+2</f>
        <v/>
      </c>
      <c r="C13" s="31" t="inlineStr">
        <is>
          <t>Clean &amp; Jerk</t>
        </is>
      </c>
      <c r="D13" s="29" t="n">
        <v>4</v>
      </c>
      <c r="E13" s="29" t="inlineStr">
        <is>
          <t>3</t>
        </is>
      </c>
      <c r="F13" s="29" t="n">
        <v>70</v>
      </c>
      <c r="G13" s="30">
        <f>Maxes!E7</f>
        <v/>
      </c>
      <c r="H13" s="31">
        <f>IF(OR(G13="",F13=""),"",MROUND(G13*F13/100,'Start Here'!$B$6))</f>
        <v/>
      </c>
      <c r="I13" s="32" t="n"/>
      <c r="J13" s="32" t="n"/>
      <c r="K13" s="29">
        <f>IF(OR(I13="",J13=""),"",IF(J13=1,I13,ROUND(I13*(1+J13/30),1)))</f>
        <v/>
      </c>
      <c r="L13" s="33">
        <f>IF(K13="","",IF(K13&gt;=PRs!C7,"PR!",""))</f>
        <v/>
      </c>
      <c r="M13" s="32" t="n"/>
      <c r="N13" s="34" t="inlineStr"/>
    </row>
    <row r="14">
      <c r="A14" s="26" t="inlineStr">
        <is>
          <t>Day 2 - Light</t>
        </is>
      </c>
      <c r="B14" s="27">
        <f>'Start Here'!$B$7+2</f>
        <v/>
      </c>
      <c r="C14" s="31" t="inlineStr">
        <is>
          <t>Squat</t>
        </is>
      </c>
      <c r="D14" s="29" t="n">
        <v>3</v>
      </c>
      <c r="E14" s="29" t="inlineStr">
        <is>
          <t>6</t>
        </is>
      </c>
      <c r="F14" s="29" t="n">
        <v>60</v>
      </c>
      <c r="G14" s="30">
        <f>Maxes!E2</f>
        <v/>
      </c>
      <c r="H14" s="31">
        <f>IF(OR(G14="",F14=""),"",MROUND(G14*F14/100,'Start Here'!$B$6))</f>
        <v/>
      </c>
      <c r="I14" s="32" t="n"/>
      <c r="J14" s="32" t="n"/>
      <c r="K14" s="29">
        <f>IF(OR(I14="",J14=""),"",IF(J14=1,I14,ROUND(I14*(1+J14/30),1)))</f>
        <v/>
      </c>
      <c r="L14" s="33">
        <f>IF(K14="","",IF(K14&gt;=PRs!C2,"PR!",""))</f>
        <v/>
      </c>
      <c r="M14" s="32" t="n"/>
      <c r="N14" s="34" t="inlineStr"/>
    </row>
    <row r="15">
      <c r="A15" s="26" t="inlineStr">
        <is>
          <t>Day 2 - Light</t>
        </is>
      </c>
      <c r="B15" s="27">
        <f>'Start Here'!$B$7+2</f>
        <v/>
      </c>
      <c r="C15" s="31" t="inlineStr">
        <is>
          <t>Overhead Press</t>
        </is>
      </c>
      <c r="D15" s="29" t="n">
        <v>4</v>
      </c>
      <c r="E15" s="29" t="inlineStr">
        <is>
          <t>6</t>
        </is>
      </c>
      <c r="F15" s="29" t="n">
        <v>65</v>
      </c>
      <c r="G15" s="30">
        <f>Maxes!E5</f>
        <v/>
      </c>
      <c r="H15" s="31">
        <f>IF(OR(G15="",F15=""),"",MROUND(G15*F15/100,'Start Here'!$B$6))</f>
        <v/>
      </c>
      <c r="I15" s="32" t="n"/>
      <c r="J15" s="32" t="n"/>
      <c r="K15" s="29">
        <f>IF(OR(I15="",J15=""),"",IF(J15=1,I15,ROUND(I15*(1+J15/30),1)))</f>
        <v/>
      </c>
      <c r="L15" s="33">
        <f>IF(K15="","",IF(K15&gt;=PRs!C5,"PR!",""))</f>
        <v/>
      </c>
      <c r="M15" s="32" t="n"/>
      <c r="N15" s="34" t="inlineStr"/>
    </row>
    <row r="16">
      <c r="A16" s="26" t="inlineStr">
        <is>
          <t>Day 2 - Light</t>
        </is>
      </c>
      <c r="B16" s="27">
        <f>'Start Here'!$B$7+2</f>
        <v/>
      </c>
      <c r="C16" s="31" t="inlineStr">
        <is>
          <t>Deadlift</t>
        </is>
      </c>
      <c r="D16" s="29" t="n">
        <v>3</v>
      </c>
      <c r="E16" s="29" t="inlineStr">
        <is>
          <t>6</t>
        </is>
      </c>
      <c r="F16" s="29" t="n">
        <v>65</v>
      </c>
      <c r="G16" s="30">
        <f>Maxes!E4</f>
        <v/>
      </c>
      <c r="H16" s="31">
        <f>IF(OR(G16="",F16=""),"",MROUND(G16*F16/100,'Start Here'!$B$6))</f>
        <v/>
      </c>
      <c r="I16" s="32" t="n"/>
      <c r="J16" s="32" t="n"/>
      <c r="K16" s="29">
        <f>IF(OR(I16="",J16=""),"",IF(J16=1,I16,ROUND(I16*(1+J16/30),1)))</f>
        <v/>
      </c>
      <c r="L16" s="33">
        <f>IF(K16="","",IF(K16&gt;=PRs!C4,"PR!",""))</f>
        <v/>
      </c>
      <c r="M16" s="32" t="n"/>
      <c r="N16" s="34" t="inlineStr"/>
    </row>
    <row r="17">
      <c r="A17" s="26" t="inlineStr">
        <is>
          <t>Day 2 - Light</t>
        </is>
      </c>
      <c r="B17" s="27">
        <f>'Start Here'!$B$7+2</f>
        <v/>
      </c>
      <c r="C17" s="29" t="inlineStr">
        <is>
          <t>Chin-up</t>
        </is>
      </c>
      <c r="D17" s="29" t="n">
        <v>4</v>
      </c>
      <c r="E17" s="29" t="inlineStr">
        <is>
          <t>6-10</t>
        </is>
      </c>
      <c r="F17" s="29" t="n"/>
      <c r="G17" s="30" t="n"/>
      <c r="H17" s="31" t="n"/>
      <c r="I17" s="32" t="n"/>
      <c r="J17" s="32" t="n"/>
      <c r="K17" s="29">
        <f>IF(OR(I17="",J17=""),"",IF(J17=1,I17,ROUND(I17*(1+J17/30),1)))</f>
        <v/>
      </c>
      <c r="L17" s="33">
        <f>IF(K17="","",IF(K17&gt;=PRs!C53,"PR!",""))</f>
        <v/>
      </c>
      <c r="M17" s="32" t="n"/>
      <c r="N17" s="34" t="inlineStr">
        <is>
          <t>Leave 1-2 reps in the tank; add weight when you hit the top of the range</t>
        </is>
      </c>
    </row>
    <row r="18">
      <c r="A18" s="26" t="inlineStr">
        <is>
          <t>Day 2 - Light</t>
        </is>
      </c>
      <c r="B18" s="27">
        <f>'Start Here'!$B$7+2</f>
        <v/>
      </c>
      <c r="C18" s="29" t="inlineStr">
        <is>
          <t>Plank</t>
        </is>
      </c>
      <c r="D18" s="29" t="n">
        <v>4</v>
      </c>
      <c r="E18" s="29" t="inlineStr">
        <is>
          <t>30-60s</t>
        </is>
      </c>
      <c r="F18" s="29" t="n"/>
      <c r="G18" s="30" t="n"/>
      <c r="H18" s="31" t="n"/>
      <c r="I18" s="32" t="n"/>
      <c r="J18" s="32" t="n"/>
      <c r="K18" s="29">
        <f>IF(OR(I18="",J18=""),"",IF(J18=1,I18,ROUND(I18*(1+J18/30),1)))</f>
        <v/>
      </c>
      <c r="L18" s="33">
        <f>IF(K18="","",IF(K18&gt;=PRs!C56,"PR!",""))</f>
        <v/>
      </c>
      <c r="M18" s="32" t="n"/>
      <c r="N18" s="34" t="inlineStr">
        <is>
          <t>Leave 1-2 reps in the tank; add weight when you hit the top of the range</t>
        </is>
      </c>
    </row>
    <row r="19">
      <c r="A19" s="26" t="inlineStr">
        <is>
          <t>Day 3 - Variations</t>
        </is>
      </c>
      <c r="B19" s="27">
        <f>'Start Here'!$B$7+4</f>
        <v/>
      </c>
      <c r="C19" s="28" t="inlineStr">
        <is>
          <t>Box Jump</t>
        </is>
      </c>
      <c r="D19" s="29" t="n">
        <v>4</v>
      </c>
      <c r="E19" s="29" t="inlineStr">
        <is>
          <t>3</t>
        </is>
      </c>
      <c r="F19" s="29" t="n"/>
      <c r="G19" s="30" t="n"/>
      <c r="H19" s="31">
        <f>IFERROR(IF(PRs!D69&lt;'Start Here'!$H$15,'Start Here'!$H$15,IF(PRs!D69&lt;'Start Here'!$H$16,'Start Here'!$H$16,IF(PRs!D69&lt;'Start Here'!$H$17,'Start Here'!$H$17,IF(PRs!D69&lt;'Start Here'!$H$18,'Start Here'!$H$18,"Elite!")))),"")</f>
        <v/>
      </c>
      <c r="I19" s="32" t="n"/>
      <c r="J19" s="32" t="n"/>
      <c r="K19" s="29" t="n"/>
      <c r="L19" s="33">
        <f>IF(I19="","",IF(I19&gt;=PRs!D69,"PR!",""))</f>
        <v/>
      </c>
      <c r="M19" s="32" t="n"/>
      <c r="N19" s="34" t="inlineStr">
        <is>
          <t>Explode up, land softly, STEP down. Full reset between reps. Log your box height; check the standards</t>
        </is>
      </c>
    </row>
    <row r="20">
      <c r="A20" s="26" t="inlineStr">
        <is>
          <t>Day 3 - Variations</t>
        </is>
      </c>
      <c r="B20" s="27">
        <f>'Start Here'!$B$7+4</f>
        <v/>
      </c>
      <c r="C20" s="31" t="inlineStr">
        <is>
          <t>Power Snatch</t>
        </is>
      </c>
      <c r="D20" s="29" t="n">
        <v>6</v>
      </c>
      <c r="E20" s="29" t="inlineStr">
        <is>
          <t>3</t>
        </is>
      </c>
      <c r="F20" s="29" t="n">
        <v>65</v>
      </c>
      <c r="G20" s="30">
        <f>Maxes!E34</f>
        <v/>
      </c>
      <c r="H20" s="31">
        <f>IF(OR(G20="",F20=""),"",MROUND(G20*F20/100,'Start Here'!$B$6))</f>
        <v/>
      </c>
      <c r="I20" s="32" t="n"/>
      <c r="J20" s="32" t="n"/>
      <c r="K20" s="29">
        <f>IF(OR(I20="",J20=""),"",IF(J20=1,I20,ROUND(I20*(1+J20/30),1)))</f>
        <v/>
      </c>
      <c r="L20" s="33">
        <f>IF(K20="","",IF(K20&gt;=PRs!C34,"PR!",""))</f>
        <v/>
      </c>
      <c r="M20" s="32" t="n"/>
      <c r="N20" s="34" t="inlineStr"/>
    </row>
    <row r="21">
      <c r="A21" s="26" t="inlineStr">
        <is>
          <t>Day 3 - Variations</t>
        </is>
      </c>
      <c r="B21" s="27">
        <f>'Start Here'!$B$7+4</f>
        <v/>
      </c>
      <c r="C21" s="31" t="inlineStr">
        <is>
          <t>Box Squat</t>
        </is>
      </c>
      <c r="D21" s="29" t="n">
        <v>4</v>
      </c>
      <c r="E21" s="29" t="inlineStr">
        <is>
          <t>6</t>
        </is>
      </c>
      <c r="F21" s="29" t="n">
        <v>65</v>
      </c>
      <c r="G21" s="30">
        <f>Maxes!E8</f>
        <v/>
      </c>
      <c r="H21" s="31">
        <f>IF(OR(G21="",F21=""),"",MROUND(G21*F21/100,'Start Here'!$B$6))</f>
        <v/>
      </c>
      <c r="I21" s="32" t="n"/>
      <c r="J21" s="32" t="n"/>
      <c r="K21" s="29">
        <f>IF(OR(I21="",J21=""),"",IF(J21=1,I21,ROUND(I21*(1+J21/30),1)))</f>
        <v/>
      </c>
      <c r="L21" s="33">
        <f>IF(K21="","",IF(K21&gt;=PRs!C8,"PR!",""))</f>
        <v/>
      </c>
      <c r="M21" s="32" t="n"/>
      <c r="N21" s="34" t="inlineStr"/>
    </row>
    <row r="22">
      <c r="A22" s="26" t="inlineStr">
        <is>
          <t>Day 3 - Variations</t>
        </is>
      </c>
      <c r="B22" s="27">
        <f>'Start Here'!$B$7+4</f>
        <v/>
      </c>
      <c r="C22" s="31" t="inlineStr">
        <is>
          <t>Close-Grip Bench Press</t>
        </is>
      </c>
      <c r="D22" s="29" t="n">
        <v>4</v>
      </c>
      <c r="E22" s="29" t="inlineStr">
        <is>
          <t>6</t>
        </is>
      </c>
      <c r="F22" s="29" t="n">
        <v>65</v>
      </c>
      <c r="G22" s="30">
        <f>Maxes!E14</f>
        <v/>
      </c>
      <c r="H22" s="31">
        <f>IF(OR(G22="",F22=""),"",MROUND(G22*F22/100,'Start Here'!$B$6))</f>
        <v/>
      </c>
      <c r="I22" s="32" t="n"/>
      <c r="J22" s="32" t="n"/>
      <c r="K22" s="29">
        <f>IF(OR(I22="",J22=""),"",IF(J22=1,I22,ROUND(I22*(1+J22/30),1)))</f>
        <v/>
      </c>
      <c r="L22" s="33">
        <f>IF(K22="","",IF(K22&gt;=PRs!C14,"PR!",""))</f>
        <v/>
      </c>
      <c r="M22" s="32" t="n"/>
      <c r="N22" s="34" t="inlineStr"/>
    </row>
    <row r="23">
      <c r="A23" s="26" t="inlineStr">
        <is>
          <t>Day 3 - Variations</t>
        </is>
      </c>
      <c r="B23" s="27">
        <f>'Start Here'!$B$7+4</f>
        <v/>
      </c>
      <c r="C23" s="31" t="inlineStr">
        <is>
          <t>Romanian Deadlift</t>
        </is>
      </c>
      <c r="D23" s="29" t="n">
        <v>3</v>
      </c>
      <c r="E23" s="29" t="inlineStr">
        <is>
          <t>6</t>
        </is>
      </c>
      <c r="F23" s="29" t="n">
        <v>60</v>
      </c>
      <c r="G23" s="30">
        <f>Maxes!E23</f>
        <v/>
      </c>
      <c r="H23" s="31">
        <f>IF(OR(G23="",F23=""),"",MROUND(G23*F23/100,'Start Here'!$B$6))</f>
        <v/>
      </c>
      <c r="I23" s="32" t="n"/>
      <c r="J23" s="32" t="n"/>
      <c r="K23" s="29">
        <f>IF(OR(I23="",J23=""),"",IF(J23=1,I23,ROUND(I23*(1+J23/30),1)))</f>
        <v/>
      </c>
      <c r="L23" s="33">
        <f>IF(K23="","",IF(K23&gt;=PRs!C23,"PR!",""))</f>
        <v/>
      </c>
      <c r="M23" s="32" t="n"/>
      <c r="N23" s="34" t="inlineStr"/>
    </row>
    <row r="24">
      <c r="A24" s="26" t="inlineStr">
        <is>
          <t>Day 3 - Variations</t>
        </is>
      </c>
      <c r="B24" s="27">
        <f>'Start Here'!$B$7+4</f>
        <v/>
      </c>
      <c r="C24" s="29" t="inlineStr">
        <is>
          <t>Incline Dumbbell Press</t>
        </is>
      </c>
      <c r="D24" s="29" t="n">
        <v>4</v>
      </c>
      <c r="E24" s="29" t="inlineStr">
        <is>
          <t>8-12</t>
        </is>
      </c>
      <c r="F24" s="29" t="n"/>
      <c r="G24" s="30" t="n"/>
      <c r="H24" s="31" t="n"/>
      <c r="I24" s="32" t="n"/>
      <c r="J24" s="32" t="n"/>
      <c r="K24" s="29">
        <f>IF(OR(I24="",J24=""),"",IF(J24=1,I24,ROUND(I24*(1+J24/30),1)))</f>
        <v/>
      </c>
      <c r="L24" s="33">
        <f>IF(K24="","",IF(K24&gt;=PRs!C57,"PR!",""))</f>
        <v/>
      </c>
      <c r="M24" s="32" t="n"/>
      <c r="N24" s="34" t="inlineStr">
        <is>
          <t>Leave 1-2 reps in the tank; add weight when you hit the top of the range</t>
        </is>
      </c>
    </row>
    <row r="25">
      <c r="A25" s="26" t="inlineStr">
        <is>
          <t>Day 3 - Variations</t>
        </is>
      </c>
      <c r="B25" s="27">
        <f>'Start Here'!$B$7+4</f>
        <v/>
      </c>
      <c r="C25" s="29" t="inlineStr">
        <is>
          <t>Triceps Pushdown</t>
        </is>
      </c>
      <c r="D25" s="29" t="n">
        <v>4</v>
      </c>
      <c r="E25" s="29" t="inlineStr">
        <is>
          <t>10-15</t>
        </is>
      </c>
      <c r="F25" s="29" t="n"/>
      <c r="G25" s="30" t="n"/>
      <c r="H25" s="31" t="n"/>
      <c r="I25" s="32" t="n"/>
      <c r="J25" s="32" t="n"/>
      <c r="K25" s="29">
        <f>IF(OR(I25="",J25=""),"",IF(J25=1,I25,ROUND(I25*(1+J25/30),1)))</f>
        <v/>
      </c>
      <c r="L25" s="33">
        <f>IF(K25="","",IF(K25&gt;=PRs!C59,"PR!",""))</f>
        <v/>
      </c>
      <c r="M25" s="32" t="n"/>
      <c r="N25" s="34" t="inlineStr">
        <is>
          <t>Leave 1-2 reps in the tank; add weight when you hit the top of the range</t>
        </is>
      </c>
    </row>
  </sheetData>
  <hyperlinks>
    <hyperlink xmlns:r="http://schemas.openxmlformats.org/officeDocument/2006/relationships" ref="A2" r:id="rId1"/>
    <hyperlink xmlns:r="http://schemas.openxmlformats.org/officeDocument/2006/relationships" ref="C2" r:id="rId2"/>
    <hyperlink xmlns:r="http://schemas.openxmlformats.org/officeDocument/2006/relationships" ref="E2" r:id="rId3"/>
    <hyperlink xmlns:r="http://schemas.openxmlformats.org/officeDocument/2006/relationships" ref="A4" r:id="rId4"/>
  </hyperlinks>
  <pageMargins left="0.75" right="0.75" top="1" bottom="1" header="0.5" footer="0.5"/>
  <pageSetup orientation="landscape" fitToHeight="0" fitToWidth="1"/>
</worksheet>
</file>

<file path=xl/worksheets/sheet4.xml><?xml version="1.0" encoding="utf-8"?>
<worksheet xmlns="http://schemas.openxmlformats.org/spreadsheetml/2006/main">
  <sheetPr>
    <tabColor rgb="00DCEFDC"/>
    <outlinePr summaryBelow="1" summaryRight="1"/>
    <pageSetUpPr fitToPage="1"/>
  </sheetPr>
  <dimension ref="A1:N25"/>
  <sheetViews>
    <sheetView workbookViewId="0">
      <pane xSplit="3" ySplit="5" topLeftCell="D6" activePane="bottomRight" state="frozen"/>
      <selection pane="topRight"/>
      <selection pane="bottomLeft"/>
      <selection pane="bottomRight" activeCell="A1" sqref="A1"/>
    </sheetView>
  </sheetViews>
  <sheetFormatPr baseColWidth="8" defaultRowHeight="15"/>
  <cols>
    <col width="17" customWidth="1" min="1" max="1"/>
    <col width="11" customWidth="1" min="2" max="2"/>
    <col width="24" customWidth="1" min="3" max="3"/>
    <col width="5" customWidth="1" min="4" max="4"/>
    <col width="6" customWidth="1" min="5" max="5"/>
    <col width="6" customWidth="1" min="6" max="6"/>
    <col width="9" customWidth="1" min="7" max="7"/>
    <col width="10" customWidth="1" min="8" max="8"/>
    <col width="13" customWidth="1" min="9" max="9"/>
    <col width="8" customWidth="1" min="10" max="10"/>
    <col width="9" customWidth="1" min="11" max="11"/>
    <col width="5" customWidth="1" min="12" max="12"/>
    <col width="22" customWidth="1" min="13" max="13"/>
    <col width="62" customWidth="1" min="14" max="14"/>
  </cols>
  <sheetData>
    <row r="1">
      <c r="A1" s="24" t="inlineStr">
        <is>
          <t>Week 2 - Cycle 1 - Accumulation</t>
        </is>
      </c>
    </row>
    <row r="2">
      <c r="A2" s="25" t="inlineStr">
        <is>
          <t>&lt; Week 01</t>
        </is>
      </c>
      <c r="C2" s="25" t="inlineStr">
        <is>
          <t>Start Here</t>
        </is>
      </c>
      <c r="E2" s="25" t="inlineStr">
        <is>
          <t>Week 03 &gt;</t>
        </is>
      </c>
    </row>
    <row r="3">
      <c r="A3" s="10" t="inlineStr">
        <is>
          <t>Bodyweight this week</t>
        </is>
      </c>
      <c r="C3" s="4" t="n"/>
      <c r="D3" t="inlineStr">
        <is>
          <t>Weigh in once this week: same morning routine, before eating.</t>
        </is>
      </c>
    </row>
    <row r="5">
      <c r="A5" s="5" t="inlineStr">
        <is>
          <t>Day</t>
        </is>
      </c>
      <c r="B5" s="5" t="inlineStr">
        <is>
          <t>Date</t>
        </is>
      </c>
      <c r="C5" s="5" t="inlineStr">
        <is>
          <t>Exercise</t>
        </is>
      </c>
      <c r="D5" s="5" t="inlineStr">
        <is>
          <t>Sets</t>
        </is>
      </c>
      <c r="E5" s="5" t="inlineStr">
        <is>
          <t>Reps</t>
        </is>
      </c>
      <c r="F5" s="5" t="inlineStr">
        <is>
          <t>% TM</t>
        </is>
      </c>
      <c r="G5" s="5" t="inlineStr">
        <is>
          <t>Training max</t>
        </is>
      </c>
      <c r="H5" s="5" t="inlineStr">
        <is>
          <t>Weight / target</t>
        </is>
      </c>
      <c r="I5" s="5" t="inlineStr">
        <is>
          <t>Actual (weight, height or distance)</t>
        </is>
      </c>
      <c r="J5" s="5" t="inlineStr">
        <is>
          <t>Actual reps</t>
        </is>
      </c>
      <c r="K5" s="5" t="inlineStr">
        <is>
          <t>Est. 1RM</t>
        </is>
      </c>
      <c r="L5" s="5" t="inlineStr">
        <is>
          <t>PR</t>
        </is>
      </c>
      <c r="M5" s="5" t="inlineStr">
        <is>
          <t>Notes</t>
        </is>
      </c>
      <c r="N5" s="5" t="inlineStr">
        <is>
          <t>Guidance</t>
        </is>
      </c>
    </row>
    <row r="6">
      <c r="A6" s="26" t="inlineStr">
        <is>
          <t>Day 1 - Heavy</t>
        </is>
      </c>
      <c r="B6" s="27">
        <f>'Start Here'!$B$7+7</f>
        <v/>
      </c>
      <c r="C6" s="28" t="inlineStr">
        <is>
          <t>Box Jump</t>
        </is>
      </c>
      <c r="D6" s="29" t="n">
        <v>4</v>
      </c>
      <c r="E6" s="29" t="inlineStr">
        <is>
          <t>3</t>
        </is>
      </c>
      <c r="F6" s="29" t="n"/>
      <c r="G6" s="30" t="n"/>
      <c r="H6" s="31">
        <f>IFERROR(IF(PRs!D69&lt;'Start Here'!$H$15,'Start Here'!$H$15,IF(PRs!D69&lt;'Start Here'!$H$16,'Start Here'!$H$16,IF(PRs!D69&lt;'Start Here'!$H$17,'Start Here'!$H$17,IF(PRs!D69&lt;'Start Here'!$H$18,'Start Here'!$H$18,"Elite!")))),"")</f>
        <v/>
      </c>
      <c r="I6" s="32" t="n"/>
      <c r="J6" s="32" t="n"/>
      <c r="K6" s="29" t="n"/>
      <c r="L6" s="33">
        <f>IF(I6="","",IF(I6&gt;=PRs!D69,"PR!",""))</f>
        <v/>
      </c>
      <c r="M6" s="32" t="n"/>
      <c r="N6" s="34" t="inlineStr">
        <is>
          <t>Explode up, land softly, STEP down. Full reset between reps. Log your box height; check the standards</t>
        </is>
      </c>
    </row>
    <row r="7">
      <c r="A7" s="26" t="inlineStr">
        <is>
          <t>Day 1 - Heavy</t>
        </is>
      </c>
      <c r="B7" s="27">
        <f>'Start Here'!$B$7+7</f>
        <v/>
      </c>
      <c r="C7" s="31" t="inlineStr">
        <is>
          <t>Snatch</t>
        </is>
      </c>
      <c r="D7" s="29" t="n">
        <v>4</v>
      </c>
      <c r="E7" s="29" t="inlineStr">
        <is>
          <t>3</t>
        </is>
      </c>
      <c r="F7" s="29" t="n">
        <v>72.5</v>
      </c>
      <c r="G7" s="30">
        <f>Maxes!E6</f>
        <v/>
      </c>
      <c r="H7" s="31">
        <f>IF(OR(G7="",F7=""),"",MROUND(G7*F7/100,'Start Here'!$B$6))</f>
        <v/>
      </c>
      <c r="I7" s="32" t="n"/>
      <c r="J7" s="32" t="n"/>
      <c r="K7" s="29">
        <f>IF(OR(I7="",J7=""),"",IF(J7=1,I7,ROUND(I7*(1+J7/30),1)))</f>
        <v/>
      </c>
      <c r="L7" s="33">
        <f>IF(K7="","",IF(K7&gt;=PRs!C6,"PR!",""))</f>
        <v/>
      </c>
      <c r="M7" s="32" t="n"/>
      <c r="N7" s="34" t="inlineStr"/>
    </row>
    <row r="8">
      <c r="A8" s="26" t="inlineStr">
        <is>
          <t>Day 1 - Heavy</t>
        </is>
      </c>
      <c r="B8" s="27">
        <f>'Start Here'!$B$7+7</f>
        <v/>
      </c>
      <c r="C8" s="31" t="inlineStr">
        <is>
          <t>Squat</t>
        </is>
      </c>
      <c r="D8" s="29" t="n">
        <v>3</v>
      </c>
      <c r="E8" s="29" t="inlineStr">
        <is>
          <t>6</t>
        </is>
      </c>
      <c r="F8" s="29" t="n">
        <v>72.5</v>
      </c>
      <c r="G8" s="30">
        <f>Maxes!E2</f>
        <v/>
      </c>
      <c r="H8" s="31">
        <f>IF(OR(G8="",F8=""),"",MROUND(G8*F8/100,'Start Here'!$B$6))</f>
        <v/>
      </c>
      <c r="I8" s="32" t="n"/>
      <c r="J8" s="32" t="n"/>
      <c r="K8" s="29">
        <f>IF(OR(I8="",J8=""),"",IF(J8=1,I8,ROUND(I8*(1+J8/30),1)))</f>
        <v/>
      </c>
      <c r="L8" s="33">
        <f>IF(K8="","",IF(K8&gt;=PRs!C2,"PR!",""))</f>
        <v/>
      </c>
      <c r="M8" s="32" t="n"/>
      <c r="N8" s="34" t="inlineStr"/>
    </row>
    <row r="9">
      <c r="A9" s="26" t="inlineStr">
        <is>
          <t>Day 1 - Heavy</t>
        </is>
      </c>
      <c r="B9" s="27">
        <f>'Start Here'!$B$7+7</f>
        <v/>
      </c>
      <c r="C9" s="31" t="inlineStr">
        <is>
          <t>Bench Press</t>
        </is>
      </c>
      <c r="D9" s="29" t="n">
        <v>3</v>
      </c>
      <c r="E9" s="29" t="inlineStr">
        <is>
          <t>6</t>
        </is>
      </c>
      <c r="F9" s="29" t="n">
        <v>72.5</v>
      </c>
      <c r="G9" s="30">
        <f>Maxes!E3</f>
        <v/>
      </c>
      <c r="H9" s="31">
        <f>IF(OR(G9="",F9=""),"",MROUND(G9*F9/100,'Start Here'!$B$6))</f>
        <v/>
      </c>
      <c r="I9" s="32" t="n"/>
      <c r="J9" s="32" t="n"/>
      <c r="K9" s="29">
        <f>IF(OR(I9="",J9=""),"",IF(J9=1,I9,ROUND(I9*(1+J9/30),1)))</f>
        <v/>
      </c>
      <c r="L9" s="33">
        <f>IF(K9="","",IF(K9&gt;=PRs!C3,"PR!",""))</f>
        <v/>
      </c>
      <c r="M9" s="32" t="n"/>
      <c r="N9" s="34" t="inlineStr"/>
    </row>
    <row r="10">
      <c r="A10" s="26" t="inlineStr">
        <is>
          <t>Day 1 - Heavy</t>
        </is>
      </c>
      <c r="B10" s="27">
        <f>'Start Here'!$B$7+7</f>
        <v/>
      </c>
      <c r="C10" s="29" t="inlineStr">
        <is>
          <t>Barbell Row</t>
        </is>
      </c>
      <c r="D10" s="29" t="n">
        <v>4</v>
      </c>
      <c r="E10" s="29" t="inlineStr">
        <is>
          <t>8-10</t>
        </is>
      </c>
      <c r="F10" s="29" t="n"/>
      <c r="G10" s="30" t="n"/>
      <c r="H10" s="31" t="n"/>
      <c r="I10" s="32" t="n"/>
      <c r="J10" s="32" t="n"/>
      <c r="K10" s="29">
        <f>IF(OR(I10="",J10=""),"",IF(J10=1,I10,ROUND(I10*(1+J10/30),1)))</f>
        <v/>
      </c>
      <c r="L10" s="33">
        <f>IF(K10="","",IF(K10&gt;=PRs!C50,"PR!",""))</f>
        <v/>
      </c>
      <c r="M10" s="32" t="n"/>
      <c r="N10" s="34" t="inlineStr">
        <is>
          <t>Leave 1-2 reps in the tank; add weight when you hit the top of the range</t>
        </is>
      </c>
    </row>
    <row r="11">
      <c r="A11" s="26" t="inlineStr">
        <is>
          <t>Day 1 - Heavy</t>
        </is>
      </c>
      <c r="B11" s="27">
        <f>'Start Here'!$B$7+7</f>
        <v/>
      </c>
      <c r="C11" s="29" t="inlineStr">
        <is>
          <t>Face Pull</t>
        </is>
      </c>
      <c r="D11" s="29" t="n">
        <v>4</v>
      </c>
      <c r="E11" s="29" t="inlineStr">
        <is>
          <t>12-15</t>
        </is>
      </c>
      <c r="F11" s="29" t="n"/>
      <c r="G11" s="30" t="n"/>
      <c r="H11" s="31" t="n"/>
      <c r="I11" s="32" t="n"/>
      <c r="J11" s="32" t="n"/>
      <c r="K11" s="29">
        <f>IF(OR(I11="",J11=""),"",IF(J11=1,I11,ROUND(I11*(1+J11/30),1)))</f>
        <v/>
      </c>
      <c r="L11" s="33">
        <f>IF(K11="","",IF(K11&gt;=PRs!C51,"PR!",""))</f>
        <v/>
      </c>
      <c r="M11" s="32" t="n"/>
      <c r="N11" s="34" t="inlineStr">
        <is>
          <t>Leave 1-2 reps in the tank; add weight when you hit the top of the range</t>
        </is>
      </c>
    </row>
    <row r="12">
      <c r="A12" s="26" t="inlineStr">
        <is>
          <t>Day 2 - Light</t>
        </is>
      </c>
      <c r="B12" s="27">
        <f>'Start Here'!$B$7+9</f>
        <v/>
      </c>
      <c r="C12" s="28" t="inlineStr">
        <is>
          <t>Broad Jump</t>
        </is>
      </c>
      <c r="D12" s="29" t="n">
        <v>4</v>
      </c>
      <c r="E12" s="29" t="inlineStr">
        <is>
          <t>3</t>
        </is>
      </c>
      <c r="F12" s="29" t="n"/>
      <c r="G12" s="30" t="n"/>
      <c r="H12" s="31" t="n"/>
      <c r="I12" s="32" t="n"/>
      <c r="J12" s="32" t="n"/>
      <c r="K12" s="29" t="n"/>
      <c r="L12" s="33">
        <f>IF(I12="","",IF(I12&gt;=PRs!D70,"PR!",""))</f>
        <v/>
      </c>
      <c r="M12" s="32" t="n"/>
      <c r="N12" s="34" t="inlineStr">
        <is>
          <t>Two-foot jump for distance, stick the landing. Full reset between reps. Log your best distance</t>
        </is>
      </c>
    </row>
    <row r="13">
      <c r="A13" s="26" t="inlineStr">
        <is>
          <t>Day 2 - Light</t>
        </is>
      </c>
      <c r="B13" s="27">
        <f>'Start Here'!$B$7+9</f>
        <v/>
      </c>
      <c r="C13" s="31" t="inlineStr">
        <is>
          <t>Clean &amp; Jerk</t>
        </is>
      </c>
      <c r="D13" s="29" t="n">
        <v>4</v>
      </c>
      <c r="E13" s="29" t="inlineStr">
        <is>
          <t>3</t>
        </is>
      </c>
      <c r="F13" s="29" t="n">
        <v>72.5</v>
      </c>
      <c r="G13" s="30">
        <f>Maxes!E7</f>
        <v/>
      </c>
      <c r="H13" s="31">
        <f>IF(OR(G13="",F13=""),"",MROUND(G13*F13/100,'Start Here'!$B$6))</f>
        <v/>
      </c>
      <c r="I13" s="32" t="n"/>
      <c r="J13" s="32" t="n"/>
      <c r="K13" s="29">
        <f>IF(OR(I13="",J13=""),"",IF(J13=1,I13,ROUND(I13*(1+J13/30),1)))</f>
        <v/>
      </c>
      <c r="L13" s="33">
        <f>IF(K13="","",IF(K13&gt;=PRs!C7,"PR!",""))</f>
        <v/>
      </c>
      <c r="M13" s="32" t="n"/>
      <c r="N13" s="34" t="inlineStr"/>
    </row>
    <row r="14">
      <c r="A14" s="26" t="inlineStr">
        <is>
          <t>Day 2 - Light</t>
        </is>
      </c>
      <c r="B14" s="27">
        <f>'Start Here'!$B$7+9</f>
        <v/>
      </c>
      <c r="C14" s="31" t="inlineStr">
        <is>
          <t>Squat</t>
        </is>
      </c>
      <c r="D14" s="29" t="n">
        <v>3</v>
      </c>
      <c r="E14" s="29" t="inlineStr">
        <is>
          <t>6</t>
        </is>
      </c>
      <c r="F14" s="29" t="n">
        <v>62.5</v>
      </c>
      <c r="G14" s="30">
        <f>Maxes!E2</f>
        <v/>
      </c>
      <c r="H14" s="31">
        <f>IF(OR(G14="",F14=""),"",MROUND(G14*F14/100,'Start Here'!$B$6))</f>
        <v/>
      </c>
      <c r="I14" s="32" t="n"/>
      <c r="J14" s="32" t="n"/>
      <c r="K14" s="29">
        <f>IF(OR(I14="",J14=""),"",IF(J14=1,I14,ROUND(I14*(1+J14/30),1)))</f>
        <v/>
      </c>
      <c r="L14" s="33">
        <f>IF(K14="","",IF(K14&gt;=PRs!C2,"PR!",""))</f>
        <v/>
      </c>
      <c r="M14" s="32" t="n"/>
      <c r="N14" s="34" t="inlineStr"/>
    </row>
    <row r="15">
      <c r="A15" s="26" t="inlineStr">
        <is>
          <t>Day 2 - Light</t>
        </is>
      </c>
      <c r="B15" s="27">
        <f>'Start Here'!$B$7+9</f>
        <v/>
      </c>
      <c r="C15" s="31" t="inlineStr">
        <is>
          <t>Overhead Press</t>
        </is>
      </c>
      <c r="D15" s="29" t="n">
        <v>4</v>
      </c>
      <c r="E15" s="29" t="inlineStr">
        <is>
          <t>6</t>
        </is>
      </c>
      <c r="F15" s="29" t="n">
        <v>67.5</v>
      </c>
      <c r="G15" s="30">
        <f>Maxes!E5</f>
        <v/>
      </c>
      <c r="H15" s="31">
        <f>IF(OR(G15="",F15=""),"",MROUND(G15*F15/100,'Start Here'!$B$6))</f>
        <v/>
      </c>
      <c r="I15" s="32" t="n"/>
      <c r="J15" s="32" t="n"/>
      <c r="K15" s="29">
        <f>IF(OR(I15="",J15=""),"",IF(J15=1,I15,ROUND(I15*(1+J15/30),1)))</f>
        <v/>
      </c>
      <c r="L15" s="33">
        <f>IF(K15="","",IF(K15&gt;=PRs!C5,"PR!",""))</f>
        <v/>
      </c>
      <c r="M15" s="32" t="n"/>
      <c r="N15" s="34" t="inlineStr"/>
    </row>
    <row r="16">
      <c r="A16" s="26" t="inlineStr">
        <is>
          <t>Day 2 - Light</t>
        </is>
      </c>
      <c r="B16" s="27">
        <f>'Start Here'!$B$7+9</f>
        <v/>
      </c>
      <c r="C16" s="31" t="inlineStr">
        <is>
          <t>Deadlift</t>
        </is>
      </c>
      <c r="D16" s="29" t="n">
        <v>3</v>
      </c>
      <c r="E16" s="29" t="inlineStr">
        <is>
          <t>6</t>
        </is>
      </c>
      <c r="F16" s="29" t="n">
        <v>67.5</v>
      </c>
      <c r="G16" s="30">
        <f>Maxes!E4</f>
        <v/>
      </c>
      <c r="H16" s="31">
        <f>IF(OR(G16="",F16=""),"",MROUND(G16*F16/100,'Start Here'!$B$6))</f>
        <v/>
      </c>
      <c r="I16" s="32" t="n"/>
      <c r="J16" s="32" t="n"/>
      <c r="K16" s="29">
        <f>IF(OR(I16="",J16=""),"",IF(J16=1,I16,ROUND(I16*(1+J16/30),1)))</f>
        <v/>
      </c>
      <c r="L16" s="33">
        <f>IF(K16="","",IF(K16&gt;=PRs!C4,"PR!",""))</f>
        <v/>
      </c>
      <c r="M16" s="32" t="n"/>
      <c r="N16" s="34" t="inlineStr"/>
    </row>
    <row r="17">
      <c r="A17" s="26" t="inlineStr">
        <is>
          <t>Day 2 - Light</t>
        </is>
      </c>
      <c r="B17" s="27">
        <f>'Start Here'!$B$7+9</f>
        <v/>
      </c>
      <c r="C17" s="29" t="inlineStr">
        <is>
          <t>Chin-up</t>
        </is>
      </c>
      <c r="D17" s="29" t="n">
        <v>4</v>
      </c>
      <c r="E17" s="29" t="inlineStr">
        <is>
          <t>6-10</t>
        </is>
      </c>
      <c r="F17" s="29" t="n"/>
      <c r="G17" s="30" t="n"/>
      <c r="H17" s="31" t="n"/>
      <c r="I17" s="32" t="n"/>
      <c r="J17" s="32" t="n"/>
      <c r="K17" s="29">
        <f>IF(OR(I17="",J17=""),"",IF(J17=1,I17,ROUND(I17*(1+J17/30),1)))</f>
        <v/>
      </c>
      <c r="L17" s="33">
        <f>IF(K17="","",IF(K17&gt;=PRs!C53,"PR!",""))</f>
        <v/>
      </c>
      <c r="M17" s="32" t="n"/>
      <c r="N17" s="34" t="inlineStr">
        <is>
          <t>Leave 1-2 reps in the tank; add weight when you hit the top of the range</t>
        </is>
      </c>
    </row>
    <row r="18">
      <c r="A18" s="26" t="inlineStr">
        <is>
          <t>Day 2 - Light</t>
        </is>
      </c>
      <c r="B18" s="27">
        <f>'Start Here'!$B$7+9</f>
        <v/>
      </c>
      <c r="C18" s="29" t="inlineStr">
        <is>
          <t>Plank</t>
        </is>
      </c>
      <c r="D18" s="29" t="n">
        <v>4</v>
      </c>
      <c r="E18" s="29" t="inlineStr">
        <is>
          <t>30-60s</t>
        </is>
      </c>
      <c r="F18" s="29" t="n"/>
      <c r="G18" s="30" t="n"/>
      <c r="H18" s="31" t="n"/>
      <c r="I18" s="32" t="n"/>
      <c r="J18" s="32" t="n"/>
      <c r="K18" s="29">
        <f>IF(OR(I18="",J18=""),"",IF(J18=1,I18,ROUND(I18*(1+J18/30),1)))</f>
        <v/>
      </c>
      <c r="L18" s="33">
        <f>IF(K18="","",IF(K18&gt;=PRs!C56,"PR!",""))</f>
        <v/>
      </c>
      <c r="M18" s="32" t="n"/>
      <c r="N18" s="34" t="inlineStr">
        <is>
          <t>Leave 1-2 reps in the tank; add weight when you hit the top of the range</t>
        </is>
      </c>
    </row>
    <row r="19">
      <c r="A19" s="26" t="inlineStr">
        <is>
          <t>Day 3 - Variations</t>
        </is>
      </c>
      <c r="B19" s="27">
        <f>'Start Here'!$B$7+11</f>
        <v/>
      </c>
      <c r="C19" s="28" t="inlineStr">
        <is>
          <t>Box Jump</t>
        </is>
      </c>
      <c r="D19" s="29" t="n">
        <v>4</v>
      </c>
      <c r="E19" s="29" t="inlineStr">
        <is>
          <t>3</t>
        </is>
      </c>
      <c r="F19" s="29" t="n"/>
      <c r="G19" s="30" t="n"/>
      <c r="H19" s="31">
        <f>IFERROR(IF(PRs!D69&lt;'Start Here'!$H$15,'Start Here'!$H$15,IF(PRs!D69&lt;'Start Here'!$H$16,'Start Here'!$H$16,IF(PRs!D69&lt;'Start Here'!$H$17,'Start Here'!$H$17,IF(PRs!D69&lt;'Start Here'!$H$18,'Start Here'!$H$18,"Elite!")))),"")</f>
        <v/>
      </c>
      <c r="I19" s="32" t="n"/>
      <c r="J19" s="32" t="n"/>
      <c r="K19" s="29" t="n"/>
      <c r="L19" s="33">
        <f>IF(I19="","",IF(I19&gt;=PRs!D69,"PR!",""))</f>
        <v/>
      </c>
      <c r="M19" s="32" t="n"/>
      <c r="N19" s="34" t="inlineStr">
        <is>
          <t>Explode up, land softly, STEP down. Full reset between reps. Log your box height; check the standards</t>
        </is>
      </c>
    </row>
    <row r="20">
      <c r="A20" s="26" t="inlineStr">
        <is>
          <t>Day 3 - Variations</t>
        </is>
      </c>
      <c r="B20" s="27">
        <f>'Start Here'!$B$7+11</f>
        <v/>
      </c>
      <c r="C20" s="31" t="inlineStr">
        <is>
          <t>Power Snatch</t>
        </is>
      </c>
      <c r="D20" s="29" t="n">
        <v>6</v>
      </c>
      <c r="E20" s="29" t="inlineStr">
        <is>
          <t>3</t>
        </is>
      </c>
      <c r="F20" s="29" t="n">
        <v>67.5</v>
      </c>
      <c r="G20" s="30">
        <f>Maxes!E34</f>
        <v/>
      </c>
      <c r="H20" s="31">
        <f>IF(OR(G20="",F20=""),"",MROUND(G20*F20/100,'Start Here'!$B$6))</f>
        <v/>
      </c>
      <c r="I20" s="32" t="n"/>
      <c r="J20" s="32" t="n"/>
      <c r="K20" s="29">
        <f>IF(OR(I20="",J20=""),"",IF(J20=1,I20,ROUND(I20*(1+J20/30),1)))</f>
        <v/>
      </c>
      <c r="L20" s="33">
        <f>IF(K20="","",IF(K20&gt;=PRs!C34,"PR!",""))</f>
        <v/>
      </c>
      <c r="M20" s="32" t="n"/>
      <c r="N20" s="34" t="inlineStr"/>
    </row>
    <row r="21">
      <c r="A21" s="26" t="inlineStr">
        <is>
          <t>Day 3 - Variations</t>
        </is>
      </c>
      <c r="B21" s="27">
        <f>'Start Here'!$B$7+11</f>
        <v/>
      </c>
      <c r="C21" s="31" t="inlineStr">
        <is>
          <t>Box Squat</t>
        </is>
      </c>
      <c r="D21" s="29" t="n">
        <v>4</v>
      </c>
      <c r="E21" s="29" t="inlineStr">
        <is>
          <t>6</t>
        </is>
      </c>
      <c r="F21" s="29" t="n">
        <v>67.5</v>
      </c>
      <c r="G21" s="30">
        <f>Maxes!E8</f>
        <v/>
      </c>
      <c r="H21" s="31">
        <f>IF(OR(G21="",F21=""),"",MROUND(G21*F21/100,'Start Here'!$B$6))</f>
        <v/>
      </c>
      <c r="I21" s="32" t="n"/>
      <c r="J21" s="32" t="n"/>
      <c r="K21" s="29">
        <f>IF(OR(I21="",J21=""),"",IF(J21=1,I21,ROUND(I21*(1+J21/30),1)))</f>
        <v/>
      </c>
      <c r="L21" s="33">
        <f>IF(K21="","",IF(K21&gt;=PRs!C8,"PR!",""))</f>
        <v/>
      </c>
      <c r="M21" s="32" t="n"/>
      <c r="N21" s="34" t="inlineStr"/>
    </row>
    <row r="22">
      <c r="A22" s="26" t="inlineStr">
        <is>
          <t>Day 3 - Variations</t>
        </is>
      </c>
      <c r="B22" s="27">
        <f>'Start Here'!$B$7+11</f>
        <v/>
      </c>
      <c r="C22" s="31" t="inlineStr">
        <is>
          <t>Close-Grip Bench Press</t>
        </is>
      </c>
      <c r="D22" s="29" t="n">
        <v>4</v>
      </c>
      <c r="E22" s="29" t="inlineStr">
        <is>
          <t>6</t>
        </is>
      </c>
      <c r="F22" s="29" t="n">
        <v>67.5</v>
      </c>
      <c r="G22" s="30">
        <f>Maxes!E14</f>
        <v/>
      </c>
      <c r="H22" s="31">
        <f>IF(OR(G22="",F22=""),"",MROUND(G22*F22/100,'Start Here'!$B$6))</f>
        <v/>
      </c>
      <c r="I22" s="32" t="n"/>
      <c r="J22" s="32" t="n"/>
      <c r="K22" s="29">
        <f>IF(OR(I22="",J22=""),"",IF(J22=1,I22,ROUND(I22*(1+J22/30),1)))</f>
        <v/>
      </c>
      <c r="L22" s="33">
        <f>IF(K22="","",IF(K22&gt;=PRs!C14,"PR!",""))</f>
        <v/>
      </c>
      <c r="M22" s="32" t="n"/>
      <c r="N22" s="34" t="inlineStr"/>
    </row>
    <row r="23">
      <c r="A23" s="26" t="inlineStr">
        <is>
          <t>Day 3 - Variations</t>
        </is>
      </c>
      <c r="B23" s="27">
        <f>'Start Here'!$B$7+11</f>
        <v/>
      </c>
      <c r="C23" s="31" t="inlineStr">
        <is>
          <t>Romanian Deadlift</t>
        </is>
      </c>
      <c r="D23" s="29" t="n">
        <v>3</v>
      </c>
      <c r="E23" s="29" t="inlineStr">
        <is>
          <t>6</t>
        </is>
      </c>
      <c r="F23" s="29" t="n">
        <v>62.5</v>
      </c>
      <c r="G23" s="30">
        <f>Maxes!E23</f>
        <v/>
      </c>
      <c r="H23" s="31">
        <f>IF(OR(G23="",F23=""),"",MROUND(G23*F23/100,'Start Here'!$B$6))</f>
        <v/>
      </c>
      <c r="I23" s="32" t="n"/>
      <c r="J23" s="32" t="n"/>
      <c r="K23" s="29">
        <f>IF(OR(I23="",J23=""),"",IF(J23=1,I23,ROUND(I23*(1+J23/30),1)))</f>
        <v/>
      </c>
      <c r="L23" s="33">
        <f>IF(K23="","",IF(K23&gt;=PRs!C23,"PR!",""))</f>
        <v/>
      </c>
      <c r="M23" s="32" t="n"/>
      <c r="N23" s="34" t="inlineStr"/>
    </row>
    <row r="24">
      <c r="A24" s="26" t="inlineStr">
        <is>
          <t>Day 3 - Variations</t>
        </is>
      </c>
      <c r="B24" s="27">
        <f>'Start Here'!$B$7+11</f>
        <v/>
      </c>
      <c r="C24" s="29" t="inlineStr">
        <is>
          <t>Incline Dumbbell Press</t>
        </is>
      </c>
      <c r="D24" s="29" t="n">
        <v>4</v>
      </c>
      <c r="E24" s="29" t="inlineStr">
        <is>
          <t>8-12</t>
        </is>
      </c>
      <c r="F24" s="29" t="n"/>
      <c r="G24" s="30" t="n"/>
      <c r="H24" s="31" t="n"/>
      <c r="I24" s="32" t="n"/>
      <c r="J24" s="32" t="n"/>
      <c r="K24" s="29">
        <f>IF(OR(I24="",J24=""),"",IF(J24=1,I24,ROUND(I24*(1+J24/30),1)))</f>
        <v/>
      </c>
      <c r="L24" s="33">
        <f>IF(K24="","",IF(K24&gt;=PRs!C57,"PR!",""))</f>
        <v/>
      </c>
      <c r="M24" s="32" t="n"/>
      <c r="N24" s="34" t="inlineStr">
        <is>
          <t>Leave 1-2 reps in the tank; add weight when you hit the top of the range</t>
        </is>
      </c>
    </row>
    <row r="25">
      <c r="A25" s="26" t="inlineStr">
        <is>
          <t>Day 3 - Variations</t>
        </is>
      </c>
      <c r="B25" s="27">
        <f>'Start Here'!$B$7+11</f>
        <v/>
      </c>
      <c r="C25" s="29" t="inlineStr">
        <is>
          <t>Triceps Pushdown</t>
        </is>
      </c>
      <c r="D25" s="29" t="n">
        <v>4</v>
      </c>
      <c r="E25" s="29" t="inlineStr">
        <is>
          <t>10-15</t>
        </is>
      </c>
      <c r="F25" s="29" t="n"/>
      <c r="G25" s="30" t="n"/>
      <c r="H25" s="31" t="n"/>
      <c r="I25" s="32" t="n"/>
      <c r="J25" s="32" t="n"/>
      <c r="K25" s="29">
        <f>IF(OR(I25="",J25=""),"",IF(J25=1,I25,ROUND(I25*(1+J25/30),1)))</f>
        <v/>
      </c>
      <c r="L25" s="33">
        <f>IF(K25="","",IF(K25&gt;=PRs!C59,"PR!",""))</f>
        <v/>
      </c>
      <c r="M25" s="32" t="n"/>
      <c r="N25" s="34" t="inlineStr">
        <is>
          <t>Leave 1-2 reps in the tank; add weight when you hit the top of the range</t>
        </is>
      </c>
    </row>
  </sheetData>
  <hyperlinks>
    <hyperlink xmlns:r="http://schemas.openxmlformats.org/officeDocument/2006/relationships" ref="A2" r:id="rId1"/>
    <hyperlink xmlns:r="http://schemas.openxmlformats.org/officeDocument/2006/relationships" ref="C2" r:id="rId2"/>
    <hyperlink xmlns:r="http://schemas.openxmlformats.org/officeDocument/2006/relationships" ref="E2" r:id="rId3"/>
  </hyperlinks>
  <pageMargins left="0.75" right="0.75" top="1" bottom="1" header="0.5" footer="0.5"/>
  <pageSetup orientation="landscape" fitToHeight="0" fitToWidth="1"/>
</worksheet>
</file>

<file path=xl/worksheets/sheet5.xml><?xml version="1.0" encoding="utf-8"?>
<worksheet xmlns="http://schemas.openxmlformats.org/spreadsheetml/2006/main">
  <sheetPr>
    <tabColor rgb="00DCEFDC"/>
    <outlinePr summaryBelow="1" summaryRight="1"/>
    <pageSetUpPr fitToPage="1"/>
  </sheetPr>
  <dimension ref="A1:N25"/>
  <sheetViews>
    <sheetView workbookViewId="0">
      <pane xSplit="3" ySplit="5" topLeftCell="D6" activePane="bottomRight" state="frozen"/>
      <selection pane="topRight"/>
      <selection pane="bottomLeft"/>
      <selection pane="bottomRight" activeCell="A1" sqref="A1"/>
    </sheetView>
  </sheetViews>
  <sheetFormatPr baseColWidth="8" defaultRowHeight="15"/>
  <cols>
    <col width="17" customWidth="1" min="1" max="1"/>
    <col width="11" customWidth="1" min="2" max="2"/>
    <col width="24" customWidth="1" min="3" max="3"/>
    <col width="5" customWidth="1" min="4" max="4"/>
    <col width="6" customWidth="1" min="5" max="5"/>
    <col width="6" customWidth="1" min="6" max="6"/>
    <col width="9" customWidth="1" min="7" max="7"/>
    <col width="10" customWidth="1" min="8" max="8"/>
    <col width="13" customWidth="1" min="9" max="9"/>
    <col width="8" customWidth="1" min="10" max="10"/>
    <col width="9" customWidth="1" min="11" max="11"/>
    <col width="5" customWidth="1" min="12" max="12"/>
    <col width="22" customWidth="1" min="13" max="13"/>
    <col width="62" customWidth="1" min="14" max="14"/>
  </cols>
  <sheetData>
    <row r="1">
      <c r="A1" s="24" t="inlineStr">
        <is>
          <t>Week 3 - Cycle 1 - Accumulation</t>
        </is>
      </c>
    </row>
    <row r="2">
      <c r="A2" s="25" t="inlineStr">
        <is>
          <t>&lt; Week 02</t>
        </is>
      </c>
      <c r="C2" s="25" t="inlineStr">
        <is>
          <t>Start Here</t>
        </is>
      </c>
      <c r="E2" s="25" t="inlineStr">
        <is>
          <t>Week 04 &gt;</t>
        </is>
      </c>
    </row>
    <row r="3">
      <c r="A3" s="10" t="inlineStr">
        <is>
          <t>Bodyweight this week</t>
        </is>
      </c>
      <c r="C3" s="4" t="n"/>
      <c r="D3" t="inlineStr">
        <is>
          <t>Weigh in once this week: same morning routine, before eating.</t>
        </is>
      </c>
    </row>
    <row r="5">
      <c r="A5" s="5" t="inlineStr">
        <is>
          <t>Day</t>
        </is>
      </c>
      <c r="B5" s="5" t="inlineStr">
        <is>
          <t>Date</t>
        </is>
      </c>
      <c r="C5" s="5" t="inlineStr">
        <is>
          <t>Exercise</t>
        </is>
      </c>
      <c r="D5" s="5" t="inlineStr">
        <is>
          <t>Sets</t>
        </is>
      </c>
      <c r="E5" s="5" t="inlineStr">
        <is>
          <t>Reps</t>
        </is>
      </c>
      <c r="F5" s="5" t="inlineStr">
        <is>
          <t>% TM</t>
        </is>
      </c>
      <c r="G5" s="5" t="inlineStr">
        <is>
          <t>Training max</t>
        </is>
      </c>
      <c r="H5" s="5" t="inlineStr">
        <is>
          <t>Weight / target</t>
        </is>
      </c>
      <c r="I5" s="5" t="inlineStr">
        <is>
          <t>Actual (weight, height or distance)</t>
        </is>
      </c>
      <c r="J5" s="5" t="inlineStr">
        <is>
          <t>Actual reps</t>
        </is>
      </c>
      <c r="K5" s="5" t="inlineStr">
        <is>
          <t>Est. 1RM</t>
        </is>
      </c>
      <c r="L5" s="5" t="inlineStr">
        <is>
          <t>PR</t>
        </is>
      </c>
      <c r="M5" s="5" t="inlineStr">
        <is>
          <t>Notes</t>
        </is>
      </c>
      <c r="N5" s="5" t="inlineStr">
        <is>
          <t>Guidance</t>
        </is>
      </c>
    </row>
    <row r="6">
      <c r="A6" s="26" t="inlineStr">
        <is>
          <t>Day 1 - Heavy</t>
        </is>
      </c>
      <c r="B6" s="27">
        <f>'Start Here'!$B$7+14</f>
        <v/>
      </c>
      <c r="C6" s="28" t="inlineStr">
        <is>
          <t>Box Jump</t>
        </is>
      </c>
      <c r="D6" s="29" t="n">
        <v>4</v>
      </c>
      <c r="E6" s="29" t="inlineStr">
        <is>
          <t>3</t>
        </is>
      </c>
      <c r="F6" s="29" t="n"/>
      <c r="G6" s="30" t="n"/>
      <c r="H6" s="31">
        <f>IFERROR(IF(PRs!D69&lt;'Start Here'!$H$15,'Start Here'!$H$15,IF(PRs!D69&lt;'Start Here'!$H$16,'Start Here'!$H$16,IF(PRs!D69&lt;'Start Here'!$H$17,'Start Here'!$H$17,IF(PRs!D69&lt;'Start Here'!$H$18,'Start Here'!$H$18,"Elite!")))),"")</f>
        <v/>
      </c>
      <c r="I6" s="32" t="n"/>
      <c r="J6" s="32" t="n"/>
      <c r="K6" s="29" t="n"/>
      <c r="L6" s="33">
        <f>IF(I6="","",IF(I6&gt;=PRs!D69,"PR!",""))</f>
        <v/>
      </c>
      <c r="M6" s="32" t="n"/>
      <c r="N6" s="34" t="inlineStr">
        <is>
          <t>Explode up, land softly, STEP down. Full reset between reps. Log your box height; check the standards</t>
        </is>
      </c>
    </row>
    <row r="7">
      <c r="A7" s="26" t="inlineStr">
        <is>
          <t>Day 1 - Heavy</t>
        </is>
      </c>
      <c r="B7" s="27">
        <f>'Start Here'!$B$7+14</f>
        <v/>
      </c>
      <c r="C7" s="31" t="inlineStr">
        <is>
          <t>Snatch</t>
        </is>
      </c>
      <c r="D7" s="29" t="n">
        <v>4</v>
      </c>
      <c r="E7" s="29" t="inlineStr">
        <is>
          <t>3</t>
        </is>
      </c>
      <c r="F7" s="29" t="n">
        <v>75</v>
      </c>
      <c r="G7" s="30">
        <f>Maxes!E6</f>
        <v/>
      </c>
      <c r="H7" s="31">
        <f>IF(OR(G7="",F7=""),"",MROUND(G7*F7/100,'Start Here'!$B$6))</f>
        <v/>
      </c>
      <c r="I7" s="32" t="n"/>
      <c r="J7" s="32" t="n"/>
      <c r="K7" s="29">
        <f>IF(OR(I7="",J7=""),"",IF(J7=1,I7,ROUND(I7*(1+J7/30),1)))</f>
        <v/>
      </c>
      <c r="L7" s="33">
        <f>IF(K7="","",IF(K7&gt;=PRs!C6,"PR!",""))</f>
        <v/>
      </c>
      <c r="M7" s="32" t="n"/>
      <c r="N7" s="34" t="inlineStr"/>
    </row>
    <row r="8">
      <c r="A8" s="26" t="inlineStr">
        <is>
          <t>Day 1 - Heavy</t>
        </is>
      </c>
      <c r="B8" s="27">
        <f>'Start Here'!$B$7+14</f>
        <v/>
      </c>
      <c r="C8" s="31" t="inlineStr">
        <is>
          <t>Squat</t>
        </is>
      </c>
      <c r="D8" s="29" t="n">
        <v>3</v>
      </c>
      <c r="E8" s="29" t="inlineStr">
        <is>
          <t>6</t>
        </is>
      </c>
      <c r="F8" s="29" t="n">
        <v>75</v>
      </c>
      <c r="G8" s="30">
        <f>Maxes!E2</f>
        <v/>
      </c>
      <c r="H8" s="31">
        <f>IF(OR(G8="",F8=""),"",MROUND(G8*F8/100,'Start Here'!$B$6))</f>
        <v/>
      </c>
      <c r="I8" s="32" t="n"/>
      <c r="J8" s="32" t="n"/>
      <c r="K8" s="29">
        <f>IF(OR(I8="",J8=""),"",IF(J8=1,I8,ROUND(I8*(1+J8/30),1)))</f>
        <v/>
      </c>
      <c r="L8" s="33">
        <f>IF(K8="","",IF(K8&gt;=PRs!C2,"PR!",""))</f>
        <v/>
      </c>
      <c r="M8" s="32" t="n"/>
      <c r="N8" s="34" t="inlineStr"/>
    </row>
    <row r="9">
      <c r="A9" s="26" t="inlineStr">
        <is>
          <t>Day 1 - Heavy</t>
        </is>
      </c>
      <c r="B9" s="27">
        <f>'Start Here'!$B$7+14</f>
        <v/>
      </c>
      <c r="C9" s="31" t="inlineStr">
        <is>
          <t>Bench Press</t>
        </is>
      </c>
      <c r="D9" s="29" t="n">
        <v>3</v>
      </c>
      <c r="E9" s="29" t="inlineStr">
        <is>
          <t>6</t>
        </is>
      </c>
      <c r="F9" s="29" t="n">
        <v>75</v>
      </c>
      <c r="G9" s="30">
        <f>Maxes!E3</f>
        <v/>
      </c>
      <c r="H9" s="31">
        <f>IF(OR(G9="",F9=""),"",MROUND(G9*F9/100,'Start Here'!$B$6))</f>
        <v/>
      </c>
      <c r="I9" s="32" t="n"/>
      <c r="J9" s="32" t="n"/>
      <c r="K9" s="29">
        <f>IF(OR(I9="",J9=""),"",IF(J9=1,I9,ROUND(I9*(1+J9/30),1)))</f>
        <v/>
      </c>
      <c r="L9" s="33">
        <f>IF(K9="","",IF(K9&gt;=PRs!C3,"PR!",""))</f>
        <v/>
      </c>
      <c r="M9" s="32" t="n"/>
      <c r="N9" s="34" t="inlineStr"/>
    </row>
    <row r="10">
      <c r="A10" s="26" t="inlineStr">
        <is>
          <t>Day 1 - Heavy</t>
        </is>
      </c>
      <c r="B10" s="27">
        <f>'Start Here'!$B$7+14</f>
        <v/>
      </c>
      <c r="C10" s="29" t="inlineStr">
        <is>
          <t>Barbell Row</t>
        </is>
      </c>
      <c r="D10" s="29" t="n">
        <v>4</v>
      </c>
      <c r="E10" s="29" t="inlineStr">
        <is>
          <t>8-10</t>
        </is>
      </c>
      <c r="F10" s="29" t="n"/>
      <c r="G10" s="30" t="n"/>
      <c r="H10" s="31" t="n"/>
      <c r="I10" s="32" t="n"/>
      <c r="J10" s="32" t="n"/>
      <c r="K10" s="29">
        <f>IF(OR(I10="",J10=""),"",IF(J10=1,I10,ROUND(I10*(1+J10/30),1)))</f>
        <v/>
      </c>
      <c r="L10" s="33">
        <f>IF(K10="","",IF(K10&gt;=PRs!C50,"PR!",""))</f>
        <v/>
      </c>
      <c r="M10" s="32" t="n"/>
      <c r="N10" s="34" t="inlineStr">
        <is>
          <t>Leave 1-2 reps in the tank; add weight when you hit the top of the range</t>
        </is>
      </c>
    </row>
    <row r="11">
      <c r="A11" s="26" t="inlineStr">
        <is>
          <t>Day 1 - Heavy</t>
        </is>
      </c>
      <c r="B11" s="27">
        <f>'Start Here'!$B$7+14</f>
        <v/>
      </c>
      <c r="C11" s="29" t="inlineStr">
        <is>
          <t>Face Pull</t>
        </is>
      </c>
      <c r="D11" s="29" t="n">
        <v>4</v>
      </c>
      <c r="E11" s="29" t="inlineStr">
        <is>
          <t>12-15</t>
        </is>
      </c>
      <c r="F11" s="29" t="n"/>
      <c r="G11" s="30" t="n"/>
      <c r="H11" s="31" t="n"/>
      <c r="I11" s="32" t="n"/>
      <c r="J11" s="32" t="n"/>
      <c r="K11" s="29">
        <f>IF(OR(I11="",J11=""),"",IF(J11=1,I11,ROUND(I11*(1+J11/30),1)))</f>
        <v/>
      </c>
      <c r="L11" s="33">
        <f>IF(K11="","",IF(K11&gt;=PRs!C51,"PR!",""))</f>
        <v/>
      </c>
      <c r="M11" s="32" t="n"/>
      <c r="N11" s="34" t="inlineStr">
        <is>
          <t>Leave 1-2 reps in the tank; add weight when you hit the top of the range</t>
        </is>
      </c>
    </row>
    <row r="12">
      <c r="A12" s="26" t="inlineStr">
        <is>
          <t>Day 2 - Light</t>
        </is>
      </c>
      <c r="B12" s="27">
        <f>'Start Here'!$B$7+16</f>
        <v/>
      </c>
      <c r="C12" s="28" t="inlineStr">
        <is>
          <t>Broad Jump</t>
        </is>
      </c>
      <c r="D12" s="29" t="n">
        <v>4</v>
      </c>
      <c r="E12" s="29" t="inlineStr">
        <is>
          <t>3</t>
        </is>
      </c>
      <c r="F12" s="29" t="n"/>
      <c r="G12" s="30" t="n"/>
      <c r="H12" s="31" t="n"/>
      <c r="I12" s="32" t="n"/>
      <c r="J12" s="32" t="n"/>
      <c r="K12" s="29" t="n"/>
      <c r="L12" s="33">
        <f>IF(I12="","",IF(I12&gt;=PRs!D70,"PR!",""))</f>
        <v/>
      </c>
      <c r="M12" s="32" t="n"/>
      <c r="N12" s="34" t="inlineStr">
        <is>
          <t>Two-foot jump for distance, stick the landing. Full reset between reps. Log your best distance</t>
        </is>
      </c>
    </row>
    <row r="13">
      <c r="A13" s="26" t="inlineStr">
        <is>
          <t>Day 2 - Light</t>
        </is>
      </c>
      <c r="B13" s="27">
        <f>'Start Here'!$B$7+16</f>
        <v/>
      </c>
      <c r="C13" s="31" t="inlineStr">
        <is>
          <t>Clean &amp; Jerk</t>
        </is>
      </c>
      <c r="D13" s="29" t="n">
        <v>4</v>
      </c>
      <c r="E13" s="29" t="inlineStr">
        <is>
          <t>3</t>
        </is>
      </c>
      <c r="F13" s="29" t="n">
        <v>75</v>
      </c>
      <c r="G13" s="30">
        <f>Maxes!E7</f>
        <v/>
      </c>
      <c r="H13" s="31">
        <f>IF(OR(G13="",F13=""),"",MROUND(G13*F13/100,'Start Here'!$B$6))</f>
        <v/>
      </c>
      <c r="I13" s="32" t="n"/>
      <c r="J13" s="32" t="n"/>
      <c r="K13" s="29">
        <f>IF(OR(I13="",J13=""),"",IF(J13=1,I13,ROUND(I13*(1+J13/30),1)))</f>
        <v/>
      </c>
      <c r="L13" s="33">
        <f>IF(K13="","",IF(K13&gt;=PRs!C7,"PR!",""))</f>
        <v/>
      </c>
      <c r="M13" s="32" t="n"/>
      <c r="N13" s="34" t="inlineStr"/>
    </row>
    <row r="14">
      <c r="A14" s="26" t="inlineStr">
        <is>
          <t>Day 2 - Light</t>
        </is>
      </c>
      <c r="B14" s="27">
        <f>'Start Here'!$B$7+16</f>
        <v/>
      </c>
      <c r="C14" s="31" t="inlineStr">
        <is>
          <t>Squat</t>
        </is>
      </c>
      <c r="D14" s="29" t="n">
        <v>3</v>
      </c>
      <c r="E14" s="29" t="inlineStr">
        <is>
          <t>6</t>
        </is>
      </c>
      <c r="F14" s="29" t="n">
        <v>65</v>
      </c>
      <c r="G14" s="30">
        <f>Maxes!E2</f>
        <v/>
      </c>
      <c r="H14" s="31">
        <f>IF(OR(G14="",F14=""),"",MROUND(G14*F14/100,'Start Here'!$B$6))</f>
        <v/>
      </c>
      <c r="I14" s="32" t="n"/>
      <c r="J14" s="32" t="n"/>
      <c r="K14" s="29">
        <f>IF(OR(I14="",J14=""),"",IF(J14=1,I14,ROUND(I14*(1+J14/30),1)))</f>
        <v/>
      </c>
      <c r="L14" s="33">
        <f>IF(K14="","",IF(K14&gt;=PRs!C2,"PR!",""))</f>
        <v/>
      </c>
      <c r="M14" s="32" t="n"/>
      <c r="N14" s="34" t="inlineStr"/>
    </row>
    <row r="15">
      <c r="A15" s="26" t="inlineStr">
        <is>
          <t>Day 2 - Light</t>
        </is>
      </c>
      <c r="B15" s="27">
        <f>'Start Here'!$B$7+16</f>
        <v/>
      </c>
      <c r="C15" s="31" t="inlineStr">
        <is>
          <t>Overhead Press</t>
        </is>
      </c>
      <c r="D15" s="29" t="n">
        <v>3</v>
      </c>
      <c r="E15" s="29" t="inlineStr">
        <is>
          <t>6</t>
        </is>
      </c>
      <c r="F15" s="29" t="n">
        <v>70</v>
      </c>
      <c r="G15" s="30">
        <f>Maxes!E5</f>
        <v/>
      </c>
      <c r="H15" s="31">
        <f>IF(OR(G15="",F15=""),"",MROUND(G15*F15/100,'Start Here'!$B$6))</f>
        <v/>
      </c>
      <c r="I15" s="32" t="n"/>
      <c r="J15" s="32" t="n"/>
      <c r="K15" s="29">
        <f>IF(OR(I15="",J15=""),"",IF(J15=1,I15,ROUND(I15*(1+J15/30),1)))</f>
        <v/>
      </c>
      <c r="L15" s="33">
        <f>IF(K15="","",IF(K15&gt;=PRs!C5,"PR!",""))</f>
        <v/>
      </c>
      <c r="M15" s="32" t="n"/>
      <c r="N15" s="34" t="inlineStr"/>
    </row>
    <row r="16">
      <c r="A16" s="26" t="inlineStr">
        <is>
          <t>Day 2 - Light</t>
        </is>
      </c>
      <c r="B16" s="27">
        <f>'Start Here'!$B$7+16</f>
        <v/>
      </c>
      <c r="C16" s="31" t="inlineStr">
        <is>
          <t>Deadlift</t>
        </is>
      </c>
      <c r="D16" s="29" t="n">
        <v>3</v>
      </c>
      <c r="E16" s="29" t="inlineStr">
        <is>
          <t>6</t>
        </is>
      </c>
      <c r="F16" s="29" t="n">
        <v>70</v>
      </c>
      <c r="G16" s="30">
        <f>Maxes!E4</f>
        <v/>
      </c>
      <c r="H16" s="31">
        <f>IF(OR(G16="",F16=""),"",MROUND(G16*F16/100,'Start Here'!$B$6))</f>
        <v/>
      </c>
      <c r="I16" s="32" t="n"/>
      <c r="J16" s="32" t="n"/>
      <c r="K16" s="29">
        <f>IF(OR(I16="",J16=""),"",IF(J16=1,I16,ROUND(I16*(1+J16/30),1)))</f>
        <v/>
      </c>
      <c r="L16" s="33">
        <f>IF(K16="","",IF(K16&gt;=PRs!C4,"PR!",""))</f>
        <v/>
      </c>
      <c r="M16" s="32" t="n"/>
      <c r="N16" s="34" t="inlineStr"/>
    </row>
    <row r="17">
      <c r="A17" s="26" t="inlineStr">
        <is>
          <t>Day 2 - Light</t>
        </is>
      </c>
      <c r="B17" s="27">
        <f>'Start Here'!$B$7+16</f>
        <v/>
      </c>
      <c r="C17" s="29" t="inlineStr">
        <is>
          <t>Chin-up</t>
        </is>
      </c>
      <c r="D17" s="29" t="n">
        <v>4</v>
      </c>
      <c r="E17" s="29" t="inlineStr">
        <is>
          <t>6-10</t>
        </is>
      </c>
      <c r="F17" s="29" t="n"/>
      <c r="G17" s="30" t="n"/>
      <c r="H17" s="31" t="n"/>
      <c r="I17" s="32" t="n"/>
      <c r="J17" s="32" t="n"/>
      <c r="K17" s="29">
        <f>IF(OR(I17="",J17=""),"",IF(J17=1,I17,ROUND(I17*(1+J17/30),1)))</f>
        <v/>
      </c>
      <c r="L17" s="33">
        <f>IF(K17="","",IF(K17&gt;=PRs!C53,"PR!",""))</f>
        <v/>
      </c>
      <c r="M17" s="32" t="n"/>
      <c r="N17" s="34" t="inlineStr">
        <is>
          <t>Leave 1-2 reps in the tank; add weight when you hit the top of the range</t>
        </is>
      </c>
    </row>
    <row r="18">
      <c r="A18" s="26" t="inlineStr">
        <is>
          <t>Day 2 - Light</t>
        </is>
      </c>
      <c r="B18" s="27">
        <f>'Start Here'!$B$7+16</f>
        <v/>
      </c>
      <c r="C18" s="29" t="inlineStr">
        <is>
          <t>Plank</t>
        </is>
      </c>
      <c r="D18" s="29" t="n">
        <v>4</v>
      </c>
      <c r="E18" s="29" t="inlineStr">
        <is>
          <t>30-60s</t>
        </is>
      </c>
      <c r="F18" s="29" t="n"/>
      <c r="G18" s="30" t="n"/>
      <c r="H18" s="31" t="n"/>
      <c r="I18" s="32" t="n"/>
      <c r="J18" s="32" t="n"/>
      <c r="K18" s="29">
        <f>IF(OR(I18="",J18=""),"",IF(J18=1,I18,ROUND(I18*(1+J18/30),1)))</f>
        <v/>
      </c>
      <c r="L18" s="33">
        <f>IF(K18="","",IF(K18&gt;=PRs!C56,"PR!",""))</f>
        <v/>
      </c>
      <c r="M18" s="32" t="n"/>
      <c r="N18" s="34" t="inlineStr">
        <is>
          <t>Leave 1-2 reps in the tank; add weight when you hit the top of the range</t>
        </is>
      </c>
    </row>
    <row r="19">
      <c r="A19" s="26" t="inlineStr">
        <is>
          <t>Day 3 - Variations</t>
        </is>
      </c>
      <c r="B19" s="27">
        <f>'Start Here'!$B$7+18</f>
        <v/>
      </c>
      <c r="C19" s="28" t="inlineStr">
        <is>
          <t>Box Jump</t>
        </is>
      </c>
      <c r="D19" s="29" t="n">
        <v>4</v>
      </c>
      <c r="E19" s="29" t="inlineStr">
        <is>
          <t>3</t>
        </is>
      </c>
      <c r="F19" s="29" t="n"/>
      <c r="G19" s="30" t="n"/>
      <c r="H19" s="31">
        <f>IFERROR(IF(PRs!D69&lt;'Start Here'!$H$15,'Start Here'!$H$15,IF(PRs!D69&lt;'Start Here'!$H$16,'Start Here'!$H$16,IF(PRs!D69&lt;'Start Here'!$H$17,'Start Here'!$H$17,IF(PRs!D69&lt;'Start Here'!$H$18,'Start Here'!$H$18,"Elite!")))),"")</f>
        <v/>
      </c>
      <c r="I19" s="32" t="n"/>
      <c r="J19" s="32" t="n"/>
      <c r="K19" s="29" t="n"/>
      <c r="L19" s="33">
        <f>IF(I19="","",IF(I19&gt;=PRs!D69,"PR!",""))</f>
        <v/>
      </c>
      <c r="M19" s="32" t="n"/>
      <c r="N19" s="34" t="inlineStr">
        <is>
          <t>Explode up, land softly, STEP down. Full reset between reps. Log your box height; check the standards</t>
        </is>
      </c>
    </row>
    <row r="20">
      <c r="A20" s="26" t="inlineStr">
        <is>
          <t>Day 3 - Variations</t>
        </is>
      </c>
      <c r="B20" s="27">
        <f>'Start Here'!$B$7+18</f>
        <v/>
      </c>
      <c r="C20" s="31" t="inlineStr">
        <is>
          <t>Power Snatch</t>
        </is>
      </c>
      <c r="D20" s="29" t="n">
        <v>4</v>
      </c>
      <c r="E20" s="29" t="inlineStr">
        <is>
          <t>3</t>
        </is>
      </c>
      <c r="F20" s="29" t="n">
        <v>70</v>
      </c>
      <c r="G20" s="30">
        <f>Maxes!E34</f>
        <v/>
      </c>
      <c r="H20" s="31">
        <f>IF(OR(G20="",F20=""),"",MROUND(G20*F20/100,'Start Here'!$B$6))</f>
        <v/>
      </c>
      <c r="I20" s="32" t="n"/>
      <c r="J20" s="32" t="n"/>
      <c r="K20" s="29">
        <f>IF(OR(I20="",J20=""),"",IF(J20=1,I20,ROUND(I20*(1+J20/30),1)))</f>
        <v/>
      </c>
      <c r="L20" s="33">
        <f>IF(K20="","",IF(K20&gt;=PRs!C34,"PR!",""))</f>
        <v/>
      </c>
      <c r="M20" s="32" t="n"/>
      <c r="N20" s="34" t="inlineStr"/>
    </row>
    <row r="21">
      <c r="A21" s="26" t="inlineStr">
        <is>
          <t>Day 3 - Variations</t>
        </is>
      </c>
      <c r="B21" s="27">
        <f>'Start Here'!$B$7+18</f>
        <v/>
      </c>
      <c r="C21" s="31" t="inlineStr">
        <is>
          <t>Box Squat</t>
        </is>
      </c>
      <c r="D21" s="29" t="n">
        <v>3</v>
      </c>
      <c r="E21" s="29" t="inlineStr">
        <is>
          <t>6</t>
        </is>
      </c>
      <c r="F21" s="29" t="n">
        <v>70</v>
      </c>
      <c r="G21" s="30">
        <f>Maxes!E8</f>
        <v/>
      </c>
      <c r="H21" s="31">
        <f>IF(OR(G21="",F21=""),"",MROUND(G21*F21/100,'Start Here'!$B$6))</f>
        <v/>
      </c>
      <c r="I21" s="32" t="n"/>
      <c r="J21" s="32" t="n"/>
      <c r="K21" s="29">
        <f>IF(OR(I21="",J21=""),"",IF(J21=1,I21,ROUND(I21*(1+J21/30),1)))</f>
        <v/>
      </c>
      <c r="L21" s="33">
        <f>IF(K21="","",IF(K21&gt;=PRs!C8,"PR!",""))</f>
        <v/>
      </c>
      <c r="M21" s="32" t="n"/>
      <c r="N21" s="34" t="inlineStr"/>
    </row>
    <row r="22">
      <c r="A22" s="26" t="inlineStr">
        <is>
          <t>Day 3 - Variations</t>
        </is>
      </c>
      <c r="B22" s="27">
        <f>'Start Here'!$B$7+18</f>
        <v/>
      </c>
      <c r="C22" s="31" t="inlineStr">
        <is>
          <t>Close-Grip Bench Press</t>
        </is>
      </c>
      <c r="D22" s="29" t="n">
        <v>3</v>
      </c>
      <c r="E22" s="29" t="inlineStr">
        <is>
          <t>6</t>
        </is>
      </c>
      <c r="F22" s="29" t="n">
        <v>70</v>
      </c>
      <c r="G22" s="30">
        <f>Maxes!E14</f>
        <v/>
      </c>
      <c r="H22" s="31">
        <f>IF(OR(G22="",F22=""),"",MROUND(G22*F22/100,'Start Here'!$B$6))</f>
        <v/>
      </c>
      <c r="I22" s="32" t="n"/>
      <c r="J22" s="32" t="n"/>
      <c r="K22" s="29">
        <f>IF(OR(I22="",J22=""),"",IF(J22=1,I22,ROUND(I22*(1+J22/30),1)))</f>
        <v/>
      </c>
      <c r="L22" s="33">
        <f>IF(K22="","",IF(K22&gt;=PRs!C14,"PR!",""))</f>
        <v/>
      </c>
      <c r="M22" s="32" t="n"/>
      <c r="N22" s="34" t="inlineStr"/>
    </row>
    <row r="23">
      <c r="A23" s="26" t="inlineStr">
        <is>
          <t>Day 3 - Variations</t>
        </is>
      </c>
      <c r="B23" s="27">
        <f>'Start Here'!$B$7+18</f>
        <v/>
      </c>
      <c r="C23" s="31" t="inlineStr">
        <is>
          <t>Romanian Deadlift</t>
        </is>
      </c>
      <c r="D23" s="29" t="n">
        <v>3</v>
      </c>
      <c r="E23" s="29" t="inlineStr">
        <is>
          <t>6</t>
        </is>
      </c>
      <c r="F23" s="29" t="n">
        <v>65</v>
      </c>
      <c r="G23" s="30">
        <f>Maxes!E23</f>
        <v/>
      </c>
      <c r="H23" s="31">
        <f>IF(OR(G23="",F23=""),"",MROUND(G23*F23/100,'Start Here'!$B$6))</f>
        <v/>
      </c>
      <c r="I23" s="32" t="n"/>
      <c r="J23" s="32" t="n"/>
      <c r="K23" s="29">
        <f>IF(OR(I23="",J23=""),"",IF(J23=1,I23,ROUND(I23*(1+J23/30),1)))</f>
        <v/>
      </c>
      <c r="L23" s="33">
        <f>IF(K23="","",IF(K23&gt;=PRs!C23,"PR!",""))</f>
        <v/>
      </c>
      <c r="M23" s="32" t="n"/>
      <c r="N23" s="34" t="inlineStr"/>
    </row>
    <row r="24">
      <c r="A24" s="26" t="inlineStr">
        <is>
          <t>Day 3 - Variations</t>
        </is>
      </c>
      <c r="B24" s="27">
        <f>'Start Here'!$B$7+18</f>
        <v/>
      </c>
      <c r="C24" s="29" t="inlineStr">
        <is>
          <t>Incline Dumbbell Press</t>
        </is>
      </c>
      <c r="D24" s="29" t="n">
        <v>4</v>
      </c>
      <c r="E24" s="29" t="inlineStr">
        <is>
          <t>8-12</t>
        </is>
      </c>
      <c r="F24" s="29" t="n"/>
      <c r="G24" s="30" t="n"/>
      <c r="H24" s="31" t="n"/>
      <c r="I24" s="32" t="n"/>
      <c r="J24" s="32" t="n"/>
      <c r="K24" s="29">
        <f>IF(OR(I24="",J24=""),"",IF(J24=1,I24,ROUND(I24*(1+J24/30),1)))</f>
        <v/>
      </c>
      <c r="L24" s="33">
        <f>IF(K24="","",IF(K24&gt;=PRs!C57,"PR!",""))</f>
        <v/>
      </c>
      <c r="M24" s="32" t="n"/>
      <c r="N24" s="34" t="inlineStr">
        <is>
          <t>Leave 1-2 reps in the tank; add weight when you hit the top of the range</t>
        </is>
      </c>
    </row>
    <row r="25">
      <c r="A25" s="26" t="inlineStr">
        <is>
          <t>Day 3 - Variations</t>
        </is>
      </c>
      <c r="B25" s="27">
        <f>'Start Here'!$B$7+18</f>
        <v/>
      </c>
      <c r="C25" s="29" t="inlineStr">
        <is>
          <t>Triceps Pushdown</t>
        </is>
      </c>
      <c r="D25" s="29" t="n">
        <v>4</v>
      </c>
      <c r="E25" s="29" t="inlineStr">
        <is>
          <t>10-15</t>
        </is>
      </c>
      <c r="F25" s="29" t="n"/>
      <c r="G25" s="30" t="n"/>
      <c r="H25" s="31" t="n"/>
      <c r="I25" s="32" t="n"/>
      <c r="J25" s="32" t="n"/>
      <c r="K25" s="29">
        <f>IF(OR(I25="",J25=""),"",IF(J25=1,I25,ROUND(I25*(1+J25/30),1)))</f>
        <v/>
      </c>
      <c r="L25" s="33">
        <f>IF(K25="","",IF(K25&gt;=PRs!C59,"PR!",""))</f>
        <v/>
      </c>
      <c r="M25" s="32" t="n"/>
      <c r="N25" s="34" t="inlineStr">
        <is>
          <t>Leave 1-2 reps in the tank; add weight when you hit the top of the range</t>
        </is>
      </c>
    </row>
  </sheetData>
  <hyperlinks>
    <hyperlink xmlns:r="http://schemas.openxmlformats.org/officeDocument/2006/relationships" ref="A2" r:id="rId1"/>
    <hyperlink xmlns:r="http://schemas.openxmlformats.org/officeDocument/2006/relationships" ref="C2" r:id="rId2"/>
    <hyperlink xmlns:r="http://schemas.openxmlformats.org/officeDocument/2006/relationships" ref="E2" r:id="rId3"/>
  </hyperlinks>
  <pageMargins left="0.75" right="0.75" top="1" bottom="1" header="0.5" footer="0.5"/>
  <pageSetup orientation="landscape" fitToHeight="0" fitToWidth="1"/>
</worksheet>
</file>

<file path=xl/worksheets/sheet6.xml><?xml version="1.0" encoding="utf-8"?>
<worksheet xmlns="http://schemas.openxmlformats.org/spreadsheetml/2006/main">
  <sheetPr>
    <tabColor rgb="00E6E6E6"/>
    <outlinePr summaryBelow="1" summaryRight="1"/>
    <pageSetUpPr fitToPage="1"/>
  </sheetPr>
  <dimension ref="A1:N25"/>
  <sheetViews>
    <sheetView workbookViewId="0">
      <pane xSplit="3" ySplit="5" topLeftCell="D6" activePane="bottomRight" state="frozen"/>
      <selection pane="topRight"/>
      <selection pane="bottomLeft"/>
      <selection pane="bottomRight" activeCell="A1" sqref="A1"/>
    </sheetView>
  </sheetViews>
  <sheetFormatPr baseColWidth="8" defaultRowHeight="15"/>
  <cols>
    <col width="17" customWidth="1" min="1" max="1"/>
    <col width="11" customWidth="1" min="2" max="2"/>
    <col width="24" customWidth="1" min="3" max="3"/>
    <col width="5" customWidth="1" min="4" max="4"/>
    <col width="6" customWidth="1" min="5" max="5"/>
    <col width="6" customWidth="1" min="6" max="6"/>
    <col width="9" customWidth="1" min="7" max="7"/>
    <col width="10" customWidth="1" min="8" max="8"/>
    <col width="13" customWidth="1" min="9" max="9"/>
    <col width="8" customWidth="1" min="10" max="10"/>
    <col width="9" customWidth="1" min="11" max="11"/>
    <col width="5" customWidth="1" min="12" max="12"/>
    <col width="22" customWidth="1" min="13" max="13"/>
    <col width="62" customWidth="1" min="14" max="14"/>
  </cols>
  <sheetData>
    <row r="1">
      <c r="A1" s="24" t="inlineStr">
        <is>
          <t>Week 4 - Cycle 1 - Deload</t>
        </is>
      </c>
    </row>
    <row r="2">
      <c r="A2" s="25" t="inlineStr">
        <is>
          <t>&lt; Week 03</t>
        </is>
      </c>
      <c r="C2" s="25" t="inlineStr">
        <is>
          <t>Start Here</t>
        </is>
      </c>
      <c r="E2" s="25" t="inlineStr">
        <is>
          <t>Week 05 &gt;</t>
        </is>
      </c>
    </row>
    <row r="3">
      <c r="A3" s="10" t="inlineStr">
        <is>
          <t>Bodyweight this week</t>
        </is>
      </c>
      <c r="C3" s="4" t="n"/>
      <c r="D3" t="inlineStr">
        <is>
          <t>Weigh in once this week: same morning routine, before eating.</t>
        </is>
      </c>
    </row>
    <row r="5">
      <c r="A5" s="5" t="inlineStr">
        <is>
          <t>Day</t>
        </is>
      </c>
      <c r="B5" s="5" t="inlineStr">
        <is>
          <t>Date</t>
        </is>
      </c>
      <c r="C5" s="5" t="inlineStr">
        <is>
          <t>Exercise</t>
        </is>
      </c>
      <c r="D5" s="5" t="inlineStr">
        <is>
          <t>Sets</t>
        </is>
      </c>
      <c r="E5" s="5" t="inlineStr">
        <is>
          <t>Reps</t>
        </is>
      </c>
      <c r="F5" s="5" t="inlineStr">
        <is>
          <t>% TM</t>
        </is>
      </c>
      <c r="G5" s="5" t="inlineStr">
        <is>
          <t>Training max</t>
        </is>
      </c>
      <c r="H5" s="5" t="inlineStr">
        <is>
          <t>Weight / target</t>
        </is>
      </c>
      <c r="I5" s="5" t="inlineStr">
        <is>
          <t>Actual (weight, height or distance)</t>
        </is>
      </c>
      <c r="J5" s="5" t="inlineStr">
        <is>
          <t>Actual reps</t>
        </is>
      </c>
      <c r="K5" s="5" t="inlineStr">
        <is>
          <t>Est. 1RM</t>
        </is>
      </c>
      <c r="L5" s="5" t="inlineStr">
        <is>
          <t>PR</t>
        </is>
      </c>
      <c r="M5" s="5" t="inlineStr">
        <is>
          <t>Notes</t>
        </is>
      </c>
      <c r="N5" s="5" t="inlineStr">
        <is>
          <t>Guidance</t>
        </is>
      </c>
    </row>
    <row r="6">
      <c r="A6" s="26" t="inlineStr">
        <is>
          <t>Day 1 - Heavy</t>
        </is>
      </c>
      <c r="B6" s="27">
        <f>'Start Here'!$B$7+21</f>
        <v/>
      </c>
      <c r="C6" s="28" t="inlineStr">
        <is>
          <t>Box Jump</t>
        </is>
      </c>
      <c r="D6" s="29" t="n">
        <v>2</v>
      </c>
      <c r="E6" s="29" t="inlineStr">
        <is>
          <t>3</t>
        </is>
      </c>
      <c r="F6" s="29" t="n"/>
      <c r="G6" s="30" t="n"/>
      <c r="H6" s="31">
        <f>IFERROR(IF(PRs!D69&lt;'Start Here'!$H$15,'Start Here'!$H$15,IF(PRs!D69&lt;'Start Here'!$H$16,'Start Here'!$H$16,IF(PRs!D69&lt;'Start Here'!$H$17,'Start Here'!$H$17,IF(PRs!D69&lt;'Start Here'!$H$18,'Start Here'!$H$18,"Elite!")))),"")</f>
        <v/>
      </c>
      <c r="I6" s="32" t="n"/>
      <c r="J6" s="32" t="n"/>
      <c r="K6" s="29" t="n"/>
      <c r="L6" s="33">
        <f>IF(I6="","",IF(I6&gt;=PRs!D69,"PR!",""))</f>
        <v/>
      </c>
      <c r="M6" s="32" t="n"/>
      <c r="N6" s="34" t="inlineStr">
        <is>
          <t>Explode up, land softly, STEP down. Full reset between reps. Log your box height; check the standards</t>
        </is>
      </c>
    </row>
    <row r="7">
      <c r="A7" s="26" t="inlineStr">
        <is>
          <t>Day 1 - Heavy</t>
        </is>
      </c>
      <c r="B7" s="27">
        <f>'Start Here'!$B$7+21</f>
        <v/>
      </c>
      <c r="C7" s="31" t="inlineStr">
        <is>
          <t>Snatch</t>
        </is>
      </c>
      <c r="D7" s="29" t="n">
        <v>2</v>
      </c>
      <c r="E7" s="29" t="inlineStr">
        <is>
          <t>2</t>
        </is>
      </c>
      <c r="F7" s="29" t="n">
        <v>60</v>
      </c>
      <c r="G7" s="30">
        <f>Maxes!E6</f>
        <v/>
      </c>
      <c r="H7" s="31">
        <f>IF(OR(G7="",F7=""),"",MROUND(G7*F7/100,'Start Here'!$B$6))</f>
        <v/>
      </c>
      <c r="I7" s="32" t="n"/>
      <c r="J7" s="32" t="n"/>
      <c r="K7" s="29">
        <f>IF(OR(I7="",J7=""),"",IF(J7=1,I7,ROUND(I7*(1+J7/30),1)))</f>
        <v/>
      </c>
      <c r="L7" s="33">
        <f>IF(K7="","",IF(K7&gt;=PRs!C6,"PR!",""))</f>
        <v/>
      </c>
      <c r="M7" s="32" t="n"/>
      <c r="N7" s="34" t="inlineStr">
        <is>
          <t>Easy week - move fast, recover</t>
        </is>
      </c>
    </row>
    <row r="8">
      <c r="A8" s="26" t="inlineStr">
        <is>
          <t>Day 1 - Heavy</t>
        </is>
      </c>
      <c r="B8" s="27">
        <f>'Start Here'!$B$7+21</f>
        <v/>
      </c>
      <c r="C8" s="31" t="inlineStr">
        <is>
          <t>Squat</t>
        </is>
      </c>
      <c r="D8" s="29" t="n">
        <v>2</v>
      </c>
      <c r="E8" s="29" t="inlineStr">
        <is>
          <t>5</t>
        </is>
      </c>
      <c r="F8" s="29" t="n">
        <v>60</v>
      </c>
      <c r="G8" s="30">
        <f>Maxes!E2</f>
        <v/>
      </c>
      <c r="H8" s="31">
        <f>IF(OR(G8="",F8=""),"",MROUND(G8*F8/100,'Start Here'!$B$6))</f>
        <v/>
      </c>
      <c r="I8" s="32" t="n"/>
      <c r="J8" s="32" t="n"/>
      <c r="K8" s="29">
        <f>IF(OR(I8="",J8=""),"",IF(J8=1,I8,ROUND(I8*(1+J8/30),1)))</f>
        <v/>
      </c>
      <c r="L8" s="33">
        <f>IF(K8="","",IF(K8&gt;=PRs!C2,"PR!",""))</f>
        <v/>
      </c>
      <c r="M8" s="32" t="n"/>
      <c r="N8" s="34" t="inlineStr">
        <is>
          <t>Easy week - move fast, recover</t>
        </is>
      </c>
    </row>
    <row r="9">
      <c r="A9" s="26" t="inlineStr">
        <is>
          <t>Day 1 - Heavy</t>
        </is>
      </c>
      <c r="B9" s="27">
        <f>'Start Here'!$B$7+21</f>
        <v/>
      </c>
      <c r="C9" s="31" t="inlineStr">
        <is>
          <t>Bench Press</t>
        </is>
      </c>
      <c r="D9" s="29" t="n">
        <v>2</v>
      </c>
      <c r="E9" s="29" t="inlineStr">
        <is>
          <t>5</t>
        </is>
      </c>
      <c r="F9" s="29" t="n">
        <v>60</v>
      </c>
      <c r="G9" s="30">
        <f>Maxes!E3</f>
        <v/>
      </c>
      <c r="H9" s="31">
        <f>IF(OR(G9="",F9=""),"",MROUND(G9*F9/100,'Start Here'!$B$6))</f>
        <v/>
      </c>
      <c r="I9" s="32" t="n"/>
      <c r="J9" s="32" t="n"/>
      <c r="K9" s="29">
        <f>IF(OR(I9="",J9=""),"",IF(J9=1,I9,ROUND(I9*(1+J9/30),1)))</f>
        <v/>
      </c>
      <c r="L9" s="33">
        <f>IF(K9="","",IF(K9&gt;=PRs!C3,"PR!",""))</f>
        <v/>
      </c>
      <c r="M9" s="32" t="n"/>
      <c r="N9" s="34" t="inlineStr">
        <is>
          <t>Easy week - move fast, recover</t>
        </is>
      </c>
    </row>
    <row r="10">
      <c r="A10" s="26" t="inlineStr">
        <is>
          <t>Day 1 - Heavy</t>
        </is>
      </c>
      <c r="B10" s="27">
        <f>'Start Here'!$B$7+21</f>
        <v/>
      </c>
      <c r="C10" s="29" t="inlineStr">
        <is>
          <t>Barbell Row</t>
        </is>
      </c>
      <c r="D10" s="29" t="n">
        <v>2</v>
      </c>
      <c r="E10" s="29" t="inlineStr">
        <is>
          <t>8-10</t>
        </is>
      </c>
      <c r="F10" s="29" t="n"/>
      <c r="G10" s="30" t="n"/>
      <c r="H10" s="31" t="n"/>
      <c r="I10" s="32" t="n"/>
      <c r="J10" s="32" t="n"/>
      <c r="K10" s="29">
        <f>IF(OR(I10="",J10=""),"",IF(J10=1,I10,ROUND(I10*(1+J10/30),1)))</f>
        <v/>
      </c>
      <c r="L10" s="33">
        <f>IF(K10="","",IF(K10&gt;=PRs!C50,"PR!",""))</f>
        <v/>
      </c>
      <c r="M10" s="32" t="n"/>
      <c r="N10" s="34" t="inlineStr">
        <is>
          <t>Easy - stop well short of failure</t>
        </is>
      </c>
    </row>
    <row r="11">
      <c r="A11" s="26" t="inlineStr">
        <is>
          <t>Day 1 - Heavy</t>
        </is>
      </c>
      <c r="B11" s="27">
        <f>'Start Here'!$B$7+21</f>
        <v/>
      </c>
      <c r="C11" s="29" t="inlineStr">
        <is>
          <t>Face Pull</t>
        </is>
      </c>
      <c r="D11" s="29" t="n">
        <v>2</v>
      </c>
      <c r="E11" s="29" t="inlineStr">
        <is>
          <t>12-15</t>
        </is>
      </c>
      <c r="F11" s="29" t="n"/>
      <c r="G11" s="30" t="n"/>
      <c r="H11" s="31" t="n"/>
      <c r="I11" s="32" t="n"/>
      <c r="J11" s="32" t="n"/>
      <c r="K11" s="29">
        <f>IF(OR(I11="",J11=""),"",IF(J11=1,I11,ROUND(I11*(1+J11/30),1)))</f>
        <v/>
      </c>
      <c r="L11" s="33">
        <f>IF(K11="","",IF(K11&gt;=PRs!C51,"PR!",""))</f>
        <v/>
      </c>
      <c r="M11" s="32" t="n"/>
      <c r="N11" s="34" t="inlineStr">
        <is>
          <t>Easy - stop well short of failure</t>
        </is>
      </c>
    </row>
    <row r="12">
      <c r="A12" s="26" t="inlineStr">
        <is>
          <t>Day 2 - Light</t>
        </is>
      </c>
      <c r="B12" s="27">
        <f>'Start Here'!$B$7+23</f>
        <v/>
      </c>
      <c r="C12" s="28" t="inlineStr">
        <is>
          <t>Broad Jump</t>
        </is>
      </c>
      <c r="D12" s="29" t="n">
        <v>2</v>
      </c>
      <c r="E12" s="29" t="inlineStr">
        <is>
          <t>3</t>
        </is>
      </c>
      <c r="F12" s="29" t="n"/>
      <c r="G12" s="30" t="n"/>
      <c r="H12" s="31" t="n"/>
      <c r="I12" s="32" t="n"/>
      <c r="J12" s="32" t="n"/>
      <c r="K12" s="29" t="n"/>
      <c r="L12" s="33">
        <f>IF(I12="","",IF(I12&gt;=PRs!D70,"PR!",""))</f>
        <v/>
      </c>
      <c r="M12" s="32" t="n"/>
      <c r="N12" s="34" t="inlineStr">
        <is>
          <t>Two-foot jump for distance, stick the landing. Full reset between reps. Log your best distance</t>
        </is>
      </c>
    </row>
    <row r="13">
      <c r="A13" s="26" t="inlineStr">
        <is>
          <t>Day 2 - Light</t>
        </is>
      </c>
      <c r="B13" s="27">
        <f>'Start Here'!$B$7+23</f>
        <v/>
      </c>
      <c r="C13" s="31" t="inlineStr">
        <is>
          <t>Clean &amp; Jerk</t>
        </is>
      </c>
      <c r="D13" s="29" t="n">
        <v>2</v>
      </c>
      <c r="E13" s="29" t="inlineStr">
        <is>
          <t>2</t>
        </is>
      </c>
      <c r="F13" s="29" t="n">
        <v>60</v>
      </c>
      <c r="G13" s="30">
        <f>Maxes!E7</f>
        <v/>
      </c>
      <c r="H13" s="31">
        <f>IF(OR(G13="",F13=""),"",MROUND(G13*F13/100,'Start Here'!$B$6))</f>
        <v/>
      </c>
      <c r="I13" s="32" t="n"/>
      <c r="J13" s="32" t="n"/>
      <c r="K13" s="29">
        <f>IF(OR(I13="",J13=""),"",IF(J13=1,I13,ROUND(I13*(1+J13/30),1)))</f>
        <v/>
      </c>
      <c r="L13" s="33">
        <f>IF(K13="","",IF(K13&gt;=PRs!C7,"PR!",""))</f>
        <v/>
      </c>
      <c r="M13" s="32" t="n"/>
      <c r="N13" s="34" t="inlineStr">
        <is>
          <t>Easy week - move fast, recover</t>
        </is>
      </c>
    </row>
    <row r="14">
      <c r="A14" s="26" t="inlineStr">
        <is>
          <t>Day 2 - Light</t>
        </is>
      </c>
      <c r="B14" s="27">
        <f>'Start Here'!$B$7+23</f>
        <v/>
      </c>
      <c r="C14" s="31" t="inlineStr">
        <is>
          <t>Squat</t>
        </is>
      </c>
      <c r="D14" s="29" t="n">
        <v>2</v>
      </c>
      <c r="E14" s="29" t="inlineStr">
        <is>
          <t>5</t>
        </is>
      </c>
      <c r="F14" s="29" t="n">
        <v>60</v>
      </c>
      <c r="G14" s="30">
        <f>Maxes!E2</f>
        <v/>
      </c>
      <c r="H14" s="31">
        <f>IF(OR(G14="",F14=""),"",MROUND(G14*F14/100,'Start Here'!$B$6))</f>
        <v/>
      </c>
      <c r="I14" s="32" t="n"/>
      <c r="J14" s="32" t="n"/>
      <c r="K14" s="29">
        <f>IF(OR(I14="",J14=""),"",IF(J14=1,I14,ROUND(I14*(1+J14/30),1)))</f>
        <v/>
      </c>
      <c r="L14" s="33">
        <f>IF(K14="","",IF(K14&gt;=PRs!C2,"PR!",""))</f>
        <v/>
      </c>
      <c r="M14" s="32" t="n"/>
      <c r="N14" s="34" t="inlineStr">
        <is>
          <t>Easy week - move fast, recover</t>
        </is>
      </c>
    </row>
    <row r="15">
      <c r="A15" s="26" t="inlineStr">
        <is>
          <t>Day 2 - Light</t>
        </is>
      </c>
      <c r="B15" s="27">
        <f>'Start Here'!$B$7+23</f>
        <v/>
      </c>
      <c r="C15" s="31" t="inlineStr">
        <is>
          <t>Overhead Press</t>
        </is>
      </c>
      <c r="D15" s="29" t="n">
        <v>2</v>
      </c>
      <c r="E15" s="29" t="inlineStr">
        <is>
          <t>5</t>
        </is>
      </c>
      <c r="F15" s="29" t="n">
        <v>60</v>
      </c>
      <c r="G15" s="30">
        <f>Maxes!E5</f>
        <v/>
      </c>
      <c r="H15" s="31">
        <f>IF(OR(G15="",F15=""),"",MROUND(G15*F15/100,'Start Here'!$B$6))</f>
        <v/>
      </c>
      <c r="I15" s="32" t="n"/>
      <c r="J15" s="32" t="n"/>
      <c r="K15" s="29">
        <f>IF(OR(I15="",J15=""),"",IF(J15=1,I15,ROUND(I15*(1+J15/30),1)))</f>
        <v/>
      </c>
      <c r="L15" s="33">
        <f>IF(K15="","",IF(K15&gt;=PRs!C5,"PR!",""))</f>
        <v/>
      </c>
      <c r="M15" s="32" t="n"/>
      <c r="N15" s="34" t="inlineStr">
        <is>
          <t>Easy week - move fast, recover</t>
        </is>
      </c>
    </row>
    <row r="16">
      <c r="A16" s="26" t="inlineStr">
        <is>
          <t>Day 2 - Light</t>
        </is>
      </c>
      <c r="B16" s="27">
        <f>'Start Here'!$B$7+23</f>
        <v/>
      </c>
      <c r="C16" s="31" t="inlineStr">
        <is>
          <t>Deadlift</t>
        </is>
      </c>
      <c r="D16" s="29" t="n">
        <v>2</v>
      </c>
      <c r="E16" s="29" t="inlineStr">
        <is>
          <t>5</t>
        </is>
      </c>
      <c r="F16" s="29" t="n">
        <v>60</v>
      </c>
      <c r="G16" s="30">
        <f>Maxes!E4</f>
        <v/>
      </c>
      <c r="H16" s="31">
        <f>IF(OR(G16="",F16=""),"",MROUND(G16*F16/100,'Start Here'!$B$6))</f>
        <v/>
      </c>
      <c r="I16" s="32" t="n"/>
      <c r="J16" s="32" t="n"/>
      <c r="K16" s="29">
        <f>IF(OR(I16="",J16=""),"",IF(J16=1,I16,ROUND(I16*(1+J16/30),1)))</f>
        <v/>
      </c>
      <c r="L16" s="33">
        <f>IF(K16="","",IF(K16&gt;=PRs!C4,"PR!",""))</f>
        <v/>
      </c>
      <c r="M16" s="32" t="n"/>
      <c r="N16" s="34" t="inlineStr">
        <is>
          <t>Easy week - move fast, recover</t>
        </is>
      </c>
    </row>
    <row r="17">
      <c r="A17" s="26" t="inlineStr">
        <is>
          <t>Day 2 - Light</t>
        </is>
      </c>
      <c r="B17" s="27">
        <f>'Start Here'!$B$7+23</f>
        <v/>
      </c>
      <c r="C17" s="29" t="inlineStr">
        <is>
          <t>Chin-up</t>
        </is>
      </c>
      <c r="D17" s="29" t="n">
        <v>2</v>
      </c>
      <c r="E17" s="29" t="inlineStr">
        <is>
          <t>6-10</t>
        </is>
      </c>
      <c r="F17" s="29" t="n"/>
      <c r="G17" s="30" t="n"/>
      <c r="H17" s="31" t="n"/>
      <c r="I17" s="32" t="n"/>
      <c r="J17" s="32" t="n"/>
      <c r="K17" s="29">
        <f>IF(OR(I17="",J17=""),"",IF(J17=1,I17,ROUND(I17*(1+J17/30),1)))</f>
        <v/>
      </c>
      <c r="L17" s="33">
        <f>IF(K17="","",IF(K17&gt;=PRs!C53,"PR!",""))</f>
        <v/>
      </c>
      <c r="M17" s="32" t="n"/>
      <c r="N17" s="34" t="inlineStr">
        <is>
          <t>Easy - stop well short of failure</t>
        </is>
      </c>
    </row>
    <row r="18">
      <c r="A18" s="26" t="inlineStr">
        <is>
          <t>Day 2 - Light</t>
        </is>
      </c>
      <c r="B18" s="27">
        <f>'Start Here'!$B$7+23</f>
        <v/>
      </c>
      <c r="C18" s="29" t="inlineStr">
        <is>
          <t>Plank</t>
        </is>
      </c>
      <c r="D18" s="29" t="n">
        <v>2</v>
      </c>
      <c r="E18" s="29" t="inlineStr">
        <is>
          <t>30-60s</t>
        </is>
      </c>
      <c r="F18" s="29" t="n"/>
      <c r="G18" s="30" t="n"/>
      <c r="H18" s="31" t="n"/>
      <c r="I18" s="32" t="n"/>
      <c r="J18" s="32" t="n"/>
      <c r="K18" s="29">
        <f>IF(OR(I18="",J18=""),"",IF(J18=1,I18,ROUND(I18*(1+J18/30),1)))</f>
        <v/>
      </c>
      <c r="L18" s="33">
        <f>IF(K18="","",IF(K18&gt;=PRs!C56,"PR!",""))</f>
        <v/>
      </c>
      <c r="M18" s="32" t="n"/>
      <c r="N18" s="34" t="inlineStr">
        <is>
          <t>Easy - stop well short of failure</t>
        </is>
      </c>
    </row>
    <row r="19">
      <c r="A19" s="26" t="inlineStr">
        <is>
          <t>Day 3 - Variations</t>
        </is>
      </c>
      <c r="B19" s="27">
        <f>'Start Here'!$B$7+25</f>
        <v/>
      </c>
      <c r="C19" s="28" t="inlineStr">
        <is>
          <t>Box Jump</t>
        </is>
      </c>
      <c r="D19" s="29" t="n">
        <v>2</v>
      </c>
      <c r="E19" s="29" t="inlineStr">
        <is>
          <t>3</t>
        </is>
      </c>
      <c r="F19" s="29" t="n"/>
      <c r="G19" s="30" t="n"/>
      <c r="H19" s="31">
        <f>IFERROR(IF(PRs!D69&lt;'Start Here'!$H$15,'Start Here'!$H$15,IF(PRs!D69&lt;'Start Here'!$H$16,'Start Here'!$H$16,IF(PRs!D69&lt;'Start Here'!$H$17,'Start Here'!$H$17,IF(PRs!D69&lt;'Start Here'!$H$18,'Start Here'!$H$18,"Elite!")))),"")</f>
        <v/>
      </c>
      <c r="I19" s="32" t="n"/>
      <c r="J19" s="32" t="n"/>
      <c r="K19" s="29" t="n"/>
      <c r="L19" s="33">
        <f>IF(I19="","",IF(I19&gt;=PRs!D69,"PR!",""))</f>
        <v/>
      </c>
      <c r="M19" s="32" t="n"/>
      <c r="N19" s="34" t="inlineStr">
        <is>
          <t>Explode up, land softly, STEP down. Full reset between reps. Log your box height; check the standards</t>
        </is>
      </c>
    </row>
    <row r="20">
      <c r="A20" s="26" t="inlineStr">
        <is>
          <t>Day 3 - Variations</t>
        </is>
      </c>
      <c r="B20" s="27">
        <f>'Start Here'!$B$7+25</f>
        <v/>
      </c>
      <c r="C20" s="31" t="inlineStr">
        <is>
          <t>Power Snatch</t>
        </is>
      </c>
      <c r="D20" s="29" t="n">
        <v>2</v>
      </c>
      <c r="E20" s="29" t="inlineStr">
        <is>
          <t>2</t>
        </is>
      </c>
      <c r="F20" s="29" t="n">
        <v>60</v>
      </c>
      <c r="G20" s="30">
        <f>Maxes!E34</f>
        <v/>
      </c>
      <c r="H20" s="31">
        <f>IF(OR(G20="",F20=""),"",MROUND(G20*F20/100,'Start Here'!$B$6))</f>
        <v/>
      </c>
      <c r="I20" s="32" t="n"/>
      <c r="J20" s="32" t="n"/>
      <c r="K20" s="29">
        <f>IF(OR(I20="",J20=""),"",IF(J20=1,I20,ROUND(I20*(1+J20/30),1)))</f>
        <v/>
      </c>
      <c r="L20" s="33">
        <f>IF(K20="","",IF(K20&gt;=PRs!C34,"PR!",""))</f>
        <v/>
      </c>
      <c r="M20" s="32" t="n"/>
      <c r="N20" s="34" t="inlineStr">
        <is>
          <t>Easy week - move fast, recover</t>
        </is>
      </c>
    </row>
    <row r="21">
      <c r="A21" s="26" t="inlineStr">
        <is>
          <t>Day 3 - Variations</t>
        </is>
      </c>
      <c r="B21" s="27">
        <f>'Start Here'!$B$7+25</f>
        <v/>
      </c>
      <c r="C21" s="31" t="inlineStr">
        <is>
          <t>Box Squat</t>
        </is>
      </c>
      <c r="D21" s="29" t="n">
        <v>2</v>
      </c>
      <c r="E21" s="29" t="inlineStr">
        <is>
          <t>5</t>
        </is>
      </c>
      <c r="F21" s="29" t="n">
        <v>60</v>
      </c>
      <c r="G21" s="30">
        <f>Maxes!E8</f>
        <v/>
      </c>
      <c r="H21" s="31">
        <f>IF(OR(G21="",F21=""),"",MROUND(G21*F21/100,'Start Here'!$B$6))</f>
        <v/>
      </c>
      <c r="I21" s="32" t="n"/>
      <c r="J21" s="32" t="n"/>
      <c r="K21" s="29">
        <f>IF(OR(I21="",J21=""),"",IF(J21=1,I21,ROUND(I21*(1+J21/30),1)))</f>
        <v/>
      </c>
      <c r="L21" s="33">
        <f>IF(K21="","",IF(K21&gt;=PRs!C8,"PR!",""))</f>
        <v/>
      </c>
      <c r="M21" s="32" t="n"/>
      <c r="N21" s="34" t="inlineStr">
        <is>
          <t>Easy week - move fast, recover</t>
        </is>
      </c>
    </row>
    <row r="22">
      <c r="A22" s="26" t="inlineStr">
        <is>
          <t>Day 3 - Variations</t>
        </is>
      </c>
      <c r="B22" s="27">
        <f>'Start Here'!$B$7+25</f>
        <v/>
      </c>
      <c r="C22" s="31" t="inlineStr">
        <is>
          <t>Close-Grip Bench Press</t>
        </is>
      </c>
      <c r="D22" s="29" t="n">
        <v>2</v>
      </c>
      <c r="E22" s="29" t="inlineStr">
        <is>
          <t>5</t>
        </is>
      </c>
      <c r="F22" s="29" t="n">
        <v>60</v>
      </c>
      <c r="G22" s="30">
        <f>Maxes!E14</f>
        <v/>
      </c>
      <c r="H22" s="31">
        <f>IF(OR(G22="",F22=""),"",MROUND(G22*F22/100,'Start Here'!$B$6))</f>
        <v/>
      </c>
      <c r="I22" s="32" t="n"/>
      <c r="J22" s="32" t="n"/>
      <c r="K22" s="29">
        <f>IF(OR(I22="",J22=""),"",IF(J22=1,I22,ROUND(I22*(1+J22/30),1)))</f>
        <v/>
      </c>
      <c r="L22" s="33">
        <f>IF(K22="","",IF(K22&gt;=PRs!C14,"PR!",""))</f>
        <v/>
      </c>
      <c r="M22" s="32" t="n"/>
      <c r="N22" s="34" t="inlineStr">
        <is>
          <t>Easy week - move fast, recover</t>
        </is>
      </c>
    </row>
    <row r="23">
      <c r="A23" s="26" t="inlineStr">
        <is>
          <t>Day 3 - Variations</t>
        </is>
      </c>
      <c r="B23" s="27">
        <f>'Start Here'!$B$7+25</f>
        <v/>
      </c>
      <c r="C23" s="31" t="inlineStr">
        <is>
          <t>Romanian Deadlift</t>
        </is>
      </c>
      <c r="D23" s="29" t="n">
        <v>2</v>
      </c>
      <c r="E23" s="29" t="inlineStr">
        <is>
          <t>5</t>
        </is>
      </c>
      <c r="F23" s="29" t="n">
        <v>60</v>
      </c>
      <c r="G23" s="30">
        <f>Maxes!E23</f>
        <v/>
      </c>
      <c r="H23" s="31">
        <f>IF(OR(G23="",F23=""),"",MROUND(G23*F23/100,'Start Here'!$B$6))</f>
        <v/>
      </c>
      <c r="I23" s="32" t="n"/>
      <c r="J23" s="32" t="n"/>
      <c r="K23" s="29">
        <f>IF(OR(I23="",J23=""),"",IF(J23=1,I23,ROUND(I23*(1+J23/30),1)))</f>
        <v/>
      </c>
      <c r="L23" s="33">
        <f>IF(K23="","",IF(K23&gt;=PRs!C23,"PR!",""))</f>
        <v/>
      </c>
      <c r="M23" s="32" t="n"/>
      <c r="N23" s="34" t="inlineStr">
        <is>
          <t>Easy week - move fast, recover</t>
        </is>
      </c>
    </row>
    <row r="24">
      <c r="A24" s="26" t="inlineStr">
        <is>
          <t>Day 3 - Variations</t>
        </is>
      </c>
      <c r="B24" s="27">
        <f>'Start Here'!$B$7+25</f>
        <v/>
      </c>
      <c r="C24" s="29" t="inlineStr">
        <is>
          <t>Incline Dumbbell Press</t>
        </is>
      </c>
      <c r="D24" s="29" t="n">
        <v>2</v>
      </c>
      <c r="E24" s="29" t="inlineStr">
        <is>
          <t>8-12</t>
        </is>
      </c>
      <c r="F24" s="29" t="n"/>
      <c r="G24" s="30" t="n"/>
      <c r="H24" s="31" t="n"/>
      <c r="I24" s="32" t="n"/>
      <c r="J24" s="32" t="n"/>
      <c r="K24" s="29">
        <f>IF(OR(I24="",J24=""),"",IF(J24=1,I24,ROUND(I24*(1+J24/30),1)))</f>
        <v/>
      </c>
      <c r="L24" s="33">
        <f>IF(K24="","",IF(K24&gt;=PRs!C57,"PR!",""))</f>
        <v/>
      </c>
      <c r="M24" s="32" t="n"/>
      <c r="N24" s="34" t="inlineStr">
        <is>
          <t>Easy - stop well short of failure</t>
        </is>
      </c>
    </row>
    <row r="25">
      <c r="A25" s="26" t="inlineStr">
        <is>
          <t>Day 3 - Variations</t>
        </is>
      </c>
      <c r="B25" s="27">
        <f>'Start Here'!$B$7+25</f>
        <v/>
      </c>
      <c r="C25" s="29" t="inlineStr">
        <is>
          <t>Triceps Pushdown</t>
        </is>
      </c>
      <c r="D25" s="29" t="n">
        <v>2</v>
      </c>
      <c r="E25" s="29" t="inlineStr">
        <is>
          <t>10-15</t>
        </is>
      </c>
      <c r="F25" s="29" t="n"/>
      <c r="G25" s="30" t="n"/>
      <c r="H25" s="31" t="n"/>
      <c r="I25" s="32" t="n"/>
      <c r="J25" s="32" t="n"/>
      <c r="K25" s="29">
        <f>IF(OR(I25="",J25=""),"",IF(J25=1,I25,ROUND(I25*(1+J25/30),1)))</f>
        <v/>
      </c>
      <c r="L25" s="33">
        <f>IF(K25="","",IF(K25&gt;=PRs!C59,"PR!",""))</f>
        <v/>
      </c>
      <c r="M25" s="32" t="n"/>
      <c r="N25" s="34" t="inlineStr">
        <is>
          <t>Easy - stop well short of failure</t>
        </is>
      </c>
    </row>
  </sheetData>
  <hyperlinks>
    <hyperlink xmlns:r="http://schemas.openxmlformats.org/officeDocument/2006/relationships" ref="A2" r:id="rId1"/>
    <hyperlink xmlns:r="http://schemas.openxmlformats.org/officeDocument/2006/relationships" ref="C2" r:id="rId2"/>
    <hyperlink xmlns:r="http://schemas.openxmlformats.org/officeDocument/2006/relationships" ref="E2" r:id="rId3"/>
  </hyperlinks>
  <pageMargins left="0.75" right="0.75" top="1" bottom="1" header="0.5" footer="0.5"/>
  <pageSetup orientation="landscape" fitToHeight="0" fitToWidth="1"/>
</worksheet>
</file>

<file path=xl/worksheets/sheet7.xml><?xml version="1.0" encoding="utf-8"?>
<worksheet xmlns="http://schemas.openxmlformats.org/spreadsheetml/2006/main">
  <sheetPr>
    <tabColor rgb="00FCE9D2"/>
    <outlinePr summaryBelow="1" summaryRight="1"/>
    <pageSetUpPr fitToPage="1"/>
  </sheetPr>
  <dimension ref="A1:N25"/>
  <sheetViews>
    <sheetView workbookViewId="0">
      <pane xSplit="3" ySplit="5" topLeftCell="D6" activePane="bottomRight" state="frozen"/>
      <selection pane="topRight"/>
      <selection pane="bottomLeft"/>
      <selection pane="bottomRight" activeCell="A1" sqref="A1"/>
    </sheetView>
  </sheetViews>
  <sheetFormatPr baseColWidth="8" defaultRowHeight="15"/>
  <cols>
    <col width="17" customWidth="1" min="1" max="1"/>
    <col width="11" customWidth="1" min="2" max="2"/>
    <col width="24" customWidth="1" min="3" max="3"/>
    <col width="5" customWidth="1" min="4" max="4"/>
    <col width="6" customWidth="1" min="5" max="5"/>
    <col width="6" customWidth="1" min="6" max="6"/>
    <col width="9" customWidth="1" min="7" max="7"/>
    <col width="10" customWidth="1" min="8" max="8"/>
    <col width="13" customWidth="1" min="9" max="9"/>
    <col width="8" customWidth="1" min="10" max="10"/>
    <col width="9" customWidth="1" min="11" max="11"/>
    <col width="5" customWidth="1" min="12" max="12"/>
    <col width="22" customWidth="1" min="13" max="13"/>
    <col width="62" customWidth="1" min="14" max="14"/>
  </cols>
  <sheetData>
    <row r="1">
      <c r="A1" s="24" t="inlineStr">
        <is>
          <t>Week 5 - Cycle 1 - Transmutation</t>
        </is>
      </c>
    </row>
    <row r="2">
      <c r="A2" s="25" t="inlineStr">
        <is>
          <t>&lt; Week 04</t>
        </is>
      </c>
      <c r="C2" s="25" t="inlineStr">
        <is>
          <t>Start Here</t>
        </is>
      </c>
      <c r="E2" s="25" t="inlineStr">
        <is>
          <t>Week 06 &gt;</t>
        </is>
      </c>
    </row>
    <row r="3">
      <c r="A3" s="10" t="inlineStr">
        <is>
          <t>Bodyweight this week</t>
        </is>
      </c>
      <c r="C3" s="4" t="n"/>
      <c r="D3" t="inlineStr">
        <is>
          <t>Weigh in once this week: same morning routine, before eating.</t>
        </is>
      </c>
    </row>
    <row r="4">
      <c r="A4" s="35" t="inlineStr">
        <is>
          <t>Body fat test due this week (month 2) - enter it on the Body sheet</t>
        </is>
      </c>
    </row>
    <row r="5">
      <c r="A5" s="5" t="inlineStr">
        <is>
          <t>Day</t>
        </is>
      </c>
      <c r="B5" s="5" t="inlineStr">
        <is>
          <t>Date</t>
        </is>
      </c>
      <c r="C5" s="5" t="inlineStr">
        <is>
          <t>Exercise</t>
        </is>
      </c>
      <c r="D5" s="5" t="inlineStr">
        <is>
          <t>Sets</t>
        </is>
      </c>
      <c r="E5" s="5" t="inlineStr">
        <is>
          <t>Reps</t>
        </is>
      </c>
      <c r="F5" s="5" t="inlineStr">
        <is>
          <t>% TM</t>
        </is>
      </c>
      <c r="G5" s="5" t="inlineStr">
        <is>
          <t>Training max</t>
        </is>
      </c>
      <c r="H5" s="5" t="inlineStr">
        <is>
          <t>Weight / target</t>
        </is>
      </c>
      <c r="I5" s="5" t="inlineStr">
        <is>
          <t>Actual (weight, height or distance)</t>
        </is>
      </c>
      <c r="J5" s="5" t="inlineStr">
        <is>
          <t>Actual reps</t>
        </is>
      </c>
      <c r="K5" s="5" t="inlineStr">
        <is>
          <t>Est. 1RM</t>
        </is>
      </c>
      <c r="L5" s="5" t="inlineStr">
        <is>
          <t>PR</t>
        </is>
      </c>
      <c r="M5" s="5" t="inlineStr">
        <is>
          <t>Notes</t>
        </is>
      </c>
      <c r="N5" s="5" t="inlineStr">
        <is>
          <t>Guidance</t>
        </is>
      </c>
    </row>
    <row r="6">
      <c r="A6" s="26" t="inlineStr">
        <is>
          <t>Day 1 - Heavy</t>
        </is>
      </c>
      <c r="B6" s="27">
        <f>'Start Here'!$B$7+28</f>
        <v/>
      </c>
      <c r="C6" s="28" t="inlineStr">
        <is>
          <t>Box Jump</t>
        </is>
      </c>
      <c r="D6" s="29" t="n">
        <v>4</v>
      </c>
      <c r="E6" s="29" t="inlineStr">
        <is>
          <t>3</t>
        </is>
      </c>
      <c r="F6" s="29" t="n"/>
      <c r="G6" s="30" t="n"/>
      <c r="H6" s="31">
        <f>IFERROR(IF(PRs!D69&lt;'Start Here'!$H$15,'Start Here'!$H$15,IF(PRs!D69&lt;'Start Here'!$H$16,'Start Here'!$H$16,IF(PRs!D69&lt;'Start Here'!$H$17,'Start Here'!$H$17,IF(PRs!D69&lt;'Start Here'!$H$18,'Start Here'!$H$18,"Elite!")))),"")</f>
        <v/>
      </c>
      <c r="I6" s="32" t="n"/>
      <c r="J6" s="32" t="n"/>
      <c r="K6" s="29" t="n"/>
      <c r="L6" s="33">
        <f>IF(I6="","",IF(I6&gt;=PRs!D69,"PR!",""))</f>
        <v/>
      </c>
      <c r="M6" s="32" t="n"/>
      <c r="N6" s="34" t="inlineStr">
        <is>
          <t>Explode up, land softly, STEP down. Full reset between reps. Log your box height; check the standards</t>
        </is>
      </c>
    </row>
    <row r="7">
      <c r="A7" s="26" t="inlineStr">
        <is>
          <t>Day 1 - Heavy</t>
        </is>
      </c>
      <c r="B7" s="27">
        <f>'Start Here'!$B$7+28</f>
        <v/>
      </c>
      <c r="C7" s="31" t="inlineStr">
        <is>
          <t>Snatch</t>
        </is>
      </c>
      <c r="D7" s="29" t="n">
        <v>4</v>
      </c>
      <c r="E7" s="29" t="inlineStr">
        <is>
          <t>3</t>
        </is>
      </c>
      <c r="F7" s="29" t="n">
        <v>77.5</v>
      </c>
      <c r="G7" s="30">
        <f>Maxes!E6</f>
        <v/>
      </c>
      <c r="H7" s="31">
        <f>IF(OR(G7="",F7=""),"",MROUND(G7*F7/100,'Start Here'!$B$6))</f>
        <v/>
      </c>
      <c r="I7" s="32" t="n"/>
      <c r="J7" s="32" t="n"/>
      <c r="K7" s="29">
        <f>IF(OR(I7="",J7=""),"",IF(J7=1,I7,ROUND(I7*(1+J7/30),1)))</f>
        <v/>
      </c>
      <c r="L7" s="33">
        <f>IF(K7="","",IF(K7&gt;=PRs!C6,"PR!",""))</f>
        <v/>
      </c>
      <c r="M7" s="32" t="n"/>
      <c r="N7" s="34" t="inlineStr"/>
    </row>
    <row r="8">
      <c r="A8" s="26" t="inlineStr">
        <is>
          <t>Day 1 - Heavy</t>
        </is>
      </c>
      <c r="B8" s="27">
        <f>'Start Here'!$B$7+28</f>
        <v/>
      </c>
      <c r="C8" s="31" t="inlineStr">
        <is>
          <t>Squat</t>
        </is>
      </c>
      <c r="D8" s="29" t="n">
        <v>3</v>
      </c>
      <c r="E8" s="29" t="inlineStr">
        <is>
          <t>6</t>
        </is>
      </c>
      <c r="F8" s="29" t="n">
        <v>77.5</v>
      </c>
      <c r="G8" s="30">
        <f>Maxes!E2</f>
        <v/>
      </c>
      <c r="H8" s="31">
        <f>IF(OR(G8="",F8=""),"",MROUND(G8*F8/100,'Start Here'!$B$6))</f>
        <v/>
      </c>
      <c r="I8" s="32" t="n"/>
      <c r="J8" s="32" t="n"/>
      <c r="K8" s="29">
        <f>IF(OR(I8="",J8=""),"",IF(J8=1,I8,ROUND(I8*(1+J8/30),1)))</f>
        <v/>
      </c>
      <c r="L8" s="33">
        <f>IF(K8="","",IF(K8&gt;=PRs!C2,"PR!",""))</f>
        <v/>
      </c>
      <c r="M8" s="32" t="n"/>
      <c r="N8" s="34" t="inlineStr"/>
    </row>
    <row r="9">
      <c r="A9" s="26" t="inlineStr">
        <is>
          <t>Day 1 - Heavy</t>
        </is>
      </c>
      <c r="B9" s="27">
        <f>'Start Here'!$B$7+28</f>
        <v/>
      </c>
      <c r="C9" s="31" t="inlineStr">
        <is>
          <t>Bench Press</t>
        </is>
      </c>
      <c r="D9" s="29" t="n">
        <v>3</v>
      </c>
      <c r="E9" s="29" t="inlineStr">
        <is>
          <t>6</t>
        </is>
      </c>
      <c r="F9" s="29" t="n">
        <v>77.5</v>
      </c>
      <c r="G9" s="30">
        <f>Maxes!E3</f>
        <v/>
      </c>
      <c r="H9" s="31">
        <f>IF(OR(G9="",F9=""),"",MROUND(G9*F9/100,'Start Here'!$B$6))</f>
        <v/>
      </c>
      <c r="I9" s="32" t="n"/>
      <c r="J9" s="32" t="n"/>
      <c r="K9" s="29">
        <f>IF(OR(I9="",J9=""),"",IF(J9=1,I9,ROUND(I9*(1+J9/30),1)))</f>
        <v/>
      </c>
      <c r="L9" s="33">
        <f>IF(K9="","",IF(K9&gt;=PRs!C3,"PR!",""))</f>
        <v/>
      </c>
      <c r="M9" s="32" t="n"/>
      <c r="N9" s="34" t="inlineStr"/>
    </row>
    <row r="10">
      <c r="A10" s="26" t="inlineStr">
        <is>
          <t>Day 1 - Heavy</t>
        </is>
      </c>
      <c r="B10" s="27">
        <f>'Start Here'!$B$7+28</f>
        <v/>
      </c>
      <c r="C10" s="29" t="inlineStr">
        <is>
          <t>Barbell Row</t>
        </is>
      </c>
      <c r="D10" s="29" t="n">
        <v>3</v>
      </c>
      <c r="E10" s="29" t="inlineStr">
        <is>
          <t>8-10</t>
        </is>
      </c>
      <c r="F10" s="29" t="n"/>
      <c r="G10" s="30" t="n"/>
      <c r="H10" s="31" t="n"/>
      <c r="I10" s="32" t="n"/>
      <c r="J10" s="32" t="n"/>
      <c r="K10" s="29">
        <f>IF(OR(I10="",J10=""),"",IF(J10=1,I10,ROUND(I10*(1+J10/30),1)))</f>
        <v/>
      </c>
      <c r="L10" s="33">
        <f>IF(K10="","",IF(K10&gt;=PRs!C50,"PR!",""))</f>
        <v/>
      </c>
      <c r="M10" s="32" t="n"/>
      <c r="N10" s="34" t="inlineStr">
        <is>
          <t>Leave 1-2 reps in the tank; add weight when you hit the top of the range</t>
        </is>
      </c>
    </row>
    <row r="11">
      <c r="A11" s="26" t="inlineStr">
        <is>
          <t>Day 1 - Heavy</t>
        </is>
      </c>
      <c r="B11" s="27">
        <f>'Start Here'!$B$7+28</f>
        <v/>
      </c>
      <c r="C11" s="29" t="inlineStr">
        <is>
          <t>Face Pull</t>
        </is>
      </c>
      <c r="D11" s="29" t="n">
        <v>3</v>
      </c>
      <c r="E11" s="29" t="inlineStr">
        <is>
          <t>12-15</t>
        </is>
      </c>
      <c r="F11" s="29" t="n"/>
      <c r="G11" s="30" t="n"/>
      <c r="H11" s="31" t="n"/>
      <c r="I11" s="32" t="n"/>
      <c r="J11" s="32" t="n"/>
      <c r="K11" s="29">
        <f>IF(OR(I11="",J11=""),"",IF(J11=1,I11,ROUND(I11*(1+J11/30),1)))</f>
        <v/>
      </c>
      <c r="L11" s="33">
        <f>IF(K11="","",IF(K11&gt;=PRs!C51,"PR!",""))</f>
        <v/>
      </c>
      <c r="M11" s="32" t="n"/>
      <c r="N11" s="34" t="inlineStr">
        <is>
          <t>Leave 1-2 reps in the tank; add weight when you hit the top of the range</t>
        </is>
      </c>
    </row>
    <row r="12">
      <c r="A12" s="26" t="inlineStr">
        <is>
          <t>Day 2 - Light</t>
        </is>
      </c>
      <c r="B12" s="27">
        <f>'Start Here'!$B$7+30</f>
        <v/>
      </c>
      <c r="C12" s="28" t="inlineStr">
        <is>
          <t>Broad Jump</t>
        </is>
      </c>
      <c r="D12" s="29" t="n">
        <v>4</v>
      </c>
      <c r="E12" s="29" t="inlineStr">
        <is>
          <t>3</t>
        </is>
      </c>
      <c r="F12" s="29" t="n"/>
      <c r="G12" s="30" t="n"/>
      <c r="H12" s="31" t="n"/>
      <c r="I12" s="32" t="n"/>
      <c r="J12" s="32" t="n"/>
      <c r="K12" s="29" t="n"/>
      <c r="L12" s="33">
        <f>IF(I12="","",IF(I12&gt;=PRs!D70,"PR!",""))</f>
        <v/>
      </c>
      <c r="M12" s="32" t="n"/>
      <c r="N12" s="34" t="inlineStr">
        <is>
          <t>Two-foot jump for distance, stick the landing. Full reset between reps. Log your best distance</t>
        </is>
      </c>
    </row>
    <row r="13">
      <c r="A13" s="26" t="inlineStr">
        <is>
          <t>Day 2 - Light</t>
        </is>
      </c>
      <c r="B13" s="27">
        <f>'Start Here'!$B$7+30</f>
        <v/>
      </c>
      <c r="C13" s="31" t="inlineStr">
        <is>
          <t>Clean &amp; Jerk</t>
        </is>
      </c>
      <c r="D13" s="29" t="n">
        <v>4</v>
      </c>
      <c r="E13" s="29" t="inlineStr">
        <is>
          <t>3</t>
        </is>
      </c>
      <c r="F13" s="29" t="n">
        <v>77.5</v>
      </c>
      <c r="G13" s="30">
        <f>Maxes!E7</f>
        <v/>
      </c>
      <c r="H13" s="31">
        <f>IF(OR(G13="",F13=""),"",MROUND(G13*F13/100,'Start Here'!$B$6))</f>
        <v/>
      </c>
      <c r="I13" s="32" t="n"/>
      <c r="J13" s="32" t="n"/>
      <c r="K13" s="29">
        <f>IF(OR(I13="",J13=""),"",IF(J13=1,I13,ROUND(I13*(1+J13/30),1)))</f>
        <v/>
      </c>
      <c r="L13" s="33">
        <f>IF(K13="","",IF(K13&gt;=PRs!C7,"PR!",""))</f>
        <v/>
      </c>
      <c r="M13" s="32" t="n"/>
      <c r="N13" s="34" t="inlineStr"/>
    </row>
    <row r="14">
      <c r="A14" s="26" t="inlineStr">
        <is>
          <t>Day 2 - Light</t>
        </is>
      </c>
      <c r="B14" s="27">
        <f>'Start Here'!$B$7+30</f>
        <v/>
      </c>
      <c r="C14" s="31" t="inlineStr">
        <is>
          <t>Squat</t>
        </is>
      </c>
      <c r="D14" s="29" t="n">
        <v>3</v>
      </c>
      <c r="E14" s="29" t="inlineStr">
        <is>
          <t>6</t>
        </is>
      </c>
      <c r="F14" s="29" t="n">
        <v>65</v>
      </c>
      <c r="G14" s="30">
        <f>Maxes!E2</f>
        <v/>
      </c>
      <c r="H14" s="31">
        <f>IF(OR(G14="",F14=""),"",MROUND(G14*F14/100,'Start Here'!$B$6))</f>
        <v/>
      </c>
      <c r="I14" s="32" t="n"/>
      <c r="J14" s="32" t="n"/>
      <c r="K14" s="29">
        <f>IF(OR(I14="",J14=""),"",IF(J14=1,I14,ROUND(I14*(1+J14/30),1)))</f>
        <v/>
      </c>
      <c r="L14" s="33">
        <f>IF(K14="","",IF(K14&gt;=PRs!C2,"PR!",""))</f>
        <v/>
      </c>
      <c r="M14" s="32" t="n"/>
      <c r="N14" s="34" t="inlineStr"/>
    </row>
    <row r="15">
      <c r="A15" s="26" t="inlineStr">
        <is>
          <t>Day 2 - Light</t>
        </is>
      </c>
      <c r="B15" s="27">
        <f>'Start Here'!$B$7+30</f>
        <v/>
      </c>
      <c r="C15" s="31" t="inlineStr">
        <is>
          <t>Overhead Press</t>
        </is>
      </c>
      <c r="D15" s="29" t="n">
        <v>3</v>
      </c>
      <c r="E15" s="29" t="inlineStr">
        <is>
          <t>6</t>
        </is>
      </c>
      <c r="F15" s="29" t="n">
        <v>72.5</v>
      </c>
      <c r="G15" s="30">
        <f>Maxes!E5</f>
        <v/>
      </c>
      <c r="H15" s="31">
        <f>IF(OR(G15="",F15=""),"",MROUND(G15*F15/100,'Start Here'!$B$6))</f>
        <v/>
      </c>
      <c r="I15" s="32" t="n"/>
      <c r="J15" s="32" t="n"/>
      <c r="K15" s="29">
        <f>IF(OR(I15="",J15=""),"",IF(J15=1,I15,ROUND(I15*(1+J15/30),1)))</f>
        <v/>
      </c>
      <c r="L15" s="33">
        <f>IF(K15="","",IF(K15&gt;=PRs!C5,"PR!",""))</f>
        <v/>
      </c>
      <c r="M15" s="32" t="n"/>
      <c r="N15" s="34" t="inlineStr"/>
    </row>
    <row r="16">
      <c r="A16" s="26" t="inlineStr">
        <is>
          <t>Day 2 - Light</t>
        </is>
      </c>
      <c r="B16" s="27">
        <f>'Start Here'!$B$7+30</f>
        <v/>
      </c>
      <c r="C16" s="31" t="inlineStr">
        <is>
          <t>Deadlift</t>
        </is>
      </c>
      <c r="D16" s="29" t="n">
        <v>3</v>
      </c>
      <c r="E16" s="29" t="inlineStr">
        <is>
          <t>6</t>
        </is>
      </c>
      <c r="F16" s="29" t="n">
        <v>72.5</v>
      </c>
      <c r="G16" s="30">
        <f>Maxes!E4</f>
        <v/>
      </c>
      <c r="H16" s="31">
        <f>IF(OR(G16="",F16=""),"",MROUND(G16*F16/100,'Start Here'!$B$6))</f>
        <v/>
      </c>
      <c r="I16" s="32" t="n"/>
      <c r="J16" s="32" t="n"/>
      <c r="K16" s="29">
        <f>IF(OR(I16="",J16=""),"",IF(J16=1,I16,ROUND(I16*(1+J16/30),1)))</f>
        <v/>
      </c>
      <c r="L16" s="33">
        <f>IF(K16="","",IF(K16&gt;=PRs!C4,"PR!",""))</f>
        <v/>
      </c>
      <c r="M16" s="32" t="n"/>
      <c r="N16" s="34" t="inlineStr"/>
    </row>
    <row r="17">
      <c r="A17" s="26" t="inlineStr">
        <is>
          <t>Day 2 - Light</t>
        </is>
      </c>
      <c r="B17" s="27">
        <f>'Start Here'!$B$7+30</f>
        <v/>
      </c>
      <c r="C17" s="29" t="inlineStr">
        <is>
          <t>Chin-up</t>
        </is>
      </c>
      <c r="D17" s="29" t="n">
        <v>3</v>
      </c>
      <c r="E17" s="29" t="inlineStr">
        <is>
          <t>6-10</t>
        </is>
      </c>
      <c r="F17" s="29" t="n"/>
      <c r="G17" s="30" t="n"/>
      <c r="H17" s="31" t="n"/>
      <c r="I17" s="32" t="n"/>
      <c r="J17" s="32" t="n"/>
      <c r="K17" s="29">
        <f>IF(OR(I17="",J17=""),"",IF(J17=1,I17,ROUND(I17*(1+J17/30),1)))</f>
        <v/>
      </c>
      <c r="L17" s="33">
        <f>IF(K17="","",IF(K17&gt;=PRs!C53,"PR!",""))</f>
        <v/>
      </c>
      <c r="M17" s="32" t="n"/>
      <c r="N17" s="34" t="inlineStr">
        <is>
          <t>Leave 1-2 reps in the tank; add weight when you hit the top of the range</t>
        </is>
      </c>
    </row>
    <row r="18">
      <c r="A18" s="26" t="inlineStr">
        <is>
          <t>Day 2 - Light</t>
        </is>
      </c>
      <c r="B18" s="27">
        <f>'Start Here'!$B$7+30</f>
        <v/>
      </c>
      <c r="C18" s="29" t="inlineStr">
        <is>
          <t>Plank</t>
        </is>
      </c>
      <c r="D18" s="29" t="n">
        <v>3</v>
      </c>
      <c r="E18" s="29" t="inlineStr">
        <is>
          <t>30-60s</t>
        </is>
      </c>
      <c r="F18" s="29" t="n"/>
      <c r="G18" s="30" t="n"/>
      <c r="H18" s="31" t="n"/>
      <c r="I18" s="32" t="n"/>
      <c r="J18" s="32" t="n"/>
      <c r="K18" s="29">
        <f>IF(OR(I18="",J18=""),"",IF(J18=1,I18,ROUND(I18*(1+J18/30),1)))</f>
        <v/>
      </c>
      <c r="L18" s="33">
        <f>IF(K18="","",IF(K18&gt;=PRs!C56,"PR!",""))</f>
        <v/>
      </c>
      <c r="M18" s="32" t="n"/>
      <c r="N18" s="34" t="inlineStr">
        <is>
          <t>Leave 1-2 reps in the tank; add weight when you hit the top of the range</t>
        </is>
      </c>
    </row>
    <row r="19">
      <c r="A19" s="26" t="inlineStr">
        <is>
          <t>Day 3 - Variations</t>
        </is>
      </c>
      <c r="B19" s="27">
        <f>'Start Here'!$B$7+32</f>
        <v/>
      </c>
      <c r="C19" s="28" t="inlineStr">
        <is>
          <t>Box Jump</t>
        </is>
      </c>
      <c r="D19" s="29" t="n">
        <v>4</v>
      </c>
      <c r="E19" s="29" t="inlineStr">
        <is>
          <t>3</t>
        </is>
      </c>
      <c r="F19" s="29" t="n"/>
      <c r="G19" s="30" t="n"/>
      <c r="H19" s="31">
        <f>IFERROR(IF(PRs!D69&lt;'Start Here'!$H$15,'Start Here'!$H$15,IF(PRs!D69&lt;'Start Here'!$H$16,'Start Here'!$H$16,IF(PRs!D69&lt;'Start Here'!$H$17,'Start Here'!$H$17,IF(PRs!D69&lt;'Start Here'!$H$18,'Start Here'!$H$18,"Elite!")))),"")</f>
        <v/>
      </c>
      <c r="I19" s="32" t="n"/>
      <c r="J19" s="32" t="n"/>
      <c r="K19" s="29" t="n"/>
      <c r="L19" s="33">
        <f>IF(I19="","",IF(I19&gt;=PRs!D69,"PR!",""))</f>
        <v/>
      </c>
      <c r="M19" s="32" t="n"/>
      <c r="N19" s="34" t="inlineStr">
        <is>
          <t>Explode up, land softly, STEP down. Full reset between reps. Log your box height; check the standards</t>
        </is>
      </c>
    </row>
    <row r="20">
      <c r="A20" s="26" t="inlineStr">
        <is>
          <t>Day 3 - Variations</t>
        </is>
      </c>
      <c r="B20" s="27">
        <f>'Start Here'!$B$7+32</f>
        <v/>
      </c>
      <c r="C20" s="31" t="inlineStr">
        <is>
          <t>Power Clean</t>
        </is>
      </c>
      <c r="D20" s="29" t="n">
        <v>4</v>
      </c>
      <c r="E20" s="29" t="inlineStr">
        <is>
          <t>3</t>
        </is>
      </c>
      <c r="F20" s="29" t="n">
        <v>72.5</v>
      </c>
      <c r="G20" s="30">
        <f>Maxes!E42</f>
        <v/>
      </c>
      <c r="H20" s="31">
        <f>IF(OR(G20="",F20=""),"",MROUND(G20*F20/100,'Start Here'!$B$6))</f>
        <v/>
      </c>
      <c r="I20" s="32" t="n"/>
      <c r="J20" s="32" t="n"/>
      <c r="K20" s="29">
        <f>IF(OR(I20="",J20=""),"",IF(J20=1,I20,ROUND(I20*(1+J20/30),1)))</f>
        <v/>
      </c>
      <c r="L20" s="33">
        <f>IF(K20="","",IF(K20&gt;=PRs!C42,"PR!",""))</f>
        <v/>
      </c>
      <c r="M20" s="32" t="n"/>
      <c r="N20" s="34" t="inlineStr"/>
    </row>
    <row r="21">
      <c r="A21" s="26" t="inlineStr">
        <is>
          <t>Day 3 - Variations</t>
        </is>
      </c>
      <c r="B21" s="27">
        <f>'Start Here'!$B$7+32</f>
        <v/>
      </c>
      <c r="C21" s="31" t="inlineStr">
        <is>
          <t>Pause Squat</t>
        </is>
      </c>
      <c r="D21" s="29" t="n">
        <v>3</v>
      </c>
      <c r="E21" s="29" t="inlineStr">
        <is>
          <t>6</t>
        </is>
      </c>
      <c r="F21" s="29" t="n">
        <v>72.5</v>
      </c>
      <c r="G21" s="30">
        <f>Maxes!E9</f>
        <v/>
      </c>
      <c r="H21" s="31">
        <f>IF(OR(G21="",F21=""),"",MROUND(G21*F21/100,'Start Here'!$B$6))</f>
        <v/>
      </c>
      <c r="I21" s="32" t="n"/>
      <c r="J21" s="32" t="n"/>
      <c r="K21" s="29">
        <f>IF(OR(I21="",J21=""),"",IF(J21=1,I21,ROUND(I21*(1+J21/30),1)))</f>
        <v/>
      </c>
      <c r="L21" s="33">
        <f>IF(K21="","",IF(K21&gt;=PRs!C9,"PR!",""))</f>
        <v/>
      </c>
      <c r="M21" s="32" t="n"/>
      <c r="N21" s="34" t="inlineStr"/>
    </row>
    <row r="22">
      <c r="A22" s="26" t="inlineStr">
        <is>
          <t>Day 3 - Variations</t>
        </is>
      </c>
      <c r="B22" s="27">
        <f>'Start Here'!$B$7+32</f>
        <v/>
      </c>
      <c r="C22" s="31" t="inlineStr">
        <is>
          <t>2-Board Press</t>
        </is>
      </c>
      <c r="D22" s="29" t="n">
        <v>3</v>
      </c>
      <c r="E22" s="29" t="inlineStr">
        <is>
          <t>6</t>
        </is>
      </c>
      <c r="F22" s="29" t="n">
        <v>72.5</v>
      </c>
      <c r="G22" s="30">
        <f>Maxes!E16</f>
        <v/>
      </c>
      <c r="H22" s="31">
        <f>IF(OR(G22="",F22=""),"",MROUND(G22*F22/100,'Start Here'!$B$6))</f>
        <v/>
      </c>
      <c r="I22" s="32" t="n"/>
      <c r="J22" s="32" t="n"/>
      <c r="K22" s="29">
        <f>IF(OR(I22="",J22=""),"",IF(J22=1,I22,ROUND(I22*(1+J22/30),1)))</f>
        <v/>
      </c>
      <c r="L22" s="33">
        <f>IF(K22="","",IF(K22&gt;=PRs!C16,"PR!",""))</f>
        <v/>
      </c>
      <c r="M22" s="32" t="n"/>
      <c r="N22" s="34" t="inlineStr"/>
    </row>
    <row r="23">
      <c r="A23" s="26" t="inlineStr">
        <is>
          <t>Day 3 - Variations</t>
        </is>
      </c>
      <c r="B23" s="27">
        <f>'Start Here'!$B$7+32</f>
        <v/>
      </c>
      <c r="C23" s="31" t="inlineStr">
        <is>
          <t>Deficit Deadlift</t>
        </is>
      </c>
      <c r="D23" s="29" t="n">
        <v>3</v>
      </c>
      <c r="E23" s="29" t="inlineStr">
        <is>
          <t>6</t>
        </is>
      </c>
      <c r="F23" s="29" t="n">
        <v>65</v>
      </c>
      <c r="G23" s="30">
        <f>Maxes!E24</f>
        <v/>
      </c>
      <c r="H23" s="31">
        <f>IF(OR(G23="",F23=""),"",MROUND(G23*F23/100,'Start Here'!$B$6))</f>
        <v/>
      </c>
      <c r="I23" s="32" t="n"/>
      <c r="J23" s="32" t="n"/>
      <c r="K23" s="29">
        <f>IF(OR(I23="",J23=""),"",IF(J23=1,I23,ROUND(I23*(1+J23/30),1)))</f>
        <v/>
      </c>
      <c r="L23" s="33">
        <f>IF(K23="","",IF(K23&gt;=PRs!C24,"PR!",""))</f>
        <v/>
      </c>
      <c r="M23" s="32" t="n"/>
      <c r="N23" s="34" t="inlineStr"/>
    </row>
    <row r="24">
      <c r="A24" s="26" t="inlineStr">
        <is>
          <t>Day 3 - Variations</t>
        </is>
      </c>
      <c r="B24" s="27">
        <f>'Start Here'!$B$7+32</f>
        <v/>
      </c>
      <c r="C24" s="29" t="inlineStr">
        <is>
          <t>Incline Dumbbell Press</t>
        </is>
      </c>
      <c r="D24" s="29" t="n">
        <v>3</v>
      </c>
      <c r="E24" s="29" t="inlineStr">
        <is>
          <t>8-12</t>
        </is>
      </c>
      <c r="F24" s="29" t="n"/>
      <c r="G24" s="30" t="n"/>
      <c r="H24" s="31" t="n"/>
      <c r="I24" s="32" t="n"/>
      <c r="J24" s="32" t="n"/>
      <c r="K24" s="29">
        <f>IF(OR(I24="",J24=""),"",IF(J24=1,I24,ROUND(I24*(1+J24/30),1)))</f>
        <v/>
      </c>
      <c r="L24" s="33">
        <f>IF(K24="","",IF(K24&gt;=PRs!C57,"PR!",""))</f>
        <v/>
      </c>
      <c r="M24" s="32" t="n"/>
      <c r="N24" s="34" t="inlineStr">
        <is>
          <t>Leave 1-2 reps in the tank; add weight when you hit the top of the range</t>
        </is>
      </c>
    </row>
    <row r="25">
      <c r="A25" s="26" t="inlineStr">
        <is>
          <t>Day 3 - Variations</t>
        </is>
      </c>
      <c r="B25" s="27">
        <f>'Start Here'!$B$7+32</f>
        <v/>
      </c>
      <c r="C25" s="29" t="inlineStr">
        <is>
          <t>Triceps Pushdown</t>
        </is>
      </c>
      <c r="D25" s="29" t="n">
        <v>3</v>
      </c>
      <c r="E25" s="29" t="inlineStr">
        <is>
          <t>10-15</t>
        </is>
      </c>
      <c r="F25" s="29" t="n"/>
      <c r="G25" s="30" t="n"/>
      <c r="H25" s="31" t="n"/>
      <c r="I25" s="32" t="n"/>
      <c r="J25" s="32" t="n"/>
      <c r="K25" s="29">
        <f>IF(OR(I25="",J25=""),"",IF(J25=1,I25,ROUND(I25*(1+J25/30),1)))</f>
        <v/>
      </c>
      <c r="L25" s="33">
        <f>IF(K25="","",IF(K25&gt;=PRs!C59,"PR!",""))</f>
        <v/>
      </c>
      <c r="M25" s="32" t="n"/>
      <c r="N25" s="34" t="inlineStr">
        <is>
          <t>Leave 1-2 reps in the tank; add weight when you hit the top of the range</t>
        </is>
      </c>
    </row>
  </sheetData>
  <hyperlinks>
    <hyperlink xmlns:r="http://schemas.openxmlformats.org/officeDocument/2006/relationships" ref="A2" r:id="rId1"/>
    <hyperlink xmlns:r="http://schemas.openxmlformats.org/officeDocument/2006/relationships" ref="C2" r:id="rId2"/>
    <hyperlink xmlns:r="http://schemas.openxmlformats.org/officeDocument/2006/relationships" ref="E2" r:id="rId3"/>
    <hyperlink xmlns:r="http://schemas.openxmlformats.org/officeDocument/2006/relationships" ref="A4" r:id="rId4"/>
  </hyperlinks>
  <pageMargins left="0.75" right="0.75" top="1" bottom="1" header="0.5" footer="0.5"/>
  <pageSetup orientation="landscape" fitToHeight="0" fitToWidth="1"/>
</worksheet>
</file>

<file path=xl/worksheets/sheet8.xml><?xml version="1.0" encoding="utf-8"?>
<worksheet xmlns="http://schemas.openxmlformats.org/spreadsheetml/2006/main">
  <sheetPr>
    <tabColor rgb="00FCE9D2"/>
    <outlinePr summaryBelow="1" summaryRight="1"/>
    <pageSetUpPr fitToPage="1"/>
  </sheetPr>
  <dimension ref="A1:N25"/>
  <sheetViews>
    <sheetView workbookViewId="0">
      <pane xSplit="3" ySplit="5" topLeftCell="D6" activePane="bottomRight" state="frozen"/>
      <selection pane="topRight"/>
      <selection pane="bottomLeft"/>
      <selection pane="bottomRight" activeCell="A1" sqref="A1"/>
    </sheetView>
  </sheetViews>
  <sheetFormatPr baseColWidth="8" defaultRowHeight="15"/>
  <cols>
    <col width="17" customWidth="1" min="1" max="1"/>
    <col width="11" customWidth="1" min="2" max="2"/>
    <col width="24" customWidth="1" min="3" max="3"/>
    <col width="5" customWidth="1" min="4" max="4"/>
    <col width="6" customWidth="1" min="5" max="5"/>
    <col width="6" customWidth="1" min="6" max="6"/>
    <col width="9" customWidth="1" min="7" max="7"/>
    <col width="10" customWidth="1" min="8" max="8"/>
    <col width="13" customWidth="1" min="9" max="9"/>
    <col width="8" customWidth="1" min="10" max="10"/>
    <col width="9" customWidth="1" min="11" max="11"/>
    <col width="5" customWidth="1" min="12" max="12"/>
    <col width="22" customWidth="1" min="13" max="13"/>
    <col width="62" customWidth="1" min="14" max="14"/>
  </cols>
  <sheetData>
    <row r="1">
      <c r="A1" s="24" t="inlineStr">
        <is>
          <t>Week 6 - Cycle 1 - Transmutation</t>
        </is>
      </c>
    </row>
    <row r="2">
      <c r="A2" s="25" t="inlineStr">
        <is>
          <t>&lt; Week 05</t>
        </is>
      </c>
      <c r="C2" s="25" t="inlineStr">
        <is>
          <t>Start Here</t>
        </is>
      </c>
      <c r="E2" s="25" t="inlineStr">
        <is>
          <t>Week 07 &gt;</t>
        </is>
      </c>
    </row>
    <row r="3">
      <c r="A3" s="10" t="inlineStr">
        <is>
          <t>Bodyweight this week</t>
        </is>
      </c>
      <c r="C3" s="4" t="n"/>
      <c r="D3" t="inlineStr">
        <is>
          <t>Weigh in once this week: same morning routine, before eating.</t>
        </is>
      </c>
    </row>
    <row r="5">
      <c r="A5" s="5" t="inlineStr">
        <is>
          <t>Day</t>
        </is>
      </c>
      <c r="B5" s="5" t="inlineStr">
        <is>
          <t>Date</t>
        </is>
      </c>
      <c r="C5" s="5" t="inlineStr">
        <is>
          <t>Exercise</t>
        </is>
      </c>
      <c r="D5" s="5" t="inlineStr">
        <is>
          <t>Sets</t>
        </is>
      </c>
      <c r="E5" s="5" t="inlineStr">
        <is>
          <t>Reps</t>
        </is>
      </c>
      <c r="F5" s="5" t="inlineStr">
        <is>
          <t>% TM</t>
        </is>
      </c>
      <c r="G5" s="5" t="inlineStr">
        <is>
          <t>Training max</t>
        </is>
      </c>
      <c r="H5" s="5" t="inlineStr">
        <is>
          <t>Weight / target</t>
        </is>
      </c>
      <c r="I5" s="5" t="inlineStr">
        <is>
          <t>Actual (weight, height or distance)</t>
        </is>
      </c>
      <c r="J5" s="5" t="inlineStr">
        <is>
          <t>Actual reps</t>
        </is>
      </c>
      <c r="K5" s="5" t="inlineStr">
        <is>
          <t>Est. 1RM</t>
        </is>
      </c>
      <c r="L5" s="5" t="inlineStr">
        <is>
          <t>PR</t>
        </is>
      </c>
      <c r="M5" s="5" t="inlineStr">
        <is>
          <t>Notes</t>
        </is>
      </c>
      <c r="N5" s="5" t="inlineStr">
        <is>
          <t>Guidance</t>
        </is>
      </c>
    </row>
    <row r="6">
      <c r="A6" s="26" t="inlineStr">
        <is>
          <t>Day 1 - Heavy</t>
        </is>
      </c>
      <c r="B6" s="27">
        <f>'Start Here'!$B$7+35</f>
        <v/>
      </c>
      <c r="C6" s="28" t="inlineStr">
        <is>
          <t>Box Jump</t>
        </is>
      </c>
      <c r="D6" s="29" t="n">
        <v>4</v>
      </c>
      <c r="E6" s="29" t="inlineStr">
        <is>
          <t>3</t>
        </is>
      </c>
      <c r="F6" s="29" t="n"/>
      <c r="G6" s="30" t="n"/>
      <c r="H6" s="31">
        <f>IFERROR(IF(PRs!D69&lt;'Start Here'!$H$15,'Start Here'!$H$15,IF(PRs!D69&lt;'Start Here'!$H$16,'Start Here'!$H$16,IF(PRs!D69&lt;'Start Here'!$H$17,'Start Here'!$H$17,IF(PRs!D69&lt;'Start Here'!$H$18,'Start Here'!$H$18,"Elite!")))),"")</f>
        <v/>
      </c>
      <c r="I6" s="32" t="n"/>
      <c r="J6" s="32" t="n"/>
      <c r="K6" s="29" t="n"/>
      <c r="L6" s="33">
        <f>IF(I6="","",IF(I6&gt;=PRs!D69,"PR!",""))</f>
        <v/>
      </c>
      <c r="M6" s="32" t="n"/>
      <c r="N6" s="34" t="inlineStr">
        <is>
          <t>Explode up, land softly, STEP down. Full reset between reps. Log your box height; check the standards</t>
        </is>
      </c>
    </row>
    <row r="7">
      <c r="A7" s="26" t="inlineStr">
        <is>
          <t>Day 1 - Heavy</t>
        </is>
      </c>
      <c r="B7" s="27">
        <f>'Start Here'!$B$7+35</f>
        <v/>
      </c>
      <c r="C7" s="31" t="inlineStr">
        <is>
          <t>Snatch</t>
        </is>
      </c>
      <c r="D7" s="29" t="n">
        <v>5</v>
      </c>
      <c r="E7" s="29" t="inlineStr">
        <is>
          <t>2</t>
        </is>
      </c>
      <c r="F7" s="29" t="n">
        <v>80</v>
      </c>
      <c r="G7" s="30">
        <f>Maxes!E6</f>
        <v/>
      </c>
      <c r="H7" s="31">
        <f>IF(OR(G7="",F7=""),"",MROUND(G7*F7/100,'Start Here'!$B$6))</f>
        <v/>
      </c>
      <c r="I7" s="32" t="n"/>
      <c r="J7" s="32" t="n"/>
      <c r="K7" s="29">
        <f>IF(OR(I7="",J7=""),"",IF(J7=1,I7,ROUND(I7*(1+J7/30),1)))</f>
        <v/>
      </c>
      <c r="L7" s="33">
        <f>IF(K7="","",IF(K7&gt;=PRs!C6,"PR!",""))</f>
        <v/>
      </c>
      <c r="M7" s="32" t="n"/>
      <c r="N7" s="34" t="inlineStr"/>
    </row>
    <row r="8">
      <c r="A8" s="26" t="inlineStr">
        <is>
          <t>Day 1 - Heavy</t>
        </is>
      </c>
      <c r="B8" s="27">
        <f>'Start Here'!$B$7+35</f>
        <v/>
      </c>
      <c r="C8" s="31" t="inlineStr">
        <is>
          <t>Squat</t>
        </is>
      </c>
      <c r="D8" s="29" t="n">
        <v>4</v>
      </c>
      <c r="E8" s="29" t="inlineStr">
        <is>
          <t>4</t>
        </is>
      </c>
      <c r="F8" s="29" t="n">
        <v>80</v>
      </c>
      <c r="G8" s="30">
        <f>Maxes!E2</f>
        <v/>
      </c>
      <c r="H8" s="31">
        <f>IF(OR(G8="",F8=""),"",MROUND(G8*F8/100,'Start Here'!$B$6))</f>
        <v/>
      </c>
      <c r="I8" s="32" t="n"/>
      <c r="J8" s="32" t="n"/>
      <c r="K8" s="29">
        <f>IF(OR(I8="",J8=""),"",IF(J8=1,I8,ROUND(I8*(1+J8/30),1)))</f>
        <v/>
      </c>
      <c r="L8" s="33">
        <f>IF(K8="","",IF(K8&gt;=PRs!C2,"PR!",""))</f>
        <v/>
      </c>
      <c r="M8" s="32" t="n"/>
      <c r="N8" s="34" t="inlineStr"/>
    </row>
    <row r="9">
      <c r="A9" s="26" t="inlineStr">
        <is>
          <t>Day 1 - Heavy</t>
        </is>
      </c>
      <c r="B9" s="27">
        <f>'Start Here'!$B$7+35</f>
        <v/>
      </c>
      <c r="C9" s="31" t="inlineStr">
        <is>
          <t>Bench Press</t>
        </is>
      </c>
      <c r="D9" s="29" t="n">
        <v>4</v>
      </c>
      <c r="E9" s="29" t="inlineStr">
        <is>
          <t>4</t>
        </is>
      </c>
      <c r="F9" s="29" t="n">
        <v>80</v>
      </c>
      <c r="G9" s="30">
        <f>Maxes!E3</f>
        <v/>
      </c>
      <c r="H9" s="31">
        <f>IF(OR(G9="",F9=""),"",MROUND(G9*F9/100,'Start Here'!$B$6))</f>
        <v/>
      </c>
      <c r="I9" s="32" t="n"/>
      <c r="J9" s="32" t="n"/>
      <c r="K9" s="29">
        <f>IF(OR(I9="",J9=""),"",IF(J9=1,I9,ROUND(I9*(1+J9/30),1)))</f>
        <v/>
      </c>
      <c r="L9" s="33">
        <f>IF(K9="","",IF(K9&gt;=PRs!C3,"PR!",""))</f>
        <v/>
      </c>
      <c r="M9" s="32" t="n"/>
      <c r="N9" s="34" t="inlineStr"/>
    </row>
    <row r="10">
      <c r="A10" s="26" t="inlineStr">
        <is>
          <t>Day 1 - Heavy</t>
        </is>
      </c>
      <c r="B10" s="27">
        <f>'Start Here'!$B$7+35</f>
        <v/>
      </c>
      <c r="C10" s="29" t="inlineStr">
        <is>
          <t>Barbell Row</t>
        </is>
      </c>
      <c r="D10" s="29" t="n">
        <v>3</v>
      </c>
      <c r="E10" s="29" t="inlineStr">
        <is>
          <t>8-10</t>
        </is>
      </c>
      <c r="F10" s="29" t="n"/>
      <c r="G10" s="30" t="n"/>
      <c r="H10" s="31" t="n"/>
      <c r="I10" s="32" t="n"/>
      <c r="J10" s="32" t="n"/>
      <c r="K10" s="29">
        <f>IF(OR(I10="",J10=""),"",IF(J10=1,I10,ROUND(I10*(1+J10/30),1)))</f>
        <v/>
      </c>
      <c r="L10" s="33">
        <f>IF(K10="","",IF(K10&gt;=PRs!C50,"PR!",""))</f>
        <v/>
      </c>
      <c r="M10" s="32" t="n"/>
      <c r="N10" s="34" t="inlineStr">
        <is>
          <t>Leave 1-2 reps in the tank; add weight when you hit the top of the range</t>
        </is>
      </c>
    </row>
    <row r="11">
      <c r="A11" s="26" t="inlineStr">
        <is>
          <t>Day 1 - Heavy</t>
        </is>
      </c>
      <c r="B11" s="27">
        <f>'Start Here'!$B$7+35</f>
        <v/>
      </c>
      <c r="C11" s="29" t="inlineStr">
        <is>
          <t>Face Pull</t>
        </is>
      </c>
      <c r="D11" s="29" t="n">
        <v>3</v>
      </c>
      <c r="E11" s="29" t="inlineStr">
        <is>
          <t>12-15</t>
        </is>
      </c>
      <c r="F11" s="29" t="n"/>
      <c r="G11" s="30" t="n"/>
      <c r="H11" s="31" t="n"/>
      <c r="I11" s="32" t="n"/>
      <c r="J11" s="32" t="n"/>
      <c r="K11" s="29">
        <f>IF(OR(I11="",J11=""),"",IF(J11=1,I11,ROUND(I11*(1+J11/30),1)))</f>
        <v/>
      </c>
      <c r="L11" s="33">
        <f>IF(K11="","",IF(K11&gt;=PRs!C51,"PR!",""))</f>
        <v/>
      </c>
      <c r="M11" s="32" t="n"/>
      <c r="N11" s="34" t="inlineStr">
        <is>
          <t>Leave 1-2 reps in the tank; add weight when you hit the top of the range</t>
        </is>
      </c>
    </row>
    <row r="12">
      <c r="A12" s="26" t="inlineStr">
        <is>
          <t>Day 2 - Light</t>
        </is>
      </c>
      <c r="B12" s="27">
        <f>'Start Here'!$B$7+37</f>
        <v/>
      </c>
      <c r="C12" s="28" t="inlineStr">
        <is>
          <t>Broad Jump</t>
        </is>
      </c>
      <c r="D12" s="29" t="n">
        <v>4</v>
      </c>
      <c r="E12" s="29" t="inlineStr">
        <is>
          <t>3</t>
        </is>
      </c>
      <c r="F12" s="29" t="n"/>
      <c r="G12" s="30" t="n"/>
      <c r="H12" s="31" t="n"/>
      <c r="I12" s="32" t="n"/>
      <c r="J12" s="32" t="n"/>
      <c r="K12" s="29" t="n"/>
      <c r="L12" s="33">
        <f>IF(I12="","",IF(I12&gt;=PRs!D70,"PR!",""))</f>
        <v/>
      </c>
      <c r="M12" s="32" t="n"/>
      <c r="N12" s="34" t="inlineStr">
        <is>
          <t>Two-foot jump for distance, stick the landing. Full reset between reps. Log your best distance</t>
        </is>
      </c>
    </row>
    <row r="13">
      <c r="A13" s="26" t="inlineStr">
        <is>
          <t>Day 2 - Light</t>
        </is>
      </c>
      <c r="B13" s="27">
        <f>'Start Here'!$B$7+37</f>
        <v/>
      </c>
      <c r="C13" s="31" t="inlineStr">
        <is>
          <t>Clean &amp; Jerk</t>
        </is>
      </c>
      <c r="D13" s="29" t="n">
        <v>5</v>
      </c>
      <c r="E13" s="29" t="inlineStr">
        <is>
          <t>2</t>
        </is>
      </c>
      <c r="F13" s="29" t="n">
        <v>80</v>
      </c>
      <c r="G13" s="30">
        <f>Maxes!E7</f>
        <v/>
      </c>
      <c r="H13" s="31">
        <f>IF(OR(G13="",F13=""),"",MROUND(G13*F13/100,'Start Here'!$B$6))</f>
        <v/>
      </c>
      <c r="I13" s="32" t="n"/>
      <c r="J13" s="32" t="n"/>
      <c r="K13" s="29">
        <f>IF(OR(I13="",J13=""),"",IF(J13=1,I13,ROUND(I13*(1+J13/30),1)))</f>
        <v/>
      </c>
      <c r="L13" s="33">
        <f>IF(K13="","",IF(K13&gt;=PRs!C7,"PR!",""))</f>
        <v/>
      </c>
      <c r="M13" s="32" t="n"/>
      <c r="N13" s="34" t="inlineStr"/>
    </row>
    <row r="14">
      <c r="A14" s="26" t="inlineStr">
        <is>
          <t>Day 2 - Light</t>
        </is>
      </c>
      <c r="B14" s="27">
        <f>'Start Here'!$B$7+37</f>
        <v/>
      </c>
      <c r="C14" s="31" t="inlineStr">
        <is>
          <t>Squat</t>
        </is>
      </c>
      <c r="D14" s="29" t="n">
        <v>3</v>
      </c>
      <c r="E14" s="29" t="inlineStr">
        <is>
          <t>6</t>
        </is>
      </c>
      <c r="F14" s="29" t="n">
        <v>67.5</v>
      </c>
      <c r="G14" s="30">
        <f>Maxes!E2</f>
        <v/>
      </c>
      <c r="H14" s="31">
        <f>IF(OR(G14="",F14=""),"",MROUND(G14*F14/100,'Start Here'!$B$6))</f>
        <v/>
      </c>
      <c r="I14" s="32" t="n"/>
      <c r="J14" s="32" t="n"/>
      <c r="K14" s="29">
        <f>IF(OR(I14="",J14=""),"",IF(J14=1,I14,ROUND(I14*(1+J14/30),1)))</f>
        <v/>
      </c>
      <c r="L14" s="33">
        <f>IF(K14="","",IF(K14&gt;=PRs!C2,"PR!",""))</f>
        <v/>
      </c>
      <c r="M14" s="32" t="n"/>
      <c r="N14" s="34" t="inlineStr"/>
    </row>
    <row r="15">
      <c r="A15" s="26" t="inlineStr">
        <is>
          <t>Day 2 - Light</t>
        </is>
      </c>
      <c r="B15" s="27">
        <f>'Start Here'!$B$7+37</f>
        <v/>
      </c>
      <c r="C15" s="31" t="inlineStr">
        <is>
          <t>Overhead Press</t>
        </is>
      </c>
      <c r="D15" s="29" t="n">
        <v>3</v>
      </c>
      <c r="E15" s="29" t="inlineStr">
        <is>
          <t>6</t>
        </is>
      </c>
      <c r="F15" s="29" t="n">
        <v>75</v>
      </c>
      <c r="G15" s="30">
        <f>Maxes!E5</f>
        <v/>
      </c>
      <c r="H15" s="31">
        <f>IF(OR(G15="",F15=""),"",MROUND(G15*F15/100,'Start Here'!$B$6))</f>
        <v/>
      </c>
      <c r="I15" s="32" t="n"/>
      <c r="J15" s="32" t="n"/>
      <c r="K15" s="29">
        <f>IF(OR(I15="",J15=""),"",IF(J15=1,I15,ROUND(I15*(1+J15/30),1)))</f>
        <v/>
      </c>
      <c r="L15" s="33">
        <f>IF(K15="","",IF(K15&gt;=PRs!C5,"PR!",""))</f>
        <v/>
      </c>
      <c r="M15" s="32" t="n"/>
      <c r="N15" s="34" t="inlineStr"/>
    </row>
    <row r="16">
      <c r="A16" s="26" t="inlineStr">
        <is>
          <t>Day 2 - Light</t>
        </is>
      </c>
      <c r="B16" s="27">
        <f>'Start Here'!$B$7+37</f>
        <v/>
      </c>
      <c r="C16" s="31" t="inlineStr">
        <is>
          <t>Deadlift</t>
        </is>
      </c>
      <c r="D16" s="29" t="n">
        <v>3</v>
      </c>
      <c r="E16" s="29" t="inlineStr">
        <is>
          <t>6</t>
        </is>
      </c>
      <c r="F16" s="29" t="n">
        <v>75</v>
      </c>
      <c r="G16" s="30">
        <f>Maxes!E4</f>
        <v/>
      </c>
      <c r="H16" s="31">
        <f>IF(OR(G16="",F16=""),"",MROUND(G16*F16/100,'Start Here'!$B$6))</f>
        <v/>
      </c>
      <c r="I16" s="32" t="n"/>
      <c r="J16" s="32" t="n"/>
      <c r="K16" s="29">
        <f>IF(OR(I16="",J16=""),"",IF(J16=1,I16,ROUND(I16*(1+J16/30),1)))</f>
        <v/>
      </c>
      <c r="L16" s="33">
        <f>IF(K16="","",IF(K16&gt;=PRs!C4,"PR!",""))</f>
        <v/>
      </c>
      <c r="M16" s="32" t="n"/>
      <c r="N16" s="34" t="inlineStr"/>
    </row>
    <row r="17">
      <c r="A17" s="26" t="inlineStr">
        <is>
          <t>Day 2 - Light</t>
        </is>
      </c>
      <c r="B17" s="27">
        <f>'Start Here'!$B$7+37</f>
        <v/>
      </c>
      <c r="C17" s="29" t="inlineStr">
        <is>
          <t>Chin-up</t>
        </is>
      </c>
      <c r="D17" s="29" t="n">
        <v>3</v>
      </c>
      <c r="E17" s="29" t="inlineStr">
        <is>
          <t>6-10</t>
        </is>
      </c>
      <c r="F17" s="29" t="n"/>
      <c r="G17" s="30" t="n"/>
      <c r="H17" s="31" t="n"/>
      <c r="I17" s="32" t="n"/>
      <c r="J17" s="32" t="n"/>
      <c r="K17" s="29">
        <f>IF(OR(I17="",J17=""),"",IF(J17=1,I17,ROUND(I17*(1+J17/30),1)))</f>
        <v/>
      </c>
      <c r="L17" s="33">
        <f>IF(K17="","",IF(K17&gt;=PRs!C53,"PR!",""))</f>
        <v/>
      </c>
      <c r="M17" s="32" t="n"/>
      <c r="N17" s="34" t="inlineStr">
        <is>
          <t>Leave 1-2 reps in the tank; add weight when you hit the top of the range</t>
        </is>
      </c>
    </row>
    <row r="18">
      <c r="A18" s="26" t="inlineStr">
        <is>
          <t>Day 2 - Light</t>
        </is>
      </c>
      <c r="B18" s="27">
        <f>'Start Here'!$B$7+37</f>
        <v/>
      </c>
      <c r="C18" s="29" t="inlineStr">
        <is>
          <t>Plank</t>
        </is>
      </c>
      <c r="D18" s="29" t="n">
        <v>3</v>
      </c>
      <c r="E18" s="29" t="inlineStr">
        <is>
          <t>30-60s</t>
        </is>
      </c>
      <c r="F18" s="29" t="n"/>
      <c r="G18" s="30" t="n"/>
      <c r="H18" s="31" t="n"/>
      <c r="I18" s="32" t="n"/>
      <c r="J18" s="32" t="n"/>
      <c r="K18" s="29">
        <f>IF(OR(I18="",J18=""),"",IF(J18=1,I18,ROUND(I18*(1+J18/30),1)))</f>
        <v/>
      </c>
      <c r="L18" s="33">
        <f>IF(K18="","",IF(K18&gt;=PRs!C56,"PR!",""))</f>
        <v/>
      </c>
      <c r="M18" s="32" t="n"/>
      <c r="N18" s="34" t="inlineStr">
        <is>
          <t>Leave 1-2 reps in the tank; add weight when you hit the top of the range</t>
        </is>
      </c>
    </row>
    <row r="19">
      <c r="A19" s="26" t="inlineStr">
        <is>
          <t>Day 3 - Variations</t>
        </is>
      </c>
      <c r="B19" s="27">
        <f>'Start Here'!$B$7+39</f>
        <v/>
      </c>
      <c r="C19" s="28" t="inlineStr">
        <is>
          <t>Box Jump</t>
        </is>
      </c>
      <c r="D19" s="29" t="n">
        <v>4</v>
      </c>
      <c r="E19" s="29" t="inlineStr">
        <is>
          <t>3</t>
        </is>
      </c>
      <c r="F19" s="29" t="n"/>
      <c r="G19" s="30" t="n"/>
      <c r="H19" s="31">
        <f>IFERROR(IF(PRs!D69&lt;'Start Here'!$H$15,'Start Here'!$H$15,IF(PRs!D69&lt;'Start Here'!$H$16,'Start Here'!$H$16,IF(PRs!D69&lt;'Start Here'!$H$17,'Start Here'!$H$17,IF(PRs!D69&lt;'Start Here'!$H$18,'Start Here'!$H$18,"Elite!")))),"")</f>
        <v/>
      </c>
      <c r="I19" s="32" t="n"/>
      <c r="J19" s="32" t="n"/>
      <c r="K19" s="29" t="n"/>
      <c r="L19" s="33">
        <f>IF(I19="","",IF(I19&gt;=PRs!D69,"PR!",""))</f>
        <v/>
      </c>
      <c r="M19" s="32" t="n"/>
      <c r="N19" s="34" t="inlineStr">
        <is>
          <t>Explode up, land softly, STEP down. Full reset between reps. Log your box height; check the standards</t>
        </is>
      </c>
    </row>
    <row r="20">
      <c r="A20" s="26" t="inlineStr">
        <is>
          <t>Day 3 - Variations</t>
        </is>
      </c>
      <c r="B20" s="27">
        <f>'Start Here'!$B$7+39</f>
        <v/>
      </c>
      <c r="C20" s="31" t="inlineStr">
        <is>
          <t>Power Clean</t>
        </is>
      </c>
      <c r="D20" s="29" t="n">
        <v>4</v>
      </c>
      <c r="E20" s="29" t="inlineStr">
        <is>
          <t>3</t>
        </is>
      </c>
      <c r="F20" s="29" t="n">
        <v>75</v>
      </c>
      <c r="G20" s="30">
        <f>Maxes!E42</f>
        <v/>
      </c>
      <c r="H20" s="31">
        <f>IF(OR(G20="",F20=""),"",MROUND(G20*F20/100,'Start Here'!$B$6))</f>
        <v/>
      </c>
      <c r="I20" s="32" t="n"/>
      <c r="J20" s="32" t="n"/>
      <c r="K20" s="29">
        <f>IF(OR(I20="",J20=""),"",IF(J20=1,I20,ROUND(I20*(1+J20/30),1)))</f>
        <v/>
      </c>
      <c r="L20" s="33">
        <f>IF(K20="","",IF(K20&gt;=PRs!C42,"PR!",""))</f>
        <v/>
      </c>
      <c r="M20" s="32" t="n"/>
      <c r="N20" s="34" t="inlineStr"/>
    </row>
    <row r="21">
      <c r="A21" s="26" t="inlineStr">
        <is>
          <t>Day 3 - Variations</t>
        </is>
      </c>
      <c r="B21" s="27">
        <f>'Start Here'!$B$7+39</f>
        <v/>
      </c>
      <c r="C21" s="31" t="inlineStr">
        <is>
          <t>Pause Squat</t>
        </is>
      </c>
      <c r="D21" s="29" t="n">
        <v>3</v>
      </c>
      <c r="E21" s="29" t="inlineStr">
        <is>
          <t>6</t>
        </is>
      </c>
      <c r="F21" s="29" t="n">
        <v>75</v>
      </c>
      <c r="G21" s="30">
        <f>Maxes!E9</f>
        <v/>
      </c>
      <c r="H21" s="31">
        <f>IF(OR(G21="",F21=""),"",MROUND(G21*F21/100,'Start Here'!$B$6))</f>
        <v/>
      </c>
      <c r="I21" s="32" t="n"/>
      <c r="J21" s="32" t="n"/>
      <c r="K21" s="29">
        <f>IF(OR(I21="",J21=""),"",IF(J21=1,I21,ROUND(I21*(1+J21/30),1)))</f>
        <v/>
      </c>
      <c r="L21" s="33">
        <f>IF(K21="","",IF(K21&gt;=PRs!C9,"PR!",""))</f>
        <v/>
      </c>
      <c r="M21" s="32" t="n"/>
      <c r="N21" s="34" t="inlineStr"/>
    </row>
    <row r="22">
      <c r="A22" s="26" t="inlineStr">
        <is>
          <t>Day 3 - Variations</t>
        </is>
      </c>
      <c r="B22" s="27">
        <f>'Start Here'!$B$7+39</f>
        <v/>
      </c>
      <c r="C22" s="31" t="inlineStr">
        <is>
          <t>2-Board Press</t>
        </is>
      </c>
      <c r="D22" s="29" t="n">
        <v>3</v>
      </c>
      <c r="E22" s="29" t="inlineStr">
        <is>
          <t>6</t>
        </is>
      </c>
      <c r="F22" s="29" t="n">
        <v>75</v>
      </c>
      <c r="G22" s="30">
        <f>Maxes!E16</f>
        <v/>
      </c>
      <c r="H22" s="31">
        <f>IF(OR(G22="",F22=""),"",MROUND(G22*F22/100,'Start Here'!$B$6))</f>
        <v/>
      </c>
      <c r="I22" s="32" t="n"/>
      <c r="J22" s="32" t="n"/>
      <c r="K22" s="29">
        <f>IF(OR(I22="",J22=""),"",IF(J22=1,I22,ROUND(I22*(1+J22/30),1)))</f>
        <v/>
      </c>
      <c r="L22" s="33">
        <f>IF(K22="","",IF(K22&gt;=PRs!C16,"PR!",""))</f>
        <v/>
      </c>
      <c r="M22" s="32" t="n"/>
      <c r="N22" s="34" t="inlineStr"/>
    </row>
    <row r="23">
      <c r="A23" s="26" t="inlineStr">
        <is>
          <t>Day 3 - Variations</t>
        </is>
      </c>
      <c r="B23" s="27">
        <f>'Start Here'!$B$7+39</f>
        <v/>
      </c>
      <c r="C23" s="31" t="inlineStr">
        <is>
          <t>Deficit Deadlift</t>
        </is>
      </c>
      <c r="D23" s="29" t="n">
        <v>3</v>
      </c>
      <c r="E23" s="29" t="inlineStr">
        <is>
          <t>6</t>
        </is>
      </c>
      <c r="F23" s="29" t="n">
        <v>67.5</v>
      </c>
      <c r="G23" s="30">
        <f>Maxes!E24</f>
        <v/>
      </c>
      <c r="H23" s="31">
        <f>IF(OR(G23="",F23=""),"",MROUND(G23*F23/100,'Start Here'!$B$6))</f>
        <v/>
      </c>
      <c r="I23" s="32" t="n"/>
      <c r="J23" s="32" t="n"/>
      <c r="K23" s="29">
        <f>IF(OR(I23="",J23=""),"",IF(J23=1,I23,ROUND(I23*(1+J23/30),1)))</f>
        <v/>
      </c>
      <c r="L23" s="33">
        <f>IF(K23="","",IF(K23&gt;=PRs!C24,"PR!",""))</f>
        <v/>
      </c>
      <c r="M23" s="32" t="n"/>
      <c r="N23" s="34" t="inlineStr"/>
    </row>
    <row r="24">
      <c r="A24" s="26" t="inlineStr">
        <is>
          <t>Day 3 - Variations</t>
        </is>
      </c>
      <c r="B24" s="27">
        <f>'Start Here'!$B$7+39</f>
        <v/>
      </c>
      <c r="C24" s="29" t="inlineStr">
        <is>
          <t>Incline Dumbbell Press</t>
        </is>
      </c>
      <c r="D24" s="29" t="n">
        <v>3</v>
      </c>
      <c r="E24" s="29" t="inlineStr">
        <is>
          <t>8-12</t>
        </is>
      </c>
      <c r="F24" s="29" t="n"/>
      <c r="G24" s="30" t="n"/>
      <c r="H24" s="31" t="n"/>
      <c r="I24" s="32" t="n"/>
      <c r="J24" s="32" t="n"/>
      <c r="K24" s="29">
        <f>IF(OR(I24="",J24=""),"",IF(J24=1,I24,ROUND(I24*(1+J24/30),1)))</f>
        <v/>
      </c>
      <c r="L24" s="33">
        <f>IF(K24="","",IF(K24&gt;=PRs!C57,"PR!",""))</f>
        <v/>
      </c>
      <c r="M24" s="32" t="n"/>
      <c r="N24" s="34" t="inlineStr">
        <is>
          <t>Leave 1-2 reps in the tank; add weight when you hit the top of the range</t>
        </is>
      </c>
    </row>
    <row r="25">
      <c r="A25" s="26" t="inlineStr">
        <is>
          <t>Day 3 - Variations</t>
        </is>
      </c>
      <c r="B25" s="27">
        <f>'Start Here'!$B$7+39</f>
        <v/>
      </c>
      <c r="C25" s="29" t="inlineStr">
        <is>
          <t>Triceps Pushdown</t>
        </is>
      </c>
      <c r="D25" s="29" t="n">
        <v>3</v>
      </c>
      <c r="E25" s="29" t="inlineStr">
        <is>
          <t>10-15</t>
        </is>
      </c>
      <c r="F25" s="29" t="n"/>
      <c r="G25" s="30" t="n"/>
      <c r="H25" s="31" t="n"/>
      <c r="I25" s="32" t="n"/>
      <c r="J25" s="32" t="n"/>
      <c r="K25" s="29">
        <f>IF(OR(I25="",J25=""),"",IF(J25=1,I25,ROUND(I25*(1+J25/30),1)))</f>
        <v/>
      </c>
      <c r="L25" s="33">
        <f>IF(K25="","",IF(K25&gt;=PRs!C59,"PR!",""))</f>
        <v/>
      </c>
      <c r="M25" s="32" t="n"/>
      <c r="N25" s="34" t="inlineStr">
        <is>
          <t>Leave 1-2 reps in the tank; add weight when you hit the top of the range</t>
        </is>
      </c>
    </row>
  </sheetData>
  <hyperlinks>
    <hyperlink xmlns:r="http://schemas.openxmlformats.org/officeDocument/2006/relationships" ref="A2" r:id="rId1"/>
    <hyperlink xmlns:r="http://schemas.openxmlformats.org/officeDocument/2006/relationships" ref="C2" r:id="rId2"/>
    <hyperlink xmlns:r="http://schemas.openxmlformats.org/officeDocument/2006/relationships" ref="E2" r:id="rId3"/>
  </hyperlinks>
  <pageMargins left="0.75" right="0.75" top="1" bottom="1" header="0.5" footer="0.5"/>
  <pageSetup orientation="landscape" fitToHeight="0" fitToWidth="1"/>
</worksheet>
</file>

<file path=xl/worksheets/sheet9.xml><?xml version="1.0" encoding="utf-8"?>
<worksheet xmlns="http://schemas.openxmlformats.org/spreadsheetml/2006/main">
  <sheetPr>
    <tabColor rgb="00FCE9D2"/>
    <outlinePr summaryBelow="1" summaryRight="1"/>
    <pageSetUpPr fitToPage="1"/>
  </sheetPr>
  <dimension ref="A1:N25"/>
  <sheetViews>
    <sheetView workbookViewId="0">
      <pane xSplit="3" ySplit="5" topLeftCell="D6" activePane="bottomRight" state="frozen"/>
      <selection pane="topRight"/>
      <selection pane="bottomLeft"/>
      <selection pane="bottomRight" activeCell="A1" sqref="A1"/>
    </sheetView>
  </sheetViews>
  <sheetFormatPr baseColWidth="8" defaultRowHeight="15"/>
  <cols>
    <col width="17" customWidth="1" min="1" max="1"/>
    <col width="11" customWidth="1" min="2" max="2"/>
    <col width="24" customWidth="1" min="3" max="3"/>
    <col width="5" customWidth="1" min="4" max="4"/>
    <col width="6" customWidth="1" min="5" max="5"/>
    <col width="6" customWidth="1" min="6" max="6"/>
    <col width="9" customWidth="1" min="7" max="7"/>
    <col width="10" customWidth="1" min="8" max="8"/>
    <col width="13" customWidth="1" min="9" max="9"/>
    <col width="8" customWidth="1" min="10" max="10"/>
    <col width="9" customWidth="1" min="11" max="11"/>
    <col width="5" customWidth="1" min="12" max="12"/>
    <col width="22" customWidth="1" min="13" max="13"/>
    <col width="62" customWidth="1" min="14" max="14"/>
  </cols>
  <sheetData>
    <row r="1">
      <c r="A1" s="24" t="inlineStr">
        <is>
          <t>Week 7 - Cycle 1 - Transmutation</t>
        </is>
      </c>
    </row>
    <row r="2">
      <c r="A2" s="25" t="inlineStr">
        <is>
          <t>&lt; Week 06</t>
        </is>
      </c>
      <c r="C2" s="25" t="inlineStr">
        <is>
          <t>Start Here</t>
        </is>
      </c>
      <c r="E2" s="25" t="inlineStr">
        <is>
          <t>Week 08 &gt;</t>
        </is>
      </c>
    </row>
    <row r="3">
      <c r="A3" s="10" t="inlineStr">
        <is>
          <t>Bodyweight this week</t>
        </is>
      </c>
      <c r="C3" s="4" t="n"/>
      <c r="D3" t="inlineStr">
        <is>
          <t>Weigh in once this week: same morning routine, before eating.</t>
        </is>
      </c>
    </row>
    <row r="5">
      <c r="A5" s="5" t="inlineStr">
        <is>
          <t>Day</t>
        </is>
      </c>
      <c r="B5" s="5" t="inlineStr">
        <is>
          <t>Date</t>
        </is>
      </c>
      <c r="C5" s="5" t="inlineStr">
        <is>
          <t>Exercise</t>
        </is>
      </c>
      <c r="D5" s="5" t="inlineStr">
        <is>
          <t>Sets</t>
        </is>
      </c>
      <c r="E5" s="5" t="inlineStr">
        <is>
          <t>Reps</t>
        </is>
      </c>
      <c r="F5" s="5" t="inlineStr">
        <is>
          <t>% TM</t>
        </is>
      </c>
      <c r="G5" s="5" t="inlineStr">
        <is>
          <t>Training max</t>
        </is>
      </c>
      <c r="H5" s="5" t="inlineStr">
        <is>
          <t>Weight / target</t>
        </is>
      </c>
      <c r="I5" s="5" t="inlineStr">
        <is>
          <t>Actual (weight, height or distance)</t>
        </is>
      </c>
      <c r="J5" s="5" t="inlineStr">
        <is>
          <t>Actual reps</t>
        </is>
      </c>
      <c r="K5" s="5" t="inlineStr">
        <is>
          <t>Est. 1RM</t>
        </is>
      </c>
      <c r="L5" s="5" t="inlineStr">
        <is>
          <t>PR</t>
        </is>
      </c>
      <c r="M5" s="5" t="inlineStr">
        <is>
          <t>Notes</t>
        </is>
      </c>
      <c r="N5" s="5" t="inlineStr">
        <is>
          <t>Guidance</t>
        </is>
      </c>
    </row>
    <row r="6">
      <c r="A6" s="26" t="inlineStr">
        <is>
          <t>Day 1 - Heavy</t>
        </is>
      </c>
      <c r="B6" s="27">
        <f>'Start Here'!$B$7+42</f>
        <v/>
      </c>
      <c r="C6" s="28" t="inlineStr">
        <is>
          <t>Box Jump</t>
        </is>
      </c>
      <c r="D6" s="29" t="n">
        <v>4</v>
      </c>
      <c r="E6" s="29" t="inlineStr">
        <is>
          <t>3</t>
        </is>
      </c>
      <c r="F6" s="29" t="n"/>
      <c r="G6" s="30" t="n"/>
      <c r="H6" s="31">
        <f>IFERROR(IF(PRs!D69&lt;'Start Here'!$H$15,'Start Here'!$H$15,IF(PRs!D69&lt;'Start Here'!$H$16,'Start Here'!$H$16,IF(PRs!D69&lt;'Start Here'!$H$17,'Start Here'!$H$17,IF(PRs!D69&lt;'Start Here'!$H$18,'Start Here'!$H$18,"Elite!")))),"")</f>
        <v/>
      </c>
      <c r="I6" s="32" t="n"/>
      <c r="J6" s="32" t="n"/>
      <c r="K6" s="29" t="n"/>
      <c r="L6" s="33">
        <f>IF(I6="","",IF(I6&gt;=PRs!D69,"PR!",""))</f>
        <v/>
      </c>
      <c r="M6" s="32" t="n"/>
      <c r="N6" s="34" t="inlineStr">
        <is>
          <t>Explode up, land softly, STEP down. Full reset between reps. Log your box height; check the standards</t>
        </is>
      </c>
    </row>
    <row r="7">
      <c r="A7" s="26" t="inlineStr">
        <is>
          <t>Day 1 - Heavy</t>
        </is>
      </c>
      <c r="B7" s="27">
        <f>'Start Here'!$B$7+42</f>
        <v/>
      </c>
      <c r="C7" s="31" t="inlineStr">
        <is>
          <t>Snatch</t>
        </is>
      </c>
      <c r="D7" s="29" t="n">
        <v>5</v>
      </c>
      <c r="E7" s="29" t="inlineStr">
        <is>
          <t>2</t>
        </is>
      </c>
      <c r="F7" s="29" t="n">
        <v>82.5</v>
      </c>
      <c r="G7" s="30">
        <f>Maxes!E6</f>
        <v/>
      </c>
      <c r="H7" s="31">
        <f>IF(OR(G7="",F7=""),"",MROUND(G7*F7/100,'Start Here'!$B$6))</f>
        <v/>
      </c>
      <c r="I7" s="32" t="n"/>
      <c r="J7" s="32" t="n"/>
      <c r="K7" s="29">
        <f>IF(OR(I7="",J7=""),"",IF(J7=1,I7,ROUND(I7*(1+J7/30),1)))</f>
        <v/>
      </c>
      <c r="L7" s="33">
        <f>IF(K7="","",IF(K7&gt;=PRs!C6,"PR!",""))</f>
        <v/>
      </c>
      <c r="M7" s="32" t="n"/>
      <c r="N7" s="34" t="inlineStr"/>
    </row>
    <row r="8">
      <c r="A8" s="26" t="inlineStr">
        <is>
          <t>Day 1 - Heavy</t>
        </is>
      </c>
      <c r="B8" s="27">
        <f>'Start Here'!$B$7+42</f>
        <v/>
      </c>
      <c r="C8" s="31" t="inlineStr">
        <is>
          <t>Squat</t>
        </is>
      </c>
      <c r="D8" s="29" t="n">
        <v>4</v>
      </c>
      <c r="E8" s="29" t="inlineStr">
        <is>
          <t>4</t>
        </is>
      </c>
      <c r="F8" s="29" t="n">
        <v>82.5</v>
      </c>
      <c r="G8" s="30">
        <f>Maxes!E2</f>
        <v/>
      </c>
      <c r="H8" s="31">
        <f>IF(OR(G8="",F8=""),"",MROUND(G8*F8/100,'Start Here'!$B$6))</f>
        <v/>
      </c>
      <c r="I8" s="32" t="n"/>
      <c r="J8" s="32" t="n"/>
      <c r="K8" s="29">
        <f>IF(OR(I8="",J8=""),"",IF(J8=1,I8,ROUND(I8*(1+J8/30),1)))</f>
        <v/>
      </c>
      <c r="L8" s="33">
        <f>IF(K8="","",IF(K8&gt;=PRs!C2,"PR!",""))</f>
        <v/>
      </c>
      <c r="M8" s="32" t="n"/>
      <c r="N8" s="34" t="inlineStr"/>
    </row>
    <row r="9">
      <c r="A9" s="26" t="inlineStr">
        <is>
          <t>Day 1 - Heavy</t>
        </is>
      </c>
      <c r="B9" s="27">
        <f>'Start Here'!$B$7+42</f>
        <v/>
      </c>
      <c r="C9" s="31" t="inlineStr">
        <is>
          <t>Bench Press</t>
        </is>
      </c>
      <c r="D9" s="29" t="n">
        <v>4</v>
      </c>
      <c r="E9" s="29" t="inlineStr">
        <is>
          <t>4</t>
        </is>
      </c>
      <c r="F9" s="29" t="n">
        <v>82.5</v>
      </c>
      <c r="G9" s="30">
        <f>Maxes!E3</f>
        <v/>
      </c>
      <c r="H9" s="31">
        <f>IF(OR(G9="",F9=""),"",MROUND(G9*F9/100,'Start Here'!$B$6))</f>
        <v/>
      </c>
      <c r="I9" s="32" t="n"/>
      <c r="J9" s="32" t="n"/>
      <c r="K9" s="29">
        <f>IF(OR(I9="",J9=""),"",IF(J9=1,I9,ROUND(I9*(1+J9/30),1)))</f>
        <v/>
      </c>
      <c r="L9" s="33">
        <f>IF(K9="","",IF(K9&gt;=PRs!C3,"PR!",""))</f>
        <v/>
      </c>
      <c r="M9" s="32" t="n"/>
      <c r="N9" s="34" t="inlineStr"/>
    </row>
    <row r="10">
      <c r="A10" s="26" t="inlineStr">
        <is>
          <t>Day 1 - Heavy</t>
        </is>
      </c>
      <c r="B10" s="27">
        <f>'Start Here'!$B$7+42</f>
        <v/>
      </c>
      <c r="C10" s="29" t="inlineStr">
        <is>
          <t>Barbell Row</t>
        </is>
      </c>
      <c r="D10" s="29" t="n">
        <v>3</v>
      </c>
      <c r="E10" s="29" t="inlineStr">
        <is>
          <t>8-10</t>
        </is>
      </c>
      <c r="F10" s="29" t="n"/>
      <c r="G10" s="30" t="n"/>
      <c r="H10" s="31" t="n"/>
      <c r="I10" s="32" t="n"/>
      <c r="J10" s="32" t="n"/>
      <c r="K10" s="29">
        <f>IF(OR(I10="",J10=""),"",IF(J10=1,I10,ROUND(I10*(1+J10/30),1)))</f>
        <v/>
      </c>
      <c r="L10" s="33">
        <f>IF(K10="","",IF(K10&gt;=PRs!C50,"PR!",""))</f>
        <v/>
      </c>
      <c r="M10" s="32" t="n"/>
      <c r="N10" s="34" t="inlineStr">
        <is>
          <t>Leave 1-2 reps in the tank; add weight when you hit the top of the range</t>
        </is>
      </c>
    </row>
    <row r="11">
      <c r="A11" s="26" t="inlineStr">
        <is>
          <t>Day 1 - Heavy</t>
        </is>
      </c>
      <c r="B11" s="27">
        <f>'Start Here'!$B$7+42</f>
        <v/>
      </c>
      <c r="C11" s="29" t="inlineStr">
        <is>
          <t>Face Pull</t>
        </is>
      </c>
      <c r="D11" s="29" t="n">
        <v>3</v>
      </c>
      <c r="E11" s="29" t="inlineStr">
        <is>
          <t>12-15</t>
        </is>
      </c>
      <c r="F11" s="29" t="n"/>
      <c r="G11" s="30" t="n"/>
      <c r="H11" s="31" t="n"/>
      <c r="I11" s="32" t="n"/>
      <c r="J11" s="32" t="n"/>
      <c r="K11" s="29">
        <f>IF(OR(I11="",J11=""),"",IF(J11=1,I11,ROUND(I11*(1+J11/30),1)))</f>
        <v/>
      </c>
      <c r="L11" s="33">
        <f>IF(K11="","",IF(K11&gt;=PRs!C51,"PR!",""))</f>
        <v/>
      </c>
      <c r="M11" s="32" t="n"/>
      <c r="N11" s="34" t="inlineStr">
        <is>
          <t>Leave 1-2 reps in the tank; add weight when you hit the top of the range</t>
        </is>
      </c>
    </row>
    <row r="12">
      <c r="A12" s="26" t="inlineStr">
        <is>
          <t>Day 2 - Light</t>
        </is>
      </c>
      <c r="B12" s="27">
        <f>'Start Here'!$B$7+44</f>
        <v/>
      </c>
      <c r="C12" s="28" t="inlineStr">
        <is>
          <t>Broad Jump</t>
        </is>
      </c>
      <c r="D12" s="29" t="n">
        <v>4</v>
      </c>
      <c r="E12" s="29" t="inlineStr">
        <is>
          <t>3</t>
        </is>
      </c>
      <c r="F12" s="29" t="n"/>
      <c r="G12" s="30" t="n"/>
      <c r="H12" s="31" t="n"/>
      <c r="I12" s="32" t="n"/>
      <c r="J12" s="32" t="n"/>
      <c r="K12" s="29" t="n"/>
      <c r="L12" s="33">
        <f>IF(I12="","",IF(I12&gt;=PRs!D70,"PR!",""))</f>
        <v/>
      </c>
      <c r="M12" s="32" t="n"/>
      <c r="N12" s="34" t="inlineStr">
        <is>
          <t>Two-foot jump for distance, stick the landing. Full reset between reps. Log your best distance</t>
        </is>
      </c>
    </row>
    <row r="13">
      <c r="A13" s="26" t="inlineStr">
        <is>
          <t>Day 2 - Light</t>
        </is>
      </c>
      <c r="B13" s="27">
        <f>'Start Here'!$B$7+44</f>
        <v/>
      </c>
      <c r="C13" s="31" t="inlineStr">
        <is>
          <t>Clean &amp; Jerk</t>
        </is>
      </c>
      <c r="D13" s="29" t="n">
        <v>5</v>
      </c>
      <c r="E13" s="29" t="inlineStr">
        <is>
          <t>2</t>
        </is>
      </c>
      <c r="F13" s="29" t="n">
        <v>82.5</v>
      </c>
      <c r="G13" s="30">
        <f>Maxes!E7</f>
        <v/>
      </c>
      <c r="H13" s="31">
        <f>IF(OR(G13="",F13=""),"",MROUND(G13*F13/100,'Start Here'!$B$6))</f>
        <v/>
      </c>
      <c r="I13" s="32" t="n"/>
      <c r="J13" s="32" t="n"/>
      <c r="K13" s="29">
        <f>IF(OR(I13="",J13=""),"",IF(J13=1,I13,ROUND(I13*(1+J13/30),1)))</f>
        <v/>
      </c>
      <c r="L13" s="33">
        <f>IF(K13="","",IF(K13&gt;=PRs!C7,"PR!",""))</f>
        <v/>
      </c>
      <c r="M13" s="32" t="n"/>
      <c r="N13" s="34" t="inlineStr"/>
    </row>
    <row r="14">
      <c r="A14" s="26" t="inlineStr">
        <is>
          <t>Day 2 - Light</t>
        </is>
      </c>
      <c r="B14" s="27">
        <f>'Start Here'!$B$7+44</f>
        <v/>
      </c>
      <c r="C14" s="31" t="inlineStr">
        <is>
          <t>Squat</t>
        </is>
      </c>
      <c r="D14" s="29" t="n">
        <v>3</v>
      </c>
      <c r="E14" s="29" t="inlineStr">
        <is>
          <t>6</t>
        </is>
      </c>
      <c r="F14" s="29" t="n">
        <v>70</v>
      </c>
      <c r="G14" s="30">
        <f>Maxes!E2</f>
        <v/>
      </c>
      <c r="H14" s="31">
        <f>IF(OR(G14="",F14=""),"",MROUND(G14*F14/100,'Start Here'!$B$6))</f>
        <v/>
      </c>
      <c r="I14" s="32" t="n"/>
      <c r="J14" s="32" t="n"/>
      <c r="K14" s="29">
        <f>IF(OR(I14="",J14=""),"",IF(J14=1,I14,ROUND(I14*(1+J14/30),1)))</f>
        <v/>
      </c>
      <c r="L14" s="33">
        <f>IF(K14="","",IF(K14&gt;=PRs!C2,"PR!",""))</f>
        <v/>
      </c>
      <c r="M14" s="32" t="n"/>
      <c r="N14" s="34" t="inlineStr"/>
    </row>
    <row r="15">
      <c r="A15" s="26" t="inlineStr">
        <is>
          <t>Day 2 - Light</t>
        </is>
      </c>
      <c r="B15" s="27">
        <f>'Start Here'!$B$7+44</f>
        <v/>
      </c>
      <c r="C15" s="31" t="inlineStr">
        <is>
          <t>Overhead Press</t>
        </is>
      </c>
      <c r="D15" s="29" t="n">
        <v>3</v>
      </c>
      <c r="E15" s="29" t="inlineStr">
        <is>
          <t>6</t>
        </is>
      </c>
      <c r="F15" s="29" t="n">
        <v>77.5</v>
      </c>
      <c r="G15" s="30">
        <f>Maxes!E5</f>
        <v/>
      </c>
      <c r="H15" s="31">
        <f>IF(OR(G15="",F15=""),"",MROUND(G15*F15/100,'Start Here'!$B$6))</f>
        <v/>
      </c>
      <c r="I15" s="32" t="n"/>
      <c r="J15" s="32" t="n"/>
      <c r="K15" s="29">
        <f>IF(OR(I15="",J15=""),"",IF(J15=1,I15,ROUND(I15*(1+J15/30),1)))</f>
        <v/>
      </c>
      <c r="L15" s="33">
        <f>IF(K15="","",IF(K15&gt;=PRs!C5,"PR!",""))</f>
        <v/>
      </c>
      <c r="M15" s="32" t="n"/>
      <c r="N15" s="34" t="inlineStr"/>
    </row>
    <row r="16">
      <c r="A16" s="26" t="inlineStr">
        <is>
          <t>Day 2 - Light</t>
        </is>
      </c>
      <c r="B16" s="27">
        <f>'Start Here'!$B$7+44</f>
        <v/>
      </c>
      <c r="C16" s="31" t="inlineStr">
        <is>
          <t>Deadlift</t>
        </is>
      </c>
      <c r="D16" s="29" t="n">
        <v>3</v>
      </c>
      <c r="E16" s="29" t="inlineStr">
        <is>
          <t>6</t>
        </is>
      </c>
      <c r="F16" s="29" t="n">
        <v>77.5</v>
      </c>
      <c r="G16" s="30">
        <f>Maxes!E4</f>
        <v/>
      </c>
      <c r="H16" s="31">
        <f>IF(OR(G16="",F16=""),"",MROUND(G16*F16/100,'Start Here'!$B$6))</f>
        <v/>
      </c>
      <c r="I16" s="32" t="n"/>
      <c r="J16" s="32" t="n"/>
      <c r="K16" s="29">
        <f>IF(OR(I16="",J16=""),"",IF(J16=1,I16,ROUND(I16*(1+J16/30),1)))</f>
        <v/>
      </c>
      <c r="L16" s="33">
        <f>IF(K16="","",IF(K16&gt;=PRs!C4,"PR!",""))</f>
        <v/>
      </c>
      <c r="M16" s="32" t="n"/>
      <c r="N16" s="34" t="inlineStr"/>
    </row>
    <row r="17">
      <c r="A17" s="26" t="inlineStr">
        <is>
          <t>Day 2 - Light</t>
        </is>
      </c>
      <c r="B17" s="27">
        <f>'Start Here'!$B$7+44</f>
        <v/>
      </c>
      <c r="C17" s="29" t="inlineStr">
        <is>
          <t>Chin-up</t>
        </is>
      </c>
      <c r="D17" s="29" t="n">
        <v>3</v>
      </c>
      <c r="E17" s="29" t="inlineStr">
        <is>
          <t>6-10</t>
        </is>
      </c>
      <c r="F17" s="29" t="n"/>
      <c r="G17" s="30" t="n"/>
      <c r="H17" s="31" t="n"/>
      <c r="I17" s="32" t="n"/>
      <c r="J17" s="32" t="n"/>
      <c r="K17" s="29">
        <f>IF(OR(I17="",J17=""),"",IF(J17=1,I17,ROUND(I17*(1+J17/30),1)))</f>
        <v/>
      </c>
      <c r="L17" s="33">
        <f>IF(K17="","",IF(K17&gt;=PRs!C53,"PR!",""))</f>
        <v/>
      </c>
      <c r="M17" s="32" t="n"/>
      <c r="N17" s="34" t="inlineStr">
        <is>
          <t>Leave 1-2 reps in the tank; add weight when you hit the top of the range</t>
        </is>
      </c>
    </row>
    <row r="18">
      <c r="A18" s="26" t="inlineStr">
        <is>
          <t>Day 2 - Light</t>
        </is>
      </c>
      <c r="B18" s="27">
        <f>'Start Here'!$B$7+44</f>
        <v/>
      </c>
      <c r="C18" s="29" t="inlineStr">
        <is>
          <t>Plank</t>
        </is>
      </c>
      <c r="D18" s="29" t="n">
        <v>3</v>
      </c>
      <c r="E18" s="29" t="inlineStr">
        <is>
          <t>30-60s</t>
        </is>
      </c>
      <c r="F18" s="29" t="n"/>
      <c r="G18" s="30" t="n"/>
      <c r="H18" s="31" t="n"/>
      <c r="I18" s="32" t="n"/>
      <c r="J18" s="32" t="n"/>
      <c r="K18" s="29">
        <f>IF(OR(I18="",J18=""),"",IF(J18=1,I18,ROUND(I18*(1+J18/30),1)))</f>
        <v/>
      </c>
      <c r="L18" s="33">
        <f>IF(K18="","",IF(K18&gt;=PRs!C56,"PR!",""))</f>
        <v/>
      </c>
      <c r="M18" s="32" t="n"/>
      <c r="N18" s="34" t="inlineStr">
        <is>
          <t>Leave 1-2 reps in the tank; add weight when you hit the top of the range</t>
        </is>
      </c>
    </row>
    <row r="19">
      <c r="A19" s="26" t="inlineStr">
        <is>
          <t>Day 3 - Variations</t>
        </is>
      </c>
      <c r="B19" s="27">
        <f>'Start Here'!$B$7+46</f>
        <v/>
      </c>
      <c r="C19" s="28" t="inlineStr">
        <is>
          <t>Box Jump</t>
        </is>
      </c>
      <c r="D19" s="29" t="n">
        <v>4</v>
      </c>
      <c r="E19" s="29" t="inlineStr">
        <is>
          <t>3</t>
        </is>
      </c>
      <c r="F19" s="29" t="n"/>
      <c r="G19" s="30" t="n"/>
      <c r="H19" s="31">
        <f>IFERROR(IF(PRs!D69&lt;'Start Here'!$H$15,'Start Here'!$H$15,IF(PRs!D69&lt;'Start Here'!$H$16,'Start Here'!$H$16,IF(PRs!D69&lt;'Start Here'!$H$17,'Start Here'!$H$17,IF(PRs!D69&lt;'Start Here'!$H$18,'Start Here'!$H$18,"Elite!")))),"")</f>
        <v/>
      </c>
      <c r="I19" s="32" t="n"/>
      <c r="J19" s="32" t="n"/>
      <c r="K19" s="29" t="n"/>
      <c r="L19" s="33">
        <f>IF(I19="","",IF(I19&gt;=PRs!D69,"PR!",""))</f>
        <v/>
      </c>
      <c r="M19" s="32" t="n"/>
      <c r="N19" s="34" t="inlineStr">
        <is>
          <t>Explode up, land softly, STEP down. Full reset between reps. Log your box height; check the standards</t>
        </is>
      </c>
    </row>
    <row r="20">
      <c r="A20" s="26" t="inlineStr">
        <is>
          <t>Day 3 - Variations</t>
        </is>
      </c>
      <c r="B20" s="27">
        <f>'Start Here'!$B$7+46</f>
        <v/>
      </c>
      <c r="C20" s="31" t="inlineStr">
        <is>
          <t>Power Clean</t>
        </is>
      </c>
      <c r="D20" s="29" t="n">
        <v>4</v>
      </c>
      <c r="E20" s="29" t="inlineStr">
        <is>
          <t>3</t>
        </is>
      </c>
      <c r="F20" s="29" t="n">
        <v>77.5</v>
      </c>
      <c r="G20" s="30">
        <f>Maxes!E42</f>
        <v/>
      </c>
      <c r="H20" s="31">
        <f>IF(OR(G20="",F20=""),"",MROUND(G20*F20/100,'Start Here'!$B$6))</f>
        <v/>
      </c>
      <c r="I20" s="32" t="n"/>
      <c r="J20" s="32" t="n"/>
      <c r="K20" s="29">
        <f>IF(OR(I20="",J20=""),"",IF(J20=1,I20,ROUND(I20*(1+J20/30),1)))</f>
        <v/>
      </c>
      <c r="L20" s="33">
        <f>IF(K20="","",IF(K20&gt;=PRs!C42,"PR!",""))</f>
        <v/>
      </c>
      <c r="M20" s="32" t="n"/>
      <c r="N20" s="34" t="inlineStr"/>
    </row>
    <row r="21">
      <c r="A21" s="26" t="inlineStr">
        <is>
          <t>Day 3 - Variations</t>
        </is>
      </c>
      <c r="B21" s="27">
        <f>'Start Here'!$B$7+46</f>
        <v/>
      </c>
      <c r="C21" s="31" t="inlineStr">
        <is>
          <t>Pause Squat</t>
        </is>
      </c>
      <c r="D21" s="29" t="n">
        <v>3</v>
      </c>
      <c r="E21" s="29" t="inlineStr">
        <is>
          <t>6</t>
        </is>
      </c>
      <c r="F21" s="29" t="n">
        <v>77.5</v>
      </c>
      <c r="G21" s="30">
        <f>Maxes!E9</f>
        <v/>
      </c>
      <c r="H21" s="31">
        <f>IF(OR(G21="",F21=""),"",MROUND(G21*F21/100,'Start Here'!$B$6))</f>
        <v/>
      </c>
      <c r="I21" s="32" t="n"/>
      <c r="J21" s="32" t="n"/>
      <c r="K21" s="29">
        <f>IF(OR(I21="",J21=""),"",IF(J21=1,I21,ROUND(I21*(1+J21/30),1)))</f>
        <v/>
      </c>
      <c r="L21" s="33">
        <f>IF(K21="","",IF(K21&gt;=PRs!C9,"PR!",""))</f>
        <v/>
      </c>
      <c r="M21" s="32" t="n"/>
      <c r="N21" s="34" t="inlineStr"/>
    </row>
    <row r="22">
      <c r="A22" s="26" t="inlineStr">
        <is>
          <t>Day 3 - Variations</t>
        </is>
      </c>
      <c r="B22" s="27">
        <f>'Start Here'!$B$7+46</f>
        <v/>
      </c>
      <c r="C22" s="31" t="inlineStr">
        <is>
          <t>2-Board Press</t>
        </is>
      </c>
      <c r="D22" s="29" t="n">
        <v>3</v>
      </c>
      <c r="E22" s="29" t="inlineStr">
        <is>
          <t>6</t>
        </is>
      </c>
      <c r="F22" s="29" t="n">
        <v>77.5</v>
      </c>
      <c r="G22" s="30">
        <f>Maxes!E16</f>
        <v/>
      </c>
      <c r="H22" s="31">
        <f>IF(OR(G22="",F22=""),"",MROUND(G22*F22/100,'Start Here'!$B$6))</f>
        <v/>
      </c>
      <c r="I22" s="32" t="n"/>
      <c r="J22" s="32" t="n"/>
      <c r="K22" s="29">
        <f>IF(OR(I22="",J22=""),"",IF(J22=1,I22,ROUND(I22*(1+J22/30),1)))</f>
        <v/>
      </c>
      <c r="L22" s="33">
        <f>IF(K22="","",IF(K22&gt;=PRs!C16,"PR!",""))</f>
        <v/>
      </c>
      <c r="M22" s="32" t="n"/>
      <c r="N22" s="34" t="inlineStr"/>
    </row>
    <row r="23">
      <c r="A23" s="26" t="inlineStr">
        <is>
          <t>Day 3 - Variations</t>
        </is>
      </c>
      <c r="B23" s="27">
        <f>'Start Here'!$B$7+46</f>
        <v/>
      </c>
      <c r="C23" s="31" t="inlineStr">
        <is>
          <t>Deficit Deadlift</t>
        </is>
      </c>
      <c r="D23" s="29" t="n">
        <v>3</v>
      </c>
      <c r="E23" s="29" t="inlineStr">
        <is>
          <t>6</t>
        </is>
      </c>
      <c r="F23" s="29" t="n">
        <v>70</v>
      </c>
      <c r="G23" s="30">
        <f>Maxes!E24</f>
        <v/>
      </c>
      <c r="H23" s="31">
        <f>IF(OR(G23="",F23=""),"",MROUND(G23*F23/100,'Start Here'!$B$6))</f>
        <v/>
      </c>
      <c r="I23" s="32" t="n"/>
      <c r="J23" s="32" t="n"/>
      <c r="K23" s="29">
        <f>IF(OR(I23="",J23=""),"",IF(J23=1,I23,ROUND(I23*(1+J23/30),1)))</f>
        <v/>
      </c>
      <c r="L23" s="33">
        <f>IF(K23="","",IF(K23&gt;=PRs!C24,"PR!",""))</f>
        <v/>
      </c>
      <c r="M23" s="32" t="n"/>
      <c r="N23" s="34" t="inlineStr"/>
    </row>
    <row r="24">
      <c r="A24" s="26" t="inlineStr">
        <is>
          <t>Day 3 - Variations</t>
        </is>
      </c>
      <c r="B24" s="27">
        <f>'Start Here'!$B$7+46</f>
        <v/>
      </c>
      <c r="C24" s="29" t="inlineStr">
        <is>
          <t>Incline Dumbbell Press</t>
        </is>
      </c>
      <c r="D24" s="29" t="n">
        <v>3</v>
      </c>
      <c r="E24" s="29" t="inlineStr">
        <is>
          <t>8-12</t>
        </is>
      </c>
      <c r="F24" s="29" t="n"/>
      <c r="G24" s="30" t="n"/>
      <c r="H24" s="31" t="n"/>
      <c r="I24" s="32" t="n"/>
      <c r="J24" s="32" t="n"/>
      <c r="K24" s="29">
        <f>IF(OR(I24="",J24=""),"",IF(J24=1,I24,ROUND(I24*(1+J24/30),1)))</f>
        <v/>
      </c>
      <c r="L24" s="33">
        <f>IF(K24="","",IF(K24&gt;=PRs!C57,"PR!",""))</f>
        <v/>
      </c>
      <c r="M24" s="32" t="n"/>
      <c r="N24" s="34" t="inlineStr">
        <is>
          <t>Leave 1-2 reps in the tank; add weight when you hit the top of the range</t>
        </is>
      </c>
    </row>
    <row r="25">
      <c r="A25" s="26" t="inlineStr">
        <is>
          <t>Day 3 - Variations</t>
        </is>
      </c>
      <c r="B25" s="27">
        <f>'Start Here'!$B$7+46</f>
        <v/>
      </c>
      <c r="C25" s="29" t="inlineStr">
        <is>
          <t>Triceps Pushdown</t>
        </is>
      </c>
      <c r="D25" s="29" t="n">
        <v>3</v>
      </c>
      <c r="E25" s="29" t="inlineStr">
        <is>
          <t>10-15</t>
        </is>
      </c>
      <c r="F25" s="29" t="n"/>
      <c r="G25" s="30" t="n"/>
      <c r="H25" s="31" t="n"/>
      <c r="I25" s="32" t="n"/>
      <c r="J25" s="32" t="n"/>
      <c r="K25" s="29">
        <f>IF(OR(I25="",J25=""),"",IF(J25=1,I25,ROUND(I25*(1+J25/30),1)))</f>
        <v/>
      </c>
      <c r="L25" s="33">
        <f>IF(K25="","",IF(K25&gt;=PRs!C59,"PR!",""))</f>
        <v/>
      </c>
      <c r="M25" s="32" t="n"/>
      <c r="N25" s="34" t="inlineStr">
        <is>
          <t>Leave 1-2 reps in the tank; add weight when you hit the top of the range</t>
        </is>
      </c>
    </row>
  </sheetData>
  <hyperlinks>
    <hyperlink xmlns:r="http://schemas.openxmlformats.org/officeDocument/2006/relationships" ref="A2" r:id="rId1"/>
    <hyperlink xmlns:r="http://schemas.openxmlformats.org/officeDocument/2006/relationships" ref="C2" r:id="rId2"/>
    <hyperlink xmlns:r="http://schemas.openxmlformats.org/officeDocument/2006/relationships" ref="E2" r:id="rId3"/>
  </hyperlinks>
  <pageMargins left="0.75" right="0.75" top="1" bottom="1" header="0.5" footer="0.5"/>
  <pageSetup orientation="landscape" fitToHeight="0" fitToWidth="1"/>
</worksheet>
</file>

<file path=xl/worksheets/sheet10.xml><?xml version="1.0" encoding="utf-8"?>
<worksheet xmlns="http://schemas.openxmlformats.org/spreadsheetml/2006/main">
  <sheetPr>
    <tabColor rgb="00E6E6E6"/>
    <outlinePr summaryBelow="1" summaryRight="1"/>
    <pageSetUpPr fitToPage="1"/>
  </sheetPr>
  <dimension ref="A1:N25"/>
  <sheetViews>
    <sheetView workbookViewId="0">
      <pane xSplit="3" ySplit="5" topLeftCell="D6" activePane="bottomRight" state="frozen"/>
      <selection pane="topRight"/>
      <selection pane="bottomLeft"/>
      <selection pane="bottomRight" activeCell="A1" sqref="A1"/>
    </sheetView>
  </sheetViews>
  <sheetFormatPr baseColWidth="8" defaultRowHeight="15"/>
  <cols>
    <col width="17" customWidth="1" min="1" max="1"/>
    <col width="11" customWidth="1" min="2" max="2"/>
    <col width="24" customWidth="1" min="3" max="3"/>
    <col width="5" customWidth="1" min="4" max="4"/>
    <col width="6" customWidth="1" min="5" max="5"/>
    <col width="6" customWidth="1" min="6" max="6"/>
    <col width="9" customWidth="1" min="7" max="7"/>
    <col width="10" customWidth="1" min="8" max="8"/>
    <col width="13" customWidth="1" min="9" max="9"/>
    <col width="8" customWidth="1" min="10" max="10"/>
    <col width="9" customWidth="1" min="11" max="11"/>
    <col width="5" customWidth="1" min="12" max="12"/>
    <col width="22" customWidth="1" min="13" max="13"/>
    <col width="62" customWidth="1" min="14" max="14"/>
  </cols>
  <sheetData>
    <row r="1">
      <c r="A1" s="24" t="inlineStr">
        <is>
          <t>Week 8 - Cycle 1 - Deload</t>
        </is>
      </c>
    </row>
    <row r="2">
      <c r="A2" s="25" t="inlineStr">
        <is>
          <t>&lt; Week 07</t>
        </is>
      </c>
      <c r="C2" s="25" t="inlineStr">
        <is>
          <t>Start Here</t>
        </is>
      </c>
      <c r="E2" s="25" t="inlineStr">
        <is>
          <t>Week 09 &gt;</t>
        </is>
      </c>
    </row>
    <row r="3">
      <c r="A3" s="10" t="inlineStr">
        <is>
          <t>Bodyweight this week</t>
        </is>
      </c>
      <c r="C3" s="4" t="n"/>
      <c r="D3" t="inlineStr">
        <is>
          <t>Weigh in once this week: same morning routine, before eating.</t>
        </is>
      </c>
    </row>
    <row r="5">
      <c r="A5" s="5" t="inlineStr">
        <is>
          <t>Day</t>
        </is>
      </c>
      <c r="B5" s="5" t="inlineStr">
        <is>
          <t>Date</t>
        </is>
      </c>
      <c r="C5" s="5" t="inlineStr">
        <is>
          <t>Exercise</t>
        </is>
      </c>
      <c r="D5" s="5" t="inlineStr">
        <is>
          <t>Sets</t>
        </is>
      </c>
      <c r="E5" s="5" t="inlineStr">
        <is>
          <t>Reps</t>
        </is>
      </c>
      <c r="F5" s="5" t="inlineStr">
        <is>
          <t>% TM</t>
        </is>
      </c>
      <c r="G5" s="5" t="inlineStr">
        <is>
          <t>Training max</t>
        </is>
      </c>
      <c r="H5" s="5" t="inlineStr">
        <is>
          <t>Weight / target</t>
        </is>
      </c>
      <c r="I5" s="5" t="inlineStr">
        <is>
          <t>Actual (weight, height or distance)</t>
        </is>
      </c>
      <c r="J5" s="5" t="inlineStr">
        <is>
          <t>Actual reps</t>
        </is>
      </c>
      <c r="K5" s="5" t="inlineStr">
        <is>
          <t>Est. 1RM</t>
        </is>
      </c>
      <c r="L5" s="5" t="inlineStr">
        <is>
          <t>PR</t>
        </is>
      </c>
      <c r="M5" s="5" t="inlineStr">
        <is>
          <t>Notes</t>
        </is>
      </c>
      <c r="N5" s="5" t="inlineStr">
        <is>
          <t>Guidance</t>
        </is>
      </c>
    </row>
    <row r="6">
      <c r="A6" s="26" t="inlineStr">
        <is>
          <t>Day 1 - Heavy</t>
        </is>
      </c>
      <c r="B6" s="27">
        <f>'Start Here'!$B$7+49</f>
        <v/>
      </c>
      <c r="C6" s="28" t="inlineStr">
        <is>
          <t>Box Jump</t>
        </is>
      </c>
      <c r="D6" s="29" t="n">
        <v>2</v>
      </c>
      <c r="E6" s="29" t="inlineStr">
        <is>
          <t>3</t>
        </is>
      </c>
      <c r="F6" s="29" t="n"/>
      <c r="G6" s="30" t="n"/>
      <c r="H6" s="31">
        <f>IFERROR(IF(PRs!D69&lt;'Start Here'!$H$15,'Start Here'!$H$15,IF(PRs!D69&lt;'Start Here'!$H$16,'Start Here'!$H$16,IF(PRs!D69&lt;'Start Here'!$H$17,'Start Here'!$H$17,IF(PRs!D69&lt;'Start Here'!$H$18,'Start Here'!$H$18,"Elite!")))),"")</f>
        <v/>
      </c>
      <c r="I6" s="32" t="n"/>
      <c r="J6" s="32" t="n"/>
      <c r="K6" s="29" t="n"/>
      <c r="L6" s="33">
        <f>IF(I6="","",IF(I6&gt;=PRs!D69,"PR!",""))</f>
        <v/>
      </c>
      <c r="M6" s="32" t="n"/>
      <c r="N6" s="34" t="inlineStr">
        <is>
          <t>Explode up, land softly, STEP down. Full reset between reps. Log your box height; check the standards</t>
        </is>
      </c>
    </row>
    <row r="7">
      <c r="A7" s="26" t="inlineStr">
        <is>
          <t>Day 1 - Heavy</t>
        </is>
      </c>
      <c r="B7" s="27">
        <f>'Start Here'!$B$7+49</f>
        <v/>
      </c>
      <c r="C7" s="31" t="inlineStr">
        <is>
          <t>Snatch</t>
        </is>
      </c>
      <c r="D7" s="29" t="n">
        <v>2</v>
      </c>
      <c r="E7" s="29" t="inlineStr">
        <is>
          <t>2</t>
        </is>
      </c>
      <c r="F7" s="29" t="n">
        <v>65</v>
      </c>
      <c r="G7" s="30">
        <f>Maxes!E6</f>
        <v/>
      </c>
      <c r="H7" s="31">
        <f>IF(OR(G7="",F7=""),"",MROUND(G7*F7/100,'Start Here'!$B$6))</f>
        <v/>
      </c>
      <c r="I7" s="32" t="n"/>
      <c r="J7" s="32" t="n"/>
      <c r="K7" s="29">
        <f>IF(OR(I7="",J7=""),"",IF(J7=1,I7,ROUND(I7*(1+J7/30),1)))</f>
        <v/>
      </c>
      <c r="L7" s="33">
        <f>IF(K7="","",IF(K7&gt;=PRs!C6,"PR!",""))</f>
        <v/>
      </c>
      <c r="M7" s="32" t="n"/>
      <c r="N7" s="34" t="inlineStr">
        <is>
          <t>Easy week - move fast, recover</t>
        </is>
      </c>
    </row>
    <row r="8">
      <c r="A8" s="26" t="inlineStr">
        <is>
          <t>Day 1 - Heavy</t>
        </is>
      </c>
      <c r="B8" s="27">
        <f>'Start Here'!$B$7+49</f>
        <v/>
      </c>
      <c r="C8" s="31" t="inlineStr">
        <is>
          <t>Squat</t>
        </is>
      </c>
      <c r="D8" s="29" t="n">
        <v>2</v>
      </c>
      <c r="E8" s="29" t="inlineStr">
        <is>
          <t>5</t>
        </is>
      </c>
      <c r="F8" s="29" t="n">
        <v>65</v>
      </c>
      <c r="G8" s="30">
        <f>Maxes!E2</f>
        <v/>
      </c>
      <c r="H8" s="31">
        <f>IF(OR(G8="",F8=""),"",MROUND(G8*F8/100,'Start Here'!$B$6))</f>
        <v/>
      </c>
      <c r="I8" s="32" t="n"/>
      <c r="J8" s="32" t="n"/>
      <c r="K8" s="29">
        <f>IF(OR(I8="",J8=""),"",IF(J8=1,I8,ROUND(I8*(1+J8/30),1)))</f>
        <v/>
      </c>
      <c r="L8" s="33">
        <f>IF(K8="","",IF(K8&gt;=PRs!C2,"PR!",""))</f>
        <v/>
      </c>
      <c r="M8" s="32" t="n"/>
      <c r="N8" s="34" t="inlineStr">
        <is>
          <t>Easy week - move fast, recover</t>
        </is>
      </c>
    </row>
    <row r="9">
      <c r="A9" s="26" t="inlineStr">
        <is>
          <t>Day 1 - Heavy</t>
        </is>
      </c>
      <c r="B9" s="27">
        <f>'Start Here'!$B$7+49</f>
        <v/>
      </c>
      <c r="C9" s="31" t="inlineStr">
        <is>
          <t>Bench Press</t>
        </is>
      </c>
      <c r="D9" s="29" t="n">
        <v>2</v>
      </c>
      <c r="E9" s="29" t="inlineStr">
        <is>
          <t>5</t>
        </is>
      </c>
      <c r="F9" s="29" t="n">
        <v>65</v>
      </c>
      <c r="G9" s="30">
        <f>Maxes!E3</f>
        <v/>
      </c>
      <c r="H9" s="31">
        <f>IF(OR(G9="",F9=""),"",MROUND(G9*F9/100,'Start Here'!$B$6))</f>
        <v/>
      </c>
      <c r="I9" s="32" t="n"/>
      <c r="J9" s="32" t="n"/>
      <c r="K9" s="29">
        <f>IF(OR(I9="",J9=""),"",IF(J9=1,I9,ROUND(I9*(1+J9/30),1)))</f>
        <v/>
      </c>
      <c r="L9" s="33">
        <f>IF(K9="","",IF(K9&gt;=PRs!C3,"PR!",""))</f>
        <v/>
      </c>
      <c r="M9" s="32" t="n"/>
      <c r="N9" s="34" t="inlineStr">
        <is>
          <t>Easy week - move fast, recover</t>
        </is>
      </c>
    </row>
    <row r="10">
      <c r="A10" s="26" t="inlineStr">
        <is>
          <t>Day 1 - Heavy</t>
        </is>
      </c>
      <c r="B10" s="27">
        <f>'Start Here'!$B$7+49</f>
        <v/>
      </c>
      <c r="C10" s="29" t="inlineStr">
        <is>
          <t>Barbell Row</t>
        </is>
      </c>
      <c r="D10" s="29" t="n">
        <v>2</v>
      </c>
      <c r="E10" s="29" t="inlineStr">
        <is>
          <t>8-10</t>
        </is>
      </c>
      <c r="F10" s="29" t="n"/>
      <c r="G10" s="30" t="n"/>
      <c r="H10" s="31" t="n"/>
      <c r="I10" s="32" t="n"/>
      <c r="J10" s="32" t="n"/>
      <c r="K10" s="29">
        <f>IF(OR(I10="",J10=""),"",IF(J10=1,I10,ROUND(I10*(1+J10/30),1)))</f>
        <v/>
      </c>
      <c r="L10" s="33">
        <f>IF(K10="","",IF(K10&gt;=PRs!C50,"PR!",""))</f>
        <v/>
      </c>
      <c r="M10" s="32" t="n"/>
      <c r="N10" s="34" t="inlineStr">
        <is>
          <t>Easy - stop well short of failure</t>
        </is>
      </c>
    </row>
    <row r="11">
      <c r="A11" s="26" t="inlineStr">
        <is>
          <t>Day 1 - Heavy</t>
        </is>
      </c>
      <c r="B11" s="27">
        <f>'Start Here'!$B$7+49</f>
        <v/>
      </c>
      <c r="C11" s="29" t="inlineStr">
        <is>
          <t>Face Pull</t>
        </is>
      </c>
      <c r="D11" s="29" t="n">
        <v>2</v>
      </c>
      <c r="E11" s="29" t="inlineStr">
        <is>
          <t>12-15</t>
        </is>
      </c>
      <c r="F11" s="29" t="n"/>
      <c r="G11" s="30" t="n"/>
      <c r="H11" s="31" t="n"/>
      <c r="I11" s="32" t="n"/>
      <c r="J11" s="32" t="n"/>
      <c r="K11" s="29">
        <f>IF(OR(I11="",J11=""),"",IF(J11=1,I11,ROUND(I11*(1+J11/30),1)))</f>
        <v/>
      </c>
      <c r="L11" s="33">
        <f>IF(K11="","",IF(K11&gt;=PRs!C51,"PR!",""))</f>
        <v/>
      </c>
      <c r="M11" s="32" t="n"/>
      <c r="N11" s="34" t="inlineStr">
        <is>
          <t>Easy - stop well short of failure</t>
        </is>
      </c>
    </row>
    <row r="12">
      <c r="A12" s="26" t="inlineStr">
        <is>
          <t>Day 2 - Light</t>
        </is>
      </c>
      <c r="B12" s="27">
        <f>'Start Here'!$B$7+51</f>
        <v/>
      </c>
      <c r="C12" s="28" t="inlineStr">
        <is>
          <t>Broad Jump</t>
        </is>
      </c>
      <c r="D12" s="29" t="n">
        <v>2</v>
      </c>
      <c r="E12" s="29" t="inlineStr">
        <is>
          <t>3</t>
        </is>
      </c>
      <c r="F12" s="29" t="n"/>
      <c r="G12" s="30" t="n"/>
      <c r="H12" s="31" t="n"/>
      <c r="I12" s="32" t="n"/>
      <c r="J12" s="32" t="n"/>
      <c r="K12" s="29" t="n"/>
      <c r="L12" s="33">
        <f>IF(I12="","",IF(I12&gt;=PRs!D70,"PR!",""))</f>
        <v/>
      </c>
      <c r="M12" s="32" t="n"/>
      <c r="N12" s="34" t="inlineStr">
        <is>
          <t>Two-foot jump for distance, stick the landing. Full reset between reps. Log your best distance</t>
        </is>
      </c>
    </row>
    <row r="13">
      <c r="A13" s="26" t="inlineStr">
        <is>
          <t>Day 2 - Light</t>
        </is>
      </c>
      <c r="B13" s="27">
        <f>'Start Here'!$B$7+51</f>
        <v/>
      </c>
      <c r="C13" s="31" t="inlineStr">
        <is>
          <t>Clean &amp; Jerk</t>
        </is>
      </c>
      <c r="D13" s="29" t="n">
        <v>2</v>
      </c>
      <c r="E13" s="29" t="inlineStr">
        <is>
          <t>2</t>
        </is>
      </c>
      <c r="F13" s="29" t="n">
        <v>65</v>
      </c>
      <c r="G13" s="30">
        <f>Maxes!E7</f>
        <v/>
      </c>
      <c r="H13" s="31">
        <f>IF(OR(G13="",F13=""),"",MROUND(G13*F13/100,'Start Here'!$B$6))</f>
        <v/>
      </c>
      <c r="I13" s="32" t="n"/>
      <c r="J13" s="32" t="n"/>
      <c r="K13" s="29">
        <f>IF(OR(I13="",J13=""),"",IF(J13=1,I13,ROUND(I13*(1+J13/30),1)))</f>
        <v/>
      </c>
      <c r="L13" s="33">
        <f>IF(K13="","",IF(K13&gt;=PRs!C7,"PR!",""))</f>
        <v/>
      </c>
      <c r="M13" s="32" t="n"/>
      <c r="N13" s="34" t="inlineStr">
        <is>
          <t>Easy week - move fast, recover</t>
        </is>
      </c>
    </row>
    <row r="14">
      <c r="A14" s="26" t="inlineStr">
        <is>
          <t>Day 2 - Light</t>
        </is>
      </c>
      <c r="B14" s="27">
        <f>'Start Here'!$B$7+51</f>
        <v/>
      </c>
      <c r="C14" s="31" t="inlineStr">
        <is>
          <t>Squat</t>
        </is>
      </c>
      <c r="D14" s="29" t="n">
        <v>2</v>
      </c>
      <c r="E14" s="29" t="inlineStr">
        <is>
          <t>5</t>
        </is>
      </c>
      <c r="F14" s="29" t="n">
        <v>65</v>
      </c>
      <c r="G14" s="30">
        <f>Maxes!E2</f>
        <v/>
      </c>
      <c r="H14" s="31">
        <f>IF(OR(G14="",F14=""),"",MROUND(G14*F14/100,'Start Here'!$B$6))</f>
        <v/>
      </c>
      <c r="I14" s="32" t="n"/>
      <c r="J14" s="32" t="n"/>
      <c r="K14" s="29">
        <f>IF(OR(I14="",J14=""),"",IF(J14=1,I14,ROUND(I14*(1+J14/30),1)))</f>
        <v/>
      </c>
      <c r="L14" s="33">
        <f>IF(K14="","",IF(K14&gt;=PRs!C2,"PR!",""))</f>
        <v/>
      </c>
      <c r="M14" s="32" t="n"/>
      <c r="N14" s="34" t="inlineStr">
        <is>
          <t>Easy week - move fast, recover</t>
        </is>
      </c>
    </row>
    <row r="15">
      <c r="A15" s="26" t="inlineStr">
        <is>
          <t>Day 2 - Light</t>
        </is>
      </c>
      <c r="B15" s="27">
        <f>'Start Here'!$B$7+51</f>
        <v/>
      </c>
      <c r="C15" s="31" t="inlineStr">
        <is>
          <t>Overhead Press</t>
        </is>
      </c>
      <c r="D15" s="29" t="n">
        <v>2</v>
      </c>
      <c r="E15" s="29" t="inlineStr">
        <is>
          <t>5</t>
        </is>
      </c>
      <c r="F15" s="29" t="n">
        <v>65</v>
      </c>
      <c r="G15" s="30">
        <f>Maxes!E5</f>
        <v/>
      </c>
      <c r="H15" s="31">
        <f>IF(OR(G15="",F15=""),"",MROUND(G15*F15/100,'Start Here'!$B$6))</f>
        <v/>
      </c>
      <c r="I15" s="32" t="n"/>
      <c r="J15" s="32" t="n"/>
      <c r="K15" s="29">
        <f>IF(OR(I15="",J15=""),"",IF(J15=1,I15,ROUND(I15*(1+J15/30),1)))</f>
        <v/>
      </c>
      <c r="L15" s="33">
        <f>IF(K15="","",IF(K15&gt;=PRs!C5,"PR!",""))</f>
        <v/>
      </c>
      <c r="M15" s="32" t="n"/>
      <c r="N15" s="34" t="inlineStr">
        <is>
          <t>Easy week - move fast, recover</t>
        </is>
      </c>
    </row>
    <row r="16">
      <c r="A16" s="26" t="inlineStr">
        <is>
          <t>Day 2 - Light</t>
        </is>
      </c>
      <c r="B16" s="27">
        <f>'Start Here'!$B$7+51</f>
        <v/>
      </c>
      <c r="C16" s="31" t="inlineStr">
        <is>
          <t>Deadlift</t>
        </is>
      </c>
      <c r="D16" s="29" t="n">
        <v>2</v>
      </c>
      <c r="E16" s="29" t="inlineStr">
        <is>
          <t>5</t>
        </is>
      </c>
      <c r="F16" s="29" t="n">
        <v>65</v>
      </c>
      <c r="G16" s="30">
        <f>Maxes!E4</f>
        <v/>
      </c>
      <c r="H16" s="31">
        <f>IF(OR(G16="",F16=""),"",MROUND(G16*F16/100,'Start Here'!$B$6))</f>
        <v/>
      </c>
      <c r="I16" s="32" t="n"/>
      <c r="J16" s="32" t="n"/>
      <c r="K16" s="29">
        <f>IF(OR(I16="",J16=""),"",IF(J16=1,I16,ROUND(I16*(1+J16/30),1)))</f>
        <v/>
      </c>
      <c r="L16" s="33">
        <f>IF(K16="","",IF(K16&gt;=PRs!C4,"PR!",""))</f>
        <v/>
      </c>
      <c r="M16" s="32" t="n"/>
      <c r="N16" s="34" t="inlineStr">
        <is>
          <t>Easy week - move fast, recover</t>
        </is>
      </c>
    </row>
    <row r="17">
      <c r="A17" s="26" t="inlineStr">
        <is>
          <t>Day 2 - Light</t>
        </is>
      </c>
      <c r="B17" s="27">
        <f>'Start Here'!$B$7+51</f>
        <v/>
      </c>
      <c r="C17" s="29" t="inlineStr">
        <is>
          <t>Chin-up</t>
        </is>
      </c>
      <c r="D17" s="29" t="n">
        <v>2</v>
      </c>
      <c r="E17" s="29" t="inlineStr">
        <is>
          <t>6-10</t>
        </is>
      </c>
      <c r="F17" s="29" t="n"/>
      <c r="G17" s="30" t="n"/>
      <c r="H17" s="31" t="n"/>
      <c r="I17" s="32" t="n"/>
      <c r="J17" s="32" t="n"/>
      <c r="K17" s="29">
        <f>IF(OR(I17="",J17=""),"",IF(J17=1,I17,ROUND(I17*(1+J17/30),1)))</f>
        <v/>
      </c>
      <c r="L17" s="33">
        <f>IF(K17="","",IF(K17&gt;=PRs!C53,"PR!",""))</f>
        <v/>
      </c>
      <c r="M17" s="32" t="n"/>
      <c r="N17" s="34" t="inlineStr">
        <is>
          <t>Easy - stop well short of failure</t>
        </is>
      </c>
    </row>
    <row r="18">
      <c r="A18" s="26" t="inlineStr">
        <is>
          <t>Day 2 - Light</t>
        </is>
      </c>
      <c r="B18" s="27">
        <f>'Start Here'!$B$7+51</f>
        <v/>
      </c>
      <c r="C18" s="29" t="inlineStr">
        <is>
          <t>Plank</t>
        </is>
      </c>
      <c r="D18" s="29" t="n">
        <v>2</v>
      </c>
      <c r="E18" s="29" t="inlineStr">
        <is>
          <t>30-60s</t>
        </is>
      </c>
      <c r="F18" s="29" t="n"/>
      <c r="G18" s="30" t="n"/>
      <c r="H18" s="31" t="n"/>
      <c r="I18" s="32" t="n"/>
      <c r="J18" s="32" t="n"/>
      <c r="K18" s="29">
        <f>IF(OR(I18="",J18=""),"",IF(J18=1,I18,ROUND(I18*(1+J18/30),1)))</f>
        <v/>
      </c>
      <c r="L18" s="33">
        <f>IF(K18="","",IF(K18&gt;=PRs!C56,"PR!",""))</f>
        <v/>
      </c>
      <c r="M18" s="32" t="n"/>
      <c r="N18" s="34" t="inlineStr">
        <is>
          <t>Easy - stop well short of failure</t>
        </is>
      </c>
    </row>
    <row r="19">
      <c r="A19" s="26" t="inlineStr">
        <is>
          <t>Day 3 - Variations</t>
        </is>
      </c>
      <c r="B19" s="27">
        <f>'Start Here'!$B$7+53</f>
        <v/>
      </c>
      <c r="C19" s="28" t="inlineStr">
        <is>
          <t>Box Jump</t>
        </is>
      </c>
      <c r="D19" s="29" t="n">
        <v>2</v>
      </c>
      <c r="E19" s="29" t="inlineStr">
        <is>
          <t>3</t>
        </is>
      </c>
      <c r="F19" s="29" t="n"/>
      <c r="G19" s="30" t="n"/>
      <c r="H19" s="31">
        <f>IFERROR(IF(PRs!D69&lt;'Start Here'!$H$15,'Start Here'!$H$15,IF(PRs!D69&lt;'Start Here'!$H$16,'Start Here'!$H$16,IF(PRs!D69&lt;'Start Here'!$H$17,'Start Here'!$H$17,IF(PRs!D69&lt;'Start Here'!$H$18,'Start Here'!$H$18,"Elite!")))),"")</f>
        <v/>
      </c>
      <c r="I19" s="32" t="n"/>
      <c r="J19" s="32" t="n"/>
      <c r="K19" s="29" t="n"/>
      <c r="L19" s="33">
        <f>IF(I19="","",IF(I19&gt;=PRs!D69,"PR!",""))</f>
        <v/>
      </c>
      <c r="M19" s="32" t="n"/>
      <c r="N19" s="34" t="inlineStr">
        <is>
          <t>Explode up, land softly, STEP down. Full reset between reps. Log your box height; check the standards</t>
        </is>
      </c>
    </row>
    <row r="20">
      <c r="A20" s="26" t="inlineStr">
        <is>
          <t>Day 3 - Variations</t>
        </is>
      </c>
      <c r="B20" s="27">
        <f>'Start Here'!$B$7+53</f>
        <v/>
      </c>
      <c r="C20" s="31" t="inlineStr">
        <is>
          <t>Power Clean</t>
        </is>
      </c>
      <c r="D20" s="29" t="n">
        <v>2</v>
      </c>
      <c r="E20" s="29" t="inlineStr">
        <is>
          <t>2</t>
        </is>
      </c>
      <c r="F20" s="29" t="n">
        <v>65</v>
      </c>
      <c r="G20" s="30">
        <f>Maxes!E42</f>
        <v/>
      </c>
      <c r="H20" s="31">
        <f>IF(OR(G20="",F20=""),"",MROUND(G20*F20/100,'Start Here'!$B$6))</f>
        <v/>
      </c>
      <c r="I20" s="32" t="n"/>
      <c r="J20" s="32" t="n"/>
      <c r="K20" s="29">
        <f>IF(OR(I20="",J20=""),"",IF(J20=1,I20,ROUND(I20*(1+J20/30),1)))</f>
        <v/>
      </c>
      <c r="L20" s="33">
        <f>IF(K20="","",IF(K20&gt;=PRs!C42,"PR!",""))</f>
        <v/>
      </c>
      <c r="M20" s="32" t="n"/>
      <c r="N20" s="34" t="inlineStr">
        <is>
          <t>Easy week - move fast, recover</t>
        </is>
      </c>
    </row>
    <row r="21">
      <c r="A21" s="26" t="inlineStr">
        <is>
          <t>Day 3 - Variations</t>
        </is>
      </c>
      <c r="B21" s="27">
        <f>'Start Here'!$B$7+53</f>
        <v/>
      </c>
      <c r="C21" s="31" t="inlineStr">
        <is>
          <t>Pause Squat</t>
        </is>
      </c>
      <c r="D21" s="29" t="n">
        <v>2</v>
      </c>
      <c r="E21" s="29" t="inlineStr">
        <is>
          <t>5</t>
        </is>
      </c>
      <c r="F21" s="29" t="n">
        <v>65</v>
      </c>
      <c r="G21" s="30">
        <f>Maxes!E9</f>
        <v/>
      </c>
      <c r="H21" s="31">
        <f>IF(OR(G21="",F21=""),"",MROUND(G21*F21/100,'Start Here'!$B$6))</f>
        <v/>
      </c>
      <c r="I21" s="32" t="n"/>
      <c r="J21" s="32" t="n"/>
      <c r="K21" s="29">
        <f>IF(OR(I21="",J21=""),"",IF(J21=1,I21,ROUND(I21*(1+J21/30),1)))</f>
        <v/>
      </c>
      <c r="L21" s="33">
        <f>IF(K21="","",IF(K21&gt;=PRs!C9,"PR!",""))</f>
        <v/>
      </c>
      <c r="M21" s="32" t="n"/>
      <c r="N21" s="34" t="inlineStr">
        <is>
          <t>Easy week - move fast, recover</t>
        </is>
      </c>
    </row>
    <row r="22">
      <c r="A22" s="26" t="inlineStr">
        <is>
          <t>Day 3 - Variations</t>
        </is>
      </c>
      <c r="B22" s="27">
        <f>'Start Here'!$B$7+53</f>
        <v/>
      </c>
      <c r="C22" s="31" t="inlineStr">
        <is>
          <t>2-Board Press</t>
        </is>
      </c>
      <c r="D22" s="29" t="n">
        <v>2</v>
      </c>
      <c r="E22" s="29" t="inlineStr">
        <is>
          <t>5</t>
        </is>
      </c>
      <c r="F22" s="29" t="n">
        <v>65</v>
      </c>
      <c r="G22" s="30">
        <f>Maxes!E16</f>
        <v/>
      </c>
      <c r="H22" s="31">
        <f>IF(OR(G22="",F22=""),"",MROUND(G22*F22/100,'Start Here'!$B$6))</f>
        <v/>
      </c>
      <c r="I22" s="32" t="n"/>
      <c r="J22" s="32" t="n"/>
      <c r="K22" s="29">
        <f>IF(OR(I22="",J22=""),"",IF(J22=1,I22,ROUND(I22*(1+J22/30),1)))</f>
        <v/>
      </c>
      <c r="L22" s="33">
        <f>IF(K22="","",IF(K22&gt;=PRs!C16,"PR!",""))</f>
        <v/>
      </c>
      <c r="M22" s="32" t="n"/>
      <c r="N22" s="34" t="inlineStr">
        <is>
          <t>Easy week - move fast, recover</t>
        </is>
      </c>
    </row>
    <row r="23">
      <c r="A23" s="26" t="inlineStr">
        <is>
          <t>Day 3 - Variations</t>
        </is>
      </c>
      <c r="B23" s="27">
        <f>'Start Here'!$B$7+53</f>
        <v/>
      </c>
      <c r="C23" s="31" t="inlineStr">
        <is>
          <t>Deficit Deadlift</t>
        </is>
      </c>
      <c r="D23" s="29" t="n">
        <v>2</v>
      </c>
      <c r="E23" s="29" t="inlineStr">
        <is>
          <t>5</t>
        </is>
      </c>
      <c r="F23" s="29" t="n">
        <v>65</v>
      </c>
      <c r="G23" s="30">
        <f>Maxes!E24</f>
        <v/>
      </c>
      <c r="H23" s="31">
        <f>IF(OR(G23="",F23=""),"",MROUND(G23*F23/100,'Start Here'!$B$6))</f>
        <v/>
      </c>
      <c r="I23" s="32" t="n"/>
      <c r="J23" s="32" t="n"/>
      <c r="K23" s="29">
        <f>IF(OR(I23="",J23=""),"",IF(J23=1,I23,ROUND(I23*(1+J23/30),1)))</f>
        <v/>
      </c>
      <c r="L23" s="33">
        <f>IF(K23="","",IF(K23&gt;=PRs!C24,"PR!",""))</f>
        <v/>
      </c>
      <c r="M23" s="32" t="n"/>
      <c r="N23" s="34" t="inlineStr">
        <is>
          <t>Easy week - move fast, recover</t>
        </is>
      </c>
    </row>
    <row r="24">
      <c r="A24" s="26" t="inlineStr">
        <is>
          <t>Day 3 - Variations</t>
        </is>
      </c>
      <c r="B24" s="27">
        <f>'Start Here'!$B$7+53</f>
        <v/>
      </c>
      <c r="C24" s="29" t="inlineStr">
        <is>
          <t>Incline Dumbbell Press</t>
        </is>
      </c>
      <c r="D24" s="29" t="n">
        <v>2</v>
      </c>
      <c r="E24" s="29" t="inlineStr">
        <is>
          <t>8-12</t>
        </is>
      </c>
      <c r="F24" s="29" t="n"/>
      <c r="G24" s="30" t="n"/>
      <c r="H24" s="31" t="n"/>
      <c r="I24" s="32" t="n"/>
      <c r="J24" s="32" t="n"/>
      <c r="K24" s="29">
        <f>IF(OR(I24="",J24=""),"",IF(J24=1,I24,ROUND(I24*(1+J24/30),1)))</f>
        <v/>
      </c>
      <c r="L24" s="33">
        <f>IF(K24="","",IF(K24&gt;=PRs!C57,"PR!",""))</f>
        <v/>
      </c>
      <c r="M24" s="32" t="n"/>
      <c r="N24" s="34" t="inlineStr">
        <is>
          <t>Easy - stop well short of failure</t>
        </is>
      </c>
    </row>
    <row r="25">
      <c r="A25" s="26" t="inlineStr">
        <is>
          <t>Day 3 - Variations</t>
        </is>
      </c>
      <c r="B25" s="27">
        <f>'Start Here'!$B$7+53</f>
        <v/>
      </c>
      <c r="C25" s="29" t="inlineStr">
        <is>
          <t>Triceps Pushdown</t>
        </is>
      </c>
      <c r="D25" s="29" t="n">
        <v>2</v>
      </c>
      <c r="E25" s="29" t="inlineStr">
        <is>
          <t>10-15</t>
        </is>
      </c>
      <c r="F25" s="29" t="n"/>
      <c r="G25" s="30" t="n"/>
      <c r="H25" s="31" t="n"/>
      <c r="I25" s="32" t="n"/>
      <c r="J25" s="32" t="n"/>
      <c r="K25" s="29">
        <f>IF(OR(I25="",J25=""),"",IF(J25=1,I25,ROUND(I25*(1+J25/30),1)))</f>
        <v/>
      </c>
      <c r="L25" s="33">
        <f>IF(K25="","",IF(K25&gt;=PRs!C59,"PR!",""))</f>
        <v/>
      </c>
      <c r="M25" s="32" t="n"/>
      <c r="N25" s="34" t="inlineStr">
        <is>
          <t>Easy - stop well short of failure</t>
        </is>
      </c>
    </row>
  </sheetData>
  <hyperlinks>
    <hyperlink xmlns:r="http://schemas.openxmlformats.org/officeDocument/2006/relationships" ref="A2" r:id="rId1"/>
    <hyperlink xmlns:r="http://schemas.openxmlformats.org/officeDocument/2006/relationships" ref="C2" r:id="rId2"/>
    <hyperlink xmlns:r="http://schemas.openxmlformats.org/officeDocument/2006/relationships" ref="E2" r:id="rId3"/>
  </hyperlinks>
  <pageMargins left="0.75" right="0.75" top="1" bottom="1" header="0.5" footer="0.5"/>
  <pageSetup orientation="landscape" fitToHeight="0" fitToWidth="1"/>
</worksheet>
</file>

<file path=xl/worksheets/sheet11.xml><?xml version="1.0" encoding="utf-8"?>
<worksheet xmlns="http://schemas.openxmlformats.org/spreadsheetml/2006/main">
  <sheetPr>
    <tabColor rgb="00F8D7D7"/>
    <outlinePr summaryBelow="1" summaryRight="1"/>
    <pageSetUpPr fitToPage="1"/>
  </sheetPr>
  <dimension ref="A1:N25"/>
  <sheetViews>
    <sheetView workbookViewId="0">
      <pane xSplit="3" ySplit="5" topLeftCell="D6" activePane="bottomRight" state="frozen"/>
      <selection pane="topRight"/>
      <selection pane="bottomLeft"/>
      <selection pane="bottomRight" activeCell="A1" sqref="A1"/>
    </sheetView>
  </sheetViews>
  <sheetFormatPr baseColWidth="8" defaultRowHeight="15"/>
  <cols>
    <col width="17" customWidth="1" min="1" max="1"/>
    <col width="11" customWidth="1" min="2" max="2"/>
    <col width="24" customWidth="1" min="3" max="3"/>
    <col width="5" customWidth="1" min="4" max="4"/>
    <col width="6" customWidth="1" min="5" max="5"/>
    <col width="6" customWidth="1" min="6" max="6"/>
    <col width="9" customWidth="1" min="7" max="7"/>
    <col width="10" customWidth="1" min="8" max="8"/>
    <col width="13" customWidth="1" min="9" max="9"/>
    <col width="8" customWidth="1" min="10" max="10"/>
    <col width="9" customWidth="1" min="11" max="11"/>
    <col width="5" customWidth="1" min="12" max="12"/>
    <col width="22" customWidth="1" min="13" max="13"/>
    <col width="62" customWidth="1" min="14" max="14"/>
  </cols>
  <sheetData>
    <row r="1">
      <c r="A1" s="24" t="inlineStr">
        <is>
          <t>Week 9 - Cycle 1 - Realization</t>
        </is>
      </c>
    </row>
    <row r="2">
      <c r="A2" s="25" t="inlineStr">
        <is>
          <t>&lt; Week 08</t>
        </is>
      </c>
      <c r="C2" s="25" t="inlineStr">
        <is>
          <t>Start Here</t>
        </is>
      </c>
      <c r="E2" s="25" t="inlineStr">
        <is>
          <t>Week 10 &gt;</t>
        </is>
      </c>
    </row>
    <row r="3">
      <c r="A3" s="10" t="inlineStr">
        <is>
          <t>Bodyweight this week</t>
        </is>
      </c>
      <c r="C3" s="4" t="n"/>
      <c r="D3" t="inlineStr">
        <is>
          <t>Weigh in once this week: same morning routine, before eating.</t>
        </is>
      </c>
    </row>
    <row r="5">
      <c r="A5" s="5" t="inlineStr">
        <is>
          <t>Day</t>
        </is>
      </c>
      <c r="B5" s="5" t="inlineStr">
        <is>
          <t>Date</t>
        </is>
      </c>
      <c r="C5" s="5" t="inlineStr">
        <is>
          <t>Exercise</t>
        </is>
      </c>
      <c r="D5" s="5" t="inlineStr">
        <is>
          <t>Sets</t>
        </is>
      </c>
      <c r="E5" s="5" t="inlineStr">
        <is>
          <t>Reps</t>
        </is>
      </c>
      <c r="F5" s="5" t="inlineStr">
        <is>
          <t>% TM</t>
        </is>
      </c>
      <c r="G5" s="5" t="inlineStr">
        <is>
          <t>Training max</t>
        </is>
      </c>
      <c r="H5" s="5" t="inlineStr">
        <is>
          <t>Weight / target</t>
        </is>
      </c>
      <c r="I5" s="5" t="inlineStr">
        <is>
          <t>Actual (weight, height or distance)</t>
        </is>
      </c>
      <c r="J5" s="5" t="inlineStr">
        <is>
          <t>Actual reps</t>
        </is>
      </c>
      <c r="K5" s="5" t="inlineStr">
        <is>
          <t>Est. 1RM</t>
        </is>
      </c>
      <c r="L5" s="5" t="inlineStr">
        <is>
          <t>PR</t>
        </is>
      </c>
      <c r="M5" s="5" t="inlineStr">
        <is>
          <t>Notes</t>
        </is>
      </c>
      <c r="N5" s="5" t="inlineStr">
        <is>
          <t>Guidance</t>
        </is>
      </c>
    </row>
    <row r="6">
      <c r="A6" s="26" t="inlineStr">
        <is>
          <t>Day 1 - Heavy</t>
        </is>
      </c>
      <c r="B6" s="27">
        <f>'Start Here'!$B$7+56</f>
        <v/>
      </c>
      <c r="C6" s="28" t="inlineStr">
        <is>
          <t>Box Jump</t>
        </is>
      </c>
      <c r="D6" s="29" t="n">
        <v>3</v>
      </c>
      <c r="E6" s="29" t="inlineStr">
        <is>
          <t>2</t>
        </is>
      </c>
      <c r="F6" s="29" t="n"/>
      <c r="G6" s="30" t="n"/>
      <c r="H6" s="31">
        <f>IFERROR(IF(PRs!D69&lt;'Start Here'!$H$15,'Start Here'!$H$15,IF(PRs!D69&lt;'Start Here'!$H$16,'Start Here'!$H$16,IF(PRs!D69&lt;'Start Here'!$H$17,'Start Here'!$H$17,IF(PRs!D69&lt;'Start Here'!$H$18,'Start Here'!$H$18,"Elite!")))),"")</f>
        <v/>
      </c>
      <c r="I6" s="32" t="n"/>
      <c r="J6" s="32" t="n"/>
      <c r="K6" s="29" t="n"/>
      <c r="L6" s="33">
        <f>IF(I6="","",IF(I6&gt;=PRs!D69,"PR!",""))</f>
        <v/>
      </c>
      <c r="M6" s="32" t="n"/>
      <c r="N6" s="34" t="inlineStr">
        <is>
          <t>Explode up, land softly, STEP down. Full reset between reps. Log your box height; check the standards</t>
        </is>
      </c>
    </row>
    <row r="7">
      <c r="A7" s="26" t="inlineStr">
        <is>
          <t>Day 1 - Heavy</t>
        </is>
      </c>
      <c r="B7" s="27">
        <f>'Start Here'!$B$7+56</f>
        <v/>
      </c>
      <c r="C7" s="31" t="inlineStr">
        <is>
          <t>Snatch</t>
        </is>
      </c>
      <c r="D7" s="29" t="n">
        <v>5</v>
      </c>
      <c r="E7" s="29" t="inlineStr">
        <is>
          <t>2</t>
        </is>
      </c>
      <c r="F7" s="29" t="n">
        <v>85</v>
      </c>
      <c r="G7" s="30">
        <f>Maxes!E6</f>
        <v/>
      </c>
      <c r="H7" s="31">
        <f>IF(OR(G7="",F7=""),"",MROUND(G7*F7/100,'Start Here'!$B$6))</f>
        <v/>
      </c>
      <c r="I7" s="32" t="n"/>
      <c r="J7" s="32" t="n"/>
      <c r="K7" s="29">
        <f>IF(OR(I7="",J7=""),"",IF(J7=1,I7,ROUND(I7*(1+J7/30),1)))</f>
        <v/>
      </c>
      <c r="L7" s="33">
        <f>IF(K7="","",IF(K7&gt;=PRs!C6,"PR!",""))</f>
        <v/>
      </c>
      <c r="M7" s="32" t="n"/>
      <c r="N7" s="34" t="inlineStr"/>
    </row>
    <row r="8">
      <c r="A8" s="26" t="inlineStr">
        <is>
          <t>Day 1 - Heavy</t>
        </is>
      </c>
      <c r="B8" s="27">
        <f>'Start Here'!$B$7+56</f>
        <v/>
      </c>
      <c r="C8" s="31" t="inlineStr">
        <is>
          <t>Squat</t>
        </is>
      </c>
      <c r="D8" s="29" t="n">
        <v>5</v>
      </c>
      <c r="E8" s="29" t="inlineStr">
        <is>
          <t>3</t>
        </is>
      </c>
      <c r="F8" s="29" t="n">
        <v>85</v>
      </c>
      <c r="G8" s="30">
        <f>Maxes!E2</f>
        <v/>
      </c>
      <c r="H8" s="31">
        <f>IF(OR(G8="",F8=""),"",MROUND(G8*F8/100,'Start Here'!$B$6))</f>
        <v/>
      </c>
      <c r="I8" s="32" t="n"/>
      <c r="J8" s="32" t="n"/>
      <c r="K8" s="29">
        <f>IF(OR(I8="",J8=""),"",IF(J8=1,I8,ROUND(I8*(1+J8/30),1)))</f>
        <v/>
      </c>
      <c r="L8" s="33">
        <f>IF(K8="","",IF(K8&gt;=PRs!C2,"PR!",""))</f>
        <v/>
      </c>
      <c r="M8" s="32" t="n"/>
      <c r="N8" s="34" t="inlineStr"/>
    </row>
    <row r="9">
      <c r="A9" s="26" t="inlineStr">
        <is>
          <t>Day 1 - Heavy</t>
        </is>
      </c>
      <c r="B9" s="27">
        <f>'Start Here'!$B$7+56</f>
        <v/>
      </c>
      <c r="C9" s="31" t="inlineStr">
        <is>
          <t>Bench Press</t>
        </is>
      </c>
      <c r="D9" s="29" t="n">
        <v>5</v>
      </c>
      <c r="E9" s="29" t="inlineStr">
        <is>
          <t>3</t>
        </is>
      </c>
      <c r="F9" s="29" t="n">
        <v>85</v>
      </c>
      <c r="G9" s="30">
        <f>Maxes!E3</f>
        <v/>
      </c>
      <c r="H9" s="31">
        <f>IF(OR(G9="",F9=""),"",MROUND(G9*F9/100,'Start Here'!$B$6))</f>
        <v/>
      </c>
      <c r="I9" s="32" t="n"/>
      <c r="J9" s="32" t="n"/>
      <c r="K9" s="29">
        <f>IF(OR(I9="",J9=""),"",IF(J9=1,I9,ROUND(I9*(1+J9/30),1)))</f>
        <v/>
      </c>
      <c r="L9" s="33">
        <f>IF(K9="","",IF(K9&gt;=PRs!C3,"PR!",""))</f>
        <v/>
      </c>
      <c r="M9" s="32" t="n"/>
      <c r="N9" s="34" t="inlineStr"/>
    </row>
    <row r="10">
      <c r="A10" s="26" t="inlineStr">
        <is>
          <t>Day 1 - Heavy</t>
        </is>
      </c>
      <c r="B10" s="27">
        <f>'Start Here'!$B$7+56</f>
        <v/>
      </c>
      <c r="C10" s="29" t="inlineStr">
        <is>
          <t>Barbell Row</t>
        </is>
      </c>
      <c r="D10" s="29" t="n">
        <v>3</v>
      </c>
      <c r="E10" s="29" t="inlineStr">
        <is>
          <t>8-10</t>
        </is>
      </c>
      <c r="F10" s="29" t="n"/>
      <c r="G10" s="30" t="n"/>
      <c r="H10" s="31" t="n"/>
      <c r="I10" s="32" t="n"/>
      <c r="J10" s="32" t="n"/>
      <c r="K10" s="29">
        <f>IF(OR(I10="",J10=""),"",IF(J10=1,I10,ROUND(I10*(1+J10/30),1)))</f>
        <v/>
      </c>
      <c r="L10" s="33">
        <f>IF(K10="","",IF(K10&gt;=PRs!C50,"PR!",""))</f>
        <v/>
      </c>
      <c r="M10" s="32" t="n"/>
      <c r="N10" s="34" t="inlineStr">
        <is>
          <t>Leave 1-2 reps in the tank; add weight when you hit the top of the range</t>
        </is>
      </c>
    </row>
    <row r="11">
      <c r="A11" s="26" t="inlineStr">
        <is>
          <t>Day 1 - Heavy</t>
        </is>
      </c>
      <c r="B11" s="27">
        <f>'Start Here'!$B$7+56</f>
        <v/>
      </c>
      <c r="C11" s="29" t="inlineStr">
        <is>
          <t>Face Pull</t>
        </is>
      </c>
      <c r="D11" s="29" t="n">
        <v>3</v>
      </c>
      <c r="E11" s="29" t="inlineStr">
        <is>
          <t>12-15</t>
        </is>
      </c>
      <c r="F11" s="29" t="n"/>
      <c r="G11" s="30" t="n"/>
      <c r="H11" s="31" t="n"/>
      <c r="I11" s="32" t="n"/>
      <c r="J11" s="32" t="n"/>
      <c r="K11" s="29">
        <f>IF(OR(I11="",J11=""),"",IF(J11=1,I11,ROUND(I11*(1+J11/30),1)))</f>
        <v/>
      </c>
      <c r="L11" s="33">
        <f>IF(K11="","",IF(K11&gt;=PRs!C51,"PR!",""))</f>
        <v/>
      </c>
      <c r="M11" s="32" t="n"/>
      <c r="N11" s="34" t="inlineStr">
        <is>
          <t>Leave 1-2 reps in the tank; add weight when you hit the top of the range</t>
        </is>
      </c>
    </row>
    <row r="12">
      <c r="A12" s="26" t="inlineStr">
        <is>
          <t>Day 2 - Light</t>
        </is>
      </c>
      <c r="B12" s="27">
        <f>'Start Here'!$B$7+58</f>
        <v/>
      </c>
      <c r="C12" s="28" t="inlineStr">
        <is>
          <t>Broad Jump</t>
        </is>
      </c>
      <c r="D12" s="29" t="n">
        <v>3</v>
      </c>
      <c r="E12" s="29" t="inlineStr">
        <is>
          <t>2</t>
        </is>
      </c>
      <c r="F12" s="29" t="n"/>
      <c r="G12" s="30" t="n"/>
      <c r="H12" s="31" t="n"/>
      <c r="I12" s="32" t="n"/>
      <c r="J12" s="32" t="n"/>
      <c r="K12" s="29" t="n"/>
      <c r="L12" s="33">
        <f>IF(I12="","",IF(I12&gt;=PRs!D70,"PR!",""))</f>
        <v/>
      </c>
      <c r="M12" s="32" t="n"/>
      <c r="N12" s="34" t="inlineStr">
        <is>
          <t>Two-foot jump for distance, stick the landing. Full reset between reps. Log your best distance</t>
        </is>
      </c>
    </row>
    <row r="13">
      <c r="A13" s="26" t="inlineStr">
        <is>
          <t>Day 2 - Light</t>
        </is>
      </c>
      <c r="B13" s="27">
        <f>'Start Here'!$B$7+58</f>
        <v/>
      </c>
      <c r="C13" s="31" t="inlineStr">
        <is>
          <t>Clean &amp; Jerk</t>
        </is>
      </c>
      <c r="D13" s="29" t="n">
        <v>5</v>
      </c>
      <c r="E13" s="29" t="inlineStr">
        <is>
          <t>2</t>
        </is>
      </c>
      <c r="F13" s="29" t="n">
        <v>85</v>
      </c>
      <c r="G13" s="30">
        <f>Maxes!E7</f>
        <v/>
      </c>
      <c r="H13" s="31">
        <f>IF(OR(G13="",F13=""),"",MROUND(G13*F13/100,'Start Here'!$B$6))</f>
        <v/>
      </c>
      <c r="I13" s="32" t="n"/>
      <c r="J13" s="32" t="n"/>
      <c r="K13" s="29">
        <f>IF(OR(I13="",J13=""),"",IF(J13=1,I13,ROUND(I13*(1+J13/30),1)))</f>
        <v/>
      </c>
      <c r="L13" s="33">
        <f>IF(K13="","",IF(K13&gt;=PRs!C7,"PR!",""))</f>
        <v/>
      </c>
      <c r="M13" s="32" t="n"/>
      <c r="N13" s="34" t="inlineStr"/>
    </row>
    <row r="14">
      <c r="A14" s="26" t="inlineStr">
        <is>
          <t>Day 2 - Light</t>
        </is>
      </c>
      <c r="B14" s="27">
        <f>'Start Here'!$B$7+58</f>
        <v/>
      </c>
      <c r="C14" s="31" t="inlineStr">
        <is>
          <t>Squat</t>
        </is>
      </c>
      <c r="D14" s="29" t="n">
        <v>4</v>
      </c>
      <c r="E14" s="29" t="inlineStr">
        <is>
          <t>5</t>
        </is>
      </c>
      <c r="F14" s="29" t="n">
        <v>67.5</v>
      </c>
      <c r="G14" s="30">
        <f>Maxes!E2</f>
        <v/>
      </c>
      <c r="H14" s="31">
        <f>IF(OR(G14="",F14=""),"",MROUND(G14*F14/100,'Start Here'!$B$6))</f>
        <v/>
      </c>
      <c r="I14" s="32" t="n"/>
      <c r="J14" s="32" t="n"/>
      <c r="K14" s="29">
        <f>IF(OR(I14="",J14=""),"",IF(J14=1,I14,ROUND(I14*(1+J14/30),1)))</f>
        <v/>
      </c>
      <c r="L14" s="33">
        <f>IF(K14="","",IF(K14&gt;=PRs!C2,"PR!",""))</f>
        <v/>
      </c>
      <c r="M14" s="32" t="n"/>
      <c r="N14" s="34" t="inlineStr"/>
    </row>
    <row r="15">
      <c r="A15" s="26" t="inlineStr">
        <is>
          <t>Day 2 - Light</t>
        </is>
      </c>
      <c r="B15" s="27">
        <f>'Start Here'!$B$7+58</f>
        <v/>
      </c>
      <c r="C15" s="31" t="inlineStr">
        <is>
          <t>Overhead Press</t>
        </is>
      </c>
      <c r="D15" s="29" t="n">
        <v>4</v>
      </c>
      <c r="E15" s="29" t="inlineStr">
        <is>
          <t>5</t>
        </is>
      </c>
      <c r="F15" s="29" t="n">
        <v>77.5</v>
      </c>
      <c r="G15" s="30">
        <f>Maxes!E5</f>
        <v/>
      </c>
      <c r="H15" s="31">
        <f>IF(OR(G15="",F15=""),"",MROUND(G15*F15/100,'Start Here'!$B$6))</f>
        <v/>
      </c>
      <c r="I15" s="32" t="n"/>
      <c r="J15" s="32" t="n"/>
      <c r="K15" s="29">
        <f>IF(OR(I15="",J15=""),"",IF(J15=1,I15,ROUND(I15*(1+J15/30),1)))</f>
        <v/>
      </c>
      <c r="L15" s="33">
        <f>IF(K15="","",IF(K15&gt;=PRs!C5,"PR!",""))</f>
        <v/>
      </c>
      <c r="M15" s="32" t="n"/>
      <c r="N15" s="34" t="inlineStr"/>
    </row>
    <row r="16">
      <c r="A16" s="26" t="inlineStr">
        <is>
          <t>Day 2 - Light</t>
        </is>
      </c>
      <c r="B16" s="27">
        <f>'Start Here'!$B$7+58</f>
        <v/>
      </c>
      <c r="C16" s="31" t="inlineStr">
        <is>
          <t>Deadlift</t>
        </is>
      </c>
      <c r="D16" s="29" t="n">
        <v>3</v>
      </c>
      <c r="E16" s="29" t="inlineStr">
        <is>
          <t>5</t>
        </is>
      </c>
      <c r="F16" s="29" t="n">
        <v>77.5</v>
      </c>
      <c r="G16" s="30">
        <f>Maxes!E4</f>
        <v/>
      </c>
      <c r="H16" s="31">
        <f>IF(OR(G16="",F16=""),"",MROUND(G16*F16/100,'Start Here'!$B$6))</f>
        <v/>
      </c>
      <c r="I16" s="32" t="n"/>
      <c r="J16" s="32" t="n"/>
      <c r="K16" s="29">
        <f>IF(OR(I16="",J16=""),"",IF(J16=1,I16,ROUND(I16*(1+J16/30),1)))</f>
        <v/>
      </c>
      <c r="L16" s="33">
        <f>IF(K16="","",IF(K16&gt;=PRs!C4,"PR!",""))</f>
        <v/>
      </c>
      <c r="M16" s="32" t="n"/>
      <c r="N16" s="34" t="inlineStr"/>
    </row>
    <row r="17">
      <c r="A17" s="26" t="inlineStr">
        <is>
          <t>Day 2 - Light</t>
        </is>
      </c>
      <c r="B17" s="27">
        <f>'Start Here'!$B$7+58</f>
        <v/>
      </c>
      <c r="C17" s="29" t="inlineStr">
        <is>
          <t>Chin-up</t>
        </is>
      </c>
      <c r="D17" s="29" t="n">
        <v>3</v>
      </c>
      <c r="E17" s="29" t="inlineStr">
        <is>
          <t>6-10</t>
        </is>
      </c>
      <c r="F17" s="29" t="n"/>
      <c r="G17" s="30" t="n"/>
      <c r="H17" s="31" t="n"/>
      <c r="I17" s="32" t="n"/>
      <c r="J17" s="32" t="n"/>
      <c r="K17" s="29">
        <f>IF(OR(I17="",J17=""),"",IF(J17=1,I17,ROUND(I17*(1+J17/30),1)))</f>
        <v/>
      </c>
      <c r="L17" s="33">
        <f>IF(K17="","",IF(K17&gt;=PRs!C53,"PR!",""))</f>
        <v/>
      </c>
      <c r="M17" s="32" t="n"/>
      <c r="N17" s="34" t="inlineStr">
        <is>
          <t>Leave 1-2 reps in the tank; add weight when you hit the top of the range</t>
        </is>
      </c>
    </row>
    <row r="18">
      <c r="A18" s="26" t="inlineStr">
        <is>
          <t>Day 2 - Light</t>
        </is>
      </c>
      <c r="B18" s="27">
        <f>'Start Here'!$B$7+58</f>
        <v/>
      </c>
      <c r="C18" s="29" t="inlineStr">
        <is>
          <t>Plank</t>
        </is>
      </c>
      <c r="D18" s="29" t="n">
        <v>3</v>
      </c>
      <c r="E18" s="29" t="inlineStr">
        <is>
          <t>30-60s</t>
        </is>
      </c>
      <c r="F18" s="29" t="n"/>
      <c r="G18" s="30" t="n"/>
      <c r="H18" s="31" t="n"/>
      <c r="I18" s="32" t="n"/>
      <c r="J18" s="32" t="n"/>
      <c r="K18" s="29">
        <f>IF(OR(I18="",J18=""),"",IF(J18=1,I18,ROUND(I18*(1+J18/30),1)))</f>
        <v/>
      </c>
      <c r="L18" s="33">
        <f>IF(K18="","",IF(K18&gt;=PRs!C56,"PR!",""))</f>
        <v/>
      </c>
      <c r="M18" s="32" t="n"/>
      <c r="N18" s="34" t="inlineStr">
        <is>
          <t>Leave 1-2 reps in the tank; add weight when you hit the top of the range</t>
        </is>
      </c>
    </row>
    <row r="19">
      <c r="A19" s="26" t="inlineStr">
        <is>
          <t>Day 3 - Variations</t>
        </is>
      </c>
      <c r="B19" s="27">
        <f>'Start Here'!$B$7+60</f>
        <v/>
      </c>
      <c r="C19" s="28" t="inlineStr">
        <is>
          <t>Box Jump</t>
        </is>
      </c>
      <c r="D19" s="29" t="n">
        <v>3</v>
      </c>
      <c r="E19" s="29" t="inlineStr">
        <is>
          <t>2</t>
        </is>
      </c>
      <c r="F19" s="29" t="n"/>
      <c r="G19" s="30" t="n"/>
      <c r="H19" s="31">
        <f>IFERROR(IF(PRs!D69&lt;'Start Here'!$H$15,'Start Here'!$H$15,IF(PRs!D69&lt;'Start Here'!$H$16,'Start Here'!$H$16,IF(PRs!D69&lt;'Start Here'!$H$17,'Start Here'!$H$17,IF(PRs!D69&lt;'Start Here'!$H$18,'Start Here'!$H$18,"Elite!")))),"")</f>
        <v/>
      </c>
      <c r="I19" s="32" t="n"/>
      <c r="J19" s="32" t="n"/>
      <c r="K19" s="29" t="n"/>
      <c r="L19" s="33">
        <f>IF(I19="","",IF(I19&gt;=PRs!D69,"PR!",""))</f>
        <v/>
      </c>
      <c r="M19" s="32" t="n"/>
      <c r="N19" s="34" t="inlineStr">
        <is>
          <t>Explode up, land softly, STEP down. Full reset between reps. Log your box height; check the standards</t>
        </is>
      </c>
    </row>
    <row r="20">
      <c r="A20" s="26" t="inlineStr">
        <is>
          <t>Day 3 - Variations</t>
        </is>
      </c>
      <c r="B20" s="27">
        <f>'Start Here'!$B$7+60</f>
        <v/>
      </c>
      <c r="C20" s="31" t="inlineStr">
        <is>
          <t>Hang Snatch</t>
        </is>
      </c>
      <c r="D20" s="29" t="n">
        <v>4</v>
      </c>
      <c r="E20" s="29" t="inlineStr">
        <is>
          <t>3</t>
        </is>
      </c>
      <c r="F20" s="29" t="n">
        <v>77.5</v>
      </c>
      <c r="G20" s="30">
        <f>Maxes!E35</f>
        <v/>
      </c>
      <c r="H20" s="31">
        <f>IF(OR(G20="",F20=""),"",MROUND(G20*F20/100,'Start Here'!$B$6))</f>
        <v/>
      </c>
      <c r="I20" s="32" t="n"/>
      <c r="J20" s="32" t="n"/>
      <c r="K20" s="29">
        <f>IF(OR(I20="",J20=""),"",IF(J20=1,I20,ROUND(I20*(1+J20/30),1)))</f>
        <v/>
      </c>
      <c r="L20" s="33">
        <f>IF(K20="","",IF(K20&gt;=PRs!C35,"PR!",""))</f>
        <v/>
      </c>
      <c r="M20" s="32" t="n"/>
      <c r="N20" s="34" t="inlineStr"/>
    </row>
    <row r="21">
      <c r="A21" s="26" t="inlineStr">
        <is>
          <t>Day 3 - Variations</t>
        </is>
      </c>
      <c r="B21" s="27">
        <f>'Start Here'!$B$7+60</f>
        <v/>
      </c>
      <c r="C21" s="31" t="inlineStr">
        <is>
          <t>Front Squat</t>
        </is>
      </c>
      <c r="D21" s="29" t="n">
        <v>4</v>
      </c>
      <c r="E21" s="29" t="inlineStr">
        <is>
          <t>5</t>
        </is>
      </c>
      <c r="F21" s="29" t="n">
        <v>77.5</v>
      </c>
      <c r="G21" s="30">
        <f>Maxes!E10</f>
        <v/>
      </c>
      <c r="H21" s="31">
        <f>IF(OR(G21="",F21=""),"",MROUND(G21*F21/100,'Start Here'!$B$6))</f>
        <v/>
      </c>
      <c r="I21" s="32" t="n"/>
      <c r="J21" s="32" t="n"/>
      <c r="K21" s="29">
        <f>IF(OR(I21="",J21=""),"",IF(J21=1,I21,ROUND(I21*(1+J21/30),1)))</f>
        <v/>
      </c>
      <c r="L21" s="33">
        <f>IF(K21="","",IF(K21&gt;=PRs!C10,"PR!",""))</f>
        <v/>
      </c>
      <c r="M21" s="32" t="n"/>
      <c r="N21" s="34" t="inlineStr"/>
    </row>
    <row r="22">
      <c r="A22" s="26" t="inlineStr">
        <is>
          <t>Day 3 - Variations</t>
        </is>
      </c>
      <c r="B22" s="27">
        <f>'Start Here'!$B$7+60</f>
        <v/>
      </c>
      <c r="C22" s="31" t="inlineStr">
        <is>
          <t>Pause Bench Press</t>
        </is>
      </c>
      <c r="D22" s="29" t="n">
        <v>4</v>
      </c>
      <c r="E22" s="29" t="inlineStr">
        <is>
          <t>5</t>
        </is>
      </c>
      <c r="F22" s="29" t="n">
        <v>77.5</v>
      </c>
      <c r="G22" s="30">
        <f>Maxes!E18</f>
        <v/>
      </c>
      <c r="H22" s="31">
        <f>IF(OR(G22="",F22=""),"",MROUND(G22*F22/100,'Start Here'!$B$6))</f>
        <v/>
      </c>
      <c r="I22" s="32" t="n"/>
      <c r="J22" s="32" t="n"/>
      <c r="K22" s="29">
        <f>IF(OR(I22="",J22=""),"",IF(J22=1,I22,ROUND(I22*(1+J22/30),1)))</f>
        <v/>
      </c>
      <c r="L22" s="33">
        <f>IF(K22="","",IF(K22&gt;=PRs!C18,"PR!",""))</f>
        <v/>
      </c>
      <c r="M22" s="32" t="n"/>
      <c r="N22" s="34" t="inlineStr"/>
    </row>
    <row r="23">
      <c r="A23" s="26" t="inlineStr">
        <is>
          <t>Day 3 - Variations</t>
        </is>
      </c>
      <c r="B23" s="27">
        <f>'Start Here'!$B$7+60</f>
        <v/>
      </c>
      <c r="C23" s="31" t="inlineStr">
        <is>
          <t>Paused Deadlift</t>
        </is>
      </c>
      <c r="D23" s="29" t="n">
        <v>4</v>
      </c>
      <c r="E23" s="29" t="inlineStr">
        <is>
          <t>5</t>
        </is>
      </c>
      <c r="F23" s="29" t="n">
        <v>67.5</v>
      </c>
      <c r="G23" s="30">
        <f>Maxes!E25</f>
        <v/>
      </c>
      <c r="H23" s="31">
        <f>IF(OR(G23="",F23=""),"",MROUND(G23*F23/100,'Start Here'!$B$6))</f>
        <v/>
      </c>
      <c r="I23" s="32" t="n"/>
      <c r="J23" s="32" t="n"/>
      <c r="K23" s="29">
        <f>IF(OR(I23="",J23=""),"",IF(J23=1,I23,ROUND(I23*(1+J23/30),1)))</f>
        <v/>
      </c>
      <c r="L23" s="33">
        <f>IF(K23="","",IF(K23&gt;=PRs!C25,"PR!",""))</f>
        <v/>
      </c>
      <c r="M23" s="32" t="n"/>
      <c r="N23" s="34" t="inlineStr"/>
    </row>
    <row r="24">
      <c r="A24" s="26" t="inlineStr">
        <is>
          <t>Day 3 - Variations</t>
        </is>
      </c>
      <c r="B24" s="27">
        <f>'Start Here'!$B$7+60</f>
        <v/>
      </c>
      <c r="C24" s="29" t="inlineStr">
        <is>
          <t>Incline Dumbbell Press</t>
        </is>
      </c>
      <c r="D24" s="29" t="n">
        <v>3</v>
      </c>
      <c r="E24" s="29" t="inlineStr">
        <is>
          <t>8-12</t>
        </is>
      </c>
      <c r="F24" s="29" t="n"/>
      <c r="G24" s="30" t="n"/>
      <c r="H24" s="31" t="n"/>
      <c r="I24" s="32" t="n"/>
      <c r="J24" s="32" t="n"/>
      <c r="K24" s="29">
        <f>IF(OR(I24="",J24=""),"",IF(J24=1,I24,ROUND(I24*(1+J24/30),1)))</f>
        <v/>
      </c>
      <c r="L24" s="33">
        <f>IF(K24="","",IF(K24&gt;=PRs!C57,"PR!",""))</f>
        <v/>
      </c>
      <c r="M24" s="32" t="n"/>
      <c r="N24" s="34" t="inlineStr">
        <is>
          <t>Leave 1-2 reps in the tank; add weight when you hit the top of the range</t>
        </is>
      </c>
    </row>
    <row r="25">
      <c r="A25" s="26" t="inlineStr">
        <is>
          <t>Day 3 - Variations</t>
        </is>
      </c>
      <c r="B25" s="27">
        <f>'Start Here'!$B$7+60</f>
        <v/>
      </c>
      <c r="C25" s="29" t="inlineStr">
        <is>
          <t>Triceps Pushdown</t>
        </is>
      </c>
      <c r="D25" s="29" t="n">
        <v>3</v>
      </c>
      <c r="E25" s="29" t="inlineStr">
        <is>
          <t>10-15</t>
        </is>
      </c>
      <c r="F25" s="29" t="n"/>
      <c r="G25" s="30" t="n"/>
      <c r="H25" s="31" t="n"/>
      <c r="I25" s="32" t="n"/>
      <c r="J25" s="32" t="n"/>
      <c r="K25" s="29">
        <f>IF(OR(I25="",J25=""),"",IF(J25=1,I25,ROUND(I25*(1+J25/30),1)))</f>
        <v/>
      </c>
      <c r="L25" s="33">
        <f>IF(K25="","",IF(K25&gt;=PRs!C59,"PR!",""))</f>
        <v/>
      </c>
      <c r="M25" s="32" t="n"/>
      <c r="N25" s="34" t="inlineStr">
        <is>
          <t>Leave 1-2 reps in the tank; add weight when you hit the top of the range</t>
        </is>
      </c>
    </row>
  </sheetData>
  <hyperlinks>
    <hyperlink xmlns:r="http://schemas.openxmlformats.org/officeDocument/2006/relationships" ref="A2" r:id="rId1"/>
    <hyperlink xmlns:r="http://schemas.openxmlformats.org/officeDocument/2006/relationships" ref="C2" r:id="rId2"/>
    <hyperlink xmlns:r="http://schemas.openxmlformats.org/officeDocument/2006/relationships" ref="E2" r:id="rId3"/>
  </hyperlinks>
  <pageMargins left="0.75" right="0.75" top="1" bottom="1" header="0.5" footer="0.5"/>
  <pageSetup orientation="landscape" fitToHeight="0" fitToWidth="1"/>
</worksheet>
</file>

<file path=xl/worksheets/sheet12.xml><?xml version="1.0" encoding="utf-8"?>
<worksheet xmlns="http://schemas.openxmlformats.org/spreadsheetml/2006/main">
  <sheetPr>
    <tabColor rgb="00F8D7D7"/>
    <outlinePr summaryBelow="1" summaryRight="1"/>
    <pageSetUpPr fitToPage="1"/>
  </sheetPr>
  <dimension ref="A1:N25"/>
  <sheetViews>
    <sheetView workbookViewId="0">
      <pane xSplit="3" ySplit="5" topLeftCell="D6" activePane="bottomRight" state="frozen"/>
      <selection pane="topRight"/>
      <selection pane="bottomLeft"/>
      <selection pane="bottomRight" activeCell="A1" sqref="A1"/>
    </sheetView>
  </sheetViews>
  <sheetFormatPr baseColWidth="8" defaultRowHeight="15"/>
  <cols>
    <col width="17" customWidth="1" min="1" max="1"/>
    <col width="11" customWidth="1" min="2" max="2"/>
    <col width="24" customWidth="1" min="3" max="3"/>
    <col width="5" customWidth="1" min="4" max="4"/>
    <col width="6" customWidth="1" min="5" max="5"/>
    <col width="6" customWidth="1" min="6" max="6"/>
    <col width="9" customWidth="1" min="7" max="7"/>
    <col width="10" customWidth="1" min="8" max="8"/>
    <col width="13" customWidth="1" min="9" max="9"/>
    <col width="8" customWidth="1" min="10" max="10"/>
    <col width="9" customWidth="1" min="11" max="11"/>
    <col width="5" customWidth="1" min="12" max="12"/>
    <col width="22" customWidth="1" min="13" max="13"/>
    <col width="62" customWidth="1" min="14" max="14"/>
  </cols>
  <sheetData>
    <row r="1">
      <c r="A1" s="24" t="inlineStr">
        <is>
          <t>Week 10 - Cycle 1 - Realization</t>
        </is>
      </c>
    </row>
    <row r="2">
      <c r="A2" s="25" t="inlineStr">
        <is>
          <t>&lt; Week 09</t>
        </is>
      </c>
      <c r="C2" s="25" t="inlineStr">
        <is>
          <t>Start Here</t>
        </is>
      </c>
      <c r="E2" s="25" t="inlineStr">
        <is>
          <t>Week 11 &gt;</t>
        </is>
      </c>
    </row>
    <row r="3">
      <c r="A3" s="10" t="inlineStr">
        <is>
          <t>Bodyweight this week</t>
        </is>
      </c>
      <c r="C3" s="4" t="n"/>
      <c r="D3" t="inlineStr">
        <is>
          <t>Weigh in once this week: same morning routine, before eating.</t>
        </is>
      </c>
    </row>
    <row r="4">
      <c r="A4" s="35" t="inlineStr">
        <is>
          <t>Body fat test due this week (month 3) - enter it on the Body sheet</t>
        </is>
      </c>
    </row>
    <row r="5">
      <c r="A5" s="5" t="inlineStr">
        <is>
          <t>Day</t>
        </is>
      </c>
      <c r="B5" s="5" t="inlineStr">
        <is>
          <t>Date</t>
        </is>
      </c>
      <c r="C5" s="5" t="inlineStr">
        <is>
          <t>Exercise</t>
        </is>
      </c>
      <c r="D5" s="5" t="inlineStr">
        <is>
          <t>Sets</t>
        </is>
      </c>
      <c r="E5" s="5" t="inlineStr">
        <is>
          <t>Reps</t>
        </is>
      </c>
      <c r="F5" s="5" t="inlineStr">
        <is>
          <t>% TM</t>
        </is>
      </c>
      <c r="G5" s="5" t="inlineStr">
        <is>
          <t>Training max</t>
        </is>
      </c>
      <c r="H5" s="5" t="inlineStr">
        <is>
          <t>Weight / target</t>
        </is>
      </c>
      <c r="I5" s="5" t="inlineStr">
        <is>
          <t>Actual (weight, height or distance)</t>
        </is>
      </c>
      <c r="J5" s="5" t="inlineStr">
        <is>
          <t>Actual reps</t>
        </is>
      </c>
      <c r="K5" s="5" t="inlineStr">
        <is>
          <t>Est. 1RM</t>
        </is>
      </c>
      <c r="L5" s="5" t="inlineStr">
        <is>
          <t>PR</t>
        </is>
      </c>
      <c r="M5" s="5" t="inlineStr">
        <is>
          <t>Notes</t>
        </is>
      </c>
      <c r="N5" s="5" t="inlineStr">
        <is>
          <t>Guidance</t>
        </is>
      </c>
    </row>
    <row r="6">
      <c r="A6" s="26" t="inlineStr">
        <is>
          <t>Day 1 - Heavy</t>
        </is>
      </c>
      <c r="B6" s="27">
        <f>'Start Here'!$B$7+63</f>
        <v/>
      </c>
      <c r="C6" s="28" t="inlineStr">
        <is>
          <t>Box Jump</t>
        </is>
      </c>
      <c r="D6" s="29" t="n">
        <v>3</v>
      </c>
      <c r="E6" s="29" t="inlineStr">
        <is>
          <t>2</t>
        </is>
      </c>
      <c r="F6" s="29" t="n"/>
      <c r="G6" s="30" t="n"/>
      <c r="H6" s="31">
        <f>IFERROR(IF(PRs!D69&lt;'Start Here'!$H$15,'Start Here'!$H$15,IF(PRs!D69&lt;'Start Here'!$H$16,'Start Here'!$H$16,IF(PRs!D69&lt;'Start Here'!$H$17,'Start Here'!$H$17,IF(PRs!D69&lt;'Start Here'!$H$18,'Start Here'!$H$18,"Elite!")))),"")</f>
        <v/>
      </c>
      <c r="I6" s="32" t="n"/>
      <c r="J6" s="32" t="n"/>
      <c r="K6" s="29" t="n"/>
      <c r="L6" s="33">
        <f>IF(I6="","",IF(I6&gt;=PRs!D69,"PR!",""))</f>
        <v/>
      </c>
      <c r="M6" s="32" t="n"/>
      <c r="N6" s="34" t="inlineStr">
        <is>
          <t>Explode up, land softly, STEP down. Full reset between reps. Log your box height; check the standards</t>
        </is>
      </c>
    </row>
    <row r="7">
      <c r="A7" s="26" t="inlineStr">
        <is>
          <t>Day 1 - Heavy</t>
        </is>
      </c>
      <c r="B7" s="27">
        <f>'Start Here'!$B$7+63</f>
        <v/>
      </c>
      <c r="C7" s="31" t="inlineStr">
        <is>
          <t>Snatch</t>
        </is>
      </c>
      <c r="D7" s="29" t="n">
        <v>4</v>
      </c>
      <c r="E7" s="29" t="inlineStr">
        <is>
          <t>1</t>
        </is>
      </c>
      <c r="F7" s="29" t="n">
        <v>90</v>
      </c>
      <c r="G7" s="30">
        <f>Maxes!E6</f>
        <v/>
      </c>
      <c r="H7" s="31">
        <f>IF(OR(G7="",F7=""),"",MROUND(G7*F7/100,'Start Here'!$B$6))</f>
        <v/>
      </c>
      <c r="I7" s="32" t="n"/>
      <c r="J7" s="32" t="n"/>
      <c r="K7" s="29">
        <f>IF(OR(I7="",J7=""),"",IF(J7=1,I7,ROUND(I7*(1+J7/30),1)))</f>
        <v/>
      </c>
      <c r="L7" s="33">
        <f>IF(K7="","",IF(K7&gt;=PRs!C6,"PR!",""))</f>
        <v/>
      </c>
      <c r="M7" s="32" t="n"/>
      <c r="N7" s="34" t="inlineStr"/>
    </row>
    <row r="8">
      <c r="A8" s="26" t="inlineStr">
        <is>
          <t>Day 1 - Heavy</t>
        </is>
      </c>
      <c r="B8" s="27">
        <f>'Start Here'!$B$7+63</f>
        <v/>
      </c>
      <c r="C8" s="31" t="inlineStr">
        <is>
          <t>Squat</t>
        </is>
      </c>
      <c r="D8" s="29" t="n">
        <v>4</v>
      </c>
      <c r="E8" s="29" t="inlineStr">
        <is>
          <t>2</t>
        </is>
      </c>
      <c r="F8" s="29" t="n">
        <v>90</v>
      </c>
      <c r="G8" s="30">
        <f>Maxes!E2</f>
        <v/>
      </c>
      <c r="H8" s="31">
        <f>IF(OR(G8="",F8=""),"",MROUND(G8*F8/100,'Start Here'!$B$6))</f>
        <v/>
      </c>
      <c r="I8" s="32" t="n"/>
      <c r="J8" s="32" t="n"/>
      <c r="K8" s="29">
        <f>IF(OR(I8="",J8=""),"",IF(J8=1,I8,ROUND(I8*(1+J8/30),1)))</f>
        <v/>
      </c>
      <c r="L8" s="33">
        <f>IF(K8="","",IF(K8&gt;=PRs!C2,"PR!",""))</f>
        <v/>
      </c>
      <c r="M8" s="32" t="n"/>
      <c r="N8" s="34" t="inlineStr"/>
    </row>
    <row r="9">
      <c r="A9" s="26" t="inlineStr">
        <is>
          <t>Day 1 - Heavy</t>
        </is>
      </c>
      <c r="B9" s="27">
        <f>'Start Here'!$B$7+63</f>
        <v/>
      </c>
      <c r="C9" s="31" t="inlineStr">
        <is>
          <t>Bench Press</t>
        </is>
      </c>
      <c r="D9" s="29" t="n">
        <v>4</v>
      </c>
      <c r="E9" s="29" t="inlineStr">
        <is>
          <t>2</t>
        </is>
      </c>
      <c r="F9" s="29" t="n">
        <v>90</v>
      </c>
      <c r="G9" s="30">
        <f>Maxes!E3</f>
        <v/>
      </c>
      <c r="H9" s="31">
        <f>IF(OR(G9="",F9=""),"",MROUND(G9*F9/100,'Start Here'!$B$6))</f>
        <v/>
      </c>
      <c r="I9" s="32" t="n"/>
      <c r="J9" s="32" t="n"/>
      <c r="K9" s="29">
        <f>IF(OR(I9="",J9=""),"",IF(J9=1,I9,ROUND(I9*(1+J9/30),1)))</f>
        <v/>
      </c>
      <c r="L9" s="33">
        <f>IF(K9="","",IF(K9&gt;=PRs!C3,"PR!",""))</f>
        <v/>
      </c>
      <c r="M9" s="32" t="n"/>
      <c r="N9" s="34" t="inlineStr"/>
    </row>
    <row r="10">
      <c r="A10" s="26" t="inlineStr">
        <is>
          <t>Day 1 - Heavy</t>
        </is>
      </c>
      <c r="B10" s="27">
        <f>'Start Here'!$B$7+63</f>
        <v/>
      </c>
      <c r="C10" s="29" t="inlineStr">
        <is>
          <t>Barbell Row</t>
        </is>
      </c>
      <c r="D10" s="29" t="n">
        <v>3</v>
      </c>
      <c r="E10" s="29" t="inlineStr">
        <is>
          <t>8-10</t>
        </is>
      </c>
      <c r="F10" s="29" t="n"/>
      <c r="G10" s="30" t="n"/>
      <c r="H10" s="31" t="n"/>
      <c r="I10" s="32" t="n"/>
      <c r="J10" s="32" t="n"/>
      <c r="K10" s="29">
        <f>IF(OR(I10="",J10=""),"",IF(J10=1,I10,ROUND(I10*(1+J10/30),1)))</f>
        <v/>
      </c>
      <c r="L10" s="33">
        <f>IF(K10="","",IF(K10&gt;=PRs!C50,"PR!",""))</f>
        <v/>
      </c>
      <c r="M10" s="32" t="n"/>
      <c r="N10" s="34" t="inlineStr">
        <is>
          <t>Leave 1-2 reps in the tank; add weight when you hit the top of the range</t>
        </is>
      </c>
    </row>
    <row r="11">
      <c r="A11" s="26" t="inlineStr">
        <is>
          <t>Day 1 - Heavy</t>
        </is>
      </c>
      <c r="B11" s="27">
        <f>'Start Here'!$B$7+63</f>
        <v/>
      </c>
      <c r="C11" s="29" t="inlineStr">
        <is>
          <t>Face Pull</t>
        </is>
      </c>
      <c r="D11" s="29" t="n">
        <v>3</v>
      </c>
      <c r="E11" s="29" t="inlineStr">
        <is>
          <t>12-15</t>
        </is>
      </c>
      <c r="F11" s="29" t="n"/>
      <c r="G11" s="30" t="n"/>
      <c r="H11" s="31" t="n"/>
      <c r="I11" s="32" t="n"/>
      <c r="J11" s="32" t="n"/>
      <c r="K11" s="29">
        <f>IF(OR(I11="",J11=""),"",IF(J11=1,I11,ROUND(I11*(1+J11/30),1)))</f>
        <v/>
      </c>
      <c r="L11" s="33">
        <f>IF(K11="","",IF(K11&gt;=PRs!C51,"PR!",""))</f>
        <v/>
      </c>
      <c r="M11" s="32" t="n"/>
      <c r="N11" s="34" t="inlineStr">
        <is>
          <t>Leave 1-2 reps in the tank; add weight when you hit the top of the range</t>
        </is>
      </c>
    </row>
    <row r="12">
      <c r="A12" s="26" t="inlineStr">
        <is>
          <t>Day 2 - Light</t>
        </is>
      </c>
      <c r="B12" s="27">
        <f>'Start Here'!$B$7+65</f>
        <v/>
      </c>
      <c r="C12" s="28" t="inlineStr">
        <is>
          <t>Broad Jump</t>
        </is>
      </c>
      <c r="D12" s="29" t="n">
        <v>3</v>
      </c>
      <c r="E12" s="29" t="inlineStr">
        <is>
          <t>2</t>
        </is>
      </c>
      <c r="F12" s="29" t="n"/>
      <c r="G12" s="30" t="n"/>
      <c r="H12" s="31" t="n"/>
      <c r="I12" s="32" t="n"/>
      <c r="J12" s="32" t="n"/>
      <c r="K12" s="29" t="n"/>
      <c r="L12" s="33">
        <f>IF(I12="","",IF(I12&gt;=PRs!D70,"PR!",""))</f>
        <v/>
      </c>
      <c r="M12" s="32" t="n"/>
      <c r="N12" s="34" t="inlineStr">
        <is>
          <t>Two-foot jump for distance, stick the landing. Full reset between reps. Log your best distance</t>
        </is>
      </c>
    </row>
    <row r="13">
      <c r="A13" s="26" t="inlineStr">
        <is>
          <t>Day 2 - Light</t>
        </is>
      </c>
      <c r="B13" s="27">
        <f>'Start Here'!$B$7+65</f>
        <v/>
      </c>
      <c r="C13" s="31" t="inlineStr">
        <is>
          <t>Clean &amp; Jerk</t>
        </is>
      </c>
      <c r="D13" s="29" t="n">
        <v>4</v>
      </c>
      <c r="E13" s="29" t="inlineStr">
        <is>
          <t>1</t>
        </is>
      </c>
      <c r="F13" s="29" t="n">
        <v>90</v>
      </c>
      <c r="G13" s="30">
        <f>Maxes!E7</f>
        <v/>
      </c>
      <c r="H13" s="31">
        <f>IF(OR(G13="",F13=""),"",MROUND(G13*F13/100,'Start Here'!$B$6))</f>
        <v/>
      </c>
      <c r="I13" s="32" t="n"/>
      <c r="J13" s="32" t="n"/>
      <c r="K13" s="29">
        <f>IF(OR(I13="",J13=""),"",IF(J13=1,I13,ROUND(I13*(1+J13/30),1)))</f>
        <v/>
      </c>
      <c r="L13" s="33">
        <f>IF(K13="","",IF(K13&gt;=PRs!C7,"PR!",""))</f>
        <v/>
      </c>
      <c r="M13" s="32" t="n"/>
      <c r="N13" s="34" t="inlineStr"/>
    </row>
    <row r="14">
      <c r="A14" s="26" t="inlineStr">
        <is>
          <t>Day 2 - Light</t>
        </is>
      </c>
      <c r="B14" s="27">
        <f>'Start Here'!$B$7+65</f>
        <v/>
      </c>
      <c r="C14" s="31" t="inlineStr">
        <is>
          <t>Squat</t>
        </is>
      </c>
      <c r="D14" s="29" t="n">
        <v>3</v>
      </c>
      <c r="E14" s="29" t="inlineStr">
        <is>
          <t>5</t>
        </is>
      </c>
      <c r="F14" s="29" t="n">
        <v>70</v>
      </c>
      <c r="G14" s="30">
        <f>Maxes!E2</f>
        <v/>
      </c>
      <c r="H14" s="31">
        <f>IF(OR(G14="",F14=""),"",MROUND(G14*F14/100,'Start Here'!$B$6))</f>
        <v/>
      </c>
      <c r="I14" s="32" t="n"/>
      <c r="J14" s="32" t="n"/>
      <c r="K14" s="29">
        <f>IF(OR(I14="",J14=""),"",IF(J14=1,I14,ROUND(I14*(1+J14/30),1)))</f>
        <v/>
      </c>
      <c r="L14" s="33">
        <f>IF(K14="","",IF(K14&gt;=PRs!C2,"PR!",""))</f>
        <v/>
      </c>
      <c r="M14" s="32" t="n"/>
      <c r="N14" s="34" t="inlineStr"/>
    </row>
    <row r="15">
      <c r="A15" s="26" t="inlineStr">
        <is>
          <t>Day 2 - Light</t>
        </is>
      </c>
      <c r="B15" s="27">
        <f>'Start Here'!$B$7+65</f>
        <v/>
      </c>
      <c r="C15" s="31" t="inlineStr">
        <is>
          <t>Overhead Press</t>
        </is>
      </c>
      <c r="D15" s="29" t="n">
        <v>5</v>
      </c>
      <c r="E15" s="29" t="inlineStr">
        <is>
          <t>3</t>
        </is>
      </c>
      <c r="F15" s="29" t="n">
        <v>80</v>
      </c>
      <c r="G15" s="30">
        <f>Maxes!E5</f>
        <v/>
      </c>
      <c r="H15" s="31">
        <f>IF(OR(G15="",F15=""),"",MROUND(G15*F15/100,'Start Here'!$B$6))</f>
        <v/>
      </c>
      <c r="I15" s="32" t="n"/>
      <c r="J15" s="32" t="n"/>
      <c r="K15" s="29">
        <f>IF(OR(I15="",J15=""),"",IF(J15=1,I15,ROUND(I15*(1+J15/30),1)))</f>
        <v/>
      </c>
      <c r="L15" s="33">
        <f>IF(K15="","",IF(K15&gt;=PRs!C5,"PR!",""))</f>
        <v/>
      </c>
      <c r="M15" s="32" t="n"/>
      <c r="N15" s="34" t="inlineStr"/>
    </row>
    <row r="16">
      <c r="A16" s="26" t="inlineStr">
        <is>
          <t>Day 2 - Light</t>
        </is>
      </c>
      <c r="B16" s="27">
        <f>'Start Here'!$B$7+65</f>
        <v/>
      </c>
      <c r="C16" s="31" t="inlineStr">
        <is>
          <t>Deadlift</t>
        </is>
      </c>
      <c r="D16" s="29" t="n">
        <v>4</v>
      </c>
      <c r="E16" s="29" t="inlineStr">
        <is>
          <t>3</t>
        </is>
      </c>
      <c r="F16" s="29" t="n">
        <v>80</v>
      </c>
      <c r="G16" s="30">
        <f>Maxes!E4</f>
        <v/>
      </c>
      <c r="H16" s="31">
        <f>IF(OR(G16="",F16=""),"",MROUND(G16*F16/100,'Start Here'!$B$6))</f>
        <v/>
      </c>
      <c r="I16" s="32" t="n"/>
      <c r="J16" s="32" t="n"/>
      <c r="K16" s="29">
        <f>IF(OR(I16="",J16=""),"",IF(J16=1,I16,ROUND(I16*(1+J16/30),1)))</f>
        <v/>
      </c>
      <c r="L16" s="33">
        <f>IF(K16="","",IF(K16&gt;=PRs!C4,"PR!",""))</f>
        <v/>
      </c>
      <c r="M16" s="32" t="n"/>
      <c r="N16" s="34" t="inlineStr"/>
    </row>
    <row r="17">
      <c r="A17" s="26" t="inlineStr">
        <is>
          <t>Day 2 - Light</t>
        </is>
      </c>
      <c r="B17" s="27">
        <f>'Start Here'!$B$7+65</f>
        <v/>
      </c>
      <c r="C17" s="29" t="inlineStr">
        <is>
          <t>Chin-up</t>
        </is>
      </c>
      <c r="D17" s="29" t="n">
        <v>3</v>
      </c>
      <c r="E17" s="29" t="inlineStr">
        <is>
          <t>6-10</t>
        </is>
      </c>
      <c r="F17" s="29" t="n"/>
      <c r="G17" s="30" t="n"/>
      <c r="H17" s="31" t="n"/>
      <c r="I17" s="32" t="n"/>
      <c r="J17" s="32" t="n"/>
      <c r="K17" s="29">
        <f>IF(OR(I17="",J17=""),"",IF(J17=1,I17,ROUND(I17*(1+J17/30),1)))</f>
        <v/>
      </c>
      <c r="L17" s="33">
        <f>IF(K17="","",IF(K17&gt;=PRs!C53,"PR!",""))</f>
        <v/>
      </c>
      <c r="M17" s="32" t="n"/>
      <c r="N17" s="34" t="inlineStr">
        <is>
          <t>Leave 1-2 reps in the tank; add weight when you hit the top of the range</t>
        </is>
      </c>
    </row>
    <row r="18">
      <c r="A18" s="26" t="inlineStr">
        <is>
          <t>Day 2 - Light</t>
        </is>
      </c>
      <c r="B18" s="27">
        <f>'Start Here'!$B$7+65</f>
        <v/>
      </c>
      <c r="C18" s="29" t="inlineStr">
        <is>
          <t>Plank</t>
        </is>
      </c>
      <c r="D18" s="29" t="n">
        <v>3</v>
      </c>
      <c r="E18" s="29" t="inlineStr">
        <is>
          <t>30-60s</t>
        </is>
      </c>
      <c r="F18" s="29" t="n"/>
      <c r="G18" s="30" t="n"/>
      <c r="H18" s="31" t="n"/>
      <c r="I18" s="32" t="n"/>
      <c r="J18" s="32" t="n"/>
      <c r="K18" s="29">
        <f>IF(OR(I18="",J18=""),"",IF(J18=1,I18,ROUND(I18*(1+J18/30),1)))</f>
        <v/>
      </c>
      <c r="L18" s="33">
        <f>IF(K18="","",IF(K18&gt;=PRs!C56,"PR!",""))</f>
        <v/>
      </c>
      <c r="M18" s="32" t="n"/>
      <c r="N18" s="34" t="inlineStr">
        <is>
          <t>Leave 1-2 reps in the tank; add weight when you hit the top of the range</t>
        </is>
      </c>
    </row>
    <row r="19">
      <c r="A19" s="26" t="inlineStr">
        <is>
          <t>Day 3 - Variations</t>
        </is>
      </c>
      <c r="B19" s="27">
        <f>'Start Here'!$B$7+67</f>
        <v/>
      </c>
      <c r="C19" s="28" t="inlineStr">
        <is>
          <t>Box Jump</t>
        </is>
      </c>
      <c r="D19" s="29" t="n">
        <v>3</v>
      </c>
      <c r="E19" s="29" t="inlineStr">
        <is>
          <t>2</t>
        </is>
      </c>
      <c r="F19" s="29" t="n"/>
      <c r="G19" s="30" t="n"/>
      <c r="H19" s="31">
        <f>IFERROR(IF(PRs!D69&lt;'Start Here'!$H$15,'Start Here'!$H$15,IF(PRs!D69&lt;'Start Here'!$H$16,'Start Here'!$H$16,IF(PRs!D69&lt;'Start Here'!$H$17,'Start Here'!$H$17,IF(PRs!D69&lt;'Start Here'!$H$18,'Start Here'!$H$18,"Elite!")))),"")</f>
        <v/>
      </c>
      <c r="I19" s="32" t="n"/>
      <c r="J19" s="32" t="n"/>
      <c r="K19" s="29" t="n"/>
      <c r="L19" s="33">
        <f>IF(I19="","",IF(I19&gt;=PRs!D69,"PR!",""))</f>
        <v/>
      </c>
      <c r="M19" s="32" t="n"/>
      <c r="N19" s="34" t="inlineStr">
        <is>
          <t>Explode up, land softly, STEP down. Full reset between reps. Log your box height; check the standards</t>
        </is>
      </c>
    </row>
    <row r="20">
      <c r="A20" s="26" t="inlineStr">
        <is>
          <t>Day 3 - Variations</t>
        </is>
      </c>
      <c r="B20" s="27">
        <f>'Start Here'!$B$7+67</f>
        <v/>
      </c>
      <c r="C20" s="31" t="inlineStr">
        <is>
          <t>Hang Snatch</t>
        </is>
      </c>
      <c r="D20" s="29" t="n">
        <v>5</v>
      </c>
      <c r="E20" s="29" t="inlineStr">
        <is>
          <t>2</t>
        </is>
      </c>
      <c r="F20" s="29" t="n">
        <v>80</v>
      </c>
      <c r="G20" s="30">
        <f>Maxes!E35</f>
        <v/>
      </c>
      <c r="H20" s="31">
        <f>IF(OR(G20="",F20=""),"",MROUND(G20*F20/100,'Start Here'!$B$6))</f>
        <v/>
      </c>
      <c r="I20" s="32" t="n"/>
      <c r="J20" s="32" t="n"/>
      <c r="K20" s="29">
        <f>IF(OR(I20="",J20=""),"",IF(J20=1,I20,ROUND(I20*(1+J20/30),1)))</f>
        <v/>
      </c>
      <c r="L20" s="33">
        <f>IF(K20="","",IF(K20&gt;=PRs!C35,"PR!",""))</f>
        <v/>
      </c>
      <c r="M20" s="32" t="n"/>
      <c r="N20" s="34" t="inlineStr"/>
    </row>
    <row r="21">
      <c r="A21" s="26" t="inlineStr">
        <is>
          <t>Day 3 - Variations</t>
        </is>
      </c>
      <c r="B21" s="27">
        <f>'Start Here'!$B$7+67</f>
        <v/>
      </c>
      <c r="C21" s="31" t="inlineStr">
        <is>
          <t>Front Squat</t>
        </is>
      </c>
      <c r="D21" s="29" t="n">
        <v>5</v>
      </c>
      <c r="E21" s="29" t="inlineStr">
        <is>
          <t>3</t>
        </is>
      </c>
      <c r="F21" s="29" t="n">
        <v>80</v>
      </c>
      <c r="G21" s="30">
        <f>Maxes!E10</f>
        <v/>
      </c>
      <c r="H21" s="31">
        <f>IF(OR(G21="",F21=""),"",MROUND(G21*F21/100,'Start Here'!$B$6))</f>
        <v/>
      </c>
      <c r="I21" s="32" t="n"/>
      <c r="J21" s="32" t="n"/>
      <c r="K21" s="29">
        <f>IF(OR(I21="",J21=""),"",IF(J21=1,I21,ROUND(I21*(1+J21/30),1)))</f>
        <v/>
      </c>
      <c r="L21" s="33">
        <f>IF(K21="","",IF(K21&gt;=PRs!C10,"PR!",""))</f>
        <v/>
      </c>
      <c r="M21" s="32" t="n"/>
      <c r="N21" s="34" t="inlineStr"/>
    </row>
    <row r="22">
      <c r="A22" s="26" t="inlineStr">
        <is>
          <t>Day 3 - Variations</t>
        </is>
      </c>
      <c r="B22" s="27">
        <f>'Start Here'!$B$7+67</f>
        <v/>
      </c>
      <c r="C22" s="31" t="inlineStr">
        <is>
          <t>Pause Bench Press</t>
        </is>
      </c>
      <c r="D22" s="29" t="n">
        <v>5</v>
      </c>
      <c r="E22" s="29" t="inlineStr">
        <is>
          <t>3</t>
        </is>
      </c>
      <c r="F22" s="29" t="n">
        <v>80</v>
      </c>
      <c r="G22" s="30">
        <f>Maxes!E18</f>
        <v/>
      </c>
      <c r="H22" s="31">
        <f>IF(OR(G22="",F22=""),"",MROUND(G22*F22/100,'Start Here'!$B$6))</f>
        <v/>
      </c>
      <c r="I22" s="32" t="n"/>
      <c r="J22" s="32" t="n"/>
      <c r="K22" s="29">
        <f>IF(OR(I22="",J22=""),"",IF(J22=1,I22,ROUND(I22*(1+J22/30),1)))</f>
        <v/>
      </c>
      <c r="L22" s="33">
        <f>IF(K22="","",IF(K22&gt;=PRs!C18,"PR!",""))</f>
        <v/>
      </c>
      <c r="M22" s="32" t="n"/>
      <c r="N22" s="34" t="inlineStr"/>
    </row>
    <row r="23">
      <c r="A23" s="26" t="inlineStr">
        <is>
          <t>Day 3 - Variations</t>
        </is>
      </c>
      <c r="B23" s="27">
        <f>'Start Here'!$B$7+67</f>
        <v/>
      </c>
      <c r="C23" s="31" t="inlineStr">
        <is>
          <t>Paused Deadlift</t>
        </is>
      </c>
      <c r="D23" s="29" t="n">
        <v>3</v>
      </c>
      <c r="E23" s="29" t="inlineStr">
        <is>
          <t>5</t>
        </is>
      </c>
      <c r="F23" s="29" t="n">
        <v>70</v>
      </c>
      <c r="G23" s="30">
        <f>Maxes!E25</f>
        <v/>
      </c>
      <c r="H23" s="31">
        <f>IF(OR(G23="",F23=""),"",MROUND(G23*F23/100,'Start Here'!$B$6))</f>
        <v/>
      </c>
      <c r="I23" s="32" t="n"/>
      <c r="J23" s="32" t="n"/>
      <c r="K23" s="29">
        <f>IF(OR(I23="",J23=""),"",IF(J23=1,I23,ROUND(I23*(1+J23/30),1)))</f>
        <v/>
      </c>
      <c r="L23" s="33">
        <f>IF(K23="","",IF(K23&gt;=PRs!C25,"PR!",""))</f>
        <v/>
      </c>
      <c r="M23" s="32" t="n"/>
      <c r="N23" s="34" t="inlineStr"/>
    </row>
    <row r="24">
      <c r="A24" s="26" t="inlineStr">
        <is>
          <t>Day 3 - Variations</t>
        </is>
      </c>
      <c r="B24" s="27">
        <f>'Start Here'!$B$7+67</f>
        <v/>
      </c>
      <c r="C24" s="29" t="inlineStr">
        <is>
          <t>Incline Dumbbell Press</t>
        </is>
      </c>
      <c r="D24" s="29" t="n">
        <v>3</v>
      </c>
      <c r="E24" s="29" t="inlineStr">
        <is>
          <t>8-12</t>
        </is>
      </c>
      <c r="F24" s="29" t="n"/>
      <c r="G24" s="30" t="n"/>
      <c r="H24" s="31" t="n"/>
      <c r="I24" s="32" t="n"/>
      <c r="J24" s="32" t="n"/>
      <c r="K24" s="29">
        <f>IF(OR(I24="",J24=""),"",IF(J24=1,I24,ROUND(I24*(1+J24/30),1)))</f>
        <v/>
      </c>
      <c r="L24" s="33">
        <f>IF(K24="","",IF(K24&gt;=PRs!C57,"PR!",""))</f>
        <v/>
      </c>
      <c r="M24" s="32" t="n"/>
      <c r="N24" s="34" t="inlineStr">
        <is>
          <t>Leave 1-2 reps in the tank; add weight when you hit the top of the range</t>
        </is>
      </c>
    </row>
    <row r="25">
      <c r="A25" s="26" t="inlineStr">
        <is>
          <t>Day 3 - Variations</t>
        </is>
      </c>
      <c r="B25" s="27">
        <f>'Start Here'!$B$7+67</f>
        <v/>
      </c>
      <c r="C25" s="29" t="inlineStr">
        <is>
          <t>Triceps Pushdown</t>
        </is>
      </c>
      <c r="D25" s="29" t="n">
        <v>3</v>
      </c>
      <c r="E25" s="29" t="inlineStr">
        <is>
          <t>10-15</t>
        </is>
      </c>
      <c r="F25" s="29" t="n"/>
      <c r="G25" s="30" t="n"/>
      <c r="H25" s="31" t="n"/>
      <c r="I25" s="32" t="n"/>
      <c r="J25" s="32" t="n"/>
      <c r="K25" s="29">
        <f>IF(OR(I25="",J25=""),"",IF(J25=1,I25,ROUND(I25*(1+J25/30),1)))</f>
        <v/>
      </c>
      <c r="L25" s="33">
        <f>IF(K25="","",IF(K25&gt;=PRs!C59,"PR!",""))</f>
        <v/>
      </c>
      <c r="M25" s="32" t="n"/>
      <c r="N25" s="34" t="inlineStr">
        <is>
          <t>Leave 1-2 reps in the tank; add weight when you hit the top of the range</t>
        </is>
      </c>
    </row>
  </sheetData>
  <hyperlinks>
    <hyperlink xmlns:r="http://schemas.openxmlformats.org/officeDocument/2006/relationships" ref="A2" r:id="rId1"/>
    <hyperlink xmlns:r="http://schemas.openxmlformats.org/officeDocument/2006/relationships" ref="C2" r:id="rId2"/>
    <hyperlink xmlns:r="http://schemas.openxmlformats.org/officeDocument/2006/relationships" ref="E2" r:id="rId3"/>
    <hyperlink xmlns:r="http://schemas.openxmlformats.org/officeDocument/2006/relationships" ref="A4" r:id="rId4"/>
  </hyperlinks>
  <pageMargins left="0.75" right="0.75" top="1" bottom="1" header="0.5" footer="0.5"/>
  <pageSetup orientation="landscape" fitToHeight="0" fitToWidth="1"/>
</worksheet>
</file>

<file path=xl/worksheets/sheet13.xml><?xml version="1.0" encoding="utf-8"?>
<worksheet xmlns="http://schemas.openxmlformats.org/spreadsheetml/2006/main">
  <sheetPr>
    <tabColor rgb="00EDE0F5"/>
    <outlinePr summaryBelow="1" summaryRight="1"/>
    <pageSetUpPr fitToPage="1"/>
  </sheetPr>
  <dimension ref="A1:N25"/>
  <sheetViews>
    <sheetView workbookViewId="0">
      <pane xSplit="3" ySplit="5" topLeftCell="D6" activePane="bottomRight" state="frozen"/>
      <selection pane="topRight"/>
      <selection pane="bottomLeft"/>
      <selection pane="bottomRight" activeCell="A1" sqref="A1"/>
    </sheetView>
  </sheetViews>
  <sheetFormatPr baseColWidth="8" defaultRowHeight="15"/>
  <cols>
    <col width="17" customWidth="1" min="1" max="1"/>
    <col width="11" customWidth="1" min="2" max="2"/>
    <col width="24" customWidth="1" min="3" max="3"/>
    <col width="5" customWidth="1" min="4" max="4"/>
    <col width="6" customWidth="1" min="5" max="5"/>
    <col width="6" customWidth="1" min="6" max="6"/>
    <col width="9" customWidth="1" min="7" max="7"/>
    <col width="10" customWidth="1" min="8" max="8"/>
    <col width="13" customWidth="1" min="9" max="9"/>
    <col width="8" customWidth="1" min="10" max="10"/>
    <col width="9" customWidth="1" min="11" max="11"/>
    <col width="5" customWidth="1" min="12" max="12"/>
    <col width="22" customWidth="1" min="13" max="13"/>
    <col width="62" customWidth="1" min="14" max="14"/>
  </cols>
  <sheetData>
    <row r="1">
      <c r="A1" s="24" t="inlineStr">
        <is>
          <t>Week 11 - Cycle 1 - Taper</t>
        </is>
      </c>
    </row>
    <row r="2">
      <c r="A2" s="25" t="inlineStr">
        <is>
          <t>&lt; Week 10</t>
        </is>
      </c>
      <c r="C2" s="25" t="inlineStr">
        <is>
          <t>Start Here</t>
        </is>
      </c>
      <c r="E2" s="25" t="inlineStr">
        <is>
          <t>Week 12 &gt;</t>
        </is>
      </c>
    </row>
    <row r="3">
      <c r="A3" s="10" t="inlineStr">
        <is>
          <t>Bodyweight this week</t>
        </is>
      </c>
      <c r="C3" s="4" t="n"/>
      <c r="D3" t="inlineStr">
        <is>
          <t>Weigh in once this week: same morning routine, before eating.</t>
        </is>
      </c>
    </row>
    <row r="5">
      <c r="A5" s="5" t="inlineStr">
        <is>
          <t>Day</t>
        </is>
      </c>
      <c r="B5" s="5" t="inlineStr">
        <is>
          <t>Date</t>
        </is>
      </c>
      <c r="C5" s="5" t="inlineStr">
        <is>
          <t>Exercise</t>
        </is>
      </c>
      <c r="D5" s="5" t="inlineStr">
        <is>
          <t>Sets</t>
        </is>
      </c>
      <c r="E5" s="5" t="inlineStr">
        <is>
          <t>Reps</t>
        </is>
      </c>
      <c r="F5" s="5" t="inlineStr">
        <is>
          <t>% TM</t>
        </is>
      </c>
      <c r="G5" s="5" t="inlineStr">
        <is>
          <t>Training max</t>
        </is>
      </c>
      <c r="H5" s="5" t="inlineStr">
        <is>
          <t>Weight / target</t>
        </is>
      </c>
      <c r="I5" s="5" t="inlineStr">
        <is>
          <t>Actual (weight, height or distance)</t>
        </is>
      </c>
      <c r="J5" s="5" t="inlineStr">
        <is>
          <t>Actual reps</t>
        </is>
      </c>
      <c r="K5" s="5" t="inlineStr">
        <is>
          <t>Est. 1RM</t>
        </is>
      </c>
      <c r="L5" s="5" t="inlineStr">
        <is>
          <t>PR</t>
        </is>
      </c>
      <c r="M5" s="5" t="inlineStr">
        <is>
          <t>Notes</t>
        </is>
      </c>
      <c r="N5" s="5" t="inlineStr">
        <is>
          <t>Guidance</t>
        </is>
      </c>
    </row>
    <row r="6">
      <c r="A6" s="26" t="inlineStr">
        <is>
          <t>Day 1 - Heavy</t>
        </is>
      </c>
      <c r="B6" s="27">
        <f>'Start Here'!$B$7+70</f>
        <v/>
      </c>
      <c r="C6" s="28" t="inlineStr">
        <is>
          <t>Box Jump</t>
        </is>
      </c>
      <c r="D6" s="29" t="n">
        <v>2</v>
      </c>
      <c r="E6" s="29" t="inlineStr">
        <is>
          <t>2</t>
        </is>
      </c>
      <c r="F6" s="29" t="n"/>
      <c r="G6" s="30" t="n"/>
      <c r="H6" s="31">
        <f>IFERROR(IF(PRs!D69&lt;'Start Here'!$H$15,'Start Here'!$H$15,IF(PRs!D69&lt;'Start Here'!$H$16,'Start Here'!$H$16,IF(PRs!D69&lt;'Start Here'!$H$17,'Start Here'!$H$17,IF(PRs!D69&lt;'Start Here'!$H$18,'Start Here'!$H$18,"Elite!")))),"")</f>
        <v/>
      </c>
      <c r="I6" s="32" t="n"/>
      <c r="J6" s="32" t="n"/>
      <c r="K6" s="29" t="n"/>
      <c r="L6" s="33">
        <f>IF(I6="","",IF(I6&gt;=PRs!D69,"PR!",""))</f>
        <v/>
      </c>
      <c r="M6" s="32" t="n"/>
      <c r="N6" s="34" t="inlineStr">
        <is>
          <t>Explode up, land softly, STEP down. Full reset between reps. Log your box height; check the standards</t>
        </is>
      </c>
    </row>
    <row r="7">
      <c r="A7" s="26" t="inlineStr">
        <is>
          <t>Day 1 - Heavy</t>
        </is>
      </c>
      <c r="B7" s="27">
        <f>'Start Here'!$B$7+70</f>
        <v/>
      </c>
      <c r="C7" s="31" t="inlineStr">
        <is>
          <t>Snatch</t>
        </is>
      </c>
      <c r="D7" s="29" t="n">
        <v>3</v>
      </c>
      <c r="E7" s="29" t="inlineStr">
        <is>
          <t>1</t>
        </is>
      </c>
      <c r="F7" s="29" t="n">
        <v>80</v>
      </c>
      <c r="G7" s="30">
        <f>Maxes!E6</f>
        <v/>
      </c>
      <c r="H7" s="31">
        <f>IF(OR(G7="",F7=""),"",MROUND(G7*F7/100,'Start Here'!$B$6))</f>
        <v/>
      </c>
      <c r="I7" s="32" t="n"/>
      <c r="J7" s="32" t="n"/>
      <c r="K7" s="29">
        <f>IF(OR(I7="",J7=""),"",IF(J7=1,I7,ROUND(I7*(1+J7/30),1)))</f>
        <v/>
      </c>
      <c r="L7" s="33">
        <f>IF(K7="","",IF(K7&gt;=PRs!C6,"PR!",""))</f>
        <v/>
      </c>
      <c r="M7" s="32" t="n"/>
      <c r="N7" s="34" t="inlineStr">
        <is>
          <t>Keep it heavy but short - no grinding</t>
        </is>
      </c>
    </row>
    <row r="8">
      <c r="A8" s="26" t="inlineStr">
        <is>
          <t>Day 1 - Heavy</t>
        </is>
      </c>
      <c r="B8" s="27">
        <f>'Start Here'!$B$7+70</f>
        <v/>
      </c>
      <c r="C8" s="31" t="inlineStr">
        <is>
          <t>Squat</t>
        </is>
      </c>
      <c r="D8" s="29" t="n">
        <v>3</v>
      </c>
      <c r="E8" s="29" t="inlineStr">
        <is>
          <t>2</t>
        </is>
      </c>
      <c r="F8" s="29" t="n">
        <v>80</v>
      </c>
      <c r="G8" s="30">
        <f>Maxes!E2</f>
        <v/>
      </c>
      <c r="H8" s="31">
        <f>IF(OR(G8="",F8=""),"",MROUND(G8*F8/100,'Start Here'!$B$6))</f>
        <v/>
      </c>
      <c r="I8" s="32" t="n"/>
      <c r="J8" s="32" t="n"/>
      <c r="K8" s="29">
        <f>IF(OR(I8="",J8=""),"",IF(J8=1,I8,ROUND(I8*(1+J8/30),1)))</f>
        <v/>
      </c>
      <c r="L8" s="33">
        <f>IF(K8="","",IF(K8&gt;=PRs!C2,"PR!",""))</f>
        <v/>
      </c>
      <c r="M8" s="32" t="n"/>
      <c r="N8" s="34" t="inlineStr">
        <is>
          <t>Keep it heavy but short - no grinding</t>
        </is>
      </c>
    </row>
    <row r="9">
      <c r="A9" s="26" t="inlineStr">
        <is>
          <t>Day 1 - Heavy</t>
        </is>
      </c>
      <c r="B9" s="27">
        <f>'Start Here'!$B$7+70</f>
        <v/>
      </c>
      <c r="C9" s="31" t="inlineStr">
        <is>
          <t>Bench Press</t>
        </is>
      </c>
      <c r="D9" s="29" t="n">
        <v>3</v>
      </c>
      <c r="E9" s="29" t="inlineStr">
        <is>
          <t>2</t>
        </is>
      </c>
      <c r="F9" s="29" t="n">
        <v>80</v>
      </c>
      <c r="G9" s="30">
        <f>Maxes!E3</f>
        <v/>
      </c>
      <c r="H9" s="31">
        <f>IF(OR(G9="",F9=""),"",MROUND(G9*F9/100,'Start Here'!$B$6))</f>
        <v/>
      </c>
      <c r="I9" s="32" t="n"/>
      <c r="J9" s="32" t="n"/>
      <c r="K9" s="29">
        <f>IF(OR(I9="",J9=""),"",IF(J9=1,I9,ROUND(I9*(1+J9/30),1)))</f>
        <v/>
      </c>
      <c r="L9" s="33">
        <f>IF(K9="","",IF(K9&gt;=PRs!C3,"PR!",""))</f>
        <v/>
      </c>
      <c r="M9" s="32" t="n"/>
      <c r="N9" s="34" t="inlineStr">
        <is>
          <t>Keep it heavy but short - no grinding</t>
        </is>
      </c>
    </row>
    <row r="10">
      <c r="A10" s="26" t="inlineStr">
        <is>
          <t>Day 1 - Heavy</t>
        </is>
      </c>
      <c r="B10" s="27">
        <f>'Start Here'!$B$7+70</f>
        <v/>
      </c>
      <c r="C10" s="29" t="inlineStr">
        <is>
          <t>Barbell Row</t>
        </is>
      </c>
      <c r="D10" s="29" t="n">
        <v>2</v>
      </c>
      <c r="E10" s="29" t="inlineStr">
        <is>
          <t>8-10</t>
        </is>
      </c>
      <c r="F10" s="29" t="n"/>
      <c r="G10" s="30" t="n"/>
      <c r="H10" s="31" t="n"/>
      <c r="I10" s="32" t="n"/>
      <c r="J10" s="32" t="n"/>
      <c r="K10" s="29">
        <f>IF(OR(I10="",J10=""),"",IF(J10=1,I10,ROUND(I10*(1+J10/30),1)))</f>
        <v/>
      </c>
      <c r="L10" s="33">
        <f>IF(K10="","",IF(K10&gt;=PRs!C50,"PR!",""))</f>
        <v/>
      </c>
      <c r="M10" s="32" t="n"/>
      <c r="N10" s="34" t="inlineStr">
        <is>
          <t>Light - save energy for test week</t>
        </is>
      </c>
    </row>
    <row r="11">
      <c r="A11" s="26" t="inlineStr">
        <is>
          <t>Day 1 - Heavy</t>
        </is>
      </c>
      <c r="B11" s="27">
        <f>'Start Here'!$B$7+70</f>
        <v/>
      </c>
      <c r="C11" s="29" t="inlineStr">
        <is>
          <t>Face Pull</t>
        </is>
      </c>
      <c r="D11" s="29" t="n">
        <v>2</v>
      </c>
      <c r="E11" s="29" t="inlineStr">
        <is>
          <t>12-15</t>
        </is>
      </c>
      <c r="F11" s="29" t="n"/>
      <c r="G11" s="30" t="n"/>
      <c r="H11" s="31" t="n"/>
      <c r="I11" s="32" t="n"/>
      <c r="J11" s="32" t="n"/>
      <c r="K11" s="29">
        <f>IF(OR(I11="",J11=""),"",IF(J11=1,I11,ROUND(I11*(1+J11/30),1)))</f>
        <v/>
      </c>
      <c r="L11" s="33">
        <f>IF(K11="","",IF(K11&gt;=PRs!C51,"PR!",""))</f>
        <v/>
      </c>
      <c r="M11" s="32" t="n"/>
      <c r="N11" s="34" t="inlineStr">
        <is>
          <t>Light - save energy for test week</t>
        </is>
      </c>
    </row>
    <row r="12">
      <c r="A12" s="26" t="inlineStr">
        <is>
          <t>Day 2 - Light</t>
        </is>
      </c>
      <c r="B12" s="27">
        <f>'Start Here'!$B$7+72</f>
        <v/>
      </c>
      <c r="C12" s="28" t="inlineStr">
        <is>
          <t>Broad Jump</t>
        </is>
      </c>
      <c r="D12" s="29" t="n">
        <v>2</v>
      </c>
      <c r="E12" s="29" t="inlineStr">
        <is>
          <t>2</t>
        </is>
      </c>
      <c r="F12" s="29" t="n"/>
      <c r="G12" s="30" t="n"/>
      <c r="H12" s="31" t="n"/>
      <c r="I12" s="32" t="n"/>
      <c r="J12" s="32" t="n"/>
      <c r="K12" s="29" t="n"/>
      <c r="L12" s="33">
        <f>IF(I12="","",IF(I12&gt;=PRs!D70,"PR!",""))</f>
        <v/>
      </c>
      <c r="M12" s="32" t="n"/>
      <c r="N12" s="34" t="inlineStr">
        <is>
          <t>Two-foot jump for distance, stick the landing. Full reset between reps. Log your best distance</t>
        </is>
      </c>
    </row>
    <row r="13">
      <c r="A13" s="26" t="inlineStr">
        <is>
          <t>Day 2 - Light</t>
        </is>
      </c>
      <c r="B13" s="27">
        <f>'Start Here'!$B$7+72</f>
        <v/>
      </c>
      <c r="C13" s="31" t="inlineStr">
        <is>
          <t>Clean &amp; Jerk</t>
        </is>
      </c>
      <c r="D13" s="29" t="n">
        <v>2</v>
      </c>
      <c r="E13" s="29" t="inlineStr">
        <is>
          <t>1</t>
        </is>
      </c>
      <c r="F13" s="29" t="n">
        <v>80</v>
      </c>
      <c r="G13" s="30">
        <f>Maxes!E7</f>
        <v/>
      </c>
      <c r="H13" s="31">
        <f>IF(OR(G13="",F13=""),"",MROUND(G13*F13/100,'Start Here'!$B$6))</f>
        <v/>
      </c>
      <c r="I13" s="32" t="n"/>
      <c r="J13" s="32" t="n"/>
      <c r="K13" s="29">
        <f>IF(OR(I13="",J13=""),"",IF(J13=1,I13,ROUND(I13*(1+J13/30),1)))</f>
        <v/>
      </c>
      <c r="L13" s="33">
        <f>IF(K13="","",IF(K13&gt;=PRs!C7,"PR!",""))</f>
        <v/>
      </c>
      <c r="M13" s="32" t="n"/>
      <c r="N13" s="34" t="inlineStr">
        <is>
          <t>Keep it heavy but short - no grinding</t>
        </is>
      </c>
    </row>
    <row r="14">
      <c r="A14" s="26" t="inlineStr">
        <is>
          <t>Day 2 - Light</t>
        </is>
      </c>
      <c r="B14" s="27">
        <f>'Start Here'!$B$7+72</f>
        <v/>
      </c>
      <c r="C14" s="31" t="inlineStr">
        <is>
          <t>Squat</t>
        </is>
      </c>
      <c r="D14" s="29" t="n">
        <v>2</v>
      </c>
      <c r="E14" s="29" t="inlineStr">
        <is>
          <t>3</t>
        </is>
      </c>
      <c r="F14" s="29" t="n">
        <v>65</v>
      </c>
      <c r="G14" s="30">
        <f>Maxes!E2</f>
        <v/>
      </c>
      <c r="H14" s="31">
        <f>IF(OR(G14="",F14=""),"",MROUND(G14*F14/100,'Start Here'!$B$6))</f>
        <v/>
      </c>
      <c r="I14" s="32" t="n"/>
      <c r="J14" s="32" t="n"/>
      <c r="K14" s="29">
        <f>IF(OR(I14="",J14=""),"",IF(J14=1,I14,ROUND(I14*(1+J14/30),1)))</f>
        <v/>
      </c>
      <c r="L14" s="33">
        <f>IF(K14="","",IF(K14&gt;=PRs!C2,"PR!",""))</f>
        <v/>
      </c>
      <c r="M14" s="32" t="n"/>
      <c r="N14" s="34" t="inlineStr">
        <is>
          <t>Easy</t>
        </is>
      </c>
    </row>
    <row r="15">
      <c r="A15" s="26" t="inlineStr">
        <is>
          <t>Day 2 - Light</t>
        </is>
      </c>
      <c r="B15" s="27">
        <f>'Start Here'!$B$7+72</f>
        <v/>
      </c>
      <c r="C15" s="31" t="inlineStr">
        <is>
          <t>Overhead Press</t>
        </is>
      </c>
      <c r="D15" s="29" t="n">
        <v>2</v>
      </c>
      <c r="E15" s="29" t="inlineStr">
        <is>
          <t>2</t>
        </is>
      </c>
      <c r="F15" s="29" t="n">
        <v>80</v>
      </c>
      <c r="G15" s="30">
        <f>Maxes!E5</f>
        <v/>
      </c>
      <c r="H15" s="31">
        <f>IF(OR(G15="",F15=""),"",MROUND(G15*F15/100,'Start Here'!$B$6))</f>
        <v/>
      </c>
      <c r="I15" s="32" t="n"/>
      <c r="J15" s="32" t="n"/>
      <c r="K15" s="29">
        <f>IF(OR(I15="",J15=""),"",IF(J15=1,I15,ROUND(I15*(1+J15/30),1)))</f>
        <v/>
      </c>
      <c r="L15" s="33">
        <f>IF(K15="","",IF(K15&gt;=PRs!C5,"PR!",""))</f>
        <v/>
      </c>
      <c r="M15" s="32" t="n"/>
      <c r="N15" s="34" t="inlineStr">
        <is>
          <t>Keep it heavy but short - no grinding</t>
        </is>
      </c>
    </row>
    <row r="16">
      <c r="A16" s="26" t="inlineStr">
        <is>
          <t>Day 2 - Light</t>
        </is>
      </c>
      <c r="B16" s="27">
        <f>'Start Here'!$B$7+72</f>
        <v/>
      </c>
      <c r="C16" s="31" t="inlineStr">
        <is>
          <t>Deadlift</t>
        </is>
      </c>
      <c r="D16" s="29" t="n">
        <v>2</v>
      </c>
      <c r="E16" s="29" t="inlineStr">
        <is>
          <t>2</t>
        </is>
      </c>
      <c r="F16" s="29" t="n">
        <v>80</v>
      </c>
      <c r="G16" s="30">
        <f>Maxes!E4</f>
        <v/>
      </c>
      <c r="H16" s="31">
        <f>IF(OR(G16="",F16=""),"",MROUND(G16*F16/100,'Start Here'!$B$6))</f>
        <v/>
      </c>
      <c r="I16" s="32" t="n"/>
      <c r="J16" s="32" t="n"/>
      <c r="K16" s="29">
        <f>IF(OR(I16="",J16=""),"",IF(J16=1,I16,ROUND(I16*(1+J16/30),1)))</f>
        <v/>
      </c>
      <c r="L16" s="33">
        <f>IF(K16="","",IF(K16&gt;=PRs!C4,"PR!",""))</f>
        <v/>
      </c>
      <c r="M16" s="32" t="n"/>
      <c r="N16" s="34" t="inlineStr">
        <is>
          <t>Keep it heavy but short - no grinding</t>
        </is>
      </c>
    </row>
    <row r="17">
      <c r="A17" s="26" t="inlineStr">
        <is>
          <t>Day 2 - Light</t>
        </is>
      </c>
      <c r="B17" s="27">
        <f>'Start Here'!$B$7+72</f>
        <v/>
      </c>
      <c r="C17" s="29" t="inlineStr">
        <is>
          <t>Chin-up</t>
        </is>
      </c>
      <c r="D17" s="29" t="n">
        <v>2</v>
      </c>
      <c r="E17" s="29" t="inlineStr">
        <is>
          <t>6-10</t>
        </is>
      </c>
      <c r="F17" s="29" t="n"/>
      <c r="G17" s="30" t="n"/>
      <c r="H17" s="31" t="n"/>
      <c r="I17" s="32" t="n"/>
      <c r="J17" s="32" t="n"/>
      <c r="K17" s="29">
        <f>IF(OR(I17="",J17=""),"",IF(J17=1,I17,ROUND(I17*(1+J17/30),1)))</f>
        <v/>
      </c>
      <c r="L17" s="33">
        <f>IF(K17="","",IF(K17&gt;=PRs!C53,"PR!",""))</f>
        <v/>
      </c>
      <c r="M17" s="32" t="n"/>
      <c r="N17" s="34" t="inlineStr">
        <is>
          <t>Light - save energy for test week</t>
        </is>
      </c>
    </row>
    <row r="18">
      <c r="A18" s="26" t="inlineStr">
        <is>
          <t>Day 2 - Light</t>
        </is>
      </c>
      <c r="B18" s="27">
        <f>'Start Here'!$B$7+72</f>
        <v/>
      </c>
      <c r="C18" s="29" t="inlineStr">
        <is>
          <t>Plank</t>
        </is>
      </c>
      <c r="D18" s="29" t="n">
        <v>2</v>
      </c>
      <c r="E18" s="29" t="inlineStr">
        <is>
          <t>30-60s</t>
        </is>
      </c>
      <c r="F18" s="29" t="n"/>
      <c r="G18" s="30" t="n"/>
      <c r="H18" s="31" t="n"/>
      <c r="I18" s="32" t="n"/>
      <c r="J18" s="32" t="n"/>
      <c r="K18" s="29">
        <f>IF(OR(I18="",J18=""),"",IF(J18=1,I18,ROUND(I18*(1+J18/30),1)))</f>
        <v/>
      </c>
      <c r="L18" s="33">
        <f>IF(K18="","",IF(K18&gt;=PRs!C56,"PR!",""))</f>
        <v/>
      </c>
      <c r="M18" s="32" t="n"/>
      <c r="N18" s="34" t="inlineStr">
        <is>
          <t>Light - save energy for test week</t>
        </is>
      </c>
    </row>
    <row r="19">
      <c r="A19" s="26" t="inlineStr">
        <is>
          <t>Day 3 - Variations</t>
        </is>
      </c>
      <c r="B19" s="27">
        <f>'Start Here'!$B$7+74</f>
        <v/>
      </c>
      <c r="C19" s="28" t="inlineStr">
        <is>
          <t>Box Jump</t>
        </is>
      </c>
      <c r="D19" s="29" t="n">
        <v>2</v>
      </c>
      <c r="E19" s="29" t="inlineStr">
        <is>
          <t>2</t>
        </is>
      </c>
      <c r="F19" s="29" t="n"/>
      <c r="G19" s="30" t="n"/>
      <c r="H19" s="31">
        <f>IFERROR(IF(PRs!D69&lt;'Start Here'!$H$15,'Start Here'!$H$15,IF(PRs!D69&lt;'Start Here'!$H$16,'Start Here'!$H$16,IF(PRs!D69&lt;'Start Here'!$H$17,'Start Here'!$H$17,IF(PRs!D69&lt;'Start Here'!$H$18,'Start Here'!$H$18,"Elite!")))),"")</f>
        <v/>
      </c>
      <c r="I19" s="32" t="n"/>
      <c r="J19" s="32" t="n"/>
      <c r="K19" s="29" t="n"/>
      <c r="L19" s="33">
        <f>IF(I19="","",IF(I19&gt;=PRs!D69,"PR!",""))</f>
        <v/>
      </c>
      <c r="M19" s="32" t="n"/>
      <c r="N19" s="34" t="inlineStr">
        <is>
          <t>Explode up, land softly, STEP down. Full reset between reps. Log your box height; check the standards</t>
        </is>
      </c>
    </row>
    <row r="20">
      <c r="A20" s="26" t="inlineStr">
        <is>
          <t>Day 3 - Variations</t>
        </is>
      </c>
      <c r="B20" s="27">
        <f>'Start Here'!$B$7+74</f>
        <v/>
      </c>
      <c r="C20" s="31" t="inlineStr">
        <is>
          <t>Hang Snatch</t>
        </is>
      </c>
      <c r="D20" s="29" t="n">
        <v>2</v>
      </c>
      <c r="E20" s="29" t="inlineStr">
        <is>
          <t>2</t>
        </is>
      </c>
      <c r="F20" s="29" t="n">
        <v>75</v>
      </c>
      <c r="G20" s="30">
        <f>Maxes!E35</f>
        <v/>
      </c>
      <c r="H20" s="31">
        <f>IF(OR(G20="",F20=""),"",MROUND(G20*F20/100,'Start Here'!$B$6))</f>
        <v/>
      </c>
      <c r="I20" s="32" t="n"/>
      <c r="J20" s="32" t="n"/>
      <c r="K20" s="29">
        <f>IF(OR(I20="",J20=""),"",IF(J20=1,I20,ROUND(I20*(1+J20/30),1)))</f>
        <v/>
      </c>
      <c r="L20" s="33">
        <f>IF(K20="","",IF(K20&gt;=PRs!C35,"PR!",""))</f>
        <v/>
      </c>
      <c r="M20" s="32" t="n"/>
      <c r="N20" s="34" t="inlineStr">
        <is>
          <t>Crisp and fast</t>
        </is>
      </c>
    </row>
    <row r="21">
      <c r="A21" s="26" t="inlineStr">
        <is>
          <t>Day 3 - Variations</t>
        </is>
      </c>
      <c r="B21" s="27">
        <f>'Start Here'!$B$7+74</f>
        <v/>
      </c>
      <c r="C21" s="31" t="inlineStr">
        <is>
          <t>Front Squat</t>
        </is>
      </c>
      <c r="D21" s="29" t="n">
        <v>2</v>
      </c>
      <c r="E21" s="29" t="inlineStr">
        <is>
          <t>3</t>
        </is>
      </c>
      <c r="F21" s="29" t="n">
        <v>75</v>
      </c>
      <c r="G21" s="30">
        <f>Maxes!E10</f>
        <v/>
      </c>
      <c r="H21" s="31">
        <f>IF(OR(G21="",F21=""),"",MROUND(G21*F21/100,'Start Here'!$B$6))</f>
        <v/>
      </c>
      <c r="I21" s="32" t="n"/>
      <c r="J21" s="32" t="n"/>
      <c r="K21" s="29">
        <f>IF(OR(I21="",J21=""),"",IF(J21=1,I21,ROUND(I21*(1+J21/30),1)))</f>
        <v/>
      </c>
      <c r="L21" s="33">
        <f>IF(K21="","",IF(K21&gt;=PRs!C10,"PR!",""))</f>
        <v/>
      </c>
      <c r="M21" s="32" t="n"/>
      <c r="N21" s="34" t="inlineStr">
        <is>
          <t>Crisp and fast</t>
        </is>
      </c>
    </row>
    <row r="22">
      <c r="A22" s="26" t="inlineStr">
        <is>
          <t>Day 3 - Variations</t>
        </is>
      </c>
      <c r="B22" s="27">
        <f>'Start Here'!$B$7+74</f>
        <v/>
      </c>
      <c r="C22" s="31" t="inlineStr">
        <is>
          <t>Pause Bench Press</t>
        </is>
      </c>
      <c r="D22" s="29" t="n">
        <v>2</v>
      </c>
      <c r="E22" s="29" t="inlineStr">
        <is>
          <t>3</t>
        </is>
      </c>
      <c r="F22" s="29" t="n">
        <v>75</v>
      </c>
      <c r="G22" s="30">
        <f>Maxes!E18</f>
        <v/>
      </c>
      <c r="H22" s="31">
        <f>IF(OR(G22="",F22=""),"",MROUND(G22*F22/100,'Start Here'!$B$6))</f>
        <v/>
      </c>
      <c r="I22" s="32" t="n"/>
      <c r="J22" s="32" t="n"/>
      <c r="K22" s="29">
        <f>IF(OR(I22="",J22=""),"",IF(J22=1,I22,ROUND(I22*(1+J22/30),1)))</f>
        <v/>
      </c>
      <c r="L22" s="33">
        <f>IF(K22="","",IF(K22&gt;=PRs!C18,"PR!",""))</f>
        <v/>
      </c>
      <c r="M22" s="32" t="n"/>
      <c r="N22" s="34" t="inlineStr">
        <is>
          <t>Crisp and fast</t>
        </is>
      </c>
    </row>
    <row r="23">
      <c r="A23" s="26" t="inlineStr">
        <is>
          <t>Day 3 - Variations</t>
        </is>
      </c>
      <c r="B23" s="27">
        <f>'Start Here'!$B$7+74</f>
        <v/>
      </c>
      <c r="C23" s="31" t="inlineStr">
        <is>
          <t>Paused Deadlift</t>
        </is>
      </c>
      <c r="D23" s="29" t="n">
        <v>2</v>
      </c>
      <c r="E23" s="29" t="inlineStr">
        <is>
          <t>3</t>
        </is>
      </c>
      <c r="F23" s="29" t="n">
        <v>75</v>
      </c>
      <c r="G23" s="30">
        <f>Maxes!E25</f>
        <v/>
      </c>
      <c r="H23" s="31">
        <f>IF(OR(G23="",F23=""),"",MROUND(G23*F23/100,'Start Here'!$B$6))</f>
        <v/>
      </c>
      <c r="I23" s="32" t="n"/>
      <c r="J23" s="32" t="n"/>
      <c r="K23" s="29">
        <f>IF(OR(I23="",J23=""),"",IF(J23=1,I23,ROUND(I23*(1+J23/30),1)))</f>
        <v/>
      </c>
      <c r="L23" s="33">
        <f>IF(K23="","",IF(K23&gt;=PRs!C25,"PR!",""))</f>
        <v/>
      </c>
      <c r="M23" s="32" t="n"/>
      <c r="N23" s="34" t="inlineStr">
        <is>
          <t>Crisp and fast</t>
        </is>
      </c>
    </row>
    <row r="24">
      <c r="A24" s="26" t="inlineStr">
        <is>
          <t>Day 3 - Variations</t>
        </is>
      </c>
      <c r="B24" s="27">
        <f>'Start Here'!$B$7+74</f>
        <v/>
      </c>
      <c r="C24" s="29" t="inlineStr">
        <is>
          <t>Incline Dumbbell Press</t>
        </is>
      </c>
      <c r="D24" s="29" t="n">
        <v>2</v>
      </c>
      <c r="E24" s="29" t="inlineStr">
        <is>
          <t>8-12</t>
        </is>
      </c>
      <c r="F24" s="29" t="n"/>
      <c r="G24" s="30" t="n"/>
      <c r="H24" s="31" t="n"/>
      <c r="I24" s="32" t="n"/>
      <c r="J24" s="32" t="n"/>
      <c r="K24" s="29">
        <f>IF(OR(I24="",J24=""),"",IF(J24=1,I24,ROUND(I24*(1+J24/30),1)))</f>
        <v/>
      </c>
      <c r="L24" s="33">
        <f>IF(K24="","",IF(K24&gt;=PRs!C57,"PR!",""))</f>
        <v/>
      </c>
      <c r="M24" s="32" t="n"/>
      <c r="N24" s="34" t="inlineStr">
        <is>
          <t>Light - save energy for test week</t>
        </is>
      </c>
    </row>
    <row r="25">
      <c r="A25" s="26" t="inlineStr">
        <is>
          <t>Day 3 - Variations</t>
        </is>
      </c>
      <c r="B25" s="27">
        <f>'Start Here'!$B$7+74</f>
        <v/>
      </c>
      <c r="C25" s="29" t="inlineStr">
        <is>
          <t>Triceps Pushdown</t>
        </is>
      </c>
      <c r="D25" s="29" t="n">
        <v>2</v>
      </c>
      <c r="E25" s="29" t="inlineStr">
        <is>
          <t>10-15</t>
        </is>
      </c>
      <c r="F25" s="29" t="n"/>
      <c r="G25" s="30" t="n"/>
      <c r="H25" s="31" t="n"/>
      <c r="I25" s="32" t="n"/>
      <c r="J25" s="32" t="n"/>
      <c r="K25" s="29">
        <f>IF(OR(I25="",J25=""),"",IF(J25=1,I25,ROUND(I25*(1+J25/30),1)))</f>
        <v/>
      </c>
      <c r="L25" s="33">
        <f>IF(K25="","",IF(K25&gt;=PRs!C59,"PR!",""))</f>
        <v/>
      </c>
      <c r="M25" s="32" t="n"/>
      <c r="N25" s="34" t="inlineStr">
        <is>
          <t>Light - save energy for test week</t>
        </is>
      </c>
    </row>
  </sheetData>
  <hyperlinks>
    <hyperlink xmlns:r="http://schemas.openxmlformats.org/officeDocument/2006/relationships" ref="A2" r:id="rId1"/>
    <hyperlink xmlns:r="http://schemas.openxmlformats.org/officeDocument/2006/relationships" ref="C2" r:id="rId2"/>
    <hyperlink xmlns:r="http://schemas.openxmlformats.org/officeDocument/2006/relationships" ref="E2" r:id="rId3"/>
  </hyperlinks>
  <pageMargins left="0.75" right="0.75" top="1" bottom="1" header="0.5" footer="0.5"/>
  <pageSetup orientation="landscape" fitToHeight="0" fitToWidth="1"/>
</worksheet>
</file>

<file path=xl/worksheets/sheet14.xml><?xml version="1.0" encoding="utf-8"?>
<worksheet xmlns="http://schemas.openxmlformats.org/spreadsheetml/2006/main">
  <sheetPr>
    <tabColor rgb="00DDE3F7"/>
    <outlinePr summaryBelow="1" summaryRight="1"/>
    <pageSetUpPr fitToPage="1"/>
  </sheetPr>
  <dimension ref="A1:N25"/>
  <sheetViews>
    <sheetView workbookViewId="0">
      <pane xSplit="3" ySplit="5" topLeftCell="D6" activePane="bottomRight" state="frozen"/>
      <selection pane="topRight"/>
      <selection pane="bottomLeft"/>
      <selection pane="bottomRight" activeCell="A1" sqref="A1"/>
    </sheetView>
  </sheetViews>
  <sheetFormatPr baseColWidth="8" defaultRowHeight="15"/>
  <cols>
    <col width="17" customWidth="1" min="1" max="1"/>
    <col width="11" customWidth="1" min="2" max="2"/>
    <col width="24" customWidth="1" min="3" max="3"/>
    <col width="5" customWidth="1" min="4" max="4"/>
    <col width="6" customWidth="1" min="5" max="5"/>
    <col width="6" customWidth="1" min="6" max="6"/>
    <col width="9" customWidth="1" min="7" max="7"/>
    <col width="10" customWidth="1" min="8" max="8"/>
    <col width="13" customWidth="1" min="9" max="9"/>
    <col width="8" customWidth="1" min="10" max="10"/>
    <col width="9" customWidth="1" min="11" max="11"/>
    <col width="5" customWidth="1" min="12" max="12"/>
    <col width="22" customWidth="1" min="13" max="13"/>
    <col width="62" customWidth="1" min="14" max="14"/>
  </cols>
  <sheetData>
    <row r="1">
      <c r="A1" s="24" t="inlineStr">
        <is>
          <t>Week 12 - Cycle 1 - Test</t>
        </is>
      </c>
    </row>
    <row r="2">
      <c r="A2" s="25" t="inlineStr">
        <is>
          <t>&lt; Week 11</t>
        </is>
      </c>
      <c r="C2" s="25" t="inlineStr">
        <is>
          <t>Start Here</t>
        </is>
      </c>
      <c r="E2" s="25" t="inlineStr">
        <is>
          <t>Week 13 &gt;</t>
        </is>
      </c>
    </row>
    <row r="3">
      <c r="A3" s="10" t="inlineStr">
        <is>
          <t>Bodyweight this week</t>
        </is>
      </c>
      <c r="C3" s="4" t="n"/>
      <c r="D3" t="inlineStr">
        <is>
          <t>Weigh in once this week: same morning routine, before eating.</t>
        </is>
      </c>
    </row>
    <row r="5">
      <c r="A5" s="5" t="inlineStr">
        <is>
          <t>Day</t>
        </is>
      </c>
      <c r="B5" s="5" t="inlineStr">
        <is>
          <t>Date</t>
        </is>
      </c>
      <c r="C5" s="5" t="inlineStr">
        <is>
          <t>Exercise</t>
        </is>
      </c>
      <c r="D5" s="5" t="inlineStr">
        <is>
          <t>Sets</t>
        </is>
      </c>
      <c r="E5" s="5" t="inlineStr">
        <is>
          <t>Reps</t>
        </is>
      </c>
      <c r="F5" s="5" t="inlineStr">
        <is>
          <t>% TM</t>
        </is>
      </c>
      <c r="G5" s="5" t="inlineStr">
        <is>
          <t>Training max</t>
        </is>
      </c>
      <c r="H5" s="5" t="inlineStr">
        <is>
          <t>Weight / target</t>
        </is>
      </c>
      <c r="I5" s="5" t="inlineStr">
        <is>
          <t>Actual (weight, height or distance)</t>
        </is>
      </c>
      <c r="J5" s="5" t="inlineStr">
        <is>
          <t>Actual reps</t>
        </is>
      </c>
      <c r="K5" s="5" t="inlineStr">
        <is>
          <t>Est. 1RM</t>
        </is>
      </c>
      <c r="L5" s="5" t="inlineStr">
        <is>
          <t>PR</t>
        </is>
      </c>
      <c r="M5" s="5" t="inlineStr">
        <is>
          <t>Notes</t>
        </is>
      </c>
      <c r="N5" s="5" t="inlineStr">
        <is>
          <t>Guidance</t>
        </is>
      </c>
    </row>
    <row r="6">
      <c r="A6" s="26" t="inlineStr">
        <is>
          <t>Day 1 - Heavy</t>
        </is>
      </c>
      <c r="B6" s="27">
        <f>'Start Here'!$B$7+77</f>
        <v/>
      </c>
      <c r="C6" s="28" t="inlineStr">
        <is>
          <t>Box Jump</t>
        </is>
      </c>
      <c r="D6" s="29" t="n">
        <v>2</v>
      </c>
      <c r="E6" s="29" t="inlineStr">
        <is>
          <t>2</t>
        </is>
      </c>
      <c r="F6" s="29" t="n"/>
      <c r="G6" s="30" t="n"/>
      <c r="H6" s="31">
        <f>IFERROR(IF(PRs!D69&lt;'Start Here'!$H$15,'Start Here'!$H$15,IF(PRs!D69&lt;'Start Here'!$H$16,'Start Here'!$H$16,IF(PRs!D69&lt;'Start Here'!$H$17,'Start Here'!$H$17,IF(PRs!D69&lt;'Start Here'!$H$18,'Start Here'!$H$18,"Elite!")))),"")</f>
        <v/>
      </c>
      <c r="I6" s="32" t="n"/>
      <c r="J6" s="32" t="n"/>
      <c r="K6" s="29" t="n"/>
      <c r="L6" s="33">
        <f>IF(I6="","",IF(I6&gt;=PRs!D69,"PR!",""))</f>
        <v/>
      </c>
      <c r="M6" s="32" t="n"/>
      <c r="N6" s="34" t="inlineStr">
        <is>
          <t>Explode up, land softly, STEP down. Full reset between reps. Log your box height; check the standards</t>
        </is>
      </c>
    </row>
    <row r="7">
      <c r="A7" s="26" t="inlineStr">
        <is>
          <t>Day 1 - Heavy</t>
        </is>
      </c>
      <c r="B7" s="27">
        <f>'Start Here'!$B$7+77</f>
        <v/>
      </c>
      <c r="C7" s="31" t="inlineStr">
        <is>
          <t>Snatch</t>
        </is>
      </c>
      <c r="D7" s="29" t="n">
        <v>1</v>
      </c>
      <c r="E7" s="29" t="inlineStr">
        <is>
          <t>Max</t>
        </is>
      </c>
      <c r="F7" s="29" t="n"/>
      <c r="G7" s="30">
        <f>Maxes!E6</f>
        <v/>
      </c>
      <c r="H7" s="31" t="n"/>
      <c r="I7" s="32" t="n"/>
      <c r="J7" s="32" t="n"/>
      <c r="K7" s="29">
        <f>IF(OR(I7="",J7=""),"",IF(J7=1,I7,ROUND(I7*(1+J7/30),1)))</f>
        <v/>
      </c>
      <c r="L7" s="33">
        <f>IF(K7="","",IF(K7&gt;=PRs!C6,"PR!",""))</f>
        <v/>
      </c>
      <c r="M7" s="32" t="n"/>
      <c r="N7" s="34" t="inlineStr">
        <is>
          <t>Work up in small jumps to a new max (1RM, or a 3RM/5RM if you prefer). Log it - it sets next cycle's weights</t>
        </is>
      </c>
    </row>
    <row r="8">
      <c r="A8" s="26" t="inlineStr">
        <is>
          <t>Day 1 - Heavy</t>
        </is>
      </c>
      <c r="B8" s="27">
        <f>'Start Here'!$B$7+77</f>
        <v/>
      </c>
      <c r="C8" s="31" t="inlineStr">
        <is>
          <t>Squat</t>
        </is>
      </c>
      <c r="D8" s="29" t="n">
        <v>1</v>
      </c>
      <c r="E8" s="29" t="inlineStr">
        <is>
          <t>Max</t>
        </is>
      </c>
      <c r="F8" s="29" t="n"/>
      <c r="G8" s="30">
        <f>Maxes!E2</f>
        <v/>
      </c>
      <c r="H8" s="31" t="n"/>
      <c r="I8" s="32" t="n"/>
      <c r="J8" s="32" t="n"/>
      <c r="K8" s="29">
        <f>IF(OR(I8="",J8=""),"",IF(J8=1,I8,ROUND(I8*(1+J8/30),1)))</f>
        <v/>
      </c>
      <c r="L8" s="33">
        <f>IF(K8="","",IF(K8&gt;=PRs!C2,"PR!",""))</f>
        <v/>
      </c>
      <c r="M8" s="32" t="n"/>
      <c r="N8" s="34" t="inlineStr">
        <is>
          <t>Work up in small jumps to a new max (1RM, or a 3RM/5RM if you prefer). Log it - it sets next cycle's weights</t>
        </is>
      </c>
    </row>
    <row r="9">
      <c r="A9" s="26" t="inlineStr">
        <is>
          <t>Day 1 - Heavy</t>
        </is>
      </c>
      <c r="B9" s="27">
        <f>'Start Here'!$B$7+77</f>
        <v/>
      </c>
      <c r="C9" s="31" t="inlineStr">
        <is>
          <t>Bench Press</t>
        </is>
      </c>
      <c r="D9" s="29" t="n">
        <v>1</v>
      </c>
      <c r="E9" s="29" t="inlineStr">
        <is>
          <t>Max</t>
        </is>
      </c>
      <c r="F9" s="29" t="n"/>
      <c r="G9" s="30">
        <f>Maxes!E3</f>
        <v/>
      </c>
      <c r="H9" s="31" t="n"/>
      <c r="I9" s="32" t="n"/>
      <c r="J9" s="32" t="n"/>
      <c r="K9" s="29">
        <f>IF(OR(I9="",J9=""),"",IF(J9=1,I9,ROUND(I9*(1+J9/30),1)))</f>
        <v/>
      </c>
      <c r="L9" s="33">
        <f>IF(K9="","",IF(K9&gt;=PRs!C3,"PR!",""))</f>
        <v/>
      </c>
      <c r="M9" s="32" t="n"/>
      <c r="N9" s="34" t="inlineStr">
        <is>
          <t>Work up in small jumps to a new max (1RM, or a 3RM/5RM if you prefer). Log it - it sets next cycle's weights</t>
        </is>
      </c>
    </row>
    <row r="10">
      <c r="A10" s="26" t="inlineStr">
        <is>
          <t>Day 1 - Heavy</t>
        </is>
      </c>
      <c r="B10" s="27">
        <f>'Start Here'!$B$7+77</f>
        <v/>
      </c>
      <c r="C10" s="29" t="inlineStr">
        <is>
          <t>Barbell Row</t>
        </is>
      </c>
      <c r="D10" s="29" t="n">
        <v>2</v>
      </c>
      <c r="E10" s="29" t="inlineStr">
        <is>
          <t>8-10</t>
        </is>
      </c>
      <c r="F10" s="29" t="n"/>
      <c r="G10" s="30" t="n"/>
      <c r="H10" s="31" t="n"/>
      <c r="I10" s="32" t="n"/>
      <c r="J10" s="32" t="n"/>
      <c r="K10" s="29">
        <f>IF(OR(I10="",J10=""),"",IF(J10=1,I10,ROUND(I10*(1+J10/30),1)))</f>
        <v/>
      </c>
      <c r="L10" s="33">
        <f>IF(K10="","",IF(K10&gt;=PRs!C50,"PR!",""))</f>
        <v/>
      </c>
      <c r="M10" s="32" t="n"/>
      <c r="N10" s="34" t="inlineStr">
        <is>
          <t>Light</t>
        </is>
      </c>
    </row>
    <row r="11">
      <c r="A11" s="26" t="inlineStr">
        <is>
          <t>Day 1 - Heavy</t>
        </is>
      </c>
      <c r="B11" s="27">
        <f>'Start Here'!$B$7+77</f>
        <v/>
      </c>
      <c r="C11" s="29" t="inlineStr">
        <is>
          <t>Face Pull</t>
        </is>
      </c>
      <c r="D11" s="29" t="n">
        <v>2</v>
      </c>
      <c r="E11" s="29" t="inlineStr">
        <is>
          <t>12-15</t>
        </is>
      </c>
      <c r="F11" s="29" t="n"/>
      <c r="G11" s="30" t="n"/>
      <c r="H11" s="31" t="n"/>
      <c r="I11" s="32" t="n"/>
      <c r="J11" s="32" t="n"/>
      <c r="K11" s="29">
        <f>IF(OR(I11="",J11=""),"",IF(J11=1,I11,ROUND(I11*(1+J11/30),1)))</f>
        <v/>
      </c>
      <c r="L11" s="33">
        <f>IF(K11="","",IF(K11&gt;=PRs!C51,"PR!",""))</f>
        <v/>
      </c>
      <c r="M11" s="32" t="n"/>
      <c r="N11" s="34" t="inlineStr">
        <is>
          <t>Light</t>
        </is>
      </c>
    </row>
    <row r="12">
      <c r="A12" s="26" t="inlineStr">
        <is>
          <t>Day 2 - Light</t>
        </is>
      </c>
      <c r="B12" s="27">
        <f>'Start Here'!$B$7+79</f>
        <v/>
      </c>
      <c r="C12" s="28" t="inlineStr">
        <is>
          <t>Broad Jump</t>
        </is>
      </c>
      <c r="D12" s="29" t="n">
        <v>1</v>
      </c>
      <c r="E12" s="29" t="inlineStr">
        <is>
          <t>Max</t>
        </is>
      </c>
      <c r="F12" s="29" t="n"/>
      <c r="G12" s="30" t="n"/>
      <c r="H12" s="31" t="n"/>
      <c r="I12" s="32" t="n"/>
      <c r="J12" s="32" t="n"/>
      <c r="K12" s="29" t="n"/>
      <c r="L12" s="33">
        <f>IF(I12="","",IF(I12&gt;=PRs!D70,"PR!",""))</f>
        <v/>
      </c>
      <c r="M12" s="32" t="n"/>
      <c r="N12" s="34" t="inlineStr">
        <is>
          <t>Test day: work up to your highest box / longest jump and log it</t>
        </is>
      </c>
    </row>
    <row r="13">
      <c r="A13" s="26" t="inlineStr">
        <is>
          <t>Day 2 - Light</t>
        </is>
      </c>
      <c r="B13" s="27">
        <f>'Start Here'!$B$7+79</f>
        <v/>
      </c>
      <c r="C13" s="31" t="inlineStr">
        <is>
          <t>Clean &amp; Jerk</t>
        </is>
      </c>
      <c r="D13" s="29" t="n">
        <v>1</v>
      </c>
      <c r="E13" s="29" t="inlineStr">
        <is>
          <t>Max</t>
        </is>
      </c>
      <c r="F13" s="29" t="n"/>
      <c r="G13" s="30">
        <f>Maxes!E7</f>
        <v/>
      </c>
      <c r="H13" s="31" t="n"/>
      <c r="I13" s="32" t="n"/>
      <c r="J13" s="32" t="n"/>
      <c r="K13" s="29">
        <f>IF(OR(I13="",J13=""),"",IF(J13=1,I13,ROUND(I13*(1+J13/30),1)))</f>
        <v/>
      </c>
      <c r="L13" s="33">
        <f>IF(K13="","",IF(K13&gt;=PRs!C7,"PR!",""))</f>
        <v/>
      </c>
      <c r="M13" s="32" t="n"/>
      <c r="N13" s="34" t="inlineStr">
        <is>
          <t>Work up in small jumps to a new max (1RM, or a 3RM/5RM if you prefer). Log it - it sets next cycle's weights</t>
        </is>
      </c>
    </row>
    <row r="14">
      <c r="A14" s="26" t="inlineStr">
        <is>
          <t>Day 2 - Light</t>
        </is>
      </c>
      <c r="B14" s="27">
        <f>'Start Here'!$B$7+79</f>
        <v/>
      </c>
      <c r="C14" s="31" t="inlineStr">
        <is>
          <t>Squat</t>
        </is>
      </c>
      <c r="D14" s="29" t="n">
        <v>2</v>
      </c>
      <c r="E14" s="29" t="inlineStr">
        <is>
          <t>3</t>
        </is>
      </c>
      <c r="F14" s="29" t="n">
        <v>60</v>
      </c>
      <c r="G14" s="30">
        <f>Maxes!E2</f>
        <v/>
      </c>
      <c r="H14" s="31">
        <f>IF(OR(G14="",F14=""),"",MROUND(G14*F14/100,'Start Here'!$B$6))</f>
        <v/>
      </c>
      <c r="I14" s="32" t="n"/>
      <c r="J14" s="32" t="n"/>
      <c r="K14" s="29">
        <f>IF(OR(I14="",J14=""),"",IF(J14=1,I14,ROUND(I14*(1+J14/30),1)))</f>
        <v/>
      </c>
      <c r="L14" s="33">
        <f>IF(K14="","",IF(K14&gt;=PRs!C2,"PR!",""))</f>
        <v/>
      </c>
      <c r="M14" s="32" t="n"/>
      <c r="N14" s="34" t="inlineStr">
        <is>
          <t>Light technique work</t>
        </is>
      </c>
    </row>
    <row r="15">
      <c r="A15" s="26" t="inlineStr">
        <is>
          <t>Day 2 - Light</t>
        </is>
      </c>
      <c r="B15" s="27">
        <f>'Start Here'!$B$7+79</f>
        <v/>
      </c>
      <c r="C15" s="31" t="inlineStr">
        <is>
          <t>Overhead Press</t>
        </is>
      </c>
      <c r="D15" s="29" t="n">
        <v>1</v>
      </c>
      <c r="E15" s="29" t="inlineStr">
        <is>
          <t>Max</t>
        </is>
      </c>
      <c r="F15" s="29" t="n"/>
      <c r="G15" s="30">
        <f>Maxes!E5</f>
        <v/>
      </c>
      <c r="H15" s="31" t="n"/>
      <c r="I15" s="32" t="n"/>
      <c r="J15" s="32" t="n"/>
      <c r="K15" s="29">
        <f>IF(OR(I15="",J15=""),"",IF(J15=1,I15,ROUND(I15*(1+J15/30),1)))</f>
        <v/>
      </c>
      <c r="L15" s="33">
        <f>IF(K15="","",IF(K15&gt;=PRs!C5,"PR!",""))</f>
        <v/>
      </c>
      <c r="M15" s="32" t="n"/>
      <c r="N15" s="34" t="inlineStr">
        <is>
          <t>Work up in small jumps to a new max (1RM, or a 3RM/5RM if you prefer). Log it - it sets next cycle's weights</t>
        </is>
      </c>
    </row>
    <row r="16">
      <c r="A16" s="26" t="inlineStr">
        <is>
          <t>Day 2 - Light</t>
        </is>
      </c>
      <c r="B16" s="27">
        <f>'Start Here'!$B$7+79</f>
        <v/>
      </c>
      <c r="C16" s="31" t="inlineStr">
        <is>
          <t>Deadlift</t>
        </is>
      </c>
      <c r="D16" s="29" t="n">
        <v>1</v>
      </c>
      <c r="E16" s="29" t="inlineStr">
        <is>
          <t>Max</t>
        </is>
      </c>
      <c r="F16" s="29" t="n"/>
      <c r="G16" s="30">
        <f>Maxes!E4</f>
        <v/>
      </c>
      <c r="H16" s="31" t="n"/>
      <c r="I16" s="32" t="n"/>
      <c r="J16" s="32" t="n"/>
      <c r="K16" s="29">
        <f>IF(OR(I16="",J16=""),"",IF(J16=1,I16,ROUND(I16*(1+J16/30),1)))</f>
        <v/>
      </c>
      <c r="L16" s="33">
        <f>IF(K16="","",IF(K16&gt;=PRs!C4,"PR!",""))</f>
        <v/>
      </c>
      <c r="M16" s="32" t="n"/>
      <c r="N16" s="34" t="inlineStr">
        <is>
          <t>Work up in small jumps to a new max (1RM, or a 3RM/5RM if you prefer). Log it - it sets next cycle's weights</t>
        </is>
      </c>
    </row>
    <row r="17">
      <c r="A17" s="26" t="inlineStr">
        <is>
          <t>Day 2 - Light</t>
        </is>
      </c>
      <c r="B17" s="27">
        <f>'Start Here'!$B$7+79</f>
        <v/>
      </c>
      <c r="C17" s="29" t="inlineStr">
        <is>
          <t>Chin-up</t>
        </is>
      </c>
      <c r="D17" s="29" t="n">
        <v>2</v>
      </c>
      <c r="E17" s="29" t="inlineStr">
        <is>
          <t>6-10</t>
        </is>
      </c>
      <c r="F17" s="29" t="n"/>
      <c r="G17" s="30" t="n"/>
      <c r="H17" s="31" t="n"/>
      <c r="I17" s="32" t="n"/>
      <c r="J17" s="32" t="n"/>
      <c r="K17" s="29">
        <f>IF(OR(I17="",J17=""),"",IF(J17=1,I17,ROUND(I17*(1+J17/30),1)))</f>
        <v/>
      </c>
      <c r="L17" s="33">
        <f>IF(K17="","",IF(K17&gt;=PRs!C53,"PR!",""))</f>
        <v/>
      </c>
      <c r="M17" s="32" t="n"/>
      <c r="N17" s="34" t="inlineStr">
        <is>
          <t>Light</t>
        </is>
      </c>
    </row>
    <row r="18">
      <c r="A18" s="26" t="inlineStr">
        <is>
          <t>Day 2 - Light</t>
        </is>
      </c>
      <c r="B18" s="27">
        <f>'Start Here'!$B$7+79</f>
        <v/>
      </c>
      <c r="C18" s="29" t="inlineStr">
        <is>
          <t>Plank</t>
        </is>
      </c>
      <c r="D18" s="29" t="n">
        <v>2</v>
      </c>
      <c r="E18" s="29" t="inlineStr">
        <is>
          <t>30-60s</t>
        </is>
      </c>
      <c r="F18" s="29" t="n"/>
      <c r="G18" s="30" t="n"/>
      <c r="H18" s="31" t="n"/>
      <c r="I18" s="32" t="n"/>
      <c r="J18" s="32" t="n"/>
      <c r="K18" s="29">
        <f>IF(OR(I18="",J18=""),"",IF(J18=1,I18,ROUND(I18*(1+J18/30),1)))</f>
        <v/>
      </c>
      <c r="L18" s="33">
        <f>IF(K18="","",IF(K18&gt;=PRs!C56,"PR!",""))</f>
        <v/>
      </c>
      <c r="M18" s="32" t="n"/>
      <c r="N18" s="34" t="inlineStr">
        <is>
          <t>Light</t>
        </is>
      </c>
    </row>
    <row r="19">
      <c r="A19" s="26" t="inlineStr">
        <is>
          <t>Day 3 - Variations</t>
        </is>
      </c>
      <c r="B19" s="27">
        <f>'Start Here'!$B$7+81</f>
        <v/>
      </c>
      <c r="C19" s="28" t="inlineStr">
        <is>
          <t>Box Jump</t>
        </is>
      </c>
      <c r="D19" s="29" t="n">
        <v>1</v>
      </c>
      <c r="E19" s="29" t="inlineStr">
        <is>
          <t>Max</t>
        </is>
      </c>
      <c r="F19" s="29" t="n"/>
      <c r="G19" s="30" t="n"/>
      <c r="H19" s="31">
        <f>IFERROR(IF(PRs!D69&lt;'Start Here'!$H$15,'Start Here'!$H$15,IF(PRs!D69&lt;'Start Here'!$H$16,'Start Here'!$H$16,IF(PRs!D69&lt;'Start Here'!$H$17,'Start Here'!$H$17,IF(PRs!D69&lt;'Start Here'!$H$18,'Start Here'!$H$18,"Elite!")))),"")</f>
        <v/>
      </c>
      <c r="I19" s="32" t="n"/>
      <c r="J19" s="32" t="n"/>
      <c r="K19" s="29" t="n"/>
      <c r="L19" s="33">
        <f>IF(I19="","",IF(I19&gt;=PRs!D69,"PR!",""))</f>
        <v/>
      </c>
      <c r="M19" s="32" t="n"/>
      <c r="N19" s="34" t="inlineStr">
        <is>
          <t>Test day: work up to your highest box / longest jump and log it</t>
        </is>
      </c>
    </row>
    <row r="20">
      <c r="A20" s="26" t="inlineStr">
        <is>
          <t>Day 3 - Variations</t>
        </is>
      </c>
      <c r="B20" s="27">
        <f>'Start Here'!$B$7+81</f>
        <v/>
      </c>
      <c r="C20" s="31" t="inlineStr">
        <is>
          <t>Hang Snatch</t>
        </is>
      </c>
      <c r="D20" s="29" t="n">
        <v>1</v>
      </c>
      <c r="E20" s="29" t="inlineStr">
        <is>
          <t>1RM</t>
        </is>
      </c>
      <c r="F20" s="29" t="n"/>
      <c r="G20" s="30">
        <f>Maxes!E35</f>
        <v/>
      </c>
      <c r="H20" s="31" t="n"/>
      <c r="I20" s="32" t="n"/>
      <c r="J20" s="32" t="n"/>
      <c r="K20" s="29">
        <f>IF(OR(I20="",J20=""),"",IF(J20=1,I20,ROUND(I20*(1+J20/30),1)))</f>
        <v/>
      </c>
      <c r="L20" s="33">
        <f>IF(K20="","",IF(K20&gt;=PRs!C35,"PR!",""))</f>
        <v/>
      </c>
      <c r="M20" s="32" t="n"/>
      <c r="N20" s="34" t="inlineStr">
        <is>
          <t>Work up to a 1RM - tracked as its own PR</t>
        </is>
      </c>
    </row>
    <row r="21">
      <c r="A21" s="26" t="inlineStr">
        <is>
          <t>Day 3 - Variations</t>
        </is>
      </c>
      <c r="B21" s="27">
        <f>'Start Here'!$B$7+81</f>
        <v/>
      </c>
      <c r="C21" s="31" t="inlineStr">
        <is>
          <t>Front Squat</t>
        </is>
      </c>
      <c r="D21" s="29" t="n">
        <v>1</v>
      </c>
      <c r="E21" s="29" t="inlineStr">
        <is>
          <t>3RM</t>
        </is>
      </c>
      <c r="F21" s="29" t="n"/>
      <c r="G21" s="30">
        <f>Maxes!E10</f>
        <v/>
      </c>
      <c r="H21" s="31" t="n"/>
      <c r="I21" s="32" t="n"/>
      <c r="J21" s="32" t="n"/>
      <c r="K21" s="29">
        <f>IF(OR(I21="",J21=""),"",IF(J21=1,I21,ROUND(I21*(1+J21/30),1)))</f>
        <v/>
      </c>
      <c r="L21" s="33">
        <f>IF(K21="","",IF(K21&gt;=PRs!C10,"PR!",""))</f>
        <v/>
      </c>
      <c r="M21" s="32" t="n"/>
      <c r="N21" s="34" t="inlineStr">
        <is>
          <t>Work up to a 3RM - tracked as its own PR</t>
        </is>
      </c>
    </row>
    <row r="22">
      <c r="A22" s="26" t="inlineStr">
        <is>
          <t>Day 3 - Variations</t>
        </is>
      </c>
      <c r="B22" s="27">
        <f>'Start Here'!$B$7+81</f>
        <v/>
      </c>
      <c r="C22" s="31" t="inlineStr">
        <is>
          <t>Pause Bench Press</t>
        </is>
      </c>
      <c r="D22" s="29" t="n">
        <v>1</v>
      </c>
      <c r="E22" s="29" t="inlineStr">
        <is>
          <t>3RM</t>
        </is>
      </c>
      <c r="F22" s="29" t="n"/>
      <c r="G22" s="30">
        <f>Maxes!E18</f>
        <v/>
      </c>
      <c r="H22" s="31" t="n"/>
      <c r="I22" s="32" t="n"/>
      <c r="J22" s="32" t="n"/>
      <c r="K22" s="29">
        <f>IF(OR(I22="",J22=""),"",IF(J22=1,I22,ROUND(I22*(1+J22/30),1)))</f>
        <v/>
      </c>
      <c r="L22" s="33">
        <f>IF(K22="","",IF(K22&gt;=PRs!C18,"PR!",""))</f>
        <v/>
      </c>
      <c r="M22" s="32" t="n"/>
      <c r="N22" s="34" t="inlineStr">
        <is>
          <t>Work up to a 3RM - tracked as its own PR</t>
        </is>
      </c>
    </row>
    <row r="23">
      <c r="A23" s="26" t="inlineStr">
        <is>
          <t>Day 3 - Variations</t>
        </is>
      </c>
      <c r="B23" s="27">
        <f>'Start Here'!$B$7+81</f>
        <v/>
      </c>
      <c r="C23" s="31" t="inlineStr">
        <is>
          <t>Paused Deadlift</t>
        </is>
      </c>
      <c r="D23" s="29" t="n">
        <v>1</v>
      </c>
      <c r="E23" s="29" t="inlineStr">
        <is>
          <t>3RM</t>
        </is>
      </c>
      <c r="F23" s="29" t="n"/>
      <c r="G23" s="30">
        <f>Maxes!E25</f>
        <v/>
      </c>
      <c r="H23" s="31" t="n"/>
      <c r="I23" s="32" t="n"/>
      <c r="J23" s="32" t="n"/>
      <c r="K23" s="29">
        <f>IF(OR(I23="",J23=""),"",IF(J23=1,I23,ROUND(I23*(1+J23/30),1)))</f>
        <v/>
      </c>
      <c r="L23" s="33">
        <f>IF(K23="","",IF(K23&gt;=PRs!C25,"PR!",""))</f>
        <v/>
      </c>
      <c r="M23" s="32" t="n"/>
      <c r="N23" s="34" t="inlineStr">
        <is>
          <t>Work up to a 3RM - tracked as its own PR</t>
        </is>
      </c>
    </row>
    <row r="24">
      <c r="A24" s="26" t="inlineStr">
        <is>
          <t>Day 3 - Variations</t>
        </is>
      </c>
      <c r="B24" s="27">
        <f>'Start Here'!$B$7+81</f>
        <v/>
      </c>
      <c r="C24" s="29" t="inlineStr">
        <is>
          <t>Incline Dumbbell Press</t>
        </is>
      </c>
      <c r="D24" s="29" t="n">
        <v>2</v>
      </c>
      <c r="E24" s="29" t="inlineStr">
        <is>
          <t>8-12</t>
        </is>
      </c>
      <c r="F24" s="29" t="n"/>
      <c r="G24" s="30" t="n"/>
      <c r="H24" s="31" t="n"/>
      <c r="I24" s="32" t="n"/>
      <c r="J24" s="32" t="n"/>
      <c r="K24" s="29">
        <f>IF(OR(I24="",J24=""),"",IF(J24=1,I24,ROUND(I24*(1+J24/30),1)))</f>
        <v/>
      </c>
      <c r="L24" s="33">
        <f>IF(K24="","",IF(K24&gt;=PRs!C57,"PR!",""))</f>
        <v/>
      </c>
      <c r="M24" s="32" t="n"/>
      <c r="N24" s="34" t="inlineStr">
        <is>
          <t>Light</t>
        </is>
      </c>
    </row>
    <row r="25">
      <c r="A25" s="26" t="inlineStr">
        <is>
          <t>Day 3 - Variations</t>
        </is>
      </c>
      <c r="B25" s="27">
        <f>'Start Here'!$B$7+81</f>
        <v/>
      </c>
      <c r="C25" s="29" t="inlineStr">
        <is>
          <t>Triceps Pushdown</t>
        </is>
      </c>
      <c r="D25" s="29" t="n">
        <v>2</v>
      </c>
      <c r="E25" s="29" t="inlineStr">
        <is>
          <t>10-15</t>
        </is>
      </c>
      <c r="F25" s="29" t="n"/>
      <c r="G25" s="30" t="n"/>
      <c r="H25" s="31" t="n"/>
      <c r="I25" s="32" t="n"/>
      <c r="J25" s="32" t="n"/>
      <c r="K25" s="29">
        <f>IF(OR(I25="",J25=""),"",IF(J25=1,I25,ROUND(I25*(1+J25/30),1)))</f>
        <v/>
      </c>
      <c r="L25" s="33">
        <f>IF(K25="","",IF(K25&gt;=PRs!C59,"PR!",""))</f>
        <v/>
      </c>
      <c r="M25" s="32" t="n"/>
      <c r="N25" s="34" t="inlineStr">
        <is>
          <t>Light</t>
        </is>
      </c>
    </row>
  </sheetData>
  <hyperlinks>
    <hyperlink xmlns:r="http://schemas.openxmlformats.org/officeDocument/2006/relationships" ref="A2" r:id="rId1"/>
    <hyperlink xmlns:r="http://schemas.openxmlformats.org/officeDocument/2006/relationships" ref="C2" r:id="rId2"/>
    <hyperlink xmlns:r="http://schemas.openxmlformats.org/officeDocument/2006/relationships" ref="E2" r:id="rId3"/>
  </hyperlinks>
  <pageMargins left="0.75" right="0.75" top="1" bottom="1" header="0.5" footer="0.5"/>
  <pageSetup orientation="landscape" fitToHeight="0" fitToWidth="1"/>
</worksheet>
</file>

<file path=xl/worksheets/sheet15.xml><?xml version="1.0" encoding="utf-8"?>
<worksheet xmlns="http://schemas.openxmlformats.org/spreadsheetml/2006/main">
  <sheetPr>
    <tabColor rgb="00DCEFDC"/>
    <outlinePr summaryBelow="1" summaryRight="1"/>
    <pageSetUpPr fitToPage="1"/>
  </sheetPr>
  <dimension ref="A1:N25"/>
  <sheetViews>
    <sheetView workbookViewId="0">
      <pane xSplit="3" ySplit="5" topLeftCell="D6" activePane="bottomRight" state="frozen"/>
      <selection pane="topRight"/>
      <selection pane="bottomLeft"/>
      <selection pane="bottomRight" activeCell="A1" sqref="A1"/>
    </sheetView>
  </sheetViews>
  <sheetFormatPr baseColWidth="8" defaultRowHeight="15"/>
  <cols>
    <col width="17" customWidth="1" min="1" max="1"/>
    <col width="11" customWidth="1" min="2" max="2"/>
    <col width="24" customWidth="1" min="3" max="3"/>
    <col width="5" customWidth="1" min="4" max="4"/>
    <col width="6" customWidth="1" min="5" max="5"/>
    <col width="6" customWidth="1" min="6" max="6"/>
    <col width="9" customWidth="1" min="7" max="7"/>
    <col width="10" customWidth="1" min="8" max="8"/>
    <col width="13" customWidth="1" min="9" max="9"/>
    <col width="8" customWidth="1" min="10" max="10"/>
    <col width="9" customWidth="1" min="11" max="11"/>
    <col width="5" customWidth="1" min="12" max="12"/>
    <col width="22" customWidth="1" min="13" max="13"/>
    <col width="62" customWidth="1" min="14" max="14"/>
  </cols>
  <sheetData>
    <row r="1">
      <c r="A1" s="24" t="inlineStr">
        <is>
          <t>Week 13 - Cycle 2 - Accumulation</t>
        </is>
      </c>
    </row>
    <row r="2">
      <c r="A2" s="25" t="inlineStr">
        <is>
          <t>&lt; Week 12</t>
        </is>
      </c>
      <c r="C2" s="25" t="inlineStr">
        <is>
          <t>Start Here</t>
        </is>
      </c>
      <c r="E2" s="25" t="inlineStr">
        <is>
          <t>Week 14 &gt;</t>
        </is>
      </c>
    </row>
    <row r="3">
      <c r="A3" s="10" t="inlineStr">
        <is>
          <t>Bodyweight this week</t>
        </is>
      </c>
      <c r="C3" s="4" t="n"/>
      <c r="D3" t="inlineStr">
        <is>
          <t>Weigh in once this week: same morning routine, before eating.</t>
        </is>
      </c>
    </row>
    <row r="5">
      <c r="A5" s="5" t="inlineStr">
        <is>
          <t>Day</t>
        </is>
      </c>
      <c r="B5" s="5" t="inlineStr">
        <is>
          <t>Date</t>
        </is>
      </c>
      <c r="C5" s="5" t="inlineStr">
        <is>
          <t>Exercise</t>
        </is>
      </c>
      <c r="D5" s="5" t="inlineStr">
        <is>
          <t>Sets</t>
        </is>
      </c>
      <c r="E5" s="5" t="inlineStr">
        <is>
          <t>Reps</t>
        </is>
      </c>
      <c r="F5" s="5" t="inlineStr">
        <is>
          <t>% TM</t>
        </is>
      </c>
      <c r="G5" s="5" t="inlineStr">
        <is>
          <t>Training max</t>
        </is>
      </c>
      <c r="H5" s="5" t="inlineStr">
        <is>
          <t>Weight / target</t>
        </is>
      </c>
      <c r="I5" s="5" t="inlineStr">
        <is>
          <t>Actual (weight, height or distance)</t>
        </is>
      </c>
      <c r="J5" s="5" t="inlineStr">
        <is>
          <t>Actual reps</t>
        </is>
      </c>
      <c r="K5" s="5" t="inlineStr">
        <is>
          <t>Est. 1RM</t>
        </is>
      </c>
      <c r="L5" s="5" t="inlineStr">
        <is>
          <t>PR</t>
        </is>
      </c>
      <c r="M5" s="5" t="inlineStr">
        <is>
          <t>Notes</t>
        </is>
      </c>
      <c r="N5" s="5" t="inlineStr">
        <is>
          <t>Guidance</t>
        </is>
      </c>
    </row>
    <row r="6">
      <c r="A6" s="26" t="inlineStr">
        <is>
          <t>Day 1 - Heavy</t>
        </is>
      </c>
      <c r="B6" s="27">
        <f>'Start Here'!$B$7+84</f>
        <v/>
      </c>
      <c r="C6" s="28" t="inlineStr">
        <is>
          <t>Box Jump</t>
        </is>
      </c>
      <c r="D6" s="29" t="n">
        <v>4</v>
      </c>
      <c r="E6" s="29" t="inlineStr">
        <is>
          <t>3</t>
        </is>
      </c>
      <c r="F6" s="29" t="n"/>
      <c r="G6" s="30" t="n"/>
      <c r="H6" s="31">
        <f>IFERROR(IF(PRs!D69&lt;'Start Here'!$H$15,'Start Here'!$H$15,IF(PRs!D69&lt;'Start Here'!$H$16,'Start Here'!$H$16,IF(PRs!D69&lt;'Start Here'!$H$17,'Start Here'!$H$17,IF(PRs!D69&lt;'Start Here'!$H$18,'Start Here'!$H$18,"Elite!")))),"")</f>
        <v/>
      </c>
      <c r="I6" s="32" t="n"/>
      <c r="J6" s="32" t="n"/>
      <c r="K6" s="29" t="n"/>
      <c r="L6" s="33">
        <f>IF(I6="","",IF(I6&gt;=PRs!D69,"PR!",""))</f>
        <v/>
      </c>
      <c r="M6" s="32" t="n"/>
      <c r="N6" s="34" t="inlineStr">
        <is>
          <t>Explode up, land softly, STEP down. Full reset between reps. Log your box height; check the standards</t>
        </is>
      </c>
    </row>
    <row r="7">
      <c r="A7" s="26" t="inlineStr">
        <is>
          <t>Day 1 - Heavy</t>
        </is>
      </c>
      <c r="B7" s="27">
        <f>'Start Here'!$B$7+84</f>
        <v/>
      </c>
      <c r="C7" s="31" t="inlineStr">
        <is>
          <t>Snatch</t>
        </is>
      </c>
      <c r="D7" s="29" t="n">
        <v>4</v>
      </c>
      <c r="E7" s="29" t="inlineStr">
        <is>
          <t>3</t>
        </is>
      </c>
      <c r="F7" s="29" t="n">
        <v>70</v>
      </c>
      <c r="G7" s="30">
        <f>Maxes!F6</f>
        <v/>
      </c>
      <c r="H7" s="31">
        <f>IF(OR(G7="",F7=""),"",MROUND(G7*F7/100,'Start Here'!$B$6))</f>
        <v/>
      </c>
      <c r="I7" s="32" t="n"/>
      <c r="J7" s="32" t="n"/>
      <c r="K7" s="29">
        <f>IF(OR(I7="",J7=""),"",IF(J7=1,I7,ROUND(I7*(1+J7/30),1)))</f>
        <v/>
      </c>
      <c r="L7" s="33">
        <f>IF(K7="","",IF(K7&gt;=PRs!C6,"PR!",""))</f>
        <v/>
      </c>
      <c r="M7" s="32" t="n"/>
      <c r="N7" s="34" t="inlineStr"/>
    </row>
    <row r="8">
      <c r="A8" s="26" t="inlineStr">
        <is>
          <t>Day 1 - Heavy</t>
        </is>
      </c>
      <c r="B8" s="27">
        <f>'Start Here'!$B$7+84</f>
        <v/>
      </c>
      <c r="C8" s="31" t="inlineStr">
        <is>
          <t>Squat</t>
        </is>
      </c>
      <c r="D8" s="29" t="n">
        <v>3</v>
      </c>
      <c r="E8" s="29" t="inlineStr">
        <is>
          <t>6</t>
        </is>
      </c>
      <c r="F8" s="29" t="n">
        <v>70</v>
      </c>
      <c r="G8" s="30">
        <f>Maxes!F2</f>
        <v/>
      </c>
      <c r="H8" s="31">
        <f>IF(OR(G8="",F8=""),"",MROUND(G8*F8/100,'Start Here'!$B$6))</f>
        <v/>
      </c>
      <c r="I8" s="32" t="n"/>
      <c r="J8" s="32" t="n"/>
      <c r="K8" s="29">
        <f>IF(OR(I8="",J8=""),"",IF(J8=1,I8,ROUND(I8*(1+J8/30),1)))</f>
        <v/>
      </c>
      <c r="L8" s="33">
        <f>IF(K8="","",IF(K8&gt;=PRs!C2,"PR!",""))</f>
        <v/>
      </c>
      <c r="M8" s="32" t="n"/>
      <c r="N8" s="34" t="inlineStr"/>
    </row>
    <row r="9">
      <c r="A9" s="26" t="inlineStr">
        <is>
          <t>Day 1 - Heavy</t>
        </is>
      </c>
      <c r="B9" s="27">
        <f>'Start Here'!$B$7+84</f>
        <v/>
      </c>
      <c r="C9" s="31" t="inlineStr">
        <is>
          <t>Bench Press</t>
        </is>
      </c>
      <c r="D9" s="29" t="n">
        <v>3</v>
      </c>
      <c r="E9" s="29" t="inlineStr">
        <is>
          <t>6</t>
        </is>
      </c>
      <c r="F9" s="29" t="n">
        <v>70</v>
      </c>
      <c r="G9" s="30">
        <f>Maxes!F3</f>
        <v/>
      </c>
      <c r="H9" s="31">
        <f>IF(OR(G9="",F9=""),"",MROUND(G9*F9/100,'Start Here'!$B$6))</f>
        <v/>
      </c>
      <c r="I9" s="32" t="n"/>
      <c r="J9" s="32" t="n"/>
      <c r="K9" s="29">
        <f>IF(OR(I9="",J9=""),"",IF(J9=1,I9,ROUND(I9*(1+J9/30),1)))</f>
        <v/>
      </c>
      <c r="L9" s="33">
        <f>IF(K9="","",IF(K9&gt;=PRs!C3,"PR!",""))</f>
        <v/>
      </c>
      <c r="M9" s="32" t="n"/>
      <c r="N9" s="34" t="inlineStr"/>
    </row>
    <row r="10">
      <c r="A10" s="26" t="inlineStr">
        <is>
          <t>Day 1 - Heavy</t>
        </is>
      </c>
      <c r="B10" s="27">
        <f>'Start Here'!$B$7+84</f>
        <v/>
      </c>
      <c r="C10" s="29" t="inlineStr">
        <is>
          <t>Barbell Row</t>
        </is>
      </c>
      <c r="D10" s="29" t="n">
        <v>4</v>
      </c>
      <c r="E10" s="29" t="inlineStr">
        <is>
          <t>8-10</t>
        </is>
      </c>
      <c r="F10" s="29" t="n"/>
      <c r="G10" s="30" t="n"/>
      <c r="H10" s="31" t="n"/>
      <c r="I10" s="32" t="n"/>
      <c r="J10" s="32" t="n"/>
      <c r="K10" s="29">
        <f>IF(OR(I10="",J10=""),"",IF(J10=1,I10,ROUND(I10*(1+J10/30),1)))</f>
        <v/>
      </c>
      <c r="L10" s="33">
        <f>IF(K10="","",IF(K10&gt;=PRs!C50,"PR!",""))</f>
        <v/>
      </c>
      <c r="M10" s="32" t="n"/>
      <c r="N10" s="34" t="inlineStr">
        <is>
          <t>Leave 1-2 reps in the tank; add weight when you hit the top of the range</t>
        </is>
      </c>
    </row>
    <row r="11">
      <c r="A11" s="26" t="inlineStr">
        <is>
          <t>Day 1 - Heavy</t>
        </is>
      </c>
      <c r="B11" s="27">
        <f>'Start Here'!$B$7+84</f>
        <v/>
      </c>
      <c r="C11" s="29" t="inlineStr">
        <is>
          <t>Face Pull</t>
        </is>
      </c>
      <c r="D11" s="29" t="n">
        <v>4</v>
      </c>
      <c r="E11" s="29" t="inlineStr">
        <is>
          <t>12-15</t>
        </is>
      </c>
      <c r="F11" s="29" t="n"/>
      <c r="G11" s="30" t="n"/>
      <c r="H11" s="31" t="n"/>
      <c r="I11" s="32" t="n"/>
      <c r="J11" s="32" t="n"/>
      <c r="K11" s="29">
        <f>IF(OR(I11="",J11=""),"",IF(J11=1,I11,ROUND(I11*(1+J11/30),1)))</f>
        <v/>
      </c>
      <c r="L11" s="33">
        <f>IF(K11="","",IF(K11&gt;=PRs!C51,"PR!",""))</f>
        <v/>
      </c>
      <c r="M11" s="32" t="n"/>
      <c r="N11" s="34" t="inlineStr">
        <is>
          <t>Leave 1-2 reps in the tank; add weight when you hit the top of the range</t>
        </is>
      </c>
    </row>
    <row r="12">
      <c r="A12" s="26" t="inlineStr">
        <is>
          <t>Day 2 - Light</t>
        </is>
      </c>
      <c r="B12" s="27">
        <f>'Start Here'!$B$7+86</f>
        <v/>
      </c>
      <c r="C12" s="28" t="inlineStr">
        <is>
          <t>Broad Jump</t>
        </is>
      </c>
      <c r="D12" s="29" t="n">
        <v>4</v>
      </c>
      <c r="E12" s="29" t="inlineStr">
        <is>
          <t>3</t>
        </is>
      </c>
      <c r="F12" s="29" t="n"/>
      <c r="G12" s="30" t="n"/>
      <c r="H12" s="31" t="n"/>
      <c r="I12" s="32" t="n"/>
      <c r="J12" s="32" t="n"/>
      <c r="K12" s="29" t="n"/>
      <c r="L12" s="33">
        <f>IF(I12="","",IF(I12&gt;=PRs!D70,"PR!",""))</f>
        <v/>
      </c>
      <c r="M12" s="32" t="n"/>
      <c r="N12" s="34" t="inlineStr">
        <is>
          <t>Two-foot jump for distance, stick the landing. Full reset between reps. Log your best distance</t>
        </is>
      </c>
    </row>
    <row r="13">
      <c r="A13" s="26" t="inlineStr">
        <is>
          <t>Day 2 - Light</t>
        </is>
      </c>
      <c r="B13" s="27">
        <f>'Start Here'!$B$7+86</f>
        <v/>
      </c>
      <c r="C13" s="31" t="inlineStr">
        <is>
          <t>Clean &amp; Jerk</t>
        </is>
      </c>
      <c r="D13" s="29" t="n">
        <v>4</v>
      </c>
      <c r="E13" s="29" t="inlineStr">
        <is>
          <t>3</t>
        </is>
      </c>
      <c r="F13" s="29" t="n">
        <v>70</v>
      </c>
      <c r="G13" s="30">
        <f>Maxes!F7</f>
        <v/>
      </c>
      <c r="H13" s="31">
        <f>IF(OR(G13="",F13=""),"",MROUND(G13*F13/100,'Start Here'!$B$6))</f>
        <v/>
      </c>
      <c r="I13" s="32" t="n"/>
      <c r="J13" s="32" t="n"/>
      <c r="K13" s="29">
        <f>IF(OR(I13="",J13=""),"",IF(J13=1,I13,ROUND(I13*(1+J13/30),1)))</f>
        <v/>
      </c>
      <c r="L13" s="33">
        <f>IF(K13="","",IF(K13&gt;=PRs!C7,"PR!",""))</f>
        <v/>
      </c>
      <c r="M13" s="32" t="n"/>
      <c r="N13" s="34" t="inlineStr"/>
    </row>
    <row r="14">
      <c r="A14" s="26" t="inlineStr">
        <is>
          <t>Day 2 - Light</t>
        </is>
      </c>
      <c r="B14" s="27">
        <f>'Start Here'!$B$7+86</f>
        <v/>
      </c>
      <c r="C14" s="31" t="inlineStr">
        <is>
          <t>Squat</t>
        </is>
      </c>
      <c r="D14" s="29" t="n">
        <v>3</v>
      </c>
      <c r="E14" s="29" t="inlineStr">
        <is>
          <t>6</t>
        </is>
      </c>
      <c r="F14" s="29" t="n">
        <v>60</v>
      </c>
      <c r="G14" s="30">
        <f>Maxes!F2</f>
        <v/>
      </c>
      <c r="H14" s="31">
        <f>IF(OR(G14="",F14=""),"",MROUND(G14*F14/100,'Start Here'!$B$6))</f>
        <v/>
      </c>
      <c r="I14" s="32" t="n"/>
      <c r="J14" s="32" t="n"/>
      <c r="K14" s="29">
        <f>IF(OR(I14="",J14=""),"",IF(J14=1,I14,ROUND(I14*(1+J14/30),1)))</f>
        <v/>
      </c>
      <c r="L14" s="33">
        <f>IF(K14="","",IF(K14&gt;=PRs!C2,"PR!",""))</f>
        <v/>
      </c>
      <c r="M14" s="32" t="n"/>
      <c r="N14" s="34" t="inlineStr"/>
    </row>
    <row r="15">
      <c r="A15" s="26" t="inlineStr">
        <is>
          <t>Day 2 - Light</t>
        </is>
      </c>
      <c r="B15" s="27">
        <f>'Start Here'!$B$7+86</f>
        <v/>
      </c>
      <c r="C15" s="31" t="inlineStr">
        <is>
          <t>Overhead Press</t>
        </is>
      </c>
      <c r="D15" s="29" t="n">
        <v>4</v>
      </c>
      <c r="E15" s="29" t="inlineStr">
        <is>
          <t>6</t>
        </is>
      </c>
      <c r="F15" s="29" t="n">
        <v>65</v>
      </c>
      <c r="G15" s="30">
        <f>Maxes!F5</f>
        <v/>
      </c>
      <c r="H15" s="31">
        <f>IF(OR(G15="",F15=""),"",MROUND(G15*F15/100,'Start Here'!$B$6))</f>
        <v/>
      </c>
      <c r="I15" s="32" t="n"/>
      <c r="J15" s="32" t="n"/>
      <c r="K15" s="29">
        <f>IF(OR(I15="",J15=""),"",IF(J15=1,I15,ROUND(I15*(1+J15/30),1)))</f>
        <v/>
      </c>
      <c r="L15" s="33">
        <f>IF(K15="","",IF(K15&gt;=PRs!C5,"PR!",""))</f>
        <v/>
      </c>
      <c r="M15" s="32" t="n"/>
      <c r="N15" s="34" t="inlineStr"/>
    </row>
    <row r="16">
      <c r="A16" s="26" t="inlineStr">
        <is>
          <t>Day 2 - Light</t>
        </is>
      </c>
      <c r="B16" s="27">
        <f>'Start Here'!$B$7+86</f>
        <v/>
      </c>
      <c r="C16" s="31" t="inlineStr">
        <is>
          <t>Deadlift</t>
        </is>
      </c>
      <c r="D16" s="29" t="n">
        <v>3</v>
      </c>
      <c r="E16" s="29" t="inlineStr">
        <is>
          <t>6</t>
        </is>
      </c>
      <c r="F16" s="29" t="n">
        <v>65</v>
      </c>
      <c r="G16" s="30">
        <f>Maxes!F4</f>
        <v/>
      </c>
      <c r="H16" s="31">
        <f>IF(OR(G16="",F16=""),"",MROUND(G16*F16/100,'Start Here'!$B$6))</f>
        <v/>
      </c>
      <c r="I16" s="32" t="n"/>
      <c r="J16" s="32" t="n"/>
      <c r="K16" s="29">
        <f>IF(OR(I16="",J16=""),"",IF(J16=1,I16,ROUND(I16*(1+J16/30),1)))</f>
        <v/>
      </c>
      <c r="L16" s="33">
        <f>IF(K16="","",IF(K16&gt;=PRs!C4,"PR!",""))</f>
        <v/>
      </c>
      <c r="M16" s="32" t="n"/>
      <c r="N16" s="34" t="inlineStr"/>
    </row>
    <row r="17">
      <c r="A17" s="26" t="inlineStr">
        <is>
          <t>Day 2 - Light</t>
        </is>
      </c>
      <c r="B17" s="27">
        <f>'Start Here'!$B$7+86</f>
        <v/>
      </c>
      <c r="C17" s="29" t="inlineStr">
        <is>
          <t>Chin-up</t>
        </is>
      </c>
      <c r="D17" s="29" t="n">
        <v>4</v>
      </c>
      <c r="E17" s="29" t="inlineStr">
        <is>
          <t>6-10</t>
        </is>
      </c>
      <c r="F17" s="29" t="n"/>
      <c r="G17" s="30" t="n"/>
      <c r="H17" s="31" t="n"/>
      <c r="I17" s="32" t="n"/>
      <c r="J17" s="32" t="n"/>
      <c r="K17" s="29">
        <f>IF(OR(I17="",J17=""),"",IF(J17=1,I17,ROUND(I17*(1+J17/30),1)))</f>
        <v/>
      </c>
      <c r="L17" s="33">
        <f>IF(K17="","",IF(K17&gt;=PRs!C53,"PR!",""))</f>
        <v/>
      </c>
      <c r="M17" s="32" t="n"/>
      <c r="N17" s="34" t="inlineStr">
        <is>
          <t>Leave 1-2 reps in the tank; add weight when you hit the top of the range</t>
        </is>
      </c>
    </row>
    <row r="18">
      <c r="A18" s="26" t="inlineStr">
        <is>
          <t>Day 2 - Light</t>
        </is>
      </c>
      <c r="B18" s="27">
        <f>'Start Here'!$B$7+86</f>
        <v/>
      </c>
      <c r="C18" s="29" t="inlineStr">
        <is>
          <t>Plank</t>
        </is>
      </c>
      <c r="D18" s="29" t="n">
        <v>4</v>
      </c>
      <c r="E18" s="29" t="inlineStr">
        <is>
          <t>30-60s</t>
        </is>
      </c>
      <c r="F18" s="29" t="n"/>
      <c r="G18" s="30" t="n"/>
      <c r="H18" s="31" t="n"/>
      <c r="I18" s="32" t="n"/>
      <c r="J18" s="32" t="n"/>
      <c r="K18" s="29">
        <f>IF(OR(I18="",J18=""),"",IF(J18=1,I18,ROUND(I18*(1+J18/30),1)))</f>
        <v/>
      </c>
      <c r="L18" s="33">
        <f>IF(K18="","",IF(K18&gt;=PRs!C56,"PR!",""))</f>
        <v/>
      </c>
      <c r="M18" s="32" t="n"/>
      <c r="N18" s="34" t="inlineStr">
        <is>
          <t>Leave 1-2 reps in the tank; add weight when you hit the top of the range</t>
        </is>
      </c>
    </row>
    <row r="19">
      <c r="A19" s="26" t="inlineStr">
        <is>
          <t>Day 3 - Variations</t>
        </is>
      </c>
      <c r="B19" s="27">
        <f>'Start Here'!$B$7+88</f>
        <v/>
      </c>
      <c r="C19" s="28" t="inlineStr">
        <is>
          <t>Box Jump</t>
        </is>
      </c>
      <c r="D19" s="29" t="n">
        <v>4</v>
      </c>
      <c r="E19" s="29" t="inlineStr">
        <is>
          <t>3</t>
        </is>
      </c>
      <c r="F19" s="29" t="n"/>
      <c r="G19" s="30" t="n"/>
      <c r="H19" s="31">
        <f>IFERROR(IF(PRs!D69&lt;'Start Here'!$H$15,'Start Here'!$H$15,IF(PRs!D69&lt;'Start Here'!$H$16,'Start Here'!$H$16,IF(PRs!D69&lt;'Start Here'!$H$17,'Start Here'!$H$17,IF(PRs!D69&lt;'Start Here'!$H$18,'Start Here'!$H$18,"Elite!")))),"")</f>
        <v/>
      </c>
      <c r="I19" s="32" t="n"/>
      <c r="J19" s="32" t="n"/>
      <c r="K19" s="29" t="n"/>
      <c r="L19" s="33">
        <f>IF(I19="","",IF(I19&gt;=PRs!D69,"PR!",""))</f>
        <v/>
      </c>
      <c r="M19" s="32" t="n"/>
      <c r="N19" s="34" t="inlineStr">
        <is>
          <t>Explode up, land softly, STEP down. Full reset between reps. Log your box height; check the standards</t>
        </is>
      </c>
    </row>
    <row r="20">
      <c r="A20" s="26" t="inlineStr">
        <is>
          <t>Day 3 - Variations</t>
        </is>
      </c>
      <c r="B20" s="27">
        <f>'Start Here'!$B$7+88</f>
        <v/>
      </c>
      <c r="C20" s="31" t="inlineStr">
        <is>
          <t>Hang Clean</t>
        </is>
      </c>
      <c r="D20" s="29" t="n">
        <v>6</v>
      </c>
      <c r="E20" s="29" t="inlineStr">
        <is>
          <t>3</t>
        </is>
      </c>
      <c r="F20" s="29" t="n">
        <v>65</v>
      </c>
      <c r="G20" s="30">
        <f>Maxes!F43</f>
        <v/>
      </c>
      <c r="H20" s="31">
        <f>IF(OR(G20="",F20=""),"",MROUND(G20*F20/100,'Start Here'!$B$6))</f>
        <v/>
      </c>
      <c r="I20" s="32" t="n"/>
      <c r="J20" s="32" t="n"/>
      <c r="K20" s="29">
        <f>IF(OR(I20="",J20=""),"",IF(J20=1,I20,ROUND(I20*(1+J20/30),1)))</f>
        <v/>
      </c>
      <c r="L20" s="33">
        <f>IF(K20="","",IF(K20&gt;=PRs!C43,"PR!",""))</f>
        <v/>
      </c>
      <c r="M20" s="32" t="n"/>
      <c r="N20" s="34" t="inlineStr"/>
    </row>
    <row r="21">
      <c r="A21" s="26" t="inlineStr">
        <is>
          <t>Day 3 - Variations</t>
        </is>
      </c>
      <c r="B21" s="27">
        <f>'Start Here'!$B$7+88</f>
        <v/>
      </c>
      <c r="C21" s="31" t="inlineStr">
        <is>
          <t>Safety Bar Squat</t>
        </is>
      </c>
      <c r="D21" s="29" t="n">
        <v>4</v>
      </c>
      <c r="E21" s="29" t="inlineStr">
        <is>
          <t>6</t>
        </is>
      </c>
      <c r="F21" s="29" t="n">
        <v>65</v>
      </c>
      <c r="G21" s="30">
        <f>Maxes!F11</f>
        <v/>
      </c>
      <c r="H21" s="31">
        <f>IF(OR(G21="",F21=""),"",MROUND(G21*F21/100,'Start Here'!$B$6))</f>
        <v/>
      </c>
      <c r="I21" s="32" t="n"/>
      <c r="J21" s="32" t="n"/>
      <c r="K21" s="29">
        <f>IF(OR(I21="",J21=""),"",IF(J21=1,I21,ROUND(I21*(1+J21/30),1)))</f>
        <v/>
      </c>
      <c r="L21" s="33">
        <f>IF(K21="","",IF(K21&gt;=PRs!C11,"PR!",""))</f>
        <v/>
      </c>
      <c r="M21" s="32" t="n"/>
      <c r="N21" s="34" t="inlineStr"/>
    </row>
    <row r="22">
      <c r="A22" s="26" t="inlineStr">
        <is>
          <t>Day 3 - Variations</t>
        </is>
      </c>
      <c r="B22" s="27">
        <f>'Start Here'!$B$7+88</f>
        <v/>
      </c>
      <c r="C22" s="31" t="inlineStr">
        <is>
          <t>1-Board Press</t>
        </is>
      </c>
      <c r="D22" s="29" t="n">
        <v>4</v>
      </c>
      <c r="E22" s="29" t="inlineStr">
        <is>
          <t>6</t>
        </is>
      </c>
      <c r="F22" s="29" t="n">
        <v>65</v>
      </c>
      <c r="G22" s="30">
        <f>Maxes!F15</f>
        <v/>
      </c>
      <c r="H22" s="31">
        <f>IF(OR(G22="",F22=""),"",MROUND(G22*F22/100,'Start Here'!$B$6))</f>
        <v/>
      </c>
      <c r="I22" s="32" t="n"/>
      <c r="J22" s="32" t="n"/>
      <c r="K22" s="29">
        <f>IF(OR(I22="",J22=""),"",IF(J22=1,I22,ROUND(I22*(1+J22/30),1)))</f>
        <v/>
      </c>
      <c r="L22" s="33">
        <f>IF(K22="","",IF(K22&gt;=PRs!C15,"PR!",""))</f>
        <v/>
      </c>
      <c r="M22" s="32" t="n"/>
      <c r="N22" s="34" t="inlineStr"/>
    </row>
    <row r="23">
      <c r="A23" s="26" t="inlineStr">
        <is>
          <t>Day 3 - Variations</t>
        </is>
      </c>
      <c r="B23" s="27">
        <f>'Start Here'!$B$7+88</f>
        <v/>
      </c>
      <c r="C23" s="31" t="inlineStr">
        <is>
          <t>Block Pull</t>
        </is>
      </c>
      <c r="D23" s="29" t="n">
        <v>3</v>
      </c>
      <c r="E23" s="29" t="inlineStr">
        <is>
          <t>6</t>
        </is>
      </c>
      <c r="F23" s="29" t="n">
        <v>60</v>
      </c>
      <c r="G23" s="30">
        <f>Maxes!F26</f>
        <v/>
      </c>
      <c r="H23" s="31">
        <f>IF(OR(G23="",F23=""),"",MROUND(G23*F23/100,'Start Here'!$B$6))</f>
        <v/>
      </c>
      <c r="I23" s="32" t="n"/>
      <c r="J23" s="32" t="n"/>
      <c r="K23" s="29">
        <f>IF(OR(I23="",J23=""),"",IF(J23=1,I23,ROUND(I23*(1+J23/30),1)))</f>
        <v/>
      </c>
      <c r="L23" s="33">
        <f>IF(K23="","",IF(K23&gt;=PRs!C26,"PR!",""))</f>
        <v/>
      </c>
      <c r="M23" s="32" t="n"/>
      <c r="N23" s="34" t="inlineStr"/>
    </row>
    <row r="24">
      <c r="A24" s="26" t="inlineStr">
        <is>
          <t>Day 3 - Variations</t>
        </is>
      </c>
      <c r="B24" s="27">
        <f>'Start Here'!$B$7+88</f>
        <v/>
      </c>
      <c r="C24" s="29" t="inlineStr">
        <is>
          <t>Incline Dumbbell Press</t>
        </is>
      </c>
      <c r="D24" s="29" t="n">
        <v>4</v>
      </c>
      <c r="E24" s="29" t="inlineStr">
        <is>
          <t>8-12</t>
        </is>
      </c>
      <c r="F24" s="29" t="n"/>
      <c r="G24" s="30" t="n"/>
      <c r="H24" s="31" t="n"/>
      <c r="I24" s="32" t="n"/>
      <c r="J24" s="32" t="n"/>
      <c r="K24" s="29">
        <f>IF(OR(I24="",J24=""),"",IF(J24=1,I24,ROUND(I24*(1+J24/30),1)))</f>
        <v/>
      </c>
      <c r="L24" s="33">
        <f>IF(K24="","",IF(K24&gt;=PRs!C57,"PR!",""))</f>
        <v/>
      </c>
      <c r="M24" s="32" t="n"/>
      <c r="N24" s="34" t="inlineStr">
        <is>
          <t>Leave 1-2 reps in the tank; add weight when you hit the top of the range</t>
        </is>
      </c>
    </row>
    <row r="25">
      <c r="A25" s="26" t="inlineStr">
        <is>
          <t>Day 3 - Variations</t>
        </is>
      </c>
      <c r="B25" s="27">
        <f>'Start Here'!$B$7+88</f>
        <v/>
      </c>
      <c r="C25" s="29" t="inlineStr">
        <is>
          <t>Triceps Pushdown</t>
        </is>
      </c>
      <c r="D25" s="29" t="n">
        <v>4</v>
      </c>
      <c r="E25" s="29" t="inlineStr">
        <is>
          <t>10-15</t>
        </is>
      </c>
      <c r="F25" s="29" t="n"/>
      <c r="G25" s="30" t="n"/>
      <c r="H25" s="31" t="n"/>
      <c r="I25" s="32" t="n"/>
      <c r="J25" s="32" t="n"/>
      <c r="K25" s="29">
        <f>IF(OR(I25="",J25=""),"",IF(J25=1,I25,ROUND(I25*(1+J25/30),1)))</f>
        <v/>
      </c>
      <c r="L25" s="33">
        <f>IF(K25="","",IF(K25&gt;=PRs!C59,"PR!",""))</f>
        <v/>
      </c>
      <c r="M25" s="32" t="n"/>
      <c r="N25" s="34" t="inlineStr">
        <is>
          <t>Leave 1-2 reps in the tank; add weight when you hit the top of the range</t>
        </is>
      </c>
    </row>
  </sheetData>
  <hyperlinks>
    <hyperlink xmlns:r="http://schemas.openxmlformats.org/officeDocument/2006/relationships" ref="A2" r:id="rId1"/>
    <hyperlink xmlns:r="http://schemas.openxmlformats.org/officeDocument/2006/relationships" ref="C2" r:id="rId2"/>
    <hyperlink xmlns:r="http://schemas.openxmlformats.org/officeDocument/2006/relationships" ref="E2" r:id="rId3"/>
  </hyperlinks>
  <pageMargins left="0.75" right="0.75" top="1" bottom="1" header="0.5" footer="0.5"/>
  <pageSetup orientation="landscape" fitToHeight="0" fitToWidth="1"/>
</worksheet>
</file>

<file path=xl/worksheets/sheet16.xml><?xml version="1.0" encoding="utf-8"?>
<worksheet xmlns="http://schemas.openxmlformats.org/spreadsheetml/2006/main">
  <sheetPr>
    <tabColor rgb="00DCEFDC"/>
    <outlinePr summaryBelow="1" summaryRight="1"/>
    <pageSetUpPr fitToPage="1"/>
  </sheetPr>
  <dimension ref="A1:N25"/>
  <sheetViews>
    <sheetView workbookViewId="0">
      <pane xSplit="3" ySplit="5" topLeftCell="D6" activePane="bottomRight" state="frozen"/>
      <selection pane="topRight"/>
      <selection pane="bottomLeft"/>
      <selection pane="bottomRight" activeCell="A1" sqref="A1"/>
    </sheetView>
  </sheetViews>
  <sheetFormatPr baseColWidth="8" defaultRowHeight="15"/>
  <cols>
    <col width="17" customWidth="1" min="1" max="1"/>
    <col width="11" customWidth="1" min="2" max="2"/>
    <col width="24" customWidth="1" min="3" max="3"/>
    <col width="5" customWidth="1" min="4" max="4"/>
    <col width="6" customWidth="1" min="5" max="5"/>
    <col width="6" customWidth="1" min="6" max="6"/>
    <col width="9" customWidth="1" min="7" max="7"/>
    <col width="10" customWidth="1" min="8" max="8"/>
    <col width="13" customWidth="1" min="9" max="9"/>
    <col width="8" customWidth="1" min="10" max="10"/>
    <col width="9" customWidth="1" min="11" max="11"/>
    <col width="5" customWidth="1" min="12" max="12"/>
    <col width="22" customWidth="1" min="13" max="13"/>
    <col width="62" customWidth="1" min="14" max="14"/>
  </cols>
  <sheetData>
    <row r="1">
      <c r="A1" s="24" t="inlineStr">
        <is>
          <t>Week 14 - Cycle 2 - Accumulation</t>
        </is>
      </c>
    </row>
    <row r="2">
      <c r="A2" s="25" t="inlineStr">
        <is>
          <t>&lt; Week 13</t>
        </is>
      </c>
      <c r="C2" s="25" t="inlineStr">
        <is>
          <t>Start Here</t>
        </is>
      </c>
      <c r="E2" s="25" t="inlineStr">
        <is>
          <t>Week 15 &gt;</t>
        </is>
      </c>
    </row>
    <row r="3">
      <c r="A3" s="10" t="inlineStr">
        <is>
          <t>Bodyweight this week</t>
        </is>
      </c>
      <c r="C3" s="4" t="n"/>
      <c r="D3" t="inlineStr">
        <is>
          <t>Weigh in once this week: same morning routine, before eating.</t>
        </is>
      </c>
    </row>
    <row r="4">
      <c r="A4" s="35" t="inlineStr">
        <is>
          <t>Body fat test due this week (month 4) - enter it on the Body sheet</t>
        </is>
      </c>
    </row>
    <row r="5">
      <c r="A5" s="5" t="inlineStr">
        <is>
          <t>Day</t>
        </is>
      </c>
      <c r="B5" s="5" t="inlineStr">
        <is>
          <t>Date</t>
        </is>
      </c>
      <c r="C5" s="5" t="inlineStr">
        <is>
          <t>Exercise</t>
        </is>
      </c>
      <c r="D5" s="5" t="inlineStr">
        <is>
          <t>Sets</t>
        </is>
      </c>
      <c r="E5" s="5" t="inlineStr">
        <is>
          <t>Reps</t>
        </is>
      </c>
      <c r="F5" s="5" t="inlineStr">
        <is>
          <t>% TM</t>
        </is>
      </c>
      <c r="G5" s="5" t="inlineStr">
        <is>
          <t>Training max</t>
        </is>
      </c>
      <c r="H5" s="5" t="inlineStr">
        <is>
          <t>Weight / target</t>
        </is>
      </c>
      <c r="I5" s="5" t="inlineStr">
        <is>
          <t>Actual (weight, height or distance)</t>
        </is>
      </c>
      <c r="J5" s="5" t="inlineStr">
        <is>
          <t>Actual reps</t>
        </is>
      </c>
      <c r="K5" s="5" t="inlineStr">
        <is>
          <t>Est. 1RM</t>
        </is>
      </c>
      <c r="L5" s="5" t="inlineStr">
        <is>
          <t>PR</t>
        </is>
      </c>
      <c r="M5" s="5" t="inlineStr">
        <is>
          <t>Notes</t>
        </is>
      </c>
      <c r="N5" s="5" t="inlineStr">
        <is>
          <t>Guidance</t>
        </is>
      </c>
    </row>
    <row r="6">
      <c r="A6" s="26" t="inlineStr">
        <is>
          <t>Day 1 - Heavy</t>
        </is>
      </c>
      <c r="B6" s="27">
        <f>'Start Here'!$B$7+91</f>
        <v/>
      </c>
      <c r="C6" s="28" t="inlineStr">
        <is>
          <t>Box Jump</t>
        </is>
      </c>
      <c r="D6" s="29" t="n">
        <v>4</v>
      </c>
      <c r="E6" s="29" t="inlineStr">
        <is>
          <t>3</t>
        </is>
      </c>
      <c r="F6" s="29" t="n"/>
      <c r="G6" s="30" t="n"/>
      <c r="H6" s="31">
        <f>IFERROR(IF(PRs!D69&lt;'Start Here'!$H$15,'Start Here'!$H$15,IF(PRs!D69&lt;'Start Here'!$H$16,'Start Here'!$H$16,IF(PRs!D69&lt;'Start Here'!$H$17,'Start Here'!$H$17,IF(PRs!D69&lt;'Start Here'!$H$18,'Start Here'!$H$18,"Elite!")))),"")</f>
        <v/>
      </c>
      <c r="I6" s="32" t="n"/>
      <c r="J6" s="32" t="n"/>
      <c r="K6" s="29" t="n"/>
      <c r="L6" s="33">
        <f>IF(I6="","",IF(I6&gt;=PRs!D69,"PR!",""))</f>
        <v/>
      </c>
      <c r="M6" s="32" t="n"/>
      <c r="N6" s="34" t="inlineStr">
        <is>
          <t>Explode up, land softly, STEP down. Full reset between reps. Log your box height; check the standards</t>
        </is>
      </c>
    </row>
    <row r="7">
      <c r="A7" s="26" t="inlineStr">
        <is>
          <t>Day 1 - Heavy</t>
        </is>
      </c>
      <c r="B7" s="27">
        <f>'Start Here'!$B$7+91</f>
        <v/>
      </c>
      <c r="C7" s="31" t="inlineStr">
        <is>
          <t>Snatch</t>
        </is>
      </c>
      <c r="D7" s="29" t="n">
        <v>4</v>
      </c>
      <c r="E7" s="29" t="inlineStr">
        <is>
          <t>3</t>
        </is>
      </c>
      <c r="F7" s="29" t="n">
        <v>72.5</v>
      </c>
      <c r="G7" s="30">
        <f>Maxes!F6</f>
        <v/>
      </c>
      <c r="H7" s="31">
        <f>IF(OR(G7="",F7=""),"",MROUND(G7*F7/100,'Start Here'!$B$6))</f>
        <v/>
      </c>
      <c r="I7" s="32" t="n"/>
      <c r="J7" s="32" t="n"/>
      <c r="K7" s="29">
        <f>IF(OR(I7="",J7=""),"",IF(J7=1,I7,ROUND(I7*(1+J7/30),1)))</f>
        <v/>
      </c>
      <c r="L7" s="33">
        <f>IF(K7="","",IF(K7&gt;=PRs!C6,"PR!",""))</f>
        <v/>
      </c>
      <c r="M7" s="32" t="n"/>
      <c r="N7" s="34" t="inlineStr"/>
    </row>
    <row r="8">
      <c r="A8" s="26" t="inlineStr">
        <is>
          <t>Day 1 - Heavy</t>
        </is>
      </c>
      <c r="B8" s="27">
        <f>'Start Here'!$B$7+91</f>
        <v/>
      </c>
      <c r="C8" s="31" t="inlineStr">
        <is>
          <t>Squat</t>
        </is>
      </c>
      <c r="D8" s="29" t="n">
        <v>3</v>
      </c>
      <c r="E8" s="29" t="inlineStr">
        <is>
          <t>6</t>
        </is>
      </c>
      <c r="F8" s="29" t="n">
        <v>72.5</v>
      </c>
      <c r="G8" s="30">
        <f>Maxes!F2</f>
        <v/>
      </c>
      <c r="H8" s="31">
        <f>IF(OR(G8="",F8=""),"",MROUND(G8*F8/100,'Start Here'!$B$6))</f>
        <v/>
      </c>
      <c r="I8" s="32" t="n"/>
      <c r="J8" s="32" t="n"/>
      <c r="K8" s="29">
        <f>IF(OR(I8="",J8=""),"",IF(J8=1,I8,ROUND(I8*(1+J8/30),1)))</f>
        <v/>
      </c>
      <c r="L8" s="33">
        <f>IF(K8="","",IF(K8&gt;=PRs!C2,"PR!",""))</f>
        <v/>
      </c>
      <c r="M8" s="32" t="n"/>
      <c r="N8" s="34" t="inlineStr"/>
    </row>
    <row r="9">
      <c r="A9" s="26" t="inlineStr">
        <is>
          <t>Day 1 - Heavy</t>
        </is>
      </c>
      <c r="B9" s="27">
        <f>'Start Here'!$B$7+91</f>
        <v/>
      </c>
      <c r="C9" s="31" t="inlineStr">
        <is>
          <t>Bench Press</t>
        </is>
      </c>
      <c r="D9" s="29" t="n">
        <v>3</v>
      </c>
      <c r="E9" s="29" t="inlineStr">
        <is>
          <t>6</t>
        </is>
      </c>
      <c r="F9" s="29" t="n">
        <v>72.5</v>
      </c>
      <c r="G9" s="30">
        <f>Maxes!F3</f>
        <v/>
      </c>
      <c r="H9" s="31">
        <f>IF(OR(G9="",F9=""),"",MROUND(G9*F9/100,'Start Here'!$B$6))</f>
        <v/>
      </c>
      <c r="I9" s="32" t="n"/>
      <c r="J9" s="32" t="n"/>
      <c r="K9" s="29">
        <f>IF(OR(I9="",J9=""),"",IF(J9=1,I9,ROUND(I9*(1+J9/30),1)))</f>
        <v/>
      </c>
      <c r="L9" s="33">
        <f>IF(K9="","",IF(K9&gt;=PRs!C3,"PR!",""))</f>
        <v/>
      </c>
      <c r="M9" s="32" t="n"/>
      <c r="N9" s="34" t="inlineStr"/>
    </row>
    <row r="10">
      <c r="A10" s="26" t="inlineStr">
        <is>
          <t>Day 1 - Heavy</t>
        </is>
      </c>
      <c r="B10" s="27">
        <f>'Start Here'!$B$7+91</f>
        <v/>
      </c>
      <c r="C10" s="29" t="inlineStr">
        <is>
          <t>Barbell Row</t>
        </is>
      </c>
      <c r="D10" s="29" t="n">
        <v>4</v>
      </c>
      <c r="E10" s="29" t="inlineStr">
        <is>
          <t>8-10</t>
        </is>
      </c>
      <c r="F10" s="29" t="n"/>
      <c r="G10" s="30" t="n"/>
      <c r="H10" s="31" t="n"/>
      <c r="I10" s="32" t="n"/>
      <c r="J10" s="32" t="n"/>
      <c r="K10" s="29">
        <f>IF(OR(I10="",J10=""),"",IF(J10=1,I10,ROUND(I10*(1+J10/30),1)))</f>
        <v/>
      </c>
      <c r="L10" s="33">
        <f>IF(K10="","",IF(K10&gt;=PRs!C50,"PR!",""))</f>
        <v/>
      </c>
      <c r="M10" s="32" t="n"/>
      <c r="N10" s="34" t="inlineStr">
        <is>
          <t>Leave 1-2 reps in the tank; add weight when you hit the top of the range</t>
        </is>
      </c>
    </row>
    <row r="11">
      <c r="A11" s="26" t="inlineStr">
        <is>
          <t>Day 1 - Heavy</t>
        </is>
      </c>
      <c r="B11" s="27">
        <f>'Start Here'!$B$7+91</f>
        <v/>
      </c>
      <c r="C11" s="29" t="inlineStr">
        <is>
          <t>Face Pull</t>
        </is>
      </c>
      <c r="D11" s="29" t="n">
        <v>4</v>
      </c>
      <c r="E11" s="29" t="inlineStr">
        <is>
          <t>12-15</t>
        </is>
      </c>
      <c r="F11" s="29" t="n"/>
      <c r="G11" s="30" t="n"/>
      <c r="H11" s="31" t="n"/>
      <c r="I11" s="32" t="n"/>
      <c r="J11" s="32" t="n"/>
      <c r="K11" s="29">
        <f>IF(OR(I11="",J11=""),"",IF(J11=1,I11,ROUND(I11*(1+J11/30),1)))</f>
        <v/>
      </c>
      <c r="L11" s="33">
        <f>IF(K11="","",IF(K11&gt;=PRs!C51,"PR!",""))</f>
        <v/>
      </c>
      <c r="M11" s="32" t="n"/>
      <c r="N11" s="34" t="inlineStr">
        <is>
          <t>Leave 1-2 reps in the tank; add weight when you hit the top of the range</t>
        </is>
      </c>
    </row>
    <row r="12">
      <c r="A12" s="26" t="inlineStr">
        <is>
          <t>Day 2 - Light</t>
        </is>
      </c>
      <c r="B12" s="27">
        <f>'Start Here'!$B$7+93</f>
        <v/>
      </c>
      <c r="C12" s="28" t="inlineStr">
        <is>
          <t>Broad Jump</t>
        </is>
      </c>
      <c r="D12" s="29" t="n">
        <v>4</v>
      </c>
      <c r="E12" s="29" t="inlineStr">
        <is>
          <t>3</t>
        </is>
      </c>
      <c r="F12" s="29" t="n"/>
      <c r="G12" s="30" t="n"/>
      <c r="H12" s="31" t="n"/>
      <c r="I12" s="32" t="n"/>
      <c r="J12" s="32" t="n"/>
      <c r="K12" s="29" t="n"/>
      <c r="L12" s="33">
        <f>IF(I12="","",IF(I12&gt;=PRs!D70,"PR!",""))</f>
        <v/>
      </c>
      <c r="M12" s="32" t="n"/>
      <c r="N12" s="34" t="inlineStr">
        <is>
          <t>Two-foot jump for distance, stick the landing. Full reset between reps. Log your best distance</t>
        </is>
      </c>
    </row>
    <row r="13">
      <c r="A13" s="26" t="inlineStr">
        <is>
          <t>Day 2 - Light</t>
        </is>
      </c>
      <c r="B13" s="27">
        <f>'Start Here'!$B$7+93</f>
        <v/>
      </c>
      <c r="C13" s="31" t="inlineStr">
        <is>
          <t>Clean &amp; Jerk</t>
        </is>
      </c>
      <c r="D13" s="29" t="n">
        <v>4</v>
      </c>
      <c r="E13" s="29" t="inlineStr">
        <is>
          <t>3</t>
        </is>
      </c>
      <c r="F13" s="29" t="n">
        <v>72.5</v>
      </c>
      <c r="G13" s="30">
        <f>Maxes!F7</f>
        <v/>
      </c>
      <c r="H13" s="31">
        <f>IF(OR(G13="",F13=""),"",MROUND(G13*F13/100,'Start Here'!$B$6))</f>
        <v/>
      </c>
      <c r="I13" s="32" t="n"/>
      <c r="J13" s="32" t="n"/>
      <c r="K13" s="29">
        <f>IF(OR(I13="",J13=""),"",IF(J13=1,I13,ROUND(I13*(1+J13/30),1)))</f>
        <v/>
      </c>
      <c r="L13" s="33">
        <f>IF(K13="","",IF(K13&gt;=PRs!C7,"PR!",""))</f>
        <v/>
      </c>
      <c r="M13" s="32" t="n"/>
      <c r="N13" s="34" t="inlineStr"/>
    </row>
    <row r="14">
      <c r="A14" s="26" t="inlineStr">
        <is>
          <t>Day 2 - Light</t>
        </is>
      </c>
      <c r="B14" s="27">
        <f>'Start Here'!$B$7+93</f>
        <v/>
      </c>
      <c r="C14" s="31" t="inlineStr">
        <is>
          <t>Squat</t>
        </is>
      </c>
      <c r="D14" s="29" t="n">
        <v>3</v>
      </c>
      <c r="E14" s="29" t="inlineStr">
        <is>
          <t>6</t>
        </is>
      </c>
      <c r="F14" s="29" t="n">
        <v>62.5</v>
      </c>
      <c r="G14" s="30">
        <f>Maxes!F2</f>
        <v/>
      </c>
      <c r="H14" s="31">
        <f>IF(OR(G14="",F14=""),"",MROUND(G14*F14/100,'Start Here'!$B$6))</f>
        <v/>
      </c>
      <c r="I14" s="32" t="n"/>
      <c r="J14" s="32" t="n"/>
      <c r="K14" s="29">
        <f>IF(OR(I14="",J14=""),"",IF(J14=1,I14,ROUND(I14*(1+J14/30),1)))</f>
        <v/>
      </c>
      <c r="L14" s="33">
        <f>IF(K14="","",IF(K14&gt;=PRs!C2,"PR!",""))</f>
        <v/>
      </c>
      <c r="M14" s="32" t="n"/>
      <c r="N14" s="34" t="inlineStr"/>
    </row>
    <row r="15">
      <c r="A15" s="26" t="inlineStr">
        <is>
          <t>Day 2 - Light</t>
        </is>
      </c>
      <c r="B15" s="27">
        <f>'Start Here'!$B$7+93</f>
        <v/>
      </c>
      <c r="C15" s="31" t="inlineStr">
        <is>
          <t>Overhead Press</t>
        </is>
      </c>
      <c r="D15" s="29" t="n">
        <v>4</v>
      </c>
      <c r="E15" s="29" t="inlineStr">
        <is>
          <t>6</t>
        </is>
      </c>
      <c r="F15" s="29" t="n">
        <v>67.5</v>
      </c>
      <c r="G15" s="30">
        <f>Maxes!F5</f>
        <v/>
      </c>
      <c r="H15" s="31">
        <f>IF(OR(G15="",F15=""),"",MROUND(G15*F15/100,'Start Here'!$B$6))</f>
        <v/>
      </c>
      <c r="I15" s="32" t="n"/>
      <c r="J15" s="32" t="n"/>
      <c r="K15" s="29">
        <f>IF(OR(I15="",J15=""),"",IF(J15=1,I15,ROUND(I15*(1+J15/30),1)))</f>
        <v/>
      </c>
      <c r="L15" s="33">
        <f>IF(K15="","",IF(K15&gt;=PRs!C5,"PR!",""))</f>
        <v/>
      </c>
      <c r="M15" s="32" t="n"/>
      <c r="N15" s="34" t="inlineStr"/>
    </row>
    <row r="16">
      <c r="A16" s="26" t="inlineStr">
        <is>
          <t>Day 2 - Light</t>
        </is>
      </c>
      <c r="B16" s="27">
        <f>'Start Here'!$B$7+93</f>
        <v/>
      </c>
      <c r="C16" s="31" t="inlineStr">
        <is>
          <t>Deadlift</t>
        </is>
      </c>
      <c r="D16" s="29" t="n">
        <v>3</v>
      </c>
      <c r="E16" s="29" t="inlineStr">
        <is>
          <t>6</t>
        </is>
      </c>
      <c r="F16" s="29" t="n">
        <v>67.5</v>
      </c>
      <c r="G16" s="30">
        <f>Maxes!F4</f>
        <v/>
      </c>
      <c r="H16" s="31">
        <f>IF(OR(G16="",F16=""),"",MROUND(G16*F16/100,'Start Here'!$B$6))</f>
        <v/>
      </c>
      <c r="I16" s="32" t="n"/>
      <c r="J16" s="32" t="n"/>
      <c r="K16" s="29">
        <f>IF(OR(I16="",J16=""),"",IF(J16=1,I16,ROUND(I16*(1+J16/30),1)))</f>
        <v/>
      </c>
      <c r="L16" s="33">
        <f>IF(K16="","",IF(K16&gt;=PRs!C4,"PR!",""))</f>
        <v/>
      </c>
      <c r="M16" s="32" t="n"/>
      <c r="N16" s="34" t="inlineStr"/>
    </row>
    <row r="17">
      <c r="A17" s="26" t="inlineStr">
        <is>
          <t>Day 2 - Light</t>
        </is>
      </c>
      <c r="B17" s="27">
        <f>'Start Here'!$B$7+93</f>
        <v/>
      </c>
      <c r="C17" s="29" t="inlineStr">
        <is>
          <t>Chin-up</t>
        </is>
      </c>
      <c r="D17" s="29" t="n">
        <v>4</v>
      </c>
      <c r="E17" s="29" t="inlineStr">
        <is>
          <t>6-10</t>
        </is>
      </c>
      <c r="F17" s="29" t="n"/>
      <c r="G17" s="30" t="n"/>
      <c r="H17" s="31" t="n"/>
      <c r="I17" s="32" t="n"/>
      <c r="J17" s="32" t="n"/>
      <c r="K17" s="29">
        <f>IF(OR(I17="",J17=""),"",IF(J17=1,I17,ROUND(I17*(1+J17/30),1)))</f>
        <v/>
      </c>
      <c r="L17" s="33">
        <f>IF(K17="","",IF(K17&gt;=PRs!C53,"PR!",""))</f>
        <v/>
      </c>
      <c r="M17" s="32" t="n"/>
      <c r="N17" s="34" t="inlineStr">
        <is>
          <t>Leave 1-2 reps in the tank; add weight when you hit the top of the range</t>
        </is>
      </c>
    </row>
    <row r="18">
      <c r="A18" s="26" t="inlineStr">
        <is>
          <t>Day 2 - Light</t>
        </is>
      </c>
      <c r="B18" s="27">
        <f>'Start Here'!$B$7+93</f>
        <v/>
      </c>
      <c r="C18" s="29" t="inlineStr">
        <is>
          <t>Plank</t>
        </is>
      </c>
      <c r="D18" s="29" t="n">
        <v>4</v>
      </c>
      <c r="E18" s="29" t="inlineStr">
        <is>
          <t>30-60s</t>
        </is>
      </c>
      <c r="F18" s="29" t="n"/>
      <c r="G18" s="30" t="n"/>
      <c r="H18" s="31" t="n"/>
      <c r="I18" s="32" t="n"/>
      <c r="J18" s="32" t="n"/>
      <c r="K18" s="29">
        <f>IF(OR(I18="",J18=""),"",IF(J18=1,I18,ROUND(I18*(1+J18/30),1)))</f>
        <v/>
      </c>
      <c r="L18" s="33">
        <f>IF(K18="","",IF(K18&gt;=PRs!C56,"PR!",""))</f>
        <v/>
      </c>
      <c r="M18" s="32" t="n"/>
      <c r="N18" s="34" t="inlineStr">
        <is>
          <t>Leave 1-2 reps in the tank; add weight when you hit the top of the range</t>
        </is>
      </c>
    </row>
    <row r="19">
      <c r="A19" s="26" t="inlineStr">
        <is>
          <t>Day 3 - Variations</t>
        </is>
      </c>
      <c r="B19" s="27">
        <f>'Start Here'!$B$7+95</f>
        <v/>
      </c>
      <c r="C19" s="28" t="inlineStr">
        <is>
          <t>Box Jump</t>
        </is>
      </c>
      <c r="D19" s="29" t="n">
        <v>4</v>
      </c>
      <c r="E19" s="29" t="inlineStr">
        <is>
          <t>3</t>
        </is>
      </c>
      <c r="F19" s="29" t="n"/>
      <c r="G19" s="30" t="n"/>
      <c r="H19" s="31">
        <f>IFERROR(IF(PRs!D69&lt;'Start Here'!$H$15,'Start Here'!$H$15,IF(PRs!D69&lt;'Start Here'!$H$16,'Start Here'!$H$16,IF(PRs!D69&lt;'Start Here'!$H$17,'Start Here'!$H$17,IF(PRs!D69&lt;'Start Here'!$H$18,'Start Here'!$H$18,"Elite!")))),"")</f>
        <v/>
      </c>
      <c r="I19" s="32" t="n"/>
      <c r="J19" s="32" t="n"/>
      <c r="K19" s="29" t="n"/>
      <c r="L19" s="33">
        <f>IF(I19="","",IF(I19&gt;=PRs!D69,"PR!",""))</f>
        <v/>
      </c>
      <c r="M19" s="32" t="n"/>
      <c r="N19" s="34" t="inlineStr">
        <is>
          <t>Explode up, land softly, STEP down. Full reset between reps. Log your box height; check the standards</t>
        </is>
      </c>
    </row>
    <row r="20">
      <c r="A20" s="26" t="inlineStr">
        <is>
          <t>Day 3 - Variations</t>
        </is>
      </c>
      <c r="B20" s="27">
        <f>'Start Here'!$B$7+95</f>
        <v/>
      </c>
      <c r="C20" s="31" t="inlineStr">
        <is>
          <t>Hang Clean</t>
        </is>
      </c>
      <c r="D20" s="29" t="n">
        <v>6</v>
      </c>
      <c r="E20" s="29" t="inlineStr">
        <is>
          <t>3</t>
        </is>
      </c>
      <c r="F20" s="29" t="n">
        <v>67.5</v>
      </c>
      <c r="G20" s="30">
        <f>Maxes!F43</f>
        <v/>
      </c>
      <c r="H20" s="31">
        <f>IF(OR(G20="",F20=""),"",MROUND(G20*F20/100,'Start Here'!$B$6))</f>
        <v/>
      </c>
      <c r="I20" s="32" t="n"/>
      <c r="J20" s="32" t="n"/>
      <c r="K20" s="29">
        <f>IF(OR(I20="",J20=""),"",IF(J20=1,I20,ROUND(I20*(1+J20/30),1)))</f>
        <v/>
      </c>
      <c r="L20" s="33">
        <f>IF(K20="","",IF(K20&gt;=PRs!C43,"PR!",""))</f>
        <v/>
      </c>
      <c r="M20" s="32" t="n"/>
      <c r="N20" s="34" t="inlineStr"/>
    </row>
    <row r="21">
      <c r="A21" s="26" t="inlineStr">
        <is>
          <t>Day 3 - Variations</t>
        </is>
      </c>
      <c r="B21" s="27">
        <f>'Start Here'!$B$7+95</f>
        <v/>
      </c>
      <c r="C21" s="31" t="inlineStr">
        <is>
          <t>Safety Bar Squat</t>
        </is>
      </c>
      <c r="D21" s="29" t="n">
        <v>4</v>
      </c>
      <c r="E21" s="29" t="inlineStr">
        <is>
          <t>6</t>
        </is>
      </c>
      <c r="F21" s="29" t="n">
        <v>67.5</v>
      </c>
      <c r="G21" s="30">
        <f>Maxes!F11</f>
        <v/>
      </c>
      <c r="H21" s="31">
        <f>IF(OR(G21="",F21=""),"",MROUND(G21*F21/100,'Start Here'!$B$6))</f>
        <v/>
      </c>
      <c r="I21" s="32" t="n"/>
      <c r="J21" s="32" t="n"/>
      <c r="K21" s="29">
        <f>IF(OR(I21="",J21=""),"",IF(J21=1,I21,ROUND(I21*(1+J21/30),1)))</f>
        <v/>
      </c>
      <c r="L21" s="33">
        <f>IF(K21="","",IF(K21&gt;=PRs!C11,"PR!",""))</f>
        <v/>
      </c>
      <c r="M21" s="32" t="n"/>
      <c r="N21" s="34" t="inlineStr"/>
    </row>
    <row r="22">
      <c r="A22" s="26" t="inlineStr">
        <is>
          <t>Day 3 - Variations</t>
        </is>
      </c>
      <c r="B22" s="27">
        <f>'Start Here'!$B$7+95</f>
        <v/>
      </c>
      <c r="C22" s="31" t="inlineStr">
        <is>
          <t>1-Board Press</t>
        </is>
      </c>
      <c r="D22" s="29" t="n">
        <v>4</v>
      </c>
      <c r="E22" s="29" t="inlineStr">
        <is>
          <t>6</t>
        </is>
      </c>
      <c r="F22" s="29" t="n">
        <v>67.5</v>
      </c>
      <c r="G22" s="30">
        <f>Maxes!F15</f>
        <v/>
      </c>
      <c r="H22" s="31">
        <f>IF(OR(G22="",F22=""),"",MROUND(G22*F22/100,'Start Here'!$B$6))</f>
        <v/>
      </c>
      <c r="I22" s="32" t="n"/>
      <c r="J22" s="32" t="n"/>
      <c r="K22" s="29">
        <f>IF(OR(I22="",J22=""),"",IF(J22=1,I22,ROUND(I22*(1+J22/30),1)))</f>
        <v/>
      </c>
      <c r="L22" s="33">
        <f>IF(K22="","",IF(K22&gt;=PRs!C15,"PR!",""))</f>
        <v/>
      </c>
      <c r="M22" s="32" t="n"/>
      <c r="N22" s="34" t="inlineStr"/>
    </row>
    <row r="23">
      <c r="A23" s="26" t="inlineStr">
        <is>
          <t>Day 3 - Variations</t>
        </is>
      </c>
      <c r="B23" s="27">
        <f>'Start Here'!$B$7+95</f>
        <v/>
      </c>
      <c r="C23" s="31" t="inlineStr">
        <is>
          <t>Block Pull</t>
        </is>
      </c>
      <c r="D23" s="29" t="n">
        <v>3</v>
      </c>
      <c r="E23" s="29" t="inlineStr">
        <is>
          <t>6</t>
        </is>
      </c>
      <c r="F23" s="29" t="n">
        <v>62.5</v>
      </c>
      <c r="G23" s="30">
        <f>Maxes!F26</f>
        <v/>
      </c>
      <c r="H23" s="31">
        <f>IF(OR(G23="",F23=""),"",MROUND(G23*F23/100,'Start Here'!$B$6))</f>
        <v/>
      </c>
      <c r="I23" s="32" t="n"/>
      <c r="J23" s="32" t="n"/>
      <c r="K23" s="29">
        <f>IF(OR(I23="",J23=""),"",IF(J23=1,I23,ROUND(I23*(1+J23/30),1)))</f>
        <v/>
      </c>
      <c r="L23" s="33">
        <f>IF(K23="","",IF(K23&gt;=PRs!C26,"PR!",""))</f>
        <v/>
      </c>
      <c r="M23" s="32" t="n"/>
      <c r="N23" s="34" t="inlineStr"/>
    </row>
    <row r="24">
      <c r="A24" s="26" t="inlineStr">
        <is>
          <t>Day 3 - Variations</t>
        </is>
      </c>
      <c r="B24" s="27">
        <f>'Start Here'!$B$7+95</f>
        <v/>
      </c>
      <c r="C24" s="29" t="inlineStr">
        <is>
          <t>Incline Dumbbell Press</t>
        </is>
      </c>
      <c r="D24" s="29" t="n">
        <v>4</v>
      </c>
      <c r="E24" s="29" t="inlineStr">
        <is>
          <t>8-12</t>
        </is>
      </c>
      <c r="F24" s="29" t="n"/>
      <c r="G24" s="30" t="n"/>
      <c r="H24" s="31" t="n"/>
      <c r="I24" s="32" t="n"/>
      <c r="J24" s="32" t="n"/>
      <c r="K24" s="29">
        <f>IF(OR(I24="",J24=""),"",IF(J24=1,I24,ROUND(I24*(1+J24/30),1)))</f>
        <v/>
      </c>
      <c r="L24" s="33">
        <f>IF(K24="","",IF(K24&gt;=PRs!C57,"PR!",""))</f>
        <v/>
      </c>
      <c r="M24" s="32" t="n"/>
      <c r="N24" s="34" t="inlineStr">
        <is>
          <t>Leave 1-2 reps in the tank; add weight when you hit the top of the range</t>
        </is>
      </c>
    </row>
    <row r="25">
      <c r="A25" s="26" t="inlineStr">
        <is>
          <t>Day 3 - Variations</t>
        </is>
      </c>
      <c r="B25" s="27">
        <f>'Start Here'!$B$7+95</f>
        <v/>
      </c>
      <c r="C25" s="29" t="inlineStr">
        <is>
          <t>Triceps Pushdown</t>
        </is>
      </c>
      <c r="D25" s="29" t="n">
        <v>4</v>
      </c>
      <c r="E25" s="29" t="inlineStr">
        <is>
          <t>10-15</t>
        </is>
      </c>
      <c r="F25" s="29" t="n"/>
      <c r="G25" s="30" t="n"/>
      <c r="H25" s="31" t="n"/>
      <c r="I25" s="32" t="n"/>
      <c r="J25" s="32" t="n"/>
      <c r="K25" s="29">
        <f>IF(OR(I25="",J25=""),"",IF(J25=1,I25,ROUND(I25*(1+J25/30),1)))</f>
        <v/>
      </c>
      <c r="L25" s="33">
        <f>IF(K25="","",IF(K25&gt;=PRs!C59,"PR!",""))</f>
        <v/>
      </c>
      <c r="M25" s="32" t="n"/>
      <c r="N25" s="34" t="inlineStr">
        <is>
          <t>Leave 1-2 reps in the tank; add weight when you hit the top of the range</t>
        </is>
      </c>
    </row>
  </sheetData>
  <hyperlinks>
    <hyperlink xmlns:r="http://schemas.openxmlformats.org/officeDocument/2006/relationships" ref="A2" r:id="rId1"/>
    <hyperlink xmlns:r="http://schemas.openxmlformats.org/officeDocument/2006/relationships" ref="C2" r:id="rId2"/>
    <hyperlink xmlns:r="http://schemas.openxmlformats.org/officeDocument/2006/relationships" ref="E2" r:id="rId3"/>
    <hyperlink xmlns:r="http://schemas.openxmlformats.org/officeDocument/2006/relationships" ref="A4" r:id="rId4"/>
  </hyperlinks>
  <pageMargins left="0.75" right="0.75" top="1" bottom="1" header="0.5" footer="0.5"/>
  <pageSetup orientation="landscape" fitToHeight="0" fitToWidth="1"/>
</worksheet>
</file>

<file path=xl/worksheets/sheet17.xml><?xml version="1.0" encoding="utf-8"?>
<worksheet xmlns="http://schemas.openxmlformats.org/spreadsheetml/2006/main">
  <sheetPr>
    <tabColor rgb="00DCEFDC"/>
    <outlinePr summaryBelow="1" summaryRight="1"/>
    <pageSetUpPr fitToPage="1"/>
  </sheetPr>
  <dimension ref="A1:N25"/>
  <sheetViews>
    <sheetView workbookViewId="0">
      <pane xSplit="3" ySplit="5" topLeftCell="D6" activePane="bottomRight" state="frozen"/>
      <selection pane="topRight"/>
      <selection pane="bottomLeft"/>
      <selection pane="bottomRight" activeCell="A1" sqref="A1"/>
    </sheetView>
  </sheetViews>
  <sheetFormatPr baseColWidth="8" defaultRowHeight="15"/>
  <cols>
    <col width="17" customWidth="1" min="1" max="1"/>
    <col width="11" customWidth="1" min="2" max="2"/>
    <col width="24" customWidth="1" min="3" max="3"/>
    <col width="5" customWidth="1" min="4" max="4"/>
    <col width="6" customWidth="1" min="5" max="5"/>
    <col width="6" customWidth="1" min="6" max="6"/>
    <col width="9" customWidth="1" min="7" max="7"/>
    <col width="10" customWidth="1" min="8" max="8"/>
    <col width="13" customWidth="1" min="9" max="9"/>
    <col width="8" customWidth="1" min="10" max="10"/>
    <col width="9" customWidth="1" min="11" max="11"/>
    <col width="5" customWidth="1" min="12" max="12"/>
    <col width="22" customWidth="1" min="13" max="13"/>
    <col width="62" customWidth="1" min="14" max="14"/>
  </cols>
  <sheetData>
    <row r="1">
      <c r="A1" s="24" t="inlineStr">
        <is>
          <t>Week 15 - Cycle 2 - Accumulation</t>
        </is>
      </c>
    </row>
    <row r="2">
      <c r="A2" s="25" t="inlineStr">
        <is>
          <t>&lt; Week 14</t>
        </is>
      </c>
      <c r="C2" s="25" t="inlineStr">
        <is>
          <t>Start Here</t>
        </is>
      </c>
      <c r="E2" s="25" t="inlineStr">
        <is>
          <t>Week 16 &gt;</t>
        </is>
      </c>
    </row>
    <row r="3">
      <c r="A3" s="10" t="inlineStr">
        <is>
          <t>Bodyweight this week</t>
        </is>
      </c>
      <c r="C3" s="4" t="n"/>
      <c r="D3" t="inlineStr">
        <is>
          <t>Weigh in once this week: same morning routine, before eating.</t>
        </is>
      </c>
    </row>
    <row r="5">
      <c r="A5" s="5" t="inlineStr">
        <is>
          <t>Day</t>
        </is>
      </c>
      <c r="B5" s="5" t="inlineStr">
        <is>
          <t>Date</t>
        </is>
      </c>
      <c r="C5" s="5" t="inlineStr">
        <is>
          <t>Exercise</t>
        </is>
      </c>
      <c r="D5" s="5" t="inlineStr">
        <is>
          <t>Sets</t>
        </is>
      </c>
      <c r="E5" s="5" t="inlineStr">
        <is>
          <t>Reps</t>
        </is>
      </c>
      <c r="F5" s="5" t="inlineStr">
        <is>
          <t>% TM</t>
        </is>
      </c>
      <c r="G5" s="5" t="inlineStr">
        <is>
          <t>Training max</t>
        </is>
      </c>
      <c r="H5" s="5" t="inlineStr">
        <is>
          <t>Weight / target</t>
        </is>
      </c>
      <c r="I5" s="5" t="inlineStr">
        <is>
          <t>Actual (weight, height or distance)</t>
        </is>
      </c>
      <c r="J5" s="5" t="inlineStr">
        <is>
          <t>Actual reps</t>
        </is>
      </c>
      <c r="K5" s="5" t="inlineStr">
        <is>
          <t>Est. 1RM</t>
        </is>
      </c>
      <c r="L5" s="5" t="inlineStr">
        <is>
          <t>PR</t>
        </is>
      </c>
      <c r="M5" s="5" t="inlineStr">
        <is>
          <t>Notes</t>
        </is>
      </c>
      <c r="N5" s="5" t="inlineStr">
        <is>
          <t>Guidance</t>
        </is>
      </c>
    </row>
    <row r="6">
      <c r="A6" s="26" t="inlineStr">
        <is>
          <t>Day 1 - Heavy</t>
        </is>
      </c>
      <c r="B6" s="27">
        <f>'Start Here'!$B$7+98</f>
        <v/>
      </c>
      <c r="C6" s="28" t="inlineStr">
        <is>
          <t>Box Jump</t>
        </is>
      </c>
      <c r="D6" s="29" t="n">
        <v>4</v>
      </c>
      <c r="E6" s="29" t="inlineStr">
        <is>
          <t>3</t>
        </is>
      </c>
      <c r="F6" s="29" t="n"/>
      <c r="G6" s="30" t="n"/>
      <c r="H6" s="31">
        <f>IFERROR(IF(PRs!D69&lt;'Start Here'!$H$15,'Start Here'!$H$15,IF(PRs!D69&lt;'Start Here'!$H$16,'Start Here'!$H$16,IF(PRs!D69&lt;'Start Here'!$H$17,'Start Here'!$H$17,IF(PRs!D69&lt;'Start Here'!$H$18,'Start Here'!$H$18,"Elite!")))),"")</f>
        <v/>
      </c>
      <c r="I6" s="32" t="n"/>
      <c r="J6" s="32" t="n"/>
      <c r="K6" s="29" t="n"/>
      <c r="L6" s="33">
        <f>IF(I6="","",IF(I6&gt;=PRs!D69,"PR!",""))</f>
        <v/>
      </c>
      <c r="M6" s="32" t="n"/>
      <c r="N6" s="34" t="inlineStr">
        <is>
          <t>Explode up, land softly, STEP down. Full reset between reps. Log your box height; check the standards</t>
        </is>
      </c>
    </row>
    <row r="7">
      <c r="A7" s="26" t="inlineStr">
        <is>
          <t>Day 1 - Heavy</t>
        </is>
      </c>
      <c r="B7" s="27">
        <f>'Start Here'!$B$7+98</f>
        <v/>
      </c>
      <c r="C7" s="31" t="inlineStr">
        <is>
          <t>Snatch</t>
        </is>
      </c>
      <c r="D7" s="29" t="n">
        <v>4</v>
      </c>
      <c r="E7" s="29" t="inlineStr">
        <is>
          <t>3</t>
        </is>
      </c>
      <c r="F7" s="29" t="n">
        <v>75</v>
      </c>
      <c r="G7" s="30">
        <f>Maxes!F6</f>
        <v/>
      </c>
      <c r="H7" s="31">
        <f>IF(OR(G7="",F7=""),"",MROUND(G7*F7/100,'Start Here'!$B$6))</f>
        <v/>
      </c>
      <c r="I7" s="32" t="n"/>
      <c r="J7" s="32" t="n"/>
      <c r="K7" s="29">
        <f>IF(OR(I7="",J7=""),"",IF(J7=1,I7,ROUND(I7*(1+J7/30),1)))</f>
        <v/>
      </c>
      <c r="L7" s="33">
        <f>IF(K7="","",IF(K7&gt;=PRs!C6,"PR!",""))</f>
        <v/>
      </c>
      <c r="M7" s="32" t="n"/>
      <c r="N7" s="34" t="inlineStr"/>
    </row>
    <row r="8">
      <c r="A8" s="26" t="inlineStr">
        <is>
          <t>Day 1 - Heavy</t>
        </is>
      </c>
      <c r="B8" s="27">
        <f>'Start Here'!$B$7+98</f>
        <v/>
      </c>
      <c r="C8" s="31" t="inlineStr">
        <is>
          <t>Squat</t>
        </is>
      </c>
      <c r="D8" s="29" t="n">
        <v>3</v>
      </c>
      <c r="E8" s="29" t="inlineStr">
        <is>
          <t>6</t>
        </is>
      </c>
      <c r="F8" s="29" t="n">
        <v>75</v>
      </c>
      <c r="G8" s="30">
        <f>Maxes!F2</f>
        <v/>
      </c>
      <c r="H8" s="31">
        <f>IF(OR(G8="",F8=""),"",MROUND(G8*F8/100,'Start Here'!$B$6))</f>
        <v/>
      </c>
      <c r="I8" s="32" t="n"/>
      <c r="J8" s="32" t="n"/>
      <c r="K8" s="29">
        <f>IF(OR(I8="",J8=""),"",IF(J8=1,I8,ROUND(I8*(1+J8/30),1)))</f>
        <v/>
      </c>
      <c r="L8" s="33">
        <f>IF(K8="","",IF(K8&gt;=PRs!C2,"PR!",""))</f>
        <v/>
      </c>
      <c r="M8" s="32" t="n"/>
      <c r="N8" s="34" t="inlineStr"/>
    </row>
    <row r="9">
      <c r="A9" s="26" t="inlineStr">
        <is>
          <t>Day 1 - Heavy</t>
        </is>
      </c>
      <c r="B9" s="27">
        <f>'Start Here'!$B$7+98</f>
        <v/>
      </c>
      <c r="C9" s="31" t="inlineStr">
        <is>
          <t>Bench Press</t>
        </is>
      </c>
      <c r="D9" s="29" t="n">
        <v>3</v>
      </c>
      <c r="E9" s="29" t="inlineStr">
        <is>
          <t>6</t>
        </is>
      </c>
      <c r="F9" s="29" t="n">
        <v>75</v>
      </c>
      <c r="G9" s="30">
        <f>Maxes!F3</f>
        <v/>
      </c>
      <c r="H9" s="31">
        <f>IF(OR(G9="",F9=""),"",MROUND(G9*F9/100,'Start Here'!$B$6))</f>
        <v/>
      </c>
      <c r="I9" s="32" t="n"/>
      <c r="J9" s="32" t="n"/>
      <c r="K9" s="29">
        <f>IF(OR(I9="",J9=""),"",IF(J9=1,I9,ROUND(I9*(1+J9/30),1)))</f>
        <v/>
      </c>
      <c r="L9" s="33">
        <f>IF(K9="","",IF(K9&gt;=PRs!C3,"PR!",""))</f>
        <v/>
      </c>
      <c r="M9" s="32" t="n"/>
      <c r="N9" s="34" t="inlineStr"/>
    </row>
    <row r="10">
      <c r="A10" s="26" t="inlineStr">
        <is>
          <t>Day 1 - Heavy</t>
        </is>
      </c>
      <c r="B10" s="27">
        <f>'Start Here'!$B$7+98</f>
        <v/>
      </c>
      <c r="C10" s="29" t="inlineStr">
        <is>
          <t>Barbell Row</t>
        </is>
      </c>
      <c r="D10" s="29" t="n">
        <v>4</v>
      </c>
      <c r="E10" s="29" t="inlineStr">
        <is>
          <t>8-10</t>
        </is>
      </c>
      <c r="F10" s="29" t="n"/>
      <c r="G10" s="30" t="n"/>
      <c r="H10" s="31" t="n"/>
      <c r="I10" s="32" t="n"/>
      <c r="J10" s="32" t="n"/>
      <c r="K10" s="29">
        <f>IF(OR(I10="",J10=""),"",IF(J10=1,I10,ROUND(I10*(1+J10/30),1)))</f>
        <v/>
      </c>
      <c r="L10" s="33">
        <f>IF(K10="","",IF(K10&gt;=PRs!C50,"PR!",""))</f>
        <v/>
      </c>
      <c r="M10" s="32" t="n"/>
      <c r="N10" s="34" t="inlineStr">
        <is>
          <t>Leave 1-2 reps in the tank; add weight when you hit the top of the range</t>
        </is>
      </c>
    </row>
    <row r="11">
      <c r="A11" s="26" t="inlineStr">
        <is>
          <t>Day 1 - Heavy</t>
        </is>
      </c>
      <c r="B11" s="27">
        <f>'Start Here'!$B$7+98</f>
        <v/>
      </c>
      <c r="C11" s="29" t="inlineStr">
        <is>
          <t>Face Pull</t>
        </is>
      </c>
      <c r="D11" s="29" t="n">
        <v>4</v>
      </c>
      <c r="E11" s="29" t="inlineStr">
        <is>
          <t>12-15</t>
        </is>
      </c>
      <c r="F11" s="29" t="n"/>
      <c r="G11" s="30" t="n"/>
      <c r="H11" s="31" t="n"/>
      <c r="I11" s="32" t="n"/>
      <c r="J11" s="32" t="n"/>
      <c r="K11" s="29">
        <f>IF(OR(I11="",J11=""),"",IF(J11=1,I11,ROUND(I11*(1+J11/30),1)))</f>
        <v/>
      </c>
      <c r="L11" s="33">
        <f>IF(K11="","",IF(K11&gt;=PRs!C51,"PR!",""))</f>
        <v/>
      </c>
      <c r="M11" s="32" t="n"/>
      <c r="N11" s="34" t="inlineStr">
        <is>
          <t>Leave 1-2 reps in the tank; add weight when you hit the top of the range</t>
        </is>
      </c>
    </row>
    <row r="12">
      <c r="A12" s="26" t="inlineStr">
        <is>
          <t>Day 2 - Light</t>
        </is>
      </c>
      <c r="B12" s="27">
        <f>'Start Here'!$B$7+100</f>
        <v/>
      </c>
      <c r="C12" s="28" t="inlineStr">
        <is>
          <t>Broad Jump</t>
        </is>
      </c>
      <c r="D12" s="29" t="n">
        <v>4</v>
      </c>
      <c r="E12" s="29" t="inlineStr">
        <is>
          <t>3</t>
        </is>
      </c>
      <c r="F12" s="29" t="n"/>
      <c r="G12" s="30" t="n"/>
      <c r="H12" s="31" t="n"/>
      <c r="I12" s="32" t="n"/>
      <c r="J12" s="32" t="n"/>
      <c r="K12" s="29" t="n"/>
      <c r="L12" s="33">
        <f>IF(I12="","",IF(I12&gt;=PRs!D70,"PR!",""))</f>
        <v/>
      </c>
      <c r="M12" s="32" t="n"/>
      <c r="N12" s="34" t="inlineStr">
        <is>
          <t>Two-foot jump for distance, stick the landing. Full reset between reps. Log your best distance</t>
        </is>
      </c>
    </row>
    <row r="13">
      <c r="A13" s="26" t="inlineStr">
        <is>
          <t>Day 2 - Light</t>
        </is>
      </c>
      <c r="B13" s="27">
        <f>'Start Here'!$B$7+100</f>
        <v/>
      </c>
      <c r="C13" s="31" t="inlineStr">
        <is>
          <t>Clean &amp; Jerk</t>
        </is>
      </c>
      <c r="D13" s="29" t="n">
        <v>4</v>
      </c>
      <c r="E13" s="29" t="inlineStr">
        <is>
          <t>3</t>
        </is>
      </c>
      <c r="F13" s="29" t="n">
        <v>75</v>
      </c>
      <c r="G13" s="30">
        <f>Maxes!F7</f>
        <v/>
      </c>
      <c r="H13" s="31">
        <f>IF(OR(G13="",F13=""),"",MROUND(G13*F13/100,'Start Here'!$B$6))</f>
        <v/>
      </c>
      <c r="I13" s="32" t="n"/>
      <c r="J13" s="32" t="n"/>
      <c r="K13" s="29">
        <f>IF(OR(I13="",J13=""),"",IF(J13=1,I13,ROUND(I13*(1+J13/30),1)))</f>
        <v/>
      </c>
      <c r="L13" s="33">
        <f>IF(K13="","",IF(K13&gt;=PRs!C7,"PR!",""))</f>
        <v/>
      </c>
      <c r="M13" s="32" t="n"/>
      <c r="N13" s="34" t="inlineStr"/>
    </row>
    <row r="14">
      <c r="A14" s="26" t="inlineStr">
        <is>
          <t>Day 2 - Light</t>
        </is>
      </c>
      <c r="B14" s="27">
        <f>'Start Here'!$B$7+100</f>
        <v/>
      </c>
      <c r="C14" s="31" t="inlineStr">
        <is>
          <t>Squat</t>
        </is>
      </c>
      <c r="D14" s="29" t="n">
        <v>3</v>
      </c>
      <c r="E14" s="29" t="inlineStr">
        <is>
          <t>6</t>
        </is>
      </c>
      <c r="F14" s="29" t="n">
        <v>65</v>
      </c>
      <c r="G14" s="30">
        <f>Maxes!F2</f>
        <v/>
      </c>
      <c r="H14" s="31">
        <f>IF(OR(G14="",F14=""),"",MROUND(G14*F14/100,'Start Here'!$B$6))</f>
        <v/>
      </c>
      <c r="I14" s="32" t="n"/>
      <c r="J14" s="32" t="n"/>
      <c r="K14" s="29">
        <f>IF(OR(I14="",J14=""),"",IF(J14=1,I14,ROUND(I14*(1+J14/30),1)))</f>
        <v/>
      </c>
      <c r="L14" s="33">
        <f>IF(K14="","",IF(K14&gt;=PRs!C2,"PR!",""))</f>
        <v/>
      </c>
      <c r="M14" s="32" t="n"/>
      <c r="N14" s="34" t="inlineStr"/>
    </row>
    <row r="15">
      <c r="A15" s="26" t="inlineStr">
        <is>
          <t>Day 2 - Light</t>
        </is>
      </c>
      <c r="B15" s="27">
        <f>'Start Here'!$B$7+100</f>
        <v/>
      </c>
      <c r="C15" s="31" t="inlineStr">
        <is>
          <t>Overhead Press</t>
        </is>
      </c>
      <c r="D15" s="29" t="n">
        <v>3</v>
      </c>
      <c r="E15" s="29" t="inlineStr">
        <is>
          <t>6</t>
        </is>
      </c>
      <c r="F15" s="29" t="n">
        <v>70</v>
      </c>
      <c r="G15" s="30">
        <f>Maxes!F5</f>
        <v/>
      </c>
      <c r="H15" s="31">
        <f>IF(OR(G15="",F15=""),"",MROUND(G15*F15/100,'Start Here'!$B$6))</f>
        <v/>
      </c>
      <c r="I15" s="32" t="n"/>
      <c r="J15" s="32" t="n"/>
      <c r="K15" s="29">
        <f>IF(OR(I15="",J15=""),"",IF(J15=1,I15,ROUND(I15*(1+J15/30),1)))</f>
        <v/>
      </c>
      <c r="L15" s="33">
        <f>IF(K15="","",IF(K15&gt;=PRs!C5,"PR!",""))</f>
        <v/>
      </c>
      <c r="M15" s="32" t="n"/>
      <c r="N15" s="34" t="inlineStr"/>
    </row>
    <row r="16">
      <c r="A16" s="26" t="inlineStr">
        <is>
          <t>Day 2 - Light</t>
        </is>
      </c>
      <c r="B16" s="27">
        <f>'Start Here'!$B$7+100</f>
        <v/>
      </c>
      <c r="C16" s="31" t="inlineStr">
        <is>
          <t>Deadlift</t>
        </is>
      </c>
      <c r="D16" s="29" t="n">
        <v>3</v>
      </c>
      <c r="E16" s="29" t="inlineStr">
        <is>
          <t>6</t>
        </is>
      </c>
      <c r="F16" s="29" t="n">
        <v>70</v>
      </c>
      <c r="G16" s="30">
        <f>Maxes!F4</f>
        <v/>
      </c>
      <c r="H16" s="31">
        <f>IF(OR(G16="",F16=""),"",MROUND(G16*F16/100,'Start Here'!$B$6))</f>
        <v/>
      </c>
      <c r="I16" s="32" t="n"/>
      <c r="J16" s="32" t="n"/>
      <c r="K16" s="29">
        <f>IF(OR(I16="",J16=""),"",IF(J16=1,I16,ROUND(I16*(1+J16/30),1)))</f>
        <v/>
      </c>
      <c r="L16" s="33">
        <f>IF(K16="","",IF(K16&gt;=PRs!C4,"PR!",""))</f>
        <v/>
      </c>
      <c r="M16" s="32" t="n"/>
      <c r="N16" s="34" t="inlineStr"/>
    </row>
    <row r="17">
      <c r="A17" s="26" t="inlineStr">
        <is>
          <t>Day 2 - Light</t>
        </is>
      </c>
      <c r="B17" s="27">
        <f>'Start Here'!$B$7+100</f>
        <v/>
      </c>
      <c r="C17" s="29" t="inlineStr">
        <is>
          <t>Chin-up</t>
        </is>
      </c>
      <c r="D17" s="29" t="n">
        <v>4</v>
      </c>
      <c r="E17" s="29" t="inlineStr">
        <is>
          <t>6-10</t>
        </is>
      </c>
      <c r="F17" s="29" t="n"/>
      <c r="G17" s="30" t="n"/>
      <c r="H17" s="31" t="n"/>
      <c r="I17" s="32" t="n"/>
      <c r="J17" s="32" t="n"/>
      <c r="K17" s="29">
        <f>IF(OR(I17="",J17=""),"",IF(J17=1,I17,ROUND(I17*(1+J17/30),1)))</f>
        <v/>
      </c>
      <c r="L17" s="33">
        <f>IF(K17="","",IF(K17&gt;=PRs!C53,"PR!",""))</f>
        <v/>
      </c>
      <c r="M17" s="32" t="n"/>
      <c r="N17" s="34" t="inlineStr">
        <is>
          <t>Leave 1-2 reps in the tank; add weight when you hit the top of the range</t>
        </is>
      </c>
    </row>
    <row r="18">
      <c r="A18" s="26" t="inlineStr">
        <is>
          <t>Day 2 - Light</t>
        </is>
      </c>
      <c r="B18" s="27">
        <f>'Start Here'!$B$7+100</f>
        <v/>
      </c>
      <c r="C18" s="29" t="inlineStr">
        <is>
          <t>Plank</t>
        </is>
      </c>
      <c r="D18" s="29" t="n">
        <v>4</v>
      </c>
      <c r="E18" s="29" t="inlineStr">
        <is>
          <t>30-60s</t>
        </is>
      </c>
      <c r="F18" s="29" t="n"/>
      <c r="G18" s="30" t="n"/>
      <c r="H18" s="31" t="n"/>
      <c r="I18" s="32" t="n"/>
      <c r="J18" s="32" t="n"/>
      <c r="K18" s="29">
        <f>IF(OR(I18="",J18=""),"",IF(J18=1,I18,ROUND(I18*(1+J18/30),1)))</f>
        <v/>
      </c>
      <c r="L18" s="33">
        <f>IF(K18="","",IF(K18&gt;=PRs!C56,"PR!",""))</f>
        <v/>
      </c>
      <c r="M18" s="32" t="n"/>
      <c r="N18" s="34" t="inlineStr">
        <is>
          <t>Leave 1-2 reps in the tank; add weight when you hit the top of the range</t>
        </is>
      </c>
    </row>
    <row r="19">
      <c r="A19" s="26" t="inlineStr">
        <is>
          <t>Day 3 - Variations</t>
        </is>
      </c>
      <c r="B19" s="27">
        <f>'Start Here'!$B$7+102</f>
        <v/>
      </c>
      <c r="C19" s="28" t="inlineStr">
        <is>
          <t>Box Jump</t>
        </is>
      </c>
      <c r="D19" s="29" t="n">
        <v>4</v>
      </c>
      <c r="E19" s="29" t="inlineStr">
        <is>
          <t>3</t>
        </is>
      </c>
      <c r="F19" s="29" t="n"/>
      <c r="G19" s="30" t="n"/>
      <c r="H19" s="31">
        <f>IFERROR(IF(PRs!D69&lt;'Start Here'!$H$15,'Start Here'!$H$15,IF(PRs!D69&lt;'Start Here'!$H$16,'Start Here'!$H$16,IF(PRs!D69&lt;'Start Here'!$H$17,'Start Here'!$H$17,IF(PRs!D69&lt;'Start Here'!$H$18,'Start Here'!$H$18,"Elite!")))),"")</f>
        <v/>
      </c>
      <c r="I19" s="32" t="n"/>
      <c r="J19" s="32" t="n"/>
      <c r="K19" s="29" t="n"/>
      <c r="L19" s="33">
        <f>IF(I19="","",IF(I19&gt;=PRs!D69,"PR!",""))</f>
        <v/>
      </c>
      <c r="M19" s="32" t="n"/>
      <c r="N19" s="34" t="inlineStr">
        <is>
          <t>Explode up, land softly, STEP down. Full reset between reps. Log your box height; check the standards</t>
        </is>
      </c>
    </row>
    <row r="20">
      <c r="A20" s="26" t="inlineStr">
        <is>
          <t>Day 3 - Variations</t>
        </is>
      </c>
      <c r="B20" s="27">
        <f>'Start Here'!$B$7+102</f>
        <v/>
      </c>
      <c r="C20" s="31" t="inlineStr">
        <is>
          <t>Hang Clean</t>
        </is>
      </c>
      <c r="D20" s="29" t="n">
        <v>4</v>
      </c>
      <c r="E20" s="29" t="inlineStr">
        <is>
          <t>3</t>
        </is>
      </c>
      <c r="F20" s="29" t="n">
        <v>70</v>
      </c>
      <c r="G20" s="30">
        <f>Maxes!F43</f>
        <v/>
      </c>
      <c r="H20" s="31">
        <f>IF(OR(G20="",F20=""),"",MROUND(G20*F20/100,'Start Here'!$B$6))</f>
        <v/>
      </c>
      <c r="I20" s="32" t="n"/>
      <c r="J20" s="32" t="n"/>
      <c r="K20" s="29">
        <f>IF(OR(I20="",J20=""),"",IF(J20=1,I20,ROUND(I20*(1+J20/30),1)))</f>
        <v/>
      </c>
      <c r="L20" s="33">
        <f>IF(K20="","",IF(K20&gt;=PRs!C43,"PR!",""))</f>
        <v/>
      </c>
      <c r="M20" s="32" t="n"/>
      <c r="N20" s="34" t="inlineStr"/>
    </row>
    <row r="21">
      <c r="A21" s="26" t="inlineStr">
        <is>
          <t>Day 3 - Variations</t>
        </is>
      </c>
      <c r="B21" s="27">
        <f>'Start Here'!$B$7+102</f>
        <v/>
      </c>
      <c r="C21" s="31" t="inlineStr">
        <is>
          <t>Safety Bar Squat</t>
        </is>
      </c>
      <c r="D21" s="29" t="n">
        <v>3</v>
      </c>
      <c r="E21" s="29" t="inlineStr">
        <is>
          <t>6</t>
        </is>
      </c>
      <c r="F21" s="29" t="n">
        <v>70</v>
      </c>
      <c r="G21" s="30">
        <f>Maxes!F11</f>
        <v/>
      </c>
      <c r="H21" s="31">
        <f>IF(OR(G21="",F21=""),"",MROUND(G21*F21/100,'Start Here'!$B$6))</f>
        <v/>
      </c>
      <c r="I21" s="32" t="n"/>
      <c r="J21" s="32" t="n"/>
      <c r="K21" s="29">
        <f>IF(OR(I21="",J21=""),"",IF(J21=1,I21,ROUND(I21*(1+J21/30),1)))</f>
        <v/>
      </c>
      <c r="L21" s="33">
        <f>IF(K21="","",IF(K21&gt;=PRs!C11,"PR!",""))</f>
        <v/>
      </c>
      <c r="M21" s="32" t="n"/>
      <c r="N21" s="34" t="inlineStr"/>
    </row>
    <row r="22">
      <c r="A22" s="26" t="inlineStr">
        <is>
          <t>Day 3 - Variations</t>
        </is>
      </c>
      <c r="B22" s="27">
        <f>'Start Here'!$B$7+102</f>
        <v/>
      </c>
      <c r="C22" s="31" t="inlineStr">
        <is>
          <t>1-Board Press</t>
        </is>
      </c>
      <c r="D22" s="29" t="n">
        <v>3</v>
      </c>
      <c r="E22" s="29" t="inlineStr">
        <is>
          <t>6</t>
        </is>
      </c>
      <c r="F22" s="29" t="n">
        <v>70</v>
      </c>
      <c r="G22" s="30">
        <f>Maxes!F15</f>
        <v/>
      </c>
      <c r="H22" s="31">
        <f>IF(OR(G22="",F22=""),"",MROUND(G22*F22/100,'Start Here'!$B$6))</f>
        <v/>
      </c>
      <c r="I22" s="32" t="n"/>
      <c r="J22" s="32" t="n"/>
      <c r="K22" s="29">
        <f>IF(OR(I22="",J22=""),"",IF(J22=1,I22,ROUND(I22*(1+J22/30),1)))</f>
        <v/>
      </c>
      <c r="L22" s="33">
        <f>IF(K22="","",IF(K22&gt;=PRs!C15,"PR!",""))</f>
        <v/>
      </c>
      <c r="M22" s="32" t="n"/>
      <c r="N22" s="34" t="inlineStr"/>
    </row>
    <row r="23">
      <c r="A23" s="26" t="inlineStr">
        <is>
          <t>Day 3 - Variations</t>
        </is>
      </c>
      <c r="B23" s="27">
        <f>'Start Here'!$B$7+102</f>
        <v/>
      </c>
      <c r="C23" s="31" t="inlineStr">
        <is>
          <t>Block Pull</t>
        </is>
      </c>
      <c r="D23" s="29" t="n">
        <v>3</v>
      </c>
      <c r="E23" s="29" t="inlineStr">
        <is>
          <t>6</t>
        </is>
      </c>
      <c r="F23" s="29" t="n">
        <v>65</v>
      </c>
      <c r="G23" s="30">
        <f>Maxes!F26</f>
        <v/>
      </c>
      <c r="H23" s="31">
        <f>IF(OR(G23="",F23=""),"",MROUND(G23*F23/100,'Start Here'!$B$6))</f>
        <v/>
      </c>
      <c r="I23" s="32" t="n"/>
      <c r="J23" s="32" t="n"/>
      <c r="K23" s="29">
        <f>IF(OR(I23="",J23=""),"",IF(J23=1,I23,ROUND(I23*(1+J23/30),1)))</f>
        <v/>
      </c>
      <c r="L23" s="33">
        <f>IF(K23="","",IF(K23&gt;=PRs!C26,"PR!",""))</f>
        <v/>
      </c>
      <c r="M23" s="32" t="n"/>
      <c r="N23" s="34" t="inlineStr"/>
    </row>
    <row r="24">
      <c r="A24" s="26" t="inlineStr">
        <is>
          <t>Day 3 - Variations</t>
        </is>
      </c>
      <c r="B24" s="27">
        <f>'Start Here'!$B$7+102</f>
        <v/>
      </c>
      <c r="C24" s="29" t="inlineStr">
        <is>
          <t>Incline Dumbbell Press</t>
        </is>
      </c>
      <c r="D24" s="29" t="n">
        <v>4</v>
      </c>
      <c r="E24" s="29" t="inlineStr">
        <is>
          <t>8-12</t>
        </is>
      </c>
      <c r="F24" s="29" t="n"/>
      <c r="G24" s="30" t="n"/>
      <c r="H24" s="31" t="n"/>
      <c r="I24" s="32" t="n"/>
      <c r="J24" s="32" t="n"/>
      <c r="K24" s="29">
        <f>IF(OR(I24="",J24=""),"",IF(J24=1,I24,ROUND(I24*(1+J24/30),1)))</f>
        <v/>
      </c>
      <c r="L24" s="33">
        <f>IF(K24="","",IF(K24&gt;=PRs!C57,"PR!",""))</f>
        <v/>
      </c>
      <c r="M24" s="32" t="n"/>
      <c r="N24" s="34" t="inlineStr">
        <is>
          <t>Leave 1-2 reps in the tank; add weight when you hit the top of the range</t>
        </is>
      </c>
    </row>
    <row r="25">
      <c r="A25" s="26" t="inlineStr">
        <is>
          <t>Day 3 - Variations</t>
        </is>
      </c>
      <c r="B25" s="27">
        <f>'Start Here'!$B$7+102</f>
        <v/>
      </c>
      <c r="C25" s="29" t="inlineStr">
        <is>
          <t>Triceps Pushdown</t>
        </is>
      </c>
      <c r="D25" s="29" t="n">
        <v>4</v>
      </c>
      <c r="E25" s="29" t="inlineStr">
        <is>
          <t>10-15</t>
        </is>
      </c>
      <c r="F25" s="29" t="n"/>
      <c r="G25" s="30" t="n"/>
      <c r="H25" s="31" t="n"/>
      <c r="I25" s="32" t="n"/>
      <c r="J25" s="32" t="n"/>
      <c r="K25" s="29">
        <f>IF(OR(I25="",J25=""),"",IF(J25=1,I25,ROUND(I25*(1+J25/30),1)))</f>
        <v/>
      </c>
      <c r="L25" s="33">
        <f>IF(K25="","",IF(K25&gt;=PRs!C59,"PR!",""))</f>
        <v/>
      </c>
      <c r="M25" s="32" t="n"/>
      <c r="N25" s="34" t="inlineStr">
        <is>
          <t>Leave 1-2 reps in the tank; add weight when you hit the top of the range</t>
        </is>
      </c>
    </row>
  </sheetData>
  <hyperlinks>
    <hyperlink xmlns:r="http://schemas.openxmlformats.org/officeDocument/2006/relationships" ref="A2" r:id="rId1"/>
    <hyperlink xmlns:r="http://schemas.openxmlformats.org/officeDocument/2006/relationships" ref="C2" r:id="rId2"/>
    <hyperlink xmlns:r="http://schemas.openxmlformats.org/officeDocument/2006/relationships" ref="E2" r:id="rId3"/>
  </hyperlinks>
  <pageMargins left="0.75" right="0.75" top="1" bottom="1" header="0.5" footer="0.5"/>
  <pageSetup orientation="landscape" fitToHeight="0" fitToWidth="1"/>
</worksheet>
</file>

<file path=xl/worksheets/sheet18.xml><?xml version="1.0" encoding="utf-8"?>
<worksheet xmlns="http://schemas.openxmlformats.org/spreadsheetml/2006/main">
  <sheetPr>
    <tabColor rgb="00E6E6E6"/>
    <outlinePr summaryBelow="1" summaryRight="1"/>
    <pageSetUpPr fitToPage="1"/>
  </sheetPr>
  <dimension ref="A1:N25"/>
  <sheetViews>
    <sheetView workbookViewId="0">
      <pane xSplit="3" ySplit="5" topLeftCell="D6" activePane="bottomRight" state="frozen"/>
      <selection pane="topRight"/>
      <selection pane="bottomLeft"/>
      <selection pane="bottomRight" activeCell="A1" sqref="A1"/>
    </sheetView>
  </sheetViews>
  <sheetFormatPr baseColWidth="8" defaultRowHeight="15"/>
  <cols>
    <col width="17" customWidth="1" min="1" max="1"/>
    <col width="11" customWidth="1" min="2" max="2"/>
    <col width="24" customWidth="1" min="3" max="3"/>
    <col width="5" customWidth="1" min="4" max="4"/>
    <col width="6" customWidth="1" min="5" max="5"/>
    <col width="6" customWidth="1" min="6" max="6"/>
    <col width="9" customWidth="1" min="7" max="7"/>
    <col width="10" customWidth="1" min="8" max="8"/>
    <col width="13" customWidth="1" min="9" max="9"/>
    <col width="8" customWidth="1" min="10" max="10"/>
    <col width="9" customWidth="1" min="11" max="11"/>
    <col width="5" customWidth="1" min="12" max="12"/>
    <col width="22" customWidth="1" min="13" max="13"/>
    <col width="62" customWidth="1" min="14" max="14"/>
  </cols>
  <sheetData>
    <row r="1">
      <c r="A1" s="24" t="inlineStr">
        <is>
          <t>Week 16 - Cycle 2 - Deload</t>
        </is>
      </c>
    </row>
    <row r="2">
      <c r="A2" s="25" t="inlineStr">
        <is>
          <t>&lt; Week 15</t>
        </is>
      </c>
      <c r="C2" s="25" t="inlineStr">
        <is>
          <t>Start Here</t>
        </is>
      </c>
      <c r="E2" s="25" t="inlineStr">
        <is>
          <t>Week 17 &gt;</t>
        </is>
      </c>
    </row>
    <row r="3">
      <c r="A3" s="10" t="inlineStr">
        <is>
          <t>Bodyweight this week</t>
        </is>
      </c>
      <c r="C3" s="4" t="n"/>
      <c r="D3" t="inlineStr">
        <is>
          <t>Weigh in once this week: same morning routine, before eating.</t>
        </is>
      </c>
    </row>
    <row r="5">
      <c r="A5" s="5" t="inlineStr">
        <is>
          <t>Day</t>
        </is>
      </c>
      <c r="B5" s="5" t="inlineStr">
        <is>
          <t>Date</t>
        </is>
      </c>
      <c r="C5" s="5" t="inlineStr">
        <is>
          <t>Exercise</t>
        </is>
      </c>
      <c r="D5" s="5" t="inlineStr">
        <is>
          <t>Sets</t>
        </is>
      </c>
      <c r="E5" s="5" t="inlineStr">
        <is>
          <t>Reps</t>
        </is>
      </c>
      <c r="F5" s="5" t="inlineStr">
        <is>
          <t>% TM</t>
        </is>
      </c>
      <c r="G5" s="5" t="inlineStr">
        <is>
          <t>Training max</t>
        </is>
      </c>
      <c r="H5" s="5" t="inlineStr">
        <is>
          <t>Weight / target</t>
        </is>
      </c>
      <c r="I5" s="5" t="inlineStr">
        <is>
          <t>Actual (weight, height or distance)</t>
        </is>
      </c>
      <c r="J5" s="5" t="inlineStr">
        <is>
          <t>Actual reps</t>
        </is>
      </c>
      <c r="K5" s="5" t="inlineStr">
        <is>
          <t>Est. 1RM</t>
        </is>
      </c>
      <c r="L5" s="5" t="inlineStr">
        <is>
          <t>PR</t>
        </is>
      </c>
      <c r="M5" s="5" t="inlineStr">
        <is>
          <t>Notes</t>
        </is>
      </c>
      <c r="N5" s="5" t="inlineStr">
        <is>
          <t>Guidance</t>
        </is>
      </c>
    </row>
    <row r="6">
      <c r="A6" s="26" t="inlineStr">
        <is>
          <t>Day 1 - Heavy</t>
        </is>
      </c>
      <c r="B6" s="27">
        <f>'Start Here'!$B$7+105</f>
        <v/>
      </c>
      <c r="C6" s="28" t="inlineStr">
        <is>
          <t>Box Jump</t>
        </is>
      </c>
      <c r="D6" s="29" t="n">
        <v>2</v>
      </c>
      <c r="E6" s="29" t="inlineStr">
        <is>
          <t>3</t>
        </is>
      </c>
      <c r="F6" s="29" t="n"/>
      <c r="G6" s="30" t="n"/>
      <c r="H6" s="31">
        <f>IFERROR(IF(PRs!D69&lt;'Start Here'!$H$15,'Start Here'!$H$15,IF(PRs!D69&lt;'Start Here'!$H$16,'Start Here'!$H$16,IF(PRs!D69&lt;'Start Here'!$H$17,'Start Here'!$H$17,IF(PRs!D69&lt;'Start Here'!$H$18,'Start Here'!$H$18,"Elite!")))),"")</f>
        <v/>
      </c>
      <c r="I6" s="32" t="n"/>
      <c r="J6" s="32" t="n"/>
      <c r="K6" s="29" t="n"/>
      <c r="L6" s="33">
        <f>IF(I6="","",IF(I6&gt;=PRs!D69,"PR!",""))</f>
        <v/>
      </c>
      <c r="M6" s="32" t="n"/>
      <c r="N6" s="34" t="inlineStr">
        <is>
          <t>Explode up, land softly, STEP down. Full reset between reps. Log your box height; check the standards</t>
        </is>
      </c>
    </row>
    <row r="7">
      <c r="A7" s="26" t="inlineStr">
        <is>
          <t>Day 1 - Heavy</t>
        </is>
      </c>
      <c r="B7" s="27">
        <f>'Start Here'!$B$7+105</f>
        <v/>
      </c>
      <c r="C7" s="31" t="inlineStr">
        <is>
          <t>Snatch</t>
        </is>
      </c>
      <c r="D7" s="29" t="n">
        <v>2</v>
      </c>
      <c r="E7" s="29" t="inlineStr">
        <is>
          <t>2</t>
        </is>
      </c>
      <c r="F7" s="29" t="n">
        <v>60</v>
      </c>
      <c r="G7" s="30">
        <f>Maxes!F6</f>
        <v/>
      </c>
      <c r="H7" s="31">
        <f>IF(OR(G7="",F7=""),"",MROUND(G7*F7/100,'Start Here'!$B$6))</f>
        <v/>
      </c>
      <c r="I7" s="32" t="n"/>
      <c r="J7" s="32" t="n"/>
      <c r="K7" s="29">
        <f>IF(OR(I7="",J7=""),"",IF(J7=1,I7,ROUND(I7*(1+J7/30),1)))</f>
        <v/>
      </c>
      <c r="L7" s="33">
        <f>IF(K7="","",IF(K7&gt;=PRs!C6,"PR!",""))</f>
        <v/>
      </c>
      <c r="M7" s="32" t="n"/>
      <c r="N7" s="34" t="inlineStr">
        <is>
          <t>Easy week - move fast, recover</t>
        </is>
      </c>
    </row>
    <row r="8">
      <c r="A8" s="26" t="inlineStr">
        <is>
          <t>Day 1 - Heavy</t>
        </is>
      </c>
      <c r="B8" s="27">
        <f>'Start Here'!$B$7+105</f>
        <v/>
      </c>
      <c r="C8" s="31" t="inlineStr">
        <is>
          <t>Squat</t>
        </is>
      </c>
      <c r="D8" s="29" t="n">
        <v>2</v>
      </c>
      <c r="E8" s="29" t="inlineStr">
        <is>
          <t>5</t>
        </is>
      </c>
      <c r="F8" s="29" t="n">
        <v>60</v>
      </c>
      <c r="G8" s="30">
        <f>Maxes!F2</f>
        <v/>
      </c>
      <c r="H8" s="31">
        <f>IF(OR(G8="",F8=""),"",MROUND(G8*F8/100,'Start Here'!$B$6))</f>
        <v/>
      </c>
      <c r="I8" s="32" t="n"/>
      <c r="J8" s="32" t="n"/>
      <c r="K8" s="29">
        <f>IF(OR(I8="",J8=""),"",IF(J8=1,I8,ROUND(I8*(1+J8/30),1)))</f>
        <v/>
      </c>
      <c r="L8" s="33">
        <f>IF(K8="","",IF(K8&gt;=PRs!C2,"PR!",""))</f>
        <v/>
      </c>
      <c r="M8" s="32" t="n"/>
      <c r="N8" s="34" t="inlineStr">
        <is>
          <t>Easy week - move fast, recover</t>
        </is>
      </c>
    </row>
    <row r="9">
      <c r="A9" s="26" t="inlineStr">
        <is>
          <t>Day 1 - Heavy</t>
        </is>
      </c>
      <c r="B9" s="27">
        <f>'Start Here'!$B$7+105</f>
        <v/>
      </c>
      <c r="C9" s="31" t="inlineStr">
        <is>
          <t>Bench Press</t>
        </is>
      </c>
      <c r="D9" s="29" t="n">
        <v>2</v>
      </c>
      <c r="E9" s="29" t="inlineStr">
        <is>
          <t>5</t>
        </is>
      </c>
      <c r="F9" s="29" t="n">
        <v>60</v>
      </c>
      <c r="G9" s="30">
        <f>Maxes!F3</f>
        <v/>
      </c>
      <c r="H9" s="31">
        <f>IF(OR(G9="",F9=""),"",MROUND(G9*F9/100,'Start Here'!$B$6))</f>
        <v/>
      </c>
      <c r="I9" s="32" t="n"/>
      <c r="J9" s="32" t="n"/>
      <c r="K9" s="29">
        <f>IF(OR(I9="",J9=""),"",IF(J9=1,I9,ROUND(I9*(1+J9/30),1)))</f>
        <v/>
      </c>
      <c r="L9" s="33">
        <f>IF(K9="","",IF(K9&gt;=PRs!C3,"PR!",""))</f>
        <v/>
      </c>
      <c r="M9" s="32" t="n"/>
      <c r="N9" s="34" t="inlineStr">
        <is>
          <t>Easy week - move fast, recover</t>
        </is>
      </c>
    </row>
    <row r="10">
      <c r="A10" s="26" t="inlineStr">
        <is>
          <t>Day 1 - Heavy</t>
        </is>
      </c>
      <c r="B10" s="27">
        <f>'Start Here'!$B$7+105</f>
        <v/>
      </c>
      <c r="C10" s="29" t="inlineStr">
        <is>
          <t>Barbell Row</t>
        </is>
      </c>
      <c r="D10" s="29" t="n">
        <v>2</v>
      </c>
      <c r="E10" s="29" t="inlineStr">
        <is>
          <t>8-10</t>
        </is>
      </c>
      <c r="F10" s="29" t="n"/>
      <c r="G10" s="30" t="n"/>
      <c r="H10" s="31" t="n"/>
      <c r="I10" s="32" t="n"/>
      <c r="J10" s="32" t="n"/>
      <c r="K10" s="29">
        <f>IF(OR(I10="",J10=""),"",IF(J10=1,I10,ROUND(I10*(1+J10/30),1)))</f>
        <v/>
      </c>
      <c r="L10" s="33">
        <f>IF(K10="","",IF(K10&gt;=PRs!C50,"PR!",""))</f>
        <v/>
      </c>
      <c r="M10" s="32" t="n"/>
      <c r="N10" s="34" t="inlineStr">
        <is>
          <t>Easy - stop well short of failure</t>
        </is>
      </c>
    </row>
    <row r="11">
      <c r="A11" s="26" t="inlineStr">
        <is>
          <t>Day 1 - Heavy</t>
        </is>
      </c>
      <c r="B11" s="27">
        <f>'Start Here'!$B$7+105</f>
        <v/>
      </c>
      <c r="C11" s="29" t="inlineStr">
        <is>
          <t>Face Pull</t>
        </is>
      </c>
      <c r="D11" s="29" t="n">
        <v>2</v>
      </c>
      <c r="E11" s="29" t="inlineStr">
        <is>
          <t>12-15</t>
        </is>
      </c>
      <c r="F11" s="29" t="n"/>
      <c r="G11" s="30" t="n"/>
      <c r="H11" s="31" t="n"/>
      <c r="I11" s="32" t="n"/>
      <c r="J11" s="32" t="n"/>
      <c r="K11" s="29">
        <f>IF(OR(I11="",J11=""),"",IF(J11=1,I11,ROUND(I11*(1+J11/30),1)))</f>
        <v/>
      </c>
      <c r="L11" s="33">
        <f>IF(K11="","",IF(K11&gt;=PRs!C51,"PR!",""))</f>
        <v/>
      </c>
      <c r="M11" s="32" t="n"/>
      <c r="N11" s="34" t="inlineStr">
        <is>
          <t>Easy - stop well short of failure</t>
        </is>
      </c>
    </row>
    <row r="12">
      <c r="A12" s="26" t="inlineStr">
        <is>
          <t>Day 2 - Light</t>
        </is>
      </c>
      <c r="B12" s="27">
        <f>'Start Here'!$B$7+107</f>
        <v/>
      </c>
      <c r="C12" s="28" t="inlineStr">
        <is>
          <t>Broad Jump</t>
        </is>
      </c>
      <c r="D12" s="29" t="n">
        <v>2</v>
      </c>
      <c r="E12" s="29" t="inlineStr">
        <is>
          <t>3</t>
        </is>
      </c>
      <c r="F12" s="29" t="n"/>
      <c r="G12" s="30" t="n"/>
      <c r="H12" s="31" t="n"/>
      <c r="I12" s="32" t="n"/>
      <c r="J12" s="32" t="n"/>
      <c r="K12" s="29" t="n"/>
      <c r="L12" s="33">
        <f>IF(I12="","",IF(I12&gt;=PRs!D70,"PR!",""))</f>
        <v/>
      </c>
      <c r="M12" s="32" t="n"/>
      <c r="N12" s="34" t="inlineStr">
        <is>
          <t>Two-foot jump for distance, stick the landing. Full reset between reps. Log your best distance</t>
        </is>
      </c>
    </row>
    <row r="13">
      <c r="A13" s="26" t="inlineStr">
        <is>
          <t>Day 2 - Light</t>
        </is>
      </c>
      <c r="B13" s="27">
        <f>'Start Here'!$B$7+107</f>
        <v/>
      </c>
      <c r="C13" s="31" t="inlineStr">
        <is>
          <t>Clean &amp; Jerk</t>
        </is>
      </c>
      <c r="D13" s="29" t="n">
        <v>2</v>
      </c>
      <c r="E13" s="29" t="inlineStr">
        <is>
          <t>2</t>
        </is>
      </c>
      <c r="F13" s="29" t="n">
        <v>60</v>
      </c>
      <c r="G13" s="30">
        <f>Maxes!F7</f>
        <v/>
      </c>
      <c r="H13" s="31">
        <f>IF(OR(G13="",F13=""),"",MROUND(G13*F13/100,'Start Here'!$B$6))</f>
        <v/>
      </c>
      <c r="I13" s="32" t="n"/>
      <c r="J13" s="32" t="n"/>
      <c r="K13" s="29">
        <f>IF(OR(I13="",J13=""),"",IF(J13=1,I13,ROUND(I13*(1+J13/30),1)))</f>
        <v/>
      </c>
      <c r="L13" s="33">
        <f>IF(K13="","",IF(K13&gt;=PRs!C7,"PR!",""))</f>
        <v/>
      </c>
      <c r="M13" s="32" t="n"/>
      <c r="N13" s="34" t="inlineStr">
        <is>
          <t>Easy week - move fast, recover</t>
        </is>
      </c>
    </row>
    <row r="14">
      <c r="A14" s="26" t="inlineStr">
        <is>
          <t>Day 2 - Light</t>
        </is>
      </c>
      <c r="B14" s="27">
        <f>'Start Here'!$B$7+107</f>
        <v/>
      </c>
      <c r="C14" s="31" t="inlineStr">
        <is>
          <t>Squat</t>
        </is>
      </c>
      <c r="D14" s="29" t="n">
        <v>2</v>
      </c>
      <c r="E14" s="29" t="inlineStr">
        <is>
          <t>5</t>
        </is>
      </c>
      <c r="F14" s="29" t="n">
        <v>60</v>
      </c>
      <c r="G14" s="30">
        <f>Maxes!F2</f>
        <v/>
      </c>
      <c r="H14" s="31">
        <f>IF(OR(G14="",F14=""),"",MROUND(G14*F14/100,'Start Here'!$B$6))</f>
        <v/>
      </c>
      <c r="I14" s="32" t="n"/>
      <c r="J14" s="32" t="n"/>
      <c r="K14" s="29">
        <f>IF(OR(I14="",J14=""),"",IF(J14=1,I14,ROUND(I14*(1+J14/30),1)))</f>
        <v/>
      </c>
      <c r="L14" s="33">
        <f>IF(K14="","",IF(K14&gt;=PRs!C2,"PR!",""))</f>
        <v/>
      </c>
      <c r="M14" s="32" t="n"/>
      <c r="N14" s="34" t="inlineStr">
        <is>
          <t>Easy week - move fast, recover</t>
        </is>
      </c>
    </row>
    <row r="15">
      <c r="A15" s="26" t="inlineStr">
        <is>
          <t>Day 2 - Light</t>
        </is>
      </c>
      <c r="B15" s="27">
        <f>'Start Here'!$B$7+107</f>
        <v/>
      </c>
      <c r="C15" s="31" t="inlineStr">
        <is>
          <t>Overhead Press</t>
        </is>
      </c>
      <c r="D15" s="29" t="n">
        <v>2</v>
      </c>
      <c r="E15" s="29" t="inlineStr">
        <is>
          <t>5</t>
        </is>
      </c>
      <c r="F15" s="29" t="n">
        <v>60</v>
      </c>
      <c r="G15" s="30">
        <f>Maxes!F5</f>
        <v/>
      </c>
      <c r="H15" s="31">
        <f>IF(OR(G15="",F15=""),"",MROUND(G15*F15/100,'Start Here'!$B$6))</f>
        <v/>
      </c>
      <c r="I15" s="32" t="n"/>
      <c r="J15" s="32" t="n"/>
      <c r="K15" s="29">
        <f>IF(OR(I15="",J15=""),"",IF(J15=1,I15,ROUND(I15*(1+J15/30),1)))</f>
        <v/>
      </c>
      <c r="L15" s="33">
        <f>IF(K15="","",IF(K15&gt;=PRs!C5,"PR!",""))</f>
        <v/>
      </c>
      <c r="M15" s="32" t="n"/>
      <c r="N15" s="34" t="inlineStr">
        <is>
          <t>Easy week - move fast, recover</t>
        </is>
      </c>
    </row>
    <row r="16">
      <c r="A16" s="26" t="inlineStr">
        <is>
          <t>Day 2 - Light</t>
        </is>
      </c>
      <c r="B16" s="27">
        <f>'Start Here'!$B$7+107</f>
        <v/>
      </c>
      <c r="C16" s="31" t="inlineStr">
        <is>
          <t>Deadlift</t>
        </is>
      </c>
      <c r="D16" s="29" t="n">
        <v>2</v>
      </c>
      <c r="E16" s="29" t="inlineStr">
        <is>
          <t>5</t>
        </is>
      </c>
      <c r="F16" s="29" t="n">
        <v>60</v>
      </c>
      <c r="G16" s="30">
        <f>Maxes!F4</f>
        <v/>
      </c>
      <c r="H16" s="31">
        <f>IF(OR(G16="",F16=""),"",MROUND(G16*F16/100,'Start Here'!$B$6))</f>
        <v/>
      </c>
      <c r="I16" s="32" t="n"/>
      <c r="J16" s="32" t="n"/>
      <c r="K16" s="29">
        <f>IF(OR(I16="",J16=""),"",IF(J16=1,I16,ROUND(I16*(1+J16/30),1)))</f>
        <v/>
      </c>
      <c r="L16" s="33">
        <f>IF(K16="","",IF(K16&gt;=PRs!C4,"PR!",""))</f>
        <v/>
      </c>
      <c r="M16" s="32" t="n"/>
      <c r="N16" s="34" t="inlineStr">
        <is>
          <t>Easy week - move fast, recover</t>
        </is>
      </c>
    </row>
    <row r="17">
      <c r="A17" s="26" t="inlineStr">
        <is>
          <t>Day 2 - Light</t>
        </is>
      </c>
      <c r="B17" s="27">
        <f>'Start Here'!$B$7+107</f>
        <v/>
      </c>
      <c r="C17" s="29" t="inlineStr">
        <is>
          <t>Chin-up</t>
        </is>
      </c>
      <c r="D17" s="29" t="n">
        <v>2</v>
      </c>
      <c r="E17" s="29" t="inlineStr">
        <is>
          <t>6-10</t>
        </is>
      </c>
      <c r="F17" s="29" t="n"/>
      <c r="G17" s="30" t="n"/>
      <c r="H17" s="31" t="n"/>
      <c r="I17" s="32" t="n"/>
      <c r="J17" s="32" t="n"/>
      <c r="K17" s="29">
        <f>IF(OR(I17="",J17=""),"",IF(J17=1,I17,ROUND(I17*(1+J17/30),1)))</f>
        <v/>
      </c>
      <c r="L17" s="33">
        <f>IF(K17="","",IF(K17&gt;=PRs!C53,"PR!",""))</f>
        <v/>
      </c>
      <c r="M17" s="32" t="n"/>
      <c r="N17" s="34" t="inlineStr">
        <is>
          <t>Easy - stop well short of failure</t>
        </is>
      </c>
    </row>
    <row r="18">
      <c r="A18" s="26" t="inlineStr">
        <is>
          <t>Day 2 - Light</t>
        </is>
      </c>
      <c r="B18" s="27">
        <f>'Start Here'!$B$7+107</f>
        <v/>
      </c>
      <c r="C18" s="29" t="inlineStr">
        <is>
          <t>Plank</t>
        </is>
      </c>
      <c r="D18" s="29" t="n">
        <v>2</v>
      </c>
      <c r="E18" s="29" t="inlineStr">
        <is>
          <t>30-60s</t>
        </is>
      </c>
      <c r="F18" s="29" t="n"/>
      <c r="G18" s="30" t="n"/>
      <c r="H18" s="31" t="n"/>
      <c r="I18" s="32" t="n"/>
      <c r="J18" s="32" t="n"/>
      <c r="K18" s="29">
        <f>IF(OR(I18="",J18=""),"",IF(J18=1,I18,ROUND(I18*(1+J18/30),1)))</f>
        <v/>
      </c>
      <c r="L18" s="33">
        <f>IF(K18="","",IF(K18&gt;=PRs!C56,"PR!",""))</f>
        <v/>
      </c>
      <c r="M18" s="32" t="n"/>
      <c r="N18" s="34" t="inlineStr">
        <is>
          <t>Easy - stop well short of failure</t>
        </is>
      </c>
    </row>
    <row r="19">
      <c r="A19" s="26" t="inlineStr">
        <is>
          <t>Day 3 - Variations</t>
        </is>
      </c>
      <c r="B19" s="27">
        <f>'Start Here'!$B$7+109</f>
        <v/>
      </c>
      <c r="C19" s="28" t="inlineStr">
        <is>
          <t>Box Jump</t>
        </is>
      </c>
      <c r="D19" s="29" t="n">
        <v>2</v>
      </c>
      <c r="E19" s="29" t="inlineStr">
        <is>
          <t>3</t>
        </is>
      </c>
      <c r="F19" s="29" t="n"/>
      <c r="G19" s="30" t="n"/>
      <c r="H19" s="31">
        <f>IFERROR(IF(PRs!D69&lt;'Start Here'!$H$15,'Start Here'!$H$15,IF(PRs!D69&lt;'Start Here'!$H$16,'Start Here'!$H$16,IF(PRs!D69&lt;'Start Here'!$H$17,'Start Here'!$H$17,IF(PRs!D69&lt;'Start Here'!$H$18,'Start Here'!$H$18,"Elite!")))),"")</f>
        <v/>
      </c>
      <c r="I19" s="32" t="n"/>
      <c r="J19" s="32" t="n"/>
      <c r="K19" s="29" t="n"/>
      <c r="L19" s="33">
        <f>IF(I19="","",IF(I19&gt;=PRs!D69,"PR!",""))</f>
        <v/>
      </c>
      <c r="M19" s="32" t="n"/>
      <c r="N19" s="34" t="inlineStr">
        <is>
          <t>Explode up, land softly, STEP down. Full reset between reps. Log your box height; check the standards</t>
        </is>
      </c>
    </row>
    <row r="20">
      <c r="A20" s="26" t="inlineStr">
        <is>
          <t>Day 3 - Variations</t>
        </is>
      </c>
      <c r="B20" s="27">
        <f>'Start Here'!$B$7+109</f>
        <v/>
      </c>
      <c r="C20" s="31" t="inlineStr">
        <is>
          <t>Hang Clean</t>
        </is>
      </c>
      <c r="D20" s="29" t="n">
        <v>2</v>
      </c>
      <c r="E20" s="29" t="inlineStr">
        <is>
          <t>2</t>
        </is>
      </c>
      <c r="F20" s="29" t="n">
        <v>60</v>
      </c>
      <c r="G20" s="30">
        <f>Maxes!F43</f>
        <v/>
      </c>
      <c r="H20" s="31">
        <f>IF(OR(G20="",F20=""),"",MROUND(G20*F20/100,'Start Here'!$B$6))</f>
        <v/>
      </c>
      <c r="I20" s="32" t="n"/>
      <c r="J20" s="32" t="n"/>
      <c r="K20" s="29">
        <f>IF(OR(I20="",J20=""),"",IF(J20=1,I20,ROUND(I20*(1+J20/30),1)))</f>
        <v/>
      </c>
      <c r="L20" s="33">
        <f>IF(K20="","",IF(K20&gt;=PRs!C43,"PR!",""))</f>
        <v/>
      </c>
      <c r="M20" s="32" t="n"/>
      <c r="N20" s="34" t="inlineStr">
        <is>
          <t>Easy week - move fast, recover</t>
        </is>
      </c>
    </row>
    <row r="21">
      <c r="A21" s="26" t="inlineStr">
        <is>
          <t>Day 3 - Variations</t>
        </is>
      </c>
      <c r="B21" s="27">
        <f>'Start Here'!$B$7+109</f>
        <v/>
      </c>
      <c r="C21" s="31" t="inlineStr">
        <is>
          <t>Safety Bar Squat</t>
        </is>
      </c>
      <c r="D21" s="29" t="n">
        <v>2</v>
      </c>
      <c r="E21" s="29" t="inlineStr">
        <is>
          <t>5</t>
        </is>
      </c>
      <c r="F21" s="29" t="n">
        <v>60</v>
      </c>
      <c r="G21" s="30">
        <f>Maxes!F11</f>
        <v/>
      </c>
      <c r="H21" s="31">
        <f>IF(OR(G21="",F21=""),"",MROUND(G21*F21/100,'Start Here'!$B$6))</f>
        <v/>
      </c>
      <c r="I21" s="32" t="n"/>
      <c r="J21" s="32" t="n"/>
      <c r="K21" s="29">
        <f>IF(OR(I21="",J21=""),"",IF(J21=1,I21,ROUND(I21*(1+J21/30),1)))</f>
        <v/>
      </c>
      <c r="L21" s="33">
        <f>IF(K21="","",IF(K21&gt;=PRs!C11,"PR!",""))</f>
        <v/>
      </c>
      <c r="M21" s="32" t="n"/>
      <c r="N21" s="34" t="inlineStr">
        <is>
          <t>Easy week - move fast, recover</t>
        </is>
      </c>
    </row>
    <row r="22">
      <c r="A22" s="26" t="inlineStr">
        <is>
          <t>Day 3 - Variations</t>
        </is>
      </c>
      <c r="B22" s="27">
        <f>'Start Here'!$B$7+109</f>
        <v/>
      </c>
      <c r="C22" s="31" t="inlineStr">
        <is>
          <t>1-Board Press</t>
        </is>
      </c>
      <c r="D22" s="29" t="n">
        <v>2</v>
      </c>
      <c r="E22" s="29" t="inlineStr">
        <is>
          <t>5</t>
        </is>
      </c>
      <c r="F22" s="29" t="n">
        <v>60</v>
      </c>
      <c r="G22" s="30">
        <f>Maxes!F15</f>
        <v/>
      </c>
      <c r="H22" s="31">
        <f>IF(OR(G22="",F22=""),"",MROUND(G22*F22/100,'Start Here'!$B$6))</f>
        <v/>
      </c>
      <c r="I22" s="32" t="n"/>
      <c r="J22" s="32" t="n"/>
      <c r="K22" s="29">
        <f>IF(OR(I22="",J22=""),"",IF(J22=1,I22,ROUND(I22*(1+J22/30),1)))</f>
        <v/>
      </c>
      <c r="L22" s="33">
        <f>IF(K22="","",IF(K22&gt;=PRs!C15,"PR!",""))</f>
        <v/>
      </c>
      <c r="M22" s="32" t="n"/>
      <c r="N22" s="34" t="inlineStr">
        <is>
          <t>Easy week - move fast, recover</t>
        </is>
      </c>
    </row>
    <row r="23">
      <c r="A23" s="26" t="inlineStr">
        <is>
          <t>Day 3 - Variations</t>
        </is>
      </c>
      <c r="B23" s="27">
        <f>'Start Here'!$B$7+109</f>
        <v/>
      </c>
      <c r="C23" s="31" t="inlineStr">
        <is>
          <t>Block Pull</t>
        </is>
      </c>
      <c r="D23" s="29" t="n">
        <v>2</v>
      </c>
      <c r="E23" s="29" t="inlineStr">
        <is>
          <t>5</t>
        </is>
      </c>
      <c r="F23" s="29" t="n">
        <v>60</v>
      </c>
      <c r="G23" s="30">
        <f>Maxes!F26</f>
        <v/>
      </c>
      <c r="H23" s="31">
        <f>IF(OR(G23="",F23=""),"",MROUND(G23*F23/100,'Start Here'!$B$6))</f>
        <v/>
      </c>
      <c r="I23" s="32" t="n"/>
      <c r="J23" s="32" t="n"/>
      <c r="K23" s="29">
        <f>IF(OR(I23="",J23=""),"",IF(J23=1,I23,ROUND(I23*(1+J23/30),1)))</f>
        <v/>
      </c>
      <c r="L23" s="33">
        <f>IF(K23="","",IF(K23&gt;=PRs!C26,"PR!",""))</f>
        <v/>
      </c>
      <c r="M23" s="32" t="n"/>
      <c r="N23" s="34" t="inlineStr">
        <is>
          <t>Easy week - move fast, recover</t>
        </is>
      </c>
    </row>
    <row r="24">
      <c r="A24" s="26" t="inlineStr">
        <is>
          <t>Day 3 - Variations</t>
        </is>
      </c>
      <c r="B24" s="27">
        <f>'Start Here'!$B$7+109</f>
        <v/>
      </c>
      <c r="C24" s="29" t="inlineStr">
        <is>
          <t>Incline Dumbbell Press</t>
        </is>
      </c>
      <c r="D24" s="29" t="n">
        <v>2</v>
      </c>
      <c r="E24" s="29" t="inlineStr">
        <is>
          <t>8-12</t>
        </is>
      </c>
      <c r="F24" s="29" t="n"/>
      <c r="G24" s="30" t="n"/>
      <c r="H24" s="31" t="n"/>
      <c r="I24" s="32" t="n"/>
      <c r="J24" s="32" t="n"/>
      <c r="K24" s="29">
        <f>IF(OR(I24="",J24=""),"",IF(J24=1,I24,ROUND(I24*(1+J24/30),1)))</f>
        <v/>
      </c>
      <c r="L24" s="33">
        <f>IF(K24="","",IF(K24&gt;=PRs!C57,"PR!",""))</f>
        <v/>
      </c>
      <c r="M24" s="32" t="n"/>
      <c r="N24" s="34" t="inlineStr">
        <is>
          <t>Easy - stop well short of failure</t>
        </is>
      </c>
    </row>
    <row r="25">
      <c r="A25" s="26" t="inlineStr">
        <is>
          <t>Day 3 - Variations</t>
        </is>
      </c>
      <c r="B25" s="27">
        <f>'Start Here'!$B$7+109</f>
        <v/>
      </c>
      <c r="C25" s="29" t="inlineStr">
        <is>
          <t>Triceps Pushdown</t>
        </is>
      </c>
      <c r="D25" s="29" t="n">
        <v>2</v>
      </c>
      <c r="E25" s="29" t="inlineStr">
        <is>
          <t>10-15</t>
        </is>
      </c>
      <c r="F25" s="29" t="n"/>
      <c r="G25" s="30" t="n"/>
      <c r="H25" s="31" t="n"/>
      <c r="I25" s="32" t="n"/>
      <c r="J25" s="32" t="n"/>
      <c r="K25" s="29">
        <f>IF(OR(I25="",J25=""),"",IF(J25=1,I25,ROUND(I25*(1+J25/30),1)))</f>
        <v/>
      </c>
      <c r="L25" s="33">
        <f>IF(K25="","",IF(K25&gt;=PRs!C59,"PR!",""))</f>
        <v/>
      </c>
      <c r="M25" s="32" t="n"/>
      <c r="N25" s="34" t="inlineStr">
        <is>
          <t>Easy - stop well short of failure</t>
        </is>
      </c>
    </row>
  </sheetData>
  <hyperlinks>
    <hyperlink xmlns:r="http://schemas.openxmlformats.org/officeDocument/2006/relationships" ref="A2" r:id="rId1"/>
    <hyperlink xmlns:r="http://schemas.openxmlformats.org/officeDocument/2006/relationships" ref="C2" r:id="rId2"/>
    <hyperlink xmlns:r="http://schemas.openxmlformats.org/officeDocument/2006/relationships" ref="E2" r:id="rId3"/>
  </hyperlinks>
  <pageMargins left="0.75" right="0.75" top="1" bottom="1" header="0.5" footer="0.5"/>
  <pageSetup orientation="landscape" fitToHeight="0" fitToWidth="1"/>
</worksheet>
</file>

<file path=xl/worksheets/sheet19.xml><?xml version="1.0" encoding="utf-8"?>
<worksheet xmlns="http://schemas.openxmlformats.org/spreadsheetml/2006/main">
  <sheetPr>
    <tabColor rgb="00FCE9D2"/>
    <outlinePr summaryBelow="1" summaryRight="1"/>
    <pageSetUpPr fitToPage="1"/>
  </sheetPr>
  <dimension ref="A1:N25"/>
  <sheetViews>
    <sheetView workbookViewId="0">
      <pane xSplit="3" ySplit="5" topLeftCell="D6" activePane="bottomRight" state="frozen"/>
      <selection pane="topRight"/>
      <selection pane="bottomLeft"/>
      <selection pane="bottomRight" activeCell="A1" sqref="A1"/>
    </sheetView>
  </sheetViews>
  <sheetFormatPr baseColWidth="8" defaultRowHeight="15"/>
  <cols>
    <col width="17" customWidth="1" min="1" max="1"/>
    <col width="11" customWidth="1" min="2" max="2"/>
    <col width="24" customWidth="1" min="3" max="3"/>
    <col width="5" customWidth="1" min="4" max="4"/>
    <col width="6" customWidth="1" min="5" max="5"/>
    <col width="6" customWidth="1" min="6" max="6"/>
    <col width="9" customWidth="1" min="7" max="7"/>
    <col width="10" customWidth="1" min="8" max="8"/>
    <col width="13" customWidth="1" min="9" max="9"/>
    <col width="8" customWidth="1" min="10" max="10"/>
    <col width="9" customWidth="1" min="11" max="11"/>
    <col width="5" customWidth="1" min="12" max="12"/>
    <col width="22" customWidth="1" min="13" max="13"/>
    <col width="62" customWidth="1" min="14" max="14"/>
  </cols>
  <sheetData>
    <row r="1">
      <c r="A1" s="24" t="inlineStr">
        <is>
          <t>Week 17 - Cycle 2 - Transmutation</t>
        </is>
      </c>
    </row>
    <row r="2">
      <c r="A2" s="25" t="inlineStr">
        <is>
          <t>&lt; Week 16</t>
        </is>
      </c>
      <c r="C2" s="25" t="inlineStr">
        <is>
          <t>Start Here</t>
        </is>
      </c>
      <c r="E2" s="25" t="inlineStr">
        <is>
          <t>Week 18 &gt;</t>
        </is>
      </c>
    </row>
    <row r="3">
      <c r="A3" s="10" t="inlineStr">
        <is>
          <t>Bodyweight this week</t>
        </is>
      </c>
      <c r="C3" s="4" t="n"/>
      <c r="D3" t="inlineStr">
        <is>
          <t>Weigh in once this week: same morning routine, before eating.</t>
        </is>
      </c>
    </row>
    <row r="5">
      <c r="A5" s="5" t="inlineStr">
        <is>
          <t>Day</t>
        </is>
      </c>
      <c r="B5" s="5" t="inlineStr">
        <is>
          <t>Date</t>
        </is>
      </c>
      <c r="C5" s="5" t="inlineStr">
        <is>
          <t>Exercise</t>
        </is>
      </c>
      <c r="D5" s="5" t="inlineStr">
        <is>
          <t>Sets</t>
        </is>
      </c>
      <c r="E5" s="5" t="inlineStr">
        <is>
          <t>Reps</t>
        </is>
      </c>
      <c r="F5" s="5" t="inlineStr">
        <is>
          <t>% TM</t>
        </is>
      </c>
      <c r="G5" s="5" t="inlineStr">
        <is>
          <t>Training max</t>
        </is>
      </c>
      <c r="H5" s="5" t="inlineStr">
        <is>
          <t>Weight / target</t>
        </is>
      </c>
      <c r="I5" s="5" t="inlineStr">
        <is>
          <t>Actual (weight, height or distance)</t>
        </is>
      </c>
      <c r="J5" s="5" t="inlineStr">
        <is>
          <t>Actual reps</t>
        </is>
      </c>
      <c r="K5" s="5" t="inlineStr">
        <is>
          <t>Est. 1RM</t>
        </is>
      </c>
      <c r="L5" s="5" t="inlineStr">
        <is>
          <t>PR</t>
        </is>
      </c>
      <c r="M5" s="5" t="inlineStr">
        <is>
          <t>Notes</t>
        </is>
      </c>
      <c r="N5" s="5" t="inlineStr">
        <is>
          <t>Guidance</t>
        </is>
      </c>
    </row>
    <row r="6">
      <c r="A6" s="26" t="inlineStr">
        <is>
          <t>Day 1 - Heavy</t>
        </is>
      </c>
      <c r="B6" s="27">
        <f>'Start Here'!$B$7+112</f>
        <v/>
      </c>
      <c r="C6" s="28" t="inlineStr">
        <is>
          <t>Box Jump</t>
        </is>
      </c>
      <c r="D6" s="29" t="n">
        <v>4</v>
      </c>
      <c r="E6" s="29" t="inlineStr">
        <is>
          <t>3</t>
        </is>
      </c>
      <c r="F6" s="29" t="n"/>
      <c r="G6" s="30" t="n"/>
      <c r="H6" s="31">
        <f>IFERROR(IF(PRs!D69&lt;'Start Here'!$H$15,'Start Here'!$H$15,IF(PRs!D69&lt;'Start Here'!$H$16,'Start Here'!$H$16,IF(PRs!D69&lt;'Start Here'!$H$17,'Start Here'!$H$17,IF(PRs!D69&lt;'Start Here'!$H$18,'Start Here'!$H$18,"Elite!")))),"")</f>
        <v/>
      </c>
      <c r="I6" s="32" t="n"/>
      <c r="J6" s="32" t="n"/>
      <c r="K6" s="29" t="n"/>
      <c r="L6" s="33">
        <f>IF(I6="","",IF(I6&gt;=PRs!D69,"PR!",""))</f>
        <v/>
      </c>
      <c r="M6" s="32" t="n"/>
      <c r="N6" s="34" t="inlineStr">
        <is>
          <t>Explode up, land softly, STEP down. Full reset between reps. Log your box height; check the standards</t>
        </is>
      </c>
    </row>
    <row r="7">
      <c r="A7" s="26" t="inlineStr">
        <is>
          <t>Day 1 - Heavy</t>
        </is>
      </c>
      <c r="B7" s="27">
        <f>'Start Here'!$B$7+112</f>
        <v/>
      </c>
      <c r="C7" s="31" t="inlineStr">
        <is>
          <t>Snatch</t>
        </is>
      </c>
      <c r="D7" s="29" t="n">
        <v>4</v>
      </c>
      <c r="E7" s="29" t="inlineStr">
        <is>
          <t>3</t>
        </is>
      </c>
      <c r="F7" s="29" t="n">
        <v>77.5</v>
      </c>
      <c r="G7" s="30">
        <f>Maxes!F6</f>
        <v/>
      </c>
      <c r="H7" s="31">
        <f>IF(OR(G7="",F7=""),"",MROUND(G7*F7/100,'Start Here'!$B$6))</f>
        <v/>
      </c>
      <c r="I7" s="32" t="n"/>
      <c r="J7" s="32" t="n"/>
      <c r="K7" s="29">
        <f>IF(OR(I7="",J7=""),"",IF(J7=1,I7,ROUND(I7*(1+J7/30),1)))</f>
        <v/>
      </c>
      <c r="L7" s="33">
        <f>IF(K7="","",IF(K7&gt;=PRs!C6,"PR!",""))</f>
        <v/>
      </c>
      <c r="M7" s="32" t="n"/>
      <c r="N7" s="34" t="inlineStr"/>
    </row>
    <row r="8">
      <c r="A8" s="26" t="inlineStr">
        <is>
          <t>Day 1 - Heavy</t>
        </is>
      </c>
      <c r="B8" s="27">
        <f>'Start Here'!$B$7+112</f>
        <v/>
      </c>
      <c r="C8" s="31" t="inlineStr">
        <is>
          <t>Squat</t>
        </is>
      </c>
      <c r="D8" s="29" t="n">
        <v>3</v>
      </c>
      <c r="E8" s="29" t="inlineStr">
        <is>
          <t>6</t>
        </is>
      </c>
      <c r="F8" s="29" t="n">
        <v>77.5</v>
      </c>
      <c r="G8" s="30">
        <f>Maxes!F2</f>
        <v/>
      </c>
      <c r="H8" s="31">
        <f>IF(OR(G8="",F8=""),"",MROUND(G8*F8/100,'Start Here'!$B$6))</f>
        <v/>
      </c>
      <c r="I8" s="32" t="n"/>
      <c r="J8" s="32" t="n"/>
      <c r="K8" s="29">
        <f>IF(OR(I8="",J8=""),"",IF(J8=1,I8,ROUND(I8*(1+J8/30),1)))</f>
        <v/>
      </c>
      <c r="L8" s="33">
        <f>IF(K8="","",IF(K8&gt;=PRs!C2,"PR!",""))</f>
        <v/>
      </c>
      <c r="M8" s="32" t="n"/>
      <c r="N8" s="34" t="inlineStr"/>
    </row>
    <row r="9">
      <c r="A9" s="26" t="inlineStr">
        <is>
          <t>Day 1 - Heavy</t>
        </is>
      </c>
      <c r="B9" s="27">
        <f>'Start Here'!$B$7+112</f>
        <v/>
      </c>
      <c r="C9" s="31" t="inlineStr">
        <is>
          <t>Bench Press</t>
        </is>
      </c>
      <c r="D9" s="29" t="n">
        <v>3</v>
      </c>
      <c r="E9" s="29" t="inlineStr">
        <is>
          <t>6</t>
        </is>
      </c>
      <c r="F9" s="29" t="n">
        <v>77.5</v>
      </c>
      <c r="G9" s="30">
        <f>Maxes!F3</f>
        <v/>
      </c>
      <c r="H9" s="31">
        <f>IF(OR(G9="",F9=""),"",MROUND(G9*F9/100,'Start Here'!$B$6))</f>
        <v/>
      </c>
      <c r="I9" s="32" t="n"/>
      <c r="J9" s="32" t="n"/>
      <c r="K9" s="29">
        <f>IF(OR(I9="",J9=""),"",IF(J9=1,I9,ROUND(I9*(1+J9/30),1)))</f>
        <v/>
      </c>
      <c r="L9" s="33">
        <f>IF(K9="","",IF(K9&gt;=PRs!C3,"PR!",""))</f>
        <v/>
      </c>
      <c r="M9" s="32" t="n"/>
      <c r="N9" s="34" t="inlineStr"/>
    </row>
    <row r="10">
      <c r="A10" s="26" t="inlineStr">
        <is>
          <t>Day 1 - Heavy</t>
        </is>
      </c>
      <c r="B10" s="27">
        <f>'Start Here'!$B$7+112</f>
        <v/>
      </c>
      <c r="C10" s="29" t="inlineStr">
        <is>
          <t>Barbell Row</t>
        </is>
      </c>
      <c r="D10" s="29" t="n">
        <v>3</v>
      </c>
      <c r="E10" s="29" t="inlineStr">
        <is>
          <t>8-10</t>
        </is>
      </c>
      <c r="F10" s="29" t="n"/>
      <c r="G10" s="30" t="n"/>
      <c r="H10" s="31" t="n"/>
      <c r="I10" s="32" t="n"/>
      <c r="J10" s="32" t="n"/>
      <c r="K10" s="29">
        <f>IF(OR(I10="",J10=""),"",IF(J10=1,I10,ROUND(I10*(1+J10/30),1)))</f>
        <v/>
      </c>
      <c r="L10" s="33">
        <f>IF(K10="","",IF(K10&gt;=PRs!C50,"PR!",""))</f>
        <v/>
      </c>
      <c r="M10" s="32" t="n"/>
      <c r="N10" s="34" t="inlineStr">
        <is>
          <t>Leave 1-2 reps in the tank; add weight when you hit the top of the range</t>
        </is>
      </c>
    </row>
    <row r="11">
      <c r="A11" s="26" t="inlineStr">
        <is>
          <t>Day 1 - Heavy</t>
        </is>
      </c>
      <c r="B11" s="27">
        <f>'Start Here'!$B$7+112</f>
        <v/>
      </c>
      <c r="C11" s="29" t="inlineStr">
        <is>
          <t>Face Pull</t>
        </is>
      </c>
      <c r="D11" s="29" t="n">
        <v>3</v>
      </c>
      <c r="E11" s="29" t="inlineStr">
        <is>
          <t>12-15</t>
        </is>
      </c>
      <c r="F11" s="29" t="n"/>
      <c r="G11" s="30" t="n"/>
      <c r="H11" s="31" t="n"/>
      <c r="I11" s="32" t="n"/>
      <c r="J11" s="32" t="n"/>
      <c r="K11" s="29">
        <f>IF(OR(I11="",J11=""),"",IF(J11=1,I11,ROUND(I11*(1+J11/30),1)))</f>
        <v/>
      </c>
      <c r="L11" s="33">
        <f>IF(K11="","",IF(K11&gt;=PRs!C51,"PR!",""))</f>
        <v/>
      </c>
      <c r="M11" s="32" t="n"/>
      <c r="N11" s="34" t="inlineStr">
        <is>
          <t>Leave 1-2 reps in the tank; add weight when you hit the top of the range</t>
        </is>
      </c>
    </row>
    <row r="12">
      <c r="A12" s="26" t="inlineStr">
        <is>
          <t>Day 2 - Light</t>
        </is>
      </c>
      <c r="B12" s="27">
        <f>'Start Here'!$B$7+114</f>
        <v/>
      </c>
      <c r="C12" s="28" t="inlineStr">
        <is>
          <t>Broad Jump</t>
        </is>
      </c>
      <c r="D12" s="29" t="n">
        <v>4</v>
      </c>
      <c r="E12" s="29" t="inlineStr">
        <is>
          <t>3</t>
        </is>
      </c>
      <c r="F12" s="29" t="n"/>
      <c r="G12" s="30" t="n"/>
      <c r="H12" s="31" t="n"/>
      <c r="I12" s="32" t="n"/>
      <c r="J12" s="32" t="n"/>
      <c r="K12" s="29" t="n"/>
      <c r="L12" s="33">
        <f>IF(I12="","",IF(I12&gt;=PRs!D70,"PR!",""))</f>
        <v/>
      </c>
      <c r="M12" s="32" t="n"/>
      <c r="N12" s="34" t="inlineStr">
        <is>
          <t>Two-foot jump for distance, stick the landing. Full reset between reps. Log your best distance</t>
        </is>
      </c>
    </row>
    <row r="13">
      <c r="A13" s="26" t="inlineStr">
        <is>
          <t>Day 2 - Light</t>
        </is>
      </c>
      <c r="B13" s="27">
        <f>'Start Here'!$B$7+114</f>
        <v/>
      </c>
      <c r="C13" s="31" t="inlineStr">
        <is>
          <t>Clean &amp; Jerk</t>
        </is>
      </c>
      <c r="D13" s="29" t="n">
        <v>4</v>
      </c>
      <c r="E13" s="29" t="inlineStr">
        <is>
          <t>3</t>
        </is>
      </c>
      <c r="F13" s="29" t="n">
        <v>77.5</v>
      </c>
      <c r="G13" s="30">
        <f>Maxes!F7</f>
        <v/>
      </c>
      <c r="H13" s="31">
        <f>IF(OR(G13="",F13=""),"",MROUND(G13*F13/100,'Start Here'!$B$6))</f>
        <v/>
      </c>
      <c r="I13" s="32" t="n"/>
      <c r="J13" s="32" t="n"/>
      <c r="K13" s="29">
        <f>IF(OR(I13="",J13=""),"",IF(J13=1,I13,ROUND(I13*(1+J13/30),1)))</f>
        <v/>
      </c>
      <c r="L13" s="33">
        <f>IF(K13="","",IF(K13&gt;=PRs!C7,"PR!",""))</f>
        <v/>
      </c>
      <c r="M13" s="32" t="n"/>
      <c r="N13" s="34" t="inlineStr"/>
    </row>
    <row r="14">
      <c r="A14" s="26" t="inlineStr">
        <is>
          <t>Day 2 - Light</t>
        </is>
      </c>
      <c r="B14" s="27">
        <f>'Start Here'!$B$7+114</f>
        <v/>
      </c>
      <c r="C14" s="31" t="inlineStr">
        <is>
          <t>Squat</t>
        </is>
      </c>
      <c r="D14" s="29" t="n">
        <v>3</v>
      </c>
      <c r="E14" s="29" t="inlineStr">
        <is>
          <t>6</t>
        </is>
      </c>
      <c r="F14" s="29" t="n">
        <v>65</v>
      </c>
      <c r="G14" s="30">
        <f>Maxes!F2</f>
        <v/>
      </c>
      <c r="H14" s="31">
        <f>IF(OR(G14="",F14=""),"",MROUND(G14*F14/100,'Start Here'!$B$6))</f>
        <v/>
      </c>
      <c r="I14" s="32" t="n"/>
      <c r="J14" s="32" t="n"/>
      <c r="K14" s="29">
        <f>IF(OR(I14="",J14=""),"",IF(J14=1,I14,ROUND(I14*(1+J14/30),1)))</f>
        <v/>
      </c>
      <c r="L14" s="33">
        <f>IF(K14="","",IF(K14&gt;=PRs!C2,"PR!",""))</f>
        <v/>
      </c>
      <c r="M14" s="32" t="n"/>
      <c r="N14" s="34" t="inlineStr"/>
    </row>
    <row r="15">
      <c r="A15" s="26" t="inlineStr">
        <is>
          <t>Day 2 - Light</t>
        </is>
      </c>
      <c r="B15" s="27">
        <f>'Start Here'!$B$7+114</f>
        <v/>
      </c>
      <c r="C15" s="31" t="inlineStr">
        <is>
          <t>Overhead Press</t>
        </is>
      </c>
      <c r="D15" s="29" t="n">
        <v>3</v>
      </c>
      <c r="E15" s="29" t="inlineStr">
        <is>
          <t>6</t>
        </is>
      </c>
      <c r="F15" s="29" t="n">
        <v>72.5</v>
      </c>
      <c r="G15" s="30">
        <f>Maxes!F5</f>
        <v/>
      </c>
      <c r="H15" s="31">
        <f>IF(OR(G15="",F15=""),"",MROUND(G15*F15/100,'Start Here'!$B$6))</f>
        <v/>
      </c>
      <c r="I15" s="32" t="n"/>
      <c r="J15" s="32" t="n"/>
      <c r="K15" s="29">
        <f>IF(OR(I15="",J15=""),"",IF(J15=1,I15,ROUND(I15*(1+J15/30),1)))</f>
        <v/>
      </c>
      <c r="L15" s="33">
        <f>IF(K15="","",IF(K15&gt;=PRs!C5,"PR!",""))</f>
        <v/>
      </c>
      <c r="M15" s="32" t="n"/>
      <c r="N15" s="34" t="inlineStr"/>
    </row>
    <row r="16">
      <c r="A16" s="26" t="inlineStr">
        <is>
          <t>Day 2 - Light</t>
        </is>
      </c>
      <c r="B16" s="27">
        <f>'Start Here'!$B$7+114</f>
        <v/>
      </c>
      <c r="C16" s="31" t="inlineStr">
        <is>
          <t>Deadlift</t>
        </is>
      </c>
      <c r="D16" s="29" t="n">
        <v>3</v>
      </c>
      <c r="E16" s="29" t="inlineStr">
        <is>
          <t>6</t>
        </is>
      </c>
      <c r="F16" s="29" t="n">
        <v>72.5</v>
      </c>
      <c r="G16" s="30">
        <f>Maxes!F4</f>
        <v/>
      </c>
      <c r="H16" s="31">
        <f>IF(OR(G16="",F16=""),"",MROUND(G16*F16/100,'Start Here'!$B$6))</f>
        <v/>
      </c>
      <c r="I16" s="32" t="n"/>
      <c r="J16" s="32" t="n"/>
      <c r="K16" s="29">
        <f>IF(OR(I16="",J16=""),"",IF(J16=1,I16,ROUND(I16*(1+J16/30),1)))</f>
        <v/>
      </c>
      <c r="L16" s="33">
        <f>IF(K16="","",IF(K16&gt;=PRs!C4,"PR!",""))</f>
        <v/>
      </c>
      <c r="M16" s="32" t="n"/>
      <c r="N16" s="34" t="inlineStr"/>
    </row>
    <row r="17">
      <c r="A17" s="26" t="inlineStr">
        <is>
          <t>Day 2 - Light</t>
        </is>
      </c>
      <c r="B17" s="27">
        <f>'Start Here'!$B$7+114</f>
        <v/>
      </c>
      <c r="C17" s="29" t="inlineStr">
        <is>
          <t>Chin-up</t>
        </is>
      </c>
      <c r="D17" s="29" t="n">
        <v>3</v>
      </c>
      <c r="E17" s="29" t="inlineStr">
        <is>
          <t>6-10</t>
        </is>
      </c>
      <c r="F17" s="29" t="n"/>
      <c r="G17" s="30" t="n"/>
      <c r="H17" s="31" t="n"/>
      <c r="I17" s="32" t="n"/>
      <c r="J17" s="32" t="n"/>
      <c r="K17" s="29">
        <f>IF(OR(I17="",J17=""),"",IF(J17=1,I17,ROUND(I17*(1+J17/30),1)))</f>
        <v/>
      </c>
      <c r="L17" s="33">
        <f>IF(K17="","",IF(K17&gt;=PRs!C53,"PR!",""))</f>
        <v/>
      </c>
      <c r="M17" s="32" t="n"/>
      <c r="N17" s="34" t="inlineStr">
        <is>
          <t>Leave 1-2 reps in the tank; add weight when you hit the top of the range</t>
        </is>
      </c>
    </row>
    <row r="18">
      <c r="A18" s="26" t="inlineStr">
        <is>
          <t>Day 2 - Light</t>
        </is>
      </c>
      <c r="B18" s="27">
        <f>'Start Here'!$B$7+114</f>
        <v/>
      </c>
      <c r="C18" s="29" t="inlineStr">
        <is>
          <t>Plank</t>
        </is>
      </c>
      <c r="D18" s="29" t="n">
        <v>3</v>
      </c>
      <c r="E18" s="29" t="inlineStr">
        <is>
          <t>30-60s</t>
        </is>
      </c>
      <c r="F18" s="29" t="n"/>
      <c r="G18" s="30" t="n"/>
      <c r="H18" s="31" t="n"/>
      <c r="I18" s="32" t="n"/>
      <c r="J18" s="32" t="n"/>
      <c r="K18" s="29">
        <f>IF(OR(I18="",J18=""),"",IF(J18=1,I18,ROUND(I18*(1+J18/30),1)))</f>
        <v/>
      </c>
      <c r="L18" s="33">
        <f>IF(K18="","",IF(K18&gt;=PRs!C56,"PR!",""))</f>
        <v/>
      </c>
      <c r="M18" s="32" t="n"/>
      <c r="N18" s="34" t="inlineStr">
        <is>
          <t>Leave 1-2 reps in the tank; add weight when you hit the top of the range</t>
        </is>
      </c>
    </row>
    <row r="19">
      <c r="A19" s="26" t="inlineStr">
        <is>
          <t>Day 3 - Variations</t>
        </is>
      </c>
      <c r="B19" s="27">
        <f>'Start Here'!$B$7+116</f>
        <v/>
      </c>
      <c r="C19" s="28" t="inlineStr">
        <is>
          <t>Box Jump</t>
        </is>
      </c>
      <c r="D19" s="29" t="n">
        <v>4</v>
      </c>
      <c r="E19" s="29" t="inlineStr">
        <is>
          <t>3</t>
        </is>
      </c>
      <c r="F19" s="29" t="n"/>
      <c r="G19" s="30" t="n"/>
      <c r="H19" s="31">
        <f>IFERROR(IF(PRs!D69&lt;'Start Here'!$H$15,'Start Here'!$H$15,IF(PRs!D69&lt;'Start Here'!$H$16,'Start Here'!$H$16,IF(PRs!D69&lt;'Start Here'!$H$17,'Start Here'!$H$17,IF(PRs!D69&lt;'Start Here'!$H$18,'Start Here'!$H$18,"Elite!")))),"")</f>
        <v/>
      </c>
      <c r="I19" s="32" t="n"/>
      <c r="J19" s="32" t="n"/>
      <c r="K19" s="29" t="n"/>
      <c r="L19" s="33">
        <f>IF(I19="","",IF(I19&gt;=PRs!D69,"PR!",""))</f>
        <v/>
      </c>
      <c r="M19" s="32" t="n"/>
      <c r="N19" s="34" t="inlineStr">
        <is>
          <t>Explode up, land softly, STEP down. Full reset between reps. Log your box height; check the standards</t>
        </is>
      </c>
    </row>
    <row r="20">
      <c r="A20" s="26" t="inlineStr">
        <is>
          <t>Day 3 - Variations</t>
        </is>
      </c>
      <c r="B20" s="27">
        <f>'Start Here'!$B$7+116</f>
        <v/>
      </c>
      <c r="C20" s="31" t="inlineStr">
        <is>
          <t>Snatch Balance</t>
        </is>
      </c>
      <c r="D20" s="29" t="n">
        <v>4</v>
      </c>
      <c r="E20" s="29" t="inlineStr">
        <is>
          <t>3</t>
        </is>
      </c>
      <c r="F20" s="29" t="n">
        <v>72.5</v>
      </c>
      <c r="G20" s="30">
        <f>Maxes!F38</f>
        <v/>
      </c>
      <c r="H20" s="31">
        <f>IF(OR(G20="",F20=""),"",MROUND(G20*F20/100,'Start Here'!$B$6))</f>
        <v/>
      </c>
      <c r="I20" s="32" t="n"/>
      <c r="J20" s="32" t="n"/>
      <c r="K20" s="29">
        <f>IF(OR(I20="",J20=""),"",IF(J20=1,I20,ROUND(I20*(1+J20/30),1)))</f>
        <v/>
      </c>
      <c r="L20" s="33">
        <f>IF(K20="","",IF(K20&gt;=PRs!C38,"PR!",""))</f>
        <v/>
      </c>
      <c r="M20" s="32" t="n"/>
      <c r="N20" s="34" t="inlineStr"/>
    </row>
    <row r="21">
      <c r="A21" s="26" t="inlineStr">
        <is>
          <t>Day 3 - Variations</t>
        </is>
      </c>
      <c r="B21" s="27">
        <f>'Start Here'!$B$7+116</f>
        <v/>
      </c>
      <c r="C21" s="31" t="inlineStr">
        <is>
          <t>Pin Squat</t>
        </is>
      </c>
      <c r="D21" s="29" t="n">
        <v>3</v>
      </c>
      <c r="E21" s="29" t="inlineStr">
        <is>
          <t>6</t>
        </is>
      </c>
      <c r="F21" s="29" t="n">
        <v>72.5</v>
      </c>
      <c r="G21" s="30">
        <f>Maxes!F12</f>
        <v/>
      </c>
      <c r="H21" s="31">
        <f>IF(OR(G21="",F21=""),"",MROUND(G21*F21/100,'Start Here'!$B$6))</f>
        <v/>
      </c>
      <c r="I21" s="32" t="n"/>
      <c r="J21" s="32" t="n"/>
      <c r="K21" s="29">
        <f>IF(OR(I21="",J21=""),"",IF(J21=1,I21,ROUND(I21*(1+J21/30),1)))</f>
        <v/>
      </c>
      <c r="L21" s="33">
        <f>IF(K21="","",IF(K21&gt;=PRs!C12,"PR!",""))</f>
        <v/>
      </c>
      <c r="M21" s="32" t="n"/>
      <c r="N21" s="34" t="inlineStr"/>
    </row>
    <row r="22">
      <c r="A22" s="26" t="inlineStr">
        <is>
          <t>Day 3 - Variations</t>
        </is>
      </c>
      <c r="B22" s="27">
        <f>'Start Here'!$B$7+116</f>
        <v/>
      </c>
      <c r="C22" s="31" t="inlineStr">
        <is>
          <t>Floor Press</t>
        </is>
      </c>
      <c r="D22" s="29" t="n">
        <v>3</v>
      </c>
      <c r="E22" s="29" t="inlineStr">
        <is>
          <t>6</t>
        </is>
      </c>
      <c r="F22" s="29" t="n">
        <v>72.5</v>
      </c>
      <c r="G22" s="30">
        <f>Maxes!F19</f>
        <v/>
      </c>
      <c r="H22" s="31">
        <f>IF(OR(G22="",F22=""),"",MROUND(G22*F22/100,'Start Here'!$B$6))</f>
        <v/>
      </c>
      <c r="I22" s="32" t="n"/>
      <c r="J22" s="32" t="n"/>
      <c r="K22" s="29">
        <f>IF(OR(I22="",J22=""),"",IF(J22=1,I22,ROUND(I22*(1+J22/30),1)))</f>
        <v/>
      </c>
      <c r="L22" s="33">
        <f>IF(K22="","",IF(K22&gt;=PRs!C19,"PR!",""))</f>
        <v/>
      </c>
      <c r="M22" s="32" t="n"/>
      <c r="N22" s="34" t="inlineStr"/>
    </row>
    <row r="23">
      <c r="A23" s="26" t="inlineStr">
        <is>
          <t>Day 3 - Variations</t>
        </is>
      </c>
      <c r="B23" s="27">
        <f>'Start Here'!$B$7+116</f>
        <v/>
      </c>
      <c r="C23" s="31" t="inlineStr">
        <is>
          <t>Romanian Deadlift</t>
        </is>
      </c>
      <c r="D23" s="29" t="n">
        <v>3</v>
      </c>
      <c r="E23" s="29" t="inlineStr">
        <is>
          <t>6</t>
        </is>
      </c>
      <c r="F23" s="29" t="n">
        <v>65</v>
      </c>
      <c r="G23" s="30">
        <f>Maxes!F23</f>
        <v/>
      </c>
      <c r="H23" s="31">
        <f>IF(OR(G23="",F23=""),"",MROUND(G23*F23/100,'Start Here'!$B$6))</f>
        <v/>
      </c>
      <c r="I23" s="32" t="n"/>
      <c r="J23" s="32" t="n"/>
      <c r="K23" s="29">
        <f>IF(OR(I23="",J23=""),"",IF(J23=1,I23,ROUND(I23*(1+J23/30),1)))</f>
        <v/>
      </c>
      <c r="L23" s="33">
        <f>IF(K23="","",IF(K23&gt;=PRs!C23,"PR!",""))</f>
        <v/>
      </c>
      <c r="M23" s="32" t="n"/>
      <c r="N23" s="34" t="inlineStr"/>
    </row>
    <row r="24">
      <c r="A24" s="26" t="inlineStr">
        <is>
          <t>Day 3 - Variations</t>
        </is>
      </c>
      <c r="B24" s="27">
        <f>'Start Here'!$B$7+116</f>
        <v/>
      </c>
      <c r="C24" s="29" t="inlineStr">
        <is>
          <t>Incline Dumbbell Press</t>
        </is>
      </c>
      <c r="D24" s="29" t="n">
        <v>3</v>
      </c>
      <c r="E24" s="29" t="inlineStr">
        <is>
          <t>8-12</t>
        </is>
      </c>
      <c r="F24" s="29" t="n"/>
      <c r="G24" s="30" t="n"/>
      <c r="H24" s="31" t="n"/>
      <c r="I24" s="32" t="n"/>
      <c r="J24" s="32" t="n"/>
      <c r="K24" s="29">
        <f>IF(OR(I24="",J24=""),"",IF(J24=1,I24,ROUND(I24*(1+J24/30),1)))</f>
        <v/>
      </c>
      <c r="L24" s="33">
        <f>IF(K24="","",IF(K24&gt;=PRs!C57,"PR!",""))</f>
        <v/>
      </c>
      <c r="M24" s="32" t="n"/>
      <c r="N24" s="34" t="inlineStr">
        <is>
          <t>Leave 1-2 reps in the tank; add weight when you hit the top of the range</t>
        </is>
      </c>
    </row>
    <row r="25">
      <c r="A25" s="26" t="inlineStr">
        <is>
          <t>Day 3 - Variations</t>
        </is>
      </c>
      <c r="B25" s="27">
        <f>'Start Here'!$B$7+116</f>
        <v/>
      </c>
      <c r="C25" s="29" t="inlineStr">
        <is>
          <t>Triceps Pushdown</t>
        </is>
      </c>
      <c r="D25" s="29" t="n">
        <v>3</v>
      </c>
      <c r="E25" s="29" t="inlineStr">
        <is>
          <t>10-15</t>
        </is>
      </c>
      <c r="F25" s="29" t="n"/>
      <c r="G25" s="30" t="n"/>
      <c r="H25" s="31" t="n"/>
      <c r="I25" s="32" t="n"/>
      <c r="J25" s="32" t="n"/>
      <c r="K25" s="29">
        <f>IF(OR(I25="",J25=""),"",IF(J25=1,I25,ROUND(I25*(1+J25/30),1)))</f>
        <v/>
      </c>
      <c r="L25" s="33">
        <f>IF(K25="","",IF(K25&gt;=PRs!C59,"PR!",""))</f>
        <v/>
      </c>
      <c r="M25" s="32" t="n"/>
      <c r="N25" s="34" t="inlineStr">
        <is>
          <t>Leave 1-2 reps in the tank; add weight when you hit the top of the range</t>
        </is>
      </c>
    </row>
  </sheetData>
  <hyperlinks>
    <hyperlink xmlns:r="http://schemas.openxmlformats.org/officeDocument/2006/relationships" ref="A2" r:id="rId1"/>
    <hyperlink xmlns:r="http://schemas.openxmlformats.org/officeDocument/2006/relationships" ref="C2" r:id="rId2"/>
    <hyperlink xmlns:r="http://schemas.openxmlformats.org/officeDocument/2006/relationships" ref="E2" r:id="rId3"/>
  </hyperlinks>
  <pageMargins left="0.75" right="0.75" top="1" bottom="1" header="0.5" footer="0.5"/>
  <pageSetup orientation="landscape" fitToHeight="0" fitToWidth="1"/>
</worksheet>
</file>

<file path=xl/worksheets/sheet20.xml><?xml version="1.0" encoding="utf-8"?>
<worksheet xmlns="http://schemas.openxmlformats.org/spreadsheetml/2006/main">
  <sheetPr>
    <tabColor rgb="00FCE9D2"/>
    <outlinePr summaryBelow="1" summaryRight="1"/>
    <pageSetUpPr fitToPage="1"/>
  </sheetPr>
  <dimension ref="A1:N25"/>
  <sheetViews>
    <sheetView workbookViewId="0">
      <pane xSplit="3" ySplit="5" topLeftCell="D6" activePane="bottomRight" state="frozen"/>
      <selection pane="topRight"/>
      <selection pane="bottomLeft"/>
      <selection pane="bottomRight" activeCell="A1" sqref="A1"/>
    </sheetView>
  </sheetViews>
  <sheetFormatPr baseColWidth="8" defaultRowHeight="15"/>
  <cols>
    <col width="17" customWidth="1" min="1" max="1"/>
    <col width="11" customWidth="1" min="2" max="2"/>
    <col width="24" customWidth="1" min="3" max="3"/>
    <col width="5" customWidth="1" min="4" max="4"/>
    <col width="6" customWidth="1" min="5" max="5"/>
    <col width="6" customWidth="1" min="6" max="6"/>
    <col width="9" customWidth="1" min="7" max="7"/>
    <col width="10" customWidth="1" min="8" max="8"/>
    <col width="13" customWidth="1" min="9" max="9"/>
    <col width="8" customWidth="1" min="10" max="10"/>
    <col width="9" customWidth="1" min="11" max="11"/>
    <col width="5" customWidth="1" min="12" max="12"/>
    <col width="22" customWidth="1" min="13" max="13"/>
    <col width="62" customWidth="1" min="14" max="14"/>
  </cols>
  <sheetData>
    <row r="1">
      <c r="A1" s="24" t="inlineStr">
        <is>
          <t>Week 18 - Cycle 2 - Transmutation</t>
        </is>
      </c>
    </row>
    <row r="2">
      <c r="A2" s="25" t="inlineStr">
        <is>
          <t>&lt; Week 17</t>
        </is>
      </c>
      <c r="C2" s="25" t="inlineStr">
        <is>
          <t>Start Here</t>
        </is>
      </c>
      <c r="E2" s="25" t="inlineStr">
        <is>
          <t>Week 19 &gt;</t>
        </is>
      </c>
    </row>
    <row r="3">
      <c r="A3" s="10" t="inlineStr">
        <is>
          <t>Bodyweight this week</t>
        </is>
      </c>
      <c r="C3" s="4" t="n"/>
      <c r="D3" t="inlineStr">
        <is>
          <t>Weigh in once this week: same morning routine, before eating.</t>
        </is>
      </c>
    </row>
    <row r="4">
      <c r="A4" s="35" t="inlineStr">
        <is>
          <t>Body fat test due this week (month 5) - enter it on the Body sheet</t>
        </is>
      </c>
    </row>
    <row r="5">
      <c r="A5" s="5" t="inlineStr">
        <is>
          <t>Day</t>
        </is>
      </c>
      <c r="B5" s="5" t="inlineStr">
        <is>
          <t>Date</t>
        </is>
      </c>
      <c r="C5" s="5" t="inlineStr">
        <is>
          <t>Exercise</t>
        </is>
      </c>
      <c r="D5" s="5" t="inlineStr">
        <is>
          <t>Sets</t>
        </is>
      </c>
      <c r="E5" s="5" t="inlineStr">
        <is>
          <t>Reps</t>
        </is>
      </c>
      <c r="F5" s="5" t="inlineStr">
        <is>
          <t>% TM</t>
        </is>
      </c>
      <c r="G5" s="5" t="inlineStr">
        <is>
          <t>Training max</t>
        </is>
      </c>
      <c r="H5" s="5" t="inlineStr">
        <is>
          <t>Weight / target</t>
        </is>
      </c>
      <c r="I5" s="5" t="inlineStr">
        <is>
          <t>Actual (weight, height or distance)</t>
        </is>
      </c>
      <c r="J5" s="5" t="inlineStr">
        <is>
          <t>Actual reps</t>
        </is>
      </c>
      <c r="K5" s="5" t="inlineStr">
        <is>
          <t>Est. 1RM</t>
        </is>
      </c>
      <c r="L5" s="5" t="inlineStr">
        <is>
          <t>PR</t>
        </is>
      </c>
      <c r="M5" s="5" t="inlineStr">
        <is>
          <t>Notes</t>
        </is>
      </c>
      <c r="N5" s="5" t="inlineStr">
        <is>
          <t>Guidance</t>
        </is>
      </c>
    </row>
    <row r="6">
      <c r="A6" s="26" t="inlineStr">
        <is>
          <t>Day 1 - Heavy</t>
        </is>
      </c>
      <c r="B6" s="27">
        <f>'Start Here'!$B$7+119</f>
        <v/>
      </c>
      <c r="C6" s="28" t="inlineStr">
        <is>
          <t>Box Jump</t>
        </is>
      </c>
      <c r="D6" s="29" t="n">
        <v>4</v>
      </c>
      <c r="E6" s="29" t="inlineStr">
        <is>
          <t>3</t>
        </is>
      </c>
      <c r="F6" s="29" t="n"/>
      <c r="G6" s="30" t="n"/>
      <c r="H6" s="31">
        <f>IFERROR(IF(PRs!D69&lt;'Start Here'!$H$15,'Start Here'!$H$15,IF(PRs!D69&lt;'Start Here'!$H$16,'Start Here'!$H$16,IF(PRs!D69&lt;'Start Here'!$H$17,'Start Here'!$H$17,IF(PRs!D69&lt;'Start Here'!$H$18,'Start Here'!$H$18,"Elite!")))),"")</f>
        <v/>
      </c>
      <c r="I6" s="32" t="n"/>
      <c r="J6" s="32" t="n"/>
      <c r="K6" s="29" t="n"/>
      <c r="L6" s="33">
        <f>IF(I6="","",IF(I6&gt;=PRs!D69,"PR!",""))</f>
        <v/>
      </c>
      <c r="M6" s="32" t="n"/>
      <c r="N6" s="34" t="inlineStr">
        <is>
          <t>Explode up, land softly, STEP down. Full reset between reps. Log your box height; check the standards</t>
        </is>
      </c>
    </row>
    <row r="7">
      <c r="A7" s="26" t="inlineStr">
        <is>
          <t>Day 1 - Heavy</t>
        </is>
      </c>
      <c r="B7" s="27">
        <f>'Start Here'!$B$7+119</f>
        <v/>
      </c>
      <c r="C7" s="31" t="inlineStr">
        <is>
          <t>Snatch</t>
        </is>
      </c>
      <c r="D7" s="29" t="n">
        <v>5</v>
      </c>
      <c r="E7" s="29" t="inlineStr">
        <is>
          <t>2</t>
        </is>
      </c>
      <c r="F7" s="29" t="n">
        <v>80</v>
      </c>
      <c r="G7" s="30">
        <f>Maxes!F6</f>
        <v/>
      </c>
      <c r="H7" s="31">
        <f>IF(OR(G7="",F7=""),"",MROUND(G7*F7/100,'Start Here'!$B$6))</f>
        <v/>
      </c>
      <c r="I7" s="32" t="n"/>
      <c r="J7" s="32" t="n"/>
      <c r="K7" s="29">
        <f>IF(OR(I7="",J7=""),"",IF(J7=1,I7,ROUND(I7*(1+J7/30),1)))</f>
        <v/>
      </c>
      <c r="L7" s="33">
        <f>IF(K7="","",IF(K7&gt;=PRs!C6,"PR!",""))</f>
        <v/>
      </c>
      <c r="M7" s="32" t="n"/>
      <c r="N7" s="34" t="inlineStr"/>
    </row>
    <row r="8">
      <c r="A8" s="26" t="inlineStr">
        <is>
          <t>Day 1 - Heavy</t>
        </is>
      </c>
      <c r="B8" s="27">
        <f>'Start Here'!$B$7+119</f>
        <v/>
      </c>
      <c r="C8" s="31" t="inlineStr">
        <is>
          <t>Squat</t>
        </is>
      </c>
      <c r="D8" s="29" t="n">
        <v>4</v>
      </c>
      <c r="E8" s="29" t="inlineStr">
        <is>
          <t>4</t>
        </is>
      </c>
      <c r="F8" s="29" t="n">
        <v>80</v>
      </c>
      <c r="G8" s="30">
        <f>Maxes!F2</f>
        <v/>
      </c>
      <c r="H8" s="31">
        <f>IF(OR(G8="",F8=""),"",MROUND(G8*F8/100,'Start Here'!$B$6))</f>
        <v/>
      </c>
      <c r="I8" s="32" t="n"/>
      <c r="J8" s="32" t="n"/>
      <c r="K8" s="29">
        <f>IF(OR(I8="",J8=""),"",IF(J8=1,I8,ROUND(I8*(1+J8/30),1)))</f>
        <v/>
      </c>
      <c r="L8" s="33">
        <f>IF(K8="","",IF(K8&gt;=PRs!C2,"PR!",""))</f>
        <v/>
      </c>
      <c r="M8" s="32" t="n"/>
      <c r="N8" s="34" t="inlineStr"/>
    </row>
    <row r="9">
      <c r="A9" s="26" t="inlineStr">
        <is>
          <t>Day 1 - Heavy</t>
        </is>
      </c>
      <c r="B9" s="27">
        <f>'Start Here'!$B$7+119</f>
        <v/>
      </c>
      <c r="C9" s="31" t="inlineStr">
        <is>
          <t>Bench Press</t>
        </is>
      </c>
      <c r="D9" s="29" t="n">
        <v>4</v>
      </c>
      <c r="E9" s="29" t="inlineStr">
        <is>
          <t>4</t>
        </is>
      </c>
      <c r="F9" s="29" t="n">
        <v>80</v>
      </c>
      <c r="G9" s="30">
        <f>Maxes!F3</f>
        <v/>
      </c>
      <c r="H9" s="31">
        <f>IF(OR(G9="",F9=""),"",MROUND(G9*F9/100,'Start Here'!$B$6))</f>
        <v/>
      </c>
      <c r="I9" s="32" t="n"/>
      <c r="J9" s="32" t="n"/>
      <c r="K9" s="29">
        <f>IF(OR(I9="",J9=""),"",IF(J9=1,I9,ROUND(I9*(1+J9/30),1)))</f>
        <v/>
      </c>
      <c r="L9" s="33">
        <f>IF(K9="","",IF(K9&gt;=PRs!C3,"PR!",""))</f>
        <v/>
      </c>
      <c r="M9" s="32" t="n"/>
      <c r="N9" s="34" t="inlineStr"/>
    </row>
    <row r="10">
      <c r="A10" s="26" t="inlineStr">
        <is>
          <t>Day 1 - Heavy</t>
        </is>
      </c>
      <c r="B10" s="27">
        <f>'Start Here'!$B$7+119</f>
        <v/>
      </c>
      <c r="C10" s="29" t="inlineStr">
        <is>
          <t>Barbell Row</t>
        </is>
      </c>
      <c r="D10" s="29" t="n">
        <v>3</v>
      </c>
      <c r="E10" s="29" t="inlineStr">
        <is>
          <t>8-10</t>
        </is>
      </c>
      <c r="F10" s="29" t="n"/>
      <c r="G10" s="30" t="n"/>
      <c r="H10" s="31" t="n"/>
      <c r="I10" s="32" t="n"/>
      <c r="J10" s="32" t="n"/>
      <c r="K10" s="29">
        <f>IF(OR(I10="",J10=""),"",IF(J10=1,I10,ROUND(I10*(1+J10/30),1)))</f>
        <v/>
      </c>
      <c r="L10" s="33">
        <f>IF(K10="","",IF(K10&gt;=PRs!C50,"PR!",""))</f>
        <v/>
      </c>
      <c r="M10" s="32" t="n"/>
      <c r="N10" s="34" t="inlineStr">
        <is>
          <t>Leave 1-2 reps in the tank; add weight when you hit the top of the range</t>
        </is>
      </c>
    </row>
    <row r="11">
      <c r="A11" s="26" t="inlineStr">
        <is>
          <t>Day 1 - Heavy</t>
        </is>
      </c>
      <c r="B11" s="27">
        <f>'Start Here'!$B$7+119</f>
        <v/>
      </c>
      <c r="C11" s="29" t="inlineStr">
        <is>
          <t>Face Pull</t>
        </is>
      </c>
      <c r="D11" s="29" t="n">
        <v>3</v>
      </c>
      <c r="E11" s="29" t="inlineStr">
        <is>
          <t>12-15</t>
        </is>
      </c>
      <c r="F11" s="29" t="n"/>
      <c r="G11" s="30" t="n"/>
      <c r="H11" s="31" t="n"/>
      <c r="I11" s="32" t="n"/>
      <c r="J11" s="32" t="n"/>
      <c r="K11" s="29">
        <f>IF(OR(I11="",J11=""),"",IF(J11=1,I11,ROUND(I11*(1+J11/30),1)))</f>
        <v/>
      </c>
      <c r="L11" s="33">
        <f>IF(K11="","",IF(K11&gt;=PRs!C51,"PR!",""))</f>
        <v/>
      </c>
      <c r="M11" s="32" t="n"/>
      <c r="N11" s="34" t="inlineStr">
        <is>
          <t>Leave 1-2 reps in the tank; add weight when you hit the top of the range</t>
        </is>
      </c>
    </row>
    <row r="12">
      <c r="A12" s="26" t="inlineStr">
        <is>
          <t>Day 2 - Light</t>
        </is>
      </c>
      <c r="B12" s="27">
        <f>'Start Here'!$B$7+121</f>
        <v/>
      </c>
      <c r="C12" s="28" t="inlineStr">
        <is>
          <t>Broad Jump</t>
        </is>
      </c>
      <c r="D12" s="29" t="n">
        <v>4</v>
      </c>
      <c r="E12" s="29" t="inlineStr">
        <is>
          <t>3</t>
        </is>
      </c>
      <c r="F12" s="29" t="n"/>
      <c r="G12" s="30" t="n"/>
      <c r="H12" s="31" t="n"/>
      <c r="I12" s="32" t="n"/>
      <c r="J12" s="32" t="n"/>
      <c r="K12" s="29" t="n"/>
      <c r="L12" s="33">
        <f>IF(I12="","",IF(I12&gt;=PRs!D70,"PR!",""))</f>
        <v/>
      </c>
      <c r="M12" s="32" t="n"/>
      <c r="N12" s="34" t="inlineStr">
        <is>
          <t>Two-foot jump for distance, stick the landing. Full reset between reps. Log your best distance</t>
        </is>
      </c>
    </row>
    <row r="13">
      <c r="A13" s="26" t="inlineStr">
        <is>
          <t>Day 2 - Light</t>
        </is>
      </c>
      <c r="B13" s="27">
        <f>'Start Here'!$B$7+121</f>
        <v/>
      </c>
      <c r="C13" s="31" t="inlineStr">
        <is>
          <t>Clean &amp; Jerk</t>
        </is>
      </c>
      <c r="D13" s="29" t="n">
        <v>5</v>
      </c>
      <c r="E13" s="29" t="inlineStr">
        <is>
          <t>2</t>
        </is>
      </c>
      <c r="F13" s="29" t="n">
        <v>80</v>
      </c>
      <c r="G13" s="30">
        <f>Maxes!F7</f>
        <v/>
      </c>
      <c r="H13" s="31">
        <f>IF(OR(G13="",F13=""),"",MROUND(G13*F13/100,'Start Here'!$B$6))</f>
        <v/>
      </c>
      <c r="I13" s="32" t="n"/>
      <c r="J13" s="32" t="n"/>
      <c r="K13" s="29">
        <f>IF(OR(I13="",J13=""),"",IF(J13=1,I13,ROUND(I13*(1+J13/30),1)))</f>
        <v/>
      </c>
      <c r="L13" s="33">
        <f>IF(K13="","",IF(K13&gt;=PRs!C7,"PR!",""))</f>
        <v/>
      </c>
      <c r="M13" s="32" t="n"/>
      <c r="N13" s="34" t="inlineStr"/>
    </row>
    <row r="14">
      <c r="A14" s="26" t="inlineStr">
        <is>
          <t>Day 2 - Light</t>
        </is>
      </c>
      <c r="B14" s="27">
        <f>'Start Here'!$B$7+121</f>
        <v/>
      </c>
      <c r="C14" s="31" t="inlineStr">
        <is>
          <t>Squat</t>
        </is>
      </c>
      <c r="D14" s="29" t="n">
        <v>3</v>
      </c>
      <c r="E14" s="29" t="inlineStr">
        <is>
          <t>6</t>
        </is>
      </c>
      <c r="F14" s="29" t="n">
        <v>67.5</v>
      </c>
      <c r="G14" s="30">
        <f>Maxes!F2</f>
        <v/>
      </c>
      <c r="H14" s="31">
        <f>IF(OR(G14="",F14=""),"",MROUND(G14*F14/100,'Start Here'!$B$6))</f>
        <v/>
      </c>
      <c r="I14" s="32" t="n"/>
      <c r="J14" s="32" t="n"/>
      <c r="K14" s="29">
        <f>IF(OR(I14="",J14=""),"",IF(J14=1,I14,ROUND(I14*(1+J14/30),1)))</f>
        <v/>
      </c>
      <c r="L14" s="33">
        <f>IF(K14="","",IF(K14&gt;=PRs!C2,"PR!",""))</f>
        <v/>
      </c>
      <c r="M14" s="32" t="n"/>
      <c r="N14" s="34" t="inlineStr"/>
    </row>
    <row r="15">
      <c r="A15" s="26" t="inlineStr">
        <is>
          <t>Day 2 - Light</t>
        </is>
      </c>
      <c r="B15" s="27">
        <f>'Start Here'!$B$7+121</f>
        <v/>
      </c>
      <c r="C15" s="31" t="inlineStr">
        <is>
          <t>Overhead Press</t>
        </is>
      </c>
      <c r="D15" s="29" t="n">
        <v>3</v>
      </c>
      <c r="E15" s="29" t="inlineStr">
        <is>
          <t>6</t>
        </is>
      </c>
      <c r="F15" s="29" t="n">
        <v>75</v>
      </c>
      <c r="G15" s="30">
        <f>Maxes!F5</f>
        <v/>
      </c>
      <c r="H15" s="31">
        <f>IF(OR(G15="",F15=""),"",MROUND(G15*F15/100,'Start Here'!$B$6))</f>
        <v/>
      </c>
      <c r="I15" s="32" t="n"/>
      <c r="J15" s="32" t="n"/>
      <c r="K15" s="29">
        <f>IF(OR(I15="",J15=""),"",IF(J15=1,I15,ROUND(I15*(1+J15/30),1)))</f>
        <v/>
      </c>
      <c r="L15" s="33">
        <f>IF(K15="","",IF(K15&gt;=PRs!C5,"PR!",""))</f>
        <v/>
      </c>
      <c r="M15" s="32" t="n"/>
      <c r="N15" s="34" t="inlineStr"/>
    </row>
    <row r="16">
      <c r="A16" s="26" t="inlineStr">
        <is>
          <t>Day 2 - Light</t>
        </is>
      </c>
      <c r="B16" s="27">
        <f>'Start Here'!$B$7+121</f>
        <v/>
      </c>
      <c r="C16" s="31" t="inlineStr">
        <is>
          <t>Deadlift</t>
        </is>
      </c>
      <c r="D16" s="29" t="n">
        <v>3</v>
      </c>
      <c r="E16" s="29" t="inlineStr">
        <is>
          <t>6</t>
        </is>
      </c>
      <c r="F16" s="29" t="n">
        <v>75</v>
      </c>
      <c r="G16" s="30">
        <f>Maxes!F4</f>
        <v/>
      </c>
      <c r="H16" s="31">
        <f>IF(OR(G16="",F16=""),"",MROUND(G16*F16/100,'Start Here'!$B$6))</f>
        <v/>
      </c>
      <c r="I16" s="32" t="n"/>
      <c r="J16" s="32" t="n"/>
      <c r="K16" s="29">
        <f>IF(OR(I16="",J16=""),"",IF(J16=1,I16,ROUND(I16*(1+J16/30),1)))</f>
        <v/>
      </c>
      <c r="L16" s="33">
        <f>IF(K16="","",IF(K16&gt;=PRs!C4,"PR!",""))</f>
        <v/>
      </c>
      <c r="M16" s="32" t="n"/>
      <c r="N16" s="34" t="inlineStr"/>
    </row>
    <row r="17">
      <c r="A17" s="26" t="inlineStr">
        <is>
          <t>Day 2 - Light</t>
        </is>
      </c>
      <c r="B17" s="27">
        <f>'Start Here'!$B$7+121</f>
        <v/>
      </c>
      <c r="C17" s="29" t="inlineStr">
        <is>
          <t>Chin-up</t>
        </is>
      </c>
      <c r="D17" s="29" t="n">
        <v>3</v>
      </c>
      <c r="E17" s="29" t="inlineStr">
        <is>
          <t>6-10</t>
        </is>
      </c>
      <c r="F17" s="29" t="n"/>
      <c r="G17" s="30" t="n"/>
      <c r="H17" s="31" t="n"/>
      <c r="I17" s="32" t="n"/>
      <c r="J17" s="32" t="n"/>
      <c r="K17" s="29">
        <f>IF(OR(I17="",J17=""),"",IF(J17=1,I17,ROUND(I17*(1+J17/30),1)))</f>
        <v/>
      </c>
      <c r="L17" s="33">
        <f>IF(K17="","",IF(K17&gt;=PRs!C53,"PR!",""))</f>
        <v/>
      </c>
      <c r="M17" s="32" t="n"/>
      <c r="N17" s="34" t="inlineStr">
        <is>
          <t>Leave 1-2 reps in the tank; add weight when you hit the top of the range</t>
        </is>
      </c>
    </row>
    <row r="18">
      <c r="A18" s="26" t="inlineStr">
        <is>
          <t>Day 2 - Light</t>
        </is>
      </c>
      <c r="B18" s="27">
        <f>'Start Here'!$B$7+121</f>
        <v/>
      </c>
      <c r="C18" s="29" t="inlineStr">
        <is>
          <t>Plank</t>
        </is>
      </c>
      <c r="D18" s="29" t="n">
        <v>3</v>
      </c>
      <c r="E18" s="29" t="inlineStr">
        <is>
          <t>30-60s</t>
        </is>
      </c>
      <c r="F18" s="29" t="n"/>
      <c r="G18" s="30" t="n"/>
      <c r="H18" s="31" t="n"/>
      <c r="I18" s="32" t="n"/>
      <c r="J18" s="32" t="n"/>
      <c r="K18" s="29">
        <f>IF(OR(I18="",J18=""),"",IF(J18=1,I18,ROUND(I18*(1+J18/30),1)))</f>
        <v/>
      </c>
      <c r="L18" s="33">
        <f>IF(K18="","",IF(K18&gt;=PRs!C56,"PR!",""))</f>
        <v/>
      </c>
      <c r="M18" s="32" t="n"/>
      <c r="N18" s="34" t="inlineStr">
        <is>
          <t>Leave 1-2 reps in the tank; add weight when you hit the top of the range</t>
        </is>
      </c>
    </row>
    <row r="19">
      <c r="A19" s="26" t="inlineStr">
        <is>
          <t>Day 3 - Variations</t>
        </is>
      </c>
      <c r="B19" s="27">
        <f>'Start Here'!$B$7+123</f>
        <v/>
      </c>
      <c r="C19" s="28" t="inlineStr">
        <is>
          <t>Box Jump</t>
        </is>
      </c>
      <c r="D19" s="29" t="n">
        <v>4</v>
      </c>
      <c r="E19" s="29" t="inlineStr">
        <is>
          <t>3</t>
        </is>
      </c>
      <c r="F19" s="29" t="n"/>
      <c r="G19" s="30" t="n"/>
      <c r="H19" s="31">
        <f>IFERROR(IF(PRs!D69&lt;'Start Here'!$H$15,'Start Here'!$H$15,IF(PRs!D69&lt;'Start Here'!$H$16,'Start Here'!$H$16,IF(PRs!D69&lt;'Start Here'!$H$17,'Start Here'!$H$17,IF(PRs!D69&lt;'Start Here'!$H$18,'Start Here'!$H$18,"Elite!")))),"")</f>
        <v/>
      </c>
      <c r="I19" s="32" t="n"/>
      <c r="J19" s="32" t="n"/>
      <c r="K19" s="29" t="n"/>
      <c r="L19" s="33">
        <f>IF(I19="","",IF(I19&gt;=PRs!D69,"PR!",""))</f>
        <v/>
      </c>
      <c r="M19" s="32" t="n"/>
      <c r="N19" s="34" t="inlineStr">
        <is>
          <t>Explode up, land softly, STEP down. Full reset between reps. Log your box height; check the standards</t>
        </is>
      </c>
    </row>
    <row r="20">
      <c r="A20" s="26" t="inlineStr">
        <is>
          <t>Day 3 - Variations</t>
        </is>
      </c>
      <c r="B20" s="27">
        <f>'Start Here'!$B$7+123</f>
        <v/>
      </c>
      <c r="C20" s="31" t="inlineStr">
        <is>
          <t>Snatch Balance</t>
        </is>
      </c>
      <c r="D20" s="29" t="n">
        <v>4</v>
      </c>
      <c r="E20" s="29" t="inlineStr">
        <is>
          <t>3</t>
        </is>
      </c>
      <c r="F20" s="29" t="n">
        <v>75</v>
      </c>
      <c r="G20" s="30">
        <f>Maxes!F38</f>
        <v/>
      </c>
      <c r="H20" s="31">
        <f>IF(OR(G20="",F20=""),"",MROUND(G20*F20/100,'Start Here'!$B$6))</f>
        <v/>
      </c>
      <c r="I20" s="32" t="n"/>
      <c r="J20" s="32" t="n"/>
      <c r="K20" s="29">
        <f>IF(OR(I20="",J20=""),"",IF(J20=1,I20,ROUND(I20*(1+J20/30),1)))</f>
        <v/>
      </c>
      <c r="L20" s="33">
        <f>IF(K20="","",IF(K20&gt;=PRs!C38,"PR!",""))</f>
        <v/>
      </c>
      <c r="M20" s="32" t="n"/>
      <c r="N20" s="34" t="inlineStr"/>
    </row>
    <row r="21">
      <c r="A21" s="26" t="inlineStr">
        <is>
          <t>Day 3 - Variations</t>
        </is>
      </c>
      <c r="B21" s="27">
        <f>'Start Here'!$B$7+123</f>
        <v/>
      </c>
      <c r="C21" s="31" t="inlineStr">
        <is>
          <t>Pin Squat</t>
        </is>
      </c>
      <c r="D21" s="29" t="n">
        <v>3</v>
      </c>
      <c r="E21" s="29" t="inlineStr">
        <is>
          <t>6</t>
        </is>
      </c>
      <c r="F21" s="29" t="n">
        <v>75</v>
      </c>
      <c r="G21" s="30">
        <f>Maxes!F12</f>
        <v/>
      </c>
      <c r="H21" s="31">
        <f>IF(OR(G21="",F21=""),"",MROUND(G21*F21/100,'Start Here'!$B$6))</f>
        <v/>
      </c>
      <c r="I21" s="32" t="n"/>
      <c r="J21" s="32" t="n"/>
      <c r="K21" s="29">
        <f>IF(OR(I21="",J21=""),"",IF(J21=1,I21,ROUND(I21*(1+J21/30),1)))</f>
        <v/>
      </c>
      <c r="L21" s="33">
        <f>IF(K21="","",IF(K21&gt;=PRs!C12,"PR!",""))</f>
        <v/>
      </c>
      <c r="M21" s="32" t="n"/>
      <c r="N21" s="34" t="inlineStr"/>
    </row>
    <row r="22">
      <c r="A22" s="26" t="inlineStr">
        <is>
          <t>Day 3 - Variations</t>
        </is>
      </c>
      <c r="B22" s="27">
        <f>'Start Here'!$B$7+123</f>
        <v/>
      </c>
      <c r="C22" s="31" t="inlineStr">
        <is>
          <t>Floor Press</t>
        </is>
      </c>
      <c r="D22" s="29" t="n">
        <v>3</v>
      </c>
      <c r="E22" s="29" t="inlineStr">
        <is>
          <t>6</t>
        </is>
      </c>
      <c r="F22" s="29" t="n">
        <v>75</v>
      </c>
      <c r="G22" s="30">
        <f>Maxes!F19</f>
        <v/>
      </c>
      <c r="H22" s="31">
        <f>IF(OR(G22="",F22=""),"",MROUND(G22*F22/100,'Start Here'!$B$6))</f>
        <v/>
      </c>
      <c r="I22" s="32" t="n"/>
      <c r="J22" s="32" t="n"/>
      <c r="K22" s="29">
        <f>IF(OR(I22="",J22=""),"",IF(J22=1,I22,ROUND(I22*(1+J22/30),1)))</f>
        <v/>
      </c>
      <c r="L22" s="33">
        <f>IF(K22="","",IF(K22&gt;=PRs!C19,"PR!",""))</f>
        <v/>
      </c>
      <c r="M22" s="32" t="n"/>
      <c r="N22" s="34" t="inlineStr"/>
    </row>
    <row r="23">
      <c r="A23" s="26" t="inlineStr">
        <is>
          <t>Day 3 - Variations</t>
        </is>
      </c>
      <c r="B23" s="27">
        <f>'Start Here'!$B$7+123</f>
        <v/>
      </c>
      <c r="C23" s="31" t="inlineStr">
        <is>
          <t>Romanian Deadlift</t>
        </is>
      </c>
      <c r="D23" s="29" t="n">
        <v>3</v>
      </c>
      <c r="E23" s="29" t="inlineStr">
        <is>
          <t>6</t>
        </is>
      </c>
      <c r="F23" s="29" t="n">
        <v>67.5</v>
      </c>
      <c r="G23" s="30">
        <f>Maxes!F23</f>
        <v/>
      </c>
      <c r="H23" s="31">
        <f>IF(OR(G23="",F23=""),"",MROUND(G23*F23/100,'Start Here'!$B$6))</f>
        <v/>
      </c>
      <c r="I23" s="32" t="n"/>
      <c r="J23" s="32" t="n"/>
      <c r="K23" s="29">
        <f>IF(OR(I23="",J23=""),"",IF(J23=1,I23,ROUND(I23*(1+J23/30),1)))</f>
        <v/>
      </c>
      <c r="L23" s="33">
        <f>IF(K23="","",IF(K23&gt;=PRs!C23,"PR!",""))</f>
        <v/>
      </c>
      <c r="M23" s="32" t="n"/>
      <c r="N23" s="34" t="inlineStr"/>
    </row>
    <row r="24">
      <c r="A24" s="26" t="inlineStr">
        <is>
          <t>Day 3 - Variations</t>
        </is>
      </c>
      <c r="B24" s="27">
        <f>'Start Here'!$B$7+123</f>
        <v/>
      </c>
      <c r="C24" s="29" t="inlineStr">
        <is>
          <t>Incline Dumbbell Press</t>
        </is>
      </c>
      <c r="D24" s="29" t="n">
        <v>3</v>
      </c>
      <c r="E24" s="29" t="inlineStr">
        <is>
          <t>8-12</t>
        </is>
      </c>
      <c r="F24" s="29" t="n"/>
      <c r="G24" s="30" t="n"/>
      <c r="H24" s="31" t="n"/>
      <c r="I24" s="32" t="n"/>
      <c r="J24" s="32" t="n"/>
      <c r="K24" s="29">
        <f>IF(OR(I24="",J24=""),"",IF(J24=1,I24,ROUND(I24*(1+J24/30),1)))</f>
        <v/>
      </c>
      <c r="L24" s="33">
        <f>IF(K24="","",IF(K24&gt;=PRs!C57,"PR!",""))</f>
        <v/>
      </c>
      <c r="M24" s="32" t="n"/>
      <c r="N24" s="34" t="inlineStr">
        <is>
          <t>Leave 1-2 reps in the tank; add weight when you hit the top of the range</t>
        </is>
      </c>
    </row>
    <row r="25">
      <c r="A25" s="26" t="inlineStr">
        <is>
          <t>Day 3 - Variations</t>
        </is>
      </c>
      <c r="B25" s="27">
        <f>'Start Here'!$B$7+123</f>
        <v/>
      </c>
      <c r="C25" s="29" t="inlineStr">
        <is>
          <t>Triceps Pushdown</t>
        </is>
      </c>
      <c r="D25" s="29" t="n">
        <v>3</v>
      </c>
      <c r="E25" s="29" t="inlineStr">
        <is>
          <t>10-15</t>
        </is>
      </c>
      <c r="F25" s="29" t="n"/>
      <c r="G25" s="30" t="n"/>
      <c r="H25" s="31" t="n"/>
      <c r="I25" s="32" t="n"/>
      <c r="J25" s="32" t="n"/>
      <c r="K25" s="29">
        <f>IF(OR(I25="",J25=""),"",IF(J25=1,I25,ROUND(I25*(1+J25/30),1)))</f>
        <v/>
      </c>
      <c r="L25" s="33">
        <f>IF(K25="","",IF(K25&gt;=PRs!C59,"PR!",""))</f>
        <v/>
      </c>
      <c r="M25" s="32" t="n"/>
      <c r="N25" s="34" t="inlineStr">
        <is>
          <t>Leave 1-2 reps in the tank; add weight when you hit the top of the range</t>
        </is>
      </c>
    </row>
  </sheetData>
  <hyperlinks>
    <hyperlink xmlns:r="http://schemas.openxmlformats.org/officeDocument/2006/relationships" ref="A2" r:id="rId1"/>
    <hyperlink xmlns:r="http://schemas.openxmlformats.org/officeDocument/2006/relationships" ref="C2" r:id="rId2"/>
    <hyperlink xmlns:r="http://schemas.openxmlformats.org/officeDocument/2006/relationships" ref="E2" r:id="rId3"/>
    <hyperlink xmlns:r="http://schemas.openxmlformats.org/officeDocument/2006/relationships" ref="A4" r:id="rId4"/>
  </hyperlinks>
  <pageMargins left="0.75" right="0.75" top="1" bottom="1" header="0.5" footer="0.5"/>
  <pageSetup orientation="landscape" fitToHeight="0" fitToWidth="1"/>
</worksheet>
</file>

<file path=xl/worksheets/sheet21.xml><?xml version="1.0" encoding="utf-8"?>
<worksheet xmlns="http://schemas.openxmlformats.org/spreadsheetml/2006/main">
  <sheetPr>
    <tabColor rgb="00FCE9D2"/>
    <outlinePr summaryBelow="1" summaryRight="1"/>
    <pageSetUpPr fitToPage="1"/>
  </sheetPr>
  <dimension ref="A1:N25"/>
  <sheetViews>
    <sheetView workbookViewId="0">
      <pane xSplit="3" ySplit="5" topLeftCell="D6" activePane="bottomRight" state="frozen"/>
      <selection pane="topRight"/>
      <selection pane="bottomLeft"/>
      <selection pane="bottomRight" activeCell="A1" sqref="A1"/>
    </sheetView>
  </sheetViews>
  <sheetFormatPr baseColWidth="8" defaultRowHeight="15"/>
  <cols>
    <col width="17" customWidth="1" min="1" max="1"/>
    <col width="11" customWidth="1" min="2" max="2"/>
    <col width="24" customWidth="1" min="3" max="3"/>
    <col width="5" customWidth="1" min="4" max="4"/>
    <col width="6" customWidth="1" min="5" max="5"/>
    <col width="6" customWidth="1" min="6" max="6"/>
    <col width="9" customWidth="1" min="7" max="7"/>
    <col width="10" customWidth="1" min="8" max="8"/>
    <col width="13" customWidth="1" min="9" max="9"/>
    <col width="8" customWidth="1" min="10" max="10"/>
    <col width="9" customWidth="1" min="11" max="11"/>
    <col width="5" customWidth="1" min="12" max="12"/>
    <col width="22" customWidth="1" min="13" max="13"/>
    <col width="62" customWidth="1" min="14" max="14"/>
  </cols>
  <sheetData>
    <row r="1">
      <c r="A1" s="24" t="inlineStr">
        <is>
          <t>Week 19 - Cycle 2 - Transmutation</t>
        </is>
      </c>
    </row>
    <row r="2">
      <c r="A2" s="25" t="inlineStr">
        <is>
          <t>&lt; Week 18</t>
        </is>
      </c>
      <c r="C2" s="25" t="inlineStr">
        <is>
          <t>Start Here</t>
        </is>
      </c>
      <c r="E2" s="25" t="inlineStr">
        <is>
          <t>Week 20 &gt;</t>
        </is>
      </c>
    </row>
    <row r="3">
      <c r="A3" s="10" t="inlineStr">
        <is>
          <t>Bodyweight this week</t>
        </is>
      </c>
      <c r="C3" s="4" t="n"/>
      <c r="D3" t="inlineStr">
        <is>
          <t>Weigh in once this week: same morning routine, before eating.</t>
        </is>
      </c>
    </row>
    <row r="5">
      <c r="A5" s="5" t="inlineStr">
        <is>
          <t>Day</t>
        </is>
      </c>
      <c r="B5" s="5" t="inlineStr">
        <is>
          <t>Date</t>
        </is>
      </c>
      <c r="C5" s="5" t="inlineStr">
        <is>
          <t>Exercise</t>
        </is>
      </c>
      <c r="D5" s="5" t="inlineStr">
        <is>
          <t>Sets</t>
        </is>
      </c>
      <c r="E5" s="5" t="inlineStr">
        <is>
          <t>Reps</t>
        </is>
      </c>
      <c r="F5" s="5" t="inlineStr">
        <is>
          <t>% TM</t>
        </is>
      </c>
      <c r="G5" s="5" t="inlineStr">
        <is>
          <t>Training max</t>
        </is>
      </c>
      <c r="H5" s="5" t="inlineStr">
        <is>
          <t>Weight / target</t>
        </is>
      </c>
      <c r="I5" s="5" t="inlineStr">
        <is>
          <t>Actual (weight, height or distance)</t>
        </is>
      </c>
      <c r="J5" s="5" t="inlineStr">
        <is>
          <t>Actual reps</t>
        </is>
      </c>
      <c r="K5" s="5" t="inlineStr">
        <is>
          <t>Est. 1RM</t>
        </is>
      </c>
      <c r="L5" s="5" t="inlineStr">
        <is>
          <t>PR</t>
        </is>
      </c>
      <c r="M5" s="5" t="inlineStr">
        <is>
          <t>Notes</t>
        </is>
      </c>
      <c r="N5" s="5" t="inlineStr">
        <is>
          <t>Guidance</t>
        </is>
      </c>
    </row>
    <row r="6">
      <c r="A6" s="26" t="inlineStr">
        <is>
          <t>Day 1 - Heavy</t>
        </is>
      </c>
      <c r="B6" s="27">
        <f>'Start Here'!$B$7+126</f>
        <v/>
      </c>
      <c r="C6" s="28" t="inlineStr">
        <is>
          <t>Box Jump</t>
        </is>
      </c>
      <c r="D6" s="29" t="n">
        <v>4</v>
      </c>
      <c r="E6" s="29" t="inlineStr">
        <is>
          <t>3</t>
        </is>
      </c>
      <c r="F6" s="29" t="n"/>
      <c r="G6" s="30" t="n"/>
      <c r="H6" s="31">
        <f>IFERROR(IF(PRs!D69&lt;'Start Here'!$H$15,'Start Here'!$H$15,IF(PRs!D69&lt;'Start Here'!$H$16,'Start Here'!$H$16,IF(PRs!D69&lt;'Start Here'!$H$17,'Start Here'!$H$17,IF(PRs!D69&lt;'Start Here'!$H$18,'Start Here'!$H$18,"Elite!")))),"")</f>
        <v/>
      </c>
      <c r="I6" s="32" t="n"/>
      <c r="J6" s="32" t="n"/>
      <c r="K6" s="29" t="n"/>
      <c r="L6" s="33">
        <f>IF(I6="","",IF(I6&gt;=PRs!D69,"PR!",""))</f>
        <v/>
      </c>
      <c r="M6" s="32" t="n"/>
      <c r="N6" s="34" t="inlineStr">
        <is>
          <t>Explode up, land softly, STEP down. Full reset between reps. Log your box height; check the standards</t>
        </is>
      </c>
    </row>
    <row r="7">
      <c r="A7" s="26" t="inlineStr">
        <is>
          <t>Day 1 - Heavy</t>
        </is>
      </c>
      <c r="B7" s="27">
        <f>'Start Here'!$B$7+126</f>
        <v/>
      </c>
      <c r="C7" s="31" t="inlineStr">
        <is>
          <t>Snatch</t>
        </is>
      </c>
      <c r="D7" s="29" t="n">
        <v>5</v>
      </c>
      <c r="E7" s="29" t="inlineStr">
        <is>
          <t>2</t>
        </is>
      </c>
      <c r="F7" s="29" t="n">
        <v>82.5</v>
      </c>
      <c r="G7" s="30">
        <f>Maxes!F6</f>
        <v/>
      </c>
      <c r="H7" s="31">
        <f>IF(OR(G7="",F7=""),"",MROUND(G7*F7/100,'Start Here'!$B$6))</f>
        <v/>
      </c>
      <c r="I7" s="32" t="n"/>
      <c r="J7" s="32" t="n"/>
      <c r="K7" s="29">
        <f>IF(OR(I7="",J7=""),"",IF(J7=1,I7,ROUND(I7*(1+J7/30),1)))</f>
        <v/>
      </c>
      <c r="L7" s="33">
        <f>IF(K7="","",IF(K7&gt;=PRs!C6,"PR!",""))</f>
        <v/>
      </c>
      <c r="M7" s="32" t="n"/>
      <c r="N7" s="34" t="inlineStr"/>
    </row>
    <row r="8">
      <c r="A8" s="26" t="inlineStr">
        <is>
          <t>Day 1 - Heavy</t>
        </is>
      </c>
      <c r="B8" s="27">
        <f>'Start Here'!$B$7+126</f>
        <v/>
      </c>
      <c r="C8" s="31" t="inlineStr">
        <is>
          <t>Squat</t>
        </is>
      </c>
      <c r="D8" s="29" t="n">
        <v>4</v>
      </c>
      <c r="E8" s="29" t="inlineStr">
        <is>
          <t>4</t>
        </is>
      </c>
      <c r="F8" s="29" t="n">
        <v>82.5</v>
      </c>
      <c r="G8" s="30">
        <f>Maxes!F2</f>
        <v/>
      </c>
      <c r="H8" s="31">
        <f>IF(OR(G8="",F8=""),"",MROUND(G8*F8/100,'Start Here'!$B$6))</f>
        <v/>
      </c>
      <c r="I8" s="32" t="n"/>
      <c r="J8" s="32" t="n"/>
      <c r="K8" s="29">
        <f>IF(OR(I8="",J8=""),"",IF(J8=1,I8,ROUND(I8*(1+J8/30),1)))</f>
        <v/>
      </c>
      <c r="L8" s="33">
        <f>IF(K8="","",IF(K8&gt;=PRs!C2,"PR!",""))</f>
        <v/>
      </c>
      <c r="M8" s="32" t="n"/>
      <c r="N8" s="34" t="inlineStr"/>
    </row>
    <row r="9">
      <c r="A9" s="26" t="inlineStr">
        <is>
          <t>Day 1 - Heavy</t>
        </is>
      </c>
      <c r="B9" s="27">
        <f>'Start Here'!$B$7+126</f>
        <v/>
      </c>
      <c r="C9" s="31" t="inlineStr">
        <is>
          <t>Bench Press</t>
        </is>
      </c>
      <c r="D9" s="29" t="n">
        <v>4</v>
      </c>
      <c r="E9" s="29" t="inlineStr">
        <is>
          <t>4</t>
        </is>
      </c>
      <c r="F9" s="29" t="n">
        <v>82.5</v>
      </c>
      <c r="G9" s="30">
        <f>Maxes!F3</f>
        <v/>
      </c>
      <c r="H9" s="31">
        <f>IF(OR(G9="",F9=""),"",MROUND(G9*F9/100,'Start Here'!$B$6))</f>
        <v/>
      </c>
      <c r="I9" s="32" t="n"/>
      <c r="J9" s="32" t="n"/>
      <c r="K9" s="29">
        <f>IF(OR(I9="",J9=""),"",IF(J9=1,I9,ROUND(I9*(1+J9/30),1)))</f>
        <v/>
      </c>
      <c r="L9" s="33">
        <f>IF(K9="","",IF(K9&gt;=PRs!C3,"PR!",""))</f>
        <v/>
      </c>
      <c r="M9" s="32" t="n"/>
      <c r="N9" s="34" t="inlineStr"/>
    </row>
    <row r="10">
      <c r="A10" s="26" t="inlineStr">
        <is>
          <t>Day 1 - Heavy</t>
        </is>
      </c>
      <c r="B10" s="27">
        <f>'Start Here'!$B$7+126</f>
        <v/>
      </c>
      <c r="C10" s="29" t="inlineStr">
        <is>
          <t>Barbell Row</t>
        </is>
      </c>
      <c r="D10" s="29" t="n">
        <v>3</v>
      </c>
      <c r="E10" s="29" t="inlineStr">
        <is>
          <t>8-10</t>
        </is>
      </c>
      <c r="F10" s="29" t="n"/>
      <c r="G10" s="30" t="n"/>
      <c r="H10" s="31" t="n"/>
      <c r="I10" s="32" t="n"/>
      <c r="J10" s="32" t="n"/>
      <c r="K10" s="29">
        <f>IF(OR(I10="",J10=""),"",IF(J10=1,I10,ROUND(I10*(1+J10/30),1)))</f>
        <v/>
      </c>
      <c r="L10" s="33">
        <f>IF(K10="","",IF(K10&gt;=PRs!C50,"PR!",""))</f>
        <v/>
      </c>
      <c r="M10" s="32" t="n"/>
      <c r="N10" s="34" t="inlineStr">
        <is>
          <t>Leave 1-2 reps in the tank; add weight when you hit the top of the range</t>
        </is>
      </c>
    </row>
    <row r="11">
      <c r="A11" s="26" t="inlineStr">
        <is>
          <t>Day 1 - Heavy</t>
        </is>
      </c>
      <c r="B11" s="27">
        <f>'Start Here'!$B$7+126</f>
        <v/>
      </c>
      <c r="C11" s="29" t="inlineStr">
        <is>
          <t>Face Pull</t>
        </is>
      </c>
      <c r="D11" s="29" t="n">
        <v>3</v>
      </c>
      <c r="E11" s="29" t="inlineStr">
        <is>
          <t>12-15</t>
        </is>
      </c>
      <c r="F11" s="29" t="n"/>
      <c r="G11" s="30" t="n"/>
      <c r="H11" s="31" t="n"/>
      <c r="I11" s="32" t="n"/>
      <c r="J11" s="32" t="n"/>
      <c r="K11" s="29">
        <f>IF(OR(I11="",J11=""),"",IF(J11=1,I11,ROUND(I11*(1+J11/30),1)))</f>
        <v/>
      </c>
      <c r="L11" s="33">
        <f>IF(K11="","",IF(K11&gt;=PRs!C51,"PR!",""))</f>
        <v/>
      </c>
      <c r="M11" s="32" t="n"/>
      <c r="N11" s="34" t="inlineStr">
        <is>
          <t>Leave 1-2 reps in the tank; add weight when you hit the top of the range</t>
        </is>
      </c>
    </row>
    <row r="12">
      <c r="A12" s="26" t="inlineStr">
        <is>
          <t>Day 2 - Light</t>
        </is>
      </c>
      <c r="B12" s="27">
        <f>'Start Here'!$B$7+128</f>
        <v/>
      </c>
      <c r="C12" s="28" t="inlineStr">
        <is>
          <t>Broad Jump</t>
        </is>
      </c>
      <c r="D12" s="29" t="n">
        <v>4</v>
      </c>
      <c r="E12" s="29" t="inlineStr">
        <is>
          <t>3</t>
        </is>
      </c>
      <c r="F12" s="29" t="n"/>
      <c r="G12" s="30" t="n"/>
      <c r="H12" s="31" t="n"/>
      <c r="I12" s="32" t="n"/>
      <c r="J12" s="32" t="n"/>
      <c r="K12" s="29" t="n"/>
      <c r="L12" s="33">
        <f>IF(I12="","",IF(I12&gt;=PRs!D70,"PR!",""))</f>
        <v/>
      </c>
      <c r="M12" s="32" t="n"/>
      <c r="N12" s="34" t="inlineStr">
        <is>
          <t>Two-foot jump for distance, stick the landing. Full reset between reps. Log your best distance</t>
        </is>
      </c>
    </row>
    <row r="13">
      <c r="A13" s="26" t="inlineStr">
        <is>
          <t>Day 2 - Light</t>
        </is>
      </c>
      <c r="B13" s="27">
        <f>'Start Here'!$B$7+128</f>
        <v/>
      </c>
      <c r="C13" s="31" t="inlineStr">
        <is>
          <t>Clean &amp; Jerk</t>
        </is>
      </c>
      <c r="D13" s="29" t="n">
        <v>5</v>
      </c>
      <c r="E13" s="29" t="inlineStr">
        <is>
          <t>2</t>
        </is>
      </c>
      <c r="F13" s="29" t="n">
        <v>82.5</v>
      </c>
      <c r="G13" s="30">
        <f>Maxes!F7</f>
        <v/>
      </c>
      <c r="H13" s="31">
        <f>IF(OR(G13="",F13=""),"",MROUND(G13*F13/100,'Start Here'!$B$6))</f>
        <v/>
      </c>
      <c r="I13" s="32" t="n"/>
      <c r="J13" s="32" t="n"/>
      <c r="K13" s="29">
        <f>IF(OR(I13="",J13=""),"",IF(J13=1,I13,ROUND(I13*(1+J13/30),1)))</f>
        <v/>
      </c>
      <c r="L13" s="33">
        <f>IF(K13="","",IF(K13&gt;=PRs!C7,"PR!",""))</f>
        <v/>
      </c>
      <c r="M13" s="32" t="n"/>
      <c r="N13" s="34" t="inlineStr"/>
    </row>
    <row r="14">
      <c r="A14" s="26" t="inlineStr">
        <is>
          <t>Day 2 - Light</t>
        </is>
      </c>
      <c r="B14" s="27">
        <f>'Start Here'!$B$7+128</f>
        <v/>
      </c>
      <c r="C14" s="31" t="inlineStr">
        <is>
          <t>Squat</t>
        </is>
      </c>
      <c r="D14" s="29" t="n">
        <v>3</v>
      </c>
      <c r="E14" s="29" t="inlineStr">
        <is>
          <t>6</t>
        </is>
      </c>
      <c r="F14" s="29" t="n">
        <v>70</v>
      </c>
      <c r="G14" s="30">
        <f>Maxes!F2</f>
        <v/>
      </c>
      <c r="H14" s="31">
        <f>IF(OR(G14="",F14=""),"",MROUND(G14*F14/100,'Start Here'!$B$6))</f>
        <v/>
      </c>
      <c r="I14" s="32" t="n"/>
      <c r="J14" s="32" t="n"/>
      <c r="K14" s="29">
        <f>IF(OR(I14="",J14=""),"",IF(J14=1,I14,ROUND(I14*(1+J14/30),1)))</f>
        <v/>
      </c>
      <c r="L14" s="33">
        <f>IF(K14="","",IF(K14&gt;=PRs!C2,"PR!",""))</f>
        <v/>
      </c>
      <c r="M14" s="32" t="n"/>
      <c r="N14" s="34" t="inlineStr"/>
    </row>
    <row r="15">
      <c r="A15" s="26" t="inlineStr">
        <is>
          <t>Day 2 - Light</t>
        </is>
      </c>
      <c r="B15" s="27">
        <f>'Start Here'!$B$7+128</f>
        <v/>
      </c>
      <c r="C15" s="31" t="inlineStr">
        <is>
          <t>Overhead Press</t>
        </is>
      </c>
      <c r="D15" s="29" t="n">
        <v>3</v>
      </c>
      <c r="E15" s="29" t="inlineStr">
        <is>
          <t>6</t>
        </is>
      </c>
      <c r="F15" s="29" t="n">
        <v>77.5</v>
      </c>
      <c r="G15" s="30">
        <f>Maxes!F5</f>
        <v/>
      </c>
      <c r="H15" s="31">
        <f>IF(OR(G15="",F15=""),"",MROUND(G15*F15/100,'Start Here'!$B$6))</f>
        <v/>
      </c>
      <c r="I15" s="32" t="n"/>
      <c r="J15" s="32" t="n"/>
      <c r="K15" s="29">
        <f>IF(OR(I15="",J15=""),"",IF(J15=1,I15,ROUND(I15*(1+J15/30),1)))</f>
        <v/>
      </c>
      <c r="L15" s="33">
        <f>IF(K15="","",IF(K15&gt;=PRs!C5,"PR!",""))</f>
        <v/>
      </c>
      <c r="M15" s="32" t="n"/>
      <c r="N15" s="34" t="inlineStr"/>
    </row>
    <row r="16">
      <c r="A16" s="26" t="inlineStr">
        <is>
          <t>Day 2 - Light</t>
        </is>
      </c>
      <c r="B16" s="27">
        <f>'Start Here'!$B$7+128</f>
        <v/>
      </c>
      <c r="C16" s="31" t="inlineStr">
        <is>
          <t>Deadlift</t>
        </is>
      </c>
      <c r="D16" s="29" t="n">
        <v>3</v>
      </c>
      <c r="E16" s="29" t="inlineStr">
        <is>
          <t>6</t>
        </is>
      </c>
      <c r="F16" s="29" t="n">
        <v>77.5</v>
      </c>
      <c r="G16" s="30">
        <f>Maxes!F4</f>
        <v/>
      </c>
      <c r="H16" s="31">
        <f>IF(OR(G16="",F16=""),"",MROUND(G16*F16/100,'Start Here'!$B$6))</f>
        <v/>
      </c>
      <c r="I16" s="32" t="n"/>
      <c r="J16" s="32" t="n"/>
      <c r="K16" s="29">
        <f>IF(OR(I16="",J16=""),"",IF(J16=1,I16,ROUND(I16*(1+J16/30),1)))</f>
        <v/>
      </c>
      <c r="L16" s="33">
        <f>IF(K16="","",IF(K16&gt;=PRs!C4,"PR!",""))</f>
        <v/>
      </c>
      <c r="M16" s="32" t="n"/>
      <c r="N16" s="34" t="inlineStr"/>
    </row>
    <row r="17">
      <c r="A17" s="26" t="inlineStr">
        <is>
          <t>Day 2 - Light</t>
        </is>
      </c>
      <c r="B17" s="27">
        <f>'Start Here'!$B$7+128</f>
        <v/>
      </c>
      <c r="C17" s="29" t="inlineStr">
        <is>
          <t>Chin-up</t>
        </is>
      </c>
      <c r="D17" s="29" t="n">
        <v>3</v>
      </c>
      <c r="E17" s="29" t="inlineStr">
        <is>
          <t>6-10</t>
        </is>
      </c>
      <c r="F17" s="29" t="n"/>
      <c r="G17" s="30" t="n"/>
      <c r="H17" s="31" t="n"/>
      <c r="I17" s="32" t="n"/>
      <c r="J17" s="32" t="n"/>
      <c r="K17" s="29">
        <f>IF(OR(I17="",J17=""),"",IF(J17=1,I17,ROUND(I17*(1+J17/30),1)))</f>
        <v/>
      </c>
      <c r="L17" s="33">
        <f>IF(K17="","",IF(K17&gt;=PRs!C53,"PR!",""))</f>
        <v/>
      </c>
      <c r="M17" s="32" t="n"/>
      <c r="N17" s="34" t="inlineStr">
        <is>
          <t>Leave 1-2 reps in the tank; add weight when you hit the top of the range</t>
        </is>
      </c>
    </row>
    <row r="18">
      <c r="A18" s="26" t="inlineStr">
        <is>
          <t>Day 2 - Light</t>
        </is>
      </c>
      <c r="B18" s="27">
        <f>'Start Here'!$B$7+128</f>
        <v/>
      </c>
      <c r="C18" s="29" t="inlineStr">
        <is>
          <t>Plank</t>
        </is>
      </c>
      <c r="D18" s="29" t="n">
        <v>3</v>
      </c>
      <c r="E18" s="29" t="inlineStr">
        <is>
          <t>30-60s</t>
        </is>
      </c>
      <c r="F18" s="29" t="n"/>
      <c r="G18" s="30" t="n"/>
      <c r="H18" s="31" t="n"/>
      <c r="I18" s="32" t="n"/>
      <c r="J18" s="32" t="n"/>
      <c r="K18" s="29">
        <f>IF(OR(I18="",J18=""),"",IF(J18=1,I18,ROUND(I18*(1+J18/30),1)))</f>
        <v/>
      </c>
      <c r="L18" s="33">
        <f>IF(K18="","",IF(K18&gt;=PRs!C56,"PR!",""))</f>
        <v/>
      </c>
      <c r="M18" s="32" t="n"/>
      <c r="N18" s="34" t="inlineStr">
        <is>
          <t>Leave 1-2 reps in the tank; add weight when you hit the top of the range</t>
        </is>
      </c>
    </row>
    <row r="19">
      <c r="A19" s="26" t="inlineStr">
        <is>
          <t>Day 3 - Variations</t>
        </is>
      </c>
      <c r="B19" s="27">
        <f>'Start Here'!$B$7+130</f>
        <v/>
      </c>
      <c r="C19" s="28" t="inlineStr">
        <is>
          <t>Box Jump</t>
        </is>
      </c>
      <c r="D19" s="29" t="n">
        <v>4</v>
      </c>
      <c r="E19" s="29" t="inlineStr">
        <is>
          <t>3</t>
        </is>
      </c>
      <c r="F19" s="29" t="n"/>
      <c r="G19" s="30" t="n"/>
      <c r="H19" s="31">
        <f>IFERROR(IF(PRs!D69&lt;'Start Here'!$H$15,'Start Here'!$H$15,IF(PRs!D69&lt;'Start Here'!$H$16,'Start Here'!$H$16,IF(PRs!D69&lt;'Start Here'!$H$17,'Start Here'!$H$17,IF(PRs!D69&lt;'Start Here'!$H$18,'Start Here'!$H$18,"Elite!")))),"")</f>
        <v/>
      </c>
      <c r="I19" s="32" t="n"/>
      <c r="J19" s="32" t="n"/>
      <c r="K19" s="29" t="n"/>
      <c r="L19" s="33">
        <f>IF(I19="","",IF(I19&gt;=PRs!D69,"PR!",""))</f>
        <v/>
      </c>
      <c r="M19" s="32" t="n"/>
      <c r="N19" s="34" t="inlineStr">
        <is>
          <t>Explode up, land softly, STEP down. Full reset between reps. Log your box height; check the standards</t>
        </is>
      </c>
    </row>
    <row r="20">
      <c r="A20" s="26" t="inlineStr">
        <is>
          <t>Day 3 - Variations</t>
        </is>
      </c>
      <c r="B20" s="27">
        <f>'Start Here'!$B$7+130</f>
        <v/>
      </c>
      <c r="C20" s="31" t="inlineStr">
        <is>
          <t>Snatch Balance</t>
        </is>
      </c>
      <c r="D20" s="29" t="n">
        <v>4</v>
      </c>
      <c r="E20" s="29" t="inlineStr">
        <is>
          <t>3</t>
        </is>
      </c>
      <c r="F20" s="29" t="n">
        <v>77.5</v>
      </c>
      <c r="G20" s="30">
        <f>Maxes!F38</f>
        <v/>
      </c>
      <c r="H20" s="31">
        <f>IF(OR(G20="",F20=""),"",MROUND(G20*F20/100,'Start Here'!$B$6))</f>
        <v/>
      </c>
      <c r="I20" s="32" t="n"/>
      <c r="J20" s="32" t="n"/>
      <c r="K20" s="29">
        <f>IF(OR(I20="",J20=""),"",IF(J20=1,I20,ROUND(I20*(1+J20/30),1)))</f>
        <v/>
      </c>
      <c r="L20" s="33">
        <f>IF(K20="","",IF(K20&gt;=PRs!C38,"PR!",""))</f>
        <v/>
      </c>
      <c r="M20" s="32" t="n"/>
      <c r="N20" s="34" t="inlineStr"/>
    </row>
    <row r="21">
      <c r="A21" s="26" t="inlineStr">
        <is>
          <t>Day 3 - Variations</t>
        </is>
      </c>
      <c r="B21" s="27">
        <f>'Start Here'!$B$7+130</f>
        <v/>
      </c>
      <c r="C21" s="31" t="inlineStr">
        <is>
          <t>Pin Squat</t>
        </is>
      </c>
      <c r="D21" s="29" t="n">
        <v>3</v>
      </c>
      <c r="E21" s="29" t="inlineStr">
        <is>
          <t>6</t>
        </is>
      </c>
      <c r="F21" s="29" t="n">
        <v>77.5</v>
      </c>
      <c r="G21" s="30">
        <f>Maxes!F12</f>
        <v/>
      </c>
      <c r="H21" s="31">
        <f>IF(OR(G21="",F21=""),"",MROUND(G21*F21/100,'Start Here'!$B$6))</f>
        <v/>
      </c>
      <c r="I21" s="32" t="n"/>
      <c r="J21" s="32" t="n"/>
      <c r="K21" s="29">
        <f>IF(OR(I21="",J21=""),"",IF(J21=1,I21,ROUND(I21*(1+J21/30),1)))</f>
        <v/>
      </c>
      <c r="L21" s="33">
        <f>IF(K21="","",IF(K21&gt;=PRs!C12,"PR!",""))</f>
        <v/>
      </c>
      <c r="M21" s="32" t="n"/>
      <c r="N21" s="34" t="inlineStr"/>
    </row>
    <row r="22">
      <c r="A22" s="26" t="inlineStr">
        <is>
          <t>Day 3 - Variations</t>
        </is>
      </c>
      <c r="B22" s="27">
        <f>'Start Here'!$B$7+130</f>
        <v/>
      </c>
      <c r="C22" s="31" t="inlineStr">
        <is>
          <t>Floor Press</t>
        </is>
      </c>
      <c r="D22" s="29" t="n">
        <v>3</v>
      </c>
      <c r="E22" s="29" t="inlineStr">
        <is>
          <t>6</t>
        </is>
      </c>
      <c r="F22" s="29" t="n">
        <v>77.5</v>
      </c>
      <c r="G22" s="30">
        <f>Maxes!F19</f>
        <v/>
      </c>
      <c r="H22" s="31">
        <f>IF(OR(G22="",F22=""),"",MROUND(G22*F22/100,'Start Here'!$B$6))</f>
        <v/>
      </c>
      <c r="I22" s="32" t="n"/>
      <c r="J22" s="32" t="n"/>
      <c r="K22" s="29">
        <f>IF(OR(I22="",J22=""),"",IF(J22=1,I22,ROUND(I22*(1+J22/30),1)))</f>
        <v/>
      </c>
      <c r="L22" s="33">
        <f>IF(K22="","",IF(K22&gt;=PRs!C19,"PR!",""))</f>
        <v/>
      </c>
      <c r="M22" s="32" t="n"/>
      <c r="N22" s="34" t="inlineStr"/>
    </row>
    <row r="23">
      <c r="A23" s="26" t="inlineStr">
        <is>
          <t>Day 3 - Variations</t>
        </is>
      </c>
      <c r="B23" s="27">
        <f>'Start Here'!$B$7+130</f>
        <v/>
      </c>
      <c r="C23" s="31" t="inlineStr">
        <is>
          <t>Romanian Deadlift</t>
        </is>
      </c>
      <c r="D23" s="29" t="n">
        <v>3</v>
      </c>
      <c r="E23" s="29" t="inlineStr">
        <is>
          <t>6</t>
        </is>
      </c>
      <c r="F23" s="29" t="n">
        <v>70</v>
      </c>
      <c r="G23" s="30">
        <f>Maxes!F23</f>
        <v/>
      </c>
      <c r="H23" s="31">
        <f>IF(OR(G23="",F23=""),"",MROUND(G23*F23/100,'Start Here'!$B$6))</f>
        <v/>
      </c>
      <c r="I23" s="32" t="n"/>
      <c r="J23" s="32" t="n"/>
      <c r="K23" s="29">
        <f>IF(OR(I23="",J23=""),"",IF(J23=1,I23,ROUND(I23*(1+J23/30),1)))</f>
        <v/>
      </c>
      <c r="L23" s="33">
        <f>IF(K23="","",IF(K23&gt;=PRs!C23,"PR!",""))</f>
        <v/>
      </c>
      <c r="M23" s="32" t="n"/>
      <c r="N23" s="34" t="inlineStr"/>
    </row>
    <row r="24">
      <c r="A24" s="26" t="inlineStr">
        <is>
          <t>Day 3 - Variations</t>
        </is>
      </c>
      <c r="B24" s="27">
        <f>'Start Here'!$B$7+130</f>
        <v/>
      </c>
      <c r="C24" s="29" t="inlineStr">
        <is>
          <t>Incline Dumbbell Press</t>
        </is>
      </c>
      <c r="D24" s="29" t="n">
        <v>3</v>
      </c>
      <c r="E24" s="29" t="inlineStr">
        <is>
          <t>8-12</t>
        </is>
      </c>
      <c r="F24" s="29" t="n"/>
      <c r="G24" s="30" t="n"/>
      <c r="H24" s="31" t="n"/>
      <c r="I24" s="32" t="n"/>
      <c r="J24" s="32" t="n"/>
      <c r="K24" s="29">
        <f>IF(OR(I24="",J24=""),"",IF(J24=1,I24,ROUND(I24*(1+J24/30),1)))</f>
        <v/>
      </c>
      <c r="L24" s="33">
        <f>IF(K24="","",IF(K24&gt;=PRs!C57,"PR!",""))</f>
        <v/>
      </c>
      <c r="M24" s="32" t="n"/>
      <c r="N24" s="34" t="inlineStr">
        <is>
          <t>Leave 1-2 reps in the tank; add weight when you hit the top of the range</t>
        </is>
      </c>
    </row>
    <row r="25">
      <c r="A25" s="26" t="inlineStr">
        <is>
          <t>Day 3 - Variations</t>
        </is>
      </c>
      <c r="B25" s="27">
        <f>'Start Here'!$B$7+130</f>
        <v/>
      </c>
      <c r="C25" s="29" t="inlineStr">
        <is>
          <t>Triceps Pushdown</t>
        </is>
      </c>
      <c r="D25" s="29" t="n">
        <v>3</v>
      </c>
      <c r="E25" s="29" t="inlineStr">
        <is>
          <t>10-15</t>
        </is>
      </c>
      <c r="F25" s="29" t="n"/>
      <c r="G25" s="30" t="n"/>
      <c r="H25" s="31" t="n"/>
      <c r="I25" s="32" t="n"/>
      <c r="J25" s="32" t="n"/>
      <c r="K25" s="29">
        <f>IF(OR(I25="",J25=""),"",IF(J25=1,I25,ROUND(I25*(1+J25/30),1)))</f>
        <v/>
      </c>
      <c r="L25" s="33">
        <f>IF(K25="","",IF(K25&gt;=PRs!C59,"PR!",""))</f>
        <v/>
      </c>
      <c r="M25" s="32" t="n"/>
      <c r="N25" s="34" t="inlineStr">
        <is>
          <t>Leave 1-2 reps in the tank; add weight when you hit the top of the range</t>
        </is>
      </c>
    </row>
  </sheetData>
  <hyperlinks>
    <hyperlink xmlns:r="http://schemas.openxmlformats.org/officeDocument/2006/relationships" ref="A2" r:id="rId1"/>
    <hyperlink xmlns:r="http://schemas.openxmlformats.org/officeDocument/2006/relationships" ref="C2" r:id="rId2"/>
    <hyperlink xmlns:r="http://schemas.openxmlformats.org/officeDocument/2006/relationships" ref="E2" r:id="rId3"/>
  </hyperlinks>
  <pageMargins left="0.75" right="0.75" top="1" bottom="1" header="0.5" footer="0.5"/>
  <pageSetup orientation="landscape" fitToHeight="0" fitToWidth="1"/>
</worksheet>
</file>

<file path=xl/worksheets/sheet22.xml><?xml version="1.0" encoding="utf-8"?>
<worksheet xmlns="http://schemas.openxmlformats.org/spreadsheetml/2006/main">
  <sheetPr>
    <tabColor rgb="00E6E6E6"/>
    <outlinePr summaryBelow="1" summaryRight="1"/>
    <pageSetUpPr fitToPage="1"/>
  </sheetPr>
  <dimension ref="A1:N25"/>
  <sheetViews>
    <sheetView workbookViewId="0">
      <pane xSplit="3" ySplit="5" topLeftCell="D6" activePane="bottomRight" state="frozen"/>
      <selection pane="topRight"/>
      <selection pane="bottomLeft"/>
      <selection pane="bottomRight" activeCell="A1" sqref="A1"/>
    </sheetView>
  </sheetViews>
  <sheetFormatPr baseColWidth="8" defaultRowHeight="15"/>
  <cols>
    <col width="17" customWidth="1" min="1" max="1"/>
    <col width="11" customWidth="1" min="2" max="2"/>
    <col width="24" customWidth="1" min="3" max="3"/>
    <col width="5" customWidth="1" min="4" max="4"/>
    <col width="6" customWidth="1" min="5" max="5"/>
    <col width="6" customWidth="1" min="6" max="6"/>
    <col width="9" customWidth="1" min="7" max="7"/>
    <col width="10" customWidth="1" min="8" max="8"/>
    <col width="13" customWidth="1" min="9" max="9"/>
    <col width="8" customWidth="1" min="10" max="10"/>
    <col width="9" customWidth="1" min="11" max="11"/>
    <col width="5" customWidth="1" min="12" max="12"/>
    <col width="22" customWidth="1" min="13" max="13"/>
    <col width="62" customWidth="1" min="14" max="14"/>
  </cols>
  <sheetData>
    <row r="1">
      <c r="A1" s="24" t="inlineStr">
        <is>
          <t>Week 20 - Cycle 2 - Deload</t>
        </is>
      </c>
    </row>
    <row r="2">
      <c r="A2" s="25" t="inlineStr">
        <is>
          <t>&lt; Week 19</t>
        </is>
      </c>
      <c r="C2" s="25" t="inlineStr">
        <is>
          <t>Start Here</t>
        </is>
      </c>
      <c r="E2" s="25" t="inlineStr">
        <is>
          <t>Week 21 &gt;</t>
        </is>
      </c>
    </row>
    <row r="3">
      <c r="A3" s="10" t="inlineStr">
        <is>
          <t>Bodyweight this week</t>
        </is>
      </c>
      <c r="C3" s="4" t="n"/>
      <c r="D3" t="inlineStr">
        <is>
          <t>Weigh in once this week: same morning routine, before eating.</t>
        </is>
      </c>
    </row>
    <row r="5">
      <c r="A5" s="5" t="inlineStr">
        <is>
          <t>Day</t>
        </is>
      </c>
      <c r="B5" s="5" t="inlineStr">
        <is>
          <t>Date</t>
        </is>
      </c>
      <c r="C5" s="5" t="inlineStr">
        <is>
          <t>Exercise</t>
        </is>
      </c>
      <c r="D5" s="5" t="inlineStr">
        <is>
          <t>Sets</t>
        </is>
      </c>
      <c r="E5" s="5" t="inlineStr">
        <is>
          <t>Reps</t>
        </is>
      </c>
      <c r="F5" s="5" t="inlineStr">
        <is>
          <t>% TM</t>
        </is>
      </c>
      <c r="G5" s="5" t="inlineStr">
        <is>
          <t>Training max</t>
        </is>
      </c>
      <c r="H5" s="5" t="inlineStr">
        <is>
          <t>Weight / target</t>
        </is>
      </c>
      <c r="I5" s="5" t="inlineStr">
        <is>
          <t>Actual (weight, height or distance)</t>
        </is>
      </c>
      <c r="J5" s="5" t="inlineStr">
        <is>
          <t>Actual reps</t>
        </is>
      </c>
      <c r="K5" s="5" t="inlineStr">
        <is>
          <t>Est. 1RM</t>
        </is>
      </c>
      <c r="L5" s="5" t="inlineStr">
        <is>
          <t>PR</t>
        </is>
      </c>
      <c r="M5" s="5" t="inlineStr">
        <is>
          <t>Notes</t>
        </is>
      </c>
      <c r="N5" s="5" t="inlineStr">
        <is>
          <t>Guidance</t>
        </is>
      </c>
    </row>
    <row r="6">
      <c r="A6" s="26" t="inlineStr">
        <is>
          <t>Day 1 - Heavy</t>
        </is>
      </c>
      <c r="B6" s="27">
        <f>'Start Here'!$B$7+133</f>
        <v/>
      </c>
      <c r="C6" s="28" t="inlineStr">
        <is>
          <t>Box Jump</t>
        </is>
      </c>
      <c r="D6" s="29" t="n">
        <v>2</v>
      </c>
      <c r="E6" s="29" t="inlineStr">
        <is>
          <t>3</t>
        </is>
      </c>
      <c r="F6" s="29" t="n"/>
      <c r="G6" s="30" t="n"/>
      <c r="H6" s="31">
        <f>IFERROR(IF(PRs!D69&lt;'Start Here'!$H$15,'Start Here'!$H$15,IF(PRs!D69&lt;'Start Here'!$H$16,'Start Here'!$H$16,IF(PRs!D69&lt;'Start Here'!$H$17,'Start Here'!$H$17,IF(PRs!D69&lt;'Start Here'!$H$18,'Start Here'!$H$18,"Elite!")))),"")</f>
        <v/>
      </c>
      <c r="I6" s="32" t="n"/>
      <c r="J6" s="32" t="n"/>
      <c r="K6" s="29" t="n"/>
      <c r="L6" s="33">
        <f>IF(I6="","",IF(I6&gt;=PRs!D69,"PR!",""))</f>
        <v/>
      </c>
      <c r="M6" s="32" t="n"/>
      <c r="N6" s="34" t="inlineStr">
        <is>
          <t>Explode up, land softly, STEP down. Full reset between reps. Log your box height; check the standards</t>
        </is>
      </c>
    </row>
    <row r="7">
      <c r="A7" s="26" t="inlineStr">
        <is>
          <t>Day 1 - Heavy</t>
        </is>
      </c>
      <c r="B7" s="27">
        <f>'Start Here'!$B$7+133</f>
        <v/>
      </c>
      <c r="C7" s="31" t="inlineStr">
        <is>
          <t>Snatch</t>
        </is>
      </c>
      <c r="D7" s="29" t="n">
        <v>2</v>
      </c>
      <c r="E7" s="29" t="inlineStr">
        <is>
          <t>2</t>
        </is>
      </c>
      <c r="F7" s="29" t="n">
        <v>65</v>
      </c>
      <c r="G7" s="30">
        <f>Maxes!F6</f>
        <v/>
      </c>
      <c r="H7" s="31">
        <f>IF(OR(G7="",F7=""),"",MROUND(G7*F7/100,'Start Here'!$B$6))</f>
        <v/>
      </c>
      <c r="I7" s="32" t="n"/>
      <c r="J7" s="32" t="n"/>
      <c r="K7" s="29">
        <f>IF(OR(I7="",J7=""),"",IF(J7=1,I7,ROUND(I7*(1+J7/30),1)))</f>
        <v/>
      </c>
      <c r="L7" s="33">
        <f>IF(K7="","",IF(K7&gt;=PRs!C6,"PR!",""))</f>
        <v/>
      </c>
      <c r="M7" s="32" t="n"/>
      <c r="N7" s="34" t="inlineStr">
        <is>
          <t>Easy week - move fast, recover</t>
        </is>
      </c>
    </row>
    <row r="8">
      <c r="A8" s="26" t="inlineStr">
        <is>
          <t>Day 1 - Heavy</t>
        </is>
      </c>
      <c r="B8" s="27">
        <f>'Start Here'!$B$7+133</f>
        <v/>
      </c>
      <c r="C8" s="31" t="inlineStr">
        <is>
          <t>Squat</t>
        </is>
      </c>
      <c r="D8" s="29" t="n">
        <v>2</v>
      </c>
      <c r="E8" s="29" t="inlineStr">
        <is>
          <t>5</t>
        </is>
      </c>
      <c r="F8" s="29" t="n">
        <v>65</v>
      </c>
      <c r="G8" s="30">
        <f>Maxes!F2</f>
        <v/>
      </c>
      <c r="H8" s="31">
        <f>IF(OR(G8="",F8=""),"",MROUND(G8*F8/100,'Start Here'!$B$6))</f>
        <v/>
      </c>
      <c r="I8" s="32" t="n"/>
      <c r="J8" s="32" t="n"/>
      <c r="K8" s="29">
        <f>IF(OR(I8="",J8=""),"",IF(J8=1,I8,ROUND(I8*(1+J8/30),1)))</f>
        <v/>
      </c>
      <c r="L8" s="33">
        <f>IF(K8="","",IF(K8&gt;=PRs!C2,"PR!",""))</f>
        <v/>
      </c>
      <c r="M8" s="32" t="n"/>
      <c r="N8" s="34" t="inlineStr">
        <is>
          <t>Easy week - move fast, recover</t>
        </is>
      </c>
    </row>
    <row r="9">
      <c r="A9" s="26" t="inlineStr">
        <is>
          <t>Day 1 - Heavy</t>
        </is>
      </c>
      <c r="B9" s="27">
        <f>'Start Here'!$B$7+133</f>
        <v/>
      </c>
      <c r="C9" s="31" t="inlineStr">
        <is>
          <t>Bench Press</t>
        </is>
      </c>
      <c r="D9" s="29" t="n">
        <v>2</v>
      </c>
      <c r="E9" s="29" t="inlineStr">
        <is>
          <t>5</t>
        </is>
      </c>
      <c r="F9" s="29" t="n">
        <v>65</v>
      </c>
      <c r="G9" s="30">
        <f>Maxes!F3</f>
        <v/>
      </c>
      <c r="H9" s="31">
        <f>IF(OR(G9="",F9=""),"",MROUND(G9*F9/100,'Start Here'!$B$6))</f>
        <v/>
      </c>
      <c r="I9" s="32" t="n"/>
      <c r="J9" s="32" t="n"/>
      <c r="K9" s="29">
        <f>IF(OR(I9="",J9=""),"",IF(J9=1,I9,ROUND(I9*(1+J9/30),1)))</f>
        <v/>
      </c>
      <c r="L9" s="33">
        <f>IF(K9="","",IF(K9&gt;=PRs!C3,"PR!",""))</f>
        <v/>
      </c>
      <c r="M9" s="32" t="n"/>
      <c r="N9" s="34" t="inlineStr">
        <is>
          <t>Easy week - move fast, recover</t>
        </is>
      </c>
    </row>
    <row r="10">
      <c r="A10" s="26" t="inlineStr">
        <is>
          <t>Day 1 - Heavy</t>
        </is>
      </c>
      <c r="B10" s="27">
        <f>'Start Here'!$B$7+133</f>
        <v/>
      </c>
      <c r="C10" s="29" t="inlineStr">
        <is>
          <t>Barbell Row</t>
        </is>
      </c>
      <c r="D10" s="29" t="n">
        <v>2</v>
      </c>
      <c r="E10" s="29" t="inlineStr">
        <is>
          <t>8-10</t>
        </is>
      </c>
      <c r="F10" s="29" t="n"/>
      <c r="G10" s="30" t="n"/>
      <c r="H10" s="31" t="n"/>
      <c r="I10" s="32" t="n"/>
      <c r="J10" s="32" t="n"/>
      <c r="K10" s="29">
        <f>IF(OR(I10="",J10=""),"",IF(J10=1,I10,ROUND(I10*(1+J10/30),1)))</f>
        <v/>
      </c>
      <c r="L10" s="33">
        <f>IF(K10="","",IF(K10&gt;=PRs!C50,"PR!",""))</f>
        <v/>
      </c>
      <c r="M10" s="32" t="n"/>
      <c r="N10" s="34" t="inlineStr">
        <is>
          <t>Easy - stop well short of failure</t>
        </is>
      </c>
    </row>
    <row r="11">
      <c r="A11" s="26" t="inlineStr">
        <is>
          <t>Day 1 - Heavy</t>
        </is>
      </c>
      <c r="B11" s="27">
        <f>'Start Here'!$B$7+133</f>
        <v/>
      </c>
      <c r="C11" s="29" t="inlineStr">
        <is>
          <t>Face Pull</t>
        </is>
      </c>
      <c r="D11" s="29" t="n">
        <v>2</v>
      </c>
      <c r="E11" s="29" t="inlineStr">
        <is>
          <t>12-15</t>
        </is>
      </c>
      <c r="F11" s="29" t="n"/>
      <c r="G11" s="30" t="n"/>
      <c r="H11" s="31" t="n"/>
      <c r="I11" s="32" t="n"/>
      <c r="J11" s="32" t="n"/>
      <c r="K11" s="29">
        <f>IF(OR(I11="",J11=""),"",IF(J11=1,I11,ROUND(I11*(1+J11/30),1)))</f>
        <v/>
      </c>
      <c r="L11" s="33">
        <f>IF(K11="","",IF(K11&gt;=PRs!C51,"PR!",""))</f>
        <v/>
      </c>
      <c r="M11" s="32" t="n"/>
      <c r="N11" s="34" t="inlineStr">
        <is>
          <t>Easy - stop well short of failure</t>
        </is>
      </c>
    </row>
    <row r="12">
      <c r="A12" s="26" t="inlineStr">
        <is>
          <t>Day 2 - Light</t>
        </is>
      </c>
      <c r="B12" s="27">
        <f>'Start Here'!$B$7+135</f>
        <v/>
      </c>
      <c r="C12" s="28" t="inlineStr">
        <is>
          <t>Broad Jump</t>
        </is>
      </c>
      <c r="D12" s="29" t="n">
        <v>2</v>
      </c>
      <c r="E12" s="29" t="inlineStr">
        <is>
          <t>3</t>
        </is>
      </c>
      <c r="F12" s="29" t="n"/>
      <c r="G12" s="30" t="n"/>
      <c r="H12" s="31" t="n"/>
      <c r="I12" s="32" t="n"/>
      <c r="J12" s="32" t="n"/>
      <c r="K12" s="29" t="n"/>
      <c r="L12" s="33">
        <f>IF(I12="","",IF(I12&gt;=PRs!D70,"PR!",""))</f>
        <v/>
      </c>
      <c r="M12" s="32" t="n"/>
      <c r="N12" s="34" t="inlineStr">
        <is>
          <t>Two-foot jump for distance, stick the landing. Full reset between reps. Log your best distance</t>
        </is>
      </c>
    </row>
    <row r="13">
      <c r="A13" s="26" t="inlineStr">
        <is>
          <t>Day 2 - Light</t>
        </is>
      </c>
      <c r="B13" s="27">
        <f>'Start Here'!$B$7+135</f>
        <v/>
      </c>
      <c r="C13" s="31" t="inlineStr">
        <is>
          <t>Clean &amp; Jerk</t>
        </is>
      </c>
      <c r="D13" s="29" t="n">
        <v>2</v>
      </c>
      <c r="E13" s="29" t="inlineStr">
        <is>
          <t>2</t>
        </is>
      </c>
      <c r="F13" s="29" t="n">
        <v>65</v>
      </c>
      <c r="G13" s="30">
        <f>Maxes!F7</f>
        <v/>
      </c>
      <c r="H13" s="31">
        <f>IF(OR(G13="",F13=""),"",MROUND(G13*F13/100,'Start Here'!$B$6))</f>
        <v/>
      </c>
      <c r="I13" s="32" t="n"/>
      <c r="J13" s="32" t="n"/>
      <c r="K13" s="29">
        <f>IF(OR(I13="",J13=""),"",IF(J13=1,I13,ROUND(I13*(1+J13/30),1)))</f>
        <v/>
      </c>
      <c r="L13" s="33">
        <f>IF(K13="","",IF(K13&gt;=PRs!C7,"PR!",""))</f>
        <v/>
      </c>
      <c r="M13" s="32" t="n"/>
      <c r="N13" s="34" t="inlineStr">
        <is>
          <t>Easy week - move fast, recover</t>
        </is>
      </c>
    </row>
    <row r="14">
      <c r="A14" s="26" t="inlineStr">
        <is>
          <t>Day 2 - Light</t>
        </is>
      </c>
      <c r="B14" s="27">
        <f>'Start Here'!$B$7+135</f>
        <v/>
      </c>
      <c r="C14" s="31" t="inlineStr">
        <is>
          <t>Squat</t>
        </is>
      </c>
      <c r="D14" s="29" t="n">
        <v>2</v>
      </c>
      <c r="E14" s="29" t="inlineStr">
        <is>
          <t>5</t>
        </is>
      </c>
      <c r="F14" s="29" t="n">
        <v>65</v>
      </c>
      <c r="G14" s="30">
        <f>Maxes!F2</f>
        <v/>
      </c>
      <c r="H14" s="31">
        <f>IF(OR(G14="",F14=""),"",MROUND(G14*F14/100,'Start Here'!$B$6))</f>
        <v/>
      </c>
      <c r="I14" s="32" t="n"/>
      <c r="J14" s="32" t="n"/>
      <c r="K14" s="29">
        <f>IF(OR(I14="",J14=""),"",IF(J14=1,I14,ROUND(I14*(1+J14/30),1)))</f>
        <v/>
      </c>
      <c r="L14" s="33">
        <f>IF(K14="","",IF(K14&gt;=PRs!C2,"PR!",""))</f>
        <v/>
      </c>
      <c r="M14" s="32" t="n"/>
      <c r="N14" s="34" t="inlineStr">
        <is>
          <t>Easy week - move fast, recover</t>
        </is>
      </c>
    </row>
    <row r="15">
      <c r="A15" s="26" t="inlineStr">
        <is>
          <t>Day 2 - Light</t>
        </is>
      </c>
      <c r="B15" s="27">
        <f>'Start Here'!$B$7+135</f>
        <v/>
      </c>
      <c r="C15" s="31" t="inlineStr">
        <is>
          <t>Overhead Press</t>
        </is>
      </c>
      <c r="D15" s="29" t="n">
        <v>2</v>
      </c>
      <c r="E15" s="29" t="inlineStr">
        <is>
          <t>5</t>
        </is>
      </c>
      <c r="F15" s="29" t="n">
        <v>65</v>
      </c>
      <c r="G15" s="30">
        <f>Maxes!F5</f>
        <v/>
      </c>
      <c r="H15" s="31">
        <f>IF(OR(G15="",F15=""),"",MROUND(G15*F15/100,'Start Here'!$B$6))</f>
        <v/>
      </c>
      <c r="I15" s="32" t="n"/>
      <c r="J15" s="32" t="n"/>
      <c r="K15" s="29">
        <f>IF(OR(I15="",J15=""),"",IF(J15=1,I15,ROUND(I15*(1+J15/30),1)))</f>
        <v/>
      </c>
      <c r="L15" s="33">
        <f>IF(K15="","",IF(K15&gt;=PRs!C5,"PR!",""))</f>
        <v/>
      </c>
      <c r="M15" s="32" t="n"/>
      <c r="N15" s="34" t="inlineStr">
        <is>
          <t>Easy week - move fast, recover</t>
        </is>
      </c>
    </row>
    <row r="16">
      <c r="A16" s="26" t="inlineStr">
        <is>
          <t>Day 2 - Light</t>
        </is>
      </c>
      <c r="B16" s="27">
        <f>'Start Here'!$B$7+135</f>
        <v/>
      </c>
      <c r="C16" s="31" t="inlineStr">
        <is>
          <t>Deadlift</t>
        </is>
      </c>
      <c r="D16" s="29" t="n">
        <v>2</v>
      </c>
      <c r="E16" s="29" t="inlineStr">
        <is>
          <t>5</t>
        </is>
      </c>
      <c r="F16" s="29" t="n">
        <v>65</v>
      </c>
      <c r="G16" s="30">
        <f>Maxes!F4</f>
        <v/>
      </c>
      <c r="H16" s="31">
        <f>IF(OR(G16="",F16=""),"",MROUND(G16*F16/100,'Start Here'!$B$6))</f>
        <v/>
      </c>
      <c r="I16" s="32" t="n"/>
      <c r="J16" s="32" t="n"/>
      <c r="K16" s="29">
        <f>IF(OR(I16="",J16=""),"",IF(J16=1,I16,ROUND(I16*(1+J16/30),1)))</f>
        <v/>
      </c>
      <c r="L16" s="33">
        <f>IF(K16="","",IF(K16&gt;=PRs!C4,"PR!",""))</f>
        <v/>
      </c>
      <c r="M16" s="32" t="n"/>
      <c r="N16" s="34" t="inlineStr">
        <is>
          <t>Easy week - move fast, recover</t>
        </is>
      </c>
    </row>
    <row r="17">
      <c r="A17" s="26" t="inlineStr">
        <is>
          <t>Day 2 - Light</t>
        </is>
      </c>
      <c r="B17" s="27">
        <f>'Start Here'!$B$7+135</f>
        <v/>
      </c>
      <c r="C17" s="29" t="inlineStr">
        <is>
          <t>Chin-up</t>
        </is>
      </c>
      <c r="D17" s="29" t="n">
        <v>2</v>
      </c>
      <c r="E17" s="29" t="inlineStr">
        <is>
          <t>6-10</t>
        </is>
      </c>
      <c r="F17" s="29" t="n"/>
      <c r="G17" s="30" t="n"/>
      <c r="H17" s="31" t="n"/>
      <c r="I17" s="32" t="n"/>
      <c r="J17" s="32" t="n"/>
      <c r="K17" s="29">
        <f>IF(OR(I17="",J17=""),"",IF(J17=1,I17,ROUND(I17*(1+J17/30),1)))</f>
        <v/>
      </c>
      <c r="L17" s="33">
        <f>IF(K17="","",IF(K17&gt;=PRs!C53,"PR!",""))</f>
        <v/>
      </c>
      <c r="M17" s="32" t="n"/>
      <c r="N17" s="34" t="inlineStr">
        <is>
          <t>Easy - stop well short of failure</t>
        </is>
      </c>
    </row>
    <row r="18">
      <c r="A18" s="26" t="inlineStr">
        <is>
          <t>Day 2 - Light</t>
        </is>
      </c>
      <c r="B18" s="27">
        <f>'Start Here'!$B$7+135</f>
        <v/>
      </c>
      <c r="C18" s="29" t="inlineStr">
        <is>
          <t>Plank</t>
        </is>
      </c>
      <c r="D18" s="29" t="n">
        <v>2</v>
      </c>
      <c r="E18" s="29" t="inlineStr">
        <is>
          <t>30-60s</t>
        </is>
      </c>
      <c r="F18" s="29" t="n"/>
      <c r="G18" s="30" t="n"/>
      <c r="H18" s="31" t="n"/>
      <c r="I18" s="32" t="n"/>
      <c r="J18" s="32" t="n"/>
      <c r="K18" s="29">
        <f>IF(OR(I18="",J18=""),"",IF(J18=1,I18,ROUND(I18*(1+J18/30),1)))</f>
        <v/>
      </c>
      <c r="L18" s="33">
        <f>IF(K18="","",IF(K18&gt;=PRs!C56,"PR!",""))</f>
        <v/>
      </c>
      <c r="M18" s="32" t="n"/>
      <c r="N18" s="34" t="inlineStr">
        <is>
          <t>Easy - stop well short of failure</t>
        </is>
      </c>
    </row>
    <row r="19">
      <c r="A19" s="26" t="inlineStr">
        <is>
          <t>Day 3 - Variations</t>
        </is>
      </c>
      <c r="B19" s="27">
        <f>'Start Here'!$B$7+137</f>
        <v/>
      </c>
      <c r="C19" s="28" t="inlineStr">
        <is>
          <t>Box Jump</t>
        </is>
      </c>
      <c r="D19" s="29" t="n">
        <v>2</v>
      </c>
      <c r="E19" s="29" t="inlineStr">
        <is>
          <t>3</t>
        </is>
      </c>
      <c r="F19" s="29" t="n"/>
      <c r="G19" s="30" t="n"/>
      <c r="H19" s="31">
        <f>IFERROR(IF(PRs!D69&lt;'Start Here'!$H$15,'Start Here'!$H$15,IF(PRs!D69&lt;'Start Here'!$H$16,'Start Here'!$H$16,IF(PRs!D69&lt;'Start Here'!$H$17,'Start Here'!$H$17,IF(PRs!D69&lt;'Start Here'!$H$18,'Start Here'!$H$18,"Elite!")))),"")</f>
        <v/>
      </c>
      <c r="I19" s="32" t="n"/>
      <c r="J19" s="32" t="n"/>
      <c r="K19" s="29" t="n"/>
      <c r="L19" s="33">
        <f>IF(I19="","",IF(I19&gt;=PRs!D69,"PR!",""))</f>
        <v/>
      </c>
      <c r="M19" s="32" t="n"/>
      <c r="N19" s="34" t="inlineStr">
        <is>
          <t>Explode up, land softly, STEP down. Full reset between reps. Log your box height; check the standards</t>
        </is>
      </c>
    </row>
    <row r="20">
      <c r="A20" s="26" t="inlineStr">
        <is>
          <t>Day 3 - Variations</t>
        </is>
      </c>
      <c r="B20" s="27">
        <f>'Start Here'!$B$7+137</f>
        <v/>
      </c>
      <c r="C20" s="31" t="inlineStr">
        <is>
          <t>Snatch Balance</t>
        </is>
      </c>
      <c r="D20" s="29" t="n">
        <v>2</v>
      </c>
      <c r="E20" s="29" t="inlineStr">
        <is>
          <t>2</t>
        </is>
      </c>
      <c r="F20" s="29" t="n">
        <v>65</v>
      </c>
      <c r="G20" s="30">
        <f>Maxes!F38</f>
        <v/>
      </c>
      <c r="H20" s="31">
        <f>IF(OR(G20="",F20=""),"",MROUND(G20*F20/100,'Start Here'!$B$6))</f>
        <v/>
      </c>
      <c r="I20" s="32" t="n"/>
      <c r="J20" s="32" t="n"/>
      <c r="K20" s="29">
        <f>IF(OR(I20="",J20=""),"",IF(J20=1,I20,ROUND(I20*(1+J20/30),1)))</f>
        <v/>
      </c>
      <c r="L20" s="33">
        <f>IF(K20="","",IF(K20&gt;=PRs!C38,"PR!",""))</f>
        <v/>
      </c>
      <c r="M20" s="32" t="n"/>
      <c r="N20" s="34" t="inlineStr">
        <is>
          <t>Easy week - move fast, recover</t>
        </is>
      </c>
    </row>
    <row r="21">
      <c r="A21" s="26" t="inlineStr">
        <is>
          <t>Day 3 - Variations</t>
        </is>
      </c>
      <c r="B21" s="27">
        <f>'Start Here'!$B$7+137</f>
        <v/>
      </c>
      <c r="C21" s="31" t="inlineStr">
        <is>
          <t>Pin Squat</t>
        </is>
      </c>
      <c r="D21" s="29" t="n">
        <v>2</v>
      </c>
      <c r="E21" s="29" t="inlineStr">
        <is>
          <t>5</t>
        </is>
      </c>
      <c r="F21" s="29" t="n">
        <v>65</v>
      </c>
      <c r="G21" s="30">
        <f>Maxes!F12</f>
        <v/>
      </c>
      <c r="H21" s="31">
        <f>IF(OR(G21="",F21=""),"",MROUND(G21*F21/100,'Start Here'!$B$6))</f>
        <v/>
      </c>
      <c r="I21" s="32" t="n"/>
      <c r="J21" s="32" t="n"/>
      <c r="K21" s="29">
        <f>IF(OR(I21="",J21=""),"",IF(J21=1,I21,ROUND(I21*(1+J21/30),1)))</f>
        <v/>
      </c>
      <c r="L21" s="33">
        <f>IF(K21="","",IF(K21&gt;=PRs!C12,"PR!",""))</f>
        <v/>
      </c>
      <c r="M21" s="32" t="n"/>
      <c r="N21" s="34" t="inlineStr">
        <is>
          <t>Easy week - move fast, recover</t>
        </is>
      </c>
    </row>
    <row r="22">
      <c r="A22" s="26" t="inlineStr">
        <is>
          <t>Day 3 - Variations</t>
        </is>
      </c>
      <c r="B22" s="27">
        <f>'Start Here'!$B$7+137</f>
        <v/>
      </c>
      <c r="C22" s="31" t="inlineStr">
        <is>
          <t>Floor Press</t>
        </is>
      </c>
      <c r="D22" s="29" t="n">
        <v>2</v>
      </c>
      <c r="E22" s="29" t="inlineStr">
        <is>
          <t>5</t>
        </is>
      </c>
      <c r="F22" s="29" t="n">
        <v>65</v>
      </c>
      <c r="G22" s="30">
        <f>Maxes!F19</f>
        <v/>
      </c>
      <c r="H22" s="31">
        <f>IF(OR(G22="",F22=""),"",MROUND(G22*F22/100,'Start Here'!$B$6))</f>
        <v/>
      </c>
      <c r="I22" s="32" t="n"/>
      <c r="J22" s="32" t="n"/>
      <c r="K22" s="29">
        <f>IF(OR(I22="",J22=""),"",IF(J22=1,I22,ROUND(I22*(1+J22/30),1)))</f>
        <v/>
      </c>
      <c r="L22" s="33">
        <f>IF(K22="","",IF(K22&gt;=PRs!C19,"PR!",""))</f>
        <v/>
      </c>
      <c r="M22" s="32" t="n"/>
      <c r="N22" s="34" t="inlineStr">
        <is>
          <t>Easy week - move fast, recover</t>
        </is>
      </c>
    </row>
    <row r="23">
      <c r="A23" s="26" t="inlineStr">
        <is>
          <t>Day 3 - Variations</t>
        </is>
      </c>
      <c r="B23" s="27">
        <f>'Start Here'!$B$7+137</f>
        <v/>
      </c>
      <c r="C23" s="31" t="inlineStr">
        <is>
          <t>Romanian Deadlift</t>
        </is>
      </c>
      <c r="D23" s="29" t="n">
        <v>2</v>
      </c>
      <c r="E23" s="29" t="inlineStr">
        <is>
          <t>5</t>
        </is>
      </c>
      <c r="F23" s="29" t="n">
        <v>65</v>
      </c>
      <c r="G23" s="30">
        <f>Maxes!F23</f>
        <v/>
      </c>
      <c r="H23" s="31">
        <f>IF(OR(G23="",F23=""),"",MROUND(G23*F23/100,'Start Here'!$B$6))</f>
        <v/>
      </c>
      <c r="I23" s="32" t="n"/>
      <c r="J23" s="32" t="n"/>
      <c r="K23" s="29">
        <f>IF(OR(I23="",J23=""),"",IF(J23=1,I23,ROUND(I23*(1+J23/30),1)))</f>
        <v/>
      </c>
      <c r="L23" s="33">
        <f>IF(K23="","",IF(K23&gt;=PRs!C23,"PR!",""))</f>
        <v/>
      </c>
      <c r="M23" s="32" t="n"/>
      <c r="N23" s="34" t="inlineStr">
        <is>
          <t>Easy week - move fast, recover</t>
        </is>
      </c>
    </row>
    <row r="24">
      <c r="A24" s="26" t="inlineStr">
        <is>
          <t>Day 3 - Variations</t>
        </is>
      </c>
      <c r="B24" s="27">
        <f>'Start Here'!$B$7+137</f>
        <v/>
      </c>
      <c r="C24" s="29" t="inlineStr">
        <is>
          <t>Incline Dumbbell Press</t>
        </is>
      </c>
      <c r="D24" s="29" t="n">
        <v>2</v>
      </c>
      <c r="E24" s="29" t="inlineStr">
        <is>
          <t>8-12</t>
        </is>
      </c>
      <c r="F24" s="29" t="n"/>
      <c r="G24" s="30" t="n"/>
      <c r="H24" s="31" t="n"/>
      <c r="I24" s="32" t="n"/>
      <c r="J24" s="32" t="n"/>
      <c r="K24" s="29">
        <f>IF(OR(I24="",J24=""),"",IF(J24=1,I24,ROUND(I24*(1+J24/30),1)))</f>
        <v/>
      </c>
      <c r="L24" s="33">
        <f>IF(K24="","",IF(K24&gt;=PRs!C57,"PR!",""))</f>
        <v/>
      </c>
      <c r="M24" s="32" t="n"/>
      <c r="N24" s="34" t="inlineStr">
        <is>
          <t>Easy - stop well short of failure</t>
        </is>
      </c>
    </row>
    <row r="25">
      <c r="A25" s="26" t="inlineStr">
        <is>
          <t>Day 3 - Variations</t>
        </is>
      </c>
      <c r="B25" s="27">
        <f>'Start Here'!$B$7+137</f>
        <v/>
      </c>
      <c r="C25" s="29" t="inlineStr">
        <is>
          <t>Triceps Pushdown</t>
        </is>
      </c>
      <c r="D25" s="29" t="n">
        <v>2</v>
      </c>
      <c r="E25" s="29" t="inlineStr">
        <is>
          <t>10-15</t>
        </is>
      </c>
      <c r="F25" s="29" t="n"/>
      <c r="G25" s="30" t="n"/>
      <c r="H25" s="31" t="n"/>
      <c r="I25" s="32" t="n"/>
      <c r="J25" s="32" t="n"/>
      <c r="K25" s="29">
        <f>IF(OR(I25="",J25=""),"",IF(J25=1,I25,ROUND(I25*(1+J25/30),1)))</f>
        <v/>
      </c>
      <c r="L25" s="33">
        <f>IF(K25="","",IF(K25&gt;=PRs!C59,"PR!",""))</f>
        <v/>
      </c>
      <c r="M25" s="32" t="n"/>
      <c r="N25" s="34" t="inlineStr">
        <is>
          <t>Easy - stop well short of failure</t>
        </is>
      </c>
    </row>
  </sheetData>
  <hyperlinks>
    <hyperlink xmlns:r="http://schemas.openxmlformats.org/officeDocument/2006/relationships" ref="A2" r:id="rId1"/>
    <hyperlink xmlns:r="http://schemas.openxmlformats.org/officeDocument/2006/relationships" ref="C2" r:id="rId2"/>
    <hyperlink xmlns:r="http://schemas.openxmlformats.org/officeDocument/2006/relationships" ref="E2" r:id="rId3"/>
  </hyperlinks>
  <pageMargins left="0.75" right="0.75" top="1" bottom="1" header="0.5" footer="0.5"/>
  <pageSetup orientation="landscape" fitToHeight="0" fitToWidth="1"/>
</worksheet>
</file>

<file path=xl/worksheets/sheet23.xml><?xml version="1.0" encoding="utf-8"?>
<worksheet xmlns="http://schemas.openxmlformats.org/spreadsheetml/2006/main">
  <sheetPr>
    <tabColor rgb="00F8D7D7"/>
    <outlinePr summaryBelow="1" summaryRight="1"/>
    <pageSetUpPr fitToPage="1"/>
  </sheetPr>
  <dimension ref="A1:N25"/>
  <sheetViews>
    <sheetView workbookViewId="0">
      <pane xSplit="3" ySplit="5" topLeftCell="D6" activePane="bottomRight" state="frozen"/>
      <selection pane="topRight"/>
      <selection pane="bottomLeft"/>
      <selection pane="bottomRight" activeCell="A1" sqref="A1"/>
    </sheetView>
  </sheetViews>
  <sheetFormatPr baseColWidth="8" defaultRowHeight="15"/>
  <cols>
    <col width="17" customWidth="1" min="1" max="1"/>
    <col width="11" customWidth="1" min="2" max="2"/>
    <col width="24" customWidth="1" min="3" max="3"/>
    <col width="5" customWidth="1" min="4" max="4"/>
    <col width="6" customWidth="1" min="5" max="5"/>
    <col width="6" customWidth="1" min="6" max="6"/>
    <col width="9" customWidth="1" min="7" max="7"/>
    <col width="10" customWidth="1" min="8" max="8"/>
    <col width="13" customWidth="1" min="9" max="9"/>
    <col width="8" customWidth="1" min="10" max="10"/>
    <col width="9" customWidth="1" min="11" max="11"/>
    <col width="5" customWidth="1" min="12" max="12"/>
    <col width="22" customWidth="1" min="13" max="13"/>
    <col width="62" customWidth="1" min="14" max="14"/>
  </cols>
  <sheetData>
    <row r="1">
      <c r="A1" s="24" t="inlineStr">
        <is>
          <t>Week 21 - Cycle 2 - Realization</t>
        </is>
      </c>
    </row>
    <row r="2">
      <c r="A2" s="25" t="inlineStr">
        <is>
          <t>&lt; Week 20</t>
        </is>
      </c>
      <c r="C2" s="25" t="inlineStr">
        <is>
          <t>Start Here</t>
        </is>
      </c>
      <c r="E2" s="25" t="inlineStr">
        <is>
          <t>Week 22 &gt;</t>
        </is>
      </c>
    </row>
    <row r="3">
      <c r="A3" s="10" t="inlineStr">
        <is>
          <t>Bodyweight this week</t>
        </is>
      </c>
      <c r="C3" s="4" t="n"/>
      <c r="D3" t="inlineStr">
        <is>
          <t>Weigh in once this week: same morning routine, before eating.</t>
        </is>
      </c>
    </row>
    <row r="5">
      <c r="A5" s="5" t="inlineStr">
        <is>
          <t>Day</t>
        </is>
      </c>
      <c r="B5" s="5" t="inlineStr">
        <is>
          <t>Date</t>
        </is>
      </c>
      <c r="C5" s="5" t="inlineStr">
        <is>
          <t>Exercise</t>
        </is>
      </c>
      <c r="D5" s="5" t="inlineStr">
        <is>
          <t>Sets</t>
        </is>
      </c>
      <c r="E5" s="5" t="inlineStr">
        <is>
          <t>Reps</t>
        </is>
      </c>
      <c r="F5" s="5" t="inlineStr">
        <is>
          <t>% TM</t>
        </is>
      </c>
      <c r="G5" s="5" t="inlineStr">
        <is>
          <t>Training max</t>
        </is>
      </c>
      <c r="H5" s="5" t="inlineStr">
        <is>
          <t>Weight / target</t>
        </is>
      </c>
      <c r="I5" s="5" t="inlineStr">
        <is>
          <t>Actual (weight, height or distance)</t>
        </is>
      </c>
      <c r="J5" s="5" t="inlineStr">
        <is>
          <t>Actual reps</t>
        </is>
      </c>
      <c r="K5" s="5" t="inlineStr">
        <is>
          <t>Est. 1RM</t>
        </is>
      </c>
      <c r="L5" s="5" t="inlineStr">
        <is>
          <t>PR</t>
        </is>
      </c>
      <c r="M5" s="5" t="inlineStr">
        <is>
          <t>Notes</t>
        </is>
      </c>
      <c r="N5" s="5" t="inlineStr">
        <is>
          <t>Guidance</t>
        </is>
      </c>
    </row>
    <row r="6">
      <c r="A6" s="26" t="inlineStr">
        <is>
          <t>Day 1 - Heavy</t>
        </is>
      </c>
      <c r="B6" s="27">
        <f>'Start Here'!$B$7+140</f>
        <v/>
      </c>
      <c r="C6" s="28" t="inlineStr">
        <is>
          <t>Box Jump</t>
        </is>
      </c>
      <c r="D6" s="29" t="n">
        <v>3</v>
      </c>
      <c r="E6" s="29" t="inlineStr">
        <is>
          <t>2</t>
        </is>
      </c>
      <c r="F6" s="29" t="n"/>
      <c r="G6" s="30" t="n"/>
      <c r="H6" s="31">
        <f>IFERROR(IF(PRs!D69&lt;'Start Here'!$H$15,'Start Here'!$H$15,IF(PRs!D69&lt;'Start Here'!$H$16,'Start Here'!$H$16,IF(PRs!D69&lt;'Start Here'!$H$17,'Start Here'!$H$17,IF(PRs!D69&lt;'Start Here'!$H$18,'Start Here'!$H$18,"Elite!")))),"")</f>
        <v/>
      </c>
      <c r="I6" s="32" t="n"/>
      <c r="J6" s="32" t="n"/>
      <c r="K6" s="29" t="n"/>
      <c r="L6" s="33">
        <f>IF(I6="","",IF(I6&gt;=PRs!D69,"PR!",""))</f>
        <v/>
      </c>
      <c r="M6" s="32" t="n"/>
      <c r="N6" s="34" t="inlineStr">
        <is>
          <t>Explode up, land softly, STEP down. Full reset between reps. Log your box height; check the standards</t>
        </is>
      </c>
    </row>
    <row r="7">
      <c r="A7" s="26" t="inlineStr">
        <is>
          <t>Day 1 - Heavy</t>
        </is>
      </c>
      <c r="B7" s="27">
        <f>'Start Here'!$B$7+140</f>
        <v/>
      </c>
      <c r="C7" s="31" t="inlineStr">
        <is>
          <t>Snatch</t>
        </is>
      </c>
      <c r="D7" s="29" t="n">
        <v>5</v>
      </c>
      <c r="E7" s="29" t="inlineStr">
        <is>
          <t>2</t>
        </is>
      </c>
      <c r="F7" s="29" t="n">
        <v>85</v>
      </c>
      <c r="G7" s="30">
        <f>Maxes!F6</f>
        <v/>
      </c>
      <c r="H7" s="31">
        <f>IF(OR(G7="",F7=""),"",MROUND(G7*F7/100,'Start Here'!$B$6))</f>
        <v/>
      </c>
      <c r="I7" s="32" t="n"/>
      <c r="J7" s="32" t="n"/>
      <c r="K7" s="29">
        <f>IF(OR(I7="",J7=""),"",IF(J7=1,I7,ROUND(I7*(1+J7/30),1)))</f>
        <v/>
      </c>
      <c r="L7" s="33">
        <f>IF(K7="","",IF(K7&gt;=PRs!C6,"PR!",""))</f>
        <v/>
      </c>
      <c r="M7" s="32" t="n"/>
      <c r="N7" s="34" t="inlineStr"/>
    </row>
    <row r="8">
      <c r="A8" s="26" t="inlineStr">
        <is>
          <t>Day 1 - Heavy</t>
        </is>
      </c>
      <c r="B8" s="27">
        <f>'Start Here'!$B$7+140</f>
        <v/>
      </c>
      <c r="C8" s="31" t="inlineStr">
        <is>
          <t>Squat</t>
        </is>
      </c>
      <c r="D8" s="29" t="n">
        <v>5</v>
      </c>
      <c r="E8" s="29" t="inlineStr">
        <is>
          <t>3</t>
        </is>
      </c>
      <c r="F8" s="29" t="n">
        <v>85</v>
      </c>
      <c r="G8" s="30">
        <f>Maxes!F2</f>
        <v/>
      </c>
      <c r="H8" s="31">
        <f>IF(OR(G8="",F8=""),"",MROUND(G8*F8/100,'Start Here'!$B$6))</f>
        <v/>
      </c>
      <c r="I8" s="32" t="n"/>
      <c r="J8" s="32" t="n"/>
      <c r="K8" s="29">
        <f>IF(OR(I8="",J8=""),"",IF(J8=1,I8,ROUND(I8*(1+J8/30),1)))</f>
        <v/>
      </c>
      <c r="L8" s="33">
        <f>IF(K8="","",IF(K8&gt;=PRs!C2,"PR!",""))</f>
        <v/>
      </c>
      <c r="M8" s="32" t="n"/>
      <c r="N8" s="34" t="inlineStr"/>
    </row>
    <row r="9">
      <c r="A9" s="26" t="inlineStr">
        <is>
          <t>Day 1 - Heavy</t>
        </is>
      </c>
      <c r="B9" s="27">
        <f>'Start Here'!$B$7+140</f>
        <v/>
      </c>
      <c r="C9" s="31" t="inlineStr">
        <is>
          <t>Bench Press</t>
        </is>
      </c>
      <c r="D9" s="29" t="n">
        <v>5</v>
      </c>
      <c r="E9" s="29" t="inlineStr">
        <is>
          <t>3</t>
        </is>
      </c>
      <c r="F9" s="29" t="n">
        <v>85</v>
      </c>
      <c r="G9" s="30">
        <f>Maxes!F3</f>
        <v/>
      </c>
      <c r="H9" s="31">
        <f>IF(OR(G9="",F9=""),"",MROUND(G9*F9/100,'Start Here'!$B$6))</f>
        <v/>
      </c>
      <c r="I9" s="32" t="n"/>
      <c r="J9" s="32" t="n"/>
      <c r="K9" s="29">
        <f>IF(OR(I9="",J9=""),"",IF(J9=1,I9,ROUND(I9*(1+J9/30),1)))</f>
        <v/>
      </c>
      <c r="L9" s="33">
        <f>IF(K9="","",IF(K9&gt;=PRs!C3,"PR!",""))</f>
        <v/>
      </c>
      <c r="M9" s="32" t="n"/>
      <c r="N9" s="34" t="inlineStr"/>
    </row>
    <row r="10">
      <c r="A10" s="26" t="inlineStr">
        <is>
          <t>Day 1 - Heavy</t>
        </is>
      </c>
      <c r="B10" s="27">
        <f>'Start Here'!$B$7+140</f>
        <v/>
      </c>
      <c r="C10" s="29" t="inlineStr">
        <is>
          <t>Barbell Row</t>
        </is>
      </c>
      <c r="D10" s="29" t="n">
        <v>3</v>
      </c>
      <c r="E10" s="29" t="inlineStr">
        <is>
          <t>8-10</t>
        </is>
      </c>
      <c r="F10" s="29" t="n"/>
      <c r="G10" s="30" t="n"/>
      <c r="H10" s="31" t="n"/>
      <c r="I10" s="32" t="n"/>
      <c r="J10" s="32" t="n"/>
      <c r="K10" s="29">
        <f>IF(OR(I10="",J10=""),"",IF(J10=1,I10,ROUND(I10*(1+J10/30),1)))</f>
        <v/>
      </c>
      <c r="L10" s="33">
        <f>IF(K10="","",IF(K10&gt;=PRs!C50,"PR!",""))</f>
        <v/>
      </c>
      <c r="M10" s="32" t="n"/>
      <c r="N10" s="34" t="inlineStr">
        <is>
          <t>Leave 1-2 reps in the tank; add weight when you hit the top of the range</t>
        </is>
      </c>
    </row>
    <row r="11">
      <c r="A11" s="26" t="inlineStr">
        <is>
          <t>Day 1 - Heavy</t>
        </is>
      </c>
      <c r="B11" s="27">
        <f>'Start Here'!$B$7+140</f>
        <v/>
      </c>
      <c r="C11" s="29" t="inlineStr">
        <is>
          <t>Face Pull</t>
        </is>
      </c>
      <c r="D11" s="29" t="n">
        <v>3</v>
      </c>
      <c r="E11" s="29" t="inlineStr">
        <is>
          <t>12-15</t>
        </is>
      </c>
      <c r="F11" s="29" t="n"/>
      <c r="G11" s="30" t="n"/>
      <c r="H11" s="31" t="n"/>
      <c r="I11" s="32" t="n"/>
      <c r="J11" s="32" t="n"/>
      <c r="K11" s="29">
        <f>IF(OR(I11="",J11=""),"",IF(J11=1,I11,ROUND(I11*(1+J11/30),1)))</f>
        <v/>
      </c>
      <c r="L11" s="33">
        <f>IF(K11="","",IF(K11&gt;=PRs!C51,"PR!",""))</f>
        <v/>
      </c>
      <c r="M11" s="32" t="n"/>
      <c r="N11" s="34" t="inlineStr">
        <is>
          <t>Leave 1-2 reps in the tank; add weight when you hit the top of the range</t>
        </is>
      </c>
    </row>
    <row r="12">
      <c r="A12" s="26" t="inlineStr">
        <is>
          <t>Day 2 - Light</t>
        </is>
      </c>
      <c r="B12" s="27">
        <f>'Start Here'!$B$7+142</f>
        <v/>
      </c>
      <c r="C12" s="28" t="inlineStr">
        <is>
          <t>Broad Jump</t>
        </is>
      </c>
      <c r="D12" s="29" t="n">
        <v>3</v>
      </c>
      <c r="E12" s="29" t="inlineStr">
        <is>
          <t>2</t>
        </is>
      </c>
      <c r="F12" s="29" t="n"/>
      <c r="G12" s="30" t="n"/>
      <c r="H12" s="31" t="n"/>
      <c r="I12" s="32" t="n"/>
      <c r="J12" s="32" t="n"/>
      <c r="K12" s="29" t="n"/>
      <c r="L12" s="33">
        <f>IF(I12="","",IF(I12&gt;=PRs!D70,"PR!",""))</f>
        <v/>
      </c>
      <c r="M12" s="32" t="n"/>
      <c r="N12" s="34" t="inlineStr">
        <is>
          <t>Two-foot jump for distance, stick the landing. Full reset between reps. Log your best distance</t>
        </is>
      </c>
    </row>
    <row r="13">
      <c r="A13" s="26" t="inlineStr">
        <is>
          <t>Day 2 - Light</t>
        </is>
      </c>
      <c r="B13" s="27">
        <f>'Start Here'!$B$7+142</f>
        <v/>
      </c>
      <c r="C13" s="31" t="inlineStr">
        <is>
          <t>Clean &amp; Jerk</t>
        </is>
      </c>
      <c r="D13" s="29" t="n">
        <v>5</v>
      </c>
      <c r="E13" s="29" t="inlineStr">
        <is>
          <t>2</t>
        </is>
      </c>
      <c r="F13" s="29" t="n">
        <v>85</v>
      </c>
      <c r="G13" s="30">
        <f>Maxes!F7</f>
        <v/>
      </c>
      <c r="H13" s="31">
        <f>IF(OR(G13="",F13=""),"",MROUND(G13*F13/100,'Start Here'!$B$6))</f>
        <v/>
      </c>
      <c r="I13" s="32" t="n"/>
      <c r="J13" s="32" t="n"/>
      <c r="K13" s="29">
        <f>IF(OR(I13="",J13=""),"",IF(J13=1,I13,ROUND(I13*(1+J13/30),1)))</f>
        <v/>
      </c>
      <c r="L13" s="33">
        <f>IF(K13="","",IF(K13&gt;=PRs!C7,"PR!",""))</f>
        <v/>
      </c>
      <c r="M13" s="32" t="n"/>
      <c r="N13" s="34" t="inlineStr"/>
    </row>
    <row r="14">
      <c r="A14" s="26" t="inlineStr">
        <is>
          <t>Day 2 - Light</t>
        </is>
      </c>
      <c r="B14" s="27">
        <f>'Start Here'!$B$7+142</f>
        <v/>
      </c>
      <c r="C14" s="31" t="inlineStr">
        <is>
          <t>Squat</t>
        </is>
      </c>
      <c r="D14" s="29" t="n">
        <v>4</v>
      </c>
      <c r="E14" s="29" t="inlineStr">
        <is>
          <t>5</t>
        </is>
      </c>
      <c r="F14" s="29" t="n">
        <v>67.5</v>
      </c>
      <c r="G14" s="30">
        <f>Maxes!F2</f>
        <v/>
      </c>
      <c r="H14" s="31">
        <f>IF(OR(G14="",F14=""),"",MROUND(G14*F14/100,'Start Here'!$B$6))</f>
        <v/>
      </c>
      <c r="I14" s="32" t="n"/>
      <c r="J14" s="32" t="n"/>
      <c r="K14" s="29">
        <f>IF(OR(I14="",J14=""),"",IF(J14=1,I14,ROUND(I14*(1+J14/30),1)))</f>
        <v/>
      </c>
      <c r="L14" s="33">
        <f>IF(K14="","",IF(K14&gt;=PRs!C2,"PR!",""))</f>
        <v/>
      </c>
      <c r="M14" s="32" t="n"/>
      <c r="N14" s="34" t="inlineStr"/>
    </row>
    <row r="15">
      <c r="A15" s="26" t="inlineStr">
        <is>
          <t>Day 2 - Light</t>
        </is>
      </c>
      <c r="B15" s="27">
        <f>'Start Here'!$B$7+142</f>
        <v/>
      </c>
      <c r="C15" s="31" t="inlineStr">
        <is>
          <t>Overhead Press</t>
        </is>
      </c>
      <c r="D15" s="29" t="n">
        <v>4</v>
      </c>
      <c r="E15" s="29" t="inlineStr">
        <is>
          <t>5</t>
        </is>
      </c>
      <c r="F15" s="29" t="n">
        <v>77.5</v>
      </c>
      <c r="G15" s="30">
        <f>Maxes!F5</f>
        <v/>
      </c>
      <c r="H15" s="31">
        <f>IF(OR(G15="",F15=""),"",MROUND(G15*F15/100,'Start Here'!$B$6))</f>
        <v/>
      </c>
      <c r="I15" s="32" t="n"/>
      <c r="J15" s="32" t="n"/>
      <c r="K15" s="29">
        <f>IF(OR(I15="",J15=""),"",IF(J15=1,I15,ROUND(I15*(1+J15/30),1)))</f>
        <v/>
      </c>
      <c r="L15" s="33">
        <f>IF(K15="","",IF(K15&gt;=PRs!C5,"PR!",""))</f>
        <v/>
      </c>
      <c r="M15" s="32" t="n"/>
      <c r="N15" s="34" t="inlineStr"/>
    </row>
    <row r="16">
      <c r="A16" s="26" t="inlineStr">
        <is>
          <t>Day 2 - Light</t>
        </is>
      </c>
      <c r="B16" s="27">
        <f>'Start Here'!$B$7+142</f>
        <v/>
      </c>
      <c r="C16" s="31" t="inlineStr">
        <is>
          <t>Deadlift</t>
        </is>
      </c>
      <c r="D16" s="29" t="n">
        <v>3</v>
      </c>
      <c r="E16" s="29" t="inlineStr">
        <is>
          <t>5</t>
        </is>
      </c>
      <c r="F16" s="29" t="n">
        <v>77.5</v>
      </c>
      <c r="G16" s="30">
        <f>Maxes!F4</f>
        <v/>
      </c>
      <c r="H16" s="31">
        <f>IF(OR(G16="",F16=""),"",MROUND(G16*F16/100,'Start Here'!$B$6))</f>
        <v/>
      </c>
      <c r="I16" s="32" t="n"/>
      <c r="J16" s="32" t="n"/>
      <c r="K16" s="29">
        <f>IF(OR(I16="",J16=""),"",IF(J16=1,I16,ROUND(I16*(1+J16/30),1)))</f>
        <v/>
      </c>
      <c r="L16" s="33">
        <f>IF(K16="","",IF(K16&gt;=PRs!C4,"PR!",""))</f>
        <v/>
      </c>
      <c r="M16" s="32" t="n"/>
      <c r="N16" s="34" t="inlineStr"/>
    </row>
    <row r="17">
      <c r="A17" s="26" t="inlineStr">
        <is>
          <t>Day 2 - Light</t>
        </is>
      </c>
      <c r="B17" s="27">
        <f>'Start Here'!$B$7+142</f>
        <v/>
      </c>
      <c r="C17" s="29" t="inlineStr">
        <is>
          <t>Chin-up</t>
        </is>
      </c>
      <c r="D17" s="29" t="n">
        <v>3</v>
      </c>
      <c r="E17" s="29" t="inlineStr">
        <is>
          <t>6-10</t>
        </is>
      </c>
      <c r="F17" s="29" t="n"/>
      <c r="G17" s="30" t="n"/>
      <c r="H17" s="31" t="n"/>
      <c r="I17" s="32" t="n"/>
      <c r="J17" s="32" t="n"/>
      <c r="K17" s="29">
        <f>IF(OR(I17="",J17=""),"",IF(J17=1,I17,ROUND(I17*(1+J17/30),1)))</f>
        <v/>
      </c>
      <c r="L17" s="33">
        <f>IF(K17="","",IF(K17&gt;=PRs!C53,"PR!",""))</f>
        <v/>
      </c>
      <c r="M17" s="32" t="n"/>
      <c r="N17" s="34" t="inlineStr">
        <is>
          <t>Leave 1-2 reps in the tank; add weight when you hit the top of the range</t>
        </is>
      </c>
    </row>
    <row r="18">
      <c r="A18" s="26" t="inlineStr">
        <is>
          <t>Day 2 - Light</t>
        </is>
      </c>
      <c r="B18" s="27">
        <f>'Start Here'!$B$7+142</f>
        <v/>
      </c>
      <c r="C18" s="29" t="inlineStr">
        <is>
          <t>Plank</t>
        </is>
      </c>
      <c r="D18" s="29" t="n">
        <v>3</v>
      </c>
      <c r="E18" s="29" t="inlineStr">
        <is>
          <t>30-60s</t>
        </is>
      </c>
      <c r="F18" s="29" t="n"/>
      <c r="G18" s="30" t="n"/>
      <c r="H18" s="31" t="n"/>
      <c r="I18" s="32" t="n"/>
      <c r="J18" s="32" t="n"/>
      <c r="K18" s="29">
        <f>IF(OR(I18="",J18=""),"",IF(J18=1,I18,ROUND(I18*(1+J18/30),1)))</f>
        <v/>
      </c>
      <c r="L18" s="33">
        <f>IF(K18="","",IF(K18&gt;=PRs!C56,"PR!",""))</f>
        <v/>
      </c>
      <c r="M18" s="32" t="n"/>
      <c r="N18" s="34" t="inlineStr">
        <is>
          <t>Leave 1-2 reps in the tank; add weight when you hit the top of the range</t>
        </is>
      </c>
    </row>
    <row r="19">
      <c r="A19" s="26" t="inlineStr">
        <is>
          <t>Day 3 - Variations</t>
        </is>
      </c>
      <c r="B19" s="27">
        <f>'Start Here'!$B$7+144</f>
        <v/>
      </c>
      <c r="C19" s="28" t="inlineStr">
        <is>
          <t>Box Jump</t>
        </is>
      </c>
      <c r="D19" s="29" t="n">
        <v>3</v>
      </c>
      <c r="E19" s="29" t="inlineStr">
        <is>
          <t>2</t>
        </is>
      </c>
      <c r="F19" s="29" t="n"/>
      <c r="G19" s="30" t="n"/>
      <c r="H19" s="31">
        <f>IFERROR(IF(PRs!D69&lt;'Start Here'!$H$15,'Start Here'!$H$15,IF(PRs!D69&lt;'Start Here'!$H$16,'Start Here'!$H$16,IF(PRs!D69&lt;'Start Here'!$H$17,'Start Here'!$H$17,IF(PRs!D69&lt;'Start Here'!$H$18,'Start Here'!$H$18,"Elite!")))),"")</f>
        <v/>
      </c>
      <c r="I19" s="32" t="n"/>
      <c r="J19" s="32" t="n"/>
      <c r="K19" s="29" t="n"/>
      <c r="L19" s="33">
        <f>IF(I19="","",IF(I19&gt;=PRs!D69,"PR!",""))</f>
        <v/>
      </c>
      <c r="M19" s="32" t="n"/>
      <c r="N19" s="34" t="inlineStr">
        <is>
          <t>Explode up, land softly, STEP down. Full reset between reps. Log your box height; check the standards</t>
        </is>
      </c>
    </row>
    <row r="20">
      <c r="A20" s="26" t="inlineStr">
        <is>
          <t>Day 3 - Variations</t>
        </is>
      </c>
      <c r="B20" s="27">
        <f>'Start Here'!$B$7+144</f>
        <v/>
      </c>
      <c r="C20" s="31" t="inlineStr">
        <is>
          <t>Push Jerk</t>
        </is>
      </c>
      <c r="D20" s="29" t="n">
        <v>4</v>
      </c>
      <c r="E20" s="29" t="inlineStr">
        <is>
          <t>3</t>
        </is>
      </c>
      <c r="F20" s="29" t="n">
        <v>77.5</v>
      </c>
      <c r="G20" s="30">
        <f>Maxes!F45</f>
        <v/>
      </c>
      <c r="H20" s="31">
        <f>IF(OR(G20="",F20=""),"",MROUND(G20*F20/100,'Start Here'!$B$6))</f>
        <v/>
      </c>
      <c r="I20" s="32" t="n"/>
      <c r="J20" s="32" t="n"/>
      <c r="K20" s="29">
        <f>IF(OR(I20="",J20=""),"",IF(J20=1,I20,ROUND(I20*(1+J20/30),1)))</f>
        <v/>
      </c>
      <c r="L20" s="33">
        <f>IF(K20="","",IF(K20&gt;=PRs!C45,"PR!",""))</f>
        <v/>
      </c>
      <c r="M20" s="32" t="n"/>
      <c r="N20" s="34" t="inlineStr"/>
    </row>
    <row r="21">
      <c r="A21" s="26" t="inlineStr">
        <is>
          <t>Day 3 - Variations</t>
        </is>
      </c>
      <c r="B21" s="27">
        <f>'Start Here'!$B$7+144</f>
        <v/>
      </c>
      <c r="C21" s="31" t="inlineStr">
        <is>
          <t>Box Squat</t>
        </is>
      </c>
      <c r="D21" s="29" t="n">
        <v>4</v>
      </c>
      <c r="E21" s="29" t="inlineStr">
        <is>
          <t>5</t>
        </is>
      </c>
      <c r="F21" s="29" t="n">
        <v>77.5</v>
      </c>
      <c r="G21" s="30">
        <f>Maxes!F8</f>
        <v/>
      </c>
      <c r="H21" s="31">
        <f>IF(OR(G21="",F21=""),"",MROUND(G21*F21/100,'Start Here'!$B$6))</f>
        <v/>
      </c>
      <c r="I21" s="32" t="n"/>
      <c r="J21" s="32" t="n"/>
      <c r="K21" s="29">
        <f>IF(OR(I21="",J21=""),"",IF(J21=1,I21,ROUND(I21*(1+J21/30),1)))</f>
        <v/>
      </c>
      <c r="L21" s="33">
        <f>IF(K21="","",IF(K21&gt;=PRs!C8,"PR!",""))</f>
        <v/>
      </c>
      <c r="M21" s="32" t="n"/>
      <c r="N21" s="34" t="inlineStr"/>
    </row>
    <row r="22">
      <c r="A22" s="26" t="inlineStr">
        <is>
          <t>Day 3 - Variations</t>
        </is>
      </c>
      <c r="B22" s="27">
        <f>'Start Here'!$B$7+144</f>
        <v/>
      </c>
      <c r="C22" s="31" t="inlineStr">
        <is>
          <t>3-Board Press</t>
        </is>
      </c>
      <c r="D22" s="29" t="n">
        <v>4</v>
      </c>
      <c r="E22" s="29" t="inlineStr">
        <is>
          <t>5</t>
        </is>
      </c>
      <c r="F22" s="29" t="n">
        <v>77.5</v>
      </c>
      <c r="G22" s="30">
        <f>Maxes!F17</f>
        <v/>
      </c>
      <c r="H22" s="31">
        <f>IF(OR(G22="",F22=""),"",MROUND(G22*F22/100,'Start Here'!$B$6))</f>
        <v/>
      </c>
      <c r="I22" s="32" t="n"/>
      <c r="J22" s="32" t="n"/>
      <c r="K22" s="29">
        <f>IF(OR(I22="",J22=""),"",IF(J22=1,I22,ROUND(I22*(1+J22/30),1)))</f>
        <v/>
      </c>
      <c r="L22" s="33">
        <f>IF(K22="","",IF(K22&gt;=PRs!C17,"PR!",""))</f>
        <v/>
      </c>
      <c r="M22" s="32" t="n"/>
      <c r="N22" s="34" t="inlineStr"/>
    </row>
    <row r="23">
      <c r="A23" s="26" t="inlineStr">
        <is>
          <t>Day 3 - Variations</t>
        </is>
      </c>
      <c r="B23" s="27">
        <f>'Start Here'!$B$7+144</f>
        <v/>
      </c>
      <c r="C23" s="31" t="inlineStr">
        <is>
          <t>Deficit Deadlift</t>
        </is>
      </c>
      <c r="D23" s="29" t="n">
        <v>4</v>
      </c>
      <c r="E23" s="29" t="inlineStr">
        <is>
          <t>5</t>
        </is>
      </c>
      <c r="F23" s="29" t="n">
        <v>67.5</v>
      </c>
      <c r="G23" s="30">
        <f>Maxes!F24</f>
        <v/>
      </c>
      <c r="H23" s="31">
        <f>IF(OR(G23="",F23=""),"",MROUND(G23*F23/100,'Start Here'!$B$6))</f>
        <v/>
      </c>
      <c r="I23" s="32" t="n"/>
      <c r="J23" s="32" t="n"/>
      <c r="K23" s="29">
        <f>IF(OR(I23="",J23=""),"",IF(J23=1,I23,ROUND(I23*(1+J23/30),1)))</f>
        <v/>
      </c>
      <c r="L23" s="33">
        <f>IF(K23="","",IF(K23&gt;=PRs!C24,"PR!",""))</f>
        <v/>
      </c>
      <c r="M23" s="32" t="n"/>
      <c r="N23" s="34" t="inlineStr"/>
    </row>
    <row r="24">
      <c r="A24" s="26" t="inlineStr">
        <is>
          <t>Day 3 - Variations</t>
        </is>
      </c>
      <c r="B24" s="27">
        <f>'Start Here'!$B$7+144</f>
        <v/>
      </c>
      <c r="C24" s="29" t="inlineStr">
        <is>
          <t>Incline Dumbbell Press</t>
        </is>
      </c>
      <c r="D24" s="29" t="n">
        <v>3</v>
      </c>
      <c r="E24" s="29" t="inlineStr">
        <is>
          <t>8-12</t>
        </is>
      </c>
      <c r="F24" s="29" t="n"/>
      <c r="G24" s="30" t="n"/>
      <c r="H24" s="31" t="n"/>
      <c r="I24" s="32" t="n"/>
      <c r="J24" s="32" t="n"/>
      <c r="K24" s="29">
        <f>IF(OR(I24="",J24=""),"",IF(J24=1,I24,ROUND(I24*(1+J24/30),1)))</f>
        <v/>
      </c>
      <c r="L24" s="33">
        <f>IF(K24="","",IF(K24&gt;=PRs!C57,"PR!",""))</f>
        <v/>
      </c>
      <c r="M24" s="32" t="n"/>
      <c r="N24" s="34" t="inlineStr">
        <is>
          <t>Leave 1-2 reps in the tank; add weight when you hit the top of the range</t>
        </is>
      </c>
    </row>
    <row r="25">
      <c r="A25" s="26" t="inlineStr">
        <is>
          <t>Day 3 - Variations</t>
        </is>
      </c>
      <c r="B25" s="27">
        <f>'Start Here'!$B$7+144</f>
        <v/>
      </c>
      <c r="C25" s="29" t="inlineStr">
        <is>
          <t>Triceps Pushdown</t>
        </is>
      </c>
      <c r="D25" s="29" t="n">
        <v>3</v>
      </c>
      <c r="E25" s="29" t="inlineStr">
        <is>
          <t>10-15</t>
        </is>
      </c>
      <c r="F25" s="29" t="n"/>
      <c r="G25" s="30" t="n"/>
      <c r="H25" s="31" t="n"/>
      <c r="I25" s="32" t="n"/>
      <c r="J25" s="32" t="n"/>
      <c r="K25" s="29">
        <f>IF(OR(I25="",J25=""),"",IF(J25=1,I25,ROUND(I25*(1+J25/30),1)))</f>
        <v/>
      </c>
      <c r="L25" s="33">
        <f>IF(K25="","",IF(K25&gt;=PRs!C59,"PR!",""))</f>
        <v/>
      </c>
      <c r="M25" s="32" t="n"/>
      <c r="N25" s="34" t="inlineStr">
        <is>
          <t>Leave 1-2 reps in the tank; add weight when you hit the top of the range</t>
        </is>
      </c>
    </row>
  </sheetData>
  <hyperlinks>
    <hyperlink xmlns:r="http://schemas.openxmlformats.org/officeDocument/2006/relationships" ref="A2" r:id="rId1"/>
    <hyperlink xmlns:r="http://schemas.openxmlformats.org/officeDocument/2006/relationships" ref="C2" r:id="rId2"/>
    <hyperlink xmlns:r="http://schemas.openxmlformats.org/officeDocument/2006/relationships" ref="E2" r:id="rId3"/>
  </hyperlinks>
  <pageMargins left="0.75" right="0.75" top="1" bottom="1" header="0.5" footer="0.5"/>
  <pageSetup orientation="landscape" fitToHeight="0" fitToWidth="1"/>
</worksheet>
</file>

<file path=xl/worksheets/sheet24.xml><?xml version="1.0" encoding="utf-8"?>
<worksheet xmlns="http://schemas.openxmlformats.org/spreadsheetml/2006/main">
  <sheetPr>
    <tabColor rgb="00F8D7D7"/>
    <outlinePr summaryBelow="1" summaryRight="1"/>
    <pageSetUpPr fitToPage="1"/>
  </sheetPr>
  <dimension ref="A1:N25"/>
  <sheetViews>
    <sheetView workbookViewId="0">
      <pane xSplit="3" ySplit="5" topLeftCell="D6" activePane="bottomRight" state="frozen"/>
      <selection pane="topRight"/>
      <selection pane="bottomLeft"/>
      <selection pane="bottomRight" activeCell="A1" sqref="A1"/>
    </sheetView>
  </sheetViews>
  <sheetFormatPr baseColWidth="8" defaultRowHeight="15"/>
  <cols>
    <col width="17" customWidth="1" min="1" max="1"/>
    <col width="11" customWidth="1" min="2" max="2"/>
    <col width="24" customWidth="1" min="3" max="3"/>
    <col width="5" customWidth="1" min="4" max="4"/>
    <col width="6" customWidth="1" min="5" max="5"/>
    <col width="6" customWidth="1" min="6" max="6"/>
    <col width="9" customWidth="1" min="7" max="7"/>
    <col width="10" customWidth="1" min="8" max="8"/>
    <col width="13" customWidth="1" min="9" max="9"/>
    <col width="8" customWidth="1" min="10" max="10"/>
    <col width="9" customWidth="1" min="11" max="11"/>
    <col width="5" customWidth="1" min="12" max="12"/>
    <col width="22" customWidth="1" min="13" max="13"/>
    <col width="62" customWidth="1" min="14" max="14"/>
  </cols>
  <sheetData>
    <row r="1">
      <c r="A1" s="24" t="inlineStr">
        <is>
          <t>Week 22 - Cycle 2 - Realization</t>
        </is>
      </c>
    </row>
    <row r="2">
      <c r="A2" s="25" t="inlineStr">
        <is>
          <t>&lt; Week 21</t>
        </is>
      </c>
      <c r="C2" s="25" t="inlineStr">
        <is>
          <t>Start Here</t>
        </is>
      </c>
      <c r="E2" s="25" t="inlineStr">
        <is>
          <t>Week 23 &gt;</t>
        </is>
      </c>
    </row>
    <row r="3">
      <c r="A3" s="10" t="inlineStr">
        <is>
          <t>Bodyweight this week</t>
        </is>
      </c>
      <c r="C3" s="4" t="n"/>
      <c r="D3" t="inlineStr">
        <is>
          <t>Weigh in once this week: same morning routine, before eating.</t>
        </is>
      </c>
    </row>
    <row r="5">
      <c r="A5" s="5" t="inlineStr">
        <is>
          <t>Day</t>
        </is>
      </c>
      <c r="B5" s="5" t="inlineStr">
        <is>
          <t>Date</t>
        </is>
      </c>
      <c r="C5" s="5" t="inlineStr">
        <is>
          <t>Exercise</t>
        </is>
      </c>
      <c r="D5" s="5" t="inlineStr">
        <is>
          <t>Sets</t>
        </is>
      </c>
      <c r="E5" s="5" t="inlineStr">
        <is>
          <t>Reps</t>
        </is>
      </c>
      <c r="F5" s="5" t="inlineStr">
        <is>
          <t>% TM</t>
        </is>
      </c>
      <c r="G5" s="5" t="inlineStr">
        <is>
          <t>Training max</t>
        </is>
      </c>
      <c r="H5" s="5" t="inlineStr">
        <is>
          <t>Weight / target</t>
        </is>
      </c>
      <c r="I5" s="5" t="inlineStr">
        <is>
          <t>Actual (weight, height or distance)</t>
        </is>
      </c>
      <c r="J5" s="5" t="inlineStr">
        <is>
          <t>Actual reps</t>
        </is>
      </c>
      <c r="K5" s="5" t="inlineStr">
        <is>
          <t>Est. 1RM</t>
        </is>
      </c>
      <c r="L5" s="5" t="inlineStr">
        <is>
          <t>PR</t>
        </is>
      </c>
      <c r="M5" s="5" t="inlineStr">
        <is>
          <t>Notes</t>
        </is>
      </c>
      <c r="N5" s="5" t="inlineStr">
        <is>
          <t>Guidance</t>
        </is>
      </c>
    </row>
    <row r="6">
      <c r="A6" s="26" t="inlineStr">
        <is>
          <t>Day 1 - Heavy</t>
        </is>
      </c>
      <c r="B6" s="27">
        <f>'Start Here'!$B$7+147</f>
        <v/>
      </c>
      <c r="C6" s="28" t="inlineStr">
        <is>
          <t>Box Jump</t>
        </is>
      </c>
      <c r="D6" s="29" t="n">
        <v>3</v>
      </c>
      <c r="E6" s="29" t="inlineStr">
        <is>
          <t>2</t>
        </is>
      </c>
      <c r="F6" s="29" t="n"/>
      <c r="G6" s="30" t="n"/>
      <c r="H6" s="31">
        <f>IFERROR(IF(PRs!D69&lt;'Start Here'!$H$15,'Start Here'!$H$15,IF(PRs!D69&lt;'Start Here'!$H$16,'Start Here'!$H$16,IF(PRs!D69&lt;'Start Here'!$H$17,'Start Here'!$H$17,IF(PRs!D69&lt;'Start Here'!$H$18,'Start Here'!$H$18,"Elite!")))),"")</f>
        <v/>
      </c>
      <c r="I6" s="32" t="n"/>
      <c r="J6" s="32" t="n"/>
      <c r="K6" s="29" t="n"/>
      <c r="L6" s="33">
        <f>IF(I6="","",IF(I6&gt;=PRs!D69,"PR!",""))</f>
        <v/>
      </c>
      <c r="M6" s="32" t="n"/>
      <c r="N6" s="34" t="inlineStr">
        <is>
          <t>Explode up, land softly, STEP down. Full reset between reps. Log your box height; check the standards</t>
        </is>
      </c>
    </row>
    <row r="7">
      <c r="A7" s="26" t="inlineStr">
        <is>
          <t>Day 1 - Heavy</t>
        </is>
      </c>
      <c r="B7" s="27">
        <f>'Start Here'!$B$7+147</f>
        <v/>
      </c>
      <c r="C7" s="31" t="inlineStr">
        <is>
          <t>Snatch</t>
        </is>
      </c>
      <c r="D7" s="29" t="n">
        <v>4</v>
      </c>
      <c r="E7" s="29" t="inlineStr">
        <is>
          <t>1</t>
        </is>
      </c>
      <c r="F7" s="29" t="n">
        <v>90</v>
      </c>
      <c r="G7" s="30">
        <f>Maxes!F6</f>
        <v/>
      </c>
      <c r="H7" s="31">
        <f>IF(OR(G7="",F7=""),"",MROUND(G7*F7/100,'Start Here'!$B$6))</f>
        <v/>
      </c>
      <c r="I7" s="32" t="n"/>
      <c r="J7" s="32" t="n"/>
      <c r="K7" s="29">
        <f>IF(OR(I7="",J7=""),"",IF(J7=1,I7,ROUND(I7*(1+J7/30),1)))</f>
        <v/>
      </c>
      <c r="L7" s="33">
        <f>IF(K7="","",IF(K7&gt;=PRs!C6,"PR!",""))</f>
        <v/>
      </c>
      <c r="M7" s="32" t="n"/>
      <c r="N7" s="34" t="inlineStr"/>
    </row>
    <row r="8">
      <c r="A8" s="26" t="inlineStr">
        <is>
          <t>Day 1 - Heavy</t>
        </is>
      </c>
      <c r="B8" s="27">
        <f>'Start Here'!$B$7+147</f>
        <v/>
      </c>
      <c r="C8" s="31" t="inlineStr">
        <is>
          <t>Squat</t>
        </is>
      </c>
      <c r="D8" s="29" t="n">
        <v>4</v>
      </c>
      <c r="E8" s="29" t="inlineStr">
        <is>
          <t>2</t>
        </is>
      </c>
      <c r="F8" s="29" t="n">
        <v>90</v>
      </c>
      <c r="G8" s="30">
        <f>Maxes!F2</f>
        <v/>
      </c>
      <c r="H8" s="31">
        <f>IF(OR(G8="",F8=""),"",MROUND(G8*F8/100,'Start Here'!$B$6))</f>
        <v/>
      </c>
      <c r="I8" s="32" t="n"/>
      <c r="J8" s="32" t="n"/>
      <c r="K8" s="29">
        <f>IF(OR(I8="",J8=""),"",IF(J8=1,I8,ROUND(I8*(1+J8/30),1)))</f>
        <v/>
      </c>
      <c r="L8" s="33">
        <f>IF(K8="","",IF(K8&gt;=PRs!C2,"PR!",""))</f>
        <v/>
      </c>
      <c r="M8" s="32" t="n"/>
      <c r="N8" s="34" t="inlineStr"/>
    </row>
    <row r="9">
      <c r="A9" s="26" t="inlineStr">
        <is>
          <t>Day 1 - Heavy</t>
        </is>
      </c>
      <c r="B9" s="27">
        <f>'Start Here'!$B$7+147</f>
        <v/>
      </c>
      <c r="C9" s="31" t="inlineStr">
        <is>
          <t>Bench Press</t>
        </is>
      </c>
      <c r="D9" s="29" t="n">
        <v>4</v>
      </c>
      <c r="E9" s="29" t="inlineStr">
        <is>
          <t>2</t>
        </is>
      </c>
      <c r="F9" s="29" t="n">
        <v>90</v>
      </c>
      <c r="G9" s="30">
        <f>Maxes!F3</f>
        <v/>
      </c>
      <c r="H9" s="31">
        <f>IF(OR(G9="",F9=""),"",MROUND(G9*F9/100,'Start Here'!$B$6))</f>
        <v/>
      </c>
      <c r="I9" s="32" t="n"/>
      <c r="J9" s="32" t="n"/>
      <c r="K9" s="29">
        <f>IF(OR(I9="",J9=""),"",IF(J9=1,I9,ROUND(I9*(1+J9/30),1)))</f>
        <v/>
      </c>
      <c r="L9" s="33">
        <f>IF(K9="","",IF(K9&gt;=PRs!C3,"PR!",""))</f>
        <v/>
      </c>
      <c r="M9" s="32" t="n"/>
      <c r="N9" s="34" t="inlineStr"/>
    </row>
    <row r="10">
      <c r="A10" s="26" t="inlineStr">
        <is>
          <t>Day 1 - Heavy</t>
        </is>
      </c>
      <c r="B10" s="27">
        <f>'Start Here'!$B$7+147</f>
        <v/>
      </c>
      <c r="C10" s="29" t="inlineStr">
        <is>
          <t>Barbell Row</t>
        </is>
      </c>
      <c r="D10" s="29" t="n">
        <v>3</v>
      </c>
      <c r="E10" s="29" t="inlineStr">
        <is>
          <t>8-10</t>
        </is>
      </c>
      <c r="F10" s="29" t="n"/>
      <c r="G10" s="30" t="n"/>
      <c r="H10" s="31" t="n"/>
      <c r="I10" s="32" t="n"/>
      <c r="J10" s="32" t="n"/>
      <c r="K10" s="29">
        <f>IF(OR(I10="",J10=""),"",IF(J10=1,I10,ROUND(I10*(1+J10/30),1)))</f>
        <v/>
      </c>
      <c r="L10" s="33">
        <f>IF(K10="","",IF(K10&gt;=PRs!C50,"PR!",""))</f>
        <v/>
      </c>
      <c r="M10" s="32" t="n"/>
      <c r="N10" s="34" t="inlineStr">
        <is>
          <t>Leave 1-2 reps in the tank; add weight when you hit the top of the range</t>
        </is>
      </c>
    </row>
    <row r="11">
      <c r="A11" s="26" t="inlineStr">
        <is>
          <t>Day 1 - Heavy</t>
        </is>
      </c>
      <c r="B11" s="27">
        <f>'Start Here'!$B$7+147</f>
        <v/>
      </c>
      <c r="C11" s="29" t="inlineStr">
        <is>
          <t>Face Pull</t>
        </is>
      </c>
      <c r="D11" s="29" t="n">
        <v>3</v>
      </c>
      <c r="E11" s="29" t="inlineStr">
        <is>
          <t>12-15</t>
        </is>
      </c>
      <c r="F11" s="29" t="n"/>
      <c r="G11" s="30" t="n"/>
      <c r="H11" s="31" t="n"/>
      <c r="I11" s="32" t="n"/>
      <c r="J11" s="32" t="n"/>
      <c r="K11" s="29">
        <f>IF(OR(I11="",J11=""),"",IF(J11=1,I11,ROUND(I11*(1+J11/30),1)))</f>
        <v/>
      </c>
      <c r="L11" s="33">
        <f>IF(K11="","",IF(K11&gt;=PRs!C51,"PR!",""))</f>
        <v/>
      </c>
      <c r="M11" s="32" t="n"/>
      <c r="N11" s="34" t="inlineStr">
        <is>
          <t>Leave 1-2 reps in the tank; add weight when you hit the top of the range</t>
        </is>
      </c>
    </row>
    <row r="12">
      <c r="A12" s="26" t="inlineStr">
        <is>
          <t>Day 2 - Light</t>
        </is>
      </c>
      <c r="B12" s="27">
        <f>'Start Here'!$B$7+149</f>
        <v/>
      </c>
      <c r="C12" s="28" t="inlineStr">
        <is>
          <t>Broad Jump</t>
        </is>
      </c>
      <c r="D12" s="29" t="n">
        <v>3</v>
      </c>
      <c r="E12" s="29" t="inlineStr">
        <is>
          <t>2</t>
        </is>
      </c>
      <c r="F12" s="29" t="n"/>
      <c r="G12" s="30" t="n"/>
      <c r="H12" s="31" t="n"/>
      <c r="I12" s="32" t="n"/>
      <c r="J12" s="32" t="n"/>
      <c r="K12" s="29" t="n"/>
      <c r="L12" s="33">
        <f>IF(I12="","",IF(I12&gt;=PRs!D70,"PR!",""))</f>
        <v/>
      </c>
      <c r="M12" s="32" t="n"/>
      <c r="N12" s="34" t="inlineStr">
        <is>
          <t>Two-foot jump for distance, stick the landing. Full reset between reps. Log your best distance</t>
        </is>
      </c>
    </row>
    <row r="13">
      <c r="A13" s="26" t="inlineStr">
        <is>
          <t>Day 2 - Light</t>
        </is>
      </c>
      <c r="B13" s="27">
        <f>'Start Here'!$B$7+149</f>
        <v/>
      </c>
      <c r="C13" s="31" t="inlineStr">
        <is>
          <t>Clean &amp; Jerk</t>
        </is>
      </c>
      <c r="D13" s="29" t="n">
        <v>4</v>
      </c>
      <c r="E13" s="29" t="inlineStr">
        <is>
          <t>1</t>
        </is>
      </c>
      <c r="F13" s="29" t="n">
        <v>90</v>
      </c>
      <c r="G13" s="30">
        <f>Maxes!F7</f>
        <v/>
      </c>
      <c r="H13" s="31">
        <f>IF(OR(G13="",F13=""),"",MROUND(G13*F13/100,'Start Here'!$B$6))</f>
        <v/>
      </c>
      <c r="I13" s="32" t="n"/>
      <c r="J13" s="32" t="n"/>
      <c r="K13" s="29">
        <f>IF(OR(I13="",J13=""),"",IF(J13=1,I13,ROUND(I13*(1+J13/30),1)))</f>
        <v/>
      </c>
      <c r="L13" s="33">
        <f>IF(K13="","",IF(K13&gt;=PRs!C7,"PR!",""))</f>
        <v/>
      </c>
      <c r="M13" s="32" t="n"/>
      <c r="N13" s="34" t="inlineStr"/>
    </row>
    <row r="14">
      <c r="A14" s="26" t="inlineStr">
        <is>
          <t>Day 2 - Light</t>
        </is>
      </c>
      <c r="B14" s="27">
        <f>'Start Here'!$B$7+149</f>
        <v/>
      </c>
      <c r="C14" s="31" t="inlineStr">
        <is>
          <t>Squat</t>
        </is>
      </c>
      <c r="D14" s="29" t="n">
        <v>3</v>
      </c>
      <c r="E14" s="29" t="inlineStr">
        <is>
          <t>5</t>
        </is>
      </c>
      <c r="F14" s="29" t="n">
        <v>70</v>
      </c>
      <c r="G14" s="30">
        <f>Maxes!F2</f>
        <v/>
      </c>
      <c r="H14" s="31">
        <f>IF(OR(G14="",F14=""),"",MROUND(G14*F14/100,'Start Here'!$B$6))</f>
        <v/>
      </c>
      <c r="I14" s="32" t="n"/>
      <c r="J14" s="32" t="n"/>
      <c r="K14" s="29">
        <f>IF(OR(I14="",J14=""),"",IF(J14=1,I14,ROUND(I14*(1+J14/30),1)))</f>
        <v/>
      </c>
      <c r="L14" s="33">
        <f>IF(K14="","",IF(K14&gt;=PRs!C2,"PR!",""))</f>
        <v/>
      </c>
      <c r="M14" s="32" t="n"/>
      <c r="N14" s="34" t="inlineStr"/>
    </row>
    <row r="15">
      <c r="A15" s="26" t="inlineStr">
        <is>
          <t>Day 2 - Light</t>
        </is>
      </c>
      <c r="B15" s="27">
        <f>'Start Here'!$B$7+149</f>
        <v/>
      </c>
      <c r="C15" s="31" t="inlineStr">
        <is>
          <t>Overhead Press</t>
        </is>
      </c>
      <c r="D15" s="29" t="n">
        <v>5</v>
      </c>
      <c r="E15" s="29" t="inlineStr">
        <is>
          <t>3</t>
        </is>
      </c>
      <c r="F15" s="29" t="n">
        <v>80</v>
      </c>
      <c r="G15" s="30">
        <f>Maxes!F5</f>
        <v/>
      </c>
      <c r="H15" s="31">
        <f>IF(OR(G15="",F15=""),"",MROUND(G15*F15/100,'Start Here'!$B$6))</f>
        <v/>
      </c>
      <c r="I15" s="32" t="n"/>
      <c r="J15" s="32" t="n"/>
      <c r="K15" s="29">
        <f>IF(OR(I15="",J15=""),"",IF(J15=1,I15,ROUND(I15*(1+J15/30),1)))</f>
        <v/>
      </c>
      <c r="L15" s="33">
        <f>IF(K15="","",IF(K15&gt;=PRs!C5,"PR!",""))</f>
        <v/>
      </c>
      <c r="M15" s="32" t="n"/>
      <c r="N15" s="34" t="inlineStr"/>
    </row>
    <row r="16">
      <c r="A16" s="26" t="inlineStr">
        <is>
          <t>Day 2 - Light</t>
        </is>
      </c>
      <c r="B16" s="27">
        <f>'Start Here'!$B$7+149</f>
        <v/>
      </c>
      <c r="C16" s="31" t="inlineStr">
        <is>
          <t>Deadlift</t>
        </is>
      </c>
      <c r="D16" s="29" t="n">
        <v>4</v>
      </c>
      <c r="E16" s="29" t="inlineStr">
        <is>
          <t>3</t>
        </is>
      </c>
      <c r="F16" s="29" t="n">
        <v>80</v>
      </c>
      <c r="G16" s="30">
        <f>Maxes!F4</f>
        <v/>
      </c>
      <c r="H16" s="31">
        <f>IF(OR(G16="",F16=""),"",MROUND(G16*F16/100,'Start Here'!$B$6))</f>
        <v/>
      </c>
      <c r="I16" s="32" t="n"/>
      <c r="J16" s="32" t="n"/>
      <c r="K16" s="29">
        <f>IF(OR(I16="",J16=""),"",IF(J16=1,I16,ROUND(I16*(1+J16/30),1)))</f>
        <v/>
      </c>
      <c r="L16" s="33">
        <f>IF(K16="","",IF(K16&gt;=PRs!C4,"PR!",""))</f>
        <v/>
      </c>
      <c r="M16" s="32" t="n"/>
      <c r="N16" s="34" t="inlineStr"/>
    </row>
    <row r="17">
      <c r="A17" s="26" t="inlineStr">
        <is>
          <t>Day 2 - Light</t>
        </is>
      </c>
      <c r="B17" s="27">
        <f>'Start Here'!$B$7+149</f>
        <v/>
      </c>
      <c r="C17" s="29" t="inlineStr">
        <is>
          <t>Chin-up</t>
        </is>
      </c>
      <c r="D17" s="29" t="n">
        <v>3</v>
      </c>
      <c r="E17" s="29" t="inlineStr">
        <is>
          <t>6-10</t>
        </is>
      </c>
      <c r="F17" s="29" t="n"/>
      <c r="G17" s="30" t="n"/>
      <c r="H17" s="31" t="n"/>
      <c r="I17" s="32" t="n"/>
      <c r="J17" s="32" t="n"/>
      <c r="K17" s="29">
        <f>IF(OR(I17="",J17=""),"",IF(J17=1,I17,ROUND(I17*(1+J17/30),1)))</f>
        <v/>
      </c>
      <c r="L17" s="33">
        <f>IF(K17="","",IF(K17&gt;=PRs!C53,"PR!",""))</f>
        <v/>
      </c>
      <c r="M17" s="32" t="n"/>
      <c r="N17" s="34" t="inlineStr">
        <is>
          <t>Leave 1-2 reps in the tank; add weight when you hit the top of the range</t>
        </is>
      </c>
    </row>
    <row r="18">
      <c r="A18" s="26" t="inlineStr">
        <is>
          <t>Day 2 - Light</t>
        </is>
      </c>
      <c r="B18" s="27">
        <f>'Start Here'!$B$7+149</f>
        <v/>
      </c>
      <c r="C18" s="29" t="inlineStr">
        <is>
          <t>Plank</t>
        </is>
      </c>
      <c r="D18" s="29" t="n">
        <v>3</v>
      </c>
      <c r="E18" s="29" t="inlineStr">
        <is>
          <t>30-60s</t>
        </is>
      </c>
      <c r="F18" s="29" t="n"/>
      <c r="G18" s="30" t="n"/>
      <c r="H18" s="31" t="n"/>
      <c r="I18" s="32" t="n"/>
      <c r="J18" s="32" t="n"/>
      <c r="K18" s="29">
        <f>IF(OR(I18="",J18=""),"",IF(J18=1,I18,ROUND(I18*(1+J18/30),1)))</f>
        <v/>
      </c>
      <c r="L18" s="33">
        <f>IF(K18="","",IF(K18&gt;=PRs!C56,"PR!",""))</f>
        <v/>
      </c>
      <c r="M18" s="32" t="n"/>
      <c r="N18" s="34" t="inlineStr">
        <is>
          <t>Leave 1-2 reps in the tank; add weight when you hit the top of the range</t>
        </is>
      </c>
    </row>
    <row r="19">
      <c r="A19" s="26" t="inlineStr">
        <is>
          <t>Day 3 - Variations</t>
        </is>
      </c>
      <c r="B19" s="27">
        <f>'Start Here'!$B$7+151</f>
        <v/>
      </c>
      <c r="C19" s="28" t="inlineStr">
        <is>
          <t>Box Jump</t>
        </is>
      </c>
      <c r="D19" s="29" t="n">
        <v>3</v>
      </c>
      <c r="E19" s="29" t="inlineStr">
        <is>
          <t>2</t>
        </is>
      </c>
      <c r="F19" s="29" t="n"/>
      <c r="G19" s="30" t="n"/>
      <c r="H19" s="31">
        <f>IFERROR(IF(PRs!D69&lt;'Start Here'!$H$15,'Start Here'!$H$15,IF(PRs!D69&lt;'Start Here'!$H$16,'Start Here'!$H$16,IF(PRs!D69&lt;'Start Here'!$H$17,'Start Here'!$H$17,IF(PRs!D69&lt;'Start Here'!$H$18,'Start Here'!$H$18,"Elite!")))),"")</f>
        <v/>
      </c>
      <c r="I19" s="32" t="n"/>
      <c r="J19" s="32" t="n"/>
      <c r="K19" s="29" t="n"/>
      <c r="L19" s="33">
        <f>IF(I19="","",IF(I19&gt;=PRs!D69,"PR!",""))</f>
        <v/>
      </c>
      <c r="M19" s="32" t="n"/>
      <c r="N19" s="34" t="inlineStr">
        <is>
          <t>Explode up, land softly, STEP down. Full reset between reps. Log your box height; check the standards</t>
        </is>
      </c>
    </row>
    <row r="20">
      <c r="A20" s="26" t="inlineStr">
        <is>
          <t>Day 3 - Variations</t>
        </is>
      </c>
      <c r="B20" s="27">
        <f>'Start Here'!$B$7+151</f>
        <v/>
      </c>
      <c r="C20" s="31" t="inlineStr">
        <is>
          <t>Push Jerk</t>
        </is>
      </c>
      <c r="D20" s="29" t="n">
        <v>5</v>
      </c>
      <c r="E20" s="29" t="inlineStr">
        <is>
          <t>2</t>
        </is>
      </c>
      <c r="F20" s="29" t="n">
        <v>80</v>
      </c>
      <c r="G20" s="30">
        <f>Maxes!F45</f>
        <v/>
      </c>
      <c r="H20" s="31">
        <f>IF(OR(G20="",F20=""),"",MROUND(G20*F20/100,'Start Here'!$B$6))</f>
        <v/>
      </c>
      <c r="I20" s="32" t="n"/>
      <c r="J20" s="32" t="n"/>
      <c r="K20" s="29">
        <f>IF(OR(I20="",J20=""),"",IF(J20=1,I20,ROUND(I20*(1+J20/30),1)))</f>
        <v/>
      </c>
      <c r="L20" s="33">
        <f>IF(K20="","",IF(K20&gt;=PRs!C45,"PR!",""))</f>
        <v/>
      </c>
      <c r="M20" s="32" t="n"/>
      <c r="N20" s="34" t="inlineStr"/>
    </row>
    <row r="21">
      <c r="A21" s="26" t="inlineStr">
        <is>
          <t>Day 3 - Variations</t>
        </is>
      </c>
      <c r="B21" s="27">
        <f>'Start Here'!$B$7+151</f>
        <v/>
      </c>
      <c r="C21" s="31" t="inlineStr">
        <is>
          <t>Box Squat</t>
        </is>
      </c>
      <c r="D21" s="29" t="n">
        <v>5</v>
      </c>
      <c r="E21" s="29" t="inlineStr">
        <is>
          <t>3</t>
        </is>
      </c>
      <c r="F21" s="29" t="n">
        <v>80</v>
      </c>
      <c r="G21" s="30">
        <f>Maxes!F8</f>
        <v/>
      </c>
      <c r="H21" s="31">
        <f>IF(OR(G21="",F21=""),"",MROUND(G21*F21/100,'Start Here'!$B$6))</f>
        <v/>
      </c>
      <c r="I21" s="32" t="n"/>
      <c r="J21" s="32" t="n"/>
      <c r="K21" s="29">
        <f>IF(OR(I21="",J21=""),"",IF(J21=1,I21,ROUND(I21*(1+J21/30),1)))</f>
        <v/>
      </c>
      <c r="L21" s="33">
        <f>IF(K21="","",IF(K21&gt;=PRs!C8,"PR!",""))</f>
        <v/>
      </c>
      <c r="M21" s="32" t="n"/>
      <c r="N21" s="34" t="inlineStr"/>
    </row>
    <row r="22">
      <c r="A22" s="26" t="inlineStr">
        <is>
          <t>Day 3 - Variations</t>
        </is>
      </c>
      <c r="B22" s="27">
        <f>'Start Here'!$B$7+151</f>
        <v/>
      </c>
      <c r="C22" s="31" t="inlineStr">
        <is>
          <t>3-Board Press</t>
        </is>
      </c>
      <c r="D22" s="29" t="n">
        <v>5</v>
      </c>
      <c r="E22" s="29" t="inlineStr">
        <is>
          <t>3</t>
        </is>
      </c>
      <c r="F22" s="29" t="n">
        <v>80</v>
      </c>
      <c r="G22" s="30">
        <f>Maxes!F17</f>
        <v/>
      </c>
      <c r="H22" s="31">
        <f>IF(OR(G22="",F22=""),"",MROUND(G22*F22/100,'Start Here'!$B$6))</f>
        <v/>
      </c>
      <c r="I22" s="32" t="n"/>
      <c r="J22" s="32" t="n"/>
      <c r="K22" s="29">
        <f>IF(OR(I22="",J22=""),"",IF(J22=1,I22,ROUND(I22*(1+J22/30),1)))</f>
        <v/>
      </c>
      <c r="L22" s="33">
        <f>IF(K22="","",IF(K22&gt;=PRs!C17,"PR!",""))</f>
        <v/>
      </c>
      <c r="M22" s="32" t="n"/>
      <c r="N22" s="34" t="inlineStr"/>
    </row>
    <row r="23">
      <c r="A23" s="26" t="inlineStr">
        <is>
          <t>Day 3 - Variations</t>
        </is>
      </c>
      <c r="B23" s="27">
        <f>'Start Here'!$B$7+151</f>
        <v/>
      </c>
      <c r="C23" s="31" t="inlineStr">
        <is>
          <t>Deficit Deadlift</t>
        </is>
      </c>
      <c r="D23" s="29" t="n">
        <v>3</v>
      </c>
      <c r="E23" s="29" t="inlineStr">
        <is>
          <t>5</t>
        </is>
      </c>
      <c r="F23" s="29" t="n">
        <v>70</v>
      </c>
      <c r="G23" s="30">
        <f>Maxes!F24</f>
        <v/>
      </c>
      <c r="H23" s="31">
        <f>IF(OR(G23="",F23=""),"",MROUND(G23*F23/100,'Start Here'!$B$6))</f>
        <v/>
      </c>
      <c r="I23" s="32" t="n"/>
      <c r="J23" s="32" t="n"/>
      <c r="K23" s="29">
        <f>IF(OR(I23="",J23=""),"",IF(J23=1,I23,ROUND(I23*(1+J23/30),1)))</f>
        <v/>
      </c>
      <c r="L23" s="33">
        <f>IF(K23="","",IF(K23&gt;=PRs!C24,"PR!",""))</f>
        <v/>
      </c>
      <c r="M23" s="32" t="n"/>
      <c r="N23" s="34" t="inlineStr"/>
    </row>
    <row r="24">
      <c r="A24" s="26" t="inlineStr">
        <is>
          <t>Day 3 - Variations</t>
        </is>
      </c>
      <c r="B24" s="27">
        <f>'Start Here'!$B$7+151</f>
        <v/>
      </c>
      <c r="C24" s="29" t="inlineStr">
        <is>
          <t>Incline Dumbbell Press</t>
        </is>
      </c>
      <c r="D24" s="29" t="n">
        <v>3</v>
      </c>
      <c r="E24" s="29" t="inlineStr">
        <is>
          <t>8-12</t>
        </is>
      </c>
      <c r="F24" s="29" t="n"/>
      <c r="G24" s="30" t="n"/>
      <c r="H24" s="31" t="n"/>
      <c r="I24" s="32" t="n"/>
      <c r="J24" s="32" t="n"/>
      <c r="K24" s="29">
        <f>IF(OR(I24="",J24=""),"",IF(J24=1,I24,ROUND(I24*(1+J24/30),1)))</f>
        <v/>
      </c>
      <c r="L24" s="33">
        <f>IF(K24="","",IF(K24&gt;=PRs!C57,"PR!",""))</f>
        <v/>
      </c>
      <c r="M24" s="32" t="n"/>
      <c r="N24" s="34" t="inlineStr">
        <is>
          <t>Leave 1-2 reps in the tank; add weight when you hit the top of the range</t>
        </is>
      </c>
    </row>
    <row r="25">
      <c r="A25" s="26" t="inlineStr">
        <is>
          <t>Day 3 - Variations</t>
        </is>
      </c>
      <c r="B25" s="27">
        <f>'Start Here'!$B$7+151</f>
        <v/>
      </c>
      <c r="C25" s="29" t="inlineStr">
        <is>
          <t>Triceps Pushdown</t>
        </is>
      </c>
      <c r="D25" s="29" t="n">
        <v>3</v>
      </c>
      <c r="E25" s="29" t="inlineStr">
        <is>
          <t>10-15</t>
        </is>
      </c>
      <c r="F25" s="29" t="n"/>
      <c r="G25" s="30" t="n"/>
      <c r="H25" s="31" t="n"/>
      <c r="I25" s="32" t="n"/>
      <c r="J25" s="32" t="n"/>
      <c r="K25" s="29">
        <f>IF(OR(I25="",J25=""),"",IF(J25=1,I25,ROUND(I25*(1+J25/30),1)))</f>
        <v/>
      </c>
      <c r="L25" s="33">
        <f>IF(K25="","",IF(K25&gt;=PRs!C59,"PR!",""))</f>
        <v/>
      </c>
      <c r="M25" s="32" t="n"/>
      <c r="N25" s="34" t="inlineStr">
        <is>
          <t>Leave 1-2 reps in the tank; add weight when you hit the top of the range</t>
        </is>
      </c>
    </row>
  </sheetData>
  <hyperlinks>
    <hyperlink xmlns:r="http://schemas.openxmlformats.org/officeDocument/2006/relationships" ref="A2" r:id="rId1"/>
    <hyperlink xmlns:r="http://schemas.openxmlformats.org/officeDocument/2006/relationships" ref="C2" r:id="rId2"/>
    <hyperlink xmlns:r="http://schemas.openxmlformats.org/officeDocument/2006/relationships" ref="E2" r:id="rId3"/>
  </hyperlinks>
  <pageMargins left="0.75" right="0.75" top="1" bottom="1" header="0.5" footer="0.5"/>
  <pageSetup orientation="landscape" fitToHeight="0" fitToWidth="1"/>
</worksheet>
</file>

<file path=xl/worksheets/sheet25.xml><?xml version="1.0" encoding="utf-8"?>
<worksheet xmlns="http://schemas.openxmlformats.org/spreadsheetml/2006/main">
  <sheetPr>
    <tabColor rgb="00EDE0F5"/>
    <outlinePr summaryBelow="1" summaryRight="1"/>
    <pageSetUpPr fitToPage="1"/>
  </sheetPr>
  <dimension ref="A1:N25"/>
  <sheetViews>
    <sheetView workbookViewId="0">
      <pane xSplit="3" ySplit="5" topLeftCell="D6" activePane="bottomRight" state="frozen"/>
      <selection pane="topRight"/>
      <selection pane="bottomLeft"/>
      <selection pane="bottomRight" activeCell="A1" sqref="A1"/>
    </sheetView>
  </sheetViews>
  <sheetFormatPr baseColWidth="8" defaultRowHeight="15"/>
  <cols>
    <col width="17" customWidth="1" min="1" max="1"/>
    <col width="11" customWidth="1" min="2" max="2"/>
    <col width="24" customWidth="1" min="3" max="3"/>
    <col width="5" customWidth="1" min="4" max="4"/>
    <col width="6" customWidth="1" min="5" max="5"/>
    <col width="6" customWidth="1" min="6" max="6"/>
    <col width="9" customWidth="1" min="7" max="7"/>
    <col width="10" customWidth="1" min="8" max="8"/>
    <col width="13" customWidth="1" min="9" max="9"/>
    <col width="8" customWidth="1" min="10" max="10"/>
    <col width="9" customWidth="1" min="11" max="11"/>
    <col width="5" customWidth="1" min="12" max="12"/>
    <col width="22" customWidth="1" min="13" max="13"/>
    <col width="62" customWidth="1" min="14" max="14"/>
  </cols>
  <sheetData>
    <row r="1">
      <c r="A1" s="24" t="inlineStr">
        <is>
          <t>Week 23 - Cycle 2 - Taper</t>
        </is>
      </c>
    </row>
    <row r="2">
      <c r="A2" s="25" t="inlineStr">
        <is>
          <t>&lt; Week 22</t>
        </is>
      </c>
      <c r="C2" s="25" t="inlineStr">
        <is>
          <t>Start Here</t>
        </is>
      </c>
      <c r="E2" s="25" t="inlineStr">
        <is>
          <t>Week 24 &gt;</t>
        </is>
      </c>
    </row>
    <row r="3">
      <c r="A3" s="10" t="inlineStr">
        <is>
          <t>Bodyweight this week</t>
        </is>
      </c>
      <c r="C3" s="4" t="n"/>
      <c r="D3" t="inlineStr">
        <is>
          <t>Weigh in once this week: same morning routine, before eating.</t>
        </is>
      </c>
    </row>
    <row r="4">
      <c r="A4" s="35" t="inlineStr">
        <is>
          <t>Body fat test due this week (month 6) - enter it on the Body sheet</t>
        </is>
      </c>
    </row>
    <row r="5">
      <c r="A5" s="5" t="inlineStr">
        <is>
          <t>Day</t>
        </is>
      </c>
      <c r="B5" s="5" t="inlineStr">
        <is>
          <t>Date</t>
        </is>
      </c>
      <c r="C5" s="5" t="inlineStr">
        <is>
          <t>Exercise</t>
        </is>
      </c>
      <c r="D5" s="5" t="inlineStr">
        <is>
          <t>Sets</t>
        </is>
      </c>
      <c r="E5" s="5" t="inlineStr">
        <is>
          <t>Reps</t>
        </is>
      </c>
      <c r="F5" s="5" t="inlineStr">
        <is>
          <t>% TM</t>
        </is>
      </c>
      <c r="G5" s="5" t="inlineStr">
        <is>
          <t>Training max</t>
        </is>
      </c>
      <c r="H5" s="5" t="inlineStr">
        <is>
          <t>Weight / target</t>
        </is>
      </c>
      <c r="I5" s="5" t="inlineStr">
        <is>
          <t>Actual (weight, height or distance)</t>
        </is>
      </c>
      <c r="J5" s="5" t="inlineStr">
        <is>
          <t>Actual reps</t>
        </is>
      </c>
      <c r="K5" s="5" t="inlineStr">
        <is>
          <t>Est. 1RM</t>
        </is>
      </c>
      <c r="L5" s="5" t="inlineStr">
        <is>
          <t>PR</t>
        </is>
      </c>
      <c r="M5" s="5" t="inlineStr">
        <is>
          <t>Notes</t>
        </is>
      </c>
      <c r="N5" s="5" t="inlineStr">
        <is>
          <t>Guidance</t>
        </is>
      </c>
    </row>
    <row r="6">
      <c r="A6" s="26" t="inlineStr">
        <is>
          <t>Day 1 - Heavy</t>
        </is>
      </c>
      <c r="B6" s="27">
        <f>'Start Here'!$B$7+154</f>
        <v/>
      </c>
      <c r="C6" s="28" t="inlineStr">
        <is>
          <t>Box Jump</t>
        </is>
      </c>
      <c r="D6" s="29" t="n">
        <v>2</v>
      </c>
      <c r="E6" s="29" t="inlineStr">
        <is>
          <t>2</t>
        </is>
      </c>
      <c r="F6" s="29" t="n"/>
      <c r="G6" s="30" t="n"/>
      <c r="H6" s="31">
        <f>IFERROR(IF(PRs!D69&lt;'Start Here'!$H$15,'Start Here'!$H$15,IF(PRs!D69&lt;'Start Here'!$H$16,'Start Here'!$H$16,IF(PRs!D69&lt;'Start Here'!$H$17,'Start Here'!$H$17,IF(PRs!D69&lt;'Start Here'!$H$18,'Start Here'!$H$18,"Elite!")))),"")</f>
        <v/>
      </c>
      <c r="I6" s="32" t="n"/>
      <c r="J6" s="32" t="n"/>
      <c r="K6" s="29" t="n"/>
      <c r="L6" s="33">
        <f>IF(I6="","",IF(I6&gt;=PRs!D69,"PR!",""))</f>
        <v/>
      </c>
      <c r="M6" s="32" t="n"/>
      <c r="N6" s="34" t="inlineStr">
        <is>
          <t>Explode up, land softly, STEP down. Full reset between reps. Log your box height; check the standards</t>
        </is>
      </c>
    </row>
    <row r="7">
      <c r="A7" s="26" t="inlineStr">
        <is>
          <t>Day 1 - Heavy</t>
        </is>
      </c>
      <c r="B7" s="27">
        <f>'Start Here'!$B$7+154</f>
        <v/>
      </c>
      <c r="C7" s="31" t="inlineStr">
        <is>
          <t>Snatch</t>
        </is>
      </c>
      <c r="D7" s="29" t="n">
        <v>3</v>
      </c>
      <c r="E7" s="29" t="inlineStr">
        <is>
          <t>1</t>
        </is>
      </c>
      <c r="F7" s="29" t="n">
        <v>80</v>
      </c>
      <c r="G7" s="30">
        <f>Maxes!F6</f>
        <v/>
      </c>
      <c r="H7" s="31">
        <f>IF(OR(G7="",F7=""),"",MROUND(G7*F7/100,'Start Here'!$B$6))</f>
        <v/>
      </c>
      <c r="I7" s="32" t="n"/>
      <c r="J7" s="32" t="n"/>
      <c r="K7" s="29">
        <f>IF(OR(I7="",J7=""),"",IF(J7=1,I7,ROUND(I7*(1+J7/30),1)))</f>
        <v/>
      </c>
      <c r="L7" s="33">
        <f>IF(K7="","",IF(K7&gt;=PRs!C6,"PR!",""))</f>
        <v/>
      </c>
      <c r="M7" s="32" t="n"/>
      <c r="N7" s="34" t="inlineStr">
        <is>
          <t>Keep it heavy but short - no grinding</t>
        </is>
      </c>
    </row>
    <row r="8">
      <c r="A8" s="26" t="inlineStr">
        <is>
          <t>Day 1 - Heavy</t>
        </is>
      </c>
      <c r="B8" s="27">
        <f>'Start Here'!$B$7+154</f>
        <v/>
      </c>
      <c r="C8" s="31" t="inlineStr">
        <is>
          <t>Squat</t>
        </is>
      </c>
      <c r="D8" s="29" t="n">
        <v>3</v>
      </c>
      <c r="E8" s="29" t="inlineStr">
        <is>
          <t>2</t>
        </is>
      </c>
      <c r="F8" s="29" t="n">
        <v>80</v>
      </c>
      <c r="G8" s="30">
        <f>Maxes!F2</f>
        <v/>
      </c>
      <c r="H8" s="31">
        <f>IF(OR(G8="",F8=""),"",MROUND(G8*F8/100,'Start Here'!$B$6))</f>
        <v/>
      </c>
      <c r="I8" s="32" t="n"/>
      <c r="J8" s="32" t="n"/>
      <c r="K8" s="29">
        <f>IF(OR(I8="",J8=""),"",IF(J8=1,I8,ROUND(I8*(1+J8/30),1)))</f>
        <v/>
      </c>
      <c r="L8" s="33">
        <f>IF(K8="","",IF(K8&gt;=PRs!C2,"PR!",""))</f>
        <v/>
      </c>
      <c r="M8" s="32" t="n"/>
      <c r="N8" s="34" t="inlineStr">
        <is>
          <t>Keep it heavy but short - no grinding</t>
        </is>
      </c>
    </row>
    <row r="9">
      <c r="A9" s="26" t="inlineStr">
        <is>
          <t>Day 1 - Heavy</t>
        </is>
      </c>
      <c r="B9" s="27">
        <f>'Start Here'!$B$7+154</f>
        <v/>
      </c>
      <c r="C9" s="31" t="inlineStr">
        <is>
          <t>Bench Press</t>
        </is>
      </c>
      <c r="D9" s="29" t="n">
        <v>3</v>
      </c>
      <c r="E9" s="29" t="inlineStr">
        <is>
          <t>2</t>
        </is>
      </c>
      <c r="F9" s="29" t="n">
        <v>80</v>
      </c>
      <c r="G9" s="30">
        <f>Maxes!F3</f>
        <v/>
      </c>
      <c r="H9" s="31">
        <f>IF(OR(G9="",F9=""),"",MROUND(G9*F9/100,'Start Here'!$B$6))</f>
        <v/>
      </c>
      <c r="I9" s="32" t="n"/>
      <c r="J9" s="32" t="n"/>
      <c r="K9" s="29">
        <f>IF(OR(I9="",J9=""),"",IF(J9=1,I9,ROUND(I9*(1+J9/30),1)))</f>
        <v/>
      </c>
      <c r="L9" s="33">
        <f>IF(K9="","",IF(K9&gt;=PRs!C3,"PR!",""))</f>
        <v/>
      </c>
      <c r="M9" s="32" t="n"/>
      <c r="N9" s="34" t="inlineStr">
        <is>
          <t>Keep it heavy but short - no grinding</t>
        </is>
      </c>
    </row>
    <row r="10">
      <c r="A10" s="26" t="inlineStr">
        <is>
          <t>Day 1 - Heavy</t>
        </is>
      </c>
      <c r="B10" s="27">
        <f>'Start Here'!$B$7+154</f>
        <v/>
      </c>
      <c r="C10" s="29" t="inlineStr">
        <is>
          <t>Barbell Row</t>
        </is>
      </c>
      <c r="D10" s="29" t="n">
        <v>2</v>
      </c>
      <c r="E10" s="29" t="inlineStr">
        <is>
          <t>8-10</t>
        </is>
      </c>
      <c r="F10" s="29" t="n"/>
      <c r="G10" s="30" t="n"/>
      <c r="H10" s="31" t="n"/>
      <c r="I10" s="32" t="n"/>
      <c r="J10" s="32" t="n"/>
      <c r="K10" s="29">
        <f>IF(OR(I10="",J10=""),"",IF(J10=1,I10,ROUND(I10*(1+J10/30),1)))</f>
        <v/>
      </c>
      <c r="L10" s="33">
        <f>IF(K10="","",IF(K10&gt;=PRs!C50,"PR!",""))</f>
        <v/>
      </c>
      <c r="M10" s="32" t="n"/>
      <c r="N10" s="34" t="inlineStr">
        <is>
          <t>Light - save energy for test week</t>
        </is>
      </c>
    </row>
    <row r="11">
      <c r="A11" s="26" t="inlineStr">
        <is>
          <t>Day 1 - Heavy</t>
        </is>
      </c>
      <c r="B11" s="27">
        <f>'Start Here'!$B$7+154</f>
        <v/>
      </c>
      <c r="C11" s="29" t="inlineStr">
        <is>
          <t>Face Pull</t>
        </is>
      </c>
      <c r="D11" s="29" t="n">
        <v>2</v>
      </c>
      <c r="E11" s="29" t="inlineStr">
        <is>
          <t>12-15</t>
        </is>
      </c>
      <c r="F11" s="29" t="n"/>
      <c r="G11" s="30" t="n"/>
      <c r="H11" s="31" t="n"/>
      <c r="I11" s="32" t="n"/>
      <c r="J11" s="32" t="n"/>
      <c r="K11" s="29">
        <f>IF(OR(I11="",J11=""),"",IF(J11=1,I11,ROUND(I11*(1+J11/30),1)))</f>
        <v/>
      </c>
      <c r="L11" s="33">
        <f>IF(K11="","",IF(K11&gt;=PRs!C51,"PR!",""))</f>
        <v/>
      </c>
      <c r="M11" s="32" t="n"/>
      <c r="N11" s="34" t="inlineStr">
        <is>
          <t>Light - save energy for test week</t>
        </is>
      </c>
    </row>
    <row r="12">
      <c r="A12" s="26" t="inlineStr">
        <is>
          <t>Day 2 - Light</t>
        </is>
      </c>
      <c r="B12" s="27">
        <f>'Start Here'!$B$7+156</f>
        <v/>
      </c>
      <c r="C12" s="28" t="inlineStr">
        <is>
          <t>Broad Jump</t>
        </is>
      </c>
      <c r="D12" s="29" t="n">
        <v>2</v>
      </c>
      <c r="E12" s="29" t="inlineStr">
        <is>
          <t>2</t>
        </is>
      </c>
      <c r="F12" s="29" t="n"/>
      <c r="G12" s="30" t="n"/>
      <c r="H12" s="31" t="n"/>
      <c r="I12" s="32" t="n"/>
      <c r="J12" s="32" t="n"/>
      <c r="K12" s="29" t="n"/>
      <c r="L12" s="33">
        <f>IF(I12="","",IF(I12&gt;=PRs!D70,"PR!",""))</f>
        <v/>
      </c>
      <c r="M12" s="32" t="n"/>
      <c r="N12" s="34" t="inlineStr">
        <is>
          <t>Two-foot jump for distance, stick the landing. Full reset between reps. Log your best distance</t>
        </is>
      </c>
    </row>
    <row r="13">
      <c r="A13" s="26" t="inlineStr">
        <is>
          <t>Day 2 - Light</t>
        </is>
      </c>
      <c r="B13" s="27">
        <f>'Start Here'!$B$7+156</f>
        <v/>
      </c>
      <c r="C13" s="31" t="inlineStr">
        <is>
          <t>Clean &amp; Jerk</t>
        </is>
      </c>
      <c r="D13" s="29" t="n">
        <v>2</v>
      </c>
      <c r="E13" s="29" t="inlineStr">
        <is>
          <t>1</t>
        </is>
      </c>
      <c r="F13" s="29" t="n">
        <v>80</v>
      </c>
      <c r="G13" s="30">
        <f>Maxes!F7</f>
        <v/>
      </c>
      <c r="H13" s="31">
        <f>IF(OR(G13="",F13=""),"",MROUND(G13*F13/100,'Start Here'!$B$6))</f>
        <v/>
      </c>
      <c r="I13" s="32" t="n"/>
      <c r="J13" s="32" t="n"/>
      <c r="K13" s="29">
        <f>IF(OR(I13="",J13=""),"",IF(J13=1,I13,ROUND(I13*(1+J13/30),1)))</f>
        <v/>
      </c>
      <c r="L13" s="33">
        <f>IF(K13="","",IF(K13&gt;=PRs!C7,"PR!",""))</f>
        <v/>
      </c>
      <c r="M13" s="32" t="n"/>
      <c r="N13" s="34" t="inlineStr">
        <is>
          <t>Keep it heavy but short - no grinding</t>
        </is>
      </c>
    </row>
    <row r="14">
      <c r="A14" s="26" t="inlineStr">
        <is>
          <t>Day 2 - Light</t>
        </is>
      </c>
      <c r="B14" s="27">
        <f>'Start Here'!$B$7+156</f>
        <v/>
      </c>
      <c r="C14" s="31" t="inlineStr">
        <is>
          <t>Squat</t>
        </is>
      </c>
      <c r="D14" s="29" t="n">
        <v>2</v>
      </c>
      <c r="E14" s="29" t="inlineStr">
        <is>
          <t>3</t>
        </is>
      </c>
      <c r="F14" s="29" t="n">
        <v>65</v>
      </c>
      <c r="G14" s="30">
        <f>Maxes!F2</f>
        <v/>
      </c>
      <c r="H14" s="31">
        <f>IF(OR(G14="",F14=""),"",MROUND(G14*F14/100,'Start Here'!$B$6))</f>
        <v/>
      </c>
      <c r="I14" s="32" t="n"/>
      <c r="J14" s="32" t="n"/>
      <c r="K14" s="29">
        <f>IF(OR(I14="",J14=""),"",IF(J14=1,I14,ROUND(I14*(1+J14/30),1)))</f>
        <v/>
      </c>
      <c r="L14" s="33">
        <f>IF(K14="","",IF(K14&gt;=PRs!C2,"PR!",""))</f>
        <v/>
      </c>
      <c r="M14" s="32" t="n"/>
      <c r="N14" s="34" t="inlineStr">
        <is>
          <t>Easy</t>
        </is>
      </c>
    </row>
    <row r="15">
      <c r="A15" s="26" t="inlineStr">
        <is>
          <t>Day 2 - Light</t>
        </is>
      </c>
      <c r="B15" s="27">
        <f>'Start Here'!$B$7+156</f>
        <v/>
      </c>
      <c r="C15" s="31" t="inlineStr">
        <is>
          <t>Overhead Press</t>
        </is>
      </c>
      <c r="D15" s="29" t="n">
        <v>2</v>
      </c>
      <c r="E15" s="29" t="inlineStr">
        <is>
          <t>2</t>
        </is>
      </c>
      <c r="F15" s="29" t="n">
        <v>80</v>
      </c>
      <c r="G15" s="30">
        <f>Maxes!F5</f>
        <v/>
      </c>
      <c r="H15" s="31">
        <f>IF(OR(G15="",F15=""),"",MROUND(G15*F15/100,'Start Here'!$B$6))</f>
        <v/>
      </c>
      <c r="I15" s="32" t="n"/>
      <c r="J15" s="32" t="n"/>
      <c r="K15" s="29">
        <f>IF(OR(I15="",J15=""),"",IF(J15=1,I15,ROUND(I15*(1+J15/30),1)))</f>
        <v/>
      </c>
      <c r="L15" s="33">
        <f>IF(K15="","",IF(K15&gt;=PRs!C5,"PR!",""))</f>
        <v/>
      </c>
      <c r="M15" s="32" t="n"/>
      <c r="N15" s="34" t="inlineStr">
        <is>
          <t>Keep it heavy but short - no grinding</t>
        </is>
      </c>
    </row>
    <row r="16">
      <c r="A16" s="26" t="inlineStr">
        <is>
          <t>Day 2 - Light</t>
        </is>
      </c>
      <c r="B16" s="27">
        <f>'Start Here'!$B$7+156</f>
        <v/>
      </c>
      <c r="C16" s="31" t="inlineStr">
        <is>
          <t>Deadlift</t>
        </is>
      </c>
      <c r="D16" s="29" t="n">
        <v>2</v>
      </c>
      <c r="E16" s="29" t="inlineStr">
        <is>
          <t>2</t>
        </is>
      </c>
      <c r="F16" s="29" t="n">
        <v>80</v>
      </c>
      <c r="G16" s="30">
        <f>Maxes!F4</f>
        <v/>
      </c>
      <c r="H16" s="31">
        <f>IF(OR(G16="",F16=""),"",MROUND(G16*F16/100,'Start Here'!$B$6))</f>
        <v/>
      </c>
      <c r="I16" s="32" t="n"/>
      <c r="J16" s="32" t="n"/>
      <c r="K16" s="29">
        <f>IF(OR(I16="",J16=""),"",IF(J16=1,I16,ROUND(I16*(1+J16/30),1)))</f>
        <v/>
      </c>
      <c r="L16" s="33">
        <f>IF(K16="","",IF(K16&gt;=PRs!C4,"PR!",""))</f>
        <v/>
      </c>
      <c r="M16" s="32" t="n"/>
      <c r="N16" s="34" t="inlineStr">
        <is>
          <t>Keep it heavy but short - no grinding</t>
        </is>
      </c>
    </row>
    <row r="17">
      <c r="A17" s="26" t="inlineStr">
        <is>
          <t>Day 2 - Light</t>
        </is>
      </c>
      <c r="B17" s="27">
        <f>'Start Here'!$B$7+156</f>
        <v/>
      </c>
      <c r="C17" s="29" t="inlineStr">
        <is>
          <t>Chin-up</t>
        </is>
      </c>
      <c r="D17" s="29" t="n">
        <v>2</v>
      </c>
      <c r="E17" s="29" t="inlineStr">
        <is>
          <t>6-10</t>
        </is>
      </c>
      <c r="F17" s="29" t="n"/>
      <c r="G17" s="30" t="n"/>
      <c r="H17" s="31" t="n"/>
      <c r="I17" s="32" t="n"/>
      <c r="J17" s="32" t="n"/>
      <c r="K17" s="29">
        <f>IF(OR(I17="",J17=""),"",IF(J17=1,I17,ROUND(I17*(1+J17/30),1)))</f>
        <v/>
      </c>
      <c r="L17" s="33">
        <f>IF(K17="","",IF(K17&gt;=PRs!C53,"PR!",""))</f>
        <v/>
      </c>
      <c r="M17" s="32" t="n"/>
      <c r="N17" s="34" t="inlineStr">
        <is>
          <t>Light - save energy for test week</t>
        </is>
      </c>
    </row>
    <row r="18">
      <c r="A18" s="26" t="inlineStr">
        <is>
          <t>Day 2 - Light</t>
        </is>
      </c>
      <c r="B18" s="27">
        <f>'Start Here'!$B$7+156</f>
        <v/>
      </c>
      <c r="C18" s="29" t="inlineStr">
        <is>
          <t>Plank</t>
        </is>
      </c>
      <c r="D18" s="29" t="n">
        <v>2</v>
      </c>
      <c r="E18" s="29" t="inlineStr">
        <is>
          <t>30-60s</t>
        </is>
      </c>
      <c r="F18" s="29" t="n"/>
      <c r="G18" s="30" t="n"/>
      <c r="H18" s="31" t="n"/>
      <c r="I18" s="32" t="n"/>
      <c r="J18" s="32" t="n"/>
      <c r="K18" s="29">
        <f>IF(OR(I18="",J18=""),"",IF(J18=1,I18,ROUND(I18*(1+J18/30),1)))</f>
        <v/>
      </c>
      <c r="L18" s="33">
        <f>IF(K18="","",IF(K18&gt;=PRs!C56,"PR!",""))</f>
        <v/>
      </c>
      <c r="M18" s="32" t="n"/>
      <c r="N18" s="34" t="inlineStr">
        <is>
          <t>Light - save energy for test week</t>
        </is>
      </c>
    </row>
    <row r="19">
      <c r="A19" s="26" t="inlineStr">
        <is>
          <t>Day 3 - Variations</t>
        </is>
      </c>
      <c r="B19" s="27">
        <f>'Start Here'!$B$7+158</f>
        <v/>
      </c>
      <c r="C19" s="28" t="inlineStr">
        <is>
          <t>Box Jump</t>
        </is>
      </c>
      <c r="D19" s="29" t="n">
        <v>2</v>
      </c>
      <c r="E19" s="29" t="inlineStr">
        <is>
          <t>2</t>
        </is>
      </c>
      <c r="F19" s="29" t="n"/>
      <c r="G19" s="30" t="n"/>
      <c r="H19" s="31">
        <f>IFERROR(IF(PRs!D69&lt;'Start Here'!$H$15,'Start Here'!$H$15,IF(PRs!D69&lt;'Start Here'!$H$16,'Start Here'!$H$16,IF(PRs!D69&lt;'Start Here'!$H$17,'Start Here'!$H$17,IF(PRs!D69&lt;'Start Here'!$H$18,'Start Here'!$H$18,"Elite!")))),"")</f>
        <v/>
      </c>
      <c r="I19" s="32" t="n"/>
      <c r="J19" s="32" t="n"/>
      <c r="K19" s="29" t="n"/>
      <c r="L19" s="33">
        <f>IF(I19="","",IF(I19&gt;=PRs!D69,"PR!",""))</f>
        <v/>
      </c>
      <c r="M19" s="32" t="n"/>
      <c r="N19" s="34" t="inlineStr">
        <is>
          <t>Explode up, land softly, STEP down. Full reset between reps. Log your box height; check the standards</t>
        </is>
      </c>
    </row>
    <row r="20">
      <c r="A20" s="26" t="inlineStr">
        <is>
          <t>Day 3 - Variations</t>
        </is>
      </c>
      <c r="B20" s="27">
        <f>'Start Here'!$B$7+158</f>
        <v/>
      </c>
      <c r="C20" s="31" t="inlineStr">
        <is>
          <t>Push Jerk</t>
        </is>
      </c>
      <c r="D20" s="29" t="n">
        <v>2</v>
      </c>
      <c r="E20" s="29" t="inlineStr">
        <is>
          <t>2</t>
        </is>
      </c>
      <c r="F20" s="29" t="n">
        <v>75</v>
      </c>
      <c r="G20" s="30">
        <f>Maxes!F45</f>
        <v/>
      </c>
      <c r="H20" s="31">
        <f>IF(OR(G20="",F20=""),"",MROUND(G20*F20/100,'Start Here'!$B$6))</f>
        <v/>
      </c>
      <c r="I20" s="32" t="n"/>
      <c r="J20" s="32" t="n"/>
      <c r="K20" s="29">
        <f>IF(OR(I20="",J20=""),"",IF(J20=1,I20,ROUND(I20*(1+J20/30),1)))</f>
        <v/>
      </c>
      <c r="L20" s="33">
        <f>IF(K20="","",IF(K20&gt;=PRs!C45,"PR!",""))</f>
        <v/>
      </c>
      <c r="M20" s="32" t="n"/>
      <c r="N20" s="34" t="inlineStr">
        <is>
          <t>Crisp and fast</t>
        </is>
      </c>
    </row>
    <row r="21">
      <c r="A21" s="26" t="inlineStr">
        <is>
          <t>Day 3 - Variations</t>
        </is>
      </c>
      <c r="B21" s="27">
        <f>'Start Here'!$B$7+158</f>
        <v/>
      </c>
      <c r="C21" s="31" t="inlineStr">
        <is>
          <t>Box Squat</t>
        </is>
      </c>
      <c r="D21" s="29" t="n">
        <v>2</v>
      </c>
      <c r="E21" s="29" t="inlineStr">
        <is>
          <t>3</t>
        </is>
      </c>
      <c r="F21" s="29" t="n">
        <v>75</v>
      </c>
      <c r="G21" s="30">
        <f>Maxes!F8</f>
        <v/>
      </c>
      <c r="H21" s="31">
        <f>IF(OR(G21="",F21=""),"",MROUND(G21*F21/100,'Start Here'!$B$6))</f>
        <v/>
      </c>
      <c r="I21" s="32" t="n"/>
      <c r="J21" s="32" t="n"/>
      <c r="K21" s="29">
        <f>IF(OR(I21="",J21=""),"",IF(J21=1,I21,ROUND(I21*(1+J21/30),1)))</f>
        <v/>
      </c>
      <c r="L21" s="33">
        <f>IF(K21="","",IF(K21&gt;=PRs!C8,"PR!",""))</f>
        <v/>
      </c>
      <c r="M21" s="32" t="n"/>
      <c r="N21" s="34" t="inlineStr">
        <is>
          <t>Crisp and fast</t>
        </is>
      </c>
    </row>
    <row r="22">
      <c r="A22" s="26" t="inlineStr">
        <is>
          <t>Day 3 - Variations</t>
        </is>
      </c>
      <c r="B22" s="27">
        <f>'Start Here'!$B$7+158</f>
        <v/>
      </c>
      <c r="C22" s="31" t="inlineStr">
        <is>
          <t>3-Board Press</t>
        </is>
      </c>
      <c r="D22" s="29" t="n">
        <v>2</v>
      </c>
      <c r="E22" s="29" t="inlineStr">
        <is>
          <t>3</t>
        </is>
      </c>
      <c r="F22" s="29" t="n">
        <v>75</v>
      </c>
      <c r="G22" s="30">
        <f>Maxes!F17</f>
        <v/>
      </c>
      <c r="H22" s="31">
        <f>IF(OR(G22="",F22=""),"",MROUND(G22*F22/100,'Start Here'!$B$6))</f>
        <v/>
      </c>
      <c r="I22" s="32" t="n"/>
      <c r="J22" s="32" t="n"/>
      <c r="K22" s="29">
        <f>IF(OR(I22="",J22=""),"",IF(J22=1,I22,ROUND(I22*(1+J22/30),1)))</f>
        <v/>
      </c>
      <c r="L22" s="33">
        <f>IF(K22="","",IF(K22&gt;=PRs!C17,"PR!",""))</f>
        <v/>
      </c>
      <c r="M22" s="32" t="n"/>
      <c r="N22" s="34" t="inlineStr">
        <is>
          <t>Crisp and fast</t>
        </is>
      </c>
    </row>
    <row r="23">
      <c r="A23" s="26" t="inlineStr">
        <is>
          <t>Day 3 - Variations</t>
        </is>
      </c>
      <c r="B23" s="27">
        <f>'Start Here'!$B$7+158</f>
        <v/>
      </c>
      <c r="C23" s="31" t="inlineStr">
        <is>
          <t>Deficit Deadlift</t>
        </is>
      </c>
      <c r="D23" s="29" t="n">
        <v>2</v>
      </c>
      <c r="E23" s="29" t="inlineStr">
        <is>
          <t>3</t>
        </is>
      </c>
      <c r="F23" s="29" t="n">
        <v>75</v>
      </c>
      <c r="G23" s="30">
        <f>Maxes!F24</f>
        <v/>
      </c>
      <c r="H23" s="31">
        <f>IF(OR(G23="",F23=""),"",MROUND(G23*F23/100,'Start Here'!$B$6))</f>
        <v/>
      </c>
      <c r="I23" s="32" t="n"/>
      <c r="J23" s="32" t="n"/>
      <c r="K23" s="29">
        <f>IF(OR(I23="",J23=""),"",IF(J23=1,I23,ROUND(I23*(1+J23/30),1)))</f>
        <v/>
      </c>
      <c r="L23" s="33">
        <f>IF(K23="","",IF(K23&gt;=PRs!C24,"PR!",""))</f>
        <v/>
      </c>
      <c r="M23" s="32" t="n"/>
      <c r="N23" s="34" t="inlineStr">
        <is>
          <t>Crisp and fast</t>
        </is>
      </c>
    </row>
    <row r="24">
      <c r="A24" s="26" t="inlineStr">
        <is>
          <t>Day 3 - Variations</t>
        </is>
      </c>
      <c r="B24" s="27">
        <f>'Start Here'!$B$7+158</f>
        <v/>
      </c>
      <c r="C24" s="29" t="inlineStr">
        <is>
          <t>Incline Dumbbell Press</t>
        </is>
      </c>
      <c r="D24" s="29" t="n">
        <v>2</v>
      </c>
      <c r="E24" s="29" t="inlineStr">
        <is>
          <t>8-12</t>
        </is>
      </c>
      <c r="F24" s="29" t="n"/>
      <c r="G24" s="30" t="n"/>
      <c r="H24" s="31" t="n"/>
      <c r="I24" s="32" t="n"/>
      <c r="J24" s="32" t="n"/>
      <c r="K24" s="29">
        <f>IF(OR(I24="",J24=""),"",IF(J24=1,I24,ROUND(I24*(1+J24/30),1)))</f>
        <v/>
      </c>
      <c r="L24" s="33">
        <f>IF(K24="","",IF(K24&gt;=PRs!C57,"PR!",""))</f>
        <v/>
      </c>
      <c r="M24" s="32" t="n"/>
      <c r="N24" s="34" t="inlineStr">
        <is>
          <t>Light - save energy for test week</t>
        </is>
      </c>
    </row>
    <row r="25">
      <c r="A25" s="26" t="inlineStr">
        <is>
          <t>Day 3 - Variations</t>
        </is>
      </c>
      <c r="B25" s="27">
        <f>'Start Here'!$B$7+158</f>
        <v/>
      </c>
      <c r="C25" s="29" t="inlineStr">
        <is>
          <t>Triceps Pushdown</t>
        </is>
      </c>
      <c r="D25" s="29" t="n">
        <v>2</v>
      </c>
      <c r="E25" s="29" t="inlineStr">
        <is>
          <t>10-15</t>
        </is>
      </c>
      <c r="F25" s="29" t="n"/>
      <c r="G25" s="30" t="n"/>
      <c r="H25" s="31" t="n"/>
      <c r="I25" s="32" t="n"/>
      <c r="J25" s="32" t="n"/>
      <c r="K25" s="29">
        <f>IF(OR(I25="",J25=""),"",IF(J25=1,I25,ROUND(I25*(1+J25/30),1)))</f>
        <v/>
      </c>
      <c r="L25" s="33">
        <f>IF(K25="","",IF(K25&gt;=PRs!C59,"PR!",""))</f>
        <v/>
      </c>
      <c r="M25" s="32" t="n"/>
      <c r="N25" s="34" t="inlineStr">
        <is>
          <t>Light - save energy for test week</t>
        </is>
      </c>
    </row>
  </sheetData>
  <hyperlinks>
    <hyperlink xmlns:r="http://schemas.openxmlformats.org/officeDocument/2006/relationships" ref="A2" r:id="rId1"/>
    <hyperlink xmlns:r="http://schemas.openxmlformats.org/officeDocument/2006/relationships" ref="C2" r:id="rId2"/>
    <hyperlink xmlns:r="http://schemas.openxmlformats.org/officeDocument/2006/relationships" ref="E2" r:id="rId3"/>
    <hyperlink xmlns:r="http://schemas.openxmlformats.org/officeDocument/2006/relationships" ref="A4" r:id="rId4"/>
  </hyperlinks>
  <pageMargins left="0.75" right="0.75" top="1" bottom="1" header="0.5" footer="0.5"/>
  <pageSetup orientation="landscape" fitToHeight="0" fitToWidth="1"/>
</worksheet>
</file>

<file path=xl/worksheets/sheet26.xml><?xml version="1.0" encoding="utf-8"?>
<worksheet xmlns="http://schemas.openxmlformats.org/spreadsheetml/2006/main">
  <sheetPr>
    <tabColor rgb="00DDE3F7"/>
    <outlinePr summaryBelow="1" summaryRight="1"/>
    <pageSetUpPr fitToPage="1"/>
  </sheetPr>
  <dimension ref="A1:N25"/>
  <sheetViews>
    <sheetView workbookViewId="0">
      <pane xSplit="3" ySplit="5" topLeftCell="D6" activePane="bottomRight" state="frozen"/>
      <selection pane="topRight"/>
      <selection pane="bottomLeft"/>
      <selection pane="bottomRight" activeCell="A1" sqref="A1"/>
    </sheetView>
  </sheetViews>
  <sheetFormatPr baseColWidth="8" defaultRowHeight="15"/>
  <cols>
    <col width="17" customWidth="1" min="1" max="1"/>
    <col width="11" customWidth="1" min="2" max="2"/>
    <col width="24" customWidth="1" min="3" max="3"/>
    <col width="5" customWidth="1" min="4" max="4"/>
    <col width="6" customWidth="1" min="5" max="5"/>
    <col width="6" customWidth="1" min="6" max="6"/>
    <col width="9" customWidth="1" min="7" max="7"/>
    <col width="10" customWidth="1" min="8" max="8"/>
    <col width="13" customWidth="1" min="9" max="9"/>
    <col width="8" customWidth="1" min="10" max="10"/>
    <col width="9" customWidth="1" min="11" max="11"/>
    <col width="5" customWidth="1" min="12" max="12"/>
    <col width="22" customWidth="1" min="13" max="13"/>
    <col width="62" customWidth="1" min="14" max="14"/>
  </cols>
  <sheetData>
    <row r="1">
      <c r="A1" s="24" t="inlineStr">
        <is>
          <t>Week 24 - Cycle 2 - Test</t>
        </is>
      </c>
    </row>
    <row r="2">
      <c r="A2" s="25" t="inlineStr">
        <is>
          <t>&lt; Week 23</t>
        </is>
      </c>
      <c r="C2" s="25" t="inlineStr">
        <is>
          <t>Start Here</t>
        </is>
      </c>
      <c r="E2" s="25" t="inlineStr">
        <is>
          <t>Week 25 &gt;</t>
        </is>
      </c>
    </row>
    <row r="3">
      <c r="A3" s="10" t="inlineStr">
        <is>
          <t>Bodyweight this week</t>
        </is>
      </c>
      <c r="C3" s="4" t="n"/>
      <c r="D3" t="inlineStr">
        <is>
          <t>Weigh in once this week: same morning routine, before eating.</t>
        </is>
      </c>
    </row>
    <row r="5">
      <c r="A5" s="5" t="inlineStr">
        <is>
          <t>Day</t>
        </is>
      </c>
      <c r="B5" s="5" t="inlineStr">
        <is>
          <t>Date</t>
        </is>
      </c>
      <c r="C5" s="5" t="inlineStr">
        <is>
          <t>Exercise</t>
        </is>
      </c>
      <c r="D5" s="5" t="inlineStr">
        <is>
          <t>Sets</t>
        </is>
      </c>
      <c r="E5" s="5" t="inlineStr">
        <is>
          <t>Reps</t>
        </is>
      </c>
      <c r="F5" s="5" t="inlineStr">
        <is>
          <t>% TM</t>
        </is>
      </c>
      <c r="G5" s="5" t="inlineStr">
        <is>
          <t>Training max</t>
        </is>
      </c>
      <c r="H5" s="5" t="inlineStr">
        <is>
          <t>Weight / target</t>
        </is>
      </c>
      <c r="I5" s="5" t="inlineStr">
        <is>
          <t>Actual (weight, height or distance)</t>
        </is>
      </c>
      <c r="J5" s="5" t="inlineStr">
        <is>
          <t>Actual reps</t>
        </is>
      </c>
      <c r="K5" s="5" t="inlineStr">
        <is>
          <t>Est. 1RM</t>
        </is>
      </c>
      <c r="L5" s="5" t="inlineStr">
        <is>
          <t>PR</t>
        </is>
      </c>
      <c r="M5" s="5" t="inlineStr">
        <is>
          <t>Notes</t>
        </is>
      </c>
      <c r="N5" s="5" t="inlineStr">
        <is>
          <t>Guidance</t>
        </is>
      </c>
    </row>
    <row r="6">
      <c r="A6" s="26" t="inlineStr">
        <is>
          <t>Day 1 - Heavy</t>
        </is>
      </c>
      <c r="B6" s="27">
        <f>'Start Here'!$B$7+161</f>
        <v/>
      </c>
      <c r="C6" s="28" t="inlineStr">
        <is>
          <t>Box Jump</t>
        </is>
      </c>
      <c r="D6" s="29" t="n">
        <v>2</v>
      </c>
      <c r="E6" s="29" t="inlineStr">
        <is>
          <t>2</t>
        </is>
      </c>
      <c r="F6" s="29" t="n"/>
      <c r="G6" s="30" t="n"/>
      <c r="H6" s="31">
        <f>IFERROR(IF(PRs!D69&lt;'Start Here'!$H$15,'Start Here'!$H$15,IF(PRs!D69&lt;'Start Here'!$H$16,'Start Here'!$H$16,IF(PRs!D69&lt;'Start Here'!$H$17,'Start Here'!$H$17,IF(PRs!D69&lt;'Start Here'!$H$18,'Start Here'!$H$18,"Elite!")))),"")</f>
        <v/>
      </c>
      <c r="I6" s="32" t="n"/>
      <c r="J6" s="32" t="n"/>
      <c r="K6" s="29" t="n"/>
      <c r="L6" s="33">
        <f>IF(I6="","",IF(I6&gt;=PRs!D69,"PR!",""))</f>
        <v/>
      </c>
      <c r="M6" s="32" t="n"/>
      <c r="N6" s="34" t="inlineStr">
        <is>
          <t>Explode up, land softly, STEP down. Full reset between reps. Log your box height; check the standards</t>
        </is>
      </c>
    </row>
    <row r="7">
      <c r="A7" s="26" t="inlineStr">
        <is>
          <t>Day 1 - Heavy</t>
        </is>
      </c>
      <c r="B7" s="27">
        <f>'Start Here'!$B$7+161</f>
        <v/>
      </c>
      <c r="C7" s="31" t="inlineStr">
        <is>
          <t>Snatch</t>
        </is>
      </c>
      <c r="D7" s="29" t="n">
        <v>1</v>
      </c>
      <c r="E7" s="29" t="inlineStr">
        <is>
          <t>Max</t>
        </is>
      </c>
      <c r="F7" s="29" t="n"/>
      <c r="G7" s="30">
        <f>Maxes!F6</f>
        <v/>
      </c>
      <c r="H7" s="31" t="n"/>
      <c r="I7" s="32" t="n"/>
      <c r="J7" s="32" t="n"/>
      <c r="K7" s="29">
        <f>IF(OR(I7="",J7=""),"",IF(J7=1,I7,ROUND(I7*(1+J7/30),1)))</f>
        <v/>
      </c>
      <c r="L7" s="33">
        <f>IF(K7="","",IF(K7&gt;=PRs!C6,"PR!",""))</f>
        <v/>
      </c>
      <c r="M7" s="32" t="n"/>
      <c r="N7" s="34" t="inlineStr">
        <is>
          <t>Work up in small jumps to a new max (1RM, or a 3RM/5RM if you prefer). Log it - it sets next cycle's weights</t>
        </is>
      </c>
    </row>
    <row r="8">
      <c r="A8" s="26" t="inlineStr">
        <is>
          <t>Day 1 - Heavy</t>
        </is>
      </c>
      <c r="B8" s="27">
        <f>'Start Here'!$B$7+161</f>
        <v/>
      </c>
      <c r="C8" s="31" t="inlineStr">
        <is>
          <t>Squat</t>
        </is>
      </c>
      <c r="D8" s="29" t="n">
        <v>1</v>
      </c>
      <c r="E8" s="29" t="inlineStr">
        <is>
          <t>Max</t>
        </is>
      </c>
      <c r="F8" s="29" t="n"/>
      <c r="G8" s="30">
        <f>Maxes!F2</f>
        <v/>
      </c>
      <c r="H8" s="31" t="n"/>
      <c r="I8" s="32" t="n"/>
      <c r="J8" s="32" t="n"/>
      <c r="K8" s="29">
        <f>IF(OR(I8="",J8=""),"",IF(J8=1,I8,ROUND(I8*(1+J8/30),1)))</f>
        <v/>
      </c>
      <c r="L8" s="33">
        <f>IF(K8="","",IF(K8&gt;=PRs!C2,"PR!",""))</f>
        <v/>
      </c>
      <c r="M8" s="32" t="n"/>
      <c r="N8" s="34" t="inlineStr">
        <is>
          <t>Work up in small jumps to a new max (1RM, or a 3RM/5RM if you prefer). Log it - it sets next cycle's weights</t>
        </is>
      </c>
    </row>
    <row r="9">
      <c r="A9" s="26" t="inlineStr">
        <is>
          <t>Day 1 - Heavy</t>
        </is>
      </c>
      <c r="B9" s="27">
        <f>'Start Here'!$B$7+161</f>
        <v/>
      </c>
      <c r="C9" s="31" t="inlineStr">
        <is>
          <t>Bench Press</t>
        </is>
      </c>
      <c r="D9" s="29" t="n">
        <v>1</v>
      </c>
      <c r="E9" s="29" t="inlineStr">
        <is>
          <t>Max</t>
        </is>
      </c>
      <c r="F9" s="29" t="n"/>
      <c r="G9" s="30">
        <f>Maxes!F3</f>
        <v/>
      </c>
      <c r="H9" s="31" t="n"/>
      <c r="I9" s="32" t="n"/>
      <c r="J9" s="32" t="n"/>
      <c r="K9" s="29">
        <f>IF(OR(I9="",J9=""),"",IF(J9=1,I9,ROUND(I9*(1+J9/30),1)))</f>
        <v/>
      </c>
      <c r="L9" s="33">
        <f>IF(K9="","",IF(K9&gt;=PRs!C3,"PR!",""))</f>
        <v/>
      </c>
      <c r="M9" s="32" t="n"/>
      <c r="N9" s="34" t="inlineStr">
        <is>
          <t>Work up in small jumps to a new max (1RM, or a 3RM/5RM if you prefer). Log it - it sets next cycle's weights</t>
        </is>
      </c>
    </row>
    <row r="10">
      <c r="A10" s="26" t="inlineStr">
        <is>
          <t>Day 1 - Heavy</t>
        </is>
      </c>
      <c r="B10" s="27">
        <f>'Start Here'!$B$7+161</f>
        <v/>
      </c>
      <c r="C10" s="29" t="inlineStr">
        <is>
          <t>Barbell Row</t>
        </is>
      </c>
      <c r="D10" s="29" t="n">
        <v>2</v>
      </c>
      <c r="E10" s="29" t="inlineStr">
        <is>
          <t>8-10</t>
        </is>
      </c>
      <c r="F10" s="29" t="n"/>
      <c r="G10" s="30" t="n"/>
      <c r="H10" s="31" t="n"/>
      <c r="I10" s="32" t="n"/>
      <c r="J10" s="32" t="n"/>
      <c r="K10" s="29">
        <f>IF(OR(I10="",J10=""),"",IF(J10=1,I10,ROUND(I10*(1+J10/30),1)))</f>
        <v/>
      </c>
      <c r="L10" s="33">
        <f>IF(K10="","",IF(K10&gt;=PRs!C50,"PR!",""))</f>
        <v/>
      </c>
      <c r="M10" s="32" t="n"/>
      <c r="N10" s="34" t="inlineStr">
        <is>
          <t>Light</t>
        </is>
      </c>
    </row>
    <row r="11">
      <c r="A11" s="26" t="inlineStr">
        <is>
          <t>Day 1 - Heavy</t>
        </is>
      </c>
      <c r="B11" s="27">
        <f>'Start Here'!$B$7+161</f>
        <v/>
      </c>
      <c r="C11" s="29" t="inlineStr">
        <is>
          <t>Face Pull</t>
        </is>
      </c>
      <c r="D11" s="29" t="n">
        <v>2</v>
      </c>
      <c r="E11" s="29" t="inlineStr">
        <is>
          <t>12-15</t>
        </is>
      </c>
      <c r="F11" s="29" t="n"/>
      <c r="G11" s="30" t="n"/>
      <c r="H11" s="31" t="n"/>
      <c r="I11" s="32" t="n"/>
      <c r="J11" s="32" t="n"/>
      <c r="K11" s="29">
        <f>IF(OR(I11="",J11=""),"",IF(J11=1,I11,ROUND(I11*(1+J11/30),1)))</f>
        <v/>
      </c>
      <c r="L11" s="33">
        <f>IF(K11="","",IF(K11&gt;=PRs!C51,"PR!",""))</f>
        <v/>
      </c>
      <c r="M11" s="32" t="n"/>
      <c r="N11" s="34" t="inlineStr">
        <is>
          <t>Light</t>
        </is>
      </c>
    </row>
    <row r="12">
      <c r="A12" s="26" t="inlineStr">
        <is>
          <t>Day 2 - Light</t>
        </is>
      </c>
      <c r="B12" s="27">
        <f>'Start Here'!$B$7+163</f>
        <v/>
      </c>
      <c r="C12" s="28" t="inlineStr">
        <is>
          <t>Broad Jump</t>
        </is>
      </c>
      <c r="D12" s="29" t="n">
        <v>1</v>
      </c>
      <c r="E12" s="29" t="inlineStr">
        <is>
          <t>Max</t>
        </is>
      </c>
      <c r="F12" s="29" t="n"/>
      <c r="G12" s="30" t="n"/>
      <c r="H12" s="31" t="n"/>
      <c r="I12" s="32" t="n"/>
      <c r="J12" s="32" t="n"/>
      <c r="K12" s="29" t="n"/>
      <c r="L12" s="33">
        <f>IF(I12="","",IF(I12&gt;=PRs!D70,"PR!",""))</f>
        <v/>
      </c>
      <c r="M12" s="32" t="n"/>
      <c r="N12" s="34" t="inlineStr">
        <is>
          <t>Test day: work up to your highest box / longest jump and log it</t>
        </is>
      </c>
    </row>
    <row r="13">
      <c r="A13" s="26" t="inlineStr">
        <is>
          <t>Day 2 - Light</t>
        </is>
      </c>
      <c r="B13" s="27">
        <f>'Start Here'!$B$7+163</f>
        <v/>
      </c>
      <c r="C13" s="31" t="inlineStr">
        <is>
          <t>Clean &amp; Jerk</t>
        </is>
      </c>
      <c r="D13" s="29" t="n">
        <v>1</v>
      </c>
      <c r="E13" s="29" t="inlineStr">
        <is>
          <t>Max</t>
        </is>
      </c>
      <c r="F13" s="29" t="n"/>
      <c r="G13" s="30">
        <f>Maxes!F7</f>
        <v/>
      </c>
      <c r="H13" s="31" t="n"/>
      <c r="I13" s="32" t="n"/>
      <c r="J13" s="32" t="n"/>
      <c r="K13" s="29">
        <f>IF(OR(I13="",J13=""),"",IF(J13=1,I13,ROUND(I13*(1+J13/30),1)))</f>
        <v/>
      </c>
      <c r="L13" s="33">
        <f>IF(K13="","",IF(K13&gt;=PRs!C7,"PR!",""))</f>
        <v/>
      </c>
      <c r="M13" s="32" t="n"/>
      <c r="N13" s="34" t="inlineStr">
        <is>
          <t>Work up in small jumps to a new max (1RM, or a 3RM/5RM if you prefer). Log it - it sets next cycle's weights</t>
        </is>
      </c>
    </row>
    <row r="14">
      <c r="A14" s="26" t="inlineStr">
        <is>
          <t>Day 2 - Light</t>
        </is>
      </c>
      <c r="B14" s="27">
        <f>'Start Here'!$B$7+163</f>
        <v/>
      </c>
      <c r="C14" s="31" t="inlineStr">
        <is>
          <t>Squat</t>
        </is>
      </c>
      <c r="D14" s="29" t="n">
        <v>2</v>
      </c>
      <c r="E14" s="29" t="inlineStr">
        <is>
          <t>3</t>
        </is>
      </c>
      <c r="F14" s="29" t="n">
        <v>60</v>
      </c>
      <c r="G14" s="30">
        <f>Maxes!F2</f>
        <v/>
      </c>
      <c r="H14" s="31">
        <f>IF(OR(G14="",F14=""),"",MROUND(G14*F14/100,'Start Here'!$B$6))</f>
        <v/>
      </c>
      <c r="I14" s="32" t="n"/>
      <c r="J14" s="32" t="n"/>
      <c r="K14" s="29">
        <f>IF(OR(I14="",J14=""),"",IF(J14=1,I14,ROUND(I14*(1+J14/30),1)))</f>
        <v/>
      </c>
      <c r="L14" s="33">
        <f>IF(K14="","",IF(K14&gt;=PRs!C2,"PR!",""))</f>
        <v/>
      </c>
      <c r="M14" s="32" t="n"/>
      <c r="N14" s="34" t="inlineStr">
        <is>
          <t>Light technique work</t>
        </is>
      </c>
    </row>
    <row r="15">
      <c r="A15" s="26" t="inlineStr">
        <is>
          <t>Day 2 - Light</t>
        </is>
      </c>
      <c r="B15" s="27">
        <f>'Start Here'!$B$7+163</f>
        <v/>
      </c>
      <c r="C15" s="31" t="inlineStr">
        <is>
          <t>Overhead Press</t>
        </is>
      </c>
      <c r="D15" s="29" t="n">
        <v>1</v>
      </c>
      <c r="E15" s="29" t="inlineStr">
        <is>
          <t>Max</t>
        </is>
      </c>
      <c r="F15" s="29" t="n"/>
      <c r="G15" s="30">
        <f>Maxes!F5</f>
        <v/>
      </c>
      <c r="H15" s="31" t="n"/>
      <c r="I15" s="32" t="n"/>
      <c r="J15" s="32" t="n"/>
      <c r="K15" s="29">
        <f>IF(OR(I15="",J15=""),"",IF(J15=1,I15,ROUND(I15*(1+J15/30),1)))</f>
        <v/>
      </c>
      <c r="L15" s="33">
        <f>IF(K15="","",IF(K15&gt;=PRs!C5,"PR!",""))</f>
        <v/>
      </c>
      <c r="M15" s="32" t="n"/>
      <c r="N15" s="34" t="inlineStr">
        <is>
          <t>Work up in small jumps to a new max (1RM, or a 3RM/5RM if you prefer). Log it - it sets next cycle's weights</t>
        </is>
      </c>
    </row>
    <row r="16">
      <c r="A16" s="26" t="inlineStr">
        <is>
          <t>Day 2 - Light</t>
        </is>
      </c>
      <c r="B16" s="27">
        <f>'Start Here'!$B$7+163</f>
        <v/>
      </c>
      <c r="C16" s="31" t="inlineStr">
        <is>
          <t>Deadlift</t>
        </is>
      </c>
      <c r="D16" s="29" t="n">
        <v>1</v>
      </c>
      <c r="E16" s="29" t="inlineStr">
        <is>
          <t>Max</t>
        </is>
      </c>
      <c r="F16" s="29" t="n"/>
      <c r="G16" s="30">
        <f>Maxes!F4</f>
        <v/>
      </c>
      <c r="H16" s="31" t="n"/>
      <c r="I16" s="32" t="n"/>
      <c r="J16" s="32" t="n"/>
      <c r="K16" s="29">
        <f>IF(OR(I16="",J16=""),"",IF(J16=1,I16,ROUND(I16*(1+J16/30),1)))</f>
        <v/>
      </c>
      <c r="L16" s="33">
        <f>IF(K16="","",IF(K16&gt;=PRs!C4,"PR!",""))</f>
        <v/>
      </c>
      <c r="M16" s="32" t="n"/>
      <c r="N16" s="34" t="inlineStr">
        <is>
          <t>Work up in small jumps to a new max (1RM, or a 3RM/5RM if you prefer). Log it - it sets next cycle's weights</t>
        </is>
      </c>
    </row>
    <row r="17">
      <c r="A17" s="26" t="inlineStr">
        <is>
          <t>Day 2 - Light</t>
        </is>
      </c>
      <c r="B17" s="27">
        <f>'Start Here'!$B$7+163</f>
        <v/>
      </c>
      <c r="C17" s="29" t="inlineStr">
        <is>
          <t>Chin-up</t>
        </is>
      </c>
      <c r="D17" s="29" t="n">
        <v>2</v>
      </c>
      <c r="E17" s="29" t="inlineStr">
        <is>
          <t>6-10</t>
        </is>
      </c>
      <c r="F17" s="29" t="n"/>
      <c r="G17" s="30" t="n"/>
      <c r="H17" s="31" t="n"/>
      <c r="I17" s="32" t="n"/>
      <c r="J17" s="32" t="n"/>
      <c r="K17" s="29">
        <f>IF(OR(I17="",J17=""),"",IF(J17=1,I17,ROUND(I17*(1+J17/30),1)))</f>
        <v/>
      </c>
      <c r="L17" s="33">
        <f>IF(K17="","",IF(K17&gt;=PRs!C53,"PR!",""))</f>
        <v/>
      </c>
      <c r="M17" s="32" t="n"/>
      <c r="N17" s="34" t="inlineStr">
        <is>
          <t>Light</t>
        </is>
      </c>
    </row>
    <row r="18">
      <c r="A18" s="26" t="inlineStr">
        <is>
          <t>Day 2 - Light</t>
        </is>
      </c>
      <c r="B18" s="27">
        <f>'Start Here'!$B$7+163</f>
        <v/>
      </c>
      <c r="C18" s="29" t="inlineStr">
        <is>
          <t>Plank</t>
        </is>
      </c>
      <c r="D18" s="29" t="n">
        <v>2</v>
      </c>
      <c r="E18" s="29" t="inlineStr">
        <is>
          <t>30-60s</t>
        </is>
      </c>
      <c r="F18" s="29" t="n"/>
      <c r="G18" s="30" t="n"/>
      <c r="H18" s="31" t="n"/>
      <c r="I18" s="32" t="n"/>
      <c r="J18" s="32" t="n"/>
      <c r="K18" s="29">
        <f>IF(OR(I18="",J18=""),"",IF(J18=1,I18,ROUND(I18*(1+J18/30),1)))</f>
        <v/>
      </c>
      <c r="L18" s="33">
        <f>IF(K18="","",IF(K18&gt;=PRs!C56,"PR!",""))</f>
        <v/>
      </c>
      <c r="M18" s="32" t="n"/>
      <c r="N18" s="34" t="inlineStr">
        <is>
          <t>Light</t>
        </is>
      </c>
    </row>
    <row r="19">
      <c r="A19" s="26" t="inlineStr">
        <is>
          <t>Day 3 - Variations</t>
        </is>
      </c>
      <c r="B19" s="27">
        <f>'Start Here'!$B$7+165</f>
        <v/>
      </c>
      <c r="C19" s="28" t="inlineStr">
        <is>
          <t>Box Jump</t>
        </is>
      </c>
      <c r="D19" s="29" t="n">
        <v>1</v>
      </c>
      <c r="E19" s="29" t="inlineStr">
        <is>
          <t>Max</t>
        </is>
      </c>
      <c r="F19" s="29" t="n"/>
      <c r="G19" s="30" t="n"/>
      <c r="H19" s="31">
        <f>IFERROR(IF(PRs!D69&lt;'Start Here'!$H$15,'Start Here'!$H$15,IF(PRs!D69&lt;'Start Here'!$H$16,'Start Here'!$H$16,IF(PRs!D69&lt;'Start Here'!$H$17,'Start Here'!$H$17,IF(PRs!D69&lt;'Start Here'!$H$18,'Start Here'!$H$18,"Elite!")))),"")</f>
        <v/>
      </c>
      <c r="I19" s="32" t="n"/>
      <c r="J19" s="32" t="n"/>
      <c r="K19" s="29" t="n"/>
      <c r="L19" s="33">
        <f>IF(I19="","",IF(I19&gt;=PRs!D69,"PR!",""))</f>
        <v/>
      </c>
      <c r="M19" s="32" t="n"/>
      <c r="N19" s="34" t="inlineStr">
        <is>
          <t>Test day: work up to your highest box / longest jump and log it</t>
        </is>
      </c>
    </row>
    <row r="20">
      <c r="A20" s="26" t="inlineStr">
        <is>
          <t>Day 3 - Variations</t>
        </is>
      </c>
      <c r="B20" s="27">
        <f>'Start Here'!$B$7+165</f>
        <v/>
      </c>
      <c r="C20" s="31" t="inlineStr">
        <is>
          <t>Push Jerk</t>
        </is>
      </c>
      <c r="D20" s="29" t="n">
        <v>1</v>
      </c>
      <c r="E20" s="29" t="inlineStr">
        <is>
          <t>1RM</t>
        </is>
      </c>
      <c r="F20" s="29" t="n"/>
      <c r="G20" s="30">
        <f>Maxes!F45</f>
        <v/>
      </c>
      <c r="H20" s="31" t="n"/>
      <c r="I20" s="32" t="n"/>
      <c r="J20" s="32" t="n"/>
      <c r="K20" s="29">
        <f>IF(OR(I20="",J20=""),"",IF(J20=1,I20,ROUND(I20*(1+J20/30),1)))</f>
        <v/>
      </c>
      <c r="L20" s="33">
        <f>IF(K20="","",IF(K20&gt;=PRs!C45,"PR!",""))</f>
        <v/>
      </c>
      <c r="M20" s="32" t="n"/>
      <c r="N20" s="34" t="inlineStr">
        <is>
          <t>Work up to a 1RM - tracked as its own PR</t>
        </is>
      </c>
    </row>
    <row r="21">
      <c r="A21" s="26" t="inlineStr">
        <is>
          <t>Day 3 - Variations</t>
        </is>
      </c>
      <c r="B21" s="27">
        <f>'Start Here'!$B$7+165</f>
        <v/>
      </c>
      <c r="C21" s="31" t="inlineStr">
        <is>
          <t>Box Squat</t>
        </is>
      </c>
      <c r="D21" s="29" t="n">
        <v>1</v>
      </c>
      <c r="E21" s="29" t="inlineStr">
        <is>
          <t>3RM</t>
        </is>
      </c>
      <c r="F21" s="29" t="n"/>
      <c r="G21" s="30">
        <f>Maxes!F8</f>
        <v/>
      </c>
      <c r="H21" s="31" t="n"/>
      <c r="I21" s="32" t="n"/>
      <c r="J21" s="32" t="n"/>
      <c r="K21" s="29">
        <f>IF(OR(I21="",J21=""),"",IF(J21=1,I21,ROUND(I21*(1+J21/30),1)))</f>
        <v/>
      </c>
      <c r="L21" s="33">
        <f>IF(K21="","",IF(K21&gt;=PRs!C8,"PR!",""))</f>
        <v/>
      </c>
      <c r="M21" s="32" t="n"/>
      <c r="N21" s="34" t="inlineStr">
        <is>
          <t>Work up to a 3RM - tracked as its own PR</t>
        </is>
      </c>
    </row>
    <row r="22">
      <c r="A22" s="26" t="inlineStr">
        <is>
          <t>Day 3 - Variations</t>
        </is>
      </c>
      <c r="B22" s="27">
        <f>'Start Here'!$B$7+165</f>
        <v/>
      </c>
      <c r="C22" s="31" t="inlineStr">
        <is>
          <t>3-Board Press</t>
        </is>
      </c>
      <c r="D22" s="29" t="n">
        <v>1</v>
      </c>
      <c r="E22" s="29" t="inlineStr">
        <is>
          <t>3RM</t>
        </is>
      </c>
      <c r="F22" s="29" t="n"/>
      <c r="G22" s="30">
        <f>Maxes!F17</f>
        <v/>
      </c>
      <c r="H22" s="31" t="n"/>
      <c r="I22" s="32" t="n"/>
      <c r="J22" s="32" t="n"/>
      <c r="K22" s="29">
        <f>IF(OR(I22="",J22=""),"",IF(J22=1,I22,ROUND(I22*(1+J22/30),1)))</f>
        <v/>
      </c>
      <c r="L22" s="33">
        <f>IF(K22="","",IF(K22&gt;=PRs!C17,"PR!",""))</f>
        <v/>
      </c>
      <c r="M22" s="32" t="n"/>
      <c r="N22" s="34" t="inlineStr">
        <is>
          <t>Work up to a 3RM - tracked as its own PR</t>
        </is>
      </c>
    </row>
    <row r="23">
      <c r="A23" s="26" t="inlineStr">
        <is>
          <t>Day 3 - Variations</t>
        </is>
      </c>
      <c r="B23" s="27">
        <f>'Start Here'!$B$7+165</f>
        <v/>
      </c>
      <c r="C23" s="31" t="inlineStr">
        <is>
          <t>Deficit Deadlift</t>
        </is>
      </c>
      <c r="D23" s="29" t="n">
        <v>1</v>
      </c>
      <c r="E23" s="29" t="inlineStr">
        <is>
          <t>3RM</t>
        </is>
      </c>
      <c r="F23" s="29" t="n"/>
      <c r="G23" s="30">
        <f>Maxes!F24</f>
        <v/>
      </c>
      <c r="H23" s="31" t="n"/>
      <c r="I23" s="32" t="n"/>
      <c r="J23" s="32" t="n"/>
      <c r="K23" s="29">
        <f>IF(OR(I23="",J23=""),"",IF(J23=1,I23,ROUND(I23*(1+J23/30),1)))</f>
        <v/>
      </c>
      <c r="L23" s="33">
        <f>IF(K23="","",IF(K23&gt;=PRs!C24,"PR!",""))</f>
        <v/>
      </c>
      <c r="M23" s="32" t="n"/>
      <c r="N23" s="34" t="inlineStr">
        <is>
          <t>Work up to a 3RM - tracked as its own PR</t>
        </is>
      </c>
    </row>
    <row r="24">
      <c r="A24" s="26" t="inlineStr">
        <is>
          <t>Day 3 - Variations</t>
        </is>
      </c>
      <c r="B24" s="27">
        <f>'Start Here'!$B$7+165</f>
        <v/>
      </c>
      <c r="C24" s="29" t="inlineStr">
        <is>
          <t>Incline Dumbbell Press</t>
        </is>
      </c>
      <c r="D24" s="29" t="n">
        <v>2</v>
      </c>
      <c r="E24" s="29" t="inlineStr">
        <is>
          <t>8-12</t>
        </is>
      </c>
      <c r="F24" s="29" t="n"/>
      <c r="G24" s="30" t="n"/>
      <c r="H24" s="31" t="n"/>
      <c r="I24" s="32" t="n"/>
      <c r="J24" s="32" t="n"/>
      <c r="K24" s="29">
        <f>IF(OR(I24="",J24=""),"",IF(J24=1,I24,ROUND(I24*(1+J24/30),1)))</f>
        <v/>
      </c>
      <c r="L24" s="33">
        <f>IF(K24="","",IF(K24&gt;=PRs!C57,"PR!",""))</f>
        <v/>
      </c>
      <c r="M24" s="32" t="n"/>
      <c r="N24" s="34" t="inlineStr">
        <is>
          <t>Light</t>
        </is>
      </c>
    </row>
    <row r="25">
      <c r="A25" s="26" t="inlineStr">
        <is>
          <t>Day 3 - Variations</t>
        </is>
      </c>
      <c r="B25" s="27">
        <f>'Start Here'!$B$7+165</f>
        <v/>
      </c>
      <c r="C25" s="29" t="inlineStr">
        <is>
          <t>Triceps Pushdown</t>
        </is>
      </c>
      <c r="D25" s="29" t="n">
        <v>2</v>
      </c>
      <c r="E25" s="29" t="inlineStr">
        <is>
          <t>10-15</t>
        </is>
      </c>
      <c r="F25" s="29" t="n"/>
      <c r="G25" s="30" t="n"/>
      <c r="H25" s="31" t="n"/>
      <c r="I25" s="32" t="n"/>
      <c r="J25" s="32" t="n"/>
      <c r="K25" s="29">
        <f>IF(OR(I25="",J25=""),"",IF(J25=1,I25,ROUND(I25*(1+J25/30),1)))</f>
        <v/>
      </c>
      <c r="L25" s="33">
        <f>IF(K25="","",IF(K25&gt;=PRs!C59,"PR!",""))</f>
        <v/>
      </c>
      <c r="M25" s="32" t="n"/>
      <c r="N25" s="34" t="inlineStr">
        <is>
          <t>Light</t>
        </is>
      </c>
    </row>
  </sheetData>
  <hyperlinks>
    <hyperlink xmlns:r="http://schemas.openxmlformats.org/officeDocument/2006/relationships" ref="A2" r:id="rId1"/>
    <hyperlink xmlns:r="http://schemas.openxmlformats.org/officeDocument/2006/relationships" ref="C2" r:id="rId2"/>
    <hyperlink xmlns:r="http://schemas.openxmlformats.org/officeDocument/2006/relationships" ref="E2" r:id="rId3"/>
  </hyperlinks>
  <pageMargins left="0.75" right="0.75" top="1" bottom="1" header="0.5" footer="0.5"/>
  <pageSetup orientation="landscape" fitToHeight="0" fitToWidth="1"/>
</worksheet>
</file>

<file path=xl/worksheets/sheet27.xml><?xml version="1.0" encoding="utf-8"?>
<worksheet xmlns="http://schemas.openxmlformats.org/spreadsheetml/2006/main">
  <sheetPr>
    <tabColor rgb="00DCEFDC"/>
    <outlinePr summaryBelow="1" summaryRight="1"/>
    <pageSetUpPr fitToPage="1"/>
  </sheetPr>
  <dimension ref="A1:N25"/>
  <sheetViews>
    <sheetView workbookViewId="0">
      <pane xSplit="3" ySplit="5" topLeftCell="D6" activePane="bottomRight" state="frozen"/>
      <selection pane="topRight"/>
      <selection pane="bottomLeft"/>
      <selection pane="bottomRight" activeCell="A1" sqref="A1"/>
    </sheetView>
  </sheetViews>
  <sheetFormatPr baseColWidth="8" defaultRowHeight="15"/>
  <cols>
    <col width="17" customWidth="1" min="1" max="1"/>
    <col width="11" customWidth="1" min="2" max="2"/>
    <col width="24" customWidth="1" min="3" max="3"/>
    <col width="5" customWidth="1" min="4" max="4"/>
    <col width="6" customWidth="1" min="5" max="5"/>
    <col width="6" customWidth="1" min="6" max="6"/>
    <col width="9" customWidth="1" min="7" max="7"/>
    <col width="10" customWidth="1" min="8" max="8"/>
    <col width="13" customWidth="1" min="9" max="9"/>
    <col width="8" customWidth="1" min="10" max="10"/>
    <col width="9" customWidth="1" min="11" max="11"/>
    <col width="5" customWidth="1" min="12" max="12"/>
    <col width="22" customWidth="1" min="13" max="13"/>
    <col width="62" customWidth="1" min="14" max="14"/>
  </cols>
  <sheetData>
    <row r="1">
      <c r="A1" s="24" t="inlineStr">
        <is>
          <t>Week 25 - Cycle 3 - Accumulation</t>
        </is>
      </c>
    </row>
    <row r="2">
      <c r="A2" s="25" t="inlineStr">
        <is>
          <t>&lt; Week 24</t>
        </is>
      </c>
      <c r="C2" s="25" t="inlineStr">
        <is>
          <t>Start Here</t>
        </is>
      </c>
      <c r="E2" s="25" t="inlineStr">
        <is>
          <t>Week 26 &gt;</t>
        </is>
      </c>
    </row>
    <row r="3">
      <c r="A3" s="10" t="inlineStr">
        <is>
          <t>Bodyweight this week</t>
        </is>
      </c>
      <c r="C3" s="4" t="n"/>
      <c r="D3" t="inlineStr">
        <is>
          <t>Weigh in once this week: same morning routine, before eating.</t>
        </is>
      </c>
    </row>
    <row r="5">
      <c r="A5" s="5" t="inlineStr">
        <is>
          <t>Day</t>
        </is>
      </c>
      <c r="B5" s="5" t="inlineStr">
        <is>
          <t>Date</t>
        </is>
      </c>
      <c r="C5" s="5" t="inlineStr">
        <is>
          <t>Exercise</t>
        </is>
      </c>
      <c r="D5" s="5" t="inlineStr">
        <is>
          <t>Sets</t>
        </is>
      </c>
      <c r="E5" s="5" t="inlineStr">
        <is>
          <t>Reps</t>
        </is>
      </c>
      <c r="F5" s="5" t="inlineStr">
        <is>
          <t>% TM</t>
        </is>
      </c>
      <c r="G5" s="5" t="inlineStr">
        <is>
          <t>Training max</t>
        </is>
      </c>
      <c r="H5" s="5" t="inlineStr">
        <is>
          <t>Weight / target</t>
        </is>
      </c>
      <c r="I5" s="5" t="inlineStr">
        <is>
          <t>Actual (weight, height or distance)</t>
        </is>
      </c>
      <c r="J5" s="5" t="inlineStr">
        <is>
          <t>Actual reps</t>
        </is>
      </c>
      <c r="K5" s="5" t="inlineStr">
        <is>
          <t>Est. 1RM</t>
        </is>
      </c>
      <c r="L5" s="5" t="inlineStr">
        <is>
          <t>PR</t>
        </is>
      </c>
      <c r="M5" s="5" t="inlineStr">
        <is>
          <t>Notes</t>
        </is>
      </c>
      <c r="N5" s="5" t="inlineStr">
        <is>
          <t>Guidance</t>
        </is>
      </c>
    </row>
    <row r="6">
      <c r="A6" s="26" t="inlineStr">
        <is>
          <t>Day 1 - Heavy</t>
        </is>
      </c>
      <c r="B6" s="27">
        <f>'Start Here'!$B$7+168</f>
        <v/>
      </c>
      <c r="C6" s="28" t="inlineStr">
        <is>
          <t>Box Jump</t>
        </is>
      </c>
      <c r="D6" s="29" t="n">
        <v>4</v>
      </c>
      <c r="E6" s="29" t="inlineStr">
        <is>
          <t>3</t>
        </is>
      </c>
      <c r="F6" s="29" t="n"/>
      <c r="G6" s="30" t="n"/>
      <c r="H6" s="31">
        <f>IFERROR(IF(PRs!D69&lt;'Start Here'!$H$15,'Start Here'!$H$15,IF(PRs!D69&lt;'Start Here'!$H$16,'Start Here'!$H$16,IF(PRs!D69&lt;'Start Here'!$H$17,'Start Here'!$H$17,IF(PRs!D69&lt;'Start Here'!$H$18,'Start Here'!$H$18,"Elite!")))),"")</f>
        <v/>
      </c>
      <c r="I6" s="32" t="n"/>
      <c r="J6" s="32" t="n"/>
      <c r="K6" s="29" t="n"/>
      <c r="L6" s="33">
        <f>IF(I6="","",IF(I6&gt;=PRs!D69,"PR!",""))</f>
        <v/>
      </c>
      <c r="M6" s="32" t="n"/>
      <c r="N6" s="34" t="inlineStr">
        <is>
          <t>Explode up, land softly, STEP down. Full reset between reps. Log your box height; check the standards</t>
        </is>
      </c>
    </row>
    <row r="7">
      <c r="A7" s="26" t="inlineStr">
        <is>
          <t>Day 1 - Heavy</t>
        </is>
      </c>
      <c r="B7" s="27">
        <f>'Start Here'!$B$7+168</f>
        <v/>
      </c>
      <c r="C7" s="31" t="inlineStr">
        <is>
          <t>Snatch</t>
        </is>
      </c>
      <c r="D7" s="29" t="n">
        <v>4</v>
      </c>
      <c r="E7" s="29" t="inlineStr">
        <is>
          <t>3</t>
        </is>
      </c>
      <c r="F7" s="29" t="n">
        <v>70</v>
      </c>
      <c r="G7" s="30">
        <f>Maxes!G6</f>
        <v/>
      </c>
      <c r="H7" s="31">
        <f>IF(OR(G7="",F7=""),"",MROUND(G7*F7/100,'Start Here'!$B$6))</f>
        <v/>
      </c>
      <c r="I7" s="32" t="n"/>
      <c r="J7" s="32" t="n"/>
      <c r="K7" s="29">
        <f>IF(OR(I7="",J7=""),"",IF(J7=1,I7,ROUND(I7*(1+J7/30),1)))</f>
        <v/>
      </c>
      <c r="L7" s="33">
        <f>IF(K7="","",IF(K7&gt;=PRs!C6,"PR!",""))</f>
        <v/>
      </c>
      <c r="M7" s="32" t="n"/>
      <c r="N7" s="34" t="inlineStr"/>
    </row>
    <row r="8">
      <c r="A8" s="26" t="inlineStr">
        <is>
          <t>Day 1 - Heavy</t>
        </is>
      </c>
      <c r="B8" s="27">
        <f>'Start Here'!$B$7+168</f>
        <v/>
      </c>
      <c r="C8" s="31" t="inlineStr">
        <is>
          <t>Squat</t>
        </is>
      </c>
      <c r="D8" s="29" t="n">
        <v>3</v>
      </c>
      <c r="E8" s="29" t="inlineStr">
        <is>
          <t>6</t>
        </is>
      </c>
      <c r="F8" s="29" t="n">
        <v>70</v>
      </c>
      <c r="G8" s="30">
        <f>Maxes!G2</f>
        <v/>
      </c>
      <c r="H8" s="31">
        <f>IF(OR(G8="",F8=""),"",MROUND(G8*F8/100,'Start Here'!$B$6))</f>
        <v/>
      </c>
      <c r="I8" s="32" t="n"/>
      <c r="J8" s="32" t="n"/>
      <c r="K8" s="29">
        <f>IF(OR(I8="",J8=""),"",IF(J8=1,I8,ROUND(I8*(1+J8/30),1)))</f>
        <v/>
      </c>
      <c r="L8" s="33">
        <f>IF(K8="","",IF(K8&gt;=PRs!C2,"PR!",""))</f>
        <v/>
      </c>
      <c r="M8" s="32" t="n"/>
      <c r="N8" s="34" t="inlineStr"/>
    </row>
    <row r="9">
      <c r="A9" s="26" t="inlineStr">
        <is>
          <t>Day 1 - Heavy</t>
        </is>
      </c>
      <c r="B9" s="27">
        <f>'Start Here'!$B$7+168</f>
        <v/>
      </c>
      <c r="C9" s="31" t="inlineStr">
        <is>
          <t>Bench Press</t>
        </is>
      </c>
      <c r="D9" s="29" t="n">
        <v>3</v>
      </c>
      <c r="E9" s="29" t="inlineStr">
        <is>
          <t>6</t>
        </is>
      </c>
      <c r="F9" s="29" t="n">
        <v>70</v>
      </c>
      <c r="G9" s="30">
        <f>Maxes!G3</f>
        <v/>
      </c>
      <c r="H9" s="31">
        <f>IF(OR(G9="",F9=""),"",MROUND(G9*F9/100,'Start Here'!$B$6))</f>
        <v/>
      </c>
      <c r="I9" s="32" t="n"/>
      <c r="J9" s="32" t="n"/>
      <c r="K9" s="29">
        <f>IF(OR(I9="",J9=""),"",IF(J9=1,I9,ROUND(I9*(1+J9/30),1)))</f>
        <v/>
      </c>
      <c r="L9" s="33">
        <f>IF(K9="","",IF(K9&gt;=PRs!C3,"PR!",""))</f>
        <v/>
      </c>
      <c r="M9" s="32" t="n"/>
      <c r="N9" s="34" t="inlineStr"/>
    </row>
    <row r="10">
      <c r="A10" s="26" t="inlineStr">
        <is>
          <t>Day 1 - Heavy</t>
        </is>
      </c>
      <c r="B10" s="27">
        <f>'Start Here'!$B$7+168</f>
        <v/>
      </c>
      <c r="C10" s="29" t="inlineStr">
        <is>
          <t>Barbell Row</t>
        </is>
      </c>
      <c r="D10" s="29" t="n">
        <v>4</v>
      </c>
      <c r="E10" s="29" t="inlineStr">
        <is>
          <t>8-10</t>
        </is>
      </c>
      <c r="F10" s="29" t="n"/>
      <c r="G10" s="30" t="n"/>
      <c r="H10" s="31" t="n"/>
      <c r="I10" s="32" t="n"/>
      <c r="J10" s="32" t="n"/>
      <c r="K10" s="29">
        <f>IF(OR(I10="",J10=""),"",IF(J10=1,I10,ROUND(I10*(1+J10/30),1)))</f>
        <v/>
      </c>
      <c r="L10" s="33">
        <f>IF(K10="","",IF(K10&gt;=PRs!C50,"PR!",""))</f>
        <v/>
      </c>
      <c r="M10" s="32" t="n"/>
      <c r="N10" s="34" t="inlineStr">
        <is>
          <t>Leave 1-2 reps in the tank; add weight when you hit the top of the range</t>
        </is>
      </c>
    </row>
    <row r="11">
      <c r="A11" s="26" t="inlineStr">
        <is>
          <t>Day 1 - Heavy</t>
        </is>
      </c>
      <c r="B11" s="27">
        <f>'Start Here'!$B$7+168</f>
        <v/>
      </c>
      <c r="C11" s="29" t="inlineStr">
        <is>
          <t>Face Pull</t>
        </is>
      </c>
      <c r="D11" s="29" t="n">
        <v>4</v>
      </c>
      <c r="E11" s="29" t="inlineStr">
        <is>
          <t>12-15</t>
        </is>
      </c>
      <c r="F11" s="29" t="n"/>
      <c r="G11" s="30" t="n"/>
      <c r="H11" s="31" t="n"/>
      <c r="I11" s="32" t="n"/>
      <c r="J11" s="32" t="n"/>
      <c r="K11" s="29">
        <f>IF(OR(I11="",J11=""),"",IF(J11=1,I11,ROUND(I11*(1+J11/30),1)))</f>
        <v/>
      </c>
      <c r="L11" s="33">
        <f>IF(K11="","",IF(K11&gt;=PRs!C51,"PR!",""))</f>
        <v/>
      </c>
      <c r="M11" s="32" t="n"/>
      <c r="N11" s="34" t="inlineStr">
        <is>
          <t>Leave 1-2 reps in the tank; add weight when you hit the top of the range</t>
        </is>
      </c>
    </row>
    <row r="12">
      <c r="A12" s="26" t="inlineStr">
        <is>
          <t>Day 2 - Light</t>
        </is>
      </c>
      <c r="B12" s="27">
        <f>'Start Here'!$B$7+170</f>
        <v/>
      </c>
      <c r="C12" s="28" t="inlineStr">
        <is>
          <t>Broad Jump</t>
        </is>
      </c>
      <c r="D12" s="29" t="n">
        <v>4</v>
      </c>
      <c r="E12" s="29" t="inlineStr">
        <is>
          <t>3</t>
        </is>
      </c>
      <c r="F12" s="29" t="n"/>
      <c r="G12" s="30" t="n"/>
      <c r="H12" s="31" t="n"/>
      <c r="I12" s="32" t="n"/>
      <c r="J12" s="32" t="n"/>
      <c r="K12" s="29" t="n"/>
      <c r="L12" s="33">
        <f>IF(I12="","",IF(I12&gt;=PRs!D70,"PR!",""))</f>
        <v/>
      </c>
      <c r="M12" s="32" t="n"/>
      <c r="N12" s="34" t="inlineStr">
        <is>
          <t>Two-foot jump for distance, stick the landing. Full reset between reps. Log your best distance</t>
        </is>
      </c>
    </row>
    <row r="13">
      <c r="A13" s="26" t="inlineStr">
        <is>
          <t>Day 2 - Light</t>
        </is>
      </c>
      <c r="B13" s="27">
        <f>'Start Here'!$B$7+170</f>
        <v/>
      </c>
      <c r="C13" s="31" t="inlineStr">
        <is>
          <t>Clean &amp; Jerk</t>
        </is>
      </c>
      <c r="D13" s="29" t="n">
        <v>4</v>
      </c>
      <c r="E13" s="29" t="inlineStr">
        <is>
          <t>3</t>
        </is>
      </c>
      <c r="F13" s="29" t="n">
        <v>70</v>
      </c>
      <c r="G13" s="30">
        <f>Maxes!G7</f>
        <v/>
      </c>
      <c r="H13" s="31">
        <f>IF(OR(G13="",F13=""),"",MROUND(G13*F13/100,'Start Here'!$B$6))</f>
        <v/>
      </c>
      <c r="I13" s="32" t="n"/>
      <c r="J13" s="32" t="n"/>
      <c r="K13" s="29">
        <f>IF(OR(I13="",J13=""),"",IF(J13=1,I13,ROUND(I13*(1+J13/30),1)))</f>
        <v/>
      </c>
      <c r="L13" s="33">
        <f>IF(K13="","",IF(K13&gt;=PRs!C7,"PR!",""))</f>
        <v/>
      </c>
      <c r="M13" s="32" t="n"/>
      <c r="N13" s="34" t="inlineStr"/>
    </row>
    <row r="14">
      <c r="A14" s="26" t="inlineStr">
        <is>
          <t>Day 2 - Light</t>
        </is>
      </c>
      <c r="B14" s="27">
        <f>'Start Here'!$B$7+170</f>
        <v/>
      </c>
      <c r="C14" s="31" t="inlineStr">
        <is>
          <t>Squat</t>
        </is>
      </c>
      <c r="D14" s="29" t="n">
        <v>3</v>
      </c>
      <c r="E14" s="29" t="inlineStr">
        <is>
          <t>6</t>
        </is>
      </c>
      <c r="F14" s="29" t="n">
        <v>60</v>
      </c>
      <c r="G14" s="30">
        <f>Maxes!G2</f>
        <v/>
      </c>
      <c r="H14" s="31">
        <f>IF(OR(G14="",F14=""),"",MROUND(G14*F14/100,'Start Here'!$B$6))</f>
        <v/>
      </c>
      <c r="I14" s="32" t="n"/>
      <c r="J14" s="32" t="n"/>
      <c r="K14" s="29">
        <f>IF(OR(I14="",J14=""),"",IF(J14=1,I14,ROUND(I14*(1+J14/30),1)))</f>
        <v/>
      </c>
      <c r="L14" s="33">
        <f>IF(K14="","",IF(K14&gt;=PRs!C2,"PR!",""))</f>
        <v/>
      </c>
      <c r="M14" s="32" t="n"/>
      <c r="N14" s="34" t="inlineStr"/>
    </row>
    <row r="15">
      <c r="A15" s="26" t="inlineStr">
        <is>
          <t>Day 2 - Light</t>
        </is>
      </c>
      <c r="B15" s="27">
        <f>'Start Here'!$B$7+170</f>
        <v/>
      </c>
      <c r="C15" s="31" t="inlineStr">
        <is>
          <t>Overhead Press</t>
        </is>
      </c>
      <c r="D15" s="29" t="n">
        <v>4</v>
      </c>
      <c r="E15" s="29" t="inlineStr">
        <is>
          <t>6</t>
        </is>
      </c>
      <c r="F15" s="29" t="n">
        <v>65</v>
      </c>
      <c r="G15" s="30">
        <f>Maxes!G5</f>
        <v/>
      </c>
      <c r="H15" s="31">
        <f>IF(OR(G15="",F15=""),"",MROUND(G15*F15/100,'Start Here'!$B$6))</f>
        <v/>
      </c>
      <c r="I15" s="32" t="n"/>
      <c r="J15" s="32" t="n"/>
      <c r="K15" s="29">
        <f>IF(OR(I15="",J15=""),"",IF(J15=1,I15,ROUND(I15*(1+J15/30),1)))</f>
        <v/>
      </c>
      <c r="L15" s="33">
        <f>IF(K15="","",IF(K15&gt;=PRs!C5,"PR!",""))</f>
        <v/>
      </c>
      <c r="M15" s="32" t="n"/>
      <c r="N15" s="34" t="inlineStr"/>
    </row>
    <row r="16">
      <c r="A16" s="26" t="inlineStr">
        <is>
          <t>Day 2 - Light</t>
        </is>
      </c>
      <c r="B16" s="27">
        <f>'Start Here'!$B$7+170</f>
        <v/>
      </c>
      <c r="C16" s="31" t="inlineStr">
        <is>
          <t>Deadlift</t>
        </is>
      </c>
      <c r="D16" s="29" t="n">
        <v>3</v>
      </c>
      <c r="E16" s="29" t="inlineStr">
        <is>
          <t>6</t>
        </is>
      </c>
      <c r="F16" s="29" t="n">
        <v>65</v>
      </c>
      <c r="G16" s="30">
        <f>Maxes!G4</f>
        <v/>
      </c>
      <c r="H16" s="31">
        <f>IF(OR(G16="",F16=""),"",MROUND(G16*F16/100,'Start Here'!$B$6))</f>
        <v/>
      </c>
      <c r="I16" s="32" t="n"/>
      <c r="J16" s="32" t="n"/>
      <c r="K16" s="29">
        <f>IF(OR(I16="",J16=""),"",IF(J16=1,I16,ROUND(I16*(1+J16/30),1)))</f>
        <v/>
      </c>
      <c r="L16" s="33">
        <f>IF(K16="","",IF(K16&gt;=PRs!C4,"PR!",""))</f>
        <v/>
      </c>
      <c r="M16" s="32" t="n"/>
      <c r="N16" s="34" t="inlineStr"/>
    </row>
    <row r="17">
      <c r="A17" s="26" t="inlineStr">
        <is>
          <t>Day 2 - Light</t>
        </is>
      </c>
      <c r="B17" s="27">
        <f>'Start Here'!$B$7+170</f>
        <v/>
      </c>
      <c r="C17" s="29" t="inlineStr">
        <is>
          <t>Chin-up</t>
        </is>
      </c>
      <c r="D17" s="29" t="n">
        <v>4</v>
      </c>
      <c r="E17" s="29" t="inlineStr">
        <is>
          <t>6-10</t>
        </is>
      </c>
      <c r="F17" s="29" t="n"/>
      <c r="G17" s="30" t="n"/>
      <c r="H17" s="31" t="n"/>
      <c r="I17" s="32" t="n"/>
      <c r="J17" s="32" t="n"/>
      <c r="K17" s="29">
        <f>IF(OR(I17="",J17=""),"",IF(J17=1,I17,ROUND(I17*(1+J17/30),1)))</f>
        <v/>
      </c>
      <c r="L17" s="33">
        <f>IF(K17="","",IF(K17&gt;=PRs!C53,"PR!",""))</f>
        <v/>
      </c>
      <c r="M17" s="32" t="n"/>
      <c r="N17" s="34" t="inlineStr">
        <is>
          <t>Leave 1-2 reps in the tank; add weight when you hit the top of the range</t>
        </is>
      </c>
    </row>
    <row r="18">
      <c r="A18" s="26" t="inlineStr">
        <is>
          <t>Day 2 - Light</t>
        </is>
      </c>
      <c r="B18" s="27">
        <f>'Start Here'!$B$7+170</f>
        <v/>
      </c>
      <c r="C18" s="29" t="inlineStr">
        <is>
          <t>Plank</t>
        </is>
      </c>
      <c r="D18" s="29" t="n">
        <v>4</v>
      </c>
      <c r="E18" s="29" t="inlineStr">
        <is>
          <t>30-60s</t>
        </is>
      </c>
      <c r="F18" s="29" t="n"/>
      <c r="G18" s="30" t="n"/>
      <c r="H18" s="31" t="n"/>
      <c r="I18" s="32" t="n"/>
      <c r="J18" s="32" t="n"/>
      <c r="K18" s="29">
        <f>IF(OR(I18="",J18=""),"",IF(J18=1,I18,ROUND(I18*(1+J18/30),1)))</f>
        <v/>
      </c>
      <c r="L18" s="33">
        <f>IF(K18="","",IF(K18&gt;=PRs!C56,"PR!",""))</f>
        <v/>
      </c>
      <c r="M18" s="32" t="n"/>
      <c r="N18" s="34" t="inlineStr">
        <is>
          <t>Leave 1-2 reps in the tank; add weight when you hit the top of the range</t>
        </is>
      </c>
    </row>
    <row r="19">
      <c r="A19" s="26" t="inlineStr">
        <is>
          <t>Day 3 - Variations</t>
        </is>
      </c>
      <c r="B19" s="27">
        <f>'Start Here'!$B$7+172</f>
        <v/>
      </c>
      <c r="C19" s="28" t="inlineStr">
        <is>
          <t>Box Jump</t>
        </is>
      </c>
      <c r="D19" s="29" t="n">
        <v>4</v>
      </c>
      <c r="E19" s="29" t="inlineStr">
        <is>
          <t>3</t>
        </is>
      </c>
      <c r="F19" s="29" t="n"/>
      <c r="G19" s="30" t="n"/>
      <c r="H19" s="31">
        <f>IFERROR(IF(PRs!D69&lt;'Start Here'!$H$15,'Start Here'!$H$15,IF(PRs!D69&lt;'Start Here'!$H$16,'Start Here'!$H$16,IF(PRs!D69&lt;'Start Here'!$H$17,'Start Here'!$H$17,IF(PRs!D69&lt;'Start Here'!$H$18,'Start Here'!$H$18,"Elite!")))),"")</f>
        <v/>
      </c>
      <c r="I19" s="32" t="n"/>
      <c r="J19" s="32" t="n"/>
      <c r="K19" s="29" t="n"/>
      <c r="L19" s="33">
        <f>IF(I19="","",IF(I19&gt;=PRs!D69,"PR!",""))</f>
        <v/>
      </c>
      <c r="M19" s="32" t="n"/>
      <c r="N19" s="34" t="inlineStr">
        <is>
          <t>Explode up, land softly, STEP down. Full reset between reps. Log your box height; check the standards</t>
        </is>
      </c>
    </row>
    <row r="20">
      <c r="A20" s="26" t="inlineStr">
        <is>
          <t>Day 3 - Variations</t>
        </is>
      </c>
      <c r="B20" s="27">
        <f>'Start Here'!$B$7+172</f>
        <v/>
      </c>
      <c r="C20" s="31" t="inlineStr">
        <is>
          <t>Block Snatch</t>
        </is>
      </c>
      <c r="D20" s="29" t="n">
        <v>6</v>
      </c>
      <c r="E20" s="29" t="inlineStr">
        <is>
          <t>3</t>
        </is>
      </c>
      <c r="F20" s="29" t="n">
        <v>65</v>
      </c>
      <c r="G20" s="30">
        <f>Maxes!G40</f>
        <v/>
      </c>
      <c r="H20" s="31">
        <f>IF(OR(G20="",F20=""),"",MROUND(G20*F20/100,'Start Here'!$B$6))</f>
        <v/>
      </c>
      <c r="I20" s="32" t="n"/>
      <c r="J20" s="32" t="n"/>
      <c r="K20" s="29">
        <f>IF(OR(I20="",J20=""),"",IF(J20=1,I20,ROUND(I20*(1+J20/30),1)))</f>
        <v/>
      </c>
      <c r="L20" s="33">
        <f>IF(K20="","",IF(K20&gt;=PRs!C40,"PR!",""))</f>
        <v/>
      </c>
      <c r="M20" s="32" t="n"/>
      <c r="N20" s="34" t="inlineStr"/>
    </row>
    <row r="21">
      <c r="A21" s="26" t="inlineStr">
        <is>
          <t>Day 3 - Variations</t>
        </is>
      </c>
      <c r="B21" s="27">
        <f>'Start Here'!$B$7+172</f>
        <v/>
      </c>
      <c r="C21" s="31" t="inlineStr">
        <is>
          <t>Pause Squat</t>
        </is>
      </c>
      <c r="D21" s="29" t="n">
        <v>4</v>
      </c>
      <c r="E21" s="29" t="inlineStr">
        <is>
          <t>6</t>
        </is>
      </c>
      <c r="F21" s="29" t="n">
        <v>65</v>
      </c>
      <c r="G21" s="30">
        <f>Maxes!G9</f>
        <v/>
      </c>
      <c r="H21" s="31">
        <f>IF(OR(G21="",F21=""),"",MROUND(G21*F21/100,'Start Here'!$B$6))</f>
        <v/>
      </c>
      <c r="I21" s="32" t="n"/>
      <c r="J21" s="32" t="n"/>
      <c r="K21" s="29">
        <f>IF(OR(I21="",J21=""),"",IF(J21=1,I21,ROUND(I21*(1+J21/30),1)))</f>
        <v/>
      </c>
      <c r="L21" s="33">
        <f>IF(K21="","",IF(K21&gt;=PRs!C9,"PR!",""))</f>
        <v/>
      </c>
      <c r="M21" s="32" t="n"/>
      <c r="N21" s="34" t="inlineStr"/>
    </row>
    <row r="22">
      <c r="A22" s="26" t="inlineStr">
        <is>
          <t>Day 3 - Variations</t>
        </is>
      </c>
      <c r="B22" s="27">
        <f>'Start Here'!$B$7+172</f>
        <v/>
      </c>
      <c r="C22" s="31" t="inlineStr">
        <is>
          <t>Spoto Press</t>
        </is>
      </c>
      <c r="D22" s="29" t="n">
        <v>4</v>
      </c>
      <c r="E22" s="29" t="inlineStr">
        <is>
          <t>6</t>
        </is>
      </c>
      <c r="F22" s="29" t="n">
        <v>65</v>
      </c>
      <c r="G22" s="30">
        <f>Maxes!G21</f>
        <v/>
      </c>
      <c r="H22" s="31">
        <f>IF(OR(G22="",F22=""),"",MROUND(G22*F22/100,'Start Here'!$B$6))</f>
        <v/>
      </c>
      <c r="I22" s="32" t="n"/>
      <c r="J22" s="32" t="n"/>
      <c r="K22" s="29">
        <f>IF(OR(I22="",J22=""),"",IF(J22=1,I22,ROUND(I22*(1+J22/30),1)))</f>
        <v/>
      </c>
      <c r="L22" s="33">
        <f>IF(K22="","",IF(K22&gt;=PRs!C21,"PR!",""))</f>
        <v/>
      </c>
      <c r="M22" s="32" t="n"/>
      <c r="N22" s="34" t="inlineStr"/>
    </row>
    <row r="23">
      <c r="A23" s="26" t="inlineStr">
        <is>
          <t>Day 3 - Variations</t>
        </is>
      </c>
      <c r="B23" s="27">
        <f>'Start Here'!$B$7+172</f>
        <v/>
      </c>
      <c r="C23" s="31" t="inlineStr">
        <is>
          <t>Paused Deadlift</t>
        </is>
      </c>
      <c r="D23" s="29" t="n">
        <v>3</v>
      </c>
      <c r="E23" s="29" t="inlineStr">
        <is>
          <t>6</t>
        </is>
      </c>
      <c r="F23" s="29" t="n">
        <v>60</v>
      </c>
      <c r="G23" s="30">
        <f>Maxes!G25</f>
        <v/>
      </c>
      <c r="H23" s="31">
        <f>IF(OR(G23="",F23=""),"",MROUND(G23*F23/100,'Start Here'!$B$6))</f>
        <v/>
      </c>
      <c r="I23" s="32" t="n"/>
      <c r="J23" s="32" t="n"/>
      <c r="K23" s="29">
        <f>IF(OR(I23="",J23=""),"",IF(J23=1,I23,ROUND(I23*(1+J23/30),1)))</f>
        <v/>
      </c>
      <c r="L23" s="33">
        <f>IF(K23="","",IF(K23&gt;=PRs!C25,"PR!",""))</f>
        <v/>
      </c>
      <c r="M23" s="32" t="n"/>
      <c r="N23" s="34" t="inlineStr"/>
    </row>
    <row r="24">
      <c r="A24" s="26" t="inlineStr">
        <is>
          <t>Day 3 - Variations</t>
        </is>
      </c>
      <c r="B24" s="27">
        <f>'Start Here'!$B$7+172</f>
        <v/>
      </c>
      <c r="C24" s="29" t="inlineStr">
        <is>
          <t>Incline Dumbbell Press</t>
        </is>
      </c>
      <c r="D24" s="29" t="n">
        <v>4</v>
      </c>
      <c r="E24" s="29" t="inlineStr">
        <is>
          <t>8-12</t>
        </is>
      </c>
      <c r="F24" s="29" t="n"/>
      <c r="G24" s="30" t="n"/>
      <c r="H24" s="31" t="n"/>
      <c r="I24" s="32" t="n"/>
      <c r="J24" s="32" t="n"/>
      <c r="K24" s="29">
        <f>IF(OR(I24="",J24=""),"",IF(J24=1,I24,ROUND(I24*(1+J24/30),1)))</f>
        <v/>
      </c>
      <c r="L24" s="33">
        <f>IF(K24="","",IF(K24&gt;=PRs!C57,"PR!",""))</f>
        <v/>
      </c>
      <c r="M24" s="32" t="n"/>
      <c r="N24" s="34" t="inlineStr">
        <is>
          <t>Leave 1-2 reps in the tank; add weight when you hit the top of the range</t>
        </is>
      </c>
    </row>
    <row r="25">
      <c r="A25" s="26" t="inlineStr">
        <is>
          <t>Day 3 - Variations</t>
        </is>
      </c>
      <c r="B25" s="27">
        <f>'Start Here'!$B$7+172</f>
        <v/>
      </c>
      <c r="C25" s="29" t="inlineStr">
        <is>
          <t>Triceps Pushdown</t>
        </is>
      </c>
      <c r="D25" s="29" t="n">
        <v>4</v>
      </c>
      <c r="E25" s="29" t="inlineStr">
        <is>
          <t>10-15</t>
        </is>
      </c>
      <c r="F25" s="29" t="n"/>
      <c r="G25" s="30" t="n"/>
      <c r="H25" s="31" t="n"/>
      <c r="I25" s="32" t="n"/>
      <c r="J25" s="32" t="n"/>
      <c r="K25" s="29">
        <f>IF(OR(I25="",J25=""),"",IF(J25=1,I25,ROUND(I25*(1+J25/30),1)))</f>
        <v/>
      </c>
      <c r="L25" s="33">
        <f>IF(K25="","",IF(K25&gt;=PRs!C59,"PR!",""))</f>
        <v/>
      </c>
      <c r="M25" s="32" t="n"/>
      <c r="N25" s="34" t="inlineStr">
        <is>
          <t>Leave 1-2 reps in the tank; add weight when you hit the top of the range</t>
        </is>
      </c>
    </row>
  </sheetData>
  <hyperlinks>
    <hyperlink xmlns:r="http://schemas.openxmlformats.org/officeDocument/2006/relationships" ref="A2" r:id="rId1"/>
    <hyperlink xmlns:r="http://schemas.openxmlformats.org/officeDocument/2006/relationships" ref="C2" r:id="rId2"/>
    <hyperlink xmlns:r="http://schemas.openxmlformats.org/officeDocument/2006/relationships" ref="E2" r:id="rId3"/>
  </hyperlinks>
  <pageMargins left="0.75" right="0.75" top="1" bottom="1" header="0.5" footer="0.5"/>
  <pageSetup orientation="landscape" fitToHeight="0" fitToWidth="1"/>
</worksheet>
</file>

<file path=xl/worksheets/sheet28.xml><?xml version="1.0" encoding="utf-8"?>
<worksheet xmlns="http://schemas.openxmlformats.org/spreadsheetml/2006/main">
  <sheetPr>
    <tabColor rgb="00DCEFDC"/>
    <outlinePr summaryBelow="1" summaryRight="1"/>
    <pageSetUpPr fitToPage="1"/>
  </sheetPr>
  <dimension ref="A1:N25"/>
  <sheetViews>
    <sheetView workbookViewId="0">
      <pane xSplit="3" ySplit="5" topLeftCell="D6" activePane="bottomRight" state="frozen"/>
      <selection pane="topRight"/>
      <selection pane="bottomLeft"/>
      <selection pane="bottomRight" activeCell="A1" sqref="A1"/>
    </sheetView>
  </sheetViews>
  <sheetFormatPr baseColWidth="8" defaultRowHeight="15"/>
  <cols>
    <col width="17" customWidth="1" min="1" max="1"/>
    <col width="11" customWidth="1" min="2" max="2"/>
    <col width="24" customWidth="1" min="3" max="3"/>
    <col width="5" customWidth="1" min="4" max="4"/>
    <col width="6" customWidth="1" min="5" max="5"/>
    <col width="6" customWidth="1" min="6" max="6"/>
    <col width="9" customWidth="1" min="7" max="7"/>
    <col width="10" customWidth="1" min="8" max="8"/>
    <col width="13" customWidth="1" min="9" max="9"/>
    <col width="8" customWidth="1" min="10" max="10"/>
    <col width="9" customWidth="1" min="11" max="11"/>
    <col width="5" customWidth="1" min="12" max="12"/>
    <col width="22" customWidth="1" min="13" max="13"/>
    <col width="62" customWidth="1" min="14" max="14"/>
  </cols>
  <sheetData>
    <row r="1">
      <c r="A1" s="24" t="inlineStr">
        <is>
          <t>Week 26 - Cycle 3 - Accumulation</t>
        </is>
      </c>
    </row>
    <row r="2">
      <c r="A2" s="25" t="inlineStr">
        <is>
          <t>&lt; Week 25</t>
        </is>
      </c>
      <c r="C2" s="25" t="inlineStr">
        <is>
          <t>Start Here</t>
        </is>
      </c>
      <c r="E2" s="25" t="inlineStr">
        <is>
          <t>Week 27 &gt;</t>
        </is>
      </c>
    </row>
    <row r="3">
      <c r="A3" s="10" t="inlineStr">
        <is>
          <t>Bodyweight this week</t>
        </is>
      </c>
      <c r="C3" s="4" t="n"/>
      <c r="D3" t="inlineStr">
        <is>
          <t>Weigh in once this week: same morning routine, before eating.</t>
        </is>
      </c>
    </row>
    <row r="5">
      <c r="A5" s="5" t="inlineStr">
        <is>
          <t>Day</t>
        </is>
      </c>
      <c r="B5" s="5" t="inlineStr">
        <is>
          <t>Date</t>
        </is>
      </c>
      <c r="C5" s="5" t="inlineStr">
        <is>
          <t>Exercise</t>
        </is>
      </c>
      <c r="D5" s="5" t="inlineStr">
        <is>
          <t>Sets</t>
        </is>
      </c>
      <c r="E5" s="5" t="inlineStr">
        <is>
          <t>Reps</t>
        </is>
      </c>
      <c r="F5" s="5" t="inlineStr">
        <is>
          <t>% TM</t>
        </is>
      </c>
      <c r="G5" s="5" t="inlineStr">
        <is>
          <t>Training max</t>
        </is>
      </c>
      <c r="H5" s="5" t="inlineStr">
        <is>
          <t>Weight / target</t>
        </is>
      </c>
      <c r="I5" s="5" t="inlineStr">
        <is>
          <t>Actual (weight, height or distance)</t>
        </is>
      </c>
      <c r="J5" s="5" t="inlineStr">
        <is>
          <t>Actual reps</t>
        </is>
      </c>
      <c r="K5" s="5" t="inlineStr">
        <is>
          <t>Est. 1RM</t>
        </is>
      </c>
      <c r="L5" s="5" t="inlineStr">
        <is>
          <t>PR</t>
        </is>
      </c>
      <c r="M5" s="5" t="inlineStr">
        <is>
          <t>Notes</t>
        </is>
      </c>
      <c r="N5" s="5" t="inlineStr">
        <is>
          <t>Guidance</t>
        </is>
      </c>
    </row>
    <row r="6">
      <c r="A6" s="26" t="inlineStr">
        <is>
          <t>Day 1 - Heavy</t>
        </is>
      </c>
      <c r="B6" s="27">
        <f>'Start Here'!$B$7+175</f>
        <v/>
      </c>
      <c r="C6" s="28" t="inlineStr">
        <is>
          <t>Box Jump</t>
        </is>
      </c>
      <c r="D6" s="29" t="n">
        <v>4</v>
      </c>
      <c r="E6" s="29" t="inlineStr">
        <is>
          <t>3</t>
        </is>
      </c>
      <c r="F6" s="29" t="n"/>
      <c r="G6" s="30" t="n"/>
      <c r="H6" s="31">
        <f>IFERROR(IF(PRs!D69&lt;'Start Here'!$H$15,'Start Here'!$H$15,IF(PRs!D69&lt;'Start Here'!$H$16,'Start Here'!$H$16,IF(PRs!D69&lt;'Start Here'!$H$17,'Start Here'!$H$17,IF(PRs!D69&lt;'Start Here'!$H$18,'Start Here'!$H$18,"Elite!")))),"")</f>
        <v/>
      </c>
      <c r="I6" s="32" t="n"/>
      <c r="J6" s="32" t="n"/>
      <c r="K6" s="29" t="n"/>
      <c r="L6" s="33">
        <f>IF(I6="","",IF(I6&gt;=PRs!D69,"PR!",""))</f>
        <v/>
      </c>
      <c r="M6" s="32" t="n"/>
      <c r="N6" s="34" t="inlineStr">
        <is>
          <t>Explode up, land softly, STEP down. Full reset between reps. Log your box height; check the standards</t>
        </is>
      </c>
    </row>
    <row r="7">
      <c r="A7" s="26" t="inlineStr">
        <is>
          <t>Day 1 - Heavy</t>
        </is>
      </c>
      <c r="B7" s="27">
        <f>'Start Here'!$B$7+175</f>
        <v/>
      </c>
      <c r="C7" s="31" t="inlineStr">
        <is>
          <t>Snatch</t>
        </is>
      </c>
      <c r="D7" s="29" t="n">
        <v>4</v>
      </c>
      <c r="E7" s="29" t="inlineStr">
        <is>
          <t>3</t>
        </is>
      </c>
      <c r="F7" s="29" t="n">
        <v>72.5</v>
      </c>
      <c r="G7" s="30">
        <f>Maxes!G6</f>
        <v/>
      </c>
      <c r="H7" s="31">
        <f>IF(OR(G7="",F7=""),"",MROUND(G7*F7/100,'Start Here'!$B$6))</f>
        <v/>
      </c>
      <c r="I7" s="32" t="n"/>
      <c r="J7" s="32" t="n"/>
      <c r="K7" s="29">
        <f>IF(OR(I7="",J7=""),"",IF(J7=1,I7,ROUND(I7*(1+J7/30),1)))</f>
        <v/>
      </c>
      <c r="L7" s="33">
        <f>IF(K7="","",IF(K7&gt;=PRs!C6,"PR!",""))</f>
        <v/>
      </c>
      <c r="M7" s="32" t="n"/>
      <c r="N7" s="34" t="inlineStr"/>
    </row>
    <row r="8">
      <c r="A8" s="26" t="inlineStr">
        <is>
          <t>Day 1 - Heavy</t>
        </is>
      </c>
      <c r="B8" s="27">
        <f>'Start Here'!$B$7+175</f>
        <v/>
      </c>
      <c r="C8" s="31" t="inlineStr">
        <is>
          <t>Squat</t>
        </is>
      </c>
      <c r="D8" s="29" t="n">
        <v>3</v>
      </c>
      <c r="E8" s="29" t="inlineStr">
        <is>
          <t>6</t>
        </is>
      </c>
      <c r="F8" s="29" t="n">
        <v>72.5</v>
      </c>
      <c r="G8" s="30">
        <f>Maxes!G2</f>
        <v/>
      </c>
      <c r="H8" s="31">
        <f>IF(OR(G8="",F8=""),"",MROUND(G8*F8/100,'Start Here'!$B$6))</f>
        <v/>
      </c>
      <c r="I8" s="32" t="n"/>
      <c r="J8" s="32" t="n"/>
      <c r="K8" s="29">
        <f>IF(OR(I8="",J8=""),"",IF(J8=1,I8,ROUND(I8*(1+J8/30),1)))</f>
        <v/>
      </c>
      <c r="L8" s="33">
        <f>IF(K8="","",IF(K8&gt;=PRs!C2,"PR!",""))</f>
        <v/>
      </c>
      <c r="M8" s="32" t="n"/>
      <c r="N8" s="34" t="inlineStr"/>
    </row>
    <row r="9">
      <c r="A9" s="26" t="inlineStr">
        <is>
          <t>Day 1 - Heavy</t>
        </is>
      </c>
      <c r="B9" s="27">
        <f>'Start Here'!$B$7+175</f>
        <v/>
      </c>
      <c r="C9" s="31" t="inlineStr">
        <is>
          <t>Bench Press</t>
        </is>
      </c>
      <c r="D9" s="29" t="n">
        <v>3</v>
      </c>
      <c r="E9" s="29" t="inlineStr">
        <is>
          <t>6</t>
        </is>
      </c>
      <c r="F9" s="29" t="n">
        <v>72.5</v>
      </c>
      <c r="G9" s="30">
        <f>Maxes!G3</f>
        <v/>
      </c>
      <c r="H9" s="31">
        <f>IF(OR(G9="",F9=""),"",MROUND(G9*F9/100,'Start Here'!$B$6))</f>
        <v/>
      </c>
      <c r="I9" s="32" t="n"/>
      <c r="J9" s="32" t="n"/>
      <c r="K9" s="29">
        <f>IF(OR(I9="",J9=""),"",IF(J9=1,I9,ROUND(I9*(1+J9/30),1)))</f>
        <v/>
      </c>
      <c r="L9" s="33">
        <f>IF(K9="","",IF(K9&gt;=PRs!C3,"PR!",""))</f>
        <v/>
      </c>
      <c r="M9" s="32" t="n"/>
      <c r="N9" s="34" t="inlineStr"/>
    </row>
    <row r="10">
      <c r="A10" s="26" t="inlineStr">
        <is>
          <t>Day 1 - Heavy</t>
        </is>
      </c>
      <c r="B10" s="27">
        <f>'Start Here'!$B$7+175</f>
        <v/>
      </c>
      <c r="C10" s="29" t="inlineStr">
        <is>
          <t>Barbell Row</t>
        </is>
      </c>
      <c r="D10" s="29" t="n">
        <v>4</v>
      </c>
      <c r="E10" s="29" t="inlineStr">
        <is>
          <t>8-10</t>
        </is>
      </c>
      <c r="F10" s="29" t="n"/>
      <c r="G10" s="30" t="n"/>
      <c r="H10" s="31" t="n"/>
      <c r="I10" s="32" t="n"/>
      <c r="J10" s="32" t="n"/>
      <c r="K10" s="29">
        <f>IF(OR(I10="",J10=""),"",IF(J10=1,I10,ROUND(I10*(1+J10/30),1)))</f>
        <v/>
      </c>
      <c r="L10" s="33">
        <f>IF(K10="","",IF(K10&gt;=PRs!C50,"PR!",""))</f>
        <v/>
      </c>
      <c r="M10" s="32" t="n"/>
      <c r="N10" s="34" t="inlineStr">
        <is>
          <t>Leave 1-2 reps in the tank; add weight when you hit the top of the range</t>
        </is>
      </c>
    </row>
    <row r="11">
      <c r="A11" s="26" t="inlineStr">
        <is>
          <t>Day 1 - Heavy</t>
        </is>
      </c>
      <c r="B11" s="27">
        <f>'Start Here'!$B$7+175</f>
        <v/>
      </c>
      <c r="C11" s="29" t="inlineStr">
        <is>
          <t>Face Pull</t>
        </is>
      </c>
      <c r="D11" s="29" t="n">
        <v>4</v>
      </c>
      <c r="E11" s="29" t="inlineStr">
        <is>
          <t>12-15</t>
        </is>
      </c>
      <c r="F11" s="29" t="n"/>
      <c r="G11" s="30" t="n"/>
      <c r="H11" s="31" t="n"/>
      <c r="I11" s="32" t="n"/>
      <c r="J11" s="32" t="n"/>
      <c r="K11" s="29">
        <f>IF(OR(I11="",J11=""),"",IF(J11=1,I11,ROUND(I11*(1+J11/30),1)))</f>
        <v/>
      </c>
      <c r="L11" s="33">
        <f>IF(K11="","",IF(K11&gt;=PRs!C51,"PR!",""))</f>
        <v/>
      </c>
      <c r="M11" s="32" t="n"/>
      <c r="N11" s="34" t="inlineStr">
        <is>
          <t>Leave 1-2 reps in the tank; add weight when you hit the top of the range</t>
        </is>
      </c>
    </row>
    <row r="12">
      <c r="A12" s="26" t="inlineStr">
        <is>
          <t>Day 2 - Light</t>
        </is>
      </c>
      <c r="B12" s="27">
        <f>'Start Here'!$B$7+177</f>
        <v/>
      </c>
      <c r="C12" s="28" t="inlineStr">
        <is>
          <t>Broad Jump</t>
        </is>
      </c>
      <c r="D12" s="29" t="n">
        <v>4</v>
      </c>
      <c r="E12" s="29" t="inlineStr">
        <is>
          <t>3</t>
        </is>
      </c>
      <c r="F12" s="29" t="n"/>
      <c r="G12" s="30" t="n"/>
      <c r="H12" s="31" t="n"/>
      <c r="I12" s="32" t="n"/>
      <c r="J12" s="32" t="n"/>
      <c r="K12" s="29" t="n"/>
      <c r="L12" s="33">
        <f>IF(I12="","",IF(I12&gt;=PRs!D70,"PR!",""))</f>
        <v/>
      </c>
      <c r="M12" s="32" t="n"/>
      <c r="N12" s="34" t="inlineStr">
        <is>
          <t>Two-foot jump for distance, stick the landing. Full reset between reps. Log your best distance</t>
        </is>
      </c>
    </row>
    <row r="13">
      <c r="A13" s="26" t="inlineStr">
        <is>
          <t>Day 2 - Light</t>
        </is>
      </c>
      <c r="B13" s="27">
        <f>'Start Here'!$B$7+177</f>
        <v/>
      </c>
      <c r="C13" s="31" t="inlineStr">
        <is>
          <t>Clean &amp; Jerk</t>
        </is>
      </c>
      <c r="D13" s="29" t="n">
        <v>4</v>
      </c>
      <c r="E13" s="29" t="inlineStr">
        <is>
          <t>3</t>
        </is>
      </c>
      <c r="F13" s="29" t="n">
        <v>72.5</v>
      </c>
      <c r="G13" s="30">
        <f>Maxes!G7</f>
        <v/>
      </c>
      <c r="H13" s="31">
        <f>IF(OR(G13="",F13=""),"",MROUND(G13*F13/100,'Start Here'!$B$6))</f>
        <v/>
      </c>
      <c r="I13" s="32" t="n"/>
      <c r="J13" s="32" t="n"/>
      <c r="K13" s="29">
        <f>IF(OR(I13="",J13=""),"",IF(J13=1,I13,ROUND(I13*(1+J13/30),1)))</f>
        <v/>
      </c>
      <c r="L13" s="33">
        <f>IF(K13="","",IF(K13&gt;=PRs!C7,"PR!",""))</f>
        <v/>
      </c>
      <c r="M13" s="32" t="n"/>
      <c r="N13" s="34" t="inlineStr"/>
    </row>
    <row r="14">
      <c r="A14" s="26" t="inlineStr">
        <is>
          <t>Day 2 - Light</t>
        </is>
      </c>
      <c r="B14" s="27">
        <f>'Start Here'!$B$7+177</f>
        <v/>
      </c>
      <c r="C14" s="31" t="inlineStr">
        <is>
          <t>Squat</t>
        </is>
      </c>
      <c r="D14" s="29" t="n">
        <v>3</v>
      </c>
      <c r="E14" s="29" t="inlineStr">
        <is>
          <t>6</t>
        </is>
      </c>
      <c r="F14" s="29" t="n">
        <v>62.5</v>
      </c>
      <c r="G14" s="30">
        <f>Maxes!G2</f>
        <v/>
      </c>
      <c r="H14" s="31">
        <f>IF(OR(G14="",F14=""),"",MROUND(G14*F14/100,'Start Here'!$B$6))</f>
        <v/>
      </c>
      <c r="I14" s="32" t="n"/>
      <c r="J14" s="32" t="n"/>
      <c r="K14" s="29">
        <f>IF(OR(I14="",J14=""),"",IF(J14=1,I14,ROUND(I14*(1+J14/30),1)))</f>
        <v/>
      </c>
      <c r="L14" s="33">
        <f>IF(K14="","",IF(K14&gt;=PRs!C2,"PR!",""))</f>
        <v/>
      </c>
      <c r="M14" s="32" t="n"/>
      <c r="N14" s="34" t="inlineStr"/>
    </row>
    <row r="15">
      <c r="A15" s="26" t="inlineStr">
        <is>
          <t>Day 2 - Light</t>
        </is>
      </c>
      <c r="B15" s="27">
        <f>'Start Here'!$B$7+177</f>
        <v/>
      </c>
      <c r="C15" s="31" t="inlineStr">
        <is>
          <t>Overhead Press</t>
        </is>
      </c>
      <c r="D15" s="29" t="n">
        <v>4</v>
      </c>
      <c r="E15" s="29" t="inlineStr">
        <is>
          <t>6</t>
        </is>
      </c>
      <c r="F15" s="29" t="n">
        <v>67.5</v>
      </c>
      <c r="G15" s="30">
        <f>Maxes!G5</f>
        <v/>
      </c>
      <c r="H15" s="31">
        <f>IF(OR(G15="",F15=""),"",MROUND(G15*F15/100,'Start Here'!$B$6))</f>
        <v/>
      </c>
      <c r="I15" s="32" t="n"/>
      <c r="J15" s="32" t="n"/>
      <c r="K15" s="29">
        <f>IF(OR(I15="",J15=""),"",IF(J15=1,I15,ROUND(I15*(1+J15/30),1)))</f>
        <v/>
      </c>
      <c r="L15" s="33">
        <f>IF(K15="","",IF(K15&gt;=PRs!C5,"PR!",""))</f>
        <v/>
      </c>
      <c r="M15" s="32" t="n"/>
      <c r="N15" s="34" t="inlineStr"/>
    </row>
    <row r="16">
      <c r="A16" s="26" t="inlineStr">
        <is>
          <t>Day 2 - Light</t>
        </is>
      </c>
      <c r="B16" s="27">
        <f>'Start Here'!$B$7+177</f>
        <v/>
      </c>
      <c r="C16" s="31" t="inlineStr">
        <is>
          <t>Deadlift</t>
        </is>
      </c>
      <c r="D16" s="29" t="n">
        <v>3</v>
      </c>
      <c r="E16" s="29" t="inlineStr">
        <is>
          <t>6</t>
        </is>
      </c>
      <c r="F16" s="29" t="n">
        <v>67.5</v>
      </c>
      <c r="G16" s="30">
        <f>Maxes!G4</f>
        <v/>
      </c>
      <c r="H16" s="31">
        <f>IF(OR(G16="",F16=""),"",MROUND(G16*F16/100,'Start Here'!$B$6))</f>
        <v/>
      </c>
      <c r="I16" s="32" t="n"/>
      <c r="J16" s="32" t="n"/>
      <c r="K16" s="29">
        <f>IF(OR(I16="",J16=""),"",IF(J16=1,I16,ROUND(I16*(1+J16/30),1)))</f>
        <v/>
      </c>
      <c r="L16" s="33">
        <f>IF(K16="","",IF(K16&gt;=PRs!C4,"PR!",""))</f>
        <v/>
      </c>
      <c r="M16" s="32" t="n"/>
      <c r="N16" s="34" t="inlineStr"/>
    </row>
    <row r="17">
      <c r="A17" s="26" t="inlineStr">
        <is>
          <t>Day 2 - Light</t>
        </is>
      </c>
      <c r="B17" s="27">
        <f>'Start Here'!$B$7+177</f>
        <v/>
      </c>
      <c r="C17" s="29" t="inlineStr">
        <is>
          <t>Chin-up</t>
        </is>
      </c>
      <c r="D17" s="29" t="n">
        <v>4</v>
      </c>
      <c r="E17" s="29" t="inlineStr">
        <is>
          <t>6-10</t>
        </is>
      </c>
      <c r="F17" s="29" t="n"/>
      <c r="G17" s="30" t="n"/>
      <c r="H17" s="31" t="n"/>
      <c r="I17" s="32" t="n"/>
      <c r="J17" s="32" t="n"/>
      <c r="K17" s="29">
        <f>IF(OR(I17="",J17=""),"",IF(J17=1,I17,ROUND(I17*(1+J17/30),1)))</f>
        <v/>
      </c>
      <c r="L17" s="33">
        <f>IF(K17="","",IF(K17&gt;=PRs!C53,"PR!",""))</f>
        <v/>
      </c>
      <c r="M17" s="32" t="n"/>
      <c r="N17" s="34" t="inlineStr">
        <is>
          <t>Leave 1-2 reps in the tank; add weight when you hit the top of the range</t>
        </is>
      </c>
    </row>
    <row r="18">
      <c r="A18" s="26" t="inlineStr">
        <is>
          <t>Day 2 - Light</t>
        </is>
      </c>
      <c r="B18" s="27">
        <f>'Start Here'!$B$7+177</f>
        <v/>
      </c>
      <c r="C18" s="29" t="inlineStr">
        <is>
          <t>Plank</t>
        </is>
      </c>
      <c r="D18" s="29" t="n">
        <v>4</v>
      </c>
      <c r="E18" s="29" t="inlineStr">
        <is>
          <t>30-60s</t>
        </is>
      </c>
      <c r="F18" s="29" t="n"/>
      <c r="G18" s="30" t="n"/>
      <c r="H18" s="31" t="n"/>
      <c r="I18" s="32" t="n"/>
      <c r="J18" s="32" t="n"/>
      <c r="K18" s="29">
        <f>IF(OR(I18="",J18=""),"",IF(J18=1,I18,ROUND(I18*(1+J18/30),1)))</f>
        <v/>
      </c>
      <c r="L18" s="33">
        <f>IF(K18="","",IF(K18&gt;=PRs!C56,"PR!",""))</f>
        <v/>
      </c>
      <c r="M18" s="32" t="n"/>
      <c r="N18" s="34" t="inlineStr">
        <is>
          <t>Leave 1-2 reps in the tank; add weight when you hit the top of the range</t>
        </is>
      </c>
    </row>
    <row r="19">
      <c r="A19" s="26" t="inlineStr">
        <is>
          <t>Day 3 - Variations</t>
        </is>
      </c>
      <c r="B19" s="27">
        <f>'Start Here'!$B$7+179</f>
        <v/>
      </c>
      <c r="C19" s="28" t="inlineStr">
        <is>
          <t>Box Jump</t>
        </is>
      </c>
      <c r="D19" s="29" t="n">
        <v>4</v>
      </c>
      <c r="E19" s="29" t="inlineStr">
        <is>
          <t>3</t>
        </is>
      </c>
      <c r="F19" s="29" t="n"/>
      <c r="G19" s="30" t="n"/>
      <c r="H19" s="31">
        <f>IFERROR(IF(PRs!D69&lt;'Start Here'!$H$15,'Start Here'!$H$15,IF(PRs!D69&lt;'Start Here'!$H$16,'Start Here'!$H$16,IF(PRs!D69&lt;'Start Here'!$H$17,'Start Here'!$H$17,IF(PRs!D69&lt;'Start Here'!$H$18,'Start Here'!$H$18,"Elite!")))),"")</f>
        <v/>
      </c>
      <c r="I19" s="32" t="n"/>
      <c r="J19" s="32" t="n"/>
      <c r="K19" s="29" t="n"/>
      <c r="L19" s="33">
        <f>IF(I19="","",IF(I19&gt;=PRs!D69,"PR!",""))</f>
        <v/>
      </c>
      <c r="M19" s="32" t="n"/>
      <c r="N19" s="34" t="inlineStr">
        <is>
          <t>Explode up, land softly, STEP down. Full reset between reps. Log your box height; check the standards</t>
        </is>
      </c>
    </row>
    <row r="20">
      <c r="A20" s="26" t="inlineStr">
        <is>
          <t>Day 3 - Variations</t>
        </is>
      </c>
      <c r="B20" s="27">
        <f>'Start Here'!$B$7+179</f>
        <v/>
      </c>
      <c r="C20" s="31" t="inlineStr">
        <is>
          <t>Block Snatch</t>
        </is>
      </c>
      <c r="D20" s="29" t="n">
        <v>6</v>
      </c>
      <c r="E20" s="29" t="inlineStr">
        <is>
          <t>3</t>
        </is>
      </c>
      <c r="F20" s="29" t="n">
        <v>67.5</v>
      </c>
      <c r="G20" s="30">
        <f>Maxes!G40</f>
        <v/>
      </c>
      <c r="H20" s="31">
        <f>IF(OR(G20="",F20=""),"",MROUND(G20*F20/100,'Start Here'!$B$6))</f>
        <v/>
      </c>
      <c r="I20" s="32" t="n"/>
      <c r="J20" s="32" t="n"/>
      <c r="K20" s="29">
        <f>IF(OR(I20="",J20=""),"",IF(J20=1,I20,ROUND(I20*(1+J20/30),1)))</f>
        <v/>
      </c>
      <c r="L20" s="33">
        <f>IF(K20="","",IF(K20&gt;=PRs!C40,"PR!",""))</f>
        <v/>
      </c>
      <c r="M20" s="32" t="n"/>
      <c r="N20" s="34" t="inlineStr"/>
    </row>
    <row r="21">
      <c r="A21" s="26" t="inlineStr">
        <is>
          <t>Day 3 - Variations</t>
        </is>
      </c>
      <c r="B21" s="27">
        <f>'Start Here'!$B$7+179</f>
        <v/>
      </c>
      <c r="C21" s="31" t="inlineStr">
        <is>
          <t>Pause Squat</t>
        </is>
      </c>
      <c r="D21" s="29" t="n">
        <v>4</v>
      </c>
      <c r="E21" s="29" t="inlineStr">
        <is>
          <t>6</t>
        </is>
      </c>
      <c r="F21" s="29" t="n">
        <v>67.5</v>
      </c>
      <c r="G21" s="30">
        <f>Maxes!G9</f>
        <v/>
      </c>
      <c r="H21" s="31">
        <f>IF(OR(G21="",F21=""),"",MROUND(G21*F21/100,'Start Here'!$B$6))</f>
        <v/>
      </c>
      <c r="I21" s="32" t="n"/>
      <c r="J21" s="32" t="n"/>
      <c r="K21" s="29">
        <f>IF(OR(I21="",J21=""),"",IF(J21=1,I21,ROUND(I21*(1+J21/30),1)))</f>
        <v/>
      </c>
      <c r="L21" s="33">
        <f>IF(K21="","",IF(K21&gt;=PRs!C9,"PR!",""))</f>
        <v/>
      </c>
      <c r="M21" s="32" t="n"/>
      <c r="N21" s="34" t="inlineStr"/>
    </row>
    <row r="22">
      <c r="A22" s="26" t="inlineStr">
        <is>
          <t>Day 3 - Variations</t>
        </is>
      </c>
      <c r="B22" s="27">
        <f>'Start Here'!$B$7+179</f>
        <v/>
      </c>
      <c r="C22" s="31" t="inlineStr">
        <is>
          <t>Spoto Press</t>
        </is>
      </c>
      <c r="D22" s="29" t="n">
        <v>4</v>
      </c>
      <c r="E22" s="29" t="inlineStr">
        <is>
          <t>6</t>
        </is>
      </c>
      <c r="F22" s="29" t="n">
        <v>67.5</v>
      </c>
      <c r="G22" s="30">
        <f>Maxes!G21</f>
        <v/>
      </c>
      <c r="H22" s="31">
        <f>IF(OR(G22="",F22=""),"",MROUND(G22*F22/100,'Start Here'!$B$6))</f>
        <v/>
      </c>
      <c r="I22" s="32" t="n"/>
      <c r="J22" s="32" t="n"/>
      <c r="K22" s="29">
        <f>IF(OR(I22="",J22=""),"",IF(J22=1,I22,ROUND(I22*(1+J22/30),1)))</f>
        <v/>
      </c>
      <c r="L22" s="33">
        <f>IF(K22="","",IF(K22&gt;=PRs!C21,"PR!",""))</f>
        <v/>
      </c>
      <c r="M22" s="32" t="n"/>
      <c r="N22" s="34" t="inlineStr"/>
    </row>
    <row r="23">
      <c r="A23" s="26" t="inlineStr">
        <is>
          <t>Day 3 - Variations</t>
        </is>
      </c>
      <c r="B23" s="27">
        <f>'Start Here'!$B$7+179</f>
        <v/>
      </c>
      <c r="C23" s="31" t="inlineStr">
        <is>
          <t>Paused Deadlift</t>
        </is>
      </c>
      <c r="D23" s="29" t="n">
        <v>3</v>
      </c>
      <c r="E23" s="29" t="inlineStr">
        <is>
          <t>6</t>
        </is>
      </c>
      <c r="F23" s="29" t="n">
        <v>62.5</v>
      </c>
      <c r="G23" s="30">
        <f>Maxes!G25</f>
        <v/>
      </c>
      <c r="H23" s="31">
        <f>IF(OR(G23="",F23=""),"",MROUND(G23*F23/100,'Start Here'!$B$6))</f>
        <v/>
      </c>
      <c r="I23" s="32" t="n"/>
      <c r="J23" s="32" t="n"/>
      <c r="K23" s="29">
        <f>IF(OR(I23="",J23=""),"",IF(J23=1,I23,ROUND(I23*(1+J23/30),1)))</f>
        <v/>
      </c>
      <c r="L23" s="33">
        <f>IF(K23="","",IF(K23&gt;=PRs!C25,"PR!",""))</f>
        <v/>
      </c>
      <c r="M23" s="32" t="n"/>
      <c r="N23" s="34" t="inlineStr"/>
    </row>
    <row r="24">
      <c r="A24" s="26" t="inlineStr">
        <is>
          <t>Day 3 - Variations</t>
        </is>
      </c>
      <c r="B24" s="27">
        <f>'Start Here'!$B$7+179</f>
        <v/>
      </c>
      <c r="C24" s="29" t="inlineStr">
        <is>
          <t>Incline Dumbbell Press</t>
        </is>
      </c>
      <c r="D24" s="29" t="n">
        <v>4</v>
      </c>
      <c r="E24" s="29" t="inlineStr">
        <is>
          <t>8-12</t>
        </is>
      </c>
      <c r="F24" s="29" t="n"/>
      <c r="G24" s="30" t="n"/>
      <c r="H24" s="31" t="n"/>
      <c r="I24" s="32" t="n"/>
      <c r="J24" s="32" t="n"/>
      <c r="K24" s="29">
        <f>IF(OR(I24="",J24=""),"",IF(J24=1,I24,ROUND(I24*(1+J24/30),1)))</f>
        <v/>
      </c>
      <c r="L24" s="33">
        <f>IF(K24="","",IF(K24&gt;=PRs!C57,"PR!",""))</f>
        <v/>
      </c>
      <c r="M24" s="32" t="n"/>
      <c r="N24" s="34" t="inlineStr">
        <is>
          <t>Leave 1-2 reps in the tank; add weight when you hit the top of the range</t>
        </is>
      </c>
    </row>
    <row r="25">
      <c r="A25" s="26" t="inlineStr">
        <is>
          <t>Day 3 - Variations</t>
        </is>
      </c>
      <c r="B25" s="27">
        <f>'Start Here'!$B$7+179</f>
        <v/>
      </c>
      <c r="C25" s="29" t="inlineStr">
        <is>
          <t>Triceps Pushdown</t>
        </is>
      </c>
      <c r="D25" s="29" t="n">
        <v>4</v>
      </c>
      <c r="E25" s="29" t="inlineStr">
        <is>
          <t>10-15</t>
        </is>
      </c>
      <c r="F25" s="29" t="n"/>
      <c r="G25" s="30" t="n"/>
      <c r="H25" s="31" t="n"/>
      <c r="I25" s="32" t="n"/>
      <c r="J25" s="32" t="n"/>
      <c r="K25" s="29">
        <f>IF(OR(I25="",J25=""),"",IF(J25=1,I25,ROUND(I25*(1+J25/30),1)))</f>
        <v/>
      </c>
      <c r="L25" s="33">
        <f>IF(K25="","",IF(K25&gt;=PRs!C59,"PR!",""))</f>
        <v/>
      </c>
      <c r="M25" s="32" t="n"/>
      <c r="N25" s="34" t="inlineStr">
        <is>
          <t>Leave 1-2 reps in the tank; add weight when you hit the top of the range</t>
        </is>
      </c>
    </row>
  </sheetData>
  <hyperlinks>
    <hyperlink xmlns:r="http://schemas.openxmlformats.org/officeDocument/2006/relationships" ref="A2" r:id="rId1"/>
    <hyperlink xmlns:r="http://schemas.openxmlformats.org/officeDocument/2006/relationships" ref="C2" r:id="rId2"/>
    <hyperlink xmlns:r="http://schemas.openxmlformats.org/officeDocument/2006/relationships" ref="E2" r:id="rId3"/>
  </hyperlinks>
  <pageMargins left="0.75" right="0.75" top="1" bottom="1" header="0.5" footer="0.5"/>
  <pageSetup orientation="landscape" fitToHeight="0" fitToWidth="1"/>
</worksheet>
</file>

<file path=xl/worksheets/sheet29.xml><?xml version="1.0" encoding="utf-8"?>
<worksheet xmlns="http://schemas.openxmlformats.org/spreadsheetml/2006/main">
  <sheetPr>
    <tabColor rgb="00DCEFDC"/>
    <outlinePr summaryBelow="1" summaryRight="1"/>
    <pageSetUpPr fitToPage="1"/>
  </sheetPr>
  <dimension ref="A1:N25"/>
  <sheetViews>
    <sheetView workbookViewId="0">
      <pane xSplit="3" ySplit="5" topLeftCell="D6" activePane="bottomRight" state="frozen"/>
      <selection pane="topRight"/>
      <selection pane="bottomLeft"/>
      <selection pane="bottomRight" activeCell="A1" sqref="A1"/>
    </sheetView>
  </sheetViews>
  <sheetFormatPr baseColWidth="8" defaultRowHeight="15"/>
  <cols>
    <col width="17" customWidth="1" min="1" max="1"/>
    <col width="11" customWidth="1" min="2" max="2"/>
    <col width="24" customWidth="1" min="3" max="3"/>
    <col width="5" customWidth="1" min="4" max="4"/>
    <col width="6" customWidth="1" min="5" max="5"/>
    <col width="6" customWidth="1" min="6" max="6"/>
    <col width="9" customWidth="1" min="7" max="7"/>
    <col width="10" customWidth="1" min="8" max="8"/>
    <col width="13" customWidth="1" min="9" max="9"/>
    <col width="8" customWidth="1" min="10" max="10"/>
    <col width="9" customWidth="1" min="11" max="11"/>
    <col width="5" customWidth="1" min="12" max="12"/>
    <col width="22" customWidth="1" min="13" max="13"/>
    <col width="62" customWidth="1" min="14" max="14"/>
  </cols>
  <sheetData>
    <row r="1">
      <c r="A1" s="24" t="inlineStr">
        <is>
          <t>Week 27 - Cycle 3 - Accumulation</t>
        </is>
      </c>
    </row>
    <row r="2">
      <c r="A2" s="25" t="inlineStr">
        <is>
          <t>&lt; Week 26</t>
        </is>
      </c>
      <c r="C2" s="25" t="inlineStr">
        <is>
          <t>Start Here</t>
        </is>
      </c>
      <c r="E2" s="25" t="inlineStr">
        <is>
          <t>Week 28 &gt;</t>
        </is>
      </c>
    </row>
    <row r="3">
      <c r="A3" s="10" t="inlineStr">
        <is>
          <t>Bodyweight this week</t>
        </is>
      </c>
      <c r="C3" s="4" t="n"/>
      <c r="D3" t="inlineStr">
        <is>
          <t>Weigh in once this week: same morning routine, before eating.</t>
        </is>
      </c>
    </row>
    <row r="4">
      <c r="A4" s="35" t="inlineStr">
        <is>
          <t>Body fat test due this week (month 7) - enter it on the Body sheet</t>
        </is>
      </c>
    </row>
    <row r="5">
      <c r="A5" s="5" t="inlineStr">
        <is>
          <t>Day</t>
        </is>
      </c>
      <c r="B5" s="5" t="inlineStr">
        <is>
          <t>Date</t>
        </is>
      </c>
      <c r="C5" s="5" t="inlineStr">
        <is>
          <t>Exercise</t>
        </is>
      </c>
      <c r="D5" s="5" t="inlineStr">
        <is>
          <t>Sets</t>
        </is>
      </c>
      <c r="E5" s="5" t="inlineStr">
        <is>
          <t>Reps</t>
        </is>
      </c>
      <c r="F5" s="5" t="inlineStr">
        <is>
          <t>% TM</t>
        </is>
      </c>
      <c r="G5" s="5" t="inlineStr">
        <is>
          <t>Training max</t>
        </is>
      </c>
      <c r="H5" s="5" t="inlineStr">
        <is>
          <t>Weight / target</t>
        </is>
      </c>
      <c r="I5" s="5" t="inlineStr">
        <is>
          <t>Actual (weight, height or distance)</t>
        </is>
      </c>
      <c r="J5" s="5" t="inlineStr">
        <is>
          <t>Actual reps</t>
        </is>
      </c>
      <c r="K5" s="5" t="inlineStr">
        <is>
          <t>Est. 1RM</t>
        </is>
      </c>
      <c r="L5" s="5" t="inlineStr">
        <is>
          <t>PR</t>
        </is>
      </c>
      <c r="M5" s="5" t="inlineStr">
        <is>
          <t>Notes</t>
        </is>
      </c>
      <c r="N5" s="5" t="inlineStr">
        <is>
          <t>Guidance</t>
        </is>
      </c>
    </row>
    <row r="6">
      <c r="A6" s="26" t="inlineStr">
        <is>
          <t>Day 1 - Heavy</t>
        </is>
      </c>
      <c r="B6" s="27">
        <f>'Start Here'!$B$7+182</f>
        <v/>
      </c>
      <c r="C6" s="28" t="inlineStr">
        <is>
          <t>Box Jump</t>
        </is>
      </c>
      <c r="D6" s="29" t="n">
        <v>4</v>
      </c>
      <c r="E6" s="29" t="inlineStr">
        <is>
          <t>3</t>
        </is>
      </c>
      <c r="F6" s="29" t="n"/>
      <c r="G6" s="30" t="n"/>
      <c r="H6" s="31">
        <f>IFERROR(IF(PRs!D69&lt;'Start Here'!$H$15,'Start Here'!$H$15,IF(PRs!D69&lt;'Start Here'!$H$16,'Start Here'!$H$16,IF(PRs!D69&lt;'Start Here'!$H$17,'Start Here'!$H$17,IF(PRs!D69&lt;'Start Here'!$H$18,'Start Here'!$H$18,"Elite!")))),"")</f>
        <v/>
      </c>
      <c r="I6" s="32" t="n"/>
      <c r="J6" s="32" t="n"/>
      <c r="K6" s="29" t="n"/>
      <c r="L6" s="33">
        <f>IF(I6="","",IF(I6&gt;=PRs!D69,"PR!",""))</f>
        <v/>
      </c>
      <c r="M6" s="32" t="n"/>
      <c r="N6" s="34" t="inlineStr">
        <is>
          <t>Explode up, land softly, STEP down. Full reset between reps. Log your box height; check the standards</t>
        </is>
      </c>
    </row>
    <row r="7">
      <c r="A7" s="26" t="inlineStr">
        <is>
          <t>Day 1 - Heavy</t>
        </is>
      </c>
      <c r="B7" s="27">
        <f>'Start Here'!$B$7+182</f>
        <v/>
      </c>
      <c r="C7" s="31" t="inlineStr">
        <is>
          <t>Snatch</t>
        </is>
      </c>
      <c r="D7" s="29" t="n">
        <v>4</v>
      </c>
      <c r="E7" s="29" t="inlineStr">
        <is>
          <t>3</t>
        </is>
      </c>
      <c r="F7" s="29" t="n">
        <v>75</v>
      </c>
      <c r="G7" s="30">
        <f>Maxes!G6</f>
        <v/>
      </c>
      <c r="H7" s="31">
        <f>IF(OR(G7="",F7=""),"",MROUND(G7*F7/100,'Start Here'!$B$6))</f>
        <v/>
      </c>
      <c r="I7" s="32" t="n"/>
      <c r="J7" s="32" t="n"/>
      <c r="K7" s="29">
        <f>IF(OR(I7="",J7=""),"",IF(J7=1,I7,ROUND(I7*(1+J7/30),1)))</f>
        <v/>
      </c>
      <c r="L7" s="33">
        <f>IF(K7="","",IF(K7&gt;=PRs!C6,"PR!",""))</f>
        <v/>
      </c>
      <c r="M7" s="32" t="n"/>
      <c r="N7" s="34" t="inlineStr"/>
    </row>
    <row r="8">
      <c r="A8" s="26" t="inlineStr">
        <is>
          <t>Day 1 - Heavy</t>
        </is>
      </c>
      <c r="B8" s="27">
        <f>'Start Here'!$B$7+182</f>
        <v/>
      </c>
      <c r="C8" s="31" t="inlineStr">
        <is>
          <t>Squat</t>
        </is>
      </c>
      <c r="D8" s="29" t="n">
        <v>3</v>
      </c>
      <c r="E8" s="29" t="inlineStr">
        <is>
          <t>6</t>
        </is>
      </c>
      <c r="F8" s="29" t="n">
        <v>75</v>
      </c>
      <c r="G8" s="30">
        <f>Maxes!G2</f>
        <v/>
      </c>
      <c r="H8" s="31">
        <f>IF(OR(G8="",F8=""),"",MROUND(G8*F8/100,'Start Here'!$B$6))</f>
        <v/>
      </c>
      <c r="I8" s="32" t="n"/>
      <c r="J8" s="32" t="n"/>
      <c r="K8" s="29">
        <f>IF(OR(I8="",J8=""),"",IF(J8=1,I8,ROUND(I8*(1+J8/30),1)))</f>
        <v/>
      </c>
      <c r="L8" s="33">
        <f>IF(K8="","",IF(K8&gt;=PRs!C2,"PR!",""))</f>
        <v/>
      </c>
      <c r="M8" s="32" t="n"/>
      <c r="N8" s="34" t="inlineStr"/>
    </row>
    <row r="9">
      <c r="A9" s="26" t="inlineStr">
        <is>
          <t>Day 1 - Heavy</t>
        </is>
      </c>
      <c r="B9" s="27">
        <f>'Start Here'!$B$7+182</f>
        <v/>
      </c>
      <c r="C9" s="31" t="inlineStr">
        <is>
          <t>Bench Press</t>
        </is>
      </c>
      <c r="D9" s="29" t="n">
        <v>3</v>
      </c>
      <c r="E9" s="29" t="inlineStr">
        <is>
          <t>6</t>
        </is>
      </c>
      <c r="F9" s="29" t="n">
        <v>75</v>
      </c>
      <c r="G9" s="30">
        <f>Maxes!G3</f>
        <v/>
      </c>
      <c r="H9" s="31">
        <f>IF(OR(G9="",F9=""),"",MROUND(G9*F9/100,'Start Here'!$B$6))</f>
        <v/>
      </c>
      <c r="I9" s="32" t="n"/>
      <c r="J9" s="32" t="n"/>
      <c r="K9" s="29">
        <f>IF(OR(I9="",J9=""),"",IF(J9=1,I9,ROUND(I9*(1+J9/30),1)))</f>
        <v/>
      </c>
      <c r="L9" s="33">
        <f>IF(K9="","",IF(K9&gt;=PRs!C3,"PR!",""))</f>
        <v/>
      </c>
      <c r="M9" s="32" t="n"/>
      <c r="N9" s="34" t="inlineStr"/>
    </row>
    <row r="10">
      <c r="A10" s="26" t="inlineStr">
        <is>
          <t>Day 1 - Heavy</t>
        </is>
      </c>
      <c r="B10" s="27">
        <f>'Start Here'!$B$7+182</f>
        <v/>
      </c>
      <c r="C10" s="29" t="inlineStr">
        <is>
          <t>Barbell Row</t>
        </is>
      </c>
      <c r="D10" s="29" t="n">
        <v>4</v>
      </c>
      <c r="E10" s="29" t="inlineStr">
        <is>
          <t>8-10</t>
        </is>
      </c>
      <c r="F10" s="29" t="n"/>
      <c r="G10" s="30" t="n"/>
      <c r="H10" s="31" t="n"/>
      <c r="I10" s="32" t="n"/>
      <c r="J10" s="32" t="n"/>
      <c r="K10" s="29">
        <f>IF(OR(I10="",J10=""),"",IF(J10=1,I10,ROUND(I10*(1+J10/30),1)))</f>
        <v/>
      </c>
      <c r="L10" s="33">
        <f>IF(K10="","",IF(K10&gt;=PRs!C50,"PR!",""))</f>
        <v/>
      </c>
      <c r="M10" s="32" t="n"/>
      <c r="N10" s="34" t="inlineStr">
        <is>
          <t>Leave 1-2 reps in the tank; add weight when you hit the top of the range</t>
        </is>
      </c>
    </row>
    <row r="11">
      <c r="A11" s="26" t="inlineStr">
        <is>
          <t>Day 1 - Heavy</t>
        </is>
      </c>
      <c r="B11" s="27">
        <f>'Start Here'!$B$7+182</f>
        <v/>
      </c>
      <c r="C11" s="29" t="inlineStr">
        <is>
          <t>Face Pull</t>
        </is>
      </c>
      <c r="D11" s="29" t="n">
        <v>4</v>
      </c>
      <c r="E11" s="29" t="inlineStr">
        <is>
          <t>12-15</t>
        </is>
      </c>
      <c r="F11" s="29" t="n"/>
      <c r="G11" s="30" t="n"/>
      <c r="H11" s="31" t="n"/>
      <c r="I11" s="32" t="n"/>
      <c r="J11" s="32" t="n"/>
      <c r="K11" s="29">
        <f>IF(OR(I11="",J11=""),"",IF(J11=1,I11,ROUND(I11*(1+J11/30),1)))</f>
        <v/>
      </c>
      <c r="L11" s="33">
        <f>IF(K11="","",IF(K11&gt;=PRs!C51,"PR!",""))</f>
        <v/>
      </c>
      <c r="M11" s="32" t="n"/>
      <c r="N11" s="34" t="inlineStr">
        <is>
          <t>Leave 1-2 reps in the tank; add weight when you hit the top of the range</t>
        </is>
      </c>
    </row>
    <row r="12">
      <c r="A12" s="26" t="inlineStr">
        <is>
          <t>Day 2 - Light</t>
        </is>
      </c>
      <c r="B12" s="27">
        <f>'Start Here'!$B$7+184</f>
        <v/>
      </c>
      <c r="C12" s="28" t="inlineStr">
        <is>
          <t>Broad Jump</t>
        </is>
      </c>
      <c r="D12" s="29" t="n">
        <v>4</v>
      </c>
      <c r="E12" s="29" t="inlineStr">
        <is>
          <t>3</t>
        </is>
      </c>
      <c r="F12" s="29" t="n"/>
      <c r="G12" s="30" t="n"/>
      <c r="H12" s="31" t="n"/>
      <c r="I12" s="32" t="n"/>
      <c r="J12" s="32" t="n"/>
      <c r="K12" s="29" t="n"/>
      <c r="L12" s="33">
        <f>IF(I12="","",IF(I12&gt;=PRs!D70,"PR!",""))</f>
        <v/>
      </c>
      <c r="M12" s="32" t="n"/>
      <c r="N12" s="34" t="inlineStr">
        <is>
          <t>Two-foot jump for distance, stick the landing. Full reset between reps. Log your best distance</t>
        </is>
      </c>
    </row>
    <row r="13">
      <c r="A13" s="26" t="inlineStr">
        <is>
          <t>Day 2 - Light</t>
        </is>
      </c>
      <c r="B13" s="27">
        <f>'Start Here'!$B$7+184</f>
        <v/>
      </c>
      <c r="C13" s="31" t="inlineStr">
        <is>
          <t>Clean &amp; Jerk</t>
        </is>
      </c>
      <c r="D13" s="29" t="n">
        <v>4</v>
      </c>
      <c r="E13" s="29" t="inlineStr">
        <is>
          <t>3</t>
        </is>
      </c>
      <c r="F13" s="29" t="n">
        <v>75</v>
      </c>
      <c r="G13" s="30">
        <f>Maxes!G7</f>
        <v/>
      </c>
      <c r="H13" s="31">
        <f>IF(OR(G13="",F13=""),"",MROUND(G13*F13/100,'Start Here'!$B$6))</f>
        <v/>
      </c>
      <c r="I13" s="32" t="n"/>
      <c r="J13" s="32" t="n"/>
      <c r="K13" s="29">
        <f>IF(OR(I13="",J13=""),"",IF(J13=1,I13,ROUND(I13*(1+J13/30),1)))</f>
        <v/>
      </c>
      <c r="L13" s="33">
        <f>IF(K13="","",IF(K13&gt;=PRs!C7,"PR!",""))</f>
        <v/>
      </c>
      <c r="M13" s="32" t="n"/>
      <c r="N13" s="34" t="inlineStr"/>
    </row>
    <row r="14">
      <c r="A14" s="26" t="inlineStr">
        <is>
          <t>Day 2 - Light</t>
        </is>
      </c>
      <c r="B14" s="27">
        <f>'Start Here'!$B$7+184</f>
        <v/>
      </c>
      <c r="C14" s="31" t="inlineStr">
        <is>
          <t>Squat</t>
        </is>
      </c>
      <c r="D14" s="29" t="n">
        <v>3</v>
      </c>
      <c r="E14" s="29" t="inlineStr">
        <is>
          <t>6</t>
        </is>
      </c>
      <c r="F14" s="29" t="n">
        <v>65</v>
      </c>
      <c r="G14" s="30">
        <f>Maxes!G2</f>
        <v/>
      </c>
      <c r="H14" s="31">
        <f>IF(OR(G14="",F14=""),"",MROUND(G14*F14/100,'Start Here'!$B$6))</f>
        <v/>
      </c>
      <c r="I14" s="32" t="n"/>
      <c r="J14" s="32" t="n"/>
      <c r="K14" s="29">
        <f>IF(OR(I14="",J14=""),"",IF(J14=1,I14,ROUND(I14*(1+J14/30),1)))</f>
        <v/>
      </c>
      <c r="L14" s="33">
        <f>IF(K14="","",IF(K14&gt;=PRs!C2,"PR!",""))</f>
        <v/>
      </c>
      <c r="M14" s="32" t="n"/>
      <c r="N14" s="34" t="inlineStr"/>
    </row>
    <row r="15">
      <c r="A15" s="26" t="inlineStr">
        <is>
          <t>Day 2 - Light</t>
        </is>
      </c>
      <c r="B15" s="27">
        <f>'Start Here'!$B$7+184</f>
        <v/>
      </c>
      <c r="C15" s="31" t="inlineStr">
        <is>
          <t>Overhead Press</t>
        </is>
      </c>
      <c r="D15" s="29" t="n">
        <v>3</v>
      </c>
      <c r="E15" s="29" t="inlineStr">
        <is>
          <t>6</t>
        </is>
      </c>
      <c r="F15" s="29" t="n">
        <v>70</v>
      </c>
      <c r="G15" s="30">
        <f>Maxes!G5</f>
        <v/>
      </c>
      <c r="H15" s="31">
        <f>IF(OR(G15="",F15=""),"",MROUND(G15*F15/100,'Start Here'!$B$6))</f>
        <v/>
      </c>
      <c r="I15" s="32" t="n"/>
      <c r="J15" s="32" t="n"/>
      <c r="K15" s="29">
        <f>IF(OR(I15="",J15=""),"",IF(J15=1,I15,ROUND(I15*(1+J15/30),1)))</f>
        <v/>
      </c>
      <c r="L15" s="33">
        <f>IF(K15="","",IF(K15&gt;=PRs!C5,"PR!",""))</f>
        <v/>
      </c>
      <c r="M15" s="32" t="n"/>
      <c r="N15" s="34" t="inlineStr"/>
    </row>
    <row r="16">
      <c r="A16" s="26" t="inlineStr">
        <is>
          <t>Day 2 - Light</t>
        </is>
      </c>
      <c r="B16" s="27">
        <f>'Start Here'!$B$7+184</f>
        <v/>
      </c>
      <c r="C16" s="31" t="inlineStr">
        <is>
          <t>Deadlift</t>
        </is>
      </c>
      <c r="D16" s="29" t="n">
        <v>3</v>
      </c>
      <c r="E16" s="29" t="inlineStr">
        <is>
          <t>6</t>
        </is>
      </c>
      <c r="F16" s="29" t="n">
        <v>70</v>
      </c>
      <c r="G16" s="30">
        <f>Maxes!G4</f>
        <v/>
      </c>
      <c r="H16" s="31">
        <f>IF(OR(G16="",F16=""),"",MROUND(G16*F16/100,'Start Here'!$B$6))</f>
        <v/>
      </c>
      <c r="I16" s="32" t="n"/>
      <c r="J16" s="32" t="n"/>
      <c r="K16" s="29">
        <f>IF(OR(I16="",J16=""),"",IF(J16=1,I16,ROUND(I16*(1+J16/30),1)))</f>
        <v/>
      </c>
      <c r="L16" s="33">
        <f>IF(K16="","",IF(K16&gt;=PRs!C4,"PR!",""))</f>
        <v/>
      </c>
      <c r="M16" s="32" t="n"/>
      <c r="N16" s="34" t="inlineStr"/>
    </row>
    <row r="17">
      <c r="A17" s="26" t="inlineStr">
        <is>
          <t>Day 2 - Light</t>
        </is>
      </c>
      <c r="B17" s="27">
        <f>'Start Here'!$B$7+184</f>
        <v/>
      </c>
      <c r="C17" s="29" t="inlineStr">
        <is>
          <t>Chin-up</t>
        </is>
      </c>
      <c r="D17" s="29" t="n">
        <v>4</v>
      </c>
      <c r="E17" s="29" t="inlineStr">
        <is>
          <t>6-10</t>
        </is>
      </c>
      <c r="F17" s="29" t="n"/>
      <c r="G17" s="30" t="n"/>
      <c r="H17" s="31" t="n"/>
      <c r="I17" s="32" t="n"/>
      <c r="J17" s="32" t="n"/>
      <c r="K17" s="29">
        <f>IF(OR(I17="",J17=""),"",IF(J17=1,I17,ROUND(I17*(1+J17/30),1)))</f>
        <v/>
      </c>
      <c r="L17" s="33">
        <f>IF(K17="","",IF(K17&gt;=PRs!C53,"PR!",""))</f>
        <v/>
      </c>
      <c r="M17" s="32" t="n"/>
      <c r="N17" s="34" t="inlineStr">
        <is>
          <t>Leave 1-2 reps in the tank; add weight when you hit the top of the range</t>
        </is>
      </c>
    </row>
    <row r="18">
      <c r="A18" s="26" t="inlineStr">
        <is>
          <t>Day 2 - Light</t>
        </is>
      </c>
      <c r="B18" s="27">
        <f>'Start Here'!$B$7+184</f>
        <v/>
      </c>
      <c r="C18" s="29" t="inlineStr">
        <is>
          <t>Plank</t>
        </is>
      </c>
      <c r="D18" s="29" t="n">
        <v>4</v>
      </c>
      <c r="E18" s="29" t="inlineStr">
        <is>
          <t>30-60s</t>
        </is>
      </c>
      <c r="F18" s="29" t="n"/>
      <c r="G18" s="30" t="n"/>
      <c r="H18" s="31" t="n"/>
      <c r="I18" s="32" t="n"/>
      <c r="J18" s="32" t="n"/>
      <c r="K18" s="29">
        <f>IF(OR(I18="",J18=""),"",IF(J18=1,I18,ROUND(I18*(1+J18/30),1)))</f>
        <v/>
      </c>
      <c r="L18" s="33">
        <f>IF(K18="","",IF(K18&gt;=PRs!C56,"PR!",""))</f>
        <v/>
      </c>
      <c r="M18" s="32" t="n"/>
      <c r="N18" s="34" t="inlineStr">
        <is>
          <t>Leave 1-2 reps in the tank; add weight when you hit the top of the range</t>
        </is>
      </c>
    </row>
    <row r="19">
      <c r="A19" s="26" t="inlineStr">
        <is>
          <t>Day 3 - Variations</t>
        </is>
      </c>
      <c r="B19" s="27">
        <f>'Start Here'!$B$7+186</f>
        <v/>
      </c>
      <c r="C19" s="28" t="inlineStr">
        <is>
          <t>Box Jump</t>
        </is>
      </c>
      <c r="D19" s="29" t="n">
        <v>4</v>
      </c>
      <c r="E19" s="29" t="inlineStr">
        <is>
          <t>3</t>
        </is>
      </c>
      <c r="F19" s="29" t="n"/>
      <c r="G19" s="30" t="n"/>
      <c r="H19" s="31">
        <f>IFERROR(IF(PRs!D69&lt;'Start Here'!$H$15,'Start Here'!$H$15,IF(PRs!D69&lt;'Start Here'!$H$16,'Start Here'!$H$16,IF(PRs!D69&lt;'Start Here'!$H$17,'Start Here'!$H$17,IF(PRs!D69&lt;'Start Here'!$H$18,'Start Here'!$H$18,"Elite!")))),"")</f>
        <v/>
      </c>
      <c r="I19" s="32" t="n"/>
      <c r="J19" s="32" t="n"/>
      <c r="K19" s="29" t="n"/>
      <c r="L19" s="33">
        <f>IF(I19="","",IF(I19&gt;=PRs!D69,"PR!",""))</f>
        <v/>
      </c>
      <c r="M19" s="32" t="n"/>
      <c r="N19" s="34" t="inlineStr">
        <is>
          <t>Explode up, land softly, STEP down. Full reset between reps. Log your box height; check the standards</t>
        </is>
      </c>
    </row>
    <row r="20">
      <c r="A20" s="26" t="inlineStr">
        <is>
          <t>Day 3 - Variations</t>
        </is>
      </c>
      <c r="B20" s="27">
        <f>'Start Here'!$B$7+186</f>
        <v/>
      </c>
      <c r="C20" s="31" t="inlineStr">
        <is>
          <t>Block Snatch</t>
        </is>
      </c>
      <c r="D20" s="29" t="n">
        <v>4</v>
      </c>
      <c r="E20" s="29" t="inlineStr">
        <is>
          <t>3</t>
        </is>
      </c>
      <c r="F20" s="29" t="n">
        <v>70</v>
      </c>
      <c r="G20" s="30">
        <f>Maxes!G40</f>
        <v/>
      </c>
      <c r="H20" s="31">
        <f>IF(OR(G20="",F20=""),"",MROUND(G20*F20/100,'Start Here'!$B$6))</f>
        <v/>
      </c>
      <c r="I20" s="32" t="n"/>
      <c r="J20" s="32" t="n"/>
      <c r="K20" s="29">
        <f>IF(OR(I20="",J20=""),"",IF(J20=1,I20,ROUND(I20*(1+J20/30),1)))</f>
        <v/>
      </c>
      <c r="L20" s="33">
        <f>IF(K20="","",IF(K20&gt;=PRs!C40,"PR!",""))</f>
        <v/>
      </c>
      <c r="M20" s="32" t="n"/>
      <c r="N20" s="34" t="inlineStr"/>
    </row>
    <row r="21">
      <c r="A21" s="26" t="inlineStr">
        <is>
          <t>Day 3 - Variations</t>
        </is>
      </c>
      <c r="B21" s="27">
        <f>'Start Here'!$B$7+186</f>
        <v/>
      </c>
      <c r="C21" s="31" t="inlineStr">
        <is>
          <t>Pause Squat</t>
        </is>
      </c>
      <c r="D21" s="29" t="n">
        <v>3</v>
      </c>
      <c r="E21" s="29" t="inlineStr">
        <is>
          <t>6</t>
        </is>
      </c>
      <c r="F21" s="29" t="n">
        <v>70</v>
      </c>
      <c r="G21" s="30">
        <f>Maxes!G9</f>
        <v/>
      </c>
      <c r="H21" s="31">
        <f>IF(OR(G21="",F21=""),"",MROUND(G21*F21/100,'Start Here'!$B$6))</f>
        <v/>
      </c>
      <c r="I21" s="32" t="n"/>
      <c r="J21" s="32" t="n"/>
      <c r="K21" s="29">
        <f>IF(OR(I21="",J21=""),"",IF(J21=1,I21,ROUND(I21*(1+J21/30),1)))</f>
        <v/>
      </c>
      <c r="L21" s="33">
        <f>IF(K21="","",IF(K21&gt;=PRs!C9,"PR!",""))</f>
        <v/>
      </c>
      <c r="M21" s="32" t="n"/>
      <c r="N21" s="34" t="inlineStr"/>
    </row>
    <row r="22">
      <c r="A22" s="26" t="inlineStr">
        <is>
          <t>Day 3 - Variations</t>
        </is>
      </c>
      <c r="B22" s="27">
        <f>'Start Here'!$B$7+186</f>
        <v/>
      </c>
      <c r="C22" s="31" t="inlineStr">
        <is>
          <t>Spoto Press</t>
        </is>
      </c>
      <c r="D22" s="29" t="n">
        <v>3</v>
      </c>
      <c r="E22" s="29" t="inlineStr">
        <is>
          <t>6</t>
        </is>
      </c>
      <c r="F22" s="29" t="n">
        <v>70</v>
      </c>
      <c r="G22" s="30">
        <f>Maxes!G21</f>
        <v/>
      </c>
      <c r="H22" s="31">
        <f>IF(OR(G22="",F22=""),"",MROUND(G22*F22/100,'Start Here'!$B$6))</f>
        <v/>
      </c>
      <c r="I22" s="32" t="n"/>
      <c r="J22" s="32" t="n"/>
      <c r="K22" s="29">
        <f>IF(OR(I22="",J22=""),"",IF(J22=1,I22,ROUND(I22*(1+J22/30),1)))</f>
        <v/>
      </c>
      <c r="L22" s="33">
        <f>IF(K22="","",IF(K22&gt;=PRs!C21,"PR!",""))</f>
        <v/>
      </c>
      <c r="M22" s="32" t="n"/>
      <c r="N22" s="34" t="inlineStr"/>
    </row>
    <row r="23">
      <c r="A23" s="26" t="inlineStr">
        <is>
          <t>Day 3 - Variations</t>
        </is>
      </c>
      <c r="B23" s="27">
        <f>'Start Here'!$B$7+186</f>
        <v/>
      </c>
      <c r="C23" s="31" t="inlineStr">
        <is>
          <t>Paused Deadlift</t>
        </is>
      </c>
      <c r="D23" s="29" t="n">
        <v>3</v>
      </c>
      <c r="E23" s="29" t="inlineStr">
        <is>
          <t>6</t>
        </is>
      </c>
      <c r="F23" s="29" t="n">
        <v>65</v>
      </c>
      <c r="G23" s="30">
        <f>Maxes!G25</f>
        <v/>
      </c>
      <c r="H23" s="31">
        <f>IF(OR(G23="",F23=""),"",MROUND(G23*F23/100,'Start Here'!$B$6))</f>
        <v/>
      </c>
      <c r="I23" s="32" t="n"/>
      <c r="J23" s="32" t="n"/>
      <c r="K23" s="29">
        <f>IF(OR(I23="",J23=""),"",IF(J23=1,I23,ROUND(I23*(1+J23/30),1)))</f>
        <v/>
      </c>
      <c r="L23" s="33">
        <f>IF(K23="","",IF(K23&gt;=PRs!C25,"PR!",""))</f>
        <v/>
      </c>
      <c r="M23" s="32" t="n"/>
      <c r="N23" s="34" t="inlineStr"/>
    </row>
    <row r="24">
      <c r="A24" s="26" t="inlineStr">
        <is>
          <t>Day 3 - Variations</t>
        </is>
      </c>
      <c r="B24" s="27">
        <f>'Start Here'!$B$7+186</f>
        <v/>
      </c>
      <c r="C24" s="29" t="inlineStr">
        <is>
          <t>Incline Dumbbell Press</t>
        </is>
      </c>
      <c r="D24" s="29" t="n">
        <v>4</v>
      </c>
      <c r="E24" s="29" t="inlineStr">
        <is>
          <t>8-12</t>
        </is>
      </c>
      <c r="F24" s="29" t="n"/>
      <c r="G24" s="30" t="n"/>
      <c r="H24" s="31" t="n"/>
      <c r="I24" s="32" t="n"/>
      <c r="J24" s="32" t="n"/>
      <c r="K24" s="29">
        <f>IF(OR(I24="",J24=""),"",IF(J24=1,I24,ROUND(I24*(1+J24/30),1)))</f>
        <v/>
      </c>
      <c r="L24" s="33">
        <f>IF(K24="","",IF(K24&gt;=PRs!C57,"PR!",""))</f>
        <v/>
      </c>
      <c r="M24" s="32" t="n"/>
      <c r="N24" s="34" t="inlineStr">
        <is>
          <t>Leave 1-2 reps in the tank; add weight when you hit the top of the range</t>
        </is>
      </c>
    </row>
    <row r="25">
      <c r="A25" s="26" t="inlineStr">
        <is>
          <t>Day 3 - Variations</t>
        </is>
      </c>
      <c r="B25" s="27">
        <f>'Start Here'!$B$7+186</f>
        <v/>
      </c>
      <c r="C25" s="29" t="inlineStr">
        <is>
          <t>Triceps Pushdown</t>
        </is>
      </c>
      <c r="D25" s="29" t="n">
        <v>4</v>
      </c>
      <c r="E25" s="29" t="inlineStr">
        <is>
          <t>10-15</t>
        </is>
      </c>
      <c r="F25" s="29" t="n"/>
      <c r="G25" s="30" t="n"/>
      <c r="H25" s="31" t="n"/>
      <c r="I25" s="32" t="n"/>
      <c r="J25" s="32" t="n"/>
      <c r="K25" s="29">
        <f>IF(OR(I25="",J25=""),"",IF(J25=1,I25,ROUND(I25*(1+J25/30),1)))</f>
        <v/>
      </c>
      <c r="L25" s="33">
        <f>IF(K25="","",IF(K25&gt;=PRs!C59,"PR!",""))</f>
        <v/>
      </c>
      <c r="M25" s="32" t="n"/>
      <c r="N25" s="34" t="inlineStr">
        <is>
          <t>Leave 1-2 reps in the tank; add weight when you hit the top of the range</t>
        </is>
      </c>
    </row>
  </sheetData>
  <hyperlinks>
    <hyperlink xmlns:r="http://schemas.openxmlformats.org/officeDocument/2006/relationships" ref="A2" r:id="rId1"/>
    <hyperlink xmlns:r="http://schemas.openxmlformats.org/officeDocument/2006/relationships" ref="C2" r:id="rId2"/>
    <hyperlink xmlns:r="http://schemas.openxmlformats.org/officeDocument/2006/relationships" ref="E2" r:id="rId3"/>
    <hyperlink xmlns:r="http://schemas.openxmlformats.org/officeDocument/2006/relationships" ref="A4" r:id="rId4"/>
  </hyperlinks>
  <pageMargins left="0.75" right="0.75" top="1" bottom="1" header="0.5" footer="0.5"/>
  <pageSetup orientation="landscape" fitToHeight="0" fitToWidth="1"/>
</worksheet>
</file>

<file path=xl/worksheets/sheet30.xml><?xml version="1.0" encoding="utf-8"?>
<worksheet xmlns="http://schemas.openxmlformats.org/spreadsheetml/2006/main">
  <sheetPr>
    <tabColor rgb="00E6E6E6"/>
    <outlinePr summaryBelow="1" summaryRight="1"/>
    <pageSetUpPr fitToPage="1"/>
  </sheetPr>
  <dimension ref="A1:N25"/>
  <sheetViews>
    <sheetView workbookViewId="0">
      <pane xSplit="3" ySplit="5" topLeftCell="D6" activePane="bottomRight" state="frozen"/>
      <selection pane="topRight"/>
      <selection pane="bottomLeft"/>
      <selection pane="bottomRight" activeCell="A1" sqref="A1"/>
    </sheetView>
  </sheetViews>
  <sheetFormatPr baseColWidth="8" defaultRowHeight="15"/>
  <cols>
    <col width="17" customWidth="1" min="1" max="1"/>
    <col width="11" customWidth="1" min="2" max="2"/>
    <col width="24" customWidth="1" min="3" max="3"/>
    <col width="5" customWidth="1" min="4" max="4"/>
    <col width="6" customWidth="1" min="5" max="5"/>
    <col width="6" customWidth="1" min="6" max="6"/>
    <col width="9" customWidth="1" min="7" max="7"/>
    <col width="10" customWidth="1" min="8" max="8"/>
    <col width="13" customWidth="1" min="9" max="9"/>
    <col width="8" customWidth="1" min="10" max="10"/>
    <col width="9" customWidth="1" min="11" max="11"/>
    <col width="5" customWidth="1" min="12" max="12"/>
    <col width="22" customWidth="1" min="13" max="13"/>
    <col width="62" customWidth="1" min="14" max="14"/>
  </cols>
  <sheetData>
    <row r="1">
      <c r="A1" s="24" t="inlineStr">
        <is>
          <t>Week 28 - Cycle 3 - Deload</t>
        </is>
      </c>
    </row>
    <row r="2">
      <c r="A2" s="25" t="inlineStr">
        <is>
          <t>&lt; Week 27</t>
        </is>
      </c>
      <c r="C2" s="25" t="inlineStr">
        <is>
          <t>Start Here</t>
        </is>
      </c>
      <c r="E2" s="25" t="inlineStr">
        <is>
          <t>Week 29 &gt;</t>
        </is>
      </c>
    </row>
    <row r="3">
      <c r="A3" s="10" t="inlineStr">
        <is>
          <t>Bodyweight this week</t>
        </is>
      </c>
      <c r="C3" s="4" t="n"/>
      <c r="D3" t="inlineStr">
        <is>
          <t>Weigh in once this week: same morning routine, before eating.</t>
        </is>
      </c>
    </row>
    <row r="5">
      <c r="A5" s="5" t="inlineStr">
        <is>
          <t>Day</t>
        </is>
      </c>
      <c r="B5" s="5" t="inlineStr">
        <is>
          <t>Date</t>
        </is>
      </c>
      <c r="C5" s="5" t="inlineStr">
        <is>
          <t>Exercise</t>
        </is>
      </c>
      <c r="D5" s="5" t="inlineStr">
        <is>
          <t>Sets</t>
        </is>
      </c>
      <c r="E5" s="5" t="inlineStr">
        <is>
          <t>Reps</t>
        </is>
      </c>
      <c r="F5" s="5" t="inlineStr">
        <is>
          <t>% TM</t>
        </is>
      </c>
      <c r="G5" s="5" t="inlineStr">
        <is>
          <t>Training max</t>
        </is>
      </c>
      <c r="H5" s="5" t="inlineStr">
        <is>
          <t>Weight / target</t>
        </is>
      </c>
      <c r="I5" s="5" t="inlineStr">
        <is>
          <t>Actual (weight, height or distance)</t>
        </is>
      </c>
      <c r="J5" s="5" t="inlineStr">
        <is>
          <t>Actual reps</t>
        </is>
      </c>
      <c r="K5" s="5" t="inlineStr">
        <is>
          <t>Est. 1RM</t>
        </is>
      </c>
      <c r="L5" s="5" t="inlineStr">
        <is>
          <t>PR</t>
        </is>
      </c>
      <c r="M5" s="5" t="inlineStr">
        <is>
          <t>Notes</t>
        </is>
      </c>
      <c r="N5" s="5" t="inlineStr">
        <is>
          <t>Guidance</t>
        </is>
      </c>
    </row>
    <row r="6">
      <c r="A6" s="26" t="inlineStr">
        <is>
          <t>Day 1 - Heavy</t>
        </is>
      </c>
      <c r="B6" s="27">
        <f>'Start Here'!$B$7+189</f>
        <v/>
      </c>
      <c r="C6" s="28" t="inlineStr">
        <is>
          <t>Box Jump</t>
        </is>
      </c>
      <c r="D6" s="29" t="n">
        <v>2</v>
      </c>
      <c r="E6" s="29" t="inlineStr">
        <is>
          <t>3</t>
        </is>
      </c>
      <c r="F6" s="29" t="n"/>
      <c r="G6" s="30" t="n"/>
      <c r="H6" s="31">
        <f>IFERROR(IF(PRs!D69&lt;'Start Here'!$H$15,'Start Here'!$H$15,IF(PRs!D69&lt;'Start Here'!$H$16,'Start Here'!$H$16,IF(PRs!D69&lt;'Start Here'!$H$17,'Start Here'!$H$17,IF(PRs!D69&lt;'Start Here'!$H$18,'Start Here'!$H$18,"Elite!")))),"")</f>
        <v/>
      </c>
      <c r="I6" s="32" t="n"/>
      <c r="J6" s="32" t="n"/>
      <c r="K6" s="29" t="n"/>
      <c r="L6" s="33">
        <f>IF(I6="","",IF(I6&gt;=PRs!D69,"PR!",""))</f>
        <v/>
      </c>
      <c r="M6" s="32" t="n"/>
      <c r="N6" s="34" t="inlineStr">
        <is>
          <t>Explode up, land softly, STEP down. Full reset between reps. Log your box height; check the standards</t>
        </is>
      </c>
    </row>
    <row r="7">
      <c r="A7" s="26" t="inlineStr">
        <is>
          <t>Day 1 - Heavy</t>
        </is>
      </c>
      <c r="B7" s="27">
        <f>'Start Here'!$B$7+189</f>
        <v/>
      </c>
      <c r="C7" s="31" t="inlineStr">
        <is>
          <t>Snatch</t>
        </is>
      </c>
      <c r="D7" s="29" t="n">
        <v>2</v>
      </c>
      <c r="E7" s="29" t="inlineStr">
        <is>
          <t>2</t>
        </is>
      </c>
      <c r="F7" s="29" t="n">
        <v>60</v>
      </c>
      <c r="G7" s="30">
        <f>Maxes!G6</f>
        <v/>
      </c>
      <c r="H7" s="31">
        <f>IF(OR(G7="",F7=""),"",MROUND(G7*F7/100,'Start Here'!$B$6))</f>
        <v/>
      </c>
      <c r="I7" s="32" t="n"/>
      <c r="J7" s="32" t="n"/>
      <c r="K7" s="29">
        <f>IF(OR(I7="",J7=""),"",IF(J7=1,I7,ROUND(I7*(1+J7/30),1)))</f>
        <v/>
      </c>
      <c r="L7" s="33">
        <f>IF(K7="","",IF(K7&gt;=PRs!C6,"PR!",""))</f>
        <v/>
      </c>
      <c r="M7" s="32" t="n"/>
      <c r="N7" s="34" t="inlineStr">
        <is>
          <t>Easy week - move fast, recover</t>
        </is>
      </c>
    </row>
    <row r="8">
      <c r="A8" s="26" t="inlineStr">
        <is>
          <t>Day 1 - Heavy</t>
        </is>
      </c>
      <c r="B8" s="27">
        <f>'Start Here'!$B$7+189</f>
        <v/>
      </c>
      <c r="C8" s="31" t="inlineStr">
        <is>
          <t>Squat</t>
        </is>
      </c>
      <c r="D8" s="29" t="n">
        <v>2</v>
      </c>
      <c r="E8" s="29" t="inlineStr">
        <is>
          <t>5</t>
        </is>
      </c>
      <c r="F8" s="29" t="n">
        <v>60</v>
      </c>
      <c r="G8" s="30">
        <f>Maxes!G2</f>
        <v/>
      </c>
      <c r="H8" s="31">
        <f>IF(OR(G8="",F8=""),"",MROUND(G8*F8/100,'Start Here'!$B$6))</f>
        <v/>
      </c>
      <c r="I8" s="32" t="n"/>
      <c r="J8" s="32" t="n"/>
      <c r="K8" s="29">
        <f>IF(OR(I8="",J8=""),"",IF(J8=1,I8,ROUND(I8*(1+J8/30),1)))</f>
        <v/>
      </c>
      <c r="L8" s="33">
        <f>IF(K8="","",IF(K8&gt;=PRs!C2,"PR!",""))</f>
        <v/>
      </c>
      <c r="M8" s="32" t="n"/>
      <c r="N8" s="34" t="inlineStr">
        <is>
          <t>Easy week - move fast, recover</t>
        </is>
      </c>
    </row>
    <row r="9">
      <c r="A9" s="26" t="inlineStr">
        <is>
          <t>Day 1 - Heavy</t>
        </is>
      </c>
      <c r="B9" s="27">
        <f>'Start Here'!$B$7+189</f>
        <v/>
      </c>
      <c r="C9" s="31" t="inlineStr">
        <is>
          <t>Bench Press</t>
        </is>
      </c>
      <c r="D9" s="29" t="n">
        <v>2</v>
      </c>
      <c r="E9" s="29" t="inlineStr">
        <is>
          <t>5</t>
        </is>
      </c>
      <c r="F9" s="29" t="n">
        <v>60</v>
      </c>
      <c r="G9" s="30">
        <f>Maxes!G3</f>
        <v/>
      </c>
      <c r="H9" s="31">
        <f>IF(OR(G9="",F9=""),"",MROUND(G9*F9/100,'Start Here'!$B$6))</f>
        <v/>
      </c>
      <c r="I9" s="32" t="n"/>
      <c r="J9" s="32" t="n"/>
      <c r="K9" s="29">
        <f>IF(OR(I9="",J9=""),"",IF(J9=1,I9,ROUND(I9*(1+J9/30),1)))</f>
        <v/>
      </c>
      <c r="L9" s="33">
        <f>IF(K9="","",IF(K9&gt;=PRs!C3,"PR!",""))</f>
        <v/>
      </c>
      <c r="M9" s="32" t="n"/>
      <c r="N9" s="34" t="inlineStr">
        <is>
          <t>Easy week - move fast, recover</t>
        </is>
      </c>
    </row>
    <row r="10">
      <c r="A10" s="26" t="inlineStr">
        <is>
          <t>Day 1 - Heavy</t>
        </is>
      </c>
      <c r="B10" s="27">
        <f>'Start Here'!$B$7+189</f>
        <v/>
      </c>
      <c r="C10" s="29" t="inlineStr">
        <is>
          <t>Barbell Row</t>
        </is>
      </c>
      <c r="D10" s="29" t="n">
        <v>2</v>
      </c>
      <c r="E10" s="29" t="inlineStr">
        <is>
          <t>8-10</t>
        </is>
      </c>
      <c r="F10" s="29" t="n"/>
      <c r="G10" s="30" t="n"/>
      <c r="H10" s="31" t="n"/>
      <c r="I10" s="32" t="n"/>
      <c r="J10" s="32" t="n"/>
      <c r="K10" s="29">
        <f>IF(OR(I10="",J10=""),"",IF(J10=1,I10,ROUND(I10*(1+J10/30),1)))</f>
        <v/>
      </c>
      <c r="L10" s="33">
        <f>IF(K10="","",IF(K10&gt;=PRs!C50,"PR!",""))</f>
        <v/>
      </c>
      <c r="M10" s="32" t="n"/>
      <c r="N10" s="34" t="inlineStr">
        <is>
          <t>Easy - stop well short of failure</t>
        </is>
      </c>
    </row>
    <row r="11">
      <c r="A11" s="26" t="inlineStr">
        <is>
          <t>Day 1 - Heavy</t>
        </is>
      </c>
      <c r="B11" s="27">
        <f>'Start Here'!$B$7+189</f>
        <v/>
      </c>
      <c r="C11" s="29" t="inlineStr">
        <is>
          <t>Face Pull</t>
        </is>
      </c>
      <c r="D11" s="29" t="n">
        <v>2</v>
      </c>
      <c r="E11" s="29" t="inlineStr">
        <is>
          <t>12-15</t>
        </is>
      </c>
      <c r="F11" s="29" t="n"/>
      <c r="G11" s="30" t="n"/>
      <c r="H11" s="31" t="n"/>
      <c r="I11" s="32" t="n"/>
      <c r="J11" s="32" t="n"/>
      <c r="K11" s="29">
        <f>IF(OR(I11="",J11=""),"",IF(J11=1,I11,ROUND(I11*(1+J11/30),1)))</f>
        <v/>
      </c>
      <c r="L11" s="33">
        <f>IF(K11="","",IF(K11&gt;=PRs!C51,"PR!",""))</f>
        <v/>
      </c>
      <c r="M11" s="32" t="n"/>
      <c r="N11" s="34" t="inlineStr">
        <is>
          <t>Easy - stop well short of failure</t>
        </is>
      </c>
    </row>
    <row r="12">
      <c r="A12" s="26" t="inlineStr">
        <is>
          <t>Day 2 - Light</t>
        </is>
      </c>
      <c r="B12" s="27">
        <f>'Start Here'!$B$7+191</f>
        <v/>
      </c>
      <c r="C12" s="28" t="inlineStr">
        <is>
          <t>Broad Jump</t>
        </is>
      </c>
      <c r="D12" s="29" t="n">
        <v>2</v>
      </c>
      <c r="E12" s="29" t="inlineStr">
        <is>
          <t>3</t>
        </is>
      </c>
      <c r="F12" s="29" t="n"/>
      <c r="G12" s="30" t="n"/>
      <c r="H12" s="31" t="n"/>
      <c r="I12" s="32" t="n"/>
      <c r="J12" s="32" t="n"/>
      <c r="K12" s="29" t="n"/>
      <c r="L12" s="33">
        <f>IF(I12="","",IF(I12&gt;=PRs!D70,"PR!",""))</f>
        <v/>
      </c>
      <c r="M12" s="32" t="n"/>
      <c r="N12" s="34" t="inlineStr">
        <is>
          <t>Two-foot jump for distance, stick the landing. Full reset between reps. Log your best distance</t>
        </is>
      </c>
    </row>
    <row r="13">
      <c r="A13" s="26" t="inlineStr">
        <is>
          <t>Day 2 - Light</t>
        </is>
      </c>
      <c r="B13" s="27">
        <f>'Start Here'!$B$7+191</f>
        <v/>
      </c>
      <c r="C13" s="31" t="inlineStr">
        <is>
          <t>Clean &amp; Jerk</t>
        </is>
      </c>
      <c r="D13" s="29" t="n">
        <v>2</v>
      </c>
      <c r="E13" s="29" t="inlineStr">
        <is>
          <t>2</t>
        </is>
      </c>
      <c r="F13" s="29" t="n">
        <v>60</v>
      </c>
      <c r="G13" s="30">
        <f>Maxes!G7</f>
        <v/>
      </c>
      <c r="H13" s="31">
        <f>IF(OR(G13="",F13=""),"",MROUND(G13*F13/100,'Start Here'!$B$6))</f>
        <v/>
      </c>
      <c r="I13" s="32" t="n"/>
      <c r="J13" s="32" t="n"/>
      <c r="K13" s="29">
        <f>IF(OR(I13="",J13=""),"",IF(J13=1,I13,ROUND(I13*(1+J13/30),1)))</f>
        <v/>
      </c>
      <c r="L13" s="33">
        <f>IF(K13="","",IF(K13&gt;=PRs!C7,"PR!",""))</f>
        <v/>
      </c>
      <c r="M13" s="32" t="n"/>
      <c r="N13" s="34" t="inlineStr">
        <is>
          <t>Easy week - move fast, recover</t>
        </is>
      </c>
    </row>
    <row r="14">
      <c r="A14" s="26" t="inlineStr">
        <is>
          <t>Day 2 - Light</t>
        </is>
      </c>
      <c r="B14" s="27">
        <f>'Start Here'!$B$7+191</f>
        <v/>
      </c>
      <c r="C14" s="31" t="inlineStr">
        <is>
          <t>Squat</t>
        </is>
      </c>
      <c r="D14" s="29" t="n">
        <v>2</v>
      </c>
      <c r="E14" s="29" t="inlineStr">
        <is>
          <t>5</t>
        </is>
      </c>
      <c r="F14" s="29" t="n">
        <v>60</v>
      </c>
      <c r="G14" s="30">
        <f>Maxes!G2</f>
        <v/>
      </c>
      <c r="H14" s="31">
        <f>IF(OR(G14="",F14=""),"",MROUND(G14*F14/100,'Start Here'!$B$6))</f>
        <v/>
      </c>
      <c r="I14" s="32" t="n"/>
      <c r="J14" s="32" t="n"/>
      <c r="K14" s="29">
        <f>IF(OR(I14="",J14=""),"",IF(J14=1,I14,ROUND(I14*(1+J14/30),1)))</f>
        <v/>
      </c>
      <c r="L14" s="33">
        <f>IF(K14="","",IF(K14&gt;=PRs!C2,"PR!",""))</f>
        <v/>
      </c>
      <c r="M14" s="32" t="n"/>
      <c r="N14" s="34" t="inlineStr">
        <is>
          <t>Easy week - move fast, recover</t>
        </is>
      </c>
    </row>
    <row r="15">
      <c r="A15" s="26" t="inlineStr">
        <is>
          <t>Day 2 - Light</t>
        </is>
      </c>
      <c r="B15" s="27">
        <f>'Start Here'!$B$7+191</f>
        <v/>
      </c>
      <c r="C15" s="31" t="inlineStr">
        <is>
          <t>Overhead Press</t>
        </is>
      </c>
      <c r="D15" s="29" t="n">
        <v>2</v>
      </c>
      <c r="E15" s="29" t="inlineStr">
        <is>
          <t>5</t>
        </is>
      </c>
      <c r="F15" s="29" t="n">
        <v>60</v>
      </c>
      <c r="G15" s="30">
        <f>Maxes!G5</f>
        <v/>
      </c>
      <c r="H15" s="31">
        <f>IF(OR(G15="",F15=""),"",MROUND(G15*F15/100,'Start Here'!$B$6))</f>
        <v/>
      </c>
      <c r="I15" s="32" t="n"/>
      <c r="J15" s="32" t="n"/>
      <c r="K15" s="29">
        <f>IF(OR(I15="",J15=""),"",IF(J15=1,I15,ROUND(I15*(1+J15/30),1)))</f>
        <v/>
      </c>
      <c r="L15" s="33">
        <f>IF(K15="","",IF(K15&gt;=PRs!C5,"PR!",""))</f>
        <v/>
      </c>
      <c r="M15" s="32" t="n"/>
      <c r="N15" s="34" t="inlineStr">
        <is>
          <t>Easy week - move fast, recover</t>
        </is>
      </c>
    </row>
    <row r="16">
      <c r="A16" s="26" t="inlineStr">
        <is>
          <t>Day 2 - Light</t>
        </is>
      </c>
      <c r="B16" s="27">
        <f>'Start Here'!$B$7+191</f>
        <v/>
      </c>
      <c r="C16" s="31" t="inlineStr">
        <is>
          <t>Deadlift</t>
        </is>
      </c>
      <c r="D16" s="29" t="n">
        <v>2</v>
      </c>
      <c r="E16" s="29" t="inlineStr">
        <is>
          <t>5</t>
        </is>
      </c>
      <c r="F16" s="29" t="n">
        <v>60</v>
      </c>
      <c r="G16" s="30">
        <f>Maxes!G4</f>
        <v/>
      </c>
      <c r="H16" s="31">
        <f>IF(OR(G16="",F16=""),"",MROUND(G16*F16/100,'Start Here'!$B$6))</f>
        <v/>
      </c>
      <c r="I16" s="32" t="n"/>
      <c r="J16" s="32" t="n"/>
      <c r="K16" s="29">
        <f>IF(OR(I16="",J16=""),"",IF(J16=1,I16,ROUND(I16*(1+J16/30),1)))</f>
        <v/>
      </c>
      <c r="L16" s="33">
        <f>IF(K16="","",IF(K16&gt;=PRs!C4,"PR!",""))</f>
        <v/>
      </c>
      <c r="M16" s="32" t="n"/>
      <c r="N16" s="34" t="inlineStr">
        <is>
          <t>Easy week - move fast, recover</t>
        </is>
      </c>
    </row>
    <row r="17">
      <c r="A17" s="26" t="inlineStr">
        <is>
          <t>Day 2 - Light</t>
        </is>
      </c>
      <c r="B17" s="27">
        <f>'Start Here'!$B$7+191</f>
        <v/>
      </c>
      <c r="C17" s="29" t="inlineStr">
        <is>
          <t>Chin-up</t>
        </is>
      </c>
      <c r="D17" s="29" t="n">
        <v>2</v>
      </c>
      <c r="E17" s="29" t="inlineStr">
        <is>
          <t>6-10</t>
        </is>
      </c>
      <c r="F17" s="29" t="n"/>
      <c r="G17" s="30" t="n"/>
      <c r="H17" s="31" t="n"/>
      <c r="I17" s="32" t="n"/>
      <c r="J17" s="32" t="n"/>
      <c r="K17" s="29">
        <f>IF(OR(I17="",J17=""),"",IF(J17=1,I17,ROUND(I17*(1+J17/30),1)))</f>
        <v/>
      </c>
      <c r="L17" s="33">
        <f>IF(K17="","",IF(K17&gt;=PRs!C53,"PR!",""))</f>
        <v/>
      </c>
      <c r="M17" s="32" t="n"/>
      <c r="N17" s="34" t="inlineStr">
        <is>
          <t>Easy - stop well short of failure</t>
        </is>
      </c>
    </row>
    <row r="18">
      <c r="A18" s="26" t="inlineStr">
        <is>
          <t>Day 2 - Light</t>
        </is>
      </c>
      <c r="B18" s="27">
        <f>'Start Here'!$B$7+191</f>
        <v/>
      </c>
      <c r="C18" s="29" t="inlineStr">
        <is>
          <t>Plank</t>
        </is>
      </c>
      <c r="D18" s="29" t="n">
        <v>2</v>
      </c>
      <c r="E18" s="29" t="inlineStr">
        <is>
          <t>30-60s</t>
        </is>
      </c>
      <c r="F18" s="29" t="n"/>
      <c r="G18" s="30" t="n"/>
      <c r="H18" s="31" t="n"/>
      <c r="I18" s="32" t="n"/>
      <c r="J18" s="32" t="n"/>
      <c r="K18" s="29">
        <f>IF(OR(I18="",J18=""),"",IF(J18=1,I18,ROUND(I18*(1+J18/30),1)))</f>
        <v/>
      </c>
      <c r="L18" s="33">
        <f>IF(K18="","",IF(K18&gt;=PRs!C56,"PR!",""))</f>
        <v/>
      </c>
      <c r="M18" s="32" t="n"/>
      <c r="N18" s="34" t="inlineStr">
        <is>
          <t>Easy - stop well short of failure</t>
        </is>
      </c>
    </row>
    <row r="19">
      <c r="A19" s="26" t="inlineStr">
        <is>
          <t>Day 3 - Variations</t>
        </is>
      </c>
      <c r="B19" s="27">
        <f>'Start Here'!$B$7+193</f>
        <v/>
      </c>
      <c r="C19" s="28" t="inlineStr">
        <is>
          <t>Box Jump</t>
        </is>
      </c>
      <c r="D19" s="29" t="n">
        <v>2</v>
      </c>
      <c r="E19" s="29" t="inlineStr">
        <is>
          <t>3</t>
        </is>
      </c>
      <c r="F19" s="29" t="n"/>
      <c r="G19" s="30" t="n"/>
      <c r="H19" s="31">
        <f>IFERROR(IF(PRs!D69&lt;'Start Here'!$H$15,'Start Here'!$H$15,IF(PRs!D69&lt;'Start Here'!$H$16,'Start Here'!$H$16,IF(PRs!D69&lt;'Start Here'!$H$17,'Start Here'!$H$17,IF(PRs!D69&lt;'Start Here'!$H$18,'Start Here'!$H$18,"Elite!")))),"")</f>
        <v/>
      </c>
      <c r="I19" s="32" t="n"/>
      <c r="J19" s="32" t="n"/>
      <c r="K19" s="29" t="n"/>
      <c r="L19" s="33">
        <f>IF(I19="","",IF(I19&gt;=PRs!D69,"PR!",""))</f>
        <v/>
      </c>
      <c r="M19" s="32" t="n"/>
      <c r="N19" s="34" t="inlineStr">
        <is>
          <t>Explode up, land softly, STEP down. Full reset between reps. Log your box height; check the standards</t>
        </is>
      </c>
    </row>
    <row r="20">
      <c r="A20" s="26" t="inlineStr">
        <is>
          <t>Day 3 - Variations</t>
        </is>
      </c>
      <c r="B20" s="27">
        <f>'Start Here'!$B$7+193</f>
        <v/>
      </c>
      <c r="C20" s="31" t="inlineStr">
        <is>
          <t>Block Snatch</t>
        </is>
      </c>
      <c r="D20" s="29" t="n">
        <v>2</v>
      </c>
      <c r="E20" s="29" t="inlineStr">
        <is>
          <t>2</t>
        </is>
      </c>
      <c r="F20" s="29" t="n">
        <v>60</v>
      </c>
      <c r="G20" s="30">
        <f>Maxes!G40</f>
        <v/>
      </c>
      <c r="H20" s="31">
        <f>IF(OR(G20="",F20=""),"",MROUND(G20*F20/100,'Start Here'!$B$6))</f>
        <v/>
      </c>
      <c r="I20" s="32" t="n"/>
      <c r="J20" s="32" t="n"/>
      <c r="K20" s="29">
        <f>IF(OR(I20="",J20=""),"",IF(J20=1,I20,ROUND(I20*(1+J20/30),1)))</f>
        <v/>
      </c>
      <c r="L20" s="33">
        <f>IF(K20="","",IF(K20&gt;=PRs!C40,"PR!",""))</f>
        <v/>
      </c>
      <c r="M20" s="32" t="n"/>
      <c r="N20" s="34" t="inlineStr">
        <is>
          <t>Easy week - move fast, recover</t>
        </is>
      </c>
    </row>
    <row r="21">
      <c r="A21" s="26" t="inlineStr">
        <is>
          <t>Day 3 - Variations</t>
        </is>
      </c>
      <c r="B21" s="27">
        <f>'Start Here'!$B$7+193</f>
        <v/>
      </c>
      <c r="C21" s="31" t="inlineStr">
        <is>
          <t>Pause Squat</t>
        </is>
      </c>
      <c r="D21" s="29" t="n">
        <v>2</v>
      </c>
      <c r="E21" s="29" t="inlineStr">
        <is>
          <t>5</t>
        </is>
      </c>
      <c r="F21" s="29" t="n">
        <v>60</v>
      </c>
      <c r="G21" s="30">
        <f>Maxes!G9</f>
        <v/>
      </c>
      <c r="H21" s="31">
        <f>IF(OR(G21="",F21=""),"",MROUND(G21*F21/100,'Start Here'!$B$6))</f>
        <v/>
      </c>
      <c r="I21" s="32" t="n"/>
      <c r="J21" s="32" t="n"/>
      <c r="K21" s="29">
        <f>IF(OR(I21="",J21=""),"",IF(J21=1,I21,ROUND(I21*(1+J21/30),1)))</f>
        <v/>
      </c>
      <c r="L21" s="33">
        <f>IF(K21="","",IF(K21&gt;=PRs!C9,"PR!",""))</f>
        <v/>
      </c>
      <c r="M21" s="32" t="n"/>
      <c r="N21" s="34" t="inlineStr">
        <is>
          <t>Easy week - move fast, recover</t>
        </is>
      </c>
    </row>
    <row r="22">
      <c r="A22" s="26" t="inlineStr">
        <is>
          <t>Day 3 - Variations</t>
        </is>
      </c>
      <c r="B22" s="27">
        <f>'Start Here'!$B$7+193</f>
        <v/>
      </c>
      <c r="C22" s="31" t="inlineStr">
        <is>
          <t>Spoto Press</t>
        </is>
      </c>
      <c r="D22" s="29" t="n">
        <v>2</v>
      </c>
      <c r="E22" s="29" t="inlineStr">
        <is>
          <t>5</t>
        </is>
      </c>
      <c r="F22" s="29" t="n">
        <v>60</v>
      </c>
      <c r="G22" s="30">
        <f>Maxes!G21</f>
        <v/>
      </c>
      <c r="H22" s="31">
        <f>IF(OR(G22="",F22=""),"",MROUND(G22*F22/100,'Start Here'!$B$6))</f>
        <v/>
      </c>
      <c r="I22" s="32" t="n"/>
      <c r="J22" s="32" t="n"/>
      <c r="K22" s="29">
        <f>IF(OR(I22="",J22=""),"",IF(J22=1,I22,ROUND(I22*(1+J22/30),1)))</f>
        <v/>
      </c>
      <c r="L22" s="33">
        <f>IF(K22="","",IF(K22&gt;=PRs!C21,"PR!",""))</f>
        <v/>
      </c>
      <c r="M22" s="32" t="n"/>
      <c r="N22" s="34" t="inlineStr">
        <is>
          <t>Easy week - move fast, recover</t>
        </is>
      </c>
    </row>
    <row r="23">
      <c r="A23" s="26" t="inlineStr">
        <is>
          <t>Day 3 - Variations</t>
        </is>
      </c>
      <c r="B23" s="27">
        <f>'Start Here'!$B$7+193</f>
        <v/>
      </c>
      <c r="C23" s="31" t="inlineStr">
        <is>
          <t>Paused Deadlift</t>
        </is>
      </c>
      <c r="D23" s="29" t="n">
        <v>2</v>
      </c>
      <c r="E23" s="29" t="inlineStr">
        <is>
          <t>5</t>
        </is>
      </c>
      <c r="F23" s="29" t="n">
        <v>60</v>
      </c>
      <c r="G23" s="30">
        <f>Maxes!G25</f>
        <v/>
      </c>
      <c r="H23" s="31">
        <f>IF(OR(G23="",F23=""),"",MROUND(G23*F23/100,'Start Here'!$B$6))</f>
        <v/>
      </c>
      <c r="I23" s="32" t="n"/>
      <c r="J23" s="32" t="n"/>
      <c r="K23" s="29">
        <f>IF(OR(I23="",J23=""),"",IF(J23=1,I23,ROUND(I23*(1+J23/30),1)))</f>
        <v/>
      </c>
      <c r="L23" s="33">
        <f>IF(K23="","",IF(K23&gt;=PRs!C25,"PR!",""))</f>
        <v/>
      </c>
      <c r="M23" s="32" t="n"/>
      <c r="N23" s="34" t="inlineStr">
        <is>
          <t>Easy week - move fast, recover</t>
        </is>
      </c>
    </row>
    <row r="24">
      <c r="A24" s="26" t="inlineStr">
        <is>
          <t>Day 3 - Variations</t>
        </is>
      </c>
      <c r="B24" s="27">
        <f>'Start Here'!$B$7+193</f>
        <v/>
      </c>
      <c r="C24" s="29" t="inlineStr">
        <is>
          <t>Incline Dumbbell Press</t>
        </is>
      </c>
      <c r="D24" s="29" t="n">
        <v>2</v>
      </c>
      <c r="E24" s="29" t="inlineStr">
        <is>
          <t>8-12</t>
        </is>
      </c>
      <c r="F24" s="29" t="n"/>
      <c r="G24" s="30" t="n"/>
      <c r="H24" s="31" t="n"/>
      <c r="I24" s="32" t="n"/>
      <c r="J24" s="32" t="n"/>
      <c r="K24" s="29">
        <f>IF(OR(I24="",J24=""),"",IF(J24=1,I24,ROUND(I24*(1+J24/30),1)))</f>
        <v/>
      </c>
      <c r="L24" s="33">
        <f>IF(K24="","",IF(K24&gt;=PRs!C57,"PR!",""))</f>
        <v/>
      </c>
      <c r="M24" s="32" t="n"/>
      <c r="N24" s="34" t="inlineStr">
        <is>
          <t>Easy - stop well short of failure</t>
        </is>
      </c>
    </row>
    <row r="25">
      <c r="A25" s="26" t="inlineStr">
        <is>
          <t>Day 3 - Variations</t>
        </is>
      </c>
      <c r="B25" s="27">
        <f>'Start Here'!$B$7+193</f>
        <v/>
      </c>
      <c r="C25" s="29" t="inlineStr">
        <is>
          <t>Triceps Pushdown</t>
        </is>
      </c>
      <c r="D25" s="29" t="n">
        <v>2</v>
      </c>
      <c r="E25" s="29" t="inlineStr">
        <is>
          <t>10-15</t>
        </is>
      </c>
      <c r="F25" s="29" t="n"/>
      <c r="G25" s="30" t="n"/>
      <c r="H25" s="31" t="n"/>
      <c r="I25" s="32" t="n"/>
      <c r="J25" s="32" t="n"/>
      <c r="K25" s="29">
        <f>IF(OR(I25="",J25=""),"",IF(J25=1,I25,ROUND(I25*(1+J25/30),1)))</f>
        <v/>
      </c>
      <c r="L25" s="33">
        <f>IF(K25="","",IF(K25&gt;=PRs!C59,"PR!",""))</f>
        <v/>
      </c>
      <c r="M25" s="32" t="n"/>
      <c r="N25" s="34" t="inlineStr">
        <is>
          <t>Easy - stop well short of failure</t>
        </is>
      </c>
    </row>
  </sheetData>
  <hyperlinks>
    <hyperlink xmlns:r="http://schemas.openxmlformats.org/officeDocument/2006/relationships" ref="A2" r:id="rId1"/>
    <hyperlink xmlns:r="http://schemas.openxmlformats.org/officeDocument/2006/relationships" ref="C2" r:id="rId2"/>
    <hyperlink xmlns:r="http://schemas.openxmlformats.org/officeDocument/2006/relationships" ref="E2" r:id="rId3"/>
  </hyperlinks>
  <pageMargins left="0.75" right="0.75" top="1" bottom="1" header="0.5" footer="0.5"/>
  <pageSetup orientation="landscape" fitToHeight="0" fitToWidth="1"/>
</worksheet>
</file>

<file path=xl/worksheets/sheet31.xml><?xml version="1.0" encoding="utf-8"?>
<worksheet xmlns="http://schemas.openxmlformats.org/spreadsheetml/2006/main">
  <sheetPr>
    <tabColor rgb="00FCE9D2"/>
    <outlinePr summaryBelow="1" summaryRight="1"/>
    <pageSetUpPr fitToPage="1"/>
  </sheetPr>
  <dimension ref="A1:N25"/>
  <sheetViews>
    <sheetView workbookViewId="0">
      <pane xSplit="3" ySplit="5" topLeftCell="D6" activePane="bottomRight" state="frozen"/>
      <selection pane="topRight"/>
      <selection pane="bottomLeft"/>
      <selection pane="bottomRight" activeCell="A1" sqref="A1"/>
    </sheetView>
  </sheetViews>
  <sheetFormatPr baseColWidth="8" defaultRowHeight="15"/>
  <cols>
    <col width="17" customWidth="1" min="1" max="1"/>
    <col width="11" customWidth="1" min="2" max="2"/>
    <col width="24" customWidth="1" min="3" max="3"/>
    <col width="5" customWidth="1" min="4" max="4"/>
    <col width="6" customWidth="1" min="5" max="5"/>
    <col width="6" customWidth="1" min="6" max="6"/>
    <col width="9" customWidth="1" min="7" max="7"/>
    <col width="10" customWidth="1" min="8" max="8"/>
    <col width="13" customWidth="1" min="9" max="9"/>
    <col width="8" customWidth="1" min="10" max="10"/>
    <col width="9" customWidth="1" min="11" max="11"/>
    <col width="5" customWidth="1" min="12" max="12"/>
    <col width="22" customWidth="1" min="13" max="13"/>
    <col width="62" customWidth="1" min="14" max="14"/>
  </cols>
  <sheetData>
    <row r="1">
      <c r="A1" s="24" t="inlineStr">
        <is>
          <t>Week 29 - Cycle 3 - Transmutation</t>
        </is>
      </c>
    </row>
    <row r="2">
      <c r="A2" s="25" t="inlineStr">
        <is>
          <t>&lt; Week 28</t>
        </is>
      </c>
      <c r="C2" s="25" t="inlineStr">
        <is>
          <t>Start Here</t>
        </is>
      </c>
      <c r="E2" s="25" t="inlineStr">
        <is>
          <t>Week 30 &gt;</t>
        </is>
      </c>
    </row>
    <row r="3">
      <c r="A3" s="10" t="inlineStr">
        <is>
          <t>Bodyweight this week</t>
        </is>
      </c>
      <c r="C3" s="4" t="n"/>
      <c r="D3" t="inlineStr">
        <is>
          <t>Weigh in once this week: same morning routine, before eating.</t>
        </is>
      </c>
    </row>
    <row r="5">
      <c r="A5" s="5" t="inlineStr">
        <is>
          <t>Day</t>
        </is>
      </c>
      <c r="B5" s="5" t="inlineStr">
        <is>
          <t>Date</t>
        </is>
      </c>
      <c r="C5" s="5" t="inlineStr">
        <is>
          <t>Exercise</t>
        </is>
      </c>
      <c r="D5" s="5" t="inlineStr">
        <is>
          <t>Sets</t>
        </is>
      </c>
      <c r="E5" s="5" t="inlineStr">
        <is>
          <t>Reps</t>
        </is>
      </c>
      <c r="F5" s="5" t="inlineStr">
        <is>
          <t>% TM</t>
        </is>
      </c>
      <c r="G5" s="5" t="inlineStr">
        <is>
          <t>Training max</t>
        </is>
      </c>
      <c r="H5" s="5" t="inlineStr">
        <is>
          <t>Weight / target</t>
        </is>
      </c>
      <c r="I5" s="5" t="inlineStr">
        <is>
          <t>Actual (weight, height or distance)</t>
        </is>
      </c>
      <c r="J5" s="5" t="inlineStr">
        <is>
          <t>Actual reps</t>
        </is>
      </c>
      <c r="K5" s="5" t="inlineStr">
        <is>
          <t>Est. 1RM</t>
        </is>
      </c>
      <c r="L5" s="5" t="inlineStr">
        <is>
          <t>PR</t>
        </is>
      </c>
      <c r="M5" s="5" t="inlineStr">
        <is>
          <t>Notes</t>
        </is>
      </c>
      <c r="N5" s="5" t="inlineStr">
        <is>
          <t>Guidance</t>
        </is>
      </c>
    </row>
    <row r="6">
      <c r="A6" s="26" t="inlineStr">
        <is>
          <t>Day 1 - Heavy</t>
        </is>
      </c>
      <c r="B6" s="27">
        <f>'Start Here'!$B$7+196</f>
        <v/>
      </c>
      <c r="C6" s="28" t="inlineStr">
        <is>
          <t>Box Jump</t>
        </is>
      </c>
      <c r="D6" s="29" t="n">
        <v>4</v>
      </c>
      <c r="E6" s="29" t="inlineStr">
        <is>
          <t>3</t>
        </is>
      </c>
      <c r="F6" s="29" t="n"/>
      <c r="G6" s="30" t="n"/>
      <c r="H6" s="31">
        <f>IFERROR(IF(PRs!D69&lt;'Start Here'!$H$15,'Start Here'!$H$15,IF(PRs!D69&lt;'Start Here'!$H$16,'Start Here'!$H$16,IF(PRs!D69&lt;'Start Here'!$H$17,'Start Here'!$H$17,IF(PRs!D69&lt;'Start Here'!$H$18,'Start Here'!$H$18,"Elite!")))),"")</f>
        <v/>
      </c>
      <c r="I6" s="32" t="n"/>
      <c r="J6" s="32" t="n"/>
      <c r="K6" s="29" t="n"/>
      <c r="L6" s="33">
        <f>IF(I6="","",IF(I6&gt;=PRs!D69,"PR!",""))</f>
        <v/>
      </c>
      <c r="M6" s="32" t="n"/>
      <c r="N6" s="34" t="inlineStr">
        <is>
          <t>Explode up, land softly, STEP down. Full reset between reps. Log your box height; check the standards</t>
        </is>
      </c>
    </row>
    <row r="7">
      <c r="A7" s="26" t="inlineStr">
        <is>
          <t>Day 1 - Heavy</t>
        </is>
      </c>
      <c r="B7" s="27">
        <f>'Start Here'!$B$7+196</f>
        <v/>
      </c>
      <c r="C7" s="31" t="inlineStr">
        <is>
          <t>Snatch</t>
        </is>
      </c>
      <c r="D7" s="29" t="n">
        <v>4</v>
      </c>
      <c r="E7" s="29" t="inlineStr">
        <is>
          <t>3</t>
        </is>
      </c>
      <c r="F7" s="29" t="n">
        <v>77.5</v>
      </c>
      <c r="G7" s="30">
        <f>Maxes!G6</f>
        <v/>
      </c>
      <c r="H7" s="31">
        <f>IF(OR(G7="",F7=""),"",MROUND(G7*F7/100,'Start Here'!$B$6))</f>
        <v/>
      </c>
      <c r="I7" s="32" t="n"/>
      <c r="J7" s="32" t="n"/>
      <c r="K7" s="29">
        <f>IF(OR(I7="",J7=""),"",IF(J7=1,I7,ROUND(I7*(1+J7/30),1)))</f>
        <v/>
      </c>
      <c r="L7" s="33">
        <f>IF(K7="","",IF(K7&gt;=PRs!C6,"PR!",""))</f>
        <v/>
      </c>
      <c r="M7" s="32" t="n"/>
      <c r="N7" s="34" t="inlineStr"/>
    </row>
    <row r="8">
      <c r="A8" s="26" t="inlineStr">
        <is>
          <t>Day 1 - Heavy</t>
        </is>
      </c>
      <c r="B8" s="27">
        <f>'Start Here'!$B$7+196</f>
        <v/>
      </c>
      <c r="C8" s="31" t="inlineStr">
        <is>
          <t>Squat</t>
        </is>
      </c>
      <c r="D8" s="29" t="n">
        <v>3</v>
      </c>
      <c r="E8" s="29" t="inlineStr">
        <is>
          <t>6</t>
        </is>
      </c>
      <c r="F8" s="29" t="n">
        <v>77.5</v>
      </c>
      <c r="G8" s="30">
        <f>Maxes!G2</f>
        <v/>
      </c>
      <c r="H8" s="31">
        <f>IF(OR(G8="",F8=""),"",MROUND(G8*F8/100,'Start Here'!$B$6))</f>
        <v/>
      </c>
      <c r="I8" s="32" t="n"/>
      <c r="J8" s="32" t="n"/>
      <c r="K8" s="29">
        <f>IF(OR(I8="",J8=""),"",IF(J8=1,I8,ROUND(I8*(1+J8/30),1)))</f>
        <v/>
      </c>
      <c r="L8" s="33">
        <f>IF(K8="","",IF(K8&gt;=PRs!C2,"PR!",""))</f>
        <v/>
      </c>
      <c r="M8" s="32" t="n"/>
      <c r="N8" s="34" t="inlineStr"/>
    </row>
    <row r="9">
      <c r="A9" s="26" t="inlineStr">
        <is>
          <t>Day 1 - Heavy</t>
        </is>
      </c>
      <c r="B9" s="27">
        <f>'Start Here'!$B$7+196</f>
        <v/>
      </c>
      <c r="C9" s="31" t="inlineStr">
        <is>
          <t>Bench Press</t>
        </is>
      </c>
      <c r="D9" s="29" t="n">
        <v>3</v>
      </c>
      <c r="E9" s="29" t="inlineStr">
        <is>
          <t>6</t>
        </is>
      </c>
      <c r="F9" s="29" t="n">
        <v>77.5</v>
      </c>
      <c r="G9" s="30">
        <f>Maxes!G3</f>
        <v/>
      </c>
      <c r="H9" s="31">
        <f>IF(OR(G9="",F9=""),"",MROUND(G9*F9/100,'Start Here'!$B$6))</f>
        <v/>
      </c>
      <c r="I9" s="32" t="n"/>
      <c r="J9" s="32" t="n"/>
      <c r="K9" s="29">
        <f>IF(OR(I9="",J9=""),"",IF(J9=1,I9,ROUND(I9*(1+J9/30),1)))</f>
        <v/>
      </c>
      <c r="L9" s="33">
        <f>IF(K9="","",IF(K9&gt;=PRs!C3,"PR!",""))</f>
        <v/>
      </c>
      <c r="M9" s="32" t="n"/>
      <c r="N9" s="34" t="inlineStr"/>
    </row>
    <row r="10">
      <c r="A10" s="26" t="inlineStr">
        <is>
          <t>Day 1 - Heavy</t>
        </is>
      </c>
      <c r="B10" s="27">
        <f>'Start Here'!$B$7+196</f>
        <v/>
      </c>
      <c r="C10" s="29" t="inlineStr">
        <is>
          <t>Barbell Row</t>
        </is>
      </c>
      <c r="D10" s="29" t="n">
        <v>3</v>
      </c>
      <c r="E10" s="29" t="inlineStr">
        <is>
          <t>8-10</t>
        </is>
      </c>
      <c r="F10" s="29" t="n"/>
      <c r="G10" s="30" t="n"/>
      <c r="H10" s="31" t="n"/>
      <c r="I10" s="32" t="n"/>
      <c r="J10" s="32" t="n"/>
      <c r="K10" s="29">
        <f>IF(OR(I10="",J10=""),"",IF(J10=1,I10,ROUND(I10*(1+J10/30),1)))</f>
        <v/>
      </c>
      <c r="L10" s="33">
        <f>IF(K10="","",IF(K10&gt;=PRs!C50,"PR!",""))</f>
        <v/>
      </c>
      <c r="M10" s="32" t="n"/>
      <c r="N10" s="34" t="inlineStr">
        <is>
          <t>Leave 1-2 reps in the tank; add weight when you hit the top of the range</t>
        </is>
      </c>
    </row>
    <row r="11">
      <c r="A11" s="26" t="inlineStr">
        <is>
          <t>Day 1 - Heavy</t>
        </is>
      </c>
      <c r="B11" s="27">
        <f>'Start Here'!$B$7+196</f>
        <v/>
      </c>
      <c r="C11" s="29" t="inlineStr">
        <is>
          <t>Face Pull</t>
        </is>
      </c>
      <c r="D11" s="29" t="n">
        <v>3</v>
      </c>
      <c r="E11" s="29" t="inlineStr">
        <is>
          <t>12-15</t>
        </is>
      </c>
      <c r="F11" s="29" t="n"/>
      <c r="G11" s="30" t="n"/>
      <c r="H11" s="31" t="n"/>
      <c r="I11" s="32" t="n"/>
      <c r="J11" s="32" t="n"/>
      <c r="K11" s="29">
        <f>IF(OR(I11="",J11=""),"",IF(J11=1,I11,ROUND(I11*(1+J11/30),1)))</f>
        <v/>
      </c>
      <c r="L11" s="33">
        <f>IF(K11="","",IF(K11&gt;=PRs!C51,"PR!",""))</f>
        <v/>
      </c>
      <c r="M11" s="32" t="n"/>
      <c r="N11" s="34" t="inlineStr">
        <is>
          <t>Leave 1-2 reps in the tank; add weight when you hit the top of the range</t>
        </is>
      </c>
    </row>
    <row r="12">
      <c r="A12" s="26" t="inlineStr">
        <is>
          <t>Day 2 - Light</t>
        </is>
      </c>
      <c r="B12" s="27">
        <f>'Start Here'!$B$7+198</f>
        <v/>
      </c>
      <c r="C12" s="28" t="inlineStr">
        <is>
          <t>Broad Jump</t>
        </is>
      </c>
      <c r="D12" s="29" t="n">
        <v>4</v>
      </c>
      <c r="E12" s="29" t="inlineStr">
        <is>
          <t>3</t>
        </is>
      </c>
      <c r="F12" s="29" t="n"/>
      <c r="G12" s="30" t="n"/>
      <c r="H12" s="31" t="n"/>
      <c r="I12" s="32" t="n"/>
      <c r="J12" s="32" t="n"/>
      <c r="K12" s="29" t="n"/>
      <c r="L12" s="33">
        <f>IF(I12="","",IF(I12&gt;=PRs!D70,"PR!",""))</f>
        <v/>
      </c>
      <c r="M12" s="32" t="n"/>
      <c r="N12" s="34" t="inlineStr">
        <is>
          <t>Two-foot jump for distance, stick the landing. Full reset between reps. Log your best distance</t>
        </is>
      </c>
    </row>
    <row r="13">
      <c r="A13" s="26" t="inlineStr">
        <is>
          <t>Day 2 - Light</t>
        </is>
      </c>
      <c r="B13" s="27">
        <f>'Start Here'!$B$7+198</f>
        <v/>
      </c>
      <c r="C13" s="31" t="inlineStr">
        <is>
          <t>Clean &amp; Jerk</t>
        </is>
      </c>
      <c r="D13" s="29" t="n">
        <v>4</v>
      </c>
      <c r="E13" s="29" t="inlineStr">
        <is>
          <t>3</t>
        </is>
      </c>
      <c r="F13" s="29" t="n">
        <v>77.5</v>
      </c>
      <c r="G13" s="30">
        <f>Maxes!G7</f>
        <v/>
      </c>
      <c r="H13" s="31">
        <f>IF(OR(G13="",F13=""),"",MROUND(G13*F13/100,'Start Here'!$B$6))</f>
        <v/>
      </c>
      <c r="I13" s="32" t="n"/>
      <c r="J13" s="32" t="n"/>
      <c r="K13" s="29">
        <f>IF(OR(I13="",J13=""),"",IF(J13=1,I13,ROUND(I13*(1+J13/30),1)))</f>
        <v/>
      </c>
      <c r="L13" s="33">
        <f>IF(K13="","",IF(K13&gt;=PRs!C7,"PR!",""))</f>
        <v/>
      </c>
      <c r="M13" s="32" t="n"/>
      <c r="N13" s="34" t="inlineStr"/>
    </row>
    <row r="14">
      <c r="A14" s="26" t="inlineStr">
        <is>
          <t>Day 2 - Light</t>
        </is>
      </c>
      <c r="B14" s="27">
        <f>'Start Here'!$B$7+198</f>
        <v/>
      </c>
      <c r="C14" s="31" t="inlineStr">
        <is>
          <t>Squat</t>
        </is>
      </c>
      <c r="D14" s="29" t="n">
        <v>3</v>
      </c>
      <c r="E14" s="29" t="inlineStr">
        <is>
          <t>6</t>
        </is>
      </c>
      <c r="F14" s="29" t="n">
        <v>65</v>
      </c>
      <c r="G14" s="30">
        <f>Maxes!G2</f>
        <v/>
      </c>
      <c r="H14" s="31">
        <f>IF(OR(G14="",F14=""),"",MROUND(G14*F14/100,'Start Here'!$B$6))</f>
        <v/>
      </c>
      <c r="I14" s="32" t="n"/>
      <c r="J14" s="32" t="n"/>
      <c r="K14" s="29">
        <f>IF(OR(I14="",J14=""),"",IF(J14=1,I14,ROUND(I14*(1+J14/30),1)))</f>
        <v/>
      </c>
      <c r="L14" s="33">
        <f>IF(K14="","",IF(K14&gt;=PRs!C2,"PR!",""))</f>
        <v/>
      </c>
      <c r="M14" s="32" t="n"/>
      <c r="N14" s="34" t="inlineStr"/>
    </row>
    <row r="15">
      <c r="A15" s="26" t="inlineStr">
        <is>
          <t>Day 2 - Light</t>
        </is>
      </c>
      <c r="B15" s="27">
        <f>'Start Here'!$B$7+198</f>
        <v/>
      </c>
      <c r="C15" s="31" t="inlineStr">
        <is>
          <t>Overhead Press</t>
        </is>
      </c>
      <c r="D15" s="29" t="n">
        <v>3</v>
      </c>
      <c r="E15" s="29" t="inlineStr">
        <is>
          <t>6</t>
        </is>
      </c>
      <c r="F15" s="29" t="n">
        <v>72.5</v>
      </c>
      <c r="G15" s="30">
        <f>Maxes!G5</f>
        <v/>
      </c>
      <c r="H15" s="31">
        <f>IF(OR(G15="",F15=""),"",MROUND(G15*F15/100,'Start Here'!$B$6))</f>
        <v/>
      </c>
      <c r="I15" s="32" t="n"/>
      <c r="J15" s="32" t="n"/>
      <c r="K15" s="29">
        <f>IF(OR(I15="",J15=""),"",IF(J15=1,I15,ROUND(I15*(1+J15/30),1)))</f>
        <v/>
      </c>
      <c r="L15" s="33">
        <f>IF(K15="","",IF(K15&gt;=PRs!C5,"PR!",""))</f>
        <v/>
      </c>
      <c r="M15" s="32" t="n"/>
      <c r="N15" s="34" t="inlineStr"/>
    </row>
    <row r="16">
      <c r="A16" s="26" t="inlineStr">
        <is>
          <t>Day 2 - Light</t>
        </is>
      </c>
      <c r="B16" s="27">
        <f>'Start Here'!$B$7+198</f>
        <v/>
      </c>
      <c r="C16" s="31" t="inlineStr">
        <is>
          <t>Deadlift</t>
        </is>
      </c>
      <c r="D16" s="29" t="n">
        <v>3</v>
      </c>
      <c r="E16" s="29" t="inlineStr">
        <is>
          <t>6</t>
        </is>
      </c>
      <c r="F16" s="29" t="n">
        <v>72.5</v>
      </c>
      <c r="G16" s="30">
        <f>Maxes!G4</f>
        <v/>
      </c>
      <c r="H16" s="31">
        <f>IF(OR(G16="",F16=""),"",MROUND(G16*F16/100,'Start Here'!$B$6))</f>
        <v/>
      </c>
      <c r="I16" s="32" t="n"/>
      <c r="J16" s="32" t="n"/>
      <c r="K16" s="29">
        <f>IF(OR(I16="",J16=""),"",IF(J16=1,I16,ROUND(I16*(1+J16/30),1)))</f>
        <v/>
      </c>
      <c r="L16" s="33">
        <f>IF(K16="","",IF(K16&gt;=PRs!C4,"PR!",""))</f>
        <v/>
      </c>
      <c r="M16" s="32" t="n"/>
      <c r="N16" s="34" t="inlineStr"/>
    </row>
    <row r="17">
      <c r="A17" s="26" t="inlineStr">
        <is>
          <t>Day 2 - Light</t>
        </is>
      </c>
      <c r="B17" s="27">
        <f>'Start Here'!$B$7+198</f>
        <v/>
      </c>
      <c r="C17" s="29" t="inlineStr">
        <is>
          <t>Chin-up</t>
        </is>
      </c>
      <c r="D17" s="29" t="n">
        <v>3</v>
      </c>
      <c r="E17" s="29" t="inlineStr">
        <is>
          <t>6-10</t>
        </is>
      </c>
      <c r="F17" s="29" t="n"/>
      <c r="G17" s="30" t="n"/>
      <c r="H17" s="31" t="n"/>
      <c r="I17" s="32" t="n"/>
      <c r="J17" s="32" t="n"/>
      <c r="K17" s="29">
        <f>IF(OR(I17="",J17=""),"",IF(J17=1,I17,ROUND(I17*(1+J17/30),1)))</f>
        <v/>
      </c>
      <c r="L17" s="33">
        <f>IF(K17="","",IF(K17&gt;=PRs!C53,"PR!",""))</f>
        <v/>
      </c>
      <c r="M17" s="32" t="n"/>
      <c r="N17" s="34" t="inlineStr">
        <is>
          <t>Leave 1-2 reps in the tank; add weight when you hit the top of the range</t>
        </is>
      </c>
    </row>
    <row r="18">
      <c r="A18" s="26" t="inlineStr">
        <is>
          <t>Day 2 - Light</t>
        </is>
      </c>
      <c r="B18" s="27">
        <f>'Start Here'!$B$7+198</f>
        <v/>
      </c>
      <c r="C18" s="29" t="inlineStr">
        <is>
          <t>Plank</t>
        </is>
      </c>
      <c r="D18" s="29" t="n">
        <v>3</v>
      </c>
      <c r="E18" s="29" t="inlineStr">
        <is>
          <t>30-60s</t>
        </is>
      </c>
      <c r="F18" s="29" t="n"/>
      <c r="G18" s="30" t="n"/>
      <c r="H18" s="31" t="n"/>
      <c r="I18" s="32" t="n"/>
      <c r="J18" s="32" t="n"/>
      <c r="K18" s="29">
        <f>IF(OR(I18="",J18=""),"",IF(J18=1,I18,ROUND(I18*(1+J18/30),1)))</f>
        <v/>
      </c>
      <c r="L18" s="33">
        <f>IF(K18="","",IF(K18&gt;=PRs!C56,"PR!",""))</f>
        <v/>
      </c>
      <c r="M18" s="32" t="n"/>
      <c r="N18" s="34" t="inlineStr">
        <is>
          <t>Leave 1-2 reps in the tank; add weight when you hit the top of the range</t>
        </is>
      </c>
    </row>
    <row r="19">
      <c r="A19" s="26" t="inlineStr">
        <is>
          <t>Day 3 - Variations</t>
        </is>
      </c>
      <c r="B19" s="27">
        <f>'Start Here'!$B$7+200</f>
        <v/>
      </c>
      <c r="C19" s="28" t="inlineStr">
        <is>
          <t>Box Jump</t>
        </is>
      </c>
      <c r="D19" s="29" t="n">
        <v>4</v>
      </c>
      <c r="E19" s="29" t="inlineStr">
        <is>
          <t>3</t>
        </is>
      </c>
      <c r="F19" s="29" t="n"/>
      <c r="G19" s="30" t="n"/>
      <c r="H19" s="31">
        <f>IFERROR(IF(PRs!D69&lt;'Start Here'!$H$15,'Start Here'!$H$15,IF(PRs!D69&lt;'Start Here'!$H$16,'Start Here'!$H$16,IF(PRs!D69&lt;'Start Here'!$H$17,'Start Here'!$H$17,IF(PRs!D69&lt;'Start Here'!$H$18,'Start Here'!$H$18,"Elite!")))),"")</f>
        <v/>
      </c>
      <c r="I19" s="32" t="n"/>
      <c r="J19" s="32" t="n"/>
      <c r="K19" s="29" t="n"/>
      <c r="L19" s="33">
        <f>IF(I19="","",IF(I19&gt;=PRs!D69,"PR!",""))</f>
        <v/>
      </c>
      <c r="M19" s="32" t="n"/>
      <c r="N19" s="34" t="inlineStr">
        <is>
          <t>Explode up, land softly, STEP down. Full reset between reps. Log your box height; check the standards</t>
        </is>
      </c>
    </row>
    <row r="20">
      <c r="A20" s="26" t="inlineStr">
        <is>
          <t>Day 3 - Variations</t>
        </is>
      </c>
      <c r="B20" s="27">
        <f>'Start Here'!$B$7+200</f>
        <v/>
      </c>
      <c r="C20" s="31" t="inlineStr">
        <is>
          <t>Split Jerk</t>
        </is>
      </c>
      <c r="D20" s="29" t="n">
        <v>4</v>
      </c>
      <c r="E20" s="29" t="inlineStr">
        <is>
          <t>3</t>
        </is>
      </c>
      <c r="F20" s="29" t="n">
        <v>72.5</v>
      </c>
      <c r="G20" s="30">
        <f>Maxes!G46</f>
        <v/>
      </c>
      <c r="H20" s="31">
        <f>IF(OR(G20="",F20=""),"",MROUND(G20*F20/100,'Start Here'!$B$6))</f>
        <v/>
      </c>
      <c r="I20" s="32" t="n"/>
      <c r="J20" s="32" t="n"/>
      <c r="K20" s="29">
        <f>IF(OR(I20="",J20=""),"",IF(J20=1,I20,ROUND(I20*(1+J20/30),1)))</f>
        <v/>
      </c>
      <c r="L20" s="33">
        <f>IF(K20="","",IF(K20&gt;=PRs!C46,"PR!",""))</f>
        <v/>
      </c>
      <c r="M20" s="32" t="n"/>
      <c r="N20" s="34" t="inlineStr"/>
    </row>
    <row r="21">
      <c r="A21" s="26" t="inlineStr">
        <is>
          <t>Day 3 - Variations</t>
        </is>
      </c>
      <c r="B21" s="27">
        <f>'Start Here'!$B$7+200</f>
        <v/>
      </c>
      <c r="C21" s="31" t="inlineStr">
        <is>
          <t>Front Squat</t>
        </is>
      </c>
      <c r="D21" s="29" t="n">
        <v>3</v>
      </c>
      <c r="E21" s="29" t="inlineStr">
        <is>
          <t>6</t>
        </is>
      </c>
      <c r="F21" s="29" t="n">
        <v>72.5</v>
      </c>
      <c r="G21" s="30">
        <f>Maxes!G10</f>
        <v/>
      </c>
      <c r="H21" s="31">
        <f>IF(OR(G21="",F21=""),"",MROUND(G21*F21/100,'Start Here'!$B$6))</f>
        <v/>
      </c>
      <c r="I21" s="32" t="n"/>
      <c r="J21" s="32" t="n"/>
      <c r="K21" s="29">
        <f>IF(OR(I21="",J21=""),"",IF(J21=1,I21,ROUND(I21*(1+J21/30),1)))</f>
        <v/>
      </c>
      <c r="L21" s="33">
        <f>IF(K21="","",IF(K21&gt;=PRs!C10,"PR!",""))</f>
        <v/>
      </c>
      <c r="M21" s="32" t="n"/>
      <c r="N21" s="34" t="inlineStr"/>
    </row>
    <row r="22">
      <c r="A22" s="26" t="inlineStr">
        <is>
          <t>Day 3 - Variations</t>
        </is>
      </c>
      <c r="B22" s="27">
        <f>'Start Here'!$B$7+200</f>
        <v/>
      </c>
      <c r="C22" s="31" t="inlineStr">
        <is>
          <t>Close-Grip Bench Press</t>
        </is>
      </c>
      <c r="D22" s="29" t="n">
        <v>3</v>
      </c>
      <c r="E22" s="29" t="inlineStr">
        <is>
          <t>6</t>
        </is>
      </c>
      <c r="F22" s="29" t="n">
        <v>72.5</v>
      </c>
      <c r="G22" s="30">
        <f>Maxes!G14</f>
        <v/>
      </c>
      <c r="H22" s="31">
        <f>IF(OR(G22="",F22=""),"",MROUND(G22*F22/100,'Start Here'!$B$6))</f>
        <v/>
      </c>
      <c r="I22" s="32" t="n"/>
      <c r="J22" s="32" t="n"/>
      <c r="K22" s="29">
        <f>IF(OR(I22="",J22=""),"",IF(J22=1,I22,ROUND(I22*(1+J22/30),1)))</f>
        <v/>
      </c>
      <c r="L22" s="33">
        <f>IF(K22="","",IF(K22&gt;=PRs!C14,"PR!",""))</f>
        <v/>
      </c>
      <c r="M22" s="32" t="n"/>
      <c r="N22" s="34" t="inlineStr"/>
    </row>
    <row r="23">
      <c r="A23" s="26" t="inlineStr">
        <is>
          <t>Day 3 - Variations</t>
        </is>
      </c>
      <c r="B23" s="27">
        <f>'Start Here'!$B$7+200</f>
        <v/>
      </c>
      <c r="C23" s="31" t="inlineStr">
        <is>
          <t>Block Pull</t>
        </is>
      </c>
      <c r="D23" s="29" t="n">
        <v>3</v>
      </c>
      <c r="E23" s="29" t="inlineStr">
        <is>
          <t>6</t>
        </is>
      </c>
      <c r="F23" s="29" t="n">
        <v>65</v>
      </c>
      <c r="G23" s="30">
        <f>Maxes!G26</f>
        <v/>
      </c>
      <c r="H23" s="31">
        <f>IF(OR(G23="",F23=""),"",MROUND(G23*F23/100,'Start Here'!$B$6))</f>
        <v/>
      </c>
      <c r="I23" s="32" t="n"/>
      <c r="J23" s="32" t="n"/>
      <c r="K23" s="29">
        <f>IF(OR(I23="",J23=""),"",IF(J23=1,I23,ROUND(I23*(1+J23/30),1)))</f>
        <v/>
      </c>
      <c r="L23" s="33">
        <f>IF(K23="","",IF(K23&gt;=PRs!C26,"PR!",""))</f>
        <v/>
      </c>
      <c r="M23" s="32" t="n"/>
      <c r="N23" s="34" t="inlineStr"/>
    </row>
    <row r="24">
      <c r="A24" s="26" t="inlineStr">
        <is>
          <t>Day 3 - Variations</t>
        </is>
      </c>
      <c r="B24" s="27">
        <f>'Start Here'!$B$7+200</f>
        <v/>
      </c>
      <c r="C24" s="29" t="inlineStr">
        <is>
          <t>Incline Dumbbell Press</t>
        </is>
      </c>
      <c r="D24" s="29" t="n">
        <v>3</v>
      </c>
      <c r="E24" s="29" t="inlineStr">
        <is>
          <t>8-12</t>
        </is>
      </c>
      <c r="F24" s="29" t="n"/>
      <c r="G24" s="30" t="n"/>
      <c r="H24" s="31" t="n"/>
      <c r="I24" s="32" t="n"/>
      <c r="J24" s="32" t="n"/>
      <c r="K24" s="29">
        <f>IF(OR(I24="",J24=""),"",IF(J24=1,I24,ROUND(I24*(1+J24/30),1)))</f>
        <v/>
      </c>
      <c r="L24" s="33">
        <f>IF(K24="","",IF(K24&gt;=PRs!C57,"PR!",""))</f>
        <v/>
      </c>
      <c r="M24" s="32" t="n"/>
      <c r="N24" s="34" t="inlineStr">
        <is>
          <t>Leave 1-2 reps in the tank; add weight when you hit the top of the range</t>
        </is>
      </c>
    </row>
    <row r="25">
      <c r="A25" s="26" t="inlineStr">
        <is>
          <t>Day 3 - Variations</t>
        </is>
      </c>
      <c r="B25" s="27">
        <f>'Start Here'!$B$7+200</f>
        <v/>
      </c>
      <c r="C25" s="29" t="inlineStr">
        <is>
          <t>Triceps Pushdown</t>
        </is>
      </c>
      <c r="D25" s="29" t="n">
        <v>3</v>
      </c>
      <c r="E25" s="29" t="inlineStr">
        <is>
          <t>10-15</t>
        </is>
      </c>
      <c r="F25" s="29" t="n"/>
      <c r="G25" s="30" t="n"/>
      <c r="H25" s="31" t="n"/>
      <c r="I25" s="32" t="n"/>
      <c r="J25" s="32" t="n"/>
      <c r="K25" s="29">
        <f>IF(OR(I25="",J25=""),"",IF(J25=1,I25,ROUND(I25*(1+J25/30),1)))</f>
        <v/>
      </c>
      <c r="L25" s="33">
        <f>IF(K25="","",IF(K25&gt;=PRs!C59,"PR!",""))</f>
        <v/>
      </c>
      <c r="M25" s="32" t="n"/>
      <c r="N25" s="34" t="inlineStr">
        <is>
          <t>Leave 1-2 reps in the tank; add weight when you hit the top of the range</t>
        </is>
      </c>
    </row>
  </sheetData>
  <hyperlinks>
    <hyperlink xmlns:r="http://schemas.openxmlformats.org/officeDocument/2006/relationships" ref="A2" r:id="rId1"/>
    <hyperlink xmlns:r="http://schemas.openxmlformats.org/officeDocument/2006/relationships" ref="C2" r:id="rId2"/>
    <hyperlink xmlns:r="http://schemas.openxmlformats.org/officeDocument/2006/relationships" ref="E2" r:id="rId3"/>
  </hyperlinks>
  <pageMargins left="0.75" right="0.75" top="1" bottom="1" header="0.5" footer="0.5"/>
  <pageSetup orientation="landscape" fitToHeight="0" fitToWidth="1"/>
</worksheet>
</file>

<file path=xl/worksheets/sheet32.xml><?xml version="1.0" encoding="utf-8"?>
<worksheet xmlns="http://schemas.openxmlformats.org/spreadsheetml/2006/main">
  <sheetPr>
    <tabColor rgb="00FCE9D2"/>
    <outlinePr summaryBelow="1" summaryRight="1"/>
    <pageSetUpPr fitToPage="1"/>
  </sheetPr>
  <dimension ref="A1:N25"/>
  <sheetViews>
    <sheetView workbookViewId="0">
      <pane xSplit="3" ySplit="5" topLeftCell="D6" activePane="bottomRight" state="frozen"/>
      <selection pane="topRight"/>
      <selection pane="bottomLeft"/>
      <selection pane="bottomRight" activeCell="A1" sqref="A1"/>
    </sheetView>
  </sheetViews>
  <sheetFormatPr baseColWidth="8" defaultRowHeight="15"/>
  <cols>
    <col width="17" customWidth="1" min="1" max="1"/>
    <col width="11" customWidth="1" min="2" max="2"/>
    <col width="24" customWidth="1" min="3" max="3"/>
    <col width="5" customWidth="1" min="4" max="4"/>
    <col width="6" customWidth="1" min="5" max="5"/>
    <col width="6" customWidth="1" min="6" max="6"/>
    <col width="9" customWidth="1" min="7" max="7"/>
    <col width="10" customWidth="1" min="8" max="8"/>
    <col width="13" customWidth="1" min="9" max="9"/>
    <col width="8" customWidth="1" min="10" max="10"/>
    <col width="9" customWidth="1" min="11" max="11"/>
    <col width="5" customWidth="1" min="12" max="12"/>
    <col width="22" customWidth="1" min="13" max="13"/>
    <col width="62" customWidth="1" min="14" max="14"/>
  </cols>
  <sheetData>
    <row r="1">
      <c r="A1" s="24" t="inlineStr">
        <is>
          <t>Week 30 - Cycle 3 - Transmutation</t>
        </is>
      </c>
    </row>
    <row r="2">
      <c r="A2" s="25" t="inlineStr">
        <is>
          <t>&lt; Week 29</t>
        </is>
      </c>
      <c r="C2" s="25" t="inlineStr">
        <is>
          <t>Start Here</t>
        </is>
      </c>
      <c r="E2" s="25" t="inlineStr">
        <is>
          <t>Week 31 &gt;</t>
        </is>
      </c>
    </row>
    <row r="3">
      <c r="A3" s="10" t="inlineStr">
        <is>
          <t>Bodyweight this week</t>
        </is>
      </c>
      <c r="C3" s="4" t="n"/>
      <c r="D3" t="inlineStr">
        <is>
          <t>Weigh in once this week: same morning routine, before eating.</t>
        </is>
      </c>
    </row>
    <row r="5">
      <c r="A5" s="5" t="inlineStr">
        <is>
          <t>Day</t>
        </is>
      </c>
      <c r="B5" s="5" t="inlineStr">
        <is>
          <t>Date</t>
        </is>
      </c>
      <c r="C5" s="5" t="inlineStr">
        <is>
          <t>Exercise</t>
        </is>
      </c>
      <c r="D5" s="5" t="inlineStr">
        <is>
          <t>Sets</t>
        </is>
      </c>
      <c r="E5" s="5" t="inlineStr">
        <is>
          <t>Reps</t>
        </is>
      </c>
      <c r="F5" s="5" t="inlineStr">
        <is>
          <t>% TM</t>
        </is>
      </c>
      <c r="G5" s="5" t="inlineStr">
        <is>
          <t>Training max</t>
        </is>
      </c>
      <c r="H5" s="5" t="inlineStr">
        <is>
          <t>Weight / target</t>
        </is>
      </c>
      <c r="I5" s="5" t="inlineStr">
        <is>
          <t>Actual (weight, height or distance)</t>
        </is>
      </c>
      <c r="J5" s="5" t="inlineStr">
        <is>
          <t>Actual reps</t>
        </is>
      </c>
      <c r="K5" s="5" t="inlineStr">
        <is>
          <t>Est. 1RM</t>
        </is>
      </c>
      <c r="L5" s="5" t="inlineStr">
        <is>
          <t>PR</t>
        </is>
      </c>
      <c r="M5" s="5" t="inlineStr">
        <is>
          <t>Notes</t>
        </is>
      </c>
      <c r="N5" s="5" t="inlineStr">
        <is>
          <t>Guidance</t>
        </is>
      </c>
    </row>
    <row r="6">
      <c r="A6" s="26" t="inlineStr">
        <is>
          <t>Day 1 - Heavy</t>
        </is>
      </c>
      <c r="B6" s="27">
        <f>'Start Here'!$B$7+203</f>
        <v/>
      </c>
      <c r="C6" s="28" t="inlineStr">
        <is>
          <t>Box Jump</t>
        </is>
      </c>
      <c r="D6" s="29" t="n">
        <v>4</v>
      </c>
      <c r="E6" s="29" t="inlineStr">
        <is>
          <t>3</t>
        </is>
      </c>
      <c r="F6" s="29" t="n"/>
      <c r="G6" s="30" t="n"/>
      <c r="H6" s="31">
        <f>IFERROR(IF(PRs!D69&lt;'Start Here'!$H$15,'Start Here'!$H$15,IF(PRs!D69&lt;'Start Here'!$H$16,'Start Here'!$H$16,IF(PRs!D69&lt;'Start Here'!$H$17,'Start Here'!$H$17,IF(PRs!D69&lt;'Start Here'!$H$18,'Start Here'!$H$18,"Elite!")))),"")</f>
        <v/>
      </c>
      <c r="I6" s="32" t="n"/>
      <c r="J6" s="32" t="n"/>
      <c r="K6" s="29" t="n"/>
      <c r="L6" s="33">
        <f>IF(I6="","",IF(I6&gt;=PRs!D69,"PR!",""))</f>
        <v/>
      </c>
      <c r="M6" s="32" t="n"/>
      <c r="N6" s="34" t="inlineStr">
        <is>
          <t>Explode up, land softly, STEP down. Full reset between reps. Log your box height; check the standards</t>
        </is>
      </c>
    </row>
    <row r="7">
      <c r="A7" s="26" t="inlineStr">
        <is>
          <t>Day 1 - Heavy</t>
        </is>
      </c>
      <c r="B7" s="27">
        <f>'Start Here'!$B$7+203</f>
        <v/>
      </c>
      <c r="C7" s="31" t="inlineStr">
        <is>
          <t>Snatch</t>
        </is>
      </c>
      <c r="D7" s="29" t="n">
        <v>5</v>
      </c>
      <c r="E7" s="29" t="inlineStr">
        <is>
          <t>2</t>
        </is>
      </c>
      <c r="F7" s="29" t="n">
        <v>80</v>
      </c>
      <c r="G7" s="30">
        <f>Maxes!G6</f>
        <v/>
      </c>
      <c r="H7" s="31">
        <f>IF(OR(G7="",F7=""),"",MROUND(G7*F7/100,'Start Here'!$B$6))</f>
        <v/>
      </c>
      <c r="I7" s="32" t="n"/>
      <c r="J7" s="32" t="n"/>
      <c r="K7" s="29">
        <f>IF(OR(I7="",J7=""),"",IF(J7=1,I7,ROUND(I7*(1+J7/30),1)))</f>
        <v/>
      </c>
      <c r="L7" s="33">
        <f>IF(K7="","",IF(K7&gt;=PRs!C6,"PR!",""))</f>
        <v/>
      </c>
      <c r="M7" s="32" t="n"/>
      <c r="N7" s="34" t="inlineStr"/>
    </row>
    <row r="8">
      <c r="A8" s="26" t="inlineStr">
        <is>
          <t>Day 1 - Heavy</t>
        </is>
      </c>
      <c r="B8" s="27">
        <f>'Start Here'!$B$7+203</f>
        <v/>
      </c>
      <c r="C8" s="31" t="inlineStr">
        <is>
          <t>Squat</t>
        </is>
      </c>
      <c r="D8" s="29" t="n">
        <v>4</v>
      </c>
      <c r="E8" s="29" t="inlineStr">
        <is>
          <t>4</t>
        </is>
      </c>
      <c r="F8" s="29" t="n">
        <v>80</v>
      </c>
      <c r="G8" s="30">
        <f>Maxes!G2</f>
        <v/>
      </c>
      <c r="H8" s="31">
        <f>IF(OR(G8="",F8=""),"",MROUND(G8*F8/100,'Start Here'!$B$6))</f>
        <v/>
      </c>
      <c r="I8" s="32" t="n"/>
      <c r="J8" s="32" t="n"/>
      <c r="K8" s="29">
        <f>IF(OR(I8="",J8=""),"",IF(J8=1,I8,ROUND(I8*(1+J8/30),1)))</f>
        <v/>
      </c>
      <c r="L8" s="33">
        <f>IF(K8="","",IF(K8&gt;=PRs!C2,"PR!",""))</f>
        <v/>
      </c>
      <c r="M8" s="32" t="n"/>
      <c r="N8" s="34" t="inlineStr"/>
    </row>
    <row r="9">
      <c r="A9" s="26" t="inlineStr">
        <is>
          <t>Day 1 - Heavy</t>
        </is>
      </c>
      <c r="B9" s="27">
        <f>'Start Here'!$B$7+203</f>
        <v/>
      </c>
      <c r="C9" s="31" t="inlineStr">
        <is>
          <t>Bench Press</t>
        </is>
      </c>
      <c r="D9" s="29" t="n">
        <v>4</v>
      </c>
      <c r="E9" s="29" t="inlineStr">
        <is>
          <t>4</t>
        </is>
      </c>
      <c r="F9" s="29" t="n">
        <v>80</v>
      </c>
      <c r="G9" s="30">
        <f>Maxes!G3</f>
        <v/>
      </c>
      <c r="H9" s="31">
        <f>IF(OR(G9="",F9=""),"",MROUND(G9*F9/100,'Start Here'!$B$6))</f>
        <v/>
      </c>
      <c r="I9" s="32" t="n"/>
      <c r="J9" s="32" t="n"/>
      <c r="K9" s="29">
        <f>IF(OR(I9="",J9=""),"",IF(J9=1,I9,ROUND(I9*(1+J9/30),1)))</f>
        <v/>
      </c>
      <c r="L9" s="33">
        <f>IF(K9="","",IF(K9&gt;=PRs!C3,"PR!",""))</f>
        <v/>
      </c>
      <c r="M9" s="32" t="n"/>
      <c r="N9" s="34" t="inlineStr"/>
    </row>
    <row r="10">
      <c r="A10" s="26" t="inlineStr">
        <is>
          <t>Day 1 - Heavy</t>
        </is>
      </c>
      <c r="B10" s="27">
        <f>'Start Here'!$B$7+203</f>
        <v/>
      </c>
      <c r="C10" s="29" t="inlineStr">
        <is>
          <t>Barbell Row</t>
        </is>
      </c>
      <c r="D10" s="29" t="n">
        <v>3</v>
      </c>
      <c r="E10" s="29" t="inlineStr">
        <is>
          <t>8-10</t>
        </is>
      </c>
      <c r="F10" s="29" t="n"/>
      <c r="G10" s="30" t="n"/>
      <c r="H10" s="31" t="n"/>
      <c r="I10" s="32" t="n"/>
      <c r="J10" s="32" t="n"/>
      <c r="K10" s="29">
        <f>IF(OR(I10="",J10=""),"",IF(J10=1,I10,ROUND(I10*(1+J10/30),1)))</f>
        <v/>
      </c>
      <c r="L10" s="33">
        <f>IF(K10="","",IF(K10&gt;=PRs!C50,"PR!",""))</f>
        <v/>
      </c>
      <c r="M10" s="32" t="n"/>
      <c r="N10" s="34" t="inlineStr">
        <is>
          <t>Leave 1-2 reps in the tank; add weight when you hit the top of the range</t>
        </is>
      </c>
    </row>
    <row r="11">
      <c r="A11" s="26" t="inlineStr">
        <is>
          <t>Day 1 - Heavy</t>
        </is>
      </c>
      <c r="B11" s="27">
        <f>'Start Here'!$B$7+203</f>
        <v/>
      </c>
      <c r="C11" s="29" t="inlineStr">
        <is>
          <t>Face Pull</t>
        </is>
      </c>
      <c r="D11" s="29" t="n">
        <v>3</v>
      </c>
      <c r="E11" s="29" t="inlineStr">
        <is>
          <t>12-15</t>
        </is>
      </c>
      <c r="F11" s="29" t="n"/>
      <c r="G11" s="30" t="n"/>
      <c r="H11" s="31" t="n"/>
      <c r="I11" s="32" t="n"/>
      <c r="J11" s="32" t="n"/>
      <c r="K11" s="29">
        <f>IF(OR(I11="",J11=""),"",IF(J11=1,I11,ROUND(I11*(1+J11/30),1)))</f>
        <v/>
      </c>
      <c r="L11" s="33">
        <f>IF(K11="","",IF(K11&gt;=PRs!C51,"PR!",""))</f>
        <v/>
      </c>
      <c r="M11" s="32" t="n"/>
      <c r="N11" s="34" t="inlineStr">
        <is>
          <t>Leave 1-2 reps in the tank; add weight when you hit the top of the range</t>
        </is>
      </c>
    </row>
    <row r="12">
      <c r="A12" s="26" t="inlineStr">
        <is>
          <t>Day 2 - Light</t>
        </is>
      </c>
      <c r="B12" s="27">
        <f>'Start Here'!$B$7+205</f>
        <v/>
      </c>
      <c r="C12" s="28" t="inlineStr">
        <is>
          <t>Broad Jump</t>
        </is>
      </c>
      <c r="D12" s="29" t="n">
        <v>4</v>
      </c>
      <c r="E12" s="29" t="inlineStr">
        <is>
          <t>3</t>
        </is>
      </c>
      <c r="F12" s="29" t="n"/>
      <c r="G12" s="30" t="n"/>
      <c r="H12" s="31" t="n"/>
      <c r="I12" s="32" t="n"/>
      <c r="J12" s="32" t="n"/>
      <c r="K12" s="29" t="n"/>
      <c r="L12" s="33">
        <f>IF(I12="","",IF(I12&gt;=PRs!D70,"PR!",""))</f>
        <v/>
      </c>
      <c r="M12" s="32" t="n"/>
      <c r="N12" s="34" t="inlineStr">
        <is>
          <t>Two-foot jump for distance, stick the landing. Full reset between reps. Log your best distance</t>
        </is>
      </c>
    </row>
    <row r="13">
      <c r="A13" s="26" t="inlineStr">
        <is>
          <t>Day 2 - Light</t>
        </is>
      </c>
      <c r="B13" s="27">
        <f>'Start Here'!$B$7+205</f>
        <v/>
      </c>
      <c r="C13" s="31" t="inlineStr">
        <is>
          <t>Clean &amp; Jerk</t>
        </is>
      </c>
      <c r="D13" s="29" t="n">
        <v>5</v>
      </c>
      <c r="E13" s="29" t="inlineStr">
        <is>
          <t>2</t>
        </is>
      </c>
      <c r="F13" s="29" t="n">
        <v>80</v>
      </c>
      <c r="G13" s="30">
        <f>Maxes!G7</f>
        <v/>
      </c>
      <c r="H13" s="31">
        <f>IF(OR(G13="",F13=""),"",MROUND(G13*F13/100,'Start Here'!$B$6))</f>
        <v/>
      </c>
      <c r="I13" s="32" t="n"/>
      <c r="J13" s="32" t="n"/>
      <c r="K13" s="29">
        <f>IF(OR(I13="",J13=""),"",IF(J13=1,I13,ROUND(I13*(1+J13/30),1)))</f>
        <v/>
      </c>
      <c r="L13" s="33">
        <f>IF(K13="","",IF(K13&gt;=PRs!C7,"PR!",""))</f>
        <v/>
      </c>
      <c r="M13" s="32" t="n"/>
      <c r="N13" s="34" t="inlineStr"/>
    </row>
    <row r="14">
      <c r="A14" s="26" t="inlineStr">
        <is>
          <t>Day 2 - Light</t>
        </is>
      </c>
      <c r="B14" s="27">
        <f>'Start Here'!$B$7+205</f>
        <v/>
      </c>
      <c r="C14" s="31" t="inlineStr">
        <is>
          <t>Squat</t>
        </is>
      </c>
      <c r="D14" s="29" t="n">
        <v>3</v>
      </c>
      <c r="E14" s="29" t="inlineStr">
        <is>
          <t>6</t>
        </is>
      </c>
      <c r="F14" s="29" t="n">
        <v>67.5</v>
      </c>
      <c r="G14" s="30">
        <f>Maxes!G2</f>
        <v/>
      </c>
      <c r="H14" s="31">
        <f>IF(OR(G14="",F14=""),"",MROUND(G14*F14/100,'Start Here'!$B$6))</f>
        <v/>
      </c>
      <c r="I14" s="32" t="n"/>
      <c r="J14" s="32" t="n"/>
      <c r="K14" s="29">
        <f>IF(OR(I14="",J14=""),"",IF(J14=1,I14,ROUND(I14*(1+J14/30),1)))</f>
        <v/>
      </c>
      <c r="L14" s="33">
        <f>IF(K14="","",IF(K14&gt;=PRs!C2,"PR!",""))</f>
        <v/>
      </c>
      <c r="M14" s="32" t="n"/>
      <c r="N14" s="34" t="inlineStr"/>
    </row>
    <row r="15">
      <c r="A15" s="26" t="inlineStr">
        <is>
          <t>Day 2 - Light</t>
        </is>
      </c>
      <c r="B15" s="27">
        <f>'Start Here'!$B$7+205</f>
        <v/>
      </c>
      <c r="C15" s="31" t="inlineStr">
        <is>
          <t>Overhead Press</t>
        </is>
      </c>
      <c r="D15" s="29" t="n">
        <v>3</v>
      </c>
      <c r="E15" s="29" t="inlineStr">
        <is>
          <t>6</t>
        </is>
      </c>
      <c r="F15" s="29" t="n">
        <v>75</v>
      </c>
      <c r="G15" s="30">
        <f>Maxes!G5</f>
        <v/>
      </c>
      <c r="H15" s="31">
        <f>IF(OR(G15="",F15=""),"",MROUND(G15*F15/100,'Start Here'!$B$6))</f>
        <v/>
      </c>
      <c r="I15" s="32" t="n"/>
      <c r="J15" s="32" t="n"/>
      <c r="K15" s="29">
        <f>IF(OR(I15="",J15=""),"",IF(J15=1,I15,ROUND(I15*(1+J15/30),1)))</f>
        <v/>
      </c>
      <c r="L15" s="33">
        <f>IF(K15="","",IF(K15&gt;=PRs!C5,"PR!",""))</f>
        <v/>
      </c>
      <c r="M15" s="32" t="n"/>
      <c r="N15" s="34" t="inlineStr"/>
    </row>
    <row r="16">
      <c r="A16" s="26" t="inlineStr">
        <is>
          <t>Day 2 - Light</t>
        </is>
      </c>
      <c r="B16" s="27">
        <f>'Start Here'!$B$7+205</f>
        <v/>
      </c>
      <c r="C16" s="31" t="inlineStr">
        <is>
          <t>Deadlift</t>
        </is>
      </c>
      <c r="D16" s="29" t="n">
        <v>3</v>
      </c>
      <c r="E16" s="29" t="inlineStr">
        <is>
          <t>6</t>
        </is>
      </c>
      <c r="F16" s="29" t="n">
        <v>75</v>
      </c>
      <c r="G16" s="30">
        <f>Maxes!G4</f>
        <v/>
      </c>
      <c r="H16" s="31">
        <f>IF(OR(G16="",F16=""),"",MROUND(G16*F16/100,'Start Here'!$B$6))</f>
        <v/>
      </c>
      <c r="I16" s="32" t="n"/>
      <c r="J16" s="32" t="n"/>
      <c r="K16" s="29">
        <f>IF(OR(I16="",J16=""),"",IF(J16=1,I16,ROUND(I16*(1+J16/30),1)))</f>
        <v/>
      </c>
      <c r="L16" s="33">
        <f>IF(K16="","",IF(K16&gt;=PRs!C4,"PR!",""))</f>
        <v/>
      </c>
      <c r="M16" s="32" t="n"/>
      <c r="N16" s="34" t="inlineStr"/>
    </row>
    <row r="17">
      <c r="A17" s="26" t="inlineStr">
        <is>
          <t>Day 2 - Light</t>
        </is>
      </c>
      <c r="B17" s="27">
        <f>'Start Here'!$B$7+205</f>
        <v/>
      </c>
      <c r="C17" s="29" t="inlineStr">
        <is>
          <t>Chin-up</t>
        </is>
      </c>
      <c r="D17" s="29" t="n">
        <v>3</v>
      </c>
      <c r="E17" s="29" t="inlineStr">
        <is>
          <t>6-10</t>
        </is>
      </c>
      <c r="F17" s="29" t="n"/>
      <c r="G17" s="30" t="n"/>
      <c r="H17" s="31" t="n"/>
      <c r="I17" s="32" t="n"/>
      <c r="J17" s="32" t="n"/>
      <c r="K17" s="29">
        <f>IF(OR(I17="",J17=""),"",IF(J17=1,I17,ROUND(I17*(1+J17/30),1)))</f>
        <v/>
      </c>
      <c r="L17" s="33">
        <f>IF(K17="","",IF(K17&gt;=PRs!C53,"PR!",""))</f>
        <v/>
      </c>
      <c r="M17" s="32" t="n"/>
      <c r="N17" s="34" t="inlineStr">
        <is>
          <t>Leave 1-2 reps in the tank; add weight when you hit the top of the range</t>
        </is>
      </c>
    </row>
    <row r="18">
      <c r="A18" s="26" t="inlineStr">
        <is>
          <t>Day 2 - Light</t>
        </is>
      </c>
      <c r="B18" s="27">
        <f>'Start Here'!$B$7+205</f>
        <v/>
      </c>
      <c r="C18" s="29" t="inlineStr">
        <is>
          <t>Plank</t>
        </is>
      </c>
      <c r="D18" s="29" t="n">
        <v>3</v>
      </c>
      <c r="E18" s="29" t="inlineStr">
        <is>
          <t>30-60s</t>
        </is>
      </c>
      <c r="F18" s="29" t="n"/>
      <c r="G18" s="30" t="n"/>
      <c r="H18" s="31" t="n"/>
      <c r="I18" s="32" t="n"/>
      <c r="J18" s="32" t="n"/>
      <c r="K18" s="29">
        <f>IF(OR(I18="",J18=""),"",IF(J18=1,I18,ROUND(I18*(1+J18/30),1)))</f>
        <v/>
      </c>
      <c r="L18" s="33">
        <f>IF(K18="","",IF(K18&gt;=PRs!C56,"PR!",""))</f>
        <v/>
      </c>
      <c r="M18" s="32" t="n"/>
      <c r="N18" s="34" t="inlineStr">
        <is>
          <t>Leave 1-2 reps in the tank; add weight when you hit the top of the range</t>
        </is>
      </c>
    </row>
    <row r="19">
      <c r="A19" s="26" t="inlineStr">
        <is>
          <t>Day 3 - Variations</t>
        </is>
      </c>
      <c r="B19" s="27">
        <f>'Start Here'!$B$7+207</f>
        <v/>
      </c>
      <c r="C19" s="28" t="inlineStr">
        <is>
          <t>Box Jump</t>
        </is>
      </c>
      <c r="D19" s="29" t="n">
        <v>4</v>
      </c>
      <c r="E19" s="29" t="inlineStr">
        <is>
          <t>3</t>
        </is>
      </c>
      <c r="F19" s="29" t="n"/>
      <c r="G19" s="30" t="n"/>
      <c r="H19" s="31">
        <f>IFERROR(IF(PRs!D69&lt;'Start Here'!$H$15,'Start Here'!$H$15,IF(PRs!D69&lt;'Start Here'!$H$16,'Start Here'!$H$16,IF(PRs!D69&lt;'Start Here'!$H$17,'Start Here'!$H$17,IF(PRs!D69&lt;'Start Here'!$H$18,'Start Here'!$H$18,"Elite!")))),"")</f>
        <v/>
      </c>
      <c r="I19" s="32" t="n"/>
      <c r="J19" s="32" t="n"/>
      <c r="K19" s="29" t="n"/>
      <c r="L19" s="33">
        <f>IF(I19="","",IF(I19&gt;=PRs!D69,"PR!",""))</f>
        <v/>
      </c>
      <c r="M19" s="32" t="n"/>
      <c r="N19" s="34" t="inlineStr">
        <is>
          <t>Explode up, land softly, STEP down. Full reset between reps. Log your box height; check the standards</t>
        </is>
      </c>
    </row>
    <row r="20">
      <c r="A20" s="26" t="inlineStr">
        <is>
          <t>Day 3 - Variations</t>
        </is>
      </c>
      <c r="B20" s="27">
        <f>'Start Here'!$B$7+207</f>
        <v/>
      </c>
      <c r="C20" s="31" t="inlineStr">
        <is>
          <t>Split Jerk</t>
        </is>
      </c>
      <c r="D20" s="29" t="n">
        <v>4</v>
      </c>
      <c r="E20" s="29" t="inlineStr">
        <is>
          <t>3</t>
        </is>
      </c>
      <c r="F20" s="29" t="n">
        <v>75</v>
      </c>
      <c r="G20" s="30">
        <f>Maxes!G46</f>
        <v/>
      </c>
      <c r="H20" s="31">
        <f>IF(OR(G20="",F20=""),"",MROUND(G20*F20/100,'Start Here'!$B$6))</f>
        <v/>
      </c>
      <c r="I20" s="32" t="n"/>
      <c r="J20" s="32" t="n"/>
      <c r="K20" s="29">
        <f>IF(OR(I20="",J20=""),"",IF(J20=1,I20,ROUND(I20*(1+J20/30),1)))</f>
        <v/>
      </c>
      <c r="L20" s="33">
        <f>IF(K20="","",IF(K20&gt;=PRs!C46,"PR!",""))</f>
        <v/>
      </c>
      <c r="M20" s="32" t="n"/>
      <c r="N20" s="34" t="inlineStr"/>
    </row>
    <row r="21">
      <c r="A21" s="26" t="inlineStr">
        <is>
          <t>Day 3 - Variations</t>
        </is>
      </c>
      <c r="B21" s="27">
        <f>'Start Here'!$B$7+207</f>
        <v/>
      </c>
      <c r="C21" s="31" t="inlineStr">
        <is>
          <t>Front Squat</t>
        </is>
      </c>
      <c r="D21" s="29" t="n">
        <v>3</v>
      </c>
      <c r="E21" s="29" t="inlineStr">
        <is>
          <t>6</t>
        </is>
      </c>
      <c r="F21" s="29" t="n">
        <v>75</v>
      </c>
      <c r="G21" s="30">
        <f>Maxes!G10</f>
        <v/>
      </c>
      <c r="H21" s="31">
        <f>IF(OR(G21="",F21=""),"",MROUND(G21*F21/100,'Start Here'!$B$6))</f>
        <v/>
      </c>
      <c r="I21" s="32" t="n"/>
      <c r="J21" s="32" t="n"/>
      <c r="K21" s="29">
        <f>IF(OR(I21="",J21=""),"",IF(J21=1,I21,ROUND(I21*(1+J21/30),1)))</f>
        <v/>
      </c>
      <c r="L21" s="33">
        <f>IF(K21="","",IF(K21&gt;=PRs!C10,"PR!",""))</f>
        <v/>
      </c>
      <c r="M21" s="32" t="n"/>
      <c r="N21" s="34" t="inlineStr"/>
    </row>
    <row r="22">
      <c r="A22" s="26" t="inlineStr">
        <is>
          <t>Day 3 - Variations</t>
        </is>
      </c>
      <c r="B22" s="27">
        <f>'Start Here'!$B$7+207</f>
        <v/>
      </c>
      <c r="C22" s="31" t="inlineStr">
        <is>
          <t>Close-Grip Bench Press</t>
        </is>
      </c>
      <c r="D22" s="29" t="n">
        <v>3</v>
      </c>
      <c r="E22" s="29" t="inlineStr">
        <is>
          <t>6</t>
        </is>
      </c>
      <c r="F22" s="29" t="n">
        <v>75</v>
      </c>
      <c r="G22" s="30">
        <f>Maxes!G14</f>
        <v/>
      </c>
      <c r="H22" s="31">
        <f>IF(OR(G22="",F22=""),"",MROUND(G22*F22/100,'Start Here'!$B$6))</f>
        <v/>
      </c>
      <c r="I22" s="32" t="n"/>
      <c r="J22" s="32" t="n"/>
      <c r="K22" s="29">
        <f>IF(OR(I22="",J22=""),"",IF(J22=1,I22,ROUND(I22*(1+J22/30),1)))</f>
        <v/>
      </c>
      <c r="L22" s="33">
        <f>IF(K22="","",IF(K22&gt;=PRs!C14,"PR!",""))</f>
        <v/>
      </c>
      <c r="M22" s="32" t="n"/>
      <c r="N22" s="34" t="inlineStr"/>
    </row>
    <row r="23">
      <c r="A23" s="26" t="inlineStr">
        <is>
          <t>Day 3 - Variations</t>
        </is>
      </c>
      <c r="B23" s="27">
        <f>'Start Here'!$B$7+207</f>
        <v/>
      </c>
      <c r="C23" s="31" t="inlineStr">
        <is>
          <t>Block Pull</t>
        </is>
      </c>
      <c r="D23" s="29" t="n">
        <v>3</v>
      </c>
      <c r="E23" s="29" t="inlineStr">
        <is>
          <t>6</t>
        </is>
      </c>
      <c r="F23" s="29" t="n">
        <v>67.5</v>
      </c>
      <c r="G23" s="30">
        <f>Maxes!G26</f>
        <v/>
      </c>
      <c r="H23" s="31">
        <f>IF(OR(G23="",F23=""),"",MROUND(G23*F23/100,'Start Here'!$B$6))</f>
        <v/>
      </c>
      <c r="I23" s="32" t="n"/>
      <c r="J23" s="32" t="n"/>
      <c r="K23" s="29">
        <f>IF(OR(I23="",J23=""),"",IF(J23=1,I23,ROUND(I23*(1+J23/30),1)))</f>
        <v/>
      </c>
      <c r="L23" s="33">
        <f>IF(K23="","",IF(K23&gt;=PRs!C26,"PR!",""))</f>
        <v/>
      </c>
      <c r="M23" s="32" t="n"/>
      <c r="N23" s="34" t="inlineStr"/>
    </row>
    <row r="24">
      <c r="A24" s="26" t="inlineStr">
        <is>
          <t>Day 3 - Variations</t>
        </is>
      </c>
      <c r="B24" s="27">
        <f>'Start Here'!$B$7+207</f>
        <v/>
      </c>
      <c r="C24" s="29" t="inlineStr">
        <is>
          <t>Incline Dumbbell Press</t>
        </is>
      </c>
      <c r="D24" s="29" t="n">
        <v>3</v>
      </c>
      <c r="E24" s="29" t="inlineStr">
        <is>
          <t>8-12</t>
        </is>
      </c>
      <c r="F24" s="29" t="n"/>
      <c r="G24" s="30" t="n"/>
      <c r="H24" s="31" t="n"/>
      <c r="I24" s="32" t="n"/>
      <c r="J24" s="32" t="n"/>
      <c r="K24" s="29">
        <f>IF(OR(I24="",J24=""),"",IF(J24=1,I24,ROUND(I24*(1+J24/30),1)))</f>
        <v/>
      </c>
      <c r="L24" s="33">
        <f>IF(K24="","",IF(K24&gt;=PRs!C57,"PR!",""))</f>
        <v/>
      </c>
      <c r="M24" s="32" t="n"/>
      <c r="N24" s="34" t="inlineStr">
        <is>
          <t>Leave 1-2 reps in the tank; add weight when you hit the top of the range</t>
        </is>
      </c>
    </row>
    <row r="25">
      <c r="A25" s="26" t="inlineStr">
        <is>
          <t>Day 3 - Variations</t>
        </is>
      </c>
      <c r="B25" s="27">
        <f>'Start Here'!$B$7+207</f>
        <v/>
      </c>
      <c r="C25" s="29" t="inlineStr">
        <is>
          <t>Triceps Pushdown</t>
        </is>
      </c>
      <c r="D25" s="29" t="n">
        <v>3</v>
      </c>
      <c r="E25" s="29" t="inlineStr">
        <is>
          <t>10-15</t>
        </is>
      </c>
      <c r="F25" s="29" t="n"/>
      <c r="G25" s="30" t="n"/>
      <c r="H25" s="31" t="n"/>
      <c r="I25" s="32" t="n"/>
      <c r="J25" s="32" t="n"/>
      <c r="K25" s="29">
        <f>IF(OR(I25="",J25=""),"",IF(J25=1,I25,ROUND(I25*(1+J25/30),1)))</f>
        <v/>
      </c>
      <c r="L25" s="33">
        <f>IF(K25="","",IF(K25&gt;=PRs!C59,"PR!",""))</f>
        <v/>
      </c>
      <c r="M25" s="32" t="n"/>
      <c r="N25" s="34" t="inlineStr">
        <is>
          <t>Leave 1-2 reps in the tank; add weight when you hit the top of the range</t>
        </is>
      </c>
    </row>
  </sheetData>
  <hyperlinks>
    <hyperlink xmlns:r="http://schemas.openxmlformats.org/officeDocument/2006/relationships" ref="A2" r:id="rId1"/>
    <hyperlink xmlns:r="http://schemas.openxmlformats.org/officeDocument/2006/relationships" ref="C2" r:id="rId2"/>
    <hyperlink xmlns:r="http://schemas.openxmlformats.org/officeDocument/2006/relationships" ref="E2" r:id="rId3"/>
  </hyperlinks>
  <pageMargins left="0.75" right="0.75" top="1" bottom="1" header="0.5" footer="0.5"/>
  <pageSetup orientation="landscape" fitToHeight="0" fitToWidth="1"/>
</worksheet>
</file>

<file path=xl/worksheets/sheet33.xml><?xml version="1.0" encoding="utf-8"?>
<worksheet xmlns="http://schemas.openxmlformats.org/spreadsheetml/2006/main">
  <sheetPr>
    <tabColor rgb="00FCE9D2"/>
    <outlinePr summaryBelow="1" summaryRight="1"/>
    <pageSetUpPr fitToPage="1"/>
  </sheetPr>
  <dimension ref="A1:N25"/>
  <sheetViews>
    <sheetView workbookViewId="0">
      <pane xSplit="3" ySplit="5" topLeftCell="D6" activePane="bottomRight" state="frozen"/>
      <selection pane="topRight"/>
      <selection pane="bottomLeft"/>
      <selection pane="bottomRight" activeCell="A1" sqref="A1"/>
    </sheetView>
  </sheetViews>
  <sheetFormatPr baseColWidth="8" defaultRowHeight="15"/>
  <cols>
    <col width="17" customWidth="1" min="1" max="1"/>
    <col width="11" customWidth="1" min="2" max="2"/>
    <col width="24" customWidth="1" min="3" max="3"/>
    <col width="5" customWidth="1" min="4" max="4"/>
    <col width="6" customWidth="1" min="5" max="5"/>
    <col width="6" customWidth="1" min="6" max="6"/>
    <col width="9" customWidth="1" min="7" max="7"/>
    <col width="10" customWidth="1" min="8" max="8"/>
    <col width="13" customWidth="1" min="9" max="9"/>
    <col width="8" customWidth="1" min="10" max="10"/>
    <col width="9" customWidth="1" min="11" max="11"/>
    <col width="5" customWidth="1" min="12" max="12"/>
    <col width="22" customWidth="1" min="13" max="13"/>
    <col width="62" customWidth="1" min="14" max="14"/>
  </cols>
  <sheetData>
    <row r="1">
      <c r="A1" s="24" t="inlineStr">
        <is>
          <t>Week 31 - Cycle 3 - Transmutation</t>
        </is>
      </c>
    </row>
    <row r="2">
      <c r="A2" s="25" t="inlineStr">
        <is>
          <t>&lt; Week 30</t>
        </is>
      </c>
      <c r="C2" s="25" t="inlineStr">
        <is>
          <t>Start Here</t>
        </is>
      </c>
      <c r="E2" s="25" t="inlineStr">
        <is>
          <t>Week 32 &gt;</t>
        </is>
      </c>
    </row>
    <row r="3">
      <c r="A3" s="10" t="inlineStr">
        <is>
          <t>Bodyweight this week</t>
        </is>
      </c>
      <c r="C3" s="4" t="n"/>
      <c r="D3" t="inlineStr">
        <is>
          <t>Weigh in once this week: same morning routine, before eating.</t>
        </is>
      </c>
    </row>
    <row r="4">
      <c r="A4" s="35" t="inlineStr">
        <is>
          <t>Body fat test due this week (month 8) - enter it on the Body sheet</t>
        </is>
      </c>
    </row>
    <row r="5">
      <c r="A5" s="5" t="inlineStr">
        <is>
          <t>Day</t>
        </is>
      </c>
      <c r="B5" s="5" t="inlineStr">
        <is>
          <t>Date</t>
        </is>
      </c>
      <c r="C5" s="5" t="inlineStr">
        <is>
          <t>Exercise</t>
        </is>
      </c>
      <c r="D5" s="5" t="inlineStr">
        <is>
          <t>Sets</t>
        </is>
      </c>
      <c r="E5" s="5" t="inlineStr">
        <is>
          <t>Reps</t>
        </is>
      </c>
      <c r="F5" s="5" t="inlineStr">
        <is>
          <t>% TM</t>
        </is>
      </c>
      <c r="G5" s="5" t="inlineStr">
        <is>
          <t>Training max</t>
        </is>
      </c>
      <c r="H5" s="5" t="inlineStr">
        <is>
          <t>Weight / target</t>
        </is>
      </c>
      <c r="I5" s="5" t="inlineStr">
        <is>
          <t>Actual (weight, height or distance)</t>
        </is>
      </c>
      <c r="J5" s="5" t="inlineStr">
        <is>
          <t>Actual reps</t>
        </is>
      </c>
      <c r="K5" s="5" t="inlineStr">
        <is>
          <t>Est. 1RM</t>
        </is>
      </c>
      <c r="L5" s="5" t="inlineStr">
        <is>
          <t>PR</t>
        </is>
      </c>
      <c r="M5" s="5" t="inlineStr">
        <is>
          <t>Notes</t>
        </is>
      </c>
      <c r="N5" s="5" t="inlineStr">
        <is>
          <t>Guidance</t>
        </is>
      </c>
    </row>
    <row r="6">
      <c r="A6" s="26" t="inlineStr">
        <is>
          <t>Day 1 - Heavy</t>
        </is>
      </c>
      <c r="B6" s="27">
        <f>'Start Here'!$B$7+210</f>
        <v/>
      </c>
      <c r="C6" s="28" t="inlineStr">
        <is>
          <t>Box Jump</t>
        </is>
      </c>
      <c r="D6" s="29" t="n">
        <v>4</v>
      </c>
      <c r="E6" s="29" t="inlineStr">
        <is>
          <t>3</t>
        </is>
      </c>
      <c r="F6" s="29" t="n"/>
      <c r="G6" s="30" t="n"/>
      <c r="H6" s="31">
        <f>IFERROR(IF(PRs!D69&lt;'Start Here'!$H$15,'Start Here'!$H$15,IF(PRs!D69&lt;'Start Here'!$H$16,'Start Here'!$H$16,IF(PRs!D69&lt;'Start Here'!$H$17,'Start Here'!$H$17,IF(PRs!D69&lt;'Start Here'!$H$18,'Start Here'!$H$18,"Elite!")))),"")</f>
        <v/>
      </c>
      <c r="I6" s="32" t="n"/>
      <c r="J6" s="32" t="n"/>
      <c r="K6" s="29" t="n"/>
      <c r="L6" s="33">
        <f>IF(I6="","",IF(I6&gt;=PRs!D69,"PR!",""))</f>
        <v/>
      </c>
      <c r="M6" s="32" t="n"/>
      <c r="N6" s="34" t="inlineStr">
        <is>
          <t>Explode up, land softly, STEP down. Full reset between reps. Log your box height; check the standards</t>
        </is>
      </c>
    </row>
    <row r="7">
      <c r="A7" s="26" t="inlineStr">
        <is>
          <t>Day 1 - Heavy</t>
        </is>
      </c>
      <c r="B7" s="27">
        <f>'Start Here'!$B$7+210</f>
        <v/>
      </c>
      <c r="C7" s="31" t="inlineStr">
        <is>
          <t>Snatch</t>
        </is>
      </c>
      <c r="D7" s="29" t="n">
        <v>5</v>
      </c>
      <c r="E7" s="29" t="inlineStr">
        <is>
          <t>2</t>
        </is>
      </c>
      <c r="F7" s="29" t="n">
        <v>82.5</v>
      </c>
      <c r="G7" s="30">
        <f>Maxes!G6</f>
        <v/>
      </c>
      <c r="H7" s="31">
        <f>IF(OR(G7="",F7=""),"",MROUND(G7*F7/100,'Start Here'!$B$6))</f>
        <v/>
      </c>
      <c r="I7" s="32" t="n"/>
      <c r="J7" s="32" t="n"/>
      <c r="K7" s="29">
        <f>IF(OR(I7="",J7=""),"",IF(J7=1,I7,ROUND(I7*(1+J7/30),1)))</f>
        <v/>
      </c>
      <c r="L7" s="33">
        <f>IF(K7="","",IF(K7&gt;=PRs!C6,"PR!",""))</f>
        <v/>
      </c>
      <c r="M7" s="32" t="n"/>
      <c r="N7" s="34" t="inlineStr"/>
    </row>
    <row r="8">
      <c r="A8" s="26" t="inlineStr">
        <is>
          <t>Day 1 - Heavy</t>
        </is>
      </c>
      <c r="B8" s="27">
        <f>'Start Here'!$B$7+210</f>
        <v/>
      </c>
      <c r="C8" s="31" t="inlineStr">
        <is>
          <t>Squat</t>
        </is>
      </c>
      <c r="D8" s="29" t="n">
        <v>4</v>
      </c>
      <c r="E8" s="29" t="inlineStr">
        <is>
          <t>4</t>
        </is>
      </c>
      <c r="F8" s="29" t="n">
        <v>82.5</v>
      </c>
      <c r="G8" s="30">
        <f>Maxes!G2</f>
        <v/>
      </c>
      <c r="H8" s="31">
        <f>IF(OR(G8="",F8=""),"",MROUND(G8*F8/100,'Start Here'!$B$6))</f>
        <v/>
      </c>
      <c r="I8" s="32" t="n"/>
      <c r="J8" s="32" t="n"/>
      <c r="K8" s="29">
        <f>IF(OR(I8="",J8=""),"",IF(J8=1,I8,ROUND(I8*(1+J8/30),1)))</f>
        <v/>
      </c>
      <c r="L8" s="33">
        <f>IF(K8="","",IF(K8&gt;=PRs!C2,"PR!",""))</f>
        <v/>
      </c>
      <c r="M8" s="32" t="n"/>
      <c r="N8" s="34" t="inlineStr"/>
    </row>
    <row r="9">
      <c r="A9" s="26" t="inlineStr">
        <is>
          <t>Day 1 - Heavy</t>
        </is>
      </c>
      <c r="B9" s="27">
        <f>'Start Here'!$B$7+210</f>
        <v/>
      </c>
      <c r="C9" s="31" t="inlineStr">
        <is>
          <t>Bench Press</t>
        </is>
      </c>
      <c r="D9" s="29" t="n">
        <v>4</v>
      </c>
      <c r="E9" s="29" t="inlineStr">
        <is>
          <t>4</t>
        </is>
      </c>
      <c r="F9" s="29" t="n">
        <v>82.5</v>
      </c>
      <c r="G9" s="30">
        <f>Maxes!G3</f>
        <v/>
      </c>
      <c r="H9" s="31">
        <f>IF(OR(G9="",F9=""),"",MROUND(G9*F9/100,'Start Here'!$B$6))</f>
        <v/>
      </c>
      <c r="I9" s="32" t="n"/>
      <c r="J9" s="32" t="n"/>
      <c r="K9" s="29">
        <f>IF(OR(I9="",J9=""),"",IF(J9=1,I9,ROUND(I9*(1+J9/30),1)))</f>
        <v/>
      </c>
      <c r="L9" s="33">
        <f>IF(K9="","",IF(K9&gt;=PRs!C3,"PR!",""))</f>
        <v/>
      </c>
      <c r="M9" s="32" t="n"/>
      <c r="N9" s="34" t="inlineStr"/>
    </row>
    <row r="10">
      <c r="A10" s="26" t="inlineStr">
        <is>
          <t>Day 1 - Heavy</t>
        </is>
      </c>
      <c r="B10" s="27">
        <f>'Start Here'!$B$7+210</f>
        <v/>
      </c>
      <c r="C10" s="29" t="inlineStr">
        <is>
          <t>Barbell Row</t>
        </is>
      </c>
      <c r="D10" s="29" t="n">
        <v>3</v>
      </c>
      <c r="E10" s="29" t="inlineStr">
        <is>
          <t>8-10</t>
        </is>
      </c>
      <c r="F10" s="29" t="n"/>
      <c r="G10" s="30" t="n"/>
      <c r="H10" s="31" t="n"/>
      <c r="I10" s="32" t="n"/>
      <c r="J10" s="32" t="n"/>
      <c r="K10" s="29">
        <f>IF(OR(I10="",J10=""),"",IF(J10=1,I10,ROUND(I10*(1+J10/30),1)))</f>
        <v/>
      </c>
      <c r="L10" s="33">
        <f>IF(K10="","",IF(K10&gt;=PRs!C50,"PR!",""))</f>
        <v/>
      </c>
      <c r="M10" s="32" t="n"/>
      <c r="N10" s="34" t="inlineStr">
        <is>
          <t>Leave 1-2 reps in the tank; add weight when you hit the top of the range</t>
        </is>
      </c>
    </row>
    <row r="11">
      <c r="A11" s="26" t="inlineStr">
        <is>
          <t>Day 1 - Heavy</t>
        </is>
      </c>
      <c r="B11" s="27">
        <f>'Start Here'!$B$7+210</f>
        <v/>
      </c>
      <c r="C11" s="29" t="inlineStr">
        <is>
          <t>Face Pull</t>
        </is>
      </c>
      <c r="D11" s="29" t="n">
        <v>3</v>
      </c>
      <c r="E11" s="29" t="inlineStr">
        <is>
          <t>12-15</t>
        </is>
      </c>
      <c r="F11" s="29" t="n"/>
      <c r="G11" s="30" t="n"/>
      <c r="H11" s="31" t="n"/>
      <c r="I11" s="32" t="n"/>
      <c r="J11" s="32" t="n"/>
      <c r="K11" s="29">
        <f>IF(OR(I11="",J11=""),"",IF(J11=1,I11,ROUND(I11*(1+J11/30),1)))</f>
        <v/>
      </c>
      <c r="L11" s="33">
        <f>IF(K11="","",IF(K11&gt;=PRs!C51,"PR!",""))</f>
        <v/>
      </c>
      <c r="M11" s="32" t="n"/>
      <c r="N11" s="34" t="inlineStr">
        <is>
          <t>Leave 1-2 reps in the tank; add weight when you hit the top of the range</t>
        </is>
      </c>
    </row>
    <row r="12">
      <c r="A12" s="26" t="inlineStr">
        <is>
          <t>Day 2 - Light</t>
        </is>
      </c>
      <c r="B12" s="27">
        <f>'Start Here'!$B$7+212</f>
        <v/>
      </c>
      <c r="C12" s="28" t="inlineStr">
        <is>
          <t>Broad Jump</t>
        </is>
      </c>
      <c r="D12" s="29" t="n">
        <v>4</v>
      </c>
      <c r="E12" s="29" t="inlineStr">
        <is>
          <t>3</t>
        </is>
      </c>
      <c r="F12" s="29" t="n"/>
      <c r="G12" s="30" t="n"/>
      <c r="H12" s="31" t="n"/>
      <c r="I12" s="32" t="n"/>
      <c r="J12" s="32" t="n"/>
      <c r="K12" s="29" t="n"/>
      <c r="L12" s="33">
        <f>IF(I12="","",IF(I12&gt;=PRs!D70,"PR!",""))</f>
        <v/>
      </c>
      <c r="M12" s="32" t="n"/>
      <c r="N12" s="34" t="inlineStr">
        <is>
          <t>Two-foot jump for distance, stick the landing. Full reset between reps. Log your best distance</t>
        </is>
      </c>
    </row>
    <row r="13">
      <c r="A13" s="26" t="inlineStr">
        <is>
          <t>Day 2 - Light</t>
        </is>
      </c>
      <c r="B13" s="27">
        <f>'Start Here'!$B$7+212</f>
        <v/>
      </c>
      <c r="C13" s="31" t="inlineStr">
        <is>
          <t>Clean &amp; Jerk</t>
        </is>
      </c>
      <c r="D13" s="29" t="n">
        <v>5</v>
      </c>
      <c r="E13" s="29" t="inlineStr">
        <is>
          <t>2</t>
        </is>
      </c>
      <c r="F13" s="29" t="n">
        <v>82.5</v>
      </c>
      <c r="G13" s="30">
        <f>Maxes!G7</f>
        <v/>
      </c>
      <c r="H13" s="31">
        <f>IF(OR(G13="",F13=""),"",MROUND(G13*F13/100,'Start Here'!$B$6))</f>
        <v/>
      </c>
      <c r="I13" s="32" t="n"/>
      <c r="J13" s="32" t="n"/>
      <c r="K13" s="29">
        <f>IF(OR(I13="",J13=""),"",IF(J13=1,I13,ROUND(I13*(1+J13/30),1)))</f>
        <v/>
      </c>
      <c r="L13" s="33">
        <f>IF(K13="","",IF(K13&gt;=PRs!C7,"PR!",""))</f>
        <v/>
      </c>
      <c r="M13" s="32" t="n"/>
      <c r="N13" s="34" t="inlineStr"/>
    </row>
    <row r="14">
      <c r="A14" s="26" t="inlineStr">
        <is>
          <t>Day 2 - Light</t>
        </is>
      </c>
      <c r="B14" s="27">
        <f>'Start Here'!$B$7+212</f>
        <v/>
      </c>
      <c r="C14" s="31" t="inlineStr">
        <is>
          <t>Squat</t>
        </is>
      </c>
      <c r="D14" s="29" t="n">
        <v>3</v>
      </c>
      <c r="E14" s="29" t="inlineStr">
        <is>
          <t>6</t>
        </is>
      </c>
      <c r="F14" s="29" t="n">
        <v>70</v>
      </c>
      <c r="G14" s="30">
        <f>Maxes!G2</f>
        <v/>
      </c>
      <c r="H14" s="31">
        <f>IF(OR(G14="",F14=""),"",MROUND(G14*F14/100,'Start Here'!$B$6))</f>
        <v/>
      </c>
      <c r="I14" s="32" t="n"/>
      <c r="J14" s="32" t="n"/>
      <c r="K14" s="29">
        <f>IF(OR(I14="",J14=""),"",IF(J14=1,I14,ROUND(I14*(1+J14/30),1)))</f>
        <v/>
      </c>
      <c r="L14" s="33">
        <f>IF(K14="","",IF(K14&gt;=PRs!C2,"PR!",""))</f>
        <v/>
      </c>
      <c r="M14" s="32" t="n"/>
      <c r="N14" s="34" t="inlineStr"/>
    </row>
    <row r="15">
      <c r="A15" s="26" t="inlineStr">
        <is>
          <t>Day 2 - Light</t>
        </is>
      </c>
      <c r="B15" s="27">
        <f>'Start Here'!$B$7+212</f>
        <v/>
      </c>
      <c r="C15" s="31" t="inlineStr">
        <is>
          <t>Overhead Press</t>
        </is>
      </c>
      <c r="D15" s="29" t="n">
        <v>3</v>
      </c>
      <c r="E15" s="29" t="inlineStr">
        <is>
          <t>6</t>
        </is>
      </c>
      <c r="F15" s="29" t="n">
        <v>77.5</v>
      </c>
      <c r="G15" s="30">
        <f>Maxes!G5</f>
        <v/>
      </c>
      <c r="H15" s="31">
        <f>IF(OR(G15="",F15=""),"",MROUND(G15*F15/100,'Start Here'!$B$6))</f>
        <v/>
      </c>
      <c r="I15" s="32" t="n"/>
      <c r="J15" s="32" t="n"/>
      <c r="K15" s="29">
        <f>IF(OR(I15="",J15=""),"",IF(J15=1,I15,ROUND(I15*(1+J15/30),1)))</f>
        <v/>
      </c>
      <c r="L15" s="33">
        <f>IF(K15="","",IF(K15&gt;=PRs!C5,"PR!",""))</f>
        <v/>
      </c>
      <c r="M15" s="32" t="n"/>
      <c r="N15" s="34" t="inlineStr"/>
    </row>
    <row r="16">
      <c r="A16" s="26" t="inlineStr">
        <is>
          <t>Day 2 - Light</t>
        </is>
      </c>
      <c r="B16" s="27">
        <f>'Start Here'!$B$7+212</f>
        <v/>
      </c>
      <c r="C16" s="31" t="inlineStr">
        <is>
          <t>Deadlift</t>
        </is>
      </c>
      <c r="D16" s="29" t="n">
        <v>3</v>
      </c>
      <c r="E16" s="29" t="inlineStr">
        <is>
          <t>6</t>
        </is>
      </c>
      <c r="F16" s="29" t="n">
        <v>77.5</v>
      </c>
      <c r="G16" s="30">
        <f>Maxes!G4</f>
        <v/>
      </c>
      <c r="H16" s="31">
        <f>IF(OR(G16="",F16=""),"",MROUND(G16*F16/100,'Start Here'!$B$6))</f>
        <v/>
      </c>
      <c r="I16" s="32" t="n"/>
      <c r="J16" s="32" t="n"/>
      <c r="K16" s="29">
        <f>IF(OR(I16="",J16=""),"",IF(J16=1,I16,ROUND(I16*(1+J16/30),1)))</f>
        <v/>
      </c>
      <c r="L16" s="33">
        <f>IF(K16="","",IF(K16&gt;=PRs!C4,"PR!",""))</f>
        <v/>
      </c>
      <c r="M16" s="32" t="n"/>
      <c r="N16" s="34" t="inlineStr"/>
    </row>
    <row r="17">
      <c r="A17" s="26" t="inlineStr">
        <is>
          <t>Day 2 - Light</t>
        </is>
      </c>
      <c r="B17" s="27">
        <f>'Start Here'!$B$7+212</f>
        <v/>
      </c>
      <c r="C17" s="29" t="inlineStr">
        <is>
          <t>Chin-up</t>
        </is>
      </c>
      <c r="D17" s="29" t="n">
        <v>3</v>
      </c>
      <c r="E17" s="29" t="inlineStr">
        <is>
          <t>6-10</t>
        </is>
      </c>
      <c r="F17" s="29" t="n"/>
      <c r="G17" s="30" t="n"/>
      <c r="H17" s="31" t="n"/>
      <c r="I17" s="32" t="n"/>
      <c r="J17" s="32" t="n"/>
      <c r="K17" s="29">
        <f>IF(OR(I17="",J17=""),"",IF(J17=1,I17,ROUND(I17*(1+J17/30),1)))</f>
        <v/>
      </c>
      <c r="L17" s="33">
        <f>IF(K17="","",IF(K17&gt;=PRs!C53,"PR!",""))</f>
        <v/>
      </c>
      <c r="M17" s="32" t="n"/>
      <c r="N17" s="34" t="inlineStr">
        <is>
          <t>Leave 1-2 reps in the tank; add weight when you hit the top of the range</t>
        </is>
      </c>
    </row>
    <row r="18">
      <c r="A18" s="26" t="inlineStr">
        <is>
          <t>Day 2 - Light</t>
        </is>
      </c>
      <c r="B18" s="27">
        <f>'Start Here'!$B$7+212</f>
        <v/>
      </c>
      <c r="C18" s="29" t="inlineStr">
        <is>
          <t>Plank</t>
        </is>
      </c>
      <c r="D18" s="29" t="n">
        <v>3</v>
      </c>
      <c r="E18" s="29" t="inlineStr">
        <is>
          <t>30-60s</t>
        </is>
      </c>
      <c r="F18" s="29" t="n"/>
      <c r="G18" s="30" t="n"/>
      <c r="H18" s="31" t="n"/>
      <c r="I18" s="32" t="n"/>
      <c r="J18" s="32" t="n"/>
      <c r="K18" s="29">
        <f>IF(OR(I18="",J18=""),"",IF(J18=1,I18,ROUND(I18*(1+J18/30),1)))</f>
        <v/>
      </c>
      <c r="L18" s="33">
        <f>IF(K18="","",IF(K18&gt;=PRs!C56,"PR!",""))</f>
        <v/>
      </c>
      <c r="M18" s="32" t="n"/>
      <c r="N18" s="34" t="inlineStr">
        <is>
          <t>Leave 1-2 reps in the tank; add weight when you hit the top of the range</t>
        </is>
      </c>
    </row>
    <row r="19">
      <c r="A19" s="26" t="inlineStr">
        <is>
          <t>Day 3 - Variations</t>
        </is>
      </c>
      <c r="B19" s="27">
        <f>'Start Here'!$B$7+214</f>
        <v/>
      </c>
      <c r="C19" s="28" t="inlineStr">
        <is>
          <t>Box Jump</t>
        </is>
      </c>
      <c r="D19" s="29" t="n">
        <v>4</v>
      </c>
      <c r="E19" s="29" t="inlineStr">
        <is>
          <t>3</t>
        </is>
      </c>
      <c r="F19" s="29" t="n"/>
      <c r="G19" s="30" t="n"/>
      <c r="H19" s="31">
        <f>IFERROR(IF(PRs!D69&lt;'Start Here'!$H$15,'Start Here'!$H$15,IF(PRs!D69&lt;'Start Here'!$H$16,'Start Here'!$H$16,IF(PRs!D69&lt;'Start Here'!$H$17,'Start Here'!$H$17,IF(PRs!D69&lt;'Start Here'!$H$18,'Start Here'!$H$18,"Elite!")))),"")</f>
        <v/>
      </c>
      <c r="I19" s="32" t="n"/>
      <c r="J19" s="32" t="n"/>
      <c r="K19" s="29" t="n"/>
      <c r="L19" s="33">
        <f>IF(I19="","",IF(I19&gt;=PRs!D69,"PR!",""))</f>
        <v/>
      </c>
      <c r="M19" s="32" t="n"/>
      <c r="N19" s="34" t="inlineStr">
        <is>
          <t>Explode up, land softly, STEP down. Full reset between reps. Log your box height; check the standards</t>
        </is>
      </c>
    </row>
    <row r="20">
      <c r="A20" s="26" t="inlineStr">
        <is>
          <t>Day 3 - Variations</t>
        </is>
      </c>
      <c r="B20" s="27">
        <f>'Start Here'!$B$7+214</f>
        <v/>
      </c>
      <c r="C20" s="31" t="inlineStr">
        <is>
          <t>Split Jerk</t>
        </is>
      </c>
      <c r="D20" s="29" t="n">
        <v>4</v>
      </c>
      <c r="E20" s="29" t="inlineStr">
        <is>
          <t>3</t>
        </is>
      </c>
      <c r="F20" s="29" t="n">
        <v>77.5</v>
      </c>
      <c r="G20" s="30">
        <f>Maxes!G46</f>
        <v/>
      </c>
      <c r="H20" s="31">
        <f>IF(OR(G20="",F20=""),"",MROUND(G20*F20/100,'Start Here'!$B$6))</f>
        <v/>
      </c>
      <c r="I20" s="32" t="n"/>
      <c r="J20" s="32" t="n"/>
      <c r="K20" s="29">
        <f>IF(OR(I20="",J20=""),"",IF(J20=1,I20,ROUND(I20*(1+J20/30),1)))</f>
        <v/>
      </c>
      <c r="L20" s="33">
        <f>IF(K20="","",IF(K20&gt;=PRs!C46,"PR!",""))</f>
        <v/>
      </c>
      <c r="M20" s="32" t="n"/>
      <c r="N20" s="34" t="inlineStr"/>
    </row>
    <row r="21">
      <c r="A21" s="26" t="inlineStr">
        <is>
          <t>Day 3 - Variations</t>
        </is>
      </c>
      <c r="B21" s="27">
        <f>'Start Here'!$B$7+214</f>
        <v/>
      </c>
      <c r="C21" s="31" t="inlineStr">
        <is>
          <t>Front Squat</t>
        </is>
      </c>
      <c r="D21" s="29" t="n">
        <v>3</v>
      </c>
      <c r="E21" s="29" t="inlineStr">
        <is>
          <t>6</t>
        </is>
      </c>
      <c r="F21" s="29" t="n">
        <v>77.5</v>
      </c>
      <c r="G21" s="30">
        <f>Maxes!G10</f>
        <v/>
      </c>
      <c r="H21" s="31">
        <f>IF(OR(G21="",F21=""),"",MROUND(G21*F21/100,'Start Here'!$B$6))</f>
        <v/>
      </c>
      <c r="I21" s="32" t="n"/>
      <c r="J21" s="32" t="n"/>
      <c r="K21" s="29">
        <f>IF(OR(I21="",J21=""),"",IF(J21=1,I21,ROUND(I21*(1+J21/30),1)))</f>
        <v/>
      </c>
      <c r="L21" s="33">
        <f>IF(K21="","",IF(K21&gt;=PRs!C10,"PR!",""))</f>
        <v/>
      </c>
      <c r="M21" s="32" t="n"/>
      <c r="N21" s="34" t="inlineStr"/>
    </row>
    <row r="22">
      <c r="A22" s="26" t="inlineStr">
        <is>
          <t>Day 3 - Variations</t>
        </is>
      </c>
      <c r="B22" s="27">
        <f>'Start Here'!$B$7+214</f>
        <v/>
      </c>
      <c r="C22" s="31" t="inlineStr">
        <is>
          <t>Close-Grip Bench Press</t>
        </is>
      </c>
      <c r="D22" s="29" t="n">
        <v>3</v>
      </c>
      <c r="E22" s="29" t="inlineStr">
        <is>
          <t>6</t>
        </is>
      </c>
      <c r="F22" s="29" t="n">
        <v>77.5</v>
      </c>
      <c r="G22" s="30">
        <f>Maxes!G14</f>
        <v/>
      </c>
      <c r="H22" s="31">
        <f>IF(OR(G22="",F22=""),"",MROUND(G22*F22/100,'Start Here'!$B$6))</f>
        <v/>
      </c>
      <c r="I22" s="32" t="n"/>
      <c r="J22" s="32" t="n"/>
      <c r="K22" s="29">
        <f>IF(OR(I22="",J22=""),"",IF(J22=1,I22,ROUND(I22*(1+J22/30),1)))</f>
        <v/>
      </c>
      <c r="L22" s="33">
        <f>IF(K22="","",IF(K22&gt;=PRs!C14,"PR!",""))</f>
        <v/>
      </c>
      <c r="M22" s="32" t="n"/>
      <c r="N22" s="34" t="inlineStr"/>
    </row>
    <row r="23">
      <c r="A23" s="26" t="inlineStr">
        <is>
          <t>Day 3 - Variations</t>
        </is>
      </c>
      <c r="B23" s="27">
        <f>'Start Here'!$B$7+214</f>
        <v/>
      </c>
      <c r="C23" s="31" t="inlineStr">
        <is>
          <t>Block Pull</t>
        </is>
      </c>
      <c r="D23" s="29" t="n">
        <v>3</v>
      </c>
      <c r="E23" s="29" t="inlineStr">
        <is>
          <t>6</t>
        </is>
      </c>
      <c r="F23" s="29" t="n">
        <v>70</v>
      </c>
      <c r="G23" s="30">
        <f>Maxes!G26</f>
        <v/>
      </c>
      <c r="H23" s="31">
        <f>IF(OR(G23="",F23=""),"",MROUND(G23*F23/100,'Start Here'!$B$6))</f>
        <v/>
      </c>
      <c r="I23" s="32" t="n"/>
      <c r="J23" s="32" t="n"/>
      <c r="K23" s="29">
        <f>IF(OR(I23="",J23=""),"",IF(J23=1,I23,ROUND(I23*(1+J23/30),1)))</f>
        <v/>
      </c>
      <c r="L23" s="33">
        <f>IF(K23="","",IF(K23&gt;=PRs!C26,"PR!",""))</f>
        <v/>
      </c>
      <c r="M23" s="32" t="n"/>
      <c r="N23" s="34" t="inlineStr"/>
    </row>
    <row r="24">
      <c r="A24" s="26" t="inlineStr">
        <is>
          <t>Day 3 - Variations</t>
        </is>
      </c>
      <c r="B24" s="27">
        <f>'Start Here'!$B$7+214</f>
        <v/>
      </c>
      <c r="C24" s="29" t="inlineStr">
        <is>
          <t>Incline Dumbbell Press</t>
        </is>
      </c>
      <c r="D24" s="29" t="n">
        <v>3</v>
      </c>
      <c r="E24" s="29" t="inlineStr">
        <is>
          <t>8-12</t>
        </is>
      </c>
      <c r="F24" s="29" t="n"/>
      <c r="G24" s="30" t="n"/>
      <c r="H24" s="31" t="n"/>
      <c r="I24" s="32" t="n"/>
      <c r="J24" s="32" t="n"/>
      <c r="K24" s="29">
        <f>IF(OR(I24="",J24=""),"",IF(J24=1,I24,ROUND(I24*(1+J24/30),1)))</f>
        <v/>
      </c>
      <c r="L24" s="33">
        <f>IF(K24="","",IF(K24&gt;=PRs!C57,"PR!",""))</f>
        <v/>
      </c>
      <c r="M24" s="32" t="n"/>
      <c r="N24" s="34" t="inlineStr">
        <is>
          <t>Leave 1-2 reps in the tank; add weight when you hit the top of the range</t>
        </is>
      </c>
    </row>
    <row r="25">
      <c r="A25" s="26" t="inlineStr">
        <is>
          <t>Day 3 - Variations</t>
        </is>
      </c>
      <c r="B25" s="27">
        <f>'Start Here'!$B$7+214</f>
        <v/>
      </c>
      <c r="C25" s="29" t="inlineStr">
        <is>
          <t>Triceps Pushdown</t>
        </is>
      </c>
      <c r="D25" s="29" t="n">
        <v>3</v>
      </c>
      <c r="E25" s="29" t="inlineStr">
        <is>
          <t>10-15</t>
        </is>
      </c>
      <c r="F25" s="29" t="n"/>
      <c r="G25" s="30" t="n"/>
      <c r="H25" s="31" t="n"/>
      <c r="I25" s="32" t="n"/>
      <c r="J25" s="32" t="n"/>
      <c r="K25" s="29">
        <f>IF(OR(I25="",J25=""),"",IF(J25=1,I25,ROUND(I25*(1+J25/30),1)))</f>
        <v/>
      </c>
      <c r="L25" s="33">
        <f>IF(K25="","",IF(K25&gt;=PRs!C59,"PR!",""))</f>
        <v/>
      </c>
      <c r="M25" s="32" t="n"/>
      <c r="N25" s="34" t="inlineStr">
        <is>
          <t>Leave 1-2 reps in the tank; add weight when you hit the top of the range</t>
        </is>
      </c>
    </row>
  </sheetData>
  <hyperlinks>
    <hyperlink xmlns:r="http://schemas.openxmlformats.org/officeDocument/2006/relationships" ref="A2" r:id="rId1"/>
    <hyperlink xmlns:r="http://schemas.openxmlformats.org/officeDocument/2006/relationships" ref="C2" r:id="rId2"/>
    <hyperlink xmlns:r="http://schemas.openxmlformats.org/officeDocument/2006/relationships" ref="E2" r:id="rId3"/>
    <hyperlink xmlns:r="http://schemas.openxmlformats.org/officeDocument/2006/relationships" ref="A4" r:id="rId4"/>
  </hyperlinks>
  <pageMargins left="0.75" right="0.75" top="1" bottom="1" header="0.5" footer="0.5"/>
  <pageSetup orientation="landscape" fitToHeight="0" fitToWidth="1"/>
</worksheet>
</file>

<file path=xl/worksheets/sheet34.xml><?xml version="1.0" encoding="utf-8"?>
<worksheet xmlns="http://schemas.openxmlformats.org/spreadsheetml/2006/main">
  <sheetPr>
    <tabColor rgb="00E6E6E6"/>
    <outlinePr summaryBelow="1" summaryRight="1"/>
    <pageSetUpPr fitToPage="1"/>
  </sheetPr>
  <dimension ref="A1:N25"/>
  <sheetViews>
    <sheetView workbookViewId="0">
      <pane xSplit="3" ySplit="5" topLeftCell="D6" activePane="bottomRight" state="frozen"/>
      <selection pane="topRight"/>
      <selection pane="bottomLeft"/>
      <selection pane="bottomRight" activeCell="A1" sqref="A1"/>
    </sheetView>
  </sheetViews>
  <sheetFormatPr baseColWidth="8" defaultRowHeight="15"/>
  <cols>
    <col width="17" customWidth="1" min="1" max="1"/>
    <col width="11" customWidth="1" min="2" max="2"/>
    <col width="24" customWidth="1" min="3" max="3"/>
    <col width="5" customWidth="1" min="4" max="4"/>
    <col width="6" customWidth="1" min="5" max="5"/>
    <col width="6" customWidth="1" min="6" max="6"/>
    <col width="9" customWidth="1" min="7" max="7"/>
    <col width="10" customWidth="1" min="8" max="8"/>
    <col width="13" customWidth="1" min="9" max="9"/>
    <col width="8" customWidth="1" min="10" max="10"/>
    <col width="9" customWidth="1" min="11" max="11"/>
    <col width="5" customWidth="1" min="12" max="12"/>
    <col width="22" customWidth="1" min="13" max="13"/>
    <col width="62" customWidth="1" min="14" max="14"/>
  </cols>
  <sheetData>
    <row r="1">
      <c r="A1" s="24" t="inlineStr">
        <is>
          <t>Week 32 - Cycle 3 - Deload</t>
        </is>
      </c>
    </row>
    <row r="2">
      <c r="A2" s="25" t="inlineStr">
        <is>
          <t>&lt; Week 31</t>
        </is>
      </c>
      <c r="C2" s="25" t="inlineStr">
        <is>
          <t>Start Here</t>
        </is>
      </c>
      <c r="E2" s="25" t="inlineStr">
        <is>
          <t>Week 33 &gt;</t>
        </is>
      </c>
    </row>
    <row r="3">
      <c r="A3" s="10" t="inlineStr">
        <is>
          <t>Bodyweight this week</t>
        </is>
      </c>
      <c r="C3" s="4" t="n"/>
      <c r="D3" t="inlineStr">
        <is>
          <t>Weigh in once this week: same morning routine, before eating.</t>
        </is>
      </c>
    </row>
    <row r="5">
      <c r="A5" s="5" t="inlineStr">
        <is>
          <t>Day</t>
        </is>
      </c>
      <c r="B5" s="5" t="inlineStr">
        <is>
          <t>Date</t>
        </is>
      </c>
      <c r="C5" s="5" t="inlineStr">
        <is>
          <t>Exercise</t>
        </is>
      </c>
      <c r="D5" s="5" t="inlineStr">
        <is>
          <t>Sets</t>
        </is>
      </c>
      <c r="E5" s="5" t="inlineStr">
        <is>
          <t>Reps</t>
        </is>
      </c>
      <c r="F5" s="5" t="inlineStr">
        <is>
          <t>% TM</t>
        </is>
      </c>
      <c r="G5" s="5" t="inlineStr">
        <is>
          <t>Training max</t>
        </is>
      </c>
      <c r="H5" s="5" t="inlineStr">
        <is>
          <t>Weight / target</t>
        </is>
      </c>
      <c r="I5" s="5" t="inlineStr">
        <is>
          <t>Actual (weight, height or distance)</t>
        </is>
      </c>
      <c r="J5" s="5" t="inlineStr">
        <is>
          <t>Actual reps</t>
        </is>
      </c>
      <c r="K5" s="5" t="inlineStr">
        <is>
          <t>Est. 1RM</t>
        </is>
      </c>
      <c r="L5" s="5" t="inlineStr">
        <is>
          <t>PR</t>
        </is>
      </c>
      <c r="M5" s="5" t="inlineStr">
        <is>
          <t>Notes</t>
        </is>
      </c>
      <c r="N5" s="5" t="inlineStr">
        <is>
          <t>Guidance</t>
        </is>
      </c>
    </row>
    <row r="6">
      <c r="A6" s="26" t="inlineStr">
        <is>
          <t>Day 1 - Heavy</t>
        </is>
      </c>
      <c r="B6" s="27">
        <f>'Start Here'!$B$7+217</f>
        <v/>
      </c>
      <c r="C6" s="28" t="inlineStr">
        <is>
          <t>Box Jump</t>
        </is>
      </c>
      <c r="D6" s="29" t="n">
        <v>2</v>
      </c>
      <c r="E6" s="29" t="inlineStr">
        <is>
          <t>3</t>
        </is>
      </c>
      <c r="F6" s="29" t="n"/>
      <c r="G6" s="30" t="n"/>
      <c r="H6" s="31">
        <f>IFERROR(IF(PRs!D69&lt;'Start Here'!$H$15,'Start Here'!$H$15,IF(PRs!D69&lt;'Start Here'!$H$16,'Start Here'!$H$16,IF(PRs!D69&lt;'Start Here'!$H$17,'Start Here'!$H$17,IF(PRs!D69&lt;'Start Here'!$H$18,'Start Here'!$H$18,"Elite!")))),"")</f>
        <v/>
      </c>
      <c r="I6" s="32" t="n"/>
      <c r="J6" s="32" t="n"/>
      <c r="K6" s="29" t="n"/>
      <c r="L6" s="33">
        <f>IF(I6="","",IF(I6&gt;=PRs!D69,"PR!",""))</f>
        <v/>
      </c>
      <c r="M6" s="32" t="n"/>
      <c r="N6" s="34" t="inlineStr">
        <is>
          <t>Explode up, land softly, STEP down. Full reset between reps. Log your box height; check the standards</t>
        </is>
      </c>
    </row>
    <row r="7">
      <c r="A7" s="26" t="inlineStr">
        <is>
          <t>Day 1 - Heavy</t>
        </is>
      </c>
      <c r="B7" s="27">
        <f>'Start Here'!$B$7+217</f>
        <v/>
      </c>
      <c r="C7" s="31" t="inlineStr">
        <is>
          <t>Snatch</t>
        </is>
      </c>
      <c r="D7" s="29" t="n">
        <v>2</v>
      </c>
      <c r="E7" s="29" t="inlineStr">
        <is>
          <t>2</t>
        </is>
      </c>
      <c r="F7" s="29" t="n">
        <v>65</v>
      </c>
      <c r="G7" s="30">
        <f>Maxes!G6</f>
        <v/>
      </c>
      <c r="H7" s="31">
        <f>IF(OR(G7="",F7=""),"",MROUND(G7*F7/100,'Start Here'!$B$6))</f>
        <v/>
      </c>
      <c r="I7" s="32" t="n"/>
      <c r="J7" s="32" t="n"/>
      <c r="K7" s="29">
        <f>IF(OR(I7="",J7=""),"",IF(J7=1,I7,ROUND(I7*(1+J7/30),1)))</f>
        <v/>
      </c>
      <c r="L7" s="33">
        <f>IF(K7="","",IF(K7&gt;=PRs!C6,"PR!",""))</f>
        <v/>
      </c>
      <c r="M7" s="32" t="n"/>
      <c r="N7" s="34" t="inlineStr">
        <is>
          <t>Easy week - move fast, recover</t>
        </is>
      </c>
    </row>
    <row r="8">
      <c r="A8" s="26" t="inlineStr">
        <is>
          <t>Day 1 - Heavy</t>
        </is>
      </c>
      <c r="B8" s="27">
        <f>'Start Here'!$B$7+217</f>
        <v/>
      </c>
      <c r="C8" s="31" t="inlineStr">
        <is>
          <t>Squat</t>
        </is>
      </c>
      <c r="D8" s="29" t="n">
        <v>2</v>
      </c>
      <c r="E8" s="29" t="inlineStr">
        <is>
          <t>5</t>
        </is>
      </c>
      <c r="F8" s="29" t="n">
        <v>65</v>
      </c>
      <c r="G8" s="30">
        <f>Maxes!G2</f>
        <v/>
      </c>
      <c r="H8" s="31">
        <f>IF(OR(G8="",F8=""),"",MROUND(G8*F8/100,'Start Here'!$B$6))</f>
        <v/>
      </c>
      <c r="I8" s="32" t="n"/>
      <c r="J8" s="32" t="n"/>
      <c r="K8" s="29">
        <f>IF(OR(I8="",J8=""),"",IF(J8=1,I8,ROUND(I8*(1+J8/30),1)))</f>
        <v/>
      </c>
      <c r="L8" s="33">
        <f>IF(K8="","",IF(K8&gt;=PRs!C2,"PR!",""))</f>
        <v/>
      </c>
      <c r="M8" s="32" t="n"/>
      <c r="N8" s="34" t="inlineStr">
        <is>
          <t>Easy week - move fast, recover</t>
        </is>
      </c>
    </row>
    <row r="9">
      <c r="A9" s="26" t="inlineStr">
        <is>
          <t>Day 1 - Heavy</t>
        </is>
      </c>
      <c r="B9" s="27">
        <f>'Start Here'!$B$7+217</f>
        <v/>
      </c>
      <c r="C9" s="31" t="inlineStr">
        <is>
          <t>Bench Press</t>
        </is>
      </c>
      <c r="D9" s="29" t="n">
        <v>2</v>
      </c>
      <c r="E9" s="29" t="inlineStr">
        <is>
          <t>5</t>
        </is>
      </c>
      <c r="F9" s="29" t="n">
        <v>65</v>
      </c>
      <c r="G9" s="30">
        <f>Maxes!G3</f>
        <v/>
      </c>
      <c r="H9" s="31">
        <f>IF(OR(G9="",F9=""),"",MROUND(G9*F9/100,'Start Here'!$B$6))</f>
        <v/>
      </c>
      <c r="I9" s="32" t="n"/>
      <c r="J9" s="32" t="n"/>
      <c r="K9" s="29">
        <f>IF(OR(I9="",J9=""),"",IF(J9=1,I9,ROUND(I9*(1+J9/30),1)))</f>
        <v/>
      </c>
      <c r="L9" s="33">
        <f>IF(K9="","",IF(K9&gt;=PRs!C3,"PR!",""))</f>
        <v/>
      </c>
      <c r="M9" s="32" t="n"/>
      <c r="N9" s="34" t="inlineStr">
        <is>
          <t>Easy week - move fast, recover</t>
        </is>
      </c>
    </row>
    <row r="10">
      <c r="A10" s="26" t="inlineStr">
        <is>
          <t>Day 1 - Heavy</t>
        </is>
      </c>
      <c r="B10" s="27">
        <f>'Start Here'!$B$7+217</f>
        <v/>
      </c>
      <c r="C10" s="29" t="inlineStr">
        <is>
          <t>Barbell Row</t>
        </is>
      </c>
      <c r="D10" s="29" t="n">
        <v>2</v>
      </c>
      <c r="E10" s="29" t="inlineStr">
        <is>
          <t>8-10</t>
        </is>
      </c>
      <c r="F10" s="29" t="n"/>
      <c r="G10" s="30" t="n"/>
      <c r="H10" s="31" t="n"/>
      <c r="I10" s="32" t="n"/>
      <c r="J10" s="32" t="n"/>
      <c r="K10" s="29">
        <f>IF(OR(I10="",J10=""),"",IF(J10=1,I10,ROUND(I10*(1+J10/30),1)))</f>
        <v/>
      </c>
      <c r="L10" s="33">
        <f>IF(K10="","",IF(K10&gt;=PRs!C50,"PR!",""))</f>
        <v/>
      </c>
      <c r="M10" s="32" t="n"/>
      <c r="N10" s="34" t="inlineStr">
        <is>
          <t>Easy - stop well short of failure</t>
        </is>
      </c>
    </row>
    <row r="11">
      <c r="A11" s="26" t="inlineStr">
        <is>
          <t>Day 1 - Heavy</t>
        </is>
      </c>
      <c r="B11" s="27">
        <f>'Start Here'!$B$7+217</f>
        <v/>
      </c>
      <c r="C11" s="29" t="inlineStr">
        <is>
          <t>Face Pull</t>
        </is>
      </c>
      <c r="D11" s="29" t="n">
        <v>2</v>
      </c>
      <c r="E11" s="29" t="inlineStr">
        <is>
          <t>12-15</t>
        </is>
      </c>
      <c r="F11" s="29" t="n"/>
      <c r="G11" s="30" t="n"/>
      <c r="H11" s="31" t="n"/>
      <c r="I11" s="32" t="n"/>
      <c r="J11" s="32" t="n"/>
      <c r="K11" s="29">
        <f>IF(OR(I11="",J11=""),"",IF(J11=1,I11,ROUND(I11*(1+J11/30),1)))</f>
        <v/>
      </c>
      <c r="L11" s="33">
        <f>IF(K11="","",IF(K11&gt;=PRs!C51,"PR!",""))</f>
        <v/>
      </c>
      <c r="M11" s="32" t="n"/>
      <c r="N11" s="34" t="inlineStr">
        <is>
          <t>Easy - stop well short of failure</t>
        </is>
      </c>
    </row>
    <row r="12">
      <c r="A12" s="26" t="inlineStr">
        <is>
          <t>Day 2 - Light</t>
        </is>
      </c>
      <c r="B12" s="27">
        <f>'Start Here'!$B$7+219</f>
        <v/>
      </c>
      <c r="C12" s="28" t="inlineStr">
        <is>
          <t>Broad Jump</t>
        </is>
      </c>
      <c r="D12" s="29" t="n">
        <v>2</v>
      </c>
      <c r="E12" s="29" t="inlineStr">
        <is>
          <t>3</t>
        </is>
      </c>
      <c r="F12" s="29" t="n"/>
      <c r="G12" s="30" t="n"/>
      <c r="H12" s="31" t="n"/>
      <c r="I12" s="32" t="n"/>
      <c r="J12" s="32" t="n"/>
      <c r="K12" s="29" t="n"/>
      <c r="L12" s="33">
        <f>IF(I12="","",IF(I12&gt;=PRs!D70,"PR!",""))</f>
        <v/>
      </c>
      <c r="M12" s="32" t="n"/>
      <c r="N12" s="34" t="inlineStr">
        <is>
          <t>Two-foot jump for distance, stick the landing. Full reset between reps. Log your best distance</t>
        </is>
      </c>
    </row>
    <row r="13">
      <c r="A13" s="26" t="inlineStr">
        <is>
          <t>Day 2 - Light</t>
        </is>
      </c>
      <c r="B13" s="27">
        <f>'Start Here'!$B$7+219</f>
        <v/>
      </c>
      <c r="C13" s="31" t="inlineStr">
        <is>
          <t>Clean &amp; Jerk</t>
        </is>
      </c>
      <c r="D13" s="29" t="n">
        <v>2</v>
      </c>
      <c r="E13" s="29" t="inlineStr">
        <is>
          <t>2</t>
        </is>
      </c>
      <c r="F13" s="29" t="n">
        <v>65</v>
      </c>
      <c r="G13" s="30">
        <f>Maxes!G7</f>
        <v/>
      </c>
      <c r="H13" s="31">
        <f>IF(OR(G13="",F13=""),"",MROUND(G13*F13/100,'Start Here'!$B$6))</f>
        <v/>
      </c>
      <c r="I13" s="32" t="n"/>
      <c r="J13" s="32" t="n"/>
      <c r="K13" s="29">
        <f>IF(OR(I13="",J13=""),"",IF(J13=1,I13,ROUND(I13*(1+J13/30),1)))</f>
        <v/>
      </c>
      <c r="L13" s="33">
        <f>IF(K13="","",IF(K13&gt;=PRs!C7,"PR!",""))</f>
        <v/>
      </c>
      <c r="M13" s="32" t="n"/>
      <c r="N13" s="34" t="inlineStr">
        <is>
          <t>Easy week - move fast, recover</t>
        </is>
      </c>
    </row>
    <row r="14">
      <c r="A14" s="26" t="inlineStr">
        <is>
          <t>Day 2 - Light</t>
        </is>
      </c>
      <c r="B14" s="27">
        <f>'Start Here'!$B$7+219</f>
        <v/>
      </c>
      <c r="C14" s="31" t="inlineStr">
        <is>
          <t>Squat</t>
        </is>
      </c>
      <c r="D14" s="29" t="n">
        <v>2</v>
      </c>
      <c r="E14" s="29" t="inlineStr">
        <is>
          <t>5</t>
        </is>
      </c>
      <c r="F14" s="29" t="n">
        <v>65</v>
      </c>
      <c r="G14" s="30">
        <f>Maxes!G2</f>
        <v/>
      </c>
      <c r="H14" s="31">
        <f>IF(OR(G14="",F14=""),"",MROUND(G14*F14/100,'Start Here'!$B$6))</f>
        <v/>
      </c>
      <c r="I14" s="32" t="n"/>
      <c r="J14" s="32" t="n"/>
      <c r="K14" s="29">
        <f>IF(OR(I14="",J14=""),"",IF(J14=1,I14,ROUND(I14*(1+J14/30),1)))</f>
        <v/>
      </c>
      <c r="L14" s="33">
        <f>IF(K14="","",IF(K14&gt;=PRs!C2,"PR!",""))</f>
        <v/>
      </c>
      <c r="M14" s="32" t="n"/>
      <c r="N14" s="34" t="inlineStr">
        <is>
          <t>Easy week - move fast, recover</t>
        </is>
      </c>
    </row>
    <row r="15">
      <c r="A15" s="26" t="inlineStr">
        <is>
          <t>Day 2 - Light</t>
        </is>
      </c>
      <c r="B15" s="27">
        <f>'Start Here'!$B$7+219</f>
        <v/>
      </c>
      <c r="C15" s="31" t="inlineStr">
        <is>
          <t>Overhead Press</t>
        </is>
      </c>
      <c r="D15" s="29" t="n">
        <v>2</v>
      </c>
      <c r="E15" s="29" t="inlineStr">
        <is>
          <t>5</t>
        </is>
      </c>
      <c r="F15" s="29" t="n">
        <v>65</v>
      </c>
      <c r="G15" s="30">
        <f>Maxes!G5</f>
        <v/>
      </c>
      <c r="H15" s="31">
        <f>IF(OR(G15="",F15=""),"",MROUND(G15*F15/100,'Start Here'!$B$6))</f>
        <v/>
      </c>
      <c r="I15" s="32" t="n"/>
      <c r="J15" s="32" t="n"/>
      <c r="K15" s="29">
        <f>IF(OR(I15="",J15=""),"",IF(J15=1,I15,ROUND(I15*(1+J15/30),1)))</f>
        <v/>
      </c>
      <c r="L15" s="33">
        <f>IF(K15="","",IF(K15&gt;=PRs!C5,"PR!",""))</f>
        <v/>
      </c>
      <c r="M15" s="32" t="n"/>
      <c r="N15" s="34" t="inlineStr">
        <is>
          <t>Easy week - move fast, recover</t>
        </is>
      </c>
    </row>
    <row r="16">
      <c r="A16" s="26" t="inlineStr">
        <is>
          <t>Day 2 - Light</t>
        </is>
      </c>
      <c r="B16" s="27">
        <f>'Start Here'!$B$7+219</f>
        <v/>
      </c>
      <c r="C16" s="31" t="inlineStr">
        <is>
          <t>Deadlift</t>
        </is>
      </c>
      <c r="D16" s="29" t="n">
        <v>2</v>
      </c>
      <c r="E16" s="29" t="inlineStr">
        <is>
          <t>5</t>
        </is>
      </c>
      <c r="F16" s="29" t="n">
        <v>65</v>
      </c>
      <c r="G16" s="30">
        <f>Maxes!G4</f>
        <v/>
      </c>
      <c r="H16" s="31">
        <f>IF(OR(G16="",F16=""),"",MROUND(G16*F16/100,'Start Here'!$B$6))</f>
        <v/>
      </c>
      <c r="I16" s="32" t="n"/>
      <c r="J16" s="32" t="n"/>
      <c r="K16" s="29">
        <f>IF(OR(I16="",J16=""),"",IF(J16=1,I16,ROUND(I16*(1+J16/30),1)))</f>
        <v/>
      </c>
      <c r="L16" s="33">
        <f>IF(K16="","",IF(K16&gt;=PRs!C4,"PR!",""))</f>
        <v/>
      </c>
      <c r="M16" s="32" t="n"/>
      <c r="N16" s="34" t="inlineStr">
        <is>
          <t>Easy week - move fast, recover</t>
        </is>
      </c>
    </row>
    <row r="17">
      <c r="A17" s="26" t="inlineStr">
        <is>
          <t>Day 2 - Light</t>
        </is>
      </c>
      <c r="B17" s="27">
        <f>'Start Here'!$B$7+219</f>
        <v/>
      </c>
      <c r="C17" s="29" t="inlineStr">
        <is>
          <t>Chin-up</t>
        </is>
      </c>
      <c r="D17" s="29" t="n">
        <v>2</v>
      </c>
      <c r="E17" s="29" t="inlineStr">
        <is>
          <t>6-10</t>
        </is>
      </c>
      <c r="F17" s="29" t="n"/>
      <c r="G17" s="30" t="n"/>
      <c r="H17" s="31" t="n"/>
      <c r="I17" s="32" t="n"/>
      <c r="J17" s="32" t="n"/>
      <c r="K17" s="29">
        <f>IF(OR(I17="",J17=""),"",IF(J17=1,I17,ROUND(I17*(1+J17/30),1)))</f>
        <v/>
      </c>
      <c r="L17" s="33">
        <f>IF(K17="","",IF(K17&gt;=PRs!C53,"PR!",""))</f>
        <v/>
      </c>
      <c r="M17" s="32" t="n"/>
      <c r="N17" s="34" t="inlineStr">
        <is>
          <t>Easy - stop well short of failure</t>
        </is>
      </c>
    </row>
    <row r="18">
      <c r="A18" s="26" t="inlineStr">
        <is>
          <t>Day 2 - Light</t>
        </is>
      </c>
      <c r="B18" s="27">
        <f>'Start Here'!$B$7+219</f>
        <v/>
      </c>
      <c r="C18" s="29" t="inlineStr">
        <is>
          <t>Plank</t>
        </is>
      </c>
      <c r="D18" s="29" t="n">
        <v>2</v>
      </c>
      <c r="E18" s="29" t="inlineStr">
        <is>
          <t>30-60s</t>
        </is>
      </c>
      <c r="F18" s="29" t="n"/>
      <c r="G18" s="30" t="n"/>
      <c r="H18" s="31" t="n"/>
      <c r="I18" s="32" t="n"/>
      <c r="J18" s="32" t="n"/>
      <c r="K18" s="29">
        <f>IF(OR(I18="",J18=""),"",IF(J18=1,I18,ROUND(I18*(1+J18/30),1)))</f>
        <v/>
      </c>
      <c r="L18" s="33">
        <f>IF(K18="","",IF(K18&gt;=PRs!C56,"PR!",""))</f>
        <v/>
      </c>
      <c r="M18" s="32" t="n"/>
      <c r="N18" s="34" t="inlineStr">
        <is>
          <t>Easy - stop well short of failure</t>
        </is>
      </c>
    </row>
    <row r="19">
      <c r="A19" s="26" t="inlineStr">
        <is>
          <t>Day 3 - Variations</t>
        </is>
      </c>
      <c r="B19" s="27">
        <f>'Start Here'!$B$7+221</f>
        <v/>
      </c>
      <c r="C19" s="28" t="inlineStr">
        <is>
          <t>Box Jump</t>
        </is>
      </c>
      <c r="D19" s="29" t="n">
        <v>2</v>
      </c>
      <c r="E19" s="29" t="inlineStr">
        <is>
          <t>3</t>
        </is>
      </c>
      <c r="F19" s="29" t="n"/>
      <c r="G19" s="30" t="n"/>
      <c r="H19" s="31">
        <f>IFERROR(IF(PRs!D69&lt;'Start Here'!$H$15,'Start Here'!$H$15,IF(PRs!D69&lt;'Start Here'!$H$16,'Start Here'!$H$16,IF(PRs!D69&lt;'Start Here'!$H$17,'Start Here'!$H$17,IF(PRs!D69&lt;'Start Here'!$H$18,'Start Here'!$H$18,"Elite!")))),"")</f>
        <v/>
      </c>
      <c r="I19" s="32" t="n"/>
      <c r="J19" s="32" t="n"/>
      <c r="K19" s="29" t="n"/>
      <c r="L19" s="33">
        <f>IF(I19="","",IF(I19&gt;=PRs!D69,"PR!",""))</f>
        <v/>
      </c>
      <c r="M19" s="32" t="n"/>
      <c r="N19" s="34" t="inlineStr">
        <is>
          <t>Explode up, land softly, STEP down. Full reset between reps. Log your box height; check the standards</t>
        </is>
      </c>
    </row>
    <row r="20">
      <c r="A20" s="26" t="inlineStr">
        <is>
          <t>Day 3 - Variations</t>
        </is>
      </c>
      <c r="B20" s="27">
        <f>'Start Here'!$B$7+221</f>
        <v/>
      </c>
      <c r="C20" s="31" t="inlineStr">
        <is>
          <t>Split Jerk</t>
        </is>
      </c>
      <c r="D20" s="29" t="n">
        <v>2</v>
      </c>
      <c r="E20" s="29" t="inlineStr">
        <is>
          <t>2</t>
        </is>
      </c>
      <c r="F20" s="29" t="n">
        <v>65</v>
      </c>
      <c r="G20" s="30">
        <f>Maxes!G46</f>
        <v/>
      </c>
      <c r="H20" s="31">
        <f>IF(OR(G20="",F20=""),"",MROUND(G20*F20/100,'Start Here'!$B$6))</f>
        <v/>
      </c>
      <c r="I20" s="32" t="n"/>
      <c r="J20" s="32" t="n"/>
      <c r="K20" s="29">
        <f>IF(OR(I20="",J20=""),"",IF(J20=1,I20,ROUND(I20*(1+J20/30),1)))</f>
        <v/>
      </c>
      <c r="L20" s="33">
        <f>IF(K20="","",IF(K20&gt;=PRs!C46,"PR!",""))</f>
        <v/>
      </c>
      <c r="M20" s="32" t="n"/>
      <c r="N20" s="34" t="inlineStr">
        <is>
          <t>Easy week - move fast, recover</t>
        </is>
      </c>
    </row>
    <row r="21">
      <c r="A21" s="26" t="inlineStr">
        <is>
          <t>Day 3 - Variations</t>
        </is>
      </c>
      <c r="B21" s="27">
        <f>'Start Here'!$B$7+221</f>
        <v/>
      </c>
      <c r="C21" s="31" t="inlineStr">
        <is>
          <t>Front Squat</t>
        </is>
      </c>
      <c r="D21" s="29" t="n">
        <v>2</v>
      </c>
      <c r="E21" s="29" t="inlineStr">
        <is>
          <t>5</t>
        </is>
      </c>
      <c r="F21" s="29" t="n">
        <v>65</v>
      </c>
      <c r="G21" s="30">
        <f>Maxes!G10</f>
        <v/>
      </c>
      <c r="H21" s="31">
        <f>IF(OR(G21="",F21=""),"",MROUND(G21*F21/100,'Start Here'!$B$6))</f>
        <v/>
      </c>
      <c r="I21" s="32" t="n"/>
      <c r="J21" s="32" t="n"/>
      <c r="K21" s="29">
        <f>IF(OR(I21="",J21=""),"",IF(J21=1,I21,ROUND(I21*(1+J21/30),1)))</f>
        <v/>
      </c>
      <c r="L21" s="33">
        <f>IF(K21="","",IF(K21&gt;=PRs!C10,"PR!",""))</f>
        <v/>
      </c>
      <c r="M21" s="32" t="n"/>
      <c r="N21" s="34" t="inlineStr">
        <is>
          <t>Easy week - move fast, recover</t>
        </is>
      </c>
    </row>
    <row r="22">
      <c r="A22" s="26" t="inlineStr">
        <is>
          <t>Day 3 - Variations</t>
        </is>
      </c>
      <c r="B22" s="27">
        <f>'Start Here'!$B$7+221</f>
        <v/>
      </c>
      <c r="C22" s="31" t="inlineStr">
        <is>
          <t>Close-Grip Bench Press</t>
        </is>
      </c>
      <c r="D22" s="29" t="n">
        <v>2</v>
      </c>
      <c r="E22" s="29" t="inlineStr">
        <is>
          <t>5</t>
        </is>
      </c>
      <c r="F22" s="29" t="n">
        <v>65</v>
      </c>
      <c r="G22" s="30">
        <f>Maxes!G14</f>
        <v/>
      </c>
      <c r="H22" s="31">
        <f>IF(OR(G22="",F22=""),"",MROUND(G22*F22/100,'Start Here'!$B$6))</f>
        <v/>
      </c>
      <c r="I22" s="32" t="n"/>
      <c r="J22" s="32" t="n"/>
      <c r="K22" s="29">
        <f>IF(OR(I22="",J22=""),"",IF(J22=1,I22,ROUND(I22*(1+J22/30),1)))</f>
        <v/>
      </c>
      <c r="L22" s="33">
        <f>IF(K22="","",IF(K22&gt;=PRs!C14,"PR!",""))</f>
        <v/>
      </c>
      <c r="M22" s="32" t="n"/>
      <c r="N22" s="34" t="inlineStr">
        <is>
          <t>Easy week - move fast, recover</t>
        </is>
      </c>
    </row>
    <row r="23">
      <c r="A23" s="26" t="inlineStr">
        <is>
          <t>Day 3 - Variations</t>
        </is>
      </c>
      <c r="B23" s="27">
        <f>'Start Here'!$B$7+221</f>
        <v/>
      </c>
      <c r="C23" s="31" t="inlineStr">
        <is>
          <t>Block Pull</t>
        </is>
      </c>
      <c r="D23" s="29" t="n">
        <v>2</v>
      </c>
      <c r="E23" s="29" t="inlineStr">
        <is>
          <t>5</t>
        </is>
      </c>
      <c r="F23" s="29" t="n">
        <v>65</v>
      </c>
      <c r="G23" s="30">
        <f>Maxes!G26</f>
        <v/>
      </c>
      <c r="H23" s="31">
        <f>IF(OR(G23="",F23=""),"",MROUND(G23*F23/100,'Start Here'!$B$6))</f>
        <v/>
      </c>
      <c r="I23" s="32" t="n"/>
      <c r="J23" s="32" t="n"/>
      <c r="K23" s="29">
        <f>IF(OR(I23="",J23=""),"",IF(J23=1,I23,ROUND(I23*(1+J23/30),1)))</f>
        <v/>
      </c>
      <c r="L23" s="33">
        <f>IF(K23="","",IF(K23&gt;=PRs!C26,"PR!",""))</f>
        <v/>
      </c>
      <c r="M23" s="32" t="n"/>
      <c r="N23" s="34" t="inlineStr">
        <is>
          <t>Easy week - move fast, recover</t>
        </is>
      </c>
    </row>
    <row r="24">
      <c r="A24" s="26" t="inlineStr">
        <is>
          <t>Day 3 - Variations</t>
        </is>
      </c>
      <c r="B24" s="27">
        <f>'Start Here'!$B$7+221</f>
        <v/>
      </c>
      <c r="C24" s="29" t="inlineStr">
        <is>
          <t>Incline Dumbbell Press</t>
        </is>
      </c>
      <c r="D24" s="29" t="n">
        <v>2</v>
      </c>
      <c r="E24" s="29" t="inlineStr">
        <is>
          <t>8-12</t>
        </is>
      </c>
      <c r="F24" s="29" t="n"/>
      <c r="G24" s="30" t="n"/>
      <c r="H24" s="31" t="n"/>
      <c r="I24" s="32" t="n"/>
      <c r="J24" s="32" t="n"/>
      <c r="K24" s="29">
        <f>IF(OR(I24="",J24=""),"",IF(J24=1,I24,ROUND(I24*(1+J24/30),1)))</f>
        <v/>
      </c>
      <c r="L24" s="33">
        <f>IF(K24="","",IF(K24&gt;=PRs!C57,"PR!",""))</f>
        <v/>
      </c>
      <c r="M24" s="32" t="n"/>
      <c r="N24" s="34" t="inlineStr">
        <is>
          <t>Easy - stop well short of failure</t>
        </is>
      </c>
    </row>
    <row r="25">
      <c r="A25" s="26" t="inlineStr">
        <is>
          <t>Day 3 - Variations</t>
        </is>
      </c>
      <c r="B25" s="27">
        <f>'Start Here'!$B$7+221</f>
        <v/>
      </c>
      <c r="C25" s="29" t="inlineStr">
        <is>
          <t>Triceps Pushdown</t>
        </is>
      </c>
      <c r="D25" s="29" t="n">
        <v>2</v>
      </c>
      <c r="E25" s="29" t="inlineStr">
        <is>
          <t>10-15</t>
        </is>
      </c>
      <c r="F25" s="29" t="n"/>
      <c r="G25" s="30" t="n"/>
      <c r="H25" s="31" t="n"/>
      <c r="I25" s="32" t="n"/>
      <c r="J25" s="32" t="n"/>
      <c r="K25" s="29">
        <f>IF(OR(I25="",J25=""),"",IF(J25=1,I25,ROUND(I25*(1+J25/30),1)))</f>
        <v/>
      </c>
      <c r="L25" s="33">
        <f>IF(K25="","",IF(K25&gt;=PRs!C59,"PR!",""))</f>
        <v/>
      </c>
      <c r="M25" s="32" t="n"/>
      <c r="N25" s="34" t="inlineStr">
        <is>
          <t>Easy - stop well short of failure</t>
        </is>
      </c>
    </row>
  </sheetData>
  <hyperlinks>
    <hyperlink xmlns:r="http://schemas.openxmlformats.org/officeDocument/2006/relationships" ref="A2" r:id="rId1"/>
    <hyperlink xmlns:r="http://schemas.openxmlformats.org/officeDocument/2006/relationships" ref="C2" r:id="rId2"/>
    <hyperlink xmlns:r="http://schemas.openxmlformats.org/officeDocument/2006/relationships" ref="E2" r:id="rId3"/>
  </hyperlinks>
  <pageMargins left="0.75" right="0.75" top="1" bottom="1" header="0.5" footer="0.5"/>
  <pageSetup orientation="landscape" fitToHeight="0" fitToWidth="1"/>
</worksheet>
</file>

<file path=xl/worksheets/sheet35.xml><?xml version="1.0" encoding="utf-8"?>
<worksheet xmlns="http://schemas.openxmlformats.org/spreadsheetml/2006/main">
  <sheetPr>
    <tabColor rgb="00F8D7D7"/>
    <outlinePr summaryBelow="1" summaryRight="1"/>
    <pageSetUpPr fitToPage="1"/>
  </sheetPr>
  <dimension ref="A1:N25"/>
  <sheetViews>
    <sheetView workbookViewId="0">
      <pane xSplit="3" ySplit="5" topLeftCell="D6" activePane="bottomRight" state="frozen"/>
      <selection pane="topRight"/>
      <selection pane="bottomLeft"/>
      <selection pane="bottomRight" activeCell="A1" sqref="A1"/>
    </sheetView>
  </sheetViews>
  <sheetFormatPr baseColWidth="8" defaultRowHeight="15"/>
  <cols>
    <col width="17" customWidth="1" min="1" max="1"/>
    <col width="11" customWidth="1" min="2" max="2"/>
    <col width="24" customWidth="1" min="3" max="3"/>
    <col width="5" customWidth="1" min="4" max="4"/>
    <col width="6" customWidth="1" min="5" max="5"/>
    <col width="6" customWidth="1" min="6" max="6"/>
    <col width="9" customWidth="1" min="7" max="7"/>
    <col width="10" customWidth="1" min="8" max="8"/>
    <col width="13" customWidth="1" min="9" max="9"/>
    <col width="8" customWidth="1" min="10" max="10"/>
    <col width="9" customWidth="1" min="11" max="11"/>
    <col width="5" customWidth="1" min="12" max="12"/>
    <col width="22" customWidth="1" min="13" max="13"/>
    <col width="62" customWidth="1" min="14" max="14"/>
  </cols>
  <sheetData>
    <row r="1">
      <c r="A1" s="24" t="inlineStr">
        <is>
          <t>Week 33 - Cycle 3 - Realization</t>
        </is>
      </c>
    </row>
    <row r="2">
      <c r="A2" s="25" t="inlineStr">
        <is>
          <t>&lt; Week 32</t>
        </is>
      </c>
      <c r="C2" s="25" t="inlineStr">
        <is>
          <t>Start Here</t>
        </is>
      </c>
      <c r="E2" s="25" t="inlineStr">
        <is>
          <t>Week 34 &gt;</t>
        </is>
      </c>
    </row>
    <row r="3">
      <c r="A3" s="10" t="inlineStr">
        <is>
          <t>Bodyweight this week</t>
        </is>
      </c>
      <c r="C3" s="4" t="n"/>
      <c r="D3" t="inlineStr">
        <is>
          <t>Weigh in once this week: same morning routine, before eating.</t>
        </is>
      </c>
    </row>
    <row r="5">
      <c r="A5" s="5" t="inlineStr">
        <is>
          <t>Day</t>
        </is>
      </c>
      <c r="B5" s="5" t="inlineStr">
        <is>
          <t>Date</t>
        </is>
      </c>
      <c r="C5" s="5" t="inlineStr">
        <is>
          <t>Exercise</t>
        </is>
      </c>
      <c r="D5" s="5" t="inlineStr">
        <is>
          <t>Sets</t>
        </is>
      </c>
      <c r="E5" s="5" t="inlineStr">
        <is>
          <t>Reps</t>
        </is>
      </c>
      <c r="F5" s="5" t="inlineStr">
        <is>
          <t>% TM</t>
        </is>
      </c>
      <c r="G5" s="5" t="inlineStr">
        <is>
          <t>Training max</t>
        </is>
      </c>
      <c r="H5" s="5" t="inlineStr">
        <is>
          <t>Weight / target</t>
        </is>
      </c>
      <c r="I5" s="5" t="inlineStr">
        <is>
          <t>Actual (weight, height or distance)</t>
        </is>
      </c>
      <c r="J5" s="5" t="inlineStr">
        <is>
          <t>Actual reps</t>
        </is>
      </c>
      <c r="K5" s="5" t="inlineStr">
        <is>
          <t>Est. 1RM</t>
        </is>
      </c>
      <c r="L5" s="5" t="inlineStr">
        <is>
          <t>PR</t>
        </is>
      </c>
      <c r="M5" s="5" t="inlineStr">
        <is>
          <t>Notes</t>
        </is>
      </c>
      <c r="N5" s="5" t="inlineStr">
        <is>
          <t>Guidance</t>
        </is>
      </c>
    </row>
    <row r="6">
      <c r="A6" s="26" t="inlineStr">
        <is>
          <t>Day 1 - Heavy</t>
        </is>
      </c>
      <c r="B6" s="27">
        <f>'Start Here'!$B$7+224</f>
        <v/>
      </c>
      <c r="C6" s="28" t="inlineStr">
        <is>
          <t>Box Jump</t>
        </is>
      </c>
      <c r="D6" s="29" t="n">
        <v>3</v>
      </c>
      <c r="E6" s="29" t="inlineStr">
        <is>
          <t>2</t>
        </is>
      </c>
      <c r="F6" s="29" t="n"/>
      <c r="G6" s="30" t="n"/>
      <c r="H6" s="31">
        <f>IFERROR(IF(PRs!D69&lt;'Start Here'!$H$15,'Start Here'!$H$15,IF(PRs!D69&lt;'Start Here'!$H$16,'Start Here'!$H$16,IF(PRs!D69&lt;'Start Here'!$H$17,'Start Here'!$H$17,IF(PRs!D69&lt;'Start Here'!$H$18,'Start Here'!$H$18,"Elite!")))),"")</f>
        <v/>
      </c>
      <c r="I6" s="32" t="n"/>
      <c r="J6" s="32" t="n"/>
      <c r="K6" s="29" t="n"/>
      <c r="L6" s="33">
        <f>IF(I6="","",IF(I6&gt;=PRs!D69,"PR!",""))</f>
        <v/>
      </c>
      <c r="M6" s="32" t="n"/>
      <c r="N6" s="34" t="inlineStr">
        <is>
          <t>Explode up, land softly, STEP down. Full reset between reps. Log your box height; check the standards</t>
        </is>
      </c>
    </row>
    <row r="7">
      <c r="A7" s="26" t="inlineStr">
        <is>
          <t>Day 1 - Heavy</t>
        </is>
      </c>
      <c r="B7" s="27">
        <f>'Start Here'!$B$7+224</f>
        <v/>
      </c>
      <c r="C7" s="31" t="inlineStr">
        <is>
          <t>Snatch</t>
        </is>
      </c>
      <c r="D7" s="29" t="n">
        <v>5</v>
      </c>
      <c r="E7" s="29" t="inlineStr">
        <is>
          <t>2</t>
        </is>
      </c>
      <c r="F7" s="29" t="n">
        <v>85</v>
      </c>
      <c r="G7" s="30">
        <f>Maxes!G6</f>
        <v/>
      </c>
      <c r="H7" s="31">
        <f>IF(OR(G7="",F7=""),"",MROUND(G7*F7/100,'Start Here'!$B$6))</f>
        <v/>
      </c>
      <c r="I7" s="32" t="n"/>
      <c r="J7" s="32" t="n"/>
      <c r="K7" s="29">
        <f>IF(OR(I7="",J7=""),"",IF(J7=1,I7,ROUND(I7*(1+J7/30),1)))</f>
        <v/>
      </c>
      <c r="L7" s="33">
        <f>IF(K7="","",IF(K7&gt;=PRs!C6,"PR!",""))</f>
        <v/>
      </c>
      <c r="M7" s="32" t="n"/>
      <c r="N7" s="34" t="inlineStr"/>
    </row>
    <row r="8">
      <c r="A8" s="26" t="inlineStr">
        <is>
          <t>Day 1 - Heavy</t>
        </is>
      </c>
      <c r="B8" s="27">
        <f>'Start Here'!$B$7+224</f>
        <v/>
      </c>
      <c r="C8" s="31" t="inlineStr">
        <is>
          <t>Squat</t>
        </is>
      </c>
      <c r="D8" s="29" t="n">
        <v>5</v>
      </c>
      <c r="E8" s="29" t="inlineStr">
        <is>
          <t>3</t>
        </is>
      </c>
      <c r="F8" s="29" t="n">
        <v>85</v>
      </c>
      <c r="G8" s="30">
        <f>Maxes!G2</f>
        <v/>
      </c>
      <c r="H8" s="31">
        <f>IF(OR(G8="",F8=""),"",MROUND(G8*F8/100,'Start Here'!$B$6))</f>
        <v/>
      </c>
      <c r="I8" s="32" t="n"/>
      <c r="J8" s="32" t="n"/>
      <c r="K8" s="29">
        <f>IF(OR(I8="",J8=""),"",IF(J8=1,I8,ROUND(I8*(1+J8/30),1)))</f>
        <v/>
      </c>
      <c r="L8" s="33">
        <f>IF(K8="","",IF(K8&gt;=PRs!C2,"PR!",""))</f>
        <v/>
      </c>
      <c r="M8" s="32" t="n"/>
      <c r="N8" s="34" t="inlineStr"/>
    </row>
    <row r="9">
      <c r="A9" s="26" t="inlineStr">
        <is>
          <t>Day 1 - Heavy</t>
        </is>
      </c>
      <c r="B9" s="27">
        <f>'Start Here'!$B$7+224</f>
        <v/>
      </c>
      <c r="C9" s="31" t="inlineStr">
        <is>
          <t>Bench Press</t>
        </is>
      </c>
      <c r="D9" s="29" t="n">
        <v>5</v>
      </c>
      <c r="E9" s="29" t="inlineStr">
        <is>
          <t>3</t>
        </is>
      </c>
      <c r="F9" s="29" t="n">
        <v>85</v>
      </c>
      <c r="G9" s="30">
        <f>Maxes!G3</f>
        <v/>
      </c>
      <c r="H9" s="31">
        <f>IF(OR(G9="",F9=""),"",MROUND(G9*F9/100,'Start Here'!$B$6))</f>
        <v/>
      </c>
      <c r="I9" s="32" t="n"/>
      <c r="J9" s="32" t="n"/>
      <c r="K9" s="29">
        <f>IF(OR(I9="",J9=""),"",IF(J9=1,I9,ROUND(I9*(1+J9/30),1)))</f>
        <v/>
      </c>
      <c r="L9" s="33">
        <f>IF(K9="","",IF(K9&gt;=PRs!C3,"PR!",""))</f>
        <v/>
      </c>
      <c r="M9" s="32" t="n"/>
      <c r="N9" s="34" t="inlineStr"/>
    </row>
    <row r="10">
      <c r="A10" s="26" t="inlineStr">
        <is>
          <t>Day 1 - Heavy</t>
        </is>
      </c>
      <c r="B10" s="27">
        <f>'Start Here'!$B$7+224</f>
        <v/>
      </c>
      <c r="C10" s="29" t="inlineStr">
        <is>
          <t>Barbell Row</t>
        </is>
      </c>
      <c r="D10" s="29" t="n">
        <v>3</v>
      </c>
      <c r="E10" s="29" t="inlineStr">
        <is>
          <t>8-10</t>
        </is>
      </c>
      <c r="F10" s="29" t="n"/>
      <c r="G10" s="30" t="n"/>
      <c r="H10" s="31" t="n"/>
      <c r="I10" s="32" t="n"/>
      <c r="J10" s="32" t="n"/>
      <c r="K10" s="29">
        <f>IF(OR(I10="",J10=""),"",IF(J10=1,I10,ROUND(I10*(1+J10/30),1)))</f>
        <v/>
      </c>
      <c r="L10" s="33">
        <f>IF(K10="","",IF(K10&gt;=PRs!C50,"PR!",""))</f>
        <v/>
      </c>
      <c r="M10" s="32" t="n"/>
      <c r="N10" s="34" t="inlineStr">
        <is>
          <t>Leave 1-2 reps in the tank; add weight when you hit the top of the range</t>
        </is>
      </c>
    </row>
    <row r="11">
      <c r="A11" s="26" t="inlineStr">
        <is>
          <t>Day 1 - Heavy</t>
        </is>
      </c>
      <c r="B11" s="27">
        <f>'Start Here'!$B$7+224</f>
        <v/>
      </c>
      <c r="C11" s="29" t="inlineStr">
        <is>
          <t>Face Pull</t>
        </is>
      </c>
      <c r="D11" s="29" t="n">
        <v>3</v>
      </c>
      <c r="E11" s="29" t="inlineStr">
        <is>
          <t>12-15</t>
        </is>
      </c>
      <c r="F11" s="29" t="n"/>
      <c r="G11" s="30" t="n"/>
      <c r="H11" s="31" t="n"/>
      <c r="I11" s="32" t="n"/>
      <c r="J11" s="32" t="n"/>
      <c r="K11" s="29">
        <f>IF(OR(I11="",J11=""),"",IF(J11=1,I11,ROUND(I11*(1+J11/30),1)))</f>
        <v/>
      </c>
      <c r="L11" s="33">
        <f>IF(K11="","",IF(K11&gt;=PRs!C51,"PR!",""))</f>
        <v/>
      </c>
      <c r="M11" s="32" t="n"/>
      <c r="N11" s="34" t="inlineStr">
        <is>
          <t>Leave 1-2 reps in the tank; add weight when you hit the top of the range</t>
        </is>
      </c>
    </row>
    <row r="12">
      <c r="A12" s="26" t="inlineStr">
        <is>
          <t>Day 2 - Light</t>
        </is>
      </c>
      <c r="B12" s="27">
        <f>'Start Here'!$B$7+226</f>
        <v/>
      </c>
      <c r="C12" s="28" t="inlineStr">
        <is>
          <t>Broad Jump</t>
        </is>
      </c>
      <c r="D12" s="29" t="n">
        <v>3</v>
      </c>
      <c r="E12" s="29" t="inlineStr">
        <is>
          <t>2</t>
        </is>
      </c>
      <c r="F12" s="29" t="n"/>
      <c r="G12" s="30" t="n"/>
      <c r="H12" s="31" t="n"/>
      <c r="I12" s="32" t="n"/>
      <c r="J12" s="32" t="n"/>
      <c r="K12" s="29" t="n"/>
      <c r="L12" s="33">
        <f>IF(I12="","",IF(I12&gt;=PRs!D70,"PR!",""))</f>
        <v/>
      </c>
      <c r="M12" s="32" t="n"/>
      <c r="N12" s="34" t="inlineStr">
        <is>
          <t>Two-foot jump for distance, stick the landing. Full reset between reps. Log your best distance</t>
        </is>
      </c>
    </row>
    <row r="13">
      <c r="A13" s="26" t="inlineStr">
        <is>
          <t>Day 2 - Light</t>
        </is>
      </c>
      <c r="B13" s="27">
        <f>'Start Here'!$B$7+226</f>
        <v/>
      </c>
      <c r="C13" s="31" t="inlineStr">
        <is>
          <t>Clean &amp; Jerk</t>
        </is>
      </c>
      <c r="D13" s="29" t="n">
        <v>5</v>
      </c>
      <c r="E13" s="29" t="inlineStr">
        <is>
          <t>2</t>
        </is>
      </c>
      <c r="F13" s="29" t="n">
        <v>85</v>
      </c>
      <c r="G13" s="30">
        <f>Maxes!G7</f>
        <v/>
      </c>
      <c r="H13" s="31">
        <f>IF(OR(G13="",F13=""),"",MROUND(G13*F13/100,'Start Here'!$B$6))</f>
        <v/>
      </c>
      <c r="I13" s="32" t="n"/>
      <c r="J13" s="32" t="n"/>
      <c r="K13" s="29">
        <f>IF(OR(I13="",J13=""),"",IF(J13=1,I13,ROUND(I13*(1+J13/30),1)))</f>
        <v/>
      </c>
      <c r="L13" s="33">
        <f>IF(K13="","",IF(K13&gt;=PRs!C7,"PR!",""))</f>
        <v/>
      </c>
      <c r="M13" s="32" t="n"/>
      <c r="N13" s="34" t="inlineStr"/>
    </row>
    <row r="14">
      <c r="A14" s="26" t="inlineStr">
        <is>
          <t>Day 2 - Light</t>
        </is>
      </c>
      <c r="B14" s="27">
        <f>'Start Here'!$B$7+226</f>
        <v/>
      </c>
      <c r="C14" s="31" t="inlineStr">
        <is>
          <t>Squat</t>
        </is>
      </c>
      <c r="D14" s="29" t="n">
        <v>4</v>
      </c>
      <c r="E14" s="29" t="inlineStr">
        <is>
          <t>5</t>
        </is>
      </c>
      <c r="F14" s="29" t="n">
        <v>67.5</v>
      </c>
      <c r="G14" s="30">
        <f>Maxes!G2</f>
        <v/>
      </c>
      <c r="H14" s="31">
        <f>IF(OR(G14="",F14=""),"",MROUND(G14*F14/100,'Start Here'!$B$6))</f>
        <v/>
      </c>
      <c r="I14" s="32" t="n"/>
      <c r="J14" s="32" t="n"/>
      <c r="K14" s="29">
        <f>IF(OR(I14="",J14=""),"",IF(J14=1,I14,ROUND(I14*(1+J14/30),1)))</f>
        <v/>
      </c>
      <c r="L14" s="33">
        <f>IF(K14="","",IF(K14&gt;=PRs!C2,"PR!",""))</f>
        <v/>
      </c>
      <c r="M14" s="32" t="n"/>
      <c r="N14" s="34" t="inlineStr"/>
    </row>
    <row r="15">
      <c r="A15" s="26" t="inlineStr">
        <is>
          <t>Day 2 - Light</t>
        </is>
      </c>
      <c r="B15" s="27">
        <f>'Start Here'!$B$7+226</f>
        <v/>
      </c>
      <c r="C15" s="31" t="inlineStr">
        <is>
          <t>Overhead Press</t>
        </is>
      </c>
      <c r="D15" s="29" t="n">
        <v>4</v>
      </c>
      <c r="E15" s="29" t="inlineStr">
        <is>
          <t>5</t>
        </is>
      </c>
      <c r="F15" s="29" t="n">
        <v>77.5</v>
      </c>
      <c r="G15" s="30">
        <f>Maxes!G5</f>
        <v/>
      </c>
      <c r="H15" s="31">
        <f>IF(OR(G15="",F15=""),"",MROUND(G15*F15/100,'Start Here'!$B$6))</f>
        <v/>
      </c>
      <c r="I15" s="32" t="n"/>
      <c r="J15" s="32" t="n"/>
      <c r="K15" s="29">
        <f>IF(OR(I15="",J15=""),"",IF(J15=1,I15,ROUND(I15*(1+J15/30),1)))</f>
        <v/>
      </c>
      <c r="L15" s="33">
        <f>IF(K15="","",IF(K15&gt;=PRs!C5,"PR!",""))</f>
        <v/>
      </c>
      <c r="M15" s="32" t="n"/>
      <c r="N15" s="34" t="inlineStr"/>
    </row>
    <row r="16">
      <c r="A16" s="26" t="inlineStr">
        <is>
          <t>Day 2 - Light</t>
        </is>
      </c>
      <c r="B16" s="27">
        <f>'Start Here'!$B$7+226</f>
        <v/>
      </c>
      <c r="C16" s="31" t="inlineStr">
        <is>
          <t>Deadlift</t>
        </is>
      </c>
      <c r="D16" s="29" t="n">
        <v>3</v>
      </c>
      <c r="E16" s="29" t="inlineStr">
        <is>
          <t>5</t>
        </is>
      </c>
      <c r="F16" s="29" t="n">
        <v>77.5</v>
      </c>
      <c r="G16" s="30">
        <f>Maxes!G4</f>
        <v/>
      </c>
      <c r="H16" s="31">
        <f>IF(OR(G16="",F16=""),"",MROUND(G16*F16/100,'Start Here'!$B$6))</f>
        <v/>
      </c>
      <c r="I16" s="32" t="n"/>
      <c r="J16" s="32" t="n"/>
      <c r="K16" s="29">
        <f>IF(OR(I16="",J16=""),"",IF(J16=1,I16,ROUND(I16*(1+J16/30),1)))</f>
        <v/>
      </c>
      <c r="L16" s="33">
        <f>IF(K16="","",IF(K16&gt;=PRs!C4,"PR!",""))</f>
        <v/>
      </c>
      <c r="M16" s="32" t="n"/>
      <c r="N16" s="34" t="inlineStr"/>
    </row>
    <row r="17">
      <c r="A17" s="26" t="inlineStr">
        <is>
          <t>Day 2 - Light</t>
        </is>
      </c>
      <c r="B17" s="27">
        <f>'Start Here'!$B$7+226</f>
        <v/>
      </c>
      <c r="C17" s="29" t="inlineStr">
        <is>
          <t>Chin-up</t>
        </is>
      </c>
      <c r="D17" s="29" t="n">
        <v>3</v>
      </c>
      <c r="E17" s="29" t="inlineStr">
        <is>
          <t>6-10</t>
        </is>
      </c>
      <c r="F17" s="29" t="n"/>
      <c r="G17" s="30" t="n"/>
      <c r="H17" s="31" t="n"/>
      <c r="I17" s="32" t="n"/>
      <c r="J17" s="32" t="n"/>
      <c r="K17" s="29">
        <f>IF(OR(I17="",J17=""),"",IF(J17=1,I17,ROUND(I17*(1+J17/30),1)))</f>
        <v/>
      </c>
      <c r="L17" s="33">
        <f>IF(K17="","",IF(K17&gt;=PRs!C53,"PR!",""))</f>
        <v/>
      </c>
      <c r="M17" s="32" t="n"/>
      <c r="N17" s="34" t="inlineStr">
        <is>
          <t>Leave 1-2 reps in the tank; add weight when you hit the top of the range</t>
        </is>
      </c>
    </row>
    <row r="18">
      <c r="A18" s="26" t="inlineStr">
        <is>
          <t>Day 2 - Light</t>
        </is>
      </c>
      <c r="B18" s="27">
        <f>'Start Here'!$B$7+226</f>
        <v/>
      </c>
      <c r="C18" s="29" t="inlineStr">
        <is>
          <t>Plank</t>
        </is>
      </c>
      <c r="D18" s="29" t="n">
        <v>3</v>
      </c>
      <c r="E18" s="29" t="inlineStr">
        <is>
          <t>30-60s</t>
        </is>
      </c>
      <c r="F18" s="29" t="n"/>
      <c r="G18" s="30" t="n"/>
      <c r="H18" s="31" t="n"/>
      <c r="I18" s="32" t="n"/>
      <c r="J18" s="32" t="n"/>
      <c r="K18" s="29">
        <f>IF(OR(I18="",J18=""),"",IF(J18=1,I18,ROUND(I18*(1+J18/30),1)))</f>
        <v/>
      </c>
      <c r="L18" s="33">
        <f>IF(K18="","",IF(K18&gt;=PRs!C56,"PR!",""))</f>
        <v/>
      </c>
      <c r="M18" s="32" t="n"/>
      <c r="N18" s="34" t="inlineStr">
        <is>
          <t>Leave 1-2 reps in the tank; add weight when you hit the top of the range</t>
        </is>
      </c>
    </row>
    <row r="19">
      <c r="A19" s="26" t="inlineStr">
        <is>
          <t>Day 3 - Variations</t>
        </is>
      </c>
      <c r="B19" s="27">
        <f>'Start Here'!$B$7+228</f>
        <v/>
      </c>
      <c r="C19" s="28" t="inlineStr">
        <is>
          <t>Box Jump</t>
        </is>
      </c>
      <c r="D19" s="29" t="n">
        <v>3</v>
      </c>
      <c r="E19" s="29" t="inlineStr">
        <is>
          <t>2</t>
        </is>
      </c>
      <c r="F19" s="29" t="n"/>
      <c r="G19" s="30" t="n"/>
      <c r="H19" s="31">
        <f>IFERROR(IF(PRs!D69&lt;'Start Here'!$H$15,'Start Here'!$H$15,IF(PRs!D69&lt;'Start Here'!$H$16,'Start Here'!$H$16,IF(PRs!D69&lt;'Start Here'!$H$17,'Start Here'!$H$17,IF(PRs!D69&lt;'Start Here'!$H$18,'Start Here'!$H$18,"Elite!")))),"")</f>
        <v/>
      </c>
      <c r="I19" s="32" t="n"/>
      <c r="J19" s="32" t="n"/>
      <c r="K19" s="29" t="n"/>
      <c r="L19" s="33">
        <f>IF(I19="","",IF(I19&gt;=PRs!D69,"PR!",""))</f>
        <v/>
      </c>
      <c r="M19" s="32" t="n"/>
      <c r="N19" s="34" t="inlineStr">
        <is>
          <t>Explode up, land softly, STEP down. Full reset between reps. Log your box height; check the standards</t>
        </is>
      </c>
    </row>
    <row r="20">
      <c r="A20" s="26" t="inlineStr">
        <is>
          <t>Day 3 - Variations</t>
        </is>
      </c>
      <c r="B20" s="27">
        <f>'Start Here'!$B$7+228</f>
        <v/>
      </c>
      <c r="C20" s="31" t="inlineStr">
        <is>
          <t>Power Snatch</t>
        </is>
      </c>
      <c r="D20" s="29" t="n">
        <v>4</v>
      </c>
      <c r="E20" s="29" t="inlineStr">
        <is>
          <t>3</t>
        </is>
      </c>
      <c r="F20" s="29" t="n">
        <v>77.5</v>
      </c>
      <c r="G20" s="30">
        <f>Maxes!G34</f>
        <v/>
      </c>
      <c r="H20" s="31">
        <f>IF(OR(G20="",F20=""),"",MROUND(G20*F20/100,'Start Here'!$B$6))</f>
        <v/>
      </c>
      <c r="I20" s="32" t="n"/>
      <c r="J20" s="32" t="n"/>
      <c r="K20" s="29">
        <f>IF(OR(I20="",J20=""),"",IF(J20=1,I20,ROUND(I20*(1+J20/30),1)))</f>
        <v/>
      </c>
      <c r="L20" s="33">
        <f>IF(K20="","",IF(K20&gt;=PRs!C34,"PR!",""))</f>
        <v/>
      </c>
      <c r="M20" s="32" t="n"/>
      <c r="N20" s="34" t="inlineStr"/>
    </row>
    <row r="21">
      <c r="A21" s="26" t="inlineStr">
        <is>
          <t>Day 3 - Variations</t>
        </is>
      </c>
      <c r="B21" s="27">
        <f>'Start Here'!$B$7+228</f>
        <v/>
      </c>
      <c r="C21" s="31" t="inlineStr">
        <is>
          <t>Safety Bar Squat</t>
        </is>
      </c>
      <c r="D21" s="29" t="n">
        <v>4</v>
      </c>
      <c r="E21" s="29" t="inlineStr">
        <is>
          <t>5</t>
        </is>
      </c>
      <c r="F21" s="29" t="n">
        <v>77.5</v>
      </c>
      <c r="G21" s="30">
        <f>Maxes!G11</f>
        <v/>
      </c>
      <c r="H21" s="31">
        <f>IF(OR(G21="",F21=""),"",MROUND(G21*F21/100,'Start Here'!$B$6))</f>
        <v/>
      </c>
      <c r="I21" s="32" t="n"/>
      <c r="J21" s="32" t="n"/>
      <c r="K21" s="29">
        <f>IF(OR(I21="",J21=""),"",IF(J21=1,I21,ROUND(I21*(1+J21/30),1)))</f>
        <v/>
      </c>
      <c r="L21" s="33">
        <f>IF(K21="","",IF(K21&gt;=PRs!C11,"PR!",""))</f>
        <v/>
      </c>
      <c r="M21" s="32" t="n"/>
      <c r="N21" s="34" t="inlineStr"/>
    </row>
    <row r="22">
      <c r="A22" s="26" t="inlineStr">
        <is>
          <t>Day 3 - Variations</t>
        </is>
      </c>
      <c r="B22" s="27">
        <f>'Start Here'!$B$7+228</f>
        <v/>
      </c>
      <c r="C22" s="31" t="inlineStr">
        <is>
          <t>2-Board Press</t>
        </is>
      </c>
      <c r="D22" s="29" t="n">
        <v>4</v>
      </c>
      <c r="E22" s="29" t="inlineStr">
        <is>
          <t>5</t>
        </is>
      </c>
      <c r="F22" s="29" t="n">
        <v>77.5</v>
      </c>
      <c r="G22" s="30">
        <f>Maxes!G16</f>
        <v/>
      </c>
      <c r="H22" s="31">
        <f>IF(OR(G22="",F22=""),"",MROUND(G22*F22/100,'Start Here'!$B$6))</f>
        <v/>
      </c>
      <c r="I22" s="32" t="n"/>
      <c r="J22" s="32" t="n"/>
      <c r="K22" s="29">
        <f>IF(OR(I22="",J22=""),"",IF(J22=1,I22,ROUND(I22*(1+J22/30),1)))</f>
        <v/>
      </c>
      <c r="L22" s="33">
        <f>IF(K22="","",IF(K22&gt;=PRs!C16,"PR!",""))</f>
        <v/>
      </c>
      <c r="M22" s="32" t="n"/>
      <c r="N22" s="34" t="inlineStr"/>
    </row>
    <row r="23">
      <c r="A23" s="26" t="inlineStr">
        <is>
          <t>Day 3 - Variations</t>
        </is>
      </c>
      <c r="B23" s="27">
        <f>'Start Here'!$B$7+228</f>
        <v/>
      </c>
      <c r="C23" s="31" t="inlineStr">
        <is>
          <t>Romanian Deadlift</t>
        </is>
      </c>
      <c r="D23" s="29" t="n">
        <v>4</v>
      </c>
      <c r="E23" s="29" t="inlineStr">
        <is>
          <t>5</t>
        </is>
      </c>
      <c r="F23" s="29" t="n">
        <v>67.5</v>
      </c>
      <c r="G23" s="30">
        <f>Maxes!G23</f>
        <v/>
      </c>
      <c r="H23" s="31">
        <f>IF(OR(G23="",F23=""),"",MROUND(G23*F23/100,'Start Here'!$B$6))</f>
        <v/>
      </c>
      <c r="I23" s="32" t="n"/>
      <c r="J23" s="32" t="n"/>
      <c r="K23" s="29">
        <f>IF(OR(I23="",J23=""),"",IF(J23=1,I23,ROUND(I23*(1+J23/30),1)))</f>
        <v/>
      </c>
      <c r="L23" s="33">
        <f>IF(K23="","",IF(K23&gt;=PRs!C23,"PR!",""))</f>
        <v/>
      </c>
      <c r="M23" s="32" t="n"/>
      <c r="N23" s="34" t="inlineStr"/>
    </row>
    <row r="24">
      <c r="A24" s="26" t="inlineStr">
        <is>
          <t>Day 3 - Variations</t>
        </is>
      </c>
      <c r="B24" s="27">
        <f>'Start Here'!$B$7+228</f>
        <v/>
      </c>
      <c r="C24" s="29" t="inlineStr">
        <is>
          <t>Incline Dumbbell Press</t>
        </is>
      </c>
      <c r="D24" s="29" t="n">
        <v>3</v>
      </c>
      <c r="E24" s="29" t="inlineStr">
        <is>
          <t>8-12</t>
        </is>
      </c>
      <c r="F24" s="29" t="n"/>
      <c r="G24" s="30" t="n"/>
      <c r="H24" s="31" t="n"/>
      <c r="I24" s="32" t="n"/>
      <c r="J24" s="32" t="n"/>
      <c r="K24" s="29">
        <f>IF(OR(I24="",J24=""),"",IF(J24=1,I24,ROUND(I24*(1+J24/30),1)))</f>
        <v/>
      </c>
      <c r="L24" s="33">
        <f>IF(K24="","",IF(K24&gt;=PRs!C57,"PR!",""))</f>
        <v/>
      </c>
      <c r="M24" s="32" t="n"/>
      <c r="N24" s="34" t="inlineStr">
        <is>
          <t>Leave 1-2 reps in the tank; add weight when you hit the top of the range</t>
        </is>
      </c>
    </row>
    <row r="25">
      <c r="A25" s="26" t="inlineStr">
        <is>
          <t>Day 3 - Variations</t>
        </is>
      </c>
      <c r="B25" s="27">
        <f>'Start Here'!$B$7+228</f>
        <v/>
      </c>
      <c r="C25" s="29" t="inlineStr">
        <is>
          <t>Triceps Pushdown</t>
        </is>
      </c>
      <c r="D25" s="29" t="n">
        <v>3</v>
      </c>
      <c r="E25" s="29" t="inlineStr">
        <is>
          <t>10-15</t>
        </is>
      </c>
      <c r="F25" s="29" t="n"/>
      <c r="G25" s="30" t="n"/>
      <c r="H25" s="31" t="n"/>
      <c r="I25" s="32" t="n"/>
      <c r="J25" s="32" t="n"/>
      <c r="K25" s="29">
        <f>IF(OR(I25="",J25=""),"",IF(J25=1,I25,ROUND(I25*(1+J25/30),1)))</f>
        <v/>
      </c>
      <c r="L25" s="33">
        <f>IF(K25="","",IF(K25&gt;=PRs!C59,"PR!",""))</f>
        <v/>
      </c>
      <c r="M25" s="32" t="n"/>
      <c r="N25" s="34" t="inlineStr">
        <is>
          <t>Leave 1-2 reps in the tank; add weight when you hit the top of the range</t>
        </is>
      </c>
    </row>
  </sheetData>
  <hyperlinks>
    <hyperlink xmlns:r="http://schemas.openxmlformats.org/officeDocument/2006/relationships" ref="A2" r:id="rId1"/>
    <hyperlink xmlns:r="http://schemas.openxmlformats.org/officeDocument/2006/relationships" ref="C2" r:id="rId2"/>
    <hyperlink xmlns:r="http://schemas.openxmlformats.org/officeDocument/2006/relationships" ref="E2" r:id="rId3"/>
  </hyperlinks>
  <pageMargins left="0.75" right="0.75" top="1" bottom="1" header="0.5" footer="0.5"/>
  <pageSetup orientation="landscape" fitToHeight="0" fitToWidth="1"/>
</worksheet>
</file>

<file path=xl/worksheets/sheet36.xml><?xml version="1.0" encoding="utf-8"?>
<worksheet xmlns="http://schemas.openxmlformats.org/spreadsheetml/2006/main">
  <sheetPr>
    <tabColor rgb="00F8D7D7"/>
    <outlinePr summaryBelow="1" summaryRight="1"/>
    <pageSetUpPr fitToPage="1"/>
  </sheetPr>
  <dimension ref="A1:N25"/>
  <sheetViews>
    <sheetView workbookViewId="0">
      <pane xSplit="3" ySplit="5" topLeftCell="D6" activePane="bottomRight" state="frozen"/>
      <selection pane="topRight"/>
      <selection pane="bottomLeft"/>
      <selection pane="bottomRight" activeCell="A1" sqref="A1"/>
    </sheetView>
  </sheetViews>
  <sheetFormatPr baseColWidth="8" defaultRowHeight="15"/>
  <cols>
    <col width="17" customWidth="1" min="1" max="1"/>
    <col width="11" customWidth="1" min="2" max="2"/>
    <col width="24" customWidth="1" min="3" max="3"/>
    <col width="5" customWidth="1" min="4" max="4"/>
    <col width="6" customWidth="1" min="5" max="5"/>
    <col width="6" customWidth="1" min="6" max="6"/>
    <col width="9" customWidth="1" min="7" max="7"/>
    <col width="10" customWidth="1" min="8" max="8"/>
    <col width="13" customWidth="1" min="9" max="9"/>
    <col width="8" customWidth="1" min="10" max="10"/>
    <col width="9" customWidth="1" min="11" max="11"/>
    <col width="5" customWidth="1" min="12" max="12"/>
    <col width="22" customWidth="1" min="13" max="13"/>
    <col width="62" customWidth="1" min="14" max="14"/>
  </cols>
  <sheetData>
    <row r="1">
      <c r="A1" s="24" t="inlineStr">
        <is>
          <t>Week 34 - Cycle 3 - Realization</t>
        </is>
      </c>
    </row>
    <row r="2">
      <c r="A2" s="25" t="inlineStr">
        <is>
          <t>&lt; Week 33</t>
        </is>
      </c>
      <c r="C2" s="25" t="inlineStr">
        <is>
          <t>Start Here</t>
        </is>
      </c>
      <c r="E2" s="25" t="inlineStr">
        <is>
          <t>Week 35 &gt;</t>
        </is>
      </c>
    </row>
    <row r="3">
      <c r="A3" s="10" t="inlineStr">
        <is>
          <t>Bodyweight this week</t>
        </is>
      </c>
      <c r="C3" s="4" t="n"/>
      <c r="D3" t="inlineStr">
        <is>
          <t>Weigh in once this week: same morning routine, before eating.</t>
        </is>
      </c>
    </row>
    <row r="5">
      <c r="A5" s="5" t="inlineStr">
        <is>
          <t>Day</t>
        </is>
      </c>
      <c r="B5" s="5" t="inlineStr">
        <is>
          <t>Date</t>
        </is>
      </c>
      <c r="C5" s="5" t="inlineStr">
        <is>
          <t>Exercise</t>
        </is>
      </c>
      <c r="D5" s="5" t="inlineStr">
        <is>
          <t>Sets</t>
        </is>
      </c>
      <c r="E5" s="5" t="inlineStr">
        <is>
          <t>Reps</t>
        </is>
      </c>
      <c r="F5" s="5" t="inlineStr">
        <is>
          <t>% TM</t>
        </is>
      </c>
      <c r="G5" s="5" t="inlineStr">
        <is>
          <t>Training max</t>
        </is>
      </c>
      <c r="H5" s="5" t="inlineStr">
        <is>
          <t>Weight / target</t>
        </is>
      </c>
      <c r="I5" s="5" t="inlineStr">
        <is>
          <t>Actual (weight, height or distance)</t>
        </is>
      </c>
      <c r="J5" s="5" t="inlineStr">
        <is>
          <t>Actual reps</t>
        </is>
      </c>
      <c r="K5" s="5" t="inlineStr">
        <is>
          <t>Est. 1RM</t>
        </is>
      </c>
      <c r="L5" s="5" t="inlineStr">
        <is>
          <t>PR</t>
        </is>
      </c>
      <c r="M5" s="5" t="inlineStr">
        <is>
          <t>Notes</t>
        </is>
      </c>
      <c r="N5" s="5" t="inlineStr">
        <is>
          <t>Guidance</t>
        </is>
      </c>
    </row>
    <row r="6">
      <c r="A6" s="26" t="inlineStr">
        <is>
          <t>Day 1 - Heavy</t>
        </is>
      </c>
      <c r="B6" s="27">
        <f>'Start Here'!$B$7+231</f>
        <v/>
      </c>
      <c r="C6" s="28" t="inlineStr">
        <is>
          <t>Box Jump</t>
        </is>
      </c>
      <c r="D6" s="29" t="n">
        <v>3</v>
      </c>
      <c r="E6" s="29" t="inlineStr">
        <is>
          <t>2</t>
        </is>
      </c>
      <c r="F6" s="29" t="n"/>
      <c r="G6" s="30" t="n"/>
      <c r="H6" s="31">
        <f>IFERROR(IF(PRs!D69&lt;'Start Here'!$H$15,'Start Here'!$H$15,IF(PRs!D69&lt;'Start Here'!$H$16,'Start Here'!$H$16,IF(PRs!D69&lt;'Start Here'!$H$17,'Start Here'!$H$17,IF(PRs!D69&lt;'Start Here'!$H$18,'Start Here'!$H$18,"Elite!")))),"")</f>
        <v/>
      </c>
      <c r="I6" s="32" t="n"/>
      <c r="J6" s="32" t="n"/>
      <c r="K6" s="29" t="n"/>
      <c r="L6" s="33">
        <f>IF(I6="","",IF(I6&gt;=PRs!D69,"PR!",""))</f>
        <v/>
      </c>
      <c r="M6" s="32" t="n"/>
      <c r="N6" s="34" t="inlineStr">
        <is>
          <t>Explode up, land softly, STEP down. Full reset between reps. Log your box height; check the standards</t>
        </is>
      </c>
    </row>
    <row r="7">
      <c r="A7" s="26" t="inlineStr">
        <is>
          <t>Day 1 - Heavy</t>
        </is>
      </c>
      <c r="B7" s="27">
        <f>'Start Here'!$B$7+231</f>
        <v/>
      </c>
      <c r="C7" s="31" t="inlineStr">
        <is>
          <t>Snatch</t>
        </is>
      </c>
      <c r="D7" s="29" t="n">
        <v>4</v>
      </c>
      <c r="E7" s="29" t="inlineStr">
        <is>
          <t>1</t>
        </is>
      </c>
      <c r="F7" s="29" t="n">
        <v>90</v>
      </c>
      <c r="G7" s="30">
        <f>Maxes!G6</f>
        <v/>
      </c>
      <c r="H7" s="31">
        <f>IF(OR(G7="",F7=""),"",MROUND(G7*F7/100,'Start Here'!$B$6))</f>
        <v/>
      </c>
      <c r="I7" s="32" t="n"/>
      <c r="J7" s="32" t="n"/>
      <c r="K7" s="29">
        <f>IF(OR(I7="",J7=""),"",IF(J7=1,I7,ROUND(I7*(1+J7/30),1)))</f>
        <v/>
      </c>
      <c r="L7" s="33">
        <f>IF(K7="","",IF(K7&gt;=PRs!C6,"PR!",""))</f>
        <v/>
      </c>
      <c r="M7" s="32" t="n"/>
      <c r="N7" s="34" t="inlineStr"/>
    </row>
    <row r="8">
      <c r="A8" s="26" t="inlineStr">
        <is>
          <t>Day 1 - Heavy</t>
        </is>
      </c>
      <c r="B8" s="27">
        <f>'Start Here'!$B$7+231</f>
        <v/>
      </c>
      <c r="C8" s="31" t="inlineStr">
        <is>
          <t>Squat</t>
        </is>
      </c>
      <c r="D8" s="29" t="n">
        <v>4</v>
      </c>
      <c r="E8" s="29" t="inlineStr">
        <is>
          <t>2</t>
        </is>
      </c>
      <c r="F8" s="29" t="n">
        <v>90</v>
      </c>
      <c r="G8" s="30">
        <f>Maxes!G2</f>
        <v/>
      </c>
      <c r="H8" s="31">
        <f>IF(OR(G8="",F8=""),"",MROUND(G8*F8/100,'Start Here'!$B$6))</f>
        <v/>
      </c>
      <c r="I8" s="32" t="n"/>
      <c r="J8" s="32" t="n"/>
      <c r="K8" s="29">
        <f>IF(OR(I8="",J8=""),"",IF(J8=1,I8,ROUND(I8*(1+J8/30),1)))</f>
        <v/>
      </c>
      <c r="L8" s="33">
        <f>IF(K8="","",IF(K8&gt;=PRs!C2,"PR!",""))</f>
        <v/>
      </c>
      <c r="M8" s="32" t="n"/>
      <c r="N8" s="34" t="inlineStr"/>
    </row>
    <row r="9">
      <c r="A9" s="26" t="inlineStr">
        <is>
          <t>Day 1 - Heavy</t>
        </is>
      </c>
      <c r="B9" s="27">
        <f>'Start Here'!$B$7+231</f>
        <v/>
      </c>
      <c r="C9" s="31" t="inlineStr">
        <is>
          <t>Bench Press</t>
        </is>
      </c>
      <c r="D9" s="29" t="n">
        <v>4</v>
      </c>
      <c r="E9" s="29" t="inlineStr">
        <is>
          <t>2</t>
        </is>
      </c>
      <c r="F9" s="29" t="n">
        <v>90</v>
      </c>
      <c r="G9" s="30">
        <f>Maxes!G3</f>
        <v/>
      </c>
      <c r="H9" s="31">
        <f>IF(OR(G9="",F9=""),"",MROUND(G9*F9/100,'Start Here'!$B$6))</f>
        <v/>
      </c>
      <c r="I9" s="32" t="n"/>
      <c r="J9" s="32" t="n"/>
      <c r="K9" s="29">
        <f>IF(OR(I9="",J9=""),"",IF(J9=1,I9,ROUND(I9*(1+J9/30),1)))</f>
        <v/>
      </c>
      <c r="L9" s="33">
        <f>IF(K9="","",IF(K9&gt;=PRs!C3,"PR!",""))</f>
        <v/>
      </c>
      <c r="M9" s="32" t="n"/>
      <c r="N9" s="34" t="inlineStr"/>
    </row>
    <row r="10">
      <c r="A10" s="26" t="inlineStr">
        <is>
          <t>Day 1 - Heavy</t>
        </is>
      </c>
      <c r="B10" s="27">
        <f>'Start Here'!$B$7+231</f>
        <v/>
      </c>
      <c r="C10" s="29" t="inlineStr">
        <is>
          <t>Barbell Row</t>
        </is>
      </c>
      <c r="D10" s="29" t="n">
        <v>3</v>
      </c>
      <c r="E10" s="29" t="inlineStr">
        <is>
          <t>8-10</t>
        </is>
      </c>
      <c r="F10" s="29" t="n"/>
      <c r="G10" s="30" t="n"/>
      <c r="H10" s="31" t="n"/>
      <c r="I10" s="32" t="n"/>
      <c r="J10" s="32" t="n"/>
      <c r="K10" s="29">
        <f>IF(OR(I10="",J10=""),"",IF(J10=1,I10,ROUND(I10*(1+J10/30),1)))</f>
        <v/>
      </c>
      <c r="L10" s="33">
        <f>IF(K10="","",IF(K10&gt;=PRs!C50,"PR!",""))</f>
        <v/>
      </c>
      <c r="M10" s="32" t="n"/>
      <c r="N10" s="34" t="inlineStr">
        <is>
          <t>Leave 1-2 reps in the tank; add weight when you hit the top of the range</t>
        </is>
      </c>
    </row>
    <row r="11">
      <c r="A11" s="26" t="inlineStr">
        <is>
          <t>Day 1 - Heavy</t>
        </is>
      </c>
      <c r="B11" s="27">
        <f>'Start Here'!$B$7+231</f>
        <v/>
      </c>
      <c r="C11" s="29" t="inlineStr">
        <is>
          <t>Face Pull</t>
        </is>
      </c>
      <c r="D11" s="29" t="n">
        <v>3</v>
      </c>
      <c r="E11" s="29" t="inlineStr">
        <is>
          <t>12-15</t>
        </is>
      </c>
      <c r="F11" s="29" t="n"/>
      <c r="G11" s="30" t="n"/>
      <c r="H11" s="31" t="n"/>
      <c r="I11" s="32" t="n"/>
      <c r="J11" s="32" t="n"/>
      <c r="K11" s="29">
        <f>IF(OR(I11="",J11=""),"",IF(J11=1,I11,ROUND(I11*(1+J11/30),1)))</f>
        <v/>
      </c>
      <c r="L11" s="33">
        <f>IF(K11="","",IF(K11&gt;=PRs!C51,"PR!",""))</f>
        <v/>
      </c>
      <c r="M11" s="32" t="n"/>
      <c r="N11" s="34" t="inlineStr">
        <is>
          <t>Leave 1-2 reps in the tank; add weight when you hit the top of the range</t>
        </is>
      </c>
    </row>
    <row r="12">
      <c r="A12" s="26" t="inlineStr">
        <is>
          <t>Day 2 - Light</t>
        </is>
      </c>
      <c r="B12" s="27">
        <f>'Start Here'!$B$7+233</f>
        <v/>
      </c>
      <c r="C12" s="28" t="inlineStr">
        <is>
          <t>Broad Jump</t>
        </is>
      </c>
      <c r="D12" s="29" t="n">
        <v>3</v>
      </c>
      <c r="E12" s="29" t="inlineStr">
        <is>
          <t>2</t>
        </is>
      </c>
      <c r="F12" s="29" t="n"/>
      <c r="G12" s="30" t="n"/>
      <c r="H12" s="31" t="n"/>
      <c r="I12" s="32" t="n"/>
      <c r="J12" s="32" t="n"/>
      <c r="K12" s="29" t="n"/>
      <c r="L12" s="33">
        <f>IF(I12="","",IF(I12&gt;=PRs!D70,"PR!",""))</f>
        <v/>
      </c>
      <c r="M12" s="32" t="n"/>
      <c r="N12" s="34" t="inlineStr">
        <is>
          <t>Two-foot jump for distance, stick the landing. Full reset between reps. Log your best distance</t>
        </is>
      </c>
    </row>
    <row r="13">
      <c r="A13" s="26" t="inlineStr">
        <is>
          <t>Day 2 - Light</t>
        </is>
      </c>
      <c r="B13" s="27">
        <f>'Start Here'!$B$7+233</f>
        <v/>
      </c>
      <c r="C13" s="31" t="inlineStr">
        <is>
          <t>Clean &amp; Jerk</t>
        </is>
      </c>
      <c r="D13" s="29" t="n">
        <v>4</v>
      </c>
      <c r="E13" s="29" t="inlineStr">
        <is>
          <t>1</t>
        </is>
      </c>
      <c r="F13" s="29" t="n">
        <v>90</v>
      </c>
      <c r="G13" s="30">
        <f>Maxes!G7</f>
        <v/>
      </c>
      <c r="H13" s="31">
        <f>IF(OR(G13="",F13=""),"",MROUND(G13*F13/100,'Start Here'!$B$6))</f>
        <v/>
      </c>
      <c r="I13" s="32" t="n"/>
      <c r="J13" s="32" t="n"/>
      <c r="K13" s="29">
        <f>IF(OR(I13="",J13=""),"",IF(J13=1,I13,ROUND(I13*(1+J13/30),1)))</f>
        <v/>
      </c>
      <c r="L13" s="33">
        <f>IF(K13="","",IF(K13&gt;=PRs!C7,"PR!",""))</f>
        <v/>
      </c>
      <c r="M13" s="32" t="n"/>
      <c r="N13" s="34" t="inlineStr"/>
    </row>
    <row r="14">
      <c r="A14" s="26" t="inlineStr">
        <is>
          <t>Day 2 - Light</t>
        </is>
      </c>
      <c r="B14" s="27">
        <f>'Start Here'!$B$7+233</f>
        <v/>
      </c>
      <c r="C14" s="31" t="inlineStr">
        <is>
          <t>Squat</t>
        </is>
      </c>
      <c r="D14" s="29" t="n">
        <v>3</v>
      </c>
      <c r="E14" s="29" t="inlineStr">
        <is>
          <t>5</t>
        </is>
      </c>
      <c r="F14" s="29" t="n">
        <v>70</v>
      </c>
      <c r="G14" s="30">
        <f>Maxes!G2</f>
        <v/>
      </c>
      <c r="H14" s="31">
        <f>IF(OR(G14="",F14=""),"",MROUND(G14*F14/100,'Start Here'!$B$6))</f>
        <v/>
      </c>
      <c r="I14" s="32" t="n"/>
      <c r="J14" s="32" t="n"/>
      <c r="K14" s="29">
        <f>IF(OR(I14="",J14=""),"",IF(J14=1,I14,ROUND(I14*(1+J14/30),1)))</f>
        <v/>
      </c>
      <c r="L14" s="33">
        <f>IF(K14="","",IF(K14&gt;=PRs!C2,"PR!",""))</f>
        <v/>
      </c>
      <c r="M14" s="32" t="n"/>
      <c r="N14" s="34" t="inlineStr"/>
    </row>
    <row r="15">
      <c r="A15" s="26" t="inlineStr">
        <is>
          <t>Day 2 - Light</t>
        </is>
      </c>
      <c r="B15" s="27">
        <f>'Start Here'!$B$7+233</f>
        <v/>
      </c>
      <c r="C15" s="31" t="inlineStr">
        <is>
          <t>Overhead Press</t>
        </is>
      </c>
      <c r="D15" s="29" t="n">
        <v>5</v>
      </c>
      <c r="E15" s="29" t="inlineStr">
        <is>
          <t>3</t>
        </is>
      </c>
      <c r="F15" s="29" t="n">
        <v>80</v>
      </c>
      <c r="G15" s="30">
        <f>Maxes!G5</f>
        <v/>
      </c>
      <c r="H15" s="31">
        <f>IF(OR(G15="",F15=""),"",MROUND(G15*F15/100,'Start Here'!$B$6))</f>
        <v/>
      </c>
      <c r="I15" s="32" t="n"/>
      <c r="J15" s="32" t="n"/>
      <c r="K15" s="29">
        <f>IF(OR(I15="",J15=""),"",IF(J15=1,I15,ROUND(I15*(1+J15/30),1)))</f>
        <v/>
      </c>
      <c r="L15" s="33">
        <f>IF(K15="","",IF(K15&gt;=PRs!C5,"PR!",""))</f>
        <v/>
      </c>
      <c r="M15" s="32" t="n"/>
      <c r="N15" s="34" t="inlineStr"/>
    </row>
    <row r="16">
      <c r="A16" s="26" t="inlineStr">
        <is>
          <t>Day 2 - Light</t>
        </is>
      </c>
      <c r="B16" s="27">
        <f>'Start Here'!$B$7+233</f>
        <v/>
      </c>
      <c r="C16" s="31" t="inlineStr">
        <is>
          <t>Deadlift</t>
        </is>
      </c>
      <c r="D16" s="29" t="n">
        <v>4</v>
      </c>
      <c r="E16" s="29" t="inlineStr">
        <is>
          <t>3</t>
        </is>
      </c>
      <c r="F16" s="29" t="n">
        <v>80</v>
      </c>
      <c r="G16" s="30">
        <f>Maxes!G4</f>
        <v/>
      </c>
      <c r="H16" s="31">
        <f>IF(OR(G16="",F16=""),"",MROUND(G16*F16/100,'Start Here'!$B$6))</f>
        <v/>
      </c>
      <c r="I16" s="32" t="n"/>
      <c r="J16" s="32" t="n"/>
      <c r="K16" s="29">
        <f>IF(OR(I16="",J16=""),"",IF(J16=1,I16,ROUND(I16*(1+J16/30),1)))</f>
        <v/>
      </c>
      <c r="L16" s="33">
        <f>IF(K16="","",IF(K16&gt;=PRs!C4,"PR!",""))</f>
        <v/>
      </c>
      <c r="M16" s="32" t="n"/>
      <c r="N16" s="34" t="inlineStr"/>
    </row>
    <row r="17">
      <c r="A17" s="26" t="inlineStr">
        <is>
          <t>Day 2 - Light</t>
        </is>
      </c>
      <c r="B17" s="27">
        <f>'Start Here'!$B$7+233</f>
        <v/>
      </c>
      <c r="C17" s="29" t="inlineStr">
        <is>
          <t>Chin-up</t>
        </is>
      </c>
      <c r="D17" s="29" t="n">
        <v>3</v>
      </c>
      <c r="E17" s="29" t="inlineStr">
        <is>
          <t>6-10</t>
        </is>
      </c>
      <c r="F17" s="29" t="n"/>
      <c r="G17" s="30" t="n"/>
      <c r="H17" s="31" t="n"/>
      <c r="I17" s="32" t="n"/>
      <c r="J17" s="32" t="n"/>
      <c r="K17" s="29">
        <f>IF(OR(I17="",J17=""),"",IF(J17=1,I17,ROUND(I17*(1+J17/30),1)))</f>
        <v/>
      </c>
      <c r="L17" s="33">
        <f>IF(K17="","",IF(K17&gt;=PRs!C53,"PR!",""))</f>
        <v/>
      </c>
      <c r="M17" s="32" t="n"/>
      <c r="N17" s="34" t="inlineStr">
        <is>
          <t>Leave 1-2 reps in the tank; add weight when you hit the top of the range</t>
        </is>
      </c>
    </row>
    <row r="18">
      <c r="A18" s="26" t="inlineStr">
        <is>
          <t>Day 2 - Light</t>
        </is>
      </c>
      <c r="B18" s="27">
        <f>'Start Here'!$B$7+233</f>
        <v/>
      </c>
      <c r="C18" s="29" t="inlineStr">
        <is>
          <t>Plank</t>
        </is>
      </c>
      <c r="D18" s="29" t="n">
        <v>3</v>
      </c>
      <c r="E18" s="29" t="inlineStr">
        <is>
          <t>30-60s</t>
        </is>
      </c>
      <c r="F18" s="29" t="n"/>
      <c r="G18" s="30" t="n"/>
      <c r="H18" s="31" t="n"/>
      <c r="I18" s="32" t="n"/>
      <c r="J18" s="32" t="n"/>
      <c r="K18" s="29">
        <f>IF(OR(I18="",J18=""),"",IF(J18=1,I18,ROUND(I18*(1+J18/30),1)))</f>
        <v/>
      </c>
      <c r="L18" s="33">
        <f>IF(K18="","",IF(K18&gt;=PRs!C56,"PR!",""))</f>
        <v/>
      </c>
      <c r="M18" s="32" t="n"/>
      <c r="N18" s="34" t="inlineStr">
        <is>
          <t>Leave 1-2 reps in the tank; add weight when you hit the top of the range</t>
        </is>
      </c>
    </row>
    <row r="19">
      <c r="A19" s="26" t="inlineStr">
        <is>
          <t>Day 3 - Variations</t>
        </is>
      </c>
      <c r="B19" s="27">
        <f>'Start Here'!$B$7+235</f>
        <v/>
      </c>
      <c r="C19" s="28" t="inlineStr">
        <is>
          <t>Box Jump</t>
        </is>
      </c>
      <c r="D19" s="29" t="n">
        <v>3</v>
      </c>
      <c r="E19" s="29" t="inlineStr">
        <is>
          <t>2</t>
        </is>
      </c>
      <c r="F19" s="29" t="n"/>
      <c r="G19" s="30" t="n"/>
      <c r="H19" s="31">
        <f>IFERROR(IF(PRs!D69&lt;'Start Here'!$H$15,'Start Here'!$H$15,IF(PRs!D69&lt;'Start Here'!$H$16,'Start Here'!$H$16,IF(PRs!D69&lt;'Start Here'!$H$17,'Start Here'!$H$17,IF(PRs!D69&lt;'Start Here'!$H$18,'Start Here'!$H$18,"Elite!")))),"")</f>
        <v/>
      </c>
      <c r="I19" s="32" t="n"/>
      <c r="J19" s="32" t="n"/>
      <c r="K19" s="29" t="n"/>
      <c r="L19" s="33">
        <f>IF(I19="","",IF(I19&gt;=PRs!D69,"PR!",""))</f>
        <v/>
      </c>
      <c r="M19" s="32" t="n"/>
      <c r="N19" s="34" t="inlineStr">
        <is>
          <t>Explode up, land softly, STEP down. Full reset between reps. Log your box height; check the standards</t>
        </is>
      </c>
    </row>
    <row r="20">
      <c r="A20" s="26" t="inlineStr">
        <is>
          <t>Day 3 - Variations</t>
        </is>
      </c>
      <c r="B20" s="27">
        <f>'Start Here'!$B$7+235</f>
        <v/>
      </c>
      <c r="C20" s="31" t="inlineStr">
        <is>
          <t>Power Snatch</t>
        </is>
      </c>
      <c r="D20" s="29" t="n">
        <v>5</v>
      </c>
      <c r="E20" s="29" t="inlineStr">
        <is>
          <t>2</t>
        </is>
      </c>
      <c r="F20" s="29" t="n">
        <v>80</v>
      </c>
      <c r="G20" s="30">
        <f>Maxes!G34</f>
        <v/>
      </c>
      <c r="H20" s="31">
        <f>IF(OR(G20="",F20=""),"",MROUND(G20*F20/100,'Start Here'!$B$6))</f>
        <v/>
      </c>
      <c r="I20" s="32" t="n"/>
      <c r="J20" s="32" t="n"/>
      <c r="K20" s="29">
        <f>IF(OR(I20="",J20=""),"",IF(J20=1,I20,ROUND(I20*(1+J20/30),1)))</f>
        <v/>
      </c>
      <c r="L20" s="33">
        <f>IF(K20="","",IF(K20&gt;=PRs!C34,"PR!",""))</f>
        <v/>
      </c>
      <c r="M20" s="32" t="n"/>
      <c r="N20" s="34" t="inlineStr"/>
    </row>
    <row r="21">
      <c r="A21" s="26" t="inlineStr">
        <is>
          <t>Day 3 - Variations</t>
        </is>
      </c>
      <c r="B21" s="27">
        <f>'Start Here'!$B$7+235</f>
        <v/>
      </c>
      <c r="C21" s="31" t="inlineStr">
        <is>
          <t>Safety Bar Squat</t>
        </is>
      </c>
      <c r="D21" s="29" t="n">
        <v>5</v>
      </c>
      <c r="E21" s="29" t="inlineStr">
        <is>
          <t>3</t>
        </is>
      </c>
      <c r="F21" s="29" t="n">
        <v>80</v>
      </c>
      <c r="G21" s="30">
        <f>Maxes!G11</f>
        <v/>
      </c>
      <c r="H21" s="31">
        <f>IF(OR(G21="",F21=""),"",MROUND(G21*F21/100,'Start Here'!$B$6))</f>
        <v/>
      </c>
      <c r="I21" s="32" t="n"/>
      <c r="J21" s="32" t="n"/>
      <c r="K21" s="29">
        <f>IF(OR(I21="",J21=""),"",IF(J21=1,I21,ROUND(I21*(1+J21/30),1)))</f>
        <v/>
      </c>
      <c r="L21" s="33">
        <f>IF(K21="","",IF(K21&gt;=PRs!C11,"PR!",""))</f>
        <v/>
      </c>
      <c r="M21" s="32" t="n"/>
      <c r="N21" s="34" t="inlineStr"/>
    </row>
    <row r="22">
      <c r="A22" s="26" t="inlineStr">
        <is>
          <t>Day 3 - Variations</t>
        </is>
      </c>
      <c r="B22" s="27">
        <f>'Start Here'!$B$7+235</f>
        <v/>
      </c>
      <c r="C22" s="31" t="inlineStr">
        <is>
          <t>2-Board Press</t>
        </is>
      </c>
      <c r="D22" s="29" t="n">
        <v>5</v>
      </c>
      <c r="E22" s="29" t="inlineStr">
        <is>
          <t>3</t>
        </is>
      </c>
      <c r="F22" s="29" t="n">
        <v>80</v>
      </c>
      <c r="G22" s="30">
        <f>Maxes!G16</f>
        <v/>
      </c>
      <c r="H22" s="31">
        <f>IF(OR(G22="",F22=""),"",MROUND(G22*F22/100,'Start Here'!$B$6))</f>
        <v/>
      </c>
      <c r="I22" s="32" t="n"/>
      <c r="J22" s="32" t="n"/>
      <c r="K22" s="29">
        <f>IF(OR(I22="",J22=""),"",IF(J22=1,I22,ROUND(I22*(1+J22/30),1)))</f>
        <v/>
      </c>
      <c r="L22" s="33">
        <f>IF(K22="","",IF(K22&gt;=PRs!C16,"PR!",""))</f>
        <v/>
      </c>
      <c r="M22" s="32" t="n"/>
      <c r="N22" s="34" t="inlineStr"/>
    </row>
    <row r="23">
      <c r="A23" s="26" t="inlineStr">
        <is>
          <t>Day 3 - Variations</t>
        </is>
      </c>
      <c r="B23" s="27">
        <f>'Start Here'!$B$7+235</f>
        <v/>
      </c>
      <c r="C23" s="31" t="inlineStr">
        <is>
          <t>Romanian Deadlift</t>
        </is>
      </c>
      <c r="D23" s="29" t="n">
        <v>3</v>
      </c>
      <c r="E23" s="29" t="inlineStr">
        <is>
          <t>5</t>
        </is>
      </c>
      <c r="F23" s="29" t="n">
        <v>70</v>
      </c>
      <c r="G23" s="30">
        <f>Maxes!G23</f>
        <v/>
      </c>
      <c r="H23" s="31">
        <f>IF(OR(G23="",F23=""),"",MROUND(G23*F23/100,'Start Here'!$B$6))</f>
        <v/>
      </c>
      <c r="I23" s="32" t="n"/>
      <c r="J23" s="32" t="n"/>
      <c r="K23" s="29">
        <f>IF(OR(I23="",J23=""),"",IF(J23=1,I23,ROUND(I23*(1+J23/30),1)))</f>
        <v/>
      </c>
      <c r="L23" s="33">
        <f>IF(K23="","",IF(K23&gt;=PRs!C23,"PR!",""))</f>
        <v/>
      </c>
      <c r="M23" s="32" t="n"/>
      <c r="N23" s="34" t="inlineStr"/>
    </row>
    <row r="24">
      <c r="A24" s="26" t="inlineStr">
        <is>
          <t>Day 3 - Variations</t>
        </is>
      </c>
      <c r="B24" s="27">
        <f>'Start Here'!$B$7+235</f>
        <v/>
      </c>
      <c r="C24" s="29" t="inlineStr">
        <is>
          <t>Incline Dumbbell Press</t>
        </is>
      </c>
      <c r="D24" s="29" t="n">
        <v>3</v>
      </c>
      <c r="E24" s="29" t="inlineStr">
        <is>
          <t>8-12</t>
        </is>
      </c>
      <c r="F24" s="29" t="n"/>
      <c r="G24" s="30" t="n"/>
      <c r="H24" s="31" t="n"/>
      <c r="I24" s="32" t="n"/>
      <c r="J24" s="32" t="n"/>
      <c r="K24" s="29">
        <f>IF(OR(I24="",J24=""),"",IF(J24=1,I24,ROUND(I24*(1+J24/30),1)))</f>
        <v/>
      </c>
      <c r="L24" s="33">
        <f>IF(K24="","",IF(K24&gt;=PRs!C57,"PR!",""))</f>
        <v/>
      </c>
      <c r="M24" s="32" t="n"/>
      <c r="N24" s="34" t="inlineStr">
        <is>
          <t>Leave 1-2 reps in the tank; add weight when you hit the top of the range</t>
        </is>
      </c>
    </row>
    <row r="25">
      <c r="A25" s="26" t="inlineStr">
        <is>
          <t>Day 3 - Variations</t>
        </is>
      </c>
      <c r="B25" s="27">
        <f>'Start Here'!$B$7+235</f>
        <v/>
      </c>
      <c r="C25" s="29" t="inlineStr">
        <is>
          <t>Triceps Pushdown</t>
        </is>
      </c>
      <c r="D25" s="29" t="n">
        <v>3</v>
      </c>
      <c r="E25" s="29" t="inlineStr">
        <is>
          <t>10-15</t>
        </is>
      </c>
      <c r="F25" s="29" t="n"/>
      <c r="G25" s="30" t="n"/>
      <c r="H25" s="31" t="n"/>
      <c r="I25" s="32" t="n"/>
      <c r="J25" s="32" t="n"/>
      <c r="K25" s="29">
        <f>IF(OR(I25="",J25=""),"",IF(J25=1,I25,ROUND(I25*(1+J25/30),1)))</f>
        <v/>
      </c>
      <c r="L25" s="33">
        <f>IF(K25="","",IF(K25&gt;=PRs!C59,"PR!",""))</f>
        <v/>
      </c>
      <c r="M25" s="32" t="n"/>
      <c r="N25" s="34" t="inlineStr">
        <is>
          <t>Leave 1-2 reps in the tank; add weight when you hit the top of the range</t>
        </is>
      </c>
    </row>
  </sheetData>
  <hyperlinks>
    <hyperlink xmlns:r="http://schemas.openxmlformats.org/officeDocument/2006/relationships" ref="A2" r:id="rId1"/>
    <hyperlink xmlns:r="http://schemas.openxmlformats.org/officeDocument/2006/relationships" ref="C2" r:id="rId2"/>
    <hyperlink xmlns:r="http://schemas.openxmlformats.org/officeDocument/2006/relationships" ref="E2" r:id="rId3"/>
  </hyperlinks>
  <pageMargins left="0.75" right="0.75" top="1" bottom="1" header="0.5" footer="0.5"/>
  <pageSetup orientation="landscape" fitToHeight="0" fitToWidth="1"/>
</worksheet>
</file>

<file path=xl/worksheets/sheet37.xml><?xml version="1.0" encoding="utf-8"?>
<worksheet xmlns="http://schemas.openxmlformats.org/spreadsheetml/2006/main">
  <sheetPr>
    <tabColor rgb="00EDE0F5"/>
    <outlinePr summaryBelow="1" summaryRight="1"/>
    <pageSetUpPr fitToPage="1"/>
  </sheetPr>
  <dimension ref="A1:N25"/>
  <sheetViews>
    <sheetView workbookViewId="0">
      <pane xSplit="3" ySplit="5" topLeftCell="D6" activePane="bottomRight" state="frozen"/>
      <selection pane="topRight"/>
      <selection pane="bottomLeft"/>
      <selection pane="bottomRight" activeCell="A1" sqref="A1"/>
    </sheetView>
  </sheetViews>
  <sheetFormatPr baseColWidth="8" defaultRowHeight="15"/>
  <cols>
    <col width="17" customWidth="1" min="1" max="1"/>
    <col width="11" customWidth="1" min="2" max="2"/>
    <col width="24" customWidth="1" min="3" max="3"/>
    <col width="5" customWidth="1" min="4" max="4"/>
    <col width="6" customWidth="1" min="5" max="5"/>
    <col width="6" customWidth="1" min="6" max="6"/>
    <col width="9" customWidth="1" min="7" max="7"/>
    <col width="10" customWidth="1" min="8" max="8"/>
    <col width="13" customWidth="1" min="9" max="9"/>
    <col width="8" customWidth="1" min="10" max="10"/>
    <col width="9" customWidth="1" min="11" max="11"/>
    <col width="5" customWidth="1" min="12" max="12"/>
    <col width="22" customWidth="1" min="13" max="13"/>
    <col width="62" customWidth="1" min="14" max="14"/>
  </cols>
  <sheetData>
    <row r="1">
      <c r="A1" s="24" t="inlineStr">
        <is>
          <t>Week 35 - Cycle 3 - Taper</t>
        </is>
      </c>
    </row>
    <row r="2">
      <c r="A2" s="25" t="inlineStr">
        <is>
          <t>&lt; Week 34</t>
        </is>
      </c>
      <c r="C2" s="25" t="inlineStr">
        <is>
          <t>Start Here</t>
        </is>
      </c>
      <c r="E2" s="25" t="inlineStr">
        <is>
          <t>Week 36 &gt;</t>
        </is>
      </c>
    </row>
    <row r="3">
      <c r="A3" s="10" t="inlineStr">
        <is>
          <t>Bodyweight this week</t>
        </is>
      </c>
      <c r="C3" s="4" t="n"/>
      <c r="D3" t="inlineStr">
        <is>
          <t>Weigh in once this week: same morning routine, before eating.</t>
        </is>
      </c>
    </row>
    <row r="5">
      <c r="A5" s="5" t="inlineStr">
        <is>
          <t>Day</t>
        </is>
      </c>
      <c r="B5" s="5" t="inlineStr">
        <is>
          <t>Date</t>
        </is>
      </c>
      <c r="C5" s="5" t="inlineStr">
        <is>
          <t>Exercise</t>
        </is>
      </c>
      <c r="D5" s="5" t="inlineStr">
        <is>
          <t>Sets</t>
        </is>
      </c>
      <c r="E5" s="5" t="inlineStr">
        <is>
          <t>Reps</t>
        </is>
      </c>
      <c r="F5" s="5" t="inlineStr">
        <is>
          <t>% TM</t>
        </is>
      </c>
      <c r="G5" s="5" t="inlineStr">
        <is>
          <t>Training max</t>
        </is>
      </c>
      <c r="H5" s="5" t="inlineStr">
        <is>
          <t>Weight / target</t>
        </is>
      </c>
      <c r="I5" s="5" t="inlineStr">
        <is>
          <t>Actual (weight, height or distance)</t>
        </is>
      </c>
      <c r="J5" s="5" t="inlineStr">
        <is>
          <t>Actual reps</t>
        </is>
      </c>
      <c r="K5" s="5" t="inlineStr">
        <is>
          <t>Est. 1RM</t>
        </is>
      </c>
      <c r="L5" s="5" t="inlineStr">
        <is>
          <t>PR</t>
        </is>
      </c>
      <c r="M5" s="5" t="inlineStr">
        <is>
          <t>Notes</t>
        </is>
      </c>
      <c r="N5" s="5" t="inlineStr">
        <is>
          <t>Guidance</t>
        </is>
      </c>
    </row>
    <row r="6">
      <c r="A6" s="26" t="inlineStr">
        <is>
          <t>Day 1 - Heavy</t>
        </is>
      </c>
      <c r="B6" s="27">
        <f>'Start Here'!$B$7+238</f>
        <v/>
      </c>
      <c r="C6" s="28" t="inlineStr">
        <is>
          <t>Box Jump</t>
        </is>
      </c>
      <c r="D6" s="29" t="n">
        <v>2</v>
      </c>
      <c r="E6" s="29" t="inlineStr">
        <is>
          <t>2</t>
        </is>
      </c>
      <c r="F6" s="29" t="n"/>
      <c r="G6" s="30" t="n"/>
      <c r="H6" s="31">
        <f>IFERROR(IF(PRs!D69&lt;'Start Here'!$H$15,'Start Here'!$H$15,IF(PRs!D69&lt;'Start Here'!$H$16,'Start Here'!$H$16,IF(PRs!D69&lt;'Start Here'!$H$17,'Start Here'!$H$17,IF(PRs!D69&lt;'Start Here'!$H$18,'Start Here'!$H$18,"Elite!")))),"")</f>
        <v/>
      </c>
      <c r="I6" s="32" t="n"/>
      <c r="J6" s="32" t="n"/>
      <c r="K6" s="29" t="n"/>
      <c r="L6" s="33">
        <f>IF(I6="","",IF(I6&gt;=PRs!D69,"PR!",""))</f>
        <v/>
      </c>
      <c r="M6" s="32" t="n"/>
      <c r="N6" s="34" t="inlineStr">
        <is>
          <t>Explode up, land softly, STEP down. Full reset between reps. Log your box height; check the standards</t>
        </is>
      </c>
    </row>
    <row r="7">
      <c r="A7" s="26" t="inlineStr">
        <is>
          <t>Day 1 - Heavy</t>
        </is>
      </c>
      <c r="B7" s="27">
        <f>'Start Here'!$B$7+238</f>
        <v/>
      </c>
      <c r="C7" s="31" t="inlineStr">
        <is>
          <t>Snatch</t>
        </is>
      </c>
      <c r="D7" s="29" t="n">
        <v>3</v>
      </c>
      <c r="E7" s="29" t="inlineStr">
        <is>
          <t>1</t>
        </is>
      </c>
      <c r="F7" s="29" t="n">
        <v>80</v>
      </c>
      <c r="G7" s="30">
        <f>Maxes!G6</f>
        <v/>
      </c>
      <c r="H7" s="31">
        <f>IF(OR(G7="",F7=""),"",MROUND(G7*F7/100,'Start Here'!$B$6))</f>
        <v/>
      </c>
      <c r="I7" s="32" t="n"/>
      <c r="J7" s="32" t="n"/>
      <c r="K7" s="29">
        <f>IF(OR(I7="",J7=""),"",IF(J7=1,I7,ROUND(I7*(1+J7/30),1)))</f>
        <v/>
      </c>
      <c r="L7" s="33">
        <f>IF(K7="","",IF(K7&gt;=PRs!C6,"PR!",""))</f>
        <v/>
      </c>
      <c r="M7" s="32" t="n"/>
      <c r="N7" s="34" t="inlineStr">
        <is>
          <t>Keep it heavy but short - no grinding</t>
        </is>
      </c>
    </row>
    <row r="8">
      <c r="A8" s="26" t="inlineStr">
        <is>
          <t>Day 1 - Heavy</t>
        </is>
      </c>
      <c r="B8" s="27">
        <f>'Start Here'!$B$7+238</f>
        <v/>
      </c>
      <c r="C8" s="31" t="inlineStr">
        <is>
          <t>Squat</t>
        </is>
      </c>
      <c r="D8" s="29" t="n">
        <v>3</v>
      </c>
      <c r="E8" s="29" t="inlineStr">
        <is>
          <t>2</t>
        </is>
      </c>
      <c r="F8" s="29" t="n">
        <v>80</v>
      </c>
      <c r="G8" s="30">
        <f>Maxes!G2</f>
        <v/>
      </c>
      <c r="H8" s="31">
        <f>IF(OR(G8="",F8=""),"",MROUND(G8*F8/100,'Start Here'!$B$6))</f>
        <v/>
      </c>
      <c r="I8" s="32" t="n"/>
      <c r="J8" s="32" t="n"/>
      <c r="K8" s="29">
        <f>IF(OR(I8="",J8=""),"",IF(J8=1,I8,ROUND(I8*(1+J8/30),1)))</f>
        <v/>
      </c>
      <c r="L8" s="33">
        <f>IF(K8="","",IF(K8&gt;=PRs!C2,"PR!",""))</f>
        <v/>
      </c>
      <c r="M8" s="32" t="n"/>
      <c r="N8" s="34" t="inlineStr">
        <is>
          <t>Keep it heavy but short - no grinding</t>
        </is>
      </c>
    </row>
    <row r="9">
      <c r="A9" s="26" t="inlineStr">
        <is>
          <t>Day 1 - Heavy</t>
        </is>
      </c>
      <c r="B9" s="27">
        <f>'Start Here'!$B$7+238</f>
        <v/>
      </c>
      <c r="C9" s="31" t="inlineStr">
        <is>
          <t>Bench Press</t>
        </is>
      </c>
      <c r="D9" s="29" t="n">
        <v>3</v>
      </c>
      <c r="E9" s="29" t="inlineStr">
        <is>
          <t>2</t>
        </is>
      </c>
      <c r="F9" s="29" t="n">
        <v>80</v>
      </c>
      <c r="G9" s="30">
        <f>Maxes!G3</f>
        <v/>
      </c>
      <c r="H9" s="31">
        <f>IF(OR(G9="",F9=""),"",MROUND(G9*F9/100,'Start Here'!$B$6))</f>
        <v/>
      </c>
      <c r="I9" s="32" t="n"/>
      <c r="J9" s="32" t="n"/>
      <c r="K9" s="29">
        <f>IF(OR(I9="",J9=""),"",IF(J9=1,I9,ROUND(I9*(1+J9/30),1)))</f>
        <v/>
      </c>
      <c r="L9" s="33">
        <f>IF(K9="","",IF(K9&gt;=PRs!C3,"PR!",""))</f>
        <v/>
      </c>
      <c r="M9" s="32" t="n"/>
      <c r="N9" s="34" t="inlineStr">
        <is>
          <t>Keep it heavy but short - no grinding</t>
        </is>
      </c>
    </row>
    <row r="10">
      <c r="A10" s="26" t="inlineStr">
        <is>
          <t>Day 1 - Heavy</t>
        </is>
      </c>
      <c r="B10" s="27">
        <f>'Start Here'!$B$7+238</f>
        <v/>
      </c>
      <c r="C10" s="29" t="inlineStr">
        <is>
          <t>Barbell Row</t>
        </is>
      </c>
      <c r="D10" s="29" t="n">
        <v>2</v>
      </c>
      <c r="E10" s="29" t="inlineStr">
        <is>
          <t>8-10</t>
        </is>
      </c>
      <c r="F10" s="29" t="n"/>
      <c r="G10" s="30" t="n"/>
      <c r="H10" s="31" t="n"/>
      <c r="I10" s="32" t="n"/>
      <c r="J10" s="32" t="n"/>
      <c r="K10" s="29">
        <f>IF(OR(I10="",J10=""),"",IF(J10=1,I10,ROUND(I10*(1+J10/30),1)))</f>
        <v/>
      </c>
      <c r="L10" s="33">
        <f>IF(K10="","",IF(K10&gt;=PRs!C50,"PR!",""))</f>
        <v/>
      </c>
      <c r="M10" s="32" t="n"/>
      <c r="N10" s="34" t="inlineStr">
        <is>
          <t>Light - save energy for test week</t>
        </is>
      </c>
    </row>
    <row r="11">
      <c r="A11" s="26" t="inlineStr">
        <is>
          <t>Day 1 - Heavy</t>
        </is>
      </c>
      <c r="B11" s="27">
        <f>'Start Here'!$B$7+238</f>
        <v/>
      </c>
      <c r="C11" s="29" t="inlineStr">
        <is>
          <t>Face Pull</t>
        </is>
      </c>
      <c r="D11" s="29" t="n">
        <v>2</v>
      </c>
      <c r="E11" s="29" t="inlineStr">
        <is>
          <t>12-15</t>
        </is>
      </c>
      <c r="F11" s="29" t="n"/>
      <c r="G11" s="30" t="n"/>
      <c r="H11" s="31" t="n"/>
      <c r="I11" s="32" t="n"/>
      <c r="J11" s="32" t="n"/>
      <c r="K11" s="29">
        <f>IF(OR(I11="",J11=""),"",IF(J11=1,I11,ROUND(I11*(1+J11/30),1)))</f>
        <v/>
      </c>
      <c r="L11" s="33">
        <f>IF(K11="","",IF(K11&gt;=PRs!C51,"PR!",""))</f>
        <v/>
      </c>
      <c r="M11" s="32" t="n"/>
      <c r="N11" s="34" t="inlineStr">
        <is>
          <t>Light - save energy for test week</t>
        </is>
      </c>
    </row>
    <row r="12">
      <c r="A12" s="26" t="inlineStr">
        <is>
          <t>Day 2 - Light</t>
        </is>
      </c>
      <c r="B12" s="27">
        <f>'Start Here'!$B$7+240</f>
        <v/>
      </c>
      <c r="C12" s="28" t="inlineStr">
        <is>
          <t>Broad Jump</t>
        </is>
      </c>
      <c r="D12" s="29" t="n">
        <v>2</v>
      </c>
      <c r="E12" s="29" t="inlineStr">
        <is>
          <t>2</t>
        </is>
      </c>
      <c r="F12" s="29" t="n"/>
      <c r="G12" s="30" t="n"/>
      <c r="H12" s="31" t="n"/>
      <c r="I12" s="32" t="n"/>
      <c r="J12" s="32" t="n"/>
      <c r="K12" s="29" t="n"/>
      <c r="L12" s="33">
        <f>IF(I12="","",IF(I12&gt;=PRs!D70,"PR!",""))</f>
        <v/>
      </c>
      <c r="M12" s="32" t="n"/>
      <c r="N12" s="34" t="inlineStr">
        <is>
          <t>Two-foot jump for distance, stick the landing. Full reset between reps. Log your best distance</t>
        </is>
      </c>
    </row>
    <row r="13">
      <c r="A13" s="26" t="inlineStr">
        <is>
          <t>Day 2 - Light</t>
        </is>
      </c>
      <c r="B13" s="27">
        <f>'Start Here'!$B$7+240</f>
        <v/>
      </c>
      <c r="C13" s="31" t="inlineStr">
        <is>
          <t>Clean &amp; Jerk</t>
        </is>
      </c>
      <c r="D13" s="29" t="n">
        <v>2</v>
      </c>
      <c r="E13" s="29" t="inlineStr">
        <is>
          <t>1</t>
        </is>
      </c>
      <c r="F13" s="29" t="n">
        <v>80</v>
      </c>
      <c r="G13" s="30">
        <f>Maxes!G7</f>
        <v/>
      </c>
      <c r="H13" s="31">
        <f>IF(OR(G13="",F13=""),"",MROUND(G13*F13/100,'Start Here'!$B$6))</f>
        <v/>
      </c>
      <c r="I13" s="32" t="n"/>
      <c r="J13" s="32" t="n"/>
      <c r="K13" s="29">
        <f>IF(OR(I13="",J13=""),"",IF(J13=1,I13,ROUND(I13*(1+J13/30),1)))</f>
        <v/>
      </c>
      <c r="L13" s="33">
        <f>IF(K13="","",IF(K13&gt;=PRs!C7,"PR!",""))</f>
        <v/>
      </c>
      <c r="M13" s="32" t="n"/>
      <c r="N13" s="34" t="inlineStr">
        <is>
          <t>Keep it heavy but short - no grinding</t>
        </is>
      </c>
    </row>
    <row r="14">
      <c r="A14" s="26" t="inlineStr">
        <is>
          <t>Day 2 - Light</t>
        </is>
      </c>
      <c r="B14" s="27">
        <f>'Start Here'!$B$7+240</f>
        <v/>
      </c>
      <c r="C14" s="31" t="inlineStr">
        <is>
          <t>Squat</t>
        </is>
      </c>
      <c r="D14" s="29" t="n">
        <v>2</v>
      </c>
      <c r="E14" s="29" t="inlineStr">
        <is>
          <t>3</t>
        </is>
      </c>
      <c r="F14" s="29" t="n">
        <v>65</v>
      </c>
      <c r="G14" s="30">
        <f>Maxes!G2</f>
        <v/>
      </c>
      <c r="H14" s="31">
        <f>IF(OR(G14="",F14=""),"",MROUND(G14*F14/100,'Start Here'!$B$6))</f>
        <v/>
      </c>
      <c r="I14" s="32" t="n"/>
      <c r="J14" s="32" t="n"/>
      <c r="K14" s="29">
        <f>IF(OR(I14="",J14=""),"",IF(J14=1,I14,ROUND(I14*(1+J14/30),1)))</f>
        <v/>
      </c>
      <c r="L14" s="33">
        <f>IF(K14="","",IF(K14&gt;=PRs!C2,"PR!",""))</f>
        <v/>
      </c>
      <c r="M14" s="32" t="n"/>
      <c r="N14" s="34" t="inlineStr">
        <is>
          <t>Easy</t>
        </is>
      </c>
    </row>
    <row r="15">
      <c r="A15" s="26" t="inlineStr">
        <is>
          <t>Day 2 - Light</t>
        </is>
      </c>
      <c r="B15" s="27">
        <f>'Start Here'!$B$7+240</f>
        <v/>
      </c>
      <c r="C15" s="31" t="inlineStr">
        <is>
          <t>Overhead Press</t>
        </is>
      </c>
      <c r="D15" s="29" t="n">
        <v>2</v>
      </c>
      <c r="E15" s="29" t="inlineStr">
        <is>
          <t>2</t>
        </is>
      </c>
      <c r="F15" s="29" t="n">
        <v>80</v>
      </c>
      <c r="G15" s="30">
        <f>Maxes!G5</f>
        <v/>
      </c>
      <c r="H15" s="31">
        <f>IF(OR(G15="",F15=""),"",MROUND(G15*F15/100,'Start Here'!$B$6))</f>
        <v/>
      </c>
      <c r="I15" s="32" t="n"/>
      <c r="J15" s="32" t="n"/>
      <c r="K15" s="29">
        <f>IF(OR(I15="",J15=""),"",IF(J15=1,I15,ROUND(I15*(1+J15/30),1)))</f>
        <v/>
      </c>
      <c r="L15" s="33">
        <f>IF(K15="","",IF(K15&gt;=PRs!C5,"PR!",""))</f>
        <v/>
      </c>
      <c r="M15" s="32" t="n"/>
      <c r="N15" s="34" t="inlineStr">
        <is>
          <t>Keep it heavy but short - no grinding</t>
        </is>
      </c>
    </row>
    <row r="16">
      <c r="A16" s="26" t="inlineStr">
        <is>
          <t>Day 2 - Light</t>
        </is>
      </c>
      <c r="B16" s="27">
        <f>'Start Here'!$B$7+240</f>
        <v/>
      </c>
      <c r="C16" s="31" t="inlineStr">
        <is>
          <t>Deadlift</t>
        </is>
      </c>
      <c r="D16" s="29" t="n">
        <v>2</v>
      </c>
      <c r="E16" s="29" t="inlineStr">
        <is>
          <t>2</t>
        </is>
      </c>
      <c r="F16" s="29" t="n">
        <v>80</v>
      </c>
      <c r="G16" s="30">
        <f>Maxes!G4</f>
        <v/>
      </c>
      <c r="H16" s="31">
        <f>IF(OR(G16="",F16=""),"",MROUND(G16*F16/100,'Start Here'!$B$6))</f>
        <v/>
      </c>
      <c r="I16" s="32" t="n"/>
      <c r="J16" s="32" t="n"/>
      <c r="K16" s="29">
        <f>IF(OR(I16="",J16=""),"",IF(J16=1,I16,ROUND(I16*(1+J16/30),1)))</f>
        <v/>
      </c>
      <c r="L16" s="33">
        <f>IF(K16="","",IF(K16&gt;=PRs!C4,"PR!",""))</f>
        <v/>
      </c>
      <c r="M16" s="32" t="n"/>
      <c r="N16" s="34" t="inlineStr">
        <is>
          <t>Keep it heavy but short - no grinding</t>
        </is>
      </c>
    </row>
    <row r="17">
      <c r="A17" s="26" t="inlineStr">
        <is>
          <t>Day 2 - Light</t>
        </is>
      </c>
      <c r="B17" s="27">
        <f>'Start Here'!$B$7+240</f>
        <v/>
      </c>
      <c r="C17" s="29" t="inlineStr">
        <is>
          <t>Chin-up</t>
        </is>
      </c>
      <c r="D17" s="29" t="n">
        <v>2</v>
      </c>
      <c r="E17" s="29" t="inlineStr">
        <is>
          <t>6-10</t>
        </is>
      </c>
      <c r="F17" s="29" t="n"/>
      <c r="G17" s="30" t="n"/>
      <c r="H17" s="31" t="n"/>
      <c r="I17" s="32" t="n"/>
      <c r="J17" s="32" t="n"/>
      <c r="K17" s="29">
        <f>IF(OR(I17="",J17=""),"",IF(J17=1,I17,ROUND(I17*(1+J17/30),1)))</f>
        <v/>
      </c>
      <c r="L17" s="33">
        <f>IF(K17="","",IF(K17&gt;=PRs!C53,"PR!",""))</f>
        <v/>
      </c>
      <c r="M17" s="32" t="n"/>
      <c r="N17" s="34" t="inlineStr">
        <is>
          <t>Light - save energy for test week</t>
        </is>
      </c>
    </row>
    <row r="18">
      <c r="A18" s="26" t="inlineStr">
        <is>
          <t>Day 2 - Light</t>
        </is>
      </c>
      <c r="B18" s="27">
        <f>'Start Here'!$B$7+240</f>
        <v/>
      </c>
      <c r="C18" s="29" t="inlineStr">
        <is>
          <t>Plank</t>
        </is>
      </c>
      <c r="D18" s="29" t="n">
        <v>2</v>
      </c>
      <c r="E18" s="29" t="inlineStr">
        <is>
          <t>30-60s</t>
        </is>
      </c>
      <c r="F18" s="29" t="n"/>
      <c r="G18" s="30" t="n"/>
      <c r="H18" s="31" t="n"/>
      <c r="I18" s="32" t="n"/>
      <c r="J18" s="32" t="n"/>
      <c r="K18" s="29">
        <f>IF(OR(I18="",J18=""),"",IF(J18=1,I18,ROUND(I18*(1+J18/30),1)))</f>
        <v/>
      </c>
      <c r="L18" s="33">
        <f>IF(K18="","",IF(K18&gt;=PRs!C56,"PR!",""))</f>
        <v/>
      </c>
      <c r="M18" s="32" t="n"/>
      <c r="N18" s="34" t="inlineStr">
        <is>
          <t>Light - save energy for test week</t>
        </is>
      </c>
    </row>
    <row r="19">
      <c r="A19" s="26" t="inlineStr">
        <is>
          <t>Day 3 - Variations</t>
        </is>
      </c>
      <c r="B19" s="27">
        <f>'Start Here'!$B$7+242</f>
        <v/>
      </c>
      <c r="C19" s="28" t="inlineStr">
        <is>
          <t>Box Jump</t>
        </is>
      </c>
      <c r="D19" s="29" t="n">
        <v>2</v>
      </c>
      <c r="E19" s="29" t="inlineStr">
        <is>
          <t>2</t>
        </is>
      </c>
      <c r="F19" s="29" t="n"/>
      <c r="G19" s="30" t="n"/>
      <c r="H19" s="31">
        <f>IFERROR(IF(PRs!D69&lt;'Start Here'!$H$15,'Start Here'!$H$15,IF(PRs!D69&lt;'Start Here'!$H$16,'Start Here'!$H$16,IF(PRs!D69&lt;'Start Here'!$H$17,'Start Here'!$H$17,IF(PRs!D69&lt;'Start Here'!$H$18,'Start Here'!$H$18,"Elite!")))),"")</f>
        <v/>
      </c>
      <c r="I19" s="32" t="n"/>
      <c r="J19" s="32" t="n"/>
      <c r="K19" s="29" t="n"/>
      <c r="L19" s="33">
        <f>IF(I19="","",IF(I19&gt;=PRs!D69,"PR!",""))</f>
        <v/>
      </c>
      <c r="M19" s="32" t="n"/>
      <c r="N19" s="34" t="inlineStr">
        <is>
          <t>Explode up, land softly, STEP down. Full reset between reps. Log your box height; check the standards</t>
        </is>
      </c>
    </row>
    <row r="20">
      <c r="A20" s="26" t="inlineStr">
        <is>
          <t>Day 3 - Variations</t>
        </is>
      </c>
      <c r="B20" s="27">
        <f>'Start Here'!$B$7+242</f>
        <v/>
      </c>
      <c r="C20" s="31" t="inlineStr">
        <is>
          <t>Power Snatch</t>
        </is>
      </c>
      <c r="D20" s="29" t="n">
        <v>2</v>
      </c>
      <c r="E20" s="29" t="inlineStr">
        <is>
          <t>2</t>
        </is>
      </c>
      <c r="F20" s="29" t="n">
        <v>75</v>
      </c>
      <c r="G20" s="30">
        <f>Maxes!G34</f>
        <v/>
      </c>
      <c r="H20" s="31">
        <f>IF(OR(G20="",F20=""),"",MROUND(G20*F20/100,'Start Here'!$B$6))</f>
        <v/>
      </c>
      <c r="I20" s="32" t="n"/>
      <c r="J20" s="32" t="n"/>
      <c r="K20" s="29">
        <f>IF(OR(I20="",J20=""),"",IF(J20=1,I20,ROUND(I20*(1+J20/30),1)))</f>
        <v/>
      </c>
      <c r="L20" s="33">
        <f>IF(K20="","",IF(K20&gt;=PRs!C34,"PR!",""))</f>
        <v/>
      </c>
      <c r="M20" s="32" t="n"/>
      <c r="N20" s="34" t="inlineStr">
        <is>
          <t>Crisp and fast</t>
        </is>
      </c>
    </row>
    <row r="21">
      <c r="A21" s="26" t="inlineStr">
        <is>
          <t>Day 3 - Variations</t>
        </is>
      </c>
      <c r="B21" s="27">
        <f>'Start Here'!$B$7+242</f>
        <v/>
      </c>
      <c r="C21" s="31" t="inlineStr">
        <is>
          <t>Safety Bar Squat</t>
        </is>
      </c>
      <c r="D21" s="29" t="n">
        <v>2</v>
      </c>
      <c r="E21" s="29" t="inlineStr">
        <is>
          <t>3</t>
        </is>
      </c>
      <c r="F21" s="29" t="n">
        <v>75</v>
      </c>
      <c r="G21" s="30">
        <f>Maxes!G11</f>
        <v/>
      </c>
      <c r="H21" s="31">
        <f>IF(OR(G21="",F21=""),"",MROUND(G21*F21/100,'Start Here'!$B$6))</f>
        <v/>
      </c>
      <c r="I21" s="32" t="n"/>
      <c r="J21" s="32" t="n"/>
      <c r="K21" s="29">
        <f>IF(OR(I21="",J21=""),"",IF(J21=1,I21,ROUND(I21*(1+J21/30),1)))</f>
        <v/>
      </c>
      <c r="L21" s="33">
        <f>IF(K21="","",IF(K21&gt;=PRs!C11,"PR!",""))</f>
        <v/>
      </c>
      <c r="M21" s="32" t="n"/>
      <c r="N21" s="34" t="inlineStr">
        <is>
          <t>Crisp and fast</t>
        </is>
      </c>
    </row>
    <row r="22">
      <c r="A22" s="26" t="inlineStr">
        <is>
          <t>Day 3 - Variations</t>
        </is>
      </c>
      <c r="B22" s="27">
        <f>'Start Here'!$B$7+242</f>
        <v/>
      </c>
      <c r="C22" s="31" t="inlineStr">
        <is>
          <t>2-Board Press</t>
        </is>
      </c>
      <c r="D22" s="29" t="n">
        <v>2</v>
      </c>
      <c r="E22" s="29" t="inlineStr">
        <is>
          <t>3</t>
        </is>
      </c>
      <c r="F22" s="29" t="n">
        <v>75</v>
      </c>
      <c r="G22" s="30">
        <f>Maxes!G16</f>
        <v/>
      </c>
      <c r="H22" s="31">
        <f>IF(OR(G22="",F22=""),"",MROUND(G22*F22/100,'Start Here'!$B$6))</f>
        <v/>
      </c>
      <c r="I22" s="32" t="n"/>
      <c r="J22" s="32" t="n"/>
      <c r="K22" s="29">
        <f>IF(OR(I22="",J22=""),"",IF(J22=1,I22,ROUND(I22*(1+J22/30),1)))</f>
        <v/>
      </c>
      <c r="L22" s="33">
        <f>IF(K22="","",IF(K22&gt;=PRs!C16,"PR!",""))</f>
        <v/>
      </c>
      <c r="M22" s="32" t="n"/>
      <c r="N22" s="34" t="inlineStr">
        <is>
          <t>Crisp and fast</t>
        </is>
      </c>
    </row>
    <row r="23">
      <c r="A23" s="26" t="inlineStr">
        <is>
          <t>Day 3 - Variations</t>
        </is>
      </c>
      <c r="B23" s="27">
        <f>'Start Here'!$B$7+242</f>
        <v/>
      </c>
      <c r="C23" s="31" t="inlineStr">
        <is>
          <t>Romanian Deadlift</t>
        </is>
      </c>
      <c r="D23" s="29" t="n">
        <v>2</v>
      </c>
      <c r="E23" s="29" t="inlineStr">
        <is>
          <t>3</t>
        </is>
      </c>
      <c r="F23" s="29" t="n">
        <v>75</v>
      </c>
      <c r="G23" s="30">
        <f>Maxes!G23</f>
        <v/>
      </c>
      <c r="H23" s="31">
        <f>IF(OR(G23="",F23=""),"",MROUND(G23*F23/100,'Start Here'!$B$6))</f>
        <v/>
      </c>
      <c r="I23" s="32" t="n"/>
      <c r="J23" s="32" t="n"/>
      <c r="K23" s="29">
        <f>IF(OR(I23="",J23=""),"",IF(J23=1,I23,ROUND(I23*(1+J23/30),1)))</f>
        <v/>
      </c>
      <c r="L23" s="33">
        <f>IF(K23="","",IF(K23&gt;=PRs!C23,"PR!",""))</f>
        <v/>
      </c>
      <c r="M23" s="32" t="n"/>
      <c r="N23" s="34" t="inlineStr">
        <is>
          <t>Crisp and fast</t>
        </is>
      </c>
    </row>
    <row r="24">
      <c r="A24" s="26" t="inlineStr">
        <is>
          <t>Day 3 - Variations</t>
        </is>
      </c>
      <c r="B24" s="27">
        <f>'Start Here'!$B$7+242</f>
        <v/>
      </c>
      <c r="C24" s="29" t="inlineStr">
        <is>
          <t>Incline Dumbbell Press</t>
        </is>
      </c>
      <c r="D24" s="29" t="n">
        <v>2</v>
      </c>
      <c r="E24" s="29" t="inlineStr">
        <is>
          <t>8-12</t>
        </is>
      </c>
      <c r="F24" s="29" t="n"/>
      <c r="G24" s="30" t="n"/>
      <c r="H24" s="31" t="n"/>
      <c r="I24" s="32" t="n"/>
      <c r="J24" s="32" t="n"/>
      <c r="K24" s="29">
        <f>IF(OR(I24="",J24=""),"",IF(J24=1,I24,ROUND(I24*(1+J24/30),1)))</f>
        <v/>
      </c>
      <c r="L24" s="33">
        <f>IF(K24="","",IF(K24&gt;=PRs!C57,"PR!",""))</f>
        <v/>
      </c>
      <c r="M24" s="32" t="n"/>
      <c r="N24" s="34" t="inlineStr">
        <is>
          <t>Light - save energy for test week</t>
        </is>
      </c>
    </row>
    <row r="25">
      <c r="A25" s="26" t="inlineStr">
        <is>
          <t>Day 3 - Variations</t>
        </is>
      </c>
      <c r="B25" s="27">
        <f>'Start Here'!$B$7+242</f>
        <v/>
      </c>
      <c r="C25" s="29" t="inlineStr">
        <is>
          <t>Triceps Pushdown</t>
        </is>
      </c>
      <c r="D25" s="29" t="n">
        <v>2</v>
      </c>
      <c r="E25" s="29" t="inlineStr">
        <is>
          <t>10-15</t>
        </is>
      </c>
      <c r="F25" s="29" t="n"/>
      <c r="G25" s="30" t="n"/>
      <c r="H25" s="31" t="n"/>
      <c r="I25" s="32" t="n"/>
      <c r="J25" s="32" t="n"/>
      <c r="K25" s="29">
        <f>IF(OR(I25="",J25=""),"",IF(J25=1,I25,ROUND(I25*(1+J25/30),1)))</f>
        <v/>
      </c>
      <c r="L25" s="33">
        <f>IF(K25="","",IF(K25&gt;=PRs!C59,"PR!",""))</f>
        <v/>
      </c>
      <c r="M25" s="32" t="n"/>
      <c r="N25" s="34" t="inlineStr">
        <is>
          <t>Light - save energy for test week</t>
        </is>
      </c>
    </row>
  </sheetData>
  <hyperlinks>
    <hyperlink xmlns:r="http://schemas.openxmlformats.org/officeDocument/2006/relationships" ref="A2" r:id="rId1"/>
    <hyperlink xmlns:r="http://schemas.openxmlformats.org/officeDocument/2006/relationships" ref="C2" r:id="rId2"/>
    <hyperlink xmlns:r="http://schemas.openxmlformats.org/officeDocument/2006/relationships" ref="E2" r:id="rId3"/>
  </hyperlinks>
  <pageMargins left="0.75" right="0.75" top="1" bottom="1" header="0.5" footer="0.5"/>
  <pageSetup orientation="landscape" fitToHeight="0" fitToWidth="1"/>
</worksheet>
</file>

<file path=xl/worksheets/sheet38.xml><?xml version="1.0" encoding="utf-8"?>
<worksheet xmlns="http://schemas.openxmlformats.org/spreadsheetml/2006/main">
  <sheetPr>
    <tabColor rgb="00DDE3F7"/>
    <outlinePr summaryBelow="1" summaryRight="1"/>
    <pageSetUpPr fitToPage="1"/>
  </sheetPr>
  <dimension ref="A1:N25"/>
  <sheetViews>
    <sheetView workbookViewId="0">
      <pane xSplit="3" ySplit="5" topLeftCell="D6" activePane="bottomRight" state="frozen"/>
      <selection pane="topRight"/>
      <selection pane="bottomLeft"/>
      <selection pane="bottomRight" activeCell="A1" sqref="A1"/>
    </sheetView>
  </sheetViews>
  <sheetFormatPr baseColWidth="8" defaultRowHeight="15"/>
  <cols>
    <col width="17" customWidth="1" min="1" max="1"/>
    <col width="11" customWidth="1" min="2" max="2"/>
    <col width="24" customWidth="1" min="3" max="3"/>
    <col width="5" customWidth="1" min="4" max="4"/>
    <col width="6" customWidth="1" min="5" max="5"/>
    <col width="6" customWidth="1" min="6" max="6"/>
    <col width="9" customWidth="1" min="7" max="7"/>
    <col width="10" customWidth="1" min="8" max="8"/>
    <col width="13" customWidth="1" min="9" max="9"/>
    <col width="8" customWidth="1" min="10" max="10"/>
    <col width="9" customWidth="1" min="11" max="11"/>
    <col width="5" customWidth="1" min="12" max="12"/>
    <col width="22" customWidth="1" min="13" max="13"/>
    <col width="62" customWidth="1" min="14" max="14"/>
  </cols>
  <sheetData>
    <row r="1">
      <c r="A1" s="24" t="inlineStr">
        <is>
          <t>Week 36 - Cycle 3 - Test</t>
        </is>
      </c>
    </row>
    <row r="2">
      <c r="A2" s="25" t="inlineStr">
        <is>
          <t>&lt; Week 35</t>
        </is>
      </c>
      <c r="C2" s="25" t="inlineStr">
        <is>
          <t>Start Here</t>
        </is>
      </c>
      <c r="E2" s="25" t="inlineStr">
        <is>
          <t>Week 37 &gt;</t>
        </is>
      </c>
    </row>
    <row r="3">
      <c r="A3" s="10" t="inlineStr">
        <is>
          <t>Bodyweight this week</t>
        </is>
      </c>
      <c r="C3" s="4" t="n"/>
      <c r="D3" t="inlineStr">
        <is>
          <t>Weigh in once this week: same morning routine, before eating.</t>
        </is>
      </c>
    </row>
    <row r="4">
      <c r="A4" s="35" t="inlineStr">
        <is>
          <t>Body fat test due this week (month 9) - enter it on the Body sheet</t>
        </is>
      </c>
    </row>
    <row r="5">
      <c r="A5" s="5" t="inlineStr">
        <is>
          <t>Day</t>
        </is>
      </c>
      <c r="B5" s="5" t="inlineStr">
        <is>
          <t>Date</t>
        </is>
      </c>
      <c r="C5" s="5" t="inlineStr">
        <is>
          <t>Exercise</t>
        </is>
      </c>
      <c r="D5" s="5" t="inlineStr">
        <is>
          <t>Sets</t>
        </is>
      </c>
      <c r="E5" s="5" t="inlineStr">
        <is>
          <t>Reps</t>
        </is>
      </c>
      <c r="F5" s="5" t="inlineStr">
        <is>
          <t>% TM</t>
        </is>
      </c>
      <c r="G5" s="5" t="inlineStr">
        <is>
          <t>Training max</t>
        </is>
      </c>
      <c r="H5" s="5" t="inlineStr">
        <is>
          <t>Weight / target</t>
        </is>
      </c>
      <c r="I5" s="5" t="inlineStr">
        <is>
          <t>Actual (weight, height or distance)</t>
        </is>
      </c>
      <c r="J5" s="5" t="inlineStr">
        <is>
          <t>Actual reps</t>
        </is>
      </c>
      <c r="K5" s="5" t="inlineStr">
        <is>
          <t>Est. 1RM</t>
        </is>
      </c>
      <c r="L5" s="5" t="inlineStr">
        <is>
          <t>PR</t>
        </is>
      </c>
      <c r="M5" s="5" t="inlineStr">
        <is>
          <t>Notes</t>
        </is>
      </c>
      <c r="N5" s="5" t="inlineStr">
        <is>
          <t>Guidance</t>
        </is>
      </c>
    </row>
    <row r="6">
      <c r="A6" s="26" t="inlineStr">
        <is>
          <t>Day 1 - Heavy</t>
        </is>
      </c>
      <c r="B6" s="27">
        <f>'Start Here'!$B$7+245</f>
        <v/>
      </c>
      <c r="C6" s="28" t="inlineStr">
        <is>
          <t>Box Jump</t>
        </is>
      </c>
      <c r="D6" s="29" t="n">
        <v>2</v>
      </c>
      <c r="E6" s="29" t="inlineStr">
        <is>
          <t>2</t>
        </is>
      </c>
      <c r="F6" s="29" t="n"/>
      <c r="G6" s="30" t="n"/>
      <c r="H6" s="31">
        <f>IFERROR(IF(PRs!D69&lt;'Start Here'!$H$15,'Start Here'!$H$15,IF(PRs!D69&lt;'Start Here'!$H$16,'Start Here'!$H$16,IF(PRs!D69&lt;'Start Here'!$H$17,'Start Here'!$H$17,IF(PRs!D69&lt;'Start Here'!$H$18,'Start Here'!$H$18,"Elite!")))),"")</f>
        <v/>
      </c>
      <c r="I6" s="32" t="n"/>
      <c r="J6" s="32" t="n"/>
      <c r="K6" s="29" t="n"/>
      <c r="L6" s="33">
        <f>IF(I6="","",IF(I6&gt;=PRs!D69,"PR!",""))</f>
        <v/>
      </c>
      <c r="M6" s="32" t="n"/>
      <c r="N6" s="34" t="inlineStr">
        <is>
          <t>Explode up, land softly, STEP down. Full reset between reps. Log your box height; check the standards</t>
        </is>
      </c>
    </row>
    <row r="7">
      <c r="A7" s="26" t="inlineStr">
        <is>
          <t>Day 1 - Heavy</t>
        </is>
      </c>
      <c r="B7" s="27">
        <f>'Start Here'!$B$7+245</f>
        <v/>
      </c>
      <c r="C7" s="31" t="inlineStr">
        <is>
          <t>Snatch</t>
        </is>
      </c>
      <c r="D7" s="29" t="n">
        <v>1</v>
      </c>
      <c r="E7" s="29" t="inlineStr">
        <is>
          <t>Max</t>
        </is>
      </c>
      <c r="F7" s="29" t="n"/>
      <c r="G7" s="30">
        <f>Maxes!G6</f>
        <v/>
      </c>
      <c r="H7" s="31" t="n"/>
      <c r="I7" s="32" t="n"/>
      <c r="J7" s="32" t="n"/>
      <c r="K7" s="29">
        <f>IF(OR(I7="",J7=""),"",IF(J7=1,I7,ROUND(I7*(1+J7/30),1)))</f>
        <v/>
      </c>
      <c r="L7" s="33">
        <f>IF(K7="","",IF(K7&gt;=PRs!C6,"PR!",""))</f>
        <v/>
      </c>
      <c r="M7" s="32" t="n"/>
      <c r="N7" s="34" t="inlineStr">
        <is>
          <t>Work up in small jumps to a new max (1RM, or a 3RM/5RM if you prefer). Log it - it sets next cycle's weights</t>
        </is>
      </c>
    </row>
    <row r="8">
      <c r="A8" s="26" t="inlineStr">
        <is>
          <t>Day 1 - Heavy</t>
        </is>
      </c>
      <c r="B8" s="27">
        <f>'Start Here'!$B$7+245</f>
        <v/>
      </c>
      <c r="C8" s="31" t="inlineStr">
        <is>
          <t>Squat</t>
        </is>
      </c>
      <c r="D8" s="29" t="n">
        <v>1</v>
      </c>
      <c r="E8" s="29" t="inlineStr">
        <is>
          <t>Max</t>
        </is>
      </c>
      <c r="F8" s="29" t="n"/>
      <c r="G8" s="30">
        <f>Maxes!G2</f>
        <v/>
      </c>
      <c r="H8" s="31" t="n"/>
      <c r="I8" s="32" t="n"/>
      <c r="J8" s="32" t="n"/>
      <c r="K8" s="29">
        <f>IF(OR(I8="",J8=""),"",IF(J8=1,I8,ROUND(I8*(1+J8/30),1)))</f>
        <v/>
      </c>
      <c r="L8" s="33">
        <f>IF(K8="","",IF(K8&gt;=PRs!C2,"PR!",""))</f>
        <v/>
      </c>
      <c r="M8" s="32" t="n"/>
      <c r="N8" s="34" t="inlineStr">
        <is>
          <t>Work up in small jumps to a new max (1RM, or a 3RM/5RM if you prefer). Log it - it sets next cycle's weights</t>
        </is>
      </c>
    </row>
    <row r="9">
      <c r="A9" s="26" t="inlineStr">
        <is>
          <t>Day 1 - Heavy</t>
        </is>
      </c>
      <c r="B9" s="27">
        <f>'Start Here'!$B$7+245</f>
        <v/>
      </c>
      <c r="C9" s="31" t="inlineStr">
        <is>
          <t>Bench Press</t>
        </is>
      </c>
      <c r="D9" s="29" t="n">
        <v>1</v>
      </c>
      <c r="E9" s="29" t="inlineStr">
        <is>
          <t>Max</t>
        </is>
      </c>
      <c r="F9" s="29" t="n"/>
      <c r="G9" s="30">
        <f>Maxes!G3</f>
        <v/>
      </c>
      <c r="H9" s="31" t="n"/>
      <c r="I9" s="32" t="n"/>
      <c r="J9" s="32" t="n"/>
      <c r="K9" s="29">
        <f>IF(OR(I9="",J9=""),"",IF(J9=1,I9,ROUND(I9*(1+J9/30),1)))</f>
        <v/>
      </c>
      <c r="L9" s="33">
        <f>IF(K9="","",IF(K9&gt;=PRs!C3,"PR!",""))</f>
        <v/>
      </c>
      <c r="M9" s="32" t="n"/>
      <c r="N9" s="34" t="inlineStr">
        <is>
          <t>Work up in small jumps to a new max (1RM, or a 3RM/5RM if you prefer). Log it - it sets next cycle's weights</t>
        </is>
      </c>
    </row>
    <row r="10">
      <c r="A10" s="26" t="inlineStr">
        <is>
          <t>Day 1 - Heavy</t>
        </is>
      </c>
      <c r="B10" s="27">
        <f>'Start Here'!$B$7+245</f>
        <v/>
      </c>
      <c r="C10" s="29" t="inlineStr">
        <is>
          <t>Barbell Row</t>
        </is>
      </c>
      <c r="D10" s="29" t="n">
        <v>2</v>
      </c>
      <c r="E10" s="29" t="inlineStr">
        <is>
          <t>8-10</t>
        </is>
      </c>
      <c r="F10" s="29" t="n"/>
      <c r="G10" s="30" t="n"/>
      <c r="H10" s="31" t="n"/>
      <c r="I10" s="32" t="n"/>
      <c r="J10" s="32" t="n"/>
      <c r="K10" s="29">
        <f>IF(OR(I10="",J10=""),"",IF(J10=1,I10,ROUND(I10*(1+J10/30),1)))</f>
        <v/>
      </c>
      <c r="L10" s="33">
        <f>IF(K10="","",IF(K10&gt;=PRs!C50,"PR!",""))</f>
        <v/>
      </c>
      <c r="M10" s="32" t="n"/>
      <c r="N10" s="34" t="inlineStr">
        <is>
          <t>Light</t>
        </is>
      </c>
    </row>
    <row r="11">
      <c r="A11" s="26" t="inlineStr">
        <is>
          <t>Day 1 - Heavy</t>
        </is>
      </c>
      <c r="B11" s="27">
        <f>'Start Here'!$B$7+245</f>
        <v/>
      </c>
      <c r="C11" s="29" t="inlineStr">
        <is>
          <t>Face Pull</t>
        </is>
      </c>
      <c r="D11" s="29" t="n">
        <v>2</v>
      </c>
      <c r="E11" s="29" t="inlineStr">
        <is>
          <t>12-15</t>
        </is>
      </c>
      <c r="F11" s="29" t="n"/>
      <c r="G11" s="30" t="n"/>
      <c r="H11" s="31" t="n"/>
      <c r="I11" s="32" t="n"/>
      <c r="J11" s="32" t="n"/>
      <c r="K11" s="29">
        <f>IF(OR(I11="",J11=""),"",IF(J11=1,I11,ROUND(I11*(1+J11/30),1)))</f>
        <v/>
      </c>
      <c r="L11" s="33">
        <f>IF(K11="","",IF(K11&gt;=PRs!C51,"PR!",""))</f>
        <v/>
      </c>
      <c r="M11" s="32" t="n"/>
      <c r="N11" s="34" t="inlineStr">
        <is>
          <t>Light</t>
        </is>
      </c>
    </row>
    <row r="12">
      <c r="A12" s="26" t="inlineStr">
        <is>
          <t>Day 2 - Light</t>
        </is>
      </c>
      <c r="B12" s="27">
        <f>'Start Here'!$B$7+247</f>
        <v/>
      </c>
      <c r="C12" s="28" t="inlineStr">
        <is>
          <t>Broad Jump</t>
        </is>
      </c>
      <c r="D12" s="29" t="n">
        <v>1</v>
      </c>
      <c r="E12" s="29" t="inlineStr">
        <is>
          <t>Max</t>
        </is>
      </c>
      <c r="F12" s="29" t="n"/>
      <c r="G12" s="30" t="n"/>
      <c r="H12" s="31" t="n"/>
      <c r="I12" s="32" t="n"/>
      <c r="J12" s="32" t="n"/>
      <c r="K12" s="29" t="n"/>
      <c r="L12" s="33">
        <f>IF(I12="","",IF(I12&gt;=PRs!D70,"PR!",""))</f>
        <v/>
      </c>
      <c r="M12" s="32" t="n"/>
      <c r="N12" s="34" t="inlineStr">
        <is>
          <t>Test day: work up to your highest box / longest jump and log it</t>
        </is>
      </c>
    </row>
    <row r="13">
      <c r="A13" s="26" t="inlineStr">
        <is>
          <t>Day 2 - Light</t>
        </is>
      </c>
      <c r="B13" s="27">
        <f>'Start Here'!$B$7+247</f>
        <v/>
      </c>
      <c r="C13" s="31" t="inlineStr">
        <is>
          <t>Clean &amp; Jerk</t>
        </is>
      </c>
      <c r="D13" s="29" t="n">
        <v>1</v>
      </c>
      <c r="E13" s="29" t="inlineStr">
        <is>
          <t>Max</t>
        </is>
      </c>
      <c r="F13" s="29" t="n"/>
      <c r="G13" s="30">
        <f>Maxes!G7</f>
        <v/>
      </c>
      <c r="H13" s="31" t="n"/>
      <c r="I13" s="32" t="n"/>
      <c r="J13" s="32" t="n"/>
      <c r="K13" s="29">
        <f>IF(OR(I13="",J13=""),"",IF(J13=1,I13,ROUND(I13*(1+J13/30),1)))</f>
        <v/>
      </c>
      <c r="L13" s="33">
        <f>IF(K13="","",IF(K13&gt;=PRs!C7,"PR!",""))</f>
        <v/>
      </c>
      <c r="M13" s="32" t="n"/>
      <c r="N13" s="34" t="inlineStr">
        <is>
          <t>Work up in small jumps to a new max (1RM, or a 3RM/5RM if you prefer). Log it - it sets next cycle's weights</t>
        </is>
      </c>
    </row>
    <row r="14">
      <c r="A14" s="26" t="inlineStr">
        <is>
          <t>Day 2 - Light</t>
        </is>
      </c>
      <c r="B14" s="27">
        <f>'Start Here'!$B$7+247</f>
        <v/>
      </c>
      <c r="C14" s="31" t="inlineStr">
        <is>
          <t>Squat</t>
        </is>
      </c>
      <c r="D14" s="29" t="n">
        <v>2</v>
      </c>
      <c r="E14" s="29" t="inlineStr">
        <is>
          <t>3</t>
        </is>
      </c>
      <c r="F14" s="29" t="n">
        <v>60</v>
      </c>
      <c r="G14" s="30">
        <f>Maxes!G2</f>
        <v/>
      </c>
      <c r="H14" s="31">
        <f>IF(OR(G14="",F14=""),"",MROUND(G14*F14/100,'Start Here'!$B$6))</f>
        <v/>
      </c>
      <c r="I14" s="32" t="n"/>
      <c r="J14" s="32" t="n"/>
      <c r="K14" s="29">
        <f>IF(OR(I14="",J14=""),"",IF(J14=1,I14,ROUND(I14*(1+J14/30),1)))</f>
        <v/>
      </c>
      <c r="L14" s="33">
        <f>IF(K14="","",IF(K14&gt;=PRs!C2,"PR!",""))</f>
        <v/>
      </c>
      <c r="M14" s="32" t="n"/>
      <c r="N14" s="34" t="inlineStr">
        <is>
          <t>Light technique work</t>
        </is>
      </c>
    </row>
    <row r="15">
      <c r="A15" s="26" t="inlineStr">
        <is>
          <t>Day 2 - Light</t>
        </is>
      </c>
      <c r="B15" s="27">
        <f>'Start Here'!$B$7+247</f>
        <v/>
      </c>
      <c r="C15" s="31" t="inlineStr">
        <is>
          <t>Overhead Press</t>
        </is>
      </c>
      <c r="D15" s="29" t="n">
        <v>1</v>
      </c>
      <c r="E15" s="29" t="inlineStr">
        <is>
          <t>Max</t>
        </is>
      </c>
      <c r="F15" s="29" t="n"/>
      <c r="G15" s="30">
        <f>Maxes!G5</f>
        <v/>
      </c>
      <c r="H15" s="31" t="n"/>
      <c r="I15" s="32" t="n"/>
      <c r="J15" s="32" t="n"/>
      <c r="K15" s="29">
        <f>IF(OR(I15="",J15=""),"",IF(J15=1,I15,ROUND(I15*(1+J15/30),1)))</f>
        <v/>
      </c>
      <c r="L15" s="33">
        <f>IF(K15="","",IF(K15&gt;=PRs!C5,"PR!",""))</f>
        <v/>
      </c>
      <c r="M15" s="32" t="n"/>
      <c r="N15" s="34" t="inlineStr">
        <is>
          <t>Work up in small jumps to a new max (1RM, or a 3RM/5RM if you prefer). Log it - it sets next cycle's weights</t>
        </is>
      </c>
    </row>
    <row r="16">
      <c r="A16" s="26" t="inlineStr">
        <is>
          <t>Day 2 - Light</t>
        </is>
      </c>
      <c r="B16" s="27">
        <f>'Start Here'!$B$7+247</f>
        <v/>
      </c>
      <c r="C16" s="31" t="inlineStr">
        <is>
          <t>Deadlift</t>
        </is>
      </c>
      <c r="D16" s="29" t="n">
        <v>1</v>
      </c>
      <c r="E16" s="29" t="inlineStr">
        <is>
          <t>Max</t>
        </is>
      </c>
      <c r="F16" s="29" t="n"/>
      <c r="G16" s="30">
        <f>Maxes!G4</f>
        <v/>
      </c>
      <c r="H16" s="31" t="n"/>
      <c r="I16" s="32" t="n"/>
      <c r="J16" s="32" t="n"/>
      <c r="K16" s="29">
        <f>IF(OR(I16="",J16=""),"",IF(J16=1,I16,ROUND(I16*(1+J16/30),1)))</f>
        <v/>
      </c>
      <c r="L16" s="33">
        <f>IF(K16="","",IF(K16&gt;=PRs!C4,"PR!",""))</f>
        <v/>
      </c>
      <c r="M16" s="32" t="n"/>
      <c r="N16" s="34" t="inlineStr">
        <is>
          <t>Work up in small jumps to a new max (1RM, or a 3RM/5RM if you prefer). Log it - it sets next cycle's weights</t>
        </is>
      </c>
    </row>
    <row r="17">
      <c r="A17" s="26" t="inlineStr">
        <is>
          <t>Day 2 - Light</t>
        </is>
      </c>
      <c r="B17" s="27">
        <f>'Start Here'!$B$7+247</f>
        <v/>
      </c>
      <c r="C17" s="29" t="inlineStr">
        <is>
          <t>Chin-up</t>
        </is>
      </c>
      <c r="D17" s="29" t="n">
        <v>2</v>
      </c>
      <c r="E17" s="29" t="inlineStr">
        <is>
          <t>6-10</t>
        </is>
      </c>
      <c r="F17" s="29" t="n"/>
      <c r="G17" s="30" t="n"/>
      <c r="H17" s="31" t="n"/>
      <c r="I17" s="32" t="n"/>
      <c r="J17" s="32" t="n"/>
      <c r="K17" s="29">
        <f>IF(OR(I17="",J17=""),"",IF(J17=1,I17,ROUND(I17*(1+J17/30),1)))</f>
        <v/>
      </c>
      <c r="L17" s="33">
        <f>IF(K17="","",IF(K17&gt;=PRs!C53,"PR!",""))</f>
        <v/>
      </c>
      <c r="M17" s="32" t="n"/>
      <c r="N17" s="34" t="inlineStr">
        <is>
          <t>Light</t>
        </is>
      </c>
    </row>
    <row r="18">
      <c r="A18" s="26" t="inlineStr">
        <is>
          <t>Day 2 - Light</t>
        </is>
      </c>
      <c r="B18" s="27">
        <f>'Start Here'!$B$7+247</f>
        <v/>
      </c>
      <c r="C18" s="29" t="inlineStr">
        <is>
          <t>Plank</t>
        </is>
      </c>
      <c r="D18" s="29" t="n">
        <v>2</v>
      </c>
      <c r="E18" s="29" t="inlineStr">
        <is>
          <t>30-60s</t>
        </is>
      </c>
      <c r="F18" s="29" t="n"/>
      <c r="G18" s="30" t="n"/>
      <c r="H18" s="31" t="n"/>
      <c r="I18" s="32" t="n"/>
      <c r="J18" s="32" t="n"/>
      <c r="K18" s="29">
        <f>IF(OR(I18="",J18=""),"",IF(J18=1,I18,ROUND(I18*(1+J18/30),1)))</f>
        <v/>
      </c>
      <c r="L18" s="33">
        <f>IF(K18="","",IF(K18&gt;=PRs!C56,"PR!",""))</f>
        <v/>
      </c>
      <c r="M18" s="32" t="n"/>
      <c r="N18" s="34" t="inlineStr">
        <is>
          <t>Light</t>
        </is>
      </c>
    </row>
    <row r="19">
      <c r="A19" s="26" t="inlineStr">
        <is>
          <t>Day 3 - Variations</t>
        </is>
      </c>
      <c r="B19" s="27">
        <f>'Start Here'!$B$7+249</f>
        <v/>
      </c>
      <c r="C19" s="28" t="inlineStr">
        <is>
          <t>Box Jump</t>
        </is>
      </c>
      <c r="D19" s="29" t="n">
        <v>1</v>
      </c>
      <c r="E19" s="29" t="inlineStr">
        <is>
          <t>Max</t>
        </is>
      </c>
      <c r="F19" s="29" t="n"/>
      <c r="G19" s="30" t="n"/>
      <c r="H19" s="31">
        <f>IFERROR(IF(PRs!D69&lt;'Start Here'!$H$15,'Start Here'!$H$15,IF(PRs!D69&lt;'Start Here'!$H$16,'Start Here'!$H$16,IF(PRs!D69&lt;'Start Here'!$H$17,'Start Here'!$H$17,IF(PRs!D69&lt;'Start Here'!$H$18,'Start Here'!$H$18,"Elite!")))),"")</f>
        <v/>
      </c>
      <c r="I19" s="32" t="n"/>
      <c r="J19" s="32" t="n"/>
      <c r="K19" s="29" t="n"/>
      <c r="L19" s="33">
        <f>IF(I19="","",IF(I19&gt;=PRs!D69,"PR!",""))</f>
        <v/>
      </c>
      <c r="M19" s="32" t="n"/>
      <c r="N19" s="34" t="inlineStr">
        <is>
          <t>Test day: work up to your highest box / longest jump and log it</t>
        </is>
      </c>
    </row>
    <row r="20">
      <c r="A20" s="26" t="inlineStr">
        <is>
          <t>Day 3 - Variations</t>
        </is>
      </c>
      <c r="B20" s="27">
        <f>'Start Here'!$B$7+249</f>
        <v/>
      </c>
      <c r="C20" s="31" t="inlineStr">
        <is>
          <t>Power Snatch</t>
        </is>
      </c>
      <c r="D20" s="29" t="n">
        <v>1</v>
      </c>
      <c r="E20" s="29" t="inlineStr">
        <is>
          <t>1RM</t>
        </is>
      </c>
      <c r="F20" s="29" t="n"/>
      <c r="G20" s="30">
        <f>Maxes!G34</f>
        <v/>
      </c>
      <c r="H20" s="31" t="n"/>
      <c r="I20" s="32" t="n"/>
      <c r="J20" s="32" t="n"/>
      <c r="K20" s="29">
        <f>IF(OR(I20="",J20=""),"",IF(J20=1,I20,ROUND(I20*(1+J20/30),1)))</f>
        <v/>
      </c>
      <c r="L20" s="33">
        <f>IF(K20="","",IF(K20&gt;=PRs!C34,"PR!",""))</f>
        <v/>
      </c>
      <c r="M20" s="32" t="n"/>
      <c r="N20" s="34" t="inlineStr">
        <is>
          <t>Work up to a 1RM - tracked as its own PR</t>
        </is>
      </c>
    </row>
    <row r="21">
      <c r="A21" s="26" t="inlineStr">
        <is>
          <t>Day 3 - Variations</t>
        </is>
      </c>
      <c r="B21" s="27">
        <f>'Start Here'!$B$7+249</f>
        <v/>
      </c>
      <c r="C21" s="31" t="inlineStr">
        <is>
          <t>Safety Bar Squat</t>
        </is>
      </c>
      <c r="D21" s="29" t="n">
        <v>1</v>
      </c>
      <c r="E21" s="29" t="inlineStr">
        <is>
          <t>3RM</t>
        </is>
      </c>
      <c r="F21" s="29" t="n"/>
      <c r="G21" s="30">
        <f>Maxes!G11</f>
        <v/>
      </c>
      <c r="H21" s="31" t="n"/>
      <c r="I21" s="32" t="n"/>
      <c r="J21" s="32" t="n"/>
      <c r="K21" s="29">
        <f>IF(OR(I21="",J21=""),"",IF(J21=1,I21,ROUND(I21*(1+J21/30),1)))</f>
        <v/>
      </c>
      <c r="L21" s="33">
        <f>IF(K21="","",IF(K21&gt;=PRs!C11,"PR!",""))</f>
        <v/>
      </c>
      <c r="M21" s="32" t="n"/>
      <c r="N21" s="34" t="inlineStr">
        <is>
          <t>Work up to a 3RM - tracked as its own PR</t>
        </is>
      </c>
    </row>
    <row r="22">
      <c r="A22" s="26" t="inlineStr">
        <is>
          <t>Day 3 - Variations</t>
        </is>
      </c>
      <c r="B22" s="27">
        <f>'Start Here'!$B$7+249</f>
        <v/>
      </c>
      <c r="C22" s="31" t="inlineStr">
        <is>
          <t>2-Board Press</t>
        </is>
      </c>
      <c r="D22" s="29" t="n">
        <v>1</v>
      </c>
      <c r="E22" s="29" t="inlineStr">
        <is>
          <t>3RM</t>
        </is>
      </c>
      <c r="F22" s="29" t="n"/>
      <c r="G22" s="30">
        <f>Maxes!G16</f>
        <v/>
      </c>
      <c r="H22" s="31" t="n"/>
      <c r="I22" s="32" t="n"/>
      <c r="J22" s="32" t="n"/>
      <c r="K22" s="29">
        <f>IF(OR(I22="",J22=""),"",IF(J22=1,I22,ROUND(I22*(1+J22/30),1)))</f>
        <v/>
      </c>
      <c r="L22" s="33">
        <f>IF(K22="","",IF(K22&gt;=PRs!C16,"PR!",""))</f>
        <v/>
      </c>
      <c r="M22" s="32" t="n"/>
      <c r="N22" s="34" t="inlineStr">
        <is>
          <t>Work up to a 3RM - tracked as its own PR</t>
        </is>
      </c>
    </row>
    <row r="23">
      <c r="A23" s="26" t="inlineStr">
        <is>
          <t>Day 3 - Variations</t>
        </is>
      </c>
      <c r="B23" s="27">
        <f>'Start Here'!$B$7+249</f>
        <v/>
      </c>
      <c r="C23" s="31" t="inlineStr">
        <is>
          <t>Romanian Deadlift</t>
        </is>
      </c>
      <c r="D23" s="29" t="n">
        <v>1</v>
      </c>
      <c r="E23" s="29" t="inlineStr">
        <is>
          <t>3RM</t>
        </is>
      </c>
      <c r="F23" s="29" t="n"/>
      <c r="G23" s="30">
        <f>Maxes!G23</f>
        <v/>
      </c>
      <c r="H23" s="31" t="n"/>
      <c r="I23" s="32" t="n"/>
      <c r="J23" s="32" t="n"/>
      <c r="K23" s="29">
        <f>IF(OR(I23="",J23=""),"",IF(J23=1,I23,ROUND(I23*(1+J23/30),1)))</f>
        <v/>
      </c>
      <c r="L23" s="33">
        <f>IF(K23="","",IF(K23&gt;=PRs!C23,"PR!",""))</f>
        <v/>
      </c>
      <c r="M23" s="32" t="n"/>
      <c r="N23" s="34" t="inlineStr">
        <is>
          <t>Work up to a 3RM - tracked as its own PR</t>
        </is>
      </c>
    </row>
    <row r="24">
      <c r="A24" s="26" t="inlineStr">
        <is>
          <t>Day 3 - Variations</t>
        </is>
      </c>
      <c r="B24" s="27">
        <f>'Start Here'!$B$7+249</f>
        <v/>
      </c>
      <c r="C24" s="29" t="inlineStr">
        <is>
          <t>Incline Dumbbell Press</t>
        </is>
      </c>
      <c r="D24" s="29" t="n">
        <v>2</v>
      </c>
      <c r="E24" s="29" t="inlineStr">
        <is>
          <t>8-12</t>
        </is>
      </c>
      <c r="F24" s="29" t="n"/>
      <c r="G24" s="30" t="n"/>
      <c r="H24" s="31" t="n"/>
      <c r="I24" s="32" t="n"/>
      <c r="J24" s="32" t="n"/>
      <c r="K24" s="29">
        <f>IF(OR(I24="",J24=""),"",IF(J24=1,I24,ROUND(I24*(1+J24/30),1)))</f>
        <v/>
      </c>
      <c r="L24" s="33">
        <f>IF(K24="","",IF(K24&gt;=PRs!C57,"PR!",""))</f>
        <v/>
      </c>
      <c r="M24" s="32" t="n"/>
      <c r="N24" s="34" t="inlineStr">
        <is>
          <t>Light</t>
        </is>
      </c>
    </row>
    <row r="25">
      <c r="A25" s="26" t="inlineStr">
        <is>
          <t>Day 3 - Variations</t>
        </is>
      </c>
      <c r="B25" s="27">
        <f>'Start Here'!$B$7+249</f>
        <v/>
      </c>
      <c r="C25" s="29" t="inlineStr">
        <is>
          <t>Triceps Pushdown</t>
        </is>
      </c>
      <c r="D25" s="29" t="n">
        <v>2</v>
      </c>
      <c r="E25" s="29" t="inlineStr">
        <is>
          <t>10-15</t>
        </is>
      </c>
      <c r="F25" s="29" t="n"/>
      <c r="G25" s="30" t="n"/>
      <c r="H25" s="31" t="n"/>
      <c r="I25" s="32" t="n"/>
      <c r="J25" s="32" t="n"/>
      <c r="K25" s="29">
        <f>IF(OR(I25="",J25=""),"",IF(J25=1,I25,ROUND(I25*(1+J25/30),1)))</f>
        <v/>
      </c>
      <c r="L25" s="33">
        <f>IF(K25="","",IF(K25&gt;=PRs!C59,"PR!",""))</f>
        <v/>
      </c>
      <c r="M25" s="32" t="n"/>
      <c r="N25" s="34" t="inlineStr">
        <is>
          <t>Light</t>
        </is>
      </c>
    </row>
  </sheetData>
  <hyperlinks>
    <hyperlink xmlns:r="http://schemas.openxmlformats.org/officeDocument/2006/relationships" ref="A2" r:id="rId1"/>
    <hyperlink xmlns:r="http://schemas.openxmlformats.org/officeDocument/2006/relationships" ref="C2" r:id="rId2"/>
    <hyperlink xmlns:r="http://schemas.openxmlformats.org/officeDocument/2006/relationships" ref="E2" r:id="rId3"/>
    <hyperlink xmlns:r="http://schemas.openxmlformats.org/officeDocument/2006/relationships" ref="A4" r:id="rId4"/>
  </hyperlinks>
  <pageMargins left="0.75" right="0.75" top="1" bottom="1" header="0.5" footer="0.5"/>
  <pageSetup orientation="landscape" fitToHeight="0" fitToWidth="1"/>
</worksheet>
</file>

<file path=xl/worksheets/sheet39.xml><?xml version="1.0" encoding="utf-8"?>
<worksheet xmlns="http://schemas.openxmlformats.org/spreadsheetml/2006/main">
  <sheetPr>
    <tabColor rgb="00DCEFDC"/>
    <outlinePr summaryBelow="1" summaryRight="1"/>
    <pageSetUpPr fitToPage="1"/>
  </sheetPr>
  <dimension ref="A1:N25"/>
  <sheetViews>
    <sheetView workbookViewId="0">
      <pane xSplit="3" ySplit="5" topLeftCell="D6" activePane="bottomRight" state="frozen"/>
      <selection pane="topRight"/>
      <selection pane="bottomLeft"/>
      <selection pane="bottomRight" activeCell="A1" sqref="A1"/>
    </sheetView>
  </sheetViews>
  <sheetFormatPr baseColWidth="8" defaultRowHeight="15"/>
  <cols>
    <col width="17" customWidth="1" min="1" max="1"/>
    <col width="11" customWidth="1" min="2" max="2"/>
    <col width="24" customWidth="1" min="3" max="3"/>
    <col width="5" customWidth="1" min="4" max="4"/>
    <col width="6" customWidth="1" min="5" max="5"/>
    <col width="6" customWidth="1" min="6" max="6"/>
    <col width="9" customWidth="1" min="7" max="7"/>
    <col width="10" customWidth="1" min="8" max="8"/>
    <col width="13" customWidth="1" min="9" max="9"/>
    <col width="8" customWidth="1" min="10" max="10"/>
    <col width="9" customWidth="1" min="11" max="11"/>
    <col width="5" customWidth="1" min="12" max="12"/>
    <col width="22" customWidth="1" min="13" max="13"/>
    <col width="62" customWidth="1" min="14" max="14"/>
  </cols>
  <sheetData>
    <row r="1">
      <c r="A1" s="24" t="inlineStr">
        <is>
          <t>Week 37 - Cycle 4 - Accumulation</t>
        </is>
      </c>
    </row>
    <row r="2">
      <c r="A2" s="25" t="inlineStr">
        <is>
          <t>&lt; Week 36</t>
        </is>
      </c>
      <c r="C2" s="25" t="inlineStr">
        <is>
          <t>Start Here</t>
        </is>
      </c>
      <c r="E2" s="25" t="inlineStr">
        <is>
          <t>Week 38 &gt;</t>
        </is>
      </c>
    </row>
    <row r="3">
      <c r="A3" s="10" t="inlineStr">
        <is>
          <t>Bodyweight this week</t>
        </is>
      </c>
      <c r="C3" s="4" t="n"/>
      <c r="D3" t="inlineStr">
        <is>
          <t>Weigh in once this week: same morning routine, before eating.</t>
        </is>
      </c>
    </row>
    <row r="5">
      <c r="A5" s="5" t="inlineStr">
        <is>
          <t>Day</t>
        </is>
      </c>
      <c r="B5" s="5" t="inlineStr">
        <is>
          <t>Date</t>
        </is>
      </c>
      <c r="C5" s="5" t="inlineStr">
        <is>
          <t>Exercise</t>
        </is>
      </c>
      <c r="D5" s="5" t="inlineStr">
        <is>
          <t>Sets</t>
        </is>
      </c>
      <c r="E5" s="5" t="inlineStr">
        <is>
          <t>Reps</t>
        </is>
      </c>
      <c r="F5" s="5" t="inlineStr">
        <is>
          <t>% TM</t>
        </is>
      </c>
      <c r="G5" s="5" t="inlineStr">
        <is>
          <t>Training max</t>
        </is>
      </c>
      <c r="H5" s="5" t="inlineStr">
        <is>
          <t>Weight / target</t>
        </is>
      </c>
      <c r="I5" s="5" t="inlineStr">
        <is>
          <t>Actual (weight, height or distance)</t>
        </is>
      </c>
      <c r="J5" s="5" t="inlineStr">
        <is>
          <t>Actual reps</t>
        </is>
      </c>
      <c r="K5" s="5" t="inlineStr">
        <is>
          <t>Est. 1RM</t>
        </is>
      </c>
      <c r="L5" s="5" t="inlineStr">
        <is>
          <t>PR</t>
        </is>
      </c>
      <c r="M5" s="5" t="inlineStr">
        <is>
          <t>Notes</t>
        </is>
      </c>
      <c r="N5" s="5" t="inlineStr">
        <is>
          <t>Guidance</t>
        </is>
      </c>
    </row>
    <row r="6">
      <c r="A6" s="26" t="inlineStr">
        <is>
          <t>Day 1 - Heavy</t>
        </is>
      </c>
      <c r="B6" s="27">
        <f>'Start Here'!$B$7+252</f>
        <v/>
      </c>
      <c r="C6" s="28" t="inlineStr">
        <is>
          <t>Box Jump</t>
        </is>
      </c>
      <c r="D6" s="29" t="n">
        <v>4</v>
      </c>
      <c r="E6" s="29" t="inlineStr">
        <is>
          <t>3</t>
        </is>
      </c>
      <c r="F6" s="29" t="n"/>
      <c r="G6" s="30" t="n"/>
      <c r="H6" s="31">
        <f>IFERROR(IF(PRs!D69&lt;'Start Here'!$H$15,'Start Here'!$H$15,IF(PRs!D69&lt;'Start Here'!$H$16,'Start Here'!$H$16,IF(PRs!D69&lt;'Start Here'!$H$17,'Start Here'!$H$17,IF(PRs!D69&lt;'Start Here'!$H$18,'Start Here'!$H$18,"Elite!")))),"")</f>
        <v/>
      </c>
      <c r="I6" s="32" t="n"/>
      <c r="J6" s="32" t="n"/>
      <c r="K6" s="29" t="n"/>
      <c r="L6" s="33">
        <f>IF(I6="","",IF(I6&gt;=PRs!D69,"PR!",""))</f>
        <v/>
      </c>
      <c r="M6" s="32" t="n"/>
      <c r="N6" s="34" t="inlineStr">
        <is>
          <t>Explode up, land softly, STEP down. Full reset between reps. Log your box height; check the standards</t>
        </is>
      </c>
    </row>
    <row r="7">
      <c r="A7" s="26" t="inlineStr">
        <is>
          <t>Day 1 - Heavy</t>
        </is>
      </c>
      <c r="B7" s="27">
        <f>'Start Here'!$B$7+252</f>
        <v/>
      </c>
      <c r="C7" s="31" t="inlineStr">
        <is>
          <t>Snatch</t>
        </is>
      </c>
      <c r="D7" s="29" t="n">
        <v>4</v>
      </c>
      <c r="E7" s="29" t="inlineStr">
        <is>
          <t>3</t>
        </is>
      </c>
      <c r="F7" s="29" t="n">
        <v>70</v>
      </c>
      <c r="G7" s="30">
        <f>Maxes!H6</f>
        <v/>
      </c>
      <c r="H7" s="31">
        <f>IF(OR(G7="",F7=""),"",MROUND(G7*F7/100,'Start Here'!$B$6))</f>
        <v/>
      </c>
      <c r="I7" s="32" t="n"/>
      <c r="J7" s="32" t="n"/>
      <c r="K7" s="29">
        <f>IF(OR(I7="",J7=""),"",IF(J7=1,I7,ROUND(I7*(1+J7/30),1)))</f>
        <v/>
      </c>
      <c r="L7" s="33">
        <f>IF(K7="","",IF(K7&gt;=PRs!C6,"PR!",""))</f>
        <v/>
      </c>
      <c r="M7" s="32" t="n"/>
      <c r="N7" s="34" t="inlineStr"/>
    </row>
    <row r="8">
      <c r="A8" s="26" t="inlineStr">
        <is>
          <t>Day 1 - Heavy</t>
        </is>
      </c>
      <c r="B8" s="27">
        <f>'Start Here'!$B$7+252</f>
        <v/>
      </c>
      <c r="C8" s="31" t="inlineStr">
        <is>
          <t>Squat</t>
        </is>
      </c>
      <c r="D8" s="29" t="n">
        <v>3</v>
      </c>
      <c r="E8" s="29" t="inlineStr">
        <is>
          <t>6</t>
        </is>
      </c>
      <c r="F8" s="29" t="n">
        <v>70</v>
      </c>
      <c r="G8" s="30">
        <f>Maxes!H2</f>
        <v/>
      </c>
      <c r="H8" s="31">
        <f>IF(OR(G8="",F8=""),"",MROUND(G8*F8/100,'Start Here'!$B$6))</f>
        <v/>
      </c>
      <c r="I8" s="32" t="n"/>
      <c r="J8" s="32" t="n"/>
      <c r="K8" s="29">
        <f>IF(OR(I8="",J8=""),"",IF(J8=1,I8,ROUND(I8*(1+J8/30),1)))</f>
        <v/>
      </c>
      <c r="L8" s="33">
        <f>IF(K8="","",IF(K8&gt;=PRs!C2,"PR!",""))</f>
        <v/>
      </c>
      <c r="M8" s="32" t="n"/>
      <c r="N8" s="34" t="inlineStr"/>
    </row>
    <row r="9">
      <c r="A9" s="26" t="inlineStr">
        <is>
          <t>Day 1 - Heavy</t>
        </is>
      </c>
      <c r="B9" s="27">
        <f>'Start Here'!$B$7+252</f>
        <v/>
      </c>
      <c r="C9" s="31" t="inlineStr">
        <is>
          <t>Bench Press</t>
        </is>
      </c>
      <c r="D9" s="29" t="n">
        <v>3</v>
      </c>
      <c r="E9" s="29" t="inlineStr">
        <is>
          <t>6</t>
        </is>
      </c>
      <c r="F9" s="29" t="n">
        <v>70</v>
      </c>
      <c r="G9" s="30">
        <f>Maxes!H3</f>
        <v/>
      </c>
      <c r="H9" s="31">
        <f>IF(OR(G9="",F9=""),"",MROUND(G9*F9/100,'Start Here'!$B$6))</f>
        <v/>
      </c>
      <c r="I9" s="32" t="n"/>
      <c r="J9" s="32" t="n"/>
      <c r="K9" s="29">
        <f>IF(OR(I9="",J9=""),"",IF(J9=1,I9,ROUND(I9*(1+J9/30),1)))</f>
        <v/>
      </c>
      <c r="L9" s="33">
        <f>IF(K9="","",IF(K9&gt;=PRs!C3,"PR!",""))</f>
        <v/>
      </c>
      <c r="M9" s="32" t="n"/>
      <c r="N9" s="34" t="inlineStr"/>
    </row>
    <row r="10">
      <c r="A10" s="26" t="inlineStr">
        <is>
          <t>Day 1 - Heavy</t>
        </is>
      </c>
      <c r="B10" s="27">
        <f>'Start Here'!$B$7+252</f>
        <v/>
      </c>
      <c r="C10" s="29" t="inlineStr">
        <is>
          <t>Barbell Row</t>
        </is>
      </c>
      <c r="D10" s="29" t="n">
        <v>4</v>
      </c>
      <c r="E10" s="29" t="inlineStr">
        <is>
          <t>8-10</t>
        </is>
      </c>
      <c r="F10" s="29" t="n"/>
      <c r="G10" s="30" t="n"/>
      <c r="H10" s="31" t="n"/>
      <c r="I10" s="32" t="n"/>
      <c r="J10" s="32" t="n"/>
      <c r="K10" s="29">
        <f>IF(OR(I10="",J10=""),"",IF(J10=1,I10,ROUND(I10*(1+J10/30),1)))</f>
        <v/>
      </c>
      <c r="L10" s="33">
        <f>IF(K10="","",IF(K10&gt;=PRs!C50,"PR!",""))</f>
        <v/>
      </c>
      <c r="M10" s="32" t="n"/>
      <c r="N10" s="34" t="inlineStr">
        <is>
          <t>Leave 1-2 reps in the tank; add weight when you hit the top of the range</t>
        </is>
      </c>
    </row>
    <row r="11">
      <c r="A11" s="26" t="inlineStr">
        <is>
          <t>Day 1 - Heavy</t>
        </is>
      </c>
      <c r="B11" s="27">
        <f>'Start Here'!$B$7+252</f>
        <v/>
      </c>
      <c r="C11" s="29" t="inlineStr">
        <is>
          <t>Face Pull</t>
        </is>
      </c>
      <c r="D11" s="29" t="n">
        <v>4</v>
      </c>
      <c r="E11" s="29" t="inlineStr">
        <is>
          <t>12-15</t>
        </is>
      </c>
      <c r="F11" s="29" t="n"/>
      <c r="G11" s="30" t="n"/>
      <c r="H11" s="31" t="n"/>
      <c r="I11" s="32" t="n"/>
      <c r="J11" s="32" t="n"/>
      <c r="K11" s="29">
        <f>IF(OR(I11="",J11=""),"",IF(J11=1,I11,ROUND(I11*(1+J11/30),1)))</f>
        <v/>
      </c>
      <c r="L11" s="33">
        <f>IF(K11="","",IF(K11&gt;=PRs!C51,"PR!",""))</f>
        <v/>
      </c>
      <c r="M11" s="32" t="n"/>
      <c r="N11" s="34" t="inlineStr">
        <is>
          <t>Leave 1-2 reps in the tank; add weight when you hit the top of the range</t>
        </is>
      </c>
    </row>
    <row r="12">
      <c r="A12" s="26" t="inlineStr">
        <is>
          <t>Day 2 - Light</t>
        </is>
      </c>
      <c r="B12" s="27">
        <f>'Start Here'!$B$7+254</f>
        <v/>
      </c>
      <c r="C12" s="28" t="inlineStr">
        <is>
          <t>Broad Jump</t>
        </is>
      </c>
      <c r="D12" s="29" t="n">
        <v>4</v>
      </c>
      <c r="E12" s="29" t="inlineStr">
        <is>
          <t>3</t>
        </is>
      </c>
      <c r="F12" s="29" t="n"/>
      <c r="G12" s="30" t="n"/>
      <c r="H12" s="31" t="n"/>
      <c r="I12" s="32" t="n"/>
      <c r="J12" s="32" t="n"/>
      <c r="K12" s="29" t="n"/>
      <c r="L12" s="33">
        <f>IF(I12="","",IF(I12&gt;=PRs!D70,"PR!",""))</f>
        <v/>
      </c>
      <c r="M12" s="32" t="n"/>
      <c r="N12" s="34" t="inlineStr">
        <is>
          <t>Two-foot jump for distance, stick the landing. Full reset between reps. Log your best distance</t>
        </is>
      </c>
    </row>
    <row r="13">
      <c r="A13" s="26" t="inlineStr">
        <is>
          <t>Day 2 - Light</t>
        </is>
      </c>
      <c r="B13" s="27">
        <f>'Start Here'!$B$7+254</f>
        <v/>
      </c>
      <c r="C13" s="31" t="inlineStr">
        <is>
          <t>Clean &amp; Jerk</t>
        </is>
      </c>
      <c r="D13" s="29" t="n">
        <v>4</v>
      </c>
      <c r="E13" s="29" t="inlineStr">
        <is>
          <t>3</t>
        </is>
      </c>
      <c r="F13" s="29" t="n">
        <v>70</v>
      </c>
      <c r="G13" s="30">
        <f>Maxes!H7</f>
        <v/>
      </c>
      <c r="H13" s="31">
        <f>IF(OR(G13="",F13=""),"",MROUND(G13*F13/100,'Start Here'!$B$6))</f>
        <v/>
      </c>
      <c r="I13" s="32" t="n"/>
      <c r="J13" s="32" t="n"/>
      <c r="K13" s="29">
        <f>IF(OR(I13="",J13=""),"",IF(J13=1,I13,ROUND(I13*(1+J13/30),1)))</f>
        <v/>
      </c>
      <c r="L13" s="33">
        <f>IF(K13="","",IF(K13&gt;=PRs!C7,"PR!",""))</f>
        <v/>
      </c>
      <c r="M13" s="32" t="n"/>
      <c r="N13" s="34" t="inlineStr"/>
    </row>
    <row r="14">
      <c r="A14" s="26" t="inlineStr">
        <is>
          <t>Day 2 - Light</t>
        </is>
      </c>
      <c r="B14" s="27">
        <f>'Start Here'!$B$7+254</f>
        <v/>
      </c>
      <c r="C14" s="31" t="inlineStr">
        <is>
          <t>Squat</t>
        </is>
      </c>
      <c r="D14" s="29" t="n">
        <v>3</v>
      </c>
      <c r="E14" s="29" t="inlineStr">
        <is>
          <t>6</t>
        </is>
      </c>
      <c r="F14" s="29" t="n">
        <v>60</v>
      </c>
      <c r="G14" s="30">
        <f>Maxes!H2</f>
        <v/>
      </c>
      <c r="H14" s="31">
        <f>IF(OR(G14="",F14=""),"",MROUND(G14*F14/100,'Start Here'!$B$6))</f>
        <v/>
      </c>
      <c r="I14" s="32" t="n"/>
      <c r="J14" s="32" t="n"/>
      <c r="K14" s="29">
        <f>IF(OR(I14="",J14=""),"",IF(J14=1,I14,ROUND(I14*(1+J14/30),1)))</f>
        <v/>
      </c>
      <c r="L14" s="33">
        <f>IF(K14="","",IF(K14&gt;=PRs!C2,"PR!",""))</f>
        <v/>
      </c>
      <c r="M14" s="32" t="n"/>
      <c r="N14" s="34" t="inlineStr"/>
    </row>
    <row r="15">
      <c r="A15" s="26" t="inlineStr">
        <is>
          <t>Day 2 - Light</t>
        </is>
      </c>
      <c r="B15" s="27">
        <f>'Start Here'!$B$7+254</f>
        <v/>
      </c>
      <c r="C15" s="31" t="inlineStr">
        <is>
          <t>Overhead Press</t>
        </is>
      </c>
      <c r="D15" s="29" t="n">
        <v>4</v>
      </c>
      <c r="E15" s="29" t="inlineStr">
        <is>
          <t>6</t>
        </is>
      </c>
      <c r="F15" s="29" t="n">
        <v>65</v>
      </c>
      <c r="G15" s="30">
        <f>Maxes!H5</f>
        <v/>
      </c>
      <c r="H15" s="31">
        <f>IF(OR(G15="",F15=""),"",MROUND(G15*F15/100,'Start Here'!$B$6))</f>
        <v/>
      </c>
      <c r="I15" s="32" t="n"/>
      <c r="J15" s="32" t="n"/>
      <c r="K15" s="29">
        <f>IF(OR(I15="",J15=""),"",IF(J15=1,I15,ROUND(I15*(1+J15/30),1)))</f>
        <v/>
      </c>
      <c r="L15" s="33">
        <f>IF(K15="","",IF(K15&gt;=PRs!C5,"PR!",""))</f>
        <v/>
      </c>
      <c r="M15" s="32" t="n"/>
      <c r="N15" s="34" t="inlineStr"/>
    </row>
    <row r="16">
      <c r="A16" s="26" t="inlineStr">
        <is>
          <t>Day 2 - Light</t>
        </is>
      </c>
      <c r="B16" s="27">
        <f>'Start Here'!$B$7+254</f>
        <v/>
      </c>
      <c r="C16" s="31" t="inlineStr">
        <is>
          <t>Deadlift</t>
        </is>
      </c>
      <c r="D16" s="29" t="n">
        <v>3</v>
      </c>
      <c r="E16" s="29" t="inlineStr">
        <is>
          <t>6</t>
        </is>
      </c>
      <c r="F16" s="29" t="n">
        <v>65</v>
      </c>
      <c r="G16" s="30">
        <f>Maxes!H4</f>
        <v/>
      </c>
      <c r="H16" s="31">
        <f>IF(OR(G16="",F16=""),"",MROUND(G16*F16/100,'Start Here'!$B$6))</f>
        <v/>
      </c>
      <c r="I16" s="32" t="n"/>
      <c r="J16" s="32" t="n"/>
      <c r="K16" s="29">
        <f>IF(OR(I16="",J16=""),"",IF(J16=1,I16,ROUND(I16*(1+J16/30),1)))</f>
        <v/>
      </c>
      <c r="L16" s="33">
        <f>IF(K16="","",IF(K16&gt;=PRs!C4,"PR!",""))</f>
        <v/>
      </c>
      <c r="M16" s="32" t="n"/>
      <c r="N16" s="34" t="inlineStr"/>
    </row>
    <row r="17">
      <c r="A17" s="26" t="inlineStr">
        <is>
          <t>Day 2 - Light</t>
        </is>
      </c>
      <c r="B17" s="27">
        <f>'Start Here'!$B$7+254</f>
        <v/>
      </c>
      <c r="C17" s="29" t="inlineStr">
        <is>
          <t>Chin-up</t>
        </is>
      </c>
      <c r="D17" s="29" t="n">
        <v>4</v>
      </c>
      <c r="E17" s="29" t="inlineStr">
        <is>
          <t>6-10</t>
        </is>
      </c>
      <c r="F17" s="29" t="n"/>
      <c r="G17" s="30" t="n"/>
      <c r="H17" s="31" t="n"/>
      <c r="I17" s="32" t="n"/>
      <c r="J17" s="32" t="n"/>
      <c r="K17" s="29">
        <f>IF(OR(I17="",J17=""),"",IF(J17=1,I17,ROUND(I17*(1+J17/30),1)))</f>
        <v/>
      </c>
      <c r="L17" s="33">
        <f>IF(K17="","",IF(K17&gt;=PRs!C53,"PR!",""))</f>
        <v/>
      </c>
      <c r="M17" s="32" t="n"/>
      <c r="N17" s="34" t="inlineStr">
        <is>
          <t>Leave 1-2 reps in the tank; add weight when you hit the top of the range</t>
        </is>
      </c>
    </row>
    <row r="18">
      <c r="A18" s="26" t="inlineStr">
        <is>
          <t>Day 2 - Light</t>
        </is>
      </c>
      <c r="B18" s="27">
        <f>'Start Here'!$B$7+254</f>
        <v/>
      </c>
      <c r="C18" s="29" t="inlineStr">
        <is>
          <t>Plank</t>
        </is>
      </c>
      <c r="D18" s="29" t="n">
        <v>4</v>
      </c>
      <c r="E18" s="29" t="inlineStr">
        <is>
          <t>30-60s</t>
        </is>
      </c>
      <c r="F18" s="29" t="n"/>
      <c r="G18" s="30" t="n"/>
      <c r="H18" s="31" t="n"/>
      <c r="I18" s="32" t="n"/>
      <c r="J18" s="32" t="n"/>
      <c r="K18" s="29">
        <f>IF(OR(I18="",J18=""),"",IF(J18=1,I18,ROUND(I18*(1+J18/30),1)))</f>
        <v/>
      </c>
      <c r="L18" s="33">
        <f>IF(K18="","",IF(K18&gt;=PRs!C56,"PR!",""))</f>
        <v/>
      </c>
      <c r="M18" s="32" t="n"/>
      <c r="N18" s="34" t="inlineStr">
        <is>
          <t>Leave 1-2 reps in the tank; add weight when you hit the top of the range</t>
        </is>
      </c>
    </row>
    <row r="19">
      <c r="A19" s="26" t="inlineStr">
        <is>
          <t>Day 3 - Variations</t>
        </is>
      </c>
      <c r="B19" s="27">
        <f>'Start Here'!$B$7+256</f>
        <v/>
      </c>
      <c r="C19" s="28" t="inlineStr">
        <is>
          <t>Box Jump</t>
        </is>
      </c>
      <c r="D19" s="29" t="n">
        <v>4</v>
      </c>
      <c r="E19" s="29" t="inlineStr">
        <is>
          <t>3</t>
        </is>
      </c>
      <c r="F19" s="29" t="n"/>
      <c r="G19" s="30" t="n"/>
      <c r="H19" s="31">
        <f>IFERROR(IF(PRs!D69&lt;'Start Here'!$H$15,'Start Here'!$H$15,IF(PRs!D69&lt;'Start Here'!$H$16,'Start Here'!$H$16,IF(PRs!D69&lt;'Start Here'!$H$17,'Start Here'!$H$17,IF(PRs!D69&lt;'Start Here'!$H$18,'Start Here'!$H$18,"Elite!")))),"")</f>
        <v/>
      </c>
      <c r="I19" s="32" t="n"/>
      <c r="J19" s="32" t="n"/>
      <c r="K19" s="29" t="n"/>
      <c r="L19" s="33">
        <f>IF(I19="","",IF(I19&gt;=PRs!D69,"PR!",""))</f>
        <v/>
      </c>
      <c r="M19" s="32" t="n"/>
      <c r="N19" s="34" t="inlineStr">
        <is>
          <t>Explode up, land softly, STEP down. Full reset between reps. Log your box height; check the standards</t>
        </is>
      </c>
    </row>
    <row r="20">
      <c r="A20" s="26" t="inlineStr">
        <is>
          <t>Day 3 - Variations</t>
        </is>
      </c>
      <c r="B20" s="27">
        <f>'Start Here'!$B$7+256</f>
        <v/>
      </c>
      <c r="C20" s="31" t="inlineStr">
        <is>
          <t>Power Clean</t>
        </is>
      </c>
      <c r="D20" s="29" t="n">
        <v>6</v>
      </c>
      <c r="E20" s="29" t="inlineStr">
        <is>
          <t>3</t>
        </is>
      </c>
      <c r="F20" s="29" t="n">
        <v>65</v>
      </c>
      <c r="G20" s="30">
        <f>Maxes!H42</f>
        <v/>
      </c>
      <c r="H20" s="31">
        <f>IF(OR(G20="",F20=""),"",MROUND(G20*F20/100,'Start Here'!$B$6))</f>
        <v/>
      </c>
      <c r="I20" s="32" t="n"/>
      <c r="J20" s="32" t="n"/>
      <c r="K20" s="29">
        <f>IF(OR(I20="",J20=""),"",IF(J20=1,I20,ROUND(I20*(1+J20/30),1)))</f>
        <v/>
      </c>
      <c r="L20" s="33">
        <f>IF(K20="","",IF(K20&gt;=PRs!C42,"PR!",""))</f>
        <v/>
      </c>
      <c r="M20" s="32" t="n"/>
      <c r="N20" s="34" t="inlineStr"/>
    </row>
    <row r="21">
      <c r="A21" s="26" t="inlineStr">
        <is>
          <t>Day 3 - Variations</t>
        </is>
      </c>
      <c r="B21" s="27">
        <f>'Start Here'!$B$7+256</f>
        <v/>
      </c>
      <c r="C21" s="31" t="inlineStr">
        <is>
          <t>Pin Squat</t>
        </is>
      </c>
      <c r="D21" s="29" t="n">
        <v>4</v>
      </c>
      <c r="E21" s="29" t="inlineStr">
        <is>
          <t>6</t>
        </is>
      </c>
      <c r="F21" s="29" t="n">
        <v>65</v>
      </c>
      <c r="G21" s="30">
        <f>Maxes!H12</f>
        <v/>
      </c>
      <c r="H21" s="31">
        <f>IF(OR(G21="",F21=""),"",MROUND(G21*F21/100,'Start Here'!$B$6))</f>
        <v/>
      </c>
      <c r="I21" s="32" t="n"/>
      <c r="J21" s="32" t="n"/>
      <c r="K21" s="29">
        <f>IF(OR(I21="",J21=""),"",IF(J21=1,I21,ROUND(I21*(1+J21/30),1)))</f>
        <v/>
      </c>
      <c r="L21" s="33">
        <f>IF(K21="","",IF(K21&gt;=PRs!C12,"PR!",""))</f>
        <v/>
      </c>
      <c r="M21" s="32" t="n"/>
      <c r="N21" s="34" t="inlineStr"/>
    </row>
    <row r="22">
      <c r="A22" s="26" t="inlineStr">
        <is>
          <t>Day 3 - Variations</t>
        </is>
      </c>
      <c r="B22" s="27">
        <f>'Start Here'!$B$7+256</f>
        <v/>
      </c>
      <c r="C22" s="31" t="inlineStr">
        <is>
          <t>Pause Bench Press</t>
        </is>
      </c>
      <c r="D22" s="29" t="n">
        <v>4</v>
      </c>
      <c r="E22" s="29" t="inlineStr">
        <is>
          <t>6</t>
        </is>
      </c>
      <c r="F22" s="29" t="n">
        <v>65</v>
      </c>
      <c r="G22" s="30">
        <f>Maxes!H18</f>
        <v/>
      </c>
      <c r="H22" s="31">
        <f>IF(OR(G22="",F22=""),"",MROUND(G22*F22/100,'Start Here'!$B$6))</f>
        <v/>
      </c>
      <c r="I22" s="32" t="n"/>
      <c r="J22" s="32" t="n"/>
      <c r="K22" s="29">
        <f>IF(OR(I22="",J22=""),"",IF(J22=1,I22,ROUND(I22*(1+J22/30),1)))</f>
        <v/>
      </c>
      <c r="L22" s="33">
        <f>IF(K22="","",IF(K22&gt;=PRs!C18,"PR!",""))</f>
        <v/>
      </c>
      <c r="M22" s="32" t="n"/>
      <c r="N22" s="34" t="inlineStr"/>
    </row>
    <row r="23">
      <c r="A23" s="26" t="inlineStr">
        <is>
          <t>Day 3 - Variations</t>
        </is>
      </c>
      <c r="B23" s="27">
        <f>'Start Here'!$B$7+256</f>
        <v/>
      </c>
      <c r="C23" s="31" t="inlineStr">
        <is>
          <t>Deficit Deadlift</t>
        </is>
      </c>
      <c r="D23" s="29" t="n">
        <v>3</v>
      </c>
      <c r="E23" s="29" t="inlineStr">
        <is>
          <t>6</t>
        </is>
      </c>
      <c r="F23" s="29" t="n">
        <v>60</v>
      </c>
      <c r="G23" s="30">
        <f>Maxes!H24</f>
        <v/>
      </c>
      <c r="H23" s="31">
        <f>IF(OR(G23="",F23=""),"",MROUND(G23*F23/100,'Start Here'!$B$6))</f>
        <v/>
      </c>
      <c r="I23" s="32" t="n"/>
      <c r="J23" s="32" t="n"/>
      <c r="K23" s="29">
        <f>IF(OR(I23="",J23=""),"",IF(J23=1,I23,ROUND(I23*(1+J23/30),1)))</f>
        <v/>
      </c>
      <c r="L23" s="33">
        <f>IF(K23="","",IF(K23&gt;=PRs!C24,"PR!",""))</f>
        <v/>
      </c>
      <c r="M23" s="32" t="n"/>
      <c r="N23" s="34" t="inlineStr"/>
    </row>
    <row r="24">
      <c r="A24" s="26" t="inlineStr">
        <is>
          <t>Day 3 - Variations</t>
        </is>
      </c>
      <c r="B24" s="27">
        <f>'Start Here'!$B$7+256</f>
        <v/>
      </c>
      <c r="C24" s="29" t="inlineStr">
        <is>
          <t>Incline Dumbbell Press</t>
        </is>
      </c>
      <c r="D24" s="29" t="n">
        <v>4</v>
      </c>
      <c r="E24" s="29" t="inlineStr">
        <is>
          <t>8-12</t>
        </is>
      </c>
      <c r="F24" s="29" t="n"/>
      <c r="G24" s="30" t="n"/>
      <c r="H24" s="31" t="n"/>
      <c r="I24" s="32" t="n"/>
      <c r="J24" s="32" t="n"/>
      <c r="K24" s="29">
        <f>IF(OR(I24="",J24=""),"",IF(J24=1,I24,ROUND(I24*(1+J24/30),1)))</f>
        <v/>
      </c>
      <c r="L24" s="33">
        <f>IF(K24="","",IF(K24&gt;=PRs!C57,"PR!",""))</f>
        <v/>
      </c>
      <c r="M24" s="32" t="n"/>
      <c r="N24" s="34" t="inlineStr">
        <is>
          <t>Leave 1-2 reps in the tank; add weight when you hit the top of the range</t>
        </is>
      </c>
    </row>
    <row r="25">
      <c r="A25" s="26" t="inlineStr">
        <is>
          <t>Day 3 - Variations</t>
        </is>
      </c>
      <c r="B25" s="27">
        <f>'Start Here'!$B$7+256</f>
        <v/>
      </c>
      <c r="C25" s="29" t="inlineStr">
        <is>
          <t>Triceps Pushdown</t>
        </is>
      </c>
      <c r="D25" s="29" t="n">
        <v>4</v>
      </c>
      <c r="E25" s="29" t="inlineStr">
        <is>
          <t>10-15</t>
        </is>
      </c>
      <c r="F25" s="29" t="n"/>
      <c r="G25" s="30" t="n"/>
      <c r="H25" s="31" t="n"/>
      <c r="I25" s="32" t="n"/>
      <c r="J25" s="32" t="n"/>
      <c r="K25" s="29">
        <f>IF(OR(I25="",J25=""),"",IF(J25=1,I25,ROUND(I25*(1+J25/30),1)))</f>
        <v/>
      </c>
      <c r="L25" s="33">
        <f>IF(K25="","",IF(K25&gt;=PRs!C59,"PR!",""))</f>
        <v/>
      </c>
      <c r="M25" s="32" t="n"/>
      <c r="N25" s="34" t="inlineStr">
        <is>
          <t>Leave 1-2 reps in the tank; add weight when you hit the top of the range</t>
        </is>
      </c>
    </row>
  </sheetData>
  <hyperlinks>
    <hyperlink xmlns:r="http://schemas.openxmlformats.org/officeDocument/2006/relationships" ref="A2" r:id="rId1"/>
    <hyperlink xmlns:r="http://schemas.openxmlformats.org/officeDocument/2006/relationships" ref="C2" r:id="rId2"/>
    <hyperlink xmlns:r="http://schemas.openxmlformats.org/officeDocument/2006/relationships" ref="E2" r:id="rId3"/>
  </hyperlinks>
  <pageMargins left="0.75" right="0.75" top="1" bottom="1" header="0.5" footer="0.5"/>
  <pageSetup orientation="landscape" fitToHeight="0" fitToWidth="1"/>
</worksheet>
</file>

<file path=xl/worksheets/sheet40.xml><?xml version="1.0" encoding="utf-8"?>
<worksheet xmlns="http://schemas.openxmlformats.org/spreadsheetml/2006/main">
  <sheetPr>
    <tabColor rgb="00DCEFDC"/>
    <outlinePr summaryBelow="1" summaryRight="1"/>
    <pageSetUpPr fitToPage="1"/>
  </sheetPr>
  <dimension ref="A1:N25"/>
  <sheetViews>
    <sheetView workbookViewId="0">
      <pane xSplit="3" ySplit="5" topLeftCell="D6" activePane="bottomRight" state="frozen"/>
      <selection pane="topRight"/>
      <selection pane="bottomLeft"/>
      <selection pane="bottomRight" activeCell="A1" sqref="A1"/>
    </sheetView>
  </sheetViews>
  <sheetFormatPr baseColWidth="8" defaultRowHeight="15"/>
  <cols>
    <col width="17" customWidth="1" min="1" max="1"/>
    <col width="11" customWidth="1" min="2" max="2"/>
    <col width="24" customWidth="1" min="3" max="3"/>
    <col width="5" customWidth="1" min="4" max="4"/>
    <col width="6" customWidth="1" min="5" max="5"/>
    <col width="6" customWidth="1" min="6" max="6"/>
    <col width="9" customWidth="1" min="7" max="7"/>
    <col width="10" customWidth="1" min="8" max="8"/>
    <col width="13" customWidth="1" min="9" max="9"/>
    <col width="8" customWidth="1" min="10" max="10"/>
    <col width="9" customWidth="1" min="11" max="11"/>
    <col width="5" customWidth="1" min="12" max="12"/>
    <col width="22" customWidth="1" min="13" max="13"/>
    <col width="62" customWidth="1" min="14" max="14"/>
  </cols>
  <sheetData>
    <row r="1">
      <c r="A1" s="24" t="inlineStr">
        <is>
          <t>Week 38 - Cycle 4 - Accumulation</t>
        </is>
      </c>
    </row>
    <row r="2">
      <c r="A2" s="25" t="inlineStr">
        <is>
          <t>&lt; Week 37</t>
        </is>
      </c>
      <c r="C2" s="25" t="inlineStr">
        <is>
          <t>Start Here</t>
        </is>
      </c>
      <c r="E2" s="25" t="inlineStr">
        <is>
          <t>Week 39 &gt;</t>
        </is>
      </c>
    </row>
    <row r="3">
      <c r="A3" s="10" t="inlineStr">
        <is>
          <t>Bodyweight this week</t>
        </is>
      </c>
      <c r="C3" s="4" t="n"/>
      <c r="D3" t="inlineStr">
        <is>
          <t>Weigh in once this week: same morning routine, before eating.</t>
        </is>
      </c>
    </row>
    <row r="5">
      <c r="A5" s="5" t="inlineStr">
        <is>
          <t>Day</t>
        </is>
      </c>
      <c r="B5" s="5" t="inlineStr">
        <is>
          <t>Date</t>
        </is>
      </c>
      <c r="C5" s="5" t="inlineStr">
        <is>
          <t>Exercise</t>
        </is>
      </c>
      <c r="D5" s="5" t="inlineStr">
        <is>
          <t>Sets</t>
        </is>
      </c>
      <c r="E5" s="5" t="inlineStr">
        <is>
          <t>Reps</t>
        </is>
      </c>
      <c r="F5" s="5" t="inlineStr">
        <is>
          <t>% TM</t>
        </is>
      </c>
      <c r="G5" s="5" t="inlineStr">
        <is>
          <t>Training max</t>
        </is>
      </c>
      <c r="H5" s="5" t="inlineStr">
        <is>
          <t>Weight / target</t>
        </is>
      </c>
      <c r="I5" s="5" t="inlineStr">
        <is>
          <t>Actual (weight, height or distance)</t>
        </is>
      </c>
      <c r="J5" s="5" t="inlineStr">
        <is>
          <t>Actual reps</t>
        </is>
      </c>
      <c r="K5" s="5" t="inlineStr">
        <is>
          <t>Est. 1RM</t>
        </is>
      </c>
      <c r="L5" s="5" t="inlineStr">
        <is>
          <t>PR</t>
        </is>
      </c>
      <c r="M5" s="5" t="inlineStr">
        <is>
          <t>Notes</t>
        </is>
      </c>
      <c r="N5" s="5" t="inlineStr">
        <is>
          <t>Guidance</t>
        </is>
      </c>
    </row>
    <row r="6">
      <c r="A6" s="26" t="inlineStr">
        <is>
          <t>Day 1 - Heavy</t>
        </is>
      </c>
      <c r="B6" s="27">
        <f>'Start Here'!$B$7+259</f>
        <v/>
      </c>
      <c r="C6" s="28" t="inlineStr">
        <is>
          <t>Box Jump</t>
        </is>
      </c>
      <c r="D6" s="29" t="n">
        <v>4</v>
      </c>
      <c r="E6" s="29" t="inlineStr">
        <is>
          <t>3</t>
        </is>
      </c>
      <c r="F6" s="29" t="n"/>
      <c r="G6" s="30" t="n"/>
      <c r="H6" s="31">
        <f>IFERROR(IF(PRs!D69&lt;'Start Here'!$H$15,'Start Here'!$H$15,IF(PRs!D69&lt;'Start Here'!$H$16,'Start Here'!$H$16,IF(PRs!D69&lt;'Start Here'!$H$17,'Start Here'!$H$17,IF(PRs!D69&lt;'Start Here'!$H$18,'Start Here'!$H$18,"Elite!")))),"")</f>
        <v/>
      </c>
      <c r="I6" s="32" t="n"/>
      <c r="J6" s="32" t="n"/>
      <c r="K6" s="29" t="n"/>
      <c r="L6" s="33">
        <f>IF(I6="","",IF(I6&gt;=PRs!D69,"PR!",""))</f>
        <v/>
      </c>
      <c r="M6" s="32" t="n"/>
      <c r="N6" s="34" t="inlineStr">
        <is>
          <t>Explode up, land softly, STEP down. Full reset between reps. Log your box height; check the standards</t>
        </is>
      </c>
    </row>
    <row r="7">
      <c r="A7" s="26" t="inlineStr">
        <is>
          <t>Day 1 - Heavy</t>
        </is>
      </c>
      <c r="B7" s="27">
        <f>'Start Here'!$B$7+259</f>
        <v/>
      </c>
      <c r="C7" s="31" t="inlineStr">
        <is>
          <t>Snatch</t>
        </is>
      </c>
      <c r="D7" s="29" t="n">
        <v>4</v>
      </c>
      <c r="E7" s="29" t="inlineStr">
        <is>
          <t>3</t>
        </is>
      </c>
      <c r="F7" s="29" t="n">
        <v>72.5</v>
      </c>
      <c r="G7" s="30">
        <f>Maxes!H6</f>
        <v/>
      </c>
      <c r="H7" s="31">
        <f>IF(OR(G7="",F7=""),"",MROUND(G7*F7/100,'Start Here'!$B$6))</f>
        <v/>
      </c>
      <c r="I7" s="32" t="n"/>
      <c r="J7" s="32" t="n"/>
      <c r="K7" s="29">
        <f>IF(OR(I7="",J7=""),"",IF(J7=1,I7,ROUND(I7*(1+J7/30),1)))</f>
        <v/>
      </c>
      <c r="L7" s="33">
        <f>IF(K7="","",IF(K7&gt;=PRs!C6,"PR!",""))</f>
        <v/>
      </c>
      <c r="M7" s="32" t="n"/>
      <c r="N7" s="34" t="inlineStr"/>
    </row>
    <row r="8">
      <c r="A8" s="26" t="inlineStr">
        <is>
          <t>Day 1 - Heavy</t>
        </is>
      </c>
      <c r="B8" s="27">
        <f>'Start Here'!$B$7+259</f>
        <v/>
      </c>
      <c r="C8" s="31" t="inlineStr">
        <is>
          <t>Squat</t>
        </is>
      </c>
      <c r="D8" s="29" t="n">
        <v>3</v>
      </c>
      <c r="E8" s="29" t="inlineStr">
        <is>
          <t>6</t>
        </is>
      </c>
      <c r="F8" s="29" t="n">
        <v>72.5</v>
      </c>
      <c r="G8" s="30">
        <f>Maxes!H2</f>
        <v/>
      </c>
      <c r="H8" s="31">
        <f>IF(OR(G8="",F8=""),"",MROUND(G8*F8/100,'Start Here'!$B$6))</f>
        <v/>
      </c>
      <c r="I8" s="32" t="n"/>
      <c r="J8" s="32" t="n"/>
      <c r="K8" s="29">
        <f>IF(OR(I8="",J8=""),"",IF(J8=1,I8,ROUND(I8*(1+J8/30),1)))</f>
        <v/>
      </c>
      <c r="L8" s="33">
        <f>IF(K8="","",IF(K8&gt;=PRs!C2,"PR!",""))</f>
        <v/>
      </c>
      <c r="M8" s="32" t="n"/>
      <c r="N8" s="34" t="inlineStr"/>
    </row>
    <row r="9">
      <c r="A9" s="26" t="inlineStr">
        <is>
          <t>Day 1 - Heavy</t>
        </is>
      </c>
      <c r="B9" s="27">
        <f>'Start Here'!$B$7+259</f>
        <v/>
      </c>
      <c r="C9" s="31" t="inlineStr">
        <is>
          <t>Bench Press</t>
        </is>
      </c>
      <c r="D9" s="29" t="n">
        <v>3</v>
      </c>
      <c r="E9" s="29" t="inlineStr">
        <is>
          <t>6</t>
        </is>
      </c>
      <c r="F9" s="29" t="n">
        <v>72.5</v>
      </c>
      <c r="G9" s="30">
        <f>Maxes!H3</f>
        <v/>
      </c>
      <c r="H9" s="31">
        <f>IF(OR(G9="",F9=""),"",MROUND(G9*F9/100,'Start Here'!$B$6))</f>
        <v/>
      </c>
      <c r="I9" s="32" t="n"/>
      <c r="J9" s="32" t="n"/>
      <c r="K9" s="29">
        <f>IF(OR(I9="",J9=""),"",IF(J9=1,I9,ROUND(I9*(1+J9/30),1)))</f>
        <v/>
      </c>
      <c r="L9" s="33">
        <f>IF(K9="","",IF(K9&gt;=PRs!C3,"PR!",""))</f>
        <v/>
      </c>
      <c r="M9" s="32" t="n"/>
      <c r="N9" s="34" t="inlineStr"/>
    </row>
    <row r="10">
      <c r="A10" s="26" t="inlineStr">
        <is>
          <t>Day 1 - Heavy</t>
        </is>
      </c>
      <c r="B10" s="27">
        <f>'Start Here'!$B$7+259</f>
        <v/>
      </c>
      <c r="C10" s="29" t="inlineStr">
        <is>
          <t>Barbell Row</t>
        </is>
      </c>
      <c r="D10" s="29" t="n">
        <v>4</v>
      </c>
      <c r="E10" s="29" t="inlineStr">
        <is>
          <t>8-10</t>
        </is>
      </c>
      <c r="F10" s="29" t="n"/>
      <c r="G10" s="30" t="n"/>
      <c r="H10" s="31" t="n"/>
      <c r="I10" s="32" t="n"/>
      <c r="J10" s="32" t="n"/>
      <c r="K10" s="29">
        <f>IF(OR(I10="",J10=""),"",IF(J10=1,I10,ROUND(I10*(1+J10/30),1)))</f>
        <v/>
      </c>
      <c r="L10" s="33">
        <f>IF(K10="","",IF(K10&gt;=PRs!C50,"PR!",""))</f>
        <v/>
      </c>
      <c r="M10" s="32" t="n"/>
      <c r="N10" s="34" t="inlineStr">
        <is>
          <t>Leave 1-2 reps in the tank; add weight when you hit the top of the range</t>
        </is>
      </c>
    </row>
    <row r="11">
      <c r="A11" s="26" t="inlineStr">
        <is>
          <t>Day 1 - Heavy</t>
        </is>
      </c>
      <c r="B11" s="27">
        <f>'Start Here'!$B$7+259</f>
        <v/>
      </c>
      <c r="C11" s="29" t="inlineStr">
        <is>
          <t>Face Pull</t>
        </is>
      </c>
      <c r="D11" s="29" t="n">
        <v>4</v>
      </c>
      <c r="E11" s="29" t="inlineStr">
        <is>
          <t>12-15</t>
        </is>
      </c>
      <c r="F11" s="29" t="n"/>
      <c r="G11" s="30" t="n"/>
      <c r="H11" s="31" t="n"/>
      <c r="I11" s="32" t="n"/>
      <c r="J11" s="32" t="n"/>
      <c r="K11" s="29">
        <f>IF(OR(I11="",J11=""),"",IF(J11=1,I11,ROUND(I11*(1+J11/30),1)))</f>
        <v/>
      </c>
      <c r="L11" s="33">
        <f>IF(K11="","",IF(K11&gt;=PRs!C51,"PR!",""))</f>
        <v/>
      </c>
      <c r="M11" s="32" t="n"/>
      <c r="N11" s="34" t="inlineStr">
        <is>
          <t>Leave 1-2 reps in the tank; add weight when you hit the top of the range</t>
        </is>
      </c>
    </row>
    <row r="12">
      <c r="A12" s="26" t="inlineStr">
        <is>
          <t>Day 2 - Light</t>
        </is>
      </c>
      <c r="B12" s="27">
        <f>'Start Here'!$B$7+261</f>
        <v/>
      </c>
      <c r="C12" s="28" t="inlineStr">
        <is>
          <t>Broad Jump</t>
        </is>
      </c>
      <c r="D12" s="29" t="n">
        <v>4</v>
      </c>
      <c r="E12" s="29" t="inlineStr">
        <is>
          <t>3</t>
        </is>
      </c>
      <c r="F12" s="29" t="n"/>
      <c r="G12" s="30" t="n"/>
      <c r="H12" s="31" t="n"/>
      <c r="I12" s="32" t="n"/>
      <c r="J12" s="32" t="n"/>
      <c r="K12" s="29" t="n"/>
      <c r="L12" s="33">
        <f>IF(I12="","",IF(I12&gt;=PRs!D70,"PR!",""))</f>
        <v/>
      </c>
      <c r="M12" s="32" t="n"/>
      <c r="N12" s="34" t="inlineStr">
        <is>
          <t>Two-foot jump for distance, stick the landing. Full reset between reps. Log your best distance</t>
        </is>
      </c>
    </row>
    <row r="13">
      <c r="A13" s="26" t="inlineStr">
        <is>
          <t>Day 2 - Light</t>
        </is>
      </c>
      <c r="B13" s="27">
        <f>'Start Here'!$B$7+261</f>
        <v/>
      </c>
      <c r="C13" s="31" t="inlineStr">
        <is>
          <t>Clean &amp; Jerk</t>
        </is>
      </c>
      <c r="D13" s="29" t="n">
        <v>4</v>
      </c>
      <c r="E13" s="29" t="inlineStr">
        <is>
          <t>3</t>
        </is>
      </c>
      <c r="F13" s="29" t="n">
        <v>72.5</v>
      </c>
      <c r="G13" s="30">
        <f>Maxes!H7</f>
        <v/>
      </c>
      <c r="H13" s="31">
        <f>IF(OR(G13="",F13=""),"",MROUND(G13*F13/100,'Start Here'!$B$6))</f>
        <v/>
      </c>
      <c r="I13" s="32" t="n"/>
      <c r="J13" s="32" t="n"/>
      <c r="K13" s="29">
        <f>IF(OR(I13="",J13=""),"",IF(J13=1,I13,ROUND(I13*(1+J13/30),1)))</f>
        <v/>
      </c>
      <c r="L13" s="33">
        <f>IF(K13="","",IF(K13&gt;=PRs!C7,"PR!",""))</f>
        <v/>
      </c>
      <c r="M13" s="32" t="n"/>
      <c r="N13" s="34" t="inlineStr"/>
    </row>
    <row r="14">
      <c r="A14" s="26" t="inlineStr">
        <is>
          <t>Day 2 - Light</t>
        </is>
      </c>
      <c r="B14" s="27">
        <f>'Start Here'!$B$7+261</f>
        <v/>
      </c>
      <c r="C14" s="31" t="inlineStr">
        <is>
          <t>Squat</t>
        </is>
      </c>
      <c r="D14" s="29" t="n">
        <v>3</v>
      </c>
      <c r="E14" s="29" t="inlineStr">
        <is>
          <t>6</t>
        </is>
      </c>
      <c r="F14" s="29" t="n">
        <v>62.5</v>
      </c>
      <c r="G14" s="30">
        <f>Maxes!H2</f>
        <v/>
      </c>
      <c r="H14" s="31">
        <f>IF(OR(G14="",F14=""),"",MROUND(G14*F14/100,'Start Here'!$B$6))</f>
        <v/>
      </c>
      <c r="I14" s="32" t="n"/>
      <c r="J14" s="32" t="n"/>
      <c r="K14" s="29">
        <f>IF(OR(I14="",J14=""),"",IF(J14=1,I14,ROUND(I14*(1+J14/30),1)))</f>
        <v/>
      </c>
      <c r="L14" s="33">
        <f>IF(K14="","",IF(K14&gt;=PRs!C2,"PR!",""))</f>
        <v/>
      </c>
      <c r="M14" s="32" t="n"/>
      <c r="N14" s="34" t="inlineStr"/>
    </row>
    <row r="15">
      <c r="A15" s="26" t="inlineStr">
        <is>
          <t>Day 2 - Light</t>
        </is>
      </c>
      <c r="B15" s="27">
        <f>'Start Here'!$B$7+261</f>
        <v/>
      </c>
      <c r="C15" s="31" t="inlineStr">
        <is>
          <t>Overhead Press</t>
        </is>
      </c>
      <c r="D15" s="29" t="n">
        <v>4</v>
      </c>
      <c r="E15" s="29" t="inlineStr">
        <is>
          <t>6</t>
        </is>
      </c>
      <c r="F15" s="29" t="n">
        <v>67.5</v>
      </c>
      <c r="G15" s="30">
        <f>Maxes!H5</f>
        <v/>
      </c>
      <c r="H15" s="31">
        <f>IF(OR(G15="",F15=""),"",MROUND(G15*F15/100,'Start Here'!$B$6))</f>
        <v/>
      </c>
      <c r="I15" s="32" t="n"/>
      <c r="J15" s="32" t="n"/>
      <c r="K15" s="29">
        <f>IF(OR(I15="",J15=""),"",IF(J15=1,I15,ROUND(I15*(1+J15/30),1)))</f>
        <v/>
      </c>
      <c r="L15" s="33">
        <f>IF(K15="","",IF(K15&gt;=PRs!C5,"PR!",""))</f>
        <v/>
      </c>
      <c r="M15" s="32" t="n"/>
      <c r="N15" s="34" t="inlineStr"/>
    </row>
    <row r="16">
      <c r="A16" s="26" t="inlineStr">
        <is>
          <t>Day 2 - Light</t>
        </is>
      </c>
      <c r="B16" s="27">
        <f>'Start Here'!$B$7+261</f>
        <v/>
      </c>
      <c r="C16" s="31" t="inlineStr">
        <is>
          <t>Deadlift</t>
        </is>
      </c>
      <c r="D16" s="29" t="n">
        <v>3</v>
      </c>
      <c r="E16" s="29" t="inlineStr">
        <is>
          <t>6</t>
        </is>
      </c>
      <c r="F16" s="29" t="n">
        <v>67.5</v>
      </c>
      <c r="G16" s="30">
        <f>Maxes!H4</f>
        <v/>
      </c>
      <c r="H16" s="31">
        <f>IF(OR(G16="",F16=""),"",MROUND(G16*F16/100,'Start Here'!$B$6))</f>
        <v/>
      </c>
      <c r="I16" s="32" t="n"/>
      <c r="J16" s="32" t="n"/>
      <c r="K16" s="29">
        <f>IF(OR(I16="",J16=""),"",IF(J16=1,I16,ROUND(I16*(1+J16/30),1)))</f>
        <v/>
      </c>
      <c r="L16" s="33">
        <f>IF(K16="","",IF(K16&gt;=PRs!C4,"PR!",""))</f>
        <v/>
      </c>
      <c r="M16" s="32" t="n"/>
      <c r="N16" s="34" t="inlineStr"/>
    </row>
    <row r="17">
      <c r="A17" s="26" t="inlineStr">
        <is>
          <t>Day 2 - Light</t>
        </is>
      </c>
      <c r="B17" s="27">
        <f>'Start Here'!$B$7+261</f>
        <v/>
      </c>
      <c r="C17" s="29" t="inlineStr">
        <is>
          <t>Chin-up</t>
        </is>
      </c>
      <c r="D17" s="29" t="n">
        <v>4</v>
      </c>
      <c r="E17" s="29" t="inlineStr">
        <is>
          <t>6-10</t>
        </is>
      </c>
      <c r="F17" s="29" t="n"/>
      <c r="G17" s="30" t="n"/>
      <c r="H17" s="31" t="n"/>
      <c r="I17" s="32" t="n"/>
      <c r="J17" s="32" t="n"/>
      <c r="K17" s="29">
        <f>IF(OR(I17="",J17=""),"",IF(J17=1,I17,ROUND(I17*(1+J17/30),1)))</f>
        <v/>
      </c>
      <c r="L17" s="33">
        <f>IF(K17="","",IF(K17&gt;=PRs!C53,"PR!",""))</f>
        <v/>
      </c>
      <c r="M17" s="32" t="n"/>
      <c r="N17" s="34" t="inlineStr">
        <is>
          <t>Leave 1-2 reps in the tank; add weight when you hit the top of the range</t>
        </is>
      </c>
    </row>
    <row r="18">
      <c r="A18" s="26" t="inlineStr">
        <is>
          <t>Day 2 - Light</t>
        </is>
      </c>
      <c r="B18" s="27">
        <f>'Start Here'!$B$7+261</f>
        <v/>
      </c>
      <c r="C18" s="29" t="inlineStr">
        <is>
          <t>Plank</t>
        </is>
      </c>
      <c r="D18" s="29" t="n">
        <v>4</v>
      </c>
      <c r="E18" s="29" t="inlineStr">
        <is>
          <t>30-60s</t>
        </is>
      </c>
      <c r="F18" s="29" t="n"/>
      <c r="G18" s="30" t="n"/>
      <c r="H18" s="31" t="n"/>
      <c r="I18" s="32" t="n"/>
      <c r="J18" s="32" t="n"/>
      <c r="K18" s="29">
        <f>IF(OR(I18="",J18=""),"",IF(J18=1,I18,ROUND(I18*(1+J18/30),1)))</f>
        <v/>
      </c>
      <c r="L18" s="33">
        <f>IF(K18="","",IF(K18&gt;=PRs!C56,"PR!",""))</f>
        <v/>
      </c>
      <c r="M18" s="32" t="n"/>
      <c r="N18" s="34" t="inlineStr">
        <is>
          <t>Leave 1-2 reps in the tank; add weight when you hit the top of the range</t>
        </is>
      </c>
    </row>
    <row r="19">
      <c r="A19" s="26" t="inlineStr">
        <is>
          <t>Day 3 - Variations</t>
        </is>
      </c>
      <c r="B19" s="27">
        <f>'Start Here'!$B$7+263</f>
        <v/>
      </c>
      <c r="C19" s="28" t="inlineStr">
        <is>
          <t>Box Jump</t>
        </is>
      </c>
      <c r="D19" s="29" t="n">
        <v>4</v>
      </c>
      <c r="E19" s="29" t="inlineStr">
        <is>
          <t>3</t>
        </is>
      </c>
      <c r="F19" s="29" t="n"/>
      <c r="G19" s="30" t="n"/>
      <c r="H19" s="31">
        <f>IFERROR(IF(PRs!D69&lt;'Start Here'!$H$15,'Start Here'!$H$15,IF(PRs!D69&lt;'Start Here'!$H$16,'Start Here'!$H$16,IF(PRs!D69&lt;'Start Here'!$H$17,'Start Here'!$H$17,IF(PRs!D69&lt;'Start Here'!$H$18,'Start Here'!$H$18,"Elite!")))),"")</f>
        <v/>
      </c>
      <c r="I19" s="32" t="n"/>
      <c r="J19" s="32" t="n"/>
      <c r="K19" s="29" t="n"/>
      <c r="L19" s="33">
        <f>IF(I19="","",IF(I19&gt;=PRs!D69,"PR!",""))</f>
        <v/>
      </c>
      <c r="M19" s="32" t="n"/>
      <c r="N19" s="34" t="inlineStr">
        <is>
          <t>Explode up, land softly, STEP down. Full reset between reps. Log your box height; check the standards</t>
        </is>
      </c>
    </row>
    <row r="20">
      <c r="A20" s="26" t="inlineStr">
        <is>
          <t>Day 3 - Variations</t>
        </is>
      </c>
      <c r="B20" s="27">
        <f>'Start Here'!$B$7+263</f>
        <v/>
      </c>
      <c r="C20" s="31" t="inlineStr">
        <is>
          <t>Power Clean</t>
        </is>
      </c>
      <c r="D20" s="29" t="n">
        <v>6</v>
      </c>
      <c r="E20" s="29" t="inlineStr">
        <is>
          <t>3</t>
        </is>
      </c>
      <c r="F20" s="29" t="n">
        <v>67.5</v>
      </c>
      <c r="G20" s="30">
        <f>Maxes!H42</f>
        <v/>
      </c>
      <c r="H20" s="31">
        <f>IF(OR(G20="",F20=""),"",MROUND(G20*F20/100,'Start Here'!$B$6))</f>
        <v/>
      </c>
      <c r="I20" s="32" t="n"/>
      <c r="J20" s="32" t="n"/>
      <c r="K20" s="29">
        <f>IF(OR(I20="",J20=""),"",IF(J20=1,I20,ROUND(I20*(1+J20/30),1)))</f>
        <v/>
      </c>
      <c r="L20" s="33">
        <f>IF(K20="","",IF(K20&gt;=PRs!C42,"PR!",""))</f>
        <v/>
      </c>
      <c r="M20" s="32" t="n"/>
      <c r="N20" s="34" t="inlineStr"/>
    </row>
    <row r="21">
      <c r="A21" s="26" t="inlineStr">
        <is>
          <t>Day 3 - Variations</t>
        </is>
      </c>
      <c r="B21" s="27">
        <f>'Start Here'!$B$7+263</f>
        <v/>
      </c>
      <c r="C21" s="31" t="inlineStr">
        <is>
          <t>Pin Squat</t>
        </is>
      </c>
      <c r="D21" s="29" t="n">
        <v>4</v>
      </c>
      <c r="E21" s="29" t="inlineStr">
        <is>
          <t>6</t>
        </is>
      </c>
      <c r="F21" s="29" t="n">
        <v>67.5</v>
      </c>
      <c r="G21" s="30">
        <f>Maxes!H12</f>
        <v/>
      </c>
      <c r="H21" s="31">
        <f>IF(OR(G21="",F21=""),"",MROUND(G21*F21/100,'Start Here'!$B$6))</f>
        <v/>
      </c>
      <c r="I21" s="32" t="n"/>
      <c r="J21" s="32" t="n"/>
      <c r="K21" s="29">
        <f>IF(OR(I21="",J21=""),"",IF(J21=1,I21,ROUND(I21*(1+J21/30),1)))</f>
        <v/>
      </c>
      <c r="L21" s="33">
        <f>IF(K21="","",IF(K21&gt;=PRs!C12,"PR!",""))</f>
        <v/>
      </c>
      <c r="M21" s="32" t="n"/>
      <c r="N21" s="34" t="inlineStr"/>
    </row>
    <row r="22">
      <c r="A22" s="26" t="inlineStr">
        <is>
          <t>Day 3 - Variations</t>
        </is>
      </c>
      <c r="B22" s="27">
        <f>'Start Here'!$B$7+263</f>
        <v/>
      </c>
      <c r="C22" s="31" t="inlineStr">
        <is>
          <t>Pause Bench Press</t>
        </is>
      </c>
      <c r="D22" s="29" t="n">
        <v>4</v>
      </c>
      <c r="E22" s="29" t="inlineStr">
        <is>
          <t>6</t>
        </is>
      </c>
      <c r="F22" s="29" t="n">
        <v>67.5</v>
      </c>
      <c r="G22" s="30">
        <f>Maxes!H18</f>
        <v/>
      </c>
      <c r="H22" s="31">
        <f>IF(OR(G22="",F22=""),"",MROUND(G22*F22/100,'Start Here'!$B$6))</f>
        <v/>
      </c>
      <c r="I22" s="32" t="n"/>
      <c r="J22" s="32" t="n"/>
      <c r="K22" s="29">
        <f>IF(OR(I22="",J22=""),"",IF(J22=1,I22,ROUND(I22*(1+J22/30),1)))</f>
        <v/>
      </c>
      <c r="L22" s="33">
        <f>IF(K22="","",IF(K22&gt;=PRs!C18,"PR!",""))</f>
        <v/>
      </c>
      <c r="M22" s="32" t="n"/>
      <c r="N22" s="34" t="inlineStr"/>
    </row>
    <row r="23">
      <c r="A23" s="26" t="inlineStr">
        <is>
          <t>Day 3 - Variations</t>
        </is>
      </c>
      <c r="B23" s="27">
        <f>'Start Here'!$B$7+263</f>
        <v/>
      </c>
      <c r="C23" s="31" t="inlineStr">
        <is>
          <t>Deficit Deadlift</t>
        </is>
      </c>
      <c r="D23" s="29" t="n">
        <v>3</v>
      </c>
      <c r="E23" s="29" t="inlineStr">
        <is>
          <t>6</t>
        </is>
      </c>
      <c r="F23" s="29" t="n">
        <v>62.5</v>
      </c>
      <c r="G23" s="30">
        <f>Maxes!H24</f>
        <v/>
      </c>
      <c r="H23" s="31">
        <f>IF(OR(G23="",F23=""),"",MROUND(G23*F23/100,'Start Here'!$B$6))</f>
        <v/>
      </c>
      <c r="I23" s="32" t="n"/>
      <c r="J23" s="32" t="n"/>
      <c r="K23" s="29">
        <f>IF(OR(I23="",J23=""),"",IF(J23=1,I23,ROUND(I23*(1+J23/30),1)))</f>
        <v/>
      </c>
      <c r="L23" s="33">
        <f>IF(K23="","",IF(K23&gt;=PRs!C24,"PR!",""))</f>
        <v/>
      </c>
      <c r="M23" s="32" t="n"/>
      <c r="N23" s="34" t="inlineStr"/>
    </row>
    <row r="24">
      <c r="A24" s="26" t="inlineStr">
        <is>
          <t>Day 3 - Variations</t>
        </is>
      </c>
      <c r="B24" s="27">
        <f>'Start Here'!$B$7+263</f>
        <v/>
      </c>
      <c r="C24" s="29" t="inlineStr">
        <is>
          <t>Incline Dumbbell Press</t>
        </is>
      </c>
      <c r="D24" s="29" t="n">
        <v>4</v>
      </c>
      <c r="E24" s="29" t="inlineStr">
        <is>
          <t>8-12</t>
        </is>
      </c>
      <c r="F24" s="29" t="n"/>
      <c r="G24" s="30" t="n"/>
      <c r="H24" s="31" t="n"/>
      <c r="I24" s="32" t="n"/>
      <c r="J24" s="32" t="n"/>
      <c r="K24" s="29">
        <f>IF(OR(I24="",J24=""),"",IF(J24=1,I24,ROUND(I24*(1+J24/30),1)))</f>
        <v/>
      </c>
      <c r="L24" s="33">
        <f>IF(K24="","",IF(K24&gt;=PRs!C57,"PR!",""))</f>
        <v/>
      </c>
      <c r="M24" s="32" t="n"/>
      <c r="N24" s="34" t="inlineStr">
        <is>
          <t>Leave 1-2 reps in the tank; add weight when you hit the top of the range</t>
        </is>
      </c>
    </row>
    <row r="25">
      <c r="A25" s="26" t="inlineStr">
        <is>
          <t>Day 3 - Variations</t>
        </is>
      </c>
      <c r="B25" s="27">
        <f>'Start Here'!$B$7+263</f>
        <v/>
      </c>
      <c r="C25" s="29" t="inlineStr">
        <is>
          <t>Triceps Pushdown</t>
        </is>
      </c>
      <c r="D25" s="29" t="n">
        <v>4</v>
      </c>
      <c r="E25" s="29" t="inlineStr">
        <is>
          <t>10-15</t>
        </is>
      </c>
      <c r="F25" s="29" t="n"/>
      <c r="G25" s="30" t="n"/>
      <c r="H25" s="31" t="n"/>
      <c r="I25" s="32" t="n"/>
      <c r="J25" s="32" t="n"/>
      <c r="K25" s="29">
        <f>IF(OR(I25="",J25=""),"",IF(J25=1,I25,ROUND(I25*(1+J25/30),1)))</f>
        <v/>
      </c>
      <c r="L25" s="33">
        <f>IF(K25="","",IF(K25&gt;=PRs!C59,"PR!",""))</f>
        <v/>
      </c>
      <c r="M25" s="32" t="n"/>
      <c r="N25" s="34" t="inlineStr">
        <is>
          <t>Leave 1-2 reps in the tank; add weight when you hit the top of the range</t>
        </is>
      </c>
    </row>
  </sheetData>
  <hyperlinks>
    <hyperlink xmlns:r="http://schemas.openxmlformats.org/officeDocument/2006/relationships" ref="A2" r:id="rId1"/>
    <hyperlink xmlns:r="http://schemas.openxmlformats.org/officeDocument/2006/relationships" ref="C2" r:id="rId2"/>
    <hyperlink xmlns:r="http://schemas.openxmlformats.org/officeDocument/2006/relationships" ref="E2" r:id="rId3"/>
  </hyperlinks>
  <pageMargins left="0.75" right="0.75" top="1" bottom="1" header="0.5" footer="0.5"/>
  <pageSetup orientation="landscape" fitToHeight="0" fitToWidth="1"/>
</worksheet>
</file>

<file path=xl/worksheets/sheet41.xml><?xml version="1.0" encoding="utf-8"?>
<worksheet xmlns="http://schemas.openxmlformats.org/spreadsheetml/2006/main">
  <sheetPr>
    <tabColor rgb="00DCEFDC"/>
    <outlinePr summaryBelow="1" summaryRight="1"/>
    <pageSetUpPr fitToPage="1"/>
  </sheetPr>
  <dimension ref="A1:N25"/>
  <sheetViews>
    <sheetView workbookViewId="0">
      <pane xSplit="3" ySplit="5" topLeftCell="D6" activePane="bottomRight" state="frozen"/>
      <selection pane="topRight"/>
      <selection pane="bottomLeft"/>
      <selection pane="bottomRight" activeCell="A1" sqref="A1"/>
    </sheetView>
  </sheetViews>
  <sheetFormatPr baseColWidth="8" defaultRowHeight="15"/>
  <cols>
    <col width="17" customWidth="1" min="1" max="1"/>
    <col width="11" customWidth="1" min="2" max="2"/>
    <col width="24" customWidth="1" min="3" max="3"/>
    <col width="5" customWidth="1" min="4" max="4"/>
    <col width="6" customWidth="1" min="5" max="5"/>
    <col width="6" customWidth="1" min="6" max="6"/>
    <col width="9" customWidth="1" min="7" max="7"/>
    <col width="10" customWidth="1" min="8" max="8"/>
    <col width="13" customWidth="1" min="9" max="9"/>
    <col width="8" customWidth="1" min="10" max="10"/>
    <col width="9" customWidth="1" min="11" max="11"/>
    <col width="5" customWidth="1" min="12" max="12"/>
    <col width="22" customWidth="1" min="13" max="13"/>
    <col width="62" customWidth="1" min="14" max="14"/>
  </cols>
  <sheetData>
    <row r="1">
      <c r="A1" s="24" t="inlineStr">
        <is>
          <t>Week 39 - Cycle 4 - Accumulation</t>
        </is>
      </c>
    </row>
    <row r="2">
      <c r="A2" s="25" t="inlineStr">
        <is>
          <t>&lt; Week 38</t>
        </is>
      </c>
      <c r="C2" s="25" t="inlineStr">
        <is>
          <t>Start Here</t>
        </is>
      </c>
      <c r="E2" s="25" t="inlineStr">
        <is>
          <t>Week 40 &gt;</t>
        </is>
      </c>
    </row>
    <row r="3">
      <c r="A3" s="10" t="inlineStr">
        <is>
          <t>Bodyweight this week</t>
        </is>
      </c>
      <c r="C3" s="4" t="n"/>
      <c r="D3" t="inlineStr">
        <is>
          <t>Weigh in once this week: same morning routine, before eating.</t>
        </is>
      </c>
    </row>
    <row r="5">
      <c r="A5" s="5" t="inlineStr">
        <is>
          <t>Day</t>
        </is>
      </c>
      <c r="B5" s="5" t="inlineStr">
        <is>
          <t>Date</t>
        </is>
      </c>
      <c r="C5" s="5" t="inlineStr">
        <is>
          <t>Exercise</t>
        </is>
      </c>
      <c r="D5" s="5" t="inlineStr">
        <is>
          <t>Sets</t>
        </is>
      </c>
      <c r="E5" s="5" t="inlineStr">
        <is>
          <t>Reps</t>
        </is>
      </c>
      <c r="F5" s="5" t="inlineStr">
        <is>
          <t>% TM</t>
        </is>
      </c>
      <c r="G5" s="5" t="inlineStr">
        <is>
          <t>Training max</t>
        </is>
      </c>
      <c r="H5" s="5" t="inlineStr">
        <is>
          <t>Weight / target</t>
        </is>
      </c>
      <c r="I5" s="5" t="inlineStr">
        <is>
          <t>Actual (weight, height or distance)</t>
        </is>
      </c>
      <c r="J5" s="5" t="inlineStr">
        <is>
          <t>Actual reps</t>
        </is>
      </c>
      <c r="K5" s="5" t="inlineStr">
        <is>
          <t>Est. 1RM</t>
        </is>
      </c>
      <c r="L5" s="5" t="inlineStr">
        <is>
          <t>PR</t>
        </is>
      </c>
      <c r="M5" s="5" t="inlineStr">
        <is>
          <t>Notes</t>
        </is>
      </c>
      <c r="N5" s="5" t="inlineStr">
        <is>
          <t>Guidance</t>
        </is>
      </c>
    </row>
    <row r="6">
      <c r="A6" s="26" t="inlineStr">
        <is>
          <t>Day 1 - Heavy</t>
        </is>
      </c>
      <c r="B6" s="27">
        <f>'Start Here'!$B$7+266</f>
        <v/>
      </c>
      <c r="C6" s="28" t="inlineStr">
        <is>
          <t>Box Jump</t>
        </is>
      </c>
      <c r="D6" s="29" t="n">
        <v>4</v>
      </c>
      <c r="E6" s="29" t="inlineStr">
        <is>
          <t>3</t>
        </is>
      </c>
      <c r="F6" s="29" t="n"/>
      <c r="G6" s="30" t="n"/>
      <c r="H6" s="31">
        <f>IFERROR(IF(PRs!D69&lt;'Start Here'!$H$15,'Start Here'!$H$15,IF(PRs!D69&lt;'Start Here'!$H$16,'Start Here'!$H$16,IF(PRs!D69&lt;'Start Here'!$H$17,'Start Here'!$H$17,IF(PRs!D69&lt;'Start Here'!$H$18,'Start Here'!$H$18,"Elite!")))),"")</f>
        <v/>
      </c>
      <c r="I6" s="32" t="n"/>
      <c r="J6" s="32" t="n"/>
      <c r="K6" s="29" t="n"/>
      <c r="L6" s="33">
        <f>IF(I6="","",IF(I6&gt;=PRs!D69,"PR!",""))</f>
        <v/>
      </c>
      <c r="M6" s="32" t="n"/>
      <c r="N6" s="34" t="inlineStr">
        <is>
          <t>Explode up, land softly, STEP down. Full reset between reps. Log your box height; check the standards</t>
        </is>
      </c>
    </row>
    <row r="7">
      <c r="A7" s="26" t="inlineStr">
        <is>
          <t>Day 1 - Heavy</t>
        </is>
      </c>
      <c r="B7" s="27">
        <f>'Start Here'!$B$7+266</f>
        <v/>
      </c>
      <c r="C7" s="31" t="inlineStr">
        <is>
          <t>Snatch</t>
        </is>
      </c>
      <c r="D7" s="29" t="n">
        <v>4</v>
      </c>
      <c r="E7" s="29" t="inlineStr">
        <is>
          <t>3</t>
        </is>
      </c>
      <c r="F7" s="29" t="n">
        <v>75</v>
      </c>
      <c r="G7" s="30">
        <f>Maxes!H6</f>
        <v/>
      </c>
      <c r="H7" s="31">
        <f>IF(OR(G7="",F7=""),"",MROUND(G7*F7/100,'Start Here'!$B$6))</f>
        <v/>
      </c>
      <c r="I7" s="32" t="n"/>
      <c r="J7" s="32" t="n"/>
      <c r="K7" s="29">
        <f>IF(OR(I7="",J7=""),"",IF(J7=1,I7,ROUND(I7*(1+J7/30),1)))</f>
        <v/>
      </c>
      <c r="L7" s="33">
        <f>IF(K7="","",IF(K7&gt;=PRs!C6,"PR!",""))</f>
        <v/>
      </c>
      <c r="M7" s="32" t="n"/>
      <c r="N7" s="34" t="inlineStr"/>
    </row>
    <row r="8">
      <c r="A8" s="26" t="inlineStr">
        <is>
          <t>Day 1 - Heavy</t>
        </is>
      </c>
      <c r="B8" s="27">
        <f>'Start Here'!$B$7+266</f>
        <v/>
      </c>
      <c r="C8" s="31" t="inlineStr">
        <is>
          <t>Squat</t>
        </is>
      </c>
      <c r="D8" s="29" t="n">
        <v>3</v>
      </c>
      <c r="E8" s="29" t="inlineStr">
        <is>
          <t>6</t>
        </is>
      </c>
      <c r="F8" s="29" t="n">
        <v>75</v>
      </c>
      <c r="G8" s="30">
        <f>Maxes!H2</f>
        <v/>
      </c>
      <c r="H8" s="31">
        <f>IF(OR(G8="",F8=""),"",MROUND(G8*F8/100,'Start Here'!$B$6))</f>
        <v/>
      </c>
      <c r="I8" s="32" t="n"/>
      <c r="J8" s="32" t="n"/>
      <c r="K8" s="29">
        <f>IF(OR(I8="",J8=""),"",IF(J8=1,I8,ROUND(I8*(1+J8/30),1)))</f>
        <v/>
      </c>
      <c r="L8" s="33">
        <f>IF(K8="","",IF(K8&gt;=PRs!C2,"PR!",""))</f>
        <v/>
      </c>
      <c r="M8" s="32" t="n"/>
      <c r="N8" s="34" t="inlineStr"/>
    </row>
    <row r="9">
      <c r="A9" s="26" t="inlineStr">
        <is>
          <t>Day 1 - Heavy</t>
        </is>
      </c>
      <c r="B9" s="27">
        <f>'Start Here'!$B$7+266</f>
        <v/>
      </c>
      <c r="C9" s="31" t="inlineStr">
        <is>
          <t>Bench Press</t>
        </is>
      </c>
      <c r="D9" s="29" t="n">
        <v>3</v>
      </c>
      <c r="E9" s="29" t="inlineStr">
        <is>
          <t>6</t>
        </is>
      </c>
      <c r="F9" s="29" t="n">
        <v>75</v>
      </c>
      <c r="G9" s="30">
        <f>Maxes!H3</f>
        <v/>
      </c>
      <c r="H9" s="31">
        <f>IF(OR(G9="",F9=""),"",MROUND(G9*F9/100,'Start Here'!$B$6))</f>
        <v/>
      </c>
      <c r="I9" s="32" t="n"/>
      <c r="J9" s="32" t="n"/>
      <c r="K9" s="29">
        <f>IF(OR(I9="",J9=""),"",IF(J9=1,I9,ROUND(I9*(1+J9/30),1)))</f>
        <v/>
      </c>
      <c r="L9" s="33">
        <f>IF(K9="","",IF(K9&gt;=PRs!C3,"PR!",""))</f>
        <v/>
      </c>
      <c r="M9" s="32" t="n"/>
      <c r="N9" s="34" t="inlineStr"/>
    </row>
    <row r="10">
      <c r="A10" s="26" t="inlineStr">
        <is>
          <t>Day 1 - Heavy</t>
        </is>
      </c>
      <c r="B10" s="27">
        <f>'Start Here'!$B$7+266</f>
        <v/>
      </c>
      <c r="C10" s="29" t="inlineStr">
        <is>
          <t>Barbell Row</t>
        </is>
      </c>
      <c r="D10" s="29" t="n">
        <v>4</v>
      </c>
      <c r="E10" s="29" t="inlineStr">
        <is>
          <t>8-10</t>
        </is>
      </c>
      <c r="F10" s="29" t="n"/>
      <c r="G10" s="30" t="n"/>
      <c r="H10" s="31" t="n"/>
      <c r="I10" s="32" t="n"/>
      <c r="J10" s="32" t="n"/>
      <c r="K10" s="29">
        <f>IF(OR(I10="",J10=""),"",IF(J10=1,I10,ROUND(I10*(1+J10/30),1)))</f>
        <v/>
      </c>
      <c r="L10" s="33">
        <f>IF(K10="","",IF(K10&gt;=PRs!C50,"PR!",""))</f>
        <v/>
      </c>
      <c r="M10" s="32" t="n"/>
      <c r="N10" s="34" t="inlineStr">
        <is>
          <t>Leave 1-2 reps in the tank; add weight when you hit the top of the range</t>
        </is>
      </c>
    </row>
    <row r="11">
      <c r="A11" s="26" t="inlineStr">
        <is>
          <t>Day 1 - Heavy</t>
        </is>
      </c>
      <c r="B11" s="27">
        <f>'Start Here'!$B$7+266</f>
        <v/>
      </c>
      <c r="C11" s="29" t="inlineStr">
        <is>
          <t>Face Pull</t>
        </is>
      </c>
      <c r="D11" s="29" t="n">
        <v>4</v>
      </c>
      <c r="E11" s="29" t="inlineStr">
        <is>
          <t>12-15</t>
        </is>
      </c>
      <c r="F11" s="29" t="n"/>
      <c r="G11" s="30" t="n"/>
      <c r="H11" s="31" t="n"/>
      <c r="I11" s="32" t="n"/>
      <c r="J11" s="32" t="n"/>
      <c r="K11" s="29">
        <f>IF(OR(I11="",J11=""),"",IF(J11=1,I11,ROUND(I11*(1+J11/30),1)))</f>
        <v/>
      </c>
      <c r="L11" s="33">
        <f>IF(K11="","",IF(K11&gt;=PRs!C51,"PR!",""))</f>
        <v/>
      </c>
      <c r="M11" s="32" t="n"/>
      <c r="N11" s="34" t="inlineStr">
        <is>
          <t>Leave 1-2 reps in the tank; add weight when you hit the top of the range</t>
        </is>
      </c>
    </row>
    <row r="12">
      <c r="A12" s="26" t="inlineStr">
        <is>
          <t>Day 2 - Light</t>
        </is>
      </c>
      <c r="B12" s="27">
        <f>'Start Here'!$B$7+268</f>
        <v/>
      </c>
      <c r="C12" s="28" t="inlineStr">
        <is>
          <t>Broad Jump</t>
        </is>
      </c>
      <c r="D12" s="29" t="n">
        <v>4</v>
      </c>
      <c r="E12" s="29" t="inlineStr">
        <is>
          <t>3</t>
        </is>
      </c>
      <c r="F12" s="29" t="n"/>
      <c r="G12" s="30" t="n"/>
      <c r="H12" s="31" t="n"/>
      <c r="I12" s="32" t="n"/>
      <c r="J12" s="32" t="n"/>
      <c r="K12" s="29" t="n"/>
      <c r="L12" s="33">
        <f>IF(I12="","",IF(I12&gt;=PRs!D70,"PR!",""))</f>
        <v/>
      </c>
      <c r="M12" s="32" t="n"/>
      <c r="N12" s="34" t="inlineStr">
        <is>
          <t>Two-foot jump for distance, stick the landing. Full reset between reps. Log your best distance</t>
        </is>
      </c>
    </row>
    <row r="13">
      <c r="A13" s="26" t="inlineStr">
        <is>
          <t>Day 2 - Light</t>
        </is>
      </c>
      <c r="B13" s="27">
        <f>'Start Here'!$B$7+268</f>
        <v/>
      </c>
      <c r="C13" s="31" t="inlineStr">
        <is>
          <t>Clean &amp; Jerk</t>
        </is>
      </c>
      <c r="D13" s="29" t="n">
        <v>4</v>
      </c>
      <c r="E13" s="29" t="inlineStr">
        <is>
          <t>3</t>
        </is>
      </c>
      <c r="F13" s="29" t="n">
        <v>75</v>
      </c>
      <c r="G13" s="30">
        <f>Maxes!H7</f>
        <v/>
      </c>
      <c r="H13" s="31">
        <f>IF(OR(G13="",F13=""),"",MROUND(G13*F13/100,'Start Here'!$B$6))</f>
        <v/>
      </c>
      <c r="I13" s="32" t="n"/>
      <c r="J13" s="32" t="n"/>
      <c r="K13" s="29">
        <f>IF(OR(I13="",J13=""),"",IF(J13=1,I13,ROUND(I13*(1+J13/30),1)))</f>
        <v/>
      </c>
      <c r="L13" s="33">
        <f>IF(K13="","",IF(K13&gt;=PRs!C7,"PR!",""))</f>
        <v/>
      </c>
      <c r="M13" s="32" t="n"/>
      <c r="N13" s="34" t="inlineStr"/>
    </row>
    <row r="14">
      <c r="A14" s="26" t="inlineStr">
        <is>
          <t>Day 2 - Light</t>
        </is>
      </c>
      <c r="B14" s="27">
        <f>'Start Here'!$B$7+268</f>
        <v/>
      </c>
      <c r="C14" s="31" t="inlineStr">
        <is>
          <t>Squat</t>
        </is>
      </c>
      <c r="D14" s="29" t="n">
        <v>3</v>
      </c>
      <c r="E14" s="29" t="inlineStr">
        <is>
          <t>6</t>
        </is>
      </c>
      <c r="F14" s="29" t="n">
        <v>65</v>
      </c>
      <c r="G14" s="30">
        <f>Maxes!H2</f>
        <v/>
      </c>
      <c r="H14" s="31">
        <f>IF(OR(G14="",F14=""),"",MROUND(G14*F14/100,'Start Here'!$B$6))</f>
        <v/>
      </c>
      <c r="I14" s="32" t="n"/>
      <c r="J14" s="32" t="n"/>
      <c r="K14" s="29">
        <f>IF(OR(I14="",J14=""),"",IF(J14=1,I14,ROUND(I14*(1+J14/30),1)))</f>
        <v/>
      </c>
      <c r="L14" s="33">
        <f>IF(K14="","",IF(K14&gt;=PRs!C2,"PR!",""))</f>
        <v/>
      </c>
      <c r="M14" s="32" t="n"/>
      <c r="N14" s="34" t="inlineStr"/>
    </row>
    <row r="15">
      <c r="A15" s="26" t="inlineStr">
        <is>
          <t>Day 2 - Light</t>
        </is>
      </c>
      <c r="B15" s="27">
        <f>'Start Here'!$B$7+268</f>
        <v/>
      </c>
      <c r="C15" s="31" t="inlineStr">
        <is>
          <t>Overhead Press</t>
        </is>
      </c>
      <c r="D15" s="29" t="n">
        <v>3</v>
      </c>
      <c r="E15" s="29" t="inlineStr">
        <is>
          <t>6</t>
        </is>
      </c>
      <c r="F15" s="29" t="n">
        <v>70</v>
      </c>
      <c r="G15" s="30">
        <f>Maxes!H5</f>
        <v/>
      </c>
      <c r="H15" s="31">
        <f>IF(OR(G15="",F15=""),"",MROUND(G15*F15/100,'Start Here'!$B$6))</f>
        <v/>
      </c>
      <c r="I15" s="32" t="n"/>
      <c r="J15" s="32" t="n"/>
      <c r="K15" s="29">
        <f>IF(OR(I15="",J15=""),"",IF(J15=1,I15,ROUND(I15*(1+J15/30),1)))</f>
        <v/>
      </c>
      <c r="L15" s="33">
        <f>IF(K15="","",IF(K15&gt;=PRs!C5,"PR!",""))</f>
        <v/>
      </c>
      <c r="M15" s="32" t="n"/>
      <c r="N15" s="34" t="inlineStr"/>
    </row>
    <row r="16">
      <c r="A16" s="26" t="inlineStr">
        <is>
          <t>Day 2 - Light</t>
        </is>
      </c>
      <c r="B16" s="27">
        <f>'Start Here'!$B$7+268</f>
        <v/>
      </c>
      <c r="C16" s="31" t="inlineStr">
        <is>
          <t>Deadlift</t>
        </is>
      </c>
      <c r="D16" s="29" t="n">
        <v>3</v>
      </c>
      <c r="E16" s="29" t="inlineStr">
        <is>
          <t>6</t>
        </is>
      </c>
      <c r="F16" s="29" t="n">
        <v>70</v>
      </c>
      <c r="G16" s="30">
        <f>Maxes!H4</f>
        <v/>
      </c>
      <c r="H16" s="31">
        <f>IF(OR(G16="",F16=""),"",MROUND(G16*F16/100,'Start Here'!$B$6))</f>
        <v/>
      </c>
      <c r="I16" s="32" t="n"/>
      <c r="J16" s="32" t="n"/>
      <c r="K16" s="29">
        <f>IF(OR(I16="",J16=""),"",IF(J16=1,I16,ROUND(I16*(1+J16/30),1)))</f>
        <v/>
      </c>
      <c r="L16" s="33">
        <f>IF(K16="","",IF(K16&gt;=PRs!C4,"PR!",""))</f>
        <v/>
      </c>
      <c r="M16" s="32" t="n"/>
      <c r="N16" s="34" t="inlineStr"/>
    </row>
    <row r="17">
      <c r="A17" s="26" t="inlineStr">
        <is>
          <t>Day 2 - Light</t>
        </is>
      </c>
      <c r="B17" s="27">
        <f>'Start Here'!$B$7+268</f>
        <v/>
      </c>
      <c r="C17" s="29" t="inlineStr">
        <is>
          <t>Chin-up</t>
        </is>
      </c>
      <c r="D17" s="29" t="n">
        <v>4</v>
      </c>
      <c r="E17" s="29" t="inlineStr">
        <is>
          <t>6-10</t>
        </is>
      </c>
      <c r="F17" s="29" t="n"/>
      <c r="G17" s="30" t="n"/>
      <c r="H17" s="31" t="n"/>
      <c r="I17" s="32" t="n"/>
      <c r="J17" s="32" t="n"/>
      <c r="K17" s="29">
        <f>IF(OR(I17="",J17=""),"",IF(J17=1,I17,ROUND(I17*(1+J17/30),1)))</f>
        <v/>
      </c>
      <c r="L17" s="33">
        <f>IF(K17="","",IF(K17&gt;=PRs!C53,"PR!",""))</f>
        <v/>
      </c>
      <c r="M17" s="32" t="n"/>
      <c r="N17" s="34" t="inlineStr">
        <is>
          <t>Leave 1-2 reps in the tank; add weight when you hit the top of the range</t>
        </is>
      </c>
    </row>
    <row r="18">
      <c r="A18" s="26" t="inlineStr">
        <is>
          <t>Day 2 - Light</t>
        </is>
      </c>
      <c r="B18" s="27">
        <f>'Start Here'!$B$7+268</f>
        <v/>
      </c>
      <c r="C18" s="29" t="inlineStr">
        <is>
          <t>Plank</t>
        </is>
      </c>
      <c r="D18" s="29" t="n">
        <v>4</v>
      </c>
      <c r="E18" s="29" t="inlineStr">
        <is>
          <t>30-60s</t>
        </is>
      </c>
      <c r="F18" s="29" t="n"/>
      <c r="G18" s="30" t="n"/>
      <c r="H18" s="31" t="n"/>
      <c r="I18" s="32" t="n"/>
      <c r="J18" s="32" t="n"/>
      <c r="K18" s="29">
        <f>IF(OR(I18="",J18=""),"",IF(J18=1,I18,ROUND(I18*(1+J18/30),1)))</f>
        <v/>
      </c>
      <c r="L18" s="33">
        <f>IF(K18="","",IF(K18&gt;=PRs!C56,"PR!",""))</f>
        <v/>
      </c>
      <c r="M18" s="32" t="n"/>
      <c r="N18" s="34" t="inlineStr">
        <is>
          <t>Leave 1-2 reps in the tank; add weight when you hit the top of the range</t>
        </is>
      </c>
    </row>
    <row r="19">
      <c r="A19" s="26" t="inlineStr">
        <is>
          <t>Day 3 - Variations</t>
        </is>
      </c>
      <c r="B19" s="27">
        <f>'Start Here'!$B$7+270</f>
        <v/>
      </c>
      <c r="C19" s="28" t="inlineStr">
        <is>
          <t>Box Jump</t>
        </is>
      </c>
      <c r="D19" s="29" t="n">
        <v>4</v>
      </c>
      <c r="E19" s="29" t="inlineStr">
        <is>
          <t>3</t>
        </is>
      </c>
      <c r="F19" s="29" t="n"/>
      <c r="G19" s="30" t="n"/>
      <c r="H19" s="31">
        <f>IFERROR(IF(PRs!D69&lt;'Start Here'!$H$15,'Start Here'!$H$15,IF(PRs!D69&lt;'Start Here'!$H$16,'Start Here'!$H$16,IF(PRs!D69&lt;'Start Here'!$H$17,'Start Here'!$H$17,IF(PRs!D69&lt;'Start Here'!$H$18,'Start Here'!$H$18,"Elite!")))),"")</f>
        <v/>
      </c>
      <c r="I19" s="32" t="n"/>
      <c r="J19" s="32" t="n"/>
      <c r="K19" s="29" t="n"/>
      <c r="L19" s="33">
        <f>IF(I19="","",IF(I19&gt;=PRs!D69,"PR!",""))</f>
        <v/>
      </c>
      <c r="M19" s="32" t="n"/>
      <c r="N19" s="34" t="inlineStr">
        <is>
          <t>Explode up, land softly, STEP down. Full reset between reps. Log your box height; check the standards</t>
        </is>
      </c>
    </row>
    <row r="20">
      <c r="A20" s="26" t="inlineStr">
        <is>
          <t>Day 3 - Variations</t>
        </is>
      </c>
      <c r="B20" s="27">
        <f>'Start Here'!$B$7+270</f>
        <v/>
      </c>
      <c r="C20" s="31" t="inlineStr">
        <is>
          <t>Power Clean</t>
        </is>
      </c>
      <c r="D20" s="29" t="n">
        <v>4</v>
      </c>
      <c r="E20" s="29" t="inlineStr">
        <is>
          <t>3</t>
        </is>
      </c>
      <c r="F20" s="29" t="n">
        <v>70</v>
      </c>
      <c r="G20" s="30">
        <f>Maxes!H42</f>
        <v/>
      </c>
      <c r="H20" s="31">
        <f>IF(OR(G20="",F20=""),"",MROUND(G20*F20/100,'Start Here'!$B$6))</f>
        <v/>
      </c>
      <c r="I20" s="32" t="n"/>
      <c r="J20" s="32" t="n"/>
      <c r="K20" s="29">
        <f>IF(OR(I20="",J20=""),"",IF(J20=1,I20,ROUND(I20*(1+J20/30),1)))</f>
        <v/>
      </c>
      <c r="L20" s="33">
        <f>IF(K20="","",IF(K20&gt;=PRs!C42,"PR!",""))</f>
        <v/>
      </c>
      <c r="M20" s="32" t="n"/>
      <c r="N20" s="34" t="inlineStr"/>
    </row>
    <row r="21">
      <c r="A21" s="26" t="inlineStr">
        <is>
          <t>Day 3 - Variations</t>
        </is>
      </c>
      <c r="B21" s="27">
        <f>'Start Here'!$B$7+270</f>
        <v/>
      </c>
      <c r="C21" s="31" t="inlineStr">
        <is>
          <t>Pin Squat</t>
        </is>
      </c>
      <c r="D21" s="29" t="n">
        <v>3</v>
      </c>
      <c r="E21" s="29" t="inlineStr">
        <is>
          <t>6</t>
        </is>
      </c>
      <c r="F21" s="29" t="n">
        <v>70</v>
      </c>
      <c r="G21" s="30">
        <f>Maxes!H12</f>
        <v/>
      </c>
      <c r="H21" s="31">
        <f>IF(OR(G21="",F21=""),"",MROUND(G21*F21/100,'Start Here'!$B$6))</f>
        <v/>
      </c>
      <c r="I21" s="32" t="n"/>
      <c r="J21" s="32" t="n"/>
      <c r="K21" s="29">
        <f>IF(OR(I21="",J21=""),"",IF(J21=1,I21,ROUND(I21*(1+J21/30),1)))</f>
        <v/>
      </c>
      <c r="L21" s="33">
        <f>IF(K21="","",IF(K21&gt;=PRs!C12,"PR!",""))</f>
        <v/>
      </c>
      <c r="M21" s="32" t="n"/>
      <c r="N21" s="34" t="inlineStr"/>
    </row>
    <row r="22">
      <c r="A22" s="26" t="inlineStr">
        <is>
          <t>Day 3 - Variations</t>
        </is>
      </c>
      <c r="B22" s="27">
        <f>'Start Here'!$B$7+270</f>
        <v/>
      </c>
      <c r="C22" s="31" t="inlineStr">
        <is>
          <t>Pause Bench Press</t>
        </is>
      </c>
      <c r="D22" s="29" t="n">
        <v>3</v>
      </c>
      <c r="E22" s="29" t="inlineStr">
        <is>
          <t>6</t>
        </is>
      </c>
      <c r="F22" s="29" t="n">
        <v>70</v>
      </c>
      <c r="G22" s="30">
        <f>Maxes!H18</f>
        <v/>
      </c>
      <c r="H22" s="31">
        <f>IF(OR(G22="",F22=""),"",MROUND(G22*F22/100,'Start Here'!$B$6))</f>
        <v/>
      </c>
      <c r="I22" s="32" t="n"/>
      <c r="J22" s="32" t="n"/>
      <c r="K22" s="29">
        <f>IF(OR(I22="",J22=""),"",IF(J22=1,I22,ROUND(I22*(1+J22/30),1)))</f>
        <v/>
      </c>
      <c r="L22" s="33">
        <f>IF(K22="","",IF(K22&gt;=PRs!C18,"PR!",""))</f>
        <v/>
      </c>
      <c r="M22" s="32" t="n"/>
      <c r="N22" s="34" t="inlineStr"/>
    </row>
    <row r="23">
      <c r="A23" s="26" t="inlineStr">
        <is>
          <t>Day 3 - Variations</t>
        </is>
      </c>
      <c r="B23" s="27">
        <f>'Start Here'!$B$7+270</f>
        <v/>
      </c>
      <c r="C23" s="31" t="inlineStr">
        <is>
          <t>Deficit Deadlift</t>
        </is>
      </c>
      <c r="D23" s="29" t="n">
        <v>3</v>
      </c>
      <c r="E23" s="29" t="inlineStr">
        <is>
          <t>6</t>
        </is>
      </c>
      <c r="F23" s="29" t="n">
        <v>65</v>
      </c>
      <c r="G23" s="30">
        <f>Maxes!H24</f>
        <v/>
      </c>
      <c r="H23" s="31">
        <f>IF(OR(G23="",F23=""),"",MROUND(G23*F23/100,'Start Here'!$B$6))</f>
        <v/>
      </c>
      <c r="I23" s="32" t="n"/>
      <c r="J23" s="32" t="n"/>
      <c r="K23" s="29">
        <f>IF(OR(I23="",J23=""),"",IF(J23=1,I23,ROUND(I23*(1+J23/30),1)))</f>
        <v/>
      </c>
      <c r="L23" s="33">
        <f>IF(K23="","",IF(K23&gt;=PRs!C24,"PR!",""))</f>
        <v/>
      </c>
      <c r="M23" s="32" t="n"/>
      <c r="N23" s="34" t="inlineStr"/>
    </row>
    <row r="24">
      <c r="A24" s="26" t="inlineStr">
        <is>
          <t>Day 3 - Variations</t>
        </is>
      </c>
      <c r="B24" s="27">
        <f>'Start Here'!$B$7+270</f>
        <v/>
      </c>
      <c r="C24" s="29" t="inlineStr">
        <is>
          <t>Incline Dumbbell Press</t>
        </is>
      </c>
      <c r="D24" s="29" t="n">
        <v>4</v>
      </c>
      <c r="E24" s="29" t="inlineStr">
        <is>
          <t>8-12</t>
        </is>
      </c>
      <c r="F24" s="29" t="n"/>
      <c r="G24" s="30" t="n"/>
      <c r="H24" s="31" t="n"/>
      <c r="I24" s="32" t="n"/>
      <c r="J24" s="32" t="n"/>
      <c r="K24" s="29">
        <f>IF(OR(I24="",J24=""),"",IF(J24=1,I24,ROUND(I24*(1+J24/30),1)))</f>
        <v/>
      </c>
      <c r="L24" s="33">
        <f>IF(K24="","",IF(K24&gt;=PRs!C57,"PR!",""))</f>
        <v/>
      </c>
      <c r="M24" s="32" t="n"/>
      <c r="N24" s="34" t="inlineStr">
        <is>
          <t>Leave 1-2 reps in the tank; add weight when you hit the top of the range</t>
        </is>
      </c>
    </row>
    <row r="25">
      <c r="A25" s="26" t="inlineStr">
        <is>
          <t>Day 3 - Variations</t>
        </is>
      </c>
      <c r="B25" s="27">
        <f>'Start Here'!$B$7+270</f>
        <v/>
      </c>
      <c r="C25" s="29" t="inlineStr">
        <is>
          <t>Triceps Pushdown</t>
        </is>
      </c>
      <c r="D25" s="29" t="n">
        <v>4</v>
      </c>
      <c r="E25" s="29" t="inlineStr">
        <is>
          <t>10-15</t>
        </is>
      </c>
      <c r="F25" s="29" t="n"/>
      <c r="G25" s="30" t="n"/>
      <c r="H25" s="31" t="n"/>
      <c r="I25" s="32" t="n"/>
      <c r="J25" s="32" t="n"/>
      <c r="K25" s="29">
        <f>IF(OR(I25="",J25=""),"",IF(J25=1,I25,ROUND(I25*(1+J25/30),1)))</f>
        <v/>
      </c>
      <c r="L25" s="33">
        <f>IF(K25="","",IF(K25&gt;=PRs!C59,"PR!",""))</f>
        <v/>
      </c>
      <c r="M25" s="32" t="n"/>
      <c r="N25" s="34" t="inlineStr">
        <is>
          <t>Leave 1-2 reps in the tank; add weight when you hit the top of the range</t>
        </is>
      </c>
    </row>
  </sheetData>
  <hyperlinks>
    <hyperlink xmlns:r="http://schemas.openxmlformats.org/officeDocument/2006/relationships" ref="A2" r:id="rId1"/>
    <hyperlink xmlns:r="http://schemas.openxmlformats.org/officeDocument/2006/relationships" ref="C2" r:id="rId2"/>
    <hyperlink xmlns:r="http://schemas.openxmlformats.org/officeDocument/2006/relationships" ref="E2" r:id="rId3"/>
  </hyperlinks>
  <pageMargins left="0.75" right="0.75" top="1" bottom="1" header="0.5" footer="0.5"/>
  <pageSetup orientation="landscape" fitToHeight="0" fitToWidth="1"/>
</worksheet>
</file>

<file path=xl/worksheets/sheet42.xml><?xml version="1.0" encoding="utf-8"?>
<worksheet xmlns="http://schemas.openxmlformats.org/spreadsheetml/2006/main">
  <sheetPr>
    <tabColor rgb="00E6E6E6"/>
    <outlinePr summaryBelow="1" summaryRight="1"/>
    <pageSetUpPr fitToPage="1"/>
  </sheetPr>
  <dimension ref="A1:N25"/>
  <sheetViews>
    <sheetView workbookViewId="0">
      <pane xSplit="3" ySplit="5" topLeftCell="D6" activePane="bottomRight" state="frozen"/>
      <selection pane="topRight"/>
      <selection pane="bottomLeft"/>
      <selection pane="bottomRight" activeCell="A1" sqref="A1"/>
    </sheetView>
  </sheetViews>
  <sheetFormatPr baseColWidth="8" defaultRowHeight="15"/>
  <cols>
    <col width="17" customWidth="1" min="1" max="1"/>
    <col width="11" customWidth="1" min="2" max="2"/>
    <col width="24" customWidth="1" min="3" max="3"/>
    <col width="5" customWidth="1" min="4" max="4"/>
    <col width="6" customWidth="1" min="5" max="5"/>
    <col width="6" customWidth="1" min="6" max="6"/>
    <col width="9" customWidth="1" min="7" max="7"/>
    <col width="10" customWidth="1" min="8" max="8"/>
    <col width="13" customWidth="1" min="9" max="9"/>
    <col width="8" customWidth="1" min="10" max="10"/>
    <col width="9" customWidth="1" min="11" max="11"/>
    <col width="5" customWidth="1" min="12" max="12"/>
    <col width="22" customWidth="1" min="13" max="13"/>
    <col width="62" customWidth="1" min="14" max="14"/>
  </cols>
  <sheetData>
    <row r="1">
      <c r="A1" s="24" t="inlineStr">
        <is>
          <t>Week 40 - Cycle 4 - Deload</t>
        </is>
      </c>
    </row>
    <row r="2">
      <c r="A2" s="25" t="inlineStr">
        <is>
          <t>&lt; Week 39</t>
        </is>
      </c>
      <c r="C2" s="25" t="inlineStr">
        <is>
          <t>Start Here</t>
        </is>
      </c>
      <c r="E2" s="25" t="inlineStr">
        <is>
          <t>Week 41 &gt;</t>
        </is>
      </c>
    </row>
    <row r="3">
      <c r="A3" s="10" t="inlineStr">
        <is>
          <t>Bodyweight this week</t>
        </is>
      </c>
      <c r="C3" s="4" t="n"/>
      <c r="D3" t="inlineStr">
        <is>
          <t>Weigh in once this week: same morning routine, before eating.</t>
        </is>
      </c>
    </row>
    <row r="4">
      <c r="A4" s="35" t="inlineStr">
        <is>
          <t>Body fat test due this week (month 10) - enter it on the Body sheet</t>
        </is>
      </c>
    </row>
    <row r="5">
      <c r="A5" s="5" t="inlineStr">
        <is>
          <t>Day</t>
        </is>
      </c>
      <c r="B5" s="5" t="inlineStr">
        <is>
          <t>Date</t>
        </is>
      </c>
      <c r="C5" s="5" t="inlineStr">
        <is>
          <t>Exercise</t>
        </is>
      </c>
      <c r="D5" s="5" t="inlineStr">
        <is>
          <t>Sets</t>
        </is>
      </c>
      <c r="E5" s="5" t="inlineStr">
        <is>
          <t>Reps</t>
        </is>
      </c>
      <c r="F5" s="5" t="inlineStr">
        <is>
          <t>% TM</t>
        </is>
      </c>
      <c r="G5" s="5" t="inlineStr">
        <is>
          <t>Training max</t>
        </is>
      </c>
      <c r="H5" s="5" t="inlineStr">
        <is>
          <t>Weight / target</t>
        </is>
      </c>
      <c r="I5" s="5" t="inlineStr">
        <is>
          <t>Actual (weight, height or distance)</t>
        </is>
      </c>
      <c r="J5" s="5" t="inlineStr">
        <is>
          <t>Actual reps</t>
        </is>
      </c>
      <c r="K5" s="5" t="inlineStr">
        <is>
          <t>Est. 1RM</t>
        </is>
      </c>
      <c r="L5" s="5" t="inlineStr">
        <is>
          <t>PR</t>
        </is>
      </c>
      <c r="M5" s="5" t="inlineStr">
        <is>
          <t>Notes</t>
        </is>
      </c>
      <c r="N5" s="5" t="inlineStr">
        <is>
          <t>Guidance</t>
        </is>
      </c>
    </row>
    <row r="6">
      <c r="A6" s="26" t="inlineStr">
        <is>
          <t>Day 1 - Heavy</t>
        </is>
      </c>
      <c r="B6" s="27">
        <f>'Start Here'!$B$7+273</f>
        <v/>
      </c>
      <c r="C6" s="28" t="inlineStr">
        <is>
          <t>Box Jump</t>
        </is>
      </c>
      <c r="D6" s="29" t="n">
        <v>2</v>
      </c>
      <c r="E6" s="29" t="inlineStr">
        <is>
          <t>3</t>
        </is>
      </c>
      <c r="F6" s="29" t="n"/>
      <c r="G6" s="30" t="n"/>
      <c r="H6" s="31">
        <f>IFERROR(IF(PRs!D69&lt;'Start Here'!$H$15,'Start Here'!$H$15,IF(PRs!D69&lt;'Start Here'!$H$16,'Start Here'!$H$16,IF(PRs!D69&lt;'Start Here'!$H$17,'Start Here'!$H$17,IF(PRs!D69&lt;'Start Here'!$H$18,'Start Here'!$H$18,"Elite!")))),"")</f>
        <v/>
      </c>
      <c r="I6" s="32" t="n"/>
      <c r="J6" s="32" t="n"/>
      <c r="K6" s="29" t="n"/>
      <c r="L6" s="33">
        <f>IF(I6="","",IF(I6&gt;=PRs!D69,"PR!",""))</f>
        <v/>
      </c>
      <c r="M6" s="32" t="n"/>
      <c r="N6" s="34" t="inlineStr">
        <is>
          <t>Explode up, land softly, STEP down. Full reset between reps. Log your box height; check the standards</t>
        </is>
      </c>
    </row>
    <row r="7">
      <c r="A7" s="26" t="inlineStr">
        <is>
          <t>Day 1 - Heavy</t>
        </is>
      </c>
      <c r="B7" s="27">
        <f>'Start Here'!$B$7+273</f>
        <v/>
      </c>
      <c r="C7" s="31" t="inlineStr">
        <is>
          <t>Snatch</t>
        </is>
      </c>
      <c r="D7" s="29" t="n">
        <v>2</v>
      </c>
      <c r="E7" s="29" t="inlineStr">
        <is>
          <t>2</t>
        </is>
      </c>
      <c r="F7" s="29" t="n">
        <v>60</v>
      </c>
      <c r="G7" s="30">
        <f>Maxes!H6</f>
        <v/>
      </c>
      <c r="H7" s="31">
        <f>IF(OR(G7="",F7=""),"",MROUND(G7*F7/100,'Start Here'!$B$6))</f>
        <v/>
      </c>
      <c r="I7" s="32" t="n"/>
      <c r="J7" s="32" t="n"/>
      <c r="K7" s="29">
        <f>IF(OR(I7="",J7=""),"",IF(J7=1,I7,ROUND(I7*(1+J7/30),1)))</f>
        <v/>
      </c>
      <c r="L7" s="33">
        <f>IF(K7="","",IF(K7&gt;=PRs!C6,"PR!",""))</f>
        <v/>
      </c>
      <c r="M7" s="32" t="n"/>
      <c r="N7" s="34" t="inlineStr">
        <is>
          <t>Easy week - move fast, recover</t>
        </is>
      </c>
    </row>
    <row r="8">
      <c r="A8" s="26" t="inlineStr">
        <is>
          <t>Day 1 - Heavy</t>
        </is>
      </c>
      <c r="B8" s="27">
        <f>'Start Here'!$B$7+273</f>
        <v/>
      </c>
      <c r="C8" s="31" t="inlineStr">
        <is>
          <t>Squat</t>
        </is>
      </c>
      <c r="D8" s="29" t="n">
        <v>2</v>
      </c>
      <c r="E8" s="29" t="inlineStr">
        <is>
          <t>5</t>
        </is>
      </c>
      <c r="F8" s="29" t="n">
        <v>60</v>
      </c>
      <c r="G8" s="30">
        <f>Maxes!H2</f>
        <v/>
      </c>
      <c r="H8" s="31">
        <f>IF(OR(G8="",F8=""),"",MROUND(G8*F8/100,'Start Here'!$B$6))</f>
        <v/>
      </c>
      <c r="I8" s="32" t="n"/>
      <c r="J8" s="32" t="n"/>
      <c r="K8" s="29">
        <f>IF(OR(I8="",J8=""),"",IF(J8=1,I8,ROUND(I8*(1+J8/30),1)))</f>
        <v/>
      </c>
      <c r="L8" s="33">
        <f>IF(K8="","",IF(K8&gt;=PRs!C2,"PR!",""))</f>
        <v/>
      </c>
      <c r="M8" s="32" t="n"/>
      <c r="N8" s="34" t="inlineStr">
        <is>
          <t>Easy week - move fast, recover</t>
        </is>
      </c>
    </row>
    <row r="9">
      <c r="A9" s="26" t="inlineStr">
        <is>
          <t>Day 1 - Heavy</t>
        </is>
      </c>
      <c r="B9" s="27">
        <f>'Start Here'!$B$7+273</f>
        <v/>
      </c>
      <c r="C9" s="31" t="inlineStr">
        <is>
          <t>Bench Press</t>
        </is>
      </c>
      <c r="D9" s="29" t="n">
        <v>2</v>
      </c>
      <c r="E9" s="29" t="inlineStr">
        <is>
          <t>5</t>
        </is>
      </c>
      <c r="F9" s="29" t="n">
        <v>60</v>
      </c>
      <c r="G9" s="30">
        <f>Maxes!H3</f>
        <v/>
      </c>
      <c r="H9" s="31">
        <f>IF(OR(G9="",F9=""),"",MROUND(G9*F9/100,'Start Here'!$B$6))</f>
        <v/>
      </c>
      <c r="I9" s="32" t="n"/>
      <c r="J9" s="32" t="n"/>
      <c r="K9" s="29">
        <f>IF(OR(I9="",J9=""),"",IF(J9=1,I9,ROUND(I9*(1+J9/30),1)))</f>
        <v/>
      </c>
      <c r="L9" s="33">
        <f>IF(K9="","",IF(K9&gt;=PRs!C3,"PR!",""))</f>
        <v/>
      </c>
      <c r="M9" s="32" t="n"/>
      <c r="N9" s="34" t="inlineStr">
        <is>
          <t>Easy week - move fast, recover</t>
        </is>
      </c>
    </row>
    <row r="10">
      <c r="A10" s="26" t="inlineStr">
        <is>
          <t>Day 1 - Heavy</t>
        </is>
      </c>
      <c r="B10" s="27">
        <f>'Start Here'!$B$7+273</f>
        <v/>
      </c>
      <c r="C10" s="29" t="inlineStr">
        <is>
          <t>Barbell Row</t>
        </is>
      </c>
      <c r="D10" s="29" t="n">
        <v>2</v>
      </c>
      <c r="E10" s="29" t="inlineStr">
        <is>
          <t>8-10</t>
        </is>
      </c>
      <c r="F10" s="29" t="n"/>
      <c r="G10" s="30" t="n"/>
      <c r="H10" s="31" t="n"/>
      <c r="I10" s="32" t="n"/>
      <c r="J10" s="32" t="n"/>
      <c r="K10" s="29">
        <f>IF(OR(I10="",J10=""),"",IF(J10=1,I10,ROUND(I10*(1+J10/30),1)))</f>
        <v/>
      </c>
      <c r="L10" s="33">
        <f>IF(K10="","",IF(K10&gt;=PRs!C50,"PR!",""))</f>
        <v/>
      </c>
      <c r="M10" s="32" t="n"/>
      <c r="N10" s="34" t="inlineStr">
        <is>
          <t>Easy - stop well short of failure</t>
        </is>
      </c>
    </row>
    <row r="11">
      <c r="A11" s="26" t="inlineStr">
        <is>
          <t>Day 1 - Heavy</t>
        </is>
      </c>
      <c r="B11" s="27">
        <f>'Start Here'!$B$7+273</f>
        <v/>
      </c>
      <c r="C11" s="29" t="inlineStr">
        <is>
          <t>Face Pull</t>
        </is>
      </c>
      <c r="D11" s="29" t="n">
        <v>2</v>
      </c>
      <c r="E11" s="29" t="inlineStr">
        <is>
          <t>12-15</t>
        </is>
      </c>
      <c r="F11" s="29" t="n"/>
      <c r="G11" s="30" t="n"/>
      <c r="H11" s="31" t="n"/>
      <c r="I11" s="32" t="n"/>
      <c r="J11" s="32" t="n"/>
      <c r="K11" s="29">
        <f>IF(OR(I11="",J11=""),"",IF(J11=1,I11,ROUND(I11*(1+J11/30),1)))</f>
        <v/>
      </c>
      <c r="L11" s="33">
        <f>IF(K11="","",IF(K11&gt;=PRs!C51,"PR!",""))</f>
        <v/>
      </c>
      <c r="M11" s="32" t="n"/>
      <c r="N11" s="34" t="inlineStr">
        <is>
          <t>Easy - stop well short of failure</t>
        </is>
      </c>
    </row>
    <row r="12">
      <c r="A12" s="26" t="inlineStr">
        <is>
          <t>Day 2 - Light</t>
        </is>
      </c>
      <c r="B12" s="27">
        <f>'Start Here'!$B$7+275</f>
        <v/>
      </c>
      <c r="C12" s="28" t="inlineStr">
        <is>
          <t>Broad Jump</t>
        </is>
      </c>
      <c r="D12" s="29" t="n">
        <v>2</v>
      </c>
      <c r="E12" s="29" t="inlineStr">
        <is>
          <t>3</t>
        </is>
      </c>
      <c r="F12" s="29" t="n"/>
      <c r="G12" s="30" t="n"/>
      <c r="H12" s="31" t="n"/>
      <c r="I12" s="32" t="n"/>
      <c r="J12" s="32" t="n"/>
      <c r="K12" s="29" t="n"/>
      <c r="L12" s="33">
        <f>IF(I12="","",IF(I12&gt;=PRs!D70,"PR!",""))</f>
        <v/>
      </c>
      <c r="M12" s="32" t="n"/>
      <c r="N12" s="34" t="inlineStr">
        <is>
          <t>Two-foot jump for distance, stick the landing. Full reset between reps. Log your best distance</t>
        </is>
      </c>
    </row>
    <row r="13">
      <c r="A13" s="26" t="inlineStr">
        <is>
          <t>Day 2 - Light</t>
        </is>
      </c>
      <c r="B13" s="27">
        <f>'Start Here'!$B$7+275</f>
        <v/>
      </c>
      <c r="C13" s="31" t="inlineStr">
        <is>
          <t>Clean &amp; Jerk</t>
        </is>
      </c>
      <c r="D13" s="29" t="n">
        <v>2</v>
      </c>
      <c r="E13" s="29" t="inlineStr">
        <is>
          <t>2</t>
        </is>
      </c>
      <c r="F13" s="29" t="n">
        <v>60</v>
      </c>
      <c r="G13" s="30">
        <f>Maxes!H7</f>
        <v/>
      </c>
      <c r="H13" s="31">
        <f>IF(OR(G13="",F13=""),"",MROUND(G13*F13/100,'Start Here'!$B$6))</f>
        <v/>
      </c>
      <c r="I13" s="32" t="n"/>
      <c r="J13" s="32" t="n"/>
      <c r="K13" s="29">
        <f>IF(OR(I13="",J13=""),"",IF(J13=1,I13,ROUND(I13*(1+J13/30),1)))</f>
        <v/>
      </c>
      <c r="L13" s="33">
        <f>IF(K13="","",IF(K13&gt;=PRs!C7,"PR!",""))</f>
        <v/>
      </c>
      <c r="M13" s="32" t="n"/>
      <c r="N13" s="34" t="inlineStr">
        <is>
          <t>Easy week - move fast, recover</t>
        </is>
      </c>
    </row>
    <row r="14">
      <c r="A14" s="26" t="inlineStr">
        <is>
          <t>Day 2 - Light</t>
        </is>
      </c>
      <c r="B14" s="27">
        <f>'Start Here'!$B$7+275</f>
        <v/>
      </c>
      <c r="C14" s="31" t="inlineStr">
        <is>
          <t>Squat</t>
        </is>
      </c>
      <c r="D14" s="29" t="n">
        <v>2</v>
      </c>
      <c r="E14" s="29" t="inlineStr">
        <is>
          <t>5</t>
        </is>
      </c>
      <c r="F14" s="29" t="n">
        <v>60</v>
      </c>
      <c r="G14" s="30">
        <f>Maxes!H2</f>
        <v/>
      </c>
      <c r="H14" s="31">
        <f>IF(OR(G14="",F14=""),"",MROUND(G14*F14/100,'Start Here'!$B$6))</f>
        <v/>
      </c>
      <c r="I14" s="32" t="n"/>
      <c r="J14" s="32" t="n"/>
      <c r="K14" s="29">
        <f>IF(OR(I14="",J14=""),"",IF(J14=1,I14,ROUND(I14*(1+J14/30),1)))</f>
        <v/>
      </c>
      <c r="L14" s="33">
        <f>IF(K14="","",IF(K14&gt;=PRs!C2,"PR!",""))</f>
        <v/>
      </c>
      <c r="M14" s="32" t="n"/>
      <c r="N14" s="34" t="inlineStr">
        <is>
          <t>Easy week - move fast, recover</t>
        </is>
      </c>
    </row>
    <row r="15">
      <c r="A15" s="26" t="inlineStr">
        <is>
          <t>Day 2 - Light</t>
        </is>
      </c>
      <c r="B15" s="27">
        <f>'Start Here'!$B$7+275</f>
        <v/>
      </c>
      <c r="C15" s="31" t="inlineStr">
        <is>
          <t>Overhead Press</t>
        </is>
      </c>
      <c r="D15" s="29" t="n">
        <v>2</v>
      </c>
      <c r="E15" s="29" t="inlineStr">
        <is>
          <t>5</t>
        </is>
      </c>
      <c r="F15" s="29" t="n">
        <v>60</v>
      </c>
      <c r="G15" s="30">
        <f>Maxes!H5</f>
        <v/>
      </c>
      <c r="H15" s="31">
        <f>IF(OR(G15="",F15=""),"",MROUND(G15*F15/100,'Start Here'!$B$6))</f>
        <v/>
      </c>
      <c r="I15" s="32" t="n"/>
      <c r="J15" s="32" t="n"/>
      <c r="K15" s="29">
        <f>IF(OR(I15="",J15=""),"",IF(J15=1,I15,ROUND(I15*(1+J15/30),1)))</f>
        <v/>
      </c>
      <c r="L15" s="33">
        <f>IF(K15="","",IF(K15&gt;=PRs!C5,"PR!",""))</f>
        <v/>
      </c>
      <c r="M15" s="32" t="n"/>
      <c r="N15" s="34" t="inlineStr">
        <is>
          <t>Easy week - move fast, recover</t>
        </is>
      </c>
    </row>
    <row r="16">
      <c r="A16" s="26" t="inlineStr">
        <is>
          <t>Day 2 - Light</t>
        </is>
      </c>
      <c r="B16" s="27">
        <f>'Start Here'!$B$7+275</f>
        <v/>
      </c>
      <c r="C16" s="31" t="inlineStr">
        <is>
          <t>Deadlift</t>
        </is>
      </c>
      <c r="D16" s="29" t="n">
        <v>2</v>
      </c>
      <c r="E16" s="29" t="inlineStr">
        <is>
          <t>5</t>
        </is>
      </c>
      <c r="F16" s="29" t="n">
        <v>60</v>
      </c>
      <c r="G16" s="30">
        <f>Maxes!H4</f>
        <v/>
      </c>
      <c r="H16" s="31">
        <f>IF(OR(G16="",F16=""),"",MROUND(G16*F16/100,'Start Here'!$B$6))</f>
        <v/>
      </c>
      <c r="I16" s="32" t="n"/>
      <c r="J16" s="32" t="n"/>
      <c r="K16" s="29">
        <f>IF(OR(I16="",J16=""),"",IF(J16=1,I16,ROUND(I16*(1+J16/30),1)))</f>
        <v/>
      </c>
      <c r="L16" s="33">
        <f>IF(K16="","",IF(K16&gt;=PRs!C4,"PR!",""))</f>
        <v/>
      </c>
      <c r="M16" s="32" t="n"/>
      <c r="N16" s="34" t="inlineStr">
        <is>
          <t>Easy week - move fast, recover</t>
        </is>
      </c>
    </row>
    <row r="17">
      <c r="A17" s="26" t="inlineStr">
        <is>
          <t>Day 2 - Light</t>
        </is>
      </c>
      <c r="B17" s="27">
        <f>'Start Here'!$B$7+275</f>
        <v/>
      </c>
      <c r="C17" s="29" t="inlineStr">
        <is>
          <t>Chin-up</t>
        </is>
      </c>
      <c r="D17" s="29" t="n">
        <v>2</v>
      </c>
      <c r="E17" s="29" t="inlineStr">
        <is>
          <t>6-10</t>
        </is>
      </c>
      <c r="F17" s="29" t="n"/>
      <c r="G17" s="30" t="n"/>
      <c r="H17" s="31" t="n"/>
      <c r="I17" s="32" t="n"/>
      <c r="J17" s="32" t="n"/>
      <c r="K17" s="29">
        <f>IF(OR(I17="",J17=""),"",IF(J17=1,I17,ROUND(I17*(1+J17/30),1)))</f>
        <v/>
      </c>
      <c r="L17" s="33">
        <f>IF(K17="","",IF(K17&gt;=PRs!C53,"PR!",""))</f>
        <v/>
      </c>
      <c r="M17" s="32" t="n"/>
      <c r="N17" s="34" t="inlineStr">
        <is>
          <t>Easy - stop well short of failure</t>
        </is>
      </c>
    </row>
    <row r="18">
      <c r="A18" s="26" t="inlineStr">
        <is>
          <t>Day 2 - Light</t>
        </is>
      </c>
      <c r="B18" s="27">
        <f>'Start Here'!$B$7+275</f>
        <v/>
      </c>
      <c r="C18" s="29" t="inlineStr">
        <is>
          <t>Plank</t>
        </is>
      </c>
      <c r="D18" s="29" t="n">
        <v>2</v>
      </c>
      <c r="E18" s="29" t="inlineStr">
        <is>
          <t>30-60s</t>
        </is>
      </c>
      <c r="F18" s="29" t="n"/>
      <c r="G18" s="30" t="n"/>
      <c r="H18" s="31" t="n"/>
      <c r="I18" s="32" t="n"/>
      <c r="J18" s="32" t="n"/>
      <c r="K18" s="29">
        <f>IF(OR(I18="",J18=""),"",IF(J18=1,I18,ROUND(I18*(1+J18/30),1)))</f>
        <v/>
      </c>
      <c r="L18" s="33">
        <f>IF(K18="","",IF(K18&gt;=PRs!C56,"PR!",""))</f>
        <v/>
      </c>
      <c r="M18" s="32" t="n"/>
      <c r="N18" s="34" t="inlineStr">
        <is>
          <t>Easy - stop well short of failure</t>
        </is>
      </c>
    </row>
    <row r="19">
      <c r="A19" s="26" t="inlineStr">
        <is>
          <t>Day 3 - Variations</t>
        </is>
      </c>
      <c r="B19" s="27">
        <f>'Start Here'!$B$7+277</f>
        <v/>
      </c>
      <c r="C19" s="28" t="inlineStr">
        <is>
          <t>Box Jump</t>
        </is>
      </c>
      <c r="D19" s="29" t="n">
        <v>2</v>
      </c>
      <c r="E19" s="29" t="inlineStr">
        <is>
          <t>3</t>
        </is>
      </c>
      <c r="F19" s="29" t="n"/>
      <c r="G19" s="30" t="n"/>
      <c r="H19" s="31">
        <f>IFERROR(IF(PRs!D69&lt;'Start Here'!$H$15,'Start Here'!$H$15,IF(PRs!D69&lt;'Start Here'!$H$16,'Start Here'!$H$16,IF(PRs!D69&lt;'Start Here'!$H$17,'Start Here'!$H$17,IF(PRs!D69&lt;'Start Here'!$H$18,'Start Here'!$H$18,"Elite!")))),"")</f>
        <v/>
      </c>
      <c r="I19" s="32" t="n"/>
      <c r="J19" s="32" t="n"/>
      <c r="K19" s="29" t="n"/>
      <c r="L19" s="33">
        <f>IF(I19="","",IF(I19&gt;=PRs!D69,"PR!",""))</f>
        <v/>
      </c>
      <c r="M19" s="32" t="n"/>
      <c r="N19" s="34" t="inlineStr">
        <is>
          <t>Explode up, land softly, STEP down. Full reset between reps. Log your box height; check the standards</t>
        </is>
      </c>
    </row>
    <row r="20">
      <c r="A20" s="26" t="inlineStr">
        <is>
          <t>Day 3 - Variations</t>
        </is>
      </c>
      <c r="B20" s="27">
        <f>'Start Here'!$B$7+277</f>
        <v/>
      </c>
      <c r="C20" s="31" t="inlineStr">
        <is>
          <t>Power Clean</t>
        </is>
      </c>
      <c r="D20" s="29" t="n">
        <v>2</v>
      </c>
      <c r="E20" s="29" t="inlineStr">
        <is>
          <t>2</t>
        </is>
      </c>
      <c r="F20" s="29" t="n">
        <v>60</v>
      </c>
      <c r="G20" s="30">
        <f>Maxes!H42</f>
        <v/>
      </c>
      <c r="H20" s="31">
        <f>IF(OR(G20="",F20=""),"",MROUND(G20*F20/100,'Start Here'!$B$6))</f>
        <v/>
      </c>
      <c r="I20" s="32" t="n"/>
      <c r="J20" s="32" t="n"/>
      <c r="K20" s="29">
        <f>IF(OR(I20="",J20=""),"",IF(J20=1,I20,ROUND(I20*(1+J20/30),1)))</f>
        <v/>
      </c>
      <c r="L20" s="33">
        <f>IF(K20="","",IF(K20&gt;=PRs!C42,"PR!",""))</f>
        <v/>
      </c>
      <c r="M20" s="32" t="n"/>
      <c r="N20" s="34" t="inlineStr">
        <is>
          <t>Easy week - move fast, recover</t>
        </is>
      </c>
    </row>
    <row r="21">
      <c r="A21" s="26" t="inlineStr">
        <is>
          <t>Day 3 - Variations</t>
        </is>
      </c>
      <c r="B21" s="27">
        <f>'Start Here'!$B$7+277</f>
        <v/>
      </c>
      <c r="C21" s="31" t="inlineStr">
        <is>
          <t>Pin Squat</t>
        </is>
      </c>
      <c r="D21" s="29" t="n">
        <v>2</v>
      </c>
      <c r="E21" s="29" t="inlineStr">
        <is>
          <t>5</t>
        </is>
      </c>
      <c r="F21" s="29" t="n">
        <v>60</v>
      </c>
      <c r="G21" s="30">
        <f>Maxes!H12</f>
        <v/>
      </c>
      <c r="H21" s="31">
        <f>IF(OR(G21="",F21=""),"",MROUND(G21*F21/100,'Start Here'!$B$6))</f>
        <v/>
      </c>
      <c r="I21" s="32" t="n"/>
      <c r="J21" s="32" t="n"/>
      <c r="K21" s="29">
        <f>IF(OR(I21="",J21=""),"",IF(J21=1,I21,ROUND(I21*(1+J21/30),1)))</f>
        <v/>
      </c>
      <c r="L21" s="33">
        <f>IF(K21="","",IF(K21&gt;=PRs!C12,"PR!",""))</f>
        <v/>
      </c>
      <c r="M21" s="32" t="n"/>
      <c r="N21" s="34" t="inlineStr">
        <is>
          <t>Easy week - move fast, recover</t>
        </is>
      </c>
    </row>
    <row r="22">
      <c r="A22" s="26" t="inlineStr">
        <is>
          <t>Day 3 - Variations</t>
        </is>
      </c>
      <c r="B22" s="27">
        <f>'Start Here'!$B$7+277</f>
        <v/>
      </c>
      <c r="C22" s="31" t="inlineStr">
        <is>
          <t>Pause Bench Press</t>
        </is>
      </c>
      <c r="D22" s="29" t="n">
        <v>2</v>
      </c>
      <c r="E22" s="29" t="inlineStr">
        <is>
          <t>5</t>
        </is>
      </c>
      <c r="F22" s="29" t="n">
        <v>60</v>
      </c>
      <c r="G22" s="30">
        <f>Maxes!H18</f>
        <v/>
      </c>
      <c r="H22" s="31">
        <f>IF(OR(G22="",F22=""),"",MROUND(G22*F22/100,'Start Here'!$B$6))</f>
        <v/>
      </c>
      <c r="I22" s="32" t="n"/>
      <c r="J22" s="32" t="n"/>
      <c r="K22" s="29">
        <f>IF(OR(I22="",J22=""),"",IF(J22=1,I22,ROUND(I22*(1+J22/30),1)))</f>
        <v/>
      </c>
      <c r="L22" s="33">
        <f>IF(K22="","",IF(K22&gt;=PRs!C18,"PR!",""))</f>
        <v/>
      </c>
      <c r="M22" s="32" t="n"/>
      <c r="N22" s="34" t="inlineStr">
        <is>
          <t>Easy week - move fast, recover</t>
        </is>
      </c>
    </row>
    <row r="23">
      <c r="A23" s="26" t="inlineStr">
        <is>
          <t>Day 3 - Variations</t>
        </is>
      </c>
      <c r="B23" s="27">
        <f>'Start Here'!$B$7+277</f>
        <v/>
      </c>
      <c r="C23" s="31" t="inlineStr">
        <is>
          <t>Deficit Deadlift</t>
        </is>
      </c>
      <c r="D23" s="29" t="n">
        <v>2</v>
      </c>
      <c r="E23" s="29" t="inlineStr">
        <is>
          <t>5</t>
        </is>
      </c>
      <c r="F23" s="29" t="n">
        <v>60</v>
      </c>
      <c r="G23" s="30">
        <f>Maxes!H24</f>
        <v/>
      </c>
      <c r="H23" s="31">
        <f>IF(OR(G23="",F23=""),"",MROUND(G23*F23/100,'Start Here'!$B$6))</f>
        <v/>
      </c>
      <c r="I23" s="32" t="n"/>
      <c r="J23" s="32" t="n"/>
      <c r="K23" s="29">
        <f>IF(OR(I23="",J23=""),"",IF(J23=1,I23,ROUND(I23*(1+J23/30),1)))</f>
        <v/>
      </c>
      <c r="L23" s="33">
        <f>IF(K23="","",IF(K23&gt;=PRs!C24,"PR!",""))</f>
        <v/>
      </c>
      <c r="M23" s="32" t="n"/>
      <c r="N23" s="34" t="inlineStr">
        <is>
          <t>Easy week - move fast, recover</t>
        </is>
      </c>
    </row>
    <row r="24">
      <c r="A24" s="26" t="inlineStr">
        <is>
          <t>Day 3 - Variations</t>
        </is>
      </c>
      <c r="B24" s="27">
        <f>'Start Here'!$B$7+277</f>
        <v/>
      </c>
      <c r="C24" s="29" t="inlineStr">
        <is>
          <t>Incline Dumbbell Press</t>
        </is>
      </c>
      <c r="D24" s="29" t="n">
        <v>2</v>
      </c>
      <c r="E24" s="29" t="inlineStr">
        <is>
          <t>8-12</t>
        </is>
      </c>
      <c r="F24" s="29" t="n"/>
      <c r="G24" s="30" t="n"/>
      <c r="H24" s="31" t="n"/>
      <c r="I24" s="32" t="n"/>
      <c r="J24" s="32" t="n"/>
      <c r="K24" s="29">
        <f>IF(OR(I24="",J24=""),"",IF(J24=1,I24,ROUND(I24*(1+J24/30),1)))</f>
        <v/>
      </c>
      <c r="L24" s="33">
        <f>IF(K24="","",IF(K24&gt;=PRs!C57,"PR!",""))</f>
        <v/>
      </c>
      <c r="M24" s="32" t="n"/>
      <c r="N24" s="34" t="inlineStr">
        <is>
          <t>Easy - stop well short of failure</t>
        </is>
      </c>
    </row>
    <row r="25">
      <c r="A25" s="26" t="inlineStr">
        <is>
          <t>Day 3 - Variations</t>
        </is>
      </c>
      <c r="B25" s="27">
        <f>'Start Here'!$B$7+277</f>
        <v/>
      </c>
      <c r="C25" s="29" t="inlineStr">
        <is>
          <t>Triceps Pushdown</t>
        </is>
      </c>
      <c r="D25" s="29" t="n">
        <v>2</v>
      </c>
      <c r="E25" s="29" t="inlineStr">
        <is>
          <t>10-15</t>
        </is>
      </c>
      <c r="F25" s="29" t="n"/>
      <c r="G25" s="30" t="n"/>
      <c r="H25" s="31" t="n"/>
      <c r="I25" s="32" t="n"/>
      <c r="J25" s="32" t="n"/>
      <c r="K25" s="29">
        <f>IF(OR(I25="",J25=""),"",IF(J25=1,I25,ROUND(I25*(1+J25/30),1)))</f>
        <v/>
      </c>
      <c r="L25" s="33">
        <f>IF(K25="","",IF(K25&gt;=PRs!C59,"PR!",""))</f>
        <v/>
      </c>
      <c r="M25" s="32" t="n"/>
      <c r="N25" s="34" t="inlineStr">
        <is>
          <t>Easy - stop well short of failure</t>
        </is>
      </c>
    </row>
  </sheetData>
  <hyperlinks>
    <hyperlink xmlns:r="http://schemas.openxmlformats.org/officeDocument/2006/relationships" ref="A2" r:id="rId1"/>
    <hyperlink xmlns:r="http://schemas.openxmlformats.org/officeDocument/2006/relationships" ref="C2" r:id="rId2"/>
    <hyperlink xmlns:r="http://schemas.openxmlformats.org/officeDocument/2006/relationships" ref="E2" r:id="rId3"/>
    <hyperlink xmlns:r="http://schemas.openxmlformats.org/officeDocument/2006/relationships" ref="A4" r:id="rId4"/>
  </hyperlinks>
  <pageMargins left="0.75" right="0.75" top="1" bottom="1" header="0.5" footer="0.5"/>
  <pageSetup orientation="landscape" fitToHeight="0" fitToWidth="1"/>
</worksheet>
</file>

<file path=xl/worksheets/sheet43.xml><?xml version="1.0" encoding="utf-8"?>
<worksheet xmlns="http://schemas.openxmlformats.org/spreadsheetml/2006/main">
  <sheetPr>
    <tabColor rgb="00FCE9D2"/>
    <outlinePr summaryBelow="1" summaryRight="1"/>
    <pageSetUpPr fitToPage="1"/>
  </sheetPr>
  <dimension ref="A1:N25"/>
  <sheetViews>
    <sheetView workbookViewId="0">
      <pane xSplit="3" ySplit="5" topLeftCell="D6" activePane="bottomRight" state="frozen"/>
      <selection pane="topRight"/>
      <selection pane="bottomLeft"/>
      <selection pane="bottomRight" activeCell="A1" sqref="A1"/>
    </sheetView>
  </sheetViews>
  <sheetFormatPr baseColWidth="8" defaultRowHeight="15"/>
  <cols>
    <col width="17" customWidth="1" min="1" max="1"/>
    <col width="11" customWidth="1" min="2" max="2"/>
    <col width="24" customWidth="1" min="3" max="3"/>
    <col width="5" customWidth="1" min="4" max="4"/>
    <col width="6" customWidth="1" min="5" max="5"/>
    <col width="6" customWidth="1" min="6" max="6"/>
    <col width="9" customWidth="1" min="7" max="7"/>
    <col width="10" customWidth="1" min="8" max="8"/>
    <col width="13" customWidth="1" min="9" max="9"/>
    <col width="8" customWidth="1" min="10" max="10"/>
    <col width="9" customWidth="1" min="11" max="11"/>
    <col width="5" customWidth="1" min="12" max="12"/>
    <col width="22" customWidth="1" min="13" max="13"/>
    <col width="62" customWidth="1" min="14" max="14"/>
  </cols>
  <sheetData>
    <row r="1">
      <c r="A1" s="24" t="inlineStr">
        <is>
          <t>Week 41 - Cycle 4 - Transmutation</t>
        </is>
      </c>
    </row>
    <row r="2">
      <c r="A2" s="25" t="inlineStr">
        <is>
          <t>&lt; Week 40</t>
        </is>
      </c>
      <c r="C2" s="25" t="inlineStr">
        <is>
          <t>Start Here</t>
        </is>
      </c>
      <c r="E2" s="25" t="inlineStr">
        <is>
          <t>Week 42 &gt;</t>
        </is>
      </c>
    </row>
    <row r="3">
      <c r="A3" s="10" t="inlineStr">
        <is>
          <t>Bodyweight this week</t>
        </is>
      </c>
      <c r="C3" s="4" t="n"/>
      <c r="D3" t="inlineStr">
        <is>
          <t>Weigh in once this week: same morning routine, before eating.</t>
        </is>
      </c>
    </row>
    <row r="5">
      <c r="A5" s="5" t="inlineStr">
        <is>
          <t>Day</t>
        </is>
      </c>
      <c r="B5" s="5" t="inlineStr">
        <is>
          <t>Date</t>
        </is>
      </c>
      <c r="C5" s="5" t="inlineStr">
        <is>
          <t>Exercise</t>
        </is>
      </c>
      <c r="D5" s="5" t="inlineStr">
        <is>
          <t>Sets</t>
        </is>
      </c>
      <c r="E5" s="5" t="inlineStr">
        <is>
          <t>Reps</t>
        </is>
      </c>
      <c r="F5" s="5" t="inlineStr">
        <is>
          <t>% TM</t>
        </is>
      </c>
      <c r="G5" s="5" t="inlineStr">
        <is>
          <t>Training max</t>
        </is>
      </c>
      <c r="H5" s="5" t="inlineStr">
        <is>
          <t>Weight / target</t>
        </is>
      </c>
      <c r="I5" s="5" t="inlineStr">
        <is>
          <t>Actual (weight, height or distance)</t>
        </is>
      </c>
      <c r="J5" s="5" t="inlineStr">
        <is>
          <t>Actual reps</t>
        </is>
      </c>
      <c r="K5" s="5" t="inlineStr">
        <is>
          <t>Est. 1RM</t>
        </is>
      </c>
      <c r="L5" s="5" t="inlineStr">
        <is>
          <t>PR</t>
        </is>
      </c>
      <c r="M5" s="5" t="inlineStr">
        <is>
          <t>Notes</t>
        </is>
      </c>
      <c r="N5" s="5" t="inlineStr">
        <is>
          <t>Guidance</t>
        </is>
      </c>
    </row>
    <row r="6">
      <c r="A6" s="26" t="inlineStr">
        <is>
          <t>Day 1 - Heavy</t>
        </is>
      </c>
      <c r="B6" s="27">
        <f>'Start Here'!$B$7+280</f>
        <v/>
      </c>
      <c r="C6" s="28" t="inlineStr">
        <is>
          <t>Box Jump</t>
        </is>
      </c>
      <c r="D6" s="29" t="n">
        <v>4</v>
      </c>
      <c r="E6" s="29" t="inlineStr">
        <is>
          <t>3</t>
        </is>
      </c>
      <c r="F6" s="29" t="n"/>
      <c r="G6" s="30" t="n"/>
      <c r="H6" s="31">
        <f>IFERROR(IF(PRs!D69&lt;'Start Here'!$H$15,'Start Here'!$H$15,IF(PRs!D69&lt;'Start Here'!$H$16,'Start Here'!$H$16,IF(PRs!D69&lt;'Start Here'!$H$17,'Start Here'!$H$17,IF(PRs!D69&lt;'Start Here'!$H$18,'Start Here'!$H$18,"Elite!")))),"")</f>
        <v/>
      </c>
      <c r="I6" s="32" t="n"/>
      <c r="J6" s="32" t="n"/>
      <c r="K6" s="29" t="n"/>
      <c r="L6" s="33">
        <f>IF(I6="","",IF(I6&gt;=PRs!D69,"PR!",""))</f>
        <v/>
      </c>
      <c r="M6" s="32" t="n"/>
      <c r="N6" s="34" t="inlineStr">
        <is>
          <t>Explode up, land softly, STEP down. Full reset between reps. Log your box height; check the standards</t>
        </is>
      </c>
    </row>
    <row r="7">
      <c r="A7" s="26" t="inlineStr">
        <is>
          <t>Day 1 - Heavy</t>
        </is>
      </c>
      <c r="B7" s="27">
        <f>'Start Here'!$B$7+280</f>
        <v/>
      </c>
      <c r="C7" s="31" t="inlineStr">
        <is>
          <t>Snatch</t>
        </is>
      </c>
      <c r="D7" s="29" t="n">
        <v>4</v>
      </c>
      <c r="E7" s="29" t="inlineStr">
        <is>
          <t>3</t>
        </is>
      </c>
      <c r="F7" s="29" t="n">
        <v>77.5</v>
      </c>
      <c r="G7" s="30">
        <f>Maxes!H6</f>
        <v/>
      </c>
      <c r="H7" s="31">
        <f>IF(OR(G7="",F7=""),"",MROUND(G7*F7/100,'Start Here'!$B$6))</f>
        <v/>
      </c>
      <c r="I7" s="32" t="n"/>
      <c r="J7" s="32" t="n"/>
      <c r="K7" s="29">
        <f>IF(OR(I7="",J7=""),"",IF(J7=1,I7,ROUND(I7*(1+J7/30),1)))</f>
        <v/>
      </c>
      <c r="L7" s="33">
        <f>IF(K7="","",IF(K7&gt;=PRs!C6,"PR!",""))</f>
        <v/>
      </c>
      <c r="M7" s="32" t="n"/>
      <c r="N7" s="34" t="inlineStr"/>
    </row>
    <row r="8">
      <c r="A8" s="26" t="inlineStr">
        <is>
          <t>Day 1 - Heavy</t>
        </is>
      </c>
      <c r="B8" s="27">
        <f>'Start Here'!$B$7+280</f>
        <v/>
      </c>
      <c r="C8" s="31" t="inlineStr">
        <is>
          <t>Squat</t>
        </is>
      </c>
      <c r="D8" s="29" t="n">
        <v>3</v>
      </c>
      <c r="E8" s="29" t="inlineStr">
        <is>
          <t>6</t>
        </is>
      </c>
      <c r="F8" s="29" t="n">
        <v>77.5</v>
      </c>
      <c r="G8" s="30">
        <f>Maxes!H2</f>
        <v/>
      </c>
      <c r="H8" s="31">
        <f>IF(OR(G8="",F8=""),"",MROUND(G8*F8/100,'Start Here'!$B$6))</f>
        <v/>
      </c>
      <c r="I8" s="32" t="n"/>
      <c r="J8" s="32" t="n"/>
      <c r="K8" s="29">
        <f>IF(OR(I8="",J8=""),"",IF(J8=1,I8,ROUND(I8*(1+J8/30),1)))</f>
        <v/>
      </c>
      <c r="L8" s="33">
        <f>IF(K8="","",IF(K8&gt;=PRs!C2,"PR!",""))</f>
        <v/>
      </c>
      <c r="M8" s="32" t="n"/>
      <c r="N8" s="34" t="inlineStr"/>
    </row>
    <row r="9">
      <c r="A9" s="26" t="inlineStr">
        <is>
          <t>Day 1 - Heavy</t>
        </is>
      </c>
      <c r="B9" s="27">
        <f>'Start Here'!$B$7+280</f>
        <v/>
      </c>
      <c r="C9" s="31" t="inlineStr">
        <is>
          <t>Bench Press</t>
        </is>
      </c>
      <c r="D9" s="29" t="n">
        <v>3</v>
      </c>
      <c r="E9" s="29" t="inlineStr">
        <is>
          <t>6</t>
        </is>
      </c>
      <c r="F9" s="29" t="n">
        <v>77.5</v>
      </c>
      <c r="G9" s="30">
        <f>Maxes!H3</f>
        <v/>
      </c>
      <c r="H9" s="31">
        <f>IF(OR(G9="",F9=""),"",MROUND(G9*F9/100,'Start Here'!$B$6))</f>
        <v/>
      </c>
      <c r="I9" s="32" t="n"/>
      <c r="J9" s="32" t="n"/>
      <c r="K9" s="29">
        <f>IF(OR(I9="",J9=""),"",IF(J9=1,I9,ROUND(I9*(1+J9/30),1)))</f>
        <v/>
      </c>
      <c r="L9" s="33">
        <f>IF(K9="","",IF(K9&gt;=PRs!C3,"PR!",""))</f>
        <v/>
      </c>
      <c r="M9" s="32" t="n"/>
      <c r="N9" s="34" t="inlineStr"/>
    </row>
    <row r="10">
      <c r="A10" s="26" t="inlineStr">
        <is>
          <t>Day 1 - Heavy</t>
        </is>
      </c>
      <c r="B10" s="27">
        <f>'Start Here'!$B$7+280</f>
        <v/>
      </c>
      <c r="C10" s="29" t="inlineStr">
        <is>
          <t>Barbell Row</t>
        </is>
      </c>
      <c r="D10" s="29" t="n">
        <v>3</v>
      </c>
      <c r="E10" s="29" t="inlineStr">
        <is>
          <t>8-10</t>
        </is>
      </c>
      <c r="F10" s="29" t="n"/>
      <c r="G10" s="30" t="n"/>
      <c r="H10" s="31" t="n"/>
      <c r="I10" s="32" t="n"/>
      <c r="J10" s="32" t="n"/>
      <c r="K10" s="29">
        <f>IF(OR(I10="",J10=""),"",IF(J10=1,I10,ROUND(I10*(1+J10/30),1)))</f>
        <v/>
      </c>
      <c r="L10" s="33">
        <f>IF(K10="","",IF(K10&gt;=PRs!C50,"PR!",""))</f>
        <v/>
      </c>
      <c r="M10" s="32" t="n"/>
      <c r="N10" s="34" t="inlineStr">
        <is>
          <t>Leave 1-2 reps in the tank; add weight when you hit the top of the range</t>
        </is>
      </c>
    </row>
    <row r="11">
      <c r="A11" s="26" t="inlineStr">
        <is>
          <t>Day 1 - Heavy</t>
        </is>
      </c>
      <c r="B11" s="27">
        <f>'Start Here'!$B$7+280</f>
        <v/>
      </c>
      <c r="C11" s="29" t="inlineStr">
        <is>
          <t>Face Pull</t>
        </is>
      </c>
      <c r="D11" s="29" t="n">
        <v>3</v>
      </c>
      <c r="E11" s="29" t="inlineStr">
        <is>
          <t>12-15</t>
        </is>
      </c>
      <c r="F11" s="29" t="n"/>
      <c r="G11" s="30" t="n"/>
      <c r="H11" s="31" t="n"/>
      <c r="I11" s="32" t="n"/>
      <c r="J11" s="32" t="n"/>
      <c r="K11" s="29">
        <f>IF(OR(I11="",J11=""),"",IF(J11=1,I11,ROUND(I11*(1+J11/30),1)))</f>
        <v/>
      </c>
      <c r="L11" s="33">
        <f>IF(K11="","",IF(K11&gt;=PRs!C51,"PR!",""))</f>
        <v/>
      </c>
      <c r="M11" s="32" t="n"/>
      <c r="N11" s="34" t="inlineStr">
        <is>
          <t>Leave 1-2 reps in the tank; add weight when you hit the top of the range</t>
        </is>
      </c>
    </row>
    <row r="12">
      <c r="A12" s="26" t="inlineStr">
        <is>
          <t>Day 2 - Light</t>
        </is>
      </c>
      <c r="B12" s="27">
        <f>'Start Here'!$B$7+282</f>
        <v/>
      </c>
      <c r="C12" s="28" t="inlineStr">
        <is>
          <t>Broad Jump</t>
        </is>
      </c>
      <c r="D12" s="29" t="n">
        <v>4</v>
      </c>
      <c r="E12" s="29" t="inlineStr">
        <is>
          <t>3</t>
        </is>
      </c>
      <c r="F12" s="29" t="n"/>
      <c r="G12" s="30" t="n"/>
      <c r="H12" s="31" t="n"/>
      <c r="I12" s="32" t="n"/>
      <c r="J12" s="32" t="n"/>
      <c r="K12" s="29" t="n"/>
      <c r="L12" s="33">
        <f>IF(I12="","",IF(I12&gt;=PRs!D70,"PR!",""))</f>
        <v/>
      </c>
      <c r="M12" s="32" t="n"/>
      <c r="N12" s="34" t="inlineStr">
        <is>
          <t>Two-foot jump for distance, stick the landing. Full reset between reps. Log your best distance</t>
        </is>
      </c>
    </row>
    <row r="13">
      <c r="A13" s="26" t="inlineStr">
        <is>
          <t>Day 2 - Light</t>
        </is>
      </c>
      <c r="B13" s="27">
        <f>'Start Here'!$B$7+282</f>
        <v/>
      </c>
      <c r="C13" s="31" t="inlineStr">
        <is>
          <t>Clean &amp; Jerk</t>
        </is>
      </c>
      <c r="D13" s="29" t="n">
        <v>4</v>
      </c>
      <c r="E13" s="29" t="inlineStr">
        <is>
          <t>3</t>
        </is>
      </c>
      <c r="F13" s="29" t="n">
        <v>77.5</v>
      </c>
      <c r="G13" s="30">
        <f>Maxes!H7</f>
        <v/>
      </c>
      <c r="H13" s="31">
        <f>IF(OR(G13="",F13=""),"",MROUND(G13*F13/100,'Start Here'!$B$6))</f>
        <v/>
      </c>
      <c r="I13" s="32" t="n"/>
      <c r="J13" s="32" t="n"/>
      <c r="K13" s="29">
        <f>IF(OR(I13="",J13=""),"",IF(J13=1,I13,ROUND(I13*(1+J13/30),1)))</f>
        <v/>
      </c>
      <c r="L13" s="33">
        <f>IF(K13="","",IF(K13&gt;=PRs!C7,"PR!",""))</f>
        <v/>
      </c>
      <c r="M13" s="32" t="n"/>
      <c r="N13" s="34" t="inlineStr"/>
    </row>
    <row r="14">
      <c r="A14" s="26" t="inlineStr">
        <is>
          <t>Day 2 - Light</t>
        </is>
      </c>
      <c r="B14" s="27">
        <f>'Start Here'!$B$7+282</f>
        <v/>
      </c>
      <c r="C14" s="31" t="inlineStr">
        <is>
          <t>Squat</t>
        </is>
      </c>
      <c r="D14" s="29" t="n">
        <v>3</v>
      </c>
      <c r="E14" s="29" t="inlineStr">
        <is>
          <t>6</t>
        </is>
      </c>
      <c r="F14" s="29" t="n">
        <v>65</v>
      </c>
      <c r="G14" s="30">
        <f>Maxes!H2</f>
        <v/>
      </c>
      <c r="H14" s="31">
        <f>IF(OR(G14="",F14=""),"",MROUND(G14*F14/100,'Start Here'!$B$6))</f>
        <v/>
      </c>
      <c r="I14" s="32" t="n"/>
      <c r="J14" s="32" t="n"/>
      <c r="K14" s="29">
        <f>IF(OR(I14="",J14=""),"",IF(J14=1,I14,ROUND(I14*(1+J14/30),1)))</f>
        <v/>
      </c>
      <c r="L14" s="33">
        <f>IF(K14="","",IF(K14&gt;=PRs!C2,"PR!",""))</f>
        <v/>
      </c>
      <c r="M14" s="32" t="n"/>
      <c r="N14" s="34" t="inlineStr"/>
    </row>
    <row r="15">
      <c r="A15" s="26" t="inlineStr">
        <is>
          <t>Day 2 - Light</t>
        </is>
      </c>
      <c r="B15" s="27">
        <f>'Start Here'!$B$7+282</f>
        <v/>
      </c>
      <c r="C15" s="31" t="inlineStr">
        <is>
          <t>Overhead Press</t>
        </is>
      </c>
      <c r="D15" s="29" t="n">
        <v>3</v>
      </c>
      <c r="E15" s="29" t="inlineStr">
        <is>
          <t>6</t>
        </is>
      </c>
      <c r="F15" s="29" t="n">
        <v>72.5</v>
      </c>
      <c r="G15" s="30">
        <f>Maxes!H5</f>
        <v/>
      </c>
      <c r="H15" s="31">
        <f>IF(OR(G15="",F15=""),"",MROUND(G15*F15/100,'Start Here'!$B$6))</f>
        <v/>
      </c>
      <c r="I15" s="32" t="n"/>
      <c r="J15" s="32" t="n"/>
      <c r="K15" s="29">
        <f>IF(OR(I15="",J15=""),"",IF(J15=1,I15,ROUND(I15*(1+J15/30),1)))</f>
        <v/>
      </c>
      <c r="L15" s="33">
        <f>IF(K15="","",IF(K15&gt;=PRs!C5,"PR!",""))</f>
        <v/>
      </c>
      <c r="M15" s="32" t="n"/>
      <c r="N15" s="34" t="inlineStr"/>
    </row>
    <row r="16">
      <c r="A16" s="26" t="inlineStr">
        <is>
          <t>Day 2 - Light</t>
        </is>
      </c>
      <c r="B16" s="27">
        <f>'Start Here'!$B$7+282</f>
        <v/>
      </c>
      <c r="C16" s="31" t="inlineStr">
        <is>
          <t>Deadlift</t>
        </is>
      </c>
      <c r="D16" s="29" t="n">
        <v>3</v>
      </c>
      <c r="E16" s="29" t="inlineStr">
        <is>
          <t>6</t>
        </is>
      </c>
      <c r="F16" s="29" t="n">
        <v>72.5</v>
      </c>
      <c r="G16" s="30">
        <f>Maxes!H4</f>
        <v/>
      </c>
      <c r="H16" s="31">
        <f>IF(OR(G16="",F16=""),"",MROUND(G16*F16/100,'Start Here'!$B$6))</f>
        <v/>
      </c>
      <c r="I16" s="32" t="n"/>
      <c r="J16" s="32" t="n"/>
      <c r="K16" s="29">
        <f>IF(OR(I16="",J16=""),"",IF(J16=1,I16,ROUND(I16*(1+J16/30),1)))</f>
        <v/>
      </c>
      <c r="L16" s="33">
        <f>IF(K16="","",IF(K16&gt;=PRs!C4,"PR!",""))</f>
        <v/>
      </c>
      <c r="M16" s="32" t="n"/>
      <c r="N16" s="34" t="inlineStr"/>
    </row>
    <row r="17">
      <c r="A17" s="26" t="inlineStr">
        <is>
          <t>Day 2 - Light</t>
        </is>
      </c>
      <c r="B17" s="27">
        <f>'Start Here'!$B$7+282</f>
        <v/>
      </c>
      <c r="C17" s="29" t="inlineStr">
        <is>
          <t>Chin-up</t>
        </is>
      </c>
      <c r="D17" s="29" t="n">
        <v>3</v>
      </c>
      <c r="E17" s="29" t="inlineStr">
        <is>
          <t>6-10</t>
        </is>
      </c>
      <c r="F17" s="29" t="n"/>
      <c r="G17" s="30" t="n"/>
      <c r="H17" s="31" t="n"/>
      <c r="I17" s="32" t="n"/>
      <c r="J17" s="32" t="n"/>
      <c r="K17" s="29">
        <f>IF(OR(I17="",J17=""),"",IF(J17=1,I17,ROUND(I17*(1+J17/30),1)))</f>
        <v/>
      </c>
      <c r="L17" s="33">
        <f>IF(K17="","",IF(K17&gt;=PRs!C53,"PR!",""))</f>
        <v/>
      </c>
      <c r="M17" s="32" t="n"/>
      <c r="N17" s="34" t="inlineStr">
        <is>
          <t>Leave 1-2 reps in the tank; add weight when you hit the top of the range</t>
        </is>
      </c>
    </row>
    <row r="18">
      <c r="A18" s="26" t="inlineStr">
        <is>
          <t>Day 2 - Light</t>
        </is>
      </c>
      <c r="B18" s="27">
        <f>'Start Here'!$B$7+282</f>
        <v/>
      </c>
      <c r="C18" s="29" t="inlineStr">
        <is>
          <t>Plank</t>
        </is>
      </c>
      <c r="D18" s="29" t="n">
        <v>3</v>
      </c>
      <c r="E18" s="29" t="inlineStr">
        <is>
          <t>30-60s</t>
        </is>
      </c>
      <c r="F18" s="29" t="n"/>
      <c r="G18" s="30" t="n"/>
      <c r="H18" s="31" t="n"/>
      <c r="I18" s="32" t="n"/>
      <c r="J18" s="32" t="n"/>
      <c r="K18" s="29">
        <f>IF(OR(I18="",J18=""),"",IF(J18=1,I18,ROUND(I18*(1+J18/30),1)))</f>
        <v/>
      </c>
      <c r="L18" s="33">
        <f>IF(K18="","",IF(K18&gt;=PRs!C56,"PR!",""))</f>
        <v/>
      </c>
      <c r="M18" s="32" t="n"/>
      <c r="N18" s="34" t="inlineStr">
        <is>
          <t>Leave 1-2 reps in the tank; add weight when you hit the top of the range</t>
        </is>
      </c>
    </row>
    <row r="19">
      <c r="A19" s="26" t="inlineStr">
        <is>
          <t>Day 3 - Variations</t>
        </is>
      </c>
      <c r="B19" s="27">
        <f>'Start Here'!$B$7+284</f>
        <v/>
      </c>
      <c r="C19" s="28" t="inlineStr">
        <is>
          <t>Box Jump</t>
        </is>
      </c>
      <c r="D19" s="29" t="n">
        <v>4</v>
      </c>
      <c r="E19" s="29" t="inlineStr">
        <is>
          <t>3</t>
        </is>
      </c>
      <c r="F19" s="29" t="n"/>
      <c r="G19" s="30" t="n"/>
      <c r="H19" s="31">
        <f>IFERROR(IF(PRs!D69&lt;'Start Here'!$H$15,'Start Here'!$H$15,IF(PRs!D69&lt;'Start Here'!$H$16,'Start Here'!$H$16,IF(PRs!D69&lt;'Start Here'!$H$17,'Start Here'!$H$17,IF(PRs!D69&lt;'Start Here'!$H$18,'Start Here'!$H$18,"Elite!")))),"")</f>
        <v/>
      </c>
      <c r="I19" s="32" t="n"/>
      <c r="J19" s="32" t="n"/>
      <c r="K19" s="29" t="n"/>
      <c r="L19" s="33">
        <f>IF(I19="","",IF(I19&gt;=PRs!D69,"PR!",""))</f>
        <v/>
      </c>
      <c r="M19" s="32" t="n"/>
      <c r="N19" s="34" t="inlineStr">
        <is>
          <t>Explode up, land softly, STEP down. Full reset between reps. Log your box height; check the standards</t>
        </is>
      </c>
    </row>
    <row r="20">
      <c r="A20" s="26" t="inlineStr">
        <is>
          <t>Day 3 - Variations</t>
        </is>
      </c>
      <c r="B20" s="27">
        <f>'Start Here'!$B$7+284</f>
        <v/>
      </c>
      <c r="C20" s="31" t="inlineStr">
        <is>
          <t>Hang Snatch</t>
        </is>
      </c>
      <c r="D20" s="29" t="n">
        <v>4</v>
      </c>
      <c r="E20" s="29" t="inlineStr">
        <is>
          <t>3</t>
        </is>
      </c>
      <c r="F20" s="29" t="n">
        <v>72.5</v>
      </c>
      <c r="G20" s="30">
        <f>Maxes!H35</f>
        <v/>
      </c>
      <c r="H20" s="31">
        <f>IF(OR(G20="",F20=""),"",MROUND(G20*F20/100,'Start Here'!$B$6))</f>
        <v/>
      </c>
      <c r="I20" s="32" t="n"/>
      <c r="J20" s="32" t="n"/>
      <c r="K20" s="29">
        <f>IF(OR(I20="",J20=""),"",IF(J20=1,I20,ROUND(I20*(1+J20/30),1)))</f>
        <v/>
      </c>
      <c r="L20" s="33">
        <f>IF(K20="","",IF(K20&gt;=PRs!C35,"PR!",""))</f>
        <v/>
      </c>
      <c r="M20" s="32" t="n"/>
      <c r="N20" s="34" t="inlineStr"/>
    </row>
    <row r="21">
      <c r="A21" s="26" t="inlineStr">
        <is>
          <t>Day 3 - Variations</t>
        </is>
      </c>
      <c r="B21" s="27">
        <f>'Start Here'!$B$7+284</f>
        <v/>
      </c>
      <c r="C21" s="31" t="inlineStr">
        <is>
          <t>Box Squat</t>
        </is>
      </c>
      <c r="D21" s="29" t="n">
        <v>3</v>
      </c>
      <c r="E21" s="29" t="inlineStr">
        <is>
          <t>6</t>
        </is>
      </c>
      <c r="F21" s="29" t="n">
        <v>72.5</v>
      </c>
      <c r="G21" s="30">
        <f>Maxes!H8</f>
        <v/>
      </c>
      <c r="H21" s="31">
        <f>IF(OR(G21="",F21=""),"",MROUND(G21*F21/100,'Start Here'!$B$6))</f>
        <v/>
      </c>
      <c r="I21" s="32" t="n"/>
      <c r="J21" s="32" t="n"/>
      <c r="K21" s="29">
        <f>IF(OR(I21="",J21=""),"",IF(J21=1,I21,ROUND(I21*(1+J21/30),1)))</f>
        <v/>
      </c>
      <c r="L21" s="33">
        <f>IF(K21="","",IF(K21&gt;=PRs!C8,"PR!",""))</f>
        <v/>
      </c>
      <c r="M21" s="32" t="n"/>
      <c r="N21" s="34" t="inlineStr"/>
    </row>
    <row r="22">
      <c r="A22" s="26" t="inlineStr">
        <is>
          <t>Day 3 - Variations</t>
        </is>
      </c>
      <c r="B22" s="27">
        <f>'Start Here'!$B$7+284</f>
        <v/>
      </c>
      <c r="C22" s="31" t="inlineStr">
        <is>
          <t>1-Board Press</t>
        </is>
      </c>
      <c r="D22" s="29" t="n">
        <v>3</v>
      </c>
      <c r="E22" s="29" t="inlineStr">
        <is>
          <t>6</t>
        </is>
      </c>
      <c r="F22" s="29" t="n">
        <v>72.5</v>
      </c>
      <c r="G22" s="30">
        <f>Maxes!H15</f>
        <v/>
      </c>
      <c r="H22" s="31">
        <f>IF(OR(G22="",F22=""),"",MROUND(G22*F22/100,'Start Here'!$B$6))</f>
        <v/>
      </c>
      <c r="I22" s="32" t="n"/>
      <c r="J22" s="32" t="n"/>
      <c r="K22" s="29">
        <f>IF(OR(I22="",J22=""),"",IF(J22=1,I22,ROUND(I22*(1+J22/30),1)))</f>
        <v/>
      </c>
      <c r="L22" s="33">
        <f>IF(K22="","",IF(K22&gt;=PRs!C15,"PR!",""))</f>
        <v/>
      </c>
      <c r="M22" s="32" t="n"/>
      <c r="N22" s="34" t="inlineStr"/>
    </row>
    <row r="23">
      <c r="A23" s="26" t="inlineStr">
        <is>
          <t>Day 3 - Variations</t>
        </is>
      </c>
      <c r="B23" s="27">
        <f>'Start Here'!$B$7+284</f>
        <v/>
      </c>
      <c r="C23" s="31" t="inlineStr">
        <is>
          <t>Paused Deadlift</t>
        </is>
      </c>
      <c r="D23" s="29" t="n">
        <v>3</v>
      </c>
      <c r="E23" s="29" t="inlineStr">
        <is>
          <t>6</t>
        </is>
      </c>
      <c r="F23" s="29" t="n">
        <v>65</v>
      </c>
      <c r="G23" s="30">
        <f>Maxes!H25</f>
        <v/>
      </c>
      <c r="H23" s="31">
        <f>IF(OR(G23="",F23=""),"",MROUND(G23*F23/100,'Start Here'!$B$6))</f>
        <v/>
      </c>
      <c r="I23" s="32" t="n"/>
      <c r="J23" s="32" t="n"/>
      <c r="K23" s="29">
        <f>IF(OR(I23="",J23=""),"",IF(J23=1,I23,ROUND(I23*(1+J23/30),1)))</f>
        <v/>
      </c>
      <c r="L23" s="33">
        <f>IF(K23="","",IF(K23&gt;=PRs!C25,"PR!",""))</f>
        <v/>
      </c>
      <c r="M23" s="32" t="n"/>
      <c r="N23" s="34" t="inlineStr"/>
    </row>
    <row r="24">
      <c r="A24" s="26" t="inlineStr">
        <is>
          <t>Day 3 - Variations</t>
        </is>
      </c>
      <c r="B24" s="27">
        <f>'Start Here'!$B$7+284</f>
        <v/>
      </c>
      <c r="C24" s="29" t="inlineStr">
        <is>
          <t>Incline Dumbbell Press</t>
        </is>
      </c>
      <c r="D24" s="29" t="n">
        <v>3</v>
      </c>
      <c r="E24" s="29" t="inlineStr">
        <is>
          <t>8-12</t>
        </is>
      </c>
      <c r="F24" s="29" t="n"/>
      <c r="G24" s="30" t="n"/>
      <c r="H24" s="31" t="n"/>
      <c r="I24" s="32" t="n"/>
      <c r="J24" s="32" t="n"/>
      <c r="K24" s="29">
        <f>IF(OR(I24="",J24=""),"",IF(J24=1,I24,ROUND(I24*(1+J24/30),1)))</f>
        <v/>
      </c>
      <c r="L24" s="33">
        <f>IF(K24="","",IF(K24&gt;=PRs!C57,"PR!",""))</f>
        <v/>
      </c>
      <c r="M24" s="32" t="n"/>
      <c r="N24" s="34" t="inlineStr">
        <is>
          <t>Leave 1-2 reps in the tank; add weight when you hit the top of the range</t>
        </is>
      </c>
    </row>
    <row r="25">
      <c r="A25" s="26" t="inlineStr">
        <is>
          <t>Day 3 - Variations</t>
        </is>
      </c>
      <c r="B25" s="27">
        <f>'Start Here'!$B$7+284</f>
        <v/>
      </c>
      <c r="C25" s="29" t="inlineStr">
        <is>
          <t>Triceps Pushdown</t>
        </is>
      </c>
      <c r="D25" s="29" t="n">
        <v>3</v>
      </c>
      <c r="E25" s="29" t="inlineStr">
        <is>
          <t>10-15</t>
        </is>
      </c>
      <c r="F25" s="29" t="n"/>
      <c r="G25" s="30" t="n"/>
      <c r="H25" s="31" t="n"/>
      <c r="I25" s="32" t="n"/>
      <c r="J25" s="32" t="n"/>
      <c r="K25" s="29">
        <f>IF(OR(I25="",J25=""),"",IF(J25=1,I25,ROUND(I25*(1+J25/30),1)))</f>
        <v/>
      </c>
      <c r="L25" s="33">
        <f>IF(K25="","",IF(K25&gt;=PRs!C59,"PR!",""))</f>
        <v/>
      </c>
      <c r="M25" s="32" t="n"/>
      <c r="N25" s="34" t="inlineStr">
        <is>
          <t>Leave 1-2 reps in the tank; add weight when you hit the top of the range</t>
        </is>
      </c>
    </row>
  </sheetData>
  <hyperlinks>
    <hyperlink xmlns:r="http://schemas.openxmlformats.org/officeDocument/2006/relationships" ref="A2" r:id="rId1"/>
    <hyperlink xmlns:r="http://schemas.openxmlformats.org/officeDocument/2006/relationships" ref="C2" r:id="rId2"/>
    <hyperlink xmlns:r="http://schemas.openxmlformats.org/officeDocument/2006/relationships" ref="E2" r:id="rId3"/>
  </hyperlinks>
  <pageMargins left="0.75" right="0.75" top="1" bottom="1" header="0.5" footer="0.5"/>
  <pageSetup orientation="landscape" fitToHeight="0" fitToWidth="1"/>
</worksheet>
</file>

<file path=xl/worksheets/sheet44.xml><?xml version="1.0" encoding="utf-8"?>
<worksheet xmlns="http://schemas.openxmlformats.org/spreadsheetml/2006/main">
  <sheetPr>
    <tabColor rgb="00FCE9D2"/>
    <outlinePr summaryBelow="1" summaryRight="1"/>
    <pageSetUpPr fitToPage="1"/>
  </sheetPr>
  <dimension ref="A1:N25"/>
  <sheetViews>
    <sheetView workbookViewId="0">
      <pane xSplit="3" ySplit="5" topLeftCell="D6" activePane="bottomRight" state="frozen"/>
      <selection pane="topRight"/>
      <selection pane="bottomLeft"/>
      <selection pane="bottomRight" activeCell="A1" sqref="A1"/>
    </sheetView>
  </sheetViews>
  <sheetFormatPr baseColWidth="8" defaultRowHeight="15"/>
  <cols>
    <col width="17" customWidth="1" min="1" max="1"/>
    <col width="11" customWidth="1" min="2" max="2"/>
    <col width="24" customWidth="1" min="3" max="3"/>
    <col width="5" customWidth="1" min="4" max="4"/>
    <col width="6" customWidth="1" min="5" max="5"/>
    <col width="6" customWidth="1" min="6" max="6"/>
    <col width="9" customWidth="1" min="7" max="7"/>
    <col width="10" customWidth="1" min="8" max="8"/>
    <col width="13" customWidth="1" min="9" max="9"/>
    <col width="8" customWidth="1" min="10" max="10"/>
    <col width="9" customWidth="1" min="11" max="11"/>
    <col width="5" customWidth="1" min="12" max="12"/>
    <col width="22" customWidth="1" min="13" max="13"/>
    <col width="62" customWidth="1" min="14" max="14"/>
  </cols>
  <sheetData>
    <row r="1">
      <c r="A1" s="24" t="inlineStr">
        <is>
          <t>Week 42 - Cycle 4 - Transmutation</t>
        </is>
      </c>
    </row>
    <row r="2">
      <c r="A2" s="25" t="inlineStr">
        <is>
          <t>&lt; Week 41</t>
        </is>
      </c>
      <c r="C2" s="25" t="inlineStr">
        <is>
          <t>Start Here</t>
        </is>
      </c>
      <c r="E2" s="25" t="inlineStr">
        <is>
          <t>Week 43 &gt;</t>
        </is>
      </c>
    </row>
    <row r="3">
      <c r="A3" s="10" t="inlineStr">
        <is>
          <t>Bodyweight this week</t>
        </is>
      </c>
      <c r="C3" s="4" t="n"/>
      <c r="D3" t="inlineStr">
        <is>
          <t>Weigh in once this week: same morning routine, before eating.</t>
        </is>
      </c>
    </row>
    <row r="5">
      <c r="A5" s="5" t="inlineStr">
        <is>
          <t>Day</t>
        </is>
      </c>
      <c r="B5" s="5" t="inlineStr">
        <is>
          <t>Date</t>
        </is>
      </c>
      <c r="C5" s="5" t="inlineStr">
        <is>
          <t>Exercise</t>
        </is>
      </c>
      <c r="D5" s="5" t="inlineStr">
        <is>
          <t>Sets</t>
        </is>
      </c>
      <c r="E5" s="5" t="inlineStr">
        <is>
          <t>Reps</t>
        </is>
      </c>
      <c r="F5" s="5" t="inlineStr">
        <is>
          <t>% TM</t>
        </is>
      </c>
      <c r="G5" s="5" t="inlineStr">
        <is>
          <t>Training max</t>
        </is>
      </c>
      <c r="H5" s="5" t="inlineStr">
        <is>
          <t>Weight / target</t>
        </is>
      </c>
      <c r="I5" s="5" t="inlineStr">
        <is>
          <t>Actual (weight, height or distance)</t>
        </is>
      </c>
      <c r="J5" s="5" t="inlineStr">
        <is>
          <t>Actual reps</t>
        </is>
      </c>
      <c r="K5" s="5" t="inlineStr">
        <is>
          <t>Est. 1RM</t>
        </is>
      </c>
      <c r="L5" s="5" t="inlineStr">
        <is>
          <t>PR</t>
        </is>
      </c>
      <c r="M5" s="5" t="inlineStr">
        <is>
          <t>Notes</t>
        </is>
      </c>
      <c r="N5" s="5" t="inlineStr">
        <is>
          <t>Guidance</t>
        </is>
      </c>
    </row>
    <row r="6">
      <c r="A6" s="26" t="inlineStr">
        <is>
          <t>Day 1 - Heavy</t>
        </is>
      </c>
      <c r="B6" s="27">
        <f>'Start Here'!$B$7+287</f>
        <v/>
      </c>
      <c r="C6" s="28" t="inlineStr">
        <is>
          <t>Box Jump</t>
        </is>
      </c>
      <c r="D6" s="29" t="n">
        <v>4</v>
      </c>
      <c r="E6" s="29" t="inlineStr">
        <is>
          <t>3</t>
        </is>
      </c>
      <c r="F6" s="29" t="n"/>
      <c r="G6" s="30" t="n"/>
      <c r="H6" s="31">
        <f>IFERROR(IF(PRs!D69&lt;'Start Here'!$H$15,'Start Here'!$H$15,IF(PRs!D69&lt;'Start Here'!$H$16,'Start Here'!$H$16,IF(PRs!D69&lt;'Start Here'!$H$17,'Start Here'!$H$17,IF(PRs!D69&lt;'Start Here'!$H$18,'Start Here'!$H$18,"Elite!")))),"")</f>
        <v/>
      </c>
      <c r="I6" s="32" t="n"/>
      <c r="J6" s="32" t="n"/>
      <c r="K6" s="29" t="n"/>
      <c r="L6" s="33">
        <f>IF(I6="","",IF(I6&gt;=PRs!D69,"PR!",""))</f>
        <v/>
      </c>
      <c r="M6" s="32" t="n"/>
      <c r="N6" s="34" t="inlineStr">
        <is>
          <t>Explode up, land softly, STEP down. Full reset between reps. Log your box height; check the standards</t>
        </is>
      </c>
    </row>
    <row r="7">
      <c r="A7" s="26" t="inlineStr">
        <is>
          <t>Day 1 - Heavy</t>
        </is>
      </c>
      <c r="B7" s="27">
        <f>'Start Here'!$B$7+287</f>
        <v/>
      </c>
      <c r="C7" s="31" t="inlineStr">
        <is>
          <t>Snatch</t>
        </is>
      </c>
      <c r="D7" s="29" t="n">
        <v>5</v>
      </c>
      <c r="E7" s="29" t="inlineStr">
        <is>
          <t>2</t>
        </is>
      </c>
      <c r="F7" s="29" t="n">
        <v>80</v>
      </c>
      <c r="G7" s="30">
        <f>Maxes!H6</f>
        <v/>
      </c>
      <c r="H7" s="31">
        <f>IF(OR(G7="",F7=""),"",MROUND(G7*F7/100,'Start Here'!$B$6))</f>
        <v/>
      </c>
      <c r="I7" s="32" t="n"/>
      <c r="J7" s="32" t="n"/>
      <c r="K7" s="29">
        <f>IF(OR(I7="",J7=""),"",IF(J7=1,I7,ROUND(I7*(1+J7/30),1)))</f>
        <v/>
      </c>
      <c r="L7" s="33">
        <f>IF(K7="","",IF(K7&gt;=PRs!C6,"PR!",""))</f>
        <v/>
      </c>
      <c r="M7" s="32" t="n"/>
      <c r="N7" s="34" t="inlineStr"/>
    </row>
    <row r="8">
      <c r="A8" s="26" t="inlineStr">
        <is>
          <t>Day 1 - Heavy</t>
        </is>
      </c>
      <c r="B8" s="27">
        <f>'Start Here'!$B$7+287</f>
        <v/>
      </c>
      <c r="C8" s="31" t="inlineStr">
        <is>
          <t>Squat</t>
        </is>
      </c>
      <c r="D8" s="29" t="n">
        <v>4</v>
      </c>
      <c r="E8" s="29" t="inlineStr">
        <is>
          <t>4</t>
        </is>
      </c>
      <c r="F8" s="29" t="n">
        <v>80</v>
      </c>
      <c r="G8" s="30">
        <f>Maxes!H2</f>
        <v/>
      </c>
      <c r="H8" s="31">
        <f>IF(OR(G8="",F8=""),"",MROUND(G8*F8/100,'Start Here'!$B$6))</f>
        <v/>
      </c>
      <c r="I8" s="32" t="n"/>
      <c r="J8" s="32" t="n"/>
      <c r="K8" s="29">
        <f>IF(OR(I8="",J8=""),"",IF(J8=1,I8,ROUND(I8*(1+J8/30),1)))</f>
        <v/>
      </c>
      <c r="L8" s="33">
        <f>IF(K8="","",IF(K8&gt;=PRs!C2,"PR!",""))</f>
        <v/>
      </c>
      <c r="M8" s="32" t="n"/>
      <c r="N8" s="34" t="inlineStr"/>
    </row>
    <row r="9">
      <c r="A9" s="26" t="inlineStr">
        <is>
          <t>Day 1 - Heavy</t>
        </is>
      </c>
      <c r="B9" s="27">
        <f>'Start Here'!$B$7+287</f>
        <v/>
      </c>
      <c r="C9" s="31" t="inlineStr">
        <is>
          <t>Bench Press</t>
        </is>
      </c>
      <c r="D9" s="29" t="n">
        <v>4</v>
      </c>
      <c r="E9" s="29" t="inlineStr">
        <is>
          <t>4</t>
        </is>
      </c>
      <c r="F9" s="29" t="n">
        <v>80</v>
      </c>
      <c r="G9" s="30">
        <f>Maxes!H3</f>
        <v/>
      </c>
      <c r="H9" s="31">
        <f>IF(OR(G9="",F9=""),"",MROUND(G9*F9/100,'Start Here'!$B$6))</f>
        <v/>
      </c>
      <c r="I9" s="32" t="n"/>
      <c r="J9" s="32" t="n"/>
      <c r="K9" s="29">
        <f>IF(OR(I9="",J9=""),"",IF(J9=1,I9,ROUND(I9*(1+J9/30),1)))</f>
        <v/>
      </c>
      <c r="L9" s="33">
        <f>IF(K9="","",IF(K9&gt;=PRs!C3,"PR!",""))</f>
        <v/>
      </c>
      <c r="M9" s="32" t="n"/>
      <c r="N9" s="34" t="inlineStr"/>
    </row>
    <row r="10">
      <c r="A10" s="26" t="inlineStr">
        <is>
          <t>Day 1 - Heavy</t>
        </is>
      </c>
      <c r="B10" s="27">
        <f>'Start Here'!$B$7+287</f>
        <v/>
      </c>
      <c r="C10" s="29" t="inlineStr">
        <is>
          <t>Barbell Row</t>
        </is>
      </c>
      <c r="D10" s="29" t="n">
        <v>3</v>
      </c>
      <c r="E10" s="29" t="inlineStr">
        <is>
          <t>8-10</t>
        </is>
      </c>
      <c r="F10" s="29" t="n"/>
      <c r="G10" s="30" t="n"/>
      <c r="H10" s="31" t="n"/>
      <c r="I10" s="32" t="n"/>
      <c r="J10" s="32" t="n"/>
      <c r="K10" s="29">
        <f>IF(OR(I10="",J10=""),"",IF(J10=1,I10,ROUND(I10*(1+J10/30),1)))</f>
        <v/>
      </c>
      <c r="L10" s="33">
        <f>IF(K10="","",IF(K10&gt;=PRs!C50,"PR!",""))</f>
        <v/>
      </c>
      <c r="M10" s="32" t="n"/>
      <c r="N10" s="34" t="inlineStr">
        <is>
          <t>Leave 1-2 reps in the tank; add weight when you hit the top of the range</t>
        </is>
      </c>
    </row>
    <row r="11">
      <c r="A11" s="26" t="inlineStr">
        <is>
          <t>Day 1 - Heavy</t>
        </is>
      </c>
      <c r="B11" s="27">
        <f>'Start Here'!$B$7+287</f>
        <v/>
      </c>
      <c r="C11" s="29" t="inlineStr">
        <is>
          <t>Face Pull</t>
        </is>
      </c>
      <c r="D11" s="29" t="n">
        <v>3</v>
      </c>
      <c r="E11" s="29" t="inlineStr">
        <is>
          <t>12-15</t>
        </is>
      </c>
      <c r="F11" s="29" t="n"/>
      <c r="G11" s="30" t="n"/>
      <c r="H11" s="31" t="n"/>
      <c r="I11" s="32" t="n"/>
      <c r="J11" s="32" t="n"/>
      <c r="K11" s="29">
        <f>IF(OR(I11="",J11=""),"",IF(J11=1,I11,ROUND(I11*(1+J11/30),1)))</f>
        <v/>
      </c>
      <c r="L11" s="33">
        <f>IF(K11="","",IF(K11&gt;=PRs!C51,"PR!",""))</f>
        <v/>
      </c>
      <c r="M11" s="32" t="n"/>
      <c r="N11" s="34" t="inlineStr">
        <is>
          <t>Leave 1-2 reps in the tank; add weight when you hit the top of the range</t>
        </is>
      </c>
    </row>
    <row r="12">
      <c r="A12" s="26" t="inlineStr">
        <is>
          <t>Day 2 - Light</t>
        </is>
      </c>
      <c r="B12" s="27">
        <f>'Start Here'!$B$7+289</f>
        <v/>
      </c>
      <c r="C12" s="28" t="inlineStr">
        <is>
          <t>Broad Jump</t>
        </is>
      </c>
      <c r="D12" s="29" t="n">
        <v>4</v>
      </c>
      <c r="E12" s="29" t="inlineStr">
        <is>
          <t>3</t>
        </is>
      </c>
      <c r="F12" s="29" t="n"/>
      <c r="G12" s="30" t="n"/>
      <c r="H12" s="31" t="n"/>
      <c r="I12" s="32" t="n"/>
      <c r="J12" s="32" t="n"/>
      <c r="K12" s="29" t="n"/>
      <c r="L12" s="33">
        <f>IF(I12="","",IF(I12&gt;=PRs!D70,"PR!",""))</f>
        <v/>
      </c>
      <c r="M12" s="32" t="n"/>
      <c r="N12" s="34" t="inlineStr">
        <is>
          <t>Two-foot jump for distance, stick the landing. Full reset between reps. Log your best distance</t>
        </is>
      </c>
    </row>
    <row r="13">
      <c r="A13" s="26" t="inlineStr">
        <is>
          <t>Day 2 - Light</t>
        </is>
      </c>
      <c r="B13" s="27">
        <f>'Start Here'!$B$7+289</f>
        <v/>
      </c>
      <c r="C13" s="31" t="inlineStr">
        <is>
          <t>Clean &amp; Jerk</t>
        </is>
      </c>
      <c r="D13" s="29" t="n">
        <v>5</v>
      </c>
      <c r="E13" s="29" t="inlineStr">
        <is>
          <t>2</t>
        </is>
      </c>
      <c r="F13" s="29" t="n">
        <v>80</v>
      </c>
      <c r="G13" s="30">
        <f>Maxes!H7</f>
        <v/>
      </c>
      <c r="H13" s="31">
        <f>IF(OR(G13="",F13=""),"",MROUND(G13*F13/100,'Start Here'!$B$6))</f>
        <v/>
      </c>
      <c r="I13" s="32" t="n"/>
      <c r="J13" s="32" t="n"/>
      <c r="K13" s="29">
        <f>IF(OR(I13="",J13=""),"",IF(J13=1,I13,ROUND(I13*(1+J13/30),1)))</f>
        <v/>
      </c>
      <c r="L13" s="33">
        <f>IF(K13="","",IF(K13&gt;=PRs!C7,"PR!",""))</f>
        <v/>
      </c>
      <c r="M13" s="32" t="n"/>
      <c r="N13" s="34" t="inlineStr"/>
    </row>
    <row r="14">
      <c r="A14" s="26" t="inlineStr">
        <is>
          <t>Day 2 - Light</t>
        </is>
      </c>
      <c r="B14" s="27">
        <f>'Start Here'!$B$7+289</f>
        <v/>
      </c>
      <c r="C14" s="31" t="inlineStr">
        <is>
          <t>Squat</t>
        </is>
      </c>
      <c r="D14" s="29" t="n">
        <v>3</v>
      </c>
      <c r="E14" s="29" t="inlineStr">
        <is>
          <t>6</t>
        </is>
      </c>
      <c r="F14" s="29" t="n">
        <v>67.5</v>
      </c>
      <c r="G14" s="30">
        <f>Maxes!H2</f>
        <v/>
      </c>
      <c r="H14" s="31">
        <f>IF(OR(G14="",F14=""),"",MROUND(G14*F14/100,'Start Here'!$B$6))</f>
        <v/>
      </c>
      <c r="I14" s="32" t="n"/>
      <c r="J14" s="32" t="n"/>
      <c r="K14" s="29">
        <f>IF(OR(I14="",J14=""),"",IF(J14=1,I14,ROUND(I14*(1+J14/30),1)))</f>
        <v/>
      </c>
      <c r="L14" s="33">
        <f>IF(K14="","",IF(K14&gt;=PRs!C2,"PR!",""))</f>
        <v/>
      </c>
      <c r="M14" s="32" t="n"/>
      <c r="N14" s="34" t="inlineStr"/>
    </row>
    <row r="15">
      <c r="A15" s="26" t="inlineStr">
        <is>
          <t>Day 2 - Light</t>
        </is>
      </c>
      <c r="B15" s="27">
        <f>'Start Here'!$B$7+289</f>
        <v/>
      </c>
      <c r="C15" s="31" t="inlineStr">
        <is>
          <t>Overhead Press</t>
        </is>
      </c>
      <c r="D15" s="29" t="n">
        <v>3</v>
      </c>
      <c r="E15" s="29" t="inlineStr">
        <is>
          <t>6</t>
        </is>
      </c>
      <c r="F15" s="29" t="n">
        <v>75</v>
      </c>
      <c r="G15" s="30">
        <f>Maxes!H5</f>
        <v/>
      </c>
      <c r="H15" s="31">
        <f>IF(OR(G15="",F15=""),"",MROUND(G15*F15/100,'Start Here'!$B$6))</f>
        <v/>
      </c>
      <c r="I15" s="32" t="n"/>
      <c r="J15" s="32" t="n"/>
      <c r="K15" s="29">
        <f>IF(OR(I15="",J15=""),"",IF(J15=1,I15,ROUND(I15*(1+J15/30),1)))</f>
        <v/>
      </c>
      <c r="L15" s="33">
        <f>IF(K15="","",IF(K15&gt;=PRs!C5,"PR!",""))</f>
        <v/>
      </c>
      <c r="M15" s="32" t="n"/>
      <c r="N15" s="34" t="inlineStr"/>
    </row>
    <row r="16">
      <c r="A16" s="26" t="inlineStr">
        <is>
          <t>Day 2 - Light</t>
        </is>
      </c>
      <c r="B16" s="27">
        <f>'Start Here'!$B$7+289</f>
        <v/>
      </c>
      <c r="C16" s="31" t="inlineStr">
        <is>
          <t>Deadlift</t>
        </is>
      </c>
      <c r="D16" s="29" t="n">
        <v>3</v>
      </c>
      <c r="E16" s="29" t="inlineStr">
        <is>
          <t>6</t>
        </is>
      </c>
      <c r="F16" s="29" t="n">
        <v>75</v>
      </c>
      <c r="G16" s="30">
        <f>Maxes!H4</f>
        <v/>
      </c>
      <c r="H16" s="31">
        <f>IF(OR(G16="",F16=""),"",MROUND(G16*F16/100,'Start Here'!$B$6))</f>
        <v/>
      </c>
      <c r="I16" s="32" t="n"/>
      <c r="J16" s="32" t="n"/>
      <c r="K16" s="29">
        <f>IF(OR(I16="",J16=""),"",IF(J16=1,I16,ROUND(I16*(1+J16/30),1)))</f>
        <v/>
      </c>
      <c r="L16" s="33">
        <f>IF(K16="","",IF(K16&gt;=PRs!C4,"PR!",""))</f>
        <v/>
      </c>
      <c r="M16" s="32" t="n"/>
      <c r="N16" s="34" t="inlineStr"/>
    </row>
    <row r="17">
      <c r="A17" s="26" t="inlineStr">
        <is>
          <t>Day 2 - Light</t>
        </is>
      </c>
      <c r="B17" s="27">
        <f>'Start Here'!$B$7+289</f>
        <v/>
      </c>
      <c r="C17" s="29" t="inlineStr">
        <is>
          <t>Chin-up</t>
        </is>
      </c>
      <c r="D17" s="29" t="n">
        <v>3</v>
      </c>
      <c r="E17" s="29" t="inlineStr">
        <is>
          <t>6-10</t>
        </is>
      </c>
      <c r="F17" s="29" t="n"/>
      <c r="G17" s="30" t="n"/>
      <c r="H17" s="31" t="n"/>
      <c r="I17" s="32" t="n"/>
      <c r="J17" s="32" t="n"/>
      <c r="K17" s="29">
        <f>IF(OR(I17="",J17=""),"",IF(J17=1,I17,ROUND(I17*(1+J17/30),1)))</f>
        <v/>
      </c>
      <c r="L17" s="33">
        <f>IF(K17="","",IF(K17&gt;=PRs!C53,"PR!",""))</f>
        <v/>
      </c>
      <c r="M17" s="32" t="n"/>
      <c r="N17" s="34" t="inlineStr">
        <is>
          <t>Leave 1-2 reps in the tank; add weight when you hit the top of the range</t>
        </is>
      </c>
    </row>
    <row r="18">
      <c r="A18" s="26" t="inlineStr">
        <is>
          <t>Day 2 - Light</t>
        </is>
      </c>
      <c r="B18" s="27">
        <f>'Start Here'!$B$7+289</f>
        <v/>
      </c>
      <c r="C18" s="29" t="inlineStr">
        <is>
          <t>Plank</t>
        </is>
      </c>
      <c r="D18" s="29" t="n">
        <v>3</v>
      </c>
      <c r="E18" s="29" t="inlineStr">
        <is>
          <t>30-60s</t>
        </is>
      </c>
      <c r="F18" s="29" t="n"/>
      <c r="G18" s="30" t="n"/>
      <c r="H18" s="31" t="n"/>
      <c r="I18" s="32" t="n"/>
      <c r="J18" s="32" t="n"/>
      <c r="K18" s="29">
        <f>IF(OR(I18="",J18=""),"",IF(J18=1,I18,ROUND(I18*(1+J18/30),1)))</f>
        <v/>
      </c>
      <c r="L18" s="33">
        <f>IF(K18="","",IF(K18&gt;=PRs!C56,"PR!",""))</f>
        <v/>
      </c>
      <c r="M18" s="32" t="n"/>
      <c r="N18" s="34" t="inlineStr">
        <is>
          <t>Leave 1-2 reps in the tank; add weight when you hit the top of the range</t>
        </is>
      </c>
    </row>
    <row r="19">
      <c r="A19" s="26" t="inlineStr">
        <is>
          <t>Day 3 - Variations</t>
        </is>
      </c>
      <c r="B19" s="27">
        <f>'Start Here'!$B$7+291</f>
        <v/>
      </c>
      <c r="C19" s="28" t="inlineStr">
        <is>
          <t>Box Jump</t>
        </is>
      </c>
      <c r="D19" s="29" t="n">
        <v>4</v>
      </c>
      <c r="E19" s="29" t="inlineStr">
        <is>
          <t>3</t>
        </is>
      </c>
      <c r="F19" s="29" t="n"/>
      <c r="G19" s="30" t="n"/>
      <c r="H19" s="31">
        <f>IFERROR(IF(PRs!D69&lt;'Start Here'!$H$15,'Start Here'!$H$15,IF(PRs!D69&lt;'Start Here'!$H$16,'Start Here'!$H$16,IF(PRs!D69&lt;'Start Here'!$H$17,'Start Here'!$H$17,IF(PRs!D69&lt;'Start Here'!$H$18,'Start Here'!$H$18,"Elite!")))),"")</f>
        <v/>
      </c>
      <c r="I19" s="32" t="n"/>
      <c r="J19" s="32" t="n"/>
      <c r="K19" s="29" t="n"/>
      <c r="L19" s="33">
        <f>IF(I19="","",IF(I19&gt;=PRs!D69,"PR!",""))</f>
        <v/>
      </c>
      <c r="M19" s="32" t="n"/>
      <c r="N19" s="34" t="inlineStr">
        <is>
          <t>Explode up, land softly, STEP down. Full reset between reps. Log your box height; check the standards</t>
        </is>
      </c>
    </row>
    <row r="20">
      <c r="A20" s="26" t="inlineStr">
        <is>
          <t>Day 3 - Variations</t>
        </is>
      </c>
      <c r="B20" s="27">
        <f>'Start Here'!$B$7+291</f>
        <v/>
      </c>
      <c r="C20" s="31" t="inlineStr">
        <is>
          <t>Hang Snatch</t>
        </is>
      </c>
      <c r="D20" s="29" t="n">
        <v>4</v>
      </c>
      <c r="E20" s="29" t="inlineStr">
        <is>
          <t>3</t>
        </is>
      </c>
      <c r="F20" s="29" t="n">
        <v>75</v>
      </c>
      <c r="G20" s="30">
        <f>Maxes!H35</f>
        <v/>
      </c>
      <c r="H20" s="31">
        <f>IF(OR(G20="",F20=""),"",MROUND(G20*F20/100,'Start Here'!$B$6))</f>
        <v/>
      </c>
      <c r="I20" s="32" t="n"/>
      <c r="J20" s="32" t="n"/>
      <c r="K20" s="29">
        <f>IF(OR(I20="",J20=""),"",IF(J20=1,I20,ROUND(I20*(1+J20/30),1)))</f>
        <v/>
      </c>
      <c r="L20" s="33">
        <f>IF(K20="","",IF(K20&gt;=PRs!C35,"PR!",""))</f>
        <v/>
      </c>
      <c r="M20" s="32" t="n"/>
      <c r="N20" s="34" t="inlineStr"/>
    </row>
    <row r="21">
      <c r="A21" s="26" t="inlineStr">
        <is>
          <t>Day 3 - Variations</t>
        </is>
      </c>
      <c r="B21" s="27">
        <f>'Start Here'!$B$7+291</f>
        <v/>
      </c>
      <c r="C21" s="31" t="inlineStr">
        <is>
          <t>Box Squat</t>
        </is>
      </c>
      <c r="D21" s="29" t="n">
        <v>3</v>
      </c>
      <c r="E21" s="29" t="inlineStr">
        <is>
          <t>6</t>
        </is>
      </c>
      <c r="F21" s="29" t="n">
        <v>75</v>
      </c>
      <c r="G21" s="30">
        <f>Maxes!H8</f>
        <v/>
      </c>
      <c r="H21" s="31">
        <f>IF(OR(G21="",F21=""),"",MROUND(G21*F21/100,'Start Here'!$B$6))</f>
        <v/>
      </c>
      <c r="I21" s="32" t="n"/>
      <c r="J21" s="32" t="n"/>
      <c r="K21" s="29">
        <f>IF(OR(I21="",J21=""),"",IF(J21=1,I21,ROUND(I21*(1+J21/30),1)))</f>
        <v/>
      </c>
      <c r="L21" s="33">
        <f>IF(K21="","",IF(K21&gt;=PRs!C8,"PR!",""))</f>
        <v/>
      </c>
      <c r="M21" s="32" t="n"/>
      <c r="N21" s="34" t="inlineStr"/>
    </row>
    <row r="22">
      <c r="A22" s="26" t="inlineStr">
        <is>
          <t>Day 3 - Variations</t>
        </is>
      </c>
      <c r="B22" s="27">
        <f>'Start Here'!$B$7+291</f>
        <v/>
      </c>
      <c r="C22" s="31" t="inlineStr">
        <is>
          <t>1-Board Press</t>
        </is>
      </c>
      <c r="D22" s="29" t="n">
        <v>3</v>
      </c>
      <c r="E22" s="29" t="inlineStr">
        <is>
          <t>6</t>
        </is>
      </c>
      <c r="F22" s="29" t="n">
        <v>75</v>
      </c>
      <c r="G22" s="30">
        <f>Maxes!H15</f>
        <v/>
      </c>
      <c r="H22" s="31">
        <f>IF(OR(G22="",F22=""),"",MROUND(G22*F22/100,'Start Here'!$B$6))</f>
        <v/>
      </c>
      <c r="I22" s="32" t="n"/>
      <c r="J22" s="32" t="n"/>
      <c r="K22" s="29">
        <f>IF(OR(I22="",J22=""),"",IF(J22=1,I22,ROUND(I22*(1+J22/30),1)))</f>
        <v/>
      </c>
      <c r="L22" s="33">
        <f>IF(K22="","",IF(K22&gt;=PRs!C15,"PR!",""))</f>
        <v/>
      </c>
      <c r="M22" s="32" t="n"/>
      <c r="N22" s="34" t="inlineStr"/>
    </row>
    <row r="23">
      <c r="A23" s="26" t="inlineStr">
        <is>
          <t>Day 3 - Variations</t>
        </is>
      </c>
      <c r="B23" s="27">
        <f>'Start Here'!$B$7+291</f>
        <v/>
      </c>
      <c r="C23" s="31" t="inlineStr">
        <is>
          <t>Paused Deadlift</t>
        </is>
      </c>
      <c r="D23" s="29" t="n">
        <v>3</v>
      </c>
      <c r="E23" s="29" t="inlineStr">
        <is>
          <t>6</t>
        </is>
      </c>
      <c r="F23" s="29" t="n">
        <v>67.5</v>
      </c>
      <c r="G23" s="30">
        <f>Maxes!H25</f>
        <v/>
      </c>
      <c r="H23" s="31">
        <f>IF(OR(G23="",F23=""),"",MROUND(G23*F23/100,'Start Here'!$B$6))</f>
        <v/>
      </c>
      <c r="I23" s="32" t="n"/>
      <c r="J23" s="32" t="n"/>
      <c r="K23" s="29">
        <f>IF(OR(I23="",J23=""),"",IF(J23=1,I23,ROUND(I23*(1+J23/30),1)))</f>
        <v/>
      </c>
      <c r="L23" s="33">
        <f>IF(K23="","",IF(K23&gt;=PRs!C25,"PR!",""))</f>
        <v/>
      </c>
      <c r="M23" s="32" t="n"/>
      <c r="N23" s="34" t="inlineStr"/>
    </row>
    <row r="24">
      <c r="A24" s="26" t="inlineStr">
        <is>
          <t>Day 3 - Variations</t>
        </is>
      </c>
      <c r="B24" s="27">
        <f>'Start Here'!$B$7+291</f>
        <v/>
      </c>
      <c r="C24" s="29" t="inlineStr">
        <is>
          <t>Incline Dumbbell Press</t>
        </is>
      </c>
      <c r="D24" s="29" t="n">
        <v>3</v>
      </c>
      <c r="E24" s="29" t="inlineStr">
        <is>
          <t>8-12</t>
        </is>
      </c>
      <c r="F24" s="29" t="n"/>
      <c r="G24" s="30" t="n"/>
      <c r="H24" s="31" t="n"/>
      <c r="I24" s="32" t="n"/>
      <c r="J24" s="32" t="n"/>
      <c r="K24" s="29">
        <f>IF(OR(I24="",J24=""),"",IF(J24=1,I24,ROUND(I24*(1+J24/30),1)))</f>
        <v/>
      </c>
      <c r="L24" s="33">
        <f>IF(K24="","",IF(K24&gt;=PRs!C57,"PR!",""))</f>
        <v/>
      </c>
      <c r="M24" s="32" t="n"/>
      <c r="N24" s="34" t="inlineStr">
        <is>
          <t>Leave 1-2 reps in the tank; add weight when you hit the top of the range</t>
        </is>
      </c>
    </row>
    <row r="25">
      <c r="A25" s="26" t="inlineStr">
        <is>
          <t>Day 3 - Variations</t>
        </is>
      </c>
      <c r="B25" s="27">
        <f>'Start Here'!$B$7+291</f>
        <v/>
      </c>
      <c r="C25" s="29" t="inlineStr">
        <is>
          <t>Triceps Pushdown</t>
        </is>
      </c>
      <c r="D25" s="29" t="n">
        <v>3</v>
      </c>
      <c r="E25" s="29" t="inlineStr">
        <is>
          <t>10-15</t>
        </is>
      </c>
      <c r="F25" s="29" t="n"/>
      <c r="G25" s="30" t="n"/>
      <c r="H25" s="31" t="n"/>
      <c r="I25" s="32" t="n"/>
      <c r="J25" s="32" t="n"/>
      <c r="K25" s="29">
        <f>IF(OR(I25="",J25=""),"",IF(J25=1,I25,ROUND(I25*(1+J25/30),1)))</f>
        <v/>
      </c>
      <c r="L25" s="33">
        <f>IF(K25="","",IF(K25&gt;=PRs!C59,"PR!",""))</f>
        <v/>
      </c>
      <c r="M25" s="32" t="n"/>
      <c r="N25" s="34" t="inlineStr">
        <is>
          <t>Leave 1-2 reps in the tank; add weight when you hit the top of the range</t>
        </is>
      </c>
    </row>
  </sheetData>
  <hyperlinks>
    <hyperlink xmlns:r="http://schemas.openxmlformats.org/officeDocument/2006/relationships" ref="A2" r:id="rId1"/>
    <hyperlink xmlns:r="http://schemas.openxmlformats.org/officeDocument/2006/relationships" ref="C2" r:id="rId2"/>
    <hyperlink xmlns:r="http://schemas.openxmlformats.org/officeDocument/2006/relationships" ref="E2" r:id="rId3"/>
  </hyperlinks>
  <pageMargins left="0.75" right="0.75" top="1" bottom="1" header="0.5" footer="0.5"/>
  <pageSetup orientation="landscape" fitToHeight="0" fitToWidth="1"/>
</worksheet>
</file>

<file path=xl/worksheets/sheet45.xml><?xml version="1.0" encoding="utf-8"?>
<worksheet xmlns="http://schemas.openxmlformats.org/spreadsheetml/2006/main">
  <sheetPr>
    <tabColor rgb="00FCE9D2"/>
    <outlinePr summaryBelow="1" summaryRight="1"/>
    <pageSetUpPr fitToPage="1"/>
  </sheetPr>
  <dimension ref="A1:N25"/>
  <sheetViews>
    <sheetView workbookViewId="0">
      <pane xSplit="3" ySplit="5" topLeftCell="D6" activePane="bottomRight" state="frozen"/>
      <selection pane="topRight"/>
      <selection pane="bottomLeft"/>
      <selection pane="bottomRight" activeCell="A1" sqref="A1"/>
    </sheetView>
  </sheetViews>
  <sheetFormatPr baseColWidth="8" defaultRowHeight="15"/>
  <cols>
    <col width="17" customWidth="1" min="1" max="1"/>
    <col width="11" customWidth="1" min="2" max="2"/>
    <col width="24" customWidth="1" min="3" max="3"/>
    <col width="5" customWidth="1" min="4" max="4"/>
    <col width="6" customWidth="1" min="5" max="5"/>
    <col width="6" customWidth="1" min="6" max="6"/>
    <col width="9" customWidth="1" min="7" max="7"/>
    <col width="10" customWidth="1" min="8" max="8"/>
    <col width="13" customWidth="1" min="9" max="9"/>
    <col width="8" customWidth="1" min="10" max="10"/>
    <col width="9" customWidth="1" min="11" max="11"/>
    <col width="5" customWidth="1" min="12" max="12"/>
    <col width="22" customWidth="1" min="13" max="13"/>
    <col width="62" customWidth="1" min="14" max="14"/>
  </cols>
  <sheetData>
    <row r="1">
      <c r="A1" s="24" t="inlineStr">
        <is>
          <t>Week 43 - Cycle 4 - Transmutation</t>
        </is>
      </c>
    </row>
    <row r="2">
      <c r="A2" s="25" t="inlineStr">
        <is>
          <t>&lt; Week 42</t>
        </is>
      </c>
      <c r="C2" s="25" t="inlineStr">
        <is>
          <t>Start Here</t>
        </is>
      </c>
      <c r="E2" s="25" t="inlineStr">
        <is>
          <t>Week 44 &gt;</t>
        </is>
      </c>
    </row>
    <row r="3">
      <c r="A3" s="10" t="inlineStr">
        <is>
          <t>Bodyweight this week</t>
        </is>
      </c>
      <c r="C3" s="4" t="n"/>
      <c r="D3" t="inlineStr">
        <is>
          <t>Weigh in once this week: same morning routine, before eating.</t>
        </is>
      </c>
    </row>
    <row r="5">
      <c r="A5" s="5" t="inlineStr">
        <is>
          <t>Day</t>
        </is>
      </c>
      <c r="B5" s="5" t="inlineStr">
        <is>
          <t>Date</t>
        </is>
      </c>
      <c r="C5" s="5" t="inlineStr">
        <is>
          <t>Exercise</t>
        </is>
      </c>
      <c r="D5" s="5" t="inlineStr">
        <is>
          <t>Sets</t>
        </is>
      </c>
      <c r="E5" s="5" t="inlineStr">
        <is>
          <t>Reps</t>
        </is>
      </c>
      <c r="F5" s="5" t="inlineStr">
        <is>
          <t>% TM</t>
        </is>
      </c>
      <c r="G5" s="5" t="inlineStr">
        <is>
          <t>Training max</t>
        </is>
      </c>
      <c r="H5" s="5" t="inlineStr">
        <is>
          <t>Weight / target</t>
        </is>
      </c>
      <c r="I5" s="5" t="inlineStr">
        <is>
          <t>Actual (weight, height or distance)</t>
        </is>
      </c>
      <c r="J5" s="5" t="inlineStr">
        <is>
          <t>Actual reps</t>
        </is>
      </c>
      <c r="K5" s="5" t="inlineStr">
        <is>
          <t>Est. 1RM</t>
        </is>
      </c>
      <c r="L5" s="5" t="inlineStr">
        <is>
          <t>PR</t>
        </is>
      </c>
      <c r="M5" s="5" t="inlineStr">
        <is>
          <t>Notes</t>
        </is>
      </c>
      <c r="N5" s="5" t="inlineStr">
        <is>
          <t>Guidance</t>
        </is>
      </c>
    </row>
    <row r="6">
      <c r="A6" s="26" t="inlineStr">
        <is>
          <t>Day 1 - Heavy</t>
        </is>
      </c>
      <c r="B6" s="27">
        <f>'Start Here'!$B$7+294</f>
        <v/>
      </c>
      <c r="C6" s="28" t="inlineStr">
        <is>
          <t>Box Jump</t>
        </is>
      </c>
      <c r="D6" s="29" t="n">
        <v>4</v>
      </c>
      <c r="E6" s="29" t="inlineStr">
        <is>
          <t>3</t>
        </is>
      </c>
      <c r="F6" s="29" t="n"/>
      <c r="G6" s="30" t="n"/>
      <c r="H6" s="31">
        <f>IFERROR(IF(PRs!D69&lt;'Start Here'!$H$15,'Start Here'!$H$15,IF(PRs!D69&lt;'Start Here'!$H$16,'Start Here'!$H$16,IF(PRs!D69&lt;'Start Here'!$H$17,'Start Here'!$H$17,IF(PRs!D69&lt;'Start Here'!$H$18,'Start Here'!$H$18,"Elite!")))),"")</f>
        <v/>
      </c>
      <c r="I6" s="32" t="n"/>
      <c r="J6" s="32" t="n"/>
      <c r="K6" s="29" t="n"/>
      <c r="L6" s="33">
        <f>IF(I6="","",IF(I6&gt;=PRs!D69,"PR!",""))</f>
        <v/>
      </c>
      <c r="M6" s="32" t="n"/>
      <c r="N6" s="34" t="inlineStr">
        <is>
          <t>Explode up, land softly, STEP down. Full reset between reps. Log your box height; check the standards</t>
        </is>
      </c>
    </row>
    <row r="7">
      <c r="A7" s="26" t="inlineStr">
        <is>
          <t>Day 1 - Heavy</t>
        </is>
      </c>
      <c r="B7" s="27">
        <f>'Start Here'!$B$7+294</f>
        <v/>
      </c>
      <c r="C7" s="31" t="inlineStr">
        <is>
          <t>Snatch</t>
        </is>
      </c>
      <c r="D7" s="29" t="n">
        <v>5</v>
      </c>
      <c r="E7" s="29" t="inlineStr">
        <is>
          <t>2</t>
        </is>
      </c>
      <c r="F7" s="29" t="n">
        <v>82.5</v>
      </c>
      <c r="G7" s="30">
        <f>Maxes!H6</f>
        <v/>
      </c>
      <c r="H7" s="31">
        <f>IF(OR(G7="",F7=""),"",MROUND(G7*F7/100,'Start Here'!$B$6))</f>
        <v/>
      </c>
      <c r="I7" s="32" t="n"/>
      <c r="J7" s="32" t="n"/>
      <c r="K7" s="29">
        <f>IF(OR(I7="",J7=""),"",IF(J7=1,I7,ROUND(I7*(1+J7/30),1)))</f>
        <v/>
      </c>
      <c r="L7" s="33">
        <f>IF(K7="","",IF(K7&gt;=PRs!C6,"PR!",""))</f>
        <v/>
      </c>
      <c r="M7" s="32" t="n"/>
      <c r="N7" s="34" t="inlineStr"/>
    </row>
    <row r="8">
      <c r="A8" s="26" t="inlineStr">
        <is>
          <t>Day 1 - Heavy</t>
        </is>
      </c>
      <c r="B8" s="27">
        <f>'Start Here'!$B$7+294</f>
        <v/>
      </c>
      <c r="C8" s="31" t="inlineStr">
        <is>
          <t>Squat</t>
        </is>
      </c>
      <c r="D8" s="29" t="n">
        <v>4</v>
      </c>
      <c r="E8" s="29" t="inlineStr">
        <is>
          <t>4</t>
        </is>
      </c>
      <c r="F8" s="29" t="n">
        <v>82.5</v>
      </c>
      <c r="G8" s="30">
        <f>Maxes!H2</f>
        <v/>
      </c>
      <c r="H8" s="31">
        <f>IF(OR(G8="",F8=""),"",MROUND(G8*F8/100,'Start Here'!$B$6))</f>
        <v/>
      </c>
      <c r="I8" s="32" t="n"/>
      <c r="J8" s="32" t="n"/>
      <c r="K8" s="29">
        <f>IF(OR(I8="",J8=""),"",IF(J8=1,I8,ROUND(I8*(1+J8/30),1)))</f>
        <v/>
      </c>
      <c r="L8" s="33">
        <f>IF(K8="","",IF(K8&gt;=PRs!C2,"PR!",""))</f>
        <v/>
      </c>
      <c r="M8" s="32" t="n"/>
      <c r="N8" s="34" t="inlineStr"/>
    </row>
    <row r="9">
      <c r="A9" s="26" t="inlineStr">
        <is>
          <t>Day 1 - Heavy</t>
        </is>
      </c>
      <c r="B9" s="27">
        <f>'Start Here'!$B$7+294</f>
        <v/>
      </c>
      <c r="C9" s="31" t="inlineStr">
        <is>
          <t>Bench Press</t>
        </is>
      </c>
      <c r="D9" s="29" t="n">
        <v>4</v>
      </c>
      <c r="E9" s="29" t="inlineStr">
        <is>
          <t>4</t>
        </is>
      </c>
      <c r="F9" s="29" t="n">
        <v>82.5</v>
      </c>
      <c r="G9" s="30">
        <f>Maxes!H3</f>
        <v/>
      </c>
      <c r="H9" s="31">
        <f>IF(OR(G9="",F9=""),"",MROUND(G9*F9/100,'Start Here'!$B$6))</f>
        <v/>
      </c>
      <c r="I9" s="32" t="n"/>
      <c r="J9" s="32" t="n"/>
      <c r="K9" s="29">
        <f>IF(OR(I9="",J9=""),"",IF(J9=1,I9,ROUND(I9*(1+J9/30),1)))</f>
        <v/>
      </c>
      <c r="L9" s="33">
        <f>IF(K9="","",IF(K9&gt;=PRs!C3,"PR!",""))</f>
        <v/>
      </c>
      <c r="M9" s="32" t="n"/>
      <c r="N9" s="34" t="inlineStr"/>
    </row>
    <row r="10">
      <c r="A10" s="26" t="inlineStr">
        <is>
          <t>Day 1 - Heavy</t>
        </is>
      </c>
      <c r="B10" s="27">
        <f>'Start Here'!$B$7+294</f>
        <v/>
      </c>
      <c r="C10" s="29" t="inlineStr">
        <is>
          <t>Barbell Row</t>
        </is>
      </c>
      <c r="D10" s="29" t="n">
        <v>3</v>
      </c>
      <c r="E10" s="29" t="inlineStr">
        <is>
          <t>8-10</t>
        </is>
      </c>
      <c r="F10" s="29" t="n"/>
      <c r="G10" s="30" t="n"/>
      <c r="H10" s="31" t="n"/>
      <c r="I10" s="32" t="n"/>
      <c r="J10" s="32" t="n"/>
      <c r="K10" s="29">
        <f>IF(OR(I10="",J10=""),"",IF(J10=1,I10,ROUND(I10*(1+J10/30),1)))</f>
        <v/>
      </c>
      <c r="L10" s="33">
        <f>IF(K10="","",IF(K10&gt;=PRs!C50,"PR!",""))</f>
        <v/>
      </c>
      <c r="M10" s="32" t="n"/>
      <c r="N10" s="34" t="inlineStr">
        <is>
          <t>Leave 1-2 reps in the tank; add weight when you hit the top of the range</t>
        </is>
      </c>
    </row>
    <row r="11">
      <c r="A11" s="26" t="inlineStr">
        <is>
          <t>Day 1 - Heavy</t>
        </is>
      </c>
      <c r="B11" s="27">
        <f>'Start Here'!$B$7+294</f>
        <v/>
      </c>
      <c r="C11" s="29" t="inlineStr">
        <is>
          <t>Face Pull</t>
        </is>
      </c>
      <c r="D11" s="29" t="n">
        <v>3</v>
      </c>
      <c r="E11" s="29" t="inlineStr">
        <is>
          <t>12-15</t>
        </is>
      </c>
      <c r="F11" s="29" t="n"/>
      <c r="G11" s="30" t="n"/>
      <c r="H11" s="31" t="n"/>
      <c r="I11" s="32" t="n"/>
      <c r="J11" s="32" t="n"/>
      <c r="K11" s="29">
        <f>IF(OR(I11="",J11=""),"",IF(J11=1,I11,ROUND(I11*(1+J11/30),1)))</f>
        <v/>
      </c>
      <c r="L11" s="33">
        <f>IF(K11="","",IF(K11&gt;=PRs!C51,"PR!",""))</f>
        <v/>
      </c>
      <c r="M11" s="32" t="n"/>
      <c r="N11" s="34" t="inlineStr">
        <is>
          <t>Leave 1-2 reps in the tank; add weight when you hit the top of the range</t>
        </is>
      </c>
    </row>
    <row r="12">
      <c r="A12" s="26" t="inlineStr">
        <is>
          <t>Day 2 - Light</t>
        </is>
      </c>
      <c r="B12" s="27">
        <f>'Start Here'!$B$7+296</f>
        <v/>
      </c>
      <c r="C12" s="28" t="inlineStr">
        <is>
          <t>Broad Jump</t>
        </is>
      </c>
      <c r="D12" s="29" t="n">
        <v>4</v>
      </c>
      <c r="E12" s="29" t="inlineStr">
        <is>
          <t>3</t>
        </is>
      </c>
      <c r="F12" s="29" t="n"/>
      <c r="G12" s="30" t="n"/>
      <c r="H12" s="31" t="n"/>
      <c r="I12" s="32" t="n"/>
      <c r="J12" s="32" t="n"/>
      <c r="K12" s="29" t="n"/>
      <c r="L12" s="33">
        <f>IF(I12="","",IF(I12&gt;=PRs!D70,"PR!",""))</f>
        <v/>
      </c>
      <c r="M12" s="32" t="n"/>
      <c r="N12" s="34" t="inlineStr">
        <is>
          <t>Two-foot jump for distance, stick the landing. Full reset between reps. Log your best distance</t>
        </is>
      </c>
    </row>
    <row r="13">
      <c r="A13" s="26" t="inlineStr">
        <is>
          <t>Day 2 - Light</t>
        </is>
      </c>
      <c r="B13" s="27">
        <f>'Start Here'!$B$7+296</f>
        <v/>
      </c>
      <c r="C13" s="31" t="inlineStr">
        <is>
          <t>Clean &amp; Jerk</t>
        </is>
      </c>
      <c r="D13" s="29" t="n">
        <v>5</v>
      </c>
      <c r="E13" s="29" t="inlineStr">
        <is>
          <t>2</t>
        </is>
      </c>
      <c r="F13" s="29" t="n">
        <v>82.5</v>
      </c>
      <c r="G13" s="30">
        <f>Maxes!H7</f>
        <v/>
      </c>
      <c r="H13" s="31">
        <f>IF(OR(G13="",F13=""),"",MROUND(G13*F13/100,'Start Here'!$B$6))</f>
        <v/>
      </c>
      <c r="I13" s="32" t="n"/>
      <c r="J13" s="32" t="n"/>
      <c r="K13" s="29">
        <f>IF(OR(I13="",J13=""),"",IF(J13=1,I13,ROUND(I13*(1+J13/30),1)))</f>
        <v/>
      </c>
      <c r="L13" s="33">
        <f>IF(K13="","",IF(K13&gt;=PRs!C7,"PR!",""))</f>
        <v/>
      </c>
      <c r="M13" s="32" t="n"/>
      <c r="N13" s="34" t="inlineStr"/>
    </row>
    <row r="14">
      <c r="A14" s="26" t="inlineStr">
        <is>
          <t>Day 2 - Light</t>
        </is>
      </c>
      <c r="B14" s="27">
        <f>'Start Here'!$B$7+296</f>
        <v/>
      </c>
      <c r="C14" s="31" t="inlineStr">
        <is>
          <t>Squat</t>
        </is>
      </c>
      <c r="D14" s="29" t="n">
        <v>3</v>
      </c>
      <c r="E14" s="29" t="inlineStr">
        <is>
          <t>6</t>
        </is>
      </c>
      <c r="F14" s="29" t="n">
        <v>70</v>
      </c>
      <c r="G14" s="30">
        <f>Maxes!H2</f>
        <v/>
      </c>
      <c r="H14" s="31">
        <f>IF(OR(G14="",F14=""),"",MROUND(G14*F14/100,'Start Here'!$B$6))</f>
        <v/>
      </c>
      <c r="I14" s="32" t="n"/>
      <c r="J14" s="32" t="n"/>
      <c r="K14" s="29">
        <f>IF(OR(I14="",J14=""),"",IF(J14=1,I14,ROUND(I14*(1+J14/30),1)))</f>
        <v/>
      </c>
      <c r="L14" s="33">
        <f>IF(K14="","",IF(K14&gt;=PRs!C2,"PR!",""))</f>
        <v/>
      </c>
      <c r="M14" s="32" t="n"/>
      <c r="N14" s="34" t="inlineStr"/>
    </row>
    <row r="15">
      <c r="A15" s="26" t="inlineStr">
        <is>
          <t>Day 2 - Light</t>
        </is>
      </c>
      <c r="B15" s="27">
        <f>'Start Here'!$B$7+296</f>
        <v/>
      </c>
      <c r="C15" s="31" t="inlineStr">
        <is>
          <t>Overhead Press</t>
        </is>
      </c>
      <c r="D15" s="29" t="n">
        <v>3</v>
      </c>
      <c r="E15" s="29" t="inlineStr">
        <is>
          <t>6</t>
        </is>
      </c>
      <c r="F15" s="29" t="n">
        <v>77.5</v>
      </c>
      <c r="G15" s="30">
        <f>Maxes!H5</f>
        <v/>
      </c>
      <c r="H15" s="31">
        <f>IF(OR(G15="",F15=""),"",MROUND(G15*F15/100,'Start Here'!$B$6))</f>
        <v/>
      </c>
      <c r="I15" s="32" t="n"/>
      <c r="J15" s="32" t="n"/>
      <c r="K15" s="29">
        <f>IF(OR(I15="",J15=""),"",IF(J15=1,I15,ROUND(I15*(1+J15/30),1)))</f>
        <v/>
      </c>
      <c r="L15" s="33">
        <f>IF(K15="","",IF(K15&gt;=PRs!C5,"PR!",""))</f>
        <v/>
      </c>
      <c r="M15" s="32" t="n"/>
      <c r="N15" s="34" t="inlineStr"/>
    </row>
    <row r="16">
      <c r="A16" s="26" t="inlineStr">
        <is>
          <t>Day 2 - Light</t>
        </is>
      </c>
      <c r="B16" s="27">
        <f>'Start Here'!$B$7+296</f>
        <v/>
      </c>
      <c r="C16" s="31" t="inlineStr">
        <is>
          <t>Deadlift</t>
        </is>
      </c>
      <c r="D16" s="29" t="n">
        <v>3</v>
      </c>
      <c r="E16" s="29" t="inlineStr">
        <is>
          <t>6</t>
        </is>
      </c>
      <c r="F16" s="29" t="n">
        <v>77.5</v>
      </c>
      <c r="G16" s="30">
        <f>Maxes!H4</f>
        <v/>
      </c>
      <c r="H16" s="31">
        <f>IF(OR(G16="",F16=""),"",MROUND(G16*F16/100,'Start Here'!$B$6))</f>
        <v/>
      </c>
      <c r="I16" s="32" t="n"/>
      <c r="J16" s="32" t="n"/>
      <c r="K16" s="29">
        <f>IF(OR(I16="",J16=""),"",IF(J16=1,I16,ROUND(I16*(1+J16/30),1)))</f>
        <v/>
      </c>
      <c r="L16" s="33">
        <f>IF(K16="","",IF(K16&gt;=PRs!C4,"PR!",""))</f>
        <v/>
      </c>
      <c r="M16" s="32" t="n"/>
      <c r="N16" s="34" t="inlineStr"/>
    </row>
    <row r="17">
      <c r="A17" s="26" t="inlineStr">
        <is>
          <t>Day 2 - Light</t>
        </is>
      </c>
      <c r="B17" s="27">
        <f>'Start Here'!$B$7+296</f>
        <v/>
      </c>
      <c r="C17" s="29" t="inlineStr">
        <is>
          <t>Chin-up</t>
        </is>
      </c>
      <c r="D17" s="29" t="n">
        <v>3</v>
      </c>
      <c r="E17" s="29" t="inlineStr">
        <is>
          <t>6-10</t>
        </is>
      </c>
      <c r="F17" s="29" t="n"/>
      <c r="G17" s="30" t="n"/>
      <c r="H17" s="31" t="n"/>
      <c r="I17" s="32" t="n"/>
      <c r="J17" s="32" t="n"/>
      <c r="K17" s="29">
        <f>IF(OR(I17="",J17=""),"",IF(J17=1,I17,ROUND(I17*(1+J17/30),1)))</f>
        <v/>
      </c>
      <c r="L17" s="33">
        <f>IF(K17="","",IF(K17&gt;=PRs!C53,"PR!",""))</f>
        <v/>
      </c>
      <c r="M17" s="32" t="n"/>
      <c r="N17" s="34" t="inlineStr">
        <is>
          <t>Leave 1-2 reps in the tank; add weight when you hit the top of the range</t>
        </is>
      </c>
    </row>
    <row r="18">
      <c r="A18" s="26" t="inlineStr">
        <is>
          <t>Day 2 - Light</t>
        </is>
      </c>
      <c r="B18" s="27">
        <f>'Start Here'!$B$7+296</f>
        <v/>
      </c>
      <c r="C18" s="29" t="inlineStr">
        <is>
          <t>Plank</t>
        </is>
      </c>
      <c r="D18" s="29" t="n">
        <v>3</v>
      </c>
      <c r="E18" s="29" t="inlineStr">
        <is>
          <t>30-60s</t>
        </is>
      </c>
      <c r="F18" s="29" t="n"/>
      <c r="G18" s="30" t="n"/>
      <c r="H18" s="31" t="n"/>
      <c r="I18" s="32" t="n"/>
      <c r="J18" s="32" t="n"/>
      <c r="K18" s="29">
        <f>IF(OR(I18="",J18=""),"",IF(J18=1,I18,ROUND(I18*(1+J18/30),1)))</f>
        <v/>
      </c>
      <c r="L18" s="33">
        <f>IF(K18="","",IF(K18&gt;=PRs!C56,"PR!",""))</f>
        <v/>
      </c>
      <c r="M18" s="32" t="n"/>
      <c r="N18" s="34" t="inlineStr">
        <is>
          <t>Leave 1-2 reps in the tank; add weight when you hit the top of the range</t>
        </is>
      </c>
    </row>
    <row r="19">
      <c r="A19" s="26" t="inlineStr">
        <is>
          <t>Day 3 - Variations</t>
        </is>
      </c>
      <c r="B19" s="27">
        <f>'Start Here'!$B$7+298</f>
        <v/>
      </c>
      <c r="C19" s="28" t="inlineStr">
        <is>
          <t>Box Jump</t>
        </is>
      </c>
      <c r="D19" s="29" t="n">
        <v>4</v>
      </c>
      <c r="E19" s="29" t="inlineStr">
        <is>
          <t>3</t>
        </is>
      </c>
      <c r="F19" s="29" t="n"/>
      <c r="G19" s="30" t="n"/>
      <c r="H19" s="31">
        <f>IFERROR(IF(PRs!D69&lt;'Start Here'!$H$15,'Start Here'!$H$15,IF(PRs!D69&lt;'Start Here'!$H$16,'Start Here'!$H$16,IF(PRs!D69&lt;'Start Here'!$H$17,'Start Here'!$H$17,IF(PRs!D69&lt;'Start Here'!$H$18,'Start Here'!$H$18,"Elite!")))),"")</f>
        <v/>
      </c>
      <c r="I19" s="32" t="n"/>
      <c r="J19" s="32" t="n"/>
      <c r="K19" s="29" t="n"/>
      <c r="L19" s="33">
        <f>IF(I19="","",IF(I19&gt;=PRs!D69,"PR!",""))</f>
        <v/>
      </c>
      <c r="M19" s="32" t="n"/>
      <c r="N19" s="34" t="inlineStr">
        <is>
          <t>Explode up, land softly, STEP down. Full reset between reps. Log your box height; check the standards</t>
        </is>
      </c>
    </row>
    <row r="20">
      <c r="A20" s="26" t="inlineStr">
        <is>
          <t>Day 3 - Variations</t>
        </is>
      </c>
      <c r="B20" s="27">
        <f>'Start Here'!$B$7+298</f>
        <v/>
      </c>
      <c r="C20" s="31" t="inlineStr">
        <is>
          <t>Hang Snatch</t>
        </is>
      </c>
      <c r="D20" s="29" t="n">
        <v>4</v>
      </c>
      <c r="E20" s="29" t="inlineStr">
        <is>
          <t>3</t>
        </is>
      </c>
      <c r="F20" s="29" t="n">
        <v>77.5</v>
      </c>
      <c r="G20" s="30">
        <f>Maxes!H35</f>
        <v/>
      </c>
      <c r="H20" s="31">
        <f>IF(OR(G20="",F20=""),"",MROUND(G20*F20/100,'Start Here'!$B$6))</f>
        <v/>
      </c>
      <c r="I20" s="32" t="n"/>
      <c r="J20" s="32" t="n"/>
      <c r="K20" s="29">
        <f>IF(OR(I20="",J20=""),"",IF(J20=1,I20,ROUND(I20*(1+J20/30),1)))</f>
        <v/>
      </c>
      <c r="L20" s="33">
        <f>IF(K20="","",IF(K20&gt;=PRs!C35,"PR!",""))</f>
        <v/>
      </c>
      <c r="M20" s="32" t="n"/>
      <c r="N20" s="34" t="inlineStr"/>
    </row>
    <row r="21">
      <c r="A21" s="26" t="inlineStr">
        <is>
          <t>Day 3 - Variations</t>
        </is>
      </c>
      <c r="B21" s="27">
        <f>'Start Here'!$B$7+298</f>
        <v/>
      </c>
      <c r="C21" s="31" t="inlineStr">
        <is>
          <t>Box Squat</t>
        </is>
      </c>
      <c r="D21" s="29" t="n">
        <v>3</v>
      </c>
      <c r="E21" s="29" t="inlineStr">
        <is>
          <t>6</t>
        </is>
      </c>
      <c r="F21" s="29" t="n">
        <v>77.5</v>
      </c>
      <c r="G21" s="30">
        <f>Maxes!H8</f>
        <v/>
      </c>
      <c r="H21" s="31">
        <f>IF(OR(G21="",F21=""),"",MROUND(G21*F21/100,'Start Here'!$B$6))</f>
        <v/>
      </c>
      <c r="I21" s="32" t="n"/>
      <c r="J21" s="32" t="n"/>
      <c r="K21" s="29">
        <f>IF(OR(I21="",J21=""),"",IF(J21=1,I21,ROUND(I21*(1+J21/30),1)))</f>
        <v/>
      </c>
      <c r="L21" s="33">
        <f>IF(K21="","",IF(K21&gt;=PRs!C8,"PR!",""))</f>
        <v/>
      </c>
      <c r="M21" s="32" t="n"/>
      <c r="N21" s="34" t="inlineStr"/>
    </row>
    <row r="22">
      <c r="A22" s="26" t="inlineStr">
        <is>
          <t>Day 3 - Variations</t>
        </is>
      </c>
      <c r="B22" s="27">
        <f>'Start Here'!$B$7+298</f>
        <v/>
      </c>
      <c r="C22" s="31" t="inlineStr">
        <is>
          <t>1-Board Press</t>
        </is>
      </c>
      <c r="D22" s="29" t="n">
        <v>3</v>
      </c>
      <c r="E22" s="29" t="inlineStr">
        <is>
          <t>6</t>
        </is>
      </c>
      <c r="F22" s="29" t="n">
        <v>77.5</v>
      </c>
      <c r="G22" s="30">
        <f>Maxes!H15</f>
        <v/>
      </c>
      <c r="H22" s="31">
        <f>IF(OR(G22="",F22=""),"",MROUND(G22*F22/100,'Start Here'!$B$6))</f>
        <v/>
      </c>
      <c r="I22" s="32" t="n"/>
      <c r="J22" s="32" t="n"/>
      <c r="K22" s="29">
        <f>IF(OR(I22="",J22=""),"",IF(J22=1,I22,ROUND(I22*(1+J22/30),1)))</f>
        <v/>
      </c>
      <c r="L22" s="33">
        <f>IF(K22="","",IF(K22&gt;=PRs!C15,"PR!",""))</f>
        <v/>
      </c>
      <c r="M22" s="32" t="n"/>
      <c r="N22" s="34" t="inlineStr"/>
    </row>
    <row r="23">
      <c r="A23" s="26" t="inlineStr">
        <is>
          <t>Day 3 - Variations</t>
        </is>
      </c>
      <c r="B23" s="27">
        <f>'Start Here'!$B$7+298</f>
        <v/>
      </c>
      <c r="C23" s="31" t="inlineStr">
        <is>
          <t>Paused Deadlift</t>
        </is>
      </c>
      <c r="D23" s="29" t="n">
        <v>3</v>
      </c>
      <c r="E23" s="29" t="inlineStr">
        <is>
          <t>6</t>
        </is>
      </c>
      <c r="F23" s="29" t="n">
        <v>70</v>
      </c>
      <c r="G23" s="30">
        <f>Maxes!H25</f>
        <v/>
      </c>
      <c r="H23" s="31">
        <f>IF(OR(G23="",F23=""),"",MROUND(G23*F23/100,'Start Here'!$B$6))</f>
        <v/>
      </c>
      <c r="I23" s="32" t="n"/>
      <c r="J23" s="32" t="n"/>
      <c r="K23" s="29">
        <f>IF(OR(I23="",J23=""),"",IF(J23=1,I23,ROUND(I23*(1+J23/30),1)))</f>
        <v/>
      </c>
      <c r="L23" s="33">
        <f>IF(K23="","",IF(K23&gt;=PRs!C25,"PR!",""))</f>
        <v/>
      </c>
      <c r="M23" s="32" t="n"/>
      <c r="N23" s="34" t="inlineStr"/>
    </row>
    <row r="24">
      <c r="A24" s="26" t="inlineStr">
        <is>
          <t>Day 3 - Variations</t>
        </is>
      </c>
      <c r="B24" s="27">
        <f>'Start Here'!$B$7+298</f>
        <v/>
      </c>
      <c r="C24" s="29" t="inlineStr">
        <is>
          <t>Incline Dumbbell Press</t>
        </is>
      </c>
      <c r="D24" s="29" t="n">
        <v>3</v>
      </c>
      <c r="E24" s="29" t="inlineStr">
        <is>
          <t>8-12</t>
        </is>
      </c>
      <c r="F24" s="29" t="n"/>
      <c r="G24" s="30" t="n"/>
      <c r="H24" s="31" t="n"/>
      <c r="I24" s="32" t="n"/>
      <c r="J24" s="32" t="n"/>
      <c r="K24" s="29">
        <f>IF(OR(I24="",J24=""),"",IF(J24=1,I24,ROUND(I24*(1+J24/30),1)))</f>
        <v/>
      </c>
      <c r="L24" s="33">
        <f>IF(K24="","",IF(K24&gt;=PRs!C57,"PR!",""))</f>
        <v/>
      </c>
      <c r="M24" s="32" t="n"/>
      <c r="N24" s="34" t="inlineStr">
        <is>
          <t>Leave 1-2 reps in the tank; add weight when you hit the top of the range</t>
        </is>
      </c>
    </row>
    <row r="25">
      <c r="A25" s="26" t="inlineStr">
        <is>
          <t>Day 3 - Variations</t>
        </is>
      </c>
      <c r="B25" s="27">
        <f>'Start Here'!$B$7+298</f>
        <v/>
      </c>
      <c r="C25" s="29" t="inlineStr">
        <is>
          <t>Triceps Pushdown</t>
        </is>
      </c>
      <c r="D25" s="29" t="n">
        <v>3</v>
      </c>
      <c r="E25" s="29" t="inlineStr">
        <is>
          <t>10-15</t>
        </is>
      </c>
      <c r="F25" s="29" t="n"/>
      <c r="G25" s="30" t="n"/>
      <c r="H25" s="31" t="n"/>
      <c r="I25" s="32" t="n"/>
      <c r="J25" s="32" t="n"/>
      <c r="K25" s="29">
        <f>IF(OR(I25="",J25=""),"",IF(J25=1,I25,ROUND(I25*(1+J25/30),1)))</f>
        <v/>
      </c>
      <c r="L25" s="33">
        <f>IF(K25="","",IF(K25&gt;=PRs!C59,"PR!",""))</f>
        <v/>
      </c>
      <c r="M25" s="32" t="n"/>
      <c r="N25" s="34" t="inlineStr">
        <is>
          <t>Leave 1-2 reps in the tank; add weight when you hit the top of the range</t>
        </is>
      </c>
    </row>
  </sheetData>
  <hyperlinks>
    <hyperlink xmlns:r="http://schemas.openxmlformats.org/officeDocument/2006/relationships" ref="A2" r:id="rId1"/>
    <hyperlink xmlns:r="http://schemas.openxmlformats.org/officeDocument/2006/relationships" ref="C2" r:id="rId2"/>
    <hyperlink xmlns:r="http://schemas.openxmlformats.org/officeDocument/2006/relationships" ref="E2" r:id="rId3"/>
  </hyperlinks>
  <pageMargins left="0.75" right="0.75" top="1" bottom="1" header="0.5" footer="0.5"/>
  <pageSetup orientation="landscape" fitToHeight="0" fitToWidth="1"/>
</worksheet>
</file>

<file path=xl/worksheets/sheet46.xml><?xml version="1.0" encoding="utf-8"?>
<worksheet xmlns="http://schemas.openxmlformats.org/spreadsheetml/2006/main">
  <sheetPr>
    <tabColor rgb="00E6E6E6"/>
    <outlinePr summaryBelow="1" summaryRight="1"/>
    <pageSetUpPr fitToPage="1"/>
  </sheetPr>
  <dimension ref="A1:N25"/>
  <sheetViews>
    <sheetView workbookViewId="0">
      <pane xSplit="3" ySplit="5" topLeftCell="D6" activePane="bottomRight" state="frozen"/>
      <selection pane="topRight"/>
      <selection pane="bottomLeft"/>
      <selection pane="bottomRight" activeCell="A1" sqref="A1"/>
    </sheetView>
  </sheetViews>
  <sheetFormatPr baseColWidth="8" defaultRowHeight="15"/>
  <cols>
    <col width="17" customWidth="1" min="1" max="1"/>
    <col width="11" customWidth="1" min="2" max="2"/>
    <col width="24" customWidth="1" min="3" max="3"/>
    <col width="5" customWidth="1" min="4" max="4"/>
    <col width="6" customWidth="1" min="5" max="5"/>
    <col width="6" customWidth="1" min="6" max="6"/>
    <col width="9" customWidth="1" min="7" max="7"/>
    <col width="10" customWidth="1" min="8" max="8"/>
    <col width="13" customWidth="1" min="9" max="9"/>
    <col width="8" customWidth="1" min="10" max="10"/>
    <col width="9" customWidth="1" min="11" max="11"/>
    <col width="5" customWidth="1" min="12" max="12"/>
    <col width="22" customWidth="1" min="13" max="13"/>
    <col width="62" customWidth="1" min="14" max="14"/>
  </cols>
  <sheetData>
    <row r="1">
      <c r="A1" s="24" t="inlineStr">
        <is>
          <t>Week 44 - Cycle 4 - Deload</t>
        </is>
      </c>
    </row>
    <row r="2">
      <c r="A2" s="25" t="inlineStr">
        <is>
          <t>&lt; Week 43</t>
        </is>
      </c>
      <c r="C2" s="25" t="inlineStr">
        <is>
          <t>Start Here</t>
        </is>
      </c>
      <c r="E2" s="25" t="inlineStr">
        <is>
          <t>Week 45 &gt;</t>
        </is>
      </c>
    </row>
    <row r="3">
      <c r="A3" s="10" t="inlineStr">
        <is>
          <t>Bodyweight this week</t>
        </is>
      </c>
      <c r="C3" s="4" t="n"/>
      <c r="D3" t="inlineStr">
        <is>
          <t>Weigh in once this week: same morning routine, before eating.</t>
        </is>
      </c>
    </row>
    <row r="4">
      <c r="A4" s="35" t="inlineStr">
        <is>
          <t>Body fat test due this week (month 11) - enter it on the Body sheet</t>
        </is>
      </c>
    </row>
    <row r="5">
      <c r="A5" s="5" t="inlineStr">
        <is>
          <t>Day</t>
        </is>
      </c>
      <c r="B5" s="5" t="inlineStr">
        <is>
          <t>Date</t>
        </is>
      </c>
      <c r="C5" s="5" t="inlineStr">
        <is>
          <t>Exercise</t>
        </is>
      </c>
      <c r="D5" s="5" t="inlineStr">
        <is>
          <t>Sets</t>
        </is>
      </c>
      <c r="E5" s="5" t="inlineStr">
        <is>
          <t>Reps</t>
        </is>
      </c>
      <c r="F5" s="5" t="inlineStr">
        <is>
          <t>% TM</t>
        </is>
      </c>
      <c r="G5" s="5" t="inlineStr">
        <is>
          <t>Training max</t>
        </is>
      </c>
      <c r="H5" s="5" t="inlineStr">
        <is>
          <t>Weight / target</t>
        </is>
      </c>
      <c r="I5" s="5" t="inlineStr">
        <is>
          <t>Actual (weight, height or distance)</t>
        </is>
      </c>
      <c r="J5" s="5" t="inlineStr">
        <is>
          <t>Actual reps</t>
        </is>
      </c>
      <c r="K5" s="5" t="inlineStr">
        <is>
          <t>Est. 1RM</t>
        </is>
      </c>
      <c r="L5" s="5" t="inlineStr">
        <is>
          <t>PR</t>
        </is>
      </c>
      <c r="M5" s="5" t="inlineStr">
        <is>
          <t>Notes</t>
        </is>
      </c>
      <c r="N5" s="5" t="inlineStr">
        <is>
          <t>Guidance</t>
        </is>
      </c>
    </row>
    <row r="6">
      <c r="A6" s="26" t="inlineStr">
        <is>
          <t>Day 1 - Heavy</t>
        </is>
      </c>
      <c r="B6" s="27">
        <f>'Start Here'!$B$7+301</f>
        <v/>
      </c>
      <c r="C6" s="28" t="inlineStr">
        <is>
          <t>Box Jump</t>
        </is>
      </c>
      <c r="D6" s="29" t="n">
        <v>2</v>
      </c>
      <c r="E6" s="29" t="inlineStr">
        <is>
          <t>3</t>
        </is>
      </c>
      <c r="F6" s="29" t="n"/>
      <c r="G6" s="30" t="n"/>
      <c r="H6" s="31">
        <f>IFERROR(IF(PRs!D69&lt;'Start Here'!$H$15,'Start Here'!$H$15,IF(PRs!D69&lt;'Start Here'!$H$16,'Start Here'!$H$16,IF(PRs!D69&lt;'Start Here'!$H$17,'Start Here'!$H$17,IF(PRs!D69&lt;'Start Here'!$H$18,'Start Here'!$H$18,"Elite!")))),"")</f>
        <v/>
      </c>
      <c r="I6" s="32" t="n"/>
      <c r="J6" s="32" t="n"/>
      <c r="K6" s="29" t="n"/>
      <c r="L6" s="33">
        <f>IF(I6="","",IF(I6&gt;=PRs!D69,"PR!",""))</f>
        <v/>
      </c>
      <c r="M6" s="32" t="n"/>
      <c r="N6" s="34" t="inlineStr">
        <is>
          <t>Explode up, land softly, STEP down. Full reset between reps. Log your box height; check the standards</t>
        </is>
      </c>
    </row>
    <row r="7">
      <c r="A7" s="26" t="inlineStr">
        <is>
          <t>Day 1 - Heavy</t>
        </is>
      </c>
      <c r="B7" s="27">
        <f>'Start Here'!$B$7+301</f>
        <v/>
      </c>
      <c r="C7" s="31" t="inlineStr">
        <is>
          <t>Snatch</t>
        </is>
      </c>
      <c r="D7" s="29" t="n">
        <v>2</v>
      </c>
      <c r="E7" s="29" t="inlineStr">
        <is>
          <t>2</t>
        </is>
      </c>
      <c r="F7" s="29" t="n">
        <v>65</v>
      </c>
      <c r="G7" s="30">
        <f>Maxes!H6</f>
        <v/>
      </c>
      <c r="H7" s="31">
        <f>IF(OR(G7="",F7=""),"",MROUND(G7*F7/100,'Start Here'!$B$6))</f>
        <v/>
      </c>
      <c r="I7" s="32" t="n"/>
      <c r="J7" s="32" t="n"/>
      <c r="K7" s="29">
        <f>IF(OR(I7="",J7=""),"",IF(J7=1,I7,ROUND(I7*(1+J7/30),1)))</f>
        <v/>
      </c>
      <c r="L7" s="33">
        <f>IF(K7="","",IF(K7&gt;=PRs!C6,"PR!",""))</f>
        <v/>
      </c>
      <c r="M7" s="32" t="n"/>
      <c r="N7" s="34" t="inlineStr">
        <is>
          <t>Easy week - move fast, recover</t>
        </is>
      </c>
    </row>
    <row r="8">
      <c r="A8" s="26" t="inlineStr">
        <is>
          <t>Day 1 - Heavy</t>
        </is>
      </c>
      <c r="B8" s="27">
        <f>'Start Here'!$B$7+301</f>
        <v/>
      </c>
      <c r="C8" s="31" t="inlineStr">
        <is>
          <t>Squat</t>
        </is>
      </c>
      <c r="D8" s="29" t="n">
        <v>2</v>
      </c>
      <c r="E8" s="29" t="inlineStr">
        <is>
          <t>5</t>
        </is>
      </c>
      <c r="F8" s="29" t="n">
        <v>65</v>
      </c>
      <c r="G8" s="30">
        <f>Maxes!H2</f>
        <v/>
      </c>
      <c r="H8" s="31">
        <f>IF(OR(G8="",F8=""),"",MROUND(G8*F8/100,'Start Here'!$B$6))</f>
        <v/>
      </c>
      <c r="I8" s="32" t="n"/>
      <c r="J8" s="32" t="n"/>
      <c r="K8" s="29">
        <f>IF(OR(I8="",J8=""),"",IF(J8=1,I8,ROUND(I8*(1+J8/30),1)))</f>
        <v/>
      </c>
      <c r="L8" s="33">
        <f>IF(K8="","",IF(K8&gt;=PRs!C2,"PR!",""))</f>
        <v/>
      </c>
      <c r="M8" s="32" t="n"/>
      <c r="N8" s="34" t="inlineStr">
        <is>
          <t>Easy week - move fast, recover</t>
        </is>
      </c>
    </row>
    <row r="9">
      <c r="A9" s="26" t="inlineStr">
        <is>
          <t>Day 1 - Heavy</t>
        </is>
      </c>
      <c r="B9" s="27">
        <f>'Start Here'!$B$7+301</f>
        <v/>
      </c>
      <c r="C9" s="31" t="inlineStr">
        <is>
          <t>Bench Press</t>
        </is>
      </c>
      <c r="D9" s="29" t="n">
        <v>2</v>
      </c>
      <c r="E9" s="29" t="inlineStr">
        <is>
          <t>5</t>
        </is>
      </c>
      <c r="F9" s="29" t="n">
        <v>65</v>
      </c>
      <c r="G9" s="30">
        <f>Maxes!H3</f>
        <v/>
      </c>
      <c r="H9" s="31">
        <f>IF(OR(G9="",F9=""),"",MROUND(G9*F9/100,'Start Here'!$B$6))</f>
        <v/>
      </c>
      <c r="I9" s="32" t="n"/>
      <c r="J9" s="32" t="n"/>
      <c r="K9" s="29">
        <f>IF(OR(I9="",J9=""),"",IF(J9=1,I9,ROUND(I9*(1+J9/30),1)))</f>
        <v/>
      </c>
      <c r="L9" s="33">
        <f>IF(K9="","",IF(K9&gt;=PRs!C3,"PR!",""))</f>
        <v/>
      </c>
      <c r="M9" s="32" t="n"/>
      <c r="N9" s="34" t="inlineStr">
        <is>
          <t>Easy week - move fast, recover</t>
        </is>
      </c>
    </row>
    <row r="10">
      <c r="A10" s="26" t="inlineStr">
        <is>
          <t>Day 1 - Heavy</t>
        </is>
      </c>
      <c r="B10" s="27">
        <f>'Start Here'!$B$7+301</f>
        <v/>
      </c>
      <c r="C10" s="29" t="inlineStr">
        <is>
          <t>Barbell Row</t>
        </is>
      </c>
      <c r="D10" s="29" t="n">
        <v>2</v>
      </c>
      <c r="E10" s="29" t="inlineStr">
        <is>
          <t>8-10</t>
        </is>
      </c>
      <c r="F10" s="29" t="n"/>
      <c r="G10" s="30" t="n"/>
      <c r="H10" s="31" t="n"/>
      <c r="I10" s="32" t="n"/>
      <c r="J10" s="32" t="n"/>
      <c r="K10" s="29">
        <f>IF(OR(I10="",J10=""),"",IF(J10=1,I10,ROUND(I10*(1+J10/30),1)))</f>
        <v/>
      </c>
      <c r="L10" s="33">
        <f>IF(K10="","",IF(K10&gt;=PRs!C50,"PR!",""))</f>
        <v/>
      </c>
      <c r="M10" s="32" t="n"/>
      <c r="N10" s="34" t="inlineStr">
        <is>
          <t>Easy - stop well short of failure</t>
        </is>
      </c>
    </row>
    <row r="11">
      <c r="A11" s="26" t="inlineStr">
        <is>
          <t>Day 1 - Heavy</t>
        </is>
      </c>
      <c r="B11" s="27">
        <f>'Start Here'!$B$7+301</f>
        <v/>
      </c>
      <c r="C11" s="29" t="inlineStr">
        <is>
          <t>Face Pull</t>
        </is>
      </c>
      <c r="D11" s="29" t="n">
        <v>2</v>
      </c>
      <c r="E11" s="29" t="inlineStr">
        <is>
          <t>12-15</t>
        </is>
      </c>
      <c r="F11" s="29" t="n"/>
      <c r="G11" s="30" t="n"/>
      <c r="H11" s="31" t="n"/>
      <c r="I11" s="32" t="n"/>
      <c r="J11" s="32" t="n"/>
      <c r="K11" s="29">
        <f>IF(OR(I11="",J11=""),"",IF(J11=1,I11,ROUND(I11*(1+J11/30),1)))</f>
        <v/>
      </c>
      <c r="L11" s="33">
        <f>IF(K11="","",IF(K11&gt;=PRs!C51,"PR!",""))</f>
        <v/>
      </c>
      <c r="M11" s="32" t="n"/>
      <c r="N11" s="34" t="inlineStr">
        <is>
          <t>Easy - stop well short of failure</t>
        </is>
      </c>
    </row>
    <row r="12">
      <c r="A12" s="26" t="inlineStr">
        <is>
          <t>Day 2 - Light</t>
        </is>
      </c>
      <c r="B12" s="27">
        <f>'Start Here'!$B$7+303</f>
        <v/>
      </c>
      <c r="C12" s="28" t="inlineStr">
        <is>
          <t>Broad Jump</t>
        </is>
      </c>
      <c r="D12" s="29" t="n">
        <v>2</v>
      </c>
      <c r="E12" s="29" t="inlineStr">
        <is>
          <t>3</t>
        </is>
      </c>
      <c r="F12" s="29" t="n"/>
      <c r="G12" s="30" t="n"/>
      <c r="H12" s="31" t="n"/>
      <c r="I12" s="32" t="n"/>
      <c r="J12" s="32" t="n"/>
      <c r="K12" s="29" t="n"/>
      <c r="L12" s="33">
        <f>IF(I12="","",IF(I12&gt;=PRs!D70,"PR!",""))</f>
        <v/>
      </c>
      <c r="M12" s="32" t="n"/>
      <c r="N12" s="34" t="inlineStr">
        <is>
          <t>Two-foot jump for distance, stick the landing. Full reset between reps. Log your best distance</t>
        </is>
      </c>
    </row>
    <row r="13">
      <c r="A13" s="26" t="inlineStr">
        <is>
          <t>Day 2 - Light</t>
        </is>
      </c>
      <c r="B13" s="27">
        <f>'Start Here'!$B$7+303</f>
        <v/>
      </c>
      <c r="C13" s="31" t="inlineStr">
        <is>
          <t>Clean &amp; Jerk</t>
        </is>
      </c>
      <c r="D13" s="29" t="n">
        <v>2</v>
      </c>
      <c r="E13" s="29" t="inlineStr">
        <is>
          <t>2</t>
        </is>
      </c>
      <c r="F13" s="29" t="n">
        <v>65</v>
      </c>
      <c r="G13" s="30">
        <f>Maxes!H7</f>
        <v/>
      </c>
      <c r="H13" s="31">
        <f>IF(OR(G13="",F13=""),"",MROUND(G13*F13/100,'Start Here'!$B$6))</f>
        <v/>
      </c>
      <c r="I13" s="32" t="n"/>
      <c r="J13" s="32" t="n"/>
      <c r="K13" s="29">
        <f>IF(OR(I13="",J13=""),"",IF(J13=1,I13,ROUND(I13*(1+J13/30),1)))</f>
        <v/>
      </c>
      <c r="L13" s="33">
        <f>IF(K13="","",IF(K13&gt;=PRs!C7,"PR!",""))</f>
        <v/>
      </c>
      <c r="M13" s="32" t="n"/>
      <c r="N13" s="34" t="inlineStr">
        <is>
          <t>Easy week - move fast, recover</t>
        </is>
      </c>
    </row>
    <row r="14">
      <c r="A14" s="26" t="inlineStr">
        <is>
          <t>Day 2 - Light</t>
        </is>
      </c>
      <c r="B14" s="27">
        <f>'Start Here'!$B$7+303</f>
        <v/>
      </c>
      <c r="C14" s="31" t="inlineStr">
        <is>
          <t>Squat</t>
        </is>
      </c>
      <c r="D14" s="29" t="n">
        <v>2</v>
      </c>
      <c r="E14" s="29" t="inlineStr">
        <is>
          <t>5</t>
        </is>
      </c>
      <c r="F14" s="29" t="n">
        <v>65</v>
      </c>
      <c r="G14" s="30">
        <f>Maxes!H2</f>
        <v/>
      </c>
      <c r="H14" s="31">
        <f>IF(OR(G14="",F14=""),"",MROUND(G14*F14/100,'Start Here'!$B$6))</f>
        <v/>
      </c>
      <c r="I14" s="32" t="n"/>
      <c r="J14" s="32" t="n"/>
      <c r="K14" s="29">
        <f>IF(OR(I14="",J14=""),"",IF(J14=1,I14,ROUND(I14*(1+J14/30),1)))</f>
        <v/>
      </c>
      <c r="L14" s="33">
        <f>IF(K14="","",IF(K14&gt;=PRs!C2,"PR!",""))</f>
        <v/>
      </c>
      <c r="M14" s="32" t="n"/>
      <c r="N14" s="34" t="inlineStr">
        <is>
          <t>Easy week - move fast, recover</t>
        </is>
      </c>
    </row>
    <row r="15">
      <c r="A15" s="26" t="inlineStr">
        <is>
          <t>Day 2 - Light</t>
        </is>
      </c>
      <c r="B15" s="27">
        <f>'Start Here'!$B$7+303</f>
        <v/>
      </c>
      <c r="C15" s="31" t="inlineStr">
        <is>
          <t>Overhead Press</t>
        </is>
      </c>
      <c r="D15" s="29" t="n">
        <v>2</v>
      </c>
      <c r="E15" s="29" t="inlineStr">
        <is>
          <t>5</t>
        </is>
      </c>
      <c r="F15" s="29" t="n">
        <v>65</v>
      </c>
      <c r="G15" s="30">
        <f>Maxes!H5</f>
        <v/>
      </c>
      <c r="H15" s="31">
        <f>IF(OR(G15="",F15=""),"",MROUND(G15*F15/100,'Start Here'!$B$6))</f>
        <v/>
      </c>
      <c r="I15" s="32" t="n"/>
      <c r="J15" s="32" t="n"/>
      <c r="K15" s="29">
        <f>IF(OR(I15="",J15=""),"",IF(J15=1,I15,ROUND(I15*(1+J15/30),1)))</f>
        <v/>
      </c>
      <c r="L15" s="33">
        <f>IF(K15="","",IF(K15&gt;=PRs!C5,"PR!",""))</f>
        <v/>
      </c>
      <c r="M15" s="32" t="n"/>
      <c r="N15" s="34" t="inlineStr">
        <is>
          <t>Easy week - move fast, recover</t>
        </is>
      </c>
    </row>
    <row r="16">
      <c r="A16" s="26" t="inlineStr">
        <is>
          <t>Day 2 - Light</t>
        </is>
      </c>
      <c r="B16" s="27">
        <f>'Start Here'!$B$7+303</f>
        <v/>
      </c>
      <c r="C16" s="31" t="inlineStr">
        <is>
          <t>Deadlift</t>
        </is>
      </c>
      <c r="D16" s="29" t="n">
        <v>2</v>
      </c>
      <c r="E16" s="29" t="inlineStr">
        <is>
          <t>5</t>
        </is>
      </c>
      <c r="F16" s="29" t="n">
        <v>65</v>
      </c>
      <c r="G16" s="30">
        <f>Maxes!H4</f>
        <v/>
      </c>
      <c r="H16" s="31">
        <f>IF(OR(G16="",F16=""),"",MROUND(G16*F16/100,'Start Here'!$B$6))</f>
        <v/>
      </c>
      <c r="I16" s="32" t="n"/>
      <c r="J16" s="32" t="n"/>
      <c r="K16" s="29">
        <f>IF(OR(I16="",J16=""),"",IF(J16=1,I16,ROUND(I16*(1+J16/30),1)))</f>
        <v/>
      </c>
      <c r="L16" s="33">
        <f>IF(K16="","",IF(K16&gt;=PRs!C4,"PR!",""))</f>
        <v/>
      </c>
      <c r="M16" s="32" t="n"/>
      <c r="N16" s="34" t="inlineStr">
        <is>
          <t>Easy week - move fast, recover</t>
        </is>
      </c>
    </row>
    <row r="17">
      <c r="A17" s="26" t="inlineStr">
        <is>
          <t>Day 2 - Light</t>
        </is>
      </c>
      <c r="B17" s="27">
        <f>'Start Here'!$B$7+303</f>
        <v/>
      </c>
      <c r="C17" s="29" t="inlineStr">
        <is>
          <t>Chin-up</t>
        </is>
      </c>
      <c r="D17" s="29" t="n">
        <v>2</v>
      </c>
      <c r="E17" s="29" t="inlineStr">
        <is>
          <t>6-10</t>
        </is>
      </c>
      <c r="F17" s="29" t="n"/>
      <c r="G17" s="30" t="n"/>
      <c r="H17" s="31" t="n"/>
      <c r="I17" s="32" t="n"/>
      <c r="J17" s="32" t="n"/>
      <c r="K17" s="29">
        <f>IF(OR(I17="",J17=""),"",IF(J17=1,I17,ROUND(I17*(1+J17/30),1)))</f>
        <v/>
      </c>
      <c r="L17" s="33">
        <f>IF(K17="","",IF(K17&gt;=PRs!C53,"PR!",""))</f>
        <v/>
      </c>
      <c r="M17" s="32" t="n"/>
      <c r="N17" s="34" t="inlineStr">
        <is>
          <t>Easy - stop well short of failure</t>
        </is>
      </c>
    </row>
    <row r="18">
      <c r="A18" s="26" t="inlineStr">
        <is>
          <t>Day 2 - Light</t>
        </is>
      </c>
      <c r="B18" s="27">
        <f>'Start Here'!$B$7+303</f>
        <v/>
      </c>
      <c r="C18" s="29" t="inlineStr">
        <is>
          <t>Plank</t>
        </is>
      </c>
      <c r="D18" s="29" t="n">
        <v>2</v>
      </c>
      <c r="E18" s="29" t="inlineStr">
        <is>
          <t>30-60s</t>
        </is>
      </c>
      <c r="F18" s="29" t="n"/>
      <c r="G18" s="30" t="n"/>
      <c r="H18" s="31" t="n"/>
      <c r="I18" s="32" t="n"/>
      <c r="J18" s="32" t="n"/>
      <c r="K18" s="29">
        <f>IF(OR(I18="",J18=""),"",IF(J18=1,I18,ROUND(I18*(1+J18/30),1)))</f>
        <v/>
      </c>
      <c r="L18" s="33">
        <f>IF(K18="","",IF(K18&gt;=PRs!C56,"PR!",""))</f>
        <v/>
      </c>
      <c r="M18" s="32" t="n"/>
      <c r="N18" s="34" t="inlineStr">
        <is>
          <t>Easy - stop well short of failure</t>
        </is>
      </c>
    </row>
    <row r="19">
      <c r="A19" s="26" t="inlineStr">
        <is>
          <t>Day 3 - Variations</t>
        </is>
      </c>
      <c r="B19" s="27">
        <f>'Start Here'!$B$7+305</f>
        <v/>
      </c>
      <c r="C19" s="28" t="inlineStr">
        <is>
          <t>Box Jump</t>
        </is>
      </c>
      <c r="D19" s="29" t="n">
        <v>2</v>
      </c>
      <c r="E19" s="29" t="inlineStr">
        <is>
          <t>3</t>
        </is>
      </c>
      <c r="F19" s="29" t="n"/>
      <c r="G19" s="30" t="n"/>
      <c r="H19" s="31">
        <f>IFERROR(IF(PRs!D69&lt;'Start Here'!$H$15,'Start Here'!$H$15,IF(PRs!D69&lt;'Start Here'!$H$16,'Start Here'!$H$16,IF(PRs!D69&lt;'Start Here'!$H$17,'Start Here'!$H$17,IF(PRs!D69&lt;'Start Here'!$H$18,'Start Here'!$H$18,"Elite!")))),"")</f>
        <v/>
      </c>
      <c r="I19" s="32" t="n"/>
      <c r="J19" s="32" t="n"/>
      <c r="K19" s="29" t="n"/>
      <c r="L19" s="33">
        <f>IF(I19="","",IF(I19&gt;=PRs!D69,"PR!",""))</f>
        <v/>
      </c>
      <c r="M19" s="32" t="n"/>
      <c r="N19" s="34" t="inlineStr">
        <is>
          <t>Explode up, land softly, STEP down. Full reset between reps. Log your box height; check the standards</t>
        </is>
      </c>
    </row>
    <row r="20">
      <c r="A20" s="26" t="inlineStr">
        <is>
          <t>Day 3 - Variations</t>
        </is>
      </c>
      <c r="B20" s="27">
        <f>'Start Here'!$B$7+305</f>
        <v/>
      </c>
      <c r="C20" s="31" t="inlineStr">
        <is>
          <t>Hang Snatch</t>
        </is>
      </c>
      <c r="D20" s="29" t="n">
        <v>2</v>
      </c>
      <c r="E20" s="29" t="inlineStr">
        <is>
          <t>2</t>
        </is>
      </c>
      <c r="F20" s="29" t="n">
        <v>65</v>
      </c>
      <c r="G20" s="30">
        <f>Maxes!H35</f>
        <v/>
      </c>
      <c r="H20" s="31">
        <f>IF(OR(G20="",F20=""),"",MROUND(G20*F20/100,'Start Here'!$B$6))</f>
        <v/>
      </c>
      <c r="I20" s="32" t="n"/>
      <c r="J20" s="32" t="n"/>
      <c r="K20" s="29">
        <f>IF(OR(I20="",J20=""),"",IF(J20=1,I20,ROUND(I20*(1+J20/30),1)))</f>
        <v/>
      </c>
      <c r="L20" s="33">
        <f>IF(K20="","",IF(K20&gt;=PRs!C35,"PR!",""))</f>
        <v/>
      </c>
      <c r="M20" s="32" t="n"/>
      <c r="N20" s="34" t="inlineStr">
        <is>
          <t>Easy week - move fast, recover</t>
        </is>
      </c>
    </row>
    <row r="21">
      <c r="A21" s="26" t="inlineStr">
        <is>
          <t>Day 3 - Variations</t>
        </is>
      </c>
      <c r="B21" s="27">
        <f>'Start Here'!$B$7+305</f>
        <v/>
      </c>
      <c r="C21" s="31" t="inlineStr">
        <is>
          <t>Box Squat</t>
        </is>
      </c>
      <c r="D21" s="29" t="n">
        <v>2</v>
      </c>
      <c r="E21" s="29" t="inlineStr">
        <is>
          <t>5</t>
        </is>
      </c>
      <c r="F21" s="29" t="n">
        <v>65</v>
      </c>
      <c r="G21" s="30">
        <f>Maxes!H8</f>
        <v/>
      </c>
      <c r="H21" s="31">
        <f>IF(OR(G21="",F21=""),"",MROUND(G21*F21/100,'Start Here'!$B$6))</f>
        <v/>
      </c>
      <c r="I21" s="32" t="n"/>
      <c r="J21" s="32" t="n"/>
      <c r="K21" s="29">
        <f>IF(OR(I21="",J21=""),"",IF(J21=1,I21,ROUND(I21*(1+J21/30),1)))</f>
        <v/>
      </c>
      <c r="L21" s="33">
        <f>IF(K21="","",IF(K21&gt;=PRs!C8,"PR!",""))</f>
        <v/>
      </c>
      <c r="M21" s="32" t="n"/>
      <c r="N21" s="34" t="inlineStr">
        <is>
          <t>Easy week - move fast, recover</t>
        </is>
      </c>
    </row>
    <row r="22">
      <c r="A22" s="26" t="inlineStr">
        <is>
          <t>Day 3 - Variations</t>
        </is>
      </c>
      <c r="B22" s="27">
        <f>'Start Here'!$B$7+305</f>
        <v/>
      </c>
      <c r="C22" s="31" t="inlineStr">
        <is>
          <t>1-Board Press</t>
        </is>
      </c>
      <c r="D22" s="29" t="n">
        <v>2</v>
      </c>
      <c r="E22" s="29" t="inlineStr">
        <is>
          <t>5</t>
        </is>
      </c>
      <c r="F22" s="29" t="n">
        <v>65</v>
      </c>
      <c r="G22" s="30">
        <f>Maxes!H15</f>
        <v/>
      </c>
      <c r="H22" s="31">
        <f>IF(OR(G22="",F22=""),"",MROUND(G22*F22/100,'Start Here'!$B$6))</f>
        <v/>
      </c>
      <c r="I22" s="32" t="n"/>
      <c r="J22" s="32" t="n"/>
      <c r="K22" s="29">
        <f>IF(OR(I22="",J22=""),"",IF(J22=1,I22,ROUND(I22*(1+J22/30),1)))</f>
        <v/>
      </c>
      <c r="L22" s="33">
        <f>IF(K22="","",IF(K22&gt;=PRs!C15,"PR!",""))</f>
        <v/>
      </c>
      <c r="M22" s="32" t="n"/>
      <c r="N22" s="34" t="inlineStr">
        <is>
          <t>Easy week - move fast, recover</t>
        </is>
      </c>
    </row>
    <row r="23">
      <c r="A23" s="26" t="inlineStr">
        <is>
          <t>Day 3 - Variations</t>
        </is>
      </c>
      <c r="B23" s="27">
        <f>'Start Here'!$B$7+305</f>
        <v/>
      </c>
      <c r="C23" s="31" t="inlineStr">
        <is>
          <t>Paused Deadlift</t>
        </is>
      </c>
      <c r="D23" s="29" t="n">
        <v>2</v>
      </c>
      <c r="E23" s="29" t="inlineStr">
        <is>
          <t>5</t>
        </is>
      </c>
      <c r="F23" s="29" t="n">
        <v>65</v>
      </c>
      <c r="G23" s="30">
        <f>Maxes!H25</f>
        <v/>
      </c>
      <c r="H23" s="31">
        <f>IF(OR(G23="",F23=""),"",MROUND(G23*F23/100,'Start Here'!$B$6))</f>
        <v/>
      </c>
      <c r="I23" s="32" t="n"/>
      <c r="J23" s="32" t="n"/>
      <c r="K23" s="29">
        <f>IF(OR(I23="",J23=""),"",IF(J23=1,I23,ROUND(I23*(1+J23/30),1)))</f>
        <v/>
      </c>
      <c r="L23" s="33">
        <f>IF(K23="","",IF(K23&gt;=PRs!C25,"PR!",""))</f>
        <v/>
      </c>
      <c r="M23" s="32" t="n"/>
      <c r="N23" s="34" t="inlineStr">
        <is>
          <t>Easy week - move fast, recover</t>
        </is>
      </c>
    </row>
    <row r="24">
      <c r="A24" s="26" t="inlineStr">
        <is>
          <t>Day 3 - Variations</t>
        </is>
      </c>
      <c r="B24" s="27">
        <f>'Start Here'!$B$7+305</f>
        <v/>
      </c>
      <c r="C24" s="29" t="inlineStr">
        <is>
          <t>Incline Dumbbell Press</t>
        </is>
      </c>
      <c r="D24" s="29" t="n">
        <v>2</v>
      </c>
      <c r="E24" s="29" t="inlineStr">
        <is>
          <t>8-12</t>
        </is>
      </c>
      <c r="F24" s="29" t="n"/>
      <c r="G24" s="30" t="n"/>
      <c r="H24" s="31" t="n"/>
      <c r="I24" s="32" t="n"/>
      <c r="J24" s="32" t="n"/>
      <c r="K24" s="29">
        <f>IF(OR(I24="",J24=""),"",IF(J24=1,I24,ROUND(I24*(1+J24/30),1)))</f>
        <v/>
      </c>
      <c r="L24" s="33">
        <f>IF(K24="","",IF(K24&gt;=PRs!C57,"PR!",""))</f>
        <v/>
      </c>
      <c r="M24" s="32" t="n"/>
      <c r="N24" s="34" t="inlineStr">
        <is>
          <t>Easy - stop well short of failure</t>
        </is>
      </c>
    </row>
    <row r="25">
      <c r="A25" s="26" t="inlineStr">
        <is>
          <t>Day 3 - Variations</t>
        </is>
      </c>
      <c r="B25" s="27">
        <f>'Start Here'!$B$7+305</f>
        <v/>
      </c>
      <c r="C25" s="29" t="inlineStr">
        <is>
          <t>Triceps Pushdown</t>
        </is>
      </c>
      <c r="D25" s="29" t="n">
        <v>2</v>
      </c>
      <c r="E25" s="29" t="inlineStr">
        <is>
          <t>10-15</t>
        </is>
      </c>
      <c r="F25" s="29" t="n"/>
      <c r="G25" s="30" t="n"/>
      <c r="H25" s="31" t="n"/>
      <c r="I25" s="32" t="n"/>
      <c r="J25" s="32" t="n"/>
      <c r="K25" s="29">
        <f>IF(OR(I25="",J25=""),"",IF(J25=1,I25,ROUND(I25*(1+J25/30),1)))</f>
        <v/>
      </c>
      <c r="L25" s="33">
        <f>IF(K25="","",IF(K25&gt;=PRs!C59,"PR!",""))</f>
        <v/>
      </c>
      <c r="M25" s="32" t="n"/>
      <c r="N25" s="34" t="inlineStr">
        <is>
          <t>Easy - stop well short of failure</t>
        </is>
      </c>
    </row>
  </sheetData>
  <hyperlinks>
    <hyperlink xmlns:r="http://schemas.openxmlformats.org/officeDocument/2006/relationships" ref="A2" r:id="rId1"/>
    <hyperlink xmlns:r="http://schemas.openxmlformats.org/officeDocument/2006/relationships" ref="C2" r:id="rId2"/>
    <hyperlink xmlns:r="http://schemas.openxmlformats.org/officeDocument/2006/relationships" ref="E2" r:id="rId3"/>
    <hyperlink xmlns:r="http://schemas.openxmlformats.org/officeDocument/2006/relationships" ref="A4" r:id="rId4"/>
  </hyperlinks>
  <pageMargins left="0.75" right="0.75" top="1" bottom="1" header="0.5" footer="0.5"/>
  <pageSetup orientation="landscape" fitToHeight="0" fitToWidth="1"/>
</worksheet>
</file>

<file path=xl/worksheets/sheet47.xml><?xml version="1.0" encoding="utf-8"?>
<worksheet xmlns="http://schemas.openxmlformats.org/spreadsheetml/2006/main">
  <sheetPr>
    <tabColor rgb="00F8D7D7"/>
    <outlinePr summaryBelow="1" summaryRight="1"/>
    <pageSetUpPr fitToPage="1"/>
  </sheetPr>
  <dimension ref="A1:N25"/>
  <sheetViews>
    <sheetView workbookViewId="0">
      <pane xSplit="3" ySplit="5" topLeftCell="D6" activePane="bottomRight" state="frozen"/>
      <selection pane="topRight"/>
      <selection pane="bottomLeft"/>
      <selection pane="bottomRight" activeCell="A1" sqref="A1"/>
    </sheetView>
  </sheetViews>
  <sheetFormatPr baseColWidth="8" defaultRowHeight="15"/>
  <cols>
    <col width="17" customWidth="1" min="1" max="1"/>
    <col width="11" customWidth="1" min="2" max="2"/>
    <col width="24" customWidth="1" min="3" max="3"/>
    <col width="5" customWidth="1" min="4" max="4"/>
    <col width="6" customWidth="1" min="5" max="5"/>
    <col width="6" customWidth="1" min="6" max="6"/>
    <col width="9" customWidth="1" min="7" max="7"/>
    <col width="10" customWidth="1" min="8" max="8"/>
    <col width="13" customWidth="1" min="9" max="9"/>
    <col width="8" customWidth="1" min="10" max="10"/>
    <col width="9" customWidth="1" min="11" max="11"/>
    <col width="5" customWidth="1" min="12" max="12"/>
    <col width="22" customWidth="1" min="13" max="13"/>
    <col width="62" customWidth="1" min="14" max="14"/>
  </cols>
  <sheetData>
    <row r="1">
      <c r="A1" s="24" t="inlineStr">
        <is>
          <t>Week 45 - Cycle 4 - Realization</t>
        </is>
      </c>
    </row>
    <row r="2">
      <c r="A2" s="25" t="inlineStr">
        <is>
          <t>&lt; Week 44</t>
        </is>
      </c>
      <c r="C2" s="25" t="inlineStr">
        <is>
          <t>Start Here</t>
        </is>
      </c>
      <c r="E2" s="25" t="inlineStr">
        <is>
          <t>Week 46 &gt;</t>
        </is>
      </c>
    </row>
    <row r="3">
      <c r="A3" s="10" t="inlineStr">
        <is>
          <t>Bodyweight this week</t>
        </is>
      </c>
      <c r="C3" s="4" t="n"/>
      <c r="D3" t="inlineStr">
        <is>
          <t>Weigh in once this week: same morning routine, before eating.</t>
        </is>
      </c>
    </row>
    <row r="5">
      <c r="A5" s="5" t="inlineStr">
        <is>
          <t>Day</t>
        </is>
      </c>
      <c r="B5" s="5" t="inlineStr">
        <is>
          <t>Date</t>
        </is>
      </c>
      <c r="C5" s="5" t="inlineStr">
        <is>
          <t>Exercise</t>
        </is>
      </c>
      <c r="D5" s="5" t="inlineStr">
        <is>
          <t>Sets</t>
        </is>
      </c>
      <c r="E5" s="5" t="inlineStr">
        <is>
          <t>Reps</t>
        </is>
      </c>
      <c r="F5" s="5" t="inlineStr">
        <is>
          <t>% TM</t>
        </is>
      </c>
      <c r="G5" s="5" t="inlineStr">
        <is>
          <t>Training max</t>
        </is>
      </c>
      <c r="H5" s="5" t="inlineStr">
        <is>
          <t>Weight / target</t>
        </is>
      </c>
      <c r="I5" s="5" t="inlineStr">
        <is>
          <t>Actual (weight, height or distance)</t>
        </is>
      </c>
      <c r="J5" s="5" t="inlineStr">
        <is>
          <t>Actual reps</t>
        </is>
      </c>
      <c r="K5" s="5" t="inlineStr">
        <is>
          <t>Est. 1RM</t>
        </is>
      </c>
      <c r="L5" s="5" t="inlineStr">
        <is>
          <t>PR</t>
        </is>
      </c>
      <c r="M5" s="5" t="inlineStr">
        <is>
          <t>Notes</t>
        </is>
      </c>
      <c r="N5" s="5" t="inlineStr">
        <is>
          <t>Guidance</t>
        </is>
      </c>
    </row>
    <row r="6">
      <c r="A6" s="26" t="inlineStr">
        <is>
          <t>Day 1 - Heavy</t>
        </is>
      </c>
      <c r="B6" s="27">
        <f>'Start Here'!$B$7+308</f>
        <v/>
      </c>
      <c r="C6" s="28" t="inlineStr">
        <is>
          <t>Box Jump</t>
        </is>
      </c>
      <c r="D6" s="29" t="n">
        <v>3</v>
      </c>
      <c r="E6" s="29" t="inlineStr">
        <is>
          <t>2</t>
        </is>
      </c>
      <c r="F6" s="29" t="n"/>
      <c r="G6" s="30" t="n"/>
      <c r="H6" s="31">
        <f>IFERROR(IF(PRs!D69&lt;'Start Here'!$H$15,'Start Here'!$H$15,IF(PRs!D69&lt;'Start Here'!$H$16,'Start Here'!$H$16,IF(PRs!D69&lt;'Start Here'!$H$17,'Start Here'!$H$17,IF(PRs!D69&lt;'Start Here'!$H$18,'Start Here'!$H$18,"Elite!")))),"")</f>
        <v/>
      </c>
      <c r="I6" s="32" t="n"/>
      <c r="J6" s="32" t="n"/>
      <c r="K6" s="29" t="n"/>
      <c r="L6" s="33">
        <f>IF(I6="","",IF(I6&gt;=PRs!D69,"PR!",""))</f>
        <v/>
      </c>
      <c r="M6" s="32" t="n"/>
      <c r="N6" s="34" t="inlineStr">
        <is>
          <t>Explode up, land softly, STEP down. Full reset between reps. Log your box height; check the standards</t>
        </is>
      </c>
    </row>
    <row r="7">
      <c r="A7" s="26" t="inlineStr">
        <is>
          <t>Day 1 - Heavy</t>
        </is>
      </c>
      <c r="B7" s="27">
        <f>'Start Here'!$B$7+308</f>
        <v/>
      </c>
      <c r="C7" s="31" t="inlineStr">
        <is>
          <t>Snatch</t>
        </is>
      </c>
      <c r="D7" s="29" t="n">
        <v>5</v>
      </c>
      <c r="E7" s="29" t="inlineStr">
        <is>
          <t>2</t>
        </is>
      </c>
      <c r="F7" s="29" t="n">
        <v>85</v>
      </c>
      <c r="G7" s="30">
        <f>Maxes!H6</f>
        <v/>
      </c>
      <c r="H7" s="31">
        <f>IF(OR(G7="",F7=""),"",MROUND(G7*F7/100,'Start Here'!$B$6))</f>
        <v/>
      </c>
      <c r="I7" s="32" t="n"/>
      <c r="J7" s="32" t="n"/>
      <c r="K7" s="29">
        <f>IF(OR(I7="",J7=""),"",IF(J7=1,I7,ROUND(I7*(1+J7/30),1)))</f>
        <v/>
      </c>
      <c r="L7" s="33">
        <f>IF(K7="","",IF(K7&gt;=PRs!C6,"PR!",""))</f>
        <v/>
      </c>
      <c r="M7" s="32" t="n"/>
      <c r="N7" s="34" t="inlineStr"/>
    </row>
    <row r="8">
      <c r="A8" s="26" t="inlineStr">
        <is>
          <t>Day 1 - Heavy</t>
        </is>
      </c>
      <c r="B8" s="27">
        <f>'Start Here'!$B$7+308</f>
        <v/>
      </c>
      <c r="C8" s="31" t="inlineStr">
        <is>
          <t>Squat</t>
        </is>
      </c>
      <c r="D8" s="29" t="n">
        <v>5</v>
      </c>
      <c r="E8" s="29" t="inlineStr">
        <is>
          <t>3</t>
        </is>
      </c>
      <c r="F8" s="29" t="n">
        <v>85</v>
      </c>
      <c r="G8" s="30">
        <f>Maxes!H2</f>
        <v/>
      </c>
      <c r="H8" s="31">
        <f>IF(OR(G8="",F8=""),"",MROUND(G8*F8/100,'Start Here'!$B$6))</f>
        <v/>
      </c>
      <c r="I8" s="32" t="n"/>
      <c r="J8" s="32" t="n"/>
      <c r="K8" s="29">
        <f>IF(OR(I8="",J8=""),"",IF(J8=1,I8,ROUND(I8*(1+J8/30),1)))</f>
        <v/>
      </c>
      <c r="L8" s="33">
        <f>IF(K8="","",IF(K8&gt;=PRs!C2,"PR!",""))</f>
        <v/>
      </c>
      <c r="M8" s="32" t="n"/>
      <c r="N8" s="34" t="inlineStr"/>
    </row>
    <row r="9">
      <c r="A9" s="26" t="inlineStr">
        <is>
          <t>Day 1 - Heavy</t>
        </is>
      </c>
      <c r="B9" s="27">
        <f>'Start Here'!$B$7+308</f>
        <v/>
      </c>
      <c r="C9" s="31" t="inlineStr">
        <is>
          <t>Bench Press</t>
        </is>
      </c>
      <c r="D9" s="29" t="n">
        <v>5</v>
      </c>
      <c r="E9" s="29" t="inlineStr">
        <is>
          <t>3</t>
        </is>
      </c>
      <c r="F9" s="29" t="n">
        <v>85</v>
      </c>
      <c r="G9" s="30">
        <f>Maxes!H3</f>
        <v/>
      </c>
      <c r="H9" s="31">
        <f>IF(OR(G9="",F9=""),"",MROUND(G9*F9/100,'Start Here'!$B$6))</f>
        <v/>
      </c>
      <c r="I9" s="32" t="n"/>
      <c r="J9" s="32" t="n"/>
      <c r="K9" s="29">
        <f>IF(OR(I9="",J9=""),"",IF(J9=1,I9,ROUND(I9*(1+J9/30),1)))</f>
        <v/>
      </c>
      <c r="L9" s="33">
        <f>IF(K9="","",IF(K9&gt;=PRs!C3,"PR!",""))</f>
        <v/>
      </c>
      <c r="M9" s="32" t="n"/>
      <c r="N9" s="34" t="inlineStr"/>
    </row>
    <row r="10">
      <c r="A10" s="26" t="inlineStr">
        <is>
          <t>Day 1 - Heavy</t>
        </is>
      </c>
      <c r="B10" s="27">
        <f>'Start Here'!$B$7+308</f>
        <v/>
      </c>
      <c r="C10" s="29" t="inlineStr">
        <is>
          <t>Barbell Row</t>
        </is>
      </c>
      <c r="D10" s="29" t="n">
        <v>3</v>
      </c>
      <c r="E10" s="29" t="inlineStr">
        <is>
          <t>8-10</t>
        </is>
      </c>
      <c r="F10" s="29" t="n"/>
      <c r="G10" s="30" t="n"/>
      <c r="H10" s="31" t="n"/>
      <c r="I10" s="32" t="n"/>
      <c r="J10" s="32" t="n"/>
      <c r="K10" s="29">
        <f>IF(OR(I10="",J10=""),"",IF(J10=1,I10,ROUND(I10*(1+J10/30),1)))</f>
        <v/>
      </c>
      <c r="L10" s="33">
        <f>IF(K10="","",IF(K10&gt;=PRs!C50,"PR!",""))</f>
        <v/>
      </c>
      <c r="M10" s="32" t="n"/>
      <c r="N10" s="34" t="inlineStr">
        <is>
          <t>Leave 1-2 reps in the tank; add weight when you hit the top of the range</t>
        </is>
      </c>
    </row>
    <row r="11">
      <c r="A11" s="26" t="inlineStr">
        <is>
          <t>Day 1 - Heavy</t>
        </is>
      </c>
      <c r="B11" s="27">
        <f>'Start Here'!$B$7+308</f>
        <v/>
      </c>
      <c r="C11" s="29" t="inlineStr">
        <is>
          <t>Face Pull</t>
        </is>
      </c>
      <c r="D11" s="29" t="n">
        <v>3</v>
      </c>
      <c r="E11" s="29" t="inlineStr">
        <is>
          <t>12-15</t>
        </is>
      </c>
      <c r="F11" s="29" t="n"/>
      <c r="G11" s="30" t="n"/>
      <c r="H11" s="31" t="n"/>
      <c r="I11" s="32" t="n"/>
      <c r="J11" s="32" t="n"/>
      <c r="K11" s="29">
        <f>IF(OR(I11="",J11=""),"",IF(J11=1,I11,ROUND(I11*(1+J11/30),1)))</f>
        <v/>
      </c>
      <c r="L11" s="33">
        <f>IF(K11="","",IF(K11&gt;=PRs!C51,"PR!",""))</f>
        <v/>
      </c>
      <c r="M11" s="32" t="n"/>
      <c r="N11" s="34" t="inlineStr">
        <is>
          <t>Leave 1-2 reps in the tank; add weight when you hit the top of the range</t>
        </is>
      </c>
    </row>
    <row r="12">
      <c r="A12" s="26" t="inlineStr">
        <is>
          <t>Day 2 - Light</t>
        </is>
      </c>
      <c r="B12" s="27">
        <f>'Start Here'!$B$7+310</f>
        <v/>
      </c>
      <c r="C12" s="28" t="inlineStr">
        <is>
          <t>Broad Jump</t>
        </is>
      </c>
      <c r="D12" s="29" t="n">
        <v>3</v>
      </c>
      <c r="E12" s="29" t="inlineStr">
        <is>
          <t>2</t>
        </is>
      </c>
      <c r="F12" s="29" t="n"/>
      <c r="G12" s="30" t="n"/>
      <c r="H12" s="31" t="n"/>
      <c r="I12" s="32" t="n"/>
      <c r="J12" s="32" t="n"/>
      <c r="K12" s="29" t="n"/>
      <c r="L12" s="33">
        <f>IF(I12="","",IF(I12&gt;=PRs!D70,"PR!",""))</f>
        <v/>
      </c>
      <c r="M12" s="32" t="n"/>
      <c r="N12" s="34" t="inlineStr">
        <is>
          <t>Two-foot jump for distance, stick the landing. Full reset between reps. Log your best distance</t>
        </is>
      </c>
    </row>
    <row r="13">
      <c r="A13" s="26" t="inlineStr">
        <is>
          <t>Day 2 - Light</t>
        </is>
      </c>
      <c r="B13" s="27">
        <f>'Start Here'!$B$7+310</f>
        <v/>
      </c>
      <c r="C13" s="31" t="inlineStr">
        <is>
          <t>Clean &amp; Jerk</t>
        </is>
      </c>
      <c r="D13" s="29" t="n">
        <v>5</v>
      </c>
      <c r="E13" s="29" t="inlineStr">
        <is>
          <t>2</t>
        </is>
      </c>
      <c r="F13" s="29" t="n">
        <v>85</v>
      </c>
      <c r="G13" s="30">
        <f>Maxes!H7</f>
        <v/>
      </c>
      <c r="H13" s="31">
        <f>IF(OR(G13="",F13=""),"",MROUND(G13*F13/100,'Start Here'!$B$6))</f>
        <v/>
      </c>
      <c r="I13" s="32" t="n"/>
      <c r="J13" s="32" t="n"/>
      <c r="K13" s="29">
        <f>IF(OR(I13="",J13=""),"",IF(J13=1,I13,ROUND(I13*(1+J13/30),1)))</f>
        <v/>
      </c>
      <c r="L13" s="33">
        <f>IF(K13="","",IF(K13&gt;=PRs!C7,"PR!",""))</f>
        <v/>
      </c>
      <c r="M13" s="32" t="n"/>
      <c r="N13" s="34" t="inlineStr"/>
    </row>
    <row r="14">
      <c r="A14" s="26" t="inlineStr">
        <is>
          <t>Day 2 - Light</t>
        </is>
      </c>
      <c r="B14" s="27">
        <f>'Start Here'!$B$7+310</f>
        <v/>
      </c>
      <c r="C14" s="31" t="inlineStr">
        <is>
          <t>Squat</t>
        </is>
      </c>
      <c r="D14" s="29" t="n">
        <v>4</v>
      </c>
      <c r="E14" s="29" t="inlineStr">
        <is>
          <t>5</t>
        </is>
      </c>
      <c r="F14" s="29" t="n">
        <v>67.5</v>
      </c>
      <c r="G14" s="30">
        <f>Maxes!H2</f>
        <v/>
      </c>
      <c r="H14" s="31">
        <f>IF(OR(G14="",F14=""),"",MROUND(G14*F14/100,'Start Here'!$B$6))</f>
        <v/>
      </c>
      <c r="I14" s="32" t="n"/>
      <c r="J14" s="32" t="n"/>
      <c r="K14" s="29">
        <f>IF(OR(I14="",J14=""),"",IF(J14=1,I14,ROUND(I14*(1+J14/30),1)))</f>
        <v/>
      </c>
      <c r="L14" s="33">
        <f>IF(K14="","",IF(K14&gt;=PRs!C2,"PR!",""))</f>
        <v/>
      </c>
      <c r="M14" s="32" t="n"/>
      <c r="N14" s="34" t="inlineStr"/>
    </row>
    <row r="15">
      <c r="A15" s="26" t="inlineStr">
        <is>
          <t>Day 2 - Light</t>
        </is>
      </c>
      <c r="B15" s="27">
        <f>'Start Here'!$B$7+310</f>
        <v/>
      </c>
      <c r="C15" s="31" t="inlineStr">
        <is>
          <t>Overhead Press</t>
        </is>
      </c>
      <c r="D15" s="29" t="n">
        <v>4</v>
      </c>
      <c r="E15" s="29" t="inlineStr">
        <is>
          <t>5</t>
        </is>
      </c>
      <c r="F15" s="29" t="n">
        <v>77.5</v>
      </c>
      <c r="G15" s="30">
        <f>Maxes!H5</f>
        <v/>
      </c>
      <c r="H15" s="31">
        <f>IF(OR(G15="",F15=""),"",MROUND(G15*F15/100,'Start Here'!$B$6))</f>
        <v/>
      </c>
      <c r="I15" s="32" t="n"/>
      <c r="J15" s="32" t="n"/>
      <c r="K15" s="29">
        <f>IF(OR(I15="",J15=""),"",IF(J15=1,I15,ROUND(I15*(1+J15/30),1)))</f>
        <v/>
      </c>
      <c r="L15" s="33">
        <f>IF(K15="","",IF(K15&gt;=PRs!C5,"PR!",""))</f>
        <v/>
      </c>
      <c r="M15" s="32" t="n"/>
      <c r="N15" s="34" t="inlineStr"/>
    </row>
    <row r="16">
      <c r="A16" s="26" t="inlineStr">
        <is>
          <t>Day 2 - Light</t>
        </is>
      </c>
      <c r="B16" s="27">
        <f>'Start Here'!$B$7+310</f>
        <v/>
      </c>
      <c r="C16" s="31" t="inlineStr">
        <is>
          <t>Deadlift</t>
        </is>
      </c>
      <c r="D16" s="29" t="n">
        <v>3</v>
      </c>
      <c r="E16" s="29" t="inlineStr">
        <is>
          <t>5</t>
        </is>
      </c>
      <c r="F16" s="29" t="n">
        <v>77.5</v>
      </c>
      <c r="G16" s="30">
        <f>Maxes!H4</f>
        <v/>
      </c>
      <c r="H16" s="31">
        <f>IF(OR(G16="",F16=""),"",MROUND(G16*F16/100,'Start Here'!$B$6))</f>
        <v/>
      </c>
      <c r="I16" s="32" t="n"/>
      <c r="J16" s="32" t="n"/>
      <c r="K16" s="29">
        <f>IF(OR(I16="",J16=""),"",IF(J16=1,I16,ROUND(I16*(1+J16/30),1)))</f>
        <v/>
      </c>
      <c r="L16" s="33">
        <f>IF(K16="","",IF(K16&gt;=PRs!C4,"PR!",""))</f>
        <v/>
      </c>
      <c r="M16" s="32" t="n"/>
      <c r="N16" s="34" t="inlineStr"/>
    </row>
    <row r="17">
      <c r="A17" s="26" t="inlineStr">
        <is>
          <t>Day 2 - Light</t>
        </is>
      </c>
      <c r="B17" s="27">
        <f>'Start Here'!$B$7+310</f>
        <v/>
      </c>
      <c r="C17" s="29" t="inlineStr">
        <is>
          <t>Chin-up</t>
        </is>
      </c>
      <c r="D17" s="29" t="n">
        <v>3</v>
      </c>
      <c r="E17" s="29" t="inlineStr">
        <is>
          <t>6-10</t>
        </is>
      </c>
      <c r="F17" s="29" t="n"/>
      <c r="G17" s="30" t="n"/>
      <c r="H17" s="31" t="n"/>
      <c r="I17" s="32" t="n"/>
      <c r="J17" s="32" t="n"/>
      <c r="K17" s="29">
        <f>IF(OR(I17="",J17=""),"",IF(J17=1,I17,ROUND(I17*(1+J17/30),1)))</f>
        <v/>
      </c>
      <c r="L17" s="33">
        <f>IF(K17="","",IF(K17&gt;=PRs!C53,"PR!",""))</f>
        <v/>
      </c>
      <c r="M17" s="32" t="n"/>
      <c r="N17" s="34" t="inlineStr">
        <is>
          <t>Leave 1-2 reps in the tank; add weight when you hit the top of the range</t>
        </is>
      </c>
    </row>
    <row r="18">
      <c r="A18" s="26" t="inlineStr">
        <is>
          <t>Day 2 - Light</t>
        </is>
      </c>
      <c r="B18" s="27">
        <f>'Start Here'!$B$7+310</f>
        <v/>
      </c>
      <c r="C18" s="29" t="inlineStr">
        <is>
          <t>Plank</t>
        </is>
      </c>
      <c r="D18" s="29" t="n">
        <v>3</v>
      </c>
      <c r="E18" s="29" t="inlineStr">
        <is>
          <t>30-60s</t>
        </is>
      </c>
      <c r="F18" s="29" t="n"/>
      <c r="G18" s="30" t="n"/>
      <c r="H18" s="31" t="n"/>
      <c r="I18" s="32" t="n"/>
      <c r="J18" s="32" t="n"/>
      <c r="K18" s="29">
        <f>IF(OR(I18="",J18=""),"",IF(J18=1,I18,ROUND(I18*(1+J18/30),1)))</f>
        <v/>
      </c>
      <c r="L18" s="33">
        <f>IF(K18="","",IF(K18&gt;=PRs!C56,"PR!",""))</f>
        <v/>
      </c>
      <c r="M18" s="32" t="n"/>
      <c r="N18" s="34" t="inlineStr">
        <is>
          <t>Leave 1-2 reps in the tank; add weight when you hit the top of the range</t>
        </is>
      </c>
    </row>
    <row r="19">
      <c r="A19" s="26" t="inlineStr">
        <is>
          <t>Day 3 - Variations</t>
        </is>
      </c>
      <c r="B19" s="27">
        <f>'Start Here'!$B$7+312</f>
        <v/>
      </c>
      <c r="C19" s="28" t="inlineStr">
        <is>
          <t>Box Jump</t>
        </is>
      </c>
      <c r="D19" s="29" t="n">
        <v>3</v>
      </c>
      <c r="E19" s="29" t="inlineStr">
        <is>
          <t>2</t>
        </is>
      </c>
      <c r="F19" s="29" t="n"/>
      <c r="G19" s="30" t="n"/>
      <c r="H19" s="31">
        <f>IFERROR(IF(PRs!D69&lt;'Start Here'!$H$15,'Start Here'!$H$15,IF(PRs!D69&lt;'Start Here'!$H$16,'Start Here'!$H$16,IF(PRs!D69&lt;'Start Here'!$H$17,'Start Here'!$H$17,IF(PRs!D69&lt;'Start Here'!$H$18,'Start Here'!$H$18,"Elite!")))),"")</f>
        <v/>
      </c>
      <c r="I19" s="32" t="n"/>
      <c r="J19" s="32" t="n"/>
      <c r="K19" s="29" t="n"/>
      <c r="L19" s="33">
        <f>IF(I19="","",IF(I19&gt;=PRs!D69,"PR!",""))</f>
        <v/>
      </c>
      <c r="M19" s="32" t="n"/>
      <c r="N19" s="34" t="inlineStr">
        <is>
          <t>Explode up, land softly, STEP down. Full reset between reps. Log your box height; check the standards</t>
        </is>
      </c>
    </row>
    <row r="20">
      <c r="A20" s="26" t="inlineStr">
        <is>
          <t>Day 3 - Variations</t>
        </is>
      </c>
      <c r="B20" s="27">
        <f>'Start Here'!$B$7+312</f>
        <v/>
      </c>
      <c r="C20" s="31" t="inlineStr">
        <is>
          <t>Hang Clean</t>
        </is>
      </c>
      <c r="D20" s="29" t="n">
        <v>4</v>
      </c>
      <c r="E20" s="29" t="inlineStr">
        <is>
          <t>3</t>
        </is>
      </c>
      <c r="F20" s="29" t="n">
        <v>77.5</v>
      </c>
      <c r="G20" s="30">
        <f>Maxes!H43</f>
        <v/>
      </c>
      <c r="H20" s="31">
        <f>IF(OR(G20="",F20=""),"",MROUND(G20*F20/100,'Start Here'!$B$6))</f>
        <v/>
      </c>
      <c r="I20" s="32" t="n"/>
      <c r="J20" s="32" t="n"/>
      <c r="K20" s="29">
        <f>IF(OR(I20="",J20=""),"",IF(J20=1,I20,ROUND(I20*(1+J20/30),1)))</f>
        <v/>
      </c>
      <c r="L20" s="33">
        <f>IF(K20="","",IF(K20&gt;=PRs!C43,"PR!",""))</f>
        <v/>
      </c>
      <c r="M20" s="32" t="n"/>
      <c r="N20" s="34" t="inlineStr"/>
    </row>
    <row r="21">
      <c r="A21" s="26" t="inlineStr">
        <is>
          <t>Day 3 - Variations</t>
        </is>
      </c>
      <c r="B21" s="27">
        <f>'Start Here'!$B$7+312</f>
        <v/>
      </c>
      <c r="C21" s="31" t="inlineStr">
        <is>
          <t>Pause Squat</t>
        </is>
      </c>
      <c r="D21" s="29" t="n">
        <v>4</v>
      </c>
      <c r="E21" s="29" t="inlineStr">
        <is>
          <t>5</t>
        </is>
      </c>
      <c r="F21" s="29" t="n">
        <v>77.5</v>
      </c>
      <c r="G21" s="30">
        <f>Maxes!H9</f>
        <v/>
      </c>
      <c r="H21" s="31">
        <f>IF(OR(G21="",F21=""),"",MROUND(G21*F21/100,'Start Here'!$B$6))</f>
        <v/>
      </c>
      <c r="I21" s="32" t="n"/>
      <c r="J21" s="32" t="n"/>
      <c r="K21" s="29">
        <f>IF(OR(I21="",J21=""),"",IF(J21=1,I21,ROUND(I21*(1+J21/30),1)))</f>
        <v/>
      </c>
      <c r="L21" s="33">
        <f>IF(K21="","",IF(K21&gt;=PRs!C9,"PR!",""))</f>
        <v/>
      </c>
      <c r="M21" s="32" t="n"/>
      <c r="N21" s="34" t="inlineStr"/>
    </row>
    <row r="22">
      <c r="A22" s="26" t="inlineStr">
        <is>
          <t>Day 3 - Variations</t>
        </is>
      </c>
      <c r="B22" s="27">
        <f>'Start Here'!$B$7+312</f>
        <v/>
      </c>
      <c r="C22" s="31" t="inlineStr">
        <is>
          <t>Floor Press</t>
        </is>
      </c>
      <c r="D22" s="29" t="n">
        <v>4</v>
      </c>
      <c r="E22" s="29" t="inlineStr">
        <is>
          <t>5</t>
        </is>
      </c>
      <c r="F22" s="29" t="n">
        <v>77.5</v>
      </c>
      <c r="G22" s="30">
        <f>Maxes!H19</f>
        <v/>
      </c>
      <c r="H22" s="31">
        <f>IF(OR(G22="",F22=""),"",MROUND(G22*F22/100,'Start Here'!$B$6))</f>
        <v/>
      </c>
      <c r="I22" s="32" t="n"/>
      <c r="J22" s="32" t="n"/>
      <c r="K22" s="29">
        <f>IF(OR(I22="",J22=""),"",IF(J22=1,I22,ROUND(I22*(1+J22/30),1)))</f>
        <v/>
      </c>
      <c r="L22" s="33">
        <f>IF(K22="","",IF(K22&gt;=PRs!C19,"PR!",""))</f>
        <v/>
      </c>
      <c r="M22" s="32" t="n"/>
      <c r="N22" s="34" t="inlineStr"/>
    </row>
    <row r="23">
      <c r="A23" s="26" t="inlineStr">
        <is>
          <t>Day 3 - Variations</t>
        </is>
      </c>
      <c r="B23" s="27">
        <f>'Start Here'!$B$7+312</f>
        <v/>
      </c>
      <c r="C23" s="31" t="inlineStr">
        <is>
          <t>Block Pull</t>
        </is>
      </c>
      <c r="D23" s="29" t="n">
        <v>4</v>
      </c>
      <c r="E23" s="29" t="inlineStr">
        <is>
          <t>5</t>
        </is>
      </c>
      <c r="F23" s="29" t="n">
        <v>67.5</v>
      </c>
      <c r="G23" s="30">
        <f>Maxes!H26</f>
        <v/>
      </c>
      <c r="H23" s="31">
        <f>IF(OR(G23="",F23=""),"",MROUND(G23*F23/100,'Start Here'!$B$6))</f>
        <v/>
      </c>
      <c r="I23" s="32" t="n"/>
      <c r="J23" s="32" t="n"/>
      <c r="K23" s="29">
        <f>IF(OR(I23="",J23=""),"",IF(J23=1,I23,ROUND(I23*(1+J23/30),1)))</f>
        <v/>
      </c>
      <c r="L23" s="33">
        <f>IF(K23="","",IF(K23&gt;=PRs!C26,"PR!",""))</f>
        <v/>
      </c>
      <c r="M23" s="32" t="n"/>
      <c r="N23" s="34" t="inlineStr"/>
    </row>
    <row r="24">
      <c r="A24" s="26" t="inlineStr">
        <is>
          <t>Day 3 - Variations</t>
        </is>
      </c>
      <c r="B24" s="27">
        <f>'Start Here'!$B$7+312</f>
        <v/>
      </c>
      <c r="C24" s="29" t="inlineStr">
        <is>
          <t>Incline Dumbbell Press</t>
        </is>
      </c>
      <c r="D24" s="29" t="n">
        <v>3</v>
      </c>
      <c r="E24" s="29" t="inlineStr">
        <is>
          <t>8-12</t>
        </is>
      </c>
      <c r="F24" s="29" t="n"/>
      <c r="G24" s="30" t="n"/>
      <c r="H24" s="31" t="n"/>
      <c r="I24" s="32" t="n"/>
      <c r="J24" s="32" t="n"/>
      <c r="K24" s="29">
        <f>IF(OR(I24="",J24=""),"",IF(J24=1,I24,ROUND(I24*(1+J24/30),1)))</f>
        <v/>
      </c>
      <c r="L24" s="33">
        <f>IF(K24="","",IF(K24&gt;=PRs!C57,"PR!",""))</f>
        <v/>
      </c>
      <c r="M24" s="32" t="n"/>
      <c r="N24" s="34" t="inlineStr">
        <is>
          <t>Leave 1-2 reps in the tank; add weight when you hit the top of the range</t>
        </is>
      </c>
    </row>
    <row r="25">
      <c r="A25" s="26" t="inlineStr">
        <is>
          <t>Day 3 - Variations</t>
        </is>
      </c>
      <c r="B25" s="27">
        <f>'Start Here'!$B$7+312</f>
        <v/>
      </c>
      <c r="C25" s="29" t="inlineStr">
        <is>
          <t>Triceps Pushdown</t>
        </is>
      </c>
      <c r="D25" s="29" t="n">
        <v>3</v>
      </c>
      <c r="E25" s="29" t="inlineStr">
        <is>
          <t>10-15</t>
        </is>
      </c>
      <c r="F25" s="29" t="n"/>
      <c r="G25" s="30" t="n"/>
      <c r="H25" s="31" t="n"/>
      <c r="I25" s="32" t="n"/>
      <c r="J25" s="32" t="n"/>
      <c r="K25" s="29">
        <f>IF(OR(I25="",J25=""),"",IF(J25=1,I25,ROUND(I25*(1+J25/30),1)))</f>
        <v/>
      </c>
      <c r="L25" s="33">
        <f>IF(K25="","",IF(K25&gt;=PRs!C59,"PR!",""))</f>
        <v/>
      </c>
      <c r="M25" s="32" t="n"/>
      <c r="N25" s="34" t="inlineStr">
        <is>
          <t>Leave 1-2 reps in the tank; add weight when you hit the top of the range</t>
        </is>
      </c>
    </row>
  </sheetData>
  <hyperlinks>
    <hyperlink xmlns:r="http://schemas.openxmlformats.org/officeDocument/2006/relationships" ref="A2" r:id="rId1"/>
    <hyperlink xmlns:r="http://schemas.openxmlformats.org/officeDocument/2006/relationships" ref="C2" r:id="rId2"/>
    <hyperlink xmlns:r="http://schemas.openxmlformats.org/officeDocument/2006/relationships" ref="E2" r:id="rId3"/>
  </hyperlinks>
  <pageMargins left="0.75" right="0.75" top="1" bottom="1" header="0.5" footer="0.5"/>
  <pageSetup orientation="landscape" fitToHeight="0" fitToWidth="1"/>
</worksheet>
</file>

<file path=xl/worksheets/sheet48.xml><?xml version="1.0" encoding="utf-8"?>
<worksheet xmlns="http://schemas.openxmlformats.org/spreadsheetml/2006/main">
  <sheetPr>
    <tabColor rgb="00F8D7D7"/>
    <outlinePr summaryBelow="1" summaryRight="1"/>
    <pageSetUpPr fitToPage="1"/>
  </sheetPr>
  <dimension ref="A1:N25"/>
  <sheetViews>
    <sheetView workbookViewId="0">
      <pane xSplit="3" ySplit="5" topLeftCell="D6" activePane="bottomRight" state="frozen"/>
      <selection pane="topRight"/>
      <selection pane="bottomLeft"/>
      <selection pane="bottomRight" activeCell="A1" sqref="A1"/>
    </sheetView>
  </sheetViews>
  <sheetFormatPr baseColWidth="8" defaultRowHeight="15"/>
  <cols>
    <col width="17" customWidth="1" min="1" max="1"/>
    <col width="11" customWidth="1" min="2" max="2"/>
    <col width="24" customWidth="1" min="3" max="3"/>
    <col width="5" customWidth="1" min="4" max="4"/>
    <col width="6" customWidth="1" min="5" max="5"/>
    <col width="6" customWidth="1" min="6" max="6"/>
    <col width="9" customWidth="1" min="7" max="7"/>
    <col width="10" customWidth="1" min="8" max="8"/>
    <col width="13" customWidth="1" min="9" max="9"/>
    <col width="8" customWidth="1" min="10" max="10"/>
    <col width="9" customWidth="1" min="11" max="11"/>
    <col width="5" customWidth="1" min="12" max="12"/>
    <col width="22" customWidth="1" min="13" max="13"/>
    <col width="62" customWidth="1" min="14" max="14"/>
  </cols>
  <sheetData>
    <row r="1">
      <c r="A1" s="24" t="inlineStr">
        <is>
          <t>Week 46 - Cycle 4 - Realization</t>
        </is>
      </c>
    </row>
    <row r="2">
      <c r="A2" s="25" t="inlineStr">
        <is>
          <t>&lt; Week 45</t>
        </is>
      </c>
      <c r="C2" s="25" t="inlineStr">
        <is>
          <t>Start Here</t>
        </is>
      </c>
      <c r="E2" s="25" t="inlineStr">
        <is>
          <t>Week 47 &gt;</t>
        </is>
      </c>
    </row>
    <row r="3">
      <c r="A3" s="10" t="inlineStr">
        <is>
          <t>Bodyweight this week</t>
        </is>
      </c>
      <c r="C3" s="4" t="n"/>
      <c r="D3" t="inlineStr">
        <is>
          <t>Weigh in once this week: same morning routine, before eating.</t>
        </is>
      </c>
    </row>
    <row r="5">
      <c r="A5" s="5" t="inlineStr">
        <is>
          <t>Day</t>
        </is>
      </c>
      <c r="B5" s="5" t="inlineStr">
        <is>
          <t>Date</t>
        </is>
      </c>
      <c r="C5" s="5" t="inlineStr">
        <is>
          <t>Exercise</t>
        </is>
      </c>
      <c r="D5" s="5" t="inlineStr">
        <is>
          <t>Sets</t>
        </is>
      </c>
      <c r="E5" s="5" t="inlineStr">
        <is>
          <t>Reps</t>
        </is>
      </c>
      <c r="F5" s="5" t="inlineStr">
        <is>
          <t>% TM</t>
        </is>
      </c>
      <c r="G5" s="5" t="inlineStr">
        <is>
          <t>Training max</t>
        </is>
      </c>
      <c r="H5" s="5" t="inlineStr">
        <is>
          <t>Weight / target</t>
        </is>
      </c>
      <c r="I5" s="5" t="inlineStr">
        <is>
          <t>Actual (weight, height or distance)</t>
        </is>
      </c>
      <c r="J5" s="5" t="inlineStr">
        <is>
          <t>Actual reps</t>
        </is>
      </c>
      <c r="K5" s="5" t="inlineStr">
        <is>
          <t>Est. 1RM</t>
        </is>
      </c>
      <c r="L5" s="5" t="inlineStr">
        <is>
          <t>PR</t>
        </is>
      </c>
      <c r="M5" s="5" t="inlineStr">
        <is>
          <t>Notes</t>
        </is>
      </c>
      <c r="N5" s="5" t="inlineStr">
        <is>
          <t>Guidance</t>
        </is>
      </c>
    </row>
    <row r="6">
      <c r="A6" s="26" t="inlineStr">
        <is>
          <t>Day 1 - Heavy</t>
        </is>
      </c>
      <c r="B6" s="27">
        <f>'Start Here'!$B$7+315</f>
        <v/>
      </c>
      <c r="C6" s="28" t="inlineStr">
        <is>
          <t>Box Jump</t>
        </is>
      </c>
      <c r="D6" s="29" t="n">
        <v>3</v>
      </c>
      <c r="E6" s="29" t="inlineStr">
        <is>
          <t>2</t>
        </is>
      </c>
      <c r="F6" s="29" t="n"/>
      <c r="G6" s="30" t="n"/>
      <c r="H6" s="31">
        <f>IFERROR(IF(PRs!D69&lt;'Start Here'!$H$15,'Start Here'!$H$15,IF(PRs!D69&lt;'Start Here'!$H$16,'Start Here'!$H$16,IF(PRs!D69&lt;'Start Here'!$H$17,'Start Here'!$H$17,IF(PRs!D69&lt;'Start Here'!$H$18,'Start Here'!$H$18,"Elite!")))),"")</f>
        <v/>
      </c>
      <c r="I6" s="32" t="n"/>
      <c r="J6" s="32" t="n"/>
      <c r="K6" s="29" t="n"/>
      <c r="L6" s="33">
        <f>IF(I6="","",IF(I6&gt;=PRs!D69,"PR!",""))</f>
        <v/>
      </c>
      <c r="M6" s="32" t="n"/>
      <c r="N6" s="34" t="inlineStr">
        <is>
          <t>Explode up, land softly, STEP down. Full reset between reps. Log your box height; check the standards</t>
        </is>
      </c>
    </row>
    <row r="7">
      <c r="A7" s="26" t="inlineStr">
        <is>
          <t>Day 1 - Heavy</t>
        </is>
      </c>
      <c r="B7" s="27">
        <f>'Start Here'!$B$7+315</f>
        <v/>
      </c>
      <c r="C7" s="31" t="inlineStr">
        <is>
          <t>Snatch</t>
        </is>
      </c>
      <c r="D7" s="29" t="n">
        <v>4</v>
      </c>
      <c r="E7" s="29" t="inlineStr">
        <is>
          <t>1</t>
        </is>
      </c>
      <c r="F7" s="29" t="n">
        <v>90</v>
      </c>
      <c r="G7" s="30">
        <f>Maxes!H6</f>
        <v/>
      </c>
      <c r="H7" s="31">
        <f>IF(OR(G7="",F7=""),"",MROUND(G7*F7/100,'Start Here'!$B$6))</f>
        <v/>
      </c>
      <c r="I7" s="32" t="n"/>
      <c r="J7" s="32" t="n"/>
      <c r="K7" s="29">
        <f>IF(OR(I7="",J7=""),"",IF(J7=1,I7,ROUND(I7*(1+J7/30),1)))</f>
        <v/>
      </c>
      <c r="L7" s="33">
        <f>IF(K7="","",IF(K7&gt;=PRs!C6,"PR!",""))</f>
        <v/>
      </c>
      <c r="M7" s="32" t="n"/>
      <c r="N7" s="34" t="inlineStr"/>
    </row>
    <row r="8">
      <c r="A8" s="26" t="inlineStr">
        <is>
          <t>Day 1 - Heavy</t>
        </is>
      </c>
      <c r="B8" s="27">
        <f>'Start Here'!$B$7+315</f>
        <v/>
      </c>
      <c r="C8" s="31" t="inlineStr">
        <is>
          <t>Squat</t>
        </is>
      </c>
      <c r="D8" s="29" t="n">
        <v>4</v>
      </c>
      <c r="E8" s="29" t="inlineStr">
        <is>
          <t>2</t>
        </is>
      </c>
      <c r="F8" s="29" t="n">
        <v>90</v>
      </c>
      <c r="G8" s="30">
        <f>Maxes!H2</f>
        <v/>
      </c>
      <c r="H8" s="31">
        <f>IF(OR(G8="",F8=""),"",MROUND(G8*F8/100,'Start Here'!$B$6))</f>
        <v/>
      </c>
      <c r="I8" s="32" t="n"/>
      <c r="J8" s="32" t="n"/>
      <c r="K8" s="29">
        <f>IF(OR(I8="",J8=""),"",IF(J8=1,I8,ROUND(I8*(1+J8/30),1)))</f>
        <v/>
      </c>
      <c r="L8" s="33">
        <f>IF(K8="","",IF(K8&gt;=PRs!C2,"PR!",""))</f>
        <v/>
      </c>
      <c r="M8" s="32" t="n"/>
      <c r="N8" s="34" t="inlineStr"/>
    </row>
    <row r="9">
      <c r="A9" s="26" t="inlineStr">
        <is>
          <t>Day 1 - Heavy</t>
        </is>
      </c>
      <c r="B9" s="27">
        <f>'Start Here'!$B$7+315</f>
        <v/>
      </c>
      <c r="C9" s="31" t="inlineStr">
        <is>
          <t>Bench Press</t>
        </is>
      </c>
      <c r="D9" s="29" t="n">
        <v>4</v>
      </c>
      <c r="E9" s="29" t="inlineStr">
        <is>
          <t>2</t>
        </is>
      </c>
      <c r="F9" s="29" t="n">
        <v>90</v>
      </c>
      <c r="G9" s="30">
        <f>Maxes!H3</f>
        <v/>
      </c>
      <c r="H9" s="31">
        <f>IF(OR(G9="",F9=""),"",MROUND(G9*F9/100,'Start Here'!$B$6))</f>
        <v/>
      </c>
      <c r="I9" s="32" t="n"/>
      <c r="J9" s="32" t="n"/>
      <c r="K9" s="29">
        <f>IF(OR(I9="",J9=""),"",IF(J9=1,I9,ROUND(I9*(1+J9/30),1)))</f>
        <v/>
      </c>
      <c r="L9" s="33">
        <f>IF(K9="","",IF(K9&gt;=PRs!C3,"PR!",""))</f>
        <v/>
      </c>
      <c r="M9" s="32" t="n"/>
      <c r="N9" s="34" t="inlineStr"/>
    </row>
    <row r="10">
      <c r="A10" s="26" t="inlineStr">
        <is>
          <t>Day 1 - Heavy</t>
        </is>
      </c>
      <c r="B10" s="27">
        <f>'Start Here'!$B$7+315</f>
        <v/>
      </c>
      <c r="C10" s="29" t="inlineStr">
        <is>
          <t>Barbell Row</t>
        </is>
      </c>
      <c r="D10" s="29" t="n">
        <v>3</v>
      </c>
      <c r="E10" s="29" t="inlineStr">
        <is>
          <t>8-10</t>
        </is>
      </c>
      <c r="F10" s="29" t="n"/>
      <c r="G10" s="30" t="n"/>
      <c r="H10" s="31" t="n"/>
      <c r="I10" s="32" t="n"/>
      <c r="J10" s="32" t="n"/>
      <c r="K10" s="29">
        <f>IF(OR(I10="",J10=""),"",IF(J10=1,I10,ROUND(I10*(1+J10/30),1)))</f>
        <v/>
      </c>
      <c r="L10" s="33">
        <f>IF(K10="","",IF(K10&gt;=PRs!C50,"PR!",""))</f>
        <v/>
      </c>
      <c r="M10" s="32" t="n"/>
      <c r="N10" s="34" t="inlineStr">
        <is>
          <t>Leave 1-2 reps in the tank; add weight when you hit the top of the range</t>
        </is>
      </c>
    </row>
    <row r="11">
      <c r="A11" s="26" t="inlineStr">
        <is>
          <t>Day 1 - Heavy</t>
        </is>
      </c>
      <c r="B11" s="27">
        <f>'Start Here'!$B$7+315</f>
        <v/>
      </c>
      <c r="C11" s="29" t="inlineStr">
        <is>
          <t>Face Pull</t>
        </is>
      </c>
      <c r="D11" s="29" t="n">
        <v>3</v>
      </c>
      <c r="E11" s="29" t="inlineStr">
        <is>
          <t>12-15</t>
        </is>
      </c>
      <c r="F11" s="29" t="n"/>
      <c r="G11" s="30" t="n"/>
      <c r="H11" s="31" t="n"/>
      <c r="I11" s="32" t="n"/>
      <c r="J11" s="32" t="n"/>
      <c r="K11" s="29">
        <f>IF(OR(I11="",J11=""),"",IF(J11=1,I11,ROUND(I11*(1+J11/30),1)))</f>
        <v/>
      </c>
      <c r="L11" s="33">
        <f>IF(K11="","",IF(K11&gt;=PRs!C51,"PR!",""))</f>
        <v/>
      </c>
      <c r="M11" s="32" t="n"/>
      <c r="N11" s="34" t="inlineStr">
        <is>
          <t>Leave 1-2 reps in the tank; add weight when you hit the top of the range</t>
        </is>
      </c>
    </row>
    <row r="12">
      <c r="A12" s="26" t="inlineStr">
        <is>
          <t>Day 2 - Light</t>
        </is>
      </c>
      <c r="B12" s="27">
        <f>'Start Here'!$B$7+317</f>
        <v/>
      </c>
      <c r="C12" s="28" t="inlineStr">
        <is>
          <t>Broad Jump</t>
        </is>
      </c>
      <c r="D12" s="29" t="n">
        <v>3</v>
      </c>
      <c r="E12" s="29" t="inlineStr">
        <is>
          <t>2</t>
        </is>
      </c>
      <c r="F12" s="29" t="n"/>
      <c r="G12" s="30" t="n"/>
      <c r="H12" s="31" t="n"/>
      <c r="I12" s="32" t="n"/>
      <c r="J12" s="32" t="n"/>
      <c r="K12" s="29" t="n"/>
      <c r="L12" s="33">
        <f>IF(I12="","",IF(I12&gt;=PRs!D70,"PR!",""))</f>
        <v/>
      </c>
      <c r="M12" s="32" t="n"/>
      <c r="N12" s="34" t="inlineStr">
        <is>
          <t>Two-foot jump for distance, stick the landing. Full reset between reps. Log your best distance</t>
        </is>
      </c>
    </row>
    <row r="13">
      <c r="A13" s="26" t="inlineStr">
        <is>
          <t>Day 2 - Light</t>
        </is>
      </c>
      <c r="B13" s="27">
        <f>'Start Here'!$B$7+317</f>
        <v/>
      </c>
      <c r="C13" s="31" t="inlineStr">
        <is>
          <t>Clean &amp; Jerk</t>
        </is>
      </c>
      <c r="D13" s="29" t="n">
        <v>4</v>
      </c>
      <c r="E13" s="29" t="inlineStr">
        <is>
          <t>1</t>
        </is>
      </c>
      <c r="F13" s="29" t="n">
        <v>90</v>
      </c>
      <c r="G13" s="30">
        <f>Maxes!H7</f>
        <v/>
      </c>
      <c r="H13" s="31">
        <f>IF(OR(G13="",F13=""),"",MROUND(G13*F13/100,'Start Here'!$B$6))</f>
        <v/>
      </c>
      <c r="I13" s="32" t="n"/>
      <c r="J13" s="32" t="n"/>
      <c r="K13" s="29">
        <f>IF(OR(I13="",J13=""),"",IF(J13=1,I13,ROUND(I13*(1+J13/30),1)))</f>
        <v/>
      </c>
      <c r="L13" s="33">
        <f>IF(K13="","",IF(K13&gt;=PRs!C7,"PR!",""))</f>
        <v/>
      </c>
      <c r="M13" s="32" t="n"/>
      <c r="N13" s="34" t="inlineStr"/>
    </row>
    <row r="14">
      <c r="A14" s="26" t="inlineStr">
        <is>
          <t>Day 2 - Light</t>
        </is>
      </c>
      <c r="B14" s="27">
        <f>'Start Here'!$B$7+317</f>
        <v/>
      </c>
      <c r="C14" s="31" t="inlineStr">
        <is>
          <t>Squat</t>
        </is>
      </c>
      <c r="D14" s="29" t="n">
        <v>3</v>
      </c>
      <c r="E14" s="29" t="inlineStr">
        <is>
          <t>5</t>
        </is>
      </c>
      <c r="F14" s="29" t="n">
        <v>70</v>
      </c>
      <c r="G14" s="30">
        <f>Maxes!H2</f>
        <v/>
      </c>
      <c r="H14" s="31">
        <f>IF(OR(G14="",F14=""),"",MROUND(G14*F14/100,'Start Here'!$B$6))</f>
        <v/>
      </c>
      <c r="I14" s="32" t="n"/>
      <c r="J14" s="32" t="n"/>
      <c r="K14" s="29">
        <f>IF(OR(I14="",J14=""),"",IF(J14=1,I14,ROUND(I14*(1+J14/30),1)))</f>
        <v/>
      </c>
      <c r="L14" s="33">
        <f>IF(K14="","",IF(K14&gt;=PRs!C2,"PR!",""))</f>
        <v/>
      </c>
      <c r="M14" s="32" t="n"/>
      <c r="N14" s="34" t="inlineStr"/>
    </row>
    <row r="15">
      <c r="A15" s="26" t="inlineStr">
        <is>
          <t>Day 2 - Light</t>
        </is>
      </c>
      <c r="B15" s="27">
        <f>'Start Here'!$B$7+317</f>
        <v/>
      </c>
      <c r="C15" s="31" t="inlineStr">
        <is>
          <t>Overhead Press</t>
        </is>
      </c>
      <c r="D15" s="29" t="n">
        <v>5</v>
      </c>
      <c r="E15" s="29" t="inlineStr">
        <is>
          <t>3</t>
        </is>
      </c>
      <c r="F15" s="29" t="n">
        <v>80</v>
      </c>
      <c r="G15" s="30">
        <f>Maxes!H5</f>
        <v/>
      </c>
      <c r="H15" s="31">
        <f>IF(OR(G15="",F15=""),"",MROUND(G15*F15/100,'Start Here'!$B$6))</f>
        <v/>
      </c>
      <c r="I15" s="32" t="n"/>
      <c r="J15" s="32" t="n"/>
      <c r="K15" s="29">
        <f>IF(OR(I15="",J15=""),"",IF(J15=1,I15,ROUND(I15*(1+J15/30),1)))</f>
        <v/>
      </c>
      <c r="L15" s="33">
        <f>IF(K15="","",IF(K15&gt;=PRs!C5,"PR!",""))</f>
        <v/>
      </c>
      <c r="M15" s="32" t="n"/>
      <c r="N15" s="34" t="inlineStr"/>
    </row>
    <row r="16">
      <c r="A16" s="26" t="inlineStr">
        <is>
          <t>Day 2 - Light</t>
        </is>
      </c>
      <c r="B16" s="27">
        <f>'Start Here'!$B$7+317</f>
        <v/>
      </c>
      <c r="C16" s="31" t="inlineStr">
        <is>
          <t>Deadlift</t>
        </is>
      </c>
      <c r="D16" s="29" t="n">
        <v>4</v>
      </c>
      <c r="E16" s="29" t="inlineStr">
        <is>
          <t>3</t>
        </is>
      </c>
      <c r="F16" s="29" t="n">
        <v>80</v>
      </c>
      <c r="G16" s="30">
        <f>Maxes!H4</f>
        <v/>
      </c>
      <c r="H16" s="31">
        <f>IF(OR(G16="",F16=""),"",MROUND(G16*F16/100,'Start Here'!$B$6))</f>
        <v/>
      </c>
      <c r="I16" s="32" t="n"/>
      <c r="J16" s="32" t="n"/>
      <c r="K16" s="29">
        <f>IF(OR(I16="",J16=""),"",IF(J16=1,I16,ROUND(I16*(1+J16/30),1)))</f>
        <v/>
      </c>
      <c r="L16" s="33">
        <f>IF(K16="","",IF(K16&gt;=PRs!C4,"PR!",""))</f>
        <v/>
      </c>
      <c r="M16" s="32" t="n"/>
      <c r="N16" s="34" t="inlineStr"/>
    </row>
    <row r="17">
      <c r="A17" s="26" t="inlineStr">
        <is>
          <t>Day 2 - Light</t>
        </is>
      </c>
      <c r="B17" s="27">
        <f>'Start Here'!$B$7+317</f>
        <v/>
      </c>
      <c r="C17" s="29" t="inlineStr">
        <is>
          <t>Chin-up</t>
        </is>
      </c>
      <c r="D17" s="29" t="n">
        <v>3</v>
      </c>
      <c r="E17" s="29" t="inlineStr">
        <is>
          <t>6-10</t>
        </is>
      </c>
      <c r="F17" s="29" t="n"/>
      <c r="G17" s="30" t="n"/>
      <c r="H17" s="31" t="n"/>
      <c r="I17" s="32" t="n"/>
      <c r="J17" s="32" t="n"/>
      <c r="K17" s="29">
        <f>IF(OR(I17="",J17=""),"",IF(J17=1,I17,ROUND(I17*(1+J17/30),1)))</f>
        <v/>
      </c>
      <c r="L17" s="33">
        <f>IF(K17="","",IF(K17&gt;=PRs!C53,"PR!",""))</f>
        <v/>
      </c>
      <c r="M17" s="32" t="n"/>
      <c r="N17" s="34" t="inlineStr">
        <is>
          <t>Leave 1-2 reps in the tank; add weight when you hit the top of the range</t>
        </is>
      </c>
    </row>
    <row r="18">
      <c r="A18" s="26" t="inlineStr">
        <is>
          <t>Day 2 - Light</t>
        </is>
      </c>
      <c r="B18" s="27">
        <f>'Start Here'!$B$7+317</f>
        <v/>
      </c>
      <c r="C18" s="29" t="inlineStr">
        <is>
          <t>Plank</t>
        </is>
      </c>
      <c r="D18" s="29" t="n">
        <v>3</v>
      </c>
      <c r="E18" s="29" t="inlineStr">
        <is>
          <t>30-60s</t>
        </is>
      </c>
      <c r="F18" s="29" t="n"/>
      <c r="G18" s="30" t="n"/>
      <c r="H18" s="31" t="n"/>
      <c r="I18" s="32" t="n"/>
      <c r="J18" s="32" t="n"/>
      <c r="K18" s="29">
        <f>IF(OR(I18="",J18=""),"",IF(J18=1,I18,ROUND(I18*(1+J18/30),1)))</f>
        <v/>
      </c>
      <c r="L18" s="33">
        <f>IF(K18="","",IF(K18&gt;=PRs!C56,"PR!",""))</f>
        <v/>
      </c>
      <c r="M18" s="32" t="n"/>
      <c r="N18" s="34" t="inlineStr">
        <is>
          <t>Leave 1-2 reps in the tank; add weight when you hit the top of the range</t>
        </is>
      </c>
    </row>
    <row r="19">
      <c r="A19" s="26" t="inlineStr">
        <is>
          <t>Day 3 - Variations</t>
        </is>
      </c>
      <c r="B19" s="27">
        <f>'Start Here'!$B$7+319</f>
        <v/>
      </c>
      <c r="C19" s="28" t="inlineStr">
        <is>
          <t>Box Jump</t>
        </is>
      </c>
      <c r="D19" s="29" t="n">
        <v>3</v>
      </c>
      <c r="E19" s="29" t="inlineStr">
        <is>
          <t>2</t>
        </is>
      </c>
      <c r="F19" s="29" t="n"/>
      <c r="G19" s="30" t="n"/>
      <c r="H19" s="31">
        <f>IFERROR(IF(PRs!D69&lt;'Start Here'!$H$15,'Start Here'!$H$15,IF(PRs!D69&lt;'Start Here'!$H$16,'Start Here'!$H$16,IF(PRs!D69&lt;'Start Here'!$H$17,'Start Here'!$H$17,IF(PRs!D69&lt;'Start Here'!$H$18,'Start Here'!$H$18,"Elite!")))),"")</f>
        <v/>
      </c>
      <c r="I19" s="32" t="n"/>
      <c r="J19" s="32" t="n"/>
      <c r="K19" s="29" t="n"/>
      <c r="L19" s="33">
        <f>IF(I19="","",IF(I19&gt;=PRs!D69,"PR!",""))</f>
        <v/>
      </c>
      <c r="M19" s="32" t="n"/>
      <c r="N19" s="34" t="inlineStr">
        <is>
          <t>Explode up, land softly, STEP down. Full reset between reps. Log your box height; check the standards</t>
        </is>
      </c>
    </row>
    <row r="20">
      <c r="A20" s="26" t="inlineStr">
        <is>
          <t>Day 3 - Variations</t>
        </is>
      </c>
      <c r="B20" s="27">
        <f>'Start Here'!$B$7+319</f>
        <v/>
      </c>
      <c r="C20" s="31" t="inlineStr">
        <is>
          <t>Hang Clean</t>
        </is>
      </c>
      <c r="D20" s="29" t="n">
        <v>5</v>
      </c>
      <c r="E20" s="29" t="inlineStr">
        <is>
          <t>2</t>
        </is>
      </c>
      <c r="F20" s="29" t="n">
        <v>80</v>
      </c>
      <c r="G20" s="30">
        <f>Maxes!H43</f>
        <v/>
      </c>
      <c r="H20" s="31">
        <f>IF(OR(G20="",F20=""),"",MROUND(G20*F20/100,'Start Here'!$B$6))</f>
        <v/>
      </c>
      <c r="I20" s="32" t="n"/>
      <c r="J20" s="32" t="n"/>
      <c r="K20" s="29">
        <f>IF(OR(I20="",J20=""),"",IF(J20=1,I20,ROUND(I20*(1+J20/30),1)))</f>
        <v/>
      </c>
      <c r="L20" s="33">
        <f>IF(K20="","",IF(K20&gt;=PRs!C43,"PR!",""))</f>
        <v/>
      </c>
      <c r="M20" s="32" t="n"/>
      <c r="N20" s="34" t="inlineStr"/>
    </row>
    <row r="21">
      <c r="A21" s="26" t="inlineStr">
        <is>
          <t>Day 3 - Variations</t>
        </is>
      </c>
      <c r="B21" s="27">
        <f>'Start Here'!$B$7+319</f>
        <v/>
      </c>
      <c r="C21" s="31" t="inlineStr">
        <is>
          <t>Pause Squat</t>
        </is>
      </c>
      <c r="D21" s="29" t="n">
        <v>5</v>
      </c>
      <c r="E21" s="29" t="inlineStr">
        <is>
          <t>3</t>
        </is>
      </c>
      <c r="F21" s="29" t="n">
        <v>80</v>
      </c>
      <c r="G21" s="30">
        <f>Maxes!H9</f>
        <v/>
      </c>
      <c r="H21" s="31">
        <f>IF(OR(G21="",F21=""),"",MROUND(G21*F21/100,'Start Here'!$B$6))</f>
        <v/>
      </c>
      <c r="I21" s="32" t="n"/>
      <c r="J21" s="32" t="n"/>
      <c r="K21" s="29">
        <f>IF(OR(I21="",J21=""),"",IF(J21=1,I21,ROUND(I21*(1+J21/30),1)))</f>
        <v/>
      </c>
      <c r="L21" s="33">
        <f>IF(K21="","",IF(K21&gt;=PRs!C9,"PR!",""))</f>
        <v/>
      </c>
      <c r="M21" s="32" t="n"/>
      <c r="N21" s="34" t="inlineStr"/>
    </row>
    <row r="22">
      <c r="A22" s="26" t="inlineStr">
        <is>
          <t>Day 3 - Variations</t>
        </is>
      </c>
      <c r="B22" s="27">
        <f>'Start Here'!$B$7+319</f>
        <v/>
      </c>
      <c r="C22" s="31" t="inlineStr">
        <is>
          <t>Floor Press</t>
        </is>
      </c>
      <c r="D22" s="29" t="n">
        <v>5</v>
      </c>
      <c r="E22" s="29" t="inlineStr">
        <is>
          <t>3</t>
        </is>
      </c>
      <c r="F22" s="29" t="n">
        <v>80</v>
      </c>
      <c r="G22" s="30">
        <f>Maxes!H19</f>
        <v/>
      </c>
      <c r="H22" s="31">
        <f>IF(OR(G22="",F22=""),"",MROUND(G22*F22/100,'Start Here'!$B$6))</f>
        <v/>
      </c>
      <c r="I22" s="32" t="n"/>
      <c r="J22" s="32" t="n"/>
      <c r="K22" s="29">
        <f>IF(OR(I22="",J22=""),"",IF(J22=1,I22,ROUND(I22*(1+J22/30),1)))</f>
        <v/>
      </c>
      <c r="L22" s="33">
        <f>IF(K22="","",IF(K22&gt;=PRs!C19,"PR!",""))</f>
        <v/>
      </c>
      <c r="M22" s="32" t="n"/>
      <c r="N22" s="34" t="inlineStr"/>
    </row>
    <row r="23">
      <c r="A23" s="26" t="inlineStr">
        <is>
          <t>Day 3 - Variations</t>
        </is>
      </c>
      <c r="B23" s="27">
        <f>'Start Here'!$B$7+319</f>
        <v/>
      </c>
      <c r="C23" s="31" t="inlineStr">
        <is>
          <t>Block Pull</t>
        </is>
      </c>
      <c r="D23" s="29" t="n">
        <v>3</v>
      </c>
      <c r="E23" s="29" t="inlineStr">
        <is>
          <t>5</t>
        </is>
      </c>
      <c r="F23" s="29" t="n">
        <v>70</v>
      </c>
      <c r="G23" s="30">
        <f>Maxes!H26</f>
        <v/>
      </c>
      <c r="H23" s="31">
        <f>IF(OR(G23="",F23=""),"",MROUND(G23*F23/100,'Start Here'!$B$6))</f>
        <v/>
      </c>
      <c r="I23" s="32" t="n"/>
      <c r="J23" s="32" t="n"/>
      <c r="K23" s="29">
        <f>IF(OR(I23="",J23=""),"",IF(J23=1,I23,ROUND(I23*(1+J23/30),1)))</f>
        <v/>
      </c>
      <c r="L23" s="33">
        <f>IF(K23="","",IF(K23&gt;=PRs!C26,"PR!",""))</f>
        <v/>
      </c>
      <c r="M23" s="32" t="n"/>
      <c r="N23" s="34" t="inlineStr"/>
    </row>
    <row r="24">
      <c r="A24" s="26" t="inlineStr">
        <is>
          <t>Day 3 - Variations</t>
        </is>
      </c>
      <c r="B24" s="27">
        <f>'Start Here'!$B$7+319</f>
        <v/>
      </c>
      <c r="C24" s="29" t="inlineStr">
        <is>
          <t>Incline Dumbbell Press</t>
        </is>
      </c>
      <c r="D24" s="29" t="n">
        <v>3</v>
      </c>
      <c r="E24" s="29" t="inlineStr">
        <is>
          <t>8-12</t>
        </is>
      </c>
      <c r="F24" s="29" t="n"/>
      <c r="G24" s="30" t="n"/>
      <c r="H24" s="31" t="n"/>
      <c r="I24" s="32" t="n"/>
      <c r="J24" s="32" t="n"/>
      <c r="K24" s="29">
        <f>IF(OR(I24="",J24=""),"",IF(J24=1,I24,ROUND(I24*(1+J24/30),1)))</f>
        <v/>
      </c>
      <c r="L24" s="33">
        <f>IF(K24="","",IF(K24&gt;=PRs!C57,"PR!",""))</f>
        <v/>
      </c>
      <c r="M24" s="32" t="n"/>
      <c r="N24" s="34" t="inlineStr">
        <is>
          <t>Leave 1-2 reps in the tank; add weight when you hit the top of the range</t>
        </is>
      </c>
    </row>
    <row r="25">
      <c r="A25" s="26" t="inlineStr">
        <is>
          <t>Day 3 - Variations</t>
        </is>
      </c>
      <c r="B25" s="27">
        <f>'Start Here'!$B$7+319</f>
        <v/>
      </c>
      <c r="C25" s="29" t="inlineStr">
        <is>
          <t>Triceps Pushdown</t>
        </is>
      </c>
      <c r="D25" s="29" t="n">
        <v>3</v>
      </c>
      <c r="E25" s="29" t="inlineStr">
        <is>
          <t>10-15</t>
        </is>
      </c>
      <c r="F25" s="29" t="n"/>
      <c r="G25" s="30" t="n"/>
      <c r="H25" s="31" t="n"/>
      <c r="I25" s="32" t="n"/>
      <c r="J25" s="32" t="n"/>
      <c r="K25" s="29">
        <f>IF(OR(I25="",J25=""),"",IF(J25=1,I25,ROUND(I25*(1+J25/30),1)))</f>
        <v/>
      </c>
      <c r="L25" s="33">
        <f>IF(K25="","",IF(K25&gt;=PRs!C59,"PR!",""))</f>
        <v/>
      </c>
      <c r="M25" s="32" t="n"/>
      <c r="N25" s="34" t="inlineStr">
        <is>
          <t>Leave 1-2 reps in the tank; add weight when you hit the top of the range</t>
        </is>
      </c>
    </row>
  </sheetData>
  <hyperlinks>
    <hyperlink xmlns:r="http://schemas.openxmlformats.org/officeDocument/2006/relationships" ref="A2" r:id="rId1"/>
    <hyperlink xmlns:r="http://schemas.openxmlformats.org/officeDocument/2006/relationships" ref="C2" r:id="rId2"/>
    <hyperlink xmlns:r="http://schemas.openxmlformats.org/officeDocument/2006/relationships" ref="E2" r:id="rId3"/>
  </hyperlinks>
  <pageMargins left="0.75" right="0.75" top="1" bottom="1" header="0.5" footer="0.5"/>
  <pageSetup orientation="landscape" fitToHeight="0" fitToWidth="1"/>
</worksheet>
</file>

<file path=xl/worksheets/sheet49.xml><?xml version="1.0" encoding="utf-8"?>
<worksheet xmlns="http://schemas.openxmlformats.org/spreadsheetml/2006/main">
  <sheetPr>
    <tabColor rgb="00EDE0F5"/>
    <outlinePr summaryBelow="1" summaryRight="1"/>
    <pageSetUpPr fitToPage="1"/>
  </sheetPr>
  <dimension ref="A1:N25"/>
  <sheetViews>
    <sheetView workbookViewId="0">
      <pane xSplit="3" ySplit="5" topLeftCell="D6" activePane="bottomRight" state="frozen"/>
      <selection pane="topRight"/>
      <selection pane="bottomLeft"/>
      <selection pane="bottomRight" activeCell="A1" sqref="A1"/>
    </sheetView>
  </sheetViews>
  <sheetFormatPr baseColWidth="8" defaultRowHeight="15"/>
  <cols>
    <col width="17" customWidth="1" min="1" max="1"/>
    <col width="11" customWidth="1" min="2" max="2"/>
    <col width="24" customWidth="1" min="3" max="3"/>
    <col width="5" customWidth="1" min="4" max="4"/>
    <col width="6" customWidth="1" min="5" max="5"/>
    <col width="6" customWidth="1" min="6" max="6"/>
    <col width="9" customWidth="1" min="7" max="7"/>
    <col width="10" customWidth="1" min="8" max="8"/>
    <col width="13" customWidth="1" min="9" max="9"/>
    <col width="8" customWidth="1" min="10" max="10"/>
    <col width="9" customWidth="1" min="11" max="11"/>
    <col width="5" customWidth="1" min="12" max="12"/>
    <col width="22" customWidth="1" min="13" max="13"/>
    <col width="62" customWidth="1" min="14" max="14"/>
  </cols>
  <sheetData>
    <row r="1">
      <c r="A1" s="24" t="inlineStr">
        <is>
          <t>Week 47 - Cycle 4 - Taper</t>
        </is>
      </c>
    </row>
    <row r="2">
      <c r="A2" s="25" t="inlineStr">
        <is>
          <t>&lt; Week 46</t>
        </is>
      </c>
      <c r="C2" s="25" t="inlineStr">
        <is>
          <t>Start Here</t>
        </is>
      </c>
      <c r="E2" s="25" t="inlineStr">
        <is>
          <t>Week 48 &gt;</t>
        </is>
      </c>
    </row>
    <row r="3">
      <c r="A3" s="10" t="inlineStr">
        <is>
          <t>Bodyweight this week</t>
        </is>
      </c>
      <c r="C3" s="4" t="n"/>
      <c r="D3" t="inlineStr">
        <is>
          <t>Weigh in once this week: same morning routine, before eating.</t>
        </is>
      </c>
    </row>
    <row r="5">
      <c r="A5" s="5" t="inlineStr">
        <is>
          <t>Day</t>
        </is>
      </c>
      <c r="B5" s="5" t="inlineStr">
        <is>
          <t>Date</t>
        </is>
      </c>
      <c r="C5" s="5" t="inlineStr">
        <is>
          <t>Exercise</t>
        </is>
      </c>
      <c r="D5" s="5" t="inlineStr">
        <is>
          <t>Sets</t>
        </is>
      </c>
      <c r="E5" s="5" t="inlineStr">
        <is>
          <t>Reps</t>
        </is>
      </c>
      <c r="F5" s="5" t="inlineStr">
        <is>
          <t>% TM</t>
        </is>
      </c>
      <c r="G5" s="5" t="inlineStr">
        <is>
          <t>Training max</t>
        </is>
      </c>
      <c r="H5" s="5" t="inlineStr">
        <is>
          <t>Weight / target</t>
        </is>
      </c>
      <c r="I5" s="5" t="inlineStr">
        <is>
          <t>Actual (weight, height or distance)</t>
        </is>
      </c>
      <c r="J5" s="5" t="inlineStr">
        <is>
          <t>Actual reps</t>
        </is>
      </c>
      <c r="K5" s="5" t="inlineStr">
        <is>
          <t>Est. 1RM</t>
        </is>
      </c>
      <c r="L5" s="5" t="inlineStr">
        <is>
          <t>PR</t>
        </is>
      </c>
      <c r="M5" s="5" t="inlineStr">
        <is>
          <t>Notes</t>
        </is>
      </c>
      <c r="N5" s="5" t="inlineStr">
        <is>
          <t>Guidance</t>
        </is>
      </c>
    </row>
    <row r="6">
      <c r="A6" s="26" t="inlineStr">
        <is>
          <t>Day 1 - Heavy</t>
        </is>
      </c>
      <c r="B6" s="27">
        <f>'Start Here'!$B$7+322</f>
        <v/>
      </c>
      <c r="C6" s="28" t="inlineStr">
        <is>
          <t>Box Jump</t>
        </is>
      </c>
      <c r="D6" s="29" t="n">
        <v>2</v>
      </c>
      <c r="E6" s="29" t="inlineStr">
        <is>
          <t>2</t>
        </is>
      </c>
      <c r="F6" s="29" t="n"/>
      <c r="G6" s="30" t="n"/>
      <c r="H6" s="31">
        <f>IFERROR(IF(PRs!D69&lt;'Start Here'!$H$15,'Start Here'!$H$15,IF(PRs!D69&lt;'Start Here'!$H$16,'Start Here'!$H$16,IF(PRs!D69&lt;'Start Here'!$H$17,'Start Here'!$H$17,IF(PRs!D69&lt;'Start Here'!$H$18,'Start Here'!$H$18,"Elite!")))),"")</f>
        <v/>
      </c>
      <c r="I6" s="32" t="n"/>
      <c r="J6" s="32" t="n"/>
      <c r="K6" s="29" t="n"/>
      <c r="L6" s="33">
        <f>IF(I6="","",IF(I6&gt;=PRs!D69,"PR!",""))</f>
        <v/>
      </c>
      <c r="M6" s="32" t="n"/>
      <c r="N6" s="34" t="inlineStr">
        <is>
          <t>Explode up, land softly, STEP down. Full reset between reps. Log your box height; check the standards</t>
        </is>
      </c>
    </row>
    <row r="7">
      <c r="A7" s="26" t="inlineStr">
        <is>
          <t>Day 1 - Heavy</t>
        </is>
      </c>
      <c r="B7" s="27">
        <f>'Start Here'!$B$7+322</f>
        <v/>
      </c>
      <c r="C7" s="31" t="inlineStr">
        <is>
          <t>Snatch</t>
        </is>
      </c>
      <c r="D7" s="29" t="n">
        <v>3</v>
      </c>
      <c r="E7" s="29" t="inlineStr">
        <is>
          <t>1</t>
        </is>
      </c>
      <c r="F7" s="29" t="n">
        <v>80</v>
      </c>
      <c r="G7" s="30">
        <f>Maxes!H6</f>
        <v/>
      </c>
      <c r="H7" s="31">
        <f>IF(OR(G7="",F7=""),"",MROUND(G7*F7/100,'Start Here'!$B$6))</f>
        <v/>
      </c>
      <c r="I7" s="32" t="n"/>
      <c r="J7" s="32" t="n"/>
      <c r="K7" s="29">
        <f>IF(OR(I7="",J7=""),"",IF(J7=1,I7,ROUND(I7*(1+J7/30),1)))</f>
        <v/>
      </c>
      <c r="L7" s="33">
        <f>IF(K7="","",IF(K7&gt;=PRs!C6,"PR!",""))</f>
        <v/>
      </c>
      <c r="M7" s="32" t="n"/>
      <c r="N7" s="34" t="inlineStr">
        <is>
          <t>Keep it heavy but short - no grinding</t>
        </is>
      </c>
    </row>
    <row r="8">
      <c r="A8" s="26" t="inlineStr">
        <is>
          <t>Day 1 - Heavy</t>
        </is>
      </c>
      <c r="B8" s="27">
        <f>'Start Here'!$B$7+322</f>
        <v/>
      </c>
      <c r="C8" s="31" t="inlineStr">
        <is>
          <t>Squat</t>
        </is>
      </c>
      <c r="D8" s="29" t="n">
        <v>3</v>
      </c>
      <c r="E8" s="29" t="inlineStr">
        <is>
          <t>2</t>
        </is>
      </c>
      <c r="F8" s="29" t="n">
        <v>80</v>
      </c>
      <c r="G8" s="30">
        <f>Maxes!H2</f>
        <v/>
      </c>
      <c r="H8" s="31">
        <f>IF(OR(G8="",F8=""),"",MROUND(G8*F8/100,'Start Here'!$B$6))</f>
        <v/>
      </c>
      <c r="I8" s="32" t="n"/>
      <c r="J8" s="32" t="n"/>
      <c r="K8" s="29">
        <f>IF(OR(I8="",J8=""),"",IF(J8=1,I8,ROUND(I8*(1+J8/30),1)))</f>
        <v/>
      </c>
      <c r="L8" s="33">
        <f>IF(K8="","",IF(K8&gt;=PRs!C2,"PR!",""))</f>
        <v/>
      </c>
      <c r="M8" s="32" t="n"/>
      <c r="N8" s="34" t="inlineStr">
        <is>
          <t>Keep it heavy but short - no grinding</t>
        </is>
      </c>
    </row>
    <row r="9">
      <c r="A9" s="26" t="inlineStr">
        <is>
          <t>Day 1 - Heavy</t>
        </is>
      </c>
      <c r="B9" s="27">
        <f>'Start Here'!$B$7+322</f>
        <v/>
      </c>
      <c r="C9" s="31" t="inlineStr">
        <is>
          <t>Bench Press</t>
        </is>
      </c>
      <c r="D9" s="29" t="n">
        <v>3</v>
      </c>
      <c r="E9" s="29" t="inlineStr">
        <is>
          <t>2</t>
        </is>
      </c>
      <c r="F9" s="29" t="n">
        <v>80</v>
      </c>
      <c r="G9" s="30">
        <f>Maxes!H3</f>
        <v/>
      </c>
      <c r="H9" s="31">
        <f>IF(OR(G9="",F9=""),"",MROUND(G9*F9/100,'Start Here'!$B$6))</f>
        <v/>
      </c>
      <c r="I9" s="32" t="n"/>
      <c r="J9" s="32" t="n"/>
      <c r="K9" s="29">
        <f>IF(OR(I9="",J9=""),"",IF(J9=1,I9,ROUND(I9*(1+J9/30),1)))</f>
        <v/>
      </c>
      <c r="L9" s="33">
        <f>IF(K9="","",IF(K9&gt;=PRs!C3,"PR!",""))</f>
        <v/>
      </c>
      <c r="M9" s="32" t="n"/>
      <c r="N9" s="34" t="inlineStr">
        <is>
          <t>Keep it heavy but short - no grinding</t>
        </is>
      </c>
    </row>
    <row r="10">
      <c r="A10" s="26" t="inlineStr">
        <is>
          <t>Day 1 - Heavy</t>
        </is>
      </c>
      <c r="B10" s="27">
        <f>'Start Here'!$B$7+322</f>
        <v/>
      </c>
      <c r="C10" s="29" t="inlineStr">
        <is>
          <t>Barbell Row</t>
        </is>
      </c>
      <c r="D10" s="29" t="n">
        <v>2</v>
      </c>
      <c r="E10" s="29" t="inlineStr">
        <is>
          <t>8-10</t>
        </is>
      </c>
      <c r="F10" s="29" t="n"/>
      <c r="G10" s="30" t="n"/>
      <c r="H10" s="31" t="n"/>
      <c r="I10" s="32" t="n"/>
      <c r="J10" s="32" t="n"/>
      <c r="K10" s="29">
        <f>IF(OR(I10="",J10=""),"",IF(J10=1,I10,ROUND(I10*(1+J10/30),1)))</f>
        <v/>
      </c>
      <c r="L10" s="33">
        <f>IF(K10="","",IF(K10&gt;=PRs!C50,"PR!",""))</f>
        <v/>
      </c>
      <c r="M10" s="32" t="n"/>
      <c r="N10" s="34" t="inlineStr">
        <is>
          <t>Light - save energy for test week</t>
        </is>
      </c>
    </row>
    <row r="11">
      <c r="A11" s="26" t="inlineStr">
        <is>
          <t>Day 1 - Heavy</t>
        </is>
      </c>
      <c r="B11" s="27">
        <f>'Start Here'!$B$7+322</f>
        <v/>
      </c>
      <c r="C11" s="29" t="inlineStr">
        <is>
          <t>Face Pull</t>
        </is>
      </c>
      <c r="D11" s="29" t="n">
        <v>2</v>
      </c>
      <c r="E11" s="29" t="inlineStr">
        <is>
          <t>12-15</t>
        </is>
      </c>
      <c r="F11" s="29" t="n"/>
      <c r="G11" s="30" t="n"/>
      <c r="H11" s="31" t="n"/>
      <c r="I11" s="32" t="n"/>
      <c r="J11" s="32" t="n"/>
      <c r="K11" s="29">
        <f>IF(OR(I11="",J11=""),"",IF(J11=1,I11,ROUND(I11*(1+J11/30),1)))</f>
        <v/>
      </c>
      <c r="L11" s="33">
        <f>IF(K11="","",IF(K11&gt;=PRs!C51,"PR!",""))</f>
        <v/>
      </c>
      <c r="M11" s="32" t="n"/>
      <c r="N11" s="34" t="inlineStr">
        <is>
          <t>Light - save energy for test week</t>
        </is>
      </c>
    </row>
    <row r="12">
      <c r="A12" s="26" t="inlineStr">
        <is>
          <t>Day 2 - Light</t>
        </is>
      </c>
      <c r="B12" s="27">
        <f>'Start Here'!$B$7+324</f>
        <v/>
      </c>
      <c r="C12" s="28" t="inlineStr">
        <is>
          <t>Broad Jump</t>
        </is>
      </c>
      <c r="D12" s="29" t="n">
        <v>2</v>
      </c>
      <c r="E12" s="29" t="inlineStr">
        <is>
          <t>2</t>
        </is>
      </c>
      <c r="F12" s="29" t="n"/>
      <c r="G12" s="30" t="n"/>
      <c r="H12" s="31" t="n"/>
      <c r="I12" s="32" t="n"/>
      <c r="J12" s="32" t="n"/>
      <c r="K12" s="29" t="n"/>
      <c r="L12" s="33">
        <f>IF(I12="","",IF(I12&gt;=PRs!D70,"PR!",""))</f>
        <v/>
      </c>
      <c r="M12" s="32" t="n"/>
      <c r="N12" s="34" t="inlineStr">
        <is>
          <t>Two-foot jump for distance, stick the landing. Full reset between reps. Log your best distance</t>
        </is>
      </c>
    </row>
    <row r="13">
      <c r="A13" s="26" t="inlineStr">
        <is>
          <t>Day 2 - Light</t>
        </is>
      </c>
      <c r="B13" s="27">
        <f>'Start Here'!$B$7+324</f>
        <v/>
      </c>
      <c r="C13" s="31" t="inlineStr">
        <is>
          <t>Clean &amp; Jerk</t>
        </is>
      </c>
      <c r="D13" s="29" t="n">
        <v>2</v>
      </c>
      <c r="E13" s="29" t="inlineStr">
        <is>
          <t>1</t>
        </is>
      </c>
      <c r="F13" s="29" t="n">
        <v>80</v>
      </c>
      <c r="G13" s="30">
        <f>Maxes!H7</f>
        <v/>
      </c>
      <c r="H13" s="31">
        <f>IF(OR(G13="",F13=""),"",MROUND(G13*F13/100,'Start Here'!$B$6))</f>
        <v/>
      </c>
      <c r="I13" s="32" t="n"/>
      <c r="J13" s="32" t="n"/>
      <c r="K13" s="29">
        <f>IF(OR(I13="",J13=""),"",IF(J13=1,I13,ROUND(I13*(1+J13/30),1)))</f>
        <v/>
      </c>
      <c r="L13" s="33">
        <f>IF(K13="","",IF(K13&gt;=PRs!C7,"PR!",""))</f>
        <v/>
      </c>
      <c r="M13" s="32" t="n"/>
      <c r="N13" s="34" t="inlineStr">
        <is>
          <t>Keep it heavy but short - no grinding</t>
        </is>
      </c>
    </row>
    <row r="14">
      <c r="A14" s="26" t="inlineStr">
        <is>
          <t>Day 2 - Light</t>
        </is>
      </c>
      <c r="B14" s="27">
        <f>'Start Here'!$B$7+324</f>
        <v/>
      </c>
      <c r="C14" s="31" t="inlineStr">
        <is>
          <t>Squat</t>
        </is>
      </c>
      <c r="D14" s="29" t="n">
        <v>2</v>
      </c>
      <c r="E14" s="29" t="inlineStr">
        <is>
          <t>3</t>
        </is>
      </c>
      <c r="F14" s="29" t="n">
        <v>65</v>
      </c>
      <c r="G14" s="30">
        <f>Maxes!H2</f>
        <v/>
      </c>
      <c r="H14" s="31">
        <f>IF(OR(G14="",F14=""),"",MROUND(G14*F14/100,'Start Here'!$B$6))</f>
        <v/>
      </c>
      <c r="I14" s="32" t="n"/>
      <c r="J14" s="32" t="n"/>
      <c r="K14" s="29">
        <f>IF(OR(I14="",J14=""),"",IF(J14=1,I14,ROUND(I14*(1+J14/30),1)))</f>
        <v/>
      </c>
      <c r="L14" s="33">
        <f>IF(K14="","",IF(K14&gt;=PRs!C2,"PR!",""))</f>
        <v/>
      </c>
      <c r="M14" s="32" t="n"/>
      <c r="N14" s="34" t="inlineStr">
        <is>
          <t>Easy</t>
        </is>
      </c>
    </row>
    <row r="15">
      <c r="A15" s="26" t="inlineStr">
        <is>
          <t>Day 2 - Light</t>
        </is>
      </c>
      <c r="B15" s="27">
        <f>'Start Here'!$B$7+324</f>
        <v/>
      </c>
      <c r="C15" s="31" t="inlineStr">
        <is>
          <t>Overhead Press</t>
        </is>
      </c>
      <c r="D15" s="29" t="n">
        <v>2</v>
      </c>
      <c r="E15" s="29" t="inlineStr">
        <is>
          <t>2</t>
        </is>
      </c>
      <c r="F15" s="29" t="n">
        <v>80</v>
      </c>
      <c r="G15" s="30">
        <f>Maxes!H5</f>
        <v/>
      </c>
      <c r="H15" s="31">
        <f>IF(OR(G15="",F15=""),"",MROUND(G15*F15/100,'Start Here'!$B$6))</f>
        <v/>
      </c>
      <c r="I15" s="32" t="n"/>
      <c r="J15" s="32" t="n"/>
      <c r="K15" s="29">
        <f>IF(OR(I15="",J15=""),"",IF(J15=1,I15,ROUND(I15*(1+J15/30),1)))</f>
        <v/>
      </c>
      <c r="L15" s="33">
        <f>IF(K15="","",IF(K15&gt;=PRs!C5,"PR!",""))</f>
        <v/>
      </c>
      <c r="M15" s="32" t="n"/>
      <c r="N15" s="34" t="inlineStr">
        <is>
          <t>Keep it heavy but short - no grinding</t>
        </is>
      </c>
    </row>
    <row r="16">
      <c r="A16" s="26" t="inlineStr">
        <is>
          <t>Day 2 - Light</t>
        </is>
      </c>
      <c r="B16" s="27">
        <f>'Start Here'!$B$7+324</f>
        <v/>
      </c>
      <c r="C16" s="31" t="inlineStr">
        <is>
          <t>Deadlift</t>
        </is>
      </c>
      <c r="D16" s="29" t="n">
        <v>2</v>
      </c>
      <c r="E16" s="29" t="inlineStr">
        <is>
          <t>2</t>
        </is>
      </c>
      <c r="F16" s="29" t="n">
        <v>80</v>
      </c>
      <c r="G16" s="30">
        <f>Maxes!H4</f>
        <v/>
      </c>
      <c r="H16" s="31">
        <f>IF(OR(G16="",F16=""),"",MROUND(G16*F16/100,'Start Here'!$B$6))</f>
        <v/>
      </c>
      <c r="I16" s="32" t="n"/>
      <c r="J16" s="32" t="n"/>
      <c r="K16" s="29">
        <f>IF(OR(I16="",J16=""),"",IF(J16=1,I16,ROUND(I16*(1+J16/30),1)))</f>
        <v/>
      </c>
      <c r="L16" s="33">
        <f>IF(K16="","",IF(K16&gt;=PRs!C4,"PR!",""))</f>
        <v/>
      </c>
      <c r="M16" s="32" t="n"/>
      <c r="N16" s="34" t="inlineStr">
        <is>
          <t>Keep it heavy but short - no grinding</t>
        </is>
      </c>
    </row>
    <row r="17">
      <c r="A17" s="26" t="inlineStr">
        <is>
          <t>Day 2 - Light</t>
        </is>
      </c>
      <c r="B17" s="27">
        <f>'Start Here'!$B$7+324</f>
        <v/>
      </c>
      <c r="C17" s="29" t="inlineStr">
        <is>
          <t>Chin-up</t>
        </is>
      </c>
      <c r="D17" s="29" t="n">
        <v>2</v>
      </c>
      <c r="E17" s="29" t="inlineStr">
        <is>
          <t>6-10</t>
        </is>
      </c>
      <c r="F17" s="29" t="n"/>
      <c r="G17" s="30" t="n"/>
      <c r="H17" s="31" t="n"/>
      <c r="I17" s="32" t="n"/>
      <c r="J17" s="32" t="n"/>
      <c r="K17" s="29">
        <f>IF(OR(I17="",J17=""),"",IF(J17=1,I17,ROUND(I17*(1+J17/30),1)))</f>
        <v/>
      </c>
      <c r="L17" s="33">
        <f>IF(K17="","",IF(K17&gt;=PRs!C53,"PR!",""))</f>
        <v/>
      </c>
      <c r="M17" s="32" t="n"/>
      <c r="N17" s="34" t="inlineStr">
        <is>
          <t>Light - save energy for test week</t>
        </is>
      </c>
    </row>
    <row r="18">
      <c r="A18" s="26" t="inlineStr">
        <is>
          <t>Day 2 - Light</t>
        </is>
      </c>
      <c r="B18" s="27">
        <f>'Start Here'!$B$7+324</f>
        <v/>
      </c>
      <c r="C18" s="29" t="inlineStr">
        <is>
          <t>Plank</t>
        </is>
      </c>
      <c r="D18" s="29" t="n">
        <v>2</v>
      </c>
      <c r="E18" s="29" t="inlineStr">
        <is>
          <t>30-60s</t>
        </is>
      </c>
      <c r="F18" s="29" t="n"/>
      <c r="G18" s="30" t="n"/>
      <c r="H18" s="31" t="n"/>
      <c r="I18" s="32" t="n"/>
      <c r="J18" s="32" t="n"/>
      <c r="K18" s="29">
        <f>IF(OR(I18="",J18=""),"",IF(J18=1,I18,ROUND(I18*(1+J18/30),1)))</f>
        <v/>
      </c>
      <c r="L18" s="33">
        <f>IF(K18="","",IF(K18&gt;=PRs!C56,"PR!",""))</f>
        <v/>
      </c>
      <c r="M18" s="32" t="n"/>
      <c r="N18" s="34" t="inlineStr">
        <is>
          <t>Light - save energy for test week</t>
        </is>
      </c>
    </row>
    <row r="19">
      <c r="A19" s="26" t="inlineStr">
        <is>
          <t>Day 3 - Variations</t>
        </is>
      </c>
      <c r="B19" s="27">
        <f>'Start Here'!$B$7+326</f>
        <v/>
      </c>
      <c r="C19" s="28" t="inlineStr">
        <is>
          <t>Box Jump</t>
        </is>
      </c>
      <c r="D19" s="29" t="n">
        <v>2</v>
      </c>
      <c r="E19" s="29" t="inlineStr">
        <is>
          <t>2</t>
        </is>
      </c>
      <c r="F19" s="29" t="n"/>
      <c r="G19" s="30" t="n"/>
      <c r="H19" s="31">
        <f>IFERROR(IF(PRs!D69&lt;'Start Here'!$H$15,'Start Here'!$H$15,IF(PRs!D69&lt;'Start Here'!$H$16,'Start Here'!$H$16,IF(PRs!D69&lt;'Start Here'!$H$17,'Start Here'!$H$17,IF(PRs!D69&lt;'Start Here'!$H$18,'Start Here'!$H$18,"Elite!")))),"")</f>
        <v/>
      </c>
      <c r="I19" s="32" t="n"/>
      <c r="J19" s="32" t="n"/>
      <c r="K19" s="29" t="n"/>
      <c r="L19" s="33">
        <f>IF(I19="","",IF(I19&gt;=PRs!D69,"PR!",""))</f>
        <v/>
      </c>
      <c r="M19" s="32" t="n"/>
      <c r="N19" s="34" t="inlineStr">
        <is>
          <t>Explode up, land softly, STEP down. Full reset between reps. Log your box height; check the standards</t>
        </is>
      </c>
    </row>
    <row r="20">
      <c r="A20" s="26" t="inlineStr">
        <is>
          <t>Day 3 - Variations</t>
        </is>
      </c>
      <c r="B20" s="27">
        <f>'Start Here'!$B$7+326</f>
        <v/>
      </c>
      <c r="C20" s="31" t="inlineStr">
        <is>
          <t>Hang Clean</t>
        </is>
      </c>
      <c r="D20" s="29" t="n">
        <v>2</v>
      </c>
      <c r="E20" s="29" t="inlineStr">
        <is>
          <t>2</t>
        </is>
      </c>
      <c r="F20" s="29" t="n">
        <v>75</v>
      </c>
      <c r="G20" s="30">
        <f>Maxes!H43</f>
        <v/>
      </c>
      <c r="H20" s="31">
        <f>IF(OR(G20="",F20=""),"",MROUND(G20*F20/100,'Start Here'!$B$6))</f>
        <v/>
      </c>
      <c r="I20" s="32" t="n"/>
      <c r="J20" s="32" t="n"/>
      <c r="K20" s="29">
        <f>IF(OR(I20="",J20=""),"",IF(J20=1,I20,ROUND(I20*(1+J20/30),1)))</f>
        <v/>
      </c>
      <c r="L20" s="33">
        <f>IF(K20="","",IF(K20&gt;=PRs!C43,"PR!",""))</f>
        <v/>
      </c>
      <c r="M20" s="32" t="n"/>
      <c r="N20" s="34" t="inlineStr">
        <is>
          <t>Crisp and fast</t>
        </is>
      </c>
    </row>
    <row r="21">
      <c r="A21" s="26" t="inlineStr">
        <is>
          <t>Day 3 - Variations</t>
        </is>
      </c>
      <c r="B21" s="27">
        <f>'Start Here'!$B$7+326</f>
        <v/>
      </c>
      <c r="C21" s="31" t="inlineStr">
        <is>
          <t>Pause Squat</t>
        </is>
      </c>
      <c r="D21" s="29" t="n">
        <v>2</v>
      </c>
      <c r="E21" s="29" t="inlineStr">
        <is>
          <t>3</t>
        </is>
      </c>
      <c r="F21" s="29" t="n">
        <v>75</v>
      </c>
      <c r="G21" s="30">
        <f>Maxes!H9</f>
        <v/>
      </c>
      <c r="H21" s="31">
        <f>IF(OR(G21="",F21=""),"",MROUND(G21*F21/100,'Start Here'!$B$6))</f>
        <v/>
      </c>
      <c r="I21" s="32" t="n"/>
      <c r="J21" s="32" t="n"/>
      <c r="K21" s="29">
        <f>IF(OR(I21="",J21=""),"",IF(J21=1,I21,ROUND(I21*(1+J21/30),1)))</f>
        <v/>
      </c>
      <c r="L21" s="33">
        <f>IF(K21="","",IF(K21&gt;=PRs!C9,"PR!",""))</f>
        <v/>
      </c>
      <c r="M21" s="32" t="n"/>
      <c r="N21" s="34" t="inlineStr">
        <is>
          <t>Crisp and fast</t>
        </is>
      </c>
    </row>
    <row r="22">
      <c r="A22" s="26" t="inlineStr">
        <is>
          <t>Day 3 - Variations</t>
        </is>
      </c>
      <c r="B22" s="27">
        <f>'Start Here'!$B$7+326</f>
        <v/>
      </c>
      <c r="C22" s="31" t="inlineStr">
        <is>
          <t>Floor Press</t>
        </is>
      </c>
      <c r="D22" s="29" t="n">
        <v>2</v>
      </c>
      <c r="E22" s="29" t="inlineStr">
        <is>
          <t>3</t>
        </is>
      </c>
      <c r="F22" s="29" t="n">
        <v>75</v>
      </c>
      <c r="G22" s="30">
        <f>Maxes!H19</f>
        <v/>
      </c>
      <c r="H22" s="31">
        <f>IF(OR(G22="",F22=""),"",MROUND(G22*F22/100,'Start Here'!$B$6))</f>
        <v/>
      </c>
      <c r="I22" s="32" t="n"/>
      <c r="J22" s="32" t="n"/>
      <c r="K22" s="29">
        <f>IF(OR(I22="",J22=""),"",IF(J22=1,I22,ROUND(I22*(1+J22/30),1)))</f>
        <v/>
      </c>
      <c r="L22" s="33">
        <f>IF(K22="","",IF(K22&gt;=PRs!C19,"PR!",""))</f>
        <v/>
      </c>
      <c r="M22" s="32" t="n"/>
      <c r="N22" s="34" t="inlineStr">
        <is>
          <t>Crisp and fast</t>
        </is>
      </c>
    </row>
    <row r="23">
      <c r="A23" s="26" t="inlineStr">
        <is>
          <t>Day 3 - Variations</t>
        </is>
      </c>
      <c r="B23" s="27">
        <f>'Start Here'!$B$7+326</f>
        <v/>
      </c>
      <c r="C23" s="31" t="inlineStr">
        <is>
          <t>Block Pull</t>
        </is>
      </c>
      <c r="D23" s="29" t="n">
        <v>2</v>
      </c>
      <c r="E23" s="29" t="inlineStr">
        <is>
          <t>3</t>
        </is>
      </c>
      <c r="F23" s="29" t="n">
        <v>75</v>
      </c>
      <c r="G23" s="30">
        <f>Maxes!H26</f>
        <v/>
      </c>
      <c r="H23" s="31">
        <f>IF(OR(G23="",F23=""),"",MROUND(G23*F23/100,'Start Here'!$B$6))</f>
        <v/>
      </c>
      <c r="I23" s="32" t="n"/>
      <c r="J23" s="32" t="n"/>
      <c r="K23" s="29">
        <f>IF(OR(I23="",J23=""),"",IF(J23=1,I23,ROUND(I23*(1+J23/30),1)))</f>
        <v/>
      </c>
      <c r="L23" s="33">
        <f>IF(K23="","",IF(K23&gt;=PRs!C26,"PR!",""))</f>
        <v/>
      </c>
      <c r="M23" s="32" t="n"/>
      <c r="N23" s="34" t="inlineStr">
        <is>
          <t>Crisp and fast</t>
        </is>
      </c>
    </row>
    <row r="24">
      <c r="A24" s="26" t="inlineStr">
        <is>
          <t>Day 3 - Variations</t>
        </is>
      </c>
      <c r="B24" s="27">
        <f>'Start Here'!$B$7+326</f>
        <v/>
      </c>
      <c r="C24" s="29" t="inlineStr">
        <is>
          <t>Incline Dumbbell Press</t>
        </is>
      </c>
      <c r="D24" s="29" t="n">
        <v>2</v>
      </c>
      <c r="E24" s="29" t="inlineStr">
        <is>
          <t>8-12</t>
        </is>
      </c>
      <c r="F24" s="29" t="n"/>
      <c r="G24" s="30" t="n"/>
      <c r="H24" s="31" t="n"/>
      <c r="I24" s="32" t="n"/>
      <c r="J24" s="32" t="n"/>
      <c r="K24" s="29">
        <f>IF(OR(I24="",J24=""),"",IF(J24=1,I24,ROUND(I24*(1+J24/30),1)))</f>
        <v/>
      </c>
      <c r="L24" s="33">
        <f>IF(K24="","",IF(K24&gt;=PRs!C57,"PR!",""))</f>
        <v/>
      </c>
      <c r="M24" s="32" t="n"/>
      <c r="N24" s="34" t="inlineStr">
        <is>
          <t>Light - save energy for test week</t>
        </is>
      </c>
    </row>
    <row r="25">
      <c r="A25" s="26" t="inlineStr">
        <is>
          <t>Day 3 - Variations</t>
        </is>
      </c>
      <c r="B25" s="27">
        <f>'Start Here'!$B$7+326</f>
        <v/>
      </c>
      <c r="C25" s="29" t="inlineStr">
        <is>
          <t>Triceps Pushdown</t>
        </is>
      </c>
      <c r="D25" s="29" t="n">
        <v>2</v>
      </c>
      <c r="E25" s="29" t="inlineStr">
        <is>
          <t>10-15</t>
        </is>
      </c>
      <c r="F25" s="29" t="n"/>
      <c r="G25" s="30" t="n"/>
      <c r="H25" s="31" t="n"/>
      <c r="I25" s="32" t="n"/>
      <c r="J25" s="32" t="n"/>
      <c r="K25" s="29">
        <f>IF(OR(I25="",J25=""),"",IF(J25=1,I25,ROUND(I25*(1+J25/30),1)))</f>
        <v/>
      </c>
      <c r="L25" s="33">
        <f>IF(K25="","",IF(K25&gt;=PRs!C59,"PR!",""))</f>
        <v/>
      </c>
      <c r="M25" s="32" t="n"/>
      <c r="N25" s="34" t="inlineStr">
        <is>
          <t>Light - save energy for test week</t>
        </is>
      </c>
    </row>
  </sheetData>
  <hyperlinks>
    <hyperlink xmlns:r="http://schemas.openxmlformats.org/officeDocument/2006/relationships" ref="A2" r:id="rId1"/>
    <hyperlink xmlns:r="http://schemas.openxmlformats.org/officeDocument/2006/relationships" ref="C2" r:id="rId2"/>
    <hyperlink xmlns:r="http://schemas.openxmlformats.org/officeDocument/2006/relationships" ref="E2" r:id="rId3"/>
  </hyperlinks>
  <pageMargins left="0.75" right="0.75" top="1" bottom="1" header="0.5" footer="0.5"/>
  <pageSetup orientation="landscape" fitToHeight="0" fitToWidth="1"/>
</worksheet>
</file>

<file path=xl/worksheets/sheet50.xml><?xml version="1.0" encoding="utf-8"?>
<worksheet xmlns="http://schemas.openxmlformats.org/spreadsheetml/2006/main">
  <sheetPr>
    <tabColor rgb="00DDE3F7"/>
    <outlinePr summaryBelow="1" summaryRight="1"/>
    <pageSetUpPr fitToPage="1"/>
  </sheetPr>
  <dimension ref="A1:N25"/>
  <sheetViews>
    <sheetView workbookViewId="0">
      <pane xSplit="3" ySplit="5" topLeftCell="D6" activePane="bottomRight" state="frozen"/>
      <selection pane="topRight"/>
      <selection pane="bottomLeft"/>
      <selection pane="bottomRight" activeCell="A1" sqref="A1"/>
    </sheetView>
  </sheetViews>
  <sheetFormatPr baseColWidth="8" defaultRowHeight="15"/>
  <cols>
    <col width="17" customWidth="1" min="1" max="1"/>
    <col width="11" customWidth="1" min="2" max="2"/>
    <col width="24" customWidth="1" min="3" max="3"/>
    <col width="5" customWidth="1" min="4" max="4"/>
    <col width="6" customWidth="1" min="5" max="5"/>
    <col width="6" customWidth="1" min="6" max="6"/>
    <col width="9" customWidth="1" min="7" max="7"/>
    <col width="10" customWidth="1" min="8" max="8"/>
    <col width="13" customWidth="1" min="9" max="9"/>
    <col width="8" customWidth="1" min="10" max="10"/>
    <col width="9" customWidth="1" min="11" max="11"/>
    <col width="5" customWidth="1" min="12" max="12"/>
    <col width="22" customWidth="1" min="13" max="13"/>
    <col width="62" customWidth="1" min="14" max="14"/>
  </cols>
  <sheetData>
    <row r="1">
      <c r="A1" s="24" t="inlineStr">
        <is>
          <t>Week 48 - Cycle 4 - Test</t>
        </is>
      </c>
    </row>
    <row r="2">
      <c r="A2" s="25" t="inlineStr">
        <is>
          <t>&lt; Week 47</t>
        </is>
      </c>
      <c r="C2" s="25" t="inlineStr">
        <is>
          <t>Start Here</t>
        </is>
      </c>
      <c r="E2" s="25" t="inlineStr">
        <is>
          <t>Week 49 &gt;</t>
        </is>
      </c>
    </row>
    <row r="3">
      <c r="A3" s="10" t="inlineStr">
        <is>
          <t>Bodyweight this week</t>
        </is>
      </c>
      <c r="C3" s="4" t="n"/>
      <c r="D3" t="inlineStr">
        <is>
          <t>Weigh in once this week: same morning routine, before eating.</t>
        </is>
      </c>
    </row>
    <row r="5">
      <c r="A5" s="5" t="inlineStr">
        <is>
          <t>Day</t>
        </is>
      </c>
      <c r="B5" s="5" t="inlineStr">
        <is>
          <t>Date</t>
        </is>
      </c>
      <c r="C5" s="5" t="inlineStr">
        <is>
          <t>Exercise</t>
        </is>
      </c>
      <c r="D5" s="5" t="inlineStr">
        <is>
          <t>Sets</t>
        </is>
      </c>
      <c r="E5" s="5" t="inlineStr">
        <is>
          <t>Reps</t>
        </is>
      </c>
      <c r="F5" s="5" t="inlineStr">
        <is>
          <t>% TM</t>
        </is>
      </c>
      <c r="G5" s="5" t="inlineStr">
        <is>
          <t>Training max</t>
        </is>
      </c>
      <c r="H5" s="5" t="inlineStr">
        <is>
          <t>Weight / target</t>
        </is>
      </c>
      <c r="I5" s="5" t="inlineStr">
        <is>
          <t>Actual (weight, height or distance)</t>
        </is>
      </c>
      <c r="J5" s="5" t="inlineStr">
        <is>
          <t>Actual reps</t>
        </is>
      </c>
      <c r="K5" s="5" t="inlineStr">
        <is>
          <t>Est. 1RM</t>
        </is>
      </c>
      <c r="L5" s="5" t="inlineStr">
        <is>
          <t>PR</t>
        </is>
      </c>
      <c r="M5" s="5" t="inlineStr">
        <is>
          <t>Notes</t>
        </is>
      </c>
      <c r="N5" s="5" t="inlineStr">
        <is>
          <t>Guidance</t>
        </is>
      </c>
    </row>
    <row r="6">
      <c r="A6" s="26" t="inlineStr">
        <is>
          <t>Day 1 - Heavy</t>
        </is>
      </c>
      <c r="B6" s="27">
        <f>'Start Here'!$B$7+329</f>
        <v/>
      </c>
      <c r="C6" s="28" t="inlineStr">
        <is>
          <t>Box Jump</t>
        </is>
      </c>
      <c r="D6" s="29" t="n">
        <v>2</v>
      </c>
      <c r="E6" s="29" t="inlineStr">
        <is>
          <t>2</t>
        </is>
      </c>
      <c r="F6" s="29" t="n"/>
      <c r="G6" s="30" t="n"/>
      <c r="H6" s="31">
        <f>IFERROR(IF(PRs!D69&lt;'Start Here'!$H$15,'Start Here'!$H$15,IF(PRs!D69&lt;'Start Here'!$H$16,'Start Here'!$H$16,IF(PRs!D69&lt;'Start Here'!$H$17,'Start Here'!$H$17,IF(PRs!D69&lt;'Start Here'!$H$18,'Start Here'!$H$18,"Elite!")))),"")</f>
        <v/>
      </c>
      <c r="I6" s="32" t="n"/>
      <c r="J6" s="32" t="n"/>
      <c r="K6" s="29" t="n"/>
      <c r="L6" s="33">
        <f>IF(I6="","",IF(I6&gt;=PRs!D69,"PR!",""))</f>
        <v/>
      </c>
      <c r="M6" s="32" t="n"/>
      <c r="N6" s="34" t="inlineStr">
        <is>
          <t>Explode up, land softly, STEP down. Full reset between reps. Log your box height; check the standards</t>
        </is>
      </c>
    </row>
    <row r="7">
      <c r="A7" s="26" t="inlineStr">
        <is>
          <t>Day 1 - Heavy</t>
        </is>
      </c>
      <c r="B7" s="27">
        <f>'Start Here'!$B$7+329</f>
        <v/>
      </c>
      <c r="C7" s="31" t="inlineStr">
        <is>
          <t>Snatch</t>
        </is>
      </c>
      <c r="D7" s="29" t="n">
        <v>1</v>
      </c>
      <c r="E7" s="29" t="inlineStr">
        <is>
          <t>Max</t>
        </is>
      </c>
      <c r="F7" s="29" t="n"/>
      <c r="G7" s="30">
        <f>Maxes!H6</f>
        <v/>
      </c>
      <c r="H7" s="31" t="n"/>
      <c r="I7" s="32" t="n"/>
      <c r="J7" s="32" t="n"/>
      <c r="K7" s="29">
        <f>IF(OR(I7="",J7=""),"",IF(J7=1,I7,ROUND(I7*(1+J7/30),1)))</f>
        <v/>
      </c>
      <c r="L7" s="33">
        <f>IF(K7="","",IF(K7&gt;=PRs!C6,"PR!",""))</f>
        <v/>
      </c>
      <c r="M7" s="32" t="n"/>
      <c r="N7" s="34" t="inlineStr">
        <is>
          <t>Work up in small jumps to a new max (1RM, or a 3RM/5RM if you prefer). Log it - it sets next cycle's weights</t>
        </is>
      </c>
    </row>
    <row r="8">
      <c r="A8" s="26" t="inlineStr">
        <is>
          <t>Day 1 - Heavy</t>
        </is>
      </c>
      <c r="B8" s="27">
        <f>'Start Here'!$B$7+329</f>
        <v/>
      </c>
      <c r="C8" s="31" t="inlineStr">
        <is>
          <t>Squat</t>
        </is>
      </c>
      <c r="D8" s="29" t="n">
        <v>1</v>
      </c>
      <c r="E8" s="29" t="inlineStr">
        <is>
          <t>Max</t>
        </is>
      </c>
      <c r="F8" s="29" t="n"/>
      <c r="G8" s="30">
        <f>Maxes!H2</f>
        <v/>
      </c>
      <c r="H8" s="31" t="n"/>
      <c r="I8" s="32" t="n"/>
      <c r="J8" s="32" t="n"/>
      <c r="K8" s="29">
        <f>IF(OR(I8="",J8=""),"",IF(J8=1,I8,ROUND(I8*(1+J8/30),1)))</f>
        <v/>
      </c>
      <c r="L8" s="33">
        <f>IF(K8="","",IF(K8&gt;=PRs!C2,"PR!",""))</f>
        <v/>
      </c>
      <c r="M8" s="32" t="n"/>
      <c r="N8" s="34" t="inlineStr">
        <is>
          <t>Work up in small jumps to a new max (1RM, or a 3RM/5RM if you prefer). Log it - it sets next cycle's weights</t>
        </is>
      </c>
    </row>
    <row r="9">
      <c r="A9" s="26" t="inlineStr">
        <is>
          <t>Day 1 - Heavy</t>
        </is>
      </c>
      <c r="B9" s="27">
        <f>'Start Here'!$B$7+329</f>
        <v/>
      </c>
      <c r="C9" s="31" t="inlineStr">
        <is>
          <t>Bench Press</t>
        </is>
      </c>
      <c r="D9" s="29" t="n">
        <v>1</v>
      </c>
      <c r="E9" s="29" t="inlineStr">
        <is>
          <t>Max</t>
        </is>
      </c>
      <c r="F9" s="29" t="n"/>
      <c r="G9" s="30">
        <f>Maxes!H3</f>
        <v/>
      </c>
      <c r="H9" s="31" t="n"/>
      <c r="I9" s="32" t="n"/>
      <c r="J9" s="32" t="n"/>
      <c r="K9" s="29">
        <f>IF(OR(I9="",J9=""),"",IF(J9=1,I9,ROUND(I9*(1+J9/30),1)))</f>
        <v/>
      </c>
      <c r="L9" s="33">
        <f>IF(K9="","",IF(K9&gt;=PRs!C3,"PR!",""))</f>
        <v/>
      </c>
      <c r="M9" s="32" t="n"/>
      <c r="N9" s="34" t="inlineStr">
        <is>
          <t>Work up in small jumps to a new max (1RM, or a 3RM/5RM if you prefer). Log it - it sets next cycle's weights</t>
        </is>
      </c>
    </row>
    <row r="10">
      <c r="A10" s="26" t="inlineStr">
        <is>
          <t>Day 1 - Heavy</t>
        </is>
      </c>
      <c r="B10" s="27">
        <f>'Start Here'!$B$7+329</f>
        <v/>
      </c>
      <c r="C10" s="29" t="inlineStr">
        <is>
          <t>Barbell Row</t>
        </is>
      </c>
      <c r="D10" s="29" t="n">
        <v>2</v>
      </c>
      <c r="E10" s="29" t="inlineStr">
        <is>
          <t>8-10</t>
        </is>
      </c>
      <c r="F10" s="29" t="n"/>
      <c r="G10" s="30" t="n"/>
      <c r="H10" s="31" t="n"/>
      <c r="I10" s="32" t="n"/>
      <c r="J10" s="32" t="n"/>
      <c r="K10" s="29">
        <f>IF(OR(I10="",J10=""),"",IF(J10=1,I10,ROUND(I10*(1+J10/30),1)))</f>
        <v/>
      </c>
      <c r="L10" s="33">
        <f>IF(K10="","",IF(K10&gt;=PRs!C50,"PR!",""))</f>
        <v/>
      </c>
      <c r="M10" s="32" t="n"/>
      <c r="N10" s="34" t="inlineStr">
        <is>
          <t>Light</t>
        </is>
      </c>
    </row>
    <row r="11">
      <c r="A11" s="26" t="inlineStr">
        <is>
          <t>Day 1 - Heavy</t>
        </is>
      </c>
      <c r="B11" s="27">
        <f>'Start Here'!$B$7+329</f>
        <v/>
      </c>
      <c r="C11" s="29" t="inlineStr">
        <is>
          <t>Face Pull</t>
        </is>
      </c>
      <c r="D11" s="29" t="n">
        <v>2</v>
      </c>
      <c r="E11" s="29" t="inlineStr">
        <is>
          <t>12-15</t>
        </is>
      </c>
      <c r="F11" s="29" t="n"/>
      <c r="G11" s="30" t="n"/>
      <c r="H11" s="31" t="n"/>
      <c r="I11" s="32" t="n"/>
      <c r="J11" s="32" t="n"/>
      <c r="K11" s="29">
        <f>IF(OR(I11="",J11=""),"",IF(J11=1,I11,ROUND(I11*(1+J11/30),1)))</f>
        <v/>
      </c>
      <c r="L11" s="33">
        <f>IF(K11="","",IF(K11&gt;=PRs!C51,"PR!",""))</f>
        <v/>
      </c>
      <c r="M11" s="32" t="n"/>
      <c r="N11" s="34" t="inlineStr">
        <is>
          <t>Light</t>
        </is>
      </c>
    </row>
    <row r="12">
      <c r="A12" s="26" t="inlineStr">
        <is>
          <t>Day 2 - Light</t>
        </is>
      </c>
      <c r="B12" s="27">
        <f>'Start Here'!$B$7+331</f>
        <v/>
      </c>
      <c r="C12" s="28" t="inlineStr">
        <is>
          <t>Broad Jump</t>
        </is>
      </c>
      <c r="D12" s="29" t="n">
        <v>1</v>
      </c>
      <c r="E12" s="29" t="inlineStr">
        <is>
          <t>Max</t>
        </is>
      </c>
      <c r="F12" s="29" t="n"/>
      <c r="G12" s="30" t="n"/>
      <c r="H12" s="31" t="n"/>
      <c r="I12" s="32" t="n"/>
      <c r="J12" s="32" t="n"/>
      <c r="K12" s="29" t="n"/>
      <c r="L12" s="33">
        <f>IF(I12="","",IF(I12&gt;=PRs!D70,"PR!",""))</f>
        <v/>
      </c>
      <c r="M12" s="32" t="n"/>
      <c r="N12" s="34" t="inlineStr">
        <is>
          <t>Test day: work up to your highest box / longest jump and log it</t>
        </is>
      </c>
    </row>
    <row r="13">
      <c r="A13" s="26" t="inlineStr">
        <is>
          <t>Day 2 - Light</t>
        </is>
      </c>
      <c r="B13" s="27">
        <f>'Start Here'!$B$7+331</f>
        <v/>
      </c>
      <c r="C13" s="31" t="inlineStr">
        <is>
          <t>Clean &amp; Jerk</t>
        </is>
      </c>
      <c r="D13" s="29" t="n">
        <v>1</v>
      </c>
      <c r="E13" s="29" t="inlineStr">
        <is>
          <t>Max</t>
        </is>
      </c>
      <c r="F13" s="29" t="n"/>
      <c r="G13" s="30">
        <f>Maxes!H7</f>
        <v/>
      </c>
      <c r="H13" s="31" t="n"/>
      <c r="I13" s="32" t="n"/>
      <c r="J13" s="32" t="n"/>
      <c r="K13" s="29">
        <f>IF(OR(I13="",J13=""),"",IF(J13=1,I13,ROUND(I13*(1+J13/30),1)))</f>
        <v/>
      </c>
      <c r="L13" s="33">
        <f>IF(K13="","",IF(K13&gt;=PRs!C7,"PR!",""))</f>
        <v/>
      </c>
      <c r="M13" s="32" t="n"/>
      <c r="N13" s="34" t="inlineStr">
        <is>
          <t>Work up in small jumps to a new max (1RM, or a 3RM/5RM if you prefer). Log it - it sets next cycle's weights</t>
        </is>
      </c>
    </row>
    <row r="14">
      <c r="A14" s="26" t="inlineStr">
        <is>
          <t>Day 2 - Light</t>
        </is>
      </c>
      <c r="B14" s="27">
        <f>'Start Here'!$B$7+331</f>
        <v/>
      </c>
      <c r="C14" s="31" t="inlineStr">
        <is>
          <t>Squat</t>
        </is>
      </c>
      <c r="D14" s="29" t="n">
        <v>2</v>
      </c>
      <c r="E14" s="29" t="inlineStr">
        <is>
          <t>3</t>
        </is>
      </c>
      <c r="F14" s="29" t="n">
        <v>60</v>
      </c>
      <c r="G14" s="30">
        <f>Maxes!H2</f>
        <v/>
      </c>
      <c r="H14" s="31">
        <f>IF(OR(G14="",F14=""),"",MROUND(G14*F14/100,'Start Here'!$B$6))</f>
        <v/>
      </c>
      <c r="I14" s="32" t="n"/>
      <c r="J14" s="32" t="n"/>
      <c r="K14" s="29">
        <f>IF(OR(I14="",J14=""),"",IF(J14=1,I14,ROUND(I14*(1+J14/30),1)))</f>
        <v/>
      </c>
      <c r="L14" s="33">
        <f>IF(K14="","",IF(K14&gt;=PRs!C2,"PR!",""))</f>
        <v/>
      </c>
      <c r="M14" s="32" t="n"/>
      <c r="N14" s="34" t="inlineStr">
        <is>
          <t>Light technique work</t>
        </is>
      </c>
    </row>
    <row r="15">
      <c r="A15" s="26" t="inlineStr">
        <is>
          <t>Day 2 - Light</t>
        </is>
      </c>
      <c r="B15" s="27">
        <f>'Start Here'!$B$7+331</f>
        <v/>
      </c>
      <c r="C15" s="31" t="inlineStr">
        <is>
          <t>Overhead Press</t>
        </is>
      </c>
      <c r="D15" s="29" t="n">
        <v>1</v>
      </c>
      <c r="E15" s="29" t="inlineStr">
        <is>
          <t>Max</t>
        </is>
      </c>
      <c r="F15" s="29" t="n"/>
      <c r="G15" s="30">
        <f>Maxes!H5</f>
        <v/>
      </c>
      <c r="H15" s="31" t="n"/>
      <c r="I15" s="32" t="n"/>
      <c r="J15" s="32" t="n"/>
      <c r="K15" s="29">
        <f>IF(OR(I15="",J15=""),"",IF(J15=1,I15,ROUND(I15*(1+J15/30),1)))</f>
        <v/>
      </c>
      <c r="L15" s="33">
        <f>IF(K15="","",IF(K15&gt;=PRs!C5,"PR!",""))</f>
        <v/>
      </c>
      <c r="M15" s="32" t="n"/>
      <c r="N15" s="34" t="inlineStr">
        <is>
          <t>Work up in small jumps to a new max (1RM, or a 3RM/5RM if you prefer). Log it - it sets next cycle's weights</t>
        </is>
      </c>
    </row>
    <row r="16">
      <c r="A16" s="26" t="inlineStr">
        <is>
          <t>Day 2 - Light</t>
        </is>
      </c>
      <c r="B16" s="27">
        <f>'Start Here'!$B$7+331</f>
        <v/>
      </c>
      <c r="C16" s="31" t="inlineStr">
        <is>
          <t>Deadlift</t>
        </is>
      </c>
      <c r="D16" s="29" t="n">
        <v>1</v>
      </c>
      <c r="E16" s="29" t="inlineStr">
        <is>
          <t>Max</t>
        </is>
      </c>
      <c r="F16" s="29" t="n"/>
      <c r="G16" s="30">
        <f>Maxes!H4</f>
        <v/>
      </c>
      <c r="H16" s="31" t="n"/>
      <c r="I16" s="32" t="n"/>
      <c r="J16" s="32" t="n"/>
      <c r="K16" s="29">
        <f>IF(OR(I16="",J16=""),"",IF(J16=1,I16,ROUND(I16*(1+J16/30),1)))</f>
        <v/>
      </c>
      <c r="L16" s="33">
        <f>IF(K16="","",IF(K16&gt;=PRs!C4,"PR!",""))</f>
        <v/>
      </c>
      <c r="M16" s="32" t="n"/>
      <c r="N16" s="34" t="inlineStr">
        <is>
          <t>Work up in small jumps to a new max (1RM, or a 3RM/5RM if you prefer). Log it - it sets next cycle's weights</t>
        </is>
      </c>
    </row>
    <row r="17">
      <c r="A17" s="26" t="inlineStr">
        <is>
          <t>Day 2 - Light</t>
        </is>
      </c>
      <c r="B17" s="27">
        <f>'Start Here'!$B$7+331</f>
        <v/>
      </c>
      <c r="C17" s="29" t="inlineStr">
        <is>
          <t>Chin-up</t>
        </is>
      </c>
      <c r="D17" s="29" t="n">
        <v>2</v>
      </c>
      <c r="E17" s="29" t="inlineStr">
        <is>
          <t>6-10</t>
        </is>
      </c>
      <c r="F17" s="29" t="n"/>
      <c r="G17" s="30" t="n"/>
      <c r="H17" s="31" t="n"/>
      <c r="I17" s="32" t="n"/>
      <c r="J17" s="32" t="n"/>
      <c r="K17" s="29">
        <f>IF(OR(I17="",J17=""),"",IF(J17=1,I17,ROUND(I17*(1+J17/30),1)))</f>
        <v/>
      </c>
      <c r="L17" s="33">
        <f>IF(K17="","",IF(K17&gt;=PRs!C53,"PR!",""))</f>
        <v/>
      </c>
      <c r="M17" s="32" t="n"/>
      <c r="N17" s="34" t="inlineStr">
        <is>
          <t>Light</t>
        </is>
      </c>
    </row>
    <row r="18">
      <c r="A18" s="26" t="inlineStr">
        <is>
          <t>Day 2 - Light</t>
        </is>
      </c>
      <c r="B18" s="27">
        <f>'Start Here'!$B$7+331</f>
        <v/>
      </c>
      <c r="C18" s="29" t="inlineStr">
        <is>
          <t>Plank</t>
        </is>
      </c>
      <c r="D18" s="29" t="n">
        <v>2</v>
      </c>
      <c r="E18" s="29" t="inlineStr">
        <is>
          <t>30-60s</t>
        </is>
      </c>
      <c r="F18" s="29" t="n"/>
      <c r="G18" s="30" t="n"/>
      <c r="H18" s="31" t="n"/>
      <c r="I18" s="32" t="n"/>
      <c r="J18" s="32" t="n"/>
      <c r="K18" s="29">
        <f>IF(OR(I18="",J18=""),"",IF(J18=1,I18,ROUND(I18*(1+J18/30),1)))</f>
        <v/>
      </c>
      <c r="L18" s="33">
        <f>IF(K18="","",IF(K18&gt;=PRs!C56,"PR!",""))</f>
        <v/>
      </c>
      <c r="M18" s="32" t="n"/>
      <c r="N18" s="34" t="inlineStr">
        <is>
          <t>Light</t>
        </is>
      </c>
    </row>
    <row r="19">
      <c r="A19" s="26" t="inlineStr">
        <is>
          <t>Day 3 - Variations</t>
        </is>
      </c>
      <c r="B19" s="27">
        <f>'Start Here'!$B$7+333</f>
        <v/>
      </c>
      <c r="C19" s="28" t="inlineStr">
        <is>
          <t>Box Jump</t>
        </is>
      </c>
      <c r="D19" s="29" t="n">
        <v>1</v>
      </c>
      <c r="E19" s="29" t="inlineStr">
        <is>
          <t>Max</t>
        </is>
      </c>
      <c r="F19" s="29" t="n"/>
      <c r="G19" s="30" t="n"/>
      <c r="H19" s="31">
        <f>IFERROR(IF(PRs!D69&lt;'Start Here'!$H$15,'Start Here'!$H$15,IF(PRs!D69&lt;'Start Here'!$H$16,'Start Here'!$H$16,IF(PRs!D69&lt;'Start Here'!$H$17,'Start Here'!$H$17,IF(PRs!D69&lt;'Start Here'!$H$18,'Start Here'!$H$18,"Elite!")))),"")</f>
        <v/>
      </c>
      <c r="I19" s="32" t="n"/>
      <c r="J19" s="32" t="n"/>
      <c r="K19" s="29" t="n"/>
      <c r="L19" s="33">
        <f>IF(I19="","",IF(I19&gt;=PRs!D69,"PR!",""))</f>
        <v/>
      </c>
      <c r="M19" s="32" t="n"/>
      <c r="N19" s="34" t="inlineStr">
        <is>
          <t>Test day: work up to your highest box / longest jump and log it</t>
        </is>
      </c>
    </row>
    <row r="20">
      <c r="A20" s="26" t="inlineStr">
        <is>
          <t>Day 3 - Variations</t>
        </is>
      </c>
      <c r="B20" s="27">
        <f>'Start Here'!$B$7+333</f>
        <v/>
      </c>
      <c r="C20" s="31" t="inlineStr">
        <is>
          <t>Hang Clean</t>
        </is>
      </c>
      <c r="D20" s="29" t="n">
        <v>1</v>
      </c>
      <c r="E20" s="29" t="inlineStr">
        <is>
          <t>1RM</t>
        </is>
      </c>
      <c r="F20" s="29" t="n"/>
      <c r="G20" s="30">
        <f>Maxes!H43</f>
        <v/>
      </c>
      <c r="H20" s="31" t="n"/>
      <c r="I20" s="32" t="n"/>
      <c r="J20" s="32" t="n"/>
      <c r="K20" s="29">
        <f>IF(OR(I20="",J20=""),"",IF(J20=1,I20,ROUND(I20*(1+J20/30),1)))</f>
        <v/>
      </c>
      <c r="L20" s="33">
        <f>IF(K20="","",IF(K20&gt;=PRs!C43,"PR!",""))</f>
        <v/>
      </c>
      <c r="M20" s="32" t="n"/>
      <c r="N20" s="34" t="inlineStr">
        <is>
          <t>Work up to a 1RM - tracked as its own PR</t>
        </is>
      </c>
    </row>
    <row r="21">
      <c r="A21" s="26" t="inlineStr">
        <is>
          <t>Day 3 - Variations</t>
        </is>
      </c>
      <c r="B21" s="27">
        <f>'Start Here'!$B$7+333</f>
        <v/>
      </c>
      <c r="C21" s="31" t="inlineStr">
        <is>
          <t>Pause Squat</t>
        </is>
      </c>
      <c r="D21" s="29" t="n">
        <v>1</v>
      </c>
      <c r="E21" s="29" t="inlineStr">
        <is>
          <t>3RM</t>
        </is>
      </c>
      <c r="F21" s="29" t="n"/>
      <c r="G21" s="30">
        <f>Maxes!H9</f>
        <v/>
      </c>
      <c r="H21" s="31" t="n"/>
      <c r="I21" s="32" t="n"/>
      <c r="J21" s="32" t="n"/>
      <c r="K21" s="29">
        <f>IF(OR(I21="",J21=""),"",IF(J21=1,I21,ROUND(I21*(1+J21/30),1)))</f>
        <v/>
      </c>
      <c r="L21" s="33">
        <f>IF(K21="","",IF(K21&gt;=PRs!C9,"PR!",""))</f>
        <v/>
      </c>
      <c r="M21" s="32" t="n"/>
      <c r="N21" s="34" t="inlineStr">
        <is>
          <t>Work up to a 3RM - tracked as its own PR</t>
        </is>
      </c>
    </row>
    <row r="22">
      <c r="A22" s="26" t="inlineStr">
        <is>
          <t>Day 3 - Variations</t>
        </is>
      </c>
      <c r="B22" s="27">
        <f>'Start Here'!$B$7+333</f>
        <v/>
      </c>
      <c r="C22" s="31" t="inlineStr">
        <is>
          <t>Floor Press</t>
        </is>
      </c>
      <c r="D22" s="29" t="n">
        <v>1</v>
      </c>
      <c r="E22" s="29" t="inlineStr">
        <is>
          <t>3RM</t>
        </is>
      </c>
      <c r="F22" s="29" t="n"/>
      <c r="G22" s="30">
        <f>Maxes!H19</f>
        <v/>
      </c>
      <c r="H22" s="31" t="n"/>
      <c r="I22" s="32" t="n"/>
      <c r="J22" s="32" t="n"/>
      <c r="K22" s="29">
        <f>IF(OR(I22="",J22=""),"",IF(J22=1,I22,ROUND(I22*(1+J22/30),1)))</f>
        <v/>
      </c>
      <c r="L22" s="33">
        <f>IF(K22="","",IF(K22&gt;=PRs!C19,"PR!",""))</f>
        <v/>
      </c>
      <c r="M22" s="32" t="n"/>
      <c r="N22" s="34" t="inlineStr">
        <is>
          <t>Work up to a 3RM - tracked as its own PR</t>
        </is>
      </c>
    </row>
    <row r="23">
      <c r="A23" s="26" t="inlineStr">
        <is>
          <t>Day 3 - Variations</t>
        </is>
      </c>
      <c r="B23" s="27">
        <f>'Start Here'!$B$7+333</f>
        <v/>
      </c>
      <c r="C23" s="31" t="inlineStr">
        <is>
          <t>Block Pull</t>
        </is>
      </c>
      <c r="D23" s="29" t="n">
        <v>1</v>
      </c>
      <c r="E23" s="29" t="inlineStr">
        <is>
          <t>3RM</t>
        </is>
      </c>
      <c r="F23" s="29" t="n"/>
      <c r="G23" s="30">
        <f>Maxes!H26</f>
        <v/>
      </c>
      <c r="H23" s="31" t="n"/>
      <c r="I23" s="32" t="n"/>
      <c r="J23" s="32" t="n"/>
      <c r="K23" s="29">
        <f>IF(OR(I23="",J23=""),"",IF(J23=1,I23,ROUND(I23*(1+J23/30),1)))</f>
        <v/>
      </c>
      <c r="L23" s="33">
        <f>IF(K23="","",IF(K23&gt;=PRs!C26,"PR!",""))</f>
        <v/>
      </c>
      <c r="M23" s="32" t="n"/>
      <c r="N23" s="34" t="inlineStr">
        <is>
          <t>Work up to a 3RM - tracked as its own PR</t>
        </is>
      </c>
    </row>
    <row r="24">
      <c r="A24" s="26" t="inlineStr">
        <is>
          <t>Day 3 - Variations</t>
        </is>
      </c>
      <c r="B24" s="27">
        <f>'Start Here'!$B$7+333</f>
        <v/>
      </c>
      <c r="C24" s="29" t="inlineStr">
        <is>
          <t>Incline Dumbbell Press</t>
        </is>
      </c>
      <c r="D24" s="29" t="n">
        <v>2</v>
      </c>
      <c r="E24" s="29" t="inlineStr">
        <is>
          <t>8-12</t>
        </is>
      </c>
      <c r="F24" s="29" t="n"/>
      <c r="G24" s="30" t="n"/>
      <c r="H24" s="31" t="n"/>
      <c r="I24" s="32" t="n"/>
      <c r="J24" s="32" t="n"/>
      <c r="K24" s="29">
        <f>IF(OR(I24="",J24=""),"",IF(J24=1,I24,ROUND(I24*(1+J24/30),1)))</f>
        <v/>
      </c>
      <c r="L24" s="33">
        <f>IF(K24="","",IF(K24&gt;=PRs!C57,"PR!",""))</f>
        <v/>
      </c>
      <c r="M24" s="32" t="n"/>
      <c r="N24" s="34" t="inlineStr">
        <is>
          <t>Light</t>
        </is>
      </c>
    </row>
    <row r="25">
      <c r="A25" s="26" t="inlineStr">
        <is>
          <t>Day 3 - Variations</t>
        </is>
      </c>
      <c r="B25" s="27">
        <f>'Start Here'!$B$7+333</f>
        <v/>
      </c>
      <c r="C25" s="29" t="inlineStr">
        <is>
          <t>Triceps Pushdown</t>
        </is>
      </c>
      <c r="D25" s="29" t="n">
        <v>2</v>
      </c>
      <c r="E25" s="29" t="inlineStr">
        <is>
          <t>10-15</t>
        </is>
      </c>
      <c r="F25" s="29" t="n"/>
      <c r="G25" s="30" t="n"/>
      <c r="H25" s="31" t="n"/>
      <c r="I25" s="32" t="n"/>
      <c r="J25" s="32" t="n"/>
      <c r="K25" s="29">
        <f>IF(OR(I25="",J25=""),"",IF(J25=1,I25,ROUND(I25*(1+J25/30),1)))</f>
        <v/>
      </c>
      <c r="L25" s="33">
        <f>IF(K25="","",IF(K25&gt;=PRs!C59,"PR!",""))</f>
        <v/>
      </c>
      <c r="M25" s="32" t="n"/>
      <c r="N25" s="34" t="inlineStr">
        <is>
          <t>Light</t>
        </is>
      </c>
    </row>
  </sheetData>
  <hyperlinks>
    <hyperlink xmlns:r="http://schemas.openxmlformats.org/officeDocument/2006/relationships" ref="A2" r:id="rId1"/>
    <hyperlink xmlns:r="http://schemas.openxmlformats.org/officeDocument/2006/relationships" ref="C2" r:id="rId2"/>
    <hyperlink xmlns:r="http://schemas.openxmlformats.org/officeDocument/2006/relationships" ref="E2" r:id="rId3"/>
  </hyperlinks>
  <pageMargins left="0.75" right="0.75" top="1" bottom="1" header="0.5" footer="0.5"/>
  <pageSetup orientation="landscape" fitToHeight="0" fitToWidth="1"/>
</worksheet>
</file>

<file path=xl/worksheets/sheet51.xml><?xml version="1.0" encoding="utf-8"?>
<worksheet xmlns="http://schemas.openxmlformats.org/spreadsheetml/2006/main">
  <sheetPr>
    <tabColor rgb="00E0F2F1"/>
    <outlinePr summaryBelow="1" summaryRight="1"/>
    <pageSetUpPr fitToPage="1"/>
  </sheetPr>
  <dimension ref="A1:N25"/>
  <sheetViews>
    <sheetView workbookViewId="0">
      <pane xSplit="3" ySplit="5" topLeftCell="D6" activePane="bottomRight" state="frozen"/>
      <selection pane="topRight"/>
      <selection pane="bottomLeft"/>
      <selection pane="bottomRight" activeCell="A1" sqref="A1"/>
    </sheetView>
  </sheetViews>
  <sheetFormatPr baseColWidth="8" defaultRowHeight="15"/>
  <cols>
    <col width="17" customWidth="1" min="1" max="1"/>
    <col width="11" customWidth="1" min="2" max="2"/>
    <col width="24" customWidth="1" min="3" max="3"/>
    <col width="5" customWidth="1" min="4" max="4"/>
    <col width="6" customWidth="1" min="5" max="5"/>
    <col width="6" customWidth="1" min="6" max="6"/>
    <col width="9" customWidth="1" min="7" max="7"/>
    <col width="10" customWidth="1" min="8" max="8"/>
    <col width="13" customWidth="1" min="9" max="9"/>
    <col width="8" customWidth="1" min="10" max="10"/>
    <col width="9" customWidth="1" min="11" max="11"/>
    <col width="5" customWidth="1" min="12" max="12"/>
    <col width="22" customWidth="1" min="13" max="13"/>
    <col width="62" customWidth="1" min="14" max="14"/>
  </cols>
  <sheetData>
    <row r="1">
      <c r="A1" s="24" t="inlineStr">
        <is>
          <t>Week 49 - Transition</t>
        </is>
      </c>
    </row>
    <row r="2">
      <c r="A2" s="25" t="inlineStr">
        <is>
          <t>&lt; Week 48</t>
        </is>
      </c>
      <c r="C2" s="25" t="inlineStr">
        <is>
          <t>Start Here</t>
        </is>
      </c>
      <c r="E2" s="25" t="inlineStr">
        <is>
          <t>Week 50 &gt;</t>
        </is>
      </c>
    </row>
    <row r="3">
      <c r="A3" s="10" t="inlineStr">
        <is>
          <t>Bodyweight this week</t>
        </is>
      </c>
      <c r="C3" s="4" t="n"/>
      <c r="D3" t="inlineStr">
        <is>
          <t>Weigh in once this week: same morning routine, before eating.</t>
        </is>
      </c>
    </row>
    <row r="4">
      <c r="A4" s="35" t="inlineStr">
        <is>
          <t>Body fat test due this week (month 12) - enter it on the Body sheet</t>
        </is>
      </c>
    </row>
    <row r="5">
      <c r="A5" s="5" t="inlineStr">
        <is>
          <t>Day</t>
        </is>
      </c>
      <c r="B5" s="5" t="inlineStr">
        <is>
          <t>Date</t>
        </is>
      </c>
      <c r="C5" s="5" t="inlineStr">
        <is>
          <t>Exercise</t>
        </is>
      </c>
      <c r="D5" s="5" t="inlineStr">
        <is>
          <t>Sets</t>
        </is>
      </c>
      <c r="E5" s="5" t="inlineStr">
        <is>
          <t>Reps</t>
        </is>
      </c>
      <c r="F5" s="5" t="inlineStr">
        <is>
          <t>% TM</t>
        </is>
      </c>
      <c r="G5" s="5" t="inlineStr">
        <is>
          <t>Training max</t>
        </is>
      </c>
      <c r="H5" s="5" t="inlineStr">
        <is>
          <t>Weight / target</t>
        </is>
      </c>
      <c r="I5" s="5" t="inlineStr">
        <is>
          <t>Actual (weight, height or distance)</t>
        </is>
      </c>
      <c r="J5" s="5" t="inlineStr">
        <is>
          <t>Actual reps</t>
        </is>
      </c>
      <c r="K5" s="5" t="inlineStr">
        <is>
          <t>Est. 1RM</t>
        </is>
      </c>
      <c r="L5" s="5" t="inlineStr">
        <is>
          <t>PR</t>
        </is>
      </c>
      <c r="M5" s="5" t="inlineStr">
        <is>
          <t>Notes</t>
        </is>
      </c>
      <c r="N5" s="5" t="inlineStr">
        <is>
          <t>Guidance</t>
        </is>
      </c>
    </row>
    <row r="6">
      <c r="A6" s="26" t="inlineStr">
        <is>
          <t>Day 1 - Heavy</t>
        </is>
      </c>
      <c r="B6" s="27">
        <f>'Start Here'!$B$7+336</f>
        <v/>
      </c>
      <c r="C6" s="28" t="inlineStr">
        <is>
          <t>Box Jump</t>
        </is>
      </c>
      <c r="D6" s="29" t="n">
        <v>3</v>
      </c>
      <c r="E6" s="29" t="inlineStr">
        <is>
          <t>3</t>
        </is>
      </c>
      <c r="F6" s="29" t="n"/>
      <c r="G6" s="30" t="n"/>
      <c r="H6" s="31">
        <f>IFERROR(IF(PRs!D69&lt;'Start Here'!$H$15,'Start Here'!$H$15,IF(PRs!D69&lt;'Start Here'!$H$16,'Start Here'!$H$16,IF(PRs!D69&lt;'Start Here'!$H$17,'Start Here'!$H$17,IF(PRs!D69&lt;'Start Here'!$H$18,'Start Here'!$H$18,"Elite!")))),"")</f>
        <v/>
      </c>
      <c r="I6" s="32" t="n"/>
      <c r="J6" s="32" t="n"/>
      <c r="K6" s="29" t="n"/>
      <c r="L6" s="33">
        <f>IF(I6="","",IF(I6&gt;=PRs!D69,"PR!",""))</f>
        <v/>
      </c>
      <c r="M6" s="32" t="n"/>
      <c r="N6" s="34" t="inlineStr">
        <is>
          <t>Explode up, land softly, STEP down. Full reset between reps. Log your box height; check the standards</t>
        </is>
      </c>
    </row>
    <row r="7">
      <c r="A7" s="26" t="inlineStr">
        <is>
          <t>Day 1 - Heavy</t>
        </is>
      </c>
      <c r="B7" s="27">
        <f>'Start Here'!$B$7+336</f>
        <v/>
      </c>
      <c r="C7" s="31" t="inlineStr">
        <is>
          <t>Snatch</t>
        </is>
      </c>
      <c r="D7" s="29" t="n">
        <v>3</v>
      </c>
      <c r="E7" s="29" t="inlineStr">
        <is>
          <t>3</t>
        </is>
      </c>
      <c r="F7" s="29" t="n">
        <v>60</v>
      </c>
      <c r="G7" s="30">
        <f>Maxes!I6</f>
        <v/>
      </c>
      <c r="H7" s="31">
        <f>IF(OR(G7="",F7=""),"",MROUND(G7*F7/100,'Start Here'!$B$6))</f>
        <v/>
      </c>
      <c r="I7" s="32" t="n"/>
      <c r="J7" s="32" t="n"/>
      <c r="K7" s="29">
        <f>IF(OR(I7="",J7=""),"",IF(J7=1,I7,ROUND(I7*(1+J7/30),1)))</f>
        <v/>
      </c>
      <c r="L7" s="33">
        <f>IF(K7="","",IF(K7&gt;=PRs!C6,"PR!",""))</f>
        <v/>
      </c>
      <c r="M7" s="32" t="n"/>
      <c r="N7" s="34" t="inlineStr">
        <is>
          <t>Easy volume - stay 3+ reps from failure</t>
        </is>
      </c>
    </row>
    <row r="8">
      <c r="A8" s="26" t="inlineStr">
        <is>
          <t>Day 1 - Heavy</t>
        </is>
      </c>
      <c r="B8" s="27">
        <f>'Start Here'!$B$7+336</f>
        <v/>
      </c>
      <c r="C8" s="31" t="inlineStr">
        <is>
          <t>Squat</t>
        </is>
      </c>
      <c r="D8" s="29" t="n">
        <v>3</v>
      </c>
      <c r="E8" s="29" t="inlineStr">
        <is>
          <t>8</t>
        </is>
      </c>
      <c r="F8" s="29" t="n">
        <v>60</v>
      </c>
      <c r="G8" s="30">
        <f>Maxes!I2</f>
        <v/>
      </c>
      <c r="H8" s="31">
        <f>IF(OR(G8="",F8=""),"",MROUND(G8*F8/100,'Start Here'!$B$6))</f>
        <v/>
      </c>
      <c r="I8" s="32" t="n"/>
      <c r="J8" s="32" t="n"/>
      <c r="K8" s="29">
        <f>IF(OR(I8="",J8=""),"",IF(J8=1,I8,ROUND(I8*(1+J8/30),1)))</f>
        <v/>
      </c>
      <c r="L8" s="33">
        <f>IF(K8="","",IF(K8&gt;=PRs!C2,"PR!",""))</f>
        <v/>
      </c>
      <c r="M8" s="32" t="n"/>
      <c r="N8" s="34" t="inlineStr">
        <is>
          <t>Easy volume - stay 3+ reps from failure</t>
        </is>
      </c>
    </row>
    <row r="9">
      <c r="A9" s="26" t="inlineStr">
        <is>
          <t>Day 1 - Heavy</t>
        </is>
      </c>
      <c r="B9" s="27">
        <f>'Start Here'!$B$7+336</f>
        <v/>
      </c>
      <c r="C9" s="31" t="inlineStr">
        <is>
          <t>Bench Press</t>
        </is>
      </c>
      <c r="D9" s="29" t="n">
        <v>3</v>
      </c>
      <c r="E9" s="29" t="inlineStr">
        <is>
          <t>8</t>
        </is>
      </c>
      <c r="F9" s="29" t="n">
        <v>60</v>
      </c>
      <c r="G9" s="30">
        <f>Maxes!I3</f>
        <v/>
      </c>
      <c r="H9" s="31">
        <f>IF(OR(G9="",F9=""),"",MROUND(G9*F9/100,'Start Here'!$B$6))</f>
        <v/>
      </c>
      <c r="I9" s="32" t="n"/>
      <c r="J9" s="32" t="n"/>
      <c r="K9" s="29">
        <f>IF(OR(I9="",J9=""),"",IF(J9=1,I9,ROUND(I9*(1+J9/30),1)))</f>
        <v/>
      </c>
      <c r="L9" s="33">
        <f>IF(K9="","",IF(K9&gt;=PRs!C3,"PR!",""))</f>
        <v/>
      </c>
      <c r="M9" s="32" t="n"/>
      <c r="N9" s="34" t="inlineStr">
        <is>
          <t>Easy volume - stay 3+ reps from failure</t>
        </is>
      </c>
    </row>
    <row r="10">
      <c r="A10" s="26" t="inlineStr">
        <is>
          <t>Day 1 - Heavy</t>
        </is>
      </c>
      <c r="B10" s="27">
        <f>'Start Here'!$B$7+336</f>
        <v/>
      </c>
      <c r="C10" s="29" t="inlineStr">
        <is>
          <t>Barbell Row</t>
        </is>
      </c>
      <c r="D10" s="29" t="n">
        <v>4</v>
      </c>
      <c r="E10" s="29" t="inlineStr">
        <is>
          <t>8-10</t>
        </is>
      </c>
      <c r="F10" s="29" t="n"/>
      <c r="G10" s="30" t="n"/>
      <c r="H10" s="31" t="n"/>
      <c r="I10" s="32" t="n"/>
      <c r="J10" s="32" t="n"/>
      <c r="K10" s="29">
        <f>IF(OR(I10="",J10=""),"",IF(J10=1,I10,ROUND(I10*(1+J10/30),1)))</f>
        <v/>
      </c>
      <c r="L10" s="33">
        <f>IF(K10="","",IF(K10&gt;=PRs!C50,"PR!",""))</f>
        <v/>
      </c>
      <c r="M10" s="32" t="n"/>
      <c r="N10" s="34" t="inlineStr">
        <is>
          <t>Leave 1-2 reps in the tank; add weight when you hit the top of the range</t>
        </is>
      </c>
    </row>
    <row r="11">
      <c r="A11" s="26" t="inlineStr">
        <is>
          <t>Day 1 - Heavy</t>
        </is>
      </c>
      <c r="B11" s="27">
        <f>'Start Here'!$B$7+336</f>
        <v/>
      </c>
      <c r="C11" s="29" t="inlineStr">
        <is>
          <t>Face Pull</t>
        </is>
      </c>
      <c r="D11" s="29" t="n">
        <v>4</v>
      </c>
      <c r="E11" s="29" t="inlineStr">
        <is>
          <t>12-15</t>
        </is>
      </c>
      <c r="F11" s="29" t="n"/>
      <c r="G11" s="30" t="n"/>
      <c r="H11" s="31" t="n"/>
      <c r="I11" s="32" t="n"/>
      <c r="J11" s="32" t="n"/>
      <c r="K11" s="29">
        <f>IF(OR(I11="",J11=""),"",IF(J11=1,I11,ROUND(I11*(1+J11/30),1)))</f>
        <v/>
      </c>
      <c r="L11" s="33">
        <f>IF(K11="","",IF(K11&gt;=PRs!C51,"PR!",""))</f>
        <v/>
      </c>
      <c r="M11" s="32" t="n"/>
      <c r="N11" s="34" t="inlineStr">
        <is>
          <t>Leave 1-2 reps in the tank; add weight when you hit the top of the range</t>
        </is>
      </c>
    </row>
    <row r="12">
      <c r="A12" s="26" t="inlineStr">
        <is>
          <t>Day 2 - Light</t>
        </is>
      </c>
      <c r="B12" s="27">
        <f>'Start Here'!$B$7+338</f>
        <v/>
      </c>
      <c r="C12" s="28" t="inlineStr">
        <is>
          <t>Broad Jump</t>
        </is>
      </c>
      <c r="D12" s="29" t="n">
        <v>3</v>
      </c>
      <c r="E12" s="29" t="inlineStr">
        <is>
          <t>3</t>
        </is>
      </c>
      <c r="F12" s="29" t="n"/>
      <c r="G12" s="30" t="n"/>
      <c r="H12" s="31" t="n"/>
      <c r="I12" s="32" t="n"/>
      <c r="J12" s="32" t="n"/>
      <c r="K12" s="29" t="n"/>
      <c r="L12" s="33">
        <f>IF(I12="","",IF(I12&gt;=PRs!D70,"PR!",""))</f>
        <v/>
      </c>
      <c r="M12" s="32" t="n"/>
      <c r="N12" s="34" t="inlineStr">
        <is>
          <t>Two-foot jump for distance, stick the landing. Full reset between reps. Log your best distance</t>
        </is>
      </c>
    </row>
    <row r="13">
      <c r="A13" s="26" t="inlineStr">
        <is>
          <t>Day 2 - Light</t>
        </is>
      </c>
      <c r="B13" s="27">
        <f>'Start Here'!$B$7+338</f>
        <v/>
      </c>
      <c r="C13" s="31" t="inlineStr">
        <is>
          <t>Clean &amp; Jerk</t>
        </is>
      </c>
      <c r="D13" s="29" t="n">
        <v>3</v>
      </c>
      <c r="E13" s="29" t="inlineStr">
        <is>
          <t>3</t>
        </is>
      </c>
      <c r="F13" s="29" t="n">
        <v>60</v>
      </c>
      <c r="G13" s="30">
        <f>Maxes!I7</f>
        <v/>
      </c>
      <c r="H13" s="31">
        <f>IF(OR(G13="",F13=""),"",MROUND(G13*F13/100,'Start Here'!$B$6))</f>
        <v/>
      </c>
      <c r="I13" s="32" t="n"/>
      <c r="J13" s="32" t="n"/>
      <c r="K13" s="29">
        <f>IF(OR(I13="",J13=""),"",IF(J13=1,I13,ROUND(I13*(1+J13/30),1)))</f>
        <v/>
      </c>
      <c r="L13" s="33">
        <f>IF(K13="","",IF(K13&gt;=PRs!C7,"PR!",""))</f>
        <v/>
      </c>
      <c r="M13" s="32" t="n"/>
      <c r="N13" s="34" t="inlineStr">
        <is>
          <t>Easy volume - stay 3+ reps from failure</t>
        </is>
      </c>
    </row>
    <row r="14">
      <c r="A14" s="26" t="inlineStr">
        <is>
          <t>Day 2 - Light</t>
        </is>
      </c>
      <c r="B14" s="27">
        <f>'Start Here'!$B$7+338</f>
        <v/>
      </c>
      <c r="C14" s="31" t="inlineStr">
        <is>
          <t>Squat</t>
        </is>
      </c>
      <c r="D14" s="29" t="n">
        <v>3</v>
      </c>
      <c r="E14" s="29" t="inlineStr">
        <is>
          <t>8</t>
        </is>
      </c>
      <c r="F14" s="29" t="n">
        <v>60</v>
      </c>
      <c r="G14" s="30">
        <f>Maxes!I2</f>
        <v/>
      </c>
      <c r="H14" s="31">
        <f>IF(OR(G14="",F14=""),"",MROUND(G14*F14/100,'Start Here'!$B$6))</f>
        <v/>
      </c>
      <c r="I14" s="32" t="n"/>
      <c r="J14" s="32" t="n"/>
      <c r="K14" s="29">
        <f>IF(OR(I14="",J14=""),"",IF(J14=1,I14,ROUND(I14*(1+J14/30),1)))</f>
        <v/>
      </c>
      <c r="L14" s="33">
        <f>IF(K14="","",IF(K14&gt;=PRs!C2,"PR!",""))</f>
        <v/>
      </c>
      <c r="M14" s="32" t="n"/>
      <c r="N14" s="34" t="inlineStr">
        <is>
          <t>Easy volume - stay 3+ reps from failure</t>
        </is>
      </c>
    </row>
    <row r="15">
      <c r="A15" s="26" t="inlineStr">
        <is>
          <t>Day 2 - Light</t>
        </is>
      </c>
      <c r="B15" s="27">
        <f>'Start Here'!$B$7+338</f>
        <v/>
      </c>
      <c r="C15" s="31" t="inlineStr">
        <is>
          <t>Overhead Press</t>
        </is>
      </c>
      <c r="D15" s="29" t="n">
        <v>3</v>
      </c>
      <c r="E15" s="29" t="inlineStr">
        <is>
          <t>8</t>
        </is>
      </c>
      <c r="F15" s="29" t="n">
        <v>60</v>
      </c>
      <c r="G15" s="30">
        <f>Maxes!I5</f>
        <v/>
      </c>
      <c r="H15" s="31">
        <f>IF(OR(G15="",F15=""),"",MROUND(G15*F15/100,'Start Here'!$B$6))</f>
        <v/>
      </c>
      <c r="I15" s="32" t="n"/>
      <c r="J15" s="32" t="n"/>
      <c r="K15" s="29">
        <f>IF(OR(I15="",J15=""),"",IF(J15=1,I15,ROUND(I15*(1+J15/30),1)))</f>
        <v/>
      </c>
      <c r="L15" s="33">
        <f>IF(K15="","",IF(K15&gt;=PRs!C5,"PR!",""))</f>
        <v/>
      </c>
      <c r="M15" s="32" t="n"/>
      <c r="N15" s="34" t="inlineStr">
        <is>
          <t>Easy volume - stay 3+ reps from failure</t>
        </is>
      </c>
    </row>
    <row r="16">
      <c r="A16" s="26" t="inlineStr">
        <is>
          <t>Day 2 - Light</t>
        </is>
      </c>
      <c r="B16" s="27">
        <f>'Start Here'!$B$7+338</f>
        <v/>
      </c>
      <c r="C16" s="31" t="inlineStr">
        <is>
          <t>Deadlift</t>
        </is>
      </c>
      <c r="D16" s="29" t="n">
        <v>3</v>
      </c>
      <c r="E16" s="29" t="inlineStr">
        <is>
          <t>8</t>
        </is>
      </c>
      <c r="F16" s="29" t="n">
        <v>60</v>
      </c>
      <c r="G16" s="30">
        <f>Maxes!I4</f>
        <v/>
      </c>
      <c r="H16" s="31">
        <f>IF(OR(G16="",F16=""),"",MROUND(G16*F16/100,'Start Here'!$B$6))</f>
        <v/>
      </c>
      <c r="I16" s="32" t="n"/>
      <c r="J16" s="32" t="n"/>
      <c r="K16" s="29">
        <f>IF(OR(I16="",J16=""),"",IF(J16=1,I16,ROUND(I16*(1+J16/30),1)))</f>
        <v/>
      </c>
      <c r="L16" s="33">
        <f>IF(K16="","",IF(K16&gt;=PRs!C4,"PR!",""))</f>
        <v/>
      </c>
      <c r="M16" s="32" t="n"/>
      <c r="N16" s="34" t="inlineStr">
        <is>
          <t>Easy volume - stay 3+ reps from failure</t>
        </is>
      </c>
    </row>
    <row r="17">
      <c r="A17" s="26" t="inlineStr">
        <is>
          <t>Day 2 - Light</t>
        </is>
      </c>
      <c r="B17" s="27">
        <f>'Start Here'!$B$7+338</f>
        <v/>
      </c>
      <c r="C17" s="29" t="inlineStr">
        <is>
          <t>Chin-up</t>
        </is>
      </c>
      <c r="D17" s="29" t="n">
        <v>4</v>
      </c>
      <c r="E17" s="29" t="inlineStr">
        <is>
          <t>6-10</t>
        </is>
      </c>
      <c r="F17" s="29" t="n"/>
      <c r="G17" s="30" t="n"/>
      <c r="H17" s="31" t="n"/>
      <c r="I17" s="32" t="n"/>
      <c r="J17" s="32" t="n"/>
      <c r="K17" s="29">
        <f>IF(OR(I17="",J17=""),"",IF(J17=1,I17,ROUND(I17*(1+J17/30),1)))</f>
        <v/>
      </c>
      <c r="L17" s="33">
        <f>IF(K17="","",IF(K17&gt;=PRs!C53,"PR!",""))</f>
        <v/>
      </c>
      <c r="M17" s="32" t="n"/>
      <c r="N17" s="34" t="inlineStr">
        <is>
          <t>Leave 1-2 reps in the tank; add weight when you hit the top of the range</t>
        </is>
      </c>
    </row>
    <row r="18">
      <c r="A18" s="26" t="inlineStr">
        <is>
          <t>Day 2 - Light</t>
        </is>
      </c>
      <c r="B18" s="27">
        <f>'Start Here'!$B$7+338</f>
        <v/>
      </c>
      <c r="C18" s="29" t="inlineStr">
        <is>
          <t>Plank</t>
        </is>
      </c>
      <c r="D18" s="29" t="n">
        <v>4</v>
      </c>
      <c r="E18" s="29" t="inlineStr">
        <is>
          <t>30-60s</t>
        </is>
      </c>
      <c r="F18" s="29" t="n"/>
      <c r="G18" s="30" t="n"/>
      <c r="H18" s="31" t="n"/>
      <c r="I18" s="32" t="n"/>
      <c r="J18" s="32" t="n"/>
      <c r="K18" s="29">
        <f>IF(OR(I18="",J18=""),"",IF(J18=1,I18,ROUND(I18*(1+J18/30),1)))</f>
        <v/>
      </c>
      <c r="L18" s="33">
        <f>IF(K18="","",IF(K18&gt;=PRs!C56,"PR!",""))</f>
        <v/>
      </c>
      <c r="M18" s="32" t="n"/>
      <c r="N18" s="34" t="inlineStr">
        <is>
          <t>Leave 1-2 reps in the tank; add weight when you hit the top of the range</t>
        </is>
      </c>
    </row>
    <row r="19">
      <c r="A19" s="26" t="inlineStr">
        <is>
          <t>Day 3 - Variations</t>
        </is>
      </c>
      <c r="B19" s="27">
        <f>'Start Here'!$B$7+340</f>
        <v/>
      </c>
      <c r="C19" s="28" t="inlineStr">
        <is>
          <t>Box Jump</t>
        </is>
      </c>
      <c r="D19" s="29" t="n">
        <v>3</v>
      </c>
      <c r="E19" s="29" t="inlineStr">
        <is>
          <t>3</t>
        </is>
      </c>
      <c r="F19" s="29" t="n"/>
      <c r="G19" s="30" t="n"/>
      <c r="H19" s="31">
        <f>IFERROR(IF(PRs!D69&lt;'Start Here'!$H$15,'Start Here'!$H$15,IF(PRs!D69&lt;'Start Here'!$H$16,'Start Here'!$H$16,IF(PRs!D69&lt;'Start Here'!$H$17,'Start Here'!$H$17,IF(PRs!D69&lt;'Start Here'!$H$18,'Start Here'!$H$18,"Elite!")))),"")</f>
        <v/>
      </c>
      <c r="I19" s="32" t="n"/>
      <c r="J19" s="32" t="n"/>
      <c r="K19" s="29" t="n"/>
      <c r="L19" s="33">
        <f>IF(I19="","",IF(I19&gt;=PRs!D69,"PR!",""))</f>
        <v/>
      </c>
      <c r="M19" s="32" t="n"/>
      <c r="N19" s="34" t="inlineStr">
        <is>
          <t>Explode up, land softly, STEP down. Full reset between reps. Log your box height; check the standards</t>
        </is>
      </c>
    </row>
    <row r="20">
      <c r="A20" s="26" t="inlineStr">
        <is>
          <t>Day 3 - Variations</t>
        </is>
      </c>
      <c r="B20" s="27">
        <f>'Start Here'!$B$7+340</f>
        <v/>
      </c>
      <c r="C20" s="31" t="inlineStr">
        <is>
          <t>Snatch Balance</t>
        </is>
      </c>
      <c r="D20" s="29" t="n">
        <v>3</v>
      </c>
      <c r="E20" s="29" t="inlineStr">
        <is>
          <t>3</t>
        </is>
      </c>
      <c r="F20" s="29" t="n">
        <v>60</v>
      </c>
      <c r="G20" s="30">
        <f>Maxes!I38</f>
        <v/>
      </c>
      <c r="H20" s="31">
        <f>IF(OR(G20="",F20=""),"",MROUND(G20*F20/100,'Start Here'!$B$6))</f>
        <v/>
      </c>
      <c r="I20" s="32" t="n"/>
      <c r="J20" s="32" t="n"/>
      <c r="K20" s="29">
        <f>IF(OR(I20="",J20=""),"",IF(J20=1,I20,ROUND(I20*(1+J20/30),1)))</f>
        <v/>
      </c>
      <c r="L20" s="33">
        <f>IF(K20="","",IF(K20&gt;=PRs!C38,"PR!",""))</f>
        <v/>
      </c>
      <c r="M20" s="32" t="n"/>
      <c r="N20" s="34" t="inlineStr">
        <is>
          <t>Easy volume - stay 3+ reps from failure</t>
        </is>
      </c>
    </row>
    <row r="21">
      <c r="A21" s="26" t="inlineStr">
        <is>
          <t>Day 3 - Variations</t>
        </is>
      </c>
      <c r="B21" s="27">
        <f>'Start Here'!$B$7+340</f>
        <v/>
      </c>
      <c r="C21" s="31" t="inlineStr">
        <is>
          <t>Front Squat</t>
        </is>
      </c>
      <c r="D21" s="29" t="n">
        <v>3</v>
      </c>
      <c r="E21" s="29" t="inlineStr">
        <is>
          <t>8</t>
        </is>
      </c>
      <c r="F21" s="29" t="n">
        <v>60</v>
      </c>
      <c r="G21" s="30">
        <f>Maxes!I10</f>
        <v/>
      </c>
      <c r="H21" s="31">
        <f>IF(OR(G21="",F21=""),"",MROUND(G21*F21/100,'Start Here'!$B$6))</f>
        <v/>
      </c>
      <c r="I21" s="32" t="n"/>
      <c r="J21" s="32" t="n"/>
      <c r="K21" s="29">
        <f>IF(OR(I21="",J21=""),"",IF(J21=1,I21,ROUND(I21*(1+J21/30),1)))</f>
        <v/>
      </c>
      <c r="L21" s="33">
        <f>IF(K21="","",IF(K21&gt;=PRs!C10,"PR!",""))</f>
        <v/>
      </c>
      <c r="M21" s="32" t="n"/>
      <c r="N21" s="34" t="inlineStr">
        <is>
          <t>Easy volume - stay 3+ reps from failure</t>
        </is>
      </c>
    </row>
    <row r="22">
      <c r="A22" s="26" t="inlineStr">
        <is>
          <t>Day 3 - Variations</t>
        </is>
      </c>
      <c r="B22" s="27">
        <f>'Start Here'!$B$7+340</f>
        <v/>
      </c>
      <c r="C22" s="31" t="inlineStr">
        <is>
          <t>3-Board Press</t>
        </is>
      </c>
      <c r="D22" s="29" t="n">
        <v>3</v>
      </c>
      <c r="E22" s="29" t="inlineStr">
        <is>
          <t>8</t>
        </is>
      </c>
      <c r="F22" s="29" t="n">
        <v>60</v>
      </c>
      <c r="G22" s="30">
        <f>Maxes!I17</f>
        <v/>
      </c>
      <c r="H22" s="31">
        <f>IF(OR(G22="",F22=""),"",MROUND(G22*F22/100,'Start Here'!$B$6))</f>
        <v/>
      </c>
      <c r="I22" s="32" t="n"/>
      <c r="J22" s="32" t="n"/>
      <c r="K22" s="29">
        <f>IF(OR(I22="",J22=""),"",IF(J22=1,I22,ROUND(I22*(1+J22/30),1)))</f>
        <v/>
      </c>
      <c r="L22" s="33">
        <f>IF(K22="","",IF(K22&gt;=PRs!C17,"PR!",""))</f>
        <v/>
      </c>
      <c r="M22" s="32" t="n"/>
      <c r="N22" s="34" t="inlineStr">
        <is>
          <t>Easy volume - stay 3+ reps from failure</t>
        </is>
      </c>
    </row>
    <row r="23">
      <c r="A23" s="26" t="inlineStr">
        <is>
          <t>Day 3 - Variations</t>
        </is>
      </c>
      <c r="B23" s="27">
        <f>'Start Here'!$B$7+340</f>
        <v/>
      </c>
      <c r="C23" s="31" t="inlineStr">
        <is>
          <t>Romanian Deadlift</t>
        </is>
      </c>
      <c r="D23" s="29" t="n">
        <v>3</v>
      </c>
      <c r="E23" s="29" t="inlineStr">
        <is>
          <t>8</t>
        </is>
      </c>
      <c r="F23" s="29" t="n">
        <v>60</v>
      </c>
      <c r="G23" s="30">
        <f>Maxes!I23</f>
        <v/>
      </c>
      <c r="H23" s="31">
        <f>IF(OR(G23="",F23=""),"",MROUND(G23*F23/100,'Start Here'!$B$6))</f>
        <v/>
      </c>
      <c r="I23" s="32" t="n"/>
      <c r="J23" s="32" t="n"/>
      <c r="K23" s="29">
        <f>IF(OR(I23="",J23=""),"",IF(J23=1,I23,ROUND(I23*(1+J23/30),1)))</f>
        <v/>
      </c>
      <c r="L23" s="33">
        <f>IF(K23="","",IF(K23&gt;=PRs!C23,"PR!",""))</f>
        <v/>
      </c>
      <c r="M23" s="32" t="n"/>
      <c r="N23" s="34" t="inlineStr">
        <is>
          <t>Easy volume - stay 3+ reps from failure</t>
        </is>
      </c>
    </row>
    <row r="24">
      <c r="A24" s="26" t="inlineStr">
        <is>
          <t>Day 3 - Variations</t>
        </is>
      </c>
      <c r="B24" s="27">
        <f>'Start Here'!$B$7+340</f>
        <v/>
      </c>
      <c r="C24" s="29" t="inlineStr">
        <is>
          <t>Incline Dumbbell Press</t>
        </is>
      </c>
      <c r="D24" s="29" t="n">
        <v>4</v>
      </c>
      <c r="E24" s="29" t="inlineStr">
        <is>
          <t>8-12</t>
        </is>
      </c>
      <c r="F24" s="29" t="n"/>
      <c r="G24" s="30" t="n"/>
      <c r="H24" s="31" t="n"/>
      <c r="I24" s="32" t="n"/>
      <c r="J24" s="32" t="n"/>
      <c r="K24" s="29">
        <f>IF(OR(I24="",J24=""),"",IF(J24=1,I24,ROUND(I24*(1+J24/30),1)))</f>
        <v/>
      </c>
      <c r="L24" s="33">
        <f>IF(K24="","",IF(K24&gt;=PRs!C57,"PR!",""))</f>
        <v/>
      </c>
      <c r="M24" s="32" t="n"/>
      <c r="N24" s="34" t="inlineStr">
        <is>
          <t>Leave 1-2 reps in the tank; add weight when you hit the top of the range</t>
        </is>
      </c>
    </row>
    <row r="25">
      <c r="A25" s="26" t="inlineStr">
        <is>
          <t>Day 3 - Variations</t>
        </is>
      </c>
      <c r="B25" s="27">
        <f>'Start Here'!$B$7+340</f>
        <v/>
      </c>
      <c r="C25" s="29" t="inlineStr">
        <is>
          <t>Triceps Pushdown</t>
        </is>
      </c>
      <c r="D25" s="29" t="n">
        <v>4</v>
      </c>
      <c r="E25" s="29" t="inlineStr">
        <is>
          <t>10-15</t>
        </is>
      </c>
      <c r="F25" s="29" t="n"/>
      <c r="G25" s="30" t="n"/>
      <c r="H25" s="31" t="n"/>
      <c r="I25" s="32" t="n"/>
      <c r="J25" s="32" t="n"/>
      <c r="K25" s="29">
        <f>IF(OR(I25="",J25=""),"",IF(J25=1,I25,ROUND(I25*(1+J25/30),1)))</f>
        <v/>
      </c>
      <c r="L25" s="33">
        <f>IF(K25="","",IF(K25&gt;=PRs!C59,"PR!",""))</f>
        <v/>
      </c>
      <c r="M25" s="32" t="n"/>
      <c r="N25" s="34" t="inlineStr">
        <is>
          <t>Leave 1-2 reps in the tank; add weight when you hit the top of the range</t>
        </is>
      </c>
    </row>
  </sheetData>
  <hyperlinks>
    <hyperlink xmlns:r="http://schemas.openxmlformats.org/officeDocument/2006/relationships" ref="A2" r:id="rId1"/>
    <hyperlink xmlns:r="http://schemas.openxmlformats.org/officeDocument/2006/relationships" ref="C2" r:id="rId2"/>
    <hyperlink xmlns:r="http://schemas.openxmlformats.org/officeDocument/2006/relationships" ref="E2" r:id="rId3"/>
    <hyperlink xmlns:r="http://schemas.openxmlformats.org/officeDocument/2006/relationships" ref="A4" r:id="rId4"/>
  </hyperlinks>
  <pageMargins left="0.75" right="0.75" top="1" bottom="1" header="0.5" footer="0.5"/>
  <pageSetup orientation="landscape" fitToHeight="0" fitToWidth="1"/>
</worksheet>
</file>

<file path=xl/worksheets/sheet52.xml><?xml version="1.0" encoding="utf-8"?>
<worksheet xmlns="http://schemas.openxmlformats.org/spreadsheetml/2006/main">
  <sheetPr>
    <tabColor rgb="00E0F2F1"/>
    <outlinePr summaryBelow="1" summaryRight="1"/>
    <pageSetUpPr fitToPage="1"/>
  </sheetPr>
  <dimension ref="A1:N25"/>
  <sheetViews>
    <sheetView workbookViewId="0">
      <pane xSplit="3" ySplit="5" topLeftCell="D6" activePane="bottomRight" state="frozen"/>
      <selection pane="topRight"/>
      <selection pane="bottomLeft"/>
      <selection pane="bottomRight" activeCell="A1" sqref="A1"/>
    </sheetView>
  </sheetViews>
  <sheetFormatPr baseColWidth="8" defaultRowHeight="15"/>
  <cols>
    <col width="17" customWidth="1" min="1" max="1"/>
    <col width="11" customWidth="1" min="2" max="2"/>
    <col width="24" customWidth="1" min="3" max="3"/>
    <col width="5" customWidth="1" min="4" max="4"/>
    <col width="6" customWidth="1" min="5" max="5"/>
    <col width="6" customWidth="1" min="6" max="6"/>
    <col width="9" customWidth="1" min="7" max="7"/>
    <col width="10" customWidth="1" min="8" max="8"/>
    <col width="13" customWidth="1" min="9" max="9"/>
    <col width="8" customWidth="1" min="10" max="10"/>
    <col width="9" customWidth="1" min="11" max="11"/>
    <col width="5" customWidth="1" min="12" max="12"/>
    <col width="22" customWidth="1" min="13" max="13"/>
    <col width="62" customWidth="1" min="14" max="14"/>
  </cols>
  <sheetData>
    <row r="1">
      <c r="A1" s="24" t="inlineStr">
        <is>
          <t>Week 50 - Transition</t>
        </is>
      </c>
    </row>
    <row r="2">
      <c r="A2" s="25" t="inlineStr">
        <is>
          <t>&lt; Week 49</t>
        </is>
      </c>
      <c r="C2" s="25" t="inlineStr">
        <is>
          <t>Start Here</t>
        </is>
      </c>
      <c r="E2" s="25" t="inlineStr">
        <is>
          <t>Week 51 &gt;</t>
        </is>
      </c>
    </row>
    <row r="3">
      <c r="A3" s="10" t="inlineStr">
        <is>
          <t>Bodyweight this week</t>
        </is>
      </c>
      <c r="C3" s="4" t="n"/>
      <c r="D3" t="inlineStr">
        <is>
          <t>Weigh in once this week: same morning routine, before eating.</t>
        </is>
      </c>
    </row>
    <row r="5">
      <c r="A5" s="5" t="inlineStr">
        <is>
          <t>Day</t>
        </is>
      </c>
      <c r="B5" s="5" t="inlineStr">
        <is>
          <t>Date</t>
        </is>
      </c>
      <c r="C5" s="5" t="inlineStr">
        <is>
          <t>Exercise</t>
        </is>
      </c>
      <c r="D5" s="5" t="inlineStr">
        <is>
          <t>Sets</t>
        </is>
      </c>
      <c r="E5" s="5" t="inlineStr">
        <is>
          <t>Reps</t>
        </is>
      </c>
      <c r="F5" s="5" t="inlineStr">
        <is>
          <t>% TM</t>
        </is>
      </c>
      <c r="G5" s="5" t="inlineStr">
        <is>
          <t>Training max</t>
        </is>
      </c>
      <c r="H5" s="5" t="inlineStr">
        <is>
          <t>Weight / target</t>
        </is>
      </c>
      <c r="I5" s="5" t="inlineStr">
        <is>
          <t>Actual (weight, height or distance)</t>
        </is>
      </c>
      <c r="J5" s="5" t="inlineStr">
        <is>
          <t>Actual reps</t>
        </is>
      </c>
      <c r="K5" s="5" t="inlineStr">
        <is>
          <t>Est. 1RM</t>
        </is>
      </c>
      <c r="L5" s="5" t="inlineStr">
        <is>
          <t>PR</t>
        </is>
      </c>
      <c r="M5" s="5" t="inlineStr">
        <is>
          <t>Notes</t>
        </is>
      </c>
      <c r="N5" s="5" t="inlineStr">
        <is>
          <t>Guidance</t>
        </is>
      </c>
    </row>
    <row r="6">
      <c r="A6" s="26" t="inlineStr">
        <is>
          <t>Day 1 - Heavy</t>
        </is>
      </c>
      <c r="B6" s="27">
        <f>'Start Here'!$B$7+343</f>
        <v/>
      </c>
      <c r="C6" s="28" t="inlineStr">
        <is>
          <t>Box Jump</t>
        </is>
      </c>
      <c r="D6" s="29" t="n">
        <v>3</v>
      </c>
      <c r="E6" s="29" t="inlineStr">
        <is>
          <t>3</t>
        </is>
      </c>
      <c r="F6" s="29" t="n"/>
      <c r="G6" s="30" t="n"/>
      <c r="H6" s="31">
        <f>IFERROR(IF(PRs!D69&lt;'Start Here'!$H$15,'Start Here'!$H$15,IF(PRs!D69&lt;'Start Here'!$H$16,'Start Here'!$H$16,IF(PRs!D69&lt;'Start Here'!$H$17,'Start Here'!$H$17,IF(PRs!D69&lt;'Start Here'!$H$18,'Start Here'!$H$18,"Elite!")))),"")</f>
        <v/>
      </c>
      <c r="I6" s="32" t="n"/>
      <c r="J6" s="32" t="n"/>
      <c r="K6" s="29" t="n"/>
      <c r="L6" s="33">
        <f>IF(I6="","",IF(I6&gt;=PRs!D69,"PR!",""))</f>
        <v/>
      </c>
      <c r="M6" s="32" t="n"/>
      <c r="N6" s="34" t="inlineStr">
        <is>
          <t>Explode up, land softly, STEP down. Full reset between reps. Log your box height; check the standards</t>
        </is>
      </c>
    </row>
    <row r="7">
      <c r="A7" s="26" t="inlineStr">
        <is>
          <t>Day 1 - Heavy</t>
        </is>
      </c>
      <c r="B7" s="27">
        <f>'Start Here'!$B$7+343</f>
        <v/>
      </c>
      <c r="C7" s="31" t="inlineStr">
        <is>
          <t>Snatch</t>
        </is>
      </c>
      <c r="D7" s="29" t="n">
        <v>3</v>
      </c>
      <c r="E7" s="29" t="inlineStr">
        <is>
          <t>3</t>
        </is>
      </c>
      <c r="F7" s="29" t="n">
        <v>62.5</v>
      </c>
      <c r="G7" s="30">
        <f>Maxes!I6</f>
        <v/>
      </c>
      <c r="H7" s="31">
        <f>IF(OR(G7="",F7=""),"",MROUND(G7*F7/100,'Start Here'!$B$6))</f>
        <v/>
      </c>
      <c r="I7" s="32" t="n"/>
      <c r="J7" s="32" t="n"/>
      <c r="K7" s="29">
        <f>IF(OR(I7="",J7=""),"",IF(J7=1,I7,ROUND(I7*(1+J7/30),1)))</f>
        <v/>
      </c>
      <c r="L7" s="33">
        <f>IF(K7="","",IF(K7&gt;=PRs!C6,"PR!",""))</f>
        <v/>
      </c>
      <c r="M7" s="32" t="n"/>
      <c r="N7" s="34" t="inlineStr">
        <is>
          <t>Easy volume - stay 3+ reps from failure</t>
        </is>
      </c>
    </row>
    <row r="8">
      <c r="A8" s="26" t="inlineStr">
        <is>
          <t>Day 1 - Heavy</t>
        </is>
      </c>
      <c r="B8" s="27">
        <f>'Start Here'!$B$7+343</f>
        <v/>
      </c>
      <c r="C8" s="31" t="inlineStr">
        <is>
          <t>Squat</t>
        </is>
      </c>
      <c r="D8" s="29" t="n">
        <v>3</v>
      </c>
      <c r="E8" s="29" t="inlineStr">
        <is>
          <t>8</t>
        </is>
      </c>
      <c r="F8" s="29" t="n">
        <v>62.5</v>
      </c>
      <c r="G8" s="30">
        <f>Maxes!I2</f>
        <v/>
      </c>
      <c r="H8" s="31">
        <f>IF(OR(G8="",F8=""),"",MROUND(G8*F8/100,'Start Here'!$B$6))</f>
        <v/>
      </c>
      <c r="I8" s="32" t="n"/>
      <c r="J8" s="32" t="n"/>
      <c r="K8" s="29">
        <f>IF(OR(I8="",J8=""),"",IF(J8=1,I8,ROUND(I8*(1+J8/30),1)))</f>
        <v/>
      </c>
      <c r="L8" s="33">
        <f>IF(K8="","",IF(K8&gt;=PRs!C2,"PR!",""))</f>
        <v/>
      </c>
      <c r="M8" s="32" t="n"/>
      <c r="N8" s="34" t="inlineStr">
        <is>
          <t>Easy volume - stay 3+ reps from failure</t>
        </is>
      </c>
    </row>
    <row r="9">
      <c r="A9" s="26" t="inlineStr">
        <is>
          <t>Day 1 - Heavy</t>
        </is>
      </c>
      <c r="B9" s="27">
        <f>'Start Here'!$B$7+343</f>
        <v/>
      </c>
      <c r="C9" s="31" t="inlineStr">
        <is>
          <t>Bench Press</t>
        </is>
      </c>
      <c r="D9" s="29" t="n">
        <v>3</v>
      </c>
      <c r="E9" s="29" t="inlineStr">
        <is>
          <t>8</t>
        </is>
      </c>
      <c r="F9" s="29" t="n">
        <v>62.5</v>
      </c>
      <c r="G9" s="30">
        <f>Maxes!I3</f>
        <v/>
      </c>
      <c r="H9" s="31">
        <f>IF(OR(G9="",F9=""),"",MROUND(G9*F9/100,'Start Here'!$B$6))</f>
        <v/>
      </c>
      <c r="I9" s="32" t="n"/>
      <c r="J9" s="32" t="n"/>
      <c r="K9" s="29">
        <f>IF(OR(I9="",J9=""),"",IF(J9=1,I9,ROUND(I9*(1+J9/30),1)))</f>
        <v/>
      </c>
      <c r="L9" s="33">
        <f>IF(K9="","",IF(K9&gt;=PRs!C3,"PR!",""))</f>
        <v/>
      </c>
      <c r="M9" s="32" t="n"/>
      <c r="N9" s="34" t="inlineStr">
        <is>
          <t>Easy volume - stay 3+ reps from failure</t>
        </is>
      </c>
    </row>
    <row r="10">
      <c r="A10" s="26" t="inlineStr">
        <is>
          <t>Day 1 - Heavy</t>
        </is>
      </c>
      <c r="B10" s="27">
        <f>'Start Here'!$B$7+343</f>
        <v/>
      </c>
      <c r="C10" s="29" t="inlineStr">
        <is>
          <t>Barbell Row</t>
        </is>
      </c>
      <c r="D10" s="29" t="n">
        <v>4</v>
      </c>
      <c r="E10" s="29" t="inlineStr">
        <is>
          <t>8-10</t>
        </is>
      </c>
      <c r="F10" s="29" t="n"/>
      <c r="G10" s="30" t="n"/>
      <c r="H10" s="31" t="n"/>
      <c r="I10" s="32" t="n"/>
      <c r="J10" s="32" t="n"/>
      <c r="K10" s="29">
        <f>IF(OR(I10="",J10=""),"",IF(J10=1,I10,ROUND(I10*(1+J10/30),1)))</f>
        <v/>
      </c>
      <c r="L10" s="33">
        <f>IF(K10="","",IF(K10&gt;=PRs!C50,"PR!",""))</f>
        <v/>
      </c>
      <c r="M10" s="32" t="n"/>
      <c r="N10" s="34" t="inlineStr">
        <is>
          <t>Leave 1-2 reps in the tank; add weight when you hit the top of the range</t>
        </is>
      </c>
    </row>
    <row r="11">
      <c r="A11" s="26" t="inlineStr">
        <is>
          <t>Day 1 - Heavy</t>
        </is>
      </c>
      <c r="B11" s="27">
        <f>'Start Here'!$B$7+343</f>
        <v/>
      </c>
      <c r="C11" s="29" t="inlineStr">
        <is>
          <t>Face Pull</t>
        </is>
      </c>
      <c r="D11" s="29" t="n">
        <v>4</v>
      </c>
      <c r="E11" s="29" t="inlineStr">
        <is>
          <t>12-15</t>
        </is>
      </c>
      <c r="F11" s="29" t="n"/>
      <c r="G11" s="30" t="n"/>
      <c r="H11" s="31" t="n"/>
      <c r="I11" s="32" t="n"/>
      <c r="J11" s="32" t="n"/>
      <c r="K11" s="29">
        <f>IF(OR(I11="",J11=""),"",IF(J11=1,I11,ROUND(I11*(1+J11/30),1)))</f>
        <v/>
      </c>
      <c r="L11" s="33">
        <f>IF(K11="","",IF(K11&gt;=PRs!C51,"PR!",""))</f>
        <v/>
      </c>
      <c r="M11" s="32" t="n"/>
      <c r="N11" s="34" t="inlineStr">
        <is>
          <t>Leave 1-2 reps in the tank; add weight when you hit the top of the range</t>
        </is>
      </c>
    </row>
    <row r="12">
      <c r="A12" s="26" t="inlineStr">
        <is>
          <t>Day 2 - Light</t>
        </is>
      </c>
      <c r="B12" s="27">
        <f>'Start Here'!$B$7+345</f>
        <v/>
      </c>
      <c r="C12" s="28" t="inlineStr">
        <is>
          <t>Broad Jump</t>
        </is>
      </c>
      <c r="D12" s="29" t="n">
        <v>3</v>
      </c>
      <c r="E12" s="29" t="inlineStr">
        <is>
          <t>3</t>
        </is>
      </c>
      <c r="F12" s="29" t="n"/>
      <c r="G12" s="30" t="n"/>
      <c r="H12" s="31" t="n"/>
      <c r="I12" s="32" t="n"/>
      <c r="J12" s="32" t="n"/>
      <c r="K12" s="29" t="n"/>
      <c r="L12" s="33">
        <f>IF(I12="","",IF(I12&gt;=PRs!D70,"PR!",""))</f>
        <v/>
      </c>
      <c r="M12" s="32" t="n"/>
      <c r="N12" s="34" t="inlineStr">
        <is>
          <t>Two-foot jump for distance, stick the landing. Full reset between reps. Log your best distance</t>
        </is>
      </c>
    </row>
    <row r="13">
      <c r="A13" s="26" t="inlineStr">
        <is>
          <t>Day 2 - Light</t>
        </is>
      </c>
      <c r="B13" s="27">
        <f>'Start Here'!$B$7+345</f>
        <v/>
      </c>
      <c r="C13" s="31" t="inlineStr">
        <is>
          <t>Clean &amp; Jerk</t>
        </is>
      </c>
      <c r="D13" s="29" t="n">
        <v>3</v>
      </c>
      <c r="E13" s="29" t="inlineStr">
        <is>
          <t>3</t>
        </is>
      </c>
      <c r="F13" s="29" t="n">
        <v>62.5</v>
      </c>
      <c r="G13" s="30">
        <f>Maxes!I7</f>
        <v/>
      </c>
      <c r="H13" s="31">
        <f>IF(OR(G13="",F13=""),"",MROUND(G13*F13/100,'Start Here'!$B$6))</f>
        <v/>
      </c>
      <c r="I13" s="32" t="n"/>
      <c r="J13" s="32" t="n"/>
      <c r="K13" s="29">
        <f>IF(OR(I13="",J13=""),"",IF(J13=1,I13,ROUND(I13*(1+J13/30),1)))</f>
        <v/>
      </c>
      <c r="L13" s="33">
        <f>IF(K13="","",IF(K13&gt;=PRs!C7,"PR!",""))</f>
        <v/>
      </c>
      <c r="M13" s="32" t="n"/>
      <c r="N13" s="34" t="inlineStr">
        <is>
          <t>Easy volume - stay 3+ reps from failure</t>
        </is>
      </c>
    </row>
    <row r="14">
      <c r="A14" s="26" t="inlineStr">
        <is>
          <t>Day 2 - Light</t>
        </is>
      </c>
      <c r="B14" s="27">
        <f>'Start Here'!$B$7+345</f>
        <v/>
      </c>
      <c r="C14" s="31" t="inlineStr">
        <is>
          <t>Squat</t>
        </is>
      </c>
      <c r="D14" s="29" t="n">
        <v>3</v>
      </c>
      <c r="E14" s="29" t="inlineStr">
        <is>
          <t>8</t>
        </is>
      </c>
      <c r="F14" s="29" t="n">
        <v>62.5</v>
      </c>
      <c r="G14" s="30">
        <f>Maxes!I2</f>
        <v/>
      </c>
      <c r="H14" s="31">
        <f>IF(OR(G14="",F14=""),"",MROUND(G14*F14/100,'Start Here'!$B$6))</f>
        <v/>
      </c>
      <c r="I14" s="32" t="n"/>
      <c r="J14" s="32" t="n"/>
      <c r="K14" s="29">
        <f>IF(OR(I14="",J14=""),"",IF(J14=1,I14,ROUND(I14*(1+J14/30),1)))</f>
        <v/>
      </c>
      <c r="L14" s="33">
        <f>IF(K14="","",IF(K14&gt;=PRs!C2,"PR!",""))</f>
        <v/>
      </c>
      <c r="M14" s="32" t="n"/>
      <c r="N14" s="34" t="inlineStr">
        <is>
          <t>Easy volume - stay 3+ reps from failure</t>
        </is>
      </c>
    </row>
    <row r="15">
      <c r="A15" s="26" t="inlineStr">
        <is>
          <t>Day 2 - Light</t>
        </is>
      </c>
      <c r="B15" s="27">
        <f>'Start Here'!$B$7+345</f>
        <v/>
      </c>
      <c r="C15" s="31" t="inlineStr">
        <is>
          <t>Overhead Press</t>
        </is>
      </c>
      <c r="D15" s="29" t="n">
        <v>3</v>
      </c>
      <c r="E15" s="29" t="inlineStr">
        <is>
          <t>8</t>
        </is>
      </c>
      <c r="F15" s="29" t="n">
        <v>62.5</v>
      </c>
      <c r="G15" s="30">
        <f>Maxes!I5</f>
        <v/>
      </c>
      <c r="H15" s="31">
        <f>IF(OR(G15="",F15=""),"",MROUND(G15*F15/100,'Start Here'!$B$6))</f>
        <v/>
      </c>
      <c r="I15" s="32" t="n"/>
      <c r="J15" s="32" t="n"/>
      <c r="K15" s="29">
        <f>IF(OR(I15="",J15=""),"",IF(J15=1,I15,ROUND(I15*(1+J15/30),1)))</f>
        <v/>
      </c>
      <c r="L15" s="33">
        <f>IF(K15="","",IF(K15&gt;=PRs!C5,"PR!",""))</f>
        <v/>
      </c>
      <c r="M15" s="32" t="n"/>
      <c r="N15" s="34" t="inlineStr">
        <is>
          <t>Easy volume - stay 3+ reps from failure</t>
        </is>
      </c>
    </row>
    <row r="16">
      <c r="A16" s="26" t="inlineStr">
        <is>
          <t>Day 2 - Light</t>
        </is>
      </c>
      <c r="B16" s="27">
        <f>'Start Here'!$B$7+345</f>
        <v/>
      </c>
      <c r="C16" s="31" t="inlineStr">
        <is>
          <t>Deadlift</t>
        </is>
      </c>
      <c r="D16" s="29" t="n">
        <v>3</v>
      </c>
      <c r="E16" s="29" t="inlineStr">
        <is>
          <t>8</t>
        </is>
      </c>
      <c r="F16" s="29" t="n">
        <v>62.5</v>
      </c>
      <c r="G16" s="30">
        <f>Maxes!I4</f>
        <v/>
      </c>
      <c r="H16" s="31">
        <f>IF(OR(G16="",F16=""),"",MROUND(G16*F16/100,'Start Here'!$B$6))</f>
        <v/>
      </c>
      <c r="I16" s="32" t="n"/>
      <c r="J16" s="32" t="n"/>
      <c r="K16" s="29">
        <f>IF(OR(I16="",J16=""),"",IF(J16=1,I16,ROUND(I16*(1+J16/30),1)))</f>
        <v/>
      </c>
      <c r="L16" s="33">
        <f>IF(K16="","",IF(K16&gt;=PRs!C4,"PR!",""))</f>
        <v/>
      </c>
      <c r="M16" s="32" t="n"/>
      <c r="N16" s="34" t="inlineStr">
        <is>
          <t>Easy volume - stay 3+ reps from failure</t>
        </is>
      </c>
    </row>
    <row r="17">
      <c r="A17" s="26" t="inlineStr">
        <is>
          <t>Day 2 - Light</t>
        </is>
      </c>
      <c r="B17" s="27">
        <f>'Start Here'!$B$7+345</f>
        <v/>
      </c>
      <c r="C17" s="29" t="inlineStr">
        <is>
          <t>Chin-up</t>
        </is>
      </c>
      <c r="D17" s="29" t="n">
        <v>4</v>
      </c>
      <c r="E17" s="29" t="inlineStr">
        <is>
          <t>6-10</t>
        </is>
      </c>
      <c r="F17" s="29" t="n"/>
      <c r="G17" s="30" t="n"/>
      <c r="H17" s="31" t="n"/>
      <c r="I17" s="32" t="n"/>
      <c r="J17" s="32" t="n"/>
      <c r="K17" s="29">
        <f>IF(OR(I17="",J17=""),"",IF(J17=1,I17,ROUND(I17*(1+J17/30),1)))</f>
        <v/>
      </c>
      <c r="L17" s="33">
        <f>IF(K17="","",IF(K17&gt;=PRs!C53,"PR!",""))</f>
        <v/>
      </c>
      <c r="M17" s="32" t="n"/>
      <c r="N17" s="34" t="inlineStr">
        <is>
          <t>Leave 1-2 reps in the tank; add weight when you hit the top of the range</t>
        </is>
      </c>
    </row>
    <row r="18">
      <c r="A18" s="26" t="inlineStr">
        <is>
          <t>Day 2 - Light</t>
        </is>
      </c>
      <c r="B18" s="27">
        <f>'Start Here'!$B$7+345</f>
        <v/>
      </c>
      <c r="C18" s="29" t="inlineStr">
        <is>
          <t>Plank</t>
        </is>
      </c>
      <c r="D18" s="29" t="n">
        <v>4</v>
      </c>
      <c r="E18" s="29" t="inlineStr">
        <is>
          <t>30-60s</t>
        </is>
      </c>
      <c r="F18" s="29" t="n"/>
      <c r="G18" s="30" t="n"/>
      <c r="H18" s="31" t="n"/>
      <c r="I18" s="32" t="n"/>
      <c r="J18" s="32" t="n"/>
      <c r="K18" s="29">
        <f>IF(OR(I18="",J18=""),"",IF(J18=1,I18,ROUND(I18*(1+J18/30),1)))</f>
        <v/>
      </c>
      <c r="L18" s="33">
        <f>IF(K18="","",IF(K18&gt;=PRs!C56,"PR!",""))</f>
        <v/>
      </c>
      <c r="M18" s="32" t="n"/>
      <c r="N18" s="34" t="inlineStr">
        <is>
          <t>Leave 1-2 reps in the tank; add weight when you hit the top of the range</t>
        </is>
      </c>
    </row>
    <row r="19">
      <c r="A19" s="26" t="inlineStr">
        <is>
          <t>Day 3 - Variations</t>
        </is>
      </c>
      <c r="B19" s="27">
        <f>'Start Here'!$B$7+347</f>
        <v/>
      </c>
      <c r="C19" s="28" t="inlineStr">
        <is>
          <t>Box Jump</t>
        </is>
      </c>
      <c r="D19" s="29" t="n">
        <v>3</v>
      </c>
      <c r="E19" s="29" t="inlineStr">
        <is>
          <t>3</t>
        </is>
      </c>
      <c r="F19" s="29" t="n"/>
      <c r="G19" s="30" t="n"/>
      <c r="H19" s="31">
        <f>IFERROR(IF(PRs!D69&lt;'Start Here'!$H$15,'Start Here'!$H$15,IF(PRs!D69&lt;'Start Here'!$H$16,'Start Here'!$H$16,IF(PRs!D69&lt;'Start Here'!$H$17,'Start Here'!$H$17,IF(PRs!D69&lt;'Start Here'!$H$18,'Start Here'!$H$18,"Elite!")))),"")</f>
        <v/>
      </c>
      <c r="I19" s="32" t="n"/>
      <c r="J19" s="32" t="n"/>
      <c r="K19" s="29" t="n"/>
      <c r="L19" s="33">
        <f>IF(I19="","",IF(I19&gt;=PRs!D69,"PR!",""))</f>
        <v/>
      </c>
      <c r="M19" s="32" t="n"/>
      <c r="N19" s="34" t="inlineStr">
        <is>
          <t>Explode up, land softly, STEP down. Full reset between reps. Log your box height; check the standards</t>
        </is>
      </c>
    </row>
    <row r="20">
      <c r="A20" s="26" t="inlineStr">
        <is>
          <t>Day 3 - Variations</t>
        </is>
      </c>
      <c r="B20" s="27">
        <f>'Start Here'!$B$7+347</f>
        <v/>
      </c>
      <c r="C20" s="31" t="inlineStr">
        <is>
          <t>Snatch Balance</t>
        </is>
      </c>
      <c r="D20" s="29" t="n">
        <v>3</v>
      </c>
      <c r="E20" s="29" t="inlineStr">
        <is>
          <t>3</t>
        </is>
      </c>
      <c r="F20" s="29" t="n">
        <v>62.5</v>
      </c>
      <c r="G20" s="30">
        <f>Maxes!I38</f>
        <v/>
      </c>
      <c r="H20" s="31">
        <f>IF(OR(G20="",F20=""),"",MROUND(G20*F20/100,'Start Here'!$B$6))</f>
        <v/>
      </c>
      <c r="I20" s="32" t="n"/>
      <c r="J20" s="32" t="n"/>
      <c r="K20" s="29">
        <f>IF(OR(I20="",J20=""),"",IF(J20=1,I20,ROUND(I20*(1+J20/30),1)))</f>
        <v/>
      </c>
      <c r="L20" s="33">
        <f>IF(K20="","",IF(K20&gt;=PRs!C38,"PR!",""))</f>
        <v/>
      </c>
      <c r="M20" s="32" t="n"/>
      <c r="N20" s="34" t="inlineStr">
        <is>
          <t>Easy volume - stay 3+ reps from failure</t>
        </is>
      </c>
    </row>
    <row r="21">
      <c r="A21" s="26" t="inlineStr">
        <is>
          <t>Day 3 - Variations</t>
        </is>
      </c>
      <c r="B21" s="27">
        <f>'Start Here'!$B$7+347</f>
        <v/>
      </c>
      <c r="C21" s="31" t="inlineStr">
        <is>
          <t>Front Squat</t>
        </is>
      </c>
      <c r="D21" s="29" t="n">
        <v>3</v>
      </c>
      <c r="E21" s="29" t="inlineStr">
        <is>
          <t>8</t>
        </is>
      </c>
      <c r="F21" s="29" t="n">
        <v>62.5</v>
      </c>
      <c r="G21" s="30">
        <f>Maxes!I10</f>
        <v/>
      </c>
      <c r="H21" s="31">
        <f>IF(OR(G21="",F21=""),"",MROUND(G21*F21/100,'Start Here'!$B$6))</f>
        <v/>
      </c>
      <c r="I21" s="32" t="n"/>
      <c r="J21" s="32" t="n"/>
      <c r="K21" s="29">
        <f>IF(OR(I21="",J21=""),"",IF(J21=1,I21,ROUND(I21*(1+J21/30),1)))</f>
        <v/>
      </c>
      <c r="L21" s="33">
        <f>IF(K21="","",IF(K21&gt;=PRs!C10,"PR!",""))</f>
        <v/>
      </c>
      <c r="M21" s="32" t="n"/>
      <c r="N21" s="34" t="inlineStr">
        <is>
          <t>Easy volume - stay 3+ reps from failure</t>
        </is>
      </c>
    </row>
    <row r="22">
      <c r="A22" s="26" t="inlineStr">
        <is>
          <t>Day 3 - Variations</t>
        </is>
      </c>
      <c r="B22" s="27">
        <f>'Start Here'!$B$7+347</f>
        <v/>
      </c>
      <c r="C22" s="31" t="inlineStr">
        <is>
          <t>3-Board Press</t>
        </is>
      </c>
      <c r="D22" s="29" t="n">
        <v>3</v>
      </c>
      <c r="E22" s="29" t="inlineStr">
        <is>
          <t>8</t>
        </is>
      </c>
      <c r="F22" s="29" t="n">
        <v>62.5</v>
      </c>
      <c r="G22" s="30">
        <f>Maxes!I17</f>
        <v/>
      </c>
      <c r="H22" s="31">
        <f>IF(OR(G22="",F22=""),"",MROUND(G22*F22/100,'Start Here'!$B$6))</f>
        <v/>
      </c>
      <c r="I22" s="32" t="n"/>
      <c r="J22" s="32" t="n"/>
      <c r="K22" s="29">
        <f>IF(OR(I22="",J22=""),"",IF(J22=1,I22,ROUND(I22*(1+J22/30),1)))</f>
        <v/>
      </c>
      <c r="L22" s="33">
        <f>IF(K22="","",IF(K22&gt;=PRs!C17,"PR!",""))</f>
        <v/>
      </c>
      <c r="M22" s="32" t="n"/>
      <c r="N22" s="34" t="inlineStr">
        <is>
          <t>Easy volume - stay 3+ reps from failure</t>
        </is>
      </c>
    </row>
    <row r="23">
      <c r="A23" s="26" t="inlineStr">
        <is>
          <t>Day 3 - Variations</t>
        </is>
      </c>
      <c r="B23" s="27">
        <f>'Start Here'!$B$7+347</f>
        <v/>
      </c>
      <c r="C23" s="31" t="inlineStr">
        <is>
          <t>Romanian Deadlift</t>
        </is>
      </c>
      <c r="D23" s="29" t="n">
        <v>3</v>
      </c>
      <c r="E23" s="29" t="inlineStr">
        <is>
          <t>8</t>
        </is>
      </c>
      <c r="F23" s="29" t="n">
        <v>62.5</v>
      </c>
      <c r="G23" s="30">
        <f>Maxes!I23</f>
        <v/>
      </c>
      <c r="H23" s="31">
        <f>IF(OR(G23="",F23=""),"",MROUND(G23*F23/100,'Start Here'!$B$6))</f>
        <v/>
      </c>
      <c r="I23" s="32" t="n"/>
      <c r="J23" s="32" t="n"/>
      <c r="K23" s="29">
        <f>IF(OR(I23="",J23=""),"",IF(J23=1,I23,ROUND(I23*(1+J23/30),1)))</f>
        <v/>
      </c>
      <c r="L23" s="33">
        <f>IF(K23="","",IF(K23&gt;=PRs!C23,"PR!",""))</f>
        <v/>
      </c>
      <c r="M23" s="32" t="n"/>
      <c r="N23" s="34" t="inlineStr">
        <is>
          <t>Easy volume - stay 3+ reps from failure</t>
        </is>
      </c>
    </row>
    <row r="24">
      <c r="A24" s="26" t="inlineStr">
        <is>
          <t>Day 3 - Variations</t>
        </is>
      </c>
      <c r="B24" s="27">
        <f>'Start Here'!$B$7+347</f>
        <v/>
      </c>
      <c r="C24" s="29" t="inlineStr">
        <is>
          <t>Incline Dumbbell Press</t>
        </is>
      </c>
      <c r="D24" s="29" t="n">
        <v>4</v>
      </c>
      <c r="E24" s="29" t="inlineStr">
        <is>
          <t>8-12</t>
        </is>
      </c>
      <c r="F24" s="29" t="n"/>
      <c r="G24" s="30" t="n"/>
      <c r="H24" s="31" t="n"/>
      <c r="I24" s="32" t="n"/>
      <c r="J24" s="32" t="n"/>
      <c r="K24" s="29">
        <f>IF(OR(I24="",J24=""),"",IF(J24=1,I24,ROUND(I24*(1+J24/30),1)))</f>
        <v/>
      </c>
      <c r="L24" s="33">
        <f>IF(K24="","",IF(K24&gt;=PRs!C57,"PR!",""))</f>
        <v/>
      </c>
      <c r="M24" s="32" t="n"/>
      <c r="N24" s="34" t="inlineStr">
        <is>
          <t>Leave 1-2 reps in the tank; add weight when you hit the top of the range</t>
        </is>
      </c>
    </row>
    <row r="25">
      <c r="A25" s="26" t="inlineStr">
        <is>
          <t>Day 3 - Variations</t>
        </is>
      </c>
      <c r="B25" s="27">
        <f>'Start Here'!$B$7+347</f>
        <v/>
      </c>
      <c r="C25" s="29" t="inlineStr">
        <is>
          <t>Triceps Pushdown</t>
        </is>
      </c>
      <c r="D25" s="29" t="n">
        <v>4</v>
      </c>
      <c r="E25" s="29" t="inlineStr">
        <is>
          <t>10-15</t>
        </is>
      </c>
      <c r="F25" s="29" t="n"/>
      <c r="G25" s="30" t="n"/>
      <c r="H25" s="31" t="n"/>
      <c r="I25" s="32" t="n"/>
      <c r="J25" s="32" t="n"/>
      <c r="K25" s="29">
        <f>IF(OR(I25="",J25=""),"",IF(J25=1,I25,ROUND(I25*(1+J25/30),1)))</f>
        <v/>
      </c>
      <c r="L25" s="33">
        <f>IF(K25="","",IF(K25&gt;=PRs!C59,"PR!",""))</f>
        <v/>
      </c>
      <c r="M25" s="32" t="n"/>
      <c r="N25" s="34" t="inlineStr">
        <is>
          <t>Leave 1-2 reps in the tank; add weight when you hit the top of the range</t>
        </is>
      </c>
    </row>
  </sheetData>
  <hyperlinks>
    <hyperlink xmlns:r="http://schemas.openxmlformats.org/officeDocument/2006/relationships" ref="A2" r:id="rId1"/>
    <hyperlink xmlns:r="http://schemas.openxmlformats.org/officeDocument/2006/relationships" ref="C2" r:id="rId2"/>
    <hyperlink xmlns:r="http://schemas.openxmlformats.org/officeDocument/2006/relationships" ref="E2" r:id="rId3"/>
  </hyperlinks>
  <pageMargins left="0.75" right="0.75" top="1" bottom="1" header="0.5" footer="0.5"/>
  <pageSetup orientation="landscape" fitToHeight="0" fitToWidth="1"/>
</worksheet>
</file>

<file path=xl/worksheets/sheet53.xml><?xml version="1.0" encoding="utf-8"?>
<worksheet xmlns="http://schemas.openxmlformats.org/spreadsheetml/2006/main">
  <sheetPr>
    <tabColor rgb="00E0F2F1"/>
    <outlinePr summaryBelow="1" summaryRight="1"/>
    <pageSetUpPr fitToPage="1"/>
  </sheetPr>
  <dimension ref="A1:N25"/>
  <sheetViews>
    <sheetView workbookViewId="0">
      <pane xSplit="3" ySplit="5" topLeftCell="D6" activePane="bottomRight" state="frozen"/>
      <selection pane="topRight"/>
      <selection pane="bottomLeft"/>
      <selection pane="bottomRight" activeCell="A1" sqref="A1"/>
    </sheetView>
  </sheetViews>
  <sheetFormatPr baseColWidth="8" defaultRowHeight="15"/>
  <cols>
    <col width="17" customWidth="1" min="1" max="1"/>
    <col width="11" customWidth="1" min="2" max="2"/>
    <col width="24" customWidth="1" min="3" max="3"/>
    <col width="5" customWidth="1" min="4" max="4"/>
    <col width="6" customWidth="1" min="5" max="5"/>
    <col width="6" customWidth="1" min="6" max="6"/>
    <col width="9" customWidth="1" min="7" max="7"/>
    <col width="10" customWidth="1" min="8" max="8"/>
    <col width="13" customWidth="1" min="9" max="9"/>
    <col width="8" customWidth="1" min="10" max="10"/>
    <col width="9" customWidth="1" min="11" max="11"/>
    <col width="5" customWidth="1" min="12" max="12"/>
    <col width="22" customWidth="1" min="13" max="13"/>
    <col width="62" customWidth="1" min="14" max="14"/>
  </cols>
  <sheetData>
    <row r="1">
      <c r="A1" s="24" t="inlineStr">
        <is>
          <t>Week 51 - Transition</t>
        </is>
      </c>
    </row>
    <row r="2">
      <c r="A2" s="25" t="inlineStr">
        <is>
          <t>&lt; Week 50</t>
        </is>
      </c>
      <c r="C2" s="25" t="inlineStr">
        <is>
          <t>Start Here</t>
        </is>
      </c>
      <c r="E2" s="25" t="inlineStr">
        <is>
          <t>Week 52 &gt;</t>
        </is>
      </c>
    </row>
    <row r="3">
      <c r="A3" s="10" t="inlineStr">
        <is>
          <t>Bodyweight this week</t>
        </is>
      </c>
      <c r="C3" s="4" t="n"/>
      <c r="D3" t="inlineStr">
        <is>
          <t>Weigh in once this week: same morning routine, before eating.</t>
        </is>
      </c>
    </row>
    <row r="5">
      <c r="A5" s="5" t="inlineStr">
        <is>
          <t>Day</t>
        </is>
      </c>
      <c r="B5" s="5" t="inlineStr">
        <is>
          <t>Date</t>
        </is>
      </c>
      <c r="C5" s="5" t="inlineStr">
        <is>
          <t>Exercise</t>
        </is>
      </c>
      <c r="D5" s="5" t="inlineStr">
        <is>
          <t>Sets</t>
        </is>
      </c>
      <c r="E5" s="5" t="inlineStr">
        <is>
          <t>Reps</t>
        </is>
      </c>
      <c r="F5" s="5" t="inlineStr">
        <is>
          <t>% TM</t>
        </is>
      </c>
      <c r="G5" s="5" t="inlineStr">
        <is>
          <t>Training max</t>
        </is>
      </c>
      <c r="H5" s="5" t="inlineStr">
        <is>
          <t>Weight / target</t>
        </is>
      </c>
      <c r="I5" s="5" t="inlineStr">
        <is>
          <t>Actual (weight, height or distance)</t>
        </is>
      </c>
      <c r="J5" s="5" t="inlineStr">
        <is>
          <t>Actual reps</t>
        </is>
      </c>
      <c r="K5" s="5" t="inlineStr">
        <is>
          <t>Est. 1RM</t>
        </is>
      </c>
      <c r="L5" s="5" t="inlineStr">
        <is>
          <t>PR</t>
        </is>
      </c>
      <c r="M5" s="5" t="inlineStr">
        <is>
          <t>Notes</t>
        </is>
      </c>
      <c r="N5" s="5" t="inlineStr">
        <is>
          <t>Guidance</t>
        </is>
      </c>
    </row>
    <row r="6">
      <c r="A6" s="26" t="inlineStr">
        <is>
          <t>Day 1 - Heavy</t>
        </is>
      </c>
      <c r="B6" s="27">
        <f>'Start Here'!$B$7+350</f>
        <v/>
      </c>
      <c r="C6" s="28" t="inlineStr">
        <is>
          <t>Box Jump</t>
        </is>
      </c>
      <c r="D6" s="29" t="n">
        <v>3</v>
      </c>
      <c r="E6" s="29" t="inlineStr">
        <is>
          <t>3</t>
        </is>
      </c>
      <c r="F6" s="29" t="n"/>
      <c r="G6" s="30" t="n"/>
      <c r="H6" s="31">
        <f>IFERROR(IF(PRs!D69&lt;'Start Here'!$H$15,'Start Here'!$H$15,IF(PRs!D69&lt;'Start Here'!$H$16,'Start Here'!$H$16,IF(PRs!D69&lt;'Start Here'!$H$17,'Start Here'!$H$17,IF(PRs!D69&lt;'Start Here'!$H$18,'Start Here'!$H$18,"Elite!")))),"")</f>
        <v/>
      </c>
      <c r="I6" s="32" t="n"/>
      <c r="J6" s="32" t="n"/>
      <c r="K6" s="29" t="n"/>
      <c r="L6" s="33">
        <f>IF(I6="","",IF(I6&gt;=PRs!D69,"PR!",""))</f>
        <v/>
      </c>
      <c r="M6" s="32" t="n"/>
      <c r="N6" s="34" t="inlineStr">
        <is>
          <t>Explode up, land softly, STEP down. Full reset between reps. Log your box height; check the standards</t>
        </is>
      </c>
    </row>
    <row r="7">
      <c r="A7" s="26" t="inlineStr">
        <is>
          <t>Day 1 - Heavy</t>
        </is>
      </c>
      <c r="B7" s="27">
        <f>'Start Here'!$B$7+350</f>
        <v/>
      </c>
      <c r="C7" s="31" t="inlineStr">
        <is>
          <t>Snatch</t>
        </is>
      </c>
      <c r="D7" s="29" t="n">
        <v>3</v>
      </c>
      <c r="E7" s="29" t="inlineStr">
        <is>
          <t>3</t>
        </is>
      </c>
      <c r="F7" s="29" t="n">
        <v>65</v>
      </c>
      <c r="G7" s="30">
        <f>Maxes!I6</f>
        <v/>
      </c>
      <c r="H7" s="31">
        <f>IF(OR(G7="",F7=""),"",MROUND(G7*F7/100,'Start Here'!$B$6))</f>
        <v/>
      </c>
      <c r="I7" s="32" t="n"/>
      <c r="J7" s="32" t="n"/>
      <c r="K7" s="29">
        <f>IF(OR(I7="",J7=""),"",IF(J7=1,I7,ROUND(I7*(1+J7/30),1)))</f>
        <v/>
      </c>
      <c r="L7" s="33">
        <f>IF(K7="","",IF(K7&gt;=PRs!C6,"PR!",""))</f>
        <v/>
      </c>
      <c r="M7" s="32" t="n"/>
      <c r="N7" s="34" t="inlineStr">
        <is>
          <t>Easy volume - stay 3+ reps from failure</t>
        </is>
      </c>
    </row>
    <row r="8">
      <c r="A8" s="26" t="inlineStr">
        <is>
          <t>Day 1 - Heavy</t>
        </is>
      </c>
      <c r="B8" s="27">
        <f>'Start Here'!$B$7+350</f>
        <v/>
      </c>
      <c r="C8" s="31" t="inlineStr">
        <is>
          <t>Squat</t>
        </is>
      </c>
      <c r="D8" s="29" t="n">
        <v>3</v>
      </c>
      <c r="E8" s="29" t="inlineStr">
        <is>
          <t>8</t>
        </is>
      </c>
      <c r="F8" s="29" t="n">
        <v>65</v>
      </c>
      <c r="G8" s="30">
        <f>Maxes!I2</f>
        <v/>
      </c>
      <c r="H8" s="31">
        <f>IF(OR(G8="",F8=""),"",MROUND(G8*F8/100,'Start Here'!$B$6))</f>
        <v/>
      </c>
      <c r="I8" s="32" t="n"/>
      <c r="J8" s="32" t="n"/>
      <c r="K8" s="29">
        <f>IF(OR(I8="",J8=""),"",IF(J8=1,I8,ROUND(I8*(1+J8/30),1)))</f>
        <v/>
      </c>
      <c r="L8" s="33">
        <f>IF(K8="","",IF(K8&gt;=PRs!C2,"PR!",""))</f>
        <v/>
      </c>
      <c r="M8" s="32" t="n"/>
      <c r="N8" s="34" t="inlineStr">
        <is>
          <t>Easy volume - stay 3+ reps from failure</t>
        </is>
      </c>
    </row>
    <row r="9">
      <c r="A9" s="26" t="inlineStr">
        <is>
          <t>Day 1 - Heavy</t>
        </is>
      </c>
      <c r="B9" s="27">
        <f>'Start Here'!$B$7+350</f>
        <v/>
      </c>
      <c r="C9" s="31" t="inlineStr">
        <is>
          <t>Bench Press</t>
        </is>
      </c>
      <c r="D9" s="29" t="n">
        <v>3</v>
      </c>
      <c r="E9" s="29" t="inlineStr">
        <is>
          <t>8</t>
        </is>
      </c>
      <c r="F9" s="29" t="n">
        <v>65</v>
      </c>
      <c r="G9" s="30">
        <f>Maxes!I3</f>
        <v/>
      </c>
      <c r="H9" s="31">
        <f>IF(OR(G9="",F9=""),"",MROUND(G9*F9/100,'Start Here'!$B$6))</f>
        <v/>
      </c>
      <c r="I9" s="32" t="n"/>
      <c r="J9" s="32" t="n"/>
      <c r="K9" s="29">
        <f>IF(OR(I9="",J9=""),"",IF(J9=1,I9,ROUND(I9*(1+J9/30),1)))</f>
        <v/>
      </c>
      <c r="L9" s="33">
        <f>IF(K9="","",IF(K9&gt;=PRs!C3,"PR!",""))</f>
        <v/>
      </c>
      <c r="M9" s="32" t="n"/>
      <c r="N9" s="34" t="inlineStr">
        <is>
          <t>Easy volume - stay 3+ reps from failure</t>
        </is>
      </c>
    </row>
    <row r="10">
      <c r="A10" s="26" t="inlineStr">
        <is>
          <t>Day 1 - Heavy</t>
        </is>
      </c>
      <c r="B10" s="27">
        <f>'Start Here'!$B$7+350</f>
        <v/>
      </c>
      <c r="C10" s="29" t="inlineStr">
        <is>
          <t>Barbell Row</t>
        </is>
      </c>
      <c r="D10" s="29" t="n">
        <v>4</v>
      </c>
      <c r="E10" s="29" t="inlineStr">
        <is>
          <t>8-10</t>
        </is>
      </c>
      <c r="F10" s="29" t="n"/>
      <c r="G10" s="30" t="n"/>
      <c r="H10" s="31" t="n"/>
      <c r="I10" s="32" t="n"/>
      <c r="J10" s="32" t="n"/>
      <c r="K10" s="29">
        <f>IF(OR(I10="",J10=""),"",IF(J10=1,I10,ROUND(I10*(1+J10/30),1)))</f>
        <v/>
      </c>
      <c r="L10" s="33">
        <f>IF(K10="","",IF(K10&gt;=PRs!C50,"PR!",""))</f>
        <v/>
      </c>
      <c r="M10" s="32" t="n"/>
      <c r="N10" s="34" t="inlineStr">
        <is>
          <t>Leave 1-2 reps in the tank; add weight when you hit the top of the range</t>
        </is>
      </c>
    </row>
    <row r="11">
      <c r="A11" s="26" t="inlineStr">
        <is>
          <t>Day 1 - Heavy</t>
        </is>
      </c>
      <c r="B11" s="27">
        <f>'Start Here'!$B$7+350</f>
        <v/>
      </c>
      <c r="C11" s="29" t="inlineStr">
        <is>
          <t>Face Pull</t>
        </is>
      </c>
      <c r="D11" s="29" t="n">
        <v>4</v>
      </c>
      <c r="E11" s="29" t="inlineStr">
        <is>
          <t>12-15</t>
        </is>
      </c>
      <c r="F11" s="29" t="n"/>
      <c r="G11" s="30" t="n"/>
      <c r="H11" s="31" t="n"/>
      <c r="I11" s="32" t="n"/>
      <c r="J11" s="32" t="n"/>
      <c r="K11" s="29">
        <f>IF(OR(I11="",J11=""),"",IF(J11=1,I11,ROUND(I11*(1+J11/30),1)))</f>
        <v/>
      </c>
      <c r="L11" s="33">
        <f>IF(K11="","",IF(K11&gt;=PRs!C51,"PR!",""))</f>
        <v/>
      </c>
      <c r="M11" s="32" t="n"/>
      <c r="N11" s="34" t="inlineStr">
        <is>
          <t>Leave 1-2 reps in the tank; add weight when you hit the top of the range</t>
        </is>
      </c>
    </row>
    <row r="12">
      <c r="A12" s="26" t="inlineStr">
        <is>
          <t>Day 2 - Light</t>
        </is>
      </c>
      <c r="B12" s="27">
        <f>'Start Here'!$B$7+352</f>
        <v/>
      </c>
      <c r="C12" s="28" t="inlineStr">
        <is>
          <t>Broad Jump</t>
        </is>
      </c>
      <c r="D12" s="29" t="n">
        <v>3</v>
      </c>
      <c r="E12" s="29" t="inlineStr">
        <is>
          <t>3</t>
        </is>
      </c>
      <c r="F12" s="29" t="n"/>
      <c r="G12" s="30" t="n"/>
      <c r="H12" s="31" t="n"/>
      <c r="I12" s="32" t="n"/>
      <c r="J12" s="32" t="n"/>
      <c r="K12" s="29" t="n"/>
      <c r="L12" s="33">
        <f>IF(I12="","",IF(I12&gt;=PRs!D70,"PR!",""))</f>
        <v/>
      </c>
      <c r="M12" s="32" t="n"/>
      <c r="N12" s="34" t="inlineStr">
        <is>
          <t>Two-foot jump for distance, stick the landing. Full reset between reps. Log your best distance</t>
        </is>
      </c>
    </row>
    <row r="13">
      <c r="A13" s="26" t="inlineStr">
        <is>
          <t>Day 2 - Light</t>
        </is>
      </c>
      <c r="B13" s="27">
        <f>'Start Here'!$B$7+352</f>
        <v/>
      </c>
      <c r="C13" s="31" t="inlineStr">
        <is>
          <t>Clean &amp; Jerk</t>
        </is>
      </c>
      <c r="D13" s="29" t="n">
        <v>3</v>
      </c>
      <c r="E13" s="29" t="inlineStr">
        <is>
          <t>3</t>
        </is>
      </c>
      <c r="F13" s="29" t="n">
        <v>65</v>
      </c>
      <c r="G13" s="30">
        <f>Maxes!I7</f>
        <v/>
      </c>
      <c r="H13" s="31">
        <f>IF(OR(G13="",F13=""),"",MROUND(G13*F13/100,'Start Here'!$B$6))</f>
        <v/>
      </c>
      <c r="I13" s="32" t="n"/>
      <c r="J13" s="32" t="n"/>
      <c r="K13" s="29">
        <f>IF(OR(I13="",J13=""),"",IF(J13=1,I13,ROUND(I13*(1+J13/30),1)))</f>
        <v/>
      </c>
      <c r="L13" s="33">
        <f>IF(K13="","",IF(K13&gt;=PRs!C7,"PR!",""))</f>
        <v/>
      </c>
      <c r="M13" s="32" t="n"/>
      <c r="N13" s="34" t="inlineStr">
        <is>
          <t>Easy volume - stay 3+ reps from failure</t>
        </is>
      </c>
    </row>
    <row r="14">
      <c r="A14" s="26" t="inlineStr">
        <is>
          <t>Day 2 - Light</t>
        </is>
      </c>
      <c r="B14" s="27">
        <f>'Start Here'!$B$7+352</f>
        <v/>
      </c>
      <c r="C14" s="31" t="inlineStr">
        <is>
          <t>Squat</t>
        </is>
      </c>
      <c r="D14" s="29" t="n">
        <v>3</v>
      </c>
      <c r="E14" s="29" t="inlineStr">
        <is>
          <t>8</t>
        </is>
      </c>
      <c r="F14" s="29" t="n">
        <v>65</v>
      </c>
      <c r="G14" s="30">
        <f>Maxes!I2</f>
        <v/>
      </c>
      <c r="H14" s="31">
        <f>IF(OR(G14="",F14=""),"",MROUND(G14*F14/100,'Start Here'!$B$6))</f>
        <v/>
      </c>
      <c r="I14" s="32" t="n"/>
      <c r="J14" s="32" t="n"/>
      <c r="K14" s="29">
        <f>IF(OR(I14="",J14=""),"",IF(J14=1,I14,ROUND(I14*(1+J14/30),1)))</f>
        <v/>
      </c>
      <c r="L14" s="33">
        <f>IF(K14="","",IF(K14&gt;=PRs!C2,"PR!",""))</f>
        <v/>
      </c>
      <c r="M14" s="32" t="n"/>
      <c r="N14" s="34" t="inlineStr">
        <is>
          <t>Easy volume - stay 3+ reps from failure</t>
        </is>
      </c>
    </row>
    <row r="15">
      <c r="A15" s="26" t="inlineStr">
        <is>
          <t>Day 2 - Light</t>
        </is>
      </c>
      <c r="B15" s="27">
        <f>'Start Here'!$B$7+352</f>
        <v/>
      </c>
      <c r="C15" s="31" t="inlineStr">
        <is>
          <t>Overhead Press</t>
        </is>
      </c>
      <c r="D15" s="29" t="n">
        <v>3</v>
      </c>
      <c r="E15" s="29" t="inlineStr">
        <is>
          <t>8</t>
        </is>
      </c>
      <c r="F15" s="29" t="n">
        <v>65</v>
      </c>
      <c r="G15" s="30">
        <f>Maxes!I5</f>
        <v/>
      </c>
      <c r="H15" s="31">
        <f>IF(OR(G15="",F15=""),"",MROUND(G15*F15/100,'Start Here'!$B$6))</f>
        <v/>
      </c>
      <c r="I15" s="32" t="n"/>
      <c r="J15" s="32" t="n"/>
      <c r="K15" s="29">
        <f>IF(OR(I15="",J15=""),"",IF(J15=1,I15,ROUND(I15*(1+J15/30),1)))</f>
        <v/>
      </c>
      <c r="L15" s="33">
        <f>IF(K15="","",IF(K15&gt;=PRs!C5,"PR!",""))</f>
        <v/>
      </c>
      <c r="M15" s="32" t="n"/>
      <c r="N15" s="34" t="inlineStr">
        <is>
          <t>Easy volume - stay 3+ reps from failure</t>
        </is>
      </c>
    </row>
    <row r="16">
      <c r="A16" s="26" t="inlineStr">
        <is>
          <t>Day 2 - Light</t>
        </is>
      </c>
      <c r="B16" s="27">
        <f>'Start Here'!$B$7+352</f>
        <v/>
      </c>
      <c r="C16" s="31" t="inlineStr">
        <is>
          <t>Deadlift</t>
        </is>
      </c>
      <c r="D16" s="29" t="n">
        <v>3</v>
      </c>
      <c r="E16" s="29" t="inlineStr">
        <is>
          <t>8</t>
        </is>
      </c>
      <c r="F16" s="29" t="n">
        <v>65</v>
      </c>
      <c r="G16" s="30">
        <f>Maxes!I4</f>
        <v/>
      </c>
      <c r="H16" s="31">
        <f>IF(OR(G16="",F16=""),"",MROUND(G16*F16/100,'Start Here'!$B$6))</f>
        <v/>
      </c>
      <c r="I16" s="32" t="n"/>
      <c r="J16" s="32" t="n"/>
      <c r="K16" s="29">
        <f>IF(OR(I16="",J16=""),"",IF(J16=1,I16,ROUND(I16*(1+J16/30),1)))</f>
        <v/>
      </c>
      <c r="L16" s="33">
        <f>IF(K16="","",IF(K16&gt;=PRs!C4,"PR!",""))</f>
        <v/>
      </c>
      <c r="M16" s="32" t="n"/>
      <c r="N16" s="34" t="inlineStr">
        <is>
          <t>Easy volume - stay 3+ reps from failure</t>
        </is>
      </c>
    </row>
    <row r="17">
      <c r="A17" s="26" t="inlineStr">
        <is>
          <t>Day 2 - Light</t>
        </is>
      </c>
      <c r="B17" s="27">
        <f>'Start Here'!$B$7+352</f>
        <v/>
      </c>
      <c r="C17" s="29" t="inlineStr">
        <is>
          <t>Chin-up</t>
        </is>
      </c>
      <c r="D17" s="29" t="n">
        <v>4</v>
      </c>
      <c r="E17" s="29" t="inlineStr">
        <is>
          <t>6-10</t>
        </is>
      </c>
      <c r="F17" s="29" t="n"/>
      <c r="G17" s="30" t="n"/>
      <c r="H17" s="31" t="n"/>
      <c r="I17" s="32" t="n"/>
      <c r="J17" s="32" t="n"/>
      <c r="K17" s="29">
        <f>IF(OR(I17="",J17=""),"",IF(J17=1,I17,ROUND(I17*(1+J17/30),1)))</f>
        <v/>
      </c>
      <c r="L17" s="33">
        <f>IF(K17="","",IF(K17&gt;=PRs!C53,"PR!",""))</f>
        <v/>
      </c>
      <c r="M17" s="32" t="n"/>
      <c r="N17" s="34" t="inlineStr">
        <is>
          <t>Leave 1-2 reps in the tank; add weight when you hit the top of the range</t>
        </is>
      </c>
    </row>
    <row r="18">
      <c r="A18" s="26" t="inlineStr">
        <is>
          <t>Day 2 - Light</t>
        </is>
      </c>
      <c r="B18" s="27">
        <f>'Start Here'!$B$7+352</f>
        <v/>
      </c>
      <c r="C18" s="29" t="inlineStr">
        <is>
          <t>Plank</t>
        </is>
      </c>
      <c r="D18" s="29" t="n">
        <v>4</v>
      </c>
      <c r="E18" s="29" t="inlineStr">
        <is>
          <t>30-60s</t>
        </is>
      </c>
      <c r="F18" s="29" t="n"/>
      <c r="G18" s="30" t="n"/>
      <c r="H18" s="31" t="n"/>
      <c r="I18" s="32" t="n"/>
      <c r="J18" s="32" t="n"/>
      <c r="K18" s="29">
        <f>IF(OR(I18="",J18=""),"",IF(J18=1,I18,ROUND(I18*(1+J18/30),1)))</f>
        <v/>
      </c>
      <c r="L18" s="33">
        <f>IF(K18="","",IF(K18&gt;=PRs!C56,"PR!",""))</f>
        <v/>
      </c>
      <c r="M18" s="32" t="n"/>
      <c r="N18" s="34" t="inlineStr">
        <is>
          <t>Leave 1-2 reps in the tank; add weight when you hit the top of the range</t>
        </is>
      </c>
    </row>
    <row r="19">
      <c r="A19" s="26" t="inlineStr">
        <is>
          <t>Day 3 - Variations</t>
        </is>
      </c>
      <c r="B19" s="27">
        <f>'Start Here'!$B$7+354</f>
        <v/>
      </c>
      <c r="C19" s="28" t="inlineStr">
        <is>
          <t>Box Jump</t>
        </is>
      </c>
      <c r="D19" s="29" t="n">
        <v>3</v>
      </c>
      <c r="E19" s="29" t="inlineStr">
        <is>
          <t>3</t>
        </is>
      </c>
      <c r="F19" s="29" t="n"/>
      <c r="G19" s="30" t="n"/>
      <c r="H19" s="31">
        <f>IFERROR(IF(PRs!D69&lt;'Start Here'!$H$15,'Start Here'!$H$15,IF(PRs!D69&lt;'Start Here'!$H$16,'Start Here'!$H$16,IF(PRs!D69&lt;'Start Here'!$H$17,'Start Here'!$H$17,IF(PRs!D69&lt;'Start Here'!$H$18,'Start Here'!$H$18,"Elite!")))),"")</f>
        <v/>
      </c>
      <c r="I19" s="32" t="n"/>
      <c r="J19" s="32" t="n"/>
      <c r="K19" s="29" t="n"/>
      <c r="L19" s="33">
        <f>IF(I19="","",IF(I19&gt;=PRs!D69,"PR!",""))</f>
        <v/>
      </c>
      <c r="M19" s="32" t="n"/>
      <c r="N19" s="34" t="inlineStr">
        <is>
          <t>Explode up, land softly, STEP down. Full reset between reps. Log your box height; check the standards</t>
        </is>
      </c>
    </row>
    <row r="20">
      <c r="A20" s="26" t="inlineStr">
        <is>
          <t>Day 3 - Variations</t>
        </is>
      </c>
      <c r="B20" s="27">
        <f>'Start Here'!$B$7+354</f>
        <v/>
      </c>
      <c r="C20" s="31" t="inlineStr">
        <is>
          <t>Snatch Balance</t>
        </is>
      </c>
      <c r="D20" s="29" t="n">
        <v>3</v>
      </c>
      <c r="E20" s="29" t="inlineStr">
        <is>
          <t>3</t>
        </is>
      </c>
      <c r="F20" s="29" t="n">
        <v>65</v>
      </c>
      <c r="G20" s="30">
        <f>Maxes!I38</f>
        <v/>
      </c>
      <c r="H20" s="31">
        <f>IF(OR(G20="",F20=""),"",MROUND(G20*F20/100,'Start Here'!$B$6))</f>
        <v/>
      </c>
      <c r="I20" s="32" t="n"/>
      <c r="J20" s="32" t="n"/>
      <c r="K20" s="29">
        <f>IF(OR(I20="",J20=""),"",IF(J20=1,I20,ROUND(I20*(1+J20/30),1)))</f>
        <v/>
      </c>
      <c r="L20" s="33">
        <f>IF(K20="","",IF(K20&gt;=PRs!C38,"PR!",""))</f>
        <v/>
      </c>
      <c r="M20" s="32" t="n"/>
      <c r="N20" s="34" t="inlineStr">
        <is>
          <t>Easy volume - stay 3+ reps from failure</t>
        </is>
      </c>
    </row>
    <row r="21">
      <c r="A21" s="26" t="inlineStr">
        <is>
          <t>Day 3 - Variations</t>
        </is>
      </c>
      <c r="B21" s="27">
        <f>'Start Here'!$B$7+354</f>
        <v/>
      </c>
      <c r="C21" s="31" t="inlineStr">
        <is>
          <t>Front Squat</t>
        </is>
      </c>
      <c r="D21" s="29" t="n">
        <v>3</v>
      </c>
      <c r="E21" s="29" t="inlineStr">
        <is>
          <t>8</t>
        </is>
      </c>
      <c r="F21" s="29" t="n">
        <v>65</v>
      </c>
      <c r="G21" s="30">
        <f>Maxes!I10</f>
        <v/>
      </c>
      <c r="H21" s="31">
        <f>IF(OR(G21="",F21=""),"",MROUND(G21*F21/100,'Start Here'!$B$6))</f>
        <v/>
      </c>
      <c r="I21" s="32" t="n"/>
      <c r="J21" s="32" t="n"/>
      <c r="K21" s="29">
        <f>IF(OR(I21="",J21=""),"",IF(J21=1,I21,ROUND(I21*(1+J21/30),1)))</f>
        <v/>
      </c>
      <c r="L21" s="33">
        <f>IF(K21="","",IF(K21&gt;=PRs!C10,"PR!",""))</f>
        <v/>
      </c>
      <c r="M21" s="32" t="n"/>
      <c r="N21" s="34" t="inlineStr">
        <is>
          <t>Easy volume - stay 3+ reps from failure</t>
        </is>
      </c>
    </row>
    <row r="22">
      <c r="A22" s="26" t="inlineStr">
        <is>
          <t>Day 3 - Variations</t>
        </is>
      </c>
      <c r="B22" s="27">
        <f>'Start Here'!$B$7+354</f>
        <v/>
      </c>
      <c r="C22" s="31" t="inlineStr">
        <is>
          <t>3-Board Press</t>
        </is>
      </c>
      <c r="D22" s="29" t="n">
        <v>3</v>
      </c>
      <c r="E22" s="29" t="inlineStr">
        <is>
          <t>8</t>
        </is>
      </c>
      <c r="F22" s="29" t="n">
        <v>65</v>
      </c>
      <c r="G22" s="30">
        <f>Maxes!I17</f>
        <v/>
      </c>
      <c r="H22" s="31">
        <f>IF(OR(G22="",F22=""),"",MROUND(G22*F22/100,'Start Here'!$B$6))</f>
        <v/>
      </c>
      <c r="I22" s="32" t="n"/>
      <c r="J22" s="32" t="n"/>
      <c r="K22" s="29">
        <f>IF(OR(I22="",J22=""),"",IF(J22=1,I22,ROUND(I22*(1+J22/30),1)))</f>
        <v/>
      </c>
      <c r="L22" s="33">
        <f>IF(K22="","",IF(K22&gt;=PRs!C17,"PR!",""))</f>
        <v/>
      </c>
      <c r="M22" s="32" t="n"/>
      <c r="N22" s="34" t="inlineStr">
        <is>
          <t>Easy volume - stay 3+ reps from failure</t>
        </is>
      </c>
    </row>
    <row r="23">
      <c r="A23" s="26" t="inlineStr">
        <is>
          <t>Day 3 - Variations</t>
        </is>
      </c>
      <c r="B23" s="27">
        <f>'Start Here'!$B$7+354</f>
        <v/>
      </c>
      <c r="C23" s="31" t="inlineStr">
        <is>
          <t>Romanian Deadlift</t>
        </is>
      </c>
      <c r="D23" s="29" t="n">
        <v>3</v>
      </c>
      <c r="E23" s="29" t="inlineStr">
        <is>
          <t>8</t>
        </is>
      </c>
      <c r="F23" s="29" t="n">
        <v>65</v>
      </c>
      <c r="G23" s="30">
        <f>Maxes!I23</f>
        <v/>
      </c>
      <c r="H23" s="31">
        <f>IF(OR(G23="",F23=""),"",MROUND(G23*F23/100,'Start Here'!$B$6))</f>
        <v/>
      </c>
      <c r="I23" s="32" t="n"/>
      <c r="J23" s="32" t="n"/>
      <c r="K23" s="29">
        <f>IF(OR(I23="",J23=""),"",IF(J23=1,I23,ROUND(I23*(1+J23/30),1)))</f>
        <v/>
      </c>
      <c r="L23" s="33">
        <f>IF(K23="","",IF(K23&gt;=PRs!C23,"PR!",""))</f>
        <v/>
      </c>
      <c r="M23" s="32" t="n"/>
      <c r="N23" s="34" t="inlineStr">
        <is>
          <t>Easy volume - stay 3+ reps from failure</t>
        </is>
      </c>
    </row>
    <row r="24">
      <c r="A24" s="26" t="inlineStr">
        <is>
          <t>Day 3 - Variations</t>
        </is>
      </c>
      <c r="B24" s="27">
        <f>'Start Here'!$B$7+354</f>
        <v/>
      </c>
      <c r="C24" s="29" t="inlineStr">
        <is>
          <t>Incline Dumbbell Press</t>
        </is>
      </c>
      <c r="D24" s="29" t="n">
        <v>4</v>
      </c>
      <c r="E24" s="29" t="inlineStr">
        <is>
          <t>8-12</t>
        </is>
      </c>
      <c r="F24" s="29" t="n"/>
      <c r="G24" s="30" t="n"/>
      <c r="H24" s="31" t="n"/>
      <c r="I24" s="32" t="n"/>
      <c r="J24" s="32" t="n"/>
      <c r="K24" s="29">
        <f>IF(OR(I24="",J24=""),"",IF(J24=1,I24,ROUND(I24*(1+J24/30),1)))</f>
        <v/>
      </c>
      <c r="L24" s="33">
        <f>IF(K24="","",IF(K24&gt;=PRs!C57,"PR!",""))</f>
        <v/>
      </c>
      <c r="M24" s="32" t="n"/>
      <c r="N24" s="34" t="inlineStr">
        <is>
          <t>Leave 1-2 reps in the tank; add weight when you hit the top of the range</t>
        </is>
      </c>
    </row>
    <row r="25">
      <c r="A25" s="26" t="inlineStr">
        <is>
          <t>Day 3 - Variations</t>
        </is>
      </c>
      <c r="B25" s="27">
        <f>'Start Here'!$B$7+354</f>
        <v/>
      </c>
      <c r="C25" s="29" t="inlineStr">
        <is>
          <t>Triceps Pushdown</t>
        </is>
      </c>
      <c r="D25" s="29" t="n">
        <v>4</v>
      </c>
      <c r="E25" s="29" t="inlineStr">
        <is>
          <t>10-15</t>
        </is>
      </c>
      <c r="F25" s="29" t="n"/>
      <c r="G25" s="30" t="n"/>
      <c r="H25" s="31" t="n"/>
      <c r="I25" s="32" t="n"/>
      <c r="J25" s="32" t="n"/>
      <c r="K25" s="29">
        <f>IF(OR(I25="",J25=""),"",IF(J25=1,I25,ROUND(I25*(1+J25/30),1)))</f>
        <v/>
      </c>
      <c r="L25" s="33">
        <f>IF(K25="","",IF(K25&gt;=PRs!C59,"PR!",""))</f>
        <v/>
      </c>
      <c r="M25" s="32" t="n"/>
      <c r="N25" s="34" t="inlineStr">
        <is>
          <t>Leave 1-2 reps in the tank; add weight when you hit the top of the range</t>
        </is>
      </c>
    </row>
  </sheetData>
  <hyperlinks>
    <hyperlink xmlns:r="http://schemas.openxmlformats.org/officeDocument/2006/relationships" ref="A2" r:id="rId1"/>
    <hyperlink xmlns:r="http://schemas.openxmlformats.org/officeDocument/2006/relationships" ref="C2" r:id="rId2"/>
    <hyperlink xmlns:r="http://schemas.openxmlformats.org/officeDocument/2006/relationships" ref="E2" r:id="rId3"/>
  </hyperlinks>
  <pageMargins left="0.75" right="0.75" top="1" bottom="1" header="0.5" footer="0.5"/>
  <pageSetup orientation="landscape" fitToHeight="0" fitToWidth="1"/>
</worksheet>
</file>

<file path=xl/worksheets/sheet54.xml><?xml version="1.0" encoding="utf-8"?>
<worksheet xmlns="http://schemas.openxmlformats.org/spreadsheetml/2006/main">
  <sheetPr>
    <tabColor rgb="00E6E6E6"/>
    <outlinePr summaryBelow="1" summaryRight="1"/>
    <pageSetUpPr fitToPage="1"/>
  </sheetPr>
  <dimension ref="A1:N25"/>
  <sheetViews>
    <sheetView workbookViewId="0">
      <pane xSplit="3" ySplit="5" topLeftCell="D6" activePane="bottomRight" state="frozen"/>
      <selection pane="topRight"/>
      <selection pane="bottomLeft"/>
      <selection pane="bottomRight" activeCell="A1" sqref="A1"/>
    </sheetView>
  </sheetViews>
  <sheetFormatPr baseColWidth="8" defaultRowHeight="15"/>
  <cols>
    <col width="17" customWidth="1" min="1" max="1"/>
    <col width="11" customWidth="1" min="2" max="2"/>
    <col width="24" customWidth="1" min="3" max="3"/>
    <col width="5" customWidth="1" min="4" max="4"/>
    <col width="6" customWidth="1" min="5" max="5"/>
    <col width="6" customWidth="1" min="6" max="6"/>
    <col width="9" customWidth="1" min="7" max="7"/>
    <col width="10" customWidth="1" min="8" max="8"/>
    <col width="13" customWidth="1" min="9" max="9"/>
    <col width="8" customWidth="1" min="10" max="10"/>
    <col width="9" customWidth="1" min="11" max="11"/>
    <col width="5" customWidth="1" min="12" max="12"/>
    <col width="22" customWidth="1" min="13" max="13"/>
    <col width="62" customWidth="1" min="14" max="14"/>
  </cols>
  <sheetData>
    <row r="1">
      <c r="A1" s="24" t="inlineStr">
        <is>
          <t>Week 52 - Transition - Deload</t>
        </is>
      </c>
    </row>
    <row r="2">
      <c r="A2" s="25" t="inlineStr">
        <is>
          <t>&lt; Week 51</t>
        </is>
      </c>
      <c r="C2" s="25" t="inlineStr">
        <is>
          <t>Start Here</t>
        </is>
      </c>
    </row>
    <row r="3">
      <c r="A3" s="10" t="inlineStr">
        <is>
          <t>Bodyweight this week</t>
        </is>
      </c>
      <c r="C3" s="4" t="n"/>
      <c r="D3" t="inlineStr">
        <is>
          <t>Weigh in once this week: same morning routine, before eating.</t>
        </is>
      </c>
    </row>
    <row r="5">
      <c r="A5" s="5" t="inlineStr">
        <is>
          <t>Day</t>
        </is>
      </c>
      <c r="B5" s="5" t="inlineStr">
        <is>
          <t>Date</t>
        </is>
      </c>
      <c r="C5" s="5" t="inlineStr">
        <is>
          <t>Exercise</t>
        </is>
      </c>
      <c r="D5" s="5" t="inlineStr">
        <is>
          <t>Sets</t>
        </is>
      </c>
      <c r="E5" s="5" t="inlineStr">
        <is>
          <t>Reps</t>
        </is>
      </c>
      <c r="F5" s="5" t="inlineStr">
        <is>
          <t>% TM</t>
        </is>
      </c>
      <c r="G5" s="5" t="inlineStr">
        <is>
          <t>Training max</t>
        </is>
      </c>
      <c r="H5" s="5" t="inlineStr">
        <is>
          <t>Weight / target</t>
        </is>
      </c>
      <c r="I5" s="5" t="inlineStr">
        <is>
          <t>Actual (weight, height or distance)</t>
        </is>
      </c>
      <c r="J5" s="5" t="inlineStr">
        <is>
          <t>Actual reps</t>
        </is>
      </c>
      <c r="K5" s="5" t="inlineStr">
        <is>
          <t>Est. 1RM</t>
        </is>
      </c>
      <c r="L5" s="5" t="inlineStr">
        <is>
          <t>PR</t>
        </is>
      </c>
      <c r="M5" s="5" t="inlineStr">
        <is>
          <t>Notes</t>
        </is>
      </c>
      <c r="N5" s="5" t="inlineStr">
        <is>
          <t>Guidance</t>
        </is>
      </c>
    </row>
    <row r="6">
      <c r="A6" s="26" t="inlineStr">
        <is>
          <t>Day 1 - Heavy</t>
        </is>
      </c>
      <c r="B6" s="27">
        <f>'Start Here'!$B$7+357</f>
        <v/>
      </c>
      <c r="C6" s="28" t="inlineStr">
        <is>
          <t>Box Jump</t>
        </is>
      </c>
      <c r="D6" s="29" t="n">
        <v>2</v>
      </c>
      <c r="E6" s="29" t="inlineStr">
        <is>
          <t>3</t>
        </is>
      </c>
      <c r="F6" s="29" t="n"/>
      <c r="G6" s="30" t="n"/>
      <c r="H6" s="31">
        <f>IFERROR(IF(PRs!D69&lt;'Start Here'!$H$15,'Start Here'!$H$15,IF(PRs!D69&lt;'Start Here'!$H$16,'Start Here'!$H$16,IF(PRs!D69&lt;'Start Here'!$H$17,'Start Here'!$H$17,IF(PRs!D69&lt;'Start Here'!$H$18,'Start Here'!$H$18,"Elite!")))),"")</f>
        <v/>
      </c>
      <c r="I6" s="32" t="n"/>
      <c r="J6" s="32" t="n"/>
      <c r="K6" s="29" t="n"/>
      <c r="L6" s="33">
        <f>IF(I6="","",IF(I6&gt;=PRs!D69,"PR!",""))</f>
        <v/>
      </c>
      <c r="M6" s="32" t="n"/>
      <c r="N6" s="34" t="inlineStr">
        <is>
          <t>Explode up, land softly, STEP down. Full reset between reps. Log your box height; check the standards</t>
        </is>
      </c>
    </row>
    <row r="7">
      <c r="A7" s="26" t="inlineStr">
        <is>
          <t>Day 1 - Heavy</t>
        </is>
      </c>
      <c r="B7" s="27">
        <f>'Start Here'!$B$7+357</f>
        <v/>
      </c>
      <c r="C7" s="31" t="inlineStr">
        <is>
          <t>Snatch</t>
        </is>
      </c>
      <c r="D7" s="29" t="n">
        <v>2</v>
      </c>
      <c r="E7" s="29" t="inlineStr">
        <is>
          <t>2</t>
        </is>
      </c>
      <c r="F7" s="29" t="n">
        <v>55</v>
      </c>
      <c r="G7" s="30">
        <f>Maxes!I6</f>
        <v/>
      </c>
      <c r="H7" s="31">
        <f>IF(OR(G7="",F7=""),"",MROUND(G7*F7/100,'Start Here'!$B$6))</f>
        <v/>
      </c>
      <c r="I7" s="32" t="n"/>
      <c r="J7" s="32" t="n"/>
      <c r="K7" s="29">
        <f>IF(OR(I7="",J7=""),"",IF(J7=1,I7,ROUND(I7*(1+J7/30),1)))</f>
        <v/>
      </c>
      <c r="L7" s="33">
        <f>IF(K7="","",IF(K7&gt;=PRs!C6,"PR!",""))</f>
        <v/>
      </c>
      <c r="M7" s="32" t="n"/>
      <c r="N7" s="34" t="inlineStr">
        <is>
          <t>Full recovery week before the next year</t>
        </is>
      </c>
    </row>
    <row r="8">
      <c r="A8" s="26" t="inlineStr">
        <is>
          <t>Day 1 - Heavy</t>
        </is>
      </c>
      <c r="B8" s="27">
        <f>'Start Here'!$B$7+357</f>
        <v/>
      </c>
      <c r="C8" s="31" t="inlineStr">
        <is>
          <t>Squat</t>
        </is>
      </c>
      <c r="D8" s="29" t="n">
        <v>2</v>
      </c>
      <c r="E8" s="29" t="inlineStr">
        <is>
          <t>5</t>
        </is>
      </c>
      <c r="F8" s="29" t="n">
        <v>55</v>
      </c>
      <c r="G8" s="30">
        <f>Maxes!I2</f>
        <v/>
      </c>
      <c r="H8" s="31">
        <f>IF(OR(G8="",F8=""),"",MROUND(G8*F8/100,'Start Here'!$B$6))</f>
        <v/>
      </c>
      <c r="I8" s="32" t="n"/>
      <c r="J8" s="32" t="n"/>
      <c r="K8" s="29">
        <f>IF(OR(I8="",J8=""),"",IF(J8=1,I8,ROUND(I8*(1+J8/30),1)))</f>
        <v/>
      </c>
      <c r="L8" s="33">
        <f>IF(K8="","",IF(K8&gt;=PRs!C2,"PR!",""))</f>
        <v/>
      </c>
      <c r="M8" s="32" t="n"/>
      <c r="N8" s="34" t="inlineStr">
        <is>
          <t>Full recovery week before the next year</t>
        </is>
      </c>
    </row>
    <row r="9">
      <c r="A9" s="26" t="inlineStr">
        <is>
          <t>Day 1 - Heavy</t>
        </is>
      </c>
      <c r="B9" s="27">
        <f>'Start Here'!$B$7+357</f>
        <v/>
      </c>
      <c r="C9" s="31" t="inlineStr">
        <is>
          <t>Bench Press</t>
        </is>
      </c>
      <c r="D9" s="29" t="n">
        <v>2</v>
      </c>
      <c r="E9" s="29" t="inlineStr">
        <is>
          <t>5</t>
        </is>
      </c>
      <c r="F9" s="29" t="n">
        <v>55</v>
      </c>
      <c r="G9" s="30">
        <f>Maxes!I3</f>
        <v/>
      </c>
      <c r="H9" s="31">
        <f>IF(OR(G9="",F9=""),"",MROUND(G9*F9/100,'Start Here'!$B$6))</f>
        <v/>
      </c>
      <c r="I9" s="32" t="n"/>
      <c r="J9" s="32" t="n"/>
      <c r="K9" s="29">
        <f>IF(OR(I9="",J9=""),"",IF(J9=1,I9,ROUND(I9*(1+J9/30),1)))</f>
        <v/>
      </c>
      <c r="L9" s="33">
        <f>IF(K9="","",IF(K9&gt;=PRs!C3,"PR!",""))</f>
        <v/>
      </c>
      <c r="M9" s="32" t="n"/>
      <c r="N9" s="34" t="inlineStr">
        <is>
          <t>Full recovery week before the next year</t>
        </is>
      </c>
    </row>
    <row r="10">
      <c r="A10" s="26" t="inlineStr">
        <is>
          <t>Day 1 - Heavy</t>
        </is>
      </c>
      <c r="B10" s="27">
        <f>'Start Here'!$B$7+357</f>
        <v/>
      </c>
      <c r="C10" s="29" t="inlineStr">
        <is>
          <t>Barbell Row</t>
        </is>
      </c>
      <c r="D10" s="29" t="n">
        <v>2</v>
      </c>
      <c r="E10" s="29" t="inlineStr">
        <is>
          <t>8-10</t>
        </is>
      </c>
      <c r="F10" s="29" t="n"/>
      <c r="G10" s="30" t="n"/>
      <c r="H10" s="31" t="n"/>
      <c r="I10" s="32" t="n"/>
      <c r="J10" s="32" t="n"/>
      <c r="K10" s="29">
        <f>IF(OR(I10="",J10=""),"",IF(J10=1,I10,ROUND(I10*(1+J10/30),1)))</f>
        <v/>
      </c>
      <c r="L10" s="33">
        <f>IF(K10="","",IF(K10&gt;=PRs!C50,"PR!",""))</f>
        <v/>
      </c>
      <c r="M10" s="32" t="n"/>
      <c r="N10" s="34" t="inlineStr">
        <is>
          <t>Easy</t>
        </is>
      </c>
    </row>
    <row r="11">
      <c r="A11" s="26" t="inlineStr">
        <is>
          <t>Day 1 - Heavy</t>
        </is>
      </c>
      <c r="B11" s="27">
        <f>'Start Here'!$B$7+357</f>
        <v/>
      </c>
      <c r="C11" s="29" t="inlineStr">
        <is>
          <t>Face Pull</t>
        </is>
      </c>
      <c r="D11" s="29" t="n">
        <v>2</v>
      </c>
      <c r="E11" s="29" t="inlineStr">
        <is>
          <t>12-15</t>
        </is>
      </c>
      <c r="F11" s="29" t="n"/>
      <c r="G11" s="30" t="n"/>
      <c r="H11" s="31" t="n"/>
      <c r="I11" s="32" t="n"/>
      <c r="J11" s="32" t="n"/>
      <c r="K11" s="29">
        <f>IF(OR(I11="",J11=""),"",IF(J11=1,I11,ROUND(I11*(1+J11/30),1)))</f>
        <v/>
      </c>
      <c r="L11" s="33">
        <f>IF(K11="","",IF(K11&gt;=PRs!C51,"PR!",""))</f>
        <v/>
      </c>
      <c r="M11" s="32" t="n"/>
      <c r="N11" s="34" t="inlineStr">
        <is>
          <t>Easy</t>
        </is>
      </c>
    </row>
    <row r="12">
      <c r="A12" s="26" t="inlineStr">
        <is>
          <t>Day 2 - Light</t>
        </is>
      </c>
      <c r="B12" s="27">
        <f>'Start Here'!$B$7+359</f>
        <v/>
      </c>
      <c r="C12" s="28" t="inlineStr">
        <is>
          <t>Broad Jump</t>
        </is>
      </c>
      <c r="D12" s="29" t="n">
        <v>2</v>
      </c>
      <c r="E12" s="29" t="inlineStr">
        <is>
          <t>3</t>
        </is>
      </c>
      <c r="F12" s="29" t="n"/>
      <c r="G12" s="30" t="n"/>
      <c r="H12" s="31" t="n"/>
      <c r="I12" s="32" t="n"/>
      <c r="J12" s="32" t="n"/>
      <c r="K12" s="29" t="n"/>
      <c r="L12" s="33">
        <f>IF(I12="","",IF(I12&gt;=PRs!D70,"PR!",""))</f>
        <v/>
      </c>
      <c r="M12" s="32" t="n"/>
      <c r="N12" s="34" t="inlineStr">
        <is>
          <t>Two-foot jump for distance, stick the landing. Full reset between reps. Log your best distance</t>
        </is>
      </c>
    </row>
    <row r="13">
      <c r="A13" s="26" t="inlineStr">
        <is>
          <t>Day 2 - Light</t>
        </is>
      </c>
      <c r="B13" s="27">
        <f>'Start Here'!$B$7+359</f>
        <v/>
      </c>
      <c r="C13" s="31" t="inlineStr">
        <is>
          <t>Clean &amp; Jerk</t>
        </is>
      </c>
      <c r="D13" s="29" t="n">
        <v>2</v>
      </c>
      <c r="E13" s="29" t="inlineStr">
        <is>
          <t>2</t>
        </is>
      </c>
      <c r="F13" s="29" t="n">
        <v>55</v>
      </c>
      <c r="G13" s="30">
        <f>Maxes!I7</f>
        <v/>
      </c>
      <c r="H13" s="31">
        <f>IF(OR(G13="",F13=""),"",MROUND(G13*F13/100,'Start Here'!$B$6))</f>
        <v/>
      </c>
      <c r="I13" s="32" t="n"/>
      <c r="J13" s="32" t="n"/>
      <c r="K13" s="29">
        <f>IF(OR(I13="",J13=""),"",IF(J13=1,I13,ROUND(I13*(1+J13/30),1)))</f>
        <v/>
      </c>
      <c r="L13" s="33">
        <f>IF(K13="","",IF(K13&gt;=PRs!C7,"PR!",""))</f>
        <v/>
      </c>
      <c r="M13" s="32" t="n"/>
      <c r="N13" s="34" t="inlineStr">
        <is>
          <t>Full recovery week before the next year</t>
        </is>
      </c>
    </row>
    <row r="14">
      <c r="A14" s="26" t="inlineStr">
        <is>
          <t>Day 2 - Light</t>
        </is>
      </c>
      <c r="B14" s="27">
        <f>'Start Here'!$B$7+359</f>
        <v/>
      </c>
      <c r="C14" s="31" t="inlineStr">
        <is>
          <t>Squat</t>
        </is>
      </c>
      <c r="D14" s="29" t="n">
        <v>2</v>
      </c>
      <c r="E14" s="29" t="inlineStr">
        <is>
          <t>5</t>
        </is>
      </c>
      <c r="F14" s="29" t="n">
        <v>55</v>
      </c>
      <c r="G14" s="30">
        <f>Maxes!I2</f>
        <v/>
      </c>
      <c r="H14" s="31">
        <f>IF(OR(G14="",F14=""),"",MROUND(G14*F14/100,'Start Here'!$B$6))</f>
        <v/>
      </c>
      <c r="I14" s="32" t="n"/>
      <c r="J14" s="32" t="n"/>
      <c r="K14" s="29">
        <f>IF(OR(I14="",J14=""),"",IF(J14=1,I14,ROUND(I14*(1+J14/30),1)))</f>
        <v/>
      </c>
      <c r="L14" s="33">
        <f>IF(K14="","",IF(K14&gt;=PRs!C2,"PR!",""))</f>
        <v/>
      </c>
      <c r="M14" s="32" t="n"/>
      <c r="N14" s="34" t="inlineStr">
        <is>
          <t>Full recovery week before the next year</t>
        </is>
      </c>
    </row>
    <row r="15">
      <c r="A15" s="26" t="inlineStr">
        <is>
          <t>Day 2 - Light</t>
        </is>
      </c>
      <c r="B15" s="27">
        <f>'Start Here'!$B$7+359</f>
        <v/>
      </c>
      <c r="C15" s="31" t="inlineStr">
        <is>
          <t>Overhead Press</t>
        </is>
      </c>
      <c r="D15" s="29" t="n">
        <v>2</v>
      </c>
      <c r="E15" s="29" t="inlineStr">
        <is>
          <t>5</t>
        </is>
      </c>
      <c r="F15" s="29" t="n">
        <v>55</v>
      </c>
      <c r="G15" s="30">
        <f>Maxes!I5</f>
        <v/>
      </c>
      <c r="H15" s="31">
        <f>IF(OR(G15="",F15=""),"",MROUND(G15*F15/100,'Start Here'!$B$6))</f>
        <v/>
      </c>
      <c r="I15" s="32" t="n"/>
      <c r="J15" s="32" t="n"/>
      <c r="K15" s="29">
        <f>IF(OR(I15="",J15=""),"",IF(J15=1,I15,ROUND(I15*(1+J15/30),1)))</f>
        <v/>
      </c>
      <c r="L15" s="33">
        <f>IF(K15="","",IF(K15&gt;=PRs!C5,"PR!",""))</f>
        <v/>
      </c>
      <c r="M15" s="32" t="n"/>
      <c r="N15" s="34" t="inlineStr">
        <is>
          <t>Full recovery week before the next year</t>
        </is>
      </c>
    </row>
    <row r="16">
      <c r="A16" s="26" t="inlineStr">
        <is>
          <t>Day 2 - Light</t>
        </is>
      </c>
      <c r="B16" s="27">
        <f>'Start Here'!$B$7+359</f>
        <v/>
      </c>
      <c r="C16" s="31" t="inlineStr">
        <is>
          <t>Deadlift</t>
        </is>
      </c>
      <c r="D16" s="29" t="n">
        <v>2</v>
      </c>
      <c r="E16" s="29" t="inlineStr">
        <is>
          <t>5</t>
        </is>
      </c>
      <c r="F16" s="29" t="n">
        <v>55</v>
      </c>
      <c r="G16" s="30">
        <f>Maxes!I4</f>
        <v/>
      </c>
      <c r="H16" s="31">
        <f>IF(OR(G16="",F16=""),"",MROUND(G16*F16/100,'Start Here'!$B$6))</f>
        <v/>
      </c>
      <c r="I16" s="32" t="n"/>
      <c r="J16" s="32" t="n"/>
      <c r="K16" s="29">
        <f>IF(OR(I16="",J16=""),"",IF(J16=1,I16,ROUND(I16*(1+J16/30),1)))</f>
        <v/>
      </c>
      <c r="L16" s="33">
        <f>IF(K16="","",IF(K16&gt;=PRs!C4,"PR!",""))</f>
        <v/>
      </c>
      <c r="M16" s="32" t="n"/>
      <c r="N16" s="34" t="inlineStr">
        <is>
          <t>Full recovery week before the next year</t>
        </is>
      </c>
    </row>
    <row r="17">
      <c r="A17" s="26" t="inlineStr">
        <is>
          <t>Day 2 - Light</t>
        </is>
      </c>
      <c r="B17" s="27">
        <f>'Start Here'!$B$7+359</f>
        <v/>
      </c>
      <c r="C17" s="29" t="inlineStr">
        <is>
          <t>Chin-up</t>
        </is>
      </c>
      <c r="D17" s="29" t="n">
        <v>2</v>
      </c>
      <c r="E17" s="29" t="inlineStr">
        <is>
          <t>6-10</t>
        </is>
      </c>
      <c r="F17" s="29" t="n"/>
      <c r="G17" s="30" t="n"/>
      <c r="H17" s="31" t="n"/>
      <c r="I17" s="32" t="n"/>
      <c r="J17" s="32" t="n"/>
      <c r="K17" s="29">
        <f>IF(OR(I17="",J17=""),"",IF(J17=1,I17,ROUND(I17*(1+J17/30),1)))</f>
        <v/>
      </c>
      <c r="L17" s="33">
        <f>IF(K17="","",IF(K17&gt;=PRs!C53,"PR!",""))</f>
        <v/>
      </c>
      <c r="M17" s="32" t="n"/>
      <c r="N17" s="34" t="inlineStr">
        <is>
          <t>Easy</t>
        </is>
      </c>
    </row>
    <row r="18">
      <c r="A18" s="26" t="inlineStr">
        <is>
          <t>Day 2 - Light</t>
        </is>
      </c>
      <c r="B18" s="27">
        <f>'Start Here'!$B$7+359</f>
        <v/>
      </c>
      <c r="C18" s="29" t="inlineStr">
        <is>
          <t>Plank</t>
        </is>
      </c>
      <c r="D18" s="29" t="n">
        <v>2</v>
      </c>
      <c r="E18" s="29" t="inlineStr">
        <is>
          <t>30-60s</t>
        </is>
      </c>
      <c r="F18" s="29" t="n"/>
      <c r="G18" s="30" t="n"/>
      <c r="H18" s="31" t="n"/>
      <c r="I18" s="32" t="n"/>
      <c r="J18" s="32" t="n"/>
      <c r="K18" s="29">
        <f>IF(OR(I18="",J18=""),"",IF(J18=1,I18,ROUND(I18*(1+J18/30),1)))</f>
        <v/>
      </c>
      <c r="L18" s="33">
        <f>IF(K18="","",IF(K18&gt;=PRs!C56,"PR!",""))</f>
        <v/>
      </c>
      <c r="M18" s="32" t="n"/>
      <c r="N18" s="34" t="inlineStr">
        <is>
          <t>Easy</t>
        </is>
      </c>
    </row>
    <row r="19">
      <c r="A19" s="26" t="inlineStr">
        <is>
          <t>Day 3 - Variations</t>
        </is>
      </c>
      <c r="B19" s="27">
        <f>'Start Here'!$B$7+361</f>
        <v/>
      </c>
      <c r="C19" s="28" t="inlineStr">
        <is>
          <t>Box Jump</t>
        </is>
      </c>
      <c r="D19" s="29" t="n">
        <v>2</v>
      </c>
      <c r="E19" s="29" t="inlineStr">
        <is>
          <t>3</t>
        </is>
      </c>
      <c r="F19" s="29" t="n"/>
      <c r="G19" s="30" t="n"/>
      <c r="H19" s="31">
        <f>IFERROR(IF(PRs!D69&lt;'Start Here'!$H$15,'Start Here'!$H$15,IF(PRs!D69&lt;'Start Here'!$H$16,'Start Here'!$H$16,IF(PRs!D69&lt;'Start Here'!$H$17,'Start Here'!$H$17,IF(PRs!D69&lt;'Start Here'!$H$18,'Start Here'!$H$18,"Elite!")))),"")</f>
        <v/>
      </c>
      <c r="I19" s="32" t="n"/>
      <c r="J19" s="32" t="n"/>
      <c r="K19" s="29" t="n"/>
      <c r="L19" s="33">
        <f>IF(I19="","",IF(I19&gt;=PRs!D69,"PR!",""))</f>
        <v/>
      </c>
      <c r="M19" s="32" t="n"/>
      <c r="N19" s="34" t="inlineStr">
        <is>
          <t>Explode up, land softly, STEP down. Full reset between reps. Log your box height; check the standards</t>
        </is>
      </c>
    </row>
    <row r="20">
      <c r="A20" s="26" t="inlineStr">
        <is>
          <t>Day 3 - Variations</t>
        </is>
      </c>
      <c r="B20" s="27">
        <f>'Start Here'!$B$7+361</f>
        <v/>
      </c>
      <c r="C20" s="31" t="inlineStr">
        <is>
          <t>Snatch Balance</t>
        </is>
      </c>
      <c r="D20" s="29" t="n">
        <v>2</v>
      </c>
      <c r="E20" s="29" t="inlineStr">
        <is>
          <t>2</t>
        </is>
      </c>
      <c r="F20" s="29" t="n">
        <v>55</v>
      </c>
      <c r="G20" s="30">
        <f>Maxes!I38</f>
        <v/>
      </c>
      <c r="H20" s="31">
        <f>IF(OR(G20="",F20=""),"",MROUND(G20*F20/100,'Start Here'!$B$6))</f>
        <v/>
      </c>
      <c r="I20" s="32" t="n"/>
      <c r="J20" s="32" t="n"/>
      <c r="K20" s="29">
        <f>IF(OR(I20="",J20=""),"",IF(J20=1,I20,ROUND(I20*(1+J20/30),1)))</f>
        <v/>
      </c>
      <c r="L20" s="33">
        <f>IF(K20="","",IF(K20&gt;=PRs!C38,"PR!",""))</f>
        <v/>
      </c>
      <c r="M20" s="32" t="n"/>
      <c r="N20" s="34" t="inlineStr">
        <is>
          <t>Full recovery week before the next year</t>
        </is>
      </c>
    </row>
    <row r="21">
      <c r="A21" s="26" t="inlineStr">
        <is>
          <t>Day 3 - Variations</t>
        </is>
      </c>
      <c r="B21" s="27">
        <f>'Start Here'!$B$7+361</f>
        <v/>
      </c>
      <c r="C21" s="31" t="inlineStr">
        <is>
          <t>Front Squat</t>
        </is>
      </c>
      <c r="D21" s="29" t="n">
        <v>2</v>
      </c>
      <c r="E21" s="29" t="inlineStr">
        <is>
          <t>5</t>
        </is>
      </c>
      <c r="F21" s="29" t="n">
        <v>55</v>
      </c>
      <c r="G21" s="30">
        <f>Maxes!I10</f>
        <v/>
      </c>
      <c r="H21" s="31">
        <f>IF(OR(G21="",F21=""),"",MROUND(G21*F21/100,'Start Here'!$B$6))</f>
        <v/>
      </c>
      <c r="I21" s="32" t="n"/>
      <c r="J21" s="32" t="n"/>
      <c r="K21" s="29">
        <f>IF(OR(I21="",J21=""),"",IF(J21=1,I21,ROUND(I21*(1+J21/30),1)))</f>
        <v/>
      </c>
      <c r="L21" s="33">
        <f>IF(K21="","",IF(K21&gt;=PRs!C10,"PR!",""))</f>
        <v/>
      </c>
      <c r="M21" s="32" t="n"/>
      <c r="N21" s="34" t="inlineStr">
        <is>
          <t>Full recovery week before the next year</t>
        </is>
      </c>
    </row>
    <row r="22">
      <c r="A22" s="26" t="inlineStr">
        <is>
          <t>Day 3 - Variations</t>
        </is>
      </c>
      <c r="B22" s="27">
        <f>'Start Here'!$B$7+361</f>
        <v/>
      </c>
      <c r="C22" s="31" t="inlineStr">
        <is>
          <t>3-Board Press</t>
        </is>
      </c>
      <c r="D22" s="29" t="n">
        <v>2</v>
      </c>
      <c r="E22" s="29" t="inlineStr">
        <is>
          <t>5</t>
        </is>
      </c>
      <c r="F22" s="29" t="n">
        <v>55</v>
      </c>
      <c r="G22" s="30">
        <f>Maxes!I17</f>
        <v/>
      </c>
      <c r="H22" s="31">
        <f>IF(OR(G22="",F22=""),"",MROUND(G22*F22/100,'Start Here'!$B$6))</f>
        <v/>
      </c>
      <c r="I22" s="32" t="n"/>
      <c r="J22" s="32" t="n"/>
      <c r="K22" s="29">
        <f>IF(OR(I22="",J22=""),"",IF(J22=1,I22,ROUND(I22*(1+J22/30),1)))</f>
        <v/>
      </c>
      <c r="L22" s="33">
        <f>IF(K22="","",IF(K22&gt;=PRs!C17,"PR!",""))</f>
        <v/>
      </c>
      <c r="M22" s="32" t="n"/>
      <c r="N22" s="34" t="inlineStr">
        <is>
          <t>Full recovery week before the next year</t>
        </is>
      </c>
    </row>
    <row r="23">
      <c r="A23" s="26" t="inlineStr">
        <is>
          <t>Day 3 - Variations</t>
        </is>
      </c>
      <c r="B23" s="27">
        <f>'Start Here'!$B$7+361</f>
        <v/>
      </c>
      <c r="C23" s="31" t="inlineStr">
        <is>
          <t>Romanian Deadlift</t>
        </is>
      </c>
      <c r="D23" s="29" t="n">
        <v>2</v>
      </c>
      <c r="E23" s="29" t="inlineStr">
        <is>
          <t>5</t>
        </is>
      </c>
      <c r="F23" s="29" t="n">
        <v>55</v>
      </c>
      <c r="G23" s="30">
        <f>Maxes!I23</f>
        <v/>
      </c>
      <c r="H23" s="31">
        <f>IF(OR(G23="",F23=""),"",MROUND(G23*F23/100,'Start Here'!$B$6))</f>
        <v/>
      </c>
      <c r="I23" s="32" t="n"/>
      <c r="J23" s="32" t="n"/>
      <c r="K23" s="29">
        <f>IF(OR(I23="",J23=""),"",IF(J23=1,I23,ROUND(I23*(1+J23/30),1)))</f>
        <v/>
      </c>
      <c r="L23" s="33">
        <f>IF(K23="","",IF(K23&gt;=PRs!C23,"PR!",""))</f>
        <v/>
      </c>
      <c r="M23" s="32" t="n"/>
      <c r="N23" s="34" t="inlineStr">
        <is>
          <t>Full recovery week before the next year</t>
        </is>
      </c>
    </row>
    <row r="24">
      <c r="A24" s="26" t="inlineStr">
        <is>
          <t>Day 3 - Variations</t>
        </is>
      </c>
      <c r="B24" s="27">
        <f>'Start Here'!$B$7+361</f>
        <v/>
      </c>
      <c r="C24" s="29" t="inlineStr">
        <is>
          <t>Incline Dumbbell Press</t>
        </is>
      </c>
      <c r="D24" s="29" t="n">
        <v>2</v>
      </c>
      <c r="E24" s="29" t="inlineStr">
        <is>
          <t>8-12</t>
        </is>
      </c>
      <c r="F24" s="29" t="n"/>
      <c r="G24" s="30" t="n"/>
      <c r="H24" s="31" t="n"/>
      <c r="I24" s="32" t="n"/>
      <c r="J24" s="32" t="n"/>
      <c r="K24" s="29">
        <f>IF(OR(I24="",J24=""),"",IF(J24=1,I24,ROUND(I24*(1+J24/30),1)))</f>
        <v/>
      </c>
      <c r="L24" s="33">
        <f>IF(K24="","",IF(K24&gt;=PRs!C57,"PR!",""))</f>
        <v/>
      </c>
      <c r="M24" s="32" t="n"/>
      <c r="N24" s="34" t="inlineStr">
        <is>
          <t>Easy</t>
        </is>
      </c>
    </row>
    <row r="25">
      <c r="A25" s="26" t="inlineStr">
        <is>
          <t>Day 3 - Variations</t>
        </is>
      </c>
      <c r="B25" s="27">
        <f>'Start Here'!$B$7+361</f>
        <v/>
      </c>
      <c r="C25" s="29" t="inlineStr">
        <is>
          <t>Triceps Pushdown</t>
        </is>
      </c>
      <c r="D25" s="29" t="n">
        <v>2</v>
      </c>
      <c r="E25" s="29" t="inlineStr">
        <is>
          <t>10-15</t>
        </is>
      </c>
      <c r="F25" s="29" t="n"/>
      <c r="G25" s="30" t="n"/>
      <c r="H25" s="31" t="n"/>
      <c r="I25" s="32" t="n"/>
      <c r="J25" s="32" t="n"/>
      <c r="K25" s="29">
        <f>IF(OR(I25="",J25=""),"",IF(J25=1,I25,ROUND(I25*(1+J25/30),1)))</f>
        <v/>
      </c>
      <c r="L25" s="33">
        <f>IF(K25="","",IF(K25&gt;=PRs!C59,"PR!",""))</f>
        <v/>
      </c>
      <c r="M25" s="32" t="n"/>
      <c r="N25" s="34" t="inlineStr">
        <is>
          <t>Easy</t>
        </is>
      </c>
    </row>
  </sheetData>
  <hyperlinks>
    <hyperlink xmlns:r="http://schemas.openxmlformats.org/officeDocument/2006/relationships" ref="A2" r:id="rId1"/>
    <hyperlink xmlns:r="http://schemas.openxmlformats.org/officeDocument/2006/relationships" ref="C2" r:id="rId2"/>
  </hyperlinks>
  <pageMargins left="0.75" right="0.75" top="1" bottom="1" header="0.5" footer="0.5"/>
  <pageSetup orientation="landscape" fitToHeight="0" fitToWidth="1"/>
</worksheet>
</file>

<file path=xl/worksheets/sheet55.xml><?xml version="1.0" encoding="utf-8"?>
<worksheet xmlns="http://schemas.openxmlformats.org/spreadsheetml/2006/main">
  <sheetPr>
    <outlinePr summaryBelow="1" summaryRight="1"/>
    <pageSetUpPr/>
  </sheetPr>
  <dimension ref="A1:F1001"/>
  <sheetViews>
    <sheetView workbookViewId="0">
      <pane ySplit="1" topLeftCell="A2" activePane="bottomLeft" state="frozen"/>
      <selection pane="bottomLeft" activeCell="A1" sqref="A1"/>
    </sheetView>
  </sheetViews>
  <sheetFormatPr baseColWidth="8" defaultRowHeight="15"/>
  <cols>
    <col width="12" customWidth="1" min="1" max="1"/>
    <col width="26" customWidth="1" min="2" max="2"/>
    <col width="14" customWidth="1" min="3" max="3"/>
    <col width="7" customWidth="1" min="4" max="4"/>
    <col width="10" customWidth="1" min="5" max="5"/>
    <col width="40" customWidth="1" min="6" max="6"/>
  </cols>
  <sheetData>
    <row r="1">
      <c r="A1" s="5" t="inlineStr">
        <is>
          <t>Date</t>
        </is>
      </c>
      <c r="B1" s="5" t="inlineStr">
        <is>
          <t>Exercise</t>
        </is>
      </c>
      <c r="C1" s="5" t="inlineStr">
        <is>
          <t>Weight / height</t>
        </is>
      </c>
      <c r="D1" s="5" t="inlineStr">
        <is>
          <t>Reps</t>
        </is>
      </c>
      <c r="E1" s="5" t="inlineStr">
        <is>
          <t>Est. 1RM</t>
        </is>
      </c>
      <c r="F1" s="5" t="inlineStr">
        <is>
          <t>Notes</t>
        </is>
      </c>
    </row>
    <row r="2">
      <c r="A2" s="9" t="n"/>
      <c r="B2" s="4" t="n"/>
      <c r="C2" s="4" t="n"/>
      <c r="D2" s="4" t="n"/>
      <c r="E2" s="3">
        <f>IF(OR(C2="",D2=""),"",IF(D2=1,C2,ROUND(C2*(1+D2/30),1)))</f>
        <v/>
      </c>
      <c r="F2" s="4" t="n"/>
    </row>
    <row r="3">
      <c r="A3" s="9" t="n"/>
      <c r="B3" s="4" t="n"/>
      <c r="C3" s="4" t="n"/>
      <c r="D3" s="4" t="n"/>
      <c r="E3" s="3">
        <f>IF(OR(C3="",D3=""),"",IF(D3=1,C3,ROUND(C3*(1+D3/30),1)))</f>
        <v/>
      </c>
      <c r="F3" s="4" t="n"/>
    </row>
    <row r="4">
      <c r="A4" s="9" t="n"/>
      <c r="B4" s="4" t="n"/>
      <c r="C4" s="4" t="n"/>
      <c r="D4" s="4" t="n"/>
      <c r="E4" s="3">
        <f>IF(OR(C4="",D4=""),"",IF(D4=1,C4,ROUND(C4*(1+D4/30),1)))</f>
        <v/>
      </c>
      <c r="F4" s="4" t="n"/>
    </row>
    <row r="5">
      <c r="A5" s="9" t="n"/>
      <c r="B5" s="4" t="n"/>
      <c r="C5" s="4" t="n"/>
      <c r="D5" s="4" t="n"/>
      <c r="E5" s="3">
        <f>IF(OR(C5="",D5=""),"",IF(D5=1,C5,ROUND(C5*(1+D5/30),1)))</f>
        <v/>
      </c>
      <c r="F5" s="4" t="n"/>
    </row>
    <row r="6">
      <c r="A6" s="9" t="n"/>
      <c r="B6" s="4" t="n"/>
      <c r="C6" s="4" t="n"/>
      <c r="D6" s="4" t="n"/>
      <c r="E6" s="3">
        <f>IF(OR(C6="",D6=""),"",IF(D6=1,C6,ROUND(C6*(1+D6/30),1)))</f>
        <v/>
      </c>
      <c r="F6" s="4" t="n"/>
    </row>
    <row r="7">
      <c r="A7" s="9" t="n"/>
      <c r="B7" s="4" t="n"/>
      <c r="C7" s="4" t="n"/>
      <c r="D7" s="4" t="n"/>
      <c r="E7" s="3">
        <f>IF(OR(C7="",D7=""),"",IF(D7=1,C7,ROUND(C7*(1+D7/30),1)))</f>
        <v/>
      </c>
      <c r="F7" s="4" t="n"/>
    </row>
    <row r="8">
      <c r="A8" s="9" t="n"/>
      <c r="B8" s="4" t="n"/>
      <c r="C8" s="4" t="n"/>
      <c r="D8" s="4" t="n"/>
      <c r="E8" s="3">
        <f>IF(OR(C8="",D8=""),"",IF(D8=1,C8,ROUND(C8*(1+D8/30),1)))</f>
        <v/>
      </c>
      <c r="F8" s="4" t="n"/>
    </row>
    <row r="9">
      <c r="A9" s="9" t="n"/>
      <c r="B9" s="4" t="n"/>
      <c r="C9" s="4" t="n"/>
      <c r="D9" s="4" t="n"/>
      <c r="E9" s="3">
        <f>IF(OR(C9="",D9=""),"",IF(D9=1,C9,ROUND(C9*(1+D9/30),1)))</f>
        <v/>
      </c>
      <c r="F9" s="4" t="n"/>
    </row>
    <row r="10">
      <c r="A10" s="9" t="n"/>
      <c r="B10" s="4" t="n"/>
      <c r="C10" s="4" t="n"/>
      <c r="D10" s="4" t="n"/>
      <c r="E10" s="3">
        <f>IF(OR(C10="",D10=""),"",IF(D10=1,C10,ROUND(C10*(1+D10/30),1)))</f>
        <v/>
      </c>
      <c r="F10" s="4" t="n"/>
    </row>
    <row r="11">
      <c r="A11" s="9" t="n"/>
      <c r="B11" s="4" t="n"/>
      <c r="C11" s="4" t="n"/>
      <c r="D11" s="4" t="n"/>
      <c r="E11" s="3">
        <f>IF(OR(C11="",D11=""),"",IF(D11=1,C11,ROUND(C11*(1+D11/30),1)))</f>
        <v/>
      </c>
      <c r="F11" s="4" t="n"/>
    </row>
    <row r="12">
      <c r="A12" s="9" t="n"/>
      <c r="B12" s="4" t="n"/>
      <c r="C12" s="4" t="n"/>
      <c r="D12" s="4" t="n"/>
      <c r="E12" s="3">
        <f>IF(OR(C12="",D12=""),"",IF(D12=1,C12,ROUND(C12*(1+D12/30),1)))</f>
        <v/>
      </c>
      <c r="F12" s="4" t="n"/>
    </row>
    <row r="13">
      <c r="A13" s="9" t="n"/>
      <c r="B13" s="4" t="n"/>
      <c r="C13" s="4" t="n"/>
      <c r="D13" s="4" t="n"/>
      <c r="E13" s="3">
        <f>IF(OR(C13="",D13=""),"",IF(D13=1,C13,ROUND(C13*(1+D13/30),1)))</f>
        <v/>
      </c>
      <c r="F13" s="4" t="n"/>
    </row>
    <row r="14">
      <c r="A14" s="9" t="n"/>
      <c r="B14" s="4" t="n"/>
      <c r="C14" s="4" t="n"/>
      <c r="D14" s="4" t="n"/>
      <c r="E14" s="3">
        <f>IF(OR(C14="",D14=""),"",IF(D14=1,C14,ROUND(C14*(1+D14/30),1)))</f>
        <v/>
      </c>
      <c r="F14" s="4" t="n"/>
    </row>
    <row r="15">
      <c r="A15" s="9" t="n"/>
      <c r="B15" s="4" t="n"/>
      <c r="C15" s="4" t="n"/>
      <c r="D15" s="4" t="n"/>
      <c r="E15" s="3">
        <f>IF(OR(C15="",D15=""),"",IF(D15=1,C15,ROUND(C15*(1+D15/30),1)))</f>
        <v/>
      </c>
      <c r="F15" s="4" t="n"/>
    </row>
    <row r="16">
      <c r="A16" s="9" t="n"/>
      <c r="B16" s="4" t="n"/>
      <c r="C16" s="4" t="n"/>
      <c r="D16" s="4" t="n"/>
      <c r="E16" s="3">
        <f>IF(OR(C16="",D16=""),"",IF(D16=1,C16,ROUND(C16*(1+D16/30),1)))</f>
        <v/>
      </c>
      <c r="F16" s="4" t="n"/>
    </row>
    <row r="17">
      <c r="A17" s="9" t="n"/>
      <c r="B17" s="4" t="n"/>
      <c r="C17" s="4" t="n"/>
      <c r="D17" s="4" t="n"/>
      <c r="E17" s="3">
        <f>IF(OR(C17="",D17=""),"",IF(D17=1,C17,ROUND(C17*(1+D17/30),1)))</f>
        <v/>
      </c>
      <c r="F17" s="4" t="n"/>
    </row>
    <row r="18">
      <c r="A18" s="9" t="n"/>
      <c r="B18" s="4" t="n"/>
      <c r="C18" s="4" t="n"/>
      <c r="D18" s="4" t="n"/>
      <c r="E18" s="3">
        <f>IF(OR(C18="",D18=""),"",IF(D18=1,C18,ROUND(C18*(1+D18/30),1)))</f>
        <v/>
      </c>
      <c r="F18" s="4" t="n"/>
    </row>
    <row r="19">
      <c r="A19" s="9" t="n"/>
      <c r="B19" s="4" t="n"/>
      <c r="C19" s="4" t="n"/>
      <c r="D19" s="4" t="n"/>
      <c r="E19" s="3">
        <f>IF(OR(C19="",D19=""),"",IF(D19=1,C19,ROUND(C19*(1+D19/30),1)))</f>
        <v/>
      </c>
      <c r="F19" s="4" t="n"/>
    </row>
    <row r="20">
      <c r="A20" s="9" t="n"/>
      <c r="B20" s="4" t="n"/>
      <c r="C20" s="4" t="n"/>
      <c r="D20" s="4" t="n"/>
      <c r="E20" s="3">
        <f>IF(OR(C20="",D20=""),"",IF(D20=1,C20,ROUND(C20*(1+D20/30),1)))</f>
        <v/>
      </c>
      <c r="F20" s="4" t="n"/>
    </row>
    <row r="21">
      <c r="A21" s="9" t="n"/>
      <c r="B21" s="4" t="n"/>
      <c r="C21" s="4" t="n"/>
      <c r="D21" s="4" t="n"/>
      <c r="E21" s="3">
        <f>IF(OR(C21="",D21=""),"",IF(D21=1,C21,ROUND(C21*(1+D21/30),1)))</f>
        <v/>
      </c>
      <c r="F21" s="4" t="n"/>
    </row>
    <row r="22">
      <c r="A22" s="9" t="n"/>
      <c r="B22" s="4" t="n"/>
      <c r="C22" s="4" t="n"/>
      <c r="D22" s="4" t="n"/>
      <c r="E22" s="3">
        <f>IF(OR(C22="",D22=""),"",IF(D22=1,C22,ROUND(C22*(1+D22/30),1)))</f>
        <v/>
      </c>
      <c r="F22" s="4" t="n"/>
    </row>
    <row r="23">
      <c r="A23" s="9" t="n"/>
      <c r="B23" s="4" t="n"/>
      <c r="C23" s="4" t="n"/>
      <c r="D23" s="4" t="n"/>
      <c r="E23" s="3">
        <f>IF(OR(C23="",D23=""),"",IF(D23=1,C23,ROUND(C23*(1+D23/30),1)))</f>
        <v/>
      </c>
      <c r="F23" s="4" t="n"/>
    </row>
    <row r="24">
      <c r="A24" s="9" t="n"/>
      <c r="B24" s="4" t="n"/>
      <c r="C24" s="4" t="n"/>
      <c r="D24" s="4" t="n"/>
      <c r="E24" s="3">
        <f>IF(OR(C24="",D24=""),"",IF(D24=1,C24,ROUND(C24*(1+D24/30),1)))</f>
        <v/>
      </c>
      <c r="F24" s="4" t="n"/>
    </row>
    <row r="25">
      <c r="A25" s="9" t="n"/>
      <c r="B25" s="4" t="n"/>
      <c r="C25" s="4" t="n"/>
      <c r="D25" s="4" t="n"/>
      <c r="E25" s="3">
        <f>IF(OR(C25="",D25=""),"",IF(D25=1,C25,ROUND(C25*(1+D25/30),1)))</f>
        <v/>
      </c>
      <c r="F25" s="4" t="n"/>
    </row>
    <row r="26">
      <c r="A26" s="9" t="n"/>
      <c r="B26" s="4" t="n"/>
      <c r="C26" s="4" t="n"/>
      <c r="D26" s="4" t="n"/>
      <c r="E26" s="3">
        <f>IF(OR(C26="",D26=""),"",IF(D26=1,C26,ROUND(C26*(1+D26/30),1)))</f>
        <v/>
      </c>
      <c r="F26" s="4" t="n"/>
    </row>
    <row r="27">
      <c r="A27" s="9" t="n"/>
      <c r="B27" s="4" t="n"/>
      <c r="C27" s="4" t="n"/>
      <c r="D27" s="4" t="n"/>
      <c r="E27" s="3">
        <f>IF(OR(C27="",D27=""),"",IF(D27=1,C27,ROUND(C27*(1+D27/30),1)))</f>
        <v/>
      </c>
      <c r="F27" s="4" t="n"/>
    </row>
    <row r="28">
      <c r="A28" s="9" t="n"/>
      <c r="B28" s="4" t="n"/>
      <c r="C28" s="4" t="n"/>
      <c r="D28" s="4" t="n"/>
      <c r="E28" s="3">
        <f>IF(OR(C28="",D28=""),"",IF(D28=1,C28,ROUND(C28*(1+D28/30),1)))</f>
        <v/>
      </c>
      <c r="F28" s="4" t="n"/>
    </row>
    <row r="29">
      <c r="A29" s="9" t="n"/>
      <c r="B29" s="4" t="n"/>
      <c r="C29" s="4" t="n"/>
      <c r="D29" s="4" t="n"/>
      <c r="E29" s="3">
        <f>IF(OR(C29="",D29=""),"",IF(D29=1,C29,ROUND(C29*(1+D29/30),1)))</f>
        <v/>
      </c>
      <c r="F29" s="4" t="n"/>
    </row>
    <row r="30">
      <c r="A30" s="9" t="n"/>
      <c r="B30" s="4" t="n"/>
      <c r="C30" s="4" t="n"/>
      <c r="D30" s="4" t="n"/>
      <c r="E30" s="3">
        <f>IF(OR(C30="",D30=""),"",IF(D30=1,C30,ROUND(C30*(1+D30/30),1)))</f>
        <v/>
      </c>
      <c r="F30" s="4" t="n"/>
    </row>
    <row r="31">
      <c r="A31" s="9" t="n"/>
      <c r="B31" s="4" t="n"/>
      <c r="C31" s="4" t="n"/>
      <c r="D31" s="4" t="n"/>
      <c r="E31" s="3">
        <f>IF(OR(C31="",D31=""),"",IF(D31=1,C31,ROUND(C31*(1+D31/30),1)))</f>
        <v/>
      </c>
      <c r="F31" s="4" t="n"/>
    </row>
    <row r="32">
      <c r="A32" s="9" t="n"/>
      <c r="B32" s="4" t="n"/>
      <c r="C32" s="4" t="n"/>
      <c r="D32" s="4" t="n"/>
      <c r="E32" s="3">
        <f>IF(OR(C32="",D32=""),"",IF(D32=1,C32,ROUND(C32*(1+D32/30),1)))</f>
        <v/>
      </c>
      <c r="F32" s="4" t="n"/>
    </row>
    <row r="33">
      <c r="A33" s="9" t="n"/>
      <c r="B33" s="4" t="n"/>
      <c r="C33" s="4" t="n"/>
      <c r="D33" s="4" t="n"/>
      <c r="E33" s="3">
        <f>IF(OR(C33="",D33=""),"",IF(D33=1,C33,ROUND(C33*(1+D33/30),1)))</f>
        <v/>
      </c>
      <c r="F33" s="4" t="n"/>
    </row>
    <row r="34">
      <c r="A34" s="9" t="n"/>
      <c r="B34" s="4" t="n"/>
      <c r="C34" s="4" t="n"/>
      <c r="D34" s="4" t="n"/>
      <c r="E34" s="3">
        <f>IF(OR(C34="",D34=""),"",IF(D34=1,C34,ROUND(C34*(1+D34/30),1)))</f>
        <v/>
      </c>
      <c r="F34" s="4" t="n"/>
    </row>
    <row r="35">
      <c r="A35" s="9" t="n"/>
      <c r="B35" s="4" t="n"/>
      <c r="C35" s="4" t="n"/>
      <c r="D35" s="4" t="n"/>
      <c r="E35" s="3">
        <f>IF(OR(C35="",D35=""),"",IF(D35=1,C35,ROUND(C35*(1+D35/30),1)))</f>
        <v/>
      </c>
      <c r="F35" s="4" t="n"/>
    </row>
    <row r="36">
      <c r="A36" s="9" t="n"/>
      <c r="B36" s="4" t="n"/>
      <c r="C36" s="4" t="n"/>
      <c r="D36" s="4" t="n"/>
      <c r="E36" s="3">
        <f>IF(OR(C36="",D36=""),"",IF(D36=1,C36,ROUND(C36*(1+D36/30),1)))</f>
        <v/>
      </c>
      <c r="F36" s="4" t="n"/>
    </row>
    <row r="37">
      <c r="A37" s="9" t="n"/>
      <c r="B37" s="4" t="n"/>
      <c r="C37" s="4" t="n"/>
      <c r="D37" s="4" t="n"/>
      <c r="E37" s="3">
        <f>IF(OR(C37="",D37=""),"",IF(D37=1,C37,ROUND(C37*(1+D37/30),1)))</f>
        <v/>
      </c>
      <c r="F37" s="4" t="n"/>
    </row>
    <row r="38">
      <c r="A38" s="9" t="n"/>
      <c r="B38" s="4" t="n"/>
      <c r="C38" s="4" t="n"/>
      <c r="D38" s="4" t="n"/>
      <c r="E38" s="3">
        <f>IF(OR(C38="",D38=""),"",IF(D38=1,C38,ROUND(C38*(1+D38/30),1)))</f>
        <v/>
      </c>
      <c r="F38" s="4" t="n"/>
    </row>
    <row r="39">
      <c r="A39" s="9" t="n"/>
      <c r="B39" s="4" t="n"/>
      <c r="C39" s="4" t="n"/>
      <c r="D39" s="4" t="n"/>
      <c r="E39" s="3">
        <f>IF(OR(C39="",D39=""),"",IF(D39=1,C39,ROUND(C39*(1+D39/30),1)))</f>
        <v/>
      </c>
      <c r="F39" s="4" t="n"/>
    </row>
    <row r="40">
      <c r="A40" s="9" t="n"/>
      <c r="B40" s="4" t="n"/>
      <c r="C40" s="4" t="n"/>
      <c r="D40" s="4" t="n"/>
      <c r="E40" s="3">
        <f>IF(OR(C40="",D40=""),"",IF(D40=1,C40,ROUND(C40*(1+D40/30),1)))</f>
        <v/>
      </c>
      <c r="F40" s="4" t="n"/>
    </row>
    <row r="41">
      <c r="A41" s="9" t="n"/>
      <c r="B41" s="4" t="n"/>
      <c r="C41" s="4" t="n"/>
      <c r="D41" s="4" t="n"/>
      <c r="E41" s="3">
        <f>IF(OR(C41="",D41=""),"",IF(D41=1,C41,ROUND(C41*(1+D41/30),1)))</f>
        <v/>
      </c>
      <c r="F41" s="4" t="n"/>
    </row>
    <row r="42">
      <c r="A42" s="9" t="n"/>
      <c r="B42" s="4" t="n"/>
      <c r="C42" s="4" t="n"/>
      <c r="D42" s="4" t="n"/>
      <c r="E42" s="3">
        <f>IF(OR(C42="",D42=""),"",IF(D42=1,C42,ROUND(C42*(1+D42/30),1)))</f>
        <v/>
      </c>
      <c r="F42" s="4" t="n"/>
    </row>
    <row r="43">
      <c r="A43" s="9" t="n"/>
      <c r="B43" s="4" t="n"/>
      <c r="C43" s="4" t="n"/>
      <c r="D43" s="4" t="n"/>
      <c r="E43" s="3">
        <f>IF(OR(C43="",D43=""),"",IF(D43=1,C43,ROUND(C43*(1+D43/30),1)))</f>
        <v/>
      </c>
      <c r="F43" s="4" t="n"/>
    </row>
    <row r="44">
      <c r="A44" s="9" t="n"/>
      <c r="B44" s="4" t="n"/>
      <c r="C44" s="4" t="n"/>
      <c r="D44" s="4" t="n"/>
      <c r="E44" s="3">
        <f>IF(OR(C44="",D44=""),"",IF(D44=1,C44,ROUND(C44*(1+D44/30),1)))</f>
        <v/>
      </c>
      <c r="F44" s="4" t="n"/>
    </row>
    <row r="45">
      <c r="A45" s="9" t="n"/>
      <c r="B45" s="4" t="n"/>
      <c r="C45" s="4" t="n"/>
      <c r="D45" s="4" t="n"/>
      <c r="E45" s="3">
        <f>IF(OR(C45="",D45=""),"",IF(D45=1,C45,ROUND(C45*(1+D45/30),1)))</f>
        <v/>
      </c>
      <c r="F45" s="4" t="n"/>
    </row>
    <row r="46">
      <c r="A46" s="9" t="n"/>
      <c r="B46" s="4" t="n"/>
      <c r="C46" s="4" t="n"/>
      <c r="D46" s="4" t="n"/>
      <c r="E46" s="3">
        <f>IF(OR(C46="",D46=""),"",IF(D46=1,C46,ROUND(C46*(1+D46/30),1)))</f>
        <v/>
      </c>
      <c r="F46" s="4" t="n"/>
    </row>
    <row r="47">
      <c r="A47" s="9" t="n"/>
      <c r="B47" s="4" t="n"/>
      <c r="C47" s="4" t="n"/>
      <c r="D47" s="4" t="n"/>
      <c r="E47" s="3">
        <f>IF(OR(C47="",D47=""),"",IF(D47=1,C47,ROUND(C47*(1+D47/30),1)))</f>
        <v/>
      </c>
      <c r="F47" s="4" t="n"/>
    </row>
    <row r="48">
      <c r="A48" s="9" t="n"/>
      <c r="B48" s="4" t="n"/>
      <c r="C48" s="4" t="n"/>
      <c r="D48" s="4" t="n"/>
      <c r="E48" s="3">
        <f>IF(OR(C48="",D48=""),"",IF(D48=1,C48,ROUND(C48*(1+D48/30),1)))</f>
        <v/>
      </c>
      <c r="F48" s="4" t="n"/>
    </row>
    <row r="49">
      <c r="A49" s="9" t="n"/>
      <c r="B49" s="4" t="n"/>
      <c r="C49" s="4" t="n"/>
      <c r="D49" s="4" t="n"/>
      <c r="E49" s="3">
        <f>IF(OR(C49="",D49=""),"",IF(D49=1,C49,ROUND(C49*(1+D49/30),1)))</f>
        <v/>
      </c>
      <c r="F49" s="4" t="n"/>
    </row>
    <row r="50">
      <c r="A50" s="9" t="n"/>
      <c r="B50" s="4" t="n"/>
      <c r="C50" s="4" t="n"/>
      <c r="D50" s="4" t="n"/>
      <c r="E50" s="3">
        <f>IF(OR(C50="",D50=""),"",IF(D50=1,C50,ROUND(C50*(1+D50/30),1)))</f>
        <v/>
      </c>
      <c r="F50" s="4" t="n"/>
    </row>
    <row r="51">
      <c r="A51" s="9" t="n"/>
      <c r="B51" s="4" t="n"/>
      <c r="C51" s="4" t="n"/>
      <c r="D51" s="4" t="n"/>
      <c r="E51" s="3">
        <f>IF(OR(C51="",D51=""),"",IF(D51=1,C51,ROUND(C51*(1+D51/30),1)))</f>
        <v/>
      </c>
      <c r="F51" s="4" t="n"/>
    </row>
    <row r="52">
      <c r="A52" s="9" t="n"/>
      <c r="B52" s="4" t="n"/>
      <c r="C52" s="4" t="n"/>
      <c r="D52" s="4" t="n"/>
      <c r="E52" s="3">
        <f>IF(OR(C52="",D52=""),"",IF(D52=1,C52,ROUND(C52*(1+D52/30),1)))</f>
        <v/>
      </c>
      <c r="F52" s="4" t="n"/>
    </row>
    <row r="53">
      <c r="A53" s="9" t="n"/>
      <c r="B53" s="4" t="n"/>
      <c r="C53" s="4" t="n"/>
      <c r="D53" s="4" t="n"/>
      <c r="E53" s="3">
        <f>IF(OR(C53="",D53=""),"",IF(D53=1,C53,ROUND(C53*(1+D53/30),1)))</f>
        <v/>
      </c>
      <c r="F53" s="4" t="n"/>
    </row>
    <row r="54">
      <c r="A54" s="9" t="n"/>
      <c r="B54" s="4" t="n"/>
      <c r="C54" s="4" t="n"/>
      <c r="D54" s="4" t="n"/>
      <c r="E54" s="3">
        <f>IF(OR(C54="",D54=""),"",IF(D54=1,C54,ROUND(C54*(1+D54/30),1)))</f>
        <v/>
      </c>
      <c r="F54" s="4" t="n"/>
    </row>
    <row r="55">
      <c r="A55" s="9" t="n"/>
      <c r="B55" s="4" t="n"/>
      <c r="C55" s="4" t="n"/>
      <c r="D55" s="4" t="n"/>
      <c r="E55" s="3">
        <f>IF(OR(C55="",D55=""),"",IF(D55=1,C55,ROUND(C55*(1+D55/30),1)))</f>
        <v/>
      </c>
      <c r="F55" s="4" t="n"/>
    </row>
    <row r="56">
      <c r="A56" s="9" t="n"/>
      <c r="B56" s="4" t="n"/>
      <c r="C56" s="4" t="n"/>
      <c r="D56" s="4" t="n"/>
      <c r="E56" s="3">
        <f>IF(OR(C56="",D56=""),"",IF(D56=1,C56,ROUND(C56*(1+D56/30),1)))</f>
        <v/>
      </c>
      <c r="F56" s="4" t="n"/>
    </row>
    <row r="57">
      <c r="A57" s="9" t="n"/>
      <c r="B57" s="4" t="n"/>
      <c r="C57" s="4" t="n"/>
      <c r="D57" s="4" t="n"/>
      <c r="E57" s="3">
        <f>IF(OR(C57="",D57=""),"",IF(D57=1,C57,ROUND(C57*(1+D57/30),1)))</f>
        <v/>
      </c>
      <c r="F57" s="4" t="n"/>
    </row>
    <row r="58">
      <c r="A58" s="9" t="n"/>
      <c r="B58" s="4" t="n"/>
      <c r="C58" s="4" t="n"/>
      <c r="D58" s="4" t="n"/>
      <c r="E58" s="3">
        <f>IF(OR(C58="",D58=""),"",IF(D58=1,C58,ROUND(C58*(1+D58/30),1)))</f>
        <v/>
      </c>
      <c r="F58" s="4" t="n"/>
    </row>
    <row r="59">
      <c r="A59" s="9" t="n"/>
      <c r="B59" s="4" t="n"/>
      <c r="C59" s="4" t="n"/>
      <c r="D59" s="4" t="n"/>
      <c r="E59" s="3">
        <f>IF(OR(C59="",D59=""),"",IF(D59=1,C59,ROUND(C59*(1+D59/30),1)))</f>
        <v/>
      </c>
      <c r="F59" s="4" t="n"/>
    </row>
    <row r="60">
      <c r="A60" s="9" t="n"/>
      <c r="B60" s="4" t="n"/>
      <c r="C60" s="4" t="n"/>
      <c r="D60" s="4" t="n"/>
      <c r="E60" s="3">
        <f>IF(OR(C60="",D60=""),"",IF(D60=1,C60,ROUND(C60*(1+D60/30),1)))</f>
        <v/>
      </c>
      <c r="F60" s="4" t="n"/>
    </row>
    <row r="61">
      <c r="A61" s="9" t="n"/>
      <c r="B61" s="4" t="n"/>
      <c r="C61" s="4" t="n"/>
      <c r="D61" s="4" t="n"/>
      <c r="E61" s="3">
        <f>IF(OR(C61="",D61=""),"",IF(D61=1,C61,ROUND(C61*(1+D61/30),1)))</f>
        <v/>
      </c>
      <c r="F61" s="4" t="n"/>
    </row>
    <row r="62">
      <c r="A62" s="9" t="n"/>
      <c r="B62" s="4" t="n"/>
      <c r="C62" s="4" t="n"/>
      <c r="D62" s="4" t="n"/>
      <c r="E62" s="3">
        <f>IF(OR(C62="",D62=""),"",IF(D62=1,C62,ROUND(C62*(1+D62/30),1)))</f>
        <v/>
      </c>
      <c r="F62" s="4" t="n"/>
    </row>
    <row r="63">
      <c r="A63" s="9" t="n"/>
      <c r="B63" s="4" t="n"/>
      <c r="C63" s="4" t="n"/>
      <c r="D63" s="4" t="n"/>
      <c r="E63" s="3">
        <f>IF(OR(C63="",D63=""),"",IF(D63=1,C63,ROUND(C63*(1+D63/30),1)))</f>
        <v/>
      </c>
      <c r="F63" s="4" t="n"/>
    </row>
    <row r="64">
      <c r="A64" s="9" t="n"/>
      <c r="B64" s="4" t="n"/>
      <c r="C64" s="4" t="n"/>
      <c r="D64" s="4" t="n"/>
      <c r="E64" s="3">
        <f>IF(OR(C64="",D64=""),"",IF(D64=1,C64,ROUND(C64*(1+D64/30),1)))</f>
        <v/>
      </c>
      <c r="F64" s="4" t="n"/>
    </row>
    <row r="65">
      <c r="A65" s="9" t="n"/>
      <c r="B65" s="4" t="n"/>
      <c r="C65" s="4" t="n"/>
      <c r="D65" s="4" t="n"/>
      <c r="E65" s="3">
        <f>IF(OR(C65="",D65=""),"",IF(D65=1,C65,ROUND(C65*(1+D65/30),1)))</f>
        <v/>
      </c>
      <c r="F65" s="4" t="n"/>
    </row>
    <row r="66">
      <c r="A66" s="9" t="n"/>
      <c r="B66" s="4" t="n"/>
      <c r="C66" s="4" t="n"/>
      <c r="D66" s="4" t="n"/>
      <c r="E66" s="3">
        <f>IF(OR(C66="",D66=""),"",IF(D66=1,C66,ROUND(C66*(1+D66/30),1)))</f>
        <v/>
      </c>
      <c r="F66" s="4" t="n"/>
    </row>
    <row r="67">
      <c r="A67" s="9" t="n"/>
      <c r="B67" s="4" t="n"/>
      <c r="C67" s="4" t="n"/>
      <c r="D67" s="4" t="n"/>
      <c r="E67" s="3">
        <f>IF(OR(C67="",D67=""),"",IF(D67=1,C67,ROUND(C67*(1+D67/30),1)))</f>
        <v/>
      </c>
      <c r="F67" s="4" t="n"/>
    </row>
    <row r="68">
      <c r="A68" s="9" t="n"/>
      <c r="B68" s="4" t="n"/>
      <c r="C68" s="4" t="n"/>
      <c r="D68" s="4" t="n"/>
      <c r="E68" s="3">
        <f>IF(OR(C68="",D68=""),"",IF(D68=1,C68,ROUND(C68*(1+D68/30),1)))</f>
        <v/>
      </c>
      <c r="F68" s="4" t="n"/>
    </row>
    <row r="69">
      <c r="A69" s="9" t="n"/>
      <c r="B69" s="4" t="n"/>
      <c r="C69" s="4" t="n"/>
      <c r="D69" s="4" t="n"/>
      <c r="E69" s="3">
        <f>IF(OR(C69="",D69=""),"",IF(D69=1,C69,ROUND(C69*(1+D69/30),1)))</f>
        <v/>
      </c>
      <c r="F69" s="4" t="n"/>
    </row>
    <row r="70">
      <c r="A70" s="9" t="n"/>
      <c r="B70" s="4" t="n"/>
      <c r="C70" s="4" t="n"/>
      <c r="D70" s="4" t="n"/>
      <c r="E70" s="3">
        <f>IF(OR(C70="",D70=""),"",IF(D70=1,C70,ROUND(C70*(1+D70/30),1)))</f>
        <v/>
      </c>
      <c r="F70" s="4" t="n"/>
    </row>
    <row r="71">
      <c r="A71" s="9" t="n"/>
      <c r="B71" s="4" t="n"/>
      <c r="C71" s="4" t="n"/>
      <c r="D71" s="4" t="n"/>
      <c r="E71" s="3">
        <f>IF(OR(C71="",D71=""),"",IF(D71=1,C71,ROUND(C71*(1+D71/30),1)))</f>
        <v/>
      </c>
      <c r="F71" s="4" t="n"/>
    </row>
    <row r="72">
      <c r="A72" s="9" t="n"/>
      <c r="B72" s="4" t="n"/>
      <c r="C72" s="4" t="n"/>
      <c r="D72" s="4" t="n"/>
      <c r="E72" s="3">
        <f>IF(OR(C72="",D72=""),"",IF(D72=1,C72,ROUND(C72*(1+D72/30),1)))</f>
        <v/>
      </c>
      <c r="F72" s="4" t="n"/>
    </row>
    <row r="73">
      <c r="A73" s="9" t="n"/>
      <c r="B73" s="4" t="n"/>
      <c r="C73" s="4" t="n"/>
      <c r="D73" s="4" t="n"/>
      <c r="E73" s="3">
        <f>IF(OR(C73="",D73=""),"",IF(D73=1,C73,ROUND(C73*(1+D73/30),1)))</f>
        <v/>
      </c>
      <c r="F73" s="4" t="n"/>
    </row>
    <row r="74">
      <c r="A74" s="9" t="n"/>
      <c r="B74" s="4" t="n"/>
      <c r="C74" s="4" t="n"/>
      <c r="D74" s="4" t="n"/>
      <c r="E74" s="3">
        <f>IF(OR(C74="",D74=""),"",IF(D74=1,C74,ROUND(C74*(1+D74/30),1)))</f>
        <v/>
      </c>
      <c r="F74" s="4" t="n"/>
    </row>
    <row r="75">
      <c r="A75" s="9" t="n"/>
      <c r="B75" s="4" t="n"/>
      <c r="C75" s="4" t="n"/>
      <c r="D75" s="4" t="n"/>
      <c r="E75" s="3">
        <f>IF(OR(C75="",D75=""),"",IF(D75=1,C75,ROUND(C75*(1+D75/30),1)))</f>
        <v/>
      </c>
      <c r="F75" s="4" t="n"/>
    </row>
    <row r="76">
      <c r="A76" s="9" t="n"/>
      <c r="B76" s="4" t="n"/>
      <c r="C76" s="4" t="n"/>
      <c r="D76" s="4" t="n"/>
      <c r="E76" s="3">
        <f>IF(OR(C76="",D76=""),"",IF(D76=1,C76,ROUND(C76*(1+D76/30),1)))</f>
        <v/>
      </c>
      <c r="F76" s="4" t="n"/>
    </row>
    <row r="77">
      <c r="A77" s="9" t="n"/>
      <c r="B77" s="4" t="n"/>
      <c r="C77" s="4" t="n"/>
      <c r="D77" s="4" t="n"/>
      <c r="E77" s="3">
        <f>IF(OR(C77="",D77=""),"",IF(D77=1,C77,ROUND(C77*(1+D77/30),1)))</f>
        <v/>
      </c>
      <c r="F77" s="4" t="n"/>
    </row>
    <row r="78">
      <c r="A78" s="9" t="n"/>
      <c r="B78" s="4" t="n"/>
      <c r="C78" s="4" t="n"/>
      <c r="D78" s="4" t="n"/>
      <c r="E78" s="3">
        <f>IF(OR(C78="",D78=""),"",IF(D78=1,C78,ROUND(C78*(1+D78/30),1)))</f>
        <v/>
      </c>
      <c r="F78" s="4" t="n"/>
    </row>
    <row r="79">
      <c r="A79" s="9" t="n"/>
      <c r="B79" s="4" t="n"/>
      <c r="C79" s="4" t="n"/>
      <c r="D79" s="4" t="n"/>
      <c r="E79" s="3">
        <f>IF(OR(C79="",D79=""),"",IF(D79=1,C79,ROUND(C79*(1+D79/30),1)))</f>
        <v/>
      </c>
      <c r="F79" s="4" t="n"/>
    </row>
    <row r="80">
      <c r="A80" s="9" t="n"/>
      <c r="B80" s="4" t="n"/>
      <c r="C80" s="4" t="n"/>
      <c r="D80" s="4" t="n"/>
      <c r="E80" s="3">
        <f>IF(OR(C80="",D80=""),"",IF(D80=1,C80,ROUND(C80*(1+D80/30),1)))</f>
        <v/>
      </c>
      <c r="F80" s="4" t="n"/>
    </row>
    <row r="81">
      <c r="A81" s="9" t="n"/>
      <c r="B81" s="4" t="n"/>
      <c r="C81" s="4" t="n"/>
      <c r="D81" s="4" t="n"/>
      <c r="E81" s="3">
        <f>IF(OR(C81="",D81=""),"",IF(D81=1,C81,ROUND(C81*(1+D81/30),1)))</f>
        <v/>
      </c>
      <c r="F81" s="4" t="n"/>
    </row>
    <row r="82">
      <c r="A82" s="9" t="n"/>
      <c r="B82" s="4" t="n"/>
      <c r="C82" s="4" t="n"/>
      <c r="D82" s="4" t="n"/>
      <c r="E82" s="3">
        <f>IF(OR(C82="",D82=""),"",IF(D82=1,C82,ROUND(C82*(1+D82/30),1)))</f>
        <v/>
      </c>
      <c r="F82" s="4" t="n"/>
    </row>
    <row r="83">
      <c r="A83" s="9" t="n"/>
      <c r="B83" s="4" t="n"/>
      <c r="C83" s="4" t="n"/>
      <c r="D83" s="4" t="n"/>
      <c r="E83" s="3">
        <f>IF(OR(C83="",D83=""),"",IF(D83=1,C83,ROUND(C83*(1+D83/30),1)))</f>
        <v/>
      </c>
      <c r="F83" s="4" t="n"/>
    </row>
    <row r="84">
      <c r="A84" s="9" t="n"/>
      <c r="B84" s="4" t="n"/>
      <c r="C84" s="4" t="n"/>
      <c r="D84" s="4" t="n"/>
      <c r="E84" s="3">
        <f>IF(OR(C84="",D84=""),"",IF(D84=1,C84,ROUND(C84*(1+D84/30),1)))</f>
        <v/>
      </c>
      <c r="F84" s="4" t="n"/>
    </row>
    <row r="85">
      <c r="A85" s="9" t="n"/>
      <c r="B85" s="4" t="n"/>
      <c r="C85" s="4" t="n"/>
      <c r="D85" s="4" t="n"/>
      <c r="E85" s="3">
        <f>IF(OR(C85="",D85=""),"",IF(D85=1,C85,ROUND(C85*(1+D85/30),1)))</f>
        <v/>
      </c>
      <c r="F85" s="4" t="n"/>
    </row>
    <row r="86">
      <c r="A86" s="9" t="n"/>
      <c r="B86" s="4" t="n"/>
      <c r="C86" s="4" t="n"/>
      <c r="D86" s="4" t="n"/>
      <c r="E86" s="3">
        <f>IF(OR(C86="",D86=""),"",IF(D86=1,C86,ROUND(C86*(1+D86/30),1)))</f>
        <v/>
      </c>
      <c r="F86" s="4" t="n"/>
    </row>
    <row r="87">
      <c r="A87" s="9" t="n"/>
      <c r="B87" s="4" t="n"/>
      <c r="C87" s="4" t="n"/>
      <c r="D87" s="4" t="n"/>
      <c r="E87" s="3">
        <f>IF(OR(C87="",D87=""),"",IF(D87=1,C87,ROUND(C87*(1+D87/30),1)))</f>
        <v/>
      </c>
      <c r="F87" s="4" t="n"/>
    </row>
    <row r="88">
      <c r="A88" s="9" t="n"/>
      <c r="B88" s="4" t="n"/>
      <c r="C88" s="4" t="n"/>
      <c r="D88" s="4" t="n"/>
      <c r="E88" s="3">
        <f>IF(OR(C88="",D88=""),"",IF(D88=1,C88,ROUND(C88*(1+D88/30),1)))</f>
        <v/>
      </c>
      <c r="F88" s="4" t="n"/>
    </row>
    <row r="89">
      <c r="A89" s="9" t="n"/>
      <c r="B89" s="4" t="n"/>
      <c r="C89" s="4" t="n"/>
      <c r="D89" s="4" t="n"/>
      <c r="E89" s="3">
        <f>IF(OR(C89="",D89=""),"",IF(D89=1,C89,ROUND(C89*(1+D89/30),1)))</f>
        <v/>
      </c>
      <c r="F89" s="4" t="n"/>
    </row>
    <row r="90">
      <c r="A90" s="9" t="n"/>
      <c r="B90" s="4" t="n"/>
      <c r="C90" s="4" t="n"/>
      <c r="D90" s="4" t="n"/>
      <c r="E90" s="3">
        <f>IF(OR(C90="",D90=""),"",IF(D90=1,C90,ROUND(C90*(1+D90/30),1)))</f>
        <v/>
      </c>
      <c r="F90" s="4" t="n"/>
    </row>
    <row r="91">
      <c r="A91" s="9" t="n"/>
      <c r="B91" s="4" t="n"/>
      <c r="C91" s="4" t="n"/>
      <c r="D91" s="4" t="n"/>
      <c r="E91" s="3">
        <f>IF(OR(C91="",D91=""),"",IF(D91=1,C91,ROUND(C91*(1+D91/30),1)))</f>
        <v/>
      </c>
      <c r="F91" s="4" t="n"/>
    </row>
    <row r="92">
      <c r="A92" s="9" t="n"/>
      <c r="B92" s="4" t="n"/>
      <c r="C92" s="4" t="n"/>
      <c r="D92" s="4" t="n"/>
      <c r="E92" s="3">
        <f>IF(OR(C92="",D92=""),"",IF(D92=1,C92,ROUND(C92*(1+D92/30),1)))</f>
        <v/>
      </c>
      <c r="F92" s="4" t="n"/>
    </row>
    <row r="93">
      <c r="A93" s="9" t="n"/>
      <c r="B93" s="4" t="n"/>
      <c r="C93" s="4" t="n"/>
      <c r="D93" s="4" t="n"/>
      <c r="E93" s="3">
        <f>IF(OR(C93="",D93=""),"",IF(D93=1,C93,ROUND(C93*(1+D93/30),1)))</f>
        <v/>
      </c>
      <c r="F93" s="4" t="n"/>
    </row>
    <row r="94">
      <c r="A94" s="9" t="n"/>
      <c r="B94" s="4" t="n"/>
      <c r="C94" s="4" t="n"/>
      <c r="D94" s="4" t="n"/>
      <c r="E94" s="3">
        <f>IF(OR(C94="",D94=""),"",IF(D94=1,C94,ROUND(C94*(1+D94/30),1)))</f>
        <v/>
      </c>
      <c r="F94" s="4" t="n"/>
    </row>
    <row r="95">
      <c r="A95" s="9" t="n"/>
      <c r="B95" s="4" t="n"/>
      <c r="C95" s="4" t="n"/>
      <c r="D95" s="4" t="n"/>
      <c r="E95" s="3">
        <f>IF(OR(C95="",D95=""),"",IF(D95=1,C95,ROUND(C95*(1+D95/30),1)))</f>
        <v/>
      </c>
      <c r="F95" s="4" t="n"/>
    </row>
    <row r="96">
      <c r="A96" s="9" t="n"/>
      <c r="B96" s="4" t="n"/>
      <c r="C96" s="4" t="n"/>
      <c r="D96" s="4" t="n"/>
      <c r="E96" s="3">
        <f>IF(OR(C96="",D96=""),"",IF(D96=1,C96,ROUND(C96*(1+D96/30),1)))</f>
        <v/>
      </c>
      <c r="F96" s="4" t="n"/>
    </row>
    <row r="97">
      <c r="A97" s="9" t="n"/>
      <c r="B97" s="4" t="n"/>
      <c r="C97" s="4" t="n"/>
      <c r="D97" s="4" t="n"/>
      <c r="E97" s="3">
        <f>IF(OR(C97="",D97=""),"",IF(D97=1,C97,ROUND(C97*(1+D97/30),1)))</f>
        <v/>
      </c>
      <c r="F97" s="4" t="n"/>
    </row>
    <row r="98">
      <c r="A98" s="9" t="n"/>
      <c r="B98" s="4" t="n"/>
      <c r="C98" s="4" t="n"/>
      <c r="D98" s="4" t="n"/>
      <c r="E98" s="3">
        <f>IF(OR(C98="",D98=""),"",IF(D98=1,C98,ROUND(C98*(1+D98/30),1)))</f>
        <v/>
      </c>
      <c r="F98" s="4" t="n"/>
    </row>
    <row r="99">
      <c r="A99" s="9" t="n"/>
      <c r="B99" s="4" t="n"/>
      <c r="C99" s="4" t="n"/>
      <c r="D99" s="4" t="n"/>
      <c r="E99" s="3">
        <f>IF(OR(C99="",D99=""),"",IF(D99=1,C99,ROUND(C99*(1+D99/30),1)))</f>
        <v/>
      </c>
      <c r="F99" s="4" t="n"/>
    </row>
    <row r="100">
      <c r="A100" s="9" t="n"/>
      <c r="B100" s="4" t="n"/>
      <c r="C100" s="4" t="n"/>
      <c r="D100" s="4" t="n"/>
      <c r="E100" s="3">
        <f>IF(OR(C100="",D100=""),"",IF(D100=1,C100,ROUND(C100*(1+D100/30),1)))</f>
        <v/>
      </c>
      <c r="F100" s="4" t="n"/>
    </row>
    <row r="101">
      <c r="A101" s="9" t="n"/>
      <c r="B101" s="4" t="n"/>
      <c r="C101" s="4" t="n"/>
      <c r="D101" s="4" t="n"/>
      <c r="E101" s="3">
        <f>IF(OR(C101="",D101=""),"",IF(D101=1,C101,ROUND(C101*(1+D101/30),1)))</f>
        <v/>
      </c>
      <c r="F101" s="4" t="n"/>
    </row>
    <row r="102">
      <c r="A102" s="9" t="n"/>
      <c r="B102" s="4" t="n"/>
      <c r="C102" s="4" t="n"/>
      <c r="D102" s="4" t="n"/>
      <c r="E102" s="3">
        <f>IF(OR(C102="",D102=""),"",IF(D102=1,C102,ROUND(C102*(1+D102/30),1)))</f>
        <v/>
      </c>
      <c r="F102" s="4" t="n"/>
    </row>
    <row r="103">
      <c r="A103" s="9" t="n"/>
      <c r="B103" s="4" t="n"/>
      <c r="C103" s="4" t="n"/>
      <c r="D103" s="4" t="n"/>
      <c r="E103" s="3">
        <f>IF(OR(C103="",D103=""),"",IF(D103=1,C103,ROUND(C103*(1+D103/30),1)))</f>
        <v/>
      </c>
      <c r="F103" s="4" t="n"/>
    </row>
    <row r="104">
      <c r="A104" s="9" t="n"/>
      <c r="B104" s="4" t="n"/>
      <c r="C104" s="4" t="n"/>
      <c r="D104" s="4" t="n"/>
      <c r="E104" s="3">
        <f>IF(OR(C104="",D104=""),"",IF(D104=1,C104,ROUND(C104*(1+D104/30),1)))</f>
        <v/>
      </c>
      <c r="F104" s="4" t="n"/>
    </row>
    <row r="105">
      <c r="A105" s="9" t="n"/>
      <c r="B105" s="4" t="n"/>
      <c r="C105" s="4" t="n"/>
      <c r="D105" s="4" t="n"/>
      <c r="E105" s="3">
        <f>IF(OR(C105="",D105=""),"",IF(D105=1,C105,ROUND(C105*(1+D105/30),1)))</f>
        <v/>
      </c>
      <c r="F105" s="4" t="n"/>
    </row>
    <row r="106">
      <c r="A106" s="9" t="n"/>
      <c r="B106" s="4" t="n"/>
      <c r="C106" s="4" t="n"/>
      <c r="D106" s="4" t="n"/>
      <c r="E106" s="3">
        <f>IF(OR(C106="",D106=""),"",IF(D106=1,C106,ROUND(C106*(1+D106/30),1)))</f>
        <v/>
      </c>
      <c r="F106" s="4" t="n"/>
    </row>
    <row r="107">
      <c r="A107" s="9" t="n"/>
      <c r="B107" s="4" t="n"/>
      <c r="C107" s="4" t="n"/>
      <c r="D107" s="4" t="n"/>
      <c r="E107" s="3">
        <f>IF(OR(C107="",D107=""),"",IF(D107=1,C107,ROUND(C107*(1+D107/30),1)))</f>
        <v/>
      </c>
      <c r="F107" s="4" t="n"/>
    </row>
    <row r="108">
      <c r="A108" s="9" t="n"/>
      <c r="B108" s="4" t="n"/>
      <c r="C108" s="4" t="n"/>
      <c r="D108" s="4" t="n"/>
      <c r="E108" s="3">
        <f>IF(OR(C108="",D108=""),"",IF(D108=1,C108,ROUND(C108*(1+D108/30),1)))</f>
        <v/>
      </c>
      <c r="F108" s="4" t="n"/>
    </row>
    <row r="109">
      <c r="A109" s="9" t="n"/>
      <c r="B109" s="4" t="n"/>
      <c r="C109" s="4" t="n"/>
      <c r="D109" s="4" t="n"/>
      <c r="E109" s="3">
        <f>IF(OR(C109="",D109=""),"",IF(D109=1,C109,ROUND(C109*(1+D109/30),1)))</f>
        <v/>
      </c>
      <c r="F109" s="4" t="n"/>
    </row>
    <row r="110">
      <c r="A110" s="9" t="n"/>
      <c r="B110" s="4" t="n"/>
      <c r="C110" s="4" t="n"/>
      <c r="D110" s="4" t="n"/>
      <c r="E110" s="3">
        <f>IF(OR(C110="",D110=""),"",IF(D110=1,C110,ROUND(C110*(1+D110/30),1)))</f>
        <v/>
      </c>
      <c r="F110" s="4" t="n"/>
    </row>
    <row r="111">
      <c r="A111" s="9" t="n"/>
      <c r="B111" s="4" t="n"/>
      <c r="C111" s="4" t="n"/>
      <c r="D111" s="4" t="n"/>
      <c r="E111" s="3">
        <f>IF(OR(C111="",D111=""),"",IF(D111=1,C111,ROUND(C111*(1+D111/30),1)))</f>
        <v/>
      </c>
      <c r="F111" s="4" t="n"/>
    </row>
    <row r="112">
      <c r="A112" s="9" t="n"/>
      <c r="B112" s="4" t="n"/>
      <c r="C112" s="4" t="n"/>
      <c r="D112" s="4" t="n"/>
      <c r="E112" s="3">
        <f>IF(OR(C112="",D112=""),"",IF(D112=1,C112,ROUND(C112*(1+D112/30),1)))</f>
        <v/>
      </c>
      <c r="F112" s="4" t="n"/>
    </row>
    <row r="113">
      <c r="A113" s="9" t="n"/>
      <c r="B113" s="4" t="n"/>
      <c r="C113" s="4" t="n"/>
      <c r="D113" s="4" t="n"/>
      <c r="E113" s="3">
        <f>IF(OR(C113="",D113=""),"",IF(D113=1,C113,ROUND(C113*(1+D113/30),1)))</f>
        <v/>
      </c>
      <c r="F113" s="4" t="n"/>
    </row>
    <row r="114">
      <c r="A114" s="9" t="n"/>
      <c r="B114" s="4" t="n"/>
      <c r="C114" s="4" t="n"/>
      <c r="D114" s="4" t="n"/>
      <c r="E114" s="3">
        <f>IF(OR(C114="",D114=""),"",IF(D114=1,C114,ROUND(C114*(1+D114/30),1)))</f>
        <v/>
      </c>
      <c r="F114" s="4" t="n"/>
    </row>
    <row r="115">
      <c r="A115" s="9" t="n"/>
      <c r="B115" s="4" t="n"/>
      <c r="C115" s="4" t="n"/>
      <c r="D115" s="4" t="n"/>
      <c r="E115" s="3">
        <f>IF(OR(C115="",D115=""),"",IF(D115=1,C115,ROUND(C115*(1+D115/30),1)))</f>
        <v/>
      </c>
      <c r="F115" s="4" t="n"/>
    </row>
    <row r="116">
      <c r="A116" s="9" t="n"/>
      <c r="B116" s="4" t="n"/>
      <c r="C116" s="4" t="n"/>
      <c r="D116" s="4" t="n"/>
      <c r="E116" s="3">
        <f>IF(OR(C116="",D116=""),"",IF(D116=1,C116,ROUND(C116*(1+D116/30),1)))</f>
        <v/>
      </c>
      <c r="F116" s="4" t="n"/>
    </row>
    <row r="117">
      <c r="A117" s="9" t="n"/>
      <c r="B117" s="4" t="n"/>
      <c r="C117" s="4" t="n"/>
      <c r="D117" s="4" t="n"/>
      <c r="E117" s="3">
        <f>IF(OR(C117="",D117=""),"",IF(D117=1,C117,ROUND(C117*(1+D117/30),1)))</f>
        <v/>
      </c>
      <c r="F117" s="4" t="n"/>
    </row>
    <row r="118">
      <c r="A118" s="9" t="n"/>
      <c r="B118" s="4" t="n"/>
      <c r="C118" s="4" t="n"/>
      <c r="D118" s="4" t="n"/>
      <c r="E118" s="3">
        <f>IF(OR(C118="",D118=""),"",IF(D118=1,C118,ROUND(C118*(1+D118/30),1)))</f>
        <v/>
      </c>
      <c r="F118" s="4" t="n"/>
    </row>
    <row r="119">
      <c r="A119" s="9" t="n"/>
      <c r="B119" s="4" t="n"/>
      <c r="C119" s="4" t="n"/>
      <c r="D119" s="4" t="n"/>
      <c r="E119" s="3">
        <f>IF(OR(C119="",D119=""),"",IF(D119=1,C119,ROUND(C119*(1+D119/30),1)))</f>
        <v/>
      </c>
      <c r="F119" s="4" t="n"/>
    </row>
    <row r="120">
      <c r="A120" s="9" t="n"/>
      <c r="B120" s="4" t="n"/>
      <c r="C120" s="4" t="n"/>
      <c r="D120" s="4" t="n"/>
      <c r="E120" s="3">
        <f>IF(OR(C120="",D120=""),"",IF(D120=1,C120,ROUND(C120*(1+D120/30),1)))</f>
        <v/>
      </c>
      <c r="F120" s="4" t="n"/>
    </row>
    <row r="121">
      <c r="A121" s="9" t="n"/>
      <c r="B121" s="4" t="n"/>
      <c r="C121" s="4" t="n"/>
      <c r="D121" s="4" t="n"/>
      <c r="E121" s="3">
        <f>IF(OR(C121="",D121=""),"",IF(D121=1,C121,ROUND(C121*(1+D121/30),1)))</f>
        <v/>
      </c>
      <c r="F121" s="4" t="n"/>
    </row>
    <row r="122">
      <c r="A122" s="9" t="n"/>
      <c r="B122" s="4" t="n"/>
      <c r="C122" s="4" t="n"/>
      <c r="D122" s="4" t="n"/>
      <c r="E122" s="3">
        <f>IF(OR(C122="",D122=""),"",IF(D122=1,C122,ROUND(C122*(1+D122/30),1)))</f>
        <v/>
      </c>
      <c r="F122" s="4" t="n"/>
    </row>
    <row r="123">
      <c r="A123" s="9" t="n"/>
      <c r="B123" s="4" t="n"/>
      <c r="C123" s="4" t="n"/>
      <c r="D123" s="4" t="n"/>
      <c r="E123" s="3">
        <f>IF(OR(C123="",D123=""),"",IF(D123=1,C123,ROUND(C123*(1+D123/30),1)))</f>
        <v/>
      </c>
      <c r="F123" s="4" t="n"/>
    </row>
    <row r="124">
      <c r="A124" s="9" t="n"/>
      <c r="B124" s="4" t="n"/>
      <c r="C124" s="4" t="n"/>
      <c r="D124" s="4" t="n"/>
      <c r="E124" s="3">
        <f>IF(OR(C124="",D124=""),"",IF(D124=1,C124,ROUND(C124*(1+D124/30),1)))</f>
        <v/>
      </c>
      <c r="F124" s="4" t="n"/>
    </row>
    <row r="125">
      <c r="A125" s="9" t="n"/>
      <c r="B125" s="4" t="n"/>
      <c r="C125" s="4" t="n"/>
      <c r="D125" s="4" t="n"/>
      <c r="E125" s="3">
        <f>IF(OR(C125="",D125=""),"",IF(D125=1,C125,ROUND(C125*(1+D125/30),1)))</f>
        <v/>
      </c>
      <c r="F125" s="4" t="n"/>
    </row>
    <row r="126">
      <c r="A126" s="9" t="n"/>
      <c r="B126" s="4" t="n"/>
      <c r="C126" s="4" t="n"/>
      <c r="D126" s="4" t="n"/>
      <c r="E126" s="3">
        <f>IF(OR(C126="",D126=""),"",IF(D126=1,C126,ROUND(C126*(1+D126/30),1)))</f>
        <v/>
      </c>
      <c r="F126" s="4" t="n"/>
    </row>
    <row r="127">
      <c r="A127" s="9" t="n"/>
      <c r="B127" s="4" t="n"/>
      <c r="C127" s="4" t="n"/>
      <c r="D127" s="4" t="n"/>
      <c r="E127" s="3">
        <f>IF(OR(C127="",D127=""),"",IF(D127=1,C127,ROUND(C127*(1+D127/30),1)))</f>
        <v/>
      </c>
      <c r="F127" s="4" t="n"/>
    </row>
    <row r="128">
      <c r="A128" s="9" t="n"/>
      <c r="B128" s="4" t="n"/>
      <c r="C128" s="4" t="n"/>
      <c r="D128" s="4" t="n"/>
      <c r="E128" s="3">
        <f>IF(OR(C128="",D128=""),"",IF(D128=1,C128,ROUND(C128*(1+D128/30),1)))</f>
        <v/>
      </c>
      <c r="F128" s="4" t="n"/>
    </row>
    <row r="129">
      <c r="A129" s="9" t="n"/>
      <c r="B129" s="4" t="n"/>
      <c r="C129" s="4" t="n"/>
      <c r="D129" s="4" t="n"/>
      <c r="E129" s="3">
        <f>IF(OR(C129="",D129=""),"",IF(D129=1,C129,ROUND(C129*(1+D129/30),1)))</f>
        <v/>
      </c>
      <c r="F129" s="4" t="n"/>
    </row>
    <row r="130">
      <c r="A130" s="9" t="n"/>
      <c r="B130" s="4" t="n"/>
      <c r="C130" s="4" t="n"/>
      <c r="D130" s="4" t="n"/>
      <c r="E130" s="3">
        <f>IF(OR(C130="",D130=""),"",IF(D130=1,C130,ROUND(C130*(1+D130/30),1)))</f>
        <v/>
      </c>
      <c r="F130" s="4" t="n"/>
    </row>
    <row r="131">
      <c r="A131" s="9" t="n"/>
      <c r="B131" s="4" t="n"/>
      <c r="C131" s="4" t="n"/>
      <c r="D131" s="4" t="n"/>
      <c r="E131" s="3">
        <f>IF(OR(C131="",D131=""),"",IF(D131=1,C131,ROUND(C131*(1+D131/30),1)))</f>
        <v/>
      </c>
      <c r="F131" s="4" t="n"/>
    </row>
    <row r="132">
      <c r="A132" s="9" t="n"/>
      <c r="B132" s="4" t="n"/>
      <c r="C132" s="4" t="n"/>
      <c r="D132" s="4" t="n"/>
      <c r="E132" s="3">
        <f>IF(OR(C132="",D132=""),"",IF(D132=1,C132,ROUND(C132*(1+D132/30),1)))</f>
        <v/>
      </c>
      <c r="F132" s="4" t="n"/>
    </row>
    <row r="133">
      <c r="A133" s="9" t="n"/>
      <c r="B133" s="4" t="n"/>
      <c r="C133" s="4" t="n"/>
      <c r="D133" s="4" t="n"/>
      <c r="E133" s="3">
        <f>IF(OR(C133="",D133=""),"",IF(D133=1,C133,ROUND(C133*(1+D133/30),1)))</f>
        <v/>
      </c>
      <c r="F133" s="4" t="n"/>
    </row>
    <row r="134">
      <c r="A134" s="9" t="n"/>
      <c r="B134" s="4" t="n"/>
      <c r="C134" s="4" t="n"/>
      <c r="D134" s="4" t="n"/>
      <c r="E134" s="3">
        <f>IF(OR(C134="",D134=""),"",IF(D134=1,C134,ROUND(C134*(1+D134/30),1)))</f>
        <v/>
      </c>
      <c r="F134" s="4" t="n"/>
    </row>
    <row r="135">
      <c r="A135" s="9" t="n"/>
      <c r="B135" s="4" t="n"/>
      <c r="C135" s="4" t="n"/>
      <c r="D135" s="4" t="n"/>
      <c r="E135" s="3">
        <f>IF(OR(C135="",D135=""),"",IF(D135=1,C135,ROUND(C135*(1+D135/30),1)))</f>
        <v/>
      </c>
      <c r="F135" s="4" t="n"/>
    </row>
    <row r="136">
      <c r="A136" s="9" t="n"/>
      <c r="B136" s="4" t="n"/>
      <c r="C136" s="4" t="n"/>
      <c r="D136" s="4" t="n"/>
      <c r="E136" s="3">
        <f>IF(OR(C136="",D136=""),"",IF(D136=1,C136,ROUND(C136*(1+D136/30),1)))</f>
        <v/>
      </c>
      <c r="F136" s="4" t="n"/>
    </row>
    <row r="137">
      <c r="A137" s="9" t="n"/>
      <c r="B137" s="4" t="n"/>
      <c r="C137" s="4" t="n"/>
      <c r="D137" s="4" t="n"/>
      <c r="E137" s="3">
        <f>IF(OR(C137="",D137=""),"",IF(D137=1,C137,ROUND(C137*(1+D137/30),1)))</f>
        <v/>
      </c>
      <c r="F137" s="4" t="n"/>
    </row>
    <row r="138">
      <c r="A138" s="9" t="n"/>
      <c r="B138" s="4" t="n"/>
      <c r="C138" s="4" t="n"/>
      <c r="D138" s="4" t="n"/>
      <c r="E138" s="3">
        <f>IF(OR(C138="",D138=""),"",IF(D138=1,C138,ROUND(C138*(1+D138/30),1)))</f>
        <v/>
      </c>
      <c r="F138" s="4" t="n"/>
    </row>
    <row r="139">
      <c r="A139" s="9" t="n"/>
      <c r="B139" s="4" t="n"/>
      <c r="C139" s="4" t="n"/>
      <c r="D139" s="4" t="n"/>
      <c r="E139" s="3">
        <f>IF(OR(C139="",D139=""),"",IF(D139=1,C139,ROUND(C139*(1+D139/30),1)))</f>
        <v/>
      </c>
      <c r="F139" s="4" t="n"/>
    </row>
    <row r="140">
      <c r="A140" s="9" t="n"/>
      <c r="B140" s="4" t="n"/>
      <c r="C140" s="4" t="n"/>
      <c r="D140" s="4" t="n"/>
      <c r="E140" s="3">
        <f>IF(OR(C140="",D140=""),"",IF(D140=1,C140,ROUND(C140*(1+D140/30),1)))</f>
        <v/>
      </c>
      <c r="F140" s="4" t="n"/>
    </row>
    <row r="141">
      <c r="A141" s="9" t="n"/>
      <c r="B141" s="4" t="n"/>
      <c r="C141" s="4" t="n"/>
      <c r="D141" s="4" t="n"/>
      <c r="E141" s="3">
        <f>IF(OR(C141="",D141=""),"",IF(D141=1,C141,ROUND(C141*(1+D141/30),1)))</f>
        <v/>
      </c>
      <c r="F141" s="4" t="n"/>
    </row>
    <row r="142">
      <c r="A142" s="9" t="n"/>
      <c r="B142" s="4" t="n"/>
      <c r="C142" s="4" t="n"/>
      <c r="D142" s="4" t="n"/>
      <c r="E142" s="3">
        <f>IF(OR(C142="",D142=""),"",IF(D142=1,C142,ROUND(C142*(1+D142/30),1)))</f>
        <v/>
      </c>
      <c r="F142" s="4" t="n"/>
    </row>
    <row r="143">
      <c r="A143" s="9" t="n"/>
      <c r="B143" s="4" t="n"/>
      <c r="C143" s="4" t="n"/>
      <c r="D143" s="4" t="n"/>
      <c r="E143" s="3">
        <f>IF(OR(C143="",D143=""),"",IF(D143=1,C143,ROUND(C143*(1+D143/30),1)))</f>
        <v/>
      </c>
      <c r="F143" s="4" t="n"/>
    </row>
    <row r="144">
      <c r="A144" s="9" t="n"/>
      <c r="B144" s="4" t="n"/>
      <c r="C144" s="4" t="n"/>
      <c r="D144" s="4" t="n"/>
      <c r="E144" s="3">
        <f>IF(OR(C144="",D144=""),"",IF(D144=1,C144,ROUND(C144*(1+D144/30),1)))</f>
        <v/>
      </c>
      <c r="F144" s="4" t="n"/>
    </row>
    <row r="145">
      <c r="A145" s="9" t="n"/>
      <c r="B145" s="4" t="n"/>
      <c r="C145" s="4" t="n"/>
      <c r="D145" s="4" t="n"/>
      <c r="E145" s="3">
        <f>IF(OR(C145="",D145=""),"",IF(D145=1,C145,ROUND(C145*(1+D145/30),1)))</f>
        <v/>
      </c>
      <c r="F145" s="4" t="n"/>
    </row>
    <row r="146">
      <c r="A146" s="9" t="n"/>
      <c r="B146" s="4" t="n"/>
      <c r="C146" s="4" t="n"/>
      <c r="D146" s="4" t="n"/>
      <c r="E146" s="3">
        <f>IF(OR(C146="",D146=""),"",IF(D146=1,C146,ROUND(C146*(1+D146/30),1)))</f>
        <v/>
      </c>
      <c r="F146" s="4" t="n"/>
    </row>
    <row r="147">
      <c r="A147" s="9" t="n"/>
      <c r="B147" s="4" t="n"/>
      <c r="C147" s="4" t="n"/>
      <c r="D147" s="4" t="n"/>
      <c r="E147" s="3">
        <f>IF(OR(C147="",D147=""),"",IF(D147=1,C147,ROUND(C147*(1+D147/30),1)))</f>
        <v/>
      </c>
      <c r="F147" s="4" t="n"/>
    </row>
    <row r="148">
      <c r="A148" s="9" t="n"/>
      <c r="B148" s="4" t="n"/>
      <c r="C148" s="4" t="n"/>
      <c r="D148" s="4" t="n"/>
      <c r="E148" s="3">
        <f>IF(OR(C148="",D148=""),"",IF(D148=1,C148,ROUND(C148*(1+D148/30),1)))</f>
        <v/>
      </c>
      <c r="F148" s="4" t="n"/>
    </row>
    <row r="149">
      <c r="A149" s="9" t="n"/>
      <c r="B149" s="4" t="n"/>
      <c r="C149" s="4" t="n"/>
      <c r="D149" s="4" t="n"/>
      <c r="E149" s="3">
        <f>IF(OR(C149="",D149=""),"",IF(D149=1,C149,ROUND(C149*(1+D149/30),1)))</f>
        <v/>
      </c>
      <c r="F149" s="4" t="n"/>
    </row>
    <row r="150">
      <c r="A150" s="9" t="n"/>
      <c r="B150" s="4" t="n"/>
      <c r="C150" s="4" t="n"/>
      <c r="D150" s="4" t="n"/>
      <c r="E150" s="3">
        <f>IF(OR(C150="",D150=""),"",IF(D150=1,C150,ROUND(C150*(1+D150/30),1)))</f>
        <v/>
      </c>
      <c r="F150" s="4" t="n"/>
    </row>
    <row r="151">
      <c r="A151" s="9" t="n"/>
      <c r="B151" s="4" t="n"/>
      <c r="C151" s="4" t="n"/>
      <c r="D151" s="4" t="n"/>
      <c r="E151" s="3">
        <f>IF(OR(C151="",D151=""),"",IF(D151=1,C151,ROUND(C151*(1+D151/30),1)))</f>
        <v/>
      </c>
      <c r="F151" s="4" t="n"/>
    </row>
    <row r="152">
      <c r="A152" s="9" t="n"/>
      <c r="B152" s="4" t="n"/>
      <c r="C152" s="4" t="n"/>
      <c r="D152" s="4" t="n"/>
      <c r="E152" s="3">
        <f>IF(OR(C152="",D152=""),"",IF(D152=1,C152,ROUND(C152*(1+D152/30),1)))</f>
        <v/>
      </c>
      <c r="F152" s="4" t="n"/>
    </row>
    <row r="153">
      <c r="A153" s="9" t="n"/>
      <c r="B153" s="4" t="n"/>
      <c r="C153" s="4" t="n"/>
      <c r="D153" s="4" t="n"/>
      <c r="E153" s="3">
        <f>IF(OR(C153="",D153=""),"",IF(D153=1,C153,ROUND(C153*(1+D153/30),1)))</f>
        <v/>
      </c>
      <c r="F153" s="4" t="n"/>
    </row>
    <row r="154">
      <c r="A154" s="9" t="n"/>
      <c r="B154" s="4" t="n"/>
      <c r="C154" s="4" t="n"/>
      <c r="D154" s="4" t="n"/>
      <c r="E154" s="3">
        <f>IF(OR(C154="",D154=""),"",IF(D154=1,C154,ROUND(C154*(1+D154/30),1)))</f>
        <v/>
      </c>
      <c r="F154" s="4" t="n"/>
    </row>
    <row r="155">
      <c r="A155" s="9" t="n"/>
      <c r="B155" s="4" t="n"/>
      <c r="C155" s="4" t="n"/>
      <c r="D155" s="4" t="n"/>
      <c r="E155" s="3">
        <f>IF(OR(C155="",D155=""),"",IF(D155=1,C155,ROUND(C155*(1+D155/30),1)))</f>
        <v/>
      </c>
      <c r="F155" s="4" t="n"/>
    </row>
    <row r="156">
      <c r="A156" s="9" t="n"/>
      <c r="B156" s="4" t="n"/>
      <c r="C156" s="4" t="n"/>
      <c r="D156" s="4" t="n"/>
      <c r="E156" s="3">
        <f>IF(OR(C156="",D156=""),"",IF(D156=1,C156,ROUND(C156*(1+D156/30),1)))</f>
        <v/>
      </c>
      <c r="F156" s="4" t="n"/>
    </row>
    <row r="157">
      <c r="A157" s="9" t="n"/>
      <c r="B157" s="4" t="n"/>
      <c r="C157" s="4" t="n"/>
      <c r="D157" s="4" t="n"/>
      <c r="E157" s="3">
        <f>IF(OR(C157="",D157=""),"",IF(D157=1,C157,ROUND(C157*(1+D157/30),1)))</f>
        <v/>
      </c>
      <c r="F157" s="4" t="n"/>
    </row>
    <row r="158">
      <c r="A158" s="9" t="n"/>
      <c r="B158" s="4" t="n"/>
      <c r="C158" s="4" t="n"/>
      <c r="D158" s="4" t="n"/>
      <c r="E158" s="3">
        <f>IF(OR(C158="",D158=""),"",IF(D158=1,C158,ROUND(C158*(1+D158/30),1)))</f>
        <v/>
      </c>
      <c r="F158" s="4" t="n"/>
    </row>
    <row r="159">
      <c r="A159" s="9" t="n"/>
      <c r="B159" s="4" t="n"/>
      <c r="C159" s="4" t="n"/>
      <c r="D159" s="4" t="n"/>
      <c r="E159" s="3">
        <f>IF(OR(C159="",D159=""),"",IF(D159=1,C159,ROUND(C159*(1+D159/30),1)))</f>
        <v/>
      </c>
      <c r="F159" s="4" t="n"/>
    </row>
    <row r="160">
      <c r="A160" s="9" t="n"/>
      <c r="B160" s="4" t="n"/>
      <c r="C160" s="4" t="n"/>
      <c r="D160" s="4" t="n"/>
      <c r="E160" s="3">
        <f>IF(OR(C160="",D160=""),"",IF(D160=1,C160,ROUND(C160*(1+D160/30),1)))</f>
        <v/>
      </c>
      <c r="F160" s="4" t="n"/>
    </row>
    <row r="161">
      <c r="A161" s="9" t="n"/>
      <c r="B161" s="4" t="n"/>
      <c r="C161" s="4" t="n"/>
      <c r="D161" s="4" t="n"/>
      <c r="E161" s="3">
        <f>IF(OR(C161="",D161=""),"",IF(D161=1,C161,ROUND(C161*(1+D161/30),1)))</f>
        <v/>
      </c>
      <c r="F161" s="4" t="n"/>
    </row>
    <row r="162">
      <c r="A162" s="9" t="n"/>
      <c r="B162" s="4" t="n"/>
      <c r="C162" s="4" t="n"/>
      <c r="D162" s="4" t="n"/>
      <c r="E162" s="3">
        <f>IF(OR(C162="",D162=""),"",IF(D162=1,C162,ROUND(C162*(1+D162/30),1)))</f>
        <v/>
      </c>
      <c r="F162" s="4" t="n"/>
    </row>
    <row r="163">
      <c r="A163" s="9" t="n"/>
      <c r="B163" s="4" t="n"/>
      <c r="C163" s="4" t="n"/>
      <c r="D163" s="4" t="n"/>
      <c r="E163" s="3">
        <f>IF(OR(C163="",D163=""),"",IF(D163=1,C163,ROUND(C163*(1+D163/30),1)))</f>
        <v/>
      </c>
      <c r="F163" s="4" t="n"/>
    </row>
    <row r="164">
      <c r="A164" s="9" t="n"/>
      <c r="B164" s="4" t="n"/>
      <c r="C164" s="4" t="n"/>
      <c r="D164" s="4" t="n"/>
      <c r="E164" s="3">
        <f>IF(OR(C164="",D164=""),"",IF(D164=1,C164,ROUND(C164*(1+D164/30),1)))</f>
        <v/>
      </c>
      <c r="F164" s="4" t="n"/>
    </row>
    <row r="165">
      <c r="A165" s="9" t="n"/>
      <c r="B165" s="4" t="n"/>
      <c r="C165" s="4" t="n"/>
      <c r="D165" s="4" t="n"/>
      <c r="E165" s="3">
        <f>IF(OR(C165="",D165=""),"",IF(D165=1,C165,ROUND(C165*(1+D165/30),1)))</f>
        <v/>
      </c>
      <c r="F165" s="4" t="n"/>
    </row>
    <row r="166">
      <c r="A166" s="9" t="n"/>
      <c r="B166" s="4" t="n"/>
      <c r="C166" s="4" t="n"/>
      <c r="D166" s="4" t="n"/>
      <c r="E166" s="3">
        <f>IF(OR(C166="",D166=""),"",IF(D166=1,C166,ROUND(C166*(1+D166/30),1)))</f>
        <v/>
      </c>
      <c r="F166" s="4" t="n"/>
    </row>
    <row r="167">
      <c r="A167" s="9" t="n"/>
      <c r="B167" s="4" t="n"/>
      <c r="C167" s="4" t="n"/>
      <c r="D167" s="4" t="n"/>
      <c r="E167" s="3">
        <f>IF(OR(C167="",D167=""),"",IF(D167=1,C167,ROUND(C167*(1+D167/30),1)))</f>
        <v/>
      </c>
      <c r="F167" s="4" t="n"/>
    </row>
    <row r="168">
      <c r="A168" s="9" t="n"/>
      <c r="B168" s="4" t="n"/>
      <c r="C168" s="4" t="n"/>
      <c r="D168" s="4" t="n"/>
      <c r="E168" s="3">
        <f>IF(OR(C168="",D168=""),"",IF(D168=1,C168,ROUND(C168*(1+D168/30),1)))</f>
        <v/>
      </c>
      <c r="F168" s="4" t="n"/>
    </row>
    <row r="169">
      <c r="A169" s="9" t="n"/>
      <c r="B169" s="4" t="n"/>
      <c r="C169" s="4" t="n"/>
      <c r="D169" s="4" t="n"/>
      <c r="E169" s="3">
        <f>IF(OR(C169="",D169=""),"",IF(D169=1,C169,ROUND(C169*(1+D169/30),1)))</f>
        <v/>
      </c>
      <c r="F169" s="4" t="n"/>
    </row>
    <row r="170">
      <c r="A170" s="9" t="n"/>
      <c r="B170" s="4" t="n"/>
      <c r="C170" s="4" t="n"/>
      <c r="D170" s="4" t="n"/>
      <c r="E170" s="3">
        <f>IF(OR(C170="",D170=""),"",IF(D170=1,C170,ROUND(C170*(1+D170/30),1)))</f>
        <v/>
      </c>
      <c r="F170" s="4" t="n"/>
    </row>
    <row r="171">
      <c r="A171" s="9" t="n"/>
      <c r="B171" s="4" t="n"/>
      <c r="C171" s="4" t="n"/>
      <c r="D171" s="4" t="n"/>
      <c r="E171" s="3">
        <f>IF(OR(C171="",D171=""),"",IF(D171=1,C171,ROUND(C171*(1+D171/30),1)))</f>
        <v/>
      </c>
      <c r="F171" s="4" t="n"/>
    </row>
    <row r="172">
      <c r="A172" s="9" t="n"/>
      <c r="B172" s="4" t="n"/>
      <c r="C172" s="4" t="n"/>
      <c r="D172" s="4" t="n"/>
      <c r="E172" s="3">
        <f>IF(OR(C172="",D172=""),"",IF(D172=1,C172,ROUND(C172*(1+D172/30),1)))</f>
        <v/>
      </c>
      <c r="F172" s="4" t="n"/>
    </row>
    <row r="173">
      <c r="A173" s="9" t="n"/>
      <c r="B173" s="4" t="n"/>
      <c r="C173" s="4" t="n"/>
      <c r="D173" s="4" t="n"/>
      <c r="E173" s="3">
        <f>IF(OR(C173="",D173=""),"",IF(D173=1,C173,ROUND(C173*(1+D173/30),1)))</f>
        <v/>
      </c>
      <c r="F173" s="4" t="n"/>
    </row>
    <row r="174">
      <c r="A174" s="9" t="n"/>
      <c r="B174" s="4" t="n"/>
      <c r="C174" s="4" t="n"/>
      <c r="D174" s="4" t="n"/>
      <c r="E174" s="3">
        <f>IF(OR(C174="",D174=""),"",IF(D174=1,C174,ROUND(C174*(1+D174/30),1)))</f>
        <v/>
      </c>
      <c r="F174" s="4" t="n"/>
    </row>
    <row r="175">
      <c r="A175" s="9" t="n"/>
      <c r="B175" s="4" t="n"/>
      <c r="C175" s="4" t="n"/>
      <c r="D175" s="4" t="n"/>
      <c r="E175" s="3">
        <f>IF(OR(C175="",D175=""),"",IF(D175=1,C175,ROUND(C175*(1+D175/30),1)))</f>
        <v/>
      </c>
      <c r="F175" s="4" t="n"/>
    </row>
    <row r="176">
      <c r="A176" s="9" t="n"/>
      <c r="B176" s="4" t="n"/>
      <c r="C176" s="4" t="n"/>
      <c r="D176" s="4" t="n"/>
      <c r="E176" s="3">
        <f>IF(OR(C176="",D176=""),"",IF(D176=1,C176,ROUND(C176*(1+D176/30),1)))</f>
        <v/>
      </c>
      <c r="F176" s="4" t="n"/>
    </row>
    <row r="177">
      <c r="A177" s="9" t="n"/>
      <c r="B177" s="4" t="n"/>
      <c r="C177" s="4" t="n"/>
      <c r="D177" s="4" t="n"/>
      <c r="E177" s="3">
        <f>IF(OR(C177="",D177=""),"",IF(D177=1,C177,ROUND(C177*(1+D177/30),1)))</f>
        <v/>
      </c>
      <c r="F177" s="4" t="n"/>
    </row>
    <row r="178">
      <c r="A178" s="9" t="n"/>
      <c r="B178" s="4" t="n"/>
      <c r="C178" s="4" t="n"/>
      <c r="D178" s="4" t="n"/>
      <c r="E178" s="3">
        <f>IF(OR(C178="",D178=""),"",IF(D178=1,C178,ROUND(C178*(1+D178/30),1)))</f>
        <v/>
      </c>
      <c r="F178" s="4" t="n"/>
    </row>
    <row r="179">
      <c r="A179" s="9" t="n"/>
      <c r="B179" s="4" t="n"/>
      <c r="C179" s="4" t="n"/>
      <c r="D179" s="4" t="n"/>
      <c r="E179" s="3">
        <f>IF(OR(C179="",D179=""),"",IF(D179=1,C179,ROUND(C179*(1+D179/30),1)))</f>
        <v/>
      </c>
      <c r="F179" s="4" t="n"/>
    </row>
    <row r="180">
      <c r="A180" s="9" t="n"/>
      <c r="B180" s="4" t="n"/>
      <c r="C180" s="4" t="n"/>
      <c r="D180" s="4" t="n"/>
      <c r="E180" s="3">
        <f>IF(OR(C180="",D180=""),"",IF(D180=1,C180,ROUND(C180*(1+D180/30),1)))</f>
        <v/>
      </c>
      <c r="F180" s="4" t="n"/>
    </row>
    <row r="181">
      <c r="A181" s="9" t="n"/>
      <c r="B181" s="4" t="n"/>
      <c r="C181" s="4" t="n"/>
      <c r="D181" s="4" t="n"/>
      <c r="E181" s="3">
        <f>IF(OR(C181="",D181=""),"",IF(D181=1,C181,ROUND(C181*(1+D181/30),1)))</f>
        <v/>
      </c>
      <c r="F181" s="4" t="n"/>
    </row>
    <row r="182">
      <c r="A182" s="9" t="n"/>
      <c r="B182" s="4" t="n"/>
      <c r="C182" s="4" t="n"/>
      <c r="D182" s="4" t="n"/>
      <c r="E182" s="3">
        <f>IF(OR(C182="",D182=""),"",IF(D182=1,C182,ROUND(C182*(1+D182/30),1)))</f>
        <v/>
      </c>
      <c r="F182" s="4" t="n"/>
    </row>
    <row r="183">
      <c r="A183" s="9" t="n"/>
      <c r="B183" s="4" t="n"/>
      <c r="C183" s="4" t="n"/>
      <c r="D183" s="4" t="n"/>
      <c r="E183" s="3">
        <f>IF(OR(C183="",D183=""),"",IF(D183=1,C183,ROUND(C183*(1+D183/30),1)))</f>
        <v/>
      </c>
      <c r="F183" s="4" t="n"/>
    </row>
    <row r="184">
      <c r="A184" s="9" t="n"/>
      <c r="B184" s="4" t="n"/>
      <c r="C184" s="4" t="n"/>
      <c r="D184" s="4" t="n"/>
      <c r="E184" s="3">
        <f>IF(OR(C184="",D184=""),"",IF(D184=1,C184,ROUND(C184*(1+D184/30),1)))</f>
        <v/>
      </c>
      <c r="F184" s="4" t="n"/>
    </row>
    <row r="185">
      <c r="A185" s="9" t="n"/>
      <c r="B185" s="4" t="n"/>
      <c r="C185" s="4" t="n"/>
      <c r="D185" s="4" t="n"/>
      <c r="E185" s="3">
        <f>IF(OR(C185="",D185=""),"",IF(D185=1,C185,ROUND(C185*(1+D185/30),1)))</f>
        <v/>
      </c>
      <c r="F185" s="4" t="n"/>
    </row>
    <row r="186">
      <c r="A186" s="9" t="n"/>
      <c r="B186" s="4" t="n"/>
      <c r="C186" s="4" t="n"/>
      <c r="D186" s="4" t="n"/>
      <c r="E186" s="3">
        <f>IF(OR(C186="",D186=""),"",IF(D186=1,C186,ROUND(C186*(1+D186/30),1)))</f>
        <v/>
      </c>
      <c r="F186" s="4" t="n"/>
    </row>
    <row r="187">
      <c r="A187" s="9" t="n"/>
      <c r="B187" s="4" t="n"/>
      <c r="C187" s="4" t="n"/>
      <c r="D187" s="4" t="n"/>
      <c r="E187" s="3">
        <f>IF(OR(C187="",D187=""),"",IF(D187=1,C187,ROUND(C187*(1+D187/30),1)))</f>
        <v/>
      </c>
      <c r="F187" s="4" t="n"/>
    </row>
    <row r="188">
      <c r="A188" s="9" t="n"/>
      <c r="B188" s="4" t="n"/>
      <c r="C188" s="4" t="n"/>
      <c r="D188" s="4" t="n"/>
      <c r="E188" s="3">
        <f>IF(OR(C188="",D188=""),"",IF(D188=1,C188,ROUND(C188*(1+D188/30),1)))</f>
        <v/>
      </c>
      <c r="F188" s="4" t="n"/>
    </row>
    <row r="189">
      <c r="A189" s="9" t="n"/>
      <c r="B189" s="4" t="n"/>
      <c r="C189" s="4" t="n"/>
      <c r="D189" s="4" t="n"/>
      <c r="E189" s="3">
        <f>IF(OR(C189="",D189=""),"",IF(D189=1,C189,ROUND(C189*(1+D189/30),1)))</f>
        <v/>
      </c>
      <c r="F189" s="4" t="n"/>
    </row>
    <row r="190">
      <c r="A190" s="9" t="n"/>
      <c r="B190" s="4" t="n"/>
      <c r="C190" s="4" t="n"/>
      <c r="D190" s="4" t="n"/>
      <c r="E190" s="3">
        <f>IF(OR(C190="",D190=""),"",IF(D190=1,C190,ROUND(C190*(1+D190/30),1)))</f>
        <v/>
      </c>
      <c r="F190" s="4" t="n"/>
    </row>
    <row r="191">
      <c r="A191" s="9" t="n"/>
      <c r="B191" s="4" t="n"/>
      <c r="C191" s="4" t="n"/>
      <c r="D191" s="4" t="n"/>
      <c r="E191" s="3">
        <f>IF(OR(C191="",D191=""),"",IF(D191=1,C191,ROUND(C191*(1+D191/30),1)))</f>
        <v/>
      </c>
      <c r="F191" s="4" t="n"/>
    </row>
    <row r="192">
      <c r="A192" s="9" t="n"/>
      <c r="B192" s="4" t="n"/>
      <c r="C192" s="4" t="n"/>
      <c r="D192" s="4" t="n"/>
      <c r="E192" s="3">
        <f>IF(OR(C192="",D192=""),"",IF(D192=1,C192,ROUND(C192*(1+D192/30),1)))</f>
        <v/>
      </c>
      <c r="F192" s="4" t="n"/>
    </row>
    <row r="193">
      <c r="A193" s="9" t="n"/>
      <c r="B193" s="4" t="n"/>
      <c r="C193" s="4" t="n"/>
      <c r="D193" s="4" t="n"/>
      <c r="E193" s="3">
        <f>IF(OR(C193="",D193=""),"",IF(D193=1,C193,ROUND(C193*(1+D193/30),1)))</f>
        <v/>
      </c>
      <c r="F193" s="4" t="n"/>
    </row>
    <row r="194">
      <c r="A194" s="9" t="n"/>
      <c r="B194" s="4" t="n"/>
      <c r="C194" s="4" t="n"/>
      <c r="D194" s="4" t="n"/>
      <c r="E194" s="3">
        <f>IF(OR(C194="",D194=""),"",IF(D194=1,C194,ROUND(C194*(1+D194/30),1)))</f>
        <v/>
      </c>
      <c r="F194" s="4" t="n"/>
    </row>
    <row r="195">
      <c r="A195" s="9" t="n"/>
      <c r="B195" s="4" t="n"/>
      <c r="C195" s="4" t="n"/>
      <c r="D195" s="4" t="n"/>
      <c r="E195" s="3">
        <f>IF(OR(C195="",D195=""),"",IF(D195=1,C195,ROUND(C195*(1+D195/30),1)))</f>
        <v/>
      </c>
      <c r="F195" s="4" t="n"/>
    </row>
    <row r="196">
      <c r="A196" s="9" t="n"/>
      <c r="B196" s="4" t="n"/>
      <c r="C196" s="4" t="n"/>
      <c r="D196" s="4" t="n"/>
      <c r="E196" s="3">
        <f>IF(OR(C196="",D196=""),"",IF(D196=1,C196,ROUND(C196*(1+D196/30),1)))</f>
        <v/>
      </c>
      <c r="F196" s="4" t="n"/>
    </row>
    <row r="197">
      <c r="A197" s="9" t="n"/>
      <c r="B197" s="4" t="n"/>
      <c r="C197" s="4" t="n"/>
      <c r="D197" s="4" t="n"/>
      <c r="E197" s="3">
        <f>IF(OR(C197="",D197=""),"",IF(D197=1,C197,ROUND(C197*(1+D197/30),1)))</f>
        <v/>
      </c>
      <c r="F197" s="4" t="n"/>
    </row>
    <row r="198">
      <c r="A198" s="9" t="n"/>
      <c r="B198" s="4" t="n"/>
      <c r="C198" s="4" t="n"/>
      <c r="D198" s="4" t="n"/>
      <c r="E198" s="3">
        <f>IF(OR(C198="",D198=""),"",IF(D198=1,C198,ROUND(C198*(1+D198/30),1)))</f>
        <v/>
      </c>
      <c r="F198" s="4" t="n"/>
    </row>
    <row r="199">
      <c r="A199" s="9" t="n"/>
      <c r="B199" s="4" t="n"/>
      <c r="C199" s="4" t="n"/>
      <c r="D199" s="4" t="n"/>
      <c r="E199" s="3">
        <f>IF(OR(C199="",D199=""),"",IF(D199=1,C199,ROUND(C199*(1+D199/30),1)))</f>
        <v/>
      </c>
      <c r="F199" s="4" t="n"/>
    </row>
    <row r="200">
      <c r="A200" s="9" t="n"/>
      <c r="B200" s="4" t="n"/>
      <c r="C200" s="4" t="n"/>
      <c r="D200" s="4" t="n"/>
      <c r="E200" s="3">
        <f>IF(OR(C200="",D200=""),"",IF(D200=1,C200,ROUND(C200*(1+D200/30),1)))</f>
        <v/>
      </c>
      <c r="F200" s="4" t="n"/>
    </row>
    <row r="201">
      <c r="A201" s="9" t="n"/>
      <c r="B201" s="4" t="n"/>
      <c r="C201" s="4" t="n"/>
      <c r="D201" s="4" t="n"/>
      <c r="E201" s="3">
        <f>IF(OR(C201="",D201=""),"",IF(D201=1,C201,ROUND(C201*(1+D201/30),1)))</f>
        <v/>
      </c>
      <c r="F201" s="4" t="n"/>
    </row>
    <row r="202">
      <c r="A202" s="9" t="n"/>
      <c r="B202" s="4" t="n"/>
      <c r="C202" s="4" t="n"/>
      <c r="D202" s="4" t="n"/>
      <c r="E202" s="3">
        <f>IF(OR(C202="",D202=""),"",IF(D202=1,C202,ROUND(C202*(1+D202/30),1)))</f>
        <v/>
      </c>
      <c r="F202" s="4" t="n"/>
    </row>
    <row r="203">
      <c r="A203" s="9" t="n"/>
      <c r="B203" s="4" t="n"/>
      <c r="C203" s="4" t="n"/>
      <c r="D203" s="4" t="n"/>
      <c r="E203" s="3">
        <f>IF(OR(C203="",D203=""),"",IF(D203=1,C203,ROUND(C203*(1+D203/30),1)))</f>
        <v/>
      </c>
      <c r="F203" s="4" t="n"/>
    </row>
    <row r="204">
      <c r="A204" s="9" t="n"/>
      <c r="B204" s="4" t="n"/>
      <c r="C204" s="4" t="n"/>
      <c r="D204" s="4" t="n"/>
      <c r="E204" s="3">
        <f>IF(OR(C204="",D204=""),"",IF(D204=1,C204,ROUND(C204*(1+D204/30),1)))</f>
        <v/>
      </c>
      <c r="F204" s="4" t="n"/>
    </row>
    <row r="205">
      <c r="A205" s="9" t="n"/>
      <c r="B205" s="4" t="n"/>
      <c r="C205" s="4" t="n"/>
      <c r="D205" s="4" t="n"/>
      <c r="E205" s="3">
        <f>IF(OR(C205="",D205=""),"",IF(D205=1,C205,ROUND(C205*(1+D205/30),1)))</f>
        <v/>
      </c>
      <c r="F205" s="4" t="n"/>
    </row>
    <row r="206">
      <c r="A206" s="9" t="n"/>
      <c r="B206" s="4" t="n"/>
      <c r="C206" s="4" t="n"/>
      <c r="D206" s="4" t="n"/>
      <c r="E206" s="3">
        <f>IF(OR(C206="",D206=""),"",IF(D206=1,C206,ROUND(C206*(1+D206/30),1)))</f>
        <v/>
      </c>
      <c r="F206" s="4" t="n"/>
    </row>
    <row r="207">
      <c r="A207" s="9" t="n"/>
      <c r="B207" s="4" t="n"/>
      <c r="C207" s="4" t="n"/>
      <c r="D207" s="4" t="n"/>
      <c r="E207" s="3">
        <f>IF(OR(C207="",D207=""),"",IF(D207=1,C207,ROUND(C207*(1+D207/30),1)))</f>
        <v/>
      </c>
      <c r="F207" s="4" t="n"/>
    </row>
    <row r="208">
      <c r="A208" s="9" t="n"/>
      <c r="B208" s="4" t="n"/>
      <c r="C208" s="4" t="n"/>
      <c r="D208" s="4" t="n"/>
      <c r="E208" s="3">
        <f>IF(OR(C208="",D208=""),"",IF(D208=1,C208,ROUND(C208*(1+D208/30),1)))</f>
        <v/>
      </c>
      <c r="F208" s="4" t="n"/>
    </row>
    <row r="209">
      <c r="A209" s="9" t="n"/>
      <c r="B209" s="4" t="n"/>
      <c r="C209" s="4" t="n"/>
      <c r="D209" s="4" t="n"/>
      <c r="E209" s="3">
        <f>IF(OR(C209="",D209=""),"",IF(D209=1,C209,ROUND(C209*(1+D209/30),1)))</f>
        <v/>
      </c>
      <c r="F209" s="4" t="n"/>
    </row>
    <row r="210">
      <c r="A210" s="9" t="n"/>
      <c r="B210" s="4" t="n"/>
      <c r="C210" s="4" t="n"/>
      <c r="D210" s="4" t="n"/>
      <c r="E210" s="3">
        <f>IF(OR(C210="",D210=""),"",IF(D210=1,C210,ROUND(C210*(1+D210/30),1)))</f>
        <v/>
      </c>
      <c r="F210" s="4" t="n"/>
    </row>
    <row r="211">
      <c r="A211" s="9" t="n"/>
      <c r="B211" s="4" t="n"/>
      <c r="C211" s="4" t="n"/>
      <c r="D211" s="4" t="n"/>
      <c r="E211" s="3">
        <f>IF(OR(C211="",D211=""),"",IF(D211=1,C211,ROUND(C211*(1+D211/30),1)))</f>
        <v/>
      </c>
      <c r="F211" s="4" t="n"/>
    </row>
    <row r="212">
      <c r="A212" s="9" t="n"/>
      <c r="B212" s="4" t="n"/>
      <c r="C212" s="4" t="n"/>
      <c r="D212" s="4" t="n"/>
      <c r="E212" s="3">
        <f>IF(OR(C212="",D212=""),"",IF(D212=1,C212,ROUND(C212*(1+D212/30),1)))</f>
        <v/>
      </c>
      <c r="F212" s="4" t="n"/>
    </row>
    <row r="213">
      <c r="A213" s="9" t="n"/>
      <c r="B213" s="4" t="n"/>
      <c r="C213" s="4" t="n"/>
      <c r="D213" s="4" t="n"/>
      <c r="E213" s="3">
        <f>IF(OR(C213="",D213=""),"",IF(D213=1,C213,ROUND(C213*(1+D213/30),1)))</f>
        <v/>
      </c>
      <c r="F213" s="4" t="n"/>
    </row>
    <row r="214">
      <c r="A214" s="9" t="n"/>
      <c r="B214" s="4" t="n"/>
      <c r="C214" s="4" t="n"/>
      <c r="D214" s="4" t="n"/>
      <c r="E214" s="3">
        <f>IF(OR(C214="",D214=""),"",IF(D214=1,C214,ROUND(C214*(1+D214/30),1)))</f>
        <v/>
      </c>
      <c r="F214" s="4" t="n"/>
    </row>
    <row r="215">
      <c r="A215" s="9" t="n"/>
      <c r="B215" s="4" t="n"/>
      <c r="C215" s="4" t="n"/>
      <c r="D215" s="4" t="n"/>
      <c r="E215" s="3">
        <f>IF(OR(C215="",D215=""),"",IF(D215=1,C215,ROUND(C215*(1+D215/30),1)))</f>
        <v/>
      </c>
      <c r="F215" s="4" t="n"/>
    </row>
    <row r="216">
      <c r="A216" s="9" t="n"/>
      <c r="B216" s="4" t="n"/>
      <c r="C216" s="4" t="n"/>
      <c r="D216" s="4" t="n"/>
      <c r="E216" s="3">
        <f>IF(OR(C216="",D216=""),"",IF(D216=1,C216,ROUND(C216*(1+D216/30),1)))</f>
        <v/>
      </c>
      <c r="F216" s="4" t="n"/>
    </row>
    <row r="217">
      <c r="A217" s="9" t="n"/>
      <c r="B217" s="4" t="n"/>
      <c r="C217" s="4" t="n"/>
      <c r="D217" s="4" t="n"/>
      <c r="E217" s="3">
        <f>IF(OR(C217="",D217=""),"",IF(D217=1,C217,ROUND(C217*(1+D217/30),1)))</f>
        <v/>
      </c>
      <c r="F217" s="4" t="n"/>
    </row>
    <row r="218">
      <c r="A218" s="9" t="n"/>
      <c r="B218" s="4" t="n"/>
      <c r="C218" s="4" t="n"/>
      <c r="D218" s="4" t="n"/>
      <c r="E218" s="3">
        <f>IF(OR(C218="",D218=""),"",IF(D218=1,C218,ROUND(C218*(1+D218/30),1)))</f>
        <v/>
      </c>
      <c r="F218" s="4" t="n"/>
    </row>
    <row r="219">
      <c r="A219" s="9" t="n"/>
      <c r="B219" s="4" t="n"/>
      <c r="C219" s="4" t="n"/>
      <c r="D219" s="4" t="n"/>
      <c r="E219" s="3">
        <f>IF(OR(C219="",D219=""),"",IF(D219=1,C219,ROUND(C219*(1+D219/30),1)))</f>
        <v/>
      </c>
      <c r="F219" s="4" t="n"/>
    </row>
    <row r="220">
      <c r="A220" s="9" t="n"/>
      <c r="B220" s="4" t="n"/>
      <c r="C220" s="4" t="n"/>
      <c r="D220" s="4" t="n"/>
      <c r="E220" s="3">
        <f>IF(OR(C220="",D220=""),"",IF(D220=1,C220,ROUND(C220*(1+D220/30),1)))</f>
        <v/>
      </c>
      <c r="F220" s="4" t="n"/>
    </row>
    <row r="221">
      <c r="A221" s="9" t="n"/>
      <c r="B221" s="4" t="n"/>
      <c r="C221" s="4" t="n"/>
      <c r="D221" s="4" t="n"/>
      <c r="E221" s="3">
        <f>IF(OR(C221="",D221=""),"",IF(D221=1,C221,ROUND(C221*(1+D221/30),1)))</f>
        <v/>
      </c>
      <c r="F221" s="4" t="n"/>
    </row>
    <row r="222">
      <c r="A222" s="9" t="n"/>
      <c r="B222" s="4" t="n"/>
      <c r="C222" s="4" t="n"/>
      <c r="D222" s="4" t="n"/>
      <c r="E222" s="3">
        <f>IF(OR(C222="",D222=""),"",IF(D222=1,C222,ROUND(C222*(1+D222/30),1)))</f>
        <v/>
      </c>
      <c r="F222" s="4" t="n"/>
    </row>
    <row r="223">
      <c r="A223" s="9" t="n"/>
      <c r="B223" s="4" t="n"/>
      <c r="C223" s="4" t="n"/>
      <c r="D223" s="4" t="n"/>
      <c r="E223" s="3">
        <f>IF(OR(C223="",D223=""),"",IF(D223=1,C223,ROUND(C223*(1+D223/30),1)))</f>
        <v/>
      </c>
      <c r="F223" s="4" t="n"/>
    </row>
    <row r="224">
      <c r="A224" s="9" t="n"/>
      <c r="B224" s="4" t="n"/>
      <c r="C224" s="4" t="n"/>
      <c r="D224" s="4" t="n"/>
      <c r="E224" s="3">
        <f>IF(OR(C224="",D224=""),"",IF(D224=1,C224,ROUND(C224*(1+D224/30),1)))</f>
        <v/>
      </c>
      <c r="F224" s="4" t="n"/>
    </row>
    <row r="225">
      <c r="A225" s="9" t="n"/>
      <c r="B225" s="4" t="n"/>
      <c r="C225" s="4" t="n"/>
      <c r="D225" s="4" t="n"/>
      <c r="E225" s="3">
        <f>IF(OR(C225="",D225=""),"",IF(D225=1,C225,ROUND(C225*(1+D225/30),1)))</f>
        <v/>
      </c>
      <c r="F225" s="4" t="n"/>
    </row>
    <row r="226">
      <c r="A226" s="9" t="n"/>
      <c r="B226" s="4" t="n"/>
      <c r="C226" s="4" t="n"/>
      <c r="D226" s="4" t="n"/>
      <c r="E226" s="3">
        <f>IF(OR(C226="",D226=""),"",IF(D226=1,C226,ROUND(C226*(1+D226/30),1)))</f>
        <v/>
      </c>
      <c r="F226" s="4" t="n"/>
    </row>
    <row r="227">
      <c r="A227" s="9" t="n"/>
      <c r="B227" s="4" t="n"/>
      <c r="C227" s="4" t="n"/>
      <c r="D227" s="4" t="n"/>
      <c r="E227" s="3">
        <f>IF(OR(C227="",D227=""),"",IF(D227=1,C227,ROUND(C227*(1+D227/30),1)))</f>
        <v/>
      </c>
      <c r="F227" s="4" t="n"/>
    </row>
    <row r="228">
      <c r="A228" s="9" t="n"/>
      <c r="B228" s="4" t="n"/>
      <c r="C228" s="4" t="n"/>
      <c r="D228" s="4" t="n"/>
      <c r="E228" s="3">
        <f>IF(OR(C228="",D228=""),"",IF(D228=1,C228,ROUND(C228*(1+D228/30),1)))</f>
        <v/>
      </c>
      <c r="F228" s="4" t="n"/>
    </row>
    <row r="229">
      <c r="A229" s="9" t="n"/>
      <c r="B229" s="4" t="n"/>
      <c r="C229" s="4" t="n"/>
      <c r="D229" s="4" t="n"/>
      <c r="E229" s="3">
        <f>IF(OR(C229="",D229=""),"",IF(D229=1,C229,ROUND(C229*(1+D229/30),1)))</f>
        <v/>
      </c>
      <c r="F229" s="4" t="n"/>
    </row>
    <row r="230">
      <c r="A230" s="9" t="n"/>
      <c r="B230" s="4" t="n"/>
      <c r="C230" s="4" t="n"/>
      <c r="D230" s="4" t="n"/>
      <c r="E230" s="3">
        <f>IF(OR(C230="",D230=""),"",IF(D230=1,C230,ROUND(C230*(1+D230/30),1)))</f>
        <v/>
      </c>
      <c r="F230" s="4" t="n"/>
    </row>
    <row r="231">
      <c r="A231" s="9" t="n"/>
      <c r="B231" s="4" t="n"/>
      <c r="C231" s="4" t="n"/>
      <c r="D231" s="4" t="n"/>
      <c r="E231" s="3">
        <f>IF(OR(C231="",D231=""),"",IF(D231=1,C231,ROUND(C231*(1+D231/30),1)))</f>
        <v/>
      </c>
      <c r="F231" s="4" t="n"/>
    </row>
    <row r="232">
      <c r="A232" s="9" t="n"/>
      <c r="B232" s="4" t="n"/>
      <c r="C232" s="4" t="n"/>
      <c r="D232" s="4" t="n"/>
      <c r="E232" s="3">
        <f>IF(OR(C232="",D232=""),"",IF(D232=1,C232,ROUND(C232*(1+D232/30),1)))</f>
        <v/>
      </c>
      <c r="F232" s="4" t="n"/>
    </row>
    <row r="233">
      <c r="A233" s="9" t="n"/>
      <c r="B233" s="4" t="n"/>
      <c r="C233" s="4" t="n"/>
      <c r="D233" s="4" t="n"/>
      <c r="E233" s="3">
        <f>IF(OR(C233="",D233=""),"",IF(D233=1,C233,ROUND(C233*(1+D233/30),1)))</f>
        <v/>
      </c>
      <c r="F233" s="4" t="n"/>
    </row>
    <row r="234">
      <c r="A234" s="9" t="n"/>
      <c r="B234" s="4" t="n"/>
      <c r="C234" s="4" t="n"/>
      <c r="D234" s="4" t="n"/>
      <c r="E234" s="3">
        <f>IF(OR(C234="",D234=""),"",IF(D234=1,C234,ROUND(C234*(1+D234/30),1)))</f>
        <v/>
      </c>
      <c r="F234" s="4" t="n"/>
    </row>
    <row r="235">
      <c r="A235" s="9" t="n"/>
      <c r="B235" s="4" t="n"/>
      <c r="C235" s="4" t="n"/>
      <c r="D235" s="4" t="n"/>
      <c r="E235" s="3">
        <f>IF(OR(C235="",D235=""),"",IF(D235=1,C235,ROUND(C235*(1+D235/30),1)))</f>
        <v/>
      </c>
      <c r="F235" s="4" t="n"/>
    </row>
    <row r="236">
      <c r="A236" s="9" t="n"/>
      <c r="B236" s="4" t="n"/>
      <c r="C236" s="4" t="n"/>
      <c r="D236" s="4" t="n"/>
      <c r="E236" s="3">
        <f>IF(OR(C236="",D236=""),"",IF(D236=1,C236,ROUND(C236*(1+D236/30),1)))</f>
        <v/>
      </c>
      <c r="F236" s="4" t="n"/>
    </row>
    <row r="237">
      <c r="A237" s="9" t="n"/>
      <c r="B237" s="4" t="n"/>
      <c r="C237" s="4" t="n"/>
      <c r="D237" s="4" t="n"/>
      <c r="E237" s="3">
        <f>IF(OR(C237="",D237=""),"",IF(D237=1,C237,ROUND(C237*(1+D237/30),1)))</f>
        <v/>
      </c>
      <c r="F237" s="4" t="n"/>
    </row>
    <row r="238">
      <c r="A238" s="9" t="n"/>
      <c r="B238" s="4" t="n"/>
      <c r="C238" s="4" t="n"/>
      <c r="D238" s="4" t="n"/>
      <c r="E238" s="3">
        <f>IF(OR(C238="",D238=""),"",IF(D238=1,C238,ROUND(C238*(1+D238/30),1)))</f>
        <v/>
      </c>
      <c r="F238" s="4" t="n"/>
    </row>
    <row r="239">
      <c r="A239" s="9" t="n"/>
      <c r="B239" s="4" t="n"/>
      <c r="C239" s="4" t="n"/>
      <c r="D239" s="4" t="n"/>
      <c r="E239" s="3">
        <f>IF(OR(C239="",D239=""),"",IF(D239=1,C239,ROUND(C239*(1+D239/30),1)))</f>
        <v/>
      </c>
      <c r="F239" s="4" t="n"/>
    </row>
    <row r="240">
      <c r="A240" s="9" t="n"/>
      <c r="B240" s="4" t="n"/>
      <c r="C240" s="4" t="n"/>
      <c r="D240" s="4" t="n"/>
      <c r="E240" s="3">
        <f>IF(OR(C240="",D240=""),"",IF(D240=1,C240,ROUND(C240*(1+D240/30),1)))</f>
        <v/>
      </c>
      <c r="F240" s="4" t="n"/>
    </row>
    <row r="241">
      <c r="A241" s="9" t="n"/>
      <c r="B241" s="4" t="n"/>
      <c r="C241" s="4" t="n"/>
      <c r="D241" s="4" t="n"/>
      <c r="E241" s="3">
        <f>IF(OR(C241="",D241=""),"",IF(D241=1,C241,ROUND(C241*(1+D241/30),1)))</f>
        <v/>
      </c>
      <c r="F241" s="4" t="n"/>
    </row>
    <row r="242">
      <c r="A242" s="9" t="n"/>
      <c r="B242" s="4" t="n"/>
      <c r="C242" s="4" t="n"/>
      <c r="D242" s="4" t="n"/>
      <c r="E242" s="3">
        <f>IF(OR(C242="",D242=""),"",IF(D242=1,C242,ROUND(C242*(1+D242/30),1)))</f>
        <v/>
      </c>
      <c r="F242" s="4" t="n"/>
    </row>
    <row r="243">
      <c r="A243" s="9" t="n"/>
      <c r="B243" s="4" t="n"/>
      <c r="C243" s="4" t="n"/>
      <c r="D243" s="4" t="n"/>
      <c r="E243" s="3">
        <f>IF(OR(C243="",D243=""),"",IF(D243=1,C243,ROUND(C243*(1+D243/30),1)))</f>
        <v/>
      </c>
      <c r="F243" s="4" t="n"/>
    </row>
    <row r="244">
      <c r="A244" s="9" t="n"/>
      <c r="B244" s="4" t="n"/>
      <c r="C244" s="4" t="n"/>
      <c r="D244" s="4" t="n"/>
      <c r="E244" s="3">
        <f>IF(OR(C244="",D244=""),"",IF(D244=1,C244,ROUND(C244*(1+D244/30),1)))</f>
        <v/>
      </c>
      <c r="F244" s="4" t="n"/>
    </row>
    <row r="245">
      <c r="A245" s="9" t="n"/>
      <c r="B245" s="4" t="n"/>
      <c r="C245" s="4" t="n"/>
      <c r="D245" s="4" t="n"/>
      <c r="E245" s="3">
        <f>IF(OR(C245="",D245=""),"",IF(D245=1,C245,ROUND(C245*(1+D245/30),1)))</f>
        <v/>
      </c>
      <c r="F245" s="4" t="n"/>
    </row>
    <row r="246">
      <c r="A246" s="9" t="n"/>
      <c r="B246" s="4" t="n"/>
      <c r="C246" s="4" t="n"/>
      <c r="D246" s="4" t="n"/>
      <c r="E246" s="3">
        <f>IF(OR(C246="",D246=""),"",IF(D246=1,C246,ROUND(C246*(1+D246/30),1)))</f>
        <v/>
      </c>
      <c r="F246" s="4" t="n"/>
    </row>
    <row r="247">
      <c r="A247" s="9" t="n"/>
      <c r="B247" s="4" t="n"/>
      <c r="C247" s="4" t="n"/>
      <c r="D247" s="4" t="n"/>
      <c r="E247" s="3">
        <f>IF(OR(C247="",D247=""),"",IF(D247=1,C247,ROUND(C247*(1+D247/30),1)))</f>
        <v/>
      </c>
      <c r="F247" s="4" t="n"/>
    </row>
    <row r="248">
      <c r="A248" s="9" t="n"/>
      <c r="B248" s="4" t="n"/>
      <c r="C248" s="4" t="n"/>
      <c r="D248" s="4" t="n"/>
      <c r="E248" s="3">
        <f>IF(OR(C248="",D248=""),"",IF(D248=1,C248,ROUND(C248*(1+D248/30),1)))</f>
        <v/>
      </c>
      <c r="F248" s="4" t="n"/>
    </row>
    <row r="249">
      <c r="A249" s="9" t="n"/>
      <c r="B249" s="4" t="n"/>
      <c r="C249" s="4" t="n"/>
      <c r="D249" s="4" t="n"/>
      <c r="E249" s="3">
        <f>IF(OR(C249="",D249=""),"",IF(D249=1,C249,ROUND(C249*(1+D249/30),1)))</f>
        <v/>
      </c>
      <c r="F249" s="4" t="n"/>
    </row>
    <row r="250">
      <c r="A250" s="9" t="n"/>
      <c r="B250" s="4" t="n"/>
      <c r="C250" s="4" t="n"/>
      <c r="D250" s="4" t="n"/>
      <c r="E250" s="3">
        <f>IF(OR(C250="",D250=""),"",IF(D250=1,C250,ROUND(C250*(1+D250/30),1)))</f>
        <v/>
      </c>
      <c r="F250" s="4" t="n"/>
    </row>
    <row r="251">
      <c r="A251" s="9" t="n"/>
      <c r="B251" s="4" t="n"/>
      <c r="C251" s="4" t="n"/>
      <c r="D251" s="4" t="n"/>
      <c r="E251" s="3">
        <f>IF(OR(C251="",D251=""),"",IF(D251=1,C251,ROUND(C251*(1+D251/30),1)))</f>
        <v/>
      </c>
      <c r="F251" s="4" t="n"/>
    </row>
    <row r="252">
      <c r="A252" s="9" t="n"/>
      <c r="B252" s="4" t="n"/>
      <c r="C252" s="4" t="n"/>
      <c r="D252" s="4" t="n"/>
      <c r="E252" s="3">
        <f>IF(OR(C252="",D252=""),"",IF(D252=1,C252,ROUND(C252*(1+D252/30),1)))</f>
        <v/>
      </c>
      <c r="F252" s="4" t="n"/>
    </row>
    <row r="253">
      <c r="A253" s="9" t="n"/>
      <c r="B253" s="4" t="n"/>
      <c r="C253" s="4" t="n"/>
      <c r="D253" s="4" t="n"/>
      <c r="E253" s="3">
        <f>IF(OR(C253="",D253=""),"",IF(D253=1,C253,ROUND(C253*(1+D253/30),1)))</f>
        <v/>
      </c>
      <c r="F253" s="4" t="n"/>
    </row>
    <row r="254">
      <c r="A254" s="9" t="n"/>
      <c r="B254" s="4" t="n"/>
      <c r="C254" s="4" t="n"/>
      <c r="D254" s="4" t="n"/>
      <c r="E254" s="3">
        <f>IF(OR(C254="",D254=""),"",IF(D254=1,C254,ROUND(C254*(1+D254/30),1)))</f>
        <v/>
      </c>
      <c r="F254" s="4" t="n"/>
    </row>
    <row r="255">
      <c r="A255" s="9" t="n"/>
      <c r="B255" s="4" t="n"/>
      <c r="C255" s="4" t="n"/>
      <c r="D255" s="4" t="n"/>
      <c r="E255" s="3">
        <f>IF(OR(C255="",D255=""),"",IF(D255=1,C255,ROUND(C255*(1+D255/30),1)))</f>
        <v/>
      </c>
      <c r="F255" s="4" t="n"/>
    </row>
    <row r="256">
      <c r="A256" s="9" t="n"/>
      <c r="B256" s="4" t="n"/>
      <c r="C256" s="4" t="n"/>
      <c r="D256" s="4" t="n"/>
      <c r="E256" s="3">
        <f>IF(OR(C256="",D256=""),"",IF(D256=1,C256,ROUND(C256*(1+D256/30),1)))</f>
        <v/>
      </c>
      <c r="F256" s="4" t="n"/>
    </row>
    <row r="257">
      <c r="A257" s="9" t="n"/>
      <c r="B257" s="4" t="n"/>
      <c r="C257" s="4" t="n"/>
      <c r="D257" s="4" t="n"/>
      <c r="E257" s="3">
        <f>IF(OR(C257="",D257=""),"",IF(D257=1,C257,ROUND(C257*(1+D257/30),1)))</f>
        <v/>
      </c>
      <c r="F257" s="4" t="n"/>
    </row>
    <row r="258">
      <c r="A258" s="9" t="n"/>
      <c r="B258" s="4" t="n"/>
      <c r="C258" s="4" t="n"/>
      <c r="D258" s="4" t="n"/>
      <c r="E258" s="3">
        <f>IF(OR(C258="",D258=""),"",IF(D258=1,C258,ROUND(C258*(1+D258/30),1)))</f>
        <v/>
      </c>
      <c r="F258" s="4" t="n"/>
    </row>
    <row r="259">
      <c r="A259" s="9" t="n"/>
      <c r="B259" s="4" t="n"/>
      <c r="C259" s="4" t="n"/>
      <c r="D259" s="4" t="n"/>
      <c r="E259" s="3">
        <f>IF(OR(C259="",D259=""),"",IF(D259=1,C259,ROUND(C259*(1+D259/30),1)))</f>
        <v/>
      </c>
      <c r="F259" s="4" t="n"/>
    </row>
    <row r="260">
      <c r="A260" s="9" t="n"/>
      <c r="B260" s="4" t="n"/>
      <c r="C260" s="4" t="n"/>
      <c r="D260" s="4" t="n"/>
      <c r="E260" s="3">
        <f>IF(OR(C260="",D260=""),"",IF(D260=1,C260,ROUND(C260*(1+D260/30),1)))</f>
        <v/>
      </c>
      <c r="F260" s="4" t="n"/>
    </row>
    <row r="261">
      <c r="A261" s="9" t="n"/>
      <c r="B261" s="4" t="n"/>
      <c r="C261" s="4" t="n"/>
      <c r="D261" s="4" t="n"/>
      <c r="E261" s="3">
        <f>IF(OR(C261="",D261=""),"",IF(D261=1,C261,ROUND(C261*(1+D261/30),1)))</f>
        <v/>
      </c>
      <c r="F261" s="4" t="n"/>
    </row>
    <row r="262">
      <c r="A262" s="9" t="n"/>
      <c r="B262" s="4" t="n"/>
      <c r="C262" s="4" t="n"/>
      <c r="D262" s="4" t="n"/>
      <c r="E262" s="3">
        <f>IF(OR(C262="",D262=""),"",IF(D262=1,C262,ROUND(C262*(1+D262/30),1)))</f>
        <v/>
      </c>
      <c r="F262" s="4" t="n"/>
    </row>
    <row r="263">
      <c r="A263" s="9" t="n"/>
      <c r="B263" s="4" t="n"/>
      <c r="C263" s="4" t="n"/>
      <c r="D263" s="4" t="n"/>
      <c r="E263" s="3">
        <f>IF(OR(C263="",D263=""),"",IF(D263=1,C263,ROUND(C263*(1+D263/30),1)))</f>
        <v/>
      </c>
      <c r="F263" s="4" t="n"/>
    </row>
    <row r="264">
      <c r="A264" s="9" t="n"/>
      <c r="B264" s="4" t="n"/>
      <c r="C264" s="4" t="n"/>
      <c r="D264" s="4" t="n"/>
      <c r="E264" s="3">
        <f>IF(OR(C264="",D264=""),"",IF(D264=1,C264,ROUND(C264*(1+D264/30),1)))</f>
        <v/>
      </c>
      <c r="F264" s="4" t="n"/>
    </row>
    <row r="265">
      <c r="A265" s="9" t="n"/>
      <c r="B265" s="4" t="n"/>
      <c r="C265" s="4" t="n"/>
      <c r="D265" s="4" t="n"/>
      <c r="E265" s="3">
        <f>IF(OR(C265="",D265=""),"",IF(D265=1,C265,ROUND(C265*(1+D265/30),1)))</f>
        <v/>
      </c>
      <c r="F265" s="4" t="n"/>
    </row>
    <row r="266">
      <c r="A266" s="9" t="n"/>
      <c r="B266" s="4" t="n"/>
      <c r="C266" s="4" t="n"/>
      <c r="D266" s="4" t="n"/>
      <c r="E266" s="3">
        <f>IF(OR(C266="",D266=""),"",IF(D266=1,C266,ROUND(C266*(1+D266/30),1)))</f>
        <v/>
      </c>
      <c r="F266" s="4" t="n"/>
    </row>
    <row r="267">
      <c r="A267" s="9" t="n"/>
      <c r="B267" s="4" t="n"/>
      <c r="C267" s="4" t="n"/>
      <c r="D267" s="4" t="n"/>
      <c r="E267" s="3">
        <f>IF(OR(C267="",D267=""),"",IF(D267=1,C267,ROUND(C267*(1+D267/30),1)))</f>
        <v/>
      </c>
      <c r="F267" s="4" t="n"/>
    </row>
    <row r="268">
      <c r="A268" s="9" t="n"/>
      <c r="B268" s="4" t="n"/>
      <c r="C268" s="4" t="n"/>
      <c r="D268" s="4" t="n"/>
      <c r="E268" s="3">
        <f>IF(OR(C268="",D268=""),"",IF(D268=1,C268,ROUND(C268*(1+D268/30),1)))</f>
        <v/>
      </c>
      <c r="F268" s="4" t="n"/>
    </row>
    <row r="269">
      <c r="A269" s="9" t="n"/>
      <c r="B269" s="4" t="n"/>
      <c r="C269" s="4" t="n"/>
      <c r="D269" s="4" t="n"/>
      <c r="E269" s="3">
        <f>IF(OR(C269="",D269=""),"",IF(D269=1,C269,ROUND(C269*(1+D269/30),1)))</f>
        <v/>
      </c>
      <c r="F269" s="4" t="n"/>
    </row>
    <row r="270">
      <c r="A270" s="9" t="n"/>
      <c r="B270" s="4" t="n"/>
      <c r="C270" s="4" t="n"/>
      <c r="D270" s="4" t="n"/>
      <c r="E270" s="3">
        <f>IF(OR(C270="",D270=""),"",IF(D270=1,C270,ROUND(C270*(1+D270/30),1)))</f>
        <v/>
      </c>
      <c r="F270" s="4" t="n"/>
    </row>
    <row r="271">
      <c r="A271" s="9" t="n"/>
      <c r="B271" s="4" t="n"/>
      <c r="C271" s="4" t="n"/>
      <c r="D271" s="4" t="n"/>
      <c r="E271" s="3">
        <f>IF(OR(C271="",D271=""),"",IF(D271=1,C271,ROUND(C271*(1+D271/30),1)))</f>
        <v/>
      </c>
      <c r="F271" s="4" t="n"/>
    </row>
    <row r="272">
      <c r="A272" s="9" t="n"/>
      <c r="B272" s="4" t="n"/>
      <c r="C272" s="4" t="n"/>
      <c r="D272" s="4" t="n"/>
      <c r="E272" s="3">
        <f>IF(OR(C272="",D272=""),"",IF(D272=1,C272,ROUND(C272*(1+D272/30),1)))</f>
        <v/>
      </c>
      <c r="F272" s="4" t="n"/>
    </row>
    <row r="273">
      <c r="A273" s="9" t="n"/>
      <c r="B273" s="4" t="n"/>
      <c r="C273" s="4" t="n"/>
      <c r="D273" s="4" t="n"/>
      <c r="E273" s="3">
        <f>IF(OR(C273="",D273=""),"",IF(D273=1,C273,ROUND(C273*(1+D273/30),1)))</f>
        <v/>
      </c>
      <c r="F273" s="4" t="n"/>
    </row>
    <row r="274">
      <c r="A274" s="9" t="n"/>
      <c r="B274" s="4" t="n"/>
      <c r="C274" s="4" t="n"/>
      <c r="D274" s="4" t="n"/>
      <c r="E274" s="3">
        <f>IF(OR(C274="",D274=""),"",IF(D274=1,C274,ROUND(C274*(1+D274/30),1)))</f>
        <v/>
      </c>
      <c r="F274" s="4" t="n"/>
    </row>
    <row r="275">
      <c r="A275" s="9" t="n"/>
      <c r="B275" s="4" t="n"/>
      <c r="C275" s="4" t="n"/>
      <c r="D275" s="4" t="n"/>
      <c r="E275" s="3">
        <f>IF(OR(C275="",D275=""),"",IF(D275=1,C275,ROUND(C275*(1+D275/30),1)))</f>
        <v/>
      </c>
      <c r="F275" s="4" t="n"/>
    </row>
    <row r="276">
      <c r="A276" s="9" t="n"/>
      <c r="B276" s="4" t="n"/>
      <c r="C276" s="4" t="n"/>
      <c r="D276" s="4" t="n"/>
      <c r="E276" s="3">
        <f>IF(OR(C276="",D276=""),"",IF(D276=1,C276,ROUND(C276*(1+D276/30),1)))</f>
        <v/>
      </c>
      <c r="F276" s="4" t="n"/>
    </row>
    <row r="277">
      <c r="A277" s="9" t="n"/>
      <c r="B277" s="4" t="n"/>
      <c r="C277" s="4" t="n"/>
      <c r="D277" s="4" t="n"/>
      <c r="E277" s="3">
        <f>IF(OR(C277="",D277=""),"",IF(D277=1,C277,ROUND(C277*(1+D277/30),1)))</f>
        <v/>
      </c>
      <c r="F277" s="4" t="n"/>
    </row>
    <row r="278">
      <c r="A278" s="9" t="n"/>
      <c r="B278" s="4" t="n"/>
      <c r="C278" s="4" t="n"/>
      <c r="D278" s="4" t="n"/>
      <c r="E278" s="3">
        <f>IF(OR(C278="",D278=""),"",IF(D278=1,C278,ROUND(C278*(1+D278/30),1)))</f>
        <v/>
      </c>
      <c r="F278" s="4" t="n"/>
    </row>
    <row r="279">
      <c r="A279" s="9" t="n"/>
      <c r="B279" s="4" t="n"/>
      <c r="C279" s="4" t="n"/>
      <c r="D279" s="4" t="n"/>
      <c r="E279" s="3">
        <f>IF(OR(C279="",D279=""),"",IF(D279=1,C279,ROUND(C279*(1+D279/30),1)))</f>
        <v/>
      </c>
      <c r="F279" s="4" t="n"/>
    </row>
    <row r="280">
      <c r="A280" s="9" t="n"/>
      <c r="B280" s="4" t="n"/>
      <c r="C280" s="4" t="n"/>
      <c r="D280" s="4" t="n"/>
      <c r="E280" s="3">
        <f>IF(OR(C280="",D280=""),"",IF(D280=1,C280,ROUND(C280*(1+D280/30),1)))</f>
        <v/>
      </c>
      <c r="F280" s="4" t="n"/>
    </row>
    <row r="281">
      <c r="A281" s="9" t="n"/>
      <c r="B281" s="4" t="n"/>
      <c r="C281" s="4" t="n"/>
      <c r="D281" s="4" t="n"/>
      <c r="E281" s="3">
        <f>IF(OR(C281="",D281=""),"",IF(D281=1,C281,ROUND(C281*(1+D281/30),1)))</f>
        <v/>
      </c>
      <c r="F281" s="4" t="n"/>
    </row>
    <row r="282">
      <c r="A282" s="9" t="n"/>
      <c r="B282" s="4" t="n"/>
      <c r="C282" s="4" t="n"/>
      <c r="D282" s="4" t="n"/>
      <c r="E282" s="3">
        <f>IF(OR(C282="",D282=""),"",IF(D282=1,C282,ROUND(C282*(1+D282/30),1)))</f>
        <v/>
      </c>
      <c r="F282" s="4" t="n"/>
    </row>
    <row r="283">
      <c r="A283" s="9" t="n"/>
      <c r="B283" s="4" t="n"/>
      <c r="C283" s="4" t="n"/>
      <c r="D283" s="4" t="n"/>
      <c r="E283" s="3">
        <f>IF(OR(C283="",D283=""),"",IF(D283=1,C283,ROUND(C283*(1+D283/30),1)))</f>
        <v/>
      </c>
      <c r="F283" s="4" t="n"/>
    </row>
    <row r="284">
      <c r="A284" s="9" t="n"/>
      <c r="B284" s="4" t="n"/>
      <c r="C284" s="4" t="n"/>
      <c r="D284" s="4" t="n"/>
      <c r="E284" s="3">
        <f>IF(OR(C284="",D284=""),"",IF(D284=1,C284,ROUND(C284*(1+D284/30),1)))</f>
        <v/>
      </c>
      <c r="F284" s="4" t="n"/>
    </row>
    <row r="285">
      <c r="A285" s="9" t="n"/>
      <c r="B285" s="4" t="n"/>
      <c r="C285" s="4" t="n"/>
      <c r="D285" s="4" t="n"/>
      <c r="E285" s="3">
        <f>IF(OR(C285="",D285=""),"",IF(D285=1,C285,ROUND(C285*(1+D285/30),1)))</f>
        <v/>
      </c>
      <c r="F285" s="4" t="n"/>
    </row>
    <row r="286">
      <c r="A286" s="9" t="n"/>
      <c r="B286" s="4" t="n"/>
      <c r="C286" s="4" t="n"/>
      <c r="D286" s="4" t="n"/>
      <c r="E286" s="3">
        <f>IF(OR(C286="",D286=""),"",IF(D286=1,C286,ROUND(C286*(1+D286/30),1)))</f>
        <v/>
      </c>
      <c r="F286" s="4" t="n"/>
    </row>
    <row r="287">
      <c r="A287" s="9" t="n"/>
      <c r="B287" s="4" t="n"/>
      <c r="C287" s="4" t="n"/>
      <c r="D287" s="4" t="n"/>
      <c r="E287" s="3">
        <f>IF(OR(C287="",D287=""),"",IF(D287=1,C287,ROUND(C287*(1+D287/30),1)))</f>
        <v/>
      </c>
      <c r="F287" s="4" t="n"/>
    </row>
    <row r="288">
      <c r="A288" s="9" t="n"/>
      <c r="B288" s="4" t="n"/>
      <c r="C288" s="4" t="n"/>
      <c r="D288" s="4" t="n"/>
      <c r="E288" s="3">
        <f>IF(OR(C288="",D288=""),"",IF(D288=1,C288,ROUND(C288*(1+D288/30),1)))</f>
        <v/>
      </c>
      <c r="F288" s="4" t="n"/>
    </row>
    <row r="289">
      <c r="A289" s="9" t="n"/>
      <c r="B289" s="4" t="n"/>
      <c r="C289" s="4" t="n"/>
      <c r="D289" s="4" t="n"/>
      <c r="E289" s="3">
        <f>IF(OR(C289="",D289=""),"",IF(D289=1,C289,ROUND(C289*(1+D289/30),1)))</f>
        <v/>
      </c>
      <c r="F289" s="4" t="n"/>
    </row>
    <row r="290">
      <c r="A290" s="9" t="n"/>
      <c r="B290" s="4" t="n"/>
      <c r="C290" s="4" t="n"/>
      <c r="D290" s="4" t="n"/>
      <c r="E290" s="3">
        <f>IF(OR(C290="",D290=""),"",IF(D290=1,C290,ROUND(C290*(1+D290/30),1)))</f>
        <v/>
      </c>
      <c r="F290" s="4" t="n"/>
    </row>
    <row r="291">
      <c r="A291" s="9" t="n"/>
      <c r="B291" s="4" t="n"/>
      <c r="C291" s="4" t="n"/>
      <c r="D291" s="4" t="n"/>
      <c r="E291" s="3">
        <f>IF(OR(C291="",D291=""),"",IF(D291=1,C291,ROUND(C291*(1+D291/30),1)))</f>
        <v/>
      </c>
      <c r="F291" s="4" t="n"/>
    </row>
    <row r="292">
      <c r="A292" s="9" t="n"/>
      <c r="B292" s="4" t="n"/>
      <c r="C292" s="4" t="n"/>
      <c r="D292" s="4" t="n"/>
      <c r="E292" s="3">
        <f>IF(OR(C292="",D292=""),"",IF(D292=1,C292,ROUND(C292*(1+D292/30),1)))</f>
        <v/>
      </c>
      <c r="F292" s="4" t="n"/>
    </row>
    <row r="293">
      <c r="A293" s="9" t="n"/>
      <c r="B293" s="4" t="n"/>
      <c r="C293" s="4" t="n"/>
      <c r="D293" s="4" t="n"/>
      <c r="E293" s="3">
        <f>IF(OR(C293="",D293=""),"",IF(D293=1,C293,ROUND(C293*(1+D293/30),1)))</f>
        <v/>
      </c>
      <c r="F293" s="4" t="n"/>
    </row>
    <row r="294">
      <c r="A294" s="9" t="n"/>
      <c r="B294" s="4" t="n"/>
      <c r="C294" s="4" t="n"/>
      <c r="D294" s="4" t="n"/>
      <c r="E294" s="3">
        <f>IF(OR(C294="",D294=""),"",IF(D294=1,C294,ROUND(C294*(1+D294/30),1)))</f>
        <v/>
      </c>
      <c r="F294" s="4" t="n"/>
    </row>
    <row r="295">
      <c r="A295" s="9" t="n"/>
      <c r="B295" s="4" t="n"/>
      <c r="C295" s="4" t="n"/>
      <c r="D295" s="4" t="n"/>
      <c r="E295" s="3">
        <f>IF(OR(C295="",D295=""),"",IF(D295=1,C295,ROUND(C295*(1+D295/30),1)))</f>
        <v/>
      </c>
      <c r="F295" s="4" t="n"/>
    </row>
    <row r="296">
      <c r="A296" s="9" t="n"/>
      <c r="B296" s="4" t="n"/>
      <c r="C296" s="4" t="n"/>
      <c r="D296" s="4" t="n"/>
      <c r="E296" s="3">
        <f>IF(OR(C296="",D296=""),"",IF(D296=1,C296,ROUND(C296*(1+D296/30),1)))</f>
        <v/>
      </c>
      <c r="F296" s="4" t="n"/>
    </row>
    <row r="297">
      <c r="A297" s="9" t="n"/>
      <c r="B297" s="4" t="n"/>
      <c r="C297" s="4" t="n"/>
      <c r="D297" s="4" t="n"/>
      <c r="E297" s="3">
        <f>IF(OR(C297="",D297=""),"",IF(D297=1,C297,ROUND(C297*(1+D297/30),1)))</f>
        <v/>
      </c>
      <c r="F297" s="4" t="n"/>
    </row>
    <row r="298">
      <c r="A298" s="9" t="n"/>
      <c r="B298" s="4" t="n"/>
      <c r="C298" s="4" t="n"/>
      <c r="D298" s="4" t="n"/>
      <c r="E298" s="3">
        <f>IF(OR(C298="",D298=""),"",IF(D298=1,C298,ROUND(C298*(1+D298/30),1)))</f>
        <v/>
      </c>
      <c r="F298" s="4" t="n"/>
    </row>
    <row r="299">
      <c r="A299" s="9" t="n"/>
      <c r="B299" s="4" t="n"/>
      <c r="C299" s="4" t="n"/>
      <c r="D299" s="4" t="n"/>
      <c r="E299" s="3">
        <f>IF(OR(C299="",D299=""),"",IF(D299=1,C299,ROUND(C299*(1+D299/30),1)))</f>
        <v/>
      </c>
      <c r="F299" s="4" t="n"/>
    </row>
    <row r="300">
      <c r="A300" s="9" t="n"/>
      <c r="B300" s="4" t="n"/>
      <c r="C300" s="4" t="n"/>
      <c r="D300" s="4" t="n"/>
      <c r="E300" s="3">
        <f>IF(OR(C300="",D300=""),"",IF(D300=1,C300,ROUND(C300*(1+D300/30),1)))</f>
        <v/>
      </c>
      <c r="F300" s="4" t="n"/>
    </row>
    <row r="301">
      <c r="A301" s="9" t="n"/>
      <c r="B301" s="4" t="n"/>
      <c r="C301" s="4" t="n"/>
      <c r="D301" s="4" t="n"/>
      <c r="E301" s="3">
        <f>IF(OR(C301="",D301=""),"",IF(D301=1,C301,ROUND(C301*(1+D301/30),1)))</f>
        <v/>
      </c>
      <c r="F301" s="4" t="n"/>
    </row>
    <row r="302">
      <c r="A302" s="9" t="n"/>
      <c r="B302" s="4" t="n"/>
      <c r="C302" s="4" t="n"/>
      <c r="D302" s="4" t="n"/>
      <c r="E302" s="3">
        <f>IF(OR(C302="",D302=""),"",IF(D302=1,C302,ROUND(C302*(1+D302/30),1)))</f>
        <v/>
      </c>
      <c r="F302" s="4" t="n"/>
    </row>
    <row r="303">
      <c r="A303" s="9" t="n"/>
      <c r="B303" s="4" t="n"/>
      <c r="C303" s="4" t="n"/>
      <c r="D303" s="4" t="n"/>
      <c r="E303" s="3">
        <f>IF(OR(C303="",D303=""),"",IF(D303=1,C303,ROUND(C303*(1+D303/30),1)))</f>
        <v/>
      </c>
      <c r="F303" s="4" t="n"/>
    </row>
    <row r="304">
      <c r="A304" s="9" t="n"/>
      <c r="B304" s="4" t="n"/>
      <c r="C304" s="4" t="n"/>
      <c r="D304" s="4" t="n"/>
      <c r="E304" s="3">
        <f>IF(OR(C304="",D304=""),"",IF(D304=1,C304,ROUND(C304*(1+D304/30),1)))</f>
        <v/>
      </c>
      <c r="F304" s="4" t="n"/>
    </row>
    <row r="305">
      <c r="A305" s="9" t="n"/>
      <c r="B305" s="4" t="n"/>
      <c r="C305" s="4" t="n"/>
      <c r="D305" s="4" t="n"/>
      <c r="E305" s="3">
        <f>IF(OR(C305="",D305=""),"",IF(D305=1,C305,ROUND(C305*(1+D305/30),1)))</f>
        <v/>
      </c>
      <c r="F305" s="4" t="n"/>
    </row>
    <row r="306">
      <c r="A306" s="9" t="n"/>
      <c r="B306" s="4" t="n"/>
      <c r="C306" s="4" t="n"/>
      <c r="D306" s="4" t="n"/>
      <c r="E306" s="3">
        <f>IF(OR(C306="",D306=""),"",IF(D306=1,C306,ROUND(C306*(1+D306/30),1)))</f>
        <v/>
      </c>
      <c r="F306" s="4" t="n"/>
    </row>
    <row r="307">
      <c r="A307" s="9" t="n"/>
      <c r="B307" s="4" t="n"/>
      <c r="C307" s="4" t="n"/>
      <c r="D307" s="4" t="n"/>
      <c r="E307" s="3">
        <f>IF(OR(C307="",D307=""),"",IF(D307=1,C307,ROUND(C307*(1+D307/30),1)))</f>
        <v/>
      </c>
      <c r="F307" s="4" t="n"/>
    </row>
    <row r="308">
      <c r="A308" s="9" t="n"/>
      <c r="B308" s="4" t="n"/>
      <c r="C308" s="4" t="n"/>
      <c r="D308" s="4" t="n"/>
      <c r="E308" s="3">
        <f>IF(OR(C308="",D308=""),"",IF(D308=1,C308,ROUND(C308*(1+D308/30),1)))</f>
        <v/>
      </c>
      <c r="F308" s="4" t="n"/>
    </row>
    <row r="309">
      <c r="A309" s="9" t="n"/>
      <c r="B309" s="4" t="n"/>
      <c r="C309" s="4" t="n"/>
      <c r="D309" s="4" t="n"/>
      <c r="E309" s="3">
        <f>IF(OR(C309="",D309=""),"",IF(D309=1,C309,ROUND(C309*(1+D309/30),1)))</f>
        <v/>
      </c>
      <c r="F309" s="4" t="n"/>
    </row>
    <row r="310">
      <c r="A310" s="9" t="n"/>
      <c r="B310" s="4" t="n"/>
      <c r="C310" s="4" t="n"/>
      <c r="D310" s="4" t="n"/>
      <c r="E310" s="3">
        <f>IF(OR(C310="",D310=""),"",IF(D310=1,C310,ROUND(C310*(1+D310/30),1)))</f>
        <v/>
      </c>
      <c r="F310" s="4" t="n"/>
    </row>
    <row r="311">
      <c r="A311" s="9" t="n"/>
      <c r="B311" s="4" t="n"/>
      <c r="C311" s="4" t="n"/>
      <c r="D311" s="4" t="n"/>
      <c r="E311" s="3">
        <f>IF(OR(C311="",D311=""),"",IF(D311=1,C311,ROUND(C311*(1+D311/30),1)))</f>
        <v/>
      </c>
      <c r="F311" s="4" t="n"/>
    </row>
    <row r="312">
      <c r="A312" s="9" t="n"/>
      <c r="B312" s="4" t="n"/>
      <c r="C312" s="4" t="n"/>
      <c r="D312" s="4" t="n"/>
      <c r="E312" s="3">
        <f>IF(OR(C312="",D312=""),"",IF(D312=1,C312,ROUND(C312*(1+D312/30),1)))</f>
        <v/>
      </c>
      <c r="F312" s="4" t="n"/>
    </row>
    <row r="313">
      <c r="A313" s="9" t="n"/>
      <c r="B313" s="4" t="n"/>
      <c r="C313" s="4" t="n"/>
      <c r="D313" s="4" t="n"/>
      <c r="E313" s="3">
        <f>IF(OR(C313="",D313=""),"",IF(D313=1,C313,ROUND(C313*(1+D313/30),1)))</f>
        <v/>
      </c>
      <c r="F313" s="4" t="n"/>
    </row>
    <row r="314">
      <c r="A314" s="9" t="n"/>
      <c r="B314" s="4" t="n"/>
      <c r="C314" s="4" t="n"/>
      <c r="D314" s="4" t="n"/>
      <c r="E314" s="3">
        <f>IF(OR(C314="",D314=""),"",IF(D314=1,C314,ROUND(C314*(1+D314/30),1)))</f>
        <v/>
      </c>
      <c r="F314" s="4" t="n"/>
    </row>
    <row r="315">
      <c r="A315" s="9" t="n"/>
      <c r="B315" s="4" t="n"/>
      <c r="C315" s="4" t="n"/>
      <c r="D315" s="4" t="n"/>
      <c r="E315" s="3">
        <f>IF(OR(C315="",D315=""),"",IF(D315=1,C315,ROUND(C315*(1+D315/30),1)))</f>
        <v/>
      </c>
      <c r="F315" s="4" t="n"/>
    </row>
    <row r="316">
      <c r="A316" s="9" t="n"/>
      <c r="B316" s="4" t="n"/>
      <c r="C316" s="4" t="n"/>
      <c r="D316" s="4" t="n"/>
      <c r="E316" s="3">
        <f>IF(OR(C316="",D316=""),"",IF(D316=1,C316,ROUND(C316*(1+D316/30),1)))</f>
        <v/>
      </c>
      <c r="F316" s="4" t="n"/>
    </row>
    <row r="317">
      <c r="A317" s="9" t="n"/>
      <c r="B317" s="4" t="n"/>
      <c r="C317" s="4" t="n"/>
      <c r="D317" s="4" t="n"/>
      <c r="E317" s="3">
        <f>IF(OR(C317="",D317=""),"",IF(D317=1,C317,ROUND(C317*(1+D317/30),1)))</f>
        <v/>
      </c>
      <c r="F317" s="4" t="n"/>
    </row>
    <row r="318">
      <c r="A318" s="9" t="n"/>
      <c r="B318" s="4" t="n"/>
      <c r="C318" s="4" t="n"/>
      <c r="D318" s="4" t="n"/>
      <c r="E318" s="3">
        <f>IF(OR(C318="",D318=""),"",IF(D318=1,C318,ROUND(C318*(1+D318/30),1)))</f>
        <v/>
      </c>
      <c r="F318" s="4" t="n"/>
    </row>
    <row r="319">
      <c r="A319" s="9" t="n"/>
      <c r="B319" s="4" t="n"/>
      <c r="C319" s="4" t="n"/>
      <c r="D319" s="4" t="n"/>
      <c r="E319" s="3">
        <f>IF(OR(C319="",D319=""),"",IF(D319=1,C319,ROUND(C319*(1+D319/30),1)))</f>
        <v/>
      </c>
      <c r="F319" s="4" t="n"/>
    </row>
    <row r="320">
      <c r="A320" s="9" t="n"/>
      <c r="B320" s="4" t="n"/>
      <c r="C320" s="4" t="n"/>
      <c r="D320" s="4" t="n"/>
      <c r="E320" s="3">
        <f>IF(OR(C320="",D320=""),"",IF(D320=1,C320,ROUND(C320*(1+D320/30),1)))</f>
        <v/>
      </c>
      <c r="F320" s="4" t="n"/>
    </row>
    <row r="321">
      <c r="A321" s="9" t="n"/>
      <c r="B321" s="4" t="n"/>
      <c r="C321" s="4" t="n"/>
      <c r="D321" s="4" t="n"/>
      <c r="E321" s="3">
        <f>IF(OR(C321="",D321=""),"",IF(D321=1,C321,ROUND(C321*(1+D321/30),1)))</f>
        <v/>
      </c>
      <c r="F321" s="4" t="n"/>
    </row>
    <row r="322">
      <c r="A322" s="9" t="n"/>
      <c r="B322" s="4" t="n"/>
      <c r="C322" s="4" t="n"/>
      <c r="D322" s="4" t="n"/>
      <c r="E322" s="3">
        <f>IF(OR(C322="",D322=""),"",IF(D322=1,C322,ROUND(C322*(1+D322/30),1)))</f>
        <v/>
      </c>
      <c r="F322" s="4" t="n"/>
    </row>
    <row r="323">
      <c r="A323" s="9" t="n"/>
      <c r="B323" s="4" t="n"/>
      <c r="C323" s="4" t="n"/>
      <c r="D323" s="4" t="n"/>
      <c r="E323" s="3">
        <f>IF(OR(C323="",D323=""),"",IF(D323=1,C323,ROUND(C323*(1+D323/30),1)))</f>
        <v/>
      </c>
      <c r="F323" s="4" t="n"/>
    </row>
    <row r="324">
      <c r="A324" s="9" t="n"/>
      <c r="B324" s="4" t="n"/>
      <c r="C324" s="4" t="n"/>
      <c r="D324" s="4" t="n"/>
      <c r="E324" s="3">
        <f>IF(OR(C324="",D324=""),"",IF(D324=1,C324,ROUND(C324*(1+D324/30),1)))</f>
        <v/>
      </c>
      <c r="F324" s="4" t="n"/>
    </row>
    <row r="325">
      <c r="A325" s="9" t="n"/>
      <c r="B325" s="4" t="n"/>
      <c r="C325" s="4" t="n"/>
      <c r="D325" s="4" t="n"/>
      <c r="E325" s="3">
        <f>IF(OR(C325="",D325=""),"",IF(D325=1,C325,ROUND(C325*(1+D325/30),1)))</f>
        <v/>
      </c>
      <c r="F325" s="4" t="n"/>
    </row>
    <row r="326">
      <c r="A326" s="9" t="n"/>
      <c r="B326" s="4" t="n"/>
      <c r="C326" s="4" t="n"/>
      <c r="D326" s="4" t="n"/>
      <c r="E326" s="3">
        <f>IF(OR(C326="",D326=""),"",IF(D326=1,C326,ROUND(C326*(1+D326/30),1)))</f>
        <v/>
      </c>
      <c r="F326" s="4" t="n"/>
    </row>
    <row r="327">
      <c r="A327" s="9" t="n"/>
      <c r="B327" s="4" t="n"/>
      <c r="C327" s="4" t="n"/>
      <c r="D327" s="4" t="n"/>
      <c r="E327" s="3">
        <f>IF(OR(C327="",D327=""),"",IF(D327=1,C327,ROUND(C327*(1+D327/30),1)))</f>
        <v/>
      </c>
      <c r="F327" s="4" t="n"/>
    </row>
    <row r="328">
      <c r="A328" s="9" t="n"/>
      <c r="B328" s="4" t="n"/>
      <c r="C328" s="4" t="n"/>
      <c r="D328" s="4" t="n"/>
      <c r="E328" s="3">
        <f>IF(OR(C328="",D328=""),"",IF(D328=1,C328,ROUND(C328*(1+D328/30),1)))</f>
        <v/>
      </c>
      <c r="F328" s="4" t="n"/>
    </row>
    <row r="329">
      <c r="A329" s="9" t="n"/>
      <c r="B329" s="4" t="n"/>
      <c r="C329" s="4" t="n"/>
      <c r="D329" s="4" t="n"/>
      <c r="E329" s="3">
        <f>IF(OR(C329="",D329=""),"",IF(D329=1,C329,ROUND(C329*(1+D329/30),1)))</f>
        <v/>
      </c>
      <c r="F329" s="4" t="n"/>
    </row>
    <row r="330">
      <c r="A330" s="9" t="n"/>
      <c r="B330" s="4" t="n"/>
      <c r="C330" s="4" t="n"/>
      <c r="D330" s="4" t="n"/>
      <c r="E330" s="3">
        <f>IF(OR(C330="",D330=""),"",IF(D330=1,C330,ROUND(C330*(1+D330/30),1)))</f>
        <v/>
      </c>
      <c r="F330" s="4" t="n"/>
    </row>
    <row r="331">
      <c r="A331" s="9" t="n"/>
      <c r="B331" s="4" t="n"/>
      <c r="C331" s="4" t="n"/>
      <c r="D331" s="4" t="n"/>
      <c r="E331" s="3">
        <f>IF(OR(C331="",D331=""),"",IF(D331=1,C331,ROUND(C331*(1+D331/30),1)))</f>
        <v/>
      </c>
      <c r="F331" s="4" t="n"/>
    </row>
    <row r="332">
      <c r="A332" s="9" t="n"/>
      <c r="B332" s="4" t="n"/>
      <c r="C332" s="4" t="n"/>
      <c r="D332" s="4" t="n"/>
      <c r="E332" s="3">
        <f>IF(OR(C332="",D332=""),"",IF(D332=1,C332,ROUND(C332*(1+D332/30),1)))</f>
        <v/>
      </c>
      <c r="F332" s="4" t="n"/>
    </row>
    <row r="333">
      <c r="A333" s="9" t="n"/>
      <c r="B333" s="4" t="n"/>
      <c r="C333" s="4" t="n"/>
      <c r="D333" s="4" t="n"/>
      <c r="E333" s="3">
        <f>IF(OR(C333="",D333=""),"",IF(D333=1,C333,ROUND(C333*(1+D333/30),1)))</f>
        <v/>
      </c>
      <c r="F333" s="4" t="n"/>
    </row>
    <row r="334">
      <c r="A334" s="9" t="n"/>
      <c r="B334" s="4" t="n"/>
      <c r="C334" s="4" t="n"/>
      <c r="D334" s="4" t="n"/>
      <c r="E334" s="3">
        <f>IF(OR(C334="",D334=""),"",IF(D334=1,C334,ROUND(C334*(1+D334/30),1)))</f>
        <v/>
      </c>
      <c r="F334" s="4" t="n"/>
    </row>
    <row r="335">
      <c r="A335" s="9" t="n"/>
      <c r="B335" s="4" t="n"/>
      <c r="C335" s="4" t="n"/>
      <c r="D335" s="4" t="n"/>
      <c r="E335" s="3">
        <f>IF(OR(C335="",D335=""),"",IF(D335=1,C335,ROUND(C335*(1+D335/30),1)))</f>
        <v/>
      </c>
      <c r="F335" s="4" t="n"/>
    </row>
    <row r="336">
      <c r="A336" s="9" t="n"/>
      <c r="B336" s="4" t="n"/>
      <c r="C336" s="4" t="n"/>
      <c r="D336" s="4" t="n"/>
      <c r="E336" s="3">
        <f>IF(OR(C336="",D336=""),"",IF(D336=1,C336,ROUND(C336*(1+D336/30),1)))</f>
        <v/>
      </c>
      <c r="F336" s="4" t="n"/>
    </row>
    <row r="337">
      <c r="A337" s="9" t="n"/>
      <c r="B337" s="4" t="n"/>
      <c r="C337" s="4" t="n"/>
      <c r="D337" s="4" t="n"/>
      <c r="E337" s="3">
        <f>IF(OR(C337="",D337=""),"",IF(D337=1,C337,ROUND(C337*(1+D337/30),1)))</f>
        <v/>
      </c>
      <c r="F337" s="4" t="n"/>
    </row>
    <row r="338">
      <c r="A338" s="9" t="n"/>
      <c r="B338" s="4" t="n"/>
      <c r="C338" s="4" t="n"/>
      <c r="D338" s="4" t="n"/>
      <c r="E338" s="3">
        <f>IF(OR(C338="",D338=""),"",IF(D338=1,C338,ROUND(C338*(1+D338/30),1)))</f>
        <v/>
      </c>
      <c r="F338" s="4" t="n"/>
    </row>
    <row r="339">
      <c r="A339" s="9" t="n"/>
      <c r="B339" s="4" t="n"/>
      <c r="C339" s="4" t="n"/>
      <c r="D339" s="4" t="n"/>
      <c r="E339" s="3">
        <f>IF(OR(C339="",D339=""),"",IF(D339=1,C339,ROUND(C339*(1+D339/30),1)))</f>
        <v/>
      </c>
      <c r="F339" s="4" t="n"/>
    </row>
    <row r="340">
      <c r="A340" s="9" t="n"/>
      <c r="B340" s="4" t="n"/>
      <c r="C340" s="4" t="n"/>
      <c r="D340" s="4" t="n"/>
      <c r="E340" s="3">
        <f>IF(OR(C340="",D340=""),"",IF(D340=1,C340,ROUND(C340*(1+D340/30),1)))</f>
        <v/>
      </c>
      <c r="F340" s="4" t="n"/>
    </row>
    <row r="341">
      <c r="A341" s="9" t="n"/>
      <c r="B341" s="4" t="n"/>
      <c r="C341" s="4" t="n"/>
      <c r="D341" s="4" t="n"/>
      <c r="E341" s="3">
        <f>IF(OR(C341="",D341=""),"",IF(D341=1,C341,ROUND(C341*(1+D341/30),1)))</f>
        <v/>
      </c>
      <c r="F341" s="4" t="n"/>
    </row>
    <row r="342">
      <c r="A342" s="9" t="n"/>
      <c r="B342" s="4" t="n"/>
      <c r="C342" s="4" t="n"/>
      <c r="D342" s="4" t="n"/>
      <c r="E342" s="3">
        <f>IF(OR(C342="",D342=""),"",IF(D342=1,C342,ROUND(C342*(1+D342/30),1)))</f>
        <v/>
      </c>
      <c r="F342" s="4" t="n"/>
    </row>
    <row r="343">
      <c r="A343" s="9" t="n"/>
      <c r="B343" s="4" t="n"/>
      <c r="C343" s="4" t="n"/>
      <c r="D343" s="4" t="n"/>
      <c r="E343" s="3">
        <f>IF(OR(C343="",D343=""),"",IF(D343=1,C343,ROUND(C343*(1+D343/30),1)))</f>
        <v/>
      </c>
      <c r="F343" s="4" t="n"/>
    </row>
    <row r="344">
      <c r="A344" s="9" t="n"/>
      <c r="B344" s="4" t="n"/>
      <c r="C344" s="4" t="n"/>
      <c r="D344" s="4" t="n"/>
      <c r="E344" s="3">
        <f>IF(OR(C344="",D344=""),"",IF(D344=1,C344,ROUND(C344*(1+D344/30),1)))</f>
        <v/>
      </c>
      <c r="F344" s="4" t="n"/>
    </row>
    <row r="345">
      <c r="A345" s="9" t="n"/>
      <c r="B345" s="4" t="n"/>
      <c r="C345" s="4" t="n"/>
      <c r="D345" s="4" t="n"/>
      <c r="E345" s="3">
        <f>IF(OR(C345="",D345=""),"",IF(D345=1,C345,ROUND(C345*(1+D345/30),1)))</f>
        <v/>
      </c>
      <c r="F345" s="4" t="n"/>
    </row>
    <row r="346">
      <c r="A346" s="9" t="n"/>
      <c r="B346" s="4" t="n"/>
      <c r="C346" s="4" t="n"/>
      <c r="D346" s="4" t="n"/>
      <c r="E346" s="3">
        <f>IF(OR(C346="",D346=""),"",IF(D346=1,C346,ROUND(C346*(1+D346/30),1)))</f>
        <v/>
      </c>
      <c r="F346" s="4" t="n"/>
    </row>
    <row r="347">
      <c r="A347" s="9" t="n"/>
      <c r="B347" s="4" t="n"/>
      <c r="C347" s="4" t="n"/>
      <c r="D347" s="4" t="n"/>
      <c r="E347" s="3">
        <f>IF(OR(C347="",D347=""),"",IF(D347=1,C347,ROUND(C347*(1+D347/30),1)))</f>
        <v/>
      </c>
      <c r="F347" s="4" t="n"/>
    </row>
    <row r="348">
      <c r="A348" s="9" t="n"/>
      <c r="B348" s="4" t="n"/>
      <c r="C348" s="4" t="n"/>
      <c r="D348" s="4" t="n"/>
      <c r="E348" s="3">
        <f>IF(OR(C348="",D348=""),"",IF(D348=1,C348,ROUND(C348*(1+D348/30),1)))</f>
        <v/>
      </c>
      <c r="F348" s="4" t="n"/>
    </row>
    <row r="349">
      <c r="A349" s="9" t="n"/>
      <c r="B349" s="4" t="n"/>
      <c r="C349" s="4" t="n"/>
      <c r="D349" s="4" t="n"/>
      <c r="E349" s="3">
        <f>IF(OR(C349="",D349=""),"",IF(D349=1,C349,ROUND(C349*(1+D349/30),1)))</f>
        <v/>
      </c>
      <c r="F349" s="4" t="n"/>
    </row>
    <row r="350">
      <c r="A350" s="9" t="n"/>
      <c r="B350" s="4" t="n"/>
      <c r="C350" s="4" t="n"/>
      <c r="D350" s="4" t="n"/>
      <c r="E350" s="3">
        <f>IF(OR(C350="",D350=""),"",IF(D350=1,C350,ROUND(C350*(1+D350/30),1)))</f>
        <v/>
      </c>
      <c r="F350" s="4" t="n"/>
    </row>
    <row r="351">
      <c r="A351" s="9" t="n"/>
      <c r="B351" s="4" t="n"/>
      <c r="C351" s="4" t="n"/>
      <c r="D351" s="4" t="n"/>
      <c r="E351" s="3">
        <f>IF(OR(C351="",D351=""),"",IF(D351=1,C351,ROUND(C351*(1+D351/30),1)))</f>
        <v/>
      </c>
      <c r="F351" s="4" t="n"/>
    </row>
    <row r="352">
      <c r="A352" s="9" t="n"/>
      <c r="B352" s="4" t="n"/>
      <c r="C352" s="4" t="n"/>
      <c r="D352" s="4" t="n"/>
      <c r="E352" s="3">
        <f>IF(OR(C352="",D352=""),"",IF(D352=1,C352,ROUND(C352*(1+D352/30),1)))</f>
        <v/>
      </c>
      <c r="F352" s="4" t="n"/>
    </row>
    <row r="353">
      <c r="A353" s="9" t="n"/>
      <c r="B353" s="4" t="n"/>
      <c r="C353" s="4" t="n"/>
      <c r="D353" s="4" t="n"/>
      <c r="E353" s="3">
        <f>IF(OR(C353="",D353=""),"",IF(D353=1,C353,ROUND(C353*(1+D353/30),1)))</f>
        <v/>
      </c>
      <c r="F353" s="4" t="n"/>
    </row>
    <row r="354">
      <c r="A354" s="9" t="n"/>
      <c r="B354" s="4" t="n"/>
      <c r="C354" s="4" t="n"/>
      <c r="D354" s="4" t="n"/>
      <c r="E354" s="3">
        <f>IF(OR(C354="",D354=""),"",IF(D354=1,C354,ROUND(C354*(1+D354/30),1)))</f>
        <v/>
      </c>
      <c r="F354" s="4" t="n"/>
    </row>
    <row r="355">
      <c r="A355" s="9" t="n"/>
      <c r="B355" s="4" t="n"/>
      <c r="C355" s="4" t="n"/>
      <c r="D355" s="4" t="n"/>
      <c r="E355" s="3">
        <f>IF(OR(C355="",D355=""),"",IF(D355=1,C355,ROUND(C355*(1+D355/30),1)))</f>
        <v/>
      </c>
      <c r="F355" s="4" t="n"/>
    </row>
    <row r="356">
      <c r="A356" s="9" t="n"/>
      <c r="B356" s="4" t="n"/>
      <c r="C356" s="4" t="n"/>
      <c r="D356" s="4" t="n"/>
      <c r="E356" s="3">
        <f>IF(OR(C356="",D356=""),"",IF(D356=1,C356,ROUND(C356*(1+D356/30),1)))</f>
        <v/>
      </c>
      <c r="F356" s="4" t="n"/>
    </row>
    <row r="357">
      <c r="A357" s="9" t="n"/>
      <c r="B357" s="4" t="n"/>
      <c r="C357" s="4" t="n"/>
      <c r="D357" s="4" t="n"/>
      <c r="E357" s="3">
        <f>IF(OR(C357="",D357=""),"",IF(D357=1,C357,ROUND(C357*(1+D357/30),1)))</f>
        <v/>
      </c>
      <c r="F357" s="4" t="n"/>
    </row>
    <row r="358">
      <c r="A358" s="9" t="n"/>
      <c r="B358" s="4" t="n"/>
      <c r="C358" s="4" t="n"/>
      <c r="D358" s="4" t="n"/>
      <c r="E358" s="3">
        <f>IF(OR(C358="",D358=""),"",IF(D358=1,C358,ROUND(C358*(1+D358/30),1)))</f>
        <v/>
      </c>
      <c r="F358" s="4" t="n"/>
    </row>
    <row r="359">
      <c r="A359" s="9" t="n"/>
      <c r="B359" s="4" t="n"/>
      <c r="C359" s="4" t="n"/>
      <c r="D359" s="4" t="n"/>
      <c r="E359" s="3">
        <f>IF(OR(C359="",D359=""),"",IF(D359=1,C359,ROUND(C359*(1+D359/30),1)))</f>
        <v/>
      </c>
      <c r="F359" s="4" t="n"/>
    </row>
    <row r="360">
      <c r="A360" s="9" t="n"/>
      <c r="B360" s="4" t="n"/>
      <c r="C360" s="4" t="n"/>
      <c r="D360" s="4" t="n"/>
      <c r="E360" s="3">
        <f>IF(OR(C360="",D360=""),"",IF(D360=1,C360,ROUND(C360*(1+D360/30),1)))</f>
        <v/>
      </c>
      <c r="F360" s="4" t="n"/>
    </row>
    <row r="361">
      <c r="A361" s="9" t="n"/>
      <c r="B361" s="4" t="n"/>
      <c r="C361" s="4" t="n"/>
      <c r="D361" s="4" t="n"/>
      <c r="E361" s="3">
        <f>IF(OR(C361="",D361=""),"",IF(D361=1,C361,ROUND(C361*(1+D361/30),1)))</f>
        <v/>
      </c>
      <c r="F361" s="4" t="n"/>
    </row>
    <row r="362">
      <c r="A362" s="9" t="n"/>
      <c r="B362" s="4" t="n"/>
      <c r="C362" s="4" t="n"/>
      <c r="D362" s="4" t="n"/>
      <c r="E362" s="3">
        <f>IF(OR(C362="",D362=""),"",IF(D362=1,C362,ROUND(C362*(1+D362/30),1)))</f>
        <v/>
      </c>
      <c r="F362" s="4" t="n"/>
    </row>
    <row r="363">
      <c r="A363" s="9" t="n"/>
      <c r="B363" s="4" t="n"/>
      <c r="C363" s="4" t="n"/>
      <c r="D363" s="4" t="n"/>
      <c r="E363" s="3">
        <f>IF(OR(C363="",D363=""),"",IF(D363=1,C363,ROUND(C363*(1+D363/30),1)))</f>
        <v/>
      </c>
      <c r="F363" s="4" t="n"/>
    </row>
    <row r="364">
      <c r="A364" s="9" t="n"/>
      <c r="B364" s="4" t="n"/>
      <c r="C364" s="4" t="n"/>
      <c r="D364" s="4" t="n"/>
      <c r="E364" s="3">
        <f>IF(OR(C364="",D364=""),"",IF(D364=1,C364,ROUND(C364*(1+D364/30),1)))</f>
        <v/>
      </c>
      <c r="F364" s="4" t="n"/>
    </row>
    <row r="365">
      <c r="A365" s="9" t="n"/>
      <c r="B365" s="4" t="n"/>
      <c r="C365" s="4" t="n"/>
      <c r="D365" s="4" t="n"/>
      <c r="E365" s="3">
        <f>IF(OR(C365="",D365=""),"",IF(D365=1,C365,ROUND(C365*(1+D365/30),1)))</f>
        <v/>
      </c>
      <c r="F365" s="4" t="n"/>
    </row>
    <row r="366">
      <c r="A366" s="9" t="n"/>
      <c r="B366" s="4" t="n"/>
      <c r="C366" s="4" t="n"/>
      <c r="D366" s="4" t="n"/>
      <c r="E366" s="3">
        <f>IF(OR(C366="",D366=""),"",IF(D366=1,C366,ROUND(C366*(1+D366/30),1)))</f>
        <v/>
      </c>
      <c r="F366" s="4" t="n"/>
    </row>
    <row r="367">
      <c r="A367" s="9" t="n"/>
      <c r="B367" s="4" t="n"/>
      <c r="C367" s="4" t="n"/>
      <c r="D367" s="4" t="n"/>
      <c r="E367" s="3">
        <f>IF(OR(C367="",D367=""),"",IF(D367=1,C367,ROUND(C367*(1+D367/30),1)))</f>
        <v/>
      </c>
      <c r="F367" s="4" t="n"/>
    </row>
    <row r="368">
      <c r="A368" s="9" t="n"/>
      <c r="B368" s="4" t="n"/>
      <c r="C368" s="4" t="n"/>
      <c r="D368" s="4" t="n"/>
      <c r="E368" s="3">
        <f>IF(OR(C368="",D368=""),"",IF(D368=1,C368,ROUND(C368*(1+D368/30),1)))</f>
        <v/>
      </c>
      <c r="F368" s="4" t="n"/>
    </row>
    <row r="369">
      <c r="A369" s="9" t="n"/>
      <c r="B369" s="4" t="n"/>
      <c r="C369" s="4" t="n"/>
      <c r="D369" s="4" t="n"/>
      <c r="E369" s="3">
        <f>IF(OR(C369="",D369=""),"",IF(D369=1,C369,ROUND(C369*(1+D369/30),1)))</f>
        <v/>
      </c>
      <c r="F369" s="4" t="n"/>
    </row>
    <row r="370">
      <c r="A370" s="9" t="n"/>
      <c r="B370" s="4" t="n"/>
      <c r="C370" s="4" t="n"/>
      <c r="D370" s="4" t="n"/>
      <c r="E370" s="3">
        <f>IF(OR(C370="",D370=""),"",IF(D370=1,C370,ROUND(C370*(1+D370/30),1)))</f>
        <v/>
      </c>
      <c r="F370" s="4" t="n"/>
    </row>
    <row r="371">
      <c r="A371" s="9" t="n"/>
      <c r="B371" s="4" t="n"/>
      <c r="C371" s="4" t="n"/>
      <c r="D371" s="4" t="n"/>
      <c r="E371" s="3">
        <f>IF(OR(C371="",D371=""),"",IF(D371=1,C371,ROUND(C371*(1+D371/30),1)))</f>
        <v/>
      </c>
      <c r="F371" s="4" t="n"/>
    </row>
    <row r="372">
      <c r="A372" s="9" t="n"/>
      <c r="B372" s="4" t="n"/>
      <c r="C372" s="4" t="n"/>
      <c r="D372" s="4" t="n"/>
      <c r="E372" s="3">
        <f>IF(OR(C372="",D372=""),"",IF(D372=1,C372,ROUND(C372*(1+D372/30),1)))</f>
        <v/>
      </c>
      <c r="F372" s="4" t="n"/>
    </row>
    <row r="373">
      <c r="A373" s="9" t="n"/>
      <c r="B373" s="4" t="n"/>
      <c r="C373" s="4" t="n"/>
      <c r="D373" s="4" t="n"/>
      <c r="E373" s="3">
        <f>IF(OR(C373="",D373=""),"",IF(D373=1,C373,ROUND(C373*(1+D373/30),1)))</f>
        <v/>
      </c>
      <c r="F373" s="4" t="n"/>
    </row>
    <row r="374">
      <c r="A374" s="9" t="n"/>
      <c r="B374" s="4" t="n"/>
      <c r="C374" s="4" t="n"/>
      <c r="D374" s="4" t="n"/>
      <c r="E374" s="3">
        <f>IF(OR(C374="",D374=""),"",IF(D374=1,C374,ROUND(C374*(1+D374/30),1)))</f>
        <v/>
      </c>
      <c r="F374" s="4" t="n"/>
    </row>
    <row r="375">
      <c r="A375" s="9" t="n"/>
      <c r="B375" s="4" t="n"/>
      <c r="C375" s="4" t="n"/>
      <c r="D375" s="4" t="n"/>
      <c r="E375" s="3">
        <f>IF(OR(C375="",D375=""),"",IF(D375=1,C375,ROUND(C375*(1+D375/30),1)))</f>
        <v/>
      </c>
      <c r="F375" s="4" t="n"/>
    </row>
    <row r="376">
      <c r="A376" s="9" t="n"/>
      <c r="B376" s="4" t="n"/>
      <c r="C376" s="4" t="n"/>
      <c r="D376" s="4" t="n"/>
      <c r="E376" s="3">
        <f>IF(OR(C376="",D376=""),"",IF(D376=1,C376,ROUND(C376*(1+D376/30),1)))</f>
        <v/>
      </c>
      <c r="F376" s="4" t="n"/>
    </row>
    <row r="377">
      <c r="A377" s="9" t="n"/>
      <c r="B377" s="4" t="n"/>
      <c r="C377" s="4" t="n"/>
      <c r="D377" s="4" t="n"/>
      <c r="E377" s="3">
        <f>IF(OR(C377="",D377=""),"",IF(D377=1,C377,ROUND(C377*(1+D377/30),1)))</f>
        <v/>
      </c>
      <c r="F377" s="4" t="n"/>
    </row>
    <row r="378">
      <c r="A378" s="9" t="n"/>
      <c r="B378" s="4" t="n"/>
      <c r="C378" s="4" t="n"/>
      <c r="D378" s="4" t="n"/>
      <c r="E378" s="3">
        <f>IF(OR(C378="",D378=""),"",IF(D378=1,C378,ROUND(C378*(1+D378/30),1)))</f>
        <v/>
      </c>
      <c r="F378" s="4" t="n"/>
    </row>
    <row r="379">
      <c r="A379" s="9" t="n"/>
      <c r="B379" s="4" t="n"/>
      <c r="C379" s="4" t="n"/>
      <c r="D379" s="4" t="n"/>
      <c r="E379" s="3">
        <f>IF(OR(C379="",D379=""),"",IF(D379=1,C379,ROUND(C379*(1+D379/30),1)))</f>
        <v/>
      </c>
      <c r="F379" s="4" t="n"/>
    </row>
    <row r="380">
      <c r="A380" s="9" t="n"/>
      <c r="B380" s="4" t="n"/>
      <c r="C380" s="4" t="n"/>
      <c r="D380" s="4" t="n"/>
      <c r="E380" s="3">
        <f>IF(OR(C380="",D380=""),"",IF(D380=1,C380,ROUND(C380*(1+D380/30),1)))</f>
        <v/>
      </c>
      <c r="F380" s="4" t="n"/>
    </row>
    <row r="381">
      <c r="A381" s="9" t="n"/>
      <c r="B381" s="4" t="n"/>
      <c r="C381" s="4" t="n"/>
      <c r="D381" s="4" t="n"/>
      <c r="E381" s="3">
        <f>IF(OR(C381="",D381=""),"",IF(D381=1,C381,ROUND(C381*(1+D381/30),1)))</f>
        <v/>
      </c>
      <c r="F381" s="4" t="n"/>
    </row>
    <row r="382">
      <c r="A382" s="9" t="n"/>
      <c r="B382" s="4" t="n"/>
      <c r="C382" s="4" t="n"/>
      <c r="D382" s="4" t="n"/>
      <c r="E382" s="3">
        <f>IF(OR(C382="",D382=""),"",IF(D382=1,C382,ROUND(C382*(1+D382/30),1)))</f>
        <v/>
      </c>
      <c r="F382" s="4" t="n"/>
    </row>
    <row r="383">
      <c r="A383" s="9" t="n"/>
      <c r="B383" s="4" t="n"/>
      <c r="C383" s="4" t="n"/>
      <c r="D383" s="4" t="n"/>
      <c r="E383" s="3">
        <f>IF(OR(C383="",D383=""),"",IF(D383=1,C383,ROUND(C383*(1+D383/30),1)))</f>
        <v/>
      </c>
      <c r="F383" s="4" t="n"/>
    </row>
    <row r="384">
      <c r="A384" s="9" t="n"/>
      <c r="B384" s="4" t="n"/>
      <c r="C384" s="4" t="n"/>
      <c r="D384" s="4" t="n"/>
      <c r="E384" s="3">
        <f>IF(OR(C384="",D384=""),"",IF(D384=1,C384,ROUND(C384*(1+D384/30),1)))</f>
        <v/>
      </c>
      <c r="F384" s="4" t="n"/>
    </row>
    <row r="385">
      <c r="A385" s="9" t="n"/>
      <c r="B385" s="4" t="n"/>
      <c r="C385" s="4" t="n"/>
      <c r="D385" s="4" t="n"/>
      <c r="E385" s="3">
        <f>IF(OR(C385="",D385=""),"",IF(D385=1,C385,ROUND(C385*(1+D385/30),1)))</f>
        <v/>
      </c>
      <c r="F385" s="4" t="n"/>
    </row>
    <row r="386">
      <c r="A386" s="9" t="n"/>
      <c r="B386" s="4" t="n"/>
      <c r="C386" s="4" t="n"/>
      <c r="D386" s="4" t="n"/>
      <c r="E386" s="3">
        <f>IF(OR(C386="",D386=""),"",IF(D386=1,C386,ROUND(C386*(1+D386/30),1)))</f>
        <v/>
      </c>
      <c r="F386" s="4" t="n"/>
    </row>
    <row r="387">
      <c r="A387" s="9" t="n"/>
      <c r="B387" s="4" t="n"/>
      <c r="C387" s="4" t="n"/>
      <c r="D387" s="4" t="n"/>
      <c r="E387" s="3">
        <f>IF(OR(C387="",D387=""),"",IF(D387=1,C387,ROUND(C387*(1+D387/30),1)))</f>
        <v/>
      </c>
      <c r="F387" s="4" t="n"/>
    </row>
    <row r="388">
      <c r="A388" s="9" t="n"/>
      <c r="B388" s="4" t="n"/>
      <c r="C388" s="4" t="n"/>
      <c r="D388" s="4" t="n"/>
      <c r="E388" s="3">
        <f>IF(OR(C388="",D388=""),"",IF(D388=1,C388,ROUND(C388*(1+D388/30),1)))</f>
        <v/>
      </c>
      <c r="F388" s="4" t="n"/>
    </row>
    <row r="389">
      <c r="A389" s="9" t="n"/>
      <c r="B389" s="4" t="n"/>
      <c r="C389" s="4" t="n"/>
      <c r="D389" s="4" t="n"/>
      <c r="E389" s="3">
        <f>IF(OR(C389="",D389=""),"",IF(D389=1,C389,ROUND(C389*(1+D389/30),1)))</f>
        <v/>
      </c>
      <c r="F389" s="4" t="n"/>
    </row>
    <row r="390">
      <c r="A390" s="9" t="n"/>
      <c r="B390" s="4" t="n"/>
      <c r="C390" s="4" t="n"/>
      <c r="D390" s="4" t="n"/>
      <c r="E390" s="3">
        <f>IF(OR(C390="",D390=""),"",IF(D390=1,C390,ROUND(C390*(1+D390/30),1)))</f>
        <v/>
      </c>
      <c r="F390" s="4" t="n"/>
    </row>
    <row r="391">
      <c r="A391" s="9" t="n"/>
      <c r="B391" s="4" t="n"/>
      <c r="C391" s="4" t="n"/>
      <c r="D391" s="4" t="n"/>
      <c r="E391" s="3">
        <f>IF(OR(C391="",D391=""),"",IF(D391=1,C391,ROUND(C391*(1+D391/30),1)))</f>
        <v/>
      </c>
      <c r="F391" s="4" t="n"/>
    </row>
    <row r="392">
      <c r="A392" s="9" t="n"/>
      <c r="B392" s="4" t="n"/>
      <c r="C392" s="4" t="n"/>
      <c r="D392" s="4" t="n"/>
      <c r="E392" s="3">
        <f>IF(OR(C392="",D392=""),"",IF(D392=1,C392,ROUND(C392*(1+D392/30),1)))</f>
        <v/>
      </c>
      <c r="F392" s="4" t="n"/>
    </row>
    <row r="393">
      <c r="A393" s="9" t="n"/>
      <c r="B393" s="4" t="n"/>
      <c r="C393" s="4" t="n"/>
      <c r="D393" s="4" t="n"/>
      <c r="E393" s="3">
        <f>IF(OR(C393="",D393=""),"",IF(D393=1,C393,ROUND(C393*(1+D393/30),1)))</f>
        <v/>
      </c>
      <c r="F393" s="4" t="n"/>
    </row>
    <row r="394">
      <c r="A394" s="9" t="n"/>
      <c r="B394" s="4" t="n"/>
      <c r="C394" s="4" t="n"/>
      <c r="D394" s="4" t="n"/>
      <c r="E394" s="3">
        <f>IF(OR(C394="",D394=""),"",IF(D394=1,C394,ROUND(C394*(1+D394/30),1)))</f>
        <v/>
      </c>
      <c r="F394" s="4" t="n"/>
    </row>
    <row r="395">
      <c r="A395" s="9" t="n"/>
      <c r="B395" s="4" t="n"/>
      <c r="C395" s="4" t="n"/>
      <c r="D395" s="4" t="n"/>
      <c r="E395" s="3">
        <f>IF(OR(C395="",D395=""),"",IF(D395=1,C395,ROUND(C395*(1+D395/30),1)))</f>
        <v/>
      </c>
      <c r="F395" s="4" t="n"/>
    </row>
    <row r="396">
      <c r="A396" s="9" t="n"/>
      <c r="B396" s="4" t="n"/>
      <c r="C396" s="4" t="n"/>
      <c r="D396" s="4" t="n"/>
      <c r="E396" s="3">
        <f>IF(OR(C396="",D396=""),"",IF(D396=1,C396,ROUND(C396*(1+D396/30),1)))</f>
        <v/>
      </c>
      <c r="F396" s="4" t="n"/>
    </row>
    <row r="397">
      <c r="A397" s="9" t="n"/>
      <c r="B397" s="4" t="n"/>
      <c r="C397" s="4" t="n"/>
      <c r="D397" s="4" t="n"/>
      <c r="E397" s="3">
        <f>IF(OR(C397="",D397=""),"",IF(D397=1,C397,ROUND(C397*(1+D397/30),1)))</f>
        <v/>
      </c>
      <c r="F397" s="4" t="n"/>
    </row>
    <row r="398">
      <c r="A398" s="9" t="n"/>
      <c r="B398" s="4" t="n"/>
      <c r="C398" s="4" t="n"/>
      <c r="D398" s="4" t="n"/>
      <c r="E398" s="3">
        <f>IF(OR(C398="",D398=""),"",IF(D398=1,C398,ROUND(C398*(1+D398/30),1)))</f>
        <v/>
      </c>
      <c r="F398" s="4" t="n"/>
    </row>
    <row r="399">
      <c r="A399" s="9" t="n"/>
      <c r="B399" s="4" t="n"/>
      <c r="C399" s="4" t="n"/>
      <c r="D399" s="4" t="n"/>
      <c r="E399" s="3">
        <f>IF(OR(C399="",D399=""),"",IF(D399=1,C399,ROUND(C399*(1+D399/30),1)))</f>
        <v/>
      </c>
      <c r="F399" s="4" t="n"/>
    </row>
    <row r="400">
      <c r="A400" s="9" t="n"/>
      <c r="B400" s="4" t="n"/>
      <c r="C400" s="4" t="n"/>
      <c r="D400" s="4" t="n"/>
      <c r="E400" s="3">
        <f>IF(OR(C400="",D400=""),"",IF(D400=1,C400,ROUND(C400*(1+D400/30),1)))</f>
        <v/>
      </c>
      <c r="F400" s="4" t="n"/>
    </row>
    <row r="401">
      <c r="A401" s="9" t="n"/>
      <c r="B401" s="4" t="n"/>
      <c r="C401" s="4" t="n"/>
      <c r="D401" s="4" t="n"/>
      <c r="E401" s="3">
        <f>IF(OR(C401="",D401=""),"",IF(D401=1,C401,ROUND(C401*(1+D401/30),1)))</f>
        <v/>
      </c>
      <c r="F401" s="4" t="n"/>
    </row>
    <row r="402">
      <c r="A402" s="9" t="n"/>
      <c r="B402" s="4" t="n"/>
      <c r="C402" s="4" t="n"/>
      <c r="D402" s="4" t="n"/>
      <c r="E402" s="3">
        <f>IF(OR(C402="",D402=""),"",IF(D402=1,C402,ROUND(C402*(1+D402/30),1)))</f>
        <v/>
      </c>
      <c r="F402" s="4" t="n"/>
    </row>
    <row r="403">
      <c r="A403" s="9" t="n"/>
      <c r="B403" s="4" t="n"/>
      <c r="C403" s="4" t="n"/>
      <c r="D403" s="4" t="n"/>
      <c r="E403" s="3">
        <f>IF(OR(C403="",D403=""),"",IF(D403=1,C403,ROUND(C403*(1+D403/30),1)))</f>
        <v/>
      </c>
      <c r="F403" s="4" t="n"/>
    </row>
    <row r="404">
      <c r="A404" s="9" t="n"/>
      <c r="B404" s="4" t="n"/>
      <c r="C404" s="4" t="n"/>
      <c r="D404" s="4" t="n"/>
      <c r="E404" s="3">
        <f>IF(OR(C404="",D404=""),"",IF(D404=1,C404,ROUND(C404*(1+D404/30),1)))</f>
        <v/>
      </c>
      <c r="F404" s="4" t="n"/>
    </row>
    <row r="405">
      <c r="A405" s="9" t="n"/>
      <c r="B405" s="4" t="n"/>
      <c r="C405" s="4" t="n"/>
      <c r="D405" s="4" t="n"/>
      <c r="E405" s="3">
        <f>IF(OR(C405="",D405=""),"",IF(D405=1,C405,ROUND(C405*(1+D405/30),1)))</f>
        <v/>
      </c>
      <c r="F405" s="4" t="n"/>
    </row>
    <row r="406">
      <c r="A406" s="9" t="n"/>
      <c r="B406" s="4" t="n"/>
      <c r="C406" s="4" t="n"/>
      <c r="D406" s="4" t="n"/>
      <c r="E406" s="3">
        <f>IF(OR(C406="",D406=""),"",IF(D406=1,C406,ROUND(C406*(1+D406/30),1)))</f>
        <v/>
      </c>
      <c r="F406" s="4" t="n"/>
    </row>
    <row r="407">
      <c r="A407" s="9" t="n"/>
      <c r="B407" s="4" t="n"/>
      <c r="C407" s="4" t="n"/>
      <c r="D407" s="4" t="n"/>
      <c r="E407" s="3">
        <f>IF(OR(C407="",D407=""),"",IF(D407=1,C407,ROUND(C407*(1+D407/30),1)))</f>
        <v/>
      </c>
      <c r="F407" s="4" t="n"/>
    </row>
    <row r="408">
      <c r="A408" s="9" t="n"/>
      <c r="B408" s="4" t="n"/>
      <c r="C408" s="4" t="n"/>
      <c r="D408" s="4" t="n"/>
      <c r="E408" s="3">
        <f>IF(OR(C408="",D408=""),"",IF(D408=1,C408,ROUND(C408*(1+D408/30),1)))</f>
        <v/>
      </c>
      <c r="F408" s="4" t="n"/>
    </row>
    <row r="409">
      <c r="A409" s="9" t="n"/>
      <c r="B409" s="4" t="n"/>
      <c r="C409" s="4" t="n"/>
      <c r="D409" s="4" t="n"/>
      <c r="E409" s="3">
        <f>IF(OR(C409="",D409=""),"",IF(D409=1,C409,ROUND(C409*(1+D409/30),1)))</f>
        <v/>
      </c>
      <c r="F409" s="4" t="n"/>
    </row>
    <row r="410">
      <c r="A410" s="9" t="n"/>
      <c r="B410" s="4" t="n"/>
      <c r="C410" s="4" t="n"/>
      <c r="D410" s="4" t="n"/>
      <c r="E410" s="3">
        <f>IF(OR(C410="",D410=""),"",IF(D410=1,C410,ROUND(C410*(1+D410/30),1)))</f>
        <v/>
      </c>
      <c r="F410" s="4" t="n"/>
    </row>
    <row r="411">
      <c r="A411" s="9" t="n"/>
      <c r="B411" s="4" t="n"/>
      <c r="C411" s="4" t="n"/>
      <c r="D411" s="4" t="n"/>
      <c r="E411" s="3">
        <f>IF(OR(C411="",D411=""),"",IF(D411=1,C411,ROUND(C411*(1+D411/30),1)))</f>
        <v/>
      </c>
      <c r="F411" s="4" t="n"/>
    </row>
    <row r="412">
      <c r="A412" s="9" t="n"/>
      <c r="B412" s="4" t="n"/>
      <c r="C412" s="4" t="n"/>
      <c r="D412" s="4" t="n"/>
      <c r="E412" s="3">
        <f>IF(OR(C412="",D412=""),"",IF(D412=1,C412,ROUND(C412*(1+D412/30),1)))</f>
        <v/>
      </c>
      <c r="F412" s="4" t="n"/>
    </row>
    <row r="413">
      <c r="A413" s="9" t="n"/>
      <c r="B413" s="4" t="n"/>
      <c r="C413" s="4" t="n"/>
      <c r="D413" s="4" t="n"/>
      <c r="E413" s="3">
        <f>IF(OR(C413="",D413=""),"",IF(D413=1,C413,ROUND(C413*(1+D413/30),1)))</f>
        <v/>
      </c>
      <c r="F413" s="4" t="n"/>
    </row>
    <row r="414">
      <c r="A414" s="9" t="n"/>
      <c r="B414" s="4" t="n"/>
      <c r="C414" s="4" t="n"/>
      <c r="D414" s="4" t="n"/>
      <c r="E414" s="3">
        <f>IF(OR(C414="",D414=""),"",IF(D414=1,C414,ROUND(C414*(1+D414/30),1)))</f>
        <v/>
      </c>
      <c r="F414" s="4" t="n"/>
    </row>
    <row r="415">
      <c r="A415" s="9" t="n"/>
      <c r="B415" s="4" t="n"/>
      <c r="C415" s="4" t="n"/>
      <c r="D415" s="4" t="n"/>
      <c r="E415" s="3">
        <f>IF(OR(C415="",D415=""),"",IF(D415=1,C415,ROUND(C415*(1+D415/30),1)))</f>
        <v/>
      </c>
      <c r="F415" s="4" t="n"/>
    </row>
    <row r="416">
      <c r="A416" s="9" t="n"/>
      <c r="B416" s="4" t="n"/>
      <c r="C416" s="4" t="n"/>
      <c r="D416" s="4" t="n"/>
      <c r="E416" s="3">
        <f>IF(OR(C416="",D416=""),"",IF(D416=1,C416,ROUND(C416*(1+D416/30),1)))</f>
        <v/>
      </c>
      <c r="F416" s="4" t="n"/>
    </row>
    <row r="417">
      <c r="A417" s="9" t="n"/>
      <c r="B417" s="4" t="n"/>
      <c r="C417" s="4" t="n"/>
      <c r="D417" s="4" t="n"/>
      <c r="E417" s="3">
        <f>IF(OR(C417="",D417=""),"",IF(D417=1,C417,ROUND(C417*(1+D417/30),1)))</f>
        <v/>
      </c>
      <c r="F417" s="4" t="n"/>
    </row>
    <row r="418">
      <c r="A418" s="9" t="n"/>
      <c r="B418" s="4" t="n"/>
      <c r="C418" s="4" t="n"/>
      <c r="D418" s="4" t="n"/>
      <c r="E418" s="3">
        <f>IF(OR(C418="",D418=""),"",IF(D418=1,C418,ROUND(C418*(1+D418/30),1)))</f>
        <v/>
      </c>
      <c r="F418" s="4" t="n"/>
    </row>
    <row r="419">
      <c r="A419" s="9" t="n"/>
      <c r="B419" s="4" t="n"/>
      <c r="C419" s="4" t="n"/>
      <c r="D419" s="4" t="n"/>
      <c r="E419" s="3">
        <f>IF(OR(C419="",D419=""),"",IF(D419=1,C419,ROUND(C419*(1+D419/30),1)))</f>
        <v/>
      </c>
      <c r="F419" s="4" t="n"/>
    </row>
    <row r="420">
      <c r="A420" s="9" t="n"/>
      <c r="B420" s="4" t="n"/>
      <c r="C420" s="4" t="n"/>
      <c r="D420" s="4" t="n"/>
      <c r="E420" s="3">
        <f>IF(OR(C420="",D420=""),"",IF(D420=1,C420,ROUND(C420*(1+D420/30),1)))</f>
        <v/>
      </c>
      <c r="F420" s="4" t="n"/>
    </row>
    <row r="421">
      <c r="A421" s="9" t="n"/>
      <c r="B421" s="4" t="n"/>
      <c r="C421" s="4" t="n"/>
      <c r="D421" s="4" t="n"/>
      <c r="E421" s="3">
        <f>IF(OR(C421="",D421=""),"",IF(D421=1,C421,ROUND(C421*(1+D421/30),1)))</f>
        <v/>
      </c>
      <c r="F421" s="4" t="n"/>
    </row>
    <row r="422">
      <c r="A422" s="9" t="n"/>
      <c r="B422" s="4" t="n"/>
      <c r="C422" s="4" t="n"/>
      <c r="D422" s="4" t="n"/>
      <c r="E422" s="3">
        <f>IF(OR(C422="",D422=""),"",IF(D422=1,C422,ROUND(C422*(1+D422/30),1)))</f>
        <v/>
      </c>
      <c r="F422" s="4" t="n"/>
    </row>
    <row r="423">
      <c r="A423" s="9" t="n"/>
      <c r="B423" s="4" t="n"/>
      <c r="C423" s="4" t="n"/>
      <c r="D423" s="4" t="n"/>
      <c r="E423" s="3">
        <f>IF(OR(C423="",D423=""),"",IF(D423=1,C423,ROUND(C423*(1+D423/30),1)))</f>
        <v/>
      </c>
      <c r="F423" s="4" t="n"/>
    </row>
    <row r="424">
      <c r="A424" s="9" t="n"/>
      <c r="B424" s="4" t="n"/>
      <c r="C424" s="4" t="n"/>
      <c r="D424" s="4" t="n"/>
      <c r="E424" s="3">
        <f>IF(OR(C424="",D424=""),"",IF(D424=1,C424,ROUND(C424*(1+D424/30),1)))</f>
        <v/>
      </c>
      <c r="F424" s="4" t="n"/>
    </row>
    <row r="425">
      <c r="A425" s="9" t="n"/>
      <c r="B425" s="4" t="n"/>
      <c r="C425" s="4" t="n"/>
      <c r="D425" s="4" t="n"/>
      <c r="E425" s="3">
        <f>IF(OR(C425="",D425=""),"",IF(D425=1,C425,ROUND(C425*(1+D425/30),1)))</f>
        <v/>
      </c>
      <c r="F425" s="4" t="n"/>
    </row>
    <row r="426">
      <c r="A426" s="9" t="n"/>
      <c r="B426" s="4" t="n"/>
      <c r="C426" s="4" t="n"/>
      <c r="D426" s="4" t="n"/>
      <c r="E426" s="3">
        <f>IF(OR(C426="",D426=""),"",IF(D426=1,C426,ROUND(C426*(1+D426/30),1)))</f>
        <v/>
      </c>
      <c r="F426" s="4" t="n"/>
    </row>
    <row r="427">
      <c r="A427" s="9" t="n"/>
      <c r="B427" s="4" t="n"/>
      <c r="C427" s="4" t="n"/>
      <c r="D427" s="4" t="n"/>
      <c r="E427" s="3">
        <f>IF(OR(C427="",D427=""),"",IF(D427=1,C427,ROUND(C427*(1+D427/30),1)))</f>
        <v/>
      </c>
      <c r="F427" s="4" t="n"/>
    </row>
    <row r="428">
      <c r="A428" s="9" t="n"/>
      <c r="B428" s="4" t="n"/>
      <c r="C428" s="4" t="n"/>
      <c r="D428" s="4" t="n"/>
      <c r="E428" s="3">
        <f>IF(OR(C428="",D428=""),"",IF(D428=1,C428,ROUND(C428*(1+D428/30),1)))</f>
        <v/>
      </c>
      <c r="F428" s="4" t="n"/>
    </row>
    <row r="429">
      <c r="A429" s="9" t="n"/>
      <c r="B429" s="4" t="n"/>
      <c r="C429" s="4" t="n"/>
      <c r="D429" s="4" t="n"/>
      <c r="E429" s="3">
        <f>IF(OR(C429="",D429=""),"",IF(D429=1,C429,ROUND(C429*(1+D429/30),1)))</f>
        <v/>
      </c>
      <c r="F429" s="4" t="n"/>
    </row>
    <row r="430">
      <c r="A430" s="9" t="n"/>
      <c r="B430" s="4" t="n"/>
      <c r="C430" s="4" t="n"/>
      <c r="D430" s="4" t="n"/>
      <c r="E430" s="3">
        <f>IF(OR(C430="",D430=""),"",IF(D430=1,C430,ROUND(C430*(1+D430/30),1)))</f>
        <v/>
      </c>
      <c r="F430" s="4" t="n"/>
    </row>
    <row r="431">
      <c r="A431" s="9" t="n"/>
      <c r="B431" s="4" t="n"/>
      <c r="C431" s="4" t="n"/>
      <c r="D431" s="4" t="n"/>
      <c r="E431" s="3">
        <f>IF(OR(C431="",D431=""),"",IF(D431=1,C431,ROUND(C431*(1+D431/30),1)))</f>
        <v/>
      </c>
      <c r="F431" s="4" t="n"/>
    </row>
    <row r="432">
      <c r="A432" s="9" t="n"/>
      <c r="B432" s="4" t="n"/>
      <c r="C432" s="4" t="n"/>
      <c r="D432" s="4" t="n"/>
      <c r="E432" s="3">
        <f>IF(OR(C432="",D432=""),"",IF(D432=1,C432,ROUND(C432*(1+D432/30),1)))</f>
        <v/>
      </c>
      <c r="F432" s="4" t="n"/>
    </row>
    <row r="433">
      <c r="A433" s="9" t="n"/>
      <c r="B433" s="4" t="n"/>
      <c r="C433" s="4" t="n"/>
      <c r="D433" s="4" t="n"/>
      <c r="E433" s="3">
        <f>IF(OR(C433="",D433=""),"",IF(D433=1,C433,ROUND(C433*(1+D433/30),1)))</f>
        <v/>
      </c>
      <c r="F433" s="4" t="n"/>
    </row>
    <row r="434">
      <c r="A434" s="9" t="n"/>
      <c r="B434" s="4" t="n"/>
      <c r="C434" s="4" t="n"/>
      <c r="D434" s="4" t="n"/>
      <c r="E434" s="3">
        <f>IF(OR(C434="",D434=""),"",IF(D434=1,C434,ROUND(C434*(1+D434/30),1)))</f>
        <v/>
      </c>
      <c r="F434" s="4" t="n"/>
    </row>
    <row r="435">
      <c r="A435" s="9" t="n"/>
      <c r="B435" s="4" t="n"/>
      <c r="C435" s="4" t="n"/>
      <c r="D435" s="4" t="n"/>
      <c r="E435" s="3">
        <f>IF(OR(C435="",D435=""),"",IF(D435=1,C435,ROUND(C435*(1+D435/30),1)))</f>
        <v/>
      </c>
      <c r="F435" s="4" t="n"/>
    </row>
    <row r="436">
      <c r="A436" s="9" t="n"/>
      <c r="B436" s="4" t="n"/>
      <c r="C436" s="4" t="n"/>
      <c r="D436" s="4" t="n"/>
      <c r="E436" s="3">
        <f>IF(OR(C436="",D436=""),"",IF(D436=1,C436,ROUND(C436*(1+D436/30),1)))</f>
        <v/>
      </c>
      <c r="F436" s="4" t="n"/>
    </row>
    <row r="437">
      <c r="A437" s="9" t="n"/>
      <c r="B437" s="4" t="n"/>
      <c r="C437" s="4" t="n"/>
      <c r="D437" s="4" t="n"/>
      <c r="E437" s="3">
        <f>IF(OR(C437="",D437=""),"",IF(D437=1,C437,ROUND(C437*(1+D437/30),1)))</f>
        <v/>
      </c>
      <c r="F437" s="4" t="n"/>
    </row>
    <row r="438">
      <c r="A438" s="9" t="n"/>
      <c r="B438" s="4" t="n"/>
      <c r="C438" s="4" t="n"/>
      <c r="D438" s="4" t="n"/>
      <c r="E438" s="3">
        <f>IF(OR(C438="",D438=""),"",IF(D438=1,C438,ROUND(C438*(1+D438/30),1)))</f>
        <v/>
      </c>
      <c r="F438" s="4" t="n"/>
    </row>
    <row r="439">
      <c r="A439" s="9" t="n"/>
      <c r="B439" s="4" t="n"/>
      <c r="C439" s="4" t="n"/>
      <c r="D439" s="4" t="n"/>
      <c r="E439" s="3">
        <f>IF(OR(C439="",D439=""),"",IF(D439=1,C439,ROUND(C439*(1+D439/30),1)))</f>
        <v/>
      </c>
      <c r="F439" s="4" t="n"/>
    </row>
    <row r="440">
      <c r="A440" s="9" t="n"/>
      <c r="B440" s="4" t="n"/>
      <c r="C440" s="4" t="n"/>
      <c r="D440" s="4" t="n"/>
      <c r="E440" s="3">
        <f>IF(OR(C440="",D440=""),"",IF(D440=1,C440,ROUND(C440*(1+D440/30),1)))</f>
        <v/>
      </c>
      <c r="F440" s="4" t="n"/>
    </row>
    <row r="441">
      <c r="A441" s="9" t="n"/>
      <c r="B441" s="4" t="n"/>
      <c r="C441" s="4" t="n"/>
      <c r="D441" s="4" t="n"/>
      <c r="E441" s="3">
        <f>IF(OR(C441="",D441=""),"",IF(D441=1,C441,ROUND(C441*(1+D441/30),1)))</f>
        <v/>
      </c>
      <c r="F441" s="4" t="n"/>
    </row>
    <row r="442">
      <c r="A442" s="9" t="n"/>
      <c r="B442" s="4" t="n"/>
      <c r="C442" s="4" t="n"/>
      <c r="D442" s="4" t="n"/>
      <c r="E442" s="3">
        <f>IF(OR(C442="",D442=""),"",IF(D442=1,C442,ROUND(C442*(1+D442/30),1)))</f>
        <v/>
      </c>
      <c r="F442" s="4" t="n"/>
    </row>
    <row r="443">
      <c r="A443" s="9" t="n"/>
      <c r="B443" s="4" t="n"/>
      <c r="C443" s="4" t="n"/>
      <c r="D443" s="4" t="n"/>
      <c r="E443" s="3">
        <f>IF(OR(C443="",D443=""),"",IF(D443=1,C443,ROUND(C443*(1+D443/30),1)))</f>
        <v/>
      </c>
      <c r="F443" s="4" t="n"/>
    </row>
    <row r="444">
      <c r="A444" s="9" t="n"/>
      <c r="B444" s="4" t="n"/>
      <c r="C444" s="4" t="n"/>
      <c r="D444" s="4" t="n"/>
      <c r="E444" s="3">
        <f>IF(OR(C444="",D444=""),"",IF(D444=1,C444,ROUND(C444*(1+D444/30),1)))</f>
        <v/>
      </c>
      <c r="F444" s="4" t="n"/>
    </row>
    <row r="445">
      <c r="A445" s="9" t="n"/>
      <c r="B445" s="4" t="n"/>
      <c r="C445" s="4" t="n"/>
      <c r="D445" s="4" t="n"/>
      <c r="E445" s="3">
        <f>IF(OR(C445="",D445=""),"",IF(D445=1,C445,ROUND(C445*(1+D445/30),1)))</f>
        <v/>
      </c>
      <c r="F445" s="4" t="n"/>
    </row>
    <row r="446">
      <c r="A446" s="9" t="n"/>
      <c r="B446" s="4" t="n"/>
      <c r="C446" s="4" t="n"/>
      <c r="D446" s="4" t="n"/>
      <c r="E446" s="3">
        <f>IF(OR(C446="",D446=""),"",IF(D446=1,C446,ROUND(C446*(1+D446/30),1)))</f>
        <v/>
      </c>
      <c r="F446" s="4" t="n"/>
    </row>
    <row r="447">
      <c r="A447" s="9" t="n"/>
      <c r="B447" s="4" t="n"/>
      <c r="C447" s="4" t="n"/>
      <c r="D447" s="4" t="n"/>
      <c r="E447" s="3">
        <f>IF(OR(C447="",D447=""),"",IF(D447=1,C447,ROUND(C447*(1+D447/30),1)))</f>
        <v/>
      </c>
      <c r="F447" s="4" t="n"/>
    </row>
    <row r="448">
      <c r="A448" s="9" t="n"/>
      <c r="B448" s="4" t="n"/>
      <c r="C448" s="4" t="n"/>
      <c r="D448" s="4" t="n"/>
      <c r="E448" s="3">
        <f>IF(OR(C448="",D448=""),"",IF(D448=1,C448,ROUND(C448*(1+D448/30),1)))</f>
        <v/>
      </c>
      <c r="F448" s="4" t="n"/>
    </row>
    <row r="449">
      <c r="A449" s="9" t="n"/>
      <c r="B449" s="4" t="n"/>
      <c r="C449" s="4" t="n"/>
      <c r="D449" s="4" t="n"/>
      <c r="E449" s="3">
        <f>IF(OR(C449="",D449=""),"",IF(D449=1,C449,ROUND(C449*(1+D449/30),1)))</f>
        <v/>
      </c>
      <c r="F449" s="4" t="n"/>
    </row>
    <row r="450">
      <c r="A450" s="9" t="n"/>
      <c r="B450" s="4" t="n"/>
      <c r="C450" s="4" t="n"/>
      <c r="D450" s="4" t="n"/>
      <c r="E450" s="3">
        <f>IF(OR(C450="",D450=""),"",IF(D450=1,C450,ROUND(C450*(1+D450/30),1)))</f>
        <v/>
      </c>
      <c r="F450" s="4" t="n"/>
    </row>
    <row r="451">
      <c r="A451" s="9" t="n"/>
      <c r="B451" s="4" t="n"/>
      <c r="C451" s="4" t="n"/>
      <c r="D451" s="4" t="n"/>
      <c r="E451" s="3">
        <f>IF(OR(C451="",D451=""),"",IF(D451=1,C451,ROUND(C451*(1+D451/30),1)))</f>
        <v/>
      </c>
      <c r="F451" s="4" t="n"/>
    </row>
    <row r="452">
      <c r="A452" s="9" t="n"/>
      <c r="B452" s="4" t="n"/>
      <c r="C452" s="4" t="n"/>
      <c r="D452" s="4" t="n"/>
      <c r="E452" s="3">
        <f>IF(OR(C452="",D452=""),"",IF(D452=1,C452,ROUND(C452*(1+D452/30),1)))</f>
        <v/>
      </c>
      <c r="F452" s="4" t="n"/>
    </row>
    <row r="453">
      <c r="A453" s="9" t="n"/>
      <c r="B453" s="4" t="n"/>
      <c r="C453" s="4" t="n"/>
      <c r="D453" s="4" t="n"/>
      <c r="E453" s="3">
        <f>IF(OR(C453="",D453=""),"",IF(D453=1,C453,ROUND(C453*(1+D453/30),1)))</f>
        <v/>
      </c>
      <c r="F453" s="4" t="n"/>
    </row>
    <row r="454">
      <c r="A454" s="9" t="n"/>
      <c r="B454" s="4" t="n"/>
      <c r="C454" s="4" t="n"/>
      <c r="D454" s="4" t="n"/>
      <c r="E454" s="3">
        <f>IF(OR(C454="",D454=""),"",IF(D454=1,C454,ROUND(C454*(1+D454/30),1)))</f>
        <v/>
      </c>
      <c r="F454" s="4" t="n"/>
    </row>
    <row r="455">
      <c r="A455" s="9" t="n"/>
      <c r="B455" s="4" t="n"/>
      <c r="C455" s="4" t="n"/>
      <c r="D455" s="4" t="n"/>
      <c r="E455" s="3">
        <f>IF(OR(C455="",D455=""),"",IF(D455=1,C455,ROUND(C455*(1+D455/30),1)))</f>
        <v/>
      </c>
      <c r="F455" s="4" t="n"/>
    </row>
    <row r="456">
      <c r="A456" s="9" t="n"/>
      <c r="B456" s="4" t="n"/>
      <c r="C456" s="4" t="n"/>
      <c r="D456" s="4" t="n"/>
      <c r="E456" s="3">
        <f>IF(OR(C456="",D456=""),"",IF(D456=1,C456,ROUND(C456*(1+D456/30),1)))</f>
        <v/>
      </c>
      <c r="F456" s="4" t="n"/>
    </row>
    <row r="457">
      <c r="A457" s="9" t="n"/>
      <c r="B457" s="4" t="n"/>
      <c r="C457" s="4" t="n"/>
      <c r="D457" s="4" t="n"/>
      <c r="E457" s="3">
        <f>IF(OR(C457="",D457=""),"",IF(D457=1,C457,ROUND(C457*(1+D457/30),1)))</f>
        <v/>
      </c>
      <c r="F457" s="4" t="n"/>
    </row>
    <row r="458">
      <c r="A458" s="9" t="n"/>
      <c r="B458" s="4" t="n"/>
      <c r="C458" s="4" t="n"/>
      <c r="D458" s="4" t="n"/>
      <c r="E458" s="3">
        <f>IF(OR(C458="",D458=""),"",IF(D458=1,C458,ROUND(C458*(1+D458/30),1)))</f>
        <v/>
      </c>
      <c r="F458" s="4" t="n"/>
    </row>
    <row r="459">
      <c r="A459" s="9" t="n"/>
      <c r="B459" s="4" t="n"/>
      <c r="C459" s="4" t="n"/>
      <c r="D459" s="4" t="n"/>
      <c r="E459" s="3">
        <f>IF(OR(C459="",D459=""),"",IF(D459=1,C459,ROUND(C459*(1+D459/30),1)))</f>
        <v/>
      </c>
      <c r="F459" s="4" t="n"/>
    </row>
    <row r="460">
      <c r="A460" s="9" t="n"/>
      <c r="B460" s="4" t="n"/>
      <c r="C460" s="4" t="n"/>
      <c r="D460" s="4" t="n"/>
      <c r="E460" s="3">
        <f>IF(OR(C460="",D460=""),"",IF(D460=1,C460,ROUND(C460*(1+D460/30),1)))</f>
        <v/>
      </c>
      <c r="F460" s="4" t="n"/>
    </row>
    <row r="461">
      <c r="A461" s="9" t="n"/>
      <c r="B461" s="4" t="n"/>
      <c r="C461" s="4" t="n"/>
      <c r="D461" s="4" t="n"/>
      <c r="E461" s="3">
        <f>IF(OR(C461="",D461=""),"",IF(D461=1,C461,ROUND(C461*(1+D461/30),1)))</f>
        <v/>
      </c>
      <c r="F461" s="4" t="n"/>
    </row>
    <row r="462">
      <c r="A462" s="9" t="n"/>
      <c r="B462" s="4" t="n"/>
      <c r="C462" s="4" t="n"/>
      <c r="D462" s="4" t="n"/>
      <c r="E462" s="3">
        <f>IF(OR(C462="",D462=""),"",IF(D462=1,C462,ROUND(C462*(1+D462/30),1)))</f>
        <v/>
      </c>
      <c r="F462" s="4" t="n"/>
    </row>
    <row r="463">
      <c r="A463" s="9" t="n"/>
      <c r="B463" s="4" t="n"/>
      <c r="C463" s="4" t="n"/>
      <c r="D463" s="4" t="n"/>
      <c r="E463" s="3">
        <f>IF(OR(C463="",D463=""),"",IF(D463=1,C463,ROUND(C463*(1+D463/30),1)))</f>
        <v/>
      </c>
      <c r="F463" s="4" t="n"/>
    </row>
    <row r="464">
      <c r="A464" s="9" t="n"/>
      <c r="B464" s="4" t="n"/>
      <c r="C464" s="4" t="n"/>
      <c r="D464" s="4" t="n"/>
      <c r="E464" s="3">
        <f>IF(OR(C464="",D464=""),"",IF(D464=1,C464,ROUND(C464*(1+D464/30),1)))</f>
        <v/>
      </c>
      <c r="F464" s="4" t="n"/>
    </row>
    <row r="465">
      <c r="A465" s="9" t="n"/>
      <c r="B465" s="4" t="n"/>
      <c r="C465" s="4" t="n"/>
      <c r="D465" s="4" t="n"/>
      <c r="E465" s="3">
        <f>IF(OR(C465="",D465=""),"",IF(D465=1,C465,ROUND(C465*(1+D465/30),1)))</f>
        <v/>
      </c>
      <c r="F465" s="4" t="n"/>
    </row>
    <row r="466">
      <c r="A466" s="9" t="n"/>
      <c r="B466" s="4" t="n"/>
      <c r="C466" s="4" t="n"/>
      <c r="D466" s="4" t="n"/>
      <c r="E466" s="3">
        <f>IF(OR(C466="",D466=""),"",IF(D466=1,C466,ROUND(C466*(1+D466/30),1)))</f>
        <v/>
      </c>
      <c r="F466" s="4" t="n"/>
    </row>
    <row r="467">
      <c r="A467" s="9" t="n"/>
      <c r="B467" s="4" t="n"/>
      <c r="C467" s="4" t="n"/>
      <c r="D467" s="4" t="n"/>
      <c r="E467" s="3">
        <f>IF(OR(C467="",D467=""),"",IF(D467=1,C467,ROUND(C467*(1+D467/30),1)))</f>
        <v/>
      </c>
      <c r="F467" s="4" t="n"/>
    </row>
    <row r="468">
      <c r="A468" s="9" t="n"/>
      <c r="B468" s="4" t="n"/>
      <c r="C468" s="4" t="n"/>
      <c r="D468" s="4" t="n"/>
      <c r="E468" s="3">
        <f>IF(OR(C468="",D468=""),"",IF(D468=1,C468,ROUND(C468*(1+D468/30),1)))</f>
        <v/>
      </c>
      <c r="F468" s="4" t="n"/>
    </row>
    <row r="469">
      <c r="A469" s="9" t="n"/>
      <c r="B469" s="4" t="n"/>
      <c r="C469" s="4" t="n"/>
      <c r="D469" s="4" t="n"/>
      <c r="E469" s="3">
        <f>IF(OR(C469="",D469=""),"",IF(D469=1,C469,ROUND(C469*(1+D469/30),1)))</f>
        <v/>
      </c>
      <c r="F469" s="4" t="n"/>
    </row>
    <row r="470">
      <c r="A470" s="9" t="n"/>
      <c r="B470" s="4" t="n"/>
      <c r="C470" s="4" t="n"/>
      <c r="D470" s="4" t="n"/>
      <c r="E470" s="3">
        <f>IF(OR(C470="",D470=""),"",IF(D470=1,C470,ROUND(C470*(1+D470/30),1)))</f>
        <v/>
      </c>
      <c r="F470" s="4" t="n"/>
    </row>
    <row r="471">
      <c r="A471" s="9" t="n"/>
      <c r="B471" s="4" t="n"/>
      <c r="C471" s="4" t="n"/>
      <c r="D471" s="4" t="n"/>
      <c r="E471" s="3">
        <f>IF(OR(C471="",D471=""),"",IF(D471=1,C471,ROUND(C471*(1+D471/30),1)))</f>
        <v/>
      </c>
      <c r="F471" s="4" t="n"/>
    </row>
    <row r="472">
      <c r="A472" s="9" t="n"/>
      <c r="B472" s="4" t="n"/>
      <c r="C472" s="4" t="n"/>
      <c r="D472" s="4" t="n"/>
      <c r="E472" s="3">
        <f>IF(OR(C472="",D472=""),"",IF(D472=1,C472,ROUND(C472*(1+D472/30),1)))</f>
        <v/>
      </c>
      <c r="F472" s="4" t="n"/>
    </row>
    <row r="473">
      <c r="A473" s="9" t="n"/>
      <c r="B473" s="4" t="n"/>
      <c r="C473" s="4" t="n"/>
      <c r="D473" s="4" t="n"/>
      <c r="E473" s="3">
        <f>IF(OR(C473="",D473=""),"",IF(D473=1,C473,ROUND(C473*(1+D473/30),1)))</f>
        <v/>
      </c>
      <c r="F473" s="4" t="n"/>
    </row>
    <row r="474">
      <c r="A474" s="9" t="n"/>
      <c r="B474" s="4" t="n"/>
      <c r="C474" s="4" t="n"/>
      <c r="D474" s="4" t="n"/>
      <c r="E474" s="3">
        <f>IF(OR(C474="",D474=""),"",IF(D474=1,C474,ROUND(C474*(1+D474/30),1)))</f>
        <v/>
      </c>
      <c r="F474" s="4" t="n"/>
    </row>
    <row r="475">
      <c r="A475" s="9" t="n"/>
      <c r="B475" s="4" t="n"/>
      <c r="C475" s="4" t="n"/>
      <c r="D475" s="4" t="n"/>
      <c r="E475" s="3">
        <f>IF(OR(C475="",D475=""),"",IF(D475=1,C475,ROUND(C475*(1+D475/30),1)))</f>
        <v/>
      </c>
      <c r="F475" s="4" t="n"/>
    </row>
    <row r="476">
      <c r="A476" s="9" t="n"/>
      <c r="B476" s="4" t="n"/>
      <c r="C476" s="4" t="n"/>
      <c r="D476" s="4" t="n"/>
      <c r="E476" s="3">
        <f>IF(OR(C476="",D476=""),"",IF(D476=1,C476,ROUND(C476*(1+D476/30),1)))</f>
        <v/>
      </c>
      <c r="F476" s="4" t="n"/>
    </row>
    <row r="477">
      <c r="A477" s="9" t="n"/>
      <c r="B477" s="4" t="n"/>
      <c r="C477" s="4" t="n"/>
      <c r="D477" s="4" t="n"/>
      <c r="E477" s="3">
        <f>IF(OR(C477="",D477=""),"",IF(D477=1,C477,ROUND(C477*(1+D477/30),1)))</f>
        <v/>
      </c>
      <c r="F477" s="4" t="n"/>
    </row>
    <row r="478">
      <c r="A478" s="9" t="n"/>
      <c r="B478" s="4" t="n"/>
      <c r="C478" s="4" t="n"/>
      <c r="D478" s="4" t="n"/>
      <c r="E478" s="3">
        <f>IF(OR(C478="",D478=""),"",IF(D478=1,C478,ROUND(C478*(1+D478/30),1)))</f>
        <v/>
      </c>
      <c r="F478" s="4" t="n"/>
    </row>
    <row r="479">
      <c r="A479" s="9" t="n"/>
      <c r="B479" s="4" t="n"/>
      <c r="C479" s="4" t="n"/>
      <c r="D479" s="4" t="n"/>
      <c r="E479" s="3">
        <f>IF(OR(C479="",D479=""),"",IF(D479=1,C479,ROUND(C479*(1+D479/30),1)))</f>
        <v/>
      </c>
      <c r="F479" s="4" t="n"/>
    </row>
    <row r="480">
      <c r="A480" s="9" t="n"/>
      <c r="B480" s="4" t="n"/>
      <c r="C480" s="4" t="n"/>
      <c r="D480" s="4" t="n"/>
      <c r="E480" s="3">
        <f>IF(OR(C480="",D480=""),"",IF(D480=1,C480,ROUND(C480*(1+D480/30),1)))</f>
        <v/>
      </c>
      <c r="F480" s="4" t="n"/>
    </row>
    <row r="481">
      <c r="A481" s="9" t="n"/>
      <c r="B481" s="4" t="n"/>
      <c r="C481" s="4" t="n"/>
      <c r="D481" s="4" t="n"/>
      <c r="E481" s="3">
        <f>IF(OR(C481="",D481=""),"",IF(D481=1,C481,ROUND(C481*(1+D481/30),1)))</f>
        <v/>
      </c>
      <c r="F481" s="4" t="n"/>
    </row>
    <row r="482">
      <c r="A482" s="9" t="n"/>
      <c r="B482" s="4" t="n"/>
      <c r="C482" s="4" t="n"/>
      <c r="D482" s="4" t="n"/>
      <c r="E482" s="3">
        <f>IF(OR(C482="",D482=""),"",IF(D482=1,C482,ROUND(C482*(1+D482/30),1)))</f>
        <v/>
      </c>
      <c r="F482" s="4" t="n"/>
    </row>
    <row r="483">
      <c r="A483" s="9" t="n"/>
      <c r="B483" s="4" t="n"/>
      <c r="C483" s="4" t="n"/>
      <c r="D483" s="4" t="n"/>
      <c r="E483" s="3">
        <f>IF(OR(C483="",D483=""),"",IF(D483=1,C483,ROUND(C483*(1+D483/30),1)))</f>
        <v/>
      </c>
      <c r="F483" s="4" t="n"/>
    </row>
    <row r="484">
      <c r="A484" s="9" t="n"/>
      <c r="B484" s="4" t="n"/>
      <c r="C484" s="4" t="n"/>
      <c r="D484" s="4" t="n"/>
      <c r="E484" s="3">
        <f>IF(OR(C484="",D484=""),"",IF(D484=1,C484,ROUND(C484*(1+D484/30),1)))</f>
        <v/>
      </c>
      <c r="F484" s="4" t="n"/>
    </row>
    <row r="485">
      <c r="A485" s="9" t="n"/>
      <c r="B485" s="4" t="n"/>
      <c r="C485" s="4" t="n"/>
      <c r="D485" s="4" t="n"/>
      <c r="E485" s="3">
        <f>IF(OR(C485="",D485=""),"",IF(D485=1,C485,ROUND(C485*(1+D485/30),1)))</f>
        <v/>
      </c>
      <c r="F485" s="4" t="n"/>
    </row>
    <row r="486">
      <c r="A486" s="9" t="n"/>
      <c r="B486" s="4" t="n"/>
      <c r="C486" s="4" t="n"/>
      <c r="D486" s="4" t="n"/>
      <c r="E486" s="3">
        <f>IF(OR(C486="",D486=""),"",IF(D486=1,C486,ROUND(C486*(1+D486/30),1)))</f>
        <v/>
      </c>
      <c r="F486" s="4" t="n"/>
    </row>
    <row r="487">
      <c r="A487" s="9" t="n"/>
      <c r="B487" s="4" t="n"/>
      <c r="C487" s="4" t="n"/>
      <c r="D487" s="4" t="n"/>
      <c r="E487" s="3">
        <f>IF(OR(C487="",D487=""),"",IF(D487=1,C487,ROUND(C487*(1+D487/30),1)))</f>
        <v/>
      </c>
      <c r="F487" s="4" t="n"/>
    </row>
    <row r="488">
      <c r="A488" s="9" t="n"/>
      <c r="B488" s="4" t="n"/>
      <c r="C488" s="4" t="n"/>
      <c r="D488" s="4" t="n"/>
      <c r="E488" s="3">
        <f>IF(OR(C488="",D488=""),"",IF(D488=1,C488,ROUND(C488*(1+D488/30),1)))</f>
        <v/>
      </c>
      <c r="F488" s="4" t="n"/>
    </row>
    <row r="489">
      <c r="A489" s="9" t="n"/>
      <c r="B489" s="4" t="n"/>
      <c r="C489" s="4" t="n"/>
      <c r="D489" s="4" t="n"/>
      <c r="E489" s="3">
        <f>IF(OR(C489="",D489=""),"",IF(D489=1,C489,ROUND(C489*(1+D489/30),1)))</f>
        <v/>
      </c>
      <c r="F489" s="4" t="n"/>
    </row>
    <row r="490">
      <c r="A490" s="9" t="n"/>
      <c r="B490" s="4" t="n"/>
      <c r="C490" s="4" t="n"/>
      <c r="D490" s="4" t="n"/>
      <c r="E490" s="3">
        <f>IF(OR(C490="",D490=""),"",IF(D490=1,C490,ROUND(C490*(1+D490/30),1)))</f>
        <v/>
      </c>
      <c r="F490" s="4" t="n"/>
    </row>
    <row r="491">
      <c r="A491" s="9" t="n"/>
      <c r="B491" s="4" t="n"/>
      <c r="C491" s="4" t="n"/>
      <c r="D491" s="4" t="n"/>
      <c r="E491" s="3">
        <f>IF(OR(C491="",D491=""),"",IF(D491=1,C491,ROUND(C491*(1+D491/30),1)))</f>
        <v/>
      </c>
      <c r="F491" s="4" t="n"/>
    </row>
    <row r="492">
      <c r="A492" s="9" t="n"/>
      <c r="B492" s="4" t="n"/>
      <c r="C492" s="4" t="n"/>
      <c r="D492" s="4" t="n"/>
      <c r="E492" s="3">
        <f>IF(OR(C492="",D492=""),"",IF(D492=1,C492,ROUND(C492*(1+D492/30),1)))</f>
        <v/>
      </c>
      <c r="F492" s="4" t="n"/>
    </row>
    <row r="493">
      <c r="A493" s="9" t="n"/>
      <c r="B493" s="4" t="n"/>
      <c r="C493" s="4" t="n"/>
      <c r="D493" s="4" t="n"/>
      <c r="E493" s="3">
        <f>IF(OR(C493="",D493=""),"",IF(D493=1,C493,ROUND(C493*(1+D493/30),1)))</f>
        <v/>
      </c>
      <c r="F493" s="4" t="n"/>
    </row>
    <row r="494">
      <c r="A494" s="9" t="n"/>
      <c r="B494" s="4" t="n"/>
      <c r="C494" s="4" t="n"/>
      <c r="D494" s="4" t="n"/>
      <c r="E494" s="3">
        <f>IF(OR(C494="",D494=""),"",IF(D494=1,C494,ROUND(C494*(1+D494/30),1)))</f>
        <v/>
      </c>
      <c r="F494" s="4" t="n"/>
    </row>
    <row r="495">
      <c r="A495" s="9" t="n"/>
      <c r="B495" s="4" t="n"/>
      <c r="C495" s="4" t="n"/>
      <c r="D495" s="4" t="n"/>
      <c r="E495" s="3">
        <f>IF(OR(C495="",D495=""),"",IF(D495=1,C495,ROUND(C495*(1+D495/30),1)))</f>
        <v/>
      </c>
      <c r="F495" s="4" t="n"/>
    </row>
    <row r="496">
      <c r="A496" s="9" t="n"/>
      <c r="B496" s="4" t="n"/>
      <c r="C496" s="4" t="n"/>
      <c r="D496" s="4" t="n"/>
      <c r="E496" s="3">
        <f>IF(OR(C496="",D496=""),"",IF(D496=1,C496,ROUND(C496*(1+D496/30),1)))</f>
        <v/>
      </c>
      <c r="F496" s="4" t="n"/>
    </row>
    <row r="497">
      <c r="A497" s="9" t="n"/>
      <c r="B497" s="4" t="n"/>
      <c r="C497" s="4" t="n"/>
      <c r="D497" s="4" t="n"/>
      <c r="E497" s="3">
        <f>IF(OR(C497="",D497=""),"",IF(D497=1,C497,ROUND(C497*(1+D497/30),1)))</f>
        <v/>
      </c>
      <c r="F497" s="4" t="n"/>
    </row>
    <row r="498">
      <c r="A498" s="9" t="n"/>
      <c r="B498" s="4" t="n"/>
      <c r="C498" s="4" t="n"/>
      <c r="D498" s="4" t="n"/>
      <c r="E498" s="3">
        <f>IF(OR(C498="",D498=""),"",IF(D498=1,C498,ROUND(C498*(1+D498/30),1)))</f>
        <v/>
      </c>
      <c r="F498" s="4" t="n"/>
    </row>
    <row r="499">
      <c r="A499" s="9" t="n"/>
      <c r="B499" s="4" t="n"/>
      <c r="C499" s="4" t="n"/>
      <c r="D499" s="4" t="n"/>
      <c r="E499" s="3">
        <f>IF(OR(C499="",D499=""),"",IF(D499=1,C499,ROUND(C499*(1+D499/30),1)))</f>
        <v/>
      </c>
      <c r="F499" s="4" t="n"/>
    </row>
    <row r="500">
      <c r="A500" s="9" t="n"/>
      <c r="B500" s="4" t="n"/>
      <c r="C500" s="4" t="n"/>
      <c r="D500" s="4" t="n"/>
      <c r="E500" s="3">
        <f>IF(OR(C500="",D500=""),"",IF(D500=1,C500,ROUND(C500*(1+D500/30),1)))</f>
        <v/>
      </c>
      <c r="F500" s="4" t="n"/>
    </row>
    <row r="501">
      <c r="A501" s="9" t="n"/>
      <c r="B501" s="4" t="n"/>
      <c r="C501" s="4" t="n"/>
      <c r="D501" s="4" t="n"/>
      <c r="E501" s="3">
        <f>IF(OR(C501="",D501=""),"",IF(D501=1,C501,ROUND(C501*(1+D501/30),1)))</f>
        <v/>
      </c>
      <c r="F501" s="4" t="n"/>
    </row>
    <row r="502">
      <c r="A502" s="9" t="n"/>
      <c r="B502" s="4" t="n"/>
      <c r="C502" s="4" t="n"/>
      <c r="D502" s="4" t="n"/>
      <c r="E502" s="3">
        <f>IF(OR(C502="",D502=""),"",IF(D502=1,C502,ROUND(C502*(1+D502/30),1)))</f>
        <v/>
      </c>
      <c r="F502" s="4" t="n"/>
    </row>
    <row r="503">
      <c r="A503" s="9" t="n"/>
      <c r="B503" s="4" t="n"/>
      <c r="C503" s="4" t="n"/>
      <c r="D503" s="4" t="n"/>
      <c r="E503" s="3">
        <f>IF(OR(C503="",D503=""),"",IF(D503=1,C503,ROUND(C503*(1+D503/30),1)))</f>
        <v/>
      </c>
      <c r="F503" s="4" t="n"/>
    </row>
    <row r="504">
      <c r="A504" s="9" t="n"/>
      <c r="B504" s="4" t="n"/>
      <c r="C504" s="4" t="n"/>
      <c r="D504" s="4" t="n"/>
      <c r="E504" s="3">
        <f>IF(OR(C504="",D504=""),"",IF(D504=1,C504,ROUND(C504*(1+D504/30),1)))</f>
        <v/>
      </c>
      <c r="F504" s="4" t="n"/>
    </row>
    <row r="505">
      <c r="A505" s="9" t="n"/>
      <c r="B505" s="4" t="n"/>
      <c r="C505" s="4" t="n"/>
      <c r="D505" s="4" t="n"/>
      <c r="E505" s="3">
        <f>IF(OR(C505="",D505=""),"",IF(D505=1,C505,ROUND(C505*(1+D505/30),1)))</f>
        <v/>
      </c>
      <c r="F505" s="4" t="n"/>
    </row>
    <row r="506">
      <c r="A506" s="9" t="n"/>
      <c r="B506" s="4" t="n"/>
      <c r="C506" s="4" t="n"/>
      <c r="D506" s="4" t="n"/>
      <c r="E506" s="3">
        <f>IF(OR(C506="",D506=""),"",IF(D506=1,C506,ROUND(C506*(1+D506/30),1)))</f>
        <v/>
      </c>
      <c r="F506" s="4" t="n"/>
    </row>
    <row r="507">
      <c r="A507" s="9" t="n"/>
      <c r="B507" s="4" t="n"/>
      <c r="C507" s="4" t="n"/>
      <c r="D507" s="4" t="n"/>
      <c r="E507" s="3">
        <f>IF(OR(C507="",D507=""),"",IF(D507=1,C507,ROUND(C507*(1+D507/30),1)))</f>
        <v/>
      </c>
      <c r="F507" s="4" t="n"/>
    </row>
    <row r="508">
      <c r="A508" s="9" t="n"/>
      <c r="B508" s="4" t="n"/>
      <c r="C508" s="4" t="n"/>
      <c r="D508" s="4" t="n"/>
      <c r="E508" s="3">
        <f>IF(OR(C508="",D508=""),"",IF(D508=1,C508,ROUND(C508*(1+D508/30),1)))</f>
        <v/>
      </c>
      <c r="F508" s="4" t="n"/>
    </row>
    <row r="509">
      <c r="A509" s="9" t="n"/>
      <c r="B509" s="4" t="n"/>
      <c r="C509" s="4" t="n"/>
      <c r="D509" s="4" t="n"/>
      <c r="E509" s="3">
        <f>IF(OR(C509="",D509=""),"",IF(D509=1,C509,ROUND(C509*(1+D509/30),1)))</f>
        <v/>
      </c>
      <c r="F509" s="4" t="n"/>
    </row>
    <row r="510">
      <c r="A510" s="9" t="n"/>
      <c r="B510" s="4" t="n"/>
      <c r="C510" s="4" t="n"/>
      <c r="D510" s="4" t="n"/>
      <c r="E510" s="3">
        <f>IF(OR(C510="",D510=""),"",IF(D510=1,C510,ROUND(C510*(1+D510/30),1)))</f>
        <v/>
      </c>
      <c r="F510" s="4" t="n"/>
    </row>
    <row r="511">
      <c r="A511" s="9" t="n"/>
      <c r="B511" s="4" t="n"/>
      <c r="C511" s="4" t="n"/>
      <c r="D511" s="4" t="n"/>
      <c r="E511" s="3">
        <f>IF(OR(C511="",D511=""),"",IF(D511=1,C511,ROUND(C511*(1+D511/30),1)))</f>
        <v/>
      </c>
      <c r="F511" s="4" t="n"/>
    </row>
    <row r="512">
      <c r="A512" s="9" t="n"/>
      <c r="B512" s="4" t="n"/>
      <c r="C512" s="4" t="n"/>
      <c r="D512" s="4" t="n"/>
      <c r="E512" s="3">
        <f>IF(OR(C512="",D512=""),"",IF(D512=1,C512,ROUND(C512*(1+D512/30),1)))</f>
        <v/>
      </c>
      <c r="F512" s="4" t="n"/>
    </row>
    <row r="513">
      <c r="A513" s="9" t="n"/>
      <c r="B513" s="4" t="n"/>
      <c r="C513" s="4" t="n"/>
      <c r="D513" s="4" t="n"/>
      <c r="E513" s="3">
        <f>IF(OR(C513="",D513=""),"",IF(D513=1,C513,ROUND(C513*(1+D513/30),1)))</f>
        <v/>
      </c>
      <c r="F513" s="4" t="n"/>
    </row>
    <row r="514">
      <c r="A514" s="9" t="n"/>
      <c r="B514" s="4" t="n"/>
      <c r="C514" s="4" t="n"/>
      <c r="D514" s="4" t="n"/>
      <c r="E514" s="3">
        <f>IF(OR(C514="",D514=""),"",IF(D514=1,C514,ROUND(C514*(1+D514/30),1)))</f>
        <v/>
      </c>
      <c r="F514" s="4" t="n"/>
    </row>
    <row r="515">
      <c r="A515" s="9" t="n"/>
      <c r="B515" s="4" t="n"/>
      <c r="C515" s="4" t="n"/>
      <c r="D515" s="4" t="n"/>
      <c r="E515" s="3">
        <f>IF(OR(C515="",D515=""),"",IF(D515=1,C515,ROUND(C515*(1+D515/30),1)))</f>
        <v/>
      </c>
      <c r="F515" s="4" t="n"/>
    </row>
    <row r="516">
      <c r="A516" s="9" t="n"/>
      <c r="B516" s="4" t="n"/>
      <c r="C516" s="4" t="n"/>
      <c r="D516" s="4" t="n"/>
      <c r="E516" s="3">
        <f>IF(OR(C516="",D516=""),"",IF(D516=1,C516,ROUND(C516*(1+D516/30),1)))</f>
        <v/>
      </c>
      <c r="F516" s="4" t="n"/>
    </row>
    <row r="517">
      <c r="A517" s="9" t="n"/>
      <c r="B517" s="4" t="n"/>
      <c r="C517" s="4" t="n"/>
      <c r="D517" s="4" t="n"/>
      <c r="E517" s="3">
        <f>IF(OR(C517="",D517=""),"",IF(D517=1,C517,ROUND(C517*(1+D517/30),1)))</f>
        <v/>
      </c>
      <c r="F517" s="4" t="n"/>
    </row>
    <row r="518">
      <c r="A518" s="9" t="n"/>
      <c r="B518" s="4" t="n"/>
      <c r="C518" s="4" t="n"/>
      <c r="D518" s="4" t="n"/>
      <c r="E518" s="3">
        <f>IF(OR(C518="",D518=""),"",IF(D518=1,C518,ROUND(C518*(1+D518/30),1)))</f>
        <v/>
      </c>
      <c r="F518" s="4" t="n"/>
    </row>
    <row r="519">
      <c r="A519" s="9" t="n"/>
      <c r="B519" s="4" t="n"/>
      <c r="C519" s="4" t="n"/>
      <c r="D519" s="4" t="n"/>
      <c r="E519" s="3">
        <f>IF(OR(C519="",D519=""),"",IF(D519=1,C519,ROUND(C519*(1+D519/30),1)))</f>
        <v/>
      </c>
      <c r="F519" s="4" t="n"/>
    </row>
    <row r="520">
      <c r="A520" s="9" t="n"/>
      <c r="B520" s="4" t="n"/>
      <c r="C520" s="4" t="n"/>
      <c r="D520" s="4" t="n"/>
      <c r="E520" s="3">
        <f>IF(OR(C520="",D520=""),"",IF(D520=1,C520,ROUND(C520*(1+D520/30),1)))</f>
        <v/>
      </c>
      <c r="F520" s="4" t="n"/>
    </row>
    <row r="521">
      <c r="A521" s="9" t="n"/>
      <c r="B521" s="4" t="n"/>
      <c r="C521" s="4" t="n"/>
      <c r="D521" s="4" t="n"/>
      <c r="E521" s="3">
        <f>IF(OR(C521="",D521=""),"",IF(D521=1,C521,ROUND(C521*(1+D521/30),1)))</f>
        <v/>
      </c>
      <c r="F521" s="4" t="n"/>
    </row>
    <row r="522">
      <c r="A522" s="9" t="n"/>
      <c r="B522" s="4" t="n"/>
      <c r="C522" s="4" t="n"/>
      <c r="D522" s="4" t="n"/>
      <c r="E522" s="3">
        <f>IF(OR(C522="",D522=""),"",IF(D522=1,C522,ROUND(C522*(1+D522/30),1)))</f>
        <v/>
      </c>
      <c r="F522" s="4" t="n"/>
    </row>
    <row r="523">
      <c r="A523" s="9" t="n"/>
      <c r="B523" s="4" t="n"/>
      <c r="C523" s="4" t="n"/>
      <c r="D523" s="4" t="n"/>
      <c r="E523" s="3">
        <f>IF(OR(C523="",D523=""),"",IF(D523=1,C523,ROUND(C523*(1+D523/30),1)))</f>
        <v/>
      </c>
      <c r="F523" s="4" t="n"/>
    </row>
    <row r="524">
      <c r="A524" s="9" t="n"/>
      <c r="B524" s="4" t="n"/>
      <c r="C524" s="4" t="n"/>
      <c r="D524" s="4" t="n"/>
      <c r="E524" s="3">
        <f>IF(OR(C524="",D524=""),"",IF(D524=1,C524,ROUND(C524*(1+D524/30),1)))</f>
        <v/>
      </c>
      <c r="F524" s="4" t="n"/>
    </row>
    <row r="525">
      <c r="A525" s="9" t="n"/>
      <c r="B525" s="4" t="n"/>
      <c r="C525" s="4" t="n"/>
      <c r="D525" s="4" t="n"/>
      <c r="E525" s="3">
        <f>IF(OR(C525="",D525=""),"",IF(D525=1,C525,ROUND(C525*(1+D525/30),1)))</f>
        <v/>
      </c>
      <c r="F525" s="4" t="n"/>
    </row>
    <row r="526">
      <c r="A526" s="9" t="n"/>
      <c r="B526" s="4" t="n"/>
      <c r="C526" s="4" t="n"/>
      <c r="D526" s="4" t="n"/>
      <c r="E526" s="3">
        <f>IF(OR(C526="",D526=""),"",IF(D526=1,C526,ROUND(C526*(1+D526/30),1)))</f>
        <v/>
      </c>
      <c r="F526" s="4" t="n"/>
    </row>
    <row r="527">
      <c r="A527" s="9" t="n"/>
      <c r="B527" s="4" t="n"/>
      <c r="C527" s="4" t="n"/>
      <c r="D527" s="4" t="n"/>
      <c r="E527" s="3">
        <f>IF(OR(C527="",D527=""),"",IF(D527=1,C527,ROUND(C527*(1+D527/30),1)))</f>
        <v/>
      </c>
      <c r="F527" s="4" t="n"/>
    </row>
    <row r="528">
      <c r="A528" s="9" t="n"/>
      <c r="B528" s="4" t="n"/>
      <c r="C528" s="4" t="n"/>
      <c r="D528" s="4" t="n"/>
      <c r="E528" s="3">
        <f>IF(OR(C528="",D528=""),"",IF(D528=1,C528,ROUND(C528*(1+D528/30),1)))</f>
        <v/>
      </c>
      <c r="F528" s="4" t="n"/>
    </row>
    <row r="529">
      <c r="A529" s="9" t="n"/>
      <c r="B529" s="4" t="n"/>
      <c r="C529" s="4" t="n"/>
      <c r="D529" s="4" t="n"/>
      <c r="E529" s="3">
        <f>IF(OR(C529="",D529=""),"",IF(D529=1,C529,ROUND(C529*(1+D529/30),1)))</f>
        <v/>
      </c>
      <c r="F529" s="4" t="n"/>
    </row>
    <row r="530">
      <c r="A530" s="9" t="n"/>
      <c r="B530" s="4" t="n"/>
      <c r="C530" s="4" t="n"/>
      <c r="D530" s="4" t="n"/>
      <c r="E530" s="3">
        <f>IF(OR(C530="",D530=""),"",IF(D530=1,C530,ROUND(C530*(1+D530/30),1)))</f>
        <v/>
      </c>
      <c r="F530" s="4" t="n"/>
    </row>
    <row r="531">
      <c r="A531" s="9" t="n"/>
      <c r="B531" s="4" t="n"/>
      <c r="C531" s="4" t="n"/>
      <c r="D531" s="4" t="n"/>
      <c r="E531" s="3">
        <f>IF(OR(C531="",D531=""),"",IF(D531=1,C531,ROUND(C531*(1+D531/30),1)))</f>
        <v/>
      </c>
      <c r="F531" s="4" t="n"/>
    </row>
    <row r="532">
      <c r="A532" s="9" t="n"/>
      <c r="B532" s="4" t="n"/>
      <c r="C532" s="4" t="n"/>
      <c r="D532" s="4" t="n"/>
      <c r="E532" s="3">
        <f>IF(OR(C532="",D532=""),"",IF(D532=1,C532,ROUND(C532*(1+D532/30),1)))</f>
        <v/>
      </c>
      <c r="F532" s="4" t="n"/>
    </row>
    <row r="533">
      <c r="A533" s="9" t="n"/>
      <c r="B533" s="4" t="n"/>
      <c r="C533" s="4" t="n"/>
      <c r="D533" s="4" t="n"/>
      <c r="E533" s="3">
        <f>IF(OR(C533="",D533=""),"",IF(D533=1,C533,ROUND(C533*(1+D533/30),1)))</f>
        <v/>
      </c>
      <c r="F533" s="4" t="n"/>
    </row>
    <row r="534">
      <c r="A534" s="9" t="n"/>
      <c r="B534" s="4" t="n"/>
      <c r="C534" s="4" t="n"/>
      <c r="D534" s="4" t="n"/>
      <c r="E534" s="3">
        <f>IF(OR(C534="",D534=""),"",IF(D534=1,C534,ROUND(C534*(1+D534/30),1)))</f>
        <v/>
      </c>
      <c r="F534" s="4" t="n"/>
    </row>
    <row r="535">
      <c r="A535" s="9" t="n"/>
      <c r="B535" s="4" t="n"/>
      <c r="C535" s="4" t="n"/>
      <c r="D535" s="4" t="n"/>
      <c r="E535" s="3">
        <f>IF(OR(C535="",D535=""),"",IF(D535=1,C535,ROUND(C535*(1+D535/30),1)))</f>
        <v/>
      </c>
      <c r="F535" s="4" t="n"/>
    </row>
    <row r="536">
      <c r="A536" s="9" t="n"/>
      <c r="B536" s="4" t="n"/>
      <c r="C536" s="4" t="n"/>
      <c r="D536" s="4" t="n"/>
      <c r="E536" s="3">
        <f>IF(OR(C536="",D536=""),"",IF(D536=1,C536,ROUND(C536*(1+D536/30),1)))</f>
        <v/>
      </c>
      <c r="F536" s="4" t="n"/>
    </row>
    <row r="537">
      <c r="A537" s="9" t="n"/>
      <c r="B537" s="4" t="n"/>
      <c r="C537" s="4" t="n"/>
      <c r="D537" s="4" t="n"/>
      <c r="E537" s="3">
        <f>IF(OR(C537="",D537=""),"",IF(D537=1,C537,ROUND(C537*(1+D537/30),1)))</f>
        <v/>
      </c>
      <c r="F537" s="4" t="n"/>
    </row>
    <row r="538">
      <c r="A538" s="9" t="n"/>
      <c r="B538" s="4" t="n"/>
      <c r="C538" s="4" t="n"/>
      <c r="D538" s="4" t="n"/>
      <c r="E538" s="3">
        <f>IF(OR(C538="",D538=""),"",IF(D538=1,C538,ROUND(C538*(1+D538/30),1)))</f>
        <v/>
      </c>
      <c r="F538" s="4" t="n"/>
    </row>
    <row r="539">
      <c r="A539" s="9" t="n"/>
      <c r="B539" s="4" t="n"/>
      <c r="C539" s="4" t="n"/>
      <c r="D539" s="4" t="n"/>
      <c r="E539" s="3">
        <f>IF(OR(C539="",D539=""),"",IF(D539=1,C539,ROUND(C539*(1+D539/30),1)))</f>
        <v/>
      </c>
      <c r="F539" s="4" t="n"/>
    </row>
    <row r="540">
      <c r="A540" s="9" t="n"/>
      <c r="B540" s="4" t="n"/>
      <c r="C540" s="4" t="n"/>
      <c r="D540" s="4" t="n"/>
      <c r="E540" s="3">
        <f>IF(OR(C540="",D540=""),"",IF(D540=1,C540,ROUND(C540*(1+D540/30),1)))</f>
        <v/>
      </c>
      <c r="F540" s="4" t="n"/>
    </row>
    <row r="541">
      <c r="A541" s="9" t="n"/>
      <c r="B541" s="4" t="n"/>
      <c r="C541" s="4" t="n"/>
      <c r="D541" s="4" t="n"/>
      <c r="E541" s="3">
        <f>IF(OR(C541="",D541=""),"",IF(D541=1,C541,ROUND(C541*(1+D541/30),1)))</f>
        <v/>
      </c>
      <c r="F541" s="4" t="n"/>
    </row>
    <row r="542">
      <c r="A542" s="9" t="n"/>
      <c r="B542" s="4" t="n"/>
      <c r="C542" s="4" t="n"/>
      <c r="D542" s="4" t="n"/>
      <c r="E542" s="3">
        <f>IF(OR(C542="",D542=""),"",IF(D542=1,C542,ROUND(C542*(1+D542/30),1)))</f>
        <v/>
      </c>
      <c r="F542" s="4" t="n"/>
    </row>
    <row r="543">
      <c r="A543" s="9" t="n"/>
      <c r="B543" s="4" t="n"/>
      <c r="C543" s="4" t="n"/>
      <c r="D543" s="4" t="n"/>
      <c r="E543" s="3">
        <f>IF(OR(C543="",D543=""),"",IF(D543=1,C543,ROUND(C543*(1+D543/30),1)))</f>
        <v/>
      </c>
      <c r="F543" s="4" t="n"/>
    </row>
    <row r="544">
      <c r="A544" s="9" t="n"/>
      <c r="B544" s="4" t="n"/>
      <c r="C544" s="4" t="n"/>
      <c r="D544" s="4" t="n"/>
      <c r="E544" s="3">
        <f>IF(OR(C544="",D544=""),"",IF(D544=1,C544,ROUND(C544*(1+D544/30),1)))</f>
        <v/>
      </c>
      <c r="F544" s="4" t="n"/>
    </row>
    <row r="545">
      <c r="A545" s="9" t="n"/>
      <c r="B545" s="4" t="n"/>
      <c r="C545" s="4" t="n"/>
      <c r="D545" s="4" t="n"/>
      <c r="E545" s="3">
        <f>IF(OR(C545="",D545=""),"",IF(D545=1,C545,ROUND(C545*(1+D545/30),1)))</f>
        <v/>
      </c>
      <c r="F545" s="4" t="n"/>
    </row>
    <row r="546">
      <c r="A546" s="9" t="n"/>
      <c r="B546" s="4" t="n"/>
      <c r="C546" s="4" t="n"/>
      <c r="D546" s="4" t="n"/>
      <c r="E546" s="3">
        <f>IF(OR(C546="",D546=""),"",IF(D546=1,C546,ROUND(C546*(1+D546/30),1)))</f>
        <v/>
      </c>
      <c r="F546" s="4" t="n"/>
    </row>
    <row r="547">
      <c r="A547" s="9" t="n"/>
      <c r="B547" s="4" t="n"/>
      <c r="C547" s="4" t="n"/>
      <c r="D547" s="4" t="n"/>
      <c r="E547" s="3">
        <f>IF(OR(C547="",D547=""),"",IF(D547=1,C547,ROUND(C547*(1+D547/30),1)))</f>
        <v/>
      </c>
      <c r="F547" s="4" t="n"/>
    </row>
    <row r="548">
      <c r="A548" s="9" t="n"/>
      <c r="B548" s="4" t="n"/>
      <c r="C548" s="4" t="n"/>
      <c r="D548" s="4" t="n"/>
      <c r="E548" s="3">
        <f>IF(OR(C548="",D548=""),"",IF(D548=1,C548,ROUND(C548*(1+D548/30),1)))</f>
        <v/>
      </c>
      <c r="F548" s="4" t="n"/>
    </row>
    <row r="549">
      <c r="A549" s="9" t="n"/>
      <c r="B549" s="4" t="n"/>
      <c r="C549" s="4" t="n"/>
      <c r="D549" s="4" t="n"/>
      <c r="E549" s="3">
        <f>IF(OR(C549="",D549=""),"",IF(D549=1,C549,ROUND(C549*(1+D549/30),1)))</f>
        <v/>
      </c>
      <c r="F549" s="4" t="n"/>
    </row>
    <row r="550">
      <c r="A550" s="9" t="n"/>
      <c r="B550" s="4" t="n"/>
      <c r="C550" s="4" t="n"/>
      <c r="D550" s="4" t="n"/>
      <c r="E550" s="3">
        <f>IF(OR(C550="",D550=""),"",IF(D550=1,C550,ROUND(C550*(1+D550/30),1)))</f>
        <v/>
      </c>
      <c r="F550" s="4" t="n"/>
    </row>
    <row r="551">
      <c r="A551" s="9" t="n"/>
      <c r="B551" s="4" t="n"/>
      <c r="C551" s="4" t="n"/>
      <c r="D551" s="4" t="n"/>
      <c r="E551" s="3">
        <f>IF(OR(C551="",D551=""),"",IF(D551=1,C551,ROUND(C551*(1+D551/30),1)))</f>
        <v/>
      </c>
      <c r="F551" s="4" t="n"/>
    </row>
    <row r="552">
      <c r="A552" s="9" t="n"/>
      <c r="B552" s="4" t="n"/>
      <c r="C552" s="4" t="n"/>
      <c r="D552" s="4" t="n"/>
      <c r="E552" s="3">
        <f>IF(OR(C552="",D552=""),"",IF(D552=1,C552,ROUND(C552*(1+D552/30),1)))</f>
        <v/>
      </c>
      <c r="F552" s="4" t="n"/>
    </row>
    <row r="553">
      <c r="A553" s="9" t="n"/>
      <c r="B553" s="4" t="n"/>
      <c r="C553" s="4" t="n"/>
      <c r="D553" s="4" t="n"/>
      <c r="E553" s="3">
        <f>IF(OR(C553="",D553=""),"",IF(D553=1,C553,ROUND(C553*(1+D553/30),1)))</f>
        <v/>
      </c>
      <c r="F553" s="4" t="n"/>
    </row>
    <row r="554">
      <c r="A554" s="9" t="n"/>
      <c r="B554" s="4" t="n"/>
      <c r="C554" s="4" t="n"/>
      <c r="D554" s="4" t="n"/>
      <c r="E554" s="3">
        <f>IF(OR(C554="",D554=""),"",IF(D554=1,C554,ROUND(C554*(1+D554/30),1)))</f>
        <v/>
      </c>
      <c r="F554" s="4" t="n"/>
    </row>
    <row r="555">
      <c r="A555" s="9" t="n"/>
      <c r="B555" s="4" t="n"/>
      <c r="C555" s="4" t="n"/>
      <c r="D555" s="4" t="n"/>
      <c r="E555" s="3">
        <f>IF(OR(C555="",D555=""),"",IF(D555=1,C555,ROUND(C555*(1+D555/30),1)))</f>
        <v/>
      </c>
      <c r="F555" s="4" t="n"/>
    </row>
    <row r="556">
      <c r="A556" s="9" t="n"/>
      <c r="B556" s="4" t="n"/>
      <c r="C556" s="4" t="n"/>
      <c r="D556" s="4" t="n"/>
      <c r="E556" s="3">
        <f>IF(OR(C556="",D556=""),"",IF(D556=1,C556,ROUND(C556*(1+D556/30),1)))</f>
        <v/>
      </c>
      <c r="F556" s="4" t="n"/>
    </row>
    <row r="557">
      <c r="A557" s="9" t="n"/>
      <c r="B557" s="4" t="n"/>
      <c r="C557" s="4" t="n"/>
      <c r="D557" s="4" t="n"/>
      <c r="E557" s="3">
        <f>IF(OR(C557="",D557=""),"",IF(D557=1,C557,ROUND(C557*(1+D557/30),1)))</f>
        <v/>
      </c>
      <c r="F557" s="4" t="n"/>
    </row>
    <row r="558">
      <c r="A558" s="9" t="n"/>
      <c r="B558" s="4" t="n"/>
      <c r="C558" s="4" t="n"/>
      <c r="D558" s="4" t="n"/>
      <c r="E558" s="3">
        <f>IF(OR(C558="",D558=""),"",IF(D558=1,C558,ROUND(C558*(1+D558/30),1)))</f>
        <v/>
      </c>
      <c r="F558" s="4" t="n"/>
    </row>
    <row r="559">
      <c r="A559" s="9" t="n"/>
      <c r="B559" s="4" t="n"/>
      <c r="C559" s="4" t="n"/>
      <c r="D559" s="4" t="n"/>
      <c r="E559" s="3">
        <f>IF(OR(C559="",D559=""),"",IF(D559=1,C559,ROUND(C559*(1+D559/30),1)))</f>
        <v/>
      </c>
      <c r="F559" s="4" t="n"/>
    </row>
    <row r="560">
      <c r="A560" s="9" t="n"/>
      <c r="B560" s="4" t="n"/>
      <c r="C560" s="4" t="n"/>
      <c r="D560" s="4" t="n"/>
      <c r="E560" s="3">
        <f>IF(OR(C560="",D560=""),"",IF(D560=1,C560,ROUND(C560*(1+D560/30),1)))</f>
        <v/>
      </c>
      <c r="F560" s="4" t="n"/>
    </row>
    <row r="561">
      <c r="A561" s="9" t="n"/>
      <c r="B561" s="4" t="n"/>
      <c r="C561" s="4" t="n"/>
      <c r="D561" s="4" t="n"/>
      <c r="E561" s="3">
        <f>IF(OR(C561="",D561=""),"",IF(D561=1,C561,ROUND(C561*(1+D561/30),1)))</f>
        <v/>
      </c>
      <c r="F561" s="4" t="n"/>
    </row>
    <row r="562">
      <c r="A562" s="9" t="n"/>
      <c r="B562" s="4" t="n"/>
      <c r="C562" s="4" t="n"/>
      <c r="D562" s="4" t="n"/>
      <c r="E562" s="3">
        <f>IF(OR(C562="",D562=""),"",IF(D562=1,C562,ROUND(C562*(1+D562/30),1)))</f>
        <v/>
      </c>
      <c r="F562" s="4" t="n"/>
    </row>
    <row r="563">
      <c r="A563" s="9" t="n"/>
      <c r="B563" s="4" t="n"/>
      <c r="C563" s="4" t="n"/>
      <c r="D563" s="4" t="n"/>
      <c r="E563" s="3">
        <f>IF(OR(C563="",D563=""),"",IF(D563=1,C563,ROUND(C563*(1+D563/30),1)))</f>
        <v/>
      </c>
      <c r="F563" s="4" t="n"/>
    </row>
    <row r="564">
      <c r="A564" s="9" t="n"/>
      <c r="B564" s="4" t="n"/>
      <c r="C564" s="4" t="n"/>
      <c r="D564" s="4" t="n"/>
      <c r="E564" s="3">
        <f>IF(OR(C564="",D564=""),"",IF(D564=1,C564,ROUND(C564*(1+D564/30),1)))</f>
        <v/>
      </c>
      <c r="F564" s="4" t="n"/>
    </row>
    <row r="565">
      <c r="A565" s="9" t="n"/>
      <c r="B565" s="4" t="n"/>
      <c r="C565" s="4" t="n"/>
      <c r="D565" s="4" t="n"/>
      <c r="E565" s="3">
        <f>IF(OR(C565="",D565=""),"",IF(D565=1,C565,ROUND(C565*(1+D565/30),1)))</f>
        <v/>
      </c>
      <c r="F565" s="4" t="n"/>
    </row>
    <row r="566">
      <c r="A566" s="9" t="n"/>
      <c r="B566" s="4" t="n"/>
      <c r="C566" s="4" t="n"/>
      <c r="D566" s="4" t="n"/>
      <c r="E566" s="3">
        <f>IF(OR(C566="",D566=""),"",IF(D566=1,C566,ROUND(C566*(1+D566/30),1)))</f>
        <v/>
      </c>
      <c r="F566" s="4" t="n"/>
    </row>
    <row r="567">
      <c r="A567" s="9" t="n"/>
      <c r="B567" s="4" t="n"/>
      <c r="C567" s="4" t="n"/>
      <c r="D567" s="4" t="n"/>
      <c r="E567" s="3">
        <f>IF(OR(C567="",D567=""),"",IF(D567=1,C567,ROUND(C567*(1+D567/30),1)))</f>
        <v/>
      </c>
      <c r="F567" s="4" t="n"/>
    </row>
    <row r="568">
      <c r="A568" s="9" t="n"/>
      <c r="B568" s="4" t="n"/>
      <c r="C568" s="4" t="n"/>
      <c r="D568" s="4" t="n"/>
      <c r="E568" s="3">
        <f>IF(OR(C568="",D568=""),"",IF(D568=1,C568,ROUND(C568*(1+D568/30),1)))</f>
        <v/>
      </c>
      <c r="F568" s="4" t="n"/>
    </row>
    <row r="569">
      <c r="A569" s="9" t="n"/>
      <c r="B569" s="4" t="n"/>
      <c r="C569" s="4" t="n"/>
      <c r="D569" s="4" t="n"/>
      <c r="E569" s="3">
        <f>IF(OR(C569="",D569=""),"",IF(D569=1,C569,ROUND(C569*(1+D569/30),1)))</f>
        <v/>
      </c>
      <c r="F569" s="4" t="n"/>
    </row>
    <row r="570">
      <c r="A570" s="9" t="n"/>
      <c r="B570" s="4" t="n"/>
      <c r="C570" s="4" t="n"/>
      <c r="D570" s="4" t="n"/>
      <c r="E570" s="3">
        <f>IF(OR(C570="",D570=""),"",IF(D570=1,C570,ROUND(C570*(1+D570/30),1)))</f>
        <v/>
      </c>
      <c r="F570" s="4" t="n"/>
    </row>
    <row r="571">
      <c r="A571" s="9" t="n"/>
      <c r="B571" s="4" t="n"/>
      <c r="C571" s="4" t="n"/>
      <c r="D571" s="4" t="n"/>
      <c r="E571" s="3">
        <f>IF(OR(C571="",D571=""),"",IF(D571=1,C571,ROUND(C571*(1+D571/30),1)))</f>
        <v/>
      </c>
      <c r="F571" s="4" t="n"/>
    </row>
    <row r="572">
      <c r="A572" s="9" t="n"/>
      <c r="B572" s="4" t="n"/>
      <c r="C572" s="4" t="n"/>
      <c r="D572" s="4" t="n"/>
      <c r="E572" s="3">
        <f>IF(OR(C572="",D572=""),"",IF(D572=1,C572,ROUND(C572*(1+D572/30),1)))</f>
        <v/>
      </c>
      <c r="F572" s="4" t="n"/>
    </row>
    <row r="573">
      <c r="A573" s="9" t="n"/>
      <c r="B573" s="4" t="n"/>
      <c r="C573" s="4" t="n"/>
      <c r="D573" s="4" t="n"/>
      <c r="E573" s="3">
        <f>IF(OR(C573="",D573=""),"",IF(D573=1,C573,ROUND(C573*(1+D573/30),1)))</f>
        <v/>
      </c>
      <c r="F573" s="4" t="n"/>
    </row>
    <row r="574">
      <c r="A574" s="9" t="n"/>
      <c r="B574" s="4" t="n"/>
      <c r="C574" s="4" t="n"/>
      <c r="D574" s="4" t="n"/>
      <c r="E574" s="3">
        <f>IF(OR(C574="",D574=""),"",IF(D574=1,C574,ROUND(C574*(1+D574/30),1)))</f>
        <v/>
      </c>
      <c r="F574" s="4" t="n"/>
    </row>
    <row r="575">
      <c r="A575" s="9" t="n"/>
      <c r="B575" s="4" t="n"/>
      <c r="C575" s="4" t="n"/>
      <c r="D575" s="4" t="n"/>
      <c r="E575" s="3">
        <f>IF(OR(C575="",D575=""),"",IF(D575=1,C575,ROUND(C575*(1+D575/30),1)))</f>
        <v/>
      </c>
      <c r="F575" s="4" t="n"/>
    </row>
    <row r="576">
      <c r="A576" s="9" t="n"/>
      <c r="B576" s="4" t="n"/>
      <c r="C576" s="4" t="n"/>
      <c r="D576" s="4" t="n"/>
      <c r="E576" s="3">
        <f>IF(OR(C576="",D576=""),"",IF(D576=1,C576,ROUND(C576*(1+D576/30),1)))</f>
        <v/>
      </c>
      <c r="F576" s="4" t="n"/>
    </row>
    <row r="577">
      <c r="A577" s="9" t="n"/>
      <c r="B577" s="4" t="n"/>
      <c r="C577" s="4" t="n"/>
      <c r="D577" s="4" t="n"/>
      <c r="E577" s="3">
        <f>IF(OR(C577="",D577=""),"",IF(D577=1,C577,ROUND(C577*(1+D577/30),1)))</f>
        <v/>
      </c>
      <c r="F577" s="4" t="n"/>
    </row>
    <row r="578">
      <c r="A578" s="9" t="n"/>
      <c r="B578" s="4" t="n"/>
      <c r="C578" s="4" t="n"/>
      <c r="D578" s="4" t="n"/>
      <c r="E578" s="3">
        <f>IF(OR(C578="",D578=""),"",IF(D578=1,C578,ROUND(C578*(1+D578/30),1)))</f>
        <v/>
      </c>
      <c r="F578" s="4" t="n"/>
    </row>
    <row r="579">
      <c r="A579" s="9" t="n"/>
      <c r="B579" s="4" t="n"/>
      <c r="C579" s="4" t="n"/>
      <c r="D579" s="4" t="n"/>
      <c r="E579" s="3">
        <f>IF(OR(C579="",D579=""),"",IF(D579=1,C579,ROUND(C579*(1+D579/30),1)))</f>
        <v/>
      </c>
      <c r="F579" s="4" t="n"/>
    </row>
    <row r="580">
      <c r="A580" s="9" t="n"/>
      <c r="B580" s="4" t="n"/>
      <c r="C580" s="4" t="n"/>
      <c r="D580" s="4" t="n"/>
      <c r="E580" s="3">
        <f>IF(OR(C580="",D580=""),"",IF(D580=1,C580,ROUND(C580*(1+D580/30),1)))</f>
        <v/>
      </c>
      <c r="F580" s="4" t="n"/>
    </row>
    <row r="581">
      <c r="A581" s="9" t="n"/>
      <c r="B581" s="4" t="n"/>
      <c r="C581" s="4" t="n"/>
      <c r="D581" s="4" t="n"/>
      <c r="E581" s="3">
        <f>IF(OR(C581="",D581=""),"",IF(D581=1,C581,ROUND(C581*(1+D581/30),1)))</f>
        <v/>
      </c>
      <c r="F581" s="4" t="n"/>
    </row>
    <row r="582">
      <c r="A582" s="9" t="n"/>
      <c r="B582" s="4" t="n"/>
      <c r="C582" s="4" t="n"/>
      <c r="D582" s="4" t="n"/>
      <c r="E582" s="3">
        <f>IF(OR(C582="",D582=""),"",IF(D582=1,C582,ROUND(C582*(1+D582/30),1)))</f>
        <v/>
      </c>
      <c r="F582" s="4" t="n"/>
    </row>
    <row r="583">
      <c r="A583" s="9" t="n"/>
      <c r="B583" s="4" t="n"/>
      <c r="C583" s="4" t="n"/>
      <c r="D583" s="4" t="n"/>
      <c r="E583" s="3">
        <f>IF(OR(C583="",D583=""),"",IF(D583=1,C583,ROUND(C583*(1+D583/30),1)))</f>
        <v/>
      </c>
      <c r="F583" s="4" t="n"/>
    </row>
    <row r="584">
      <c r="A584" s="9" t="n"/>
      <c r="B584" s="4" t="n"/>
      <c r="C584" s="4" t="n"/>
      <c r="D584" s="4" t="n"/>
      <c r="E584" s="3">
        <f>IF(OR(C584="",D584=""),"",IF(D584=1,C584,ROUND(C584*(1+D584/30),1)))</f>
        <v/>
      </c>
      <c r="F584" s="4" t="n"/>
    </row>
    <row r="585">
      <c r="A585" s="9" t="n"/>
      <c r="B585" s="4" t="n"/>
      <c r="C585" s="4" t="n"/>
      <c r="D585" s="4" t="n"/>
      <c r="E585" s="3">
        <f>IF(OR(C585="",D585=""),"",IF(D585=1,C585,ROUND(C585*(1+D585/30),1)))</f>
        <v/>
      </c>
      <c r="F585" s="4" t="n"/>
    </row>
    <row r="586">
      <c r="A586" s="9" t="n"/>
      <c r="B586" s="4" t="n"/>
      <c r="C586" s="4" t="n"/>
      <c r="D586" s="4" t="n"/>
      <c r="E586" s="3">
        <f>IF(OR(C586="",D586=""),"",IF(D586=1,C586,ROUND(C586*(1+D586/30),1)))</f>
        <v/>
      </c>
      <c r="F586" s="4" t="n"/>
    </row>
    <row r="587">
      <c r="A587" s="9" t="n"/>
      <c r="B587" s="4" t="n"/>
      <c r="C587" s="4" t="n"/>
      <c r="D587" s="4" t="n"/>
      <c r="E587" s="3">
        <f>IF(OR(C587="",D587=""),"",IF(D587=1,C587,ROUND(C587*(1+D587/30),1)))</f>
        <v/>
      </c>
      <c r="F587" s="4" t="n"/>
    </row>
    <row r="588">
      <c r="A588" s="9" t="n"/>
      <c r="B588" s="4" t="n"/>
      <c r="C588" s="4" t="n"/>
      <c r="D588" s="4" t="n"/>
      <c r="E588" s="3">
        <f>IF(OR(C588="",D588=""),"",IF(D588=1,C588,ROUND(C588*(1+D588/30),1)))</f>
        <v/>
      </c>
      <c r="F588" s="4" t="n"/>
    </row>
    <row r="589">
      <c r="A589" s="9" t="n"/>
      <c r="B589" s="4" t="n"/>
      <c r="C589" s="4" t="n"/>
      <c r="D589" s="4" t="n"/>
      <c r="E589" s="3">
        <f>IF(OR(C589="",D589=""),"",IF(D589=1,C589,ROUND(C589*(1+D589/30),1)))</f>
        <v/>
      </c>
      <c r="F589" s="4" t="n"/>
    </row>
    <row r="590">
      <c r="A590" s="9" t="n"/>
      <c r="B590" s="4" t="n"/>
      <c r="C590" s="4" t="n"/>
      <c r="D590" s="4" t="n"/>
      <c r="E590" s="3">
        <f>IF(OR(C590="",D590=""),"",IF(D590=1,C590,ROUND(C590*(1+D590/30),1)))</f>
        <v/>
      </c>
      <c r="F590" s="4" t="n"/>
    </row>
    <row r="591">
      <c r="A591" s="9" t="n"/>
      <c r="B591" s="4" t="n"/>
      <c r="C591" s="4" t="n"/>
      <c r="D591" s="4" t="n"/>
      <c r="E591" s="3">
        <f>IF(OR(C591="",D591=""),"",IF(D591=1,C591,ROUND(C591*(1+D591/30),1)))</f>
        <v/>
      </c>
      <c r="F591" s="4" t="n"/>
    </row>
    <row r="592">
      <c r="A592" s="9" t="n"/>
      <c r="B592" s="4" t="n"/>
      <c r="C592" s="4" t="n"/>
      <c r="D592" s="4" t="n"/>
      <c r="E592" s="3">
        <f>IF(OR(C592="",D592=""),"",IF(D592=1,C592,ROUND(C592*(1+D592/30),1)))</f>
        <v/>
      </c>
      <c r="F592" s="4" t="n"/>
    </row>
    <row r="593">
      <c r="A593" s="9" t="n"/>
      <c r="B593" s="4" t="n"/>
      <c r="C593" s="4" t="n"/>
      <c r="D593" s="4" t="n"/>
      <c r="E593" s="3">
        <f>IF(OR(C593="",D593=""),"",IF(D593=1,C593,ROUND(C593*(1+D593/30),1)))</f>
        <v/>
      </c>
      <c r="F593" s="4" t="n"/>
    </row>
    <row r="594">
      <c r="A594" s="9" t="n"/>
      <c r="B594" s="4" t="n"/>
      <c r="C594" s="4" t="n"/>
      <c r="D594" s="4" t="n"/>
      <c r="E594" s="3">
        <f>IF(OR(C594="",D594=""),"",IF(D594=1,C594,ROUND(C594*(1+D594/30),1)))</f>
        <v/>
      </c>
      <c r="F594" s="4" t="n"/>
    </row>
    <row r="595">
      <c r="A595" s="9" t="n"/>
      <c r="B595" s="4" t="n"/>
      <c r="C595" s="4" t="n"/>
      <c r="D595" s="4" t="n"/>
      <c r="E595" s="3">
        <f>IF(OR(C595="",D595=""),"",IF(D595=1,C595,ROUND(C595*(1+D595/30),1)))</f>
        <v/>
      </c>
      <c r="F595" s="4" t="n"/>
    </row>
    <row r="596">
      <c r="A596" s="9" t="n"/>
      <c r="B596" s="4" t="n"/>
      <c r="C596" s="4" t="n"/>
      <c r="D596" s="4" t="n"/>
      <c r="E596" s="3">
        <f>IF(OR(C596="",D596=""),"",IF(D596=1,C596,ROUND(C596*(1+D596/30),1)))</f>
        <v/>
      </c>
      <c r="F596" s="4" t="n"/>
    </row>
    <row r="597">
      <c r="A597" s="9" t="n"/>
      <c r="B597" s="4" t="n"/>
      <c r="C597" s="4" t="n"/>
      <c r="D597" s="4" t="n"/>
      <c r="E597" s="3">
        <f>IF(OR(C597="",D597=""),"",IF(D597=1,C597,ROUND(C597*(1+D597/30),1)))</f>
        <v/>
      </c>
      <c r="F597" s="4" t="n"/>
    </row>
    <row r="598">
      <c r="A598" s="9" t="n"/>
      <c r="B598" s="4" t="n"/>
      <c r="C598" s="4" t="n"/>
      <c r="D598" s="4" t="n"/>
      <c r="E598" s="3">
        <f>IF(OR(C598="",D598=""),"",IF(D598=1,C598,ROUND(C598*(1+D598/30),1)))</f>
        <v/>
      </c>
      <c r="F598" s="4" t="n"/>
    </row>
    <row r="599">
      <c r="A599" s="9" t="n"/>
      <c r="B599" s="4" t="n"/>
      <c r="C599" s="4" t="n"/>
      <c r="D599" s="4" t="n"/>
      <c r="E599" s="3">
        <f>IF(OR(C599="",D599=""),"",IF(D599=1,C599,ROUND(C599*(1+D599/30),1)))</f>
        <v/>
      </c>
      <c r="F599" s="4" t="n"/>
    </row>
    <row r="600">
      <c r="A600" s="9" t="n"/>
      <c r="B600" s="4" t="n"/>
      <c r="C600" s="4" t="n"/>
      <c r="D600" s="4" t="n"/>
      <c r="E600" s="3">
        <f>IF(OR(C600="",D600=""),"",IF(D600=1,C600,ROUND(C600*(1+D600/30),1)))</f>
        <v/>
      </c>
      <c r="F600" s="4" t="n"/>
    </row>
    <row r="601">
      <c r="A601" s="9" t="n"/>
      <c r="B601" s="4" t="n"/>
      <c r="C601" s="4" t="n"/>
      <c r="D601" s="4" t="n"/>
      <c r="E601" s="3">
        <f>IF(OR(C601="",D601=""),"",IF(D601=1,C601,ROUND(C601*(1+D601/30),1)))</f>
        <v/>
      </c>
      <c r="F601" s="4" t="n"/>
    </row>
    <row r="602">
      <c r="A602" s="9" t="n"/>
      <c r="B602" s="4" t="n"/>
      <c r="C602" s="4" t="n"/>
      <c r="D602" s="4" t="n"/>
      <c r="E602" s="3">
        <f>IF(OR(C602="",D602=""),"",IF(D602=1,C602,ROUND(C602*(1+D602/30),1)))</f>
        <v/>
      </c>
      <c r="F602" s="4" t="n"/>
    </row>
    <row r="603">
      <c r="A603" s="9" t="n"/>
      <c r="B603" s="4" t="n"/>
      <c r="C603" s="4" t="n"/>
      <c r="D603" s="4" t="n"/>
      <c r="E603" s="3">
        <f>IF(OR(C603="",D603=""),"",IF(D603=1,C603,ROUND(C603*(1+D603/30),1)))</f>
        <v/>
      </c>
      <c r="F603" s="4" t="n"/>
    </row>
    <row r="604">
      <c r="A604" s="9" t="n"/>
      <c r="B604" s="4" t="n"/>
      <c r="C604" s="4" t="n"/>
      <c r="D604" s="4" t="n"/>
      <c r="E604" s="3">
        <f>IF(OR(C604="",D604=""),"",IF(D604=1,C604,ROUND(C604*(1+D604/30),1)))</f>
        <v/>
      </c>
      <c r="F604" s="4" t="n"/>
    </row>
    <row r="605">
      <c r="A605" s="9" t="n"/>
      <c r="B605" s="4" t="n"/>
      <c r="C605" s="4" t="n"/>
      <c r="D605" s="4" t="n"/>
      <c r="E605" s="3">
        <f>IF(OR(C605="",D605=""),"",IF(D605=1,C605,ROUND(C605*(1+D605/30),1)))</f>
        <v/>
      </c>
      <c r="F605" s="4" t="n"/>
    </row>
    <row r="606">
      <c r="A606" s="9" t="n"/>
      <c r="B606" s="4" t="n"/>
      <c r="C606" s="4" t="n"/>
      <c r="D606" s="4" t="n"/>
      <c r="E606" s="3">
        <f>IF(OR(C606="",D606=""),"",IF(D606=1,C606,ROUND(C606*(1+D606/30),1)))</f>
        <v/>
      </c>
      <c r="F606" s="4" t="n"/>
    </row>
    <row r="607">
      <c r="A607" s="9" t="n"/>
      <c r="B607" s="4" t="n"/>
      <c r="C607" s="4" t="n"/>
      <c r="D607" s="4" t="n"/>
      <c r="E607" s="3">
        <f>IF(OR(C607="",D607=""),"",IF(D607=1,C607,ROUND(C607*(1+D607/30),1)))</f>
        <v/>
      </c>
      <c r="F607" s="4" t="n"/>
    </row>
    <row r="608">
      <c r="A608" s="9" t="n"/>
      <c r="B608" s="4" t="n"/>
      <c r="C608" s="4" t="n"/>
      <c r="D608" s="4" t="n"/>
      <c r="E608" s="3">
        <f>IF(OR(C608="",D608=""),"",IF(D608=1,C608,ROUND(C608*(1+D608/30),1)))</f>
        <v/>
      </c>
      <c r="F608" s="4" t="n"/>
    </row>
    <row r="609">
      <c r="A609" s="9" t="n"/>
      <c r="B609" s="4" t="n"/>
      <c r="C609" s="4" t="n"/>
      <c r="D609" s="4" t="n"/>
      <c r="E609" s="3">
        <f>IF(OR(C609="",D609=""),"",IF(D609=1,C609,ROUND(C609*(1+D609/30),1)))</f>
        <v/>
      </c>
      <c r="F609" s="4" t="n"/>
    </row>
    <row r="610">
      <c r="A610" s="9" t="n"/>
      <c r="B610" s="4" t="n"/>
      <c r="C610" s="4" t="n"/>
      <c r="D610" s="4" t="n"/>
      <c r="E610" s="3">
        <f>IF(OR(C610="",D610=""),"",IF(D610=1,C610,ROUND(C610*(1+D610/30),1)))</f>
        <v/>
      </c>
      <c r="F610" s="4" t="n"/>
    </row>
    <row r="611">
      <c r="A611" s="9" t="n"/>
      <c r="B611" s="4" t="n"/>
      <c r="C611" s="4" t="n"/>
      <c r="D611" s="4" t="n"/>
      <c r="E611" s="3">
        <f>IF(OR(C611="",D611=""),"",IF(D611=1,C611,ROUND(C611*(1+D611/30),1)))</f>
        <v/>
      </c>
      <c r="F611" s="4" t="n"/>
    </row>
    <row r="612">
      <c r="A612" s="9" t="n"/>
      <c r="B612" s="4" t="n"/>
      <c r="C612" s="4" t="n"/>
      <c r="D612" s="4" t="n"/>
      <c r="E612" s="3">
        <f>IF(OR(C612="",D612=""),"",IF(D612=1,C612,ROUND(C612*(1+D612/30),1)))</f>
        <v/>
      </c>
      <c r="F612" s="4" t="n"/>
    </row>
    <row r="613">
      <c r="A613" s="9" t="n"/>
      <c r="B613" s="4" t="n"/>
      <c r="C613" s="4" t="n"/>
      <c r="D613" s="4" t="n"/>
      <c r="E613" s="3">
        <f>IF(OR(C613="",D613=""),"",IF(D613=1,C613,ROUND(C613*(1+D613/30),1)))</f>
        <v/>
      </c>
      <c r="F613" s="4" t="n"/>
    </row>
    <row r="614">
      <c r="A614" s="9" t="n"/>
      <c r="B614" s="4" t="n"/>
      <c r="C614" s="4" t="n"/>
      <c r="D614" s="4" t="n"/>
      <c r="E614" s="3">
        <f>IF(OR(C614="",D614=""),"",IF(D614=1,C614,ROUND(C614*(1+D614/30),1)))</f>
        <v/>
      </c>
      <c r="F614" s="4" t="n"/>
    </row>
    <row r="615">
      <c r="A615" s="9" t="n"/>
      <c r="B615" s="4" t="n"/>
      <c r="C615" s="4" t="n"/>
      <c r="D615" s="4" t="n"/>
      <c r="E615" s="3">
        <f>IF(OR(C615="",D615=""),"",IF(D615=1,C615,ROUND(C615*(1+D615/30),1)))</f>
        <v/>
      </c>
      <c r="F615" s="4" t="n"/>
    </row>
    <row r="616">
      <c r="A616" s="9" t="n"/>
      <c r="B616" s="4" t="n"/>
      <c r="C616" s="4" t="n"/>
      <c r="D616" s="4" t="n"/>
      <c r="E616" s="3">
        <f>IF(OR(C616="",D616=""),"",IF(D616=1,C616,ROUND(C616*(1+D616/30),1)))</f>
        <v/>
      </c>
      <c r="F616" s="4" t="n"/>
    </row>
    <row r="617">
      <c r="A617" s="9" t="n"/>
      <c r="B617" s="4" t="n"/>
      <c r="C617" s="4" t="n"/>
      <c r="D617" s="4" t="n"/>
      <c r="E617" s="3">
        <f>IF(OR(C617="",D617=""),"",IF(D617=1,C617,ROUND(C617*(1+D617/30),1)))</f>
        <v/>
      </c>
      <c r="F617" s="4" t="n"/>
    </row>
    <row r="618">
      <c r="A618" s="9" t="n"/>
      <c r="B618" s="4" t="n"/>
      <c r="C618" s="4" t="n"/>
      <c r="D618" s="4" t="n"/>
      <c r="E618" s="3">
        <f>IF(OR(C618="",D618=""),"",IF(D618=1,C618,ROUND(C618*(1+D618/30),1)))</f>
        <v/>
      </c>
      <c r="F618" s="4" t="n"/>
    </row>
    <row r="619">
      <c r="A619" s="9" t="n"/>
      <c r="B619" s="4" t="n"/>
      <c r="C619" s="4" t="n"/>
      <c r="D619" s="4" t="n"/>
      <c r="E619" s="3">
        <f>IF(OR(C619="",D619=""),"",IF(D619=1,C619,ROUND(C619*(1+D619/30),1)))</f>
        <v/>
      </c>
      <c r="F619" s="4" t="n"/>
    </row>
    <row r="620">
      <c r="A620" s="9" t="n"/>
      <c r="B620" s="4" t="n"/>
      <c r="C620" s="4" t="n"/>
      <c r="D620" s="4" t="n"/>
      <c r="E620" s="3">
        <f>IF(OR(C620="",D620=""),"",IF(D620=1,C620,ROUND(C620*(1+D620/30),1)))</f>
        <v/>
      </c>
      <c r="F620" s="4" t="n"/>
    </row>
    <row r="621">
      <c r="A621" s="9" t="n"/>
      <c r="B621" s="4" t="n"/>
      <c r="C621" s="4" t="n"/>
      <c r="D621" s="4" t="n"/>
      <c r="E621" s="3">
        <f>IF(OR(C621="",D621=""),"",IF(D621=1,C621,ROUND(C621*(1+D621/30),1)))</f>
        <v/>
      </c>
      <c r="F621" s="4" t="n"/>
    </row>
    <row r="622">
      <c r="A622" s="9" t="n"/>
      <c r="B622" s="4" t="n"/>
      <c r="C622" s="4" t="n"/>
      <c r="D622" s="4" t="n"/>
      <c r="E622" s="3">
        <f>IF(OR(C622="",D622=""),"",IF(D622=1,C622,ROUND(C622*(1+D622/30),1)))</f>
        <v/>
      </c>
      <c r="F622" s="4" t="n"/>
    </row>
    <row r="623">
      <c r="A623" s="9" t="n"/>
      <c r="B623" s="4" t="n"/>
      <c r="C623" s="4" t="n"/>
      <c r="D623" s="4" t="n"/>
      <c r="E623" s="3">
        <f>IF(OR(C623="",D623=""),"",IF(D623=1,C623,ROUND(C623*(1+D623/30),1)))</f>
        <v/>
      </c>
      <c r="F623" s="4" t="n"/>
    </row>
    <row r="624">
      <c r="A624" s="9" t="n"/>
      <c r="B624" s="4" t="n"/>
      <c r="C624" s="4" t="n"/>
      <c r="D624" s="4" t="n"/>
      <c r="E624" s="3">
        <f>IF(OR(C624="",D624=""),"",IF(D624=1,C624,ROUND(C624*(1+D624/30),1)))</f>
        <v/>
      </c>
      <c r="F624" s="4" t="n"/>
    </row>
    <row r="625">
      <c r="A625" s="9" t="n"/>
      <c r="B625" s="4" t="n"/>
      <c r="C625" s="4" t="n"/>
      <c r="D625" s="4" t="n"/>
      <c r="E625" s="3">
        <f>IF(OR(C625="",D625=""),"",IF(D625=1,C625,ROUND(C625*(1+D625/30),1)))</f>
        <v/>
      </c>
      <c r="F625" s="4" t="n"/>
    </row>
    <row r="626">
      <c r="A626" s="9" t="n"/>
      <c r="B626" s="4" t="n"/>
      <c r="C626" s="4" t="n"/>
      <c r="D626" s="4" t="n"/>
      <c r="E626" s="3">
        <f>IF(OR(C626="",D626=""),"",IF(D626=1,C626,ROUND(C626*(1+D626/30),1)))</f>
        <v/>
      </c>
      <c r="F626" s="4" t="n"/>
    </row>
    <row r="627">
      <c r="A627" s="9" t="n"/>
      <c r="B627" s="4" t="n"/>
      <c r="C627" s="4" t="n"/>
      <c r="D627" s="4" t="n"/>
      <c r="E627" s="3">
        <f>IF(OR(C627="",D627=""),"",IF(D627=1,C627,ROUND(C627*(1+D627/30),1)))</f>
        <v/>
      </c>
      <c r="F627" s="4" t="n"/>
    </row>
    <row r="628">
      <c r="A628" s="9" t="n"/>
      <c r="B628" s="4" t="n"/>
      <c r="C628" s="4" t="n"/>
      <c r="D628" s="4" t="n"/>
      <c r="E628" s="3">
        <f>IF(OR(C628="",D628=""),"",IF(D628=1,C628,ROUND(C628*(1+D628/30),1)))</f>
        <v/>
      </c>
      <c r="F628" s="4" t="n"/>
    </row>
    <row r="629">
      <c r="A629" s="9" t="n"/>
      <c r="B629" s="4" t="n"/>
      <c r="C629" s="4" t="n"/>
      <c r="D629" s="4" t="n"/>
      <c r="E629" s="3">
        <f>IF(OR(C629="",D629=""),"",IF(D629=1,C629,ROUND(C629*(1+D629/30),1)))</f>
        <v/>
      </c>
      <c r="F629" s="4" t="n"/>
    </row>
    <row r="630">
      <c r="A630" s="9" t="n"/>
      <c r="B630" s="4" t="n"/>
      <c r="C630" s="4" t="n"/>
      <c r="D630" s="4" t="n"/>
      <c r="E630" s="3">
        <f>IF(OR(C630="",D630=""),"",IF(D630=1,C630,ROUND(C630*(1+D630/30),1)))</f>
        <v/>
      </c>
      <c r="F630" s="4" t="n"/>
    </row>
    <row r="631">
      <c r="A631" s="9" t="n"/>
      <c r="B631" s="4" t="n"/>
      <c r="C631" s="4" t="n"/>
      <c r="D631" s="4" t="n"/>
      <c r="E631" s="3">
        <f>IF(OR(C631="",D631=""),"",IF(D631=1,C631,ROUND(C631*(1+D631/30),1)))</f>
        <v/>
      </c>
      <c r="F631" s="4" t="n"/>
    </row>
    <row r="632">
      <c r="A632" s="9" t="n"/>
      <c r="B632" s="4" t="n"/>
      <c r="C632" s="4" t="n"/>
      <c r="D632" s="4" t="n"/>
      <c r="E632" s="3">
        <f>IF(OR(C632="",D632=""),"",IF(D632=1,C632,ROUND(C632*(1+D632/30),1)))</f>
        <v/>
      </c>
      <c r="F632" s="4" t="n"/>
    </row>
    <row r="633">
      <c r="A633" s="9" t="n"/>
      <c r="B633" s="4" t="n"/>
      <c r="C633" s="4" t="n"/>
      <c r="D633" s="4" t="n"/>
      <c r="E633" s="3">
        <f>IF(OR(C633="",D633=""),"",IF(D633=1,C633,ROUND(C633*(1+D633/30),1)))</f>
        <v/>
      </c>
      <c r="F633" s="4" t="n"/>
    </row>
    <row r="634">
      <c r="A634" s="9" t="n"/>
      <c r="B634" s="4" t="n"/>
      <c r="C634" s="4" t="n"/>
      <c r="D634" s="4" t="n"/>
      <c r="E634" s="3">
        <f>IF(OR(C634="",D634=""),"",IF(D634=1,C634,ROUND(C634*(1+D634/30),1)))</f>
        <v/>
      </c>
      <c r="F634" s="4" t="n"/>
    </row>
    <row r="635">
      <c r="A635" s="9" t="n"/>
      <c r="B635" s="4" t="n"/>
      <c r="C635" s="4" t="n"/>
      <c r="D635" s="4" t="n"/>
      <c r="E635" s="3">
        <f>IF(OR(C635="",D635=""),"",IF(D635=1,C635,ROUND(C635*(1+D635/30),1)))</f>
        <v/>
      </c>
      <c r="F635" s="4" t="n"/>
    </row>
    <row r="636">
      <c r="A636" s="9" t="n"/>
      <c r="B636" s="4" t="n"/>
      <c r="C636" s="4" t="n"/>
      <c r="D636" s="4" t="n"/>
      <c r="E636" s="3">
        <f>IF(OR(C636="",D636=""),"",IF(D636=1,C636,ROUND(C636*(1+D636/30),1)))</f>
        <v/>
      </c>
      <c r="F636" s="4" t="n"/>
    </row>
    <row r="637">
      <c r="A637" s="9" t="n"/>
      <c r="B637" s="4" t="n"/>
      <c r="C637" s="4" t="n"/>
      <c r="D637" s="4" t="n"/>
      <c r="E637" s="3">
        <f>IF(OR(C637="",D637=""),"",IF(D637=1,C637,ROUND(C637*(1+D637/30),1)))</f>
        <v/>
      </c>
      <c r="F637" s="4" t="n"/>
    </row>
    <row r="638">
      <c r="A638" s="9" t="n"/>
      <c r="B638" s="4" t="n"/>
      <c r="C638" s="4" t="n"/>
      <c r="D638" s="4" t="n"/>
      <c r="E638" s="3">
        <f>IF(OR(C638="",D638=""),"",IF(D638=1,C638,ROUND(C638*(1+D638/30),1)))</f>
        <v/>
      </c>
      <c r="F638" s="4" t="n"/>
    </row>
    <row r="639">
      <c r="A639" s="9" t="n"/>
      <c r="B639" s="4" t="n"/>
      <c r="C639" s="4" t="n"/>
      <c r="D639" s="4" t="n"/>
      <c r="E639" s="3">
        <f>IF(OR(C639="",D639=""),"",IF(D639=1,C639,ROUND(C639*(1+D639/30),1)))</f>
        <v/>
      </c>
      <c r="F639" s="4" t="n"/>
    </row>
    <row r="640">
      <c r="A640" s="9" t="n"/>
      <c r="B640" s="4" t="n"/>
      <c r="C640" s="4" t="n"/>
      <c r="D640" s="4" t="n"/>
      <c r="E640" s="3">
        <f>IF(OR(C640="",D640=""),"",IF(D640=1,C640,ROUND(C640*(1+D640/30),1)))</f>
        <v/>
      </c>
      <c r="F640" s="4" t="n"/>
    </row>
    <row r="641">
      <c r="A641" s="9" t="n"/>
      <c r="B641" s="4" t="n"/>
      <c r="C641" s="4" t="n"/>
      <c r="D641" s="4" t="n"/>
      <c r="E641" s="3">
        <f>IF(OR(C641="",D641=""),"",IF(D641=1,C641,ROUND(C641*(1+D641/30),1)))</f>
        <v/>
      </c>
      <c r="F641" s="4" t="n"/>
    </row>
    <row r="642">
      <c r="A642" s="9" t="n"/>
      <c r="B642" s="4" t="n"/>
      <c r="C642" s="4" t="n"/>
      <c r="D642" s="4" t="n"/>
      <c r="E642" s="3">
        <f>IF(OR(C642="",D642=""),"",IF(D642=1,C642,ROUND(C642*(1+D642/30),1)))</f>
        <v/>
      </c>
      <c r="F642" s="4" t="n"/>
    </row>
    <row r="643">
      <c r="A643" s="9" t="n"/>
      <c r="B643" s="4" t="n"/>
      <c r="C643" s="4" t="n"/>
      <c r="D643" s="4" t="n"/>
      <c r="E643" s="3">
        <f>IF(OR(C643="",D643=""),"",IF(D643=1,C643,ROUND(C643*(1+D643/30),1)))</f>
        <v/>
      </c>
      <c r="F643" s="4" t="n"/>
    </row>
    <row r="644">
      <c r="A644" s="9" t="n"/>
      <c r="B644" s="4" t="n"/>
      <c r="C644" s="4" t="n"/>
      <c r="D644" s="4" t="n"/>
      <c r="E644" s="3">
        <f>IF(OR(C644="",D644=""),"",IF(D644=1,C644,ROUND(C644*(1+D644/30),1)))</f>
        <v/>
      </c>
      <c r="F644" s="4" t="n"/>
    </row>
    <row r="645">
      <c r="A645" s="9" t="n"/>
      <c r="B645" s="4" t="n"/>
      <c r="C645" s="4" t="n"/>
      <c r="D645" s="4" t="n"/>
      <c r="E645" s="3">
        <f>IF(OR(C645="",D645=""),"",IF(D645=1,C645,ROUND(C645*(1+D645/30),1)))</f>
        <v/>
      </c>
      <c r="F645" s="4" t="n"/>
    </row>
    <row r="646">
      <c r="A646" s="9" t="n"/>
      <c r="B646" s="4" t="n"/>
      <c r="C646" s="4" t="n"/>
      <c r="D646" s="4" t="n"/>
      <c r="E646" s="3">
        <f>IF(OR(C646="",D646=""),"",IF(D646=1,C646,ROUND(C646*(1+D646/30),1)))</f>
        <v/>
      </c>
      <c r="F646" s="4" t="n"/>
    </row>
    <row r="647">
      <c r="A647" s="9" t="n"/>
      <c r="B647" s="4" t="n"/>
      <c r="C647" s="4" t="n"/>
      <c r="D647" s="4" t="n"/>
      <c r="E647" s="3">
        <f>IF(OR(C647="",D647=""),"",IF(D647=1,C647,ROUND(C647*(1+D647/30),1)))</f>
        <v/>
      </c>
      <c r="F647" s="4" t="n"/>
    </row>
    <row r="648">
      <c r="A648" s="9" t="n"/>
      <c r="B648" s="4" t="n"/>
      <c r="C648" s="4" t="n"/>
      <c r="D648" s="4" t="n"/>
      <c r="E648" s="3">
        <f>IF(OR(C648="",D648=""),"",IF(D648=1,C648,ROUND(C648*(1+D648/30),1)))</f>
        <v/>
      </c>
      <c r="F648" s="4" t="n"/>
    </row>
    <row r="649">
      <c r="A649" s="9" t="n"/>
      <c r="B649" s="4" t="n"/>
      <c r="C649" s="4" t="n"/>
      <c r="D649" s="4" t="n"/>
      <c r="E649" s="3">
        <f>IF(OR(C649="",D649=""),"",IF(D649=1,C649,ROUND(C649*(1+D649/30),1)))</f>
        <v/>
      </c>
      <c r="F649" s="4" t="n"/>
    </row>
    <row r="650">
      <c r="A650" s="9" t="n"/>
      <c r="B650" s="4" t="n"/>
      <c r="C650" s="4" t="n"/>
      <c r="D650" s="4" t="n"/>
      <c r="E650" s="3">
        <f>IF(OR(C650="",D650=""),"",IF(D650=1,C650,ROUND(C650*(1+D650/30),1)))</f>
        <v/>
      </c>
      <c r="F650" s="4" t="n"/>
    </row>
    <row r="651">
      <c r="A651" s="9" t="n"/>
      <c r="B651" s="4" t="n"/>
      <c r="C651" s="4" t="n"/>
      <c r="D651" s="4" t="n"/>
      <c r="E651" s="3">
        <f>IF(OR(C651="",D651=""),"",IF(D651=1,C651,ROUND(C651*(1+D651/30),1)))</f>
        <v/>
      </c>
      <c r="F651" s="4" t="n"/>
    </row>
    <row r="652">
      <c r="A652" s="9" t="n"/>
      <c r="B652" s="4" t="n"/>
      <c r="C652" s="4" t="n"/>
      <c r="D652" s="4" t="n"/>
      <c r="E652" s="3">
        <f>IF(OR(C652="",D652=""),"",IF(D652=1,C652,ROUND(C652*(1+D652/30),1)))</f>
        <v/>
      </c>
      <c r="F652" s="4" t="n"/>
    </row>
    <row r="653">
      <c r="A653" s="9" t="n"/>
      <c r="B653" s="4" t="n"/>
      <c r="C653" s="4" t="n"/>
      <c r="D653" s="4" t="n"/>
      <c r="E653" s="3">
        <f>IF(OR(C653="",D653=""),"",IF(D653=1,C653,ROUND(C653*(1+D653/30),1)))</f>
        <v/>
      </c>
      <c r="F653" s="4" t="n"/>
    </row>
    <row r="654">
      <c r="A654" s="9" t="n"/>
      <c r="B654" s="4" t="n"/>
      <c r="C654" s="4" t="n"/>
      <c r="D654" s="4" t="n"/>
      <c r="E654" s="3">
        <f>IF(OR(C654="",D654=""),"",IF(D654=1,C654,ROUND(C654*(1+D654/30),1)))</f>
        <v/>
      </c>
      <c r="F654" s="4" t="n"/>
    </row>
    <row r="655">
      <c r="A655" s="9" t="n"/>
      <c r="B655" s="4" t="n"/>
      <c r="C655" s="4" t="n"/>
      <c r="D655" s="4" t="n"/>
      <c r="E655" s="3">
        <f>IF(OR(C655="",D655=""),"",IF(D655=1,C655,ROUND(C655*(1+D655/30),1)))</f>
        <v/>
      </c>
      <c r="F655" s="4" t="n"/>
    </row>
    <row r="656">
      <c r="A656" s="9" t="n"/>
      <c r="B656" s="4" t="n"/>
      <c r="C656" s="4" t="n"/>
      <c r="D656" s="4" t="n"/>
      <c r="E656" s="3">
        <f>IF(OR(C656="",D656=""),"",IF(D656=1,C656,ROUND(C656*(1+D656/30),1)))</f>
        <v/>
      </c>
      <c r="F656" s="4" t="n"/>
    </row>
    <row r="657">
      <c r="A657" s="9" t="n"/>
      <c r="B657" s="4" t="n"/>
      <c r="C657" s="4" t="n"/>
      <c r="D657" s="4" t="n"/>
      <c r="E657" s="3">
        <f>IF(OR(C657="",D657=""),"",IF(D657=1,C657,ROUND(C657*(1+D657/30),1)))</f>
        <v/>
      </c>
      <c r="F657" s="4" t="n"/>
    </row>
    <row r="658">
      <c r="A658" s="9" t="n"/>
      <c r="B658" s="4" t="n"/>
      <c r="C658" s="4" t="n"/>
      <c r="D658" s="4" t="n"/>
      <c r="E658" s="3">
        <f>IF(OR(C658="",D658=""),"",IF(D658=1,C658,ROUND(C658*(1+D658/30),1)))</f>
        <v/>
      </c>
      <c r="F658" s="4" t="n"/>
    </row>
    <row r="659">
      <c r="A659" s="9" t="n"/>
      <c r="B659" s="4" t="n"/>
      <c r="C659" s="4" t="n"/>
      <c r="D659" s="4" t="n"/>
      <c r="E659" s="3">
        <f>IF(OR(C659="",D659=""),"",IF(D659=1,C659,ROUND(C659*(1+D659/30),1)))</f>
        <v/>
      </c>
      <c r="F659" s="4" t="n"/>
    </row>
    <row r="660">
      <c r="A660" s="9" t="n"/>
      <c r="B660" s="4" t="n"/>
      <c r="C660" s="4" t="n"/>
      <c r="D660" s="4" t="n"/>
      <c r="E660" s="3">
        <f>IF(OR(C660="",D660=""),"",IF(D660=1,C660,ROUND(C660*(1+D660/30),1)))</f>
        <v/>
      </c>
      <c r="F660" s="4" t="n"/>
    </row>
    <row r="661">
      <c r="A661" s="9" t="n"/>
      <c r="B661" s="4" t="n"/>
      <c r="C661" s="4" t="n"/>
      <c r="D661" s="4" t="n"/>
      <c r="E661" s="3">
        <f>IF(OR(C661="",D661=""),"",IF(D661=1,C661,ROUND(C661*(1+D661/30),1)))</f>
        <v/>
      </c>
      <c r="F661" s="4" t="n"/>
    </row>
    <row r="662">
      <c r="A662" s="9" t="n"/>
      <c r="B662" s="4" t="n"/>
      <c r="C662" s="4" t="n"/>
      <c r="D662" s="4" t="n"/>
      <c r="E662" s="3">
        <f>IF(OR(C662="",D662=""),"",IF(D662=1,C662,ROUND(C662*(1+D662/30),1)))</f>
        <v/>
      </c>
      <c r="F662" s="4" t="n"/>
    </row>
    <row r="663">
      <c r="A663" s="9" t="n"/>
      <c r="B663" s="4" t="n"/>
      <c r="C663" s="4" t="n"/>
      <c r="D663" s="4" t="n"/>
      <c r="E663" s="3">
        <f>IF(OR(C663="",D663=""),"",IF(D663=1,C663,ROUND(C663*(1+D663/30),1)))</f>
        <v/>
      </c>
      <c r="F663" s="4" t="n"/>
    </row>
    <row r="664">
      <c r="A664" s="9" t="n"/>
      <c r="B664" s="4" t="n"/>
      <c r="C664" s="4" t="n"/>
      <c r="D664" s="4" t="n"/>
      <c r="E664" s="3">
        <f>IF(OR(C664="",D664=""),"",IF(D664=1,C664,ROUND(C664*(1+D664/30),1)))</f>
        <v/>
      </c>
      <c r="F664" s="4" t="n"/>
    </row>
    <row r="665">
      <c r="A665" s="9" t="n"/>
      <c r="B665" s="4" t="n"/>
      <c r="C665" s="4" t="n"/>
      <c r="D665" s="4" t="n"/>
      <c r="E665" s="3">
        <f>IF(OR(C665="",D665=""),"",IF(D665=1,C665,ROUND(C665*(1+D665/30),1)))</f>
        <v/>
      </c>
      <c r="F665" s="4" t="n"/>
    </row>
    <row r="666">
      <c r="A666" s="9" t="n"/>
      <c r="B666" s="4" t="n"/>
      <c r="C666" s="4" t="n"/>
      <c r="D666" s="4" t="n"/>
      <c r="E666" s="3">
        <f>IF(OR(C666="",D666=""),"",IF(D666=1,C666,ROUND(C666*(1+D666/30),1)))</f>
        <v/>
      </c>
      <c r="F666" s="4" t="n"/>
    </row>
    <row r="667">
      <c r="A667" s="9" t="n"/>
      <c r="B667" s="4" t="n"/>
      <c r="C667" s="4" t="n"/>
      <c r="D667" s="4" t="n"/>
      <c r="E667" s="3">
        <f>IF(OR(C667="",D667=""),"",IF(D667=1,C667,ROUND(C667*(1+D667/30),1)))</f>
        <v/>
      </c>
      <c r="F667" s="4" t="n"/>
    </row>
    <row r="668">
      <c r="A668" s="9" t="n"/>
      <c r="B668" s="4" t="n"/>
      <c r="C668" s="4" t="n"/>
      <c r="D668" s="4" t="n"/>
      <c r="E668" s="3">
        <f>IF(OR(C668="",D668=""),"",IF(D668=1,C668,ROUND(C668*(1+D668/30),1)))</f>
        <v/>
      </c>
      <c r="F668" s="4" t="n"/>
    </row>
    <row r="669">
      <c r="A669" s="9" t="n"/>
      <c r="B669" s="4" t="n"/>
      <c r="C669" s="4" t="n"/>
      <c r="D669" s="4" t="n"/>
      <c r="E669" s="3">
        <f>IF(OR(C669="",D669=""),"",IF(D669=1,C669,ROUND(C669*(1+D669/30),1)))</f>
        <v/>
      </c>
      <c r="F669" s="4" t="n"/>
    </row>
    <row r="670">
      <c r="A670" s="9" t="n"/>
      <c r="B670" s="4" t="n"/>
      <c r="C670" s="4" t="n"/>
      <c r="D670" s="4" t="n"/>
      <c r="E670" s="3">
        <f>IF(OR(C670="",D670=""),"",IF(D670=1,C670,ROUND(C670*(1+D670/30),1)))</f>
        <v/>
      </c>
      <c r="F670" s="4" t="n"/>
    </row>
    <row r="671">
      <c r="A671" s="9" t="n"/>
      <c r="B671" s="4" t="n"/>
      <c r="C671" s="4" t="n"/>
      <c r="D671" s="4" t="n"/>
      <c r="E671" s="3">
        <f>IF(OR(C671="",D671=""),"",IF(D671=1,C671,ROUND(C671*(1+D671/30),1)))</f>
        <v/>
      </c>
      <c r="F671" s="4" t="n"/>
    </row>
    <row r="672">
      <c r="A672" s="9" t="n"/>
      <c r="B672" s="4" t="n"/>
      <c r="C672" s="4" t="n"/>
      <c r="D672" s="4" t="n"/>
      <c r="E672" s="3">
        <f>IF(OR(C672="",D672=""),"",IF(D672=1,C672,ROUND(C672*(1+D672/30),1)))</f>
        <v/>
      </c>
      <c r="F672" s="4" t="n"/>
    </row>
    <row r="673">
      <c r="A673" s="9" t="n"/>
      <c r="B673" s="4" t="n"/>
      <c r="C673" s="4" t="n"/>
      <c r="D673" s="4" t="n"/>
      <c r="E673" s="3">
        <f>IF(OR(C673="",D673=""),"",IF(D673=1,C673,ROUND(C673*(1+D673/30),1)))</f>
        <v/>
      </c>
      <c r="F673" s="4" t="n"/>
    </row>
    <row r="674">
      <c r="A674" s="9" t="n"/>
      <c r="B674" s="4" t="n"/>
      <c r="C674" s="4" t="n"/>
      <c r="D674" s="4" t="n"/>
      <c r="E674" s="3">
        <f>IF(OR(C674="",D674=""),"",IF(D674=1,C674,ROUND(C674*(1+D674/30),1)))</f>
        <v/>
      </c>
      <c r="F674" s="4" t="n"/>
    </row>
    <row r="675">
      <c r="A675" s="9" t="n"/>
      <c r="B675" s="4" t="n"/>
      <c r="C675" s="4" t="n"/>
      <c r="D675" s="4" t="n"/>
      <c r="E675" s="3">
        <f>IF(OR(C675="",D675=""),"",IF(D675=1,C675,ROUND(C675*(1+D675/30),1)))</f>
        <v/>
      </c>
      <c r="F675" s="4" t="n"/>
    </row>
    <row r="676">
      <c r="A676" s="9" t="n"/>
      <c r="B676" s="4" t="n"/>
      <c r="C676" s="4" t="n"/>
      <c r="D676" s="4" t="n"/>
      <c r="E676" s="3">
        <f>IF(OR(C676="",D676=""),"",IF(D676=1,C676,ROUND(C676*(1+D676/30),1)))</f>
        <v/>
      </c>
      <c r="F676" s="4" t="n"/>
    </row>
    <row r="677">
      <c r="A677" s="9" t="n"/>
      <c r="B677" s="4" t="n"/>
      <c r="C677" s="4" t="n"/>
      <c r="D677" s="4" t="n"/>
      <c r="E677" s="3">
        <f>IF(OR(C677="",D677=""),"",IF(D677=1,C677,ROUND(C677*(1+D677/30),1)))</f>
        <v/>
      </c>
      <c r="F677" s="4" t="n"/>
    </row>
    <row r="678">
      <c r="A678" s="9" t="n"/>
      <c r="B678" s="4" t="n"/>
      <c r="C678" s="4" t="n"/>
      <c r="D678" s="4" t="n"/>
      <c r="E678" s="3">
        <f>IF(OR(C678="",D678=""),"",IF(D678=1,C678,ROUND(C678*(1+D678/30),1)))</f>
        <v/>
      </c>
      <c r="F678" s="4" t="n"/>
    </row>
    <row r="679">
      <c r="A679" s="9" t="n"/>
      <c r="B679" s="4" t="n"/>
      <c r="C679" s="4" t="n"/>
      <c r="D679" s="4" t="n"/>
      <c r="E679" s="3">
        <f>IF(OR(C679="",D679=""),"",IF(D679=1,C679,ROUND(C679*(1+D679/30),1)))</f>
        <v/>
      </c>
      <c r="F679" s="4" t="n"/>
    </row>
    <row r="680">
      <c r="A680" s="9" t="n"/>
      <c r="B680" s="4" t="n"/>
      <c r="C680" s="4" t="n"/>
      <c r="D680" s="4" t="n"/>
      <c r="E680" s="3">
        <f>IF(OR(C680="",D680=""),"",IF(D680=1,C680,ROUND(C680*(1+D680/30),1)))</f>
        <v/>
      </c>
      <c r="F680" s="4" t="n"/>
    </row>
    <row r="681">
      <c r="A681" s="9" t="n"/>
      <c r="B681" s="4" t="n"/>
      <c r="C681" s="4" t="n"/>
      <c r="D681" s="4" t="n"/>
      <c r="E681" s="3">
        <f>IF(OR(C681="",D681=""),"",IF(D681=1,C681,ROUND(C681*(1+D681/30),1)))</f>
        <v/>
      </c>
      <c r="F681" s="4" t="n"/>
    </row>
    <row r="682">
      <c r="A682" s="9" t="n"/>
      <c r="B682" s="4" t="n"/>
      <c r="C682" s="4" t="n"/>
      <c r="D682" s="4" t="n"/>
      <c r="E682" s="3">
        <f>IF(OR(C682="",D682=""),"",IF(D682=1,C682,ROUND(C682*(1+D682/30),1)))</f>
        <v/>
      </c>
      <c r="F682" s="4" t="n"/>
    </row>
    <row r="683">
      <c r="A683" s="9" t="n"/>
      <c r="B683" s="4" t="n"/>
      <c r="C683" s="4" t="n"/>
      <c r="D683" s="4" t="n"/>
      <c r="E683" s="3">
        <f>IF(OR(C683="",D683=""),"",IF(D683=1,C683,ROUND(C683*(1+D683/30),1)))</f>
        <v/>
      </c>
      <c r="F683" s="4" t="n"/>
    </row>
    <row r="684">
      <c r="A684" s="9" t="n"/>
      <c r="B684" s="4" t="n"/>
      <c r="C684" s="4" t="n"/>
      <c r="D684" s="4" t="n"/>
      <c r="E684" s="3">
        <f>IF(OR(C684="",D684=""),"",IF(D684=1,C684,ROUND(C684*(1+D684/30),1)))</f>
        <v/>
      </c>
      <c r="F684" s="4" t="n"/>
    </row>
    <row r="685">
      <c r="A685" s="9" t="n"/>
      <c r="B685" s="4" t="n"/>
      <c r="C685" s="4" t="n"/>
      <c r="D685" s="4" t="n"/>
      <c r="E685" s="3">
        <f>IF(OR(C685="",D685=""),"",IF(D685=1,C685,ROUND(C685*(1+D685/30),1)))</f>
        <v/>
      </c>
      <c r="F685" s="4" t="n"/>
    </row>
    <row r="686">
      <c r="A686" s="9" t="n"/>
      <c r="B686" s="4" t="n"/>
      <c r="C686" s="4" t="n"/>
      <c r="D686" s="4" t="n"/>
      <c r="E686" s="3">
        <f>IF(OR(C686="",D686=""),"",IF(D686=1,C686,ROUND(C686*(1+D686/30),1)))</f>
        <v/>
      </c>
      <c r="F686" s="4" t="n"/>
    </row>
    <row r="687">
      <c r="A687" s="9" t="n"/>
      <c r="B687" s="4" t="n"/>
      <c r="C687" s="4" t="n"/>
      <c r="D687" s="4" t="n"/>
      <c r="E687" s="3">
        <f>IF(OR(C687="",D687=""),"",IF(D687=1,C687,ROUND(C687*(1+D687/30),1)))</f>
        <v/>
      </c>
      <c r="F687" s="4" t="n"/>
    </row>
    <row r="688">
      <c r="A688" s="9" t="n"/>
      <c r="B688" s="4" t="n"/>
      <c r="C688" s="4" t="n"/>
      <c r="D688" s="4" t="n"/>
      <c r="E688" s="3">
        <f>IF(OR(C688="",D688=""),"",IF(D688=1,C688,ROUND(C688*(1+D688/30),1)))</f>
        <v/>
      </c>
      <c r="F688" s="4" t="n"/>
    </row>
    <row r="689">
      <c r="A689" s="9" t="n"/>
      <c r="B689" s="4" t="n"/>
      <c r="C689" s="4" t="n"/>
      <c r="D689" s="4" t="n"/>
      <c r="E689" s="3">
        <f>IF(OR(C689="",D689=""),"",IF(D689=1,C689,ROUND(C689*(1+D689/30),1)))</f>
        <v/>
      </c>
      <c r="F689" s="4" t="n"/>
    </row>
    <row r="690">
      <c r="A690" s="9" t="n"/>
      <c r="B690" s="4" t="n"/>
      <c r="C690" s="4" t="n"/>
      <c r="D690" s="4" t="n"/>
      <c r="E690" s="3">
        <f>IF(OR(C690="",D690=""),"",IF(D690=1,C690,ROUND(C690*(1+D690/30),1)))</f>
        <v/>
      </c>
      <c r="F690" s="4" t="n"/>
    </row>
    <row r="691">
      <c r="A691" s="9" t="n"/>
      <c r="B691" s="4" t="n"/>
      <c r="C691" s="4" t="n"/>
      <c r="D691" s="4" t="n"/>
      <c r="E691" s="3">
        <f>IF(OR(C691="",D691=""),"",IF(D691=1,C691,ROUND(C691*(1+D691/30),1)))</f>
        <v/>
      </c>
      <c r="F691" s="4" t="n"/>
    </row>
    <row r="692">
      <c r="A692" s="9" t="n"/>
      <c r="B692" s="4" t="n"/>
      <c r="C692" s="4" t="n"/>
      <c r="D692" s="4" t="n"/>
      <c r="E692" s="3">
        <f>IF(OR(C692="",D692=""),"",IF(D692=1,C692,ROUND(C692*(1+D692/30),1)))</f>
        <v/>
      </c>
      <c r="F692" s="4" t="n"/>
    </row>
    <row r="693">
      <c r="A693" s="9" t="n"/>
      <c r="B693" s="4" t="n"/>
      <c r="C693" s="4" t="n"/>
      <c r="D693" s="4" t="n"/>
      <c r="E693" s="3">
        <f>IF(OR(C693="",D693=""),"",IF(D693=1,C693,ROUND(C693*(1+D693/30),1)))</f>
        <v/>
      </c>
      <c r="F693" s="4" t="n"/>
    </row>
    <row r="694">
      <c r="A694" s="9" t="n"/>
      <c r="B694" s="4" t="n"/>
      <c r="C694" s="4" t="n"/>
      <c r="D694" s="4" t="n"/>
      <c r="E694" s="3">
        <f>IF(OR(C694="",D694=""),"",IF(D694=1,C694,ROUND(C694*(1+D694/30),1)))</f>
        <v/>
      </c>
      <c r="F694" s="4" t="n"/>
    </row>
    <row r="695">
      <c r="A695" s="9" t="n"/>
      <c r="B695" s="4" t="n"/>
      <c r="C695" s="4" t="n"/>
      <c r="D695" s="4" t="n"/>
      <c r="E695" s="3">
        <f>IF(OR(C695="",D695=""),"",IF(D695=1,C695,ROUND(C695*(1+D695/30),1)))</f>
        <v/>
      </c>
      <c r="F695" s="4" t="n"/>
    </row>
    <row r="696">
      <c r="A696" s="9" t="n"/>
      <c r="B696" s="4" t="n"/>
      <c r="C696" s="4" t="n"/>
      <c r="D696" s="4" t="n"/>
      <c r="E696" s="3">
        <f>IF(OR(C696="",D696=""),"",IF(D696=1,C696,ROUND(C696*(1+D696/30),1)))</f>
        <v/>
      </c>
      <c r="F696" s="4" t="n"/>
    </row>
    <row r="697">
      <c r="A697" s="9" t="n"/>
      <c r="B697" s="4" t="n"/>
      <c r="C697" s="4" t="n"/>
      <c r="D697" s="4" t="n"/>
      <c r="E697" s="3">
        <f>IF(OR(C697="",D697=""),"",IF(D697=1,C697,ROUND(C697*(1+D697/30),1)))</f>
        <v/>
      </c>
      <c r="F697" s="4" t="n"/>
    </row>
    <row r="698">
      <c r="A698" s="9" t="n"/>
      <c r="B698" s="4" t="n"/>
      <c r="C698" s="4" t="n"/>
      <c r="D698" s="4" t="n"/>
      <c r="E698" s="3">
        <f>IF(OR(C698="",D698=""),"",IF(D698=1,C698,ROUND(C698*(1+D698/30),1)))</f>
        <v/>
      </c>
      <c r="F698" s="4" t="n"/>
    </row>
    <row r="699">
      <c r="A699" s="9" t="n"/>
      <c r="B699" s="4" t="n"/>
      <c r="C699" s="4" t="n"/>
      <c r="D699" s="4" t="n"/>
      <c r="E699" s="3">
        <f>IF(OR(C699="",D699=""),"",IF(D699=1,C699,ROUND(C699*(1+D699/30),1)))</f>
        <v/>
      </c>
      <c r="F699" s="4" t="n"/>
    </row>
    <row r="700">
      <c r="A700" s="9" t="n"/>
      <c r="B700" s="4" t="n"/>
      <c r="C700" s="4" t="n"/>
      <c r="D700" s="4" t="n"/>
      <c r="E700" s="3">
        <f>IF(OR(C700="",D700=""),"",IF(D700=1,C700,ROUND(C700*(1+D700/30),1)))</f>
        <v/>
      </c>
      <c r="F700" s="4" t="n"/>
    </row>
    <row r="701">
      <c r="A701" s="9" t="n"/>
      <c r="B701" s="4" t="n"/>
      <c r="C701" s="4" t="n"/>
      <c r="D701" s="4" t="n"/>
      <c r="E701" s="3">
        <f>IF(OR(C701="",D701=""),"",IF(D701=1,C701,ROUND(C701*(1+D701/30),1)))</f>
        <v/>
      </c>
      <c r="F701" s="4" t="n"/>
    </row>
    <row r="702">
      <c r="A702" s="9" t="n"/>
      <c r="B702" s="4" t="n"/>
      <c r="C702" s="4" t="n"/>
      <c r="D702" s="4" t="n"/>
      <c r="E702" s="3">
        <f>IF(OR(C702="",D702=""),"",IF(D702=1,C702,ROUND(C702*(1+D702/30),1)))</f>
        <v/>
      </c>
      <c r="F702" s="4" t="n"/>
    </row>
    <row r="703">
      <c r="A703" s="9" t="n"/>
      <c r="B703" s="4" t="n"/>
      <c r="C703" s="4" t="n"/>
      <c r="D703" s="4" t="n"/>
      <c r="E703" s="3">
        <f>IF(OR(C703="",D703=""),"",IF(D703=1,C703,ROUND(C703*(1+D703/30),1)))</f>
        <v/>
      </c>
      <c r="F703" s="4" t="n"/>
    </row>
    <row r="704">
      <c r="A704" s="9" t="n"/>
      <c r="B704" s="4" t="n"/>
      <c r="C704" s="4" t="n"/>
      <c r="D704" s="4" t="n"/>
      <c r="E704" s="3">
        <f>IF(OR(C704="",D704=""),"",IF(D704=1,C704,ROUND(C704*(1+D704/30),1)))</f>
        <v/>
      </c>
      <c r="F704" s="4" t="n"/>
    </row>
    <row r="705">
      <c r="A705" s="9" t="n"/>
      <c r="B705" s="4" t="n"/>
      <c r="C705" s="4" t="n"/>
      <c r="D705" s="4" t="n"/>
      <c r="E705" s="3">
        <f>IF(OR(C705="",D705=""),"",IF(D705=1,C705,ROUND(C705*(1+D705/30),1)))</f>
        <v/>
      </c>
      <c r="F705" s="4" t="n"/>
    </row>
    <row r="706">
      <c r="A706" s="9" t="n"/>
      <c r="B706" s="4" t="n"/>
      <c r="C706" s="4" t="n"/>
      <c r="D706" s="4" t="n"/>
      <c r="E706" s="3">
        <f>IF(OR(C706="",D706=""),"",IF(D706=1,C706,ROUND(C706*(1+D706/30),1)))</f>
        <v/>
      </c>
      <c r="F706" s="4" t="n"/>
    </row>
    <row r="707">
      <c r="A707" s="9" t="n"/>
      <c r="B707" s="4" t="n"/>
      <c r="C707" s="4" t="n"/>
      <c r="D707" s="4" t="n"/>
      <c r="E707" s="3">
        <f>IF(OR(C707="",D707=""),"",IF(D707=1,C707,ROUND(C707*(1+D707/30),1)))</f>
        <v/>
      </c>
      <c r="F707" s="4" t="n"/>
    </row>
    <row r="708">
      <c r="A708" s="9" t="n"/>
      <c r="B708" s="4" t="n"/>
      <c r="C708" s="4" t="n"/>
      <c r="D708" s="4" t="n"/>
      <c r="E708" s="3">
        <f>IF(OR(C708="",D708=""),"",IF(D708=1,C708,ROUND(C708*(1+D708/30),1)))</f>
        <v/>
      </c>
      <c r="F708" s="4" t="n"/>
    </row>
    <row r="709">
      <c r="A709" s="9" t="n"/>
      <c r="B709" s="4" t="n"/>
      <c r="C709" s="4" t="n"/>
      <c r="D709" s="4" t="n"/>
      <c r="E709" s="3">
        <f>IF(OR(C709="",D709=""),"",IF(D709=1,C709,ROUND(C709*(1+D709/30),1)))</f>
        <v/>
      </c>
      <c r="F709" s="4" t="n"/>
    </row>
    <row r="710">
      <c r="A710" s="9" t="n"/>
      <c r="B710" s="4" t="n"/>
      <c r="C710" s="4" t="n"/>
      <c r="D710" s="4" t="n"/>
      <c r="E710" s="3">
        <f>IF(OR(C710="",D710=""),"",IF(D710=1,C710,ROUND(C710*(1+D710/30),1)))</f>
        <v/>
      </c>
      <c r="F710" s="4" t="n"/>
    </row>
    <row r="711">
      <c r="A711" s="9" t="n"/>
      <c r="B711" s="4" t="n"/>
      <c r="C711" s="4" t="n"/>
      <c r="D711" s="4" t="n"/>
      <c r="E711" s="3">
        <f>IF(OR(C711="",D711=""),"",IF(D711=1,C711,ROUND(C711*(1+D711/30),1)))</f>
        <v/>
      </c>
      <c r="F711" s="4" t="n"/>
    </row>
    <row r="712">
      <c r="A712" s="9" t="n"/>
      <c r="B712" s="4" t="n"/>
      <c r="C712" s="4" t="n"/>
      <c r="D712" s="4" t="n"/>
      <c r="E712" s="3">
        <f>IF(OR(C712="",D712=""),"",IF(D712=1,C712,ROUND(C712*(1+D712/30),1)))</f>
        <v/>
      </c>
      <c r="F712" s="4" t="n"/>
    </row>
    <row r="713">
      <c r="A713" s="9" t="n"/>
      <c r="B713" s="4" t="n"/>
      <c r="C713" s="4" t="n"/>
      <c r="D713" s="4" t="n"/>
      <c r="E713" s="3">
        <f>IF(OR(C713="",D713=""),"",IF(D713=1,C713,ROUND(C713*(1+D713/30),1)))</f>
        <v/>
      </c>
      <c r="F713" s="4" t="n"/>
    </row>
    <row r="714">
      <c r="A714" s="9" t="n"/>
      <c r="B714" s="4" t="n"/>
      <c r="C714" s="4" t="n"/>
      <c r="D714" s="4" t="n"/>
      <c r="E714" s="3">
        <f>IF(OR(C714="",D714=""),"",IF(D714=1,C714,ROUND(C714*(1+D714/30),1)))</f>
        <v/>
      </c>
      <c r="F714" s="4" t="n"/>
    </row>
    <row r="715">
      <c r="A715" s="9" t="n"/>
      <c r="B715" s="4" t="n"/>
      <c r="C715" s="4" t="n"/>
      <c r="D715" s="4" t="n"/>
      <c r="E715" s="3">
        <f>IF(OR(C715="",D715=""),"",IF(D715=1,C715,ROUND(C715*(1+D715/30),1)))</f>
        <v/>
      </c>
      <c r="F715" s="4" t="n"/>
    </row>
    <row r="716">
      <c r="A716" s="9" t="n"/>
      <c r="B716" s="4" t="n"/>
      <c r="C716" s="4" t="n"/>
      <c r="D716" s="4" t="n"/>
      <c r="E716" s="3">
        <f>IF(OR(C716="",D716=""),"",IF(D716=1,C716,ROUND(C716*(1+D716/30),1)))</f>
        <v/>
      </c>
      <c r="F716" s="4" t="n"/>
    </row>
    <row r="717">
      <c r="A717" s="9" t="n"/>
      <c r="B717" s="4" t="n"/>
      <c r="C717" s="4" t="n"/>
      <c r="D717" s="4" t="n"/>
      <c r="E717" s="3">
        <f>IF(OR(C717="",D717=""),"",IF(D717=1,C717,ROUND(C717*(1+D717/30),1)))</f>
        <v/>
      </c>
      <c r="F717" s="4" t="n"/>
    </row>
    <row r="718">
      <c r="A718" s="9" t="n"/>
      <c r="B718" s="4" t="n"/>
      <c r="C718" s="4" t="n"/>
      <c r="D718" s="4" t="n"/>
      <c r="E718" s="3">
        <f>IF(OR(C718="",D718=""),"",IF(D718=1,C718,ROUND(C718*(1+D718/30),1)))</f>
        <v/>
      </c>
      <c r="F718" s="4" t="n"/>
    </row>
    <row r="719">
      <c r="A719" s="9" t="n"/>
      <c r="B719" s="4" t="n"/>
      <c r="C719" s="4" t="n"/>
      <c r="D719" s="4" t="n"/>
      <c r="E719" s="3">
        <f>IF(OR(C719="",D719=""),"",IF(D719=1,C719,ROUND(C719*(1+D719/30),1)))</f>
        <v/>
      </c>
      <c r="F719" s="4" t="n"/>
    </row>
    <row r="720">
      <c r="A720" s="9" t="n"/>
      <c r="B720" s="4" t="n"/>
      <c r="C720" s="4" t="n"/>
      <c r="D720" s="4" t="n"/>
      <c r="E720" s="3">
        <f>IF(OR(C720="",D720=""),"",IF(D720=1,C720,ROUND(C720*(1+D720/30),1)))</f>
        <v/>
      </c>
      <c r="F720" s="4" t="n"/>
    </row>
    <row r="721">
      <c r="A721" s="9" t="n"/>
      <c r="B721" s="4" t="n"/>
      <c r="C721" s="4" t="n"/>
      <c r="D721" s="4" t="n"/>
      <c r="E721" s="3">
        <f>IF(OR(C721="",D721=""),"",IF(D721=1,C721,ROUND(C721*(1+D721/30),1)))</f>
        <v/>
      </c>
      <c r="F721" s="4" t="n"/>
    </row>
    <row r="722">
      <c r="A722" s="9" t="n"/>
      <c r="B722" s="4" t="n"/>
      <c r="C722" s="4" t="n"/>
      <c r="D722" s="4" t="n"/>
      <c r="E722" s="3">
        <f>IF(OR(C722="",D722=""),"",IF(D722=1,C722,ROUND(C722*(1+D722/30),1)))</f>
        <v/>
      </c>
      <c r="F722" s="4" t="n"/>
    </row>
    <row r="723">
      <c r="A723" s="9" t="n"/>
      <c r="B723" s="4" t="n"/>
      <c r="C723" s="4" t="n"/>
      <c r="D723" s="4" t="n"/>
      <c r="E723" s="3">
        <f>IF(OR(C723="",D723=""),"",IF(D723=1,C723,ROUND(C723*(1+D723/30),1)))</f>
        <v/>
      </c>
      <c r="F723" s="4" t="n"/>
    </row>
    <row r="724">
      <c r="A724" s="9" t="n"/>
      <c r="B724" s="4" t="n"/>
      <c r="C724" s="4" t="n"/>
      <c r="D724" s="4" t="n"/>
      <c r="E724" s="3">
        <f>IF(OR(C724="",D724=""),"",IF(D724=1,C724,ROUND(C724*(1+D724/30),1)))</f>
        <v/>
      </c>
      <c r="F724" s="4" t="n"/>
    </row>
    <row r="725">
      <c r="A725" s="9" t="n"/>
      <c r="B725" s="4" t="n"/>
      <c r="C725" s="4" t="n"/>
      <c r="D725" s="4" t="n"/>
      <c r="E725" s="3">
        <f>IF(OR(C725="",D725=""),"",IF(D725=1,C725,ROUND(C725*(1+D725/30),1)))</f>
        <v/>
      </c>
      <c r="F725" s="4" t="n"/>
    </row>
    <row r="726">
      <c r="A726" s="9" t="n"/>
      <c r="B726" s="4" t="n"/>
      <c r="C726" s="4" t="n"/>
      <c r="D726" s="4" t="n"/>
      <c r="E726" s="3">
        <f>IF(OR(C726="",D726=""),"",IF(D726=1,C726,ROUND(C726*(1+D726/30),1)))</f>
        <v/>
      </c>
      <c r="F726" s="4" t="n"/>
    </row>
    <row r="727">
      <c r="A727" s="9" t="n"/>
      <c r="B727" s="4" t="n"/>
      <c r="C727" s="4" t="n"/>
      <c r="D727" s="4" t="n"/>
      <c r="E727" s="3">
        <f>IF(OR(C727="",D727=""),"",IF(D727=1,C727,ROUND(C727*(1+D727/30),1)))</f>
        <v/>
      </c>
      <c r="F727" s="4" t="n"/>
    </row>
    <row r="728">
      <c r="A728" s="9" t="n"/>
      <c r="B728" s="4" t="n"/>
      <c r="C728" s="4" t="n"/>
      <c r="D728" s="4" t="n"/>
      <c r="E728" s="3">
        <f>IF(OR(C728="",D728=""),"",IF(D728=1,C728,ROUND(C728*(1+D728/30),1)))</f>
        <v/>
      </c>
      <c r="F728" s="4" t="n"/>
    </row>
    <row r="729">
      <c r="A729" s="9" t="n"/>
      <c r="B729" s="4" t="n"/>
      <c r="C729" s="4" t="n"/>
      <c r="D729" s="4" t="n"/>
      <c r="E729" s="3">
        <f>IF(OR(C729="",D729=""),"",IF(D729=1,C729,ROUND(C729*(1+D729/30),1)))</f>
        <v/>
      </c>
      <c r="F729" s="4" t="n"/>
    </row>
    <row r="730">
      <c r="A730" s="9" t="n"/>
      <c r="B730" s="4" t="n"/>
      <c r="C730" s="4" t="n"/>
      <c r="D730" s="4" t="n"/>
      <c r="E730" s="3">
        <f>IF(OR(C730="",D730=""),"",IF(D730=1,C730,ROUND(C730*(1+D730/30),1)))</f>
        <v/>
      </c>
      <c r="F730" s="4" t="n"/>
    </row>
    <row r="731">
      <c r="A731" s="9" t="n"/>
      <c r="B731" s="4" t="n"/>
      <c r="C731" s="4" t="n"/>
      <c r="D731" s="4" t="n"/>
      <c r="E731" s="3">
        <f>IF(OR(C731="",D731=""),"",IF(D731=1,C731,ROUND(C731*(1+D731/30),1)))</f>
        <v/>
      </c>
      <c r="F731" s="4" t="n"/>
    </row>
    <row r="732">
      <c r="A732" s="9" t="n"/>
      <c r="B732" s="4" t="n"/>
      <c r="C732" s="4" t="n"/>
      <c r="D732" s="4" t="n"/>
      <c r="E732" s="3">
        <f>IF(OR(C732="",D732=""),"",IF(D732=1,C732,ROUND(C732*(1+D732/30),1)))</f>
        <v/>
      </c>
      <c r="F732" s="4" t="n"/>
    </row>
    <row r="733">
      <c r="A733" s="9" t="n"/>
      <c r="B733" s="4" t="n"/>
      <c r="C733" s="4" t="n"/>
      <c r="D733" s="4" t="n"/>
      <c r="E733" s="3">
        <f>IF(OR(C733="",D733=""),"",IF(D733=1,C733,ROUND(C733*(1+D733/30),1)))</f>
        <v/>
      </c>
      <c r="F733" s="4" t="n"/>
    </row>
    <row r="734">
      <c r="A734" s="9" t="n"/>
      <c r="B734" s="4" t="n"/>
      <c r="C734" s="4" t="n"/>
      <c r="D734" s="4" t="n"/>
      <c r="E734" s="3">
        <f>IF(OR(C734="",D734=""),"",IF(D734=1,C734,ROUND(C734*(1+D734/30),1)))</f>
        <v/>
      </c>
      <c r="F734" s="4" t="n"/>
    </row>
    <row r="735">
      <c r="A735" s="9" t="n"/>
      <c r="B735" s="4" t="n"/>
      <c r="C735" s="4" t="n"/>
      <c r="D735" s="4" t="n"/>
      <c r="E735" s="3">
        <f>IF(OR(C735="",D735=""),"",IF(D735=1,C735,ROUND(C735*(1+D735/30),1)))</f>
        <v/>
      </c>
      <c r="F735" s="4" t="n"/>
    </row>
    <row r="736">
      <c r="A736" s="9" t="n"/>
      <c r="B736" s="4" t="n"/>
      <c r="C736" s="4" t="n"/>
      <c r="D736" s="4" t="n"/>
      <c r="E736" s="3">
        <f>IF(OR(C736="",D736=""),"",IF(D736=1,C736,ROUND(C736*(1+D736/30),1)))</f>
        <v/>
      </c>
      <c r="F736" s="4" t="n"/>
    </row>
    <row r="737">
      <c r="A737" s="9" t="n"/>
      <c r="B737" s="4" t="n"/>
      <c r="C737" s="4" t="n"/>
      <c r="D737" s="4" t="n"/>
      <c r="E737" s="3">
        <f>IF(OR(C737="",D737=""),"",IF(D737=1,C737,ROUND(C737*(1+D737/30),1)))</f>
        <v/>
      </c>
      <c r="F737" s="4" t="n"/>
    </row>
    <row r="738">
      <c r="A738" s="9" t="n"/>
      <c r="B738" s="4" t="n"/>
      <c r="C738" s="4" t="n"/>
      <c r="D738" s="4" t="n"/>
      <c r="E738" s="3">
        <f>IF(OR(C738="",D738=""),"",IF(D738=1,C738,ROUND(C738*(1+D738/30),1)))</f>
        <v/>
      </c>
      <c r="F738" s="4" t="n"/>
    </row>
    <row r="739">
      <c r="A739" s="9" t="n"/>
      <c r="B739" s="4" t="n"/>
      <c r="C739" s="4" t="n"/>
      <c r="D739" s="4" t="n"/>
      <c r="E739" s="3">
        <f>IF(OR(C739="",D739=""),"",IF(D739=1,C739,ROUND(C739*(1+D739/30),1)))</f>
        <v/>
      </c>
      <c r="F739" s="4" t="n"/>
    </row>
    <row r="740">
      <c r="A740" s="9" t="n"/>
      <c r="B740" s="4" t="n"/>
      <c r="C740" s="4" t="n"/>
      <c r="D740" s="4" t="n"/>
      <c r="E740" s="3">
        <f>IF(OR(C740="",D740=""),"",IF(D740=1,C740,ROUND(C740*(1+D740/30),1)))</f>
        <v/>
      </c>
      <c r="F740" s="4" t="n"/>
    </row>
    <row r="741">
      <c r="A741" s="9" t="n"/>
      <c r="B741" s="4" t="n"/>
      <c r="C741" s="4" t="n"/>
      <c r="D741" s="4" t="n"/>
      <c r="E741" s="3">
        <f>IF(OR(C741="",D741=""),"",IF(D741=1,C741,ROUND(C741*(1+D741/30),1)))</f>
        <v/>
      </c>
      <c r="F741" s="4" t="n"/>
    </row>
    <row r="742">
      <c r="A742" s="9" t="n"/>
      <c r="B742" s="4" t="n"/>
      <c r="C742" s="4" t="n"/>
      <c r="D742" s="4" t="n"/>
      <c r="E742" s="3">
        <f>IF(OR(C742="",D742=""),"",IF(D742=1,C742,ROUND(C742*(1+D742/30),1)))</f>
        <v/>
      </c>
      <c r="F742" s="4" t="n"/>
    </row>
    <row r="743">
      <c r="A743" s="9" t="n"/>
      <c r="B743" s="4" t="n"/>
      <c r="C743" s="4" t="n"/>
      <c r="D743" s="4" t="n"/>
      <c r="E743" s="3">
        <f>IF(OR(C743="",D743=""),"",IF(D743=1,C743,ROUND(C743*(1+D743/30),1)))</f>
        <v/>
      </c>
      <c r="F743" s="4" t="n"/>
    </row>
    <row r="744">
      <c r="A744" s="9" t="n"/>
      <c r="B744" s="4" t="n"/>
      <c r="C744" s="4" t="n"/>
      <c r="D744" s="4" t="n"/>
      <c r="E744" s="3">
        <f>IF(OR(C744="",D744=""),"",IF(D744=1,C744,ROUND(C744*(1+D744/30),1)))</f>
        <v/>
      </c>
      <c r="F744" s="4" t="n"/>
    </row>
    <row r="745">
      <c r="A745" s="9" t="n"/>
      <c r="B745" s="4" t="n"/>
      <c r="C745" s="4" t="n"/>
      <c r="D745" s="4" t="n"/>
      <c r="E745" s="3">
        <f>IF(OR(C745="",D745=""),"",IF(D745=1,C745,ROUND(C745*(1+D745/30),1)))</f>
        <v/>
      </c>
      <c r="F745" s="4" t="n"/>
    </row>
    <row r="746">
      <c r="A746" s="9" t="n"/>
      <c r="B746" s="4" t="n"/>
      <c r="C746" s="4" t="n"/>
      <c r="D746" s="4" t="n"/>
      <c r="E746" s="3">
        <f>IF(OR(C746="",D746=""),"",IF(D746=1,C746,ROUND(C746*(1+D746/30),1)))</f>
        <v/>
      </c>
      <c r="F746" s="4" t="n"/>
    </row>
    <row r="747">
      <c r="A747" s="9" t="n"/>
      <c r="B747" s="4" t="n"/>
      <c r="C747" s="4" t="n"/>
      <c r="D747" s="4" t="n"/>
      <c r="E747" s="3">
        <f>IF(OR(C747="",D747=""),"",IF(D747=1,C747,ROUND(C747*(1+D747/30),1)))</f>
        <v/>
      </c>
      <c r="F747" s="4" t="n"/>
    </row>
    <row r="748">
      <c r="A748" s="9" t="n"/>
      <c r="B748" s="4" t="n"/>
      <c r="C748" s="4" t="n"/>
      <c r="D748" s="4" t="n"/>
      <c r="E748" s="3">
        <f>IF(OR(C748="",D748=""),"",IF(D748=1,C748,ROUND(C748*(1+D748/30),1)))</f>
        <v/>
      </c>
      <c r="F748" s="4" t="n"/>
    </row>
    <row r="749">
      <c r="A749" s="9" t="n"/>
      <c r="B749" s="4" t="n"/>
      <c r="C749" s="4" t="n"/>
      <c r="D749" s="4" t="n"/>
      <c r="E749" s="3">
        <f>IF(OR(C749="",D749=""),"",IF(D749=1,C749,ROUND(C749*(1+D749/30),1)))</f>
        <v/>
      </c>
      <c r="F749" s="4" t="n"/>
    </row>
    <row r="750">
      <c r="A750" s="9" t="n"/>
      <c r="B750" s="4" t="n"/>
      <c r="C750" s="4" t="n"/>
      <c r="D750" s="4" t="n"/>
      <c r="E750" s="3">
        <f>IF(OR(C750="",D750=""),"",IF(D750=1,C750,ROUND(C750*(1+D750/30),1)))</f>
        <v/>
      </c>
      <c r="F750" s="4" t="n"/>
    </row>
    <row r="751">
      <c r="A751" s="9" t="n"/>
      <c r="B751" s="4" t="n"/>
      <c r="C751" s="4" t="n"/>
      <c r="D751" s="4" t="n"/>
      <c r="E751" s="3">
        <f>IF(OR(C751="",D751=""),"",IF(D751=1,C751,ROUND(C751*(1+D751/30),1)))</f>
        <v/>
      </c>
      <c r="F751" s="4" t="n"/>
    </row>
    <row r="752">
      <c r="A752" s="9" t="n"/>
      <c r="B752" s="4" t="n"/>
      <c r="C752" s="4" t="n"/>
      <c r="D752" s="4" t="n"/>
      <c r="E752" s="3">
        <f>IF(OR(C752="",D752=""),"",IF(D752=1,C752,ROUND(C752*(1+D752/30),1)))</f>
        <v/>
      </c>
      <c r="F752" s="4" t="n"/>
    </row>
    <row r="753">
      <c r="A753" s="9" t="n"/>
      <c r="B753" s="4" t="n"/>
      <c r="C753" s="4" t="n"/>
      <c r="D753" s="4" t="n"/>
      <c r="E753" s="3">
        <f>IF(OR(C753="",D753=""),"",IF(D753=1,C753,ROUND(C753*(1+D753/30),1)))</f>
        <v/>
      </c>
      <c r="F753" s="4" t="n"/>
    </row>
    <row r="754">
      <c r="A754" s="9" t="n"/>
      <c r="B754" s="4" t="n"/>
      <c r="C754" s="4" t="n"/>
      <c r="D754" s="4" t="n"/>
      <c r="E754" s="3">
        <f>IF(OR(C754="",D754=""),"",IF(D754=1,C754,ROUND(C754*(1+D754/30),1)))</f>
        <v/>
      </c>
      <c r="F754" s="4" t="n"/>
    </row>
    <row r="755">
      <c r="A755" s="9" t="n"/>
      <c r="B755" s="4" t="n"/>
      <c r="C755" s="4" t="n"/>
      <c r="D755" s="4" t="n"/>
      <c r="E755" s="3">
        <f>IF(OR(C755="",D755=""),"",IF(D755=1,C755,ROUND(C755*(1+D755/30),1)))</f>
        <v/>
      </c>
      <c r="F755" s="4" t="n"/>
    </row>
    <row r="756">
      <c r="A756" s="9" t="n"/>
      <c r="B756" s="4" t="n"/>
      <c r="C756" s="4" t="n"/>
      <c r="D756" s="4" t="n"/>
      <c r="E756" s="3">
        <f>IF(OR(C756="",D756=""),"",IF(D756=1,C756,ROUND(C756*(1+D756/30),1)))</f>
        <v/>
      </c>
      <c r="F756" s="4" t="n"/>
    </row>
    <row r="757">
      <c r="A757" s="9" t="n"/>
      <c r="B757" s="4" t="n"/>
      <c r="C757" s="4" t="n"/>
      <c r="D757" s="4" t="n"/>
      <c r="E757" s="3">
        <f>IF(OR(C757="",D757=""),"",IF(D757=1,C757,ROUND(C757*(1+D757/30),1)))</f>
        <v/>
      </c>
      <c r="F757" s="4" t="n"/>
    </row>
    <row r="758">
      <c r="A758" s="9" t="n"/>
      <c r="B758" s="4" t="n"/>
      <c r="C758" s="4" t="n"/>
      <c r="D758" s="4" t="n"/>
      <c r="E758" s="3">
        <f>IF(OR(C758="",D758=""),"",IF(D758=1,C758,ROUND(C758*(1+D758/30),1)))</f>
        <v/>
      </c>
      <c r="F758" s="4" t="n"/>
    </row>
    <row r="759">
      <c r="A759" s="9" t="n"/>
      <c r="B759" s="4" t="n"/>
      <c r="C759" s="4" t="n"/>
      <c r="D759" s="4" t="n"/>
      <c r="E759" s="3">
        <f>IF(OR(C759="",D759=""),"",IF(D759=1,C759,ROUND(C759*(1+D759/30),1)))</f>
        <v/>
      </c>
      <c r="F759" s="4" t="n"/>
    </row>
    <row r="760">
      <c r="A760" s="9" t="n"/>
      <c r="B760" s="4" t="n"/>
      <c r="C760" s="4" t="n"/>
      <c r="D760" s="4" t="n"/>
      <c r="E760" s="3">
        <f>IF(OR(C760="",D760=""),"",IF(D760=1,C760,ROUND(C760*(1+D760/30),1)))</f>
        <v/>
      </c>
      <c r="F760" s="4" t="n"/>
    </row>
    <row r="761">
      <c r="A761" s="9" t="n"/>
      <c r="B761" s="4" t="n"/>
      <c r="C761" s="4" t="n"/>
      <c r="D761" s="4" t="n"/>
      <c r="E761" s="3">
        <f>IF(OR(C761="",D761=""),"",IF(D761=1,C761,ROUND(C761*(1+D761/30),1)))</f>
        <v/>
      </c>
      <c r="F761" s="4" t="n"/>
    </row>
    <row r="762">
      <c r="A762" s="9" t="n"/>
      <c r="B762" s="4" t="n"/>
      <c r="C762" s="4" t="n"/>
      <c r="D762" s="4" t="n"/>
      <c r="E762" s="3">
        <f>IF(OR(C762="",D762=""),"",IF(D762=1,C762,ROUND(C762*(1+D762/30),1)))</f>
        <v/>
      </c>
      <c r="F762" s="4" t="n"/>
    </row>
    <row r="763">
      <c r="A763" s="9" t="n"/>
      <c r="B763" s="4" t="n"/>
      <c r="C763" s="4" t="n"/>
      <c r="D763" s="4" t="n"/>
      <c r="E763" s="3">
        <f>IF(OR(C763="",D763=""),"",IF(D763=1,C763,ROUND(C763*(1+D763/30),1)))</f>
        <v/>
      </c>
      <c r="F763" s="4" t="n"/>
    </row>
    <row r="764">
      <c r="A764" s="9" t="n"/>
      <c r="B764" s="4" t="n"/>
      <c r="C764" s="4" t="n"/>
      <c r="D764" s="4" t="n"/>
      <c r="E764" s="3">
        <f>IF(OR(C764="",D764=""),"",IF(D764=1,C764,ROUND(C764*(1+D764/30),1)))</f>
        <v/>
      </c>
      <c r="F764" s="4" t="n"/>
    </row>
    <row r="765">
      <c r="A765" s="9" t="n"/>
      <c r="B765" s="4" t="n"/>
      <c r="C765" s="4" t="n"/>
      <c r="D765" s="4" t="n"/>
      <c r="E765" s="3">
        <f>IF(OR(C765="",D765=""),"",IF(D765=1,C765,ROUND(C765*(1+D765/30),1)))</f>
        <v/>
      </c>
      <c r="F765" s="4" t="n"/>
    </row>
    <row r="766">
      <c r="A766" s="9" t="n"/>
      <c r="B766" s="4" t="n"/>
      <c r="C766" s="4" t="n"/>
      <c r="D766" s="4" t="n"/>
      <c r="E766" s="3">
        <f>IF(OR(C766="",D766=""),"",IF(D766=1,C766,ROUND(C766*(1+D766/30),1)))</f>
        <v/>
      </c>
      <c r="F766" s="4" t="n"/>
    </row>
    <row r="767">
      <c r="A767" s="9" t="n"/>
      <c r="B767" s="4" t="n"/>
      <c r="C767" s="4" t="n"/>
      <c r="D767" s="4" t="n"/>
      <c r="E767" s="3">
        <f>IF(OR(C767="",D767=""),"",IF(D767=1,C767,ROUND(C767*(1+D767/30),1)))</f>
        <v/>
      </c>
      <c r="F767" s="4" t="n"/>
    </row>
    <row r="768">
      <c r="A768" s="9" t="n"/>
      <c r="B768" s="4" t="n"/>
      <c r="C768" s="4" t="n"/>
      <c r="D768" s="4" t="n"/>
      <c r="E768" s="3">
        <f>IF(OR(C768="",D768=""),"",IF(D768=1,C768,ROUND(C768*(1+D768/30),1)))</f>
        <v/>
      </c>
      <c r="F768" s="4" t="n"/>
    </row>
    <row r="769">
      <c r="A769" s="9" t="n"/>
      <c r="B769" s="4" t="n"/>
      <c r="C769" s="4" t="n"/>
      <c r="D769" s="4" t="n"/>
      <c r="E769" s="3">
        <f>IF(OR(C769="",D769=""),"",IF(D769=1,C769,ROUND(C769*(1+D769/30),1)))</f>
        <v/>
      </c>
      <c r="F769" s="4" t="n"/>
    </row>
    <row r="770">
      <c r="A770" s="9" t="n"/>
      <c r="B770" s="4" t="n"/>
      <c r="C770" s="4" t="n"/>
      <c r="D770" s="4" t="n"/>
      <c r="E770" s="3">
        <f>IF(OR(C770="",D770=""),"",IF(D770=1,C770,ROUND(C770*(1+D770/30),1)))</f>
        <v/>
      </c>
      <c r="F770" s="4" t="n"/>
    </row>
    <row r="771">
      <c r="A771" s="9" t="n"/>
      <c r="B771" s="4" t="n"/>
      <c r="C771" s="4" t="n"/>
      <c r="D771" s="4" t="n"/>
      <c r="E771" s="3">
        <f>IF(OR(C771="",D771=""),"",IF(D771=1,C771,ROUND(C771*(1+D771/30),1)))</f>
        <v/>
      </c>
      <c r="F771" s="4" t="n"/>
    </row>
    <row r="772">
      <c r="A772" s="9" t="n"/>
      <c r="B772" s="4" t="n"/>
      <c r="C772" s="4" t="n"/>
      <c r="D772" s="4" t="n"/>
      <c r="E772" s="3">
        <f>IF(OR(C772="",D772=""),"",IF(D772=1,C772,ROUND(C772*(1+D772/30),1)))</f>
        <v/>
      </c>
      <c r="F772" s="4" t="n"/>
    </row>
    <row r="773">
      <c r="A773" s="9" t="n"/>
      <c r="B773" s="4" t="n"/>
      <c r="C773" s="4" t="n"/>
      <c r="D773" s="4" t="n"/>
      <c r="E773" s="3">
        <f>IF(OR(C773="",D773=""),"",IF(D773=1,C773,ROUND(C773*(1+D773/30),1)))</f>
        <v/>
      </c>
      <c r="F773" s="4" t="n"/>
    </row>
    <row r="774">
      <c r="A774" s="9" t="n"/>
      <c r="B774" s="4" t="n"/>
      <c r="C774" s="4" t="n"/>
      <c r="D774" s="4" t="n"/>
      <c r="E774" s="3">
        <f>IF(OR(C774="",D774=""),"",IF(D774=1,C774,ROUND(C774*(1+D774/30),1)))</f>
        <v/>
      </c>
      <c r="F774" s="4" t="n"/>
    </row>
    <row r="775">
      <c r="A775" s="9" t="n"/>
      <c r="B775" s="4" t="n"/>
      <c r="C775" s="4" t="n"/>
      <c r="D775" s="4" t="n"/>
      <c r="E775" s="3">
        <f>IF(OR(C775="",D775=""),"",IF(D775=1,C775,ROUND(C775*(1+D775/30),1)))</f>
        <v/>
      </c>
      <c r="F775" s="4" t="n"/>
    </row>
    <row r="776">
      <c r="A776" s="9" t="n"/>
      <c r="B776" s="4" t="n"/>
      <c r="C776" s="4" t="n"/>
      <c r="D776" s="4" t="n"/>
      <c r="E776" s="3">
        <f>IF(OR(C776="",D776=""),"",IF(D776=1,C776,ROUND(C776*(1+D776/30),1)))</f>
        <v/>
      </c>
      <c r="F776" s="4" t="n"/>
    </row>
    <row r="777">
      <c r="A777" s="9" t="n"/>
      <c r="B777" s="4" t="n"/>
      <c r="C777" s="4" t="n"/>
      <c r="D777" s="4" t="n"/>
      <c r="E777" s="3">
        <f>IF(OR(C777="",D777=""),"",IF(D777=1,C777,ROUND(C777*(1+D777/30),1)))</f>
        <v/>
      </c>
      <c r="F777" s="4" t="n"/>
    </row>
    <row r="778">
      <c r="A778" s="9" t="n"/>
      <c r="B778" s="4" t="n"/>
      <c r="C778" s="4" t="n"/>
      <c r="D778" s="4" t="n"/>
      <c r="E778" s="3">
        <f>IF(OR(C778="",D778=""),"",IF(D778=1,C778,ROUND(C778*(1+D778/30),1)))</f>
        <v/>
      </c>
      <c r="F778" s="4" t="n"/>
    </row>
    <row r="779">
      <c r="A779" s="9" t="n"/>
      <c r="B779" s="4" t="n"/>
      <c r="C779" s="4" t="n"/>
      <c r="D779" s="4" t="n"/>
      <c r="E779" s="3">
        <f>IF(OR(C779="",D779=""),"",IF(D779=1,C779,ROUND(C779*(1+D779/30),1)))</f>
        <v/>
      </c>
      <c r="F779" s="4" t="n"/>
    </row>
    <row r="780">
      <c r="A780" s="9" t="n"/>
      <c r="B780" s="4" t="n"/>
      <c r="C780" s="4" t="n"/>
      <c r="D780" s="4" t="n"/>
      <c r="E780" s="3">
        <f>IF(OR(C780="",D780=""),"",IF(D780=1,C780,ROUND(C780*(1+D780/30),1)))</f>
        <v/>
      </c>
      <c r="F780" s="4" t="n"/>
    </row>
    <row r="781">
      <c r="A781" s="9" t="n"/>
      <c r="B781" s="4" t="n"/>
      <c r="C781" s="4" t="n"/>
      <c r="D781" s="4" t="n"/>
      <c r="E781" s="3">
        <f>IF(OR(C781="",D781=""),"",IF(D781=1,C781,ROUND(C781*(1+D781/30),1)))</f>
        <v/>
      </c>
      <c r="F781" s="4" t="n"/>
    </row>
    <row r="782">
      <c r="A782" s="9" t="n"/>
      <c r="B782" s="4" t="n"/>
      <c r="C782" s="4" t="n"/>
      <c r="D782" s="4" t="n"/>
      <c r="E782" s="3">
        <f>IF(OR(C782="",D782=""),"",IF(D782=1,C782,ROUND(C782*(1+D782/30),1)))</f>
        <v/>
      </c>
      <c r="F782" s="4" t="n"/>
    </row>
    <row r="783">
      <c r="A783" s="9" t="n"/>
      <c r="B783" s="4" t="n"/>
      <c r="C783" s="4" t="n"/>
      <c r="D783" s="4" t="n"/>
      <c r="E783" s="3">
        <f>IF(OR(C783="",D783=""),"",IF(D783=1,C783,ROUND(C783*(1+D783/30),1)))</f>
        <v/>
      </c>
      <c r="F783" s="4" t="n"/>
    </row>
    <row r="784">
      <c r="A784" s="9" t="n"/>
      <c r="B784" s="4" t="n"/>
      <c r="C784" s="4" t="n"/>
      <c r="D784" s="4" t="n"/>
      <c r="E784" s="3">
        <f>IF(OR(C784="",D784=""),"",IF(D784=1,C784,ROUND(C784*(1+D784/30),1)))</f>
        <v/>
      </c>
      <c r="F784" s="4" t="n"/>
    </row>
    <row r="785">
      <c r="A785" s="9" t="n"/>
      <c r="B785" s="4" t="n"/>
      <c r="C785" s="4" t="n"/>
      <c r="D785" s="4" t="n"/>
      <c r="E785" s="3">
        <f>IF(OR(C785="",D785=""),"",IF(D785=1,C785,ROUND(C785*(1+D785/30),1)))</f>
        <v/>
      </c>
      <c r="F785" s="4" t="n"/>
    </row>
    <row r="786">
      <c r="A786" s="9" t="n"/>
      <c r="B786" s="4" t="n"/>
      <c r="C786" s="4" t="n"/>
      <c r="D786" s="4" t="n"/>
      <c r="E786" s="3">
        <f>IF(OR(C786="",D786=""),"",IF(D786=1,C786,ROUND(C786*(1+D786/30),1)))</f>
        <v/>
      </c>
      <c r="F786" s="4" t="n"/>
    </row>
    <row r="787">
      <c r="A787" s="9" t="n"/>
      <c r="B787" s="4" t="n"/>
      <c r="C787" s="4" t="n"/>
      <c r="D787" s="4" t="n"/>
      <c r="E787" s="3">
        <f>IF(OR(C787="",D787=""),"",IF(D787=1,C787,ROUND(C787*(1+D787/30),1)))</f>
        <v/>
      </c>
      <c r="F787" s="4" t="n"/>
    </row>
    <row r="788">
      <c r="A788" s="9" t="n"/>
      <c r="B788" s="4" t="n"/>
      <c r="C788" s="4" t="n"/>
      <c r="D788" s="4" t="n"/>
      <c r="E788" s="3">
        <f>IF(OR(C788="",D788=""),"",IF(D788=1,C788,ROUND(C788*(1+D788/30),1)))</f>
        <v/>
      </c>
      <c r="F788" s="4" t="n"/>
    </row>
    <row r="789">
      <c r="A789" s="9" t="n"/>
      <c r="B789" s="4" t="n"/>
      <c r="C789" s="4" t="n"/>
      <c r="D789" s="4" t="n"/>
      <c r="E789" s="3">
        <f>IF(OR(C789="",D789=""),"",IF(D789=1,C789,ROUND(C789*(1+D789/30),1)))</f>
        <v/>
      </c>
      <c r="F789" s="4" t="n"/>
    </row>
    <row r="790">
      <c r="A790" s="9" t="n"/>
      <c r="B790" s="4" t="n"/>
      <c r="C790" s="4" t="n"/>
      <c r="D790" s="4" t="n"/>
      <c r="E790" s="3">
        <f>IF(OR(C790="",D790=""),"",IF(D790=1,C790,ROUND(C790*(1+D790/30),1)))</f>
        <v/>
      </c>
      <c r="F790" s="4" t="n"/>
    </row>
    <row r="791">
      <c r="A791" s="9" t="n"/>
      <c r="B791" s="4" t="n"/>
      <c r="C791" s="4" t="n"/>
      <c r="D791" s="4" t="n"/>
      <c r="E791" s="3">
        <f>IF(OR(C791="",D791=""),"",IF(D791=1,C791,ROUND(C791*(1+D791/30),1)))</f>
        <v/>
      </c>
      <c r="F791" s="4" t="n"/>
    </row>
    <row r="792">
      <c r="A792" s="9" t="n"/>
      <c r="B792" s="4" t="n"/>
      <c r="C792" s="4" t="n"/>
      <c r="D792" s="4" t="n"/>
      <c r="E792" s="3">
        <f>IF(OR(C792="",D792=""),"",IF(D792=1,C792,ROUND(C792*(1+D792/30),1)))</f>
        <v/>
      </c>
      <c r="F792" s="4" t="n"/>
    </row>
    <row r="793">
      <c r="A793" s="9" t="n"/>
      <c r="B793" s="4" t="n"/>
      <c r="C793" s="4" t="n"/>
      <c r="D793" s="4" t="n"/>
      <c r="E793" s="3">
        <f>IF(OR(C793="",D793=""),"",IF(D793=1,C793,ROUND(C793*(1+D793/30),1)))</f>
        <v/>
      </c>
      <c r="F793" s="4" t="n"/>
    </row>
    <row r="794">
      <c r="A794" s="9" t="n"/>
      <c r="B794" s="4" t="n"/>
      <c r="C794" s="4" t="n"/>
      <c r="D794" s="4" t="n"/>
      <c r="E794" s="3">
        <f>IF(OR(C794="",D794=""),"",IF(D794=1,C794,ROUND(C794*(1+D794/30),1)))</f>
        <v/>
      </c>
      <c r="F794" s="4" t="n"/>
    </row>
    <row r="795">
      <c r="A795" s="9" t="n"/>
      <c r="B795" s="4" t="n"/>
      <c r="C795" s="4" t="n"/>
      <c r="D795" s="4" t="n"/>
      <c r="E795" s="3">
        <f>IF(OR(C795="",D795=""),"",IF(D795=1,C795,ROUND(C795*(1+D795/30),1)))</f>
        <v/>
      </c>
      <c r="F795" s="4" t="n"/>
    </row>
    <row r="796">
      <c r="A796" s="9" t="n"/>
      <c r="B796" s="4" t="n"/>
      <c r="C796" s="4" t="n"/>
      <c r="D796" s="4" t="n"/>
      <c r="E796" s="3">
        <f>IF(OR(C796="",D796=""),"",IF(D796=1,C796,ROUND(C796*(1+D796/30),1)))</f>
        <v/>
      </c>
      <c r="F796" s="4" t="n"/>
    </row>
    <row r="797">
      <c r="A797" s="9" t="n"/>
      <c r="B797" s="4" t="n"/>
      <c r="C797" s="4" t="n"/>
      <c r="D797" s="4" t="n"/>
      <c r="E797" s="3">
        <f>IF(OR(C797="",D797=""),"",IF(D797=1,C797,ROUND(C797*(1+D797/30),1)))</f>
        <v/>
      </c>
      <c r="F797" s="4" t="n"/>
    </row>
    <row r="798">
      <c r="A798" s="9" t="n"/>
      <c r="B798" s="4" t="n"/>
      <c r="C798" s="4" t="n"/>
      <c r="D798" s="4" t="n"/>
      <c r="E798" s="3">
        <f>IF(OR(C798="",D798=""),"",IF(D798=1,C798,ROUND(C798*(1+D798/30),1)))</f>
        <v/>
      </c>
      <c r="F798" s="4" t="n"/>
    </row>
    <row r="799">
      <c r="A799" s="9" t="n"/>
      <c r="B799" s="4" t="n"/>
      <c r="C799" s="4" t="n"/>
      <c r="D799" s="4" t="n"/>
      <c r="E799" s="3">
        <f>IF(OR(C799="",D799=""),"",IF(D799=1,C799,ROUND(C799*(1+D799/30),1)))</f>
        <v/>
      </c>
      <c r="F799" s="4" t="n"/>
    </row>
    <row r="800">
      <c r="A800" s="9" t="n"/>
      <c r="B800" s="4" t="n"/>
      <c r="C800" s="4" t="n"/>
      <c r="D800" s="4" t="n"/>
      <c r="E800" s="3">
        <f>IF(OR(C800="",D800=""),"",IF(D800=1,C800,ROUND(C800*(1+D800/30),1)))</f>
        <v/>
      </c>
      <c r="F800" s="4" t="n"/>
    </row>
    <row r="801">
      <c r="A801" s="9" t="n"/>
      <c r="B801" s="4" t="n"/>
      <c r="C801" s="4" t="n"/>
      <c r="D801" s="4" t="n"/>
      <c r="E801" s="3">
        <f>IF(OR(C801="",D801=""),"",IF(D801=1,C801,ROUND(C801*(1+D801/30),1)))</f>
        <v/>
      </c>
      <c r="F801" s="4" t="n"/>
    </row>
    <row r="802">
      <c r="A802" s="9" t="n"/>
      <c r="B802" s="4" t="n"/>
      <c r="C802" s="4" t="n"/>
      <c r="D802" s="4" t="n"/>
      <c r="E802" s="3">
        <f>IF(OR(C802="",D802=""),"",IF(D802=1,C802,ROUND(C802*(1+D802/30),1)))</f>
        <v/>
      </c>
      <c r="F802" s="4" t="n"/>
    </row>
    <row r="803">
      <c r="A803" s="9" t="n"/>
      <c r="B803" s="4" t="n"/>
      <c r="C803" s="4" t="n"/>
      <c r="D803" s="4" t="n"/>
      <c r="E803" s="3">
        <f>IF(OR(C803="",D803=""),"",IF(D803=1,C803,ROUND(C803*(1+D803/30),1)))</f>
        <v/>
      </c>
      <c r="F803" s="4" t="n"/>
    </row>
    <row r="804">
      <c r="A804" s="9" t="n"/>
      <c r="B804" s="4" t="n"/>
      <c r="C804" s="4" t="n"/>
      <c r="D804" s="4" t="n"/>
      <c r="E804" s="3">
        <f>IF(OR(C804="",D804=""),"",IF(D804=1,C804,ROUND(C804*(1+D804/30),1)))</f>
        <v/>
      </c>
      <c r="F804" s="4" t="n"/>
    </row>
    <row r="805">
      <c r="A805" s="9" t="n"/>
      <c r="B805" s="4" t="n"/>
      <c r="C805" s="4" t="n"/>
      <c r="D805" s="4" t="n"/>
      <c r="E805" s="3">
        <f>IF(OR(C805="",D805=""),"",IF(D805=1,C805,ROUND(C805*(1+D805/30),1)))</f>
        <v/>
      </c>
      <c r="F805" s="4" t="n"/>
    </row>
    <row r="806">
      <c r="A806" s="9" t="n"/>
      <c r="B806" s="4" t="n"/>
      <c r="C806" s="4" t="n"/>
      <c r="D806" s="4" t="n"/>
      <c r="E806" s="3">
        <f>IF(OR(C806="",D806=""),"",IF(D806=1,C806,ROUND(C806*(1+D806/30),1)))</f>
        <v/>
      </c>
      <c r="F806" s="4" t="n"/>
    </row>
    <row r="807">
      <c r="A807" s="9" t="n"/>
      <c r="B807" s="4" t="n"/>
      <c r="C807" s="4" t="n"/>
      <c r="D807" s="4" t="n"/>
      <c r="E807" s="3">
        <f>IF(OR(C807="",D807=""),"",IF(D807=1,C807,ROUND(C807*(1+D807/30),1)))</f>
        <v/>
      </c>
      <c r="F807" s="4" t="n"/>
    </row>
    <row r="808">
      <c r="A808" s="9" t="n"/>
      <c r="B808" s="4" t="n"/>
      <c r="C808" s="4" t="n"/>
      <c r="D808" s="4" t="n"/>
      <c r="E808" s="3">
        <f>IF(OR(C808="",D808=""),"",IF(D808=1,C808,ROUND(C808*(1+D808/30),1)))</f>
        <v/>
      </c>
      <c r="F808" s="4" t="n"/>
    </row>
    <row r="809">
      <c r="A809" s="9" t="n"/>
      <c r="B809" s="4" t="n"/>
      <c r="C809" s="4" t="n"/>
      <c r="D809" s="4" t="n"/>
      <c r="E809" s="3">
        <f>IF(OR(C809="",D809=""),"",IF(D809=1,C809,ROUND(C809*(1+D809/30),1)))</f>
        <v/>
      </c>
      <c r="F809" s="4" t="n"/>
    </row>
    <row r="810">
      <c r="A810" s="9" t="n"/>
      <c r="B810" s="4" t="n"/>
      <c r="C810" s="4" t="n"/>
      <c r="D810" s="4" t="n"/>
      <c r="E810" s="3">
        <f>IF(OR(C810="",D810=""),"",IF(D810=1,C810,ROUND(C810*(1+D810/30),1)))</f>
        <v/>
      </c>
      <c r="F810" s="4" t="n"/>
    </row>
    <row r="811">
      <c r="A811" s="9" t="n"/>
      <c r="B811" s="4" t="n"/>
      <c r="C811" s="4" t="n"/>
      <c r="D811" s="4" t="n"/>
      <c r="E811" s="3">
        <f>IF(OR(C811="",D811=""),"",IF(D811=1,C811,ROUND(C811*(1+D811/30),1)))</f>
        <v/>
      </c>
      <c r="F811" s="4" t="n"/>
    </row>
    <row r="812">
      <c r="A812" s="9" t="n"/>
      <c r="B812" s="4" t="n"/>
      <c r="C812" s="4" t="n"/>
      <c r="D812" s="4" t="n"/>
      <c r="E812" s="3">
        <f>IF(OR(C812="",D812=""),"",IF(D812=1,C812,ROUND(C812*(1+D812/30),1)))</f>
        <v/>
      </c>
      <c r="F812" s="4" t="n"/>
    </row>
    <row r="813">
      <c r="A813" s="9" t="n"/>
      <c r="B813" s="4" t="n"/>
      <c r="C813" s="4" t="n"/>
      <c r="D813" s="4" t="n"/>
      <c r="E813" s="3">
        <f>IF(OR(C813="",D813=""),"",IF(D813=1,C813,ROUND(C813*(1+D813/30),1)))</f>
        <v/>
      </c>
      <c r="F813" s="4" t="n"/>
    </row>
    <row r="814">
      <c r="A814" s="9" t="n"/>
      <c r="B814" s="4" t="n"/>
      <c r="C814" s="4" t="n"/>
      <c r="D814" s="4" t="n"/>
      <c r="E814" s="3">
        <f>IF(OR(C814="",D814=""),"",IF(D814=1,C814,ROUND(C814*(1+D814/30),1)))</f>
        <v/>
      </c>
      <c r="F814" s="4" t="n"/>
    </row>
    <row r="815">
      <c r="A815" s="9" t="n"/>
      <c r="B815" s="4" t="n"/>
      <c r="C815" s="4" t="n"/>
      <c r="D815" s="4" t="n"/>
      <c r="E815" s="3">
        <f>IF(OR(C815="",D815=""),"",IF(D815=1,C815,ROUND(C815*(1+D815/30),1)))</f>
        <v/>
      </c>
      <c r="F815" s="4" t="n"/>
    </row>
    <row r="816">
      <c r="A816" s="9" t="n"/>
      <c r="B816" s="4" t="n"/>
      <c r="C816" s="4" t="n"/>
      <c r="D816" s="4" t="n"/>
      <c r="E816" s="3">
        <f>IF(OR(C816="",D816=""),"",IF(D816=1,C816,ROUND(C816*(1+D816/30),1)))</f>
        <v/>
      </c>
      <c r="F816" s="4" t="n"/>
    </row>
    <row r="817">
      <c r="A817" s="9" t="n"/>
      <c r="B817" s="4" t="n"/>
      <c r="C817" s="4" t="n"/>
      <c r="D817" s="4" t="n"/>
      <c r="E817" s="3">
        <f>IF(OR(C817="",D817=""),"",IF(D817=1,C817,ROUND(C817*(1+D817/30),1)))</f>
        <v/>
      </c>
      <c r="F817" s="4" t="n"/>
    </row>
    <row r="818">
      <c r="A818" s="9" t="n"/>
      <c r="B818" s="4" t="n"/>
      <c r="C818" s="4" t="n"/>
      <c r="D818" s="4" t="n"/>
      <c r="E818" s="3">
        <f>IF(OR(C818="",D818=""),"",IF(D818=1,C818,ROUND(C818*(1+D818/30),1)))</f>
        <v/>
      </c>
      <c r="F818" s="4" t="n"/>
    </row>
    <row r="819">
      <c r="A819" s="9" t="n"/>
      <c r="B819" s="4" t="n"/>
      <c r="C819" s="4" t="n"/>
      <c r="D819" s="4" t="n"/>
      <c r="E819" s="3">
        <f>IF(OR(C819="",D819=""),"",IF(D819=1,C819,ROUND(C819*(1+D819/30),1)))</f>
        <v/>
      </c>
      <c r="F819" s="4" t="n"/>
    </row>
    <row r="820">
      <c r="A820" s="9" t="n"/>
      <c r="B820" s="4" t="n"/>
      <c r="C820" s="4" t="n"/>
      <c r="D820" s="4" t="n"/>
      <c r="E820" s="3">
        <f>IF(OR(C820="",D820=""),"",IF(D820=1,C820,ROUND(C820*(1+D820/30),1)))</f>
        <v/>
      </c>
      <c r="F820" s="4" t="n"/>
    </row>
    <row r="821">
      <c r="A821" s="9" t="n"/>
      <c r="B821" s="4" t="n"/>
      <c r="C821" s="4" t="n"/>
      <c r="D821" s="4" t="n"/>
      <c r="E821" s="3">
        <f>IF(OR(C821="",D821=""),"",IF(D821=1,C821,ROUND(C821*(1+D821/30),1)))</f>
        <v/>
      </c>
      <c r="F821" s="4" t="n"/>
    </row>
    <row r="822">
      <c r="A822" s="9" t="n"/>
      <c r="B822" s="4" t="n"/>
      <c r="C822" s="4" t="n"/>
      <c r="D822" s="4" t="n"/>
      <c r="E822" s="3">
        <f>IF(OR(C822="",D822=""),"",IF(D822=1,C822,ROUND(C822*(1+D822/30),1)))</f>
        <v/>
      </c>
      <c r="F822" s="4" t="n"/>
    </row>
    <row r="823">
      <c r="A823" s="9" t="n"/>
      <c r="B823" s="4" t="n"/>
      <c r="C823" s="4" t="n"/>
      <c r="D823" s="4" t="n"/>
      <c r="E823" s="3">
        <f>IF(OR(C823="",D823=""),"",IF(D823=1,C823,ROUND(C823*(1+D823/30),1)))</f>
        <v/>
      </c>
      <c r="F823" s="4" t="n"/>
    </row>
    <row r="824">
      <c r="A824" s="9" t="n"/>
      <c r="B824" s="4" t="n"/>
      <c r="C824" s="4" t="n"/>
      <c r="D824" s="4" t="n"/>
      <c r="E824" s="3">
        <f>IF(OR(C824="",D824=""),"",IF(D824=1,C824,ROUND(C824*(1+D824/30),1)))</f>
        <v/>
      </c>
      <c r="F824" s="4" t="n"/>
    </row>
    <row r="825">
      <c r="A825" s="9" t="n"/>
      <c r="B825" s="4" t="n"/>
      <c r="C825" s="4" t="n"/>
      <c r="D825" s="4" t="n"/>
      <c r="E825" s="3">
        <f>IF(OR(C825="",D825=""),"",IF(D825=1,C825,ROUND(C825*(1+D825/30),1)))</f>
        <v/>
      </c>
      <c r="F825" s="4" t="n"/>
    </row>
    <row r="826">
      <c r="A826" s="9" t="n"/>
      <c r="B826" s="4" t="n"/>
      <c r="C826" s="4" t="n"/>
      <c r="D826" s="4" t="n"/>
      <c r="E826" s="3">
        <f>IF(OR(C826="",D826=""),"",IF(D826=1,C826,ROUND(C826*(1+D826/30),1)))</f>
        <v/>
      </c>
      <c r="F826" s="4" t="n"/>
    </row>
    <row r="827">
      <c r="A827" s="9" t="n"/>
      <c r="B827" s="4" t="n"/>
      <c r="C827" s="4" t="n"/>
      <c r="D827" s="4" t="n"/>
      <c r="E827" s="3">
        <f>IF(OR(C827="",D827=""),"",IF(D827=1,C827,ROUND(C827*(1+D827/30),1)))</f>
        <v/>
      </c>
      <c r="F827" s="4" t="n"/>
    </row>
    <row r="828">
      <c r="A828" s="9" t="n"/>
      <c r="B828" s="4" t="n"/>
      <c r="C828" s="4" t="n"/>
      <c r="D828" s="4" t="n"/>
      <c r="E828" s="3">
        <f>IF(OR(C828="",D828=""),"",IF(D828=1,C828,ROUND(C828*(1+D828/30),1)))</f>
        <v/>
      </c>
      <c r="F828" s="4" t="n"/>
    </row>
    <row r="829">
      <c r="A829" s="9" t="n"/>
      <c r="B829" s="4" t="n"/>
      <c r="C829" s="4" t="n"/>
      <c r="D829" s="4" t="n"/>
      <c r="E829" s="3">
        <f>IF(OR(C829="",D829=""),"",IF(D829=1,C829,ROUND(C829*(1+D829/30),1)))</f>
        <v/>
      </c>
      <c r="F829" s="4" t="n"/>
    </row>
    <row r="830">
      <c r="A830" s="9" t="n"/>
      <c r="B830" s="4" t="n"/>
      <c r="C830" s="4" t="n"/>
      <c r="D830" s="4" t="n"/>
      <c r="E830" s="3">
        <f>IF(OR(C830="",D830=""),"",IF(D830=1,C830,ROUND(C830*(1+D830/30),1)))</f>
        <v/>
      </c>
      <c r="F830" s="4" t="n"/>
    </row>
    <row r="831">
      <c r="A831" s="9" t="n"/>
      <c r="B831" s="4" t="n"/>
      <c r="C831" s="4" t="n"/>
      <c r="D831" s="4" t="n"/>
      <c r="E831" s="3">
        <f>IF(OR(C831="",D831=""),"",IF(D831=1,C831,ROUND(C831*(1+D831/30),1)))</f>
        <v/>
      </c>
      <c r="F831" s="4" t="n"/>
    </row>
    <row r="832">
      <c r="A832" s="9" t="n"/>
      <c r="B832" s="4" t="n"/>
      <c r="C832" s="4" t="n"/>
      <c r="D832" s="4" t="n"/>
      <c r="E832" s="3">
        <f>IF(OR(C832="",D832=""),"",IF(D832=1,C832,ROUND(C832*(1+D832/30),1)))</f>
        <v/>
      </c>
      <c r="F832" s="4" t="n"/>
    </row>
    <row r="833">
      <c r="A833" s="9" t="n"/>
      <c r="B833" s="4" t="n"/>
      <c r="C833" s="4" t="n"/>
      <c r="D833" s="4" t="n"/>
      <c r="E833" s="3">
        <f>IF(OR(C833="",D833=""),"",IF(D833=1,C833,ROUND(C833*(1+D833/30),1)))</f>
        <v/>
      </c>
      <c r="F833" s="4" t="n"/>
    </row>
    <row r="834">
      <c r="A834" s="9" t="n"/>
      <c r="B834" s="4" t="n"/>
      <c r="C834" s="4" t="n"/>
      <c r="D834" s="4" t="n"/>
      <c r="E834" s="3">
        <f>IF(OR(C834="",D834=""),"",IF(D834=1,C834,ROUND(C834*(1+D834/30),1)))</f>
        <v/>
      </c>
      <c r="F834" s="4" t="n"/>
    </row>
    <row r="835">
      <c r="A835" s="9" t="n"/>
      <c r="B835" s="4" t="n"/>
      <c r="C835" s="4" t="n"/>
      <c r="D835" s="4" t="n"/>
      <c r="E835" s="3">
        <f>IF(OR(C835="",D835=""),"",IF(D835=1,C835,ROUND(C835*(1+D835/30),1)))</f>
        <v/>
      </c>
      <c r="F835" s="4" t="n"/>
    </row>
    <row r="836">
      <c r="A836" s="9" t="n"/>
      <c r="B836" s="4" t="n"/>
      <c r="C836" s="4" t="n"/>
      <c r="D836" s="4" t="n"/>
      <c r="E836" s="3">
        <f>IF(OR(C836="",D836=""),"",IF(D836=1,C836,ROUND(C836*(1+D836/30),1)))</f>
        <v/>
      </c>
      <c r="F836" s="4" t="n"/>
    </row>
    <row r="837">
      <c r="A837" s="9" t="n"/>
      <c r="B837" s="4" t="n"/>
      <c r="C837" s="4" t="n"/>
      <c r="D837" s="4" t="n"/>
      <c r="E837" s="3">
        <f>IF(OR(C837="",D837=""),"",IF(D837=1,C837,ROUND(C837*(1+D837/30),1)))</f>
        <v/>
      </c>
      <c r="F837" s="4" t="n"/>
    </row>
    <row r="838">
      <c r="A838" s="9" t="n"/>
      <c r="B838" s="4" t="n"/>
      <c r="C838" s="4" t="n"/>
      <c r="D838" s="4" t="n"/>
      <c r="E838" s="3">
        <f>IF(OR(C838="",D838=""),"",IF(D838=1,C838,ROUND(C838*(1+D838/30),1)))</f>
        <v/>
      </c>
      <c r="F838" s="4" t="n"/>
    </row>
    <row r="839">
      <c r="A839" s="9" t="n"/>
      <c r="B839" s="4" t="n"/>
      <c r="C839" s="4" t="n"/>
      <c r="D839" s="4" t="n"/>
      <c r="E839" s="3">
        <f>IF(OR(C839="",D839=""),"",IF(D839=1,C839,ROUND(C839*(1+D839/30),1)))</f>
        <v/>
      </c>
      <c r="F839" s="4" t="n"/>
    </row>
    <row r="840">
      <c r="A840" s="9" t="n"/>
      <c r="B840" s="4" t="n"/>
      <c r="C840" s="4" t="n"/>
      <c r="D840" s="4" t="n"/>
      <c r="E840" s="3">
        <f>IF(OR(C840="",D840=""),"",IF(D840=1,C840,ROUND(C840*(1+D840/30),1)))</f>
        <v/>
      </c>
      <c r="F840" s="4" t="n"/>
    </row>
    <row r="841">
      <c r="A841" s="9" t="n"/>
      <c r="B841" s="4" t="n"/>
      <c r="C841" s="4" t="n"/>
      <c r="D841" s="4" t="n"/>
      <c r="E841" s="3">
        <f>IF(OR(C841="",D841=""),"",IF(D841=1,C841,ROUND(C841*(1+D841/30),1)))</f>
        <v/>
      </c>
      <c r="F841" s="4" t="n"/>
    </row>
    <row r="842">
      <c r="A842" s="9" t="n"/>
      <c r="B842" s="4" t="n"/>
      <c r="C842" s="4" t="n"/>
      <c r="D842" s="4" t="n"/>
      <c r="E842" s="3">
        <f>IF(OR(C842="",D842=""),"",IF(D842=1,C842,ROUND(C842*(1+D842/30),1)))</f>
        <v/>
      </c>
      <c r="F842" s="4" t="n"/>
    </row>
    <row r="843">
      <c r="A843" s="9" t="n"/>
      <c r="B843" s="4" t="n"/>
      <c r="C843" s="4" t="n"/>
      <c r="D843" s="4" t="n"/>
      <c r="E843" s="3">
        <f>IF(OR(C843="",D843=""),"",IF(D843=1,C843,ROUND(C843*(1+D843/30),1)))</f>
        <v/>
      </c>
      <c r="F843" s="4" t="n"/>
    </row>
    <row r="844">
      <c r="A844" s="9" t="n"/>
      <c r="B844" s="4" t="n"/>
      <c r="C844" s="4" t="n"/>
      <c r="D844" s="4" t="n"/>
      <c r="E844" s="3">
        <f>IF(OR(C844="",D844=""),"",IF(D844=1,C844,ROUND(C844*(1+D844/30),1)))</f>
        <v/>
      </c>
      <c r="F844" s="4" t="n"/>
    </row>
    <row r="845">
      <c r="A845" s="9" t="n"/>
      <c r="B845" s="4" t="n"/>
      <c r="C845" s="4" t="n"/>
      <c r="D845" s="4" t="n"/>
      <c r="E845" s="3">
        <f>IF(OR(C845="",D845=""),"",IF(D845=1,C845,ROUND(C845*(1+D845/30),1)))</f>
        <v/>
      </c>
      <c r="F845" s="4" t="n"/>
    </row>
    <row r="846">
      <c r="A846" s="9" t="n"/>
      <c r="B846" s="4" t="n"/>
      <c r="C846" s="4" t="n"/>
      <c r="D846" s="4" t="n"/>
      <c r="E846" s="3">
        <f>IF(OR(C846="",D846=""),"",IF(D846=1,C846,ROUND(C846*(1+D846/30),1)))</f>
        <v/>
      </c>
      <c r="F846" s="4" t="n"/>
    </row>
    <row r="847">
      <c r="A847" s="9" t="n"/>
      <c r="B847" s="4" t="n"/>
      <c r="C847" s="4" t="n"/>
      <c r="D847" s="4" t="n"/>
      <c r="E847" s="3">
        <f>IF(OR(C847="",D847=""),"",IF(D847=1,C847,ROUND(C847*(1+D847/30),1)))</f>
        <v/>
      </c>
      <c r="F847" s="4" t="n"/>
    </row>
    <row r="848">
      <c r="A848" s="9" t="n"/>
      <c r="B848" s="4" t="n"/>
      <c r="C848" s="4" t="n"/>
      <c r="D848" s="4" t="n"/>
      <c r="E848" s="3">
        <f>IF(OR(C848="",D848=""),"",IF(D848=1,C848,ROUND(C848*(1+D848/30),1)))</f>
        <v/>
      </c>
      <c r="F848" s="4" t="n"/>
    </row>
    <row r="849">
      <c r="A849" s="9" t="n"/>
      <c r="B849" s="4" t="n"/>
      <c r="C849" s="4" t="n"/>
      <c r="D849" s="4" t="n"/>
      <c r="E849" s="3">
        <f>IF(OR(C849="",D849=""),"",IF(D849=1,C849,ROUND(C849*(1+D849/30),1)))</f>
        <v/>
      </c>
      <c r="F849" s="4" t="n"/>
    </row>
    <row r="850">
      <c r="A850" s="9" t="n"/>
      <c r="B850" s="4" t="n"/>
      <c r="C850" s="4" t="n"/>
      <c r="D850" s="4" t="n"/>
      <c r="E850" s="3">
        <f>IF(OR(C850="",D850=""),"",IF(D850=1,C850,ROUND(C850*(1+D850/30),1)))</f>
        <v/>
      </c>
      <c r="F850" s="4" t="n"/>
    </row>
    <row r="851">
      <c r="A851" s="9" t="n"/>
      <c r="B851" s="4" t="n"/>
      <c r="C851" s="4" t="n"/>
      <c r="D851" s="4" t="n"/>
      <c r="E851" s="3">
        <f>IF(OR(C851="",D851=""),"",IF(D851=1,C851,ROUND(C851*(1+D851/30),1)))</f>
        <v/>
      </c>
      <c r="F851" s="4" t="n"/>
    </row>
    <row r="852">
      <c r="A852" s="9" t="n"/>
      <c r="B852" s="4" t="n"/>
      <c r="C852" s="4" t="n"/>
      <c r="D852" s="4" t="n"/>
      <c r="E852" s="3">
        <f>IF(OR(C852="",D852=""),"",IF(D852=1,C852,ROUND(C852*(1+D852/30),1)))</f>
        <v/>
      </c>
      <c r="F852" s="4" t="n"/>
    </row>
    <row r="853">
      <c r="A853" s="9" t="n"/>
      <c r="B853" s="4" t="n"/>
      <c r="C853" s="4" t="n"/>
      <c r="D853" s="4" t="n"/>
      <c r="E853" s="3">
        <f>IF(OR(C853="",D853=""),"",IF(D853=1,C853,ROUND(C853*(1+D853/30),1)))</f>
        <v/>
      </c>
      <c r="F853" s="4" t="n"/>
    </row>
    <row r="854">
      <c r="A854" s="9" t="n"/>
      <c r="B854" s="4" t="n"/>
      <c r="C854" s="4" t="n"/>
      <c r="D854" s="4" t="n"/>
      <c r="E854" s="3">
        <f>IF(OR(C854="",D854=""),"",IF(D854=1,C854,ROUND(C854*(1+D854/30),1)))</f>
        <v/>
      </c>
      <c r="F854" s="4" t="n"/>
    </row>
    <row r="855">
      <c r="A855" s="9" t="n"/>
      <c r="B855" s="4" t="n"/>
      <c r="C855" s="4" t="n"/>
      <c r="D855" s="4" t="n"/>
      <c r="E855" s="3">
        <f>IF(OR(C855="",D855=""),"",IF(D855=1,C855,ROUND(C855*(1+D855/30),1)))</f>
        <v/>
      </c>
      <c r="F855" s="4" t="n"/>
    </row>
    <row r="856">
      <c r="A856" s="9" t="n"/>
      <c r="B856" s="4" t="n"/>
      <c r="C856" s="4" t="n"/>
      <c r="D856" s="4" t="n"/>
      <c r="E856" s="3">
        <f>IF(OR(C856="",D856=""),"",IF(D856=1,C856,ROUND(C856*(1+D856/30),1)))</f>
        <v/>
      </c>
      <c r="F856" s="4" t="n"/>
    </row>
    <row r="857">
      <c r="A857" s="9" t="n"/>
      <c r="B857" s="4" t="n"/>
      <c r="C857" s="4" t="n"/>
      <c r="D857" s="4" t="n"/>
      <c r="E857" s="3">
        <f>IF(OR(C857="",D857=""),"",IF(D857=1,C857,ROUND(C857*(1+D857/30),1)))</f>
        <v/>
      </c>
      <c r="F857" s="4" t="n"/>
    </row>
    <row r="858">
      <c r="A858" s="9" t="n"/>
      <c r="B858" s="4" t="n"/>
      <c r="C858" s="4" t="n"/>
      <c r="D858" s="4" t="n"/>
      <c r="E858" s="3">
        <f>IF(OR(C858="",D858=""),"",IF(D858=1,C858,ROUND(C858*(1+D858/30),1)))</f>
        <v/>
      </c>
      <c r="F858" s="4" t="n"/>
    </row>
    <row r="859">
      <c r="A859" s="9" t="n"/>
      <c r="B859" s="4" t="n"/>
      <c r="C859" s="4" t="n"/>
      <c r="D859" s="4" t="n"/>
      <c r="E859" s="3">
        <f>IF(OR(C859="",D859=""),"",IF(D859=1,C859,ROUND(C859*(1+D859/30),1)))</f>
        <v/>
      </c>
      <c r="F859" s="4" t="n"/>
    </row>
    <row r="860">
      <c r="A860" s="9" t="n"/>
      <c r="B860" s="4" t="n"/>
      <c r="C860" s="4" t="n"/>
      <c r="D860" s="4" t="n"/>
      <c r="E860" s="3">
        <f>IF(OR(C860="",D860=""),"",IF(D860=1,C860,ROUND(C860*(1+D860/30),1)))</f>
        <v/>
      </c>
      <c r="F860" s="4" t="n"/>
    </row>
    <row r="861">
      <c r="A861" s="9" t="n"/>
      <c r="B861" s="4" t="n"/>
      <c r="C861" s="4" t="n"/>
      <c r="D861" s="4" t="n"/>
      <c r="E861" s="3">
        <f>IF(OR(C861="",D861=""),"",IF(D861=1,C861,ROUND(C861*(1+D861/30),1)))</f>
        <v/>
      </c>
      <c r="F861" s="4" t="n"/>
    </row>
    <row r="862">
      <c r="A862" s="9" t="n"/>
      <c r="B862" s="4" t="n"/>
      <c r="C862" s="4" t="n"/>
      <c r="D862" s="4" t="n"/>
      <c r="E862" s="3">
        <f>IF(OR(C862="",D862=""),"",IF(D862=1,C862,ROUND(C862*(1+D862/30),1)))</f>
        <v/>
      </c>
      <c r="F862" s="4" t="n"/>
    </row>
    <row r="863">
      <c r="A863" s="9" t="n"/>
      <c r="B863" s="4" t="n"/>
      <c r="C863" s="4" t="n"/>
      <c r="D863" s="4" t="n"/>
      <c r="E863" s="3">
        <f>IF(OR(C863="",D863=""),"",IF(D863=1,C863,ROUND(C863*(1+D863/30),1)))</f>
        <v/>
      </c>
      <c r="F863" s="4" t="n"/>
    </row>
    <row r="864">
      <c r="A864" s="9" t="n"/>
      <c r="B864" s="4" t="n"/>
      <c r="C864" s="4" t="n"/>
      <c r="D864" s="4" t="n"/>
      <c r="E864" s="3">
        <f>IF(OR(C864="",D864=""),"",IF(D864=1,C864,ROUND(C864*(1+D864/30),1)))</f>
        <v/>
      </c>
      <c r="F864" s="4" t="n"/>
    </row>
    <row r="865">
      <c r="A865" s="9" t="n"/>
      <c r="B865" s="4" t="n"/>
      <c r="C865" s="4" t="n"/>
      <c r="D865" s="4" t="n"/>
      <c r="E865" s="3">
        <f>IF(OR(C865="",D865=""),"",IF(D865=1,C865,ROUND(C865*(1+D865/30),1)))</f>
        <v/>
      </c>
      <c r="F865" s="4" t="n"/>
    </row>
    <row r="866">
      <c r="A866" s="9" t="n"/>
      <c r="B866" s="4" t="n"/>
      <c r="C866" s="4" t="n"/>
      <c r="D866" s="4" t="n"/>
      <c r="E866" s="3">
        <f>IF(OR(C866="",D866=""),"",IF(D866=1,C866,ROUND(C866*(1+D866/30),1)))</f>
        <v/>
      </c>
      <c r="F866" s="4" t="n"/>
    </row>
    <row r="867">
      <c r="A867" s="9" t="n"/>
      <c r="B867" s="4" t="n"/>
      <c r="C867" s="4" t="n"/>
      <c r="D867" s="4" t="n"/>
      <c r="E867" s="3">
        <f>IF(OR(C867="",D867=""),"",IF(D867=1,C867,ROUND(C867*(1+D867/30),1)))</f>
        <v/>
      </c>
      <c r="F867" s="4" t="n"/>
    </row>
    <row r="868">
      <c r="A868" s="9" t="n"/>
      <c r="B868" s="4" t="n"/>
      <c r="C868" s="4" t="n"/>
      <c r="D868" s="4" t="n"/>
      <c r="E868" s="3">
        <f>IF(OR(C868="",D868=""),"",IF(D868=1,C868,ROUND(C868*(1+D868/30),1)))</f>
        <v/>
      </c>
      <c r="F868" s="4" t="n"/>
    </row>
    <row r="869">
      <c r="A869" s="9" t="n"/>
      <c r="B869" s="4" t="n"/>
      <c r="C869" s="4" t="n"/>
      <c r="D869" s="4" t="n"/>
      <c r="E869" s="3">
        <f>IF(OR(C869="",D869=""),"",IF(D869=1,C869,ROUND(C869*(1+D869/30),1)))</f>
        <v/>
      </c>
      <c r="F869" s="4" t="n"/>
    </row>
    <row r="870">
      <c r="A870" s="9" t="n"/>
      <c r="B870" s="4" t="n"/>
      <c r="C870" s="4" t="n"/>
      <c r="D870" s="4" t="n"/>
      <c r="E870" s="3">
        <f>IF(OR(C870="",D870=""),"",IF(D870=1,C870,ROUND(C870*(1+D870/30),1)))</f>
        <v/>
      </c>
      <c r="F870" s="4" t="n"/>
    </row>
    <row r="871">
      <c r="A871" s="9" t="n"/>
      <c r="B871" s="4" t="n"/>
      <c r="C871" s="4" t="n"/>
      <c r="D871" s="4" t="n"/>
      <c r="E871" s="3">
        <f>IF(OR(C871="",D871=""),"",IF(D871=1,C871,ROUND(C871*(1+D871/30),1)))</f>
        <v/>
      </c>
      <c r="F871" s="4" t="n"/>
    </row>
    <row r="872">
      <c r="A872" s="9" t="n"/>
      <c r="B872" s="4" t="n"/>
      <c r="C872" s="4" t="n"/>
      <c r="D872" s="4" t="n"/>
      <c r="E872" s="3">
        <f>IF(OR(C872="",D872=""),"",IF(D872=1,C872,ROUND(C872*(1+D872/30),1)))</f>
        <v/>
      </c>
      <c r="F872" s="4" t="n"/>
    </row>
    <row r="873">
      <c r="A873" s="9" t="n"/>
      <c r="B873" s="4" t="n"/>
      <c r="C873" s="4" t="n"/>
      <c r="D873" s="4" t="n"/>
      <c r="E873" s="3">
        <f>IF(OR(C873="",D873=""),"",IF(D873=1,C873,ROUND(C873*(1+D873/30),1)))</f>
        <v/>
      </c>
      <c r="F873" s="4" t="n"/>
    </row>
    <row r="874">
      <c r="A874" s="9" t="n"/>
      <c r="B874" s="4" t="n"/>
      <c r="C874" s="4" t="n"/>
      <c r="D874" s="4" t="n"/>
      <c r="E874" s="3">
        <f>IF(OR(C874="",D874=""),"",IF(D874=1,C874,ROUND(C874*(1+D874/30),1)))</f>
        <v/>
      </c>
      <c r="F874" s="4" t="n"/>
    </row>
    <row r="875">
      <c r="A875" s="9" t="n"/>
      <c r="B875" s="4" t="n"/>
      <c r="C875" s="4" t="n"/>
      <c r="D875" s="4" t="n"/>
      <c r="E875" s="3">
        <f>IF(OR(C875="",D875=""),"",IF(D875=1,C875,ROUND(C875*(1+D875/30),1)))</f>
        <v/>
      </c>
      <c r="F875" s="4" t="n"/>
    </row>
    <row r="876">
      <c r="A876" s="9" t="n"/>
      <c r="B876" s="4" t="n"/>
      <c r="C876" s="4" t="n"/>
      <c r="D876" s="4" t="n"/>
      <c r="E876" s="3">
        <f>IF(OR(C876="",D876=""),"",IF(D876=1,C876,ROUND(C876*(1+D876/30),1)))</f>
        <v/>
      </c>
      <c r="F876" s="4" t="n"/>
    </row>
    <row r="877">
      <c r="A877" s="9" t="n"/>
      <c r="B877" s="4" t="n"/>
      <c r="C877" s="4" t="n"/>
      <c r="D877" s="4" t="n"/>
      <c r="E877" s="3">
        <f>IF(OR(C877="",D877=""),"",IF(D877=1,C877,ROUND(C877*(1+D877/30),1)))</f>
        <v/>
      </c>
      <c r="F877" s="4" t="n"/>
    </row>
    <row r="878">
      <c r="A878" s="9" t="n"/>
      <c r="B878" s="4" t="n"/>
      <c r="C878" s="4" t="n"/>
      <c r="D878" s="4" t="n"/>
      <c r="E878" s="3">
        <f>IF(OR(C878="",D878=""),"",IF(D878=1,C878,ROUND(C878*(1+D878/30),1)))</f>
        <v/>
      </c>
      <c r="F878" s="4" t="n"/>
    </row>
    <row r="879">
      <c r="A879" s="9" t="n"/>
      <c r="B879" s="4" t="n"/>
      <c r="C879" s="4" t="n"/>
      <c r="D879" s="4" t="n"/>
      <c r="E879" s="3">
        <f>IF(OR(C879="",D879=""),"",IF(D879=1,C879,ROUND(C879*(1+D879/30),1)))</f>
        <v/>
      </c>
      <c r="F879" s="4" t="n"/>
    </row>
    <row r="880">
      <c r="A880" s="9" t="n"/>
      <c r="B880" s="4" t="n"/>
      <c r="C880" s="4" t="n"/>
      <c r="D880" s="4" t="n"/>
      <c r="E880" s="3">
        <f>IF(OR(C880="",D880=""),"",IF(D880=1,C880,ROUND(C880*(1+D880/30),1)))</f>
        <v/>
      </c>
      <c r="F880" s="4" t="n"/>
    </row>
    <row r="881">
      <c r="A881" s="9" t="n"/>
      <c r="B881" s="4" t="n"/>
      <c r="C881" s="4" t="n"/>
      <c r="D881" s="4" t="n"/>
      <c r="E881" s="3">
        <f>IF(OR(C881="",D881=""),"",IF(D881=1,C881,ROUND(C881*(1+D881/30),1)))</f>
        <v/>
      </c>
      <c r="F881" s="4" t="n"/>
    </row>
    <row r="882">
      <c r="A882" s="9" t="n"/>
      <c r="B882" s="4" t="n"/>
      <c r="C882" s="4" t="n"/>
      <c r="D882" s="4" t="n"/>
      <c r="E882" s="3">
        <f>IF(OR(C882="",D882=""),"",IF(D882=1,C882,ROUND(C882*(1+D882/30),1)))</f>
        <v/>
      </c>
      <c r="F882" s="4" t="n"/>
    </row>
    <row r="883">
      <c r="A883" s="9" t="n"/>
      <c r="B883" s="4" t="n"/>
      <c r="C883" s="4" t="n"/>
      <c r="D883" s="4" t="n"/>
      <c r="E883" s="3">
        <f>IF(OR(C883="",D883=""),"",IF(D883=1,C883,ROUND(C883*(1+D883/30),1)))</f>
        <v/>
      </c>
      <c r="F883" s="4" t="n"/>
    </row>
    <row r="884">
      <c r="A884" s="9" t="n"/>
      <c r="B884" s="4" t="n"/>
      <c r="C884" s="4" t="n"/>
      <c r="D884" s="4" t="n"/>
      <c r="E884" s="3">
        <f>IF(OR(C884="",D884=""),"",IF(D884=1,C884,ROUND(C884*(1+D884/30),1)))</f>
        <v/>
      </c>
      <c r="F884" s="4" t="n"/>
    </row>
    <row r="885">
      <c r="A885" s="9" t="n"/>
      <c r="B885" s="4" t="n"/>
      <c r="C885" s="4" t="n"/>
      <c r="D885" s="4" t="n"/>
      <c r="E885" s="3">
        <f>IF(OR(C885="",D885=""),"",IF(D885=1,C885,ROUND(C885*(1+D885/30),1)))</f>
        <v/>
      </c>
      <c r="F885" s="4" t="n"/>
    </row>
    <row r="886">
      <c r="A886" s="9" t="n"/>
      <c r="B886" s="4" t="n"/>
      <c r="C886" s="4" t="n"/>
      <c r="D886" s="4" t="n"/>
      <c r="E886" s="3">
        <f>IF(OR(C886="",D886=""),"",IF(D886=1,C886,ROUND(C886*(1+D886/30),1)))</f>
        <v/>
      </c>
      <c r="F886" s="4" t="n"/>
    </row>
    <row r="887">
      <c r="A887" s="9" t="n"/>
      <c r="B887" s="4" t="n"/>
      <c r="C887" s="4" t="n"/>
      <c r="D887" s="4" t="n"/>
      <c r="E887" s="3">
        <f>IF(OR(C887="",D887=""),"",IF(D887=1,C887,ROUND(C887*(1+D887/30),1)))</f>
        <v/>
      </c>
      <c r="F887" s="4" t="n"/>
    </row>
    <row r="888">
      <c r="A888" s="9" t="n"/>
      <c r="B888" s="4" t="n"/>
      <c r="C888" s="4" t="n"/>
      <c r="D888" s="4" t="n"/>
      <c r="E888" s="3">
        <f>IF(OR(C888="",D888=""),"",IF(D888=1,C888,ROUND(C888*(1+D888/30),1)))</f>
        <v/>
      </c>
      <c r="F888" s="4" t="n"/>
    </row>
    <row r="889">
      <c r="A889" s="9" t="n"/>
      <c r="B889" s="4" t="n"/>
      <c r="C889" s="4" t="n"/>
      <c r="D889" s="4" t="n"/>
      <c r="E889" s="3">
        <f>IF(OR(C889="",D889=""),"",IF(D889=1,C889,ROUND(C889*(1+D889/30),1)))</f>
        <v/>
      </c>
      <c r="F889" s="4" t="n"/>
    </row>
    <row r="890">
      <c r="A890" s="9" t="n"/>
      <c r="B890" s="4" t="n"/>
      <c r="C890" s="4" t="n"/>
      <c r="D890" s="4" t="n"/>
      <c r="E890" s="3">
        <f>IF(OR(C890="",D890=""),"",IF(D890=1,C890,ROUND(C890*(1+D890/30),1)))</f>
        <v/>
      </c>
      <c r="F890" s="4" t="n"/>
    </row>
    <row r="891">
      <c r="A891" s="9" t="n"/>
      <c r="B891" s="4" t="n"/>
      <c r="C891" s="4" t="n"/>
      <c r="D891" s="4" t="n"/>
      <c r="E891" s="3">
        <f>IF(OR(C891="",D891=""),"",IF(D891=1,C891,ROUND(C891*(1+D891/30),1)))</f>
        <v/>
      </c>
      <c r="F891" s="4" t="n"/>
    </row>
    <row r="892">
      <c r="A892" s="9" t="n"/>
      <c r="B892" s="4" t="n"/>
      <c r="C892" s="4" t="n"/>
      <c r="D892" s="4" t="n"/>
      <c r="E892" s="3">
        <f>IF(OR(C892="",D892=""),"",IF(D892=1,C892,ROUND(C892*(1+D892/30),1)))</f>
        <v/>
      </c>
      <c r="F892" s="4" t="n"/>
    </row>
    <row r="893">
      <c r="A893" s="9" t="n"/>
      <c r="B893" s="4" t="n"/>
      <c r="C893" s="4" t="n"/>
      <c r="D893" s="4" t="n"/>
      <c r="E893" s="3">
        <f>IF(OR(C893="",D893=""),"",IF(D893=1,C893,ROUND(C893*(1+D893/30),1)))</f>
        <v/>
      </c>
      <c r="F893" s="4" t="n"/>
    </row>
    <row r="894">
      <c r="A894" s="9" t="n"/>
      <c r="B894" s="4" t="n"/>
      <c r="C894" s="4" t="n"/>
      <c r="D894" s="4" t="n"/>
      <c r="E894" s="3">
        <f>IF(OR(C894="",D894=""),"",IF(D894=1,C894,ROUND(C894*(1+D894/30),1)))</f>
        <v/>
      </c>
      <c r="F894" s="4" t="n"/>
    </row>
    <row r="895">
      <c r="A895" s="9" t="n"/>
      <c r="B895" s="4" t="n"/>
      <c r="C895" s="4" t="n"/>
      <c r="D895" s="4" t="n"/>
      <c r="E895" s="3">
        <f>IF(OR(C895="",D895=""),"",IF(D895=1,C895,ROUND(C895*(1+D895/30),1)))</f>
        <v/>
      </c>
      <c r="F895" s="4" t="n"/>
    </row>
    <row r="896">
      <c r="A896" s="9" t="n"/>
      <c r="B896" s="4" t="n"/>
      <c r="C896" s="4" t="n"/>
      <c r="D896" s="4" t="n"/>
      <c r="E896" s="3">
        <f>IF(OR(C896="",D896=""),"",IF(D896=1,C896,ROUND(C896*(1+D896/30),1)))</f>
        <v/>
      </c>
      <c r="F896" s="4" t="n"/>
    </row>
    <row r="897">
      <c r="A897" s="9" t="n"/>
      <c r="B897" s="4" t="n"/>
      <c r="C897" s="4" t="n"/>
      <c r="D897" s="4" t="n"/>
      <c r="E897" s="3">
        <f>IF(OR(C897="",D897=""),"",IF(D897=1,C897,ROUND(C897*(1+D897/30),1)))</f>
        <v/>
      </c>
      <c r="F897" s="4" t="n"/>
    </row>
    <row r="898">
      <c r="A898" s="9" t="n"/>
      <c r="B898" s="4" t="n"/>
      <c r="C898" s="4" t="n"/>
      <c r="D898" s="4" t="n"/>
      <c r="E898" s="3">
        <f>IF(OR(C898="",D898=""),"",IF(D898=1,C898,ROUND(C898*(1+D898/30),1)))</f>
        <v/>
      </c>
      <c r="F898" s="4" t="n"/>
    </row>
    <row r="899">
      <c r="A899" s="9" t="n"/>
      <c r="B899" s="4" t="n"/>
      <c r="C899" s="4" t="n"/>
      <c r="D899" s="4" t="n"/>
      <c r="E899" s="3">
        <f>IF(OR(C899="",D899=""),"",IF(D899=1,C899,ROUND(C899*(1+D899/30),1)))</f>
        <v/>
      </c>
      <c r="F899" s="4" t="n"/>
    </row>
    <row r="900">
      <c r="A900" s="9" t="n"/>
      <c r="B900" s="4" t="n"/>
      <c r="C900" s="4" t="n"/>
      <c r="D900" s="4" t="n"/>
      <c r="E900" s="3">
        <f>IF(OR(C900="",D900=""),"",IF(D900=1,C900,ROUND(C900*(1+D900/30),1)))</f>
        <v/>
      </c>
      <c r="F900" s="4" t="n"/>
    </row>
    <row r="901">
      <c r="A901" s="9" t="n"/>
      <c r="B901" s="4" t="n"/>
      <c r="C901" s="4" t="n"/>
      <c r="D901" s="4" t="n"/>
      <c r="E901" s="3">
        <f>IF(OR(C901="",D901=""),"",IF(D901=1,C901,ROUND(C901*(1+D901/30),1)))</f>
        <v/>
      </c>
      <c r="F901" s="4" t="n"/>
    </row>
    <row r="902">
      <c r="A902" s="9" t="n"/>
      <c r="B902" s="4" t="n"/>
      <c r="C902" s="4" t="n"/>
      <c r="D902" s="4" t="n"/>
      <c r="E902" s="3">
        <f>IF(OR(C902="",D902=""),"",IF(D902=1,C902,ROUND(C902*(1+D902/30),1)))</f>
        <v/>
      </c>
      <c r="F902" s="4" t="n"/>
    </row>
    <row r="903">
      <c r="A903" s="9" t="n"/>
      <c r="B903" s="4" t="n"/>
      <c r="C903" s="4" t="n"/>
      <c r="D903" s="4" t="n"/>
      <c r="E903" s="3">
        <f>IF(OR(C903="",D903=""),"",IF(D903=1,C903,ROUND(C903*(1+D903/30),1)))</f>
        <v/>
      </c>
      <c r="F903" s="4" t="n"/>
    </row>
    <row r="904">
      <c r="A904" s="9" t="n"/>
      <c r="B904" s="4" t="n"/>
      <c r="C904" s="4" t="n"/>
      <c r="D904" s="4" t="n"/>
      <c r="E904" s="3">
        <f>IF(OR(C904="",D904=""),"",IF(D904=1,C904,ROUND(C904*(1+D904/30),1)))</f>
        <v/>
      </c>
      <c r="F904" s="4" t="n"/>
    </row>
    <row r="905">
      <c r="A905" s="9" t="n"/>
      <c r="B905" s="4" t="n"/>
      <c r="C905" s="4" t="n"/>
      <c r="D905" s="4" t="n"/>
      <c r="E905" s="3">
        <f>IF(OR(C905="",D905=""),"",IF(D905=1,C905,ROUND(C905*(1+D905/30),1)))</f>
        <v/>
      </c>
      <c r="F905" s="4" t="n"/>
    </row>
    <row r="906">
      <c r="A906" s="9" t="n"/>
      <c r="B906" s="4" t="n"/>
      <c r="C906" s="4" t="n"/>
      <c r="D906" s="4" t="n"/>
      <c r="E906" s="3">
        <f>IF(OR(C906="",D906=""),"",IF(D906=1,C906,ROUND(C906*(1+D906/30),1)))</f>
        <v/>
      </c>
      <c r="F906" s="4" t="n"/>
    </row>
    <row r="907">
      <c r="A907" s="9" t="n"/>
      <c r="B907" s="4" t="n"/>
      <c r="C907" s="4" t="n"/>
      <c r="D907" s="4" t="n"/>
      <c r="E907" s="3">
        <f>IF(OR(C907="",D907=""),"",IF(D907=1,C907,ROUND(C907*(1+D907/30),1)))</f>
        <v/>
      </c>
      <c r="F907" s="4" t="n"/>
    </row>
    <row r="908">
      <c r="A908" s="9" t="n"/>
      <c r="B908" s="4" t="n"/>
      <c r="C908" s="4" t="n"/>
      <c r="D908" s="4" t="n"/>
      <c r="E908" s="3">
        <f>IF(OR(C908="",D908=""),"",IF(D908=1,C908,ROUND(C908*(1+D908/30),1)))</f>
        <v/>
      </c>
      <c r="F908" s="4" t="n"/>
    </row>
    <row r="909">
      <c r="A909" s="9" t="n"/>
      <c r="B909" s="4" t="n"/>
      <c r="C909" s="4" t="n"/>
      <c r="D909" s="4" t="n"/>
      <c r="E909" s="3">
        <f>IF(OR(C909="",D909=""),"",IF(D909=1,C909,ROUND(C909*(1+D909/30),1)))</f>
        <v/>
      </c>
      <c r="F909" s="4" t="n"/>
    </row>
    <row r="910">
      <c r="A910" s="9" t="n"/>
      <c r="B910" s="4" t="n"/>
      <c r="C910" s="4" t="n"/>
      <c r="D910" s="4" t="n"/>
      <c r="E910" s="3">
        <f>IF(OR(C910="",D910=""),"",IF(D910=1,C910,ROUND(C910*(1+D910/30),1)))</f>
        <v/>
      </c>
      <c r="F910" s="4" t="n"/>
    </row>
    <row r="911">
      <c r="A911" s="9" t="n"/>
      <c r="B911" s="4" t="n"/>
      <c r="C911" s="4" t="n"/>
      <c r="D911" s="4" t="n"/>
      <c r="E911" s="3">
        <f>IF(OR(C911="",D911=""),"",IF(D911=1,C911,ROUND(C911*(1+D911/30),1)))</f>
        <v/>
      </c>
      <c r="F911" s="4" t="n"/>
    </row>
    <row r="912">
      <c r="A912" s="9" t="n"/>
      <c r="B912" s="4" t="n"/>
      <c r="C912" s="4" t="n"/>
      <c r="D912" s="4" t="n"/>
      <c r="E912" s="3">
        <f>IF(OR(C912="",D912=""),"",IF(D912=1,C912,ROUND(C912*(1+D912/30),1)))</f>
        <v/>
      </c>
      <c r="F912" s="4" t="n"/>
    </row>
    <row r="913">
      <c r="A913" s="9" t="n"/>
      <c r="B913" s="4" t="n"/>
      <c r="C913" s="4" t="n"/>
      <c r="D913" s="4" t="n"/>
      <c r="E913" s="3">
        <f>IF(OR(C913="",D913=""),"",IF(D913=1,C913,ROUND(C913*(1+D913/30),1)))</f>
        <v/>
      </c>
      <c r="F913" s="4" t="n"/>
    </row>
    <row r="914">
      <c r="A914" s="9" t="n"/>
      <c r="B914" s="4" t="n"/>
      <c r="C914" s="4" t="n"/>
      <c r="D914" s="4" t="n"/>
      <c r="E914" s="3">
        <f>IF(OR(C914="",D914=""),"",IF(D914=1,C914,ROUND(C914*(1+D914/30),1)))</f>
        <v/>
      </c>
      <c r="F914" s="4" t="n"/>
    </row>
    <row r="915">
      <c r="A915" s="9" t="n"/>
      <c r="B915" s="4" t="n"/>
      <c r="C915" s="4" t="n"/>
      <c r="D915" s="4" t="n"/>
      <c r="E915" s="3">
        <f>IF(OR(C915="",D915=""),"",IF(D915=1,C915,ROUND(C915*(1+D915/30),1)))</f>
        <v/>
      </c>
      <c r="F915" s="4" t="n"/>
    </row>
    <row r="916">
      <c r="A916" s="9" t="n"/>
      <c r="B916" s="4" t="n"/>
      <c r="C916" s="4" t="n"/>
      <c r="D916" s="4" t="n"/>
      <c r="E916" s="3">
        <f>IF(OR(C916="",D916=""),"",IF(D916=1,C916,ROUND(C916*(1+D916/30),1)))</f>
        <v/>
      </c>
      <c r="F916" s="4" t="n"/>
    </row>
    <row r="917">
      <c r="A917" s="9" t="n"/>
      <c r="B917" s="4" t="n"/>
      <c r="C917" s="4" t="n"/>
      <c r="D917" s="4" t="n"/>
      <c r="E917" s="3">
        <f>IF(OR(C917="",D917=""),"",IF(D917=1,C917,ROUND(C917*(1+D917/30),1)))</f>
        <v/>
      </c>
      <c r="F917" s="4" t="n"/>
    </row>
    <row r="918">
      <c r="A918" s="9" t="n"/>
      <c r="B918" s="4" t="n"/>
      <c r="C918" s="4" t="n"/>
      <c r="D918" s="4" t="n"/>
      <c r="E918" s="3">
        <f>IF(OR(C918="",D918=""),"",IF(D918=1,C918,ROUND(C918*(1+D918/30),1)))</f>
        <v/>
      </c>
      <c r="F918" s="4" t="n"/>
    </row>
    <row r="919">
      <c r="A919" s="9" t="n"/>
      <c r="B919" s="4" t="n"/>
      <c r="C919" s="4" t="n"/>
      <c r="D919" s="4" t="n"/>
      <c r="E919" s="3">
        <f>IF(OR(C919="",D919=""),"",IF(D919=1,C919,ROUND(C919*(1+D919/30),1)))</f>
        <v/>
      </c>
      <c r="F919" s="4" t="n"/>
    </row>
    <row r="920">
      <c r="A920" s="9" t="n"/>
      <c r="B920" s="4" t="n"/>
      <c r="C920" s="4" t="n"/>
      <c r="D920" s="4" t="n"/>
      <c r="E920" s="3">
        <f>IF(OR(C920="",D920=""),"",IF(D920=1,C920,ROUND(C920*(1+D920/30),1)))</f>
        <v/>
      </c>
      <c r="F920" s="4" t="n"/>
    </row>
    <row r="921">
      <c r="A921" s="9" t="n"/>
      <c r="B921" s="4" t="n"/>
      <c r="C921" s="4" t="n"/>
      <c r="D921" s="4" t="n"/>
      <c r="E921" s="3">
        <f>IF(OR(C921="",D921=""),"",IF(D921=1,C921,ROUND(C921*(1+D921/30),1)))</f>
        <v/>
      </c>
      <c r="F921" s="4" t="n"/>
    </row>
    <row r="922">
      <c r="A922" s="9" t="n"/>
      <c r="B922" s="4" t="n"/>
      <c r="C922" s="4" t="n"/>
      <c r="D922" s="4" t="n"/>
      <c r="E922" s="3">
        <f>IF(OR(C922="",D922=""),"",IF(D922=1,C922,ROUND(C922*(1+D922/30),1)))</f>
        <v/>
      </c>
      <c r="F922" s="4" t="n"/>
    </row>
    <row r="923">
      <c r="A923" s="9" t="n"/>
      <c r="B923" s="4" t="n"/>
      <c r="C923" s="4" t="n"/>
      <c r="D923" s="4" t="n"/>
      <c r="E923" s="3">
        <f>IF(OR(C923="",D923=""),"",IF(D923=1,C923,ROUND(C923*(1+D923/30),1)))</f>
        <v/>
      </c>
      <c r="F923" s="4" t="n"/>
    </row>
    <row r="924">
      <c r="A924" s="9" t="n"/>
      <c r="B924" s="4" t="n"/>
      <c r="C924" s="4" t="n"/>
      <c r="D924" s="4" t="n"/>
      <c r="E924" s="3">
        <f>IF(OR(C924="",D924=""),"",IF(D924=1,C924,ROUND(C924*(1+D924/30),1)))</f>
        <v/>
      </c>
      <c r="F924" s="4" t="n"/>
    </row>
    <row r="925">
      <c r="A925" s="9" t="n"/>
      <c r="B925" s="4" t="n"/>
      <c r="C925" s="4" t="n"/>
      <c r="D925" s="4" t="n"/>
      <c r="E925" s="3">
        <f>IF(OR(C925="",D925=""),"",IF(D925=1,C925,ROUND(C925*(1+D925/30),1)))</f>
        <v/>
      </c>
      <c r="F925" s="4" t="n"/>
    </row>
    <row r="926">
      <c r="A926" s="9" t="n"/>
      <c r="B926" s="4" t="n"/>
      <c r="C926" s="4" t="n"/>
      <c r="D926" s="4" t="n"/>
      <c r="E926" s="3">
        <f>IF(OR(C926="",D926=""),"",IF(D926=1,C926,ROUND(C926*(1+D926/30),1)))</f>
        <v/>
      </c>
      <c r="F926" s="4" t="n"/>
    </row>
    <row r="927">
      <c r="A927" s="9" t="n"/>
      <c r="B927" s="4" t="n"/>
      <c r="C927" s="4" t="n"/>
      <c r="D927" s="4" t="n"/>
      <c r="E927" s="3">
        <f>IF(OR(C927="",D927=""),"",IF(D927=1,C927,ROUND(C927*(1+D927/30),1)))</f>
        <v/>
      </c>
      <c r="F927" s="4" t="n"/>
    </row>
    <row r="928">
      <c r="A928" s="9" t="n"/>
      <c r="B928" s="4" t="n"/>
      <c r="C928" s="4" t="n"/>
      <c r="D928" s="4" t="n"/>
      <c r="E928" s="3">
        <f>IF(OR(C928="",D928=""),"",IF(D928=1,C928,ROUND(C928*(1+D928/30),1)))</f>
        <v/>
      </c>
      <c r="F928" s="4" t="n"/>
    </row>
    <row r="929">
      <c r="A929" s="9" t="n"/>
      <c r="B929" s="4" t="n"/>
      <c r="C929" s="4" t="n"/>
      <c r="D929" s="4" t="n"/>
      <c r="E929" s="3">
        <f>IF(OR(C929="",D929=""),"",IF(D929=1,C929,ROUND(C929*(1+D929/30),1)))</f>
        <v/>
      </c>
      <c r="F929" s="4" t="n"/>
    </row>
    <row r="930">
      <c r="A930" s="9" t="n"/>
      <c r="B930" s="4" t="n"/>
      <c r="C930" s="4" t="n"/>
      <c r="D930" s="4" t="n"/>
      <c r="E930" s="3">
        <f>IF(OR(C930="",D930=""),"",IF(D930=1,C930,ROUND(C930*(1+D930/30),1)))</f>
        <v/>
      </c>
      <c r="F930" s="4" t="n"/>
    </row>
    <row r="931">
      <c r="A931" s="9" t="n"/>
      <c r="B931" s="4" t="n"/>
      <c r="C931" s="4" t="n"/>
      <c r="D931" s="4" t="n"/>
      <c r="E931" s="3">
        <f>IF(OR(C931="",D931=""),"",IF(D931=1,C931,ROUND(C931*(1+D931/30),1)))</f>
        <v/>
      </c>
      <c r="F931" s="4" t="n"/>
    </row>
    <row r="932">
      <c r="A932" s="9" t="n"/>
      <c r="B932" s="4" t="n"/>
      <c r="C932" s="4" t="n"/>
      <c r="D932" s="4" t="n"/>
      <c r="E932" s="3">
        <f>IF(OR(C932="",D932=""),"",IF(D932=1,C932,ROUND(C932*(1+D932/30),1)))</f>
        <v/>
      </c>
      <c r="F932" s="4" t="n"/>
    </row>
    <row r="933">
      <c r="A933" s="9" t="n"/>
      <c r="B933" s="4" t="n"/>
      <c r="C933" s="4" t="n"/>
      <c r="D933" s="4" t="n"/>
      <c r="E933" s="3">
        <f>IF(OR(C933="",D933=""),"",IF(D933=1,C933,ROUND(C933*(1+D933/30),1)))</f>
        <v/>
      </c>
      <c r="F933" s="4" t="n"/>
    </row>
    <row r="934">
      <c r="A934" s="9" t="n"/>
      <c r="B934" s="4" t="n"/>
      <c r="C934" s="4" t="n"/>
      <c r="D934" s="4" t="n"/>
      <c r="E934" s="3">
        <f>IF(OR(C934="",D934=""),"",IF(D934=1,C934,ROUND(C934*(1+D934/30),1)))</f>
        <v/>
      </c>
      <c r="F934" s="4" t="n"/>
    </row>
    <row r="935">
      <c r="A935" s="9" t="n"/>
      <c r="B935" s="4" t="n"/>
      <c r="C935" s="4" t="n"/>
      <c r="D935" s="4" t="n"/>
      <c r="E935" s="3">
        <f>IF(OR(C935="",D935=""),"",IF(D935=1,C935,ROUND(C935*(1+D935/30),1)))</f>
        <v/>
      </c>
      <c r="F935" s="4" t="n"/>
    </row>
    <row r="936">
      <c r="A936" s="9" t="n"/>
      <c r="B936" s="4" t="n"/>
      <c r="C936" s="4" t="n"/>
      <c r="D936" s="4" t="n"/>
      <c r="E936" s="3">
        <f>IF(OR(C936="",D936=""),"",IF(D936=1,C936,ROUND(C936*(1+D936/30),1)))</f>
        <v/>
      </c>
      <c r="F936" s="4" t="n"/>
    </row>
    <row r="937">
      <c r="A937" s="9" t="n"/>
      <c r="B937" s="4" t="n"/>
      <c r="C937" s="4" t="n"/>
      <c r="D937" s="4" t="n"/>
      <c r="E937" s="3">
        <f>IF(OR(C937="",D937=""),"",IF(D937=1,C937,ROUND(C937*(1+D937/30),1)))</f>
        <v/>
      </c>
      <c r="F937" s="4" t="n"/>
    </row>
    <row r="938">
      <c r="A938" s="9" t="n"/>
      <c r="B938" s="4" t="n"/>
      <c r="C938" s="4" t="n"/>
      <c r="D938" s="4" t="n"/>
      <c r="E938" s="3">
        <f>IF(OR(C938="",D938=""),"",IF(D938=1,C938,ROUND(C938*(1+D938/30),1)))</f>
        <v/>
      </c>
      <c r="F938" s="4" t="n"/>
    </row>
    <row r="939">
      <c r="A939" s="9" t="n"/>
      <c r="B939" s="4" t="n"/>
      <c r="C939" s="4" t="n"/>
      <c r="D939" s="4" t="n"/>
      <c r="E939" s="3">
        <f>IF(OR(C939="",D939=""),"",IF(D939=1,C939,ROUND(C939*(1+D939/30),1)))</f>
        <v/>
      </c>
      <c r="F939" s="4" t="n"/>
    </row>
    <row r="940">
      <c r="A940" s="9" t="n"/>
      <c r="B940" s="4" t="n"/>
      <c r="C940" s="4" t="n"/>
      <c r="D940" s="4" t="n"/>
      <c r="E940" s="3">
        <f>IF(OR(C940="",D940=""),"",IF(D940=1,C940,ROUND(C940*(1+D940/30),1)))</f>
        <v/>
      </c>
      <c r="F940" s="4" t="n"/>
    </row>
    <row r="941">
      <c r="A941" s="9" t="n"/>
      <c r="B941" s="4" t="n"/>
      <c r="C941" s="4" t="n"/>
      <c r="D941" s="4" t="n"/>
      <c r="E941" s="3">
        <f>IF(OR(C941="",D941=""),"",IF(D941=1,C941,ROUND(C941*(1+D941/30),1)))</f>
        <v/>
      </c>
      <c r="F941" s="4" t="n"/>
    </row>
    <row r="942">
      <c r="A942" s="9" t="n"/>
      <c r="B942" s="4" t="n"/>
      <c r="C942" s="4" t="n"/>
      <c r="D942" s="4" t="n"/>
      <c r="E942" s="3">
        <f>IF(OR(C942="",D942=""),"",IF(D942=1,C942,ROUND(C942*(1+D942/30),1)))</f>
        <v/>
      </c>
      <c r="F942" s="4" t="n"/>
    </row>
    <row r="943">
      <c r="A943" s="9" t="n"/>
      <c r="B943" s="4" t="n"/>
      <c r="C943" s="4" t="n"/>
      <c r="D943" s="4" t="n"/>
      <c r="E943" s="3">
        <f>IF(OR(C943="",D943=""),"",IF(D943=1,C943,ROUND(C943*(1+D943/30),1)))</f>
        <v/>
      </c>
      <c r="F943" s="4" t="n"/>
    </row>
    <row r="944">
      <c r="A944" s="9" t="n"/>
      <c r="B944" s="4" t="n"/>
      <c r="C944" s="4" t="n"/>
      <c r="D944" s="4" t="n"/>
      <c r="E944" s="3">
        <f>IF(OR(C944="",D944=""),"",IF(D944=1,C944,ROUND(C944*(1+D944/30),1)))</f>
        <v/>
      </c>
      <c r="F944" s="4" t="n"/>
    </row>
    <row r="945">
      <c r="A945" s="9" t="n"/>
      <c r="B945" s="4" t="n"/>
      <c r="C945" s="4" t="n"/>
      <c r="D945" s="4" t="n"/>
      <c r="E945" s="3">
        <f>IF(OR(C945="",D945=""),"",IF(D945=1,C945,ROUND(C945*(1+D945/30),1)))</f>
        <v/>
      </c>
      <c r="F945" s="4" t="n"/>
    </row>
    <row r="946">
      <c r="A946" s="9" t="n"/>
      <c r="B946" s="4" t="n"/>
      <c r="C946" s="4" t="n"/>
      <c r="D946" s="4" t="n"/>
      <c r="E946" s="3">
        <f>IF(OR(C946="",D946=""),"",IF(D946=1,C946,ROUND(C946*(1+D946/30),1)))</f>
        <v/>
      </c>
      <c r="F946" s="4" t="n"/>
    </row>
    <row r="947">
      <c r="A947" s="9" t="n"/>
      <c r="B947" s="4" t="n"/>
      <c r="C947" s="4" t="n"/>
      <c r="D947" s="4" t="n"/>
      <c r="E947" s="3">
        <f>IF(OR(C947="",D947=""),"",IF(D947=1,C947,ROUND(C947*(1+D947/30),1)))</f>
        <v/>
      </c>
      <c r="F947" s="4" t="n"/>
    </row>
    <row r="948">
      <c r="A948" s="9" t="n"/>
      <c r="B948" s="4" t="n"/>
      <c r="C948" s="4" t="n"/>
      <c r="D948" s="4" t="n"/>
      <c r="E948" s="3">
        <f>IF(OR(C948="",D948=""),"",IF(D948=1,C948,ROUND(C948*(1+D948/30),1)))</f>
        <v/>
      </c>
      <c r="F948" s="4" t="n"/>
    </row>
    <row r="949">
      <c r="A949" s="9" t="n"/>
      <c r="B949" s="4" t="n"/>
      <c r="C949" s="4" t="n"/>
      <c r="D949" s="4" t="n"/>
      <c r="E949" s="3">
        <f>IF(OR(C949="",D949=""),"",IF(D949=1,C949,ROUND(C949*(1+D949/30),1)))</f>
        <v/>
      </c>
      <c r="F949" s="4" t="n"/>
    </row>
    <row r="950">
      <c r="A950" s="9" t="n"/>
      <c r="B950" s="4" t="n"/>
      <c r="C950" s="4" t="n"/>
      <c r="D950" s="4" t="n"/>
      <c r="E950" s="3">
        <f>IF(OR(C950="",D950=""),"",IF(D950=1,C950,ROUND(C950*(1+D950/30),1)))</f>
        <v/>
      </c>
      <c r="F950" s="4" t="n"/>
    </row>
    <row r="951">
      <c r="A951" s="9" t="n"/>
      <c r="B951" s="4" t="n"/>
      <c r="C951" s="4" t="n"/>
      <c r="D951" s="4" t="n"/>
      <c r="E951" s="3">
        <f>IF(OR(C951="",D951=""),"",IF(D951=1,C951,ROUND(C951*(1+D951/30),1)))</f>
        <v/>
      </c>
      <c r="F951" s="4" t="n"/>
    </row>
    <row r="952">
      <c r="A952" s="9" t="n"/>
      <c r="B952" s="4" t="n"/>
      <c r="C952" s="4" t="n"/>
      <c r="D952" s="4" t="n"/>
      <c r="E952" s="3">
        <f>IF(OR(C952="",D952=""),"",IF(D952=1,C952,ROUND(C952*(1+D952/30),1)))</f>
        <v/>
      </c>
      <c r="F952" s="4" t="n"/>
    </row>
    <row r="953">
      <c r="A953" s="9" t="n"/>
      <c r="B953" s="4" t="n"/>
      <c r="C953" s="4" t="n"/>
      <c r="D953" s="4" t="n"/>
      <c r="E953" s="3">
        <f>IF(OR(C953="",D953=""),"",IF(D953=1,C953,ROUND(C953*(1+D953/30),1)))</f>
        <v/>
      </c>
      <c r="F953" s="4" t="n"/>
    </row>
    <row r="954">
      <c r="A954" s="9" t="n"/>
      <c r="B954" s="4" t="n"/>
      <c r="C954" s="4" t="n"/>
      <c r="D954" s="4" t="n"/>
      <c r="E954" s="3">
        <f>IF(OR(C954="",D954=""),"",IF(D954=1,C954,ROUND(C954*(1+D954/30),1)))</f>
        <v/>
      </c>
      <c r="F954" s="4" t="n"/>
    </row>
    <row r="955">
      <c r="A955" s="9" t="n"/>
      <c r="B955" s="4" t="n"/>
      <c r="C955" s="4" t="n"/>
      <c r="D955" s="4" t="n"/>
      <c r="E955" s="3">
        <f>IF(OR(C955="",D955=""),"",IF(D955=1,C955,ROUND(C955*(1+D955/30),1)))</f>
        <v/>
      </c>
      <c r="F955" s="4" t="n"/>
    </row>
    <row r="956">
      <c r="A956" s="9" t="n"/>
      <c r="B956" s="4" t="n"/>
      <c r="C956" s="4" t="n"/>
      <c r="D956" s="4" t="n"/>
      <c r="E956" s="3">
        <f>IF(OR(C956="",D956=""),"",IF(D956=1,C956,ROUND(C956*(1+D956/30),1)))</f>
        <v/>
      </c>
      <c r="F956" s="4" t="n"/>
    </row>
    <row r="957">
      <c r="A957" s="9" t="n"/>
      <c r="B957" s="4" t="n"/>
      <c r="C957" s="4" t="n"/>
      <c r="D957" s="4" t="n"/>
      <c r="E957" s="3">
        <f>IF(OR(C957="",D957=""),"",IF(D957=1,C957,ROUND(C957*(1+D957/30),1)))</f>
        <v/>
      </c>
      <c r="F957" s="4" t="n"/>
    </row>
    <row r="958">
      <c r="A958" s="9" t="n"/>
      <c r="B958" s="4" t="n"/>
      <c r="C958" s="4" t="n"/>
      <c r="D958" s="4" t="n"/>
      <c r="E958" s="3">
        <f>IF(OR(C958="",D958=""),"",IF(D958=1,C958,ROUND(C958*(1+D958/30),1)))</f>
        <v/>
      </c>
      <c r="F958" s="4" t="n"/>
    </row>
    <row r="959">
      <c r="A959" s="9" t="n"/>
      <c r="B959" s="4" t="n"/>
      <c r="C959" s="4" t="n"/>
      <c r="D959" s="4" t="n"/>
      <c r="E959" s="3">
        <f>IF(OR(C959="",D959=""),"",IF(D959=1,C959,ROUND(C959*(1+D959/30),1)))</f>
        <v/>
      </c>
      <c r="F959" s="4" t="n"/>
    </row>
    <row r="960">
      <c r="A960" s="9" t="n"/>
      <c r="B960" s="4" t="n"/>
      <c r="C960" s="4" t="n"/>
      <c r="D960" s="4" t="n"/>
      <c r="E960" s="3">
        <f>IF(OR(C960="",D960=""),"",IF(D960=1,C960,ROUND(C960*(1+D960/30),1)))</f>
        <v/>
      </c>
      <c r="F960" s="4" t="n"/>
    </row>
    <row r="961">
      <c r="A961" s="9" t="n"/>
      <c r="B961" s="4" t="n"/>
      <c r="C961" s="4" t="n"/>
      <c r="D961" s="4" t="n"/>
      <c r="E961" s="3">
        <f>IF(OR(C961="",D961=""),"",IF(D961=1,C961,ROUND(C961*(1+D961/30),1)))</f>
        <v/>
      </c>
      <c r="F961" s="4" t="n"/>
    </row>
    <row r="962">
      <c r="A962" s="9" t="n"/>
      <c r="B962" s="4" t="n"/>
      <c r="C962" s="4" t="n"/>
      <c r="D962" s="4" t="n"/>
      <c r="E962" s="3">
        <f>IF(OR(C962="",D962=""),"",IF(D962=1,C962,ROUND(C962*(1+D962/30),1)))</f>
        <v/>
      </c>
      <c r="F962" s="4" t="n"/>
    </row>
    <row r="963">
      <c r="A963" s="9" t="n"/>
      <c r="B963" s="4" t="n"/>
      <c r="C963" s="4" t="n"/>
      <c r="D963" s="4" t="n"/>
      <c r="E963" s="3">
        <f>IF(OR(C963="",D963=""),"",IF(D963=1,C963,ROUND(C963*(1+D963/30),1)))</f>
        <v/>
      </c>
      <c r="F963" s="4" t="n"/>
    </row>
    <row r="964">
      <c r="A964" s="9" t="n"/>
      <c r="B964" s="4" t="n"/>
      <c r="C964" s="4" t="n"/>
      <c r="D964" s="4" t="n"/>
      <c r="E964" s="3">
        <f>IF(OR(C964="",D964=""),"",IF(D964=1,C964,ROUND(C964*(1+D964/30),1)))</f>
        <v/>
      </c>
      <c r="F964" s="4" t="n"/>
    </row>
    <row r="965">
      <c r="A965" s="9" t="n"/>
      <c r="B965" s="4" t="n"/>
      <c r="C965" s="4" t="n"/>
      <c r="D965" s="4" t="n"/>
      <c r="E965" s="3">
        <f>IF(OR(C965="",D965=""),"",IF(D965=1,C965,ROUND(C965*(1+D965/30),1)))</f>
        <v/>
      </c>
      <c r="F965" s="4" t="n"/>
    </row>
    <row r="966">
      <c r="A966" s="9" t="n"/>
      <c r="B966" s="4" t="n"/>
      <c r="C966" s="4" t="n"/>
      <c r="D966" s="4" t="n"/>
      <c r="E966" s="3">
        <f>IF(OR(C966="",D966=""),"",IF(D966=1,C966,ROUND(C966*(1+D966/30),1)))</f>
        <v/>
      </c>
      <c r="F966" s="4" t="n"/>
    </row>
    <row r="967">
      <c r="A967" s="9" t="n"/>
      <c r="B967" s="4" t="n"/>
      <c r="C967" s="4" t="n"/>
      <c r="D967" s="4" t="n"/>
      <c r="E967" s="3">
        <f>IF(OR(C967="",D967=""),"",IF(D967=1,C967,ROUND(C967*(1+D967/30),1)))</f>
        <v/>
      </c>
      <c r="F967" s="4" t="n"/>
    </row>
    <row r="968">
      <c r="A968" s="9" t="n"/>
      <c r="B968" s="4" t="n"/>
      <c r="C968" s="4" t="n"/>
      <c r="D968" s="4" t="n"/>
      <c r="E968" s="3">
        <f>IF(OR(C968="",D968=""),"",IF(D968=1,C968,ROUND(C968*(1+D968/30),1)))</f>
        <v/>
      </c>
      <c r="F968" s="4" t="n"/>
    </row>
    <row r="969">
      <c r="A969" s="9" t="n"/>
      <c r="B969" s="4" t="n"/>
      <c r="C969" s="4" t="n"/>
      <c r="D969" s="4" t="n"/>
      <c r="E969" s="3">
        <f>IF(OR(C969="",D969=""),"",IF(D969=1,C969,ROUND(C969*(1+D969/30),1)))</f>
        <v/>
      </c>
      <c r="F969" s="4" t="n"/>
    </row>
    <row r="970">
      <c r="A970" s="9" t="n"/>
      <c r="B970" s="4" t="n"/>
      <c r="C970" s="4" t="n"/>
      <c r="D970" s="4" t="n"/>
      <c r="E970" s="3">
        <f>IF(OR(C970="",D970=""),"",IF(D970=1,C970,ROUND(C970*(1+D970/30),1)))</f>
        <v/>
      </c>
      <c r="F970" s="4" t="n"/>
    </row>
    <row r="971">
      <c r="A971" s="9" t="n"/>
      <c r="B971" s="4" t="n"/>
      <c r="C971" s="4" t="n"/>
      <c r="D971" s="4" t="n"/>
      <c r="E971" s="3">
        <f>IF(OR(C971="",D971=""),"",IF(D971=1,C971,ROUND(C971*(1+D971/30),1)))</f>
        <v/>
      </c>
      <c r="F971" s="4" t="n"/>
    </row>
    <row r="972">
      <c r="A972" s="9" t="n"/>
      <c r="B972" s="4" t="n"/>
      <c r="C972" s="4" t="n"/>
      <c r="D972" s="4" t="n"/>
      <c r="E972" s="3">
        <f>IF(OR(C972="",D972=""),"",IF(D972=1,C972,ROUND(C972*(1+D972/30),1)))</f>
        <v/>
      </c>
      <c r="F972" s="4" t="n"/>
    </row>
    <row r="973">
      <c r="A973" s="9" t="n"/>
      <c r="B973" s="4" t="n"/>
      <c r="C973" s="4" t="n"/>
      <c r="D973" s="4" t="n"/>
      <c r="E973" s="3">
        <f>IF(OR(C973="",D973=""),"",IF(D973=1,C973,ROUND(C973*(1+D973/30),1)))</f>
        <v/>
      </c>
      <c r="F973" s="4" t="n"/>
    </row>
    <row r="974">
      <c r="A974" s="9" t="n"/>
      <c r="B974" s="4" t="n"/>
      <c r="C974" s="4" t="n"/>
      <c r="D974" s="4" t="n"/>
      <c r="E974" s="3">
        <f>IF(OR(C974="",D974=""),"",IF(D974=1,C974,ROUND(C974*(1+D974/30),1)))</f>
        <v/>
      </c>
      <c r="F974" s="4" t="n"/>
    </row>
    <row r="975">
      <c r="A975" s="9" t="n"/>
      <c r="B975" s="4" t="n"/>
      <c r="C975" s="4" t="n"/>
      <c r="D975" s="4" t="n"/>
      <c r="E975" s="3">
        <f>IF(OR(C975="",D975=""),"",IF(D975=1,C975,ROUND(C975*(1+D975/30),1)))</f>
        <v/>
      </c>
      <c r="F975" s="4" t="n"/>
    </row>
    <row r="976">
      <c r="A976" s="9" t="n"/>
      <c r="B976" s="4" t="n"/>
      <c r="C976" s="4" t="n"/>
      <c r="D976" s="4" t="n"/>
      <c r="E976" s="3">
        <f>IF(OR(C976="",D976=""),"",IF(D976=1,C976,ROUND(C976*(1+D976/30),1)))</f>
        <v/>
      </c>
      <c r="F976" s="4" t="n"/>
    </row>
    <row r="977">
      <c r="A977" s="9" t="n"/>
      <c r="B977" s="4" t="n"/>
      <c r="C977" s="4" t="n"/>
      <c r="D977" s="4" t="n"/>
      <c r="E977" s="3">
        <f>IF(OR(C977="",D977=""),"",IF(D977=1,C977,ROUND(C977*(1+D977/30),1)))</f>
        <v/>
      </c>
      <c r="F977" s="4" t="n"/>
    </row>
    <row r="978">
      <c r="A978" s="9" t="n"/>
      <c r="B978" s="4" t="n"/>
      <c r="C978" s="4" t="n"/>
      <c r="D978" s="4" t="n"/>
      <c r="E978" s="3">
        <f>IF(OR(C978="",D978=""),"",IF(D978=1,C978,ROUND(C978*(1+D978/30),1)))</f>
        <v/>
      </c>
      <c r="F978" s="4" t="n"/>
    </row>
    <row r="979">
      <c r="A979" s="9" t="n"/>
      <c r="B979" s="4" t="n"/>
      <c r="C979" s="4" t="n"/>
      <c r="D979" s="4" t="n"/>
      <c r="E979" s="3">
        <f>IF(OR(C979="",D979=""),"",IF(D979=1,C979,ROUND(C979*(1+D979/30),1)))</f>
        <v/>
      </c>
      <c r="F979" s="4" t="n"/>
    </row>
    <row r="980">
      <c r="A980" s="9" t="n"/>
      <c r="B980" s="4" t="n"/>
      <c r="C980" s="4" t="n"/>
      <c r="D980" s="4" t="n"/>
      <c r="E980" s="3">
        <f>IF(OR(C980="",D980=""),"",IF(D980=1,C980,ROUND(C980*(1+D980/30),1)))</f>
        <v/>
      </c>
      <c r="F980" s="4" t="n"/>
    </row>
    <row r="981">
      <c r="A981" s="9" t="n"/>
      <c r="B981" s="4" t="n"/>
      <c r="C981" s="4" t="n"/>
      <c r="D981" s="4" t="n"/>
      <c r="E981" s="3">
        <f>IF(OR(C981="",D981=""),"",IF(D981=1,C981,ROUND(C981*(1+D981/30),1)))</f>
        <v/>
      </c>
      <c r="F981" s="4" t="n"/>
    </row>
    <row r="982">
      <c r="A982" s="9" t="n"/>
      <c r="B982" s="4" t="n"/>
      <c r="C982" s="4" t="n"/>
      <c r="D982" s="4" t="n"/>
      <c r="E982" s="3">
        <f>IF(OR(C982="",D982=""),"",IF(D982=1,C982,ROUND(C982*(1+D982/30),1)))</f>
        <v/>
      </c>
      <c r="F982" s="4" t="n"/>
    </row>
    <row r="983">
      <c r="A983" s="9" t="n"/>
      <c r="B983" s="4" t="n"/>
      <c r="C983" s="4" t="n"/>
      <c r="D983" s="4" t="n"/>
      <c r="E983" s="3">
        <f>IF(OR(C983="",D983=""),"",IF(D983=1,C983,ROUND(C983*(1+D983/30),1)))</f>
        <v/>
      </c>
      <c r="F983" s="4" t="n"/>
    </row>
    <row r="984">
      <c r="A984" s="9" t="n"/>
      <c r="B984" s="4" t="n"/>
      <c r="C984" s="4" t="n"/>
      <c r="D984" s="4" t="n"/>
      <c r="E984" s="3">
        <f>IF(OR(C984="",D984=""),"",IF(D984=1,C984,ROUND(C984*(1+D984/30),1)))</f>
        <v/>
      </c>
      <c r="F984" s="4" t="n"/>
    </row>
    <row r="985">
      <c r="A985" s="9" t="n"/>
      <c r="B985" s="4" t="n"/>
      <c r="C985" s="4" t="n"/>
      <c r="D985" s="4" t="n"/>
      <c r="E985" s="3">
        <f>IF(OR(C985="",D985=""),"",IF(D985=1,C985,ROUND(C985*(1+D985/30),1)))</f>
        <v/>
      </c>
      <c r="F985" s="4" t="n"/>
    </row>
    <row r="986">
      <c r="A986" s="9" t="n"/>
      <c r="B986" s="4" t="n"/>
      <c r="C986" s="4" t="n"/>
      <c r="D986" s="4" t="n"/>
      <c r="E986" s="3">
        <f>IF(OR(C986="",D986=""),"",IF(D986=1,C986,ROUND(C986*(1+D986/30),1)))</f>
        <v/>
      </c>
      <c r="F986" s="4" t="n"/>
    </row>
    <row r="987">
      <c r="A987" s="9" t="n"/>
      <c r="B987" s="4" t="n"/>
      <c r="C987" s="4" t="n"/>
      <c r="D987" s="4" t="n"/>
      <c r="E987" s="3">
        <f>IF(OR(C987="",D987=""),"",IF(D987=1,C987,ROUND(C987*(1+D987/30),1)))</f>
        <v/>
      </c>
      <c r="F987" s="4" t="n"/>
    </row>
    <row r="988">
      <c r="A988" s="9" t="n"/>
      <c r="B988" s="4" t="n"/>
      <c r="C988" s="4" t="n"/>
      <c r="D988" s="4" t="n"/>
      <c r="E988" s="3">
        <f>IF(OR(C988="",D988=""),"",IF(D988=1,C988,ROUND(C988*(1+D988/30),1)))</f>
        <v/>
      </c>
      <c r="F988" s="4" t="n"/>
    </row>
    <row r="989">
      <c r="A989" s="9" t="n"/>
      <c r="B989" s="4" t="n"/>
      <c r="C989" s="4" t="n"/>
      <c r="D989" s="4" t="n"/>
      <c r="E989" s="3">
        <f>IF(OR(C989="",D989=""),"",IF(D989=1,C989,ROUND(C989*(1+D989/30),1)))</f>
        <v/>
      </c>
      <c r="F989" s="4" t="n"/>
    </row>
    <row r="990">
      <c r="A990" s="9" t="n"/>
      <c r="B990" s="4" t="n"/>
      <c r="C990" s="4" t="n"/>
      <c r="D990" s="4" t="n"/>
      <c r="E990" s="3">
        <f>IF(OR(C990="",D990=""),"",IF(D990=1,C990,ROUND(C990*(1+D990/30),1)))</f>
        <v/>
      </c>
      <c r="F990" s="4" t="n"/>
    </row>
    <row r="991">
      <c r="A991" s="9" t="n"/>
      <c r="B991" s="4" t="n"/>
      <c r="C991" s="4" t="n"/>
      <c r="D991" s="4" t="n"/>
      <c r="E991" s="3">
        <f>IF(OR(C991="",D991=""),"",IF(D991=1,C991,ROUND(C991*(1+D991/30),1)))</f>
        <v/>
      </c>
      <c r="F991" s="4" t="n"/>
    </row>
    <row r="992">
      <c r="A992" s="9" t="n"/>
      <c r="B992" s="4" t="n"/>
      <c r="C992" s="4" t="n"/>
      <c r="D992" s="4" t="n"/>
      <c r="E992" s="3">
        <f>IF(OR(C992="",D992=""),"",IF(D992=1,C992,ROUND(C992*(1+D992/30),1)))</f>
        <v/>
      </c>
      <c r="F992" s="4" t="n"/>
    </row>
    <row r="993">
      <c r="A993" s="9" t="n"/>
      <c r="B993" s="4" t="n"/>
      <c r="C993" s="4" t="n"/>
      <c r="D993" s="4" t="n"/>
      <c r="E993" s="3">
        <f>IF(OR(C993="",D993=""),"",IF(D993=1,C993,ROUND(C993*(1+D993/30),1)))</f>
        <v/>
      </c>
      <c r="F993" s="4" t="n"/>
    </row>
    <row r="994">
      <c r="A994" s="9" t="n"/>
      <c r="B994" s="4" t="n"/>
      <c r="C994" s="4" t="n"/>
      <c r="D994" s="4" t="n"/>
      <c r="E994" s="3">
        <f>IF(OR(C994="",D994=""),"",IF(D994=1,C994,ROUND(C994*(1+D994/30),1)))</f>
        <v/>
      </c>
      <c r="F994" s="4" t="n"/>
    </row>
    <row r="995">
      <c r="A995" s="9" t="n"/>
      <c r="B995" s="4" t="n"/>
      <c r="C995" s="4" t="n"/>
      <c r="D995" s="4" t="n"/>
      <c r="E995" s="3">
        <f>IF(OR(C995="",D995=""),"",IF(D995=1,C995,ROUND(C995*(1+D995/30),1)))</f>
        <v/>
      </c>
      <c r="F995" s="4" t="n"/>
    </row>
    <row r="996">
      <c r="A996" s="9" t="n"/>
      <c r="B996" s="4" t="n"/>
      <c r="C996" s="4" t="n"/>
      <c r="D996" s="4" t="n"/>
      <c r="E996" s="3">
        <f>IF(OR(C996="",D996=""),"",IF(D996=1,C996,ROUND(C996*(1+D996/30),1)))</f>
        <v/>
      </c>
      <c r="F996" s="4" t="n"/>
    </row>
    <row r="997">
      <c r="A997" s="9" t="n"/>
      <c r="B997" s="4" t="n"/>
      <c r="C997" s="4" t="n"/>
      <c r="D997" s="4" t="n"/>
      <c r="E997" s="3">
        <f>IF(OR(C997="",D997=""),"",IF(D997=1,C997,ROUND(C997*(1+D997/30),1)))</f>
        <v/>
      </c>
      <c r="F997" s="4" t="n"/>
    </row>
    <row r="998">
      <c r="A998" s="9" t="n"/>
      <c r="B998" s="4" t="n"/>
      <c r="C998" s="4" t="n"/>
      <c r="D998" s="4" t="n"/>
      <c r="E998" s="3">
        <f>IF(OR(C998="",D998=""),"",IF(D998=1,C998,ROUND(C998*(1+D998/30),1)))</f>
        <v/>
      </c>
      <c r="F998" s="4" t="n"/>
    </row>
    <row r="999">
      <c r="A999" s="9" t="n"/>
      <c r="B999" s="4" t="n"/>
      <c r="C999" s="4" t="n"/>
      <c r="D999" s="4" t="n"/>
      <c r="E999" s="3">
        <f>IF(OR(C999="",D999=""),"",IF(D999=1,C999,ROUND(C999*(1+D999/30),1)))</f>
        <v/>
      </c>
      <c r="F999" s="4" t="n"/>
    </row>
    <row r="1000">
      <c r="A1000" s="9" t="n"/>
      <c r="B1000" s="4" t="n"/>
      <c r="C1000" s="4" t="n"/>
      <c r="D1000" s="4" t="n"/>
      <c r="E1000" s="3">
        <f>IF(OR(C1000="",D1000=""),"",IF(D1000=1,C1000,ROUND(C1000*(1+D1000/30),1)))</f>
        <v/>
      </c>
      <c r="F1000" s="4" t="n"/>
    </row>
    <row r="1001">
      <c r="A1001" s="9" t="n"/>
      <c r="B1001" s="4" t="n"/>
      <c r="C1001" s="4" t="n"/>
      <c r="D1001" s="4" t="n"/>
      <c r="E1001" s="3">
        <f>IF(OR(C1001="",D1001=""),"",IF(D1001=1,C1001,ROUND(C1001*(1+D1001/30),1)))</f>
        <v/>
      </c>
      <c r="F1001" s="4" t="n"/>
    </row>
  </sheetData>
  <dataValidations count="1">
    <dataValidation sqref="B2:B1001" showDropDown="0" showInputMessage="0" showErrorMessage="0" allowBlank="1" type="list">
      <formula1>Lists!$A$1:$A$69</formula1>
    </dataValidation>
  </dataValidations>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L7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6" customWidth="1" min="1" max="1"/>
    <col width="10" customWidth="1" min="2" max="2"/>
    <col width="13" customWidth="1" min="3" max="3"/>
    <col width="8" customWidth="1" min="4" max="4"/>
    <col width="8" customWidth="1" min="5" max="5"/>
    <col width="8" customWidth="1" min="6" max="6"/>
    <col width="8" customWidth="1" min="7" max="7"/>
    <col width="8" customWidth="1" min="8" max="8"/>
    <col width="8" customWidth="1" min="9" max="9"/>
    <col width="8" customWidth="1" min="10" max="10"/>
    <col width="8" customWidth="1" min="11" max="11"/>
    <col width="8" customWidth="1" min="12" max="12"/>
  </cols>
  <sheetData>
    <row r="1">
      <c r="A1" s="5" t="inlineStr">
        <is>
          <t>Exercise</t>
        </is>
      </c>
      <c r="B1" s="5" t="inlineStr">
        <is>
          <t>Type</t>
        </is>
      </c>
      <c r="C1" s="5" t="inlineStr">
        <is>
          <t>Best est. 1RM</t>
        </is>
      </c>
      <c r="D1" s="5" t="inlineStr">
        <is>
          <t>1RM</t>
        </is>
      </c>
      <c r="E1" s="5" t="inlineStr">
        <is>
          <t>2RM</t>
        </is>
      </c>
      <c r="F1" s="5" t="inlineStr">
        <is>
          <t>3RM</t>
        </is>
      </c>
      <c r="G1" s="5" t="inlineStr">
        <is>
          <t>4RM</t>
        </is>
      </c>
      <c r="H1" s="5" t="inlineStr">
        <is>
          <t>5RM</t>
        </is>
      </c>
      <c r="I1" s="5" t="inlineStr">
        <is>
          <t>6RM</t>
        </is>
      </c>
      <c r="J1" s="5" t="inlineStr">
        <is>
          <t>8RM</t>
        </is>
      </c>
      <c r="K1" s="5" t="inlineStr">
        <is>
          <t>10RM</t>
        </is>
      </c>
      <c r="L1" s="5" t="inlineStr">
        <is>
          <t>12RM</t>
        </is>
      </c>
    </row>
    <row r="2">
      <c r="A2" s="10" t="inlineStr">
        <is>
          <t>Squat</t>
        </is>
      </c>
      <c r="B2" t="inlineStr">
        <is>
          <t>main</t>
        </is>
      </c>
      <c r="C2" s="11">
        <f>MAX(_xlfn.MAXIFS('Start Here'!$D$17:$D$56,'Start Here'!$A$17:$A$56,$A2),_xlfn.MAXIFS(Sets!$E$2:$E$1060,Sets!$B$2:$B$1060,$A2),_xlfn.MAXIFS(Log!$E$2:$E$1001,Log!$B$2:$B$1001,$A2))</f>
        <v/>
      </c>
      <c r="D2" s="13">
        <f>MAX(_xlfn.MAXIFS('Start Here'!$B$17:$B$56,'Start Here'!$A$17:$A$56,$A2,'Start Here'!$C$17:$C$56,"&gt;=1"),_xlfn.MAXIFS(Sets!$C$2:$C$1060,Sets!$B$2:$B$1060,$A2,Sets!$D$2:$D$1060,"&gt;=1"),_xlfn.MAXIFS(Log!$C$2:$C$1001,Log!$B$2:$B$1001,$A2,Log!$D$2:$D$1001,"&gt;=1"))</f>
        <v/>
      </c>
      <c r="E2" s="13">
        <f>MAX(_xlfn.MAXIFS('Start Here'!$B$17:$B$56,'Start Here'!$A$17:$A$56,$A2,'Start Here'!$C$17:$C$56,"&gt;=2"),_xlfn.MAXIFS(Sets!$C$2:$C$1060,Sets!$B$2:$B$1060,$A2,Sets!$D$2:$D$1060,"&gt;=2"),_xlfn.MAXIFS(Log!$C$2:$C$1001,Log!$B$2:$B$1001,$A2,Log!$D$2:$D$1001,"&gt;=2"))</f>
        <v/>
      </c>
      <c r="F2" s="13">
        <f>MAX(_xlfn.MAXIFS('Start Here'!$B$17:$B$56,'Start Here'!$A$17:$A$56,$A2,'Start Here'!$C$17:$C$56,"&gt;=3"),_xlfn.MAXIFS(Sets!$C$2:$C$1060,Sets!$B$2:$B$1060,$A2,Sets!$D$2:$D$1060,"&gt;=3"),_xlfn.MAXIFS(Log!$C$2:$C$1001,Log!$B$2:$B$1001,$A2,Log!$D$2:$D$1001,"&gt;=3"))</f>
        <v/>
      </c>
      <c r="G2" s="13">
        <f>MAX(_xlfn.MAXIFS('Start Here'!$B$17:$B$56,'Start Here'!$A$17:$A$56,$A2,'Start Here'!$C$17:$C$56,"&gt;=4"),_xlfn.MAXIFS(Sets!$C$2:$C$1060,Sets!$B$2:$B$1060,$A2,Sets!$D$2:$D$1060,"&gt;=4"),_xlfn.MAXIFS(Log!$C$2:$C$1001,Log!$B$2:$B$1001,$A2,Log!$D$2:$D$1001,"&gt;=4"))</f>
        <v/>
      </c>
      <c r="H2" s="13">
        <f>MAX(_xlfn.MAXIFS('Start Here'!$B$17:$B$56,'Start Here'!$A$17:$A$56,$A2,'Start Here'!$C$17:$C$56,"&gt;=5"),_xlfn.MAXIFS(Sets!$C$2:$C$1060,Sets!$B$2:$B$1060,$A2,Sets!$D$2:$D$1060,"&gt;=5"),_xlfn.MAXIFS(Log!$C$2:$C$1001,Log!$B$2:$B$1001,$A2,Log!$D$2:$D$1001,"&gt;=5"))</f>
        <v/>
      </c>
      <c r="I2" s="13">
        <f>MAX(_xlfn.MAXIFS('Start Here'!$B$17:$B$56,'Start Here'!$A$17:$A$56,$A2,'Start Here'!$C$17:$C$56,"&gt;=6"),_xlfn.MAXIFS(Sets!$C$2:$C$1060,Sets!$B$2:$B$1060,$A2,Sets!$D$2:$D$1060,"&gt;=6"),_xlfn.MAXIFS(Log!$C$2:$C$1001,Log!$B$2:$B$1001,$A2,Log!$D$2:$D$1001,"&gt;=6"))</f>
        <v/>
      </c>
      <c r="J2" s="13">
        <f>MAX(_xlfn.MAXIFS('Start Here'!$B$17:$B$56,'Start Here'!$A$17:$A$56,$A2,'Start Here'!$C$17:$C$56,"&gt;=8"),_xlfn.MAXIFS(Sets!$C$2:$C$1060,Sets!$B$2:$B$1060,$A2,Sets!$D$2:$D$1060,"&gt;=8"),_xlfn.MAXIFS(Log!$C$2:$C$1001,Log!$B$2:$B$1001,$A2,Log!$D$2:$D$1001,"&gt;=8"))</f>
        <v/>
      </c>
      <c r="K2" s="13">
        <f>MAX(_xlfn.MAXIFS('Start Here'!$B$17:$B$56,'Start Here'!$A$17:$A$56,$A2,'Start Here'!$C$17:$C$56,"&gt;=10"),_xlfn.MAXIFS(Sets!$C$2:$C$1060,Sets!$B$2:$B$1060,$A2,Sets!$D$2:$D$1060,"&gt;=10"),_xlfn.MAXIFS(Log!$C$2:$C$1001,Log!$B$2:$B$1001,$A2,Log!$D$2:$D$1001,"&gt;=10"))</f>
        <v/>
      </c>
      <c r="L2" s="13">
        <f>MAX(_xlfn.MAXIFS('Start Here'!$B$17:$B$56,'Start Here'!$A$17:$A$56,$A2,'Start Here'!$C$17:$C$56,"&gt;=12"),_xlfn.MAXIFS(Sets!$C$2:$C$1060,Sets!$B$2:$B$1060,$A2,Sets!$D$2:$D$1060,"&gt;=12"),_xlfn.MAXIFS(Log!$C$2:$C$1001,Log!$B$2:$B$1001,$A2,Log!$D$2:$D$1001,"&gt;=12"))</f>
        <v/>
      </c>
    </row>
    <row r="3">
      <c r="A3" s="10" t="inlineStr">
        <is>
          <t>Bench Press</t>
        </is>
      </c>
      <c r="B3" t="inlineStr">
        <is>
          <t>main</t>
        </is>
      </c>
      <c r="C3" s="11">
        <f>MAX(_xlfn.MAXIFS('Start Here'!$D$17:$D$56,'Start Here'!$A$17:$A$56,$A3),_xlfn.MAXIFS(Sets!$E$2:$E$1060,Sets!$B$2:$B$1060,$A3),_xlfn.MAXIFS(Log!$E$2:$E$1001,Log!$B$2:$B$1001,$A3))</f>
        <v/>
      </c>
      <c r="D3" s="13">
        <f>MAX(_xlfn.MAXIFS('Start Here'!$B$17:$B$56,'Start Here'!$A$17:$A$56,$A3,'Start Here'!$C$17:$C$56,"&gt;=1"),_xlfn.MAXIFS(Sets!$C$2:$C$1060,Sets!$B$2:$B$1060,$A3,Sets!$D$2:$D$1060,"&gt;=1"),_xlfn.MAXIFS(Log!$C$2:$C$1001,Log!$B$2:$B$1001,$A3,Log!$D$2:$D$1001,"&gt;=1"))</f>
        <v/>
      </c>
      <c r="E3" s="13">
        <f>MAX(_xlfn.MAXIFS('Start Here'!$B$17:$B$56,'Start Here'!$A$17:$A$56,$A3,'Start Here'!$C$17:$C$56,"&gt;=2"),_xlfn.MAXIFS(Sets!$C$2:$C$1060,Sets!$B$2:$B$1060,$A3,Sets!$D$2:$D$1060,"&gt;=2"),_xlfn.MAXIFS(Log!$C$2:$C$1001,Log!$B$2:$B$1001,$A3,Log!$D$2:$D$1001,"&gt;=2"))</f>
        <v/>
      </c>
      <c r="F3" s="13">
        <f>MAX(_xlfn.MAXIFS('Start Here'!$B$17:$B$56,'Start Here'!$A$17:$A$56,$A3,'Start Here'!$C$17:$C$56,"&gt;=3"),_xlfn.MAXIFS(Sets!$C$2:$C$1060,Sets!$B$2:$B$1060,$A3,Sets!$D$2:$D$1060,"&gt;=3"),_xlfn.MAXIFS(Log!$C$2:$C$1001,Log!$B$2:$B$1001,$A3,Log!$D$2:$D$1001,"&gt;=3"))</f>
        <v/>
      </c>
      <c r="G3" s="13">
        <f>MAX(_xlfn.MAXIFS('Start Here'!$B$17:$B$56,'Start Here'!$A$17:$A$56,$A3,'Start Here'!$C$17:$C$56,"&gt;=4"),_xlfn.MAXIFS(Sets!$C$2:$C$1060,Sets!$B$2:$B$1060,$A3,Sets!$D$2:$D$1060,"&gt;=4"),_xlfn.MAXIFS(Log!$C$2:$C$1001,Log!$B$2:$B$1001,$A3,Log!$D$2:$D$1001,"&gt;=4"))</f>
        <v/>
      </c>
      <c r="H3" s="13">
        <f>MAX(_xlfn.MAXIFS('Start Here'!$B$17:$B$56,'Start Here'!$A$17:$A$56,$A3,'Start Here'!$C$17:$C$56,"&gt;=5"),_xlfn.MAXIFS(Sets!$C$2:$C$1060,Sets!$B$2:$B$1060,$A3,Sets!$D$2:$D$1060,"&gt;=5"),_xlfn.MAXIFS(Log!$C$2:$C$1001,Log!$B$2:$B$1001,$A3,Log!$D$2:$D$1001,"&gt;=5"))</f>
        <v/>
      </c>
      <c r="I3" s="13">
        <f>MAX(_xlfn.MAXIFS('Start Here'!$B$17:$B$56,'Start Here'!$A$17:$A$56,$A3,'Start Here'!$C$17:$C$56,"&gt;=6"),_xlfn.MAXIFS(Sets!$C$2:$C$1060,Sets!$B$2:$B$1060,$A3,Sets!$D$2:$D$1060,"&gt;=6"),_xlfn.MAXIFS(Log!$C$2:$C$1001,Log!$B$2:$B$1001,$A3,Log!$D$2:$D$1001,"&gt;=6"))</f>
        <v/>
      </c>
      <c r="J3" s="13">
        <f>MAX(_xlfn.MAXIFS('Start Here'!$B$17:$B$56,'Start Here'!$A$17:$A$56,$A3,'Start Here'!$C$17:$C$56,"&gt;=8"),_xlfn.MAXIFS(Sets!$C$2:$C$1060,Sets!$B$2:$B$1060,$A3,Sets!$D$2:$D$1060,"&gt;=8"),_xlfn.MAXIFS(Log!$C$2:$C$1001,Log!$B$2:$B$1001,$A3,Log!$D$2:$D$1001,"&gt;=8"))</f>
        <v/>
      </c>
      <c r="K3" s="13">
        <f>MAX(_xlfn.MAXIFS('Start Here'!$B$17:$B$56,'Start Here'!$A$17:$A$56,$A3,'Start Here'!$C$17:$C$56,"&gt;=10"),_xlfn.MAXIFS(Sets!$C$2:$C$1060,Sets!$B$2:$B$1060,$A3,Sets!$D$2:$D$1060,"&gt;=10"),_xlfn.MAXIFS(Log!$C$2:$C$1001,Log!$B$2:$B$1001,$A3,Log!$D$2:$D$1001,"&gt;=10"))</f>
        <v/>
      </c>
      <c r="L3" s="13">
        <f>MAX(_xlfn.MAXIFS('Start Here'!$B$17:$B$56,'Start Here'!$A$17:$A$56,$A3,'Start Here'!$C$17:$C$56,"&gt;=12"),_xlfn.MAXIFS(Sets!$C$2:$C$1060,Sets!$B$2:$B$1060,$A3,Sets!$D$2:$D$1060,"&gt;=12"),_xlfn.MAXIFS(Log!$C$2:$C$1001,Log!$B$2:$B$1001,$A3,Log!$D$2:$D$1001,"&gt;=12"))</f>
        <v/>
      </c>
    </row>
    <row r="4">
      <c r="A4" s="10" t="inlineStr">
        <is>
          <t>Deadlift</t>
        </is>
      </c>
      <c r="B4" t="inlineStr">
        <is>
          <t>main</t>
        </is>
      </c>
      <c r="C4" s="11">
        <f>MAX(_xlfn.MAXIFS('Start Here'!$D$17:$D$56,'Start Here'!$A$17:$A$56,$A4),_xlfn.MAXIFS(Sets!$E$2:$E$1060,Sets!$B$2:$B$1060,$A4),_xlfn.MAXIFS(Log!$E$2:$E$1001,Log!$B$2:$B$1001,$A4))</f>
        <v/>
      </c>
      <c r="D4" s="13">
        <f>MAX(_xlfn.MAXIFS('Start Here'!$B$17:$B$56,'Start Here'!$A$17:$A$56,$A4,'Start Here'!$C$17:$C$56,"&gt;=1"),_xlfn.MAXIFS(Sets!$C$2:$C$1060,Sets!$B$2:$B$1060,$A4,Sets!$D$2:$D$1060,"&gt;=1"),_xlfn.MAXIFS(Log!$C$2:$C$1001,Log!$B$2:$B$1001,$A4,Log!$D$2:$D$1001,"&gt;=1"))</f>
        <v/>
      </c>
      <c r="E4" s="13">
        <f>MAX(_xlfn.MAXIFS('Start Here'!$B$17:$B$56,'Start Here'!$A$17:$A$56,$A4,'Start Here'!$C$17:$C$56,"&gt;=2"),_xlfn.MAXIFS(Sets!$C$2:$C$1060,Sets!$B$2:$B$1060,$A4,Sets!$D$2:$D$1060,"&gt;=2"),_xlfn.MAXIFS(Log!$C$2:$C$1001,Log!$B$2:$B$1001,$A4,Log!$D$2:$D$1001,"&gt;=2"))</f>
        <v/>
      </c>
      <c r="F4" s="13">
        <f>MAX(_xlfn.MAXIFS('Start Here'!$B$17:$B$56,'Start Here'!$A$17:$A$56,$A4,'Start Here'!$C$17:$C$56,"&gt;=3"),_xlfn.MAXIFS(Sets!$C$2:$C$1060,Sets!$B$2:$B$1060,$A4,Sets!$D$2:$D$1060,"&gt;=3"),_xlfn.MAXIFS(Log!$C$2:$C$1001,Log!$B$2:$B$1001,$A4,Log!$D$2:$D$1001,"&gt;=3"))</f>
        <v/>
      </c>
      <c r="G4" s="13">
        <f>MAX(_xlfn.MAXIFS('Start Here'!$B$17:$B$56,'Start Here'!$A$17:$A$56,$A4,'Start Here'!$C$17:$C$56,"&gt;=4"),_xlfn.MAXIFS(Sets!$C$2:$C$1060,Sets!$B$2:$B$1060,$A4,Sets!$D$2:$D$1060,"&gt;=4"),_xlfn.MAXIFS(Log!$C$2:$C$1001,Log!$B$2:$B$1001,$A4,Log!$D$2:$D$1001,"&gt;=4"))</f>
        <v/>
      </c>
      <c r="H4" s="13">
        <f>MAX(_xlfn.MAXIFS('Start Here'!$B$17:$B$56,'Start Here'!$A$17:$A$56,$A4,'Start Here'!$C$17:$C$56,"&gt;=5"),_xlfn.MAXIFS(Sets!$C$2:$C$1060,Sets!$B$2:$B$1060,$A4,Sets!$D$2:$D$1060,"&gt;=5"),_xlfn.MAXIFS(Log!$C$2:$C$1001,Log!$B$2:$B$1001,$A4,Log!$D$2:$D$1001,"&gt;=5"))</f>
        <v/>
      </c>
      <c r="I4" s="13">
        <f>MAX(_xlfn.MAXIFS('Start Here'!$B$17:$B$56,'Start Here'!$A$17:$A$56,$A4,'Start Here'!$C$17:$C$56,"&gt;=6"),_xlfn.MAXIFS(Sets!$C$2:$C$1060,Sets!$B$2:$B$1060,$A4,Sets!$D$2:$D$1060,"&gt;=6"),_xlfn.MAXIFS(Log!$C$2:$C$1001,Log!$B$2:$B$1001,$A4,Log!$D$2:$D$1001,"&gt;=6"))</f>
        <v/>
      </c>
      <c r="J4" s="13">
        <f>MAX(_xlfn.MAXIFS('Start Here'!$B$17:$B$56,'Start Here'!$A$17:$A$56,$A4,'Start Here'!$C$17:$C$56,"&gt;=8"),_xlfn.MAXIFS(Sets!$C$2:$C$1060,Sets!$B$2:$B$1060,$A4,Sets!$D$2:$D$1060,"&gt;=8"),_xlfn.MAXIFS(Log!$C$2:$C$1001,Log!$B$2:$B$1001,$A4,Log!$D$2:$D$1001,"&gt;=8"))</f>
        <v/>
      </c>
      <c r="K4" s="13">
        <f>MAX(_xlfn.MAXIFS('Start Here'!$B$17:$B$56,'Start Here'!$A$17:$A$56,$A4,'Start Here'!$C$17:$C$56,"&gt;=10"),_xlfn.MAXIFS(Sets!$C$2:$C$1060,Sets!$B$2:$B$1060,$A4,Sets!$D$2:$D$1060,"&gt;=10"),_xlfn.MAXIFS(Log!$C$2:$C$1001,Log!$B$2:$B$1001,$A4,Log!$D$2:$D$1001,"&gt;=10"))</f>
        <v/>
      </c>
      <c r="L4" s="13">
        <f>MAX(_xlfn.MAXIFS('Start Here'!$B$17:$B$56,'Start Here'!$A$17:$A$56,$A4,'Start Here'!$C$17:$C$56,"&gt;=12"),_xlfn.MAXIFS(Sets!$C$2:$C$1060,Sets!$B$2:$B$1060,$A4,Sets!$D$2:$D$1060,"&gt;=12"),_xlfn.MAXIFS(Log!$C$2:$C$1001,Log!$B$2:$B$1001,$A4,Log!$D$2:$D$1001,"&gt;=12"))</f>
        <v/>
      </c>
    </row>
    <row r="5">
      <c r="A5" s="10" t="inlineStr">
        <is>
          <t>Overhead Press</t>
        </is>
      </c>
      <c r="B5" t="inlineStr">
        <is>
          <t>main</t>
        </is>
      </c>
      <c r="C5" s="11">
        <f>MAX(_xlfn.MAXIFS('Start Here'!$D$17:$D$56,'Start Here'!$A$17:$A$56,$A5),_xlfn.MAXIFS(Sets!$E$2:$E$1060,Sets!$B$2:$B$1060,$A5),_xlfn.MAXIFS(Log!$E$2:$E$1001,Log!$B$2:$B$1001,$A5))</f>
        <v/>
      </c>
      <c r="D5" s="13">
        <f>MAX(_xlfn.MAXIFS('Start Here'!$B$17:$B$56,'Start Here'!$A$17:$A$56,$A5,'Start Here'!$C$17:$C$56,"&gt;=1"),_xlfn.MAXIFS(Sets!$C$2:$C$1060,Sets!$B$2:$B$1060,$A5,Sets!$D$2:$D$1060,"&gt;=1"),_xlfn.MAXIFS(Log!$C$2:$C$1001,Log!$B$2:$B$1001,$A5,Log!$D$2:$D$1001,"&gt;=1"))</f>
        <v/>
      </c>
      <c r="E5" s="13">
        <f>MAX(_xlfn.MAXIFS('Start Here'!$B$17:$B$56,'Start Here'!$A$17:$A$56,$A5,'Start Here'!$C$17:$C$56,"&gt;=2"),_xlfn.MAXIFS(Sets!$C$2:$C$1060,Sets!$B$2:$B$1060,$A5,Sets!$D$2:$D$1060,"&gt;=2"),_xlfn.MAXIFS(Log!$C$2:$C$1001,Log!$B$2:$B$1001,$A5,Log!$D$2:$D$1001,"&gt;=2"))</f>
        <v/>
      </c>
      <c r="F5" s="13">
        <f>MAX(_xlfn.MAXIFS('Start Here'!$B$17:$B$56,'Start Here'!$A$17:$A$56,$A5,'Start Here'!$C$17:$C$56,"&gt;=3"),_xlfn.MAXIFS(Sets!$C$2:$C$1060,Sets!$B$2:$B$1060,$A5,Sets!$D$2:$D$1060,"&gt;=3"),_xlfn.MAXIFS(Log!$C$2:$C$1001,Log!$B$2:$B$1001,$A5,Log!$D$2:$D$1001,"&gt;=3"))</f>
        <v/>
      </c>
      <c r="G5" s="13">
        <f>MAX(_xlfn.MAXIFS('Start Here'!$B$17:$B$56,'Start Here'!$A$17:$A$56,$A5,'Start Here'!$C$17:$C$56,"&gt;=4"),_xlfn.MAXIFS(Sets!$C$2:$C$1060,Sets!$B$2:$B$1060,$A5,Sets!$D$2:$D$1060,"&gt;=4"),_xlfn.MAXIFS(Log!$C$2:$C$1001,Log!$B$2:$B$1001,$A5,Log!$D$2:$D$1001,"&gt;=4"))</f>
        <v/>
      </c>
      <c r="H5" s="13">
        <f>MAX(_xlfn.MAXIFS('Start Here'!$B$17:$B$56,'Start Here'!$A$17:$A$56,$A5,'Start Here'!$C$17:$C$56,"&gt;=5"),_xlfn.MAXIFS(Sets!$C$2:$C$1060,Sets!$B$2:$B$1060,$A5,Sets!$D$2:$D$1060,"&gt;=5"),_xlfn.MAXIFS(Log!$C$2:$C$1001,Log!$B$2:$B$1001,$A5,Log!$D$2:$D$1001,"&gt;=5"))</f>
        <v/>
      </c>
      <c r="I5" s="13">
        <f>MAX(_xlfn.MAXIFS('Start Here'!$B$17:$B$56,'Start Here'!$A$17:$A$56,$A5,'Start Here'!$C$17:$C$56,"&gt;=6"),_xlfn.MAXIFS(Sets!$C$2:$C$1060,Sets!$B$2:$B$1060,$A5,Sets!$D$2:$D$1060,"&gt;=6"),_xlfn.MAXIFS(Log!$C$2:$C$1001,Log!$B$2:$B$1001,$A5,Log!$D$2:$D$1001,"&gt;=6"))</f>
        <v/>
      </c>
      <c r="J5" s="13">
        <f>MAX(_xlfn.MAXIFS('Start Here'!$B$17:$B$56,'Start Here'!$A$17:$A$56,$A5,'Start Here'!$C$17:$C$56,"&gt;=8"),_xlfn.MAXIFS(Sets!$C$2:$C$1060,Sets!$B$2:$B$1060,$A5,Sets!$D$2:$D$1060,"&gt;=8"),_xlfn.MAXIFS(Log!$C$2:$C$1001,Log!$B$2:$B$1001,$A5,Log!$D$2:$D$1001,"&gt;=8"))</f>
        <v/>
      </c>
      <c r="K5" s="13">
        <f>MAX(_xlfn.MAXIFS('Start Here'!$B$17:$B$56,'Start Here'!$A$17:$A$56,$A5,'Start Here'!$C$17:$C$56,"&gt;=10"),_xlfn.MAXIFS(Sets!$C$2:$C$1060,Sets!$B$2:$B$1060,$A5,Sets!$D$2:$D$1060,"&gt;=10"),_xlfn.MAXIFS(Log!$C$2:$C$1001,Log!$B$2:$B$1001,$A5,Log!$D$2:$D$1001,"&gt;=10"))</f>
        <v/>
      </c>
      <c r="L5" s="13">
        <f>MAX(_xlfn.MAXIFS('Start Here'!$B$17:$B$56,'Start Here'!$A$17:$A$56,$A5,'Start Here'!$C$17:$C$56,"&gt;=12"),_xlfn.MAXIFS(Sets!$C$2:$C$1060,Sets!$B$2:$B$1060,$A5,Sets!$D$2:$D$1060,"&gt;=12"),_xlfn.MAXIFS(Log!$C$2:$C$1001,Log!$B$2:$B$1001,$A5,Log!$D$2:$D$1001,"&gt;=12"))</f>
        <v/>
      </c>
    </row>
    <row r="6">
      <c r="A6" s="10" t="inlineStr">
        <is>
          <t>Snatch</t>
        </is>
      </c>
      <c r="B6" t="inlineStr">
        <is>
          <t>main</t>
        </is>
      </c>
      <c r="C6" s="11">
        <f>MAX(_xlfn.MAXIFS('Start Here'!$D$17:$D$56,'Start Here'!$A$17:$A$56,$A6),_xlfn.MAXIFS(Sets!$E$2:$E$1060,Sets!$B$2:$B$1060,$A6),_xlfn.MAXIFS(Log!$E$2:$E$1001,Log!$B$2:$B$1001,$A6))</f>
        <v/>
      </c>
      <c r="D6" s="13">
        <f>MAX(_xlfn.MAXIFS('Start Here'!$B$17:$B$56,'Start Here'!$A$17:$A$56,$A6,'Start Here'!$C$17:$C$56,"&gt;=1"),_xlfn.MAXIFS(Sets!$C$2:$C$1060,Sets!$B$2:$B$1060,$A6,Sets!$D$2:$D$1060,"&gt;=1"),_xlfn.MAXIFS(Log!$C$2:$C$1001,Log!$B$2:$B$1001,$A6,Log!$D$2:$D$1001,"&gt;=1"))</f>
        <v/>
      </c>
      <c r="E6" s="13">
        <f>MAX(_xlfn.MAXIFS('Start Here'!$B$17:$B$56,'Start Here'!$A$17:$A$56,$A6,'Start Here'!$C$17:$C$56,"&gt;=2"),_xlfn.MAXIFS(Sets!$C$2:$C$1060,Sets!$B$2:$B$1060,$A6,Sets!$D$2:$D$1060,"&gt;=2"),_xlfn.MAXIFS(Log!$C$2:$C$1001,Log!$B$2:$B$1001,$A6,Log!$D$2:$D$1001,"&gt;=2"))</f>
        <v/>
      </c>
      <c r="F6" s="13">
        <f>MAX(_xlfn.MAXIFS('Start Here'!$B$17:$B$56,'Start Here'!$A$17:$A$56,$A6,'Start Here'!$C$17:$C$56,"&gt;=3"),_xlfn.MAXIFS(Sets!$C$2:$C$1060,Sets!$B$2:$B$1060,$A6,Sets!$D$2:$D$1060,"&gt;=3"),_xlfn.MAXIFS(Log!$C$2:$C$1001,Log!$B$2:$B$1001,$A6,Log!$D$2:$D$1001,"&gt;=3"))</f>
        <v/>
      </c>
      <c r="G6" s="13">
        <f>MAX(_xlfn.MAXIFS('Start Here'!$B$17:$B$56,'Start Here'!$A$17:$A$56,$A6,'Start Here'!$C$17:$C$56,"&gt;=4"),_xlfn.MAXIFS(Sets!$C$2:$C$1060,Sets!$B$2:$B$1060,$A6,Sets!$D$2:$D$1060,"&gt;=4"),_xlfn.MAXIFS(Log!$C$2:$C$1001,Log!$B$2:$B$1001,$A6,Log!$D$2:$D$1001,"&gt;=4"))</f>
        <v/>
      </c>
      <c r="H6" s="13">
        <f>MAX(_xlfn.MAXIFS('Start Here'!$B$17:$B$56,'Start Here'!$A$17:$A$56,$A6,'Start Here'!$C$17:$C$56,"&gt;=5"),_xlfn.MAXIFS(Sets!$C$2:$C$1060,Sets!$B$2:$B$1060,$A6,Sets!$D$2:$D$1060,"&gt;=5"),_xlfn.MAXIFS(Log!$C$2:$C$1001,Log!$B$2:$B$1001,$A6,Log!$D$2:$D$1001,"&gt;=5"))</f>
        <v/>
      </c>
      <c r="I6" s="13">
        <f>MAX(_xlfn.MAXIFS('Start Here'!$B$17:$B$56,'Start Here'!$A$17:$A$56,$A6,'Start Here'!$C$17:$C$56,"&gt;=6"),_xlfn.MAXIFS(Sets!$C$2:$C$1060,Sets!$B$2:$B$1060,$A6,Sets!$D$2:$D$1060,"&gt;=6"),_xlfn.MAXIFS(Log!$C$2:$C$1001,Log!$B$2:$B$1001,$A6,Log!$D$2:$D$1001,"&gt;=6"))</f>
        <v/>
      </c>
      <c r="J6" s="13">
        <f>MAX(_xlfn.MAXIFS('Start Here'!$B$17:$B$56,'Start Here'!$A$17:$A$56,$A6,'Start Here'!$C$17:$C$56,"&gt;=8"),_xlfn.MAXIFS(Sets!$C$2:$C$1060,Sets!$B$2:$B$1060,$A6,Sets!$D$2:$D$1060,"&gt;=8"),_xlfn.MAXIFS(Log!$C$2:$C$1001,Log!$B$2:$B$1001,$A6,Log!$D$2:$D$1001,"&gt;=8"))</f>
        <v/>
      </c>
      <c r="K6" s="13">
        <f>MAX(_xlfn.MAXIFS('Start Here'!$B$17:$B$56,'Start Here'!$A$17:$A$56,$A6,'Start Here'!$C$17:$C$56,"&gt;=10"),_xlfn.MAXIFS(Sets!$C$2:$C$1060,Sets!$B$2:$B$1060,$A6,Sets!$D$2:$D$1060,"&gt;=10"),_xlfn.MAXIFS(Log!$C$2:$C$1001,Log!$B$2:$B$1001,$A6,Log!$D$2:$D$1001,"&gt;=10"))</f>
        <v/>
      </c>
      <c r="L6" s="13">
        <f>MAX(_xlfn.MAXIFS('Start Here'!$B$17:$B$56,'Start Here'!$A$17:$A$56,$A6,'Start Here'!$C$17:$C$56,"&gt;=12"),_xlfn.MAXIFS(Sets!$C$2:$C$1060,Sets!$B$2:$B$1060,$A6,Sets!$D$2:$D$1060,"&gt;=12"),_xlfn.MAXIFS(Log!$C$2:$C$1001,Log!$B$2:$B$1001,$A6,Log!$D$2:$D$1001,"&gt;=12"))</f>
        <v/>
      </c>
    </row>
    <row r="7">
      <c r="A7" s="10" t="inlineStr">
        <is>
          <t>Clean &amp; Jerk</t>
        </is>
      </c>
      <c r="B7" t="inlineStr">
        <is>
          <t>main</t>
        </is>
      </c>
      <c r="C7" s="11">
        <f>MAX(_xlfn.MAXIFS('Start Here'!$D$17:$D$56,'Start Here'!$A$17:$A$56,$A7),_xlfn.MAXIFS(Sets!$E$2:$E$1060,Sets!$B$2:$B$1060,$A7),_xlfn.MAXIFS(Log!$E$2:$E$1001,Log!$B$2:$B$1001,$A7))</f>
        <v/>
      </c>
      <c r="D7" s="13">
        <f>MAX(_xlfn.MAXIFS('Start Here'!$B$17:$B$56,'Start Here'!$A$17:$A$56,$A7,'Start Here'!$C$17:$C$56,"&gt;=1"),_xlfn.MAXIFS(Sets!$C$2:$C$1060,Sets!$B$2:$B$1060,$A7,Sets!$D$2:$D$1060,"&gt;=1"),_xlfn.MAXIFS(Log!$C$2:$C$1001,Log!$B$2:$B$1001,$A7,Log!$D$2:$D$1001,"&gt;=1"))</f>
        <v/>
      </c>
      <c r="E7" s="13">
        <f>MAX(_xlfn.MAXIFS('Start Here'!$B$17:$B$56,'Start Here'!$A$17:$A$56,$A7,'Start Here'!$C$17:$C$56,"&gt;=2"),_xlfn.MAXIFS(Sets!$C$2:$C$1060,Sets!$B$2:$B$1060,$A7,Sets!$D$2:$D$1060,"&gt;=2"),_xlfn.MAXIFS(Log!$C$2:$C$1001,Log!$B$2:$B$1001,$A7,Log!$D$2:$D$1001,"&gt;=2"))</f>
        <v/>
      </c>
      <c r="F7" s="13">
        <f>MAX(_xlfn.MAXIFS('Start Here'!$B$17:$B$56,'Start Here'!$A$17:$A$56,$A7,'Start Here'!$C$17:$C$56,"&gt;=3"),_xlfn.MAXIFS(Sets!$C$2:$C$1060,Sets!$B$2:$B$1060,$A7,Sets!$D$2:$D$1060,"&gt;=3"),_xlfn.MAXIFS(Log!$C$2:$C$1001,Log!$B$2:$B$1001,$A7,Log!$D$2:$D$1001,"&gt;=3"))</f>
        <v/>
      </c>
      <c r="G7" s="13">
        <f>MAX(_xlfn.MAXIFS('Start Here'!$B$17:$B$56,'Start Here'!$A$17:$A$56,$A7,'Start Here'!$C$17:$C$56,"&gt;=4"),_xlfn.MAXIFS(Sets!$C$2:$C$1060,Sets!$B$2:$B$1060,$A7,Sets!$D$2:$D$1060,"&gt;=4"),_xlfn.MAXIFS(Log!$C$2:$C$1001,Log!$B$2:$B$1001,$A7,Log!$D$2:$D$1001,"&gt;=4"))</f>
        <v/>
      </c>
      <c r="H7" s="13">
        <f>MAX(_xlfn.MAXIFS('Start Here'!$B$17:$B$56,'Start Here'!$A$17:$A$56,$A7,'Start Here'!$C$17:$C$56,"&gt;=5"),_xlfn.MAXIFS(Sets!$C$2:$C$1060,Sets!$B$2:$B$1060,$A7,Sets!$D$2:$D$1060,"&gt;=5"),_xlfn.MAXIFS(Log!$C$2:$C$1001,Log!$B$2:$B$1001,$A7,Log!$D$2:$D$1001,"&gt;=5"))</f>
        <v/>
      </c>
      <c r="I7" s="13">
        <f>MAX(_xlfn.MAXIFS('Start Here'!$B$17:$B$56,'Start Here'!$A$17:$A$56,$A7,'Start Here'!$C$17:$C$56,"&gt;=6"),_xlfn.MAXIFS(Sets!$C$2:$C$1060,Sets!$B$2:$B$1060,$A7,Sets!$D$2:$D$1060,"&gt;=6"),_xlfn.MAXIFS(Log!$C$2:$C$1001,Log!$B$2:$B$1001,$A7,Log!$D$2:$D$1001,"&gt;=6"))</f>
        <v/>
      </c>
      <c r="J7" s="13">
        <f>MAX(_xlfn.MAXIFS('Start Here'!$B$17:$B$56,'Start Here'!$A$17:$A$56,$A7,'Start Here'!$C$17:$C$56,"&gt;=8"),_xlfn.MAXIFS(Sets!$C$2:$C$1060,Sets!$B$2:$B$1060,$A7,Sets!$D$2:$D$1060,"&gt;=8"),_xlfn.MAXIFS(Log!$C$2:$C$1001,Log!$B$2:$B$1001,$A7,Log!$D$2:$D$1001,"&gt;=8"))</f>
        <v/>
      </c>
      <c r="K7" s="13">
        <f>MAX(_xlfn.MAXIFS('Start Here'!$B$17:$B$56,'Start Here'!$A$17:$A$56,$A7,'Start Here'!$C$17:$C$56,"&gt;=10"),_xlfn.MAXIFS(Sets!$C$2:$C$1060,Sets!$B$2:$B$1060,$A7,Sets!$D$2:$D$1060,"&gt;=10"),_xlfn.MAXIFS(Log!$C$2:$C$1001,Log!$B$2:$B$1001,$A7,Log!$D$2:$D$1001,"&gt;=10"))</f>
        <v/>
      </c>
      <c r="L7" s="13">
        <f>MAX(_xlfn.MAXIFS('Start Here'!$B$17:$B$56,'Start Here'!$A$17:$A$56,$A7,'Start Here'!$C$17:$C$56,"&gt;=12"),_xlfn.MAXIFS(Sets!$C$2:$C$1060,Sets!$B$2:$B$1060,$A7,Sets!$D$2:$D$1060,"&gt;=12"),_xlfn.MAXIFS(Log!$C$2:$C$1001,Log!$B$2:$B$1001,$A7,Log!$D$2:$D$1001,"&gt;=12"))</f>
        <v/>
      </c>
    </row>
    <row r="8">
      <c r="A8" s="23" t="inlineStr">
        <is>
          <t>Box Squat</t>
        </is>
      </c>
      <c r="B8" t="inlineStr">
        <is>
          <t>variation</t>
        </is>
      </c>
      <c r="C8" s="11">
        <f>MAX(_xlfn.MAXIFS('Start Here'!$D$17:$D$56,'Start Here'!$A$17:$A$56,$A8),_xlfn.MAXIFS(Sets!$E$2:$E$1060,Sets!$B$2:$B$1060,$A8),_xlfn.MAXIFS(Log!$E$2:$E$1001,Log!$B$2:$B$1001,$A8))</f>
        <v/>
      </c>
      <c r="D8" s="13">
        <f>MAX(_xlfn.MAXIFS('Start Here'!$B$17:$B$56,'Start Here'!$A$17:$A$56,$A8,'Start Here'!$C$17:$C$56,"&gt;=1"),_xlfn.MAXIFS(Sets!$C$2:$C$1060,Sets!$B$2:$B$1060,$A8,Sets!$D$2:$D$1060,"&gt;=1"),_xlfn.MAXIFS(Log!$C$2:$C$1001,Log!$B$2:$B$1001,$A8,Log!$D$2:$D$1001,"&gt;=1"))</f>
        <v/>
      </c>
      <c r="E8" s="13">
        <f>MAX(_xlfn.MAXIFS('Start Here'!$B$17:$B$56,'Start Here'!$A$17:$A$56,$A8,'Start Here'!$C$17:$C$56,"&gt;=2"),_xlfn.MAXIFS(Sets!$C$2:$C$1060,Sets!$B$2:$B$1060,$A8,Sets!$D$2:$D$1060,"&gt;=2"),_xlfn.MAXIFS(Log!$C$2:$C$1001,Log!$B$2:$B$1001,$A8,Log!$D$2:$D$1001,"&gt;=2"))</f>
        <v/>
      </c>
      <c r="F8" s="13">
        <f>MAX(_xlfn.MAXIFS('Start Here'!$B$17:$B$56,'Start Here'!$A$17:$A$56,$A8,'Start Here'!$C$17:$C$56,"&gt;=3"),_xlfn.MAXIFS(Sets!$C$2:$C$1060,Sets!$B$2:$B$1060,$A8,Sets!$D$2:$D$1060,"&gt;=3"),_xlfn.MAXIFS(Log!$C$2:$C$1001,Log!$B$2:$B$1001,$A8,Log!$D$2:$D$1001,"&gt;=3"))</f>
        <v/>
      </c>
      <c r="G8" s="13">
        <f>MAX(_xlfn.MAXIFS('Start Here'!$B$17:$B$56,'Start Here'!$A$17:$A$56,$A8,'Start Here'!$C$17:$C$56,"&gt;=4"),_xlfn.MAXIFS(Sets!$C$2:$C$1060,Sets!$B$2:$B$1060,$A8,Sets!$D$2:$D$1060,"&gt;=4"),_xlfn.MAXIFS(Log!$C$2:$C$1001,Log!$B$2:$B$1001,$A8,Log!$D$2:$D$1001,"&gt;=4"))</f>
        <v/>
      </c>
      <c r="H8" s="13">
        <f>MAX(_xlfn.MAXIFS('Start Here'!$B$17:$B$56,'Start Here'!$A$17:$A$56,$A8,'Start Here'!$C$17:$C$56,"&gt;=5"),_xlfn.MAXIFS(Sets!$C$2:$C$1060,Sets!$B$2:$B$1060,$A8,Sets!$D$2:$D$1060,"&gt;=5"),_xlfn.MAXIFS(Log!$C$2:$C$1001,Log!$B$2:$B$1001,$A8,Log!$D$2:$D$1001,"&gt;=5"))</f>
        <v/>
      </c>
      <c r="I8" s="13">
        <f>MAX(_xlfn.MAXIFS('Start Here'!$B$17:$B$56,'Start Here'!$A$17:$A$56,$A8,'Start Here'!$C$17:$C$56,"&gt;=6"),_xlfn.MAXIFS(Sets!$C$2:$C$1060,Sets!$B$2:$B$1060,$A8,Sets!$D$2:$D$1060,"&gt;=6"),_xlfn.MAXIFS(Log!$C$2:$C$1001,Log!$B$2:$B$1001,$A8,Log!$D$2:$D$1001,"&gt;=6"))</f>
        <v/>
      </c>
      <c r="J8" s="13">
        <f>MAX(_xlfn.MAXIFS('Start Here'!$B$17:$B$56,'Start Here'!$A$17:$A$56,$A8,'Start Here'!$C$17:$C$56,"&gt;=8"),_xlfn.MAXIFS(Sets!$C$2:$C$1060,Sets!$B$2:$B$1060,$A8,Sets!$D$2:$D$1060,"&gt;=8"),_xlfn.MAXIFS(Log!$C$2:$C$1001,Log!$B$2:$B$1001,$A8,Log!$D$2:$D$1001,"&gt;=8"))</f>
        <v/>
      </c>
      <c r="K8" s="13">
        <f>MAX(_xlfn.MAXIFS('Start Here'!$B$17:$B$56,'Start Here'!$A$17:$A$56,$A8,'Start Here'!$C$17:$C$56,"&gt;=10"),_xlfn.MAXIFS(Sets!$C$2:$C$1060,Sets!$B$2:$B$1060,$A8,Sets!$D$2:$D$1060,"&gt;=10"),_xlfn.MAXIFS(Log!$C$2:$C$1001,Log!$B$2:$B$1001,$A8,Log!$D$2:$D$1001,"&gt;=10"))</f>
        <v/>
      </c>
      <c r="L8" s="13">
        <f>MAX(_xlfn.MAXIFS('Start Here'!$B$17:$B$56,'Start Here'!$A$17:$A$56,$A8,'Start Here'!$C$17:$C$56,"&gt;=12"),_xlfn.MAXIFS(Sets!$C$2:$C$1060,Sets!$B$2:$B$1060,$A8,Sets!$D$2:$D$1060,"&gt;=12"),_xlfn.MAXIFS(Log!$C$2:$C$1001,Log!$B$2:$B$1001,$A8,Log!$D$2:$D$1001,"&gt;=12"))</f>
        <v/>
      </c>
    </row>
    <row r="9">
      <c r="A9" s="23" t="inlineStr">
        <is>
          <t>Pause Squat</t>
        </is>
      </c>
      <c r="B9" t="inlineStr">
        <is>
          <t>variation</t>
        </is>
      </c>
      <c r="C9" s="11">
        <f>MAX(_xlfn.MAXIFS('Start Here'!$D$17:$D$56,'Start Here'!$A$17:$A$56,$A9),_xlfn.MAXIFS(Sets!$E$2:$E$1060,Sets!$B$2:$B$1060,$A9),_xlfn.MAXIFS(Log!$E$2:$E$1001,Log!$B$2:$B$1001,$A9))</f>
        <v/>
      </c>
      <c r="D9" s="13">
        <f>MAX(_xlfn.MAXIFS('Start Here'!$B$17:$B$56,'Start Here'!$A$17:$A$56,$A9,'Start Here'!$C$17:$C$56,"&gt;=1"),_xlfn.MAXIFS(Sets!$C$2:$C$1060,Sets!$B$2:$B$1060,$A9,Sets!$D$2:$D$1060,"&gt;=1"),_xlfn.MAXIFS(Log!$C$2:$C$1001,Log!$B$2:$B$1001,$A9,Log!$D$2:$D$1001,"&gt;=1"))</f>
        <v/>
      </c>
      <c r="E9" s="13">
        <f>MAX(_xlfn.MAXIFS('Start Here'!$B$17:$B$56,'Start Here'!$A$17:$A$56,$A9,'Start Here'!$C$17:$C$56,"&gt;=2"),_xlfn.MAXIFS(Sets!$C$2:$C$1060,Sets!$B$2:$B$1060,$A9,Sets!$D$2:$D$1060,"&gt;=2"),_xlfn.MAXIFS(Log!$C$2:$C$1001,Log!$B$2:$B$1001,$A9,Log!$D$2:$D$1001,"&gt;=2"))</f>
        <v/>
      </c>
      <c r="F9" s="13">
        <f>MAX(_xlfn.MAXIFS('Start Here'!$B$17:$B$56,'Start Here'!$A$17:$A$56,$A9,'Start Here'!$C$17:$C$56,"&gt;=3"),_xlfn.MAXIFS(Sets!$C$2:$C$1060,Sets!$B$2:$B$1060,$A9,Sets!$D$2:$D$1060,"&gt;=3"),_xlfn.MAXIFS(Log!$C$2:$C$1001,Log!$B$2:$B$1001,$A9,Log!$D$2:$D$1001,"&gt;=3"))</f>
        <v/>
      </c>
      <c r="G9" s="13">
        <f>MAX(_xlfn.MAXIFS('Start Here'!$B$17:$B$56,'Start Here'!$A$17:$A$56,$A9,'Start Here'!$C$17:$C$56,"&gt;=4"),_xlfn.MAXIFS(Sets!$C$2:$C$1060,Sets!$B$2:$B$1060,$A9,Sets!$D$2:$D$1060,"&gt;=4"),_xlfn.MAXIFS(Log!$C$2:$C$1001,Log!$B$2:$B$1001,$A9,Log!$D$2:$D$1001,"&gt;=4"))</f>
        <v/>
      </c>
      <c r="H9" s="13">
        <f>MAX(_xlfn.MAXIFS('Start Here'!$B$17:$B$56,'Start Here'!$A$17:$A$56,$A9,'Start Here'!$C$17:$C$56,"&gt;=5"),_xlfn.MAXIFS(Sets!$C$2:$C$1060,Sets!$B$2:$B$1060,$A9,Sets!$D$2:$D$1060,"&gt;=5"),_xlfn.MAXIFS(Log!$C$2:$C$1001,Log!$B$2:$B$1001,$A9,Log!$D$2:$D$1001,"&gt;=5"))</f>
        <v/>
      </c>
      <c r="I9" s="13">
        <f>MAX(_xlfn.MAXIFS('Start Here'!$B$17:$B$56,'Start Here'!$A$17:$A$56,$A9,'Start Here'!$C$17:$C$56,"&gt;=6"),_xlfn.MAXIFS(Sets!$C$2:$C$1060,Sets!$B$2:$B$1060,$A9,Sets!$D$2:$D$1060,"&gt;=6"),_xlfn.MAXIFS(Log!$C$2:$C$1001,Log!$B$2:$B$1001,$A9,Log!$D$2:$D$1001,"&gt;=6"))</f>
        <v/>
      </c>
      <c r="J9" s="13">
        <f>MAX(_xlfn.MAXIFS('Start Here'!$B$17:$B$56,'Start Here'!$A$17:$A$56,$A9,'Start Here'!$C$17:$C$56,"&gt;=8"),_xlfn.MAXIFS(Sets!$C$2:$C$1060,Sets!$B$2:$B$1060,$A9,Sets!$D$2:$D$1060,"&gt;=8"),_xlfn.MAXIFS(Log!$C$2:$C$1001,Log!$B$2:$B$1001,$A9,Log!$D$2:$D$1001,"&gt;=8"))</f>
        <v/>
      </c>
      <c r="K9" s="13">
        <f>MAX(_xlfn.MAXIFS('Start Here'!$B$17:$B$56,'Start Here'!$A$17:$A$56,$A9,'Start Here'!$C$17:$C$56,"&gt;=10"),_xlfn.MAXIFS(Sets!$C$2:$C$1060,Sets!$B$2:$B$1060,$A9,Sets!$D$2:$D$1060,"&gt;=10"),_xlfn.MAXIFS(Log!$C$2:$C$1001,Log!$B$2:$B$1001,$A9,Log!$D$2:$D$1001,"&gt;=10"))</f>
        <v/>
      </c>
      <c r="L9" s="13">
        <f>MAX(_xlfn.MAXIFS('Start Here'!$B$17:$B$56,'Start Here'!$A$17:$A$56,$A9,'Start Here'!$C$17:$C$56,"&gt;=12"),_xlfn.MAXIFS(Sets!$C$2:$C$1060,Sets!$B$2:$B$1060,$A9,Sets!$D$2:$D$1060,"&gt;=12"),_xlfn.MAXIFS(Log!$C$2:$C$1001,Log!$B$2:$B$1001,$A9,Log!$D$2:$D$1001,"&gt;=12"))</f>
        <v/>
      </c>
    </row>
    <row r="10">
      <c r="A10" s="23" t="inlineStr">
        <is>
          <t>Front Squat</t>
        </is>
      </c>
      <c r="B10" t="inlineStr">
        <is>
          <t>variation</t>
        </is>
      </c>
      <c r="C10" s="11">
        <f>MAX(_xlfn.MAXIFS('Start Here'!$D$17:$D$56,'Start Here'!$A$17:$A$56,$A10),_xlfn.MAXIFS(Sets!$E$2:$E$1060,Sets!$B$2:$B$1060,$A10),_xlfn.MAXIFS(Log!$E$2:$E$1001,Log!$B$2:$B$1001,$A10))</f>
        <v/>
      </c>
      <c r="D10" s="13">
        <f>MAX(_xlfn.MAXIFS('Start Here'!$B$17:$B$56,'Start Here'!$A$17:$A$56,$A10,'Start Here'!$C$17:$C$56,"&gt;=1"),_xlfn.MAXIFS(Sets!$C$2:$C$1060,Sets!$B$2:$B$1060,$A10,Sets!$D$2:$D$1060,"&gt;=1"),_xlfn.MAXIFS(Log!$C$2:$C$1001,Log!$B$2:$B$1001,$A10,Log!$D$2:$D$1001,"&gt;=1"))</f>
        <v/>
      </c>
      <c r="E10" s="13">
        <f>MAX(_xlfn.MAXIFS('Start Here'!$B$17:$B$56,'Start Here'!$A$17:$A$56,$A10,'Start Here'!$C$17:$C$56,"&gt;=2"),_xlfn.MAXIFS(Sets!$C$2:$C$1060,Sets!$B$2:$B$1060,$A10,Sets!$D$2:$D$1060,"&gt;=2"),_xlfn.MAXIFS(Log!$C$2:$C$1001,Log!$B$2:$B$1001,$A10,Log!$D$2:$D$1001,"&gt;=2"))</f>
        <v/>
      </c>
      <c r="F10" s="13">
        <f>MAX(_xlfn.MAXIFS('Start Here'!$B$17:$B$56,'Start Here'!$A$17:$A$56,$A10,'Start Here'!$C$17:$C$56,"&gt;=3"),_xlfn.MAXIFS(Sets!$C$2:$C$1060,Sets!$B$2:$B$1060,$A10,Sets!$D$2:$D$1060,"&gt;=3"),_xlfn.MAXIFS(Log!$C$2:$C$1001,Log!$B$2:$B$1001,$A10,Log!$D$2:$D$1001,"&gt;=3"))</f>
        <v/>
      </c>
      <c r="G10" s="13">
        <f>MAX(_xlfn.MAXIFS('Start Here'!$B$17:$B$56,'Start Here'!$A$17:$A$56,$A10,'Start Here'!$C$17:$C$56,"&gt;=4"),_xlfn.MAXIFS(Sets!$C$2:$C$1060,Sets!$B$2:$B$1060,$A10,Sets!$D$2:$D$1060,"&gt;=4"),_xlfn.MAXIFS(Log!$C$2:$C$1001,Log!$B$2:$B$1001,$A10,Log!$D$2:$D$1001,"&gt;=4"))</f>
        <v/>
      </c>
      <c r="H10" s="13">
        <f>MAX(_xlfn.MAXIFS('Start Here'!$B$17:$B$56,'Start Here'!$A$17:$A$56,$A10,'Start Here'!$C$17:$C$56,"&gt;=5"),_xlfn.MAXIFS(Sets!$C$2:$C$1060,Sets!$B$2:$B$1060,$A10,Sets!$D$2:$D$1060,"&gt;=5"),_xlfn.MAXIFS(Log!$C$2:$C$1001,Log!$B$2:$B$1001,$A10,Log!$D$2:$D$1001,"&gt;=5"))</f>
        <v/>
      </c>
      <c r="I10" s="13">
        <f>MAX(_xlfn.MAXIFS('Start Here'!$B$17:$B$56,'Start Here'!$A$17:$A$56,$A10,'Start Here'!$C$17:$C$56,"&gt;=6"),_xlfn.MAXIFS(Sets!$C$2:$C$1060,Sets!$B$2:$B$1060,$A10,Sets!$D$2:$D$1060,"&gt;=6"),_xlfn.MAXIFS(Log!$C$2:$C$1001,Log!$B$2:$B$1001,$A10,Log!$D$2:$D$1001,"&gt;=6"))</f>
        <v/>
      </c>
      <c r="J10" s="13">
        <f>MAX(_xlfn.MAXIFS('Start Here'!$B$17:$B$56,'Start Here'!$A$17:$A$56,$A10,'Start Here'!$C$17:$C$56,"&gt;=8"),_xlfn.MAXIFS(Sets!$C$2:$C$1060,Sets!$B$2:$B$1060,$A10,Sets!$D$2:$D$1060,"&gt;=8"),_xlfn.MAXIFS(Log!$C$2:$C$1001,Log!$B$2:$B$1001,$A10,Log!$D$2:$D$1001,"&gt;=8"))</f>
        <v/>
      </c>
      <c r="K10" s="13">
        <f>MAX(_xlfn.MAXIFS('Start Here'!$B$17:$B$56,'Start Here'!$A$17:$A$56,$A10,'Start Here'!$C$17:$C$56,"&gt;=10"),_xlfn.MAXIFS(Sets!$C$2:$C$1060,Sets!$B$2:$B$1060,$A10,Sets!$D$2:$D$1060,"&gt;=10"),_xlfn.MAXIFS(Log!$C$2:$C$1001,Log!$B$2:$B$1001,$A10,Log!$D$2:$D$1001,"&gt;=10"))</f>
        <v/>
      </c>
      <c r="L10" s="13">
        <f>MAX(_xlfn.MAXIFS('Start Here'!$B$17:$B$56,'Start Here'!$A$17:$A$56,$A10,'Start Here'!$C$17:$C$56,"&gt;=12"),_xlfn.MAXIFS(Sets!$C$2:$C$1060,Sets!$B$2:$B$1060,$A10,Sets!$D$2:$D$1060,"&gt;=12"),_xlfn.MAXIFS(Log!$C$2:$C$1001,Log!$B$2:$B$1001,$A10,Log!$D$2:$D$1001,"&gt;=12"))</f>
        <v/>
      </c>
    </row>
    <row r="11">
      <c r="A11" s="23" t="inlineStr">
        <is>
          <t>Safety Bar Squat</t>
        </is>
      </c>
      <c r="B11" t="inlineStr">
        <is>
          <t>variation</t>
        </is>
      </c>
      <c r="C11" s="11">
        <f>MAX(_xlfn.MAXIFS('Start Here'!$D$17:$D$56,'Start Here'!$A$17:$A$56,$A11),_xlfn.MAXIFS(Sets!$E$2:$E$1060,Sets!$B$2:$B$1060,$A11),_xlfn.MAXIFS(Log!$E$2:$E$1001,Log!$B$2:$B$1001,$A11))</f>
        <v/>
      </c>
      <c r="D11" s="13">
        <f>MAX(_xlfn.MAXIFS('Start Here'!$B$17:$B$56,'Start Here'!$A$17:$A$56,$A11,'Start Here'!$C$17:$C$56,"&gt;=1"),_xlfn.MAXIFS(Sets!$C$2:$C$1060,Sets!$B$2:$B$1060,$A11,Sets!$D$2:$D$1060,"&gt;=1"),_xlfn.MAXIFS(Log!$C$2:$C$1001,Log!$B$2:$B$1001,$A11,Log!$D$2:$D$1001,"&gt;=1"))</f>
        <v/>
      </c>
      <c r="E11" s="13">
        <f>MAX(_xlfn.MAXIFS('Start Here'!$B$17:$B$56,'Start Here'!$A$17:$A$56,$A11,'Start Here'!$C$17:$C$56,"&gt;=2"),_xlfn.MAXIFS(Sets!$C$2:$C$1060,Sets!$B$2:$B$1060,$A11,Sets!$D$2:$D$1060,"&gt;=2"),_xlfn.MAXIFS(Log!$C$2:$C$1001,Log!$B$2:$B$1001,$A11,Log!$D$2:$D$1001,"&gt;=2"))</f>
        <v/>
      </c>
      <c r="F11" s="13">
        <f>MAX(_xlfn.MAXIFS('Start Here'!$B$17:$B$56,'Start Here'!$A$17:$A$56,$A11,'Start Here'!$C$17:$C$56,"&gt;=3"),_xlfn.MAXIFS(Sets!$C$2:$C$1060,Sets!$B$2:$B$1060,$A11,Sets!$D$2:$D$1060,"&gt;=3"),_xlfn.MAXIFS(Log!$C$2:$C$1001,Log!$B$2:$B$1001,$A11,Log!$D$2:$D$1001,"&gt;=3"))</f>
        <v/>
      </c>
      <c r="G11" s="13">
        <f>MAX(_xlfn.MAXIFS('Start Here'!$B$17:$B$56,'Start Here'!$A$17:$A$56,$A11,'Start Here'!$C$17:$C$56,"&gt;=4"),_xlfn.MAXIFS(Sets!$C$2:$C$1060,Sets!$B$2:$B$1060,$A11,Sets!$D$2:$D$1060,"&gt;=4"),_xlfn.MAXIFS(Log!$C$2:$C$1001,Log!$B$2:$B$1001,$A11,Log!$D$2:$D$1001,"&gt;=4"))</f>
        <v/>
      </c>
      <c r="H11" s="13">
        <f>MAX(_xlfn.MAXIFS('Start Here'!$B$17:$B$56,'Start Here'!$A$17:$A$56,$A11,'Start Here'!$C$17:$C$56,"&gt;=5"),_xlfn.MAXIFS(Sets!$C$2:$C$1060,Sets!$B$2:$B$1060,$A11,Sets!$D$2:$D$1060,"&gt;=5"),_xlfn.MAXIFS(Log!$C$2:$C$1001,Log!$B$2:$B$1001,$A11,Log!$D$2:$D$1001,"&gt;=5"))</f>
        <v/>
      </c>
      <c r="I11" s="13">
        <f>MAX(_xlfn.MAXIFS('Start Here'!$B$17:$B$56,'Start Here'!$A$17:$A$56,$A11,'Start Here'!$C$17:$C$56,"&gt;=6"),_xlfn.MAXIFS(Sets!$C$2:$C$1060,Sets!$B$2:$B$1060,$A11,Sets!$D$2:$D$1060,"&gt;=6"),_xlfn.MAXIFS(Log!$C$2:$C$1001,Log!$B$2:$B$1001,$A11,Log!$D$2:$D$1001,"&gt;=6"))</f>
        <v/>
      </c>
      <c r="J11" s="13">
        <f>MAX(_xlfn.MAXIFS('Start Here'!$B$17:$B$56,'Start Here'!$A$17:$A$56,$A11,'Start Here'!$C$17:$C$56,"&gt;=8"),_xlfn.MAXIFS(Sets!$C$2:$C$1060,Sets!$B$2:$B$1060,$A11,Sets!$D$2:$D$1060,"&gt;=8"),_xlfn.MAXIFS(Log!$C$2:$C$1001,Log!$B$2:$B$1001,$A11,Log!$D$2:$D$1001,"&gt;=8"))</f>
        <v/>
      </c>
      <c r="K11" s="13">
        <f>MAX(_xlfn.MAXIFS('Start Here'!$B$17:$B$56,'Start Here'!$A$17:$A$56,$A11,'Start Here'!$C$17:$C$56,"&gt;=10"),_xlfn.MAXIFS(Sets!$C$2:$C$1060,Sets!$B$2:$B$1060,$A11,Sets!$D$2:$D$1060,"&gt;=10"),_xlfn.MAXIFS(Log!$C$2:$C$1001,Log!$B$2:$B$1001,$A11,Log!$D$2:$D$1001,"&gt;=10"))</f>
        <v/>
      </c>
      <c r="L11" s="13">
        <f>MAX(_xlfn.MAXIFS('Start Here'!$B$17:$B$56,'Start Here'!$A$17:$A$56,$A11,'Start Here'!$C$17:$C$56,"&gt;=12"),_xlfn.MAXIFS(Sets!$C$2:$C$1060,Sets!$B$2:$B$1060,$A11,Sets!$D$2:$D$1060,"&gt;=12"),_xlfn.MAXIFS(Log!$C$2:$C$1001,Log!$B$2:$B$1001,$A11,Log!$D$2:$D$1001,"&gt;=12"))</f>
        <v/>
      </c>
    </row>
    <row r="12">
      <c r="A12" s="23" t="inlineStr">
        <is>
          <t>Pin Squat</t>
        </is>
      </c>
      <c r="B12" t="inlineStr">
        <is>
          <t>variation</t>
        </is>
      </c>
      <c r="C12" s="11">
        <f>MAX(_xlfn.MAXIFS('Start Here'!$D$17:$D$56,'Start Here'!$A$17:$A$56,$A12),_xlfn.MAXIFS(Sets!$E$2:$E$1060,Sets!$B$2:$B$1060,$A12),_xlfn.MAXIFS(Log!$E$2:$E$1001,Log!$B$2:$B$1001,$A12))</f>
        <v/>
      </c>
      <c r="D12" s="13">
        <f>MAX(_xlfn.MAXIFS('Start Here'!$B$17:$B$56,'Start Here'!$A$17:$A$56,$A12,'Start Here'!$C$17:$C$56,"&gt;=1"),_xlfn.MAXIFS(Sets!$C$2:$C$1060,Sets!$B$2:$B$1060,$A12,Sets!$D$2:$D$1060,"&gt;=1"),_xlfn.MAXIFS(Log!$C$2:$C$1001,Log!$B$2:$B$1001,$A12,Log!$D$2:$D$1001,"&gt;=1"))</f>
        <v/>
      </c>
      <c r="E12" s="13">
        <f>MAX(_xlfn.MAXIFS('Start Here'!$B$17:$B$56,'Start Here'!$A$17:$A$56,$A12,'Start Here'!$C$17:$C$56,"&gt;=2"),_xlfn.MAXIFS(Sets!$C$2:$C$1060,Sets!$B$2:$B$1060,$A12,Sets!$D$2:$D$1060,"&gt;=2"),_xlfn.MAXIFS(Log!$C$2:$C$1001,Log!$B$2:$B$1001,$A12,Log!$D$2:$D$1001,"&gt;=2"))</f>
        <v/>
      </c>
      <c r="F12" s="13">
        <f>MAX(_xlfn.MAXIFS('Start Here'!$B$17:$B$56,'Start Here'!$A$17:$A$56,$A12,'Start Here'!$C$17:$C$56,"&gt;=3"),_xlfn.MAXIFS(Sets!$C$2:$C$1060,Sets!$B$2:$B$1060,$A12,Sets!$D$2:$D$1060,"&gt;=3"),_xlfn.MAXIFS(Log!$C$2:$C$1001,Log!$B$2:$B$1001,$A12,Log!$D$2:$D$1001,"&gt;=3"))</f>
        <v/>
      </c>
      <c r="G12" s="13">
        <f>MAX(_xlfn.MAXIFS('Start Here'!$B$17:$B$56,'Start Here'!$A$17:$A$56,$A12,'Start Here'!$C$17:$C$56,"&gt;=4"),_xlfn.MAXIFS(Sets!$C$2:$C$1060,Sets!$B$2:$B$1060,$A12,Sets!$D$2:$D$1060,"&gt;=4"),_xlfn.MAXIFS(Log!$C$2:$C$1001,Log!$B$2:$B$1001,$A12,Log!$D$2:$D$1001,"&gt;=4"))</f>
        <v/>
      </c>
      <c r="H12" s="13">
        <f>MAX(_xlfn.MAXIFS('Start Here'!$B$17:$B$56,'Start Here'!$A$17:$A$56,$A12,'Start Here'!$C$17:$C$56,"&gt;=5"),_xlfn.MAXIFS(Sets!$C$2:$C$1060,Sets!$B$2:$B$1060,$A12,Sets!$D$2:$D$1060,"&gt;=5"),_xlfn.MAXIFS(Log!$C$2:$C$1001,Log!$B$2:$B$1001,$A12,Log!$D$2:$D$1001,"&gt;=5"))</f>
        <v/>
      </c>
      <c r="I12" s="13">
        <f>MAX(_xlfn.MAXIFS('Start Here'!$B$17:$B$56,'Start Here'!$A$17:$A$56,$A12,'Start Here'!$C$17:$C$56,"&gt;=6"),_xlfn.MAXIFS(Sets!$C$2:$C$1060,Sets!$B$2:$B$1060,$A12,Sets!$D$2:$D$1060,"&gt;=6"),_xlfn.MAXIFS(Log!$C$2:$C$1001,Log!$B$2:$B$1001,$A12,Log!$D$2:$D$1001,"&gt;=6"))</f>
        <v/>
      </c>
      <c r="J12" s="13">
        <f>MAX(_xlfn.MAXIFS('Start Here'!$B$17:$B$56,'Start Here'!$A$17:$A$56,$A12,'Start Here'!$C$17:$C$56,"&gt;=8"),_xlfn.MAXIFS(Sets!$C$2:$C$1060,Sets!$B$2:$B$1060,$A12,Sets!$D$2:$D$1060,"&gt;=8"),_xlfn.MAXIFS(Log!$C$2:$C$1001,Log!$B$2:$B$1001,$A12,Log!$D$2:$D$1001,"&gt;=8"))</f>
        <v/>
      </c>
      <c r="K12" s="13">
        <f>MAX(_xlfn.MAXIFS('Start Here'!$B$17:$B$56,'Start Here'!$A$17:$A$56,$A12,'Start Here'!$C$17:$C$56,"&gt;=10"),_xlfn.MAXIFS(Sets!$C$2:$C$1060,Sets!$B$2:$B$1060,$A12,Sets!$D$2:$D$1060,"&gt;=10"),_xlfn.MAXIFS(Log!$C$2:$C$1001,Log!$B$2:$B$1001,$A12,Log!$D$2:$D$1001,"&gt;=10"))</f>
        <v/>
      </c>
      <c r="L12" s="13">
        <f>MAX(_xlfn.MAXIFS('Start Here'!$B$17:$B$56,'Start Here'!$A$17:$A$56,$A12,'Start Here'!$C$17:$C$56,"&gt;=12"),_xlfn.MAXIFS(Sets!$C$2:$C$1060,Sets!$B$2:$B$1060,$A12,Sets!$D$2:$D$1060,"&gt;=12"),_xlfn.MAXIFS(Log!$C$2:$C$1001,Log!$B$2:$B$1001,$A12,Log!$D$2:$D$1001,"&gt;=12"))</f>
        <v/>
      </c>
    </row>
    <row r="13">
      <c r="A13" s="23" t="inlineStr">
        <is>
          <t>Tempo Squat</t>
        </is>
      </c>
      <c r="B13" t="inlineStr">
        <is>
          <t>variation</t>
        </is>
      </c>
      <c r="C13" s="11">
        <f>MAX(_xlfn.MAXIFS('Start Here'!$D$17:$D$56,'Start Here'!$A$17:$A$56,$A13),_xlfn.MAXIFS(Sets!$E$2:$E$1060,Sets!$B$2:$B$1060,$A13),_xlfn.MAXIFS(Log!$E$2:$E$1001,Log!$B$2:$B$1001,$A13))</f>
        <v/>
      </c>
      <c r="D13" s="13">
        <f>MAX(_xlfn.MAXIFS('Start Here'!$B$17:$B$56,'Start Here'!$A$17:$A$56,$A13,'Start Here'!$C$17:$C$56,"&gt;=1"),_xlfn.MAXIFS(Sets!$C$2:$C$1060,Sets!$B$2:$B$1060,$A13,Sets!$D$2:$D$1060,"&gt;=1"),_xlfn.MAXIFS(Log!$C$2:$C$1001,Log!$B$2:$B$1001,$A13,Log!$D$2:$D$1001,"&gt;=1"))</f>
        <v/>
      </c>
      <c r="E13" s="13">
        <f>MAX(_xlfn.MAXIFS('Start Here'!$B$17:$B$56,'Start Here'!$A$17:$A$56,$A13,'Start Here'!$C$17:$C$56,"&gt;=2"),_xlfn.MAXIFS(Sets!$C$2:$C$1060,Sets!$B$2:$B$1060,$A13,Sets!$D$2:$D$1060,"&gt;=2"),_xlfn.MAXIFS(Log!$C$2:$C$1001,Log!$B$2:$B$1001,$A13,Log!$D$2:$D$1001,"&gt;=2"))</f>
        <v/>
      </c>
      <c r="F13" s="13">
        <f>MAX(_xlfn.MAXIFS('Start Here'!$B$17:$B$56,'Start Here'!$A$17:$A$56,$A13,'Start Here'!$C$17:$C$56,"&gt;=3"),_xlfn.MAXIFS(Sets!$C$2:$C$1060,Sets!$B$2:$B$1060,$A13,Sets!$D$2:$D$1060,"&gt;=3"),_xlfn.MAXIFS(Log!$C$2:$C$1001,Log!$B$2:$B$1001,$A13,Log!$D$2:$D$1001,"&gt;=3"))</f>
        <v/>
      </c>
      <c r="G13" s="13">
        <f>MAX(_xlfn.MAXIFS('Start Here'!$B$17:$B$56,'Start Here'!$A$17:$A$56,$A13,'Start Here'!$C$17:$C$56,"&gt;=4"),_xlfn.MAXIFS(Sets!$C$2:$C$1060,Sets!$B$2:$B$1060,$A13,Sets!$D$2:$D$1060,"&gt;=4"),_xlfn.MAXIFS(Log!$C$2:$C$1001,Log!$B$2:$B$1001,$A13,Log!$D$2:$D$1001,"&gt;=4"))</f>
        <v/>
      </c>
      <c r="H13" s="13">
        <f>MAX(_xlfn.MAXIFS('Start Here'!$B$17:$B$56,'Start Here'!$A$17:$A$56,$A13,'Start Here'!$C$17:$C$56,"&gt;=5"),_xlfn.MAXIFS(Sets!$C$2:$C$1060,Sets!$B$2:$B$1060,$A13,Sets!$D$2:$D$1060,"&gt;=5"),_xlfn.MAXIFS(Log!$C$2:$C$1001,Log!$B$2:$B$1001,$A13,Log!$D$2:$D$1001,"&gt;=5"))</f>
        <v/>
      </c>
      <c r="I13" s="13">
        <f>MAX(_xlfn.MAXIFS('Start Here'!$B$17:$B$56,'Start Here'!$A$17:$A$56,$A13,'Start Here'!$C$17:$C$56,"&gt;=6"),_xlfn.MAXIFS(Sets!$C$2:$C$1060,Sets!$B$2:$B$1060,$A13,Sets!$D$2:$D$1060,"&gt;=6"),_xlfn.MAXIFS(Log!$C$2:$C$1001,Log!$B$2:$B$1001,$A13,Log!$D$2:$D$1001,"&gt;=6"))</f>
        <v/>
      </c>
      <c r="J13" s="13">
        <f>MAX(_xlfn.MAXIFS('Start Here'!$B$17:$B$56,'Start Here'!$A$17:$A$56,$A13,'Start Here'!$C$17:$C$56,"&gt;=8"),_xlfn.MAXIFS(Sets!$C$2:$C$1060,Sets!$B$2:$B$1060,$A13,Sets!$D$2:$D$1060,"&gt;=8"),_xlfn.MAXIFS(Log!$C$2:$C$1001,Log!$B$2:$B$1001,$A13,Log!$D$2:$D$1001,"&gt;=8"))</f>
        <v/>
      </c>
      <c r="K13" s="13">
        <f>MAX(_xlfn.MAXIFS('Start Here'!$B$17:$B$56,'Start Here'!$A$17:$A$56,$A13,'Start Here'!$C$17:$C$56,"&gt;=10"),_xlfn.MAXIFS(Sets!$C$2:$C$1060,Sets!$B$2:$B$1060,$A13,Sets!$D$2:$D$1060,"&gt;=10"),_xlfn.MAXIFS(Log!$C$2:$C$1001,Log!$B$2:$B$1001,$A13,Log!$D$2:$D$1001,"&gt;=10"))</f>
        <v/>
      </c>
      <c r="L13" s="13">
        <f>MAX(_xlfn.MAXIFS('Start Here'!$B$17:$B$56,'Start Here'!$A$17:$A$56,$A13,'Start Here'!$C$17:$C$56,"&gt;=12"),_xlfn.MAXIFS(Sets!$C$2:$C$1060,Sets!$B$2:$B$1060,$A13,Sets!$D$2:$D$1060,"&gt;=12"),_xlfn.MAXIFS(Log!$C$2:$C$1001,Log!$B$2:$B$1001,$A13,Log!$D$2:$D$1001,"&gt;=12"))</f>
        <v/>
      </c>
    </row>
    <row r="14">
      <c r="A14" s="23" t="inlineStr">
        <is>
          <t>Close-Grip Bench Press</t>
        </is>
      </c>
      <c r="B14" t="inlineStr">
        <is>
          <t>variation</t>
        </is>
      </c>
      <c r="C14" s="11">
        <f>MAX(_xlfn.MAXIFS('Start Here'!$D$17:$D$56,'Start Here'!$A$17:$A$56,$A14),_xlfn.MAXIFS(Sets!$E$2:$E$1060,Sets!$B$2:$B$1060,$A14),_xlfn.MAXIFS(Log!$E$2:$E$1001,Log!$B$2:$B$1001,$A14))</f>
        <v/>
      </c>
      <c r="D14" s="13">
        <f>MAX(_xlfn.MAXIFS('Start Here'!$B$17:$B$56,'Start Here'!$A$17:$A$56,$A14,'Start Here'!$C$17:$C$56,"&gt;=1"),_xlfn.MAXIFS(Sets!$C$2:$C$1060,Sets!$B$2:$B$1060,$A14,Sets!$D$2:$D$1060,"&gt;=1"),_xlfn.MAXIFS(Log!$C$2:$C$1001,Log!$B$2:$B$1001,$A14,Log!$D$2:$D$1001,"&gt;=1"))</f>
        <v/>
      </c>
      <c r="E14" s="13">
        <f>MAX(_xlfn.MAXIFS('Start Here'!$B$17:$B$56,'Start Here'!$A$17:$A$56,$A14,'Start Here'!$C$17:$C$56,"&gt;=2"),_xlfn.MAXIFS(Sets!$C$2:$C$1060,Sets!$B$2:$B$1060,$A14,Sets!$D$2:$D$1060,"&gt;=2"),_xlfn.MAXIFS(Log!$C$2:$C$1001,Log!$B$2:$B$1001,$A14,Log!$D$2:$D$1001,"&gt;=2"))</f>
        <v/>
      </c>
      <c r="F14" s="13">
        <f>MAX(_xlfn.MAXIFS('Start Here'!$B$17:$B$56,'Start Here'!$A$17:$A$56,$A14,'Start Here'!$C$17:$C$56,"&gt;=3"),_xlfn.MAXIFS(Sets!$C$2:$C$1060,Sets!$B$2:$B$1060,$A14,Sets!$D$2:$D$1060,"&gt;=3"),_xlfn.MAXIFS(Log!$C$2:$C$1001,Log!$B$2:$B$1001,$A14,Log!$D$2:$D$1001,"&gt;=3"))</f>
        <v/>
      </c>
      <c r="G14" s="13">
        <f>MAX(_xlfn.MAXIFS('Start Here'!$B$17:$B$56,'Start Here'!$A$17:$A$56,$A14,'Start Here'!$C$17:$C$56,"&gt;=4"),_xlfn.MAXIFS(Sets!$C$2:$C$1060,Sets!$B$2:$B$1060,$A14,Sets!$D$2:$D$1060,"&gt;=4"),_xlfn.MAXIFS(Log!$C$2:$C$1001,Log!$B$2:$B$1001,$A14,Log!$D$2:$D$1001,"&gt;=4"))</f>
        <v/>
      </c>
      <c r="H14" s="13">
        <f>MAX(_xlfn.MAXIFS('Start Here'!$B$17:$B$56,'Start Here'!$A$17:$A$56,$A14,'Start Here'!$C$17:$C$56,"&gt;=5"),_xlfn.MAXIFS(Sets!$C$2:$C$1060,Sets!$B$2:$B$1060,$A14,Sets!$D$2:$D$1060,"&gt;=5"),_xlfn.MAXIFS(Log!$C$2:$C$1001,Log!$B$2:$B$1001,$A14,Log!$D$2:$D$1001,"&gt;=5"))</f>
        <v/>
      </c>
      <c r="I14" s="13">
        <f>MAX(_xlfn.MAXIFS('Start Here'!$B$17:$B$56,'Start Here'!$A$17:$A$56,$A14,'Start Here'!$C$17:$C$56,"&gt;=6"),_xlfn.MAXIFS(Sets!$C$2:$C$1060,Sets!$B$2:$B$1060,$A14,Sets!$D$2:$D$1060,"&gt;=6"),_xlfn.MAXIFS(Log!$C$2:$C$1001,Log!$B$2:$B$1001,$A14,Log!$D$2:$D$1001,"&gt;=6"))</f>
        <v/>
      </c>
      <c r="J14" s="13">
        <f>MAX(_xlfn.MAXIFS('Start Here'!$B$17:$B$56,'Start Here'!$A$17:$A$56,$A14,'Start Here'!$C$17:$C$56,"&gt;=8"),_xlfn.MAXIFS(Sets!$C$2:$C$1060,Sets!$B$2:$B$1060,$A14,Sets!$D$2:$D$1060,"&gt;=8"),_xlfn.MAXIFS(Log!$C$2:$C$1001,Log!$B$2:$B$1001,$A14,Log!$D$2:$D$1001,"&gt;=8"))</f>
        <v/>
      </c>
      <c r="K14" s="13">
        <f>MAX(_xlfn.MAXIFS('Start Here'!$B$17:$B$56,'Start Here'!$A$17:$A$56,$A14,'Start Here'!$C$17:$C$56,"&gt;=10"),_xlfn.MAXIFS(Sets!$C$2:$C$1060,Sets!$B$2:$B$1060,$A14,Sets!$D$2:$D$1060,"&gt;=10"),_xlfn.MAXIFS(Log!$C$2:$C$1001,Log!$B$2:$B$1001,$A14,Log!$D$2:$D$1001,"&gt;=10"))</f>
        <v/>
      </c>
      <c r="L14" s="13">
        <f>MAX(_xlfn.MAXIFS('Start Here'!$B$17:$B$56,'Start Here'!$A$17:$A$56,$A14,'Start Here'!$C$17:$C$56,"&gt;=12"),_xlfn.MAXIFS(Sets!$C$2:$C$1060,Sets!$B$2:$B$1060,$A14,Sets!$D$2:$D$1060,"&gt;=12"),_xlfn.MAXIFS(Log!$C$2:$C$1001,Log!$B$2:$B$1001,$A14,Log!$D$2:$D$1001,"&gt;=12"))</f>
        <v/>
      </c>
    </row>
    <row r="15">
      <c r="A15" s="23" t="inlineStr">
        <is>
          <t>1-Board Press</t>
        </is>
      </c>
      <c r="B15" t="inlineStr">
        <is>
          <t>variation</t>
        </is>
      </c>
      <c r="C15" s="11">
        <f>MAX(_xlfn.MAXIFS('Start Here'!$D$17:$D$56,'Start Here'!$A$17:$A$56,$A15),_xlfn.MAXIFS(Sets!$E$2:$E$1060,Sets!$B$2:$B$1060,$A15),_xlfn.MAXIFS(Log!$E$2:$E$1001,Log!$B$2:$B$1001,$A15))</f>
        <v/>
      </c>
      <c r="D15" s="13">
        <f>MAX(_xlfn.MAXIFS('Start Here'!$B$17:$B$56,'Start Here'!$A$17:$A$56,$A15,'Start Here'!$C$17:$C$56,"&gt;=1"),_xlfn.MAXIFS(Sets!$C$2:$C$1060,Sets!$B$2:$B$1060,$A15,Sets!$D$2:$D$1060,"&gt;=1"),_xlfn.MAXIFS(Log!$C$2:$C$1001,Log!$B$2:$B$1001,$A15,Log!$D$2:$D$1001,"&gt;=1"))</f>
        <v/>
      </c>
      <c r="E15" s="13">
        <f>MAX(_xlfn.MAXIFS('Start Here'!$B$17:$B$56,'Start Here'!$A$17:$A$56,$A15,'Start Here'!$C$17:$C$56,"&gt;=2"),_xlfn.MAXIFS(Sets!$C$2:$C$1060,Sets!$B$2:$B$1060,$A15,Sets!$D$2:$D$1060,"&gt;=2"),_xlfn.MAXIFS(Log!$C$2:$C$1001,Log!$B$2:$B$1001,$A15,Log!$D$2:$D$1001,"&gt;=2"))</f>
        <v/>
      </c>
      <c r="F15" s="13">
        <f>MAX(_xlfn.MAXIFS('Start Here'!$B$17:$B$56,'Start Here'!$A$17:$A$56,$A15,'Start Here'!$C$17:$C$56,"&gt;=3"),_xlfn.MAXIFS(Sets!$C$2:$C$1060,Sets!$B$2:$B$1060,$A15,Sets!$D$2:$D$1060,"&gt;=3"),_xlfn.MAXIFS(Log!$C$2:$C$1001,Log!$B$2:$B$1001,$A15,Log!$D$2:$D$1001,"&gt;=3"))</f>
        <v/>
      </c>
      <c r="G15" s="13">
        <f>MAX(_xlfn.MAXIFS('Start Here'!$B$17:$B$56,'Start Here'!$A$17:$A$56,$A15,'Start Here'!$C$17:$C$56,"&gt;=4"),_xlfn.MAXIFS(Sets!$C$2:$C$1060,Sets!$B$2:$B$1060,$A15,Sets!$D$2:$D$1060,"&gt;=4"),_xlfn.MAXIFS(Log!$C$2:$C$1001,Log!$B$2:$B$1001,$A15,Log!$D$2:$D$1001,"&gt;=4"))</f>
        <v/>
      </c>
      <c r="H15" s="13">
        <f>MAX(_xlfn.MAXIFS('Start Here'!$B$17:$B$56,'Start Here'!$A$17:$A$56,$A15,'Start Here'!$C$17:$C$56,"&gt;=5"),_xlfn.MAXIFS(Sets!$C$2:$C$1060,Sets!$B$2:$B$1060,$A15,Sets!$D$2:$D$1060,"&gt;=5"),_xlfn.MAXIFS(Log!$C$2:$C$1001,Log!$B$2:$B$1001,$A15,Log!$D$2:$D$1001,"&gt;=5"))</f>
        <v/>
      </c>
      <c r="I15" s="13">
        <f>MAX(_xlfn.MAXIFS('Start Here'!$B$17:$B$56,'Start Here'!$A$17:$A$56,$A15,'Start Here'!$C$17:$C$56,"&gt;=6"),_xlfn.MAXIFS(Sets!$C$2:$C$1060,Sets!$B$2:$B$1060,$A15,Sets!$D$2:$D$1060,"&gt;=6"),_xlfn.MAXIFS(Log!$C$2:$C$1001,Log!$B$2:$B$1001,$A15,Log!$D$2:$D$1001,"&gt;=6"))</f>
        <v/>
      </c>
      <c r="J15" s="13">
        <f>MAX(_xlfn.MAXIFS('Start Here'!$B$17:$B$56,'Start Here'!$A$17:$A$56,$A15,'Start Here'!$C$17:$C$56,"&gt;=8"),_xlfn.MAXIFS(Sets!$C$2:$C$1060,Sets!$B$2:$B$1060,$A15,Sets!$D$2:$D$1060,"&gt;=8"),_xlfn.MAXIFS(Log!$C$2:$C$1001,Log!$B$2:$B$1001,$A15,Log!$D$2:$D$1001,"&gt;=8"))</f>
        <v/>
      </c>
      <c r="K15" s="13">
        <f>MAX(_xlfn.MAXIFS('Start Here'!$B$17:$B$56,'Start Here'!$A$17:$A$56,$A15,'Start Here'!$C$17:$C$56,"&gt;=10"),_xlfn.MAXIFS(Sets!$C$2:$C$1060,Sets!$B$2:$B$1060,$A15,Sets!$D$2:$D$1060,"&gt;=10"),_xlfn.MAXIFS(Log!$C$2:$C$1001,Log!$B$2:$B$1001,$A15,Log!$D$2:$D$1001,"&gt;=10"))</f>
        <v/>
      </c>
      <c r="L15" s="13">
        <f>MAX(_xlfn.MAXIFS('Start Here'!$B$17:$B$56,'Start Here'!$A$17:$A$56,$A15,'Start Here'!$C$17:$C$56,"&gt;=12"),_xlfn.MAXIFS(Sets!$C$2:$C$1060,Sets!$B$2:$B$1060,$A15,Sets!$D$2:$D$1060,"&gt;=12"),_xlfn.MAXIFS(Log!$C$2:$C$1001,Log!$B$2:$B$1001,$A15,Log!$D$2:$D$1001,"&gt;=12"))</f>
        <v/>
      </c>
    </row>
    <row r="16">
      <c r="A16" s="23" t="inlineStr">
        <is>
          <t>2-Board Press</t>
        </is>
      </c>
      <c r="B16" t="inlineStr">
        <is>
          <t>variation</t>
        </is>
      </c>
      <c r="C16" s="11">
        <f>MAX(_xlfn.MAXIFS('Start Here'!$D$17:$D$56,'Start Here'!$A$17:$A$56,$A16),_xlfn.MAXIFS(Sets!$E$2:$E$1060,Sets!$B$2:$B$1060,$A16),_xlfn.MAXIFS(Log!$E$2:$E$1001,Log!$B$2:$B$1001,$A16))</f>
        <v/>
      </c>
      <c r="D16" s="13">
        <f>MAX(_xlfn.MAXIFS('Start Here'!$B$17:$B$56,'Start Here'!$A$17:$A$56,$A16,'Start Here'!$C$17:$C$56,"&gt;=1"),_xlfn.MAXIFS(Sets!$C$2:$C$1060,Sets!$B$2:$B$1060,$A16,Sets!$D$2:$D$1060,"&gt;=1"),_xlfn.MAXIFS(Log!$C$2:$C$1001,Log!$B$2:$B$1001,$A16,Log!$D$2:$D$1001,"&gt;=1"))</f>
        <v/>
      </c>
      <c r="E16" s="13">
        <f>MAX(_xlfn.MAXIFS('Start Here'!$B$17:$B$56,'Start Here'!$A$17:$A$56,$A16,'Start Here'!$C$17:$C$56,"&gt;=2"),_xlfn.MAXIFS(Sets!$C$2:$C$1060,Sets!$B$2:$B$1060,$A16,Sets!$D$2:$D$1060,"&gt;=2"),_xlfn.MAXIFS(Log!$C$2:$C$1001,Log!$B$2:$B$1001,$A16,Log!$D$2:$D$1001,"&gt;=2"))</f>
        <v/>
      </c>
      <c r="F16" s="13">
        <f>MAX(_xlfn.MAXIFS('Start Here'!$B$17:$B$56,'Start Here'!$A$17:$A$56,$A16,'Start Here'!$C$17:$C$56,"&gt;=3"),_xlfn.MAXIFS(Sets!$C$2:$C$1060,Sets!$B$2:$B$1060,$A16,Sets!$D$2:$D$1060,"&gt;=3"),_xlfn.MAXIFS(Log!$C$2:$C$1001,Log!$B$2:$B$1001,$A16,Log!$D$2:$D$1001,"&gt;=3"))</f>
        <v/>
      </c>
      <c r="G16" s="13">
        <f>MAX(_xlfn.MAXIFS('Start Here'!$B$17:$B$56,'Start Here'!$A$17:$A$56,$A16,'Start Here'!$C$17:$C$56,"&gt;=4"),_xlfn.MAXIFS(Sets!$C$2:$C$1060,Sets!$B$2:$B$1060,$A16,Sets!$D$2:$D$1060,"&gt;=4"),_xlfn.MAXIFS(Log!$C$2:$C$1001,Log!$B$2:$B$1001,$A16,Log!$D$2:$D$1001,"&gt;=4"))</f>
        <v/>
      </c>
      <c r="H16" s="13">
        <f>MAX(_xlfn.MAXIFS('Start Here'!$B$17:$B$56,'Start Here'!$A$17:$A$56,$A16,'Start Here'!$C$17:$C$56,"&gt;=5"),_xlfn.MAXIFS(Sets!$C$2:$C$1060,Sets!$B$2:$B$1060,$A16,Sets!$D$2:$D$1060,"&gt;=5"),_xlfn.MAXIFS(Log!$C$2:$C$1001,Log!$B$2:$B$1001,$A16,Log!$D$2:$D$1001,"&gt;=5"))</f>
        <v/>
      </c>
      <c r="I16" s="13">
        <f>MAX(_xlfn.MAXIFS('Start Here'!$B$17:$B$56,'Start Here'!$A$17:$A$56,$A16,'Start Here'!$C$17:$C$56,"&gt;=6"),_xlfn.MAXIFS(Sets!$C$2:$C$1060,Sets!$B$2:$B$1060,$A16,Sets!$D$2:$D$1060,"&gt;=6"),_xlfn.MAXIFS(Log!$C$2:$C$1001,Log!$B$2:$B$1001,$A16,Log!$D$2:$D$1001,"&gt;=6"))</f>
        <v/>
      </c>
      <c r="J16" s="13">
        <f>MAX(_xlfn.MAXIFS('Start Here'!$B$17:$B$56,'Start Here'!$A$17:$A$56,$A16,'Start Here'!$C$17:$C$56,"&gt;=8"),_xlfn.MAXIFS(Sets!$C$2:$C$1060,Sets!$B$2:$B$1060,$A16,Sets!$D$2:$D$1060,"&gt;=8"),_xlfn.MAXIFS(Log!$C$2:$C$1001,Log!$B$2:$B$1001,$A16,Log!$D$2:$D$1001,"&gt;=8"))</f>
        <v/>
      </c>
      <c r="K16" s="13">
        <f>MAX(_xlfn.MAXIFS('Start Here'!$B$17:$B$56,'Start Here'!$A$17:$A$56,$A16,'Start Here'!$C$17:$C$56,"&gt;=10"),_xlfn.MAXIFS(Sets!$C$2:$C$1060,Sets!$B$2:$B$1060,$A16,Sets!$D$2:$D$1060,"&gt;=10"),_xlfn.MAXIFS(Log!$C$2:$C$1001,Log!$B$2:$B$1001,$A16,Log!$D$2:$D$1001,"&gt;=10"))</f>
        <v/>
      </c>
      <c r="L16" s="13">
        <f>MAX(_xlfn.MAXIFS('Start Here'!$B$17:$B$56,'Start Here'!$A$17:$A$56,$A16,'Start Here'!$C$17:$C$56,"&gt;=12"),_xlfn.MAXIFS(Sets!$C$2:$C$1060,Sets!$B$2:$B$1060,$A16,Sets!$D$2:$D$1060,"&gt;=12"),_xlfn.MAXIFS(Log!$C$2:$C$1001,Log!$B$2:$B$1001,$A16,Log!$D$2:$D$1001,"&gt;=12"))</f>
        <v/>
      </c>
    </row>
    <row r="17">
      <c r="A17" s="23" t="inlineStr">
        <is>
          <t>3-Board Press</t>
        </is>
      </c>
      <c r="B17" t="inlineStr">
        <is>
          <t>variation</t>
        </is>
      </c>
      <c r="C17" s="11">
        <f>MAX(_xlfn.MAXIFS('Start Here'!$D$17:$D$56,'Start Here'!$A$17:$A$56,$A17),_xlfn.MAXIFS(Sets!$E$2:$E$1060,Sets!$B$2:$B$1060,$A17),_xlfn.MAXIFS(Log!$E$2:$E$1001,Log!$B$2:$B$1001,$A17))</f>
        <v/>
      </c>
      <c r="D17" s="13">
        <f>MAX(_xlfn.MAXIFS('Start Here'!$B$17:$B$56,'Start Here'!$A$17:$A$56,$A17,'Start Here'!$C$17:$C$56,"&gt;=1"),_xlfn.MAXIFS(Sets!$C$2:$C$1060,Sets!$B$2:$B$1060,$A17,Sets!$D$2:$D$1060,"&gt;=1"),_xlfn.MAXIFS(Log!$C$2:$C$1001,Log!$B$2:$B$1001,$A17,Log!$D$2:$D$1001,"&gt;=1"))</f>
        <v/>
      </c>
      <c r="E17" s="13">
        <f>MAX(_xlfn.MAXIFS('Start Here'!$B$17:$B$56,'Start Here'!$A$17:$A$56,$A17,'Start Here'!$C$17:$C$56,"&gt;=2"),_xlfn.MAXIFS(Sets!$C$2:$C$1060,Sets!$B$2:$B$1060,$A17,Sets!$D$2:$D$1060,"&gt;=2"),_xlfn.MAXIFS(Log!$C$2:$C$1001,Log!$B$2:$B$1001,$A17,Log!$D$2:$D$1001,"&gt;=2"))</f>
        <v/>
      </c>
      <c r="F17" s="13">
        <f>MAX(_xlfn.MAXIFS('Start Here'!$B$17:$B$56,'Start Here'!$A$17:$A$56,$A17,'Start Here'!$C$17:$C$56,"&gt;=3"),_xlfn.MAXIFS(Sets!$C$2:$C$1060,Sets!$B$2:$B$1060,$A17,Sets!$D$2:$D$1060,"&gt;=3"),_xlfn.MAXIFS(Log!$C$2:$C$1001,Log!$B$2:$B$1001,$A17,Log!$D$2:$D$1001,"&gt;=3"))</f>
        <v/>
      </c>
      <c r="G17" s="13">
        <f>MAX(_xlfn.MAXIFS('Start Here'!$B$17:$B$56,'Start Here'!$A$17:$A$56,$A17,'Start Here'!$C$17:$C$56,"&gt;=4"),_xlfn.MAXIFS(Sets!$C$2:$C$1060,Sets!$B$2:$B$1060,$A17,Sets!$D$2:$D$1060,"&gt;=4"),_xlfn.MAXIFS(Log!$C$2:$C$1001,Log!$B$2:$B$1001,$A17,Log!$D$2:$D$1001,"&gt;=4"))</f>
        <v/>
      </c>
      <c r="H17" s="13">
        <f>MAX(_xlfn.MAXIFS('Start Here'!$B$17:$B$56,'Start Here'!$A$17:$A$56,$A17,'Start Here'!$C$17:$C$56,"&gt;=5"),_xlfn.MAXIFS(Sets!$C$2:$C$1060,Sets!$B$2:$B$1060,$A17,Sets!$D$2:$D$1060,"&gt;=5"),_xlfn.MAXIFS(Log!$C$2:$C$1001,Log!$B$2:$B$1001,$A17,Log!$D$2:$D$1001,"&gt;=5"))</f>
        <v/>
      </c>
      <c r="I17" s="13">
        <f>MAX(_xlfn.MAXIFS('Start Here'!$B$17:$B$56,'Start Here'!$A$17:$A$56,$A17,'Start Here'!$C$17:$C$56,"&gt;=6"),_xlfn.MAXIFS(Sets!$C$2:$C$1060,Sets!$B$2:$B$1060,$A17,Sets!$D$2:$D$1060,"&gt;=6"),_xlfn.MAXIFS(Log!$C$2:$C$1001,Log!$B$2:$B$1001,$A17,Log!$D$2:$D$1001,"&gt;=6"))</f>
        <v/>
      </c>
      <c r="J17" s="13">
        <f>MAX(_xlfn.MAXIFS('Start Here'!$B$17:$B$56,'Start Here'!$A$17:$A$56,$A17,'Start Here'!$C$17:$C$56,"&gt;=8"),_xlfn.MAXIFS(Sets!$C$2:$C$1060,Sets!$B$2:$B$1060,$A17,Sets!$D$2:$D$1060,"&gt;=8"),_xlfn.MAXIFS(Log!$C$2:$C$1001,Log!$B$2:$B$1001,$A17,Log!$D$2:$D$1001,"&gt;=8"))</f>
        <v/>
      </c>
      <c r="K17" s="13">
        <f>MAX(_xlfn.MAXIFS('Start Here'!$B$17:$B$56,'Start Here'!$A$17:$A$56,$A17,'Start Here'!$C$17:$C$56,"&gt;=10"),_xlfn.MAXIFS(Sets!$C$2:$C$1060,Sets!$B$2:$B$1060,$A17,Sets!$D$2:$D$1060,"&gt;=10"),_xlfn.MAXIFS(Log!$C$2:$C$1001,Log!$B$2:$B$1001,$A17,Log!$D$2:$D$1001,"&gt;=10"))</f>
        <v/>
      </c>
      <c r="L17" s="13">
        <f>MAX(_xlfn.MAXIFS('Start Here'!$B$17:$B$56,'Start Here'!$A$17:$A$56,$A17,'Start Here'!$C$17:$C$56,"&gt;=12"),_xlfn.MAXIFS(Sets!$C$2:$C$1060,Sets!$B$2:$B$1060,$A17,Sets!$D$2:$D$1060,"&gt;=12"),_xlfn.MAXIFS(Log!$C$2:$C$1001,Log!$B$2:$B$1001,$A17,Log!$D$2:$D$1001,"&gt;=12"))</f>
        <v/>
      </c>
    </row>
    <row r="18">
      <c r="A18" s="23" t="inlineStr">
        <is>
          <t>Pause Bench Press</t>
        </is>
      </c>
      <c r="B18" t="inlineStr">
        <is>
          <t>variation</t>
        </is>
      </c>
      <c r="C18" s="11">
        <f>MAX(_xlfn.MAXIFS('Start Here'!$D$17:$D$56,'Start Here'!$A$17:$A$56,$A18),_xlfn.MAXIFS(Sets!$E$2:$E$1060,Sets!$B$2:$B$1060,$A18),_xlfn.MAXIFS(Log!$E$2:$E$1001,Log!$B$2:$B$1001,$A18))</f>
        <v/>
      </c>
      <c r="D18" s="13">
        <f>MAX(_xlfn.MAXIFS('Start Here'!$B$17:$B$56,'Start Here'!$A$17:$A$56,$A18,'Start Here'!$C$17:$C$56,"&gt;=1"),_xlfn.MAXIFS(Sets!$C$2:$C$1060,Sets!$B$2:$B$1060,$A18,Sets!$D$2:$D$1060,"&gt;=1"),_xlfn.MAXIFS(Log!$C$2:$C$1001,Log!$B$2:$B$1001,$A18,Log!$D$2:$D$1001,"&gt;=1"))</f>
        <v/>
      </c>
      <c r="E18" s="13">
        <f>MAX(_xlfn.MAXIFS('Start Here'!$B$17:$B$56,'Start Here'!$A$17:$A$56,$A18,'Start Here'!$C$17:$C$56,"&gt;=2"),_xlfn.MAXIFS(Sets!$C$2:$C$1060,Sets!$B$2:$B$1060,$A18,Sets!$D$2:$D$1060,"&gt;=2"),_xlfn.MAXIFS(Log!$C$2:$C$1001,Log!$B$2:$B$1001,$A18,Log!$D$2:$D$1001,"&gt;=2"))</f>
        <v/>
      </c>
      <c r="F18" s="13">
        <f>MAX(_xlfn.MAXIFS('Start Here'!$B$17:$B$56,'Start Here'!$A$17:$A$56,$A18,'Start Here'!$C$17:$C$56,"&gt;=3"),_xlfn.MAXIFS(Sets!$C$2:$C$1060,Sets!$B$2:$B$1060,$A18,Sets!$D$2:$D$1060,"&gt;=3"),_xlfn.MAXIFS(Log!$C$2:$C$1001,Log!$B$2:$B$1001,$A18,Log!$D$2:$D$1001,"&gt;=3"))</f>
        <v/>
      </c>
      <c r="G18" s="13">
        <f>MAX(_xlfn.MAXIFS('Start Here'!$B$17:$B$56,'Start Here'!$A$17:$A$56,$A18,'Start Here'!$C$17:$C$56,"&gt;=4"),_xlfn.MAXIFS(Sets!$C$2:$C$1060,Sets!$B$2:$B$1060,$A18,Sets!$D$2:$D$1060,"&gt;=4"),_xlfn.MAXIFS(Log!$C$2:$C$1001,Log!$B$2:$B$1001,$A18,Log!$D$2:$D$1001,"&gt;=4"))</f>
        <v/>
      </c>
      <c r="H18" s="13">
        <f>MAX(_xlfn.MAXIFS('Start Here'!$B$17:$B$56,'Start Here'!$A$17:$A$56,$A18,'Start Here'!$C$17:$C$56,"&gt;=5"),_xlfn.MAXIFS(Sets!$C$2:$C$1060,Sets!$B$2:$B$1060,$A18,Sets!$D$2:$D$1060,"&gt;=5"),_xlfn.MAXIFS(Log!$C$2:$C$1001,Log!$B$2:$B$1001,$A18,Log!$D$2:$D$1001,"&gt;=5"))</f>
        <v/>
      </c>
      <c r="I18" s="13">
        <f>MAX(_xlfn.MAXIFS('Start Here'!$B$17:$B$56,'Start Here'!$A$17:$A$56,$A18,'Start Here'!$C$17:$C$56,"&gt;=6"),_xlfn.MAXIFS(Sets!$C$2:$C$1060,Sets!$B$2:$B$1060,$A18,Sets!$D$2:$D$1060,"&gt;=6"),_xlfn.MAXIFS(Log!$C$2:$C$1001,Log!$B$2:$B$1001,$A18,Log!$D$2:$D$1001,"&gt;=6"))</f>
        <v/>
      </c>
      <c r="J18" s="13">
        <f>MAX(_xlfn.MAXIFS('Start Here'!$B$17:$B$56,'Start Here'!$A$17:$A$56,$A18,'Start Here'!$C$17:$C$56,"&gt;=8"),_xlfn.MAXIFS(Sets!$C$2:$C$1060,Sets!$B$2:$B$1060,$A18,Sets!$D$2:$D$1060,"&gt;=8"),_xlfn.MAXIFS(Log!$C$2:$C$1001,Log!$B$2:$B$1001,$A18,Log!$D$2:$D$1001,"&gt;=8"))</f>
        <v/>
      </c>
      <c r="K18" s="13">
        <f>MAX(_xlfn.MAXIFS('Start Here'!$B$17:$B$56,'Start Here'!$A$17:$A$56,$A18,'Start Here'!$C$17:$C$56,"&gt;=10"),_xlfn.MAXIFS(Sets!$C$2:$C$1060,Sets!$B$2:$B$1060,$A18,Sets!$D$2:$D$1060,"&gt;=10"),_xlfn.MAXIFS(Log!$C$2:$C$1001,Log!$B$2:$B$1001,$A18,Log!$D$2:$D$1001,"&gt;=10"))</f>
        <v/>
      </c>
      <c r="L18" s="13">
        <f>MAX(_xlfn.MAXIFS('Start Here'!$B$17:$B$56,'Start Here'!$A$17:$A$56,$A18,'Start Here'!$C$17:$C$56,"&gt;=12"),_xlfn.MAXIFS(Sets!$C$2:$C$1060,Sets!$B$2:$B$1060,$A18,Sets!$D$2:$D$1060,"&gt;=12"),_xlfn.MAXIFS(Log!$C$2:$C$1001,Log!$B$2:$B$1001,$A18,Log!$D$2:$D$1001,"&gt;=12"))</f>
        <v/>
      </c>
    </row>
    <row r="19">
      <c r="A19" s="23" t="inlineStr">
        <is>
          <t>Floor Press</t>
        </is>
      </c>
      <c r="B19" t="inlineStr">
        <is>
          <t>variation</t>
        </is>
      </c>
      <c r="C19" s="11">
        <f>MAX(_xlfn.MAXIFS('Start Here'!$D$17:$D$56,'Start Here'!$A$17:$A$56,$A19),_xlfn.MAXIFS(Sets!$E$2:$E$1060,Sets!$B$2:$B$1060,$A19),_xlfn.MAXIFS(Log!$E$2:$E$1001,Log!$B$2:$B$1001,$A19))</f>
        <v/>
      </c>
      <c r="D19" s="13">
        <f>MAX(_xlfn.MAXIFS('Start Here'!$B$17:$B$56,'Start Here'!$A$17:$A$56,$A19,'Start Here'!$C$17:$C$56,"&gt;=1"),_xlfn.MAXIFS(Sets!$C$2:$C$1060,Sets!$B$2:$B$1060,$A19,Sets!$D$2:$D$1060,"&gt;=1"),_xlfn.MAXIFS(Log!$C$2:$C$1001,Log!$B$2:$B$1001,$A19,Log!$D$2:$D$1001,"&gt;=1"))</f>
        <v/>
      </c>
      <c r="E19" s="13">
        <f>MAX(_xlfn.MAXIFS('Start Here'!$B$17:$B$56,'Start Here'!$A$17:$A$56,$A19,'Start Here'!$C$17:$C$56,"&gt;=2"),_xlfn.MAXIFS(Sets!$C$2:$C$1060,Sets!$B$2:$B$1060,$A19,Sets!$D$2:$D$1060,"&gt;=2"),_xlfn.MAXIFS(Log!$C$2:$C$1001,Log!$B$2:$B$1001,$A19,Log!$D$2:$D$1001,"&gt;=2"))</f>
        <v/>
      </c>
      <c r="F19" s="13">
        <f>MAX(_xlfn.MAXIFS('Start Here'!$B$17:$B$56,'Start Here'!$A$17:$A$56,$A19,'Start Here'!$C$17:$C$56,"&gt;=3"),_xlfn.MAXIFS(Sets!$C$2:$C$1060,Sets!$B$2:$B$1060,$A19,Sets!$D$2:$D$1060,"&gt;=3"),_xlfn.MAXIFS(Log!$C$2:$C$1001,Log!$B$2:$B$1001,$A19,Log!$D$2:$D$1001,"&gt;=3"))</f>
        <v/>
      </c>
      <c r="G19" s="13">
        <f>MAX(_xlfn.MAXIFS('Start Here'!$B$17:$B$56,'Start Here'!$A$17:$A$56,$A19,'Start Here'!$C$17:$C$56,"&gt;=4"),_xlfn.MAXIFS(Sets!$C$2:$C$1060,Sets!$B$2:$B$1060,$A19,Sets!$D$2:$D$1060,"&gt;=4"),_xlfn.MAXIFS(Log!$C$2:$C$1001,Log!$B$2:$B$1001,$A19,Log!$D$2:$D$1001,"&gt;=4"))</f>
        <v/>
      </c>
      <c r="H19" s="13">
        <f>MAX(_xlfn.MAXIFS('Start Here'!$B$17:$B$56,'Start Here'!$A$17:$A$56,$A19,'Start Here'!$C$17:$C$56,"&gt;=5"),_xlfn.MAXIFS(Sets!$C$2:$C$1060,Sets!$B$2:$B$1060,$A19,Sets!$D$2:$D$1060,"&gt;=5"),_xlfn.MAXIFS(Log!$C$2:$C$1001,Log!$B$2:$B$1001,$A19,Log!$D$2:$D$1001,"&gt;=5"))</f>
        <v/>
      </c>
      <c r="I19" s="13">
        <f>MAX(_xlfn.MAXIFS('Start Here'!$B$17:$B$56,'Start Here'!$A$17:$A$56,$A19,'Start Here'!$C$17:$C$56,"&gt;=6"),_xlfn.MAXIFS(Sets!$C$2:$C$1060,Sets!$B$2:$B$1060,$A19,Sets!$D$2:$D$1060,"&gt;=6"),_xlfn.MAXIFS(Log!$C$2:$C$1001,Log!$B$2:$B$1001,$A19,Log!$D$2:$D$1001,"&gt;=6"))</f>
        <v/>
      </c>
      <c r="J19" s="13">
        <f>MAX(_xlfn.MAXIFS('Start Here'!$B$17:$B$56,'Start Here'!$A$17:$A$56,$A19,'Start Here'!$C$17:$C$56,"&gt;=8"),_xlfn.MAXIFS(Sets!$C$2:$C$1060,Sets!$B$2:$B$1060,$A19,Sets!$D$2:$D$1060,"&gt;=8"),_xlfn.MAXIFS(Log!$C$2:$C$1001,Log!$B$2:$B$1001,$A19,Log!$D$2:$D$1001,"&gt;=8"))</f>
        <v/>
      </c>
      <c r="K19" s="13">
        <f>MAX(_xlfn.MAXIFS('Start Here'!$B$17:$B$56,'Start Here'!$A$17:$A$56,$A19,'Start Here'!$C$17:$C$56,"&gt;=10"),_xlfn.MAXIFS(Sets!$C$2:$C$1060,Sets!$B$2:$B$1060,$A19,Sets!$D$2:$D$1060,"&gt;=10"),_xlfn.MAXIFS(Log!$C$2:$C$1001,Log!$B$2:$B$1001,$A19,Log!$D$2:$D$1001,"&gt;=10"))</f>
        <v/>
      </c>
      <c r="L19" s="13">
        <f>MAX(_xlfn.MAXIFS('Start Here'!$B$17:$B$56,'Start Here'!$A$17:$A$56,$A19,'Start Here'!$C$17:$C$56,"&gt;=12"),_xlfn.MAXIFS(Sets!$C$2:$C$1060,Sets!$B$2:$B$1060,$A19,Sets!$D$2:$D$1060,"&gt;=12"),_xlfn.MAXIFS(Log!$C$2:$C$1001,Log!$B$2:$B$1001,$A19,Log!$D$2:$D$1001,"&gt;=12"))</f>
        <v/>
      </c>
    </row>
    <row r="20">
      <c r="A20" s="23" t="inlineStr">
        <is>
          <t>Pin Press</t>
        </is>
      </c>
      <c r="B20" t="inlineStr">
        <is>
          <t>variation</t>
        </is>
      </c>
      <c r="C20" s="11">
        <f>MAX(_xlfn.MAXIFS('Start Here'!$D$17:$D$56,'Start Here'!$A$17:$A$56,$A20),_xlfn.MAXIFS(Sets!$E$2:$E$1060,Sets!$B$2:$B$1060,$A20),_xlfn.MAXIFS(Log!$E$2:$E$1001,Log!$B$2:$B$1001,$A20))</f>
        <v/>
      </c>
      <c r="D20" s="13">
        <f>MAX(_xlfn.MAXIFS('Start Here'!$B$17:$B$56,'Start Here'!$A$17:$A$56,$A20,'Start Here'!$C$17:$C$56,"&gt;=1"),_xlfn.MAXIFS(Sets!$C$2:$C$1060,Sets!$B$2:$B$1060,$A20,Sets!$D$2:$D$1060,"&gt;=1"),_xlfn.MAXIFS(Log!$C$2:$C$1001,Log!$B$2:$B$1001,$A20,Log!$D$2:$D$1001,"&gt;=1"))</f>
        <v/>
      </c>
      <c r="E20" s="13">
        <f>MAX(_xlfn.MAXIFS('Start Here'!$B$17:$B$56,'Start Here'!$A$17:$A$56,$A20,'Start Here'!$C$17:$C$56,"&gt;=2"),_xlfn.MAXIFS(Sets!$C$2:$C$1060,Sets!$B$2:$B$1060,$A20,Sets!$D$2:$D$1060,"&gt;=2"),_xlfn.MAXIFS(Log!$C$2:$C$1001,Log!$B$2:$B$1001,$A20,Log!$D$2:$D$1001,"&gt;=2"))</f>
        <v/>
      </c>
      <c r="F20" s="13">
        <f>MAX(_xlfn.MAXIFS('Start Here'!$B$17:$B$56,'Start Here'!$A$17:$A$56,$A20,'Start Here'!$C$17:$C$56,"&gt;=3"),_xlfn.MAXIFS(Sets!$C$2:$C$1060,Sets!$B$2:$B$1060,$A20,Sets!$D$2:$D$1060,"&gt;=3"),_xlfn.MAXIFS(Log!$C$2:$C$1001,Log!$B$2:$B$1001,$A20,Log!$D$2:$D$1001,"&gt;=3"))</f>
        <v/>
      </c>
      <c r="G20" s="13">
        <f>MAX(_xlfn.MAXIFS('Start Here'!$B$17:$B$56,'Start Here'!$A$17:$A$56,$A20,'Start Here'!$C$17:$C$56,"&gt;=4"),_xlfn.MAXIFS(Sets!$C$2:$C$1060,Sets!$B$2:$B$1060,$A20,Sets!$D$2:$D$1060,"&gt;=4"),_xlfn.MAXIFS(Log!$C$2:$C$1001,Log!$B$2:$B$1001,$A20,Log!$D$2:$D$1001,"&gt;=4"))</f>
        <v/>
      </c>
      <c r="H20" s="13">
        <f>MAX(_xlfn.MAXIFS('Start Here'!$B$17:$B$56,'Start Here'!$A$17:$A$56,$A20,'Start Here'!$C$17:$C$56,"&gt;=5"),_xlfn.MAXIFS(Sets!$C$2:$C$1060,Sets!$B$2:$B$1060,$A20,Sets!$D$2:$D$1060,"&gt;=5"),_xlfn.MAXIFS(Log!$C$2:$C$1001,Log!$B$2:$B$1001,$A20,Log!$D$2:$D$1001,"&gt;=5"))</f>
        <v/>
      </c>
      <c r="I20" s="13">
        <f>MAX(_xlfn.MAXIFS('Start Here'!$B$17:$B$56,'Start Here'!$A$17:$A$56,$A20,'Start Here'!$C$17:$C$56,"&gt;=6"),_xlfn.MAXIFS(Sets!$C$2:$C$1060,Sets!$B$2:$B$1060,$A20,Sets!$D$2:$D$1060,"&gt;=6"),_xlfn.MAXIFS(Log!$C$2:$C$1001,Log!$B$2:$B$1001,$A20,Log!$D$2:$D$1001,"&gt;=6"))</f>
        <v/>
      </c>
      <c r="J20" s="13">
        <f>MAX(_xlfn.MAXIFS('Start Here'!$B$17:$B$56,'Start Here'!$A$17:$A$56,$A20,'Start Here'!$C$17:$C$56,"&gt;=8"),_xlfn.MAXIFS(Sets!$C$2:$C$1060,Sets!$B$2:$B$1060,$A20,Sets!$D$2:$D$1060,"&gt;=8"),_xlfn.MAXIFS(Log!$C$2:$C$1001,Log!$B$2:$B$1001,$A20,Log!$D$2:$D$1001,"&gt;=8"))</f>
        <v/>
      </c>
      <c r="K20" s="13">
        <f>MAX(_xlfn.MAXIFS('Start Here'!$B$17:$B$56,'Start Here'!$A$17:$A$56,$A20,'Start Here'!$C$17:$C$56,"&gt;=10"),_xlfn.MAXIFS(Sets!$C$2:$C$1060,Sets!$B$2:$B$1060,$A20,Sets!$D$2:$D$1060,"&gt;=10"),_xlfn.MAXIFS(Log!$C$2:$C$1001,Log!$B$2:$B$1001,$A20,Log!$D$2:$D$1001,"&gt;=10"))</f>
        <v/>
      </c>
      <c r="L20" s="13">
        <f>MAX(_xlfn.MAXIFS('Start Here'!$B$17:$B$56,'Start Here'!$A$17:$A$56,$A20,'Start Here'!$C$17:$C$56,"&gt;=12"),_xlfn.MAXIFS(Sets!$C$2:$C$1060,Sets!$B$2:$B$1060,$A20,Sets!$D$2:$D$1060,"&gt;=12"),_xlfn.MAXIFS(Log!$C$2:$C$1001,Log!$B$2:$B$1001,$A20,Log!$D$2:$D$1001,"&gt;=12"))</f>
        <v/>
      </c>
    </row>
    <row r="21">
      <c r="A21" s="23" t="inlineStr">
        <is>
          <t>Spoto Press</t>
        </is>
      </c>
      <c r="B21" t="inlineStr">
        <is>
          <t>variation</t>
        </is>
      </c>
      <c r="C21" s="11">
        <f>MAX(_xlfn.MAXIFS('Start Here'!$D$17:$D$56,'Start Here'!$A$17:$A$56,$A21),_xlfn.MAXIFS(Sets!$E$2:$E$1060,Sets!$B$2:$B$1060,$A21),_xlfn.MAXIFS(Log!$E$2:$E$1001,Log!$B$2:$B$1001,$A21))</f>
        <v/>
      </c>
      <c r="D21" s="13">
        <f>MAX(_xlfn.MAXIFS('Start Here'!$B$17:$B$56,'Start Here'!$A$17:$A$56,$A21,'Start Here'!$C$17:$C$56,"&gt;=1"),_xlfn.MAXIFS(Sets!$C$2:$C$1060,Sets!$B$2:$B$1060,$A21,Sets!$D$2:$D$1060,"&gt;=1"),_xlfn.MAXIFS(Log!$C$2:$C$1001,Log!$B$2:$B$1001,$A21,Log!$D$2:$D$1001,"&gt;=1"))</f>
        <v/>
      </c>
      <c r="E21" s="13">
        <f>MAX(_xlfn.MAXIFS('Start Here'!$B$17:$B$56,'Start Here'!$A$17:$A$56,$A21,'Start Here'!$C$17:$C$56,"&gt;=2"),_xlfn.MAXIFS(Sets!$C$2:$C$1060,Sets!$B$2:$B$1060,$A21,Sets!$D$2:$D$1060,"&gt;=2"),_xlfn.MAXIFS(Log!$C$2:$C$1001,Log!$B$2:$B$1001,$A21,Log!$D$2:$D$1001,"&gt;=2"))</f>
        <v/>
      </c>
      <c r="F21" s="13">
        <f>MAX(_xlfn.MAXIFS('Start Here'!$B$17:$B$56,'Start Here'!$A$17:$A$56,$A21,'Start Here'!$C$17:$C$56,"&gt;=3"),_xlfn.MAXIFS(Sets!$C$2:$C$1060,Sets!$B$2:$B$1060,$A21,Sets!$D$2:$D$1060,"&gt;=3"),_xlfn.MAXIFS(Log!$C$2:$C$1001,Log!$B$2:$B$1001,$A21,Log!$D$2:$D$1001,"&gt;=3"))</f>
        <v/>
      </c>
      <c r="G21" s="13">
        <f>MAX(_xlfn.MAXIFS('Start Here'!$B$17:$B$56,'Start Here'!$A$17:$A$56,$A21,'Start Here'!$C$17:$C$56,"&gt;=4"),_xlfn.MAXIFS(Sets!$C$2:$C$1060,Sets!$B$2:$B$1060,$A21,Sets!$D$2:$D$1060,"&gt;=4"),_xlfn.MAXIFS(Log!$C$2:$C$1001,Log!$B$2:$B$1001,$A21,Log!$D$2:$D$1001,"&gt;=4"))</f>
        <v/>
      </c>
      <c r="H21" s="13">
        <f>MAX(_xlfn.MAXIFS('Start Here'!$B$17:$B$56,'Start Here'!$A$17:$A$56,$A21,'Start Here'!$C$17:$C$56,"&gt;=5"),_xlfn.MAXIFS(Sets!$C$2:$C$1060,Sets!$B$2:$B$1060,$A21,Sets!$D$2:$D$1060,"&gt;=5"),_xlfn.MAXIFS(Log!$C$2:$C$1001,Log!$B$2:$B$1001,$A21,Log!$D$2:$D$1001,"&gt;=5"))</f>
        <v/>
      </c>
      <c r="I21" s="13">
        <f>MAX(_xlfn.MAXIFS('Start Here'!$B$17:$B$56,'Start Here'!$A$17:$A$56,$A21,'Start Here'!$C$17:$C$56,"&gt;=6"),_xlfn.MAXIFS(Sets!$C$2:$C$1060,Sets!$B$2:$B$1060,$A21,Sets!$D$2:$D$1060,"&gt;=6"),_xlfn.MAXIFS(Log!$C$2:$C$1001,Log!$B$2:$B$1001,$A21,Log!$D$2:$D$1001,"&gt;=6"))</f>
        <v/>
      </c>
      <c r="J21" s="13">
        <f>MAX(_xlfn.MAXIFS('Start Here'!$B$17:$B$56,'Start Here'!$A$17:$A$56,$A21,'Start Here'!$C$17:$C$56,"&gt;=8"),_xlfn.MAXIFS(Sets!$C$2:$C$1060,Sets!$B$2:$B$1060,$A21,Sets!$D$2:$D$1060,"&gt;=8"),_xlfn.MAXIFS(Log!$C$2:$C$1001,Log!$B$2:$B$1001,$A21,Log!$D$2:$D$1001,"&gt;=8"))</f>
        <v/>
      </c>
      <c r="K21" s="13">
        <f>MAX(_xlfn.MAXIFS('Start Here'!$B$17:$B$56,'Start Here'!$A$17:$A$56,$A21,'Start Here'!$C$17:$C$56,"&gt;=10"),_xlfn.MAXIFS(Sets!$C$2:$C$1060,Sets!$B$2:$B$1060,$A21,Sets!$D$2:$D$1060,"&gt;=10"),_xlfn.MAXIFS(Log!$C$2:$C$1001,Log!$B$2:$B$1001,$A21,Log!$D$2:$D$1001,"&gt;=10"))</f>
        <v/>
      </c>
      <c r="L21" s="13">
        <f>MAX(_xlfn.MAXIFS('Start Here'!$B$17:$B$56,'Start Here'!$A$17:$A$56,$A21,'Start Here'!$C$17:$C$56,"&gt;=12"),_xlfn.MAXIFS(Sets!$C$2:$C$1060,Sets!$B$2:$B$1060,$A21,Sets!$D$2:$D$1060,"&gt;=12"),_xlfn.MAXIFS(Log!$C$2:$C$1001,Log!$B$2:$B$1001,$A21,Log!$D$2:$D$1001,"&gt;=12"))</f>
        <v/>
      </c>
    </row>
    <row r="22">
      <c r="A22" s="23" t="inlineStr">
        <is>
          <t>Incline Bench Press</t>
        </is>
      </c>
      <c r="B22" t="inlineStr">
        <is>
          <t>variation</t>
        </is>
      </c>
      <c r="C22" s="11">
        <f>MAX(_xlfn.MAXIFS('Start Here'!$D$17:$D$56,'Start Here'!$A$17:$A$56,$A22),_xlfn.MAXIFS(Sets!$E$2:$E$1060,Sets!$B$2:$B$1060,$A22),_xlfn.MAXIFS(Log!$E$2:$E$1001,Log!$B$2:$B$1001,$A22))</f>
        <v/>
      </c>
      <c r="D22" s="13">
        <f>MAX(_xlfn.MAXIFS('Start Here'!$B$17:$B$56,'Start Here'!$A$17:$A$56,$A22,'Start Here'!$C$17:$C$56,"&gt;=1"),_xlfn.MAXIFS(Sets!$C$2:$C$1060,Sets!$B$2:$B$1060,$A22,Sets!$D$2:$D$1060,"&gt;=1"),_xlfn.MAXIFS(Log!$C$2:$C$1001,Log!$B$2:$B$1001,$A22,Log!$D$2:$D$1001,"&gt;=1"))</f>
        <v/>
      </c>
      <c r="E22" s="13">
        <f>MAX(_xlfn.MAXIFS('Start Here'!$B$17:$B$56,'Start Here'!$A$17:$A$56,$A22,'Start Here'!$C$17:$C$56,"&gt;=2"),_xlfn.MAXIFS(Sets!$C$2:$C$1060,Sets!$B$2:$B$1060,$A22,Sets!$D$2:$D$1060,"&gt;=2"),_xlfn.MAXIFS(Log!$C$2:$C$1001,Log!$B$2:$B$1001,$A22,Log!$D$2:$D$1001,"&gt;=2"))</f>
        <v/>
      </c>
      <c r="F22" s="13">
        <f>MAX(_xlfn.MAXIFS('Start Here'!$B$17:$B$56,'Start Here'!$A$17:$A$56,$A22,'Start Here'!$C$17:$C$56,"&gt;=3"),_xlfn.MAXIFS(Sets!$C$2:$C$1060,Sets!$B$2:$B$1060,$A22,Sets!$D$2:$D$1060,"&gt;=3"),_xlfn.MAXIFS(Log!$C$2:$C$1001,Log!$B$2:$B$1001,$A22,Log!$D$2:$D$1001,"&gt;=3"))</f>
        <v/>
      </c>
      <c r="G22" s="13">
        <f>MAX(_xlfn.MAXIFS('Start Here'!$B$17:$B$56,'Start Here'!$A$17:$A$56,$A22,'Start Here'!$C$17:$C$56,"&gt;=4"),_xlfn.MAXIFS(Sets!$C$2:$C$1060,Sets!$B$2:$B$1060,$A22,Sets!$D$2:$D$1060,"&gt;=4"),_xlfn.MAXIFS(Log!$C$2:$C$1001,Log!$B$2:$B$1001,$A22,Log!$D$2:$D$1001,"&gt;=4"))</f>
        <v/>
      </c>
      <c r="H22" s="13">
        <f>MAX(_xlfn.MAXIFS('Start Here'!$B$17:$B$56,'Start Here'!$A$17:$A$56,$A22,'Start Here'!$C$17:$C$56,"&gt;=5"),_xlfn.MAXIFS(Sets!$C$2:$C$1060,Sets!$B$2:$B$1060,$A22,Sets!$D$2:$D$1060,"&gt;=5"),_xlfn.MAXIFS(Log!$C$2:$C$1001,Log!$B$2:$B$1001,$A22,Log!$D$2:$D$1001,"&gt;=5"))</f>
        <v/>
      </c>
      <c r="I22" s="13">
        <f>MAX(_xlfn.MAXIFS('Start Here'!$B$17:$B$56,'Start Here'!$A$17:$A$56,$A22,'Start Here'!$C$17:$C$56,"&gt;=6"),_xlfn.MAXIFS(Sets!$C$2:$C$1060,Sets!$B$2:$B$1060,$A22,Sets!$D$2:$D$1060,"&gt;=6"),_xlfn.MAXIFS(Log!$C$2:$C$1001,Log!$B$2:$B$1001,$A22,Log!$D$2:$D$1001,"&gt;=6"))</f>
        <v/>
      </c>
      <c r="J22" s="13">
        <f>MAX(_xlfn.MAXIFS('Start Here'!$B$17:$B$56,'Start Here'!$A$17:$A$56,$A22,'Start Here'!$C$17:$C$56,"&gt;=8"),_xlfn.MAXIFS(Sets!$C$2:$C$1060,Sets!$B$2:$B$1060,$A22,Sets!$D$2:$D$1060,"&gt;=8"),_xlfn.MAXIFS(Log!$C$2:$C$1001,Log!$B$2:$B$1001,$A22,Log!$D$2:$D$1001,"&gt;=8"))</f>
        <v/>
      </c>
      <c r="K22" s="13">
        <f>MAX(_xlfn.MAXIFS('Start Here'!$B$17:$B$56,'Start Here'!$A$17:$A$56,$A22,'Start Here'!$C$17:$C$56,"&gt;=10"),_xlfn.MAXIFS(Sets!$C$2:$C$1060,Sets!$B$2:$B$1060,$A22,Sets!$D$2:$D$1060,"&gt;=10"),_xlfn.MAXIFS(Log!$C$2:$C$1001,Log!$B$2:$B$1001,$A22,Log!$D$2:$D$1001,"&gt;=10"))</f>
        <v/>
      </c>
      <c r="L22" s="13">
        <f>MAX(_xlfn.MAXIFS('Start Here'!$B$17:$B$56,'Start Here'!$A$17:$A$56,$A22,'Start Here'!$C$17:$C$56,"&gt;=12"),_xlfn.MAXIFS(Sets!$C$2:$C$1060,Sets!$B$2:$B$1060,$A22,Sets!$D$2:$D$1060,"&gt;=12"),_xlfn.MAXIFS(Log!$C$2:$C$1001,Log!$B$2:$B$1001,$A22,Log!$D$2:$D$1001,"&gt;=12"))</f>
        <v/>
      </c>
    </row>
    <row r="23">
      <c r="A23" s="23" t="inlineStr">
        <is>
          <t>Romanian Deadlift</t>
        </is>
      </c>
      <c r="B23" t="inlineStr">
        <is>
          <t>variation</t>
        </is>
      </c>
      <c r="C23" s="11">
        <f>MAX(_xlfn.MAXIFS('Start Here'!$D$17:$D$56,'Start Here'!$A$17:$A$56,$A23),_xlfn.MAXIFS(Sets!$E$2:$E$1060,Sets!$B$2:$B$1060,$A23),_xlfn.MAXIFS(Log!$E$2:$E$1001,Log!$B$2:$B$1001,$A23))</f>
        <v/>
      </c>
      <c r="D23" s="13">
        <f>MAX(_xlfn.MAXIFS('Start Here'!$B$17:$B$56,'Start Here'!$A$17:$A$56,$A23,'Start Here'!$C$17:$C$56,"&gt;=1"),_xlfn.MAXIFS(Sets!$C$2:$C$1060,Sets!$B$2:$B$1060,$A23,Sets!$D$2:$D$1060,"&gt;=1"),_xlfn.MAXIFS(Log!$C$2:$C$1001,Log!$B$2:$B$1001,$A23,Log!$D$2:$D$1001,"&gt;=1"))</f>
        <v/>
      </c>
      <c r="E23" s="13">
        <f>MAX(_xlfn.MAXIFS('Start Here'!$B$17:$B$56,'Start Here'!$A$17:$A$56,$A23,'Start Here'!$C$17:$C$56,"&gt;=2"),_xlfn.MAXIFS(Sets!$C$2:$C$1060,Sets!$B$2:$B$1060,$A23,Sets!$D$2:$D$1060,"&gt;=2"),_xlfn.MAXIFS(Log!$C$2:$C$1001,Log!$B$2:$B$1001,$A23,Log!$D$2:$D$1001,"&gt;=2"))</f>
        <v/>
      </c>
      <c r="F23" s="13">
        <f>MAX(_xlfn.MAXIFS('Start Here'!$B$17:$B$56,'Start Here'!$A$17:$A$56,$A23,'Start Here'!$C$17:$C$56,"&gt;=3"),_xlfn.MAXIFS(Sets!$C$2:$C$1060,Sets!$B$2:$B$1060,$A23,Sets!$D$2:$D$1060,"&gt;=3"),_xlfn.MAXIFS(Log!$C$2:$C$1001,Log!$B$2:$B$1001,$A23,Log!$D$2:$D$1001,"&gt;=3"))</f>
        <v/>
      </c>
      <c r="G23" s="13">
        <f>MAX(_xlfn.MAXIFS('Start Here'!$B$17:$B$56,'Start Here'!$A$17:$A$56,$A23,'Start Here'!$C$17:$C$56,"&gt;=4"),_xlfn.MAXIFS(Sets!$C$2:$C$1060,Sets!$B$2:$B$1060,$A23,Sets!$D$2:$D$1060,"&gt;=4"),_xlfn.MAXIFS(Log!$C$2:$C$1001,Log!$B$2:$B$1001,$A23,Log!$D$2:$D$1001,"&gt;=4"))</f>
        <v/>
      </c>
      <c r="H23" s="13">
        <f>MAX(_xlfn.MAXIFS('Start Here'!$B$17:$B$56,'Start Here'!$A$17:$A$56,$A23,'Start Here'!$C$17:$C$56,"&gt;=5"),_xlfn.MAXIFS(Sets!$C$2:$C$1060,Sets!$B$2:$B$1060,$A23,Sets!$D$2:$D$1060,"&gt;=5"),_xlfn.MAXIFS(Log!$C$2:$C$1001,Log!$B$2:$B$1001,$A23,Log!$D$2:$D$1001,"&gt;=5"))</f>
        <v/>
      </c>
      <c r="I23" s="13">
        <f>MAX(_xlfn.MAXIFS('Start Here'!$B$17:$B$56,'Start Here'!$A$17:$A$56,$A23,'Start Here'!$C$17:$C$56,"&gt;=6"),_xlfn.MAXIFS(Sets!$C$2:$C$1060,Sets!$B$2:$B$1060,$A23,Sets!$D$2:$D$1060,"&gt;=6"),_xlfn.MAXIFS(Log!$C$2:$C$1001,Log!$B$2:$B$1001,$A23,Log!$D$2:$D$1001,"&gt;=6"))</f>
        <v/>
      </c>
      <c r="J23" s="13">
        <f>MAX(_xlfn.MAXIFS('Start Here'!$B$17:$B$56,'Start Here'!$A$17:$A$56,$A23,'Start Here'!$C$17:$C$56,"&gt;=8"),_xlfn.MAXIFS(Sets!$C$2:$C$1060,Sets!$B$2:$B$1060,$A23,Sets!$D$2:$D$1060,"&gt;=8"),_xlfn.MAXIFS(Log!$C$2:$C$1001,Log!$B$2:$B$1001,$A23,Log!$D$2:$D$1001,"&gt;=8"))</f>
        <v/>
      </c>
      <c r="K23" s="13">
        <f>MAX(_xlfn.MAXIFS('Start Here'!$B$17:$B$56,'Start Here'!$A$17:$A$56,$A23,'Start Here'!$C$17:$C$56,"&gt;=10"),_xlfn.MAXIFS(Sets!$C$2:$C$1060,Sets!$B$2:$B$1060,$A23,Sets!$D$2:$D$1060,"&gt;=10"),_xlfn.MAXIFS(Log!$C$2:$C$1001,Log!$B$2:$B$1001,$A23,Log!$D$2:$D$1001,"&gt;=10"))</f>
        <v/>
      </c>
      <c r="L23" s="13">
        <f>MAX(_xlfn.MAXIFS('Start Here'!$B$17:$B$56,'Start Here'!$A$17:$A$56,$A23,'Start Here'!$C$17:$C$56,"&gt;=12"),_xlfn.MAXIFS(Sets!$C$2:$C$1060,Sets!$B$2:$B$1060,$A23,Sets!$D$2:$D$1060,"&gt;=12"),_xlfn.MAXIFS(Log!$C$2:$C$1001,Log!$B$2:$B$1001,$A23,Log!$D$2:$D$1001,"&gt;=12"))</f>
        <v/>
      </c>
    </row>
    <row r="24">
      <c r="A24" s="23" t="inlineStr">
        <is>
          <t>Deficit Deadlift</t>
        </is>
      </c>
      <c r="B24" t="inlineStr">
        <is>
          <t>variation</t>
        </is>
      </c>
      <c r="C24" s="11">
        <f>MAX(_xlfn.MAXIFS('Start Here'!$D$17:$D$56,'Start Here'!$A$17:$A$56,$A24),_xlfn.MAXIFS(Sets!$E$2:$E$1060,Sets!$B$2:$B$1060,$A24),_xlfn.MAXIFS(Log!$E$2:$E$1001,Log!$B$2:$B$1001,$A24))</f>
        <v/>
      </c>
      <c r="D24" s="13">
        <f>MAX(_xlfn.MAXIFS('Start Here'!$B$17:$B$56,'Start Here'!$A$17:$A$56,$A24,'Start Here'!$C$17:$C$56,"&gt;=1"),_xlfn.MAXIFS(Sets!$C$2:$C$1060,Sets!$B$2:$B$1060,$A24,Sets!$D$2:$D$1060,"&gt;=1"),_xlfn.MAXIFS(Log!$C$2:$C$1001,Log!$B$2:$B$1001,$A24,Log!$D$2:$D$1001,"&gt;=1"))</f>
        <v/>
      </c>
      <c r="E24" s="13">
        <f>MAX(_xlfn.MAXIFS('Start Here'!$B$17:$B$56,'Start Here'!$A$17:$A$56,$A24,'Start Here'!$C$17:$C$56,"&gt;=2"),_xlfn.MAXIFS(Sets!$C$2:$C$1060,Sets!$B$2:$B$1060,$A24,Sets!$D$2:$D$1060,"&gt;=2"),_xlfn.MAXIFS(Log!$C$2:$C$1001,Log!$B$2:$B$1001,$A24,Log!$D$2:$D$1001,"&gt;=2"))</f>
        <v/>
      </c>
      <c r="F24" s="13">
        <f>MAX(_xlfn.MAXIFS('Start Here'!$B$17:$B$56,'Start Here'!$A$17:$A$56,$A24,'Start Here'!$C$17:$C$56,"&gt;=3"),_xlfn.MAXIFS(Sets!$C$2:$C$1060,Sets!$B$2:$B$1060,$A24,Sets!$D$2:$D$1060,"&gt;=3"),_xlfn.MAXIFS(Log!$C$2:$C$1001,Log!$B$2:$B$1001,$A24,Log!$D$2:$D$1001,"&gt;=3"))</f>
        <v/>
      </c>
      <c r="G24" s="13">
        <f>MAX(_xlfn.MAXIFS('Start Here'!$B$17:$B$56,'Start Here'!$A$17:$A$56,$A24,'Start Here'!$C$17:$C$56,"&gt;=4"),_xlfn.MAXIFS(Sets!$C$2:$C$1060,Sets!$B$2:$B$1060,$A24,Sets!$D$2:$D$1060,"&gt;=4"),_xlfn.MAXIFS(Log!$C$2:$C$1001,Log!$B$2:$B$1001,$A24,Log!$D$2:$D$1001,"&gt;=4"))</f>
        <v/>
      </c>
      <c r="H24" s="13">
        <f>MAX(_xlfn.MAXIFS('Start Here'!$B$17:$B$56,'Start Here'!$A$17:$A$56,$A24,'Start Here'!$C$17:$C$56,"&gt;=5"),_xlfn.MAXIFS(Sets!$C$2:$C$1060,Sets!$B$2:$B$1060,$A24,Sets!$D$2:$D$1060,"&gt;=5"),_xlfn.MAXIFS(Log!$C$2:$C$1001,Log!$B$2:$B$1001,$A24,Log!$D$2:$D$1001,"&gt;=5"))</f>
        <v/>
      </c>
      <c r="I24" s="13">
        <f>MAX(_xlfn.MAXIFS('Start Here'!$B$17:$B$56,'Start Here'!$A$17:$A$56,$A24,'Start Here'!$C$17:$C$56,"&gt;=6"),_xlfn.MAXIFS(Sets!$C$2:$C$1060,Sets!$B$2:$B$1060,$A24,Sets!$D$2:$D$1060,"&gt;=6"),_xlfn.MAXIFS(Log!$C$2:$C$1001,Log!$B$2:$B$1001,$A24,Log!$D$2:$D$1001,"&gt;=6"))</f>
        <v/>
      </c>
      <c r="J24" s="13">
        <f>MAX(_xlfn.MAXIFS('Start Here'!$B$17:$B$56,'Start Here'!$A$17:$A$56,$A24,'Start Here'!$C$17:$C$56,"&gt;=8"),_xlfn.MAXIFS(Sets!$C$2:$C$1060,Sets!$B$2:$B$1060,$A24,Sets!$D$2:$D$1060,"&gt;=8"),_xlfn.MAXIFS(Log!$C$2:$C$1001,Log!$B$2:$B$1001,$A24,Log!$D$2:$D$1001,"&gt;=8"))</f>
        <v/>
      </c>
      <c r="K24" s="13">
        <f>MAX(_xlfn.MAXIFS('Start Here'!$B$17:$B$56,'Start Here'!$A$17:$A$56,$A24,'Start Here'!$C$17:$C$56,"&gt;=10"),_xlfn.MAXIFS(Sets!$C$2:$C$1060,Sets!$B$2:$B$1060,$A24,Sets!$D$2:$D$1060,"&gt;=10"),_xlfn.MAXIFS(Log!$C$2:$C$1001,Log!$B$2:$B$1001,$A24,Log!$D$2:$D$1001,"&gt;=10"))</f>
        <v/>
      </c>
      <c r="L24" s="13">
        <f>MAX(_xlfn.MAXIFS('Start Here'!$B$17:$B$56,'Start Here'!$A$17:$A$56,$A24,'Start Here'!$C$17:$C$56,"&gt;=12"),_xlfn.MAXIFS(Sets!$C$2:$C$1060,Sets!$B$2:$B$1060,$A24,Sets!$D$2:$D$1060,"&gt;=12"),_xlfn.MAXIFS(Log!$C$2:$C$1001,Log!$B$2:$B$1001,$A24,Log!$D$2:$D$1001,"&gt;=12"))</f>
        <v/>
      </c>
    </row>
    <row r="25">
      <c r="A25" s="23" t="inlineStr">
        <is>
          <t>Paused Deadlift</t>
        </is>
      </c>
      <c r="B25" t="inlineStr">
        <is>
          <t>variation</t>
        </is>
      </c>
      <c r="C25" s="11">
        <f>MAX(_xlfn.MAXIFS('Start Here'!$D$17:$D$56,'Start Here'!$A$17:$A$56,$A25),_xlfn.MAXIFS(Sets!$E$2:$E$1060,Sets!$B$2:$B$1060,$A25),_xlfn.MAXIFS(Log!$E$2:$E$1001,Log!$B$2:$B$1001,$A25))</f>
        <v/>
      </c>
      <c r="D25" s="13">
        <f>MAX(_xlfn.MAXIFS('Start Here'!$B$17:$B$56,'Start Here'!$A$17:$A$56,$A25,'Start Here'!$C$17:$C$56,"&gt;=1"),_xlfn.MAXIFS(Sets!$C$2:$C$1060,Sets!$B$2:$B$1060,$A25,Sets!$D$2:$D$1060,"&gt;=1"),_xlfn.MAXIFS(Log!$C$2:$C$1001,Log!$B$2:$B$1001,$A25,Log!$D$2:$D$1001,"&gt;=1"))</f>
        <v/>
      </c>
      <c r="E25" s="13">
        <f>MAX(_xlfn.MAXIFS('Start Here'!$B$17:$B$56,'Start Here'!$A$17:$A$56,$A25,'Start Here'!$C$17:$C$56,"&gt;=2"),_xlfn.MAXIFS(Sets!$C$2:$C$1060,Sets!$B$2:$B$1060,$A25,Sets!$D$2:$D$1060,"&gt;=2"),_xlfn.MAXIFS(Log!$C$2:$C$1001,Log!$B$2:$B$1001,$A25,Log!$D$2:$D$1001,"&gt;=2"))</f>
        <v/>
      </c>
      <c r="F25" s="13">
        <f>MAX(_xlfn.MAXIFS('Start Here'!$B$17:$B$56,'Start Here'!$A$17:$A$56,$A25,'Start Here'!$C$17:$C$56,"&gt;=3"),_xlfn.MAXIFS(Sets!$C$2:$C$1060,Sets!$B$2:$B$1060,$A25,Sets!$D$2:$D$1060,"&gt;=3"),_xlfn.MAXIFS(Log!$C$2:$C$1001,Log!$B$2:$B$1001,$A25,Log!$D$2:$D$1001,"&gt;=3"))</f>
        <v/>
      </c>
      <c r="G25" s="13">
        <f>MAX(_xlfn.MAXIFS('Start Here'!$B$17:$B$56,'Start Here'!$A$17:$A$56,$A25,'Start Here'!$C$17:$C$56,"&gt;=4"),_xlfn.MAXIFS(Sets!$C$2:$C$1060,Sets!$B$2:$B$1060,$A25,Sets!$D$2:$D$1060,"&gt;=4"),_xlfn.MAXIFS(Log!$C$2:$C$1001,Log!$B$2:$B$1001,$A25,Log!$D$2:$D$1001,"&gt;=4"))</f>
        <v/>
      </c>
      <c r="H25" s="13">
        <f>MAX(_xlfn.MAXIFS('Start Here'!$B$17:$B$56,'Start Here'!$A$17:$A$56,$A25,'Start Here'!$C$17:$C$56,"&gt;=5"),_xlfn.MAXIFS(Sets!$C$2:$C$1060,Sets!$B$2:$B$1060,$A25,Sets!$D$2:$D$1060,"&gt;=5"),_xlfn.MAXIFS(Log!$C$2:$C$1001,Log!$B$2:$B$1001,$A25,Log!$D$2:$D$1001,"&gt;=5"))</f>
        <v/>
      </c>
      <c r="I25" s="13">
        <f>MAX(_xlfn.MAXIFS('Start Here'!$B$17:$B$56,'Start Here'!$A$17:$A$56,$A25,'Start Here'!$C$17:$C$56,"&gt;=6"),_xlfn.MAXIFS(Sets!$C$2:$C$1060,Sets!$B$2:$B$1060,$A25,Sets!$D$2:$D$1060,"&gt;=6"),_xlfn.MAXIFS(Log!$C$2:$C$1001,Log!$B$2:$B$1001,$A25,Log!$D$2:$D$1001,"&gt;=6"))</f>
        <v/>
      </c>
      <c r="J25" s="13">
        <f>MAX(_xlfn.MAXIFS('Start Here'!$B$17:$B$56,'Start Here'!$A$17:$A$56,$A25,'Start Here'!$C$17:$C$56,"&gt;=8"),_xlfn.MAXIFS(Sets!$C$2:$C$1060,Sets!$B$2:$B$1060,$A25,Sets!$D$2:$D$1060,"&gt;=8"),_xlfn.MAXIFS(Log!$C$2:$C$1001,Log!$B$2:$B$1001,$A25,Log!$D$2:$D$1001,"&gt;=8"))</f>
        <v/>
      </c>
      <c r="K25" s="13">
        <f>MAX(_xlfn.MAXIFS('Start Here'!$B$17:$B$56,'Start Here'!$A$17:$A$56,$A25,'Start Here'!$C$17:$C$56,"&gt;=10"),_xlfn.MAXIFS(Sets!$C$2:$C$1060,Sets!$B$2:$B$1060,$A25,Sets!$D$2:$D$1060,"&gt;=10"),_xlfn.MAXIFS(Log!$C$2:$C$1001,Log!$B$2:$B$1001,$A25,Log!$D$2:$D$1001,"&gt;=10"))</f>
        <v/>
      </c>
      <c r="L25" s="13">
        <f>MAX(_xlfn.MAXIFS('Start Here'!$B$17:$B$56,'Start Here'!$A$17:$A$56,$A25,'Start Here'!$C$17:$C$56,"&gt;=12"),_xlfn.MAXIFS(Sets!$C$2:$C$1060,Sets!$B$2:$B$1060,$A25,Sets!$D$2:$D$1060,"&gt;=12"),_xlfn.MAXIFS(Log!$C$2:$C$1001,Log!$B$2:$B$1001,$A25,Log!$D$2:$D$1001,"&gt;=12"))</f>
        <v/>
      </c>
    </row>
    <row r="26">
      <c r="A26" s="23" t="inlineStr">
        <is>
          <t>Block Pull</t>
        </is>
      </c>
      <c r="B26" t="inlineStr">
        <is>
          <t>variation</t>
        </is>
      </c>
      <c r="C26" s="11">
        <f>MAX(_xlfn.MAXIFS('Start Here'!$D$17:$D$56,'Start Here'!$A$17:$A$56,$A26),_xlfn.MAXIFS(Sets!$E$2:$E$1060,Sets!$B$2:$B$1060,$A26),_xlfn.MAXIFS(Log!$E$2:$E$1001,Log!$B$2:$B$1001,$A26))</f>
        <v/>
      </c>
      <c r="D26" s="13">
        <f>MAX(_xlfn.MAXIFS('Start Here'!$B$17:$B$56,'Start Here'!$A$17:$A$56,$A26,'Start Here'!$C$17:$C$56,"&gt;=1"),_xlfn.MAXIFS(Sets!$C$2:$C$1060,Sets!$B$2:$B$1060,$A26,Sets!$D$2:$D$1060,"&gt;=1"),_xlfn.MAXIFS(Log!$C$2:$C$1001,Log!$B$2:$B$1001,$A26,Log!$D$2:$D$1001,"&gt;=1"))</f>
        <v/>
      </c>
      <c r="E26" s="13">
        <f>MAX(_xlfn.MAXIFS('Start Here'!$B$17:$B$56,'Start Here'!$A$17:$A$56,$A26,'Start Here'!$C$17:$C$56,"&gt;=2"),_xlfn.MAXIFS(Sets!$C$2:$C$1060,Sets!$B$2:$B$1060,$A26,Sets!$D$2:$D$1060,"&gt;=2"),_xlfn.MAXIFS(Log!$C$2:$C$1001,Log!$B$2:$B$1001,$A26,Log!$D$2:$D$1001,"&gt;=2"))</f>
        <v/>
      </c>
      <c r="F26" s="13">
        <f>MAX(_xlfn.MAXIFS('Start Here'!$B$17:$B$56,'Start Here'!$A$17:$A$56,$A26,'Start Here'!$C$17:$C$56,"&gt;=3"),_xlfn.MAXIFS(Sets!$C$2:$C$1060,Sets!$B$2:$B$1060,$A26,Sets!$D$2:$D$1060,"&gt;=3"),_xlfn.MAXIFS(Log!$C$2:$C$1001,Log!$B$2:$B$1001,$A26,Log!$D$2:$D$1001,"&gt;=3"))</f>
        <v/>
      </c>
      <c r="G26" s="13">
        <f>MAX(_xlfn.MAXIFS('Start Here'!$B$17:$B$56,'Start Here'!$A$17:$A$56,$A26,'Start Here'!$C$17:$C$56,"&gt;=4"),_xlfn.MAXIFS(Sets!$C$2:$C$1060,Sets!$B$2:$B$1060,$A26,Sets!$D$2:$D$1060,"&gt;=4"),_xlfn.MAXIFS(Log!$C$2:$C$1001,Log!$B$2:$B$1001,$A26,Log!$D$2:$D$1001,"&gt;=4"))</f>
        <v/>
      </c>
      <c r="H26" s="13">
        <f>MAX(_xlfn.MAXIFS('Start Here'!$B$17:$B$56,'Start Here'!$A$17:$A$56,$A26,'Start Here'!$C$17:$C$56,"&gt;=5"),_xlfn.MAXIFS(Sets!$C$2:$C$1060,Sets!$B$2:$B$1060,$A26,Sets!$D$2:$D$1060,"&gt;=5"),_xlfn.MAXIFS(Log!$C$2:$C$1001,Log!$B$2:$B$1001,$A26,Log!$D$2:$D$1001,"&gt;=5"))</f>
        <v/>
      </c>
      <c r="I26" s="13">
        <f>MAX(_xlfn.MAXIFS('Start Here'!$B$17:$B$56,'Start Here'!$A$17:$A$56,$A26,'Start Here'!$C$17:$C$56,"&gt;=6"),_xlfn.MAXIFS(Sets!$C$2:$C$1060,Sets!$B$2:$B$1060,$A26,Sets!$D$2:$D$1060,"&gt;=6"),_xlfn.MAXIFS(Log!$C$2:$C$1001,Log!$B$2:$B$1001,$A26,Log!$D$2:$D$1001,"&gt;=6"))</f>
        <v/>
      </c>
      <c r="J26" s="13">
        <f>MAX(_xlfn.MAXIFS('Start Here'!$B$17:$B$56,'Start Here'!$A$17:$A$56,$A26,'Start Here'!$C$17:$C$56,"&gt;=8"),_xlfn.MAXIFS(Sets!$C$2:$C$1060,Sets!$B$2:$B$1060,$A26,Sets!$D$2:$D$1060,"&gt;=8"),_xlfn.MAXIFS(Log!$C$2:$C$1001,Log!$B$2:$B$1001,$A26,Log!$D$2:$D$1001,"&gt;=8"))</f>
        <v/>
      </c>
      <c r="K26" s="13">
        <f>MAX(_xlfn.MAXIFS('Start Here'!$B$17:$B$56,'Start Here'!$A$17:$A$56,$A26,'Start Here'!$C$17:$C$56,"&gt;=10"),_xlfn.MAXIFS(Sets!$C$2:$C$1060,Sets!$B$2:$B$1060,$A26,Sets!$D$2:$D$1060,"&gt;=10"),_xlfn.MAXIFS(Log!$C$2:$C$1001,Log!$B$2:$B$1001,$A26,Log!$D$2:$D$1001,"&gt;=10"))</f>
        <v/>
      </c>
      <c r="L26" s="13">
        <f>MAX(_xlfn.MAXIFS('Start Here'!$B$17:$B$56,'Start Here'!$A$17:$A$56,$A26,'Start Here'!$C$17:$C$56,"&gt;=12"),_xlfn.MAXIFS(Sets!$C$2:$C$1060,Sets!$B$2:$B$1060,$A26,Sets!$D$2:$D$1060,"&gt;=12"),_xlfn.MAXIFS(Log!$C$2:$C$1001,Log!$B$2:$B$1001,$A26,Log!$D$2:$D$1001,"&gt;=12"))</f>
        <v/>
      </c>
    </row>
    <row r="27">
      <c r="A27" s="23" t="inlineStr">
        <is>
          <t>Rack Pull</t>
        </is>
      </c>
      <c r="B27" t="inlineStr">
        <is>
          <t>variation</t>
        </is>
      </c>
      <c r="C27" s="11">
        <f>MAX(_xlfn.MAXIFS('Start Here'!$D$17:$D$56,'Start Here'!$A$17:$A$56,$A27),_xlfn.MAXIFS(Sets!$E$2:$E$1060,Sets!$B$2:$B$1060,$A27),_xlfn.MAXIFS(Log!$E$2:$E$1001,Log!$B$2:$B$1001,$A27))</f>
        <v/>
      </c>
      <c r="D27" s="13">
        <f>MAX(_xlfn.MAXIFS('Start Here'!$B$17:$B$56,'Start Here'!$A$17:$A$56,$A27,'Start Here'!$C$17:$C$56,"&gt;=1"),_xlfn.MAXIFS(Sets!$C$2:$C$1060,Sets!$B$2:$B$1060,$A27,Sets!$D$2:$D$1060,"&gt;=1"),_xlfn.MAXIFS(Log!$C$2:$C$1001,Log!$B$2:$B$1001,$A27,Log!$D$2:$D$1001,"&gt;=1"))</f>
        <v/>
      </c>
      <c r="E27" s="13">
        <f>MAX(_xlfn.MAXIFS('Start Here'!$B$17:$B$56,'Start Here'!$A$17:$A$56,$A27,'Start Here'!$C$17:$C$56,"&gt;=2"),_xlfn.MAXIFS(Sets!$C$2:$C$1060,Sets!$B$2:$B$1060,$A27,Sets!$D$2:$D$1060,"&gt;=2"),_xlfn.MAXIFS(Log!$C$2:$C$1001,Log!$B$2:$B$1001,$A27,Log!$D$2:$D$1001,"&gt;=2"))</f>
        <v/>
      </c>
      <c r="F27" s="13">
        <f>MAX(_xlfn.MAXIFS('Start Here'!$B$17:$B$56,'Start Here'!$A$17:$A$56,$A27,'Start Here'!$C$17:$C$56,"&gt;=3"),_xlfn.MAXIFS(Sets!$C$2:$C$1060,Sets!$B$2:$B$1060,$A27,Sets!$D$2:$D$1060,"&gt;=3"),_xlfn.MAXIFS(Log!$C$2:$C$1001,Log!$B$2:$B$1001,$A27,Log!$D$2:$D$1001,"&gt;=3"))</f>
        <v/>
      </c>
      <c r="G27" s="13">
        <f>MAX(_xlfn.MAXIFS('Start Here'!$B$17:$B$56,'Start Here'!$A$17:$A$56,$A27,'Start Here'!$C$17:$C$56,"&gt;=4"),_xlfn.MAXIFS(Sets!$C$2:$C$1060,Sets!$B$2:$B$1060,$A27,Sets!$D$2:$D$1060,"&gt;=4"),_xlfn.MAXIFS(Log!$C$2:$C$1001,Log!$B$2:$B$1001,$A27,Log!$D$2:$D$1001,"&gt;=4"))</f>
        <v/>
      </c>
      <c r="H27" s="13">
        <f>MAX(_xlfn.MAXIFS('Start Here'!$B$17:$B$56,'Start Here'!$A$17:$A$56,$A27,'Start Here'!$C$17:$C$56,"&gt;=5"),_xlfn.MAXIFS(Sets!$C$2:$C$1060,Sets!$B$2:$B$1060,$A27,Sets!$D$2:$D$1060,"&gt;=5"),_xlfn.MAXIFS(Log!$C$2:$C$1001,Log!$B$2:$B$1001,$A27,Log!$D$2:$D$1001,"&gt;=5"))</f>
        <v/>
      </c>
      <c r="I27" s="13">
        <f>MAX(_xlfn.MAXIFS('Start Here'!$B$17:$B$56,'Start Here'!$A$17:$A$56,$A27,'Start Here'!$C$17:$C$56,"&gt;=6"),_xlfn.MAXIFS(Sets!$C$2:$C$1060,Sets!$B$2:$B$1060,$A27,Sets!$D$2:$D$1060,"&gt;=6"),_xlfn.MAXIFS(Log!$C$2:$C$1001,Log!$B$2:$B$1001,$A27,Log!$D$2:$D$1001,"&gt;=6"))</f>
        <v/>
      </c>
      <c r="J27" s="13">
        <f>MAX(_xlfn.MAXIFS('Start Here'!$B$17:$B$56,'Start Here'!$A$17:$A$56,$A27,'Start Here'!$C$17:$C$56,"&gt;=8"),_xlfn.MAXIFS(Sets!$C$2:$C$1060,Sets!$B$2:$B$1060,$A27,Sets!$D$2:$D$1060,"&gt;=8"),_xlfn.MAXIFS(Log!$C$2:$C$1001,Log!$B$2:$B$1001,$A27,Log!$D$2:$D$1001,"&gt;=8"))</f>
        <v/>
      </c>
      <c r="K27" s="13">
        <f>MAX(_xlfn.MAXIFS('Start Here'!$B$17:$B$56,'Start Here'!$A$17:$A$56,$A27,'Start Here'!$C$17:$C$56,"&gt;=10"),_xlfn.MAXIFS(Sets!$C$2:$C$1060,Sets!$B$2:$B$1060,$A27,Sets!$D$2:$D$1060,"&gt;=10"),_xlfn.MAXIFS(Log!$C$2:$C$1001,Log!$B$2:$B$1001,$A27,Log!$D$2:$D$1001,"&gt;=10"))</f>
        <v/>
      </c>
      <c r="L27" s="13">
        <f>MAX(_xlfn.MAXIFS('Start Here'!$B$17:$B$56,'Start Here'!$A$17:$A$56,$A27,'Start Here'!$C$17:$C$56,"&gt;=12"),_xlfn.MAXIFS(Sets!$C$2:$C$1060,Sets!$B$2:$B$1060,$A27,Sets!$D$2:$D$1060,"&gt;=12"),_xlfn.MAXIFS(Log!$C$2:$C$1001,Log!$B$2:$B$1001,$A27,Log!$D$2:$D$1001,"&gt;=12"))</f>
        <v/>
      </c>
    </row>
    <row r="28">
      <c r="A28" s="23" t="inlineStr">
        <is>
          <t>Sumo Deadlift</t>
        </is>
      </c>
      <c r="B28" t="inlineStr">
        <is>
          <t>variation</t>
        </is>
      </c>
      <c r="C28" s="11">
        <f>MAX(_xlfn.MAXIFS('Start Here'!$D$17:$D$56,'Start Here'!$A$17:$A$56,$A28),_xlfn.MAXIFS(Sets!$E$2:$E$1060,Sets!$B$2:$B$1060,$A28),_xlfn.MAXIFS(Log!$E$2:$E$1001,Log!$B$2:$B$1001,$A28))</f>
        <v/>
      </c>
      <c r="D28" s="13">
        <f>MAX(_xlfn.MAXIFS('Start Here'!$B$17:$B$56,'Start Here'!$A$17:$A$56,$A28,'Start Here'!$C$17:$C$56,"&gt;=1"),_xlfn.MAXIFS(Sets!$C$2:$C$1060,Sets!$B$2:$B$1060,$A28,Sets!$D$2:$D$1060,"&gt;=1"),_xlfn.MAXIFS(Log!$C$2:$C$1001,Log!$B$2:$B$1001,$A28,Log!$D$2:$D$1001,"&gt;=1"))</f>
        <v/>
      </c>
      <c r="E28" s="13">
        <f>MAX(_xlfn.MAXIFS('Start Here'!$B$17:$B$56,'Start Here'!$A$17:$A$56,$A28,'Start Here'!$C$17:$C$56,"&gt;=2"),_xlfn.MAXIFS(Sets!$C$2:$C$1060,Sets!$B$2:$B$1060,$A28,Sets!$D$2:$D$1060,"&gt;=2"),_xlfn.MAXIFS(Log!$C$2:$C$1001,Log!$B$2:$B$1001,$A28,Log!$D$2:$D$1001,"&gt;=2"))</f>
        <v/>
      </c>
      <c r="F28" s="13">
        <f>MAX(_xlfn.MAXIFS('Start Here'!$B$17:$B$56,'Start Here'!$A$17:$A$56,$A28,'Start Here'!$C$17:$C$56,"&gt;=3"),_xlfn.MAXIFS(Sets!$C$2:$C$1060,Sets!$B$2:$B$1060,$A28,Sets!$D$2:$D$1060,"&gt;=3"),_xlfn.MAXIFS(Log!$C$2:$C$1001,Log!$B$2:$B$1001,$A28,Log!$D$2:$D$1001,"&gt;=3"))</f>
        <v/>
      </c>
      <c r="G28" s="13">
        <f>MAX(_xlfn.MAXIFS('Start Here'!$B$17:$B$56,'Start Here'!$A$17:$A$56,$A28,'Start Here'!$C$17:$C$56,"&gt;=4"),_xlfn.MAXIFS(Sets!$C$2:$C$1060,Sets!$B$2:$B$1060,$A28,Sets!$D$2:$D$1060,"&gt;=4"),_xlfn.MAXIFS(Log!$C$2:$C$1001,Log!$B$2:$B$1001,$A28,Log!$D$2:$D$1001,"&gt;=4"))</f>
        <v/>
      </c>
      <c r="H28" s="13">
        <f>MAX(_xlfn.MAXIFS('Start Here'!$B$17:$B$56,'Start Here'!$A$17:$A$56,$A28,'Start Here'!$C$17:$C$56,"&gt;=5"),_xlfn.MAXIFS(Sets!$C$2:$C$1060,Sets!$B$2:$B$1060,$A28,Sets!$D$2:$D$1060,"&gt;=5"),_xlfn.MAXIFS(Log!$C$2:$C$1001,Log!$B$2:$B$1001,$A28,Log!$D$2:$D$1001,"&gt;=5"))</f>
        <v/>
      </c>
      <c r="I28" s="13">
        <f>MAX(_xlfn.MAXIFS('Start Here'!$B$17:$B$56,'Start Here'!$A$17:$A$56,$A28,'Start Here'!$C$17:$C$56,"&gt;=6"),_xlfn.MAXIFS(Sets!$C$2:$C$1060,Sets!$B$2:$B$1060,$A28,Sets!$D$2:$D$1060,"&gt;=6"),_xlfn.MAXIFS(Log!$C$2:$C$1001,Log!$B$2:$B$1001,$A28,Log!$D$2:$D$1001,"&gt;=6"))</f>
        <v/>
      </c>
      <c r="J28" s="13">
        <f>MAX(_xlfn.MAXIFS('Start Here'!$B$17:$B$56,'Start Here'!$A$17:$A$56,$A28,'Start Here'!$C$17:$C$56,"&gt;=8"),_xlfn.MAXIFS(Sets!$C$2:$C$1060,Sets!$B$2:$B$1060,$A28,Sets!$D$2:$D$1060,"&gt;=8"),_xlfn.MAXIFS(Log!$C$2:$C$1001,Log!$B$2:$B$1001,$A28,Log!$D$2:$D$1001,"&gt;=8"))</f>
        <v/>
      </c>
      <c r="K28" s="13">
        <f>MAX(_xlfn.MAXIFS('Start Here'!$B$17:$B$56,'Start Here'!$A$17:$A$56,$A28,'Start Here'!$C$17:$C$56,"&gt;=10"),_xlfn.MAXIFS(Sets!$C$2:$C$1060,Sets!$B$2:$B$1060,$A28,Sets!$D$2:$D$1060,"&gt;=10"),_xlfn.MAXIFS(Log!$C$2:$C$1001,Log!$B$2:$B$1001,$A28,Log!$D$2:$D$1001,"&gt;=10"))</f>
        <v/>
      </c>
      <c r="L28" s="13">
        <f>MAX(_xlfn.MAXIFS('Start Here'!$B$17:$B$56,'Start Here'!$A$17:$A$56,$A28,'Start Here'!$C$17:$C$56,"&gt;=12"),_xlfn.MAXIFS(Sets!$C$2:$C$1060,Sets!$B$2:$B$1060,$A28,Sets!$D$2:$D$1060,"&gt;=12"),_xlfn.MAXIFS(Log!$C$2:$C$1001,Log!$B$2:$B$1001,$A28,Log!$D$2:$D$1001,"&gt;=12"))</f>
        <v/>
      </c>
    </row>
    <row r="29">
      <c r="A29" s="23" t="inlineStr">
        <is>
          <t>Snatch-Grip Deadlift</t>
        </is>
      </c>
      <c r="B29" t="inlineStr">
        <is>
          <t>variation</t>
        </is>
      </c>
      <c r="C29" s="11">
        <f>MAX(_xlfn.MAXIFS('Start Here'!$D$17:$D$56,'Start Here'!$A$17:$A$56,$A29),_xlfn.MAXIFS(Sets!$E$2:$E$1060,Sets!$B$2:$B$1060,$A29),_xlfn.MAXIFS(Log!$E$2:$E$1001,Log!$B$2:$B$1001,$A29))</f>
        <v/>
      </c>
      <c r="D29" s="13">
        <f>MAX(_xlfn.MAXIFS('Start Here'!$B$17:$B$56,'Start Here'!$A$17:$A$56,$A29,'Start Here'!$C$17:$C$56,"&gt;=1"),_xlfn.MAXIFS(Sets!$C$2:$C$1060,Sets!$B$2:$B$1060,$A29,Sets!$D$2:$D$1060,"&gt;=1"),_xlfn.MAXIFS(Log!$C$2:$C$1001,Log!$B$2:$B$1001,$A29,Log!$D$2:$D$1001,"&gt;=1"))</f>
        <v/>
      </c>
      <c r="E29" s="13">
        <f>MAX(_xlfn.MAXIFS('Start Here'!$B$17:$B$56,'Start Here'!$A$17:$A$56,$A29,'Start Here'!$C$17:$C$56,"&gt;=2"),_xlfn.MAXIFS(Sets!$C$2:$C$1060,Sets!$B$2:$B$1060,$A29,Sets!$D$2:$D$1060,"&gt;=2"),_xlfn.MAXIFS(Log!$C$2:$C$1001,Log!$B$2:$B$1001,$A29,Log!$D$2:$D$1001,"&gt;=2"))</f>
        <v/>
      </c>
      <c r="F29" s="13">
        <f>MAX(_xlfn.MAXIFS('Start Here'!$B$17:$B$56,'Start Here'!$A$17:$A$56,$A29,'Start Here'!$C$17:$C$56,"&gt;=3"),_xlfn.MAXIFS(Sets!$C$2:$C$1060,Sets!$B$2:$B$1060,$A29,Sets!$D$2:$D$1060,"&gt;=3"),_xlfn.MAXIFS(Log!$C$2:$C$1001,Log!$B$2:$B$1001,$A29,Log!$D$2:$D$1001,"&gt;=3"))</f>
        <v/>
      </c>
      <c r="G29" s="13">
        <f>MAX(_xlfn.MAXIFS('Start Here'!$B$17:$B$56,'Start Here'!$A$17:$A$56,$A29,'Start Here'!$C$17:$C$56,"&gt;=4"),_xlfn.MAXIFS(Sets!$C$2:$C$1060,Sets!$B$2:$B$1060,$A29,Sets!$D$2:$D$1060,"&gt;=4"),_xlfn.MAXIFS(Log!$C$2:$C$1001,Log!$B$2:$B$1001,$A29,Log!$D$2:$D$1001,"&gt;=4"))</f>
        <v/>
      </c>
      <c r="H29" s="13">
        <f>MAX(_xlfn.MAXIFS('Start Here'!$B$17:$B$56,'Start Here'!$A$17:$A$56,$A29,'Start Here'!$C$17:$C$56,"&gt;=5"),_xlfn.MAXIFS(Sets!$C$2:$C$1060,Sets!$B$2:$B$1060,$A29,Sets!$D$2:$D$1060,"&gt;=5"),_xlfn.MAXIFS(Log!$C$2:$C$1001,Log!$B$2:$B$1001,$A29,Log!$D$2:$D$1001,"&gt;=5"))</f>
        <v/>
      </c>
      <c r="I29" s="13">
        <f>MAX(_xlfn.MAXIFS('Start Here'!$B$17:$B$56,'Start Here'!$A$17:$A$56,$A29,'Start Here'!$C$17:$C$56,"&gt;=6"),_xlfn.MAXIFS(Sets!$C$2:$C$1060,Sets!$B$2:$B$1060,$A29,Sets!$D$2:$D$1060,"&gt;=6"),_xlfn.MAXIFS(Log!$C$2:$C$1001,Log!$B$2:$B$1001,$A29,Log!$D$2:$D$1001,"&gt;=6"))</f>
        <v/>
      </c>
      <c r="J29" s="13">
        <f>MAX(_xlfn.MAXIFS('Start Here'!$B$17:$B$56,'Start Here'!$A$17:$A$56,$A29,'Start Here'!$C$17:$C$56,"&gt;=8"),_xlfn.MAXIFS(Sets!$C$2:$C$1060,Sets!$B$2:$B$1060,$A29,Sets!$D$2:$D$1060,"&gt;=8"),_xlfn.MAXIFS(Log!$C$2:$C$1001,Log!$B$2:$B$1001,$A29,Log!$D$2:$D$1001,"&gt;=8"))</f>
        <v/>
      </c>
      <c r="K29" s="13">
        <f>MAX(_xlfn.MAXIFS('Start Here'!$B$17:$B$56,'Start Here'!$A$17:$A$56,$A29,'Start Here'!$C$17:$C$56,"&gt;=10"),_xlfn.MAXIFS(Sets!$C$2:$C$1060,Sets!$B$2:$B$1060,$A29,Sets!$D$2:$D$1060,"&gt;=10"),_xlfn.MAXIFS(Log!$C$2:$C$1001,Log!$B$2:$B$1001,$A29,Log!$D$2:$D$1001,"&gt;=10"))</f>
        <v/>
      </c>
      <c r="L29" s="13">
        <f>MAX(_xlfn.MAXIFS('Start Here'!$B$17:$B$56,'Start Here'!$A$17:$A$56,$A29,'Start Here'!$C$17:$C$56,"&gt;=12"),_xlfn.MAXIFS(Sets!$C$2:$C$1060,Sets!$B$2:$B$1060,$A29,Sets!$D$2:$D$1060,"&gt;=12"),_xlfn.MAXIFS(Log!$C$2:$C$1001,Log!$B$2:$B$1001,$A29,Log!$D$2:$D$1001,"&gt;=12"))</f>
        <v/>
      </c>
    </row>
    <row r="30">
      <c r="A30" s="23" t="inlineStr">
        <is>
          <t>Push Press</t>
        </is>
      </c>
      <c r="B30" t="inlineStr">
        <is>
          <t>variation</t>
        </is>
      </c>
      <c r="C30" s="11">
        <f>MAX(_xlfn.MAXIFS('Start Here'!$D$17:$D$56,'Start Here'!$A$17:$A$56,$A30),_xlfn.MAXIFS(Sets!$E$2:$E$1060,Sets!$B$2:$B$1060,$A30),_xlfn.MAXIFS(Log!$E$2:$E$1001,Log!$B$2:$B$1001,$A30))</f>
        <v/>
      </c>
      <c r="D30" s="13">
        <f>MAX(_xlfn.MAXIFS('Start Here'!$B$17:$B$56,'Start Here'!$A$17:$A$56,$A30,'Start Here'!$C$17:$C$56,"&gt;=1"),_xlfn.MAXIFS(Sets!$C$2:$C$1060,Sets!$B$2:$B$1060,$A30,Sets!$D$2:$D$1060,"&gt;=1"),_xlfn.MAXIFS(Log!$C$2:$C$1001,Log!$B$2:$B$1001,$A30,Log!$D$2:$D$1001,"&gt;=1"))</f>
        <v/>
      </c>
      <c r="E30" s="13">
        <f>MAX(_xlfn.MAXIFS('Start Here'!$B$17:$B$56,'Start Here'!$A$17:$A$56,$A30,'Start Here'!$C$17:$C$56,"&gt;=2"),_xlfn.MAXIFS(Sets!$C$2:$C$1060,Sets!$B$2:$B$1060,$A30,Sets!$D$2:$D$1060,"&gt;=2"),_xlfn.MAXIFS(Log!$C$2:$C$1001,Log!$B$2:$B$1001,$A30,Log!$D$2:$D$1001,"&gt;=2"))</f>
        <v/>
      </c>
      <c r="F30" s="13">
        <f>MAX(_xlfn.MAXIFS('Start Here'!$B$17:$B$56,'Start Here'!$A$17:$A$56,$A30,'Start Here'!$C$17:$C$56,"&gt;=3"),_xlfn.MAXIFS(Sets!$C$2:$C$1060,Sets!$B$2:$B$1060,$A30,Sets!$D$2:$D$1060,"&gt;=3"),_xlfn.MAXIFS(Log!$C$2:$C$1001,Log!$B$2:$B$1001,$A30,Log!$D$2:$D$1001,"&gt;=3"))</f>
        <v/>
      </c>
      <c r="G30" s="13">
        <f>MAX(_xlfn.MAXIFS('Start Here'!$B$17:$B$56,'Start Here'!$A$17:$A$56,$A30,'Start Here'!$C$17:$C$56,"&gt;=4"),_xlfn.MAXIFS(Sets!$C$2:$C$1060,Sets!$B$2:$B$1060,$A30,Sets!$D$2:$D$1060,"&gt;=4"),_xlfn.MAXIFS(Log!$C$2:$C$1001,Log!$B$2:$B$1001,$A30,Log!$D$2:$D$1001,"&gt;=4"))</f>
        <v/>
      </c>
      <c r="H30" s="13">
        <f>MAX(_xlfn.MAXIFS('Start Here'!$B$17:$B$56,'Start Here'!$A$17:$A$56,$A30,'Start Here'!$C$17:$C$56,"&gt;=5"),_xlfn.MAXIFS(Sets!$C$2:$C$1060,Sets!$B$2:$B$1060,$A30,Sets!$D$2:$D$1060,"&gt;=5"),_xlfn.MAXIFS(Log!$C$2:$C$1001,Log!$B$2:$B$1001,$A30,Log!$D$2:$D$1001,"&gt;=5"))</f>
        <v/>
      </c>
      <c r="I30" s="13">
        <f>MAX(_xlfn.MAXIFS('Start Here'!$B$17:$B$56,'Start Here'!$A$17:$A$56,$A30,'Start Here'!$C$17:$C$56,"&gt;=6"),_xlfn.MAXIFS(Sets!$C$2:$C$1060,Sets!$B$2:$B$1060,$A30,Sets!$D$2:$D$1060,"&gt;=6"),_xlfn.MAXIFS(Log!$C$2:$C$1001,Log!$B$2:$B$1001,$A30,Log!$D$2:$D$1001,"&gt;=6"))</f>
        <v/>
      </c>
      <c r="J30" s="13">
        <f>MAX(_xlfn.MAXIFS('Start Here'!$B$17:$B$56,'Start Here'!$A$17:$A$56,$A30,'Start Here'!$C$17:$C$56,"&gt;=8"),_xlfn.MAXIFS(Sets!$C$2:$C$1060,Sets!$B$2:$B$1060,$A30,Sets!$D$2:$D$1060,"&gt;=8"),_xlfn.MAXIFS(Log!$C$2:$C$1001,Log!$B$2:$B$1001,$A30,Log!$D$2:$D$1001,"&gt;=8"))</f>
        <v/>
      </c>
      <c r="K30" s="13">
        <f>MAX(_xlfn.MAXIFS('Start Here'!$B$17:$B$56,'Start Here'!$A$17:$A$56,$A30,'Start Here'!$C$17:$C$56,"&gt;=10"),_xlfn.MAXIFS(Sets!$C$2:$C$1060,Sets!$B$2:$B$1060,$A30,Sets!$D$2:$D$1060,"&gt;=10"),_xlfn.MAXIFS(Log!$C$2:$C$1001,Log!$B$2:$B$1001,$A30,Log!$D$2:$D$1001,"&gt;=10"))</f>
        <v/>
      </c>
      <c r="L30" s="13">
        <f>MAX(_xlfn.MAXIFS('Start Here'!$B$17:$B$56,'Start Here'!$A$17:$A$56,$A30,'Start Here'!$C$17:$C$56,"&gt;=12"),_xlfn.MAXIFS(Sets!$C$2:$C$1060,Sets!$B$2:$B$1060,$A30,Sets!$D$2:$D$1060,"&gt;=12"),_xlfn.MAXIFS(Log!$C$2:$C$1001,Log!$B$2:$B$1001,$A30,Log!$D$2:$D$1001,"&gt;=12"))</f>
        <v/>
      </c>
    </row>
    <row r="31">
      <c r="A31" s="23" t="inlineStr">
        <is>
          <t>Seated Overhead Press</t>
        </is>
      </c>
      <c r="B31" t="inlineStr">
        <is>
          <t>variation</t>
        </is>
      </c>
      <c r="C31" s="11">
        <f>MAX(_xlfn.MAXIFS('Start Here'!$D$17:$D$56,'Start Here'!$A$17:$A$56,$A31),_xlfn.MAXIFS(Sets!$E$2:$E$1060,Sets!$B$2:$B$1060,$A31),_xlfn.MAXIFS(Log!$E$2:$E$1001,Log!$B$2:$B$1001,$A31))</f>
        <v/>
      </c>
      <c r="D31" s="13">
        <f>MAX(_xlfn.MAXIFS('Start Here'!$B$17:$B$56,'Start Here'!$A$17:$A$56,$A31,'Start Here'!$C$17:$C$56,"&gt;=1"),_xlfn.MAXIFS(Sets!$C$2:$C$1060,Sets!$B$2:$B$1060,$A31,Sets!$D$2:$D$1060,"&gt;=1"),_xlfn.MAXIFS(Log!$C$2:$C$1001,Log!$B$2:$B$1001,$A31,Log!$D$2:$D$1001,"&gt;=1"))</f>
        <v/>
      </c>
      <c r="E31" s="13">
        <f>MAX(_xlfn.MAXIFS('Start Here'!$B$17:$B$56,'Start Here'!$A$17:$A$56,$A31,'Start Here'!$C$17:$C$56,"&gt;=2"),_xlfn.MAXIFS(Sets!$C$2:$C$1060,Sets!$B$2:$B$1060,$A31,Sets!$D$2:$D$1060,"&gt;=2"),_xlfn.MAXIFS(Log!$C$2:$C$1001,Log!$B$2:$B$1001,$A31,Log!$D$2:$D$1001,"&gt;=2"))</f>
        <v/>
      </c>
      <c r="F31" s="13">
        <f>MAX(_xlfn.MAXIFS('Start Here'!$B$17:$B$56,'Start Here'!$A$17:$A$56,$A31,'Start Here'!$C$17:$C$56,"&gt;=3"),_xlfn.MAXIFS(Sets!$C$2:$C$1060,Sets!$B$2:$B$1060,$A31,Sets!$D$2:$D$1060,"&gt;=3"),_xlfn.MAXIFS(Log!$C$2:$C$1001,Log!$B$2:$B$1001,$A31,Log!$D$2:$D$1001,"&gt;=3"))</f>
        <v/>
      </c>
      <c r="G31" s="13">
        <f>MAX(_xlfn.MAXIFS('Start Here'!$B$17:$B$56,'Start Here'!$A$17:$A$56,$A31,'Start Here'!$C$17:$C$56,"&gt;=4"),_xlfn.MAXIFS(Sets!$C$2:$C$1060,Sets!$B$2:$B$1060,$A31,Sets!$D$2:$D$1060,"&gt;=4"),_xlfn.MAXIFS(Log!$C$2:$C$1001,Log!$B$2:$B$1001,$A31,Log!$D$2:$D$1001,"&gt;=4"))</f>
        <v/>
      </c>
      <c r="H31" s="13">
        <f>MAX(_xlfn.MAXIFS('Start Here'!$B$17:$B$56,'Start Here'!$A$17:$A$56,$A31,'Start Here'!$C$17:$C$56,"&gt;=5"),_xlfn.MAXIFS(Sets!$C$2:$C$1060,Sets!$B$2:$B$1060,$A31,Sets!$D$2:$D$1060,"&gt;=5"),_xlfn.MAXIFS(Log!$C$2:$C$1001,Log!$B$2:$B$1001,$A31,Log!$D$2:$D$1001,"&gt;=5"))</f>
        <v/>
      </c>
      <c r="I31" s="13">
        <f>MAX(_xlfn.MAXIFS('Start Here'!$B$17:$B$56,'Start Here'!$A$17:$A$56,$A31,'Start Here'!$C$17:$C$56,"&gt;=6"),_xlfn.MAXIFS(Sets!$C$2:$C$1060,Sets!$B$2:$B$1060,$A31,Sets!$D$2:$D$1060,"&gt;=6"),_xlfn.MAXIFS(Log!$C$2:$C$1001,Log!$B$2:$B$1001,$A31,Log!$D$2:$D$1001,"&gt;=6"))</f>
        <v/>
      </c>
      <c r="J31" s="13">
        <f>MAX(_xlfn.MAXIFS('Start Here'!$B$17:$B$56,'Start Here'!$A$17:$A$56,$A31,'Start Here'!$C$17:$C$56,"&gt;=8"),_xlfn.MAXIFS(Sets!$C$2:$C$1060,Sets!$B$2:$B$1060,$A31,Sets!$D$2:$D$1060,"&gt;=8"),_xlfn.MAXIFS(Log!$C$2:$C$1001,Log!$B$2:$B$1001,$A31,Log!$D$2:$D$1001,"&gt;=8"))</f>
        <v/>
      </c>
      <c r="K31" s="13">
        <f>MAX(_xlfn.MAXIFS('Start Here'!$B$17:$B$56,'Start Here'!$A$17:$A$56,$A31,'Start Here'!$C$17:$C$56,"&gt;=10"),_xlfn.MAXIFS(Sets!$C$2:$C$1060,Sets!$B$2:$B$1060,$A31,Sets!$D$2:$D$1060,"&gt;=10"),_xlfn.MAXIFS(Log!$C$2:$C$1001,Log!$B$2:$B$1001,$A31,Log!$D$2:$D$1001,"&gt;=10"))</f>
        <v/>
      </c>
      <c r="L31" s="13">
        <f>MAX(_xlfn.MAXIFS('Start Here'!$B$17:$B$56,'Start Here'!$A$17:$A$56,$A31,'Start Here'!$C$17:$C$56,"&gt;=12"),_xlfn.MAXIFS(Sets!$C$2:$C$1060,Sets!$B$2:$B$1060,$A31,Sets!$D$2:$D$1060,"&gt;=12"),_xlfn.MAXIFS(Log!$C$2:$C$1001,Log!$B$2:$B$1001,$A31,Log!$D$2:$D$1001,"&gt;=12"))</f>
        <v/>
      </c>
    </row>
    <row r="32">
      <c r="A32" s="23" t="inlineStr">
        <is>
          <t>Z Press</t>
        </is>
      </c>
      <c r="B32" t="inlineStr">
        <is>
          <t>variation</t>
        </is>
      </c>
      <c r="C32" s="11">
        <f>MAX(_xlfn.MAXIFS('Start Here'!$D$17:$D$56,'Start Here'!$A$17:$A$56,$A32),_xlfn.MAXIFS(Sets!$E$2:$E$1060,Sets!$B$2:$B$1060,$A32),_xlfn.MAXIFS(Log!$E$2:$E$1001,Log!$B$2:$B$1001,$A32))</f>
        <v/>
      </c>
      <c r="D32" s="13">
        <f>MAX(_xlfn.MAXIFS('Start Here'!$B$17:$B$56,'Start Here'!$A$17:$A$56,$A32,'Start Here'!$C$17:$C$56,"&gt;=1"),_xlfn.MAXIFS(Sets!$C$2:$C$1060,Sets!$B$2:$B$1060,$A32,Sets!$D$2:$D$1060,"&gt;=1"),_xlfn.MAXIFS(Log!$C$2:$C$1001,Log!$B$2:$B$1001,$A32,Log!$D$2:$D$1001,"&gt;=1"))</f>
        <v/>
      </c>
      <c r="E32" s="13">
        <f>MAX(_xlfn.MAXIFS('Start Here'!$B$17:$B$56,'Start Here'!$A$17:$A$56,$A32,'Start Here'!$C$17:$C$56,"&gt;=2"),_xlfn.MAXIFS(Sets!$C$2:$C$1060,Sets!$B$2:$B$1060,$A32,Sets!$D$2:$D$1060,"&gt;=2"),_xlfn.MAXIFS(Log!$C$2:$C$1001,Log!$B$2:$B$1001,$A32,Log!$D$2:$D$1001,"&gt;=2"))</f>
        <v/>
      </c>
      <c r="F32" s="13">
        <f>MAX(_xlfn.MAXIFS('Start Here'!$B$17:$B$56,'Start Here'!$A$17:$A$56,$A32,'Start Here'!$C$17:$C$56,"&gt;=3"),_xlfn.MAXIFS(Sets!$C$2:$C$1060,Sets!$B$2:$B$1060,$A32,Sets!$D$2:$D$1060,"&gt;=3"),_xlfn.MAXIFS(Log!$C$2:$C$1001,Log!$B$2:$B$1001,$A32,Log!$D$2:$D$1001,"&gt;=3"))</f>
        <v/>
      </c>
      <c r="G32" s="13">
        <f>MAX(_xlfn.MAXIFS('Start Here'!$B$17:$B$56,'Start Here'!$A$17:$A$56,$A32,'Start Here'!$C$17:$C$56,"&gt;=4"),_xlfn.MAXIFS(Sets!$C$2:$C$1060,Sets!$B$2:$B$1060,$A32,Sets!$D$2:$D$1060,"&gt;=4"),_xlfn.MAXIFS(Log!$C$2:$C$1001,Log!$B$2:$B$1001,$A32,Log!$D$2:$D$1001,"&gt;=4"))</f>
        <v/>
      </c>
      <c r="H32" s="13">
        <f>MAX(_xlfn.MAXIFS('Start Here'!$B$17:$B$56,'Start Here'!$A$17:$A$56,$A32,'Start Here'!$C$17:$C$56,"&gt;=5"),_xlfn.MAXIFS(Sets!$C$2:$C$1060,Sets!$B$2:$B$1060,$A32,Sets!$D$2:$D$1060,"&gt;=5"),_xlfn.MAXIFS(Log!$C$2:$C$1001,Log!$B$2:$B$1001,$A32,Log!$D$2:$D$1001,"&gt;=5"))</f>
        <v/>
      </c>
      <c r="I32" s="13">
        <f>MAX(_xlfn.MAXIFS('Start Here'!$B$17:$B$56,'Start Here'!$A$17:$A$56,$A32,'Start Here'!$C$17:$C$56,"&gt;=6"),_xlfn.MAXIFS(Sets!$C$2:$C$1060,Sets!$B$2:$B$1060,$A32,Sets!$D$2:$D$1060,"&gt;=6"),_xlfn.MAXIFS(Log!$C$2:$C$1001,Log!$B$2:$B$1001,$A32,Log!$D$2:$D$1001,"&gt;=6"))</f>
        <v/>
      </c>
      <c r="J32" s="13">
        <f>MAX(_xlfn.MAXIFS('Start Here'!$B$17:$B$56,'Start Here'!$A$17:$A$56,$A32,'Start Here'!$C$17:$C$56,"&gt;=8"),_xlfn.MAXIFS(Sets!$C$2:$C$1060,Sets!$B$2:$B$1060,$A32,Sets!$D$2:$D$1060,"&gt;=8"),_xlfn.MAXIFS(Log!$C$2:$C$1001,Log!$B$2:$B$1001,$A32,Log!$D$2:$D$1001,"&gt;=8"))</f>
        <v/>
      </c>
      <c r="K32" s="13">
        <f>MAX(_xlfn.MAXIFS('Start Here'!$B$17:$B$56,'Start Here'!$A$17:$A$56,$A32,'Start Here'!$C$17:$C$56,"&gt;=10"),_xlfn.MAXIFS(Sets!$C$2:$C$1060,Sets!$B$2:$B$1060,$A32,Sets!$D$2:$D$1060,"&gt;=10"),_xlfn.MAXIFS(Log!$C$2:$C$1001,Log!$B$2:$B$1001,$A32,Log!$D$2:$D$1001,"&gt;=10"))</f>
        <v/>
      </c>
      <c r="L32" s="13">
        <f>MAX(_xlfn.MAXIFS('Start Here'!$B$17:$B$56,'Start Here'!$A$17:$A$56,$A32,'Start Here'!$C$17:$C$56,"&gt;=12"),_xlfn.MAXIFS(Sets!$C$2:$C$1060,Sets!$B$2:$B$1060,$A32,Sets!$D$2:$D$1060,"&gt;=12"),_xlfn.MAXIFS(Log!$C$2:$C$1001,Log!$B$2:$B$1001,$A32,Log!$D$2:$D$1001,"&gt;=12"))</f>
        <v/>
      </c>
    </row>
    <row r="33">
      <c r="A33" s="23" t="inlineStr">
        <is>
          <t>Behind-the-Neck Press</t>
        </is>
      </c>
      <c r="B33" t="inlineStr">
        <is>
          <t>variation</t>
        </is>
      </c>
      <c r="C33" s="11">
        <f>MAX(_xlfn.MAXIFS('Start Here'!$D$17:$D$56,'Start Here'!$A$17:$A$56,$A33),_xlfn.MAXIFS(Sets!$E$2:$E$1060,Sets!$B$2:$B$1060,$A33),_xlfn.MAXIFS(Log!$E$2:$E$1001,Log!$B$2:$B$1001,$A33))</f>
        <v/>
      </c>
      <c r="D33" s="13">
        <f>MAX(_xlfn.MAXIFS('Start Here'!$B$17:$B$56,'Start Here'!$A$17:$A$56,$A33,'Start Here'!$C$17:$C$56,"&gt;=1"),_xlfn.MAXIFS(Sets!$C$2:$C$1060,Sets!$B$2:$B$1060,$A33,Sets!$D$2:$D$1060,"&gt;=1"),_xlfn.MAXIFS(Log!$C$2:$C$1001,Log!$B$2:$B$1001,$A33,Log!$D$2:$D$1001,"&gt;=1"))</f>
        <v/>
      </c>
      <c r="E33" s="13">
        <f>MAX(_xlfn.MAXIFS('Start Here'!$B$17:$B$56,'Start Here'!$A$17:$A$56,$A33,'Start Here'!$C$17:$C$56,"&gt;=2"),_xlfn.MAXIFS(Sets!$C$2:$C$1060,Sets!$B$2:$B$1060,$A33,Sets!$D$2:$D$1060,"&gt;=2"),_xlfn.MAXIFS(Log!$C$2:$C$1001,Log!$B$2:$B$1001,$A33,Log!$D$2:$D$1001,"&gt;=2"))</f>
        <v/>
      </c>
      <c r="F33" s="13">
        <f>MAX(_xlfn.MAXIFS('Start Here'!$B$17:$B$56,'Start Here'!$A$17:$A$56,$A33,'Start Here'!$C$17:$C$56,"&gt;=3"),_xlfn.MAXIFS(Sets!$C$2:$C$1060,Sets!$B$2:$B$1060,$A33,Sets!$D$2:$D$1060,"&gt;=3"),_xlfn.MAXIFS(Log!$C$2:$C$1001,Log!$B$2:$B$1001,$A33,Log!$D$2:$D$1001,"&gt;=3"))</f>
        <v/>
      </c>
      <c r="G33" s="13">
        <f>MAX(_xlfn.MAXIFS('Start Here'!$B$17:$B$56,'Start Here'!$A$17:$A$56,$A33,'Start Here'!$C$17:$C$56,"&gt;=4"),_xlfn.MAXIFS(Sets!$C$2:$C$1060,Sets!$B$2:$B$1060,$A33,Sets!$D$2:$D$1060,"&gt;=4"),_xlfn.MAXIFS(Log!$C$2:$C$1001,Log!$B$2:$B$1001,$A33,Log!$D$2:$D$1001,"&gt;=4"))</f>
        <v/>
      </c>
      <c r="H33" s="13">
        <f>MAX(_xlfn.MAXIFS('Start Here'!$B$17:$B$56,'Start Here'!$A$17:$A$56,$A33,'Start Here'!$C$17:$C$56,"&gt;=5"),_xlfn.MAXIFS(Sets!$C$2:$C$1060,Sets!$B$2:$B$1060,$A33,Sets!$D$2:$D$1060,"&gt;=5"),_xlfn.MAXIFS(Log!$C$2:$C$1001,Log!$B$2:$B$1001,$A33,Log!$D$2:$D$1001,"&gt;=5"))</f>
        <v/>
      </c>
      <c r="I33" s="13">
        <f>MAX(_xlfn.MAXIFS('Start Here'!$B$17:$B$56,'Start Here'!$A$17:$A$56,$A33,'Start Here'!$C$17:$C$56,"&gt;=6"),_xlfn.MAXIFS(Sets!$C$2:$C$1060,Sets!$B$2:$B$1060,$A33,Sets!$D$2:$D$1060,"&gt;=6"),_xlfn.MAXIFS(Log!$C$2:$C$1001,Log!$B$2:$B$1001,$A33,Log!$D$2:$D$1001,"&gt;=6"))</f>
        <v/>
      </c>
      <c r="J33" s="13">
        <f>MAX(_xlfn.MAXIFS('Start Here'!$B$17:$B$56,'Start Here'!$A$17:$A$56,$A33,'Start Here'!$C$17:$C$56,"&gt;=8"),_xlfn.MAXIFS(Sets!$C$2:$C$1060,Sets!$B$2:$B$1060,$A33,Sets!$D$2:$D$1060,"&gt;=8"),_xlfn.MAXIFS(Log!$C$2:$C$1001,Log!$B$2:$B$1001,$A33,Log!$D$2:$D$1001,"&gt;=8"))</f>
        <v/>
      </c>
      <c r="K33" s="13">
        <f>MAX(_xlfn.MAXIFS('Start Here'!$B$17:$B$56,'Start Here'!$A$17:$A$56,$A33,'Start Here'!$C$17:$C$56,"&gt;=10"),_xlfn.MAXIFS(Sets!$C$2:$C$1060,Sets!$B$2:$B$1060,$A33,Sets!$D$2:$D$1060,"&gt;=10"),_xlfn.MAXIFS(Log!$C$2:$C$1001,Log!$B$2:$B$1001,$A33,Log!$D$2:$D$1001,"&gt;=10"))</f>
        <v/>
      </c>
      <c r="L33" s="13">
        <f>MAX(_xlfn.MAXIFS('Start Here'!$B$17:$B$56,'Start Here'!$A$17:$A$56,$A33,'Start Here'!$C$17:$C$56,"&gt;=12"),_xlfn.MAXIFS(Sets!$C$2:$C$1060,Sets!$B$2:$B$1060,$A33,Sets!$D$2:$D$1060,"&gt;=12"),_xlfn.MAXIFS(Log!$C$2:$C$1001,Log!$B$2:$B$1001,$A33,Log!$D$2:$D$1001,"&gt;=12"))</f>
        <v/>
      </c>
    </row>
    <row r="34">
      <c r="A34" s="23" t="inlineStr">
        <is>
          <t>Power Snatch</t>
        </is>
      </c>
      <c r="B34" t="inlineStr">
        <is>
          <t>variation</t>
        </is>
      </c>
      <c r="C34" s="11">
        <f>MAX(_xlfn.MAXIFS('Start Here'!$D$17:$D$56,'Start Here'!$A$17:$A$56,$A34),_xlfn.MAXIFS(Sets!$E$2:$E$1060,Sets!$B$2:$B$1060,$A34),_xlfn.MAXIFS(Log!$E$2:$E$1001,Log!$B$2:$B$1001,$A34))</f>
        <v/>
      </c>
      <c r="D34" s="13">
        <f>MAX(_xlfn.MAXIFS('Start Here'!$B$17:$B$56,'Start Here'!$A$17:$A$56,$A34,'Start Here'!$C$17:$C$56,"&gt;=1"),_xlfn.MAXIFS(Sets!$C$2:$C$1060,Sets!$B$2:$B$1060,$A34,Sets!$D$2:$D$1060,"&gt;=1"),_xlfn.MAXIFS(Log!$C$2:$C$1001,Log!$B$2:$B$1001,$A34,Log!$D$2:$D$1001,"&gt;=1"))</f>
        <v/>
      </c>
      <c r="E34" s="13">
        <f>MAX(_xlfn.MAXIFS('Start Here'!$B$17:$B$56,'Start Here'!$A$17:$A$56,$A34,'Start Here'!$C$17:$C$56,"&gt;=2"),_xlfn.MAXIFS(Sets!$C$2:$C$1060,Sets!$B$2:$B$1060,$A34,Sets!$D$2:$D$1060,"&gt;=2"),_xlfn.MAXIFS(Log!$C$2:$C$1001,Log!$B$2:$B$1001,$A34,Log!$D$2:$D$1001,"&gt;=2"))</f>
        <v/>
      </c>
      <c r="F34" s="13">
        <f>MAX(_xlfn.MAXIFS('Start Here'!$B$17:$B$56,'Start Here'!$A$17:$A$56,$A34,'Start Here'!$C$17:$C$56,"&gt;=3"),_xlfn.MAXIFS(Sets!$C$2:$C$1060,Sets!$B$2:$B$1060,$A34,Sets!$D$2:$D$1060,"&gt;=3"),_xlfn.MAXIFS(Log!$C$2:$C$1001,Log!$B$2:$B$1001,$A34,Log!$D$2:$D$1001,"&gt;=3"))</f>
        <v/>
      </c>
      <c r="G34" s="13">
        <f>MAX(_xlfn.MAXIFS('Start Here'!$B$17:$B$56,'Start Here'!$A$17:$A$56,$A34,'Start Here'!$C$17:$C$56,"&gt;=4"),_xlfn.MAXIFS(Sets!$C$2:$C$1060,Sets!$B$2:$B$1060,$A34,Sets!$D$2:$D$1060,"&gt;=4"),_xlfn.MAXIFS(Log!$C$2:$C$1001,Log!$B$2:$B$1001,$A34,Log!$D$2:$D$1001,"&gt;=4"))</f>
        <v/>
      </c>
      <c r="H34" s="13">
        <f>MAX(_xlfn.MAXIFS('Start Here'!$B$17:$B$56,'Start Here'!$A$17:$A$56,$A34,'Start Here'!$C$17:$C$56,"&gt;=5"),_xlfn.MAXIFS(Sets!$C$2:$C$1060,Sets!$B$2:$B$1060,$A34,Sets!$D$2:$D$1060,"&gt;=5"),_xlfn.MAXIFS(Log!$C$2:$C$1001,Log!$B$2:$B$1001,$A34,Log!$D$2:$D$1001,"&gt;=5"))</f>
        <v/>
      </c>
      <c r="I34" s="13">
        <f>MAX(_xlfn.MAXIFS('Start Here'!$B$17:$B$56,'Start Here'!$A$17:$A$56,$A34,'Start Here'!$C$17:$C$56,"&gt;=6"),_xlfn.MAXIFS(Sets!$C$2:$C$1060,Sets!$B$2:$B$1060,$A34,Sets!$D$2:$D$1060,"&gt;=6"),_xlfn.MAXIFS(Log!$C$2:$C$1001,Log!$B$2:$B$1001,$A34,Log!$D$2:$D$1001,"&gt;=6"))</f>
        <v/>
      </c>
      <c r="J34" s="13">
        <f>MAX(_xlfn.MAXIFS('Start Here'!$B$17:$B$56,'Start Here'!$A$17:$A$56,$A34,'Start Here'!$C$17:$C$56,"&gt;=8"),_xlfn.MAXIFS(Sets!$C$2:$C$1060,Sets!$B$2:$B$1060,$A34,Sets!$D$2:$D$1060,"&gt;=8"),_xlfn.MAXIFS(Log!$C$2:$C$1001,Log!$B$2:$B$1001,$A34,Log!$D$2:$D$1001,"&gt;=8"))</f>
        <v/>
      </c>
      <c r="K34" s="13">
        <f>MAX(_xlfn.MAXIFS('Start Here'!$B$17:$B$56,'Start Here'!$A$17:$A$56,$A34,'Start Here'!$C$17:$C$56,"&gt;=10"),_xlfn.MAXIFS(Sets!$C$2:$C$1060,Sets!$B$2:$B$1060,$A34,Sets!$D$2:$D$1060,"&gt;=10"),_xlfn.MAXIFS(Log!$C$2:$C$1001,Log!$B$2:$B$1001,$A34,Log!$D$2:$D$1001,"&gt;=10"))</f>
        <v/>
      </c>
      <c r="L34" s="13">
        <f>MAX(_xlfn.MAXIFS('Start Here'!$B$17:$B$56,'Start Here'!$A$17:$A$56,$A34,'Start Here'!$C$17:$C$56,"&gt;=12"),_xlfn.MAXIFS(Sets!$C$2:$C$1060,Sets!$B$2:$B$1060,$A34,Sets!$D$2:$D$1060,"&gt;=12"),_xlfn.MAXIFS(Log!$C$2:$C$1001,Log!$B$2:$B$1001,$A34,Log!$D$2:$D$1001,"&gt;=12"))</f>
        <v/>
      </c>
    </row>
    <row r="35">
      <c r="A35" s="23" t="inlineStr">
        <is>
          <t>Hang Snatch</t>
        </is>
      </c>
      <c r="B35" t="inlineStr">
        <is>
          <t>variation</t>
        </is>
      </c>
      <c r="C35" s="11">
        <f>MAX(_xlfn.MAXIFS('Start Here'!$D$17:$D$56,'Start Here'!$A$17:$A$56,$A35),_xlfn.MAXIFS(Sets!$E$2:$E$1060,Sets!$B$2:$B$1060,$A35),_xlfn.MAXIFS(Log!$E$2:$E$1001,Log!$B$2:$B$1001,$A35))</f>
        <v/>
      </c>
      <c r="D35" s="13">
        <f>MAX(_xlfn.MAXIFS('Start Here'!$B$17:$B$56,'Start Here'!$A$17:$A$56,$A35,'Start Here'!$C$17:$C$56,"&gt;=1"),_xlfn.MAXIFS(Sets!$C$2:$C$1060,Sets!$B$2:$B$1060,$A35,Sets!$D$2:$D$1060,"&gt;=1"),_xlfn.MAXIFS(Log!$C$2:$C$1001,Log!$B$2:$B$1001,$A35,Log!$D$2:$D$1001,"&gt;=1"))</f>
        <v/>
      </c>
      <c r="E35" s="13">
        <f>MAX(_xlfn.MAXIFS('Start Here'!$B$17:$B$56,'Start Here'!$A$17:$A$56,$A35,'Start Here'!$C$17:$C$56,"&gt;=2"),_xlfn.MAXIFS(Sets!$C$2:$C$1060,Sets!$B$2:$B$1060,$A35,Sets!$D$2:$D$1060,"&gt;=2"),_xlfn.MAXIFS(Log!$C$2:$C$1001,Log!$B$2:$B$1001,$A35,Log!$D$2:$D$1001,"&gt;=2"))</f>
        <v/>
      </c>
      <c r="F35" s="13">
        <f>MAX(_xlfn.MAXIFS('Start Here'!$B$17:$B$56,'Start Here'!$A$17:$A$56,$A35,'Start Here'!$C$17:$C$56,"&gt;=3"),_xlfn.MAXIFS(Sets!$C$2:$C$1060,Sets!$B$2:$B$1060,$A35,Sets!$D$2:$D$1060,"&gt;=3"),_xlfn.MAXIFS(Log!$C$2:$C$1001,Log!$B$2:$B$1001,$A35,Log!$D$2:$D$1001,"&gt;=3"))</f>
        <v/>
      </c>
      <c r="G35" s="13">
        <f>MAX(_xlfn.MAXIFS('Start Here'!$B$17:$B$56,'Start Here'!$A$17:$A$56,$A35,'Start Here'!$C$17:$C$56,"&gt;=4"),_xlfn.MAXIFS(Sets!$C$2:$C$1060,Sets!$B$2:$B$1060,$A35,Sets!$D$2:$D$1060,"&gt;=4"),_xlfn.MAXIFS(Log!$C$2:$C$1001,Log!$B$2:$B$1001,$A35,Log!$D$2:$D$1001,"&gt;=4"))</f>
        <v/>
      </c>
      <c r="H35" s="13">
        <f>MAX(_xlfn.MAXIFS('Start Here'!$B$17:$B$56,'Start Here'!$A$17:$A$56,$A35,'Start Here'!$C$17:$C$56,"&gt;=5"),_xlfn.MAXIFS(Sets!$C$2:$C$1060,Sets!$B$2:$B$1060,$A35,Sets!$D$2:$D$1060,"&gt;=5"),_xlfn.MAXIFS(Log!$C$2:$C$1001,Log!$B$2:$B$1001,$A35,Log!$D$2:$D$1001,"&gt;=5"))</f>
        <v/>
      </c>
      <c r="I35" s="13">
        <f>MAX(_xlfn.MAXIFS('Start Here'!$B$17:$B$56,'Start Here'!$A$17:$A$56,$A35,'Start Here'!$C$17:$C$56,"&gt;=6"),_xlfn.MAXIFS(Sets!$C$2:$C$1060,Sets!$B$2:$B$1060,$A35,Sets!$D$2:$D$1060,"&gt;=6"),_xlfn.MAXIFS(Log!$C$2:$C$1001,Log!$B$2:$B$1001,$A35,Log!$D$2:$D$1001,"&gt;=6"))</f>
        <v/>
      </c>
      <c r="J35" s="13">
        <f>MAX(_xlfn.MAXIFS('Start Here'!$B$17:$B$56,'Start Here'!$A$17:$A$56,$A35,'Start Here'!$C$17:$C$56,"&gt;=8"),_xlfn.MAXIFS(Sets!$C$2:$C$1060,Sets!$B$2:$B$1060,$A35,Sets!$D$2:$D$1060,"&gt;=8"),_xlfn.MAXIFS(Log!$C$2:$C$1001,Log!$B$2:$B$1001,$A35,Log!$D$2:$D$1001,"&gt;=8"))</f>
        <v/>
      </c>
      <c r="K35" s="13">
        <f>MAX(_xlfn.MAXIFS('Start Here'!$B$17:$B$56,'Start Here'!$A$17:$A$56,$A35,'Start Here'!$C$17:$C$56,"&gt;=10"),_xlfn.MAXIFS(Sets!$C$2:$C$1060,Sets!$B$2:$B$1060,$A35,Sets!$D$2:$D$1060,"&gt;=10"),_xlfn.MAXIFS(Log!$C$2:$C$1001,Log!$B$2:$B$1001,$A35,Log!$D$2:$D$1001,"&gt;=10"))</f>
        <v/>
      </c>
      <c r="L35" s="13">
        <f>MAX(_xlfn.MAXIFS('Start Here'!$B$17:$B$56,'Start Here'!$A$17:$A$56,$A35,'Start Here'!$C$17:$C$56,"&gt;=12"),_xlfn.MAXIFS(Sets!$C$2:$C$1060,Sets!$B$2:$B$1060,$A35,Sets!$D$2:$D$1060,"&gt;=12"),_xlfn.MAXIFS(Log!$C$2:$C$1001,Log!$B$2:$B$1001,$A35,Log!$D$2:$D$1001,"&gt;=12"))</f>
        <v/>
      </c>
    </row>
    <row r="36">
      <c r="A36" s="23" t="inlineStr">
        <is>
          <t>Hang Power Snatch</t>
        </is>
      </c>
      <c r="B36" t="inlineStr">
        <is>
          <t>variation</t>
        </is>
      </c>
      <c r="C36" s="11">
        <f>MAX(_xlfn.MAXIFS('Start Here'!$D$17:$D$56,'Start Here'!$A$17:$A$56,$A36),_xlfn.MAXIFS(Sets!$E$2:$E$1060,Sets!$B$2:$B$1060,$A36),_xlfn.MAXIFS(Log!$E$2:$E$1001,Log!$B$2:$B$1001,$A36))</f>
        <v/>
      </c>
      <c r="D36" s="13">
        <f>MAX(_xlfn.MAXIFS('Start Here'!$B$17:$B$56,'Start Here'!$A$17:$A$56,$A36,'Start Here'!$C$17:$C$56,"&gt;=1"),_xlfn.MAXIFS(Sets!$C$2:$C$1060,Sets!$B$2:$B$1060,$A36,Sets!$D$2:$D$1060,"&gt;=1"),_xlfn.MAXIFS(Log!$C$2:$C$1001,Log!$B$2:$B$1001,$A36,Log!$D$2:$D$1001,"&gt;=1"))</f>
        <v/>
      </c>
      <c r="E36" s="13">
        <f>MAX(_xlfn.MAXIFS('Start Here'!$B$17:$B$56,'Start Here'!$A$17:$A$56,$A36,'Start Here'!$C$17:$C$56,"&gt;=2"),_xlfn.MAXIFS(Sets!$C$2:$C$1060,Sets!$B$2:$B$1060,$A36,Sets!$D$2:$D$1060,"&gt;=2"),_xlfn.MAXIFS(Log!$C$2:$C$1001,Log!$B$2:$B$1001,$A36,Log!$D$2:$D$1001,"&gt;=2"))</f>
        <v/>
      </c>
      <c r="F36" s="13">
        <f>MAX(_xlfn.MAXIFS('Start Here'!$B$17:$B$56,'Start Here'!$A$17:$A$56,$A36,'Start Here'!$C$17:$C$56,"&gt;=3"),_xlfn.MAXIFS(Sets!$C$2:$C$1060,Sets!$B$2:$B$1060,$A36,Sets!$D$2:$D$1060,"&gt;=3"),_xlfn.MAXIFS(Log!$C$2:$C$1001,Log!$B$2:$B$1001,$A36,Log!$D$2:$D$1001,"&gt;=3"))</f>
        <v/>
      </c>
      <c r="G36" s="13">
        <f>MAX(_xlfn.MAXIFS('Start Here'!$B$17:$B$56,'Start Here'!$A$17:$A$56,$A36,'Start Here'!$C$17:$C$56,"&gt;=4"),_xlfn.MAXIFS(Sets!$C$2:$C$1060,Sets!$B$2:$B$1060,$A36,Sets!$D$2:$D$1060,"&gt;=4"),_xlfn.MAXIFS(Log!$C$2:$C$1001,Log!$B$2:$B$1001,$A36,Log!$D$2:$D$1001,"&gt;=4"))</f>
        <v/>
      </c>
      <c r="H36" s="13">
        <f>MAX(_xlfn.MAXIFS('Start Here'!$B$17:$B$56,'Start Here'!$A$17:$A$56,$A36,'Start Here'!$C$17:$C$56,"&gt;=5"),_xlfn.MAXIFS(Sets!$C$2:$C$1060,Sets!$B$2:$B$1060,$A36,Sets!$D$2:$D$1060,"&gt;=5"),_xlfn.MAXIFS(Log!$C$2:$C$1001,Log!$B$2:$B$1001,$A36,Log!$D$2:$D$1001,"&gt;=5"))</f>
        <v/>
      </c>
      <c r="I36" s="13">
        <f>MAX(_xlfn.MAXIFS('Start Here'!$B$17:$B$56,'Start Here'!$A$17:$A$56,$A36,'Start Here'!$C$17:$C$56,"&gt;=6"),_xlfn.MAXIFS(Sets!$C$2:$C$1060,Sets!$B$2:$B$1060,$A36,Sets!$D$2:$D$1060,"&gt;=6"),_xlfn.MAXIFS(Log!$C$2:$C$1001,Log!$B$2:$B$1001,$A36,Log!$D$2:$D$1001,"&gt;=6"))</f>
        <v/>
      </c>
      <c r="J36" s="13">
        <f>MAX(_xlfn.MAXIFS('Start Here'!$B$17:$B$56,'Start Here'!$A$17:$A$56,$A36,'Start Here'!$C$17:$C$56,"&gt;=8"),_xlfn.MAXIFS(Sets!$C$2:$C$1060,Sets!$B$2:$B$1060,$A36,Sets!$D$2:$D$1060,"&gt;=8"),_xlfn.MAXIFS(Log!$C$2:$C$1001,Log!$B$2:$B$1001,$A36,Log!$D$2:$D$1001,"&gt;=8"))</f>
        <v/>
      </c>
      <c r="K36" s="13">
        <f>MAX(_xlfn.MAXIFS('Start Here'!$B$17:$B$56,'Start Here'!$A$17:$A$56,$A36,'Start Here'!$C$17:$C$56,"&gt;=10"),_xlfn.MAXIFS(Sets!$C$2:$C$1060,Sets!$B$2:$B$1060,$A36,Sets!$D$2:$D$1060,"&gt;=10"),_xlfn.MAXIFS(Log!$C$2:$C$1001,Log!$B$2:$B$1001,$A36,Log!$D$2:$D$1001,"&gt;=10"))</f>
        <v/>
      </c>
      <c r="L36" s="13">
        <f>MAX(_xlfn.MAXIFS('Start Here'!$B$17:$B$56,'Start Here'!$A$17:$A$56,$A36,'Start Here'!$C$17:$C$56,"&gt;=12"),_xlfn.MAXIFS(Sets!$C$2:$C$1060,Sets!$B$2:$B$1060,$A36,Sets!$D$2:$D$1060,"&gt;=12"),_xlfn.MAXIFS(Log!$C$2:$C$1001,Log!$B$2:$B$1001,$A36,Log!$D$2:$D$1001,"&gt;=12"))</f>
        <v/>
      </c>
    </row>
    <row r="37">
      <c r="A37" s="23" t="inlineStr">
        <is>
          <t>Muscle Snatch</t>
        </is>
      </c>
      <c r="B37" t="inlineStr">
        <is>
          <t>variation</t>
        </is>
      </c>
      <c r="C37" s="11">
        <f>MAX(_xlfn.MAXIFS('Start Here'!$D$17:$D$56,'Start Here'!$A$17:$A$56,$A37),_xlfn.MAXIFS(Sets!$E$2:$E$1060,Sets!$B$2:$B$1060,$A37),_xlfn.MAXIFS(Log!$E$2:$E$1001,Log!$B$2:$B$1001,$A37))</f>
        <v/>
      </c>
      <c r="D37" s="13">
        <f>MAX(_xlfn.MAXIFS('Start Here'!$B$17:$B$56,'Start Here'!$A$17:$A$56,$A37,'Start Here'!$C$17:$C$56,"&gt;=1"),_xlfn.MAXIFS(Sets!$C$2:$C$1060,Sets!$B$2:$B$1060,$A37,Sets!$D$2:$D$1060,"&gt;=1"),_xlfn.MAXIFS(Log!$C$2:$C$1001,Log!$B$2:$B$1001,$A37,Log!$D$2:$D$1001,"&gt;=1"))</f>
        <v/>
      </c>
      <c r="E37" s="13">
        <f>MAX(_xlfn.MAXIFS('Start Here'!$B$17:$B$56,'Start Here'!$A$17:$A$56,$A37,'Start Here'!$C$17:$C$56,"&gt;=2"),_xlfn.MAXIFS(Sets!$C$2:$C$1060,Sets!$B$2:$B$1060,$A37,Sets!$D$2:$D$1060,"&gt;=2"),_xlfn.MAXIFS(Log!$C$2:$C$1001,Log!$B$2:$B$1001,$A37,Log!$D$2:$D$1001,"&gt;=2"))</f>
        <v/>
      </c>
      <c r="F37" s="13">
        <f>MAX(_xlfn.MAXIFS('Start Here'!$B$17:$B$56,'Start Here'!$A$17:$A$56,$A37,'Start Here'!$C$17:$C$56,"&gt;=3"),_xlfn.MAXIFS(Sets!$C$2:$C$1060,Sets!$B$2:$B$1060,$A37,Sets!$D$2:$D$1060,"&gt;=3"),_xlfn.MAXIFS(Log!$C$2:$C$1001,Log!$B$2:$B$1001,$A37,Log!$D$2:$D$1001,"&gt;=3"))</f>
        <v/>
      </c>
      <c r="G37" s="13">
        <f>MAX(_xlfn.MAXIFS('Start Here'!$B$17:$B$56,'Start Here'!$A$17:$A$56,$A37,'Start Here'!$C$17:$C$56,"&gt;=4"),_xlfn.MAXIFS(Sets!$C$2:$C$1060,Sets!$B$2:$B$1060,$A37,Sets!$D$2:$D$1060,"&gt;=4"),_xlfn.MAXIFS(Log!$C$2:$C$1001,Log!$B$2:$B$1001,$A37,Log!$D$2:$D$1001,"&gt;=4"))</f>
        <v/>
      </c>
      <c r="H37" s="13">
        <f>MAX(_xlfn.MAXIFS('Start Here'!$B$17:$B$56,'Start Here'!$A$17:$A$56,$A37,'Start Here'!$C$17:$C$56,"&gt;=5"),_xlfn.MAXIFS(Sets!$C$2:$C$1060,Sets!$B$2:$B$1060,$A37,Sets!$D$2:$D$1060,"&gt;=5"),_xlfn.MAXIFS(Log!$C$2:$C$1001,Log!$B$2:$B$1001,$A37,Log!$D$2:$D$1001,"&gt;=5"))</f>
        <v/>
      </c>
      <c r="I37" s="13">
        <f>MAX(_xlfn.MAXIFS('Start Here'!$B$17:$B$56,'Start Here'!$A$17:$A$56,$A37,'Start Here'!$C$17:$C$56,"&gt;=6"),_xlfn.MAXIFS(Sets!$C$2:$C$1060,Sets!$B$2:$B$1060,$A37,Sets!$D$2:$D$1060,"&gt;=6"),_xlfn.MAXIFS(Log!$C$2:$C$1001,Log!$B$2:$B$1001,$A37,Log!$D$2:$D$1001,"&gt;=6"))</f>
        <v/>
      </c>
      <c r="J37" s="13">
        <f>MAX(_xlfn.MAXIFS('Start Here'!$B$17:$B$56,'Start Here'!$A$17:$A$56,$A37,'Start Here'!$C$17:$C$56,"&gt;=8"),_xlfn.MAXIFS(Sets!$C$2:$C$1060,Sets!$B$2:$B$1060,$A37,Sets!$D$2:$D$1060,"&gt;=8"),_xlfn.MAXIFS(Log!$C$2:$C$1001,Log!$B$2:$B$1001,$A37,Log!$D$2:$D$1001,"&gt;=8"))</f>
        <v/>
      </c>
      <c r="K37" s="13">
        <f>MAX(_xlfn.MAXIFS('Start Here'!$B$17:$B$56,'Start Here'!$A$17:$A$56,$A37,'Start Here'!$C$17:$C$56,"&gt;=10"),_xlfn.MAXIFS(Sets!$C$2:$C$1060,Sets!$B$2:$B$1060,$A37,Sets!$D$2:$D$1060,"&gt;=10"),_xlfn.MAXIFS(Log!$C$2:$C$1001,Log!$B$2:$B$1001,$A37,Log!$D$2:$D$1001,"&gt;=10"))</f>
        <v/>
      </c>
      <c r="L37" s="13">
        <f>MAX(_xlfn.MAXIFS('Start Here'!$B$17:$B$56,'Start Here'!$A$17:$A$56,$A37,'Start Here'!$C$17:$C$56,"&gt;=12"),_xlfn.MAXIFS(Sets!$C$2:$C$1060,Sets!$B$2:$B$1060,$A37,Sets!$D$2:$D$1060,"&gt;=12"),_xlfn.MAXIFS(Log!$C$2:$C$1001,Log!$B$2:$B$1001,$A37,Log!$D$2:$D$1001,"&gt;=12"))</f>
        <v/>
      </c>
    </row>
    <row r="38">
      <c r="A38" s="23" t="inlineStr">
        <is>
          <t>Snatch Balance</t>
        </is>
      </c>
      <c r="B38" t="inlineStr">
        <is>
          <t>variation</t>
        </is>
      </c>
      <c r="C38" s="11">
        <f>MAX(_xlfn.MAXIFS('Start Here'!$D$17:$D$56,'Start Here'!$A$17:$A$56,$A38),_xlfn.MAXIFS(Sets!$E$2:$E$1060,Sets!$B$2:$B$1060,$A38),_xlfn.MAXIFS(Log!$E$2:$E$1001,Log!$B$2:$B$1001,$A38))</f>
        <v/>
      </c>
      <c r="D38" s="13">
        <f>MAX(_xlfn.MAXIFS('Start Here'!$B$17:$B$56,'Start Here'!$A$17:$A$56,$A38,'Start Here'!$C$17:$C$56,"&gt;=1"),_xlfn.MAXIFS(Sets!$C$2:$C$1060,Sets!$B$2:$B$1060,$A38,Sets!$D$2:$D$1060,"&gt;=1"),_xlfn.MAXIFS(Log!$C$2:$C$1001,Log!$B$2:$B$1001,$A38,Log!$D$2:$D$1001,"&gt;=1"))</f>
        <v/>
      </c>
      <c r="E38" s="13">
        <f>MAX(_xlfn.MAXIFS('Start Here'!$B$17:$B$56,'Start Here'!$A$17:$A$56,$A38,'Start Here'!$C$17:$C$56,"&gt;=2"),_xlfn.MAXIFS(Sets!$C$2:$C$1060,Sets!$B$2:$B$1060,$A38,Sets!$D$2:$D$1060,"&gt;=2"),_xlfn.MAXIFS(Log!$C$2:$C$1001,Log!$B$2:$B$1001,$A38,Log!$D$2:$D$1001,"&gt;=2"))</f>
        <v/>
      </c>
      <c r="F38" s="13">
        <f>MAX(_xlfn.MAXIFS('Start Here'!$B$17:$B$56,'Start Here'!$A$17:$A$56,$A38,'Start Here'!$C$17:$C$56,"&gt;=3"),_xlfn.MAXIFS(Sets!$C$2:$C$1060,Sets!$B$2:$B$1060,$A38,Sets!$D$2:$D$1060,"&gt;=3"),_xlfn.MAXIFS(Log!$C$2:$C$1001,Log!$B$2:$B$1001,$A38,Log!$D$2:$D$1001,"&gt;=3"))</f>
        <v/>
      </c>
      <c r="G38" s="13">
        <f>MAX(_xlfn.MAXIFS('Start Here'!$B$17:$B$56,'Start Here'!$A$17:$A$56,$A38,'Start Here'!$C$17:$C$56,"&gt;=4"),_xlfn.MAXIFS(Sets!$C$2:$C$1060,Sets!$B$2:$B$1060,$A38,Sets!$D$2:$D$1060,"&gt;=4"),_xlfn.MAXIFS(Log!$C$2:$C$1001,Log!$B$2:$B$1001,$A38,Log!$D$2:$D$1001,"&gt;=4"))</f>
        <v/>
      </c>
      <c r="H38" s="13">
        <f>MAX(_xlfn.MAXIFS('Start Here'!$B$17:$B$56,'Start Here'!$A$17:$A$56,$A38,'Start Here'!$C$17:$C$56,"&gt;=5"),_xlfn.MAXIFS(Sets!$C$2:$C$1060,Sets!$B$2:$B$1060,$A38,Sets!$D$2:$D$1060,"&gt;=5"),_xlfn.MAXIFS(Log!$C$2:$C$1001,Log!$B$2:$B$1001,$A38,Log!$D$2:$D$1001,"&gt;=5"))</f>
        <v/>
      </c>
      <c r="I38" s="13">
        <f>MAX(_xlfn.MAXIFS('Start Here'!$B$17:$B$56,'Start Here'!$A$17:$A$56,$A38,'Start Here'!$C$17:$C$56,"&gt;=6"),_xlfn.MAXIFS(Sets!$C$2:$C$1060,Sets!$B$2:$B$1060,$A38,Sets!$D$2:$D$1060,"&gt;=6"),_xlfn.MAXIFS(Log!$C$2:$C$1001,Log!$B$2:$B$1001,$A38,Log!$D$2:$D$1001,"&gt;=6"))</f>
        <v/>
      </c>
      <c r="J38" s="13">
        <f>MAX(_xlfn.MAXIFS('Start Here'!$B$17:$B$56,'Start Here'!$A$17:$A$56,$A38,'Start Here'!$C$17:$C$56,"&gt;=8"),_xlfn.MAXIFS(Sets!$C$2:$C$1060,Sets!$B$2:$B$1060,$A38,Sets!$D$2:$D$1060,"&gt;=8"),_xlfn.MAXIFS(Log!$C$2:$C$1001,Log!$B$2:$B$1001,$A38,Log!$D$2:$D$1001,"&gt;=8"))</f>
        <v/>
      </c>
      <c r="K38" s="13">
        <f>MAX(_xlfn.MAXIFS('Start Here'!$B$17:$B$56,'Start Here'!$A$17:$A$56,$A38,'Start Here'!$C$17:$C$56,"&gt;=10"),_xlfn.MAXIFS(Sets!$C$2:$C$1060,Sets!$B$2:$B$1060,$A38,Sets!$D$2:$D$1060,"&gt;=10"),_xlfn.MAXIFS(Log!$C$2:$C$1001,Log!$B$2:$B$1001,$A38,Log!$D$2:$D$1001,"&gt;=10"))</f>
        <v/>
      </c>
      <c r="L38" s="13">
        <f>MAX(_xlfn.MAXIFS('Start Here'!$B$17:$B$56,'Start Here'!$A$17:$A$56,$A38,'Start Here'!$C$17:$C$56,"&gt;=12"),_xlfn.MAXIFS(Sets!$C$2:$C$1060,Sets!$B$2:$B$1060,$A38,Sets!$D$2:$D$1060,"&gt;=12"),_xlfn.MAXIFS(Log!$C$2:$C$1001,Log!$B$2:$B$1001,$A38,Log!$D$2:$D$1001,"&gt;=12"))</f>
        <v/>
      </c>
    </row>
    <row r="39">
      <c r="A39" s="23" t="inlineStr">
        <is>
          <t>Snatch Pull</t>
        </is>
      </c>
      <c r="B39" t="inlineStr">
        <is>
          <t>variation</t>
        </is>
      </c>
      <c r="C39" s="11">
        <f>MAX(_xlfn.MAXIFS('Start Here'!$D$17:$D$56,'Start Here'!$A$17:$A$56,$A39),_xlfn.MAXIFS(Sets!$E$2:$E$1060,Sets!$B$2:$B$1060,$A39),_xlfn.MAXIFS(Log!$E$2:$E$1001,Log!$B$2:$B$1001,$A39))</f>
        <v/>
      </c>
      <c r="D39" s="13">
        <f>MAX(_xlfn.MAXIFS('Start Here'!$B$17:$B$56,'Start Here'!$A$17:$A$56,$A39,'Start Here'!$C$17:$C$56,"&gt;=1"),_xlfn.MAXIFS(Sets!$C$2:$C$1060,Sets!$B$2:$B$1060,$A39,Sets!$D$2:$D$1060,"&gt;=1"),_xlfn.MAXIFS(Log!$C$2:$C$1001,Log!$B$2:$B$1001,$A39,Log!$D$2:$D$1001,"&gt;=1"))</f>
        <v/>
      </c>
      <c r="E39" s="13">
        <f>MAX(_xlfn.MAXIFS('Start Here'!$B$17:$B$56,'Start Here'!$A$17:$A$56,$A39,'Start Here'!$C$17:$C$56,"&gt;=2"),_xlfn.MAXIFS(Sets!$C$2:$C$1060,Sets!$B$2:$B$1060,$A39,Sets!$D$2:$D$1060,"&gt;=2"),_xlfn.MAXIFS(Log!$C$2:$C$1001,Log!$B$2:$B$1001,$A39,Log!$D$2:$D$1001,"&gt;=2"))</f>
        <v/>
      </c>
      <c r="F39" s="13">
        <f>MAX(_xlfn.MAXIFS('Start Here'!$B$17:$B$56,'Start Here'!$A$17:$A$56,$A39,'Start Here'!$C$17:$C$56,"&gt;=3"),_xlfn.MAXIFS(Sets!$C$2:$C$1060,Sets!$B$2:$B$1060,$A39,Sets!$D$2:$D$1060,"&gt;=3"),_xlfn.MAXIFS(Log!$C$2:$C$1001,Log!$B$2:$B$1001,$A39,Log!$D$2:$D$1001,"&gt;=3"))</f>
        <v/>
      </c>
      <c r="G39" s="13">
        <f>MAX(_xlfn.MAXIFS('Start Here'!$B$17:$B$56,'Start Here'!$A$17:$A$56,$A39,'Start Here'!$C$17:$C$56,"&gt;=4"),_xlfn.MAXIFS(Sets!$C$2:$C$1060,Sets!$B$2:$B$1060,$A39,Sets!$D$2:$D$1060,"&gt;=4"),_xlfn.MAXIFS(Log!$C$2:$C$1001,Log!$B$2:$B$1001,$A39,Log!$D$2:$D$1001,"&gt;=4"))</f>
        <v/>
      </c>
      <c r="H39" s="13">
        <f>MAX(_xlfn.MAXIFS('Start Here'!$B$17:$B$56,'Start Here'!$A$17:$A$56,$A39,'Start Here'!$C$17:$C$56,"&gt;=5"),_xlfn.MAXIFS(Sets!$C$2:$C$1060,Sets!$B$2:$B$1060,$A39,Sets!$D$2:$D$1060,"&gt;=5"),_xlfn.MAXIFS(Log!$C$2:$C$1001,Log!$B$2:$B$1001,$A39,Log!$D$2:$D$1001,"&gt;=5"))</f>
        <v/>
      </c>
      <c r="I39" s="13">
        <f>MAX(_xlfn.MAXIFS('Start Here'!$B$17:$B$56,'Start Here'!$A$17:$A$56,$A39,'Start Here'!$C$17:$C$56,"&gt;=6"),_xlfn.MAXIFS(Sets!$C$2:$C$1060,Sets!$B$2:$B$1060,$A39,Sets!$D$2:$D$1060,"&gt;=6"),_xlfn.MAXIFS(Log!$C$2:$C$1001,Log!$B$2:$B$1001,$A39,Log!$D$2:$D$1001,"&gt;=6"))</f>
        <v/>
      </c>
      <c r="J39" s="13">
        <f>MAX(_xlfn.MAXIFS('Start Here'!$B$17:$B$56,'Start Here'!$A$17:$A$56,$A39,'Start Here'!$C$17:$C$56,"&gt;=8"),_xlfn.MAXIFS(Sets!$C$2:$C$1060,Sets!$B$2:$B$1060,$A39,Sets!$D$2:$D$1060,"&gt;=8"),_xlfn.MAXIFS(Log!$C$2:$C$1001,Log!$B$2:$B$1001,$A39,Log!$D$2:$D$1001,"&gt;=8"))</f>
        <v/>
      </c>
      <c r="K39" s="13">
        <f>MAX(_xlfn.MAXIFS('Start Here'!$B$17:$B$56,'Start Here'!$A$17:$A$56,$A39,'Start Here'!$C$17:$C$56,"&gt;=10"),_xlfn.MAXIFS(Sets!$C$2:$C$1060,Sets!$B$2:$B$1060,$A39,Sets!$D$2:$D$1060,"&gt;=10"),_xlfn.MAXIFS(Log!$C$2:$C$1001,Log!$B$2:$B$1001,$A39,Log!$D$2:$D$1001,"&gt;=10"))</f>
        <v/>
      </c>
      <c r="L39" s="13">
        <f>MAX(_xlfn.MAXIFS('Start Here'!$B$17:$B$56,'Start Here'!$A$17:$A$56,$A39,'Start Here'!$C$17:$C$56,"&gt;=12"),_xlfn.MAXIFS(Sets!$C$2:$C$1060,Sets!$B$2:$B$1060,$A39,Sets!$D$2:$D$1060,"&gt;=12"),_xlfn.MAXIFS(Log!$C$2:$C$1001,Log!$B$2:$B$1001,$A39,Log!$D$2:$D$1001,"&gt;=12"))</f>
        <v/>
      </c>
    </row>
    <row r="40">
      <c r="A40" s="23" t="inlineStr">
        <is>
          <t>Block Snatch</t>
        </is>
      </c>
      <c r="B40" t="inlineStr">
        <is>
          <t>variation</t>
        </is>
      </c>
      <c r="C40" s="11">
        <f>MAX(_xlfn.MAXIFS('Start Here'!$D$17:$D$56,'Start Here'!$A$17:$A$56,$A40),_xlfn.MAXIFS(Sets!$E$2:$E$1060,Sets!$B$2:$B$1060,$A40),_xlfn.MAXIFS(Log!$E$2:$E$1001,Log!$B$2:$B$1001,$A40))</f>
        <v/>
      </c>
      <c r="D40" s="13">
        <f>MAX(_xlfn.MAXIFS('Start Here'!$B$17:$B$56,'Start Here'!$A$17:$A$56,$A40,'Start Here'!$C$17:$C$56,"&gt;=1"),_xlfn.MAXIFS(Sets!$C$2:$C$1060,Sets!$B$2:$B$1060,$A40,Sets!$D$2:$D$1060,"&gt;=1"),_xlfn.MAXIFS(Log!$C$2:$C$1001,Log!$B$2:$B$1001,$A40,Log!$D$2:$D$1001,"&gt;=1"))</f>
        <v/>
      </c>
      <c r="E40" s="13">
        <f>MAX(_xlfn.MAXIFS('Start Here'!$B$17:$B$56,'Start Here'!$A$17:$A$56,$A40,'Start Here'!$C$17:$C$56,"&gt;=2"),_xlfn.MAXIFS(Sets!$C$2:$C$1060,Sets!$B$2:$B$1060,$A40,Sets!$D$2:$D$1060,"&gt;=2"),_xlfn.MAXIFS(Log!$C$2:$C$1001,Log!$B$2:$B$1001,$A40,Log!$D$2:$D$1001,"&gt;=2"))</f>
        <v/>
      </c>
      <c r="F40" s="13">
        <f>MAX(_xlfn.MAXIFS('Start Here'!$B$17:$B$56,'Start Here'!$A$17:$A$56,$A40,'Start Here'!$C$17:$C$56,"&gt;=3"),_xlfn.MAXIFS(Sets!$C$2:$C$1060,Sets!$B$2:$B$1060,$A40,Sets!$D$2:$D$1060,"&gt;=3"),_xlfn.MAXIFS(Log!$C$2:$C$1001,Log!$B$2:$B$1001,$A40,Log!$D$2:$D$1001,"&gt;=3"))</f>
        <v/>
      </c>
      <c r="G40" s="13">
        <f>MAX(_xlfn.MAXIFS('Start Here'!$B$17:$B$56,'Start Here'!$A$17:$A$56,$A40,'Start Here'!$C$17:$C$56,"&gt;=4"),_xlfn.MAXIFS(Sets!$C$2:$C$1060,Sets!$B$2:$B$1060,$A40,Sets!$D$2:$D$1060,"&gt;=4"),_xlfn.MAXIFS(Log!$C$2:$C$1001,Log!$B$2:$B$1001,$A40,Log!$D$2:$D$1001,"&gt;=4"))</f>
        <v/>
      </c>
      <c r="H40" s="13">
        <f>MAX(_xlfn.MAXIFS('Start Here'!$B$17:$B$56,'Start Here'!$A$17:$A$56,$A40,'Start Here'!$C$17:$C$56,"&gt;=5"),_xlfn.MAXIFS(Sets!$C$2:$C$1060,Sets!$B$2:$B$1060,$A40,Sets!$D$2:$D$1060,"&gt;=5"),_xlfn.MAXIFS(Log!$C$2:$C$1001,Log!$B$2:$B$1001,$A40,Log!$D$2:$D$1001,"&gt;=5"))</f>
        <v/>
      </c>
      <c r="I40" s="13">
        <f>MAX(_xlfn.MAXIFS('Start Here'!$B$17:$B$56,'Start Here'!$A$17:$A$56,$A40,'Start Here'!$C$17:$C$56,"&gt;=6"),_xlfn.MAXIFS(Sets!$C$2:$C$1060,Sets!$B$2:$B$1060,$A40,Sets!$D$2:$D$1060,"&gt;=6"),_xlfn.MAXIFS(Log!$C$2:$C$1001,Log!$B$2:$B$1001,$A40,Log!$D$2:$D$1001,"&gt;=6"))</f>
        <v/>
      </c>
      <c r="J40" s="13">
        <f>MAX(_xlfn.MAXIFS('Start Here'!$B$17:$B$56,'Start Here'!$A$17:$A$56,$A40,'Start Here'!$C$17:$C$56,"&gt;=8"),_xlfn.MAXIFS(Sets!$C$2:$C$1060,Sets!$B$2:$B$1060,$A40,Sets!$D$2:$D$1060,"&gt;=8"),_xlfn.MAXIFS(Log!$C$2:$C$1001,Log!$B$2:$B$1001,$A40,Log!$D$2:$D$1001,"&gt;=8"))</f>
        <v/>
      </c>
      <c r="K40" s="13">
        <f>MAX(_xlfn.MAXIFS('Start Here'!$B$17:$B$56,'Start Here'!$A$17:$A$56,$A40,'Start Here'!$C$17:$C$56,"&gt;=10"),_xlfn.MAXIFS(Sets!$C$2:$C$1060,Sets!$B$2:$B$1060,$A40,Sets!$D$2:$D$1060,"&gt;=10"),_xlfn.MAXIFS(Log!$C$2:$C$1001,Log!$B$2:$B$1001,$A40,Log!$D$2:$D$1001,"&gt;=10"))</f>
        <v/>
      </c>
      <c r="L40" s="13">
        <f>MAX(_xlfn.MAXIFS('Start Here'!$B$17:$B$56,'Start Here'!$A$17:$A$56,$A40,'Start Here'!$C$17:$C$56,"&gt;=12"),_xlfn.MAXIFS(Sets!$C$2:$C$1060,Sets!$B$2:$B$1060,$A40,Sets!$D$2:$D$1060,"&gt;=12"),_xlfn.MAXIFS(Log!$C$2:$C$1001,Log!$B$2:$B$1001,$A40,Log!$D$2:$D$1001,"&gt;=12"))</f>
        <v/>
      </c>
    </row>
    <row r="41">
      <c r="A41" s="23" t="inlineStr">
        <is>
          <t>Clean</t>
        </is>
      </c>
      <c r="B41" t="inlineStr">
        <is>
          <t>variation</t>
        </is>
      </c>
      <c r="C41" s="11">
        <f>MAX(_xlfn.MAXIFS('Start Here'!$D$17:$D$56,'Start Here'!$A$17:$A$56,$A41),_xlfn.MAXIFS(Sets!$E$2:$E$1060,Sets!$B$2:$B$1060,$A41),_xlfn.MAXIFS(Log!$E$2:$E$1001,Log!$B$2:$B$1001,$A41))</f>
        <v/>
      </c>
      <c r="D41" s="13">
        <f>MAX(_xlfn.MAXIFS('Start Here'!$B$17:$B$56,'Start Here'!$A$17:$A$56,$A41,'Start Here'!$C$17:$C$56,"&gt;=1"),_xlfn.MAXIFS(Sets!$C$2:$C$1060,Sets!$B$2:$B$1060,$A41,Sets!$D$2:$D$1060,"&gt;=1"),_xlfn.MAXIFS(Log!$C$2:$C$1001,Log!$B$2:$B$1001,$A41,Log!$D$2:$D$1001,"&gt;=1"))</f>
        <v/>
      </c>
      <c r="E41" s="13">
        <f>MAX(_xlfn.MAXIFS('Start Here'!$B$17:$B$56,'Start Here'!$A$17:$A$56,$A41,'Start Here'!$C$17:$C$56,"&gt;=2"),_xlfn.MAXIFS(Sets!$C$2:$C$1060,Sets!$B$2:$B$1060,$A41,Sets!$D$2:$D$1060,"&gt;=2"),_xlfn.MAXIFS(Log!$C$2:$C$1001,Log!$B$2:$B$1001,$A41,Log!$D$2:$D$1001,"&gt;=2"))</f>
        <v/>
      </c>
      <c r="F41" s="13">
        <f>MAX(_xlfn.MAXIFS('Start Here'!$B$17:$B$56,'Start Here'!$A$17:$A$56,$A41,'Start Here'!$C$17:$C$56,"&gt;=3"),_xlfn.MAXIFS(Sets!$C$2:$C$1060,Sets!$B$2:$B$1060,$A41,Sets!$D$2:$D$1060,"&gt;=3"),_xlfn.MAXIFS(Log!$C$2:$C$1001,Log!$B$2:$B$1001,$A41,Log!$D$2:$D$1001,"&gt;=3"))</f>
        <v/>
      </c>
      <c r="G41" s="13">
        <f>MAX(_xlfn.MAXIFS('Start Here'!$B$17:$B$56,'Start Here'!$A$17:$A$56,$A41,'Start Here'!$C$17:$C$56,"&gt;=4"),_xlfn.MAXIFS(Sets!$C$2:$C$1060,Sets!$B$2:$B$1060,$A41,Sets!$D$2:$D$1060,"&gt;=4"),_xlfn.MAXIFS(Log!$C$2:$C$1001,Log!$B$2:$B$1001,$A41,Log!$D$2:$D$1001,"&gt;=4"))</f>
        <v/>
      </c>
      <c r="H41" s="13">
        <f>MAX(_xlfn.MAXIFS('Start Here'!$B$17:$B$56,'Start Here'!$A$17:$A$56,$A41,'Start Here'!$C$17:$C$56,"&gt;=5"),_xlfn.MAXIFS(Sets!$C$2:$C$1060,Sets!$B$2:$B$1060,$A41,Sets!$D$2:$D$1060,"&gt;=5"),_xlfn.MAXIFS(Log!$C$2:$C$1001,Log!$B$2:$B$1001,$A41,Log!$D$2:$D$1001,"&gt;=5"))</f>
        <v/>
      </c>
      <c r="I41" s="13">
        <f>MAX(_xlfn.MAXIFS('Start Here'!$B$17:$B$56,'Start Here'!$A$17:$A$56,$A41,'Start Here'!$C$17:$C$56,"&gt;=6"),_xlfn.MAXIFS(Sets!$C$2:$C$1060,Sets!$B$2:$B$1060,$A41,Sets!$D$2:$D$1060,"&gt;=6"),_xlfn.MAXIFS(Log!$C$2:$C$1001,Log!$B$2:$B$1001,$A41,Log!$D$2:$D$1001,"&gt;=6"))</f>
        <v/>
      </c>
      <c r="J41" s="13">
        <f>MAX(_xlfn.MAXIFS('Start Here'!$B$17:$B$56,'Start Here'!$A$17:$A$56,$A41,'Start Here'!$C$17:$C$56,"&gt;=8"),_xlfn.MAXIFS(Sets!$C$2:$C$1060,Sets!$B$2:$B$1060,$A41,Sets!$D$2:$D$1060,"&gt;=8"),_xlfn.MAXIFS(Log!$C$2:$C$1001,Log!$B$2:$B$1001,$A41,Log!$D$2:$D$1001,"&gt;=8"))</f>
        <v/>
      </c>
      <c r="K41" s="13">
        <f>MAX(_xlfn.MAXIFS('Start Here'!$B$17:$B$56,'Start Here'!$A$17:$A$56,$A41,'Start Here'!$C$17:$C$56,"&gt;=10"),_xlfn.MAXIFS(Sets!$C$2:$C$1060,Sets!$B$2:$B$1060,$A41,Sets!$D$2:$D$1060,"&gt;=10"),_xlfn.MAXIFS(Log!$C$2:$C$1001,Log!$B$2:$B$1001,$A41,Log!$D$2:$D$1001,"&gt;=10"))</f>
        <v/>
      </c>
      <c r="L41" s="13">
        <f>MAX(_xlfn.MAXIFS('Start Here'!$B$17:$B$56,'Start Here'!$A$17:$A$56,$A41,'Start Here'!$C$17:$C$56,"&gt;=12"),_xlfn.MAXIFS(Sets!$C$2:$C$1060,Sets!$B$2:$B$1060,$A41,Sets!$D$2:$D$1060,"&gt;=12"),_xlfn.MAXIFS(Log!$C$2:$C$1001,Log!$B$2:$B$1001,$A41,Log!$D$2:$D$1001,"&gt;=12"))</f>
        <v/>
      </c>
    </row>
    <row r="42">
      <c r="A42" s="23" t="inlineStr">
        <is>
          <t>Power Clean</t>
        </is>
      </c>
      <c r="B42" t="inlineStr">
        <is>
          <t>variation</t>
        </is>
      </c>
      <c r="C42" s="11">
        <f>MAX(_xlfn.MAXIFS('Start Here'!$D$17:$D$56,'Start Here'!$A$17:$A$56,$A42),_xlfn.MAXIFS(Sets!$E$2:$E$1060,Sets!$B$2:$B$1060,$A42),_xlfn.MAXIFS(Log!$E$2:$E$1001,Log!$B$2:$B$1001,$A42))</f>
        <v/>
      </c>
      <c r="D42" s="13">
        <f>MAX(_xlfn.MAXIFS('Start Here'!$B$17:$B$56,'Start Here'!$A$17:$A$56,$A42,'Start Here'!$C$17:$C$56,"&gt;=1"),_xlfn.MAXIFS(Sets!$C$2:$C$1060,Sets!$B$2:$B$1060,$A42,Sets!$D$2:$D$1060,"&gt;=1"),_xlfn.MAXIFS(Log!$C$2:$C$1001,Log!$B$2:$B$1001,$A42,Log!$D$2:$D$1001,"&gt;=1"))</f>
        <v/>
      </c>
      <c r="E42" s="13">
        <f>MAX(_xlfn.MAXIFS('Start Here'!$B$17:$B$56,'Start Here'!$A$17:$A$56,$A42,'Start Here'!$C$17:$C$56,"&gt;=2"),_xlfn.MAXIFS(Sets!$C$2:$C$1060,Sets!$B$2:$B$1060,$A42,Sets!$D$2:$D$1060,"&gt;=2"),_xlfn.MAXIFS(Log!$C$2:$C$1001,Log!$B$2:$B$1001,$A42,Log!$D$2:$D$1001,"&gt;=2"))</f>
        <v/>
      </c>
      <c r="F42" s="13">
        <f>MAX(_xlfn.MAXIFS('Start Here'!$B$17:$B$56,'Start Here'!$A$17:$A$56,$A42,'Start Here'!$C$17:$C$56,"&gt;=3"),_xlfn.MAXIFS(Sets!$C$2:$C$1060,Sets!$B$2:$B$1060,$A42,Sets!$D$2:$D$1060,"&gt;=3"),_xlfn.MAXIFS(Log!$C$2:$C$1001,Log!$B$2:$B$1001,$A42,Log!$D$2:$D$1001,"&gt;=3"))</f>
        <v/>
      </c>
      <c r="G42" s="13">
        <f>MAX(_xlfn.MAXIFS('Start Here'!$B$17:$B$56,'Start Here'!$A$17:$A$56,$A42,'Start Here'!$C$17:$C$56,"&gt;=4"),_xlfn.MAXIFS(Sets!$C$2:$C$1060,Sets!$B$2:$B$1060,$A42,Sets!$D$2:$D$1060,"&gt;=4"),_xlfn.MAXIFS(Log!$C$2:$C$1001,Log!$B$2:$B$1001,$A42,Log!$D$2:$D$1001,"&gt;=4"))</f>
        <v/>
      </c>
      <c r="H42" s="13">
        <f>MAX(_xlfn.MAXIFS('Start Here'!$B$17:$B$56,'Start Here'!$A$17:$A$56,$A42,'Start Here'!$C$17:$C$56,"&gt;=5"),_xlfn.MAXIFS(Sets!$C$2:$C$1060,Sets!$B$2:$B$1060,$A42,Sets!$D$2:$D$1060,"&gt;=5"),_xlfn.MAXIFS(Log!$C$2:$C$1001,Log!$B$2:$B$1001,$A42,Log!$D$2:$D$1001,"&gt;=5"))</f>
        <v/>
      </c>
      <c r="I42" s="13">
        <f>MAX(_xlfn.MAXIFS('Start Here'!$B$17:$B$56,'Start Here'!$A$17:$A$56,$A42,'Start Here'!$C$17:$C$56,"&gt;=6"),_xlfn.MAXIFS(Sets!$C$2:$C$1060,Sets!$B$2:$B$1060,$A42,Sets!$D$2:$D$1060,"&gt;=6"),_xlfn.MAXIFS(Log!$C$2:$C$1001,Log!$B$2:$B$1001,$A42,Log!$D$2:$D$1001,"&gt;=6"))</f>
        <v/>
      </c>
      <c r="J42" s="13">
        <f>MAX(_xlfn.MAXIFS('Start Here'!$B$17:$B$56,'Start Here'!$A$17:$A$56,$A42,'Start Here'!$C$17:$C$56,"&gt;=8"),_xlfn.MAXIFS(Sets!$C$2:$C$1060,Sets!$B$2:$B$1060,$A42,Sets!$D$2:$D$1060,"&gt;=8"),_xlfn.MAXIFS(Log!$C$2:$C$1001,Log!$B$2:$B$1001,$A42,Log!$D$2:$D$1001,"&gt;=8"))</f>
        <v/>
      </c>
      <c r="K42" s="13">
        <f>MAX(_xlfn.MAXIFS('Start Here'!$B$17:$B$56,'Start Here'!$A$17:$A$56,$A42,'Start Here'!$C$17:$C$56,"&gt;=10"),_xlfn.MAXIFS(Sets!$C$2:$C$1060,Sets!$B$2:$B$1060,$A42,Sets!$D$2:$D$1060,"&gt;=10"),_xlfn.MAXIFS(Log!$C$2:$C$1001,Log!$B$2:$B$1001,$A42,Log!$D$2:$D$1001,"&gt;=10"))</f>
        <v/>
      </c>
      <c r="L42" s="13">
        <f>MAX(_xlfn.MAXIFS('Start Here'!$B$17:$B$56,'Start Here'!$A$17:$A$56,$A42,'Start Here'!$C$17:$C$56,"&gt;=12"),_xlfn.MAXIFS(Sets!$C$2:$C$1060,Sets!$B$2:$B$1060,$A42,Sets!$D$2:$D$1060,"&gt;=12"),_xlfn.MAXIFS(Log!$C$2:$C$1001,Log!$B$2:$B$1001,$A42,Log!$D$2:$D$1001,"&gt;=12"))</f>
        <v/>
      </c>
    </row>
    <row r="43">
      <c r="A43" s="23" t="inlineStr">
        <is>
          <t>Hang Clean</t>
        </is>
      </c>
      <c r="B43" t="inlineStr">
        <is>
          <t>variation</t>
        </is>
      </c>
      <c r="C43" s="11">
        <f>MAX(_xlfn.MAXIFS('Start Here'!$D$17:$D$56,'Start Here'!$A$17:$A$56,$A43),_xlfn.MAXIFS(Sets!$E$2:$E$1060,Sets!$B$2:$B$1060,$A43),_xlfn.MAXIFS(Log!$E$2:$E$1001,Log!$B$2:$B$1001,$A43))</f>
        <v/>
      </c>
      <c r="D43" s="13">
        <f>MAX(_xlfn.MAXIFS('Start Here'!$B$17:$B$56,'Start Here'!$A$17:$A$56,$A43,'Start Here'!$C$17:$C$56,"&gt;=1"),_xlfn.MAXIFS(Sets!$C$2:$C$1060,Sets!$B$2:$B$1060,$A43,Sets!$D$2:$D$1060,"&gt;=1"),_xlfn.MAXIFS(Log!$C$2:$C$1001,Log!$B$2:$B$1001,$A43,Log!$D$2:$D$1001,"&gt;=1"))</f>
        <v/>
      </c>
      <c r="E43" s="13">
        <f>MAX(_xlfn.MAXIFS('Start Here'!$B$17:$B$56,'Start Here'!$A$17:$A$56,$A43,'Start Here'!$C$17:$C$56,"&gt;=2"),_xlfn.MAXIFS(Sets!$C$2:$C$1060,Sets!$B$2:$B$1060,$A43,Sets!$D$2:$D$1060,"&gt;=2"),_xlfn.MAXIFS(Log!$C$2:$C$1001,Log!$B$2:$B$1001,$A43,Log!$D$2:$D$1001,"&gt;=2"))</f>
        <v/>
      </c>
      <c r="F43" s="13">
        <f>MAX(_xlfn.MAXIFS('Start Here'!$B$17:$B$56,'Start Here'!$A$17:$A$56,$A43,'Start Here'!$C$17:$C$56,"&gt;=3"),_xlfn.MAXIFS(Sets!$C$2:$C$1060,Sets!$B$2:$B$1060,$A43,Sets!$D$2:$D$1060,"&gt;=3"),_xlfn.MAXIFS(Log!$C$2:$C$1001,Log!$B$2:$B$1001,$A43,Log!$D$2:$D$1001,"&gt;=3"))</f>
        <v/>
      </c>
      <c r="G43" s="13">
        <f>MAX(_xlfn.MAXIFS('Start Here'!$B$17:$B$56,'Start Here'!$A$17:$A$56,$A43,'Start Here'!$C$17:$C$56,"&gt;=4"),_xlfn.MAXIFS(Sets!$C$2:$C$1060,Sets!$B$2:$B$1060,$A43,Sets!$D$2:$D$1060,"&gt;=4"),_xlfn.MAXIFS(Log!$C$2:$C$1001,Log!$B$2:$B$1001,$A43,Log!$D$2:$D$1001,"&gt;=4"))</f>
        <v/>
      </c>
      <c r="H43" s="13">
        <f>MAX(_xlfn.MAXIFS('Start Here'!$B$17:$B$56,'Start Here'!$A$17:$A$56,$A43,'Start Here'!$C$17:$C$56,"&gt;=5"),_xlfn.MAXIFS(Sets!$C$2:$C$1060,Sets!$B$2:$B$1060,$A43,Sets!$D$2:$D$1060,"&gt;=5"),_xlfn.MAXIFS(Log!$C$2:$C$1001,Log!$B$2:$B$1001,$A43,Log!$D$2:$D$1001,"&gt;=5"))</f>
        <v/>
      </c>
      <c r="I43" s="13">
        <f>MAX(_xlfn.MAXIFS('Start Here'!$B$17:$B$56,'Start Here'!$A$17:$A$56,$A43,'Start Here'!$C$17:$C$56,"&gt;=6"),_xlfn.MAXIFS(Sets!$C$2:$C$1060,Sets!$B$2:$B$1060,$A43,Sets!$D$2:$D$1060,"&gt;=6"),_xlfn.MAXIFS(Log!$C$2:$C$1001,Log!$B$2:$B$1001,$A43,Log!$D$2:$D$1001,"&gt;=6"))</f>
        <v/>
      </c>
      <c r="J43" s="13">
        <f>MAX(_xlfn.MAXIFS('Start Here'!$B$17:$B$56,'Start Here'!$A$17:$A$56,$A43,'Start Here'!$C$17:$C$56,"&gt;=8"),_xlfn.MAXIFS(Sets!$C$2:$C$1060,Sets!$B$2:$B$1060,$A43,Sets!$D$2:$D$1060,"&gt;=8"),_xlfn.MAXIFS(Log!$C$2:$C$1001,Log!$B$2:$B$1001,$A43,Log!$D$2:$D$1001,"&gt;=8"))</f>
        <v/>
      </c>
      <c r="K43" s="13">
        <f>MAX(_xlfn.MAXIFS('Start Here'!$B$17:$B$56,'Start Here'!$A$17:$A$56,$A43,'Start Here'!$C$17:$C$56,"&gt;=10"),_xlfn.MAXIFS(Sets!$C$2:$C$1060,Sets!$B$2:$B$1060,$A43,Sets!$D$2:$D$1060,"&gt;=10"),_xlfn.MAXIFS(Log!$C$2:$C$1001,Log!$B$2:$B$1001,$A43,Log!$D$2:$D$1001,"&gt;=10"))</f>
        <v/>
      </c>
      <c r="L43" s="13">
        <f>MAX(_xlfn.MAXIFS('Start Here'!$B$17:$B$56,'Start Here'!$A$17:$A$56,$A43,'Start Here'!$C$17:$C$56,"&gt;=12"),_xlfn.MAXIFS(Sets!$C$2:$C$1060,Sets!$B$2:$B$1060,$A43,Sets!$D$2:$D$1060,"&gt;=12"),_xlfn.MAXIFS(Log!$C$2:$C$1001,Log!$B$2:$B$1001,$A43,Log!$D$2:$D$1001,"&gt;=12"))</f>
        <v/>
      </c>
    </row>
    <row r="44">
      <c r="A44" s="23" t="inlineStr">
        <is>
          <t>Hang Power Clean</t>
        </is>
      </c>
      <c r="B44" t="inlineStr">
        <is>
          <t>variation</t>
        </is>
      </c>
      <c r="C44" s="11">
        <f>MAX(_xlfn.MAXIFS('Start Here'!$D$17:$D$56,'Start Here'!$A$17:$A$56,$A44),_xlfn.MAXIFS(Sets!$E$2:$E$1060,Sets!$B$2:$B$1060,$A44),_xlfn.MAXIFS(Log!$E$2:$E$1001,Log!$B$2:$B$1001,$A44))</f>
        <v/>
      </c>
      <c r="D44" s="13">
        <f>MAX(_xlfn.MAXIFS('Start Here'!$B$17:$B$56,'Start Here'!$A$17:$A$56,$A44,'Start Here'!$C$17:$C$56,"&gt;=1"),_xlfn.MAXIFS(Sets!$C$2:$C$1060,Sets!$B$2:$B$1060,$A44,Sets!$D$2:$D$1060,"&gt;=1"),_xlfn.MAXIFS(Log!$C$2:$C$1001,Log!$B$2:$B$1001,$A44,Log!$D$2:$D$1001,"&gt;=1"))</f>
        <v/>
      </c>
      <c r="E44" s="13">
        <f>MAX(_xlfn.MAXIFS('Start Here'!$B$17:$B$56,'Start Here'!$A$17:$A$56,$A44,'Start Here'!$C$17:$C$56,"&gt;=2"),_xlfn.MAXIFS(Sets!$C$2:$C$1060,Sets!$B$2:$B$1060,$A44,Sets!$D$2:$D$1060,"&gt;=2"),_xlfn.MAXIFS(Log!$C$2:$C$1001,Log!$B$2:$B$1001,$A44,Log!$D$2:$D$1001,"&gt;=2"))</f>
        <v/>
      </c>
      <c r="F44" s="13">
        <f>MAX(_xlfn.MAXIFS('Start Here'!$B$17:$B$56,'Start Here'!$A$17:$A$56,$A44,'Start Here'!$C$17:$C$56,"&gt;=3"),_xlfn.MAXIFS(Sets!$C$2:$C$1060,Sets!$B$2:$B$1060,$A44,Sets!$D$2:$D$1060,"&gt;=3"),_xlfn.MAXIFS(Log!$C$2:$C$1001,Log!$B$2:$B$1001,$A44,Log!$D$2:$D$1001,"&gt;=3"))</f>
        <v/>
      </c>
      <c r="G44" s="13">
        <f>MAX(_xlfn.MAXIFS('Start Here'!$B$17:$B$56,'Start Here'!$A$17:$A$56,$A44,'Start Here'!$C$17:$C$56,"&gt;=4"),_xlfn.MAXIFS(Sets!$C$2:$C$1060,Sets!$B$2:$B$1060,$A44,Sets!$D$2:$D$1060,"&gt;=4"),_xlfn.MAXIFS(Log!$C$2:$C$1001,Log!$B$2:$B$1001,$A44,Log!$D$2:$D$1001,"&gt;=4"))</f>
        <v/>
      </c>
      <c r="H44" s="13">
        <f>MAX(_xlfn.MAXIFS('Start Here'!$B$17:$B$56,'Start Here'!$A$17:$A$56,$A44,'Start Here'!$C$17:$C$56,"&gt;=5"),_xlfn.MAXIFS(Sets!$C$2:$C$1060,Sets!$B$2:$B$1060,$A44,Sets!$D$2:$D$1060,"&gt;=5"),_xlfn.MAXIFS(Log!$C$2:$C$1001,Log!$B$2:$B$1001,$A44,Log!$D$2:$D$1001,"&gt;=5"))</f>
        <v/>
      </c>
      <c r="I44" s="13">
        <f>MAX(_xlfn.MAXIFS('Start Here'!$B$17:$B$56,'Start Here'!$A$17:$A$56,$A44,'Start Here'!$C$17:$C$56,"&gt;=6"),_xlfn.MAXIFS(Sets!$C$2:$C$1060,Sets!$B$2:$B$1060,$A44,Sets!$D$2:$D$1060,"&gt;=6"),_xlfn.MAXIFS(Log!$C$2:$C$1001,Log!$B$2:$B$1001,$A44,Log!$D$2:$D$1001,"&gt;=6"))</f>
        <v/>
      </c>
      <c r="J44" s="13">
        <f>MAX(_xlfn.MAXIFS('Start Here'!$B$17:$B$56,'Start Here'!$A$17:$A$56,$A44,'Start Here'!$C$17:$C$56,"&gt;=8"),_xlfn.MAXIFS(Sets!$C$2:$C$1060,Sets!$B$2:$B$1060,$A44,Sets!$D$2:$D$1060,"&gt;=8"),_xlfn.MAXIFS(Log!$C$2:$C$1001,Log!$B$2:$B$1001,$A44,Log!$D$2:$D$1001,"&gt;=8"))</f>
        <v/>
      </c>
      <c r="K44" s="13">
        <f>MAX(_xlfn.MAXIFS('Start Here'!$B$17:$B$56,'Start Here'!$A$17:$A$56,$A44,'Start Here'!$C$17:$C$56,"&gt;=10"),_xlfn.MAXIFS(Sets!$C$2:$C$1060,Sets!$B$2:$B$1060,$A44,Sets!$D$2:$D$1060,"&gt;=10"),_xlfn.MAXIFS(Log!$C$2:$C$1001,Log!$B$2:$B$1001,$A44,Log!$D$2:$D$1001,"&gt;=10"))</f>
        <v/>
      </c>
      <c r="L44" s="13">
        <f>MAX(_xlfn.MAXIFS('Start Here'!$B$17:$B$56,'Start Here'!$A$17:$A$56,$A44,'Start Here'!$C$17:$C$56,"&gt;=12"),_xlfn.MAXIFS(Sets!$C$2:$C$1060,Sets!$B$2:$B$1060,$A44,Sets!$D$2:$D$1060,"&gt;=12"),_xlfn.MAXIFS(Log!$C$2:$C$1001,Log!$B$2:$B$1001,$A44,Log!$D$2:$D$1001,"&gt;=12"))</f>
        <v/>
      </c>
    </row>
    <row r="45">
      <c r="A45" s="23" t="inlineStr">
        <is>
          <t>Push Jerk</t>
        </is>
      </c>
      <c r="B45" t="inlineStr">
        <is>
          <t>variation</t>
        </is>
      </c>
      <c r="C45" s="11">
        <f>MAX(_xlfn.MAXIFS('Start Here'!$D$17:$D$56,'Start Here'!$A$17:$A$56,$A45),_xlfn.MAXIFS(Sets!$E$2:$E$1060,Sets!$B$2:$B$1060,$A45),_xlfn.MAXIFS(Log!$E$2:$E$1001,Log!$B$2:$B$1001,$A45))</f>
        <v/>
      </c>
      <c r="D45" s="13">
        <f>MAX(_xlfn.MAXIFS('Start Here'!$B$17:$B$56,'Start Here'!$A$17:$A$56,$A45,'Start Here'!$C$17:$C$56,"&gt;=1"),_xlfn.MAXIFS(Sets!$C$2:$C$1060,Sets!$B$2:$B$1060,$A45,Sets!$D$2:$D$1060,"&gt;=1"),_xlfn.MAXIFS(Log!$C$2:$C$1001,Log!$B$2:$B$1001,$A45,Log!$D$2:$D$1001,"&gt;=1"))</f>
        <v/>
      </c>
      <c r="E45" s="13">
        <f>MAX(_xlfn.MAXIFS('Start Here'!$B$17:$B$56,'Start Here'!$A$17:$A$56,$A45,'Start Here'!$C$17:$C$56,"&gt;=2"),_xlfn.MAXIFS(Sets!$C$2:$C$1060,Sets!$B$2:$B$1060,$A45,Sets!$D$2:$D$1060,"&gt;=2"),_xlfn.MAXIFS(Log!$C$2:$C$1001,Log!$B$2:$B$1001,$A45,Log!$D$2:$D$1001,"&gt;=2"))</f>
        <v/>
      </c>
      <c r="F45" s="13">
        <f>MAX(_xlfn.MAXIFS('Start Here'!$B$17:$B$56,'Start Here'!$A$17:$A$56,$A45,'Start Here'!$C$17:$C$56,"&gt;=3"),_xlfn.MAXIFS(Sets!$C$2:$C$1060,Sets!$B$2:$B$1060,$A45,Sets!$D$2:$D$1060,"&gt;=3"),_xlfn.MAXIFS(Log!$C$2:$C$1001,Log!$B$2:$B$1001,$A45,Log!$D$2:$D$1001,"&gt;=3"))</f>
        <v/>
      </c>
      <c r="G45" s="13">
        <f>MAX(_xlfn.MAXIFS('Start Here'!$B$17:$B$56,'Start Here'!$A$17:$A$56,$A45,'Start Here'!$C$17:$C$56,"&gt;=4"),_xlfn.MAXIFS(Sets!$C$2:$C$1060,Sets!$B$2:$B$1060,$A45,Sets!$D$2:$D$1060,"&gt;=4"),_xlfn.MAXIFS(Log!$C$2:$C$1001,Log!$B$2:$B$1001,$A45,Log!$D$2:$D$1001,"&gt;=4"))</f>
        <v/>
      </c>
      <c r="H45" s="13">
        <f>MAX(_xlfn.MAXIFS('Start Here'!$B$17:$B$56,'Start Here'!$A$17:$A$56,$A45,'Start Here'!$C$17:$C$56,"&gt;=5"),_xlfn.MAXIFS(Sets!$C$2:$C$1060,Sets!$B$2:$B$1060,$A45,Sets!$D$2:$D$1060,"&gt;=5"),_xlfn.MAXIFS(Log!$C$2:$C$1001,Log!$B$2:$B$1001,$A45,Log!$D$2:$D$1001,"&gt;=5"))</f>
        <v/>
      </c>
      <c r="I45" s="13">
        <f>MAX(_xlfn.MAXIFS('Start Here'!$B$17:$B$56,'Start Here'!$A$17:$A$56,$A45,'Start Here'!$C$17:$C$56,"&gt;=6"),_xlfn.MAXIFS(Sets!$C$2:$C$1060,Sets!$B$2:$B$1060,$A45,Sets!$D$2:$D$1060,"&gt;=6"),_xlfn.MAXIFS(Log!$C$2:$C$1001,Log!$B$2:$B$1001,$A45,Log!$D$2:$D$1001,"&gt;=6"))</f>
        <v/>
      </c>
      <c r="J45" s="13">
        <f>MAX(_xlfn.MAXIFS('Start Here'!$B$17:$B$56,'Start Here'!$A$17:$A$56,$A45,'Start Here'!$C$17:$C$56,"&gt;=8"),_xlfn.MAXIFS(Sets!$C$2:$C$1060,Sets!$B$2:$B$1060,$A45,Sets!$D$2:$D$1060,"&gt;=8"),_xlfn.MAXIFS(Log!$C$2:$C$1001,Log!$B$2:$B$1001,$A45,Log!$D$2:$D$1001,"&gt;=8"))</f>
        <v/>
      </c>
      <c r="K45" s="13">
        <f>MAX(_xlfn.MAXIFS('Start Here'!$B$17:$B$56,'Start Here'!$A$17:$A$56,$A45,'Start Here'!$C$17:$C$56,"&gt;=10"),_xlfn.MAXIFS(Sets!$C$2:$C$1060,Sets!$B$2:$B$1060,$A45,Sets!$D$2:$D$1060,"&gt;=10"),_xlfn.MAXIFS(Log!$C$2:$C$1001,Log!$B$2:$B$1001,$A45,Log!$D$2:$D$1001,"&gt;=10"))</f>
        <v/>
      </c>
      <c r="L45" s="13">
        <f>MAX(_xlfn.MAXIFS('Start Here'!$B$17:$B$56,'Start Here'!$A$17:$A$56,$A45,'Start Here'!$C$17:$C$56,"&gt;=12"),_xlfn.MAXIFS(Sets!$C$2:$C$1060,Sets!$B$2:$B$1060,$A45,Sets!$D$2:$D$1060,"&gt;=12"),_xlfn.MAXIFS(Log!$C$2:$C$1001,Log!$B$2:$B$1001,$A45,Log!$D$2:$D$1001,"&gt;=12"))</f>
        <v/>
      </c>
    </row>
    <row r="46">
      <c r="A46" s="23" t="inlineStr">
        <is>
          <t>Split Jerk</t>
        </is>
      </c>
      <c r="B46" t="inlineStr">
        <is>
          <t>variation</t>
        </is>
      </c>
      <c r="C46" s="11">
        <f>MAX(_xlfn.MAXIFS('Start Here'!$D$17:$D$56,'Start Here'!$A$17:$A$56,$A46),_xlfn.MAXIFS(Sets!$E$2:$E$1060,Sets!$B$2:$B$1060,$A46),_xlfn.MAXIFS(Log!$E$2:$E$1001,Log!$B$2:$B$1001,$A46))</f>
        <v/>
      </c>
      <c r="D46" s="13">
        <f>MAX(_xlfn.MAXIFS('Start Here'!$B$17:$B$56,'Start Here'!$A$17:$A$56,$A46,'Start Here'!$C$17:$C$56,"&gt;=1"),_xlfn.MAXIFS(Sets!$C$2:$C$1060,Sets!$B$2:$B$1060,$A46,Sets!$D$2:$D$1060,"&gt;=1"),_xlfn.MAXIFS(Log!$C$2:$C$1001,Log!$B$2:$B$1001,$A46,Log!$D$2:$D$1001,"&gt;=1"))</f>
        <v/>
      </c>
      <c r="E46" s="13">
        <f>MAX(_xlfn.MAXIFS('Start Here'!$B$17:$B$56,'Start Here'!$A$17:$A$56,$A46,'Start Here'!$C$17:$C$56,"&gt;=2"),_xlfn.MAXIFS(Sets!$C$2:$C$1060,Sets!$B$2:$B$1060,$A46,Sets!$D$2:$D$1060,"&gt;=2"),_xlfn.MAXIFS(Log!$C$2:$C$1001,Log!$B$2:$B$1001,$A46,Log!$D$2:$D$1001,"&gt;=2"))</f>
        <v/>
      </c>
      <c r="F46" s="13">
        <f>MAX(_xlfn.MAXIFS('Start Here'!$B$17:$B$56,'Start Here'!$A$17:$A$56,$A46,'Start Here'!$C$17:$C$56,"&gt;=3"),_xlfn.MAXIFS(Sets!$C$2:$C$1060,Sets!$B$2:$B$1060,$A46,Sets!$D$2:$D$1060,"&gt;=3"),_xlfn.MAXIFS(Log!$C$2:$C$1001,Log!$B$2:$B$1001,$A46,Log!$D$2:$D$1001,"&gt;=3"))</f>
        <v/>
      </c>
      <c r="G46" s="13">
        <f>MAX(_xlfn.MAXIFS('Start Here'!$B$17:$B$56,'Start Here'!$A$17:$A$56,$A46,'Start Here'!$C$17:$C$56,"&gt;=4"),_xlfn.MAXIFS(Sets!$C$2:$C$1060,Sets!$B$2:$B$1060,$A46,Sets!$D$2:$D$1060,"&gt;=4"),_xlfn.MAXIFS(Log!$C$2:$C$1001,Log!$B$2:$B$1001,$A46,Log!$D$2:$D$1001,"&gt;=4"))</f>
        <v/>
      </c>
      <c r="H46" s="13">
        <f>MAX(_xlfn.MAXIFS('Start Here'!$B$17:$B$56,'Start Here'!$A$17:$A$56,$A46,'Start Here'!$C$17:$C$56,"&gt;=5"),_xlfn.MAXIFS(Sets!$C$2:$C$1060,Sets!$B$2:$B$1060,$A46,Sets!$D$2:$D$1060,"&gt;=5"),_xlfn.MAXIFS(Log!$C$2:$C$1001,Log!$B$2:$B$1001,$A46,Log!$D$2:$D$1001,"&gt;=5"))</f>
        <v/>
      </c>
      <c r="I46" s="13">
        <f>MAX(_xlfn.MAXIFS('Start Here'!$B$17:$B$56,'Start Here'!$A$17:$A$56,$A46,'Start Here'!$C$17:$C$56,"&gt;=6"),_xlfn.MAXIFS(Sets!$C$2:$C$1060,Sets!$B$2:$B$1060,$A46,Sets!$D$2:$D$1060,"&gt;=6"),_xlfn.MAXIFS(Log!$C$2:$C$1001,Log!$B$2:$B$1001,$A46,Log!$D$2:$D$1001,"&gt;=6"))</f>
        <v/>
      </c>
      <c r="J46" s="13">
        <f>MAX(_xlfn.MAXIFS('Start Here'!$B$17:$B$56,'Start Here'!$A$17:$A$56,$A46,'Start Here'!$C$17:$C$56,"&gt;=8"),_xlfn.MAXIFS(Sets!$C$2:$C$1060,Sets!$B$2:$B$1060,$A46,Sets!$D$2:$D$1060,"&gt;=8"),_xlfn.MAXIFS(Log!$C$2:$C$1001,Log!$B$2:$B$1001,$A46,Log!$D$2:$D$1001,"&gt;=8"))</f>
        <v/>
      </c>
      <c r="K46" s="13">
        <f>MAX(_xlfn.MAXIFS('Start Here'!$B$17:$B$56,'Start Here'!$A$17:$A$56,$A46,'Start Here'!$C$17:$C$56,"&gt;=10"),_xlfn.MAXIFS(Sets!$C$2:$C$1060,Sets!$B$2:$B$1060,$A46,Sets!$D$2:$D$1060,"&gt;=10"),_xlfn.MAXIFS(Log!$C$2:$C$1001,Log!$B$2:$B$1001,$A46,Log!$D$2:$D$1001,"&gt;=10"))</f>
        <v/>
      </c>
      <c r="L46" s="13">
        <f>MAX(_xlfn.MAXIFS('Start Here'!$B$17:$B$56,'Start Here'!$A$17:$A$56,$A46,'Start Here'!$C$17:$C$56,"&gt;=12"),_xlfn.MAXIFS(Sets!$C$2:$C$1060,Sets!$B$2:$B$1060,$A46,Sets!$D$2:$D$1060,"&gt;=12"),_xlfn.MAXIFS(Log!$C$2:$C$1001,Log!$B$2:$B$1001,$A46,Log!$D$2:$D$1001,"&gt;=12"))</f>
        <v/>
      </c>
    </row>
    <row r="47">
      <c r="A47" s="23" t="inlineStr">
        <is>
          <t>Push Press (Jerk Rack)</t>
        </is>
      </c>
      <c r="B47" t="inlineStr">
        <is>
          <t>variation</t>
        </is>
      </c>
      <c r="C47" s="11">
        <f>MAX(_xlfn.MAXIFS('Start Here'!$D$17:$D$56,'Start Here'!$A$17:$A$56,$A47),_xlfn.MAXIFS(Sets!$E$2:$E$1060,Sets!$B$2:$B$1060,$A47),_xlfn.MAXIFS(Log!$E$2:$E$1001,Log!$B$2:$B$1001,$A47))</f>
        <v/>
      </c>
      <c r="D47" s="13">
        <f>MAX(_xlfn.MAXIFS('Start Here'!$B$17:$B$56,'Start Here'!$A$17:$A$56,$A47,'Start Here'!$C$17:$C$56,"&gt;=1"),_xlfn.MAXIFS(Sets!$C$2:$C$1060,Sets!$B$2:$B$1060,$A47,Sets!$D$2:$D$1060,"&gt;=1"),_xlfn.MAXIFS(Log!$C$2:$C$1001,Log!$B$2:$B$1001,$A47,Log!$D$2:$D$1001,"&gt;=1"))</f>
        <v/>
      </c>
      <c r="E47" s="13">
        <f>MAX(_xlfn.MAXIFS('Start Here'!$B$17:$B$56,'Start Here'!$A$17:$A$56,$A47,'Start Here'!$C$17:$C$56,"&gt;=2"),_xlfn.MAXIFS(Sets!$C$2:$C$1060,Sets!$B$2:$B$1060,$A47,Sets!$D$2:$D$1060,"&gt;=2"),_xlfn.MAXIFS(Log!$C$2:$C$1001,Log!$B$2:$B$1001,$A47,Log!$D$2:$D$1001,"&gt;=2"))</f>
        <v/>
      </c>
      <c r="F47" s="13">
        <f>MAX(_xlfn.MAXIFS('Start Here'!$B$17:$B$56,'Start Here'!$A$17:$A$56,$A47,'Start Here'!$C$17:$C$56,"&gt;=3"),_xlfn.MAXIFS(Sets!$C$2:$C$1060,Sets!$B$2:$B$1060,$A47,Sets!$D$2:$D$1060,"&gt;=3"),_xlfn.MAXIFS(Log!$C$2:$C$1001,Log!$B$2:$B$1001,$A47,Log!$D$2:$D$1001,"&gt;=3"))</f>
        <v/>
      </c>
      <c r="G47" s="13">
        <f>MAX(_xlfn.MAXIFS('Start Here'!$B$17:$B$56,'Start Here'!$A$17:$A$56,$A47,'Start Here'!$C$17:$C$56,"&gt;=4"),_xlfn.MAXIFS(Sets!$C$2:$C$1060,Sets!$B$2:$B$1060,$A47,Sets!$D$2:$D$1060,"&gt;=4"),_xlfn.MAXIFS(Log!$C$2:$C$1001,Log!$B$2:$B$1001,$A47,Log!$D$2:$D$1001,"&gt;=4"))</f>
        <v/>
      </c>
      <c r="H47" s="13">
        <f>MAX(_xlfn.MAXIFS('Start Here'!$B$17:$B$56,'Start Here'!$A$17:$A$56,$A47,'Start Here'!$C$17:$C$56,"&gt;=5"),_xlfn.MAXIFS(Sets!$C$2:$C$1060,Sets!$B$2:$B$1060,$A47,Sets!$D$2:$D$1060,"&gt;=5"),_xlfn.MAXIFS(Log!$C$2:$C$1001,Log!$B$2:$B$1001,$A47,Log!$D$2:$D$1001,"&gt;=5"))</f>
        <v/>
      </c>
      <c r="I47" s="13">
        <f>MAX(_xlfn.MAXIFS('Start Here'!$B$17:$B$56,'Start Here'!$A$17:$A$56,$A47,'Start Here'!$C$17:$C$56,"&gt;=6"),_xlfn.MAXIFS(Sets!$C$2:$C$1060,Sets!$B$2:$B$1060,$A47,Sets!$D$2:$D$1060,"&gt;=6"),_xlfn.MAXIFS(Log!$C$2:$C$1001,Log!$B$2:$B$1001,$A47,Log!$D$2:$D$1001,"&gt;=6"))</f>
        <v/>
      </c>
      <c r="J47" s="13">
        <f>MAX(_xlfn.MAXIFS('Start Here'!$B$17:$B$56,'Start Here'!$A$17:$A$56,$A47,'Start Here'!$C$17:$C$56,"&gt;=8"),_xlfn.MAXIFS(Sets!$C$2:$C$1060,Sets!$B$2:$B$1060,$A47,Sets!$D$2:$D$1060,"&gt;=8"),_xlfn.MAXIFS(Log!$C$2:$C$1001,Log!$B$2:$B$1001,$A47,Log!$D$2:$D$1001,"&gt;=8"))</f>
        <v/>
      </c>
      <c r="K47" s="13">
        <f>MAX(_xlfn.MAXIFS('Start Here'!$B$17:$B$56,'Start Here'!$A$17:$A$56,$A47,'Start Here'!$C$17:$C$56,"&gt;=10"),_xlfn.MAXIFS(Sets!$C$2:$C$1060,Sets!$B$2:$B$1060,$A47,Sets!$D$2:$D$1060,"&gt;=10"),_xlfn.MAXIFS(Log!$C$2:$C$1001,Log!$B$2:$B$1001,$A47,Log!$D$2:$D$1001,"&gt;=10"))</f>
        <v/>
      </c>
      <c r="L47" s="13">
        <f>MAX(_xlfn.MAXIFS('Start Here'!$B$17:$B$56,'Start Here'!$A$17:$A$56,$A47,'Start Here'!$C$17:$C$56,"&gt;=12"),_xlfn.MAXIFS(Sets!$C$2:$C$1060,Sets!$B$2:$B$1060,$A47,Sets!$D$2:$D$1060,"&gt;=12"),_xlfn.MAXIFS(Log!$C$2:$C$1001,Log!$B$2:$B$1001,$A47,Log!$D$2:$D$1001,"&gt;=12"))</f>
        <v/>
      </c>
    </row>
    <row r="48">
      <c r="A48" s="23" t="inlineStr">
        <is>
          <t>Clean Pull</t>
        </is>
      </c>
      <c r="B48" t="inlineStr">
        <is>
          <t>variation</t>
        </is>
      </c>
      <c r="C48" s="11">
        <f>MAX(_xlfn.MAXIFS('Start Here'!$D$17:$D$56,'Start Here'!$A$17:$A$56,$A48),_xlfn.MAXIFS(Sets!$E$2:$E$1060,Sets!$B$2:$B$1060,$A48),_xlfn.MAXIFS(Log!$E$2:$E$1001,Log!$B$2:$B$1001,$A48))</f>
        <v/>
      </c>
      <c r="D48" s="13">
        <f>MAX(_xlfn.MAXIFS('Start Here'!$B$17:$B$56,'Start Here'!$A$17:$A$56,$A48,'Start Here'!$C$17:$C$56,"&gt;=1"),_xlfn.MAXIFS(Sets!$C$2:$C$1060,Sets!$B$2:$B$1060,$A48,Sets!$D$2:$D$1060,"&gt;=1"),_xlfn.MAXIFS(Log!$C$2:$C$1001,Log!$B$2:$B$1001,$A48,Log!$D$2:$D$1001,"&gt;=1"))</f>
        <v/>
      </c>
      <c r="E48" s="13">
        <f>MAX(_xlfn.MAXIFS('Start Here'!$B$17:$B$56,'Start Here'!$A$17:$A$56,$A48,'Start Here'!$C$17:$C$56,"&gt;=2"),_xlfn.MAXIFS(Sets!$C$2:$C$1060,Sets!$B$2:$B$1060,$A48,Sets!$D$2:$D$1060,"&gt;=2"),_xlfn.MAXIFS(Log!$C$2:$C$1001,Log!$B$2:$B$1001,$A48,Log!$D$2:$D$1001,"&gt;=2"))</f>
        <v/>
      </c>
      <c r="F48" s="13">
        <f>MAX(_xlfn.MAXIFS('Start Here'!$B$17:$B$56,'Start Here'!$A$17:$A$56,$A48,'Start Here'!$C$17:$C$56,"&gt;=3"),_xlfn.MAXIFS(Sets!$C$2:$C$1060,Sets!$B$2:$B$1060,$A48,Sets!$D$2:$D$1060,"&gt;=3"),_xlfn.MAXIFS(Log!$C$2:$C$1001,Log!$B$2:$B$1001,$A48,Log!$D$2:$D$1001,"&gt;=3"))</f>
        <v/>
      </c>
      <c r="G48" s="13">
        <f>MAX(_xlfn.MAXIFS('Start Here'!$B$17:$B$56,'Start Here'!$A$17:$A$56,$A48,'Start Here'!$C$17:$C$56,"&gt;=4"),_xlfn.MAXIFS(Sets!$C$2:$C$1060,Sets!$B$2:$B$1060,$A48,Sets!$D$2:$D$1060,"&gt;=4"),_xlfn.MAXIFS(Log!$C$2:$C$1001,Log!$B$2:$B$1001,$A48,Log!$D$2:$D$1001,"&gt;=4"))</f>
        <v/>
      </c>
      <c r="H48" s="13">
        <f>MAX(_xlfn.MAXIFS('Start Here'!$B$17:$B$56,'Start Here'!$A$17:$A$56,$A48,'Start Here'!$C$17:$C$56,"&gt;=5"),_xlfn.MAXIFS(Sets!$C$2:$C$1060,Sets!$B$2:$B$1060,$A48,Sets!$D$2:$D$1060,"&gt;=5"),_xlfn.MAXIFS(Log!$C$2:$C$1001,Log!$B$2:$B$1001,$A48,Log!$D$2:$D$1001,"&gt;=5"))</f>
        <v/>
      </c>
      <c r="I48" s="13">
        <f>MAX(_xlfn.MAXIFS('Start Here'!$B$17:$B$56,'Start Here'!$A$17:$A$56,$A48,'Start Here'!$C$17:$C$56,"&gt;=6"),_xlfn.MAXIFS(Sets!$C$2:$C$1060,Sets!$B$2:$B$1060,$A48,Sets!$D$2:$D$1060,"&gt;=6"),_xlfn.MAXIFS(Log!$C$2:$C$1001,Log!$B$2:$B$1001,$A48,Log!$D$2:$D$1001,"&gt;=6"))</f>
        <v/>
      </c>
      <c r="J48" s="13">
        <f>MAX(_xlfn.MAXIFS('Start Here'!$B$17:$B$56,'Start Here'!$A$17:$A$56,$A48,'Start Here'!$C$17:$C$56,"&gt;=8"),_xlfn.MAXIFS(Sets!$C$2:$C$1060,Sets!$B$2:$B$1060,$A48,Sets!$D$2:$D$1060,"&gt;=8"),_xlfn.MAXIFS(Log!$C$2:$C$1001,Log!$B$2:$B$1001,$A48,Log!$D$2:$D$1001,"&gt;=8"))</f>
        <v/>
      </c>
      <c r="K48" s="13">
        <f>MAX(_xlfn.MAXIFS('Start Here'!$B$17:$B$56,'Start Here'!$A$17:$A$56,$A48,'Start Here'!$C$17:$C$56,"&gt;=10"),_xlfn.MAXIFS(Sets!$C$2:$C$1060,Sets!$B$2:$B$1060,$A48,Sets!$D$2:$D$1060,"&gt;=10"),_xlfn.MAXIFS(Log!$C$2:$C$1001,Log!$B$2:$B$1001,$A48,Log!$D$2:$D$1001,"&gt;=10"))</f>
        <v/>
      </c>
      <c r="L48" s="13">
        <f>MAX(_xlfn.MAXIFS('Start Here'!$B$17:$B$56,'Start Here'!$A$17:$A$56,$A48,'Start Here'!$C$17:$C$56,"&gt;=12"),_xlfn.MAXIFS(Sets!$C$2:$C$1060,Sets!$B$2:$B$1060,$A48,Sets!$D$2:$D$1060,"&gt;=12"),_xlfn.MAXIFS(Log!$C$2:$C$1001,Log!$B$2:$B$1001,$A48,Log!$D$2:$D$1001,"&gt;=12"))</f>
        <v/>
      </c>
    </row>
    <row r="49">
      <c r="A49" s="23" t="inlineStr">
        <is>
          <t>Block Clean</t>
        </is>
      </c>
      <c r="B49" t="inlineStr">
        <is>
          <t>variation</t>
        </is>
      </c>
      <c r="C49" s="11">
        <f>MAX(_xlfn.MAXIFS('Start Here'!$D$17:$D$56,'Start Here'!$A$17:$A$56,$A49),_xlfn.MAXIFS(Sets!$E$2:$E$1060,Sets!$B$2:$B$1060,$A49),_xlfn.MAXIFS(Log!$E$2:$E$1001,Log!$B$2:$B$1001,$A49))</f>
        <v/>
      </c>
      <c r="D49" s="13">
        <f>MAX(_xlfn.MAXIFS('Start Here'!$B$17:$B$56,'Start Here'!$A$17:$A$56,$A49,'Start Here'!$C$17:$C$56,"&gt;=1"),_xlfn.MAXIFS(Sets!$C$2:$C$1060,Sets!$B$2:$B$1060,$A49,Sets!$D$2:$D$1060,"&gt;=1"),_xlfn.MAXIFS(Log!$C$2:$C$1001,Log!$B$2:$B$1001,$A49,Log!$D$2:$D$1001,"&gt;=1"))</f>
        <v/>
      </c>
      <c r="E49" s="13">
        <f>MAX(_xlfn.MAXIFS('Start Here'!$B$17:$B$56,'Start Here'!$A$17:$A$56,$A49,'Start Here'!$C$17:$C$56,"&gt;=2"),_xlfn.MAXIFS(Sets!$C$2:$C$1060,Sets!$B$2:$B$1060,$A49,Sets!$D$2:$D$1060,"&gt;=2"),_xlfn.MAXIFS(Log!$C$2:$C$1001,Log!$B$2:$B$1001,$A49,Log!$D$2:$D$1001,"&gt;=2"))</f>
        <v/>
      </c>
      <c r="F49" s="13">
        <f>MAX(_xlfn.MAXIFS('Start Here'!$B$17:$B$56,'Start Here'!$A$17:$A$56,$A49,'Start Here'!$C$17:$C$56,"&gt;=3"),_xlfn.MAXIFS(Sets!$C$2:$C$1060,Sets!$B$2:$B$1060,$A49,Sets!$D$2:$D$1060,"&gt;=3"),_xlfn.MAXIFS(Log!$C$2:$C$1001,Log!$B$2:$B$1001,$A49,Log!$D$2:$D$1001,"&gt;=3"))</f>
        <v/>
      </c>
      <c r="G49" s="13">
        <f>MAX(_xlfn.MAXIFS('Start Here'!$B$17:$B$56,'Start Here'!$A$17:$A$56,$A49,'Start Here'!$C$17:$C$56,"&gt;=4"),_xlfn.MAXIFS(Sets!$C$2:$C$1060,Sets!$B$2:$B$1060,$A49,Sets!$D$2:$D$1060,"&gt;=4"),_xlfn.MAXIFS(Log!$C$2:$C$1001,Log!$B$2:$B$1001,$A49,Log!$D$2:$D$1001,"&gt;=4"))</f>
        <v/>
      </c>
      <c r="H49" s="13">
        <f>MAX(_xlfn.MAXIFS('Start Here'!$B$17:$B$56,'Start Here'!$A$17:$A$56,$A49,'Start Here'!$C$17:$C$56,"&gt;=5"),_xlfn.MAXIFS(Sets!$C$2:$C$1060,Sets!$B$2:$B$1060,$A49,Sets!$D$2:$D$1060,"&gt;=5"),_xlfn.MAXIFS(Log!$C$2:$C$1001,Log!$B$2:$B$1001,$A49,Log!$D$2:$D$1001,"&gt;=5"))</f>
        <v/>
      </c>
      <c r="I49" s="13">
        <f>MAX(_xlfn.MAXIFS('Start Here'!$B$17:$B$56,'Start Here'!$A$17:$A$56,$A49,'Start Here'!$C$17:$C$56,"&gt;=6"),_xlfn.MAXIFS(Sets!$C$2:$C$1060,Sets!$B$2:$B$1060,$A49,Sets!$D$2:$D$1060,"&gt;=6"),_xlfn.MAXIFS(Log!$C$2:$C$1001,Log!$B$2:$B$1001,$A49,Log!$D$2:$D$1001,"&gt;=6"))</f>
        <v/>
      </c>
      <c r="J49" s="13">
        <f>MAX(_xlfn.MAXIFS('Start Here'!$B$17:$B$56,'Start Here'!$A$17:$A$56,$A49,'Start Here'!$C$17:$C$56,"&gt;=8"),_xlfn.MAXIFS(Sets!$C$2:$C$1060,Sets!$B$2:$B$1060,$A49,Sets!$D$2:$D$1060,"&gt;=8"),_xlfn.MAXIFS(Log!$C$2:$C$1001,Log!$B$2:$B$1001,$A49,Log!$D$2:$D$1001,"&gt;=8"))</f>
        <v/>
      </c>
      <c r="K49" s="13">
        <f>MAX(_xlfn.MAXIFS('Start Here'!$B$17:$B$56,'Start Here'!$A$17:$A$56,$A49,'Start Here'!$C$17:$C$56,"&gt;=10"),_xlfn.MAXIFS(Sets!$C$2:$C$1060,Sets!$B$2:$B$1060,$A49,Sets!$D$2:$D$1060,"&gt;=10"),_xlfn.MAXIFS(Log!$C$2:$C$1001,Log!$B$2:$B$1001,$A49,Log!$D$2:$D$1001,"&gt;=10"))</f>
        <v/>
      </c>
      <c r="L49" s="13">
        <f>MAX(_xlfn.MAXIFS('Start Here'!$B$17:$B$56,'Start Here'!$A$17:$A$56,$A49,'Start Here'!$C$17:$C$56,"&gt;=12"),_xlfn.MAXIFS(Sets!$C$2:$C$1060,Sets!$B$2:$B$1060,$A49,Sets!$D$2:$D$1060,"&gt;=12"),_xlfn.MAXIFS(Log!$C$2:$C$1001,Log!$B$2:$B$1001,$A49,Log!$D$2:$D$1001,"&gt;=12"))</f>
        <v/>
      </c>
    </row>
    <row r="50">
      <c r="A50" s="23" t="inlineStr">
        <is>
          <t>Barbell Row</t>
        </is>
      </c>
      <c r="B50" t="inlineStr">
        <is>
          <t>accessory</t>
        </is>
      </c>
      <c r="C50" s="11">
        <f>MAX(_xlfn.MAXIFS('Start Here'!$D$17:$D$56,'Start Here'!$A$17:$A$56,$A50),_xlfn.MAXIFS(Sets!$E$2:$E$1060,Sets!$B$2:$B$1060,$A50),_xlfn.MAXIFS(Log!$E$2:$E$1001,Log!$B$2:$B$1001,$A50))</f>
        <v/>
      </c>
      <c r="D50" s="13">
        <f>MAX(_xlfn.MAXIFS('Start Here'!$B$17:$B$56,'Start Here'!$A$17:$A$56,$A50,'Start Here'!$C$17:$C$56,"&gt;=1"),_xlfn.MAXIFS(Sets!$C$2:$C$1060,Sets!$B$2:$B$1060,$A50,Sets!$D$2:$D$1060,"&gt;=1"),_xlfn.MAXIFS(Log!$C$2:$C$1001,Log!$B$2:$B$1001,$A50,Log!$D$2:$D$1001,"&gt;=1"))</f>
        <v/>
      </c>
      <c r="E50" s="13">
        <f>MAX(_xlfn.MAXIFS('Start Here'!$B$17:$B$56,'Start Here'!$A$17:$A$56,$A50,'Start Here'!$C$17:$C$56,"&gt;=2"),_xlfn.MAXIFS(Sets!$C$2:$C$1060,Sets!$B$2:$B$1060,$A50,Sets!$D$2:$D$1060,"&gt;=2"),_xlfn.MAXIFS(Log!$C$2:$C$1001,Log!$B$2:$B$1001,$A50,Log!$D$2:$D$1001,"&gt;=2"))</f>
        <v/>
      </c>
      <c r="F50" s="13">
        <f>MAX(_xlfn.MAXIFS('Start Here'!$B$17:$B$56,'Start Here'!$A$17:$A$56,$A50,'Start Here'!$C$17:$C$56,"&gt;=3"),_xlfn.MAXIFS(Sets!$C$2:$C$1060,Sets!$B$2:$B$1060,$A50,Sets!$D$2:$D$1060,"&gt;=3"),_xlfn.MAXIFS(Log!$C$2:$C$1001,Log!$B$2:$B$1001,$A50,Log!$D$2:$D$1001,"&gt;=3"))</f>
        <v/>
      </c>
      <c r="G50" s="13">
        <f>MAX(_xlfn.MAXIFS('Start Here'!$B$17:$B$56,'Start Here'!$A$17:$A$56,$A50,'Start Here'!$C$17:$C$56,"&gt;=4"),_xlfn.MAXIFS(Sets!$C$2:$C$1060,Sets!$B$2:$B$1060,$A50,Sets!$D$2:$D$1060,"&gt;=4"),_xlfn.MAXIFS(Log!$C$2:$C$1001,Log!$B$2:$B$1001,$A50,Log!$D$2:$D$1001,"&gt;=4"))</f>
        <v/>
      </c>
      <c r="H50" s="13">
        <f>MAX(_xlfn.MAXIFS('Start Here'!$B$17:$B$56,'Start Here'!$A$17:$A$56,$A50,'Start Here'!$C$17:$C$56,"&gt;=5"),_xlfn.MAXIFS(Sets!$C$2:$C$1060,Sets!$B$2:$B$1060,$A50,Sets!$D$2:$D$1060,"&gt;=5"),_xlfn.MAXIFS(Log!$C$2:$C$1001,Log!$B$2:$B$1001,$A50,Log!$D$2:$D$1001,"&gt;=5"))</f>
        <v/>
      </c>
      <c r="I50" s="13">
        <f>MAX(_xlfn.MAXIFS('Start Here'!$B$17:$B$56,'Start Here'!$A$17:$A$56,$A50,'Start Here'!$C$17:$C$56,"&gt;=6"),_xlfn.MAXIFS(Sets!$C$2:$C$1060,Sets!$B$2:$B$1060,$A50,Sets!$D$2:$D$1060,"&gt;=6"),_xlfn.MAXIFS(Log!$C$2:$C$1001,Log!$B$2:$B$1001,$A50,Log!$D$2:$D$1001,"&gt;=6"))</f>
        <v/>
      </c>
      <c r="J50" s="13">
        <f>MAX(_xlfn.MAXIFS('Start Here'!$B$17:$B$56,'Start Here'!$A$17:$A$56,$A50,'Start Here'!$C$17:$C$56,"&gt;=8"),_xlfn.MAXIFS(Sets!$C$2:$C$1060,Sets!$B$2:$B$1060,$A50,Sets!$D$2:$D$1060,"&gt;=8"),_xlfn.MAXIFS(Log!$C$2:$C$1001,Log!$B$2:$B$1001,$A50,Log!$D$2:$D$1001,"&gt;=8"))</f>
        <v/>
      </c>
      <c r="K50" s="13">
        <f>MAX(_xlfn.MAXIFS('Start Here'!$B$17:$B$56,'Start Here'!$A$17:$A$56,$A50,'Start Here'!$C$17:$C$56,"&gt;=10"),_xlfn.MAXIFS(Sets!$C$2:$C$1060,Sets!$B$2:$B$1060,$A50,Sets!$D$2:$D$1060,"&gt;=10"),_xlfn.MAXIFS(Log!$C$2:$C$1001,Log!$B$2:$B$1001,$A50,Log!$D$2:$D$1001,"&gt;=10"))</f>
        <v/>
      </c>
      <c r="L50" s="13">
        <f>MAX(_xlfn.MAXIFS('Start Here'!$B$17:$B$56,'Start Here'!$A$17:$A$56,$A50,'Start Here'!$C$17:$C$56,"&gt;=12"),_xlfn.MAXIFS(Sets!$C$2:$C$1060,Sets!$B$2:$B$1060,$A50,Sets!$D$2:$D$1060,"&gt;=12"),_xlfn.MAXIFS(Log!$C$2:$C$1001,Log!$B$2:$B$1001,$A50,Log!$D$2:$D$1001,"&gt;=12"))</f>
        <v/>
      </c>
    </row>
    <row r="51">
      <c r="A51" s="23" t="inlineStr">
        <is>
          <t>Face Pull</t>
        </is>
      </c>
      <c r="B51" t="inlineStr">
        <is>
          <t>accessory</t>
        </is>
      </c>
      <c r="C51" s="11">
        <f>MAX(_xlfn.MAXIFS('Start Here'!$D$17:$D$56,'Start Here'!$A$17:$A$56,$A51),_xlfn.MAXIFS(Sets!$E$2:$E$1060,Sets!$B$2:$B$1060,$A51),_xlfn.MAXIFS(Log!$E$2:$E$1001,Log!$B$2:$B$1001,$A51))</f>
        <v/>
      </c>
      <c r="D51" s="13">
        <f>MAX(_xlfn.MAXIFS('Start Here'!$B$17:$B$56,'Start Here'!$A$17:$A$56,$A51,'Start Here'!$C$17:$C$56,"&gt;=1"),_xlfn.MAXIFS(Sets!$C$2:$C$1060,Sets!$B$2:$B$1060,$A51,Sets!$D$2:$D$1060,"&gt;=1"),_xlfn.MAXIFS(Log!$C$2:$C$1001,Log!$B$2:$B$1001,$A51,Log!$D$2:$D$1001,"&gt;=1"))</f>
        <v/>
      </c>
      <c r="E51" s="13">
        <f>MAX(_xlfn.MAXIFS('Start Here'!$B$17:$B$56,'Start Here'!$A$17:$A$56,$A51,'Start Here'!$C$17:$C$56,"&gt;=2"),_xlfn.MAXIFS(Sets!$C$2:$C$1060,Sets!$B$2:$B$1060,$A51,Sets!$D$2:$D$1060,"&gt;=2"),_xlfn.MAXIFS(Log!$C$2:$C$1001,Log!$B$2:$B$1001,$A51,Log!$D$2:$D$1001,"&gt;=2"))</f>
        <v/>
      </c>
      <c r="F51" s="13">
        <f>MAX(_xlfn.MAXIFS('Start Here'!$B$17:$B$56,'Start Here'!$A$17:$A$56,$A51,'Start Here'!$C$17:$C$56,"&gt;=3"),_xlfn.MAXIFS(Sets!$C$2:$C$1060,Sets!$B$2:$B$1060,$A51,Sets!$D$2:$D$1060,"&gt;=3"),_xlfn.MAXIFS(Log!$C$2:$C$1001,Log!$B$2:$B$1001,$A51,Log!$D$2:$D$1001,"&gt;=3"))</f>
        <v/>
      </c>
      <c r="G51" s="13">
        <f>MAX(_xlfn.MAXIFS('Start Here'!$B$17:$B$56,'Start Here'!$A$17:$A$56,$A51,'Start Here'!$C$17:$C$56,"&gt;=4"),_xlfn.MAXIFS(Sets!$C$2:$C$1060,Sets!$B$2:$B$1060,$A51,Sets!$D$2:$D$1060,"&gt;=4"),_xlfn.MAXIFS(Log!$C$2:$C$1001,Log!$B$2:$B$1001,$A51,Log!$D$2:$D$1001,"&gt;=4"))</f>
        <v/>
      </c>
      <c r="H51" s="13">
        <f>MAX(_xlfn.MAXIFS('Start Here'!$B$17:$B$56,'Start Here'!$A$17:$A$56,$A51,'Start Here'!$C$17:$C$56,"&gt;=5"),_xlfn.MAXIFS(Sets!$C$2:$C$1060,Sets!$B$2:$B$1060,$A51,Sets!$D$2:$D$1060,"&gt;=5"),_xlfn.MAXIFS(Log!$C$2:$C$1001,Log!$B$2:$B$1001,$A51,Log!$D$2:$D$1001,"&gt;=5"))</f>
        <v/>
      </c>
      <c r="I51" s="13">
        <f>MAX(_xlfn.MAXIFS('Start Here'!$B$17:$B$56,'Start Here'!$A$17:$A$56,$A51,'Start Here'!$C$17:$C$56,"&gt;=6"),_xlfn.MAXIFS(Sets!$C$2:$C$1060,Sets!$B$2:$B$1060,$A51,Sets!$D$2:$D$1060,"&gt;=6"),_xlfn.MAXIFS(Log!$C$2:$C$1001,Log!$B$2:$B$1001,$A51,Log!$D$2:$D$1001,"&gt;=6"))</f>
        <v/>
      </c>
      <c r="J51" s="13">
        <f>MAX(_xlfn.MAXIFS('Start Here'!$B$17:$B$56,'Start Here'!$A$17:$A$56,$A51,'Start Here'!$C$17:$C$56,"&gt;=8"),_xlfn.MAXIFS(Sets!$C$2:$C$1060,Sets!$B$2:$B$1060,$A51,Sets!$D$2:$D$1060,"&gt;=8"),_xlfn.MAXIFS(Log!$C$2:$C$1001,Log!$B$2:$B$1001,$A51,Log!$D$2:$D$1001,"&gt;=8"))</f>
        <v/>
      </c>
      <c r="K51" s="13">
        <f>MAX(_xlfn.MAXIFS('Start Here'!$B$17:$B$56,'Start Here'!$A$17:$A$56,$A51,'Start Here'!$C$17:$C$56,"&gt;=10"),_xlfn.MAXIFS(Sets!$C$2:$C$1060,Sets!$B$2:$B$1060,$A51,Sets!$D$2:$D$1060,"&gt;=10"),_xlfn.MAXIFS(Log!$C$2:$C$1001,Log!$B$2:$B$1001,$A51,Log!$D$2:$D$1001,"&gt;=10"))</f>
        <v/>
      </c>
      <c r="L51" s="13">
        <f>MAX(_xlfn.MAXIFS('Start Here'!$B$17:$B$56,'Start Here'!$A$17:$A$56,$A51,'Start Here'!$C$17:$C$56,"&gt;=12"),_xlfn.MAXIFS(Sets!$C$2:$C$1060,Sets!$B$2:$B$1060,$A51,Sets!$D$2:$D$1060,"&gt;=12"),_xlfn.MAXIFS(Log!$C$2:$C$1001,Log!$B$2:$B$1001,$A51,Log!$D$2:$D$1001,"&gt;=12"))</f>
        <v/>
      </c>
    </row>
    <row r="52">
      <c r="A52" s="23" t="inlineStr">
        <is>
          <t>Dumbbell Curl</t>
        </is>
      </c>
      <c r="B52" t="inlineStr">
        <is>
          <t>accessory</t>
        </is>
      </c>
      <c r="C52" s="11">
        <f>MAX(_xlfn.MAXIFS('Start Here'!$D$17:$D$56,'Start Here'!$A$17:$A$56,$A52),_xlfn.MAXIFS(Sets!$E$2:$E$1060,Sets!$B$2:$B$1060,$A52),_xlfn.MAXIFS(Log!$E$2:$E$1001,Log!$B$2:$B$1001,$A52))</f>
        <v/>
      </c>
      <c r="D52" s="13">
        <f>MAX(_xlfn.MAXIFS('Start Here'!$B$17:$B$56,'Start Here'!$A$17:$A$56,$A52,'Start Here'!$C$17:$C$56,"&gt;=1"),_xlfn.MAXIFS(Sets!$C$2:$C$1060,Sets!$B$2:$B$1060,$A52,Sets!$D$2:$D$1060,"&gt;=1"),_xlfn.MAXIFS(Log!$C$2:$C$1001,Log!$B$2:$B$1001,$A52,Log!$D$2:$D$1001,"&gt;=1"))</f>
        <v/>
      </c>
      <c r="E52" s="13">
        <f>MAX(_xlfn.MAXIFS('Start Here'!$B$17:$B$56,'Start Here'!$A$17:$A$56,$A52,'Start Here'!$C$17:$C$56,"&gt;=2"),_xlfn.MAXIFS(Sets!$C$2:$C$1060,Sets!$B$2:$B$1060,$A52,Sets!$D$2:$D$1060,"&gt;=2"),_xlfn.MAXIFS(Log!$C$2:$C$1001,Log!$B$2:$B$1001,$A52,Log!$D$2:$D$1001,"&gt;=2"))</f>
        <v/>
      </c>
      <c r="F52" s="13">
        <f>MAX(_xlfn.MAXIFS('Start Here'!$B$17:$B$56,'Start Here'!$A$17:$A$56,$A52,'Start Here'!$C$17:$C$56,"&gt;=3"),_xlfn.MAXIFS(Sets!$C$2:$C$1060,Sets!$B$2:$B$1060,$A52,Sets!$D$2:$D$1060,"&gt;=3"),_xlfn.MAXIFS(Log!$C$2:$C$1001,Log!$B$2:$B$1001,$A52,Log!$D$2:$D$1001,"&gt;=3"))</f>
        <v/>
      </c>
      <c r="G52" s="13">
        <f>MAX(_xlfn.MAXIFS('Start Here'!$B$17:$B$56,'Start Here'!$A$17:$A$56,$A52,'Start Here'!$C$17:$C$56,"&gt;=4"),_xlfn.MAXIFS(Sets!$C$2:$C$1060,Sets!$B$2:$B$1060,$A52,Sets!$D$2:$D$1060,"&gt;=4"),_xlfn.MAXIFS(Log!$C$2:$C$1001,Log!$B$2:$B$1001,$A52,Log!$D$2:$D$1001,"&gt;=4"))</f>
        <v/>
      </c>
      <c r="H52" s="13">
        <f>MAX(_xlfn.MAXIFS('Start Here'!$B$17:$B$56,'Start Here'!$A$17:$A$56,$A52,'Start Here'!$C$17:$C$56,"&gt;=5"),_xlfn.MAXIFS(Sets!$C$2:$C$1060,Sets!$B$2:$B$1060,$A52,Sets!$D$2:$D$1060,"&gt;=5"),_xlfn.MAXIFS(Log!$C$2:$C$1001,Log!$B$2:$B$1001,$A52,Log!$D$2:$D$1001,"&gt;=5"))</f>
        <v/>
      </c>
      <c r="I52" s="13">
        <f>MAX(_xlfn.MAXIFS('Start Here'!$B$17:$B$56,'Start Here'!$A$17:$A$56,$A52,'Start Here'!$C$17:$C$56,"&gt;=6"),_xlfn.MAXIFS(Sets!$C$2:$C$1060,Sets!$B$2:$B$1060,$A52,Sets!$D$2:$D$1060,"&gt;=6"),_xlfn.MAXIFS(Log!$C$2:$C$1001,Log!$B$2:$B$1001,$A52,Log!$D$2:$D$1001,"&gt;=6"))</f>
        <v/>
      </c>
      <c r="J52" s="13">
        <f>MAX(_xlfn.MAXIFS('Start Here'!$B$17:$B$56,'Start Here'!$A$17:$A$56,$A52,'Start Here'!$C$17:$C$56,"&gt;=8"),_xlfn.MAXIFS(Sets!$C$2:$C$1060,Sets!$B$2:$B$1060,$A52,Sets!$D$2:$D$1060,"&gt;=8"),_xlfn.MAXIFS(Log!$C$2:$C$1001,Log!$B$2:$B$1001,$A52,Log!$D$2:$D$1001,"&gt;=8"))</f>
        <v/>
      </c>
      <c r="K52" s="13">
        <f>MAX(_xlfn.MAXIFS('Start Here'!$B$17:$B$56,'Start Here'!$A$17:$A$56,$A52,'Start Here'!$C$17:$C$56,"&gt;=10"),_xlfn.MAXIFS(Sets!$C$2:$C$1060,Sets!$B$2:$B$1060,$A52,Sets!$D$2:$D$1060,"&gt;=10"),_xlfn.MAXIFS(Log!$C$2:$C$1001,Log!$B$2:$B$1001,$A52,Log!$D$2:$D$1001,"&gt;=10"))</f>
        <v/>
      </c>
      <c r="L52" s="13">
        <f>MAX(_xlfn.MAXIFS('Start Here'!$B$17:$B$56,'Start Here'!$A$17:$A$56,$A52,'Start Here'!$C$17:$C$56,"&gt;=12"),_xlfn.MAXIFS(Sets!$C$2:$C$1060,Sets!$B$2:$B$1060,$A52,Sets!$D$2:$D$1060,"&gt;=12"),_xlfn.MAXIFS(Log!$C$2:$C$1001,Log!$B$2:$B$1001,$A52,Log!$D$2:$D$1001,"&gt;=12"))</f>
        <v/>
      </c>
    </row>
    <row r="53">
      <c r="A53" s="23" t="inlineStr">
        <is>
          <t>Chin-up</t>
        </is>
      </c>
      <c r="B53" t="inlineStr">
        <is>
          <t>accessory</t>
        </is>
      </c>
      <c r="C53" s="11">
        <f>MAX(_xlfn.MAXIFS('Start Here'!$D$17:$D$56,'Start Here'!$A$17:$A$56,$A53),_xlfn.MAXIFS(Sets!$E$2:$E$1060,Sets!$B$2:$B$1060,$A53),_xlfn.MAXIFS(Log!$E$2:$E$1001,Log!$B$2:$B$1001,$A53))</f>
        <v/>
      </c>
      <c r="D53" s="13">
        <f>MAX(_xlfn.MAXIFS('Start Here'!$B$17:$B$56,'Start Here'!$A$17:$A$56,$A53,'Start Here'!$C$17:$C$56,"&gt;=1"),_xlfn.MAXIFS(Sets!$C$2:$C$1060,Sets!$B$2:$B$1060,$A53,Sets!$D$2:$D$1060,"&gt;=1"),_xlfn.MAXIFS(Log!$C$2:$C$1001,Log!$B$2:$B$1001,$A53,Log!$D$2:$D$1001,"&gt;=1"))</f>
        <v/>
      </c>
      <c r="E53" s="13">
        <f>MAX(_xlfn.MAXIFS('Start Here'!$B$17:$B$56,'Start Here'!$A$17:$A$56,$A53,'Start Here'!$C$17:$C$56,"&gt;=2"),_xlfn.MAXIFS(Sets!$C$2:$C$1060,Sets!$B$2:$B$1060,$A53,Sets!$D$2:$D$1060,"&gt;=2"),_xlfn.MAXIFS(Log!$C$2:$C$1001,Log!$B$2:$B$1001,$A53,Log!$D$2:$D$1001,"&gt;=2"))</f>
        <v/>
      </c>
      <c r="F53" s="13">
        <f>MAX(_xlfn.MAXIFS('Start Here'!$B$17:$B$56,'Start Here'!$A$17:$A$56,$A53,'Start Here'!$C$17:$C$56,"&gt;=3"),_xlfn.MAXIFS(Sets!$C$2:$C$1060,Sets!$B$2:$B$1060,$A53,Sets!$D$2:$D$1060,"&gt;=3"),_xlfn.MAXIFS(Log!$C$2:$C$1001,Log!$B$2:$B$1001,$A53,Log!$D$2:$D$1001,"&gt;=3"))</f>
        <v/>
      </c>
      <c r="G53" s="13">
        <f>MAX(_xlfn.MAXIFS('Start Here'!$B$17:$B$56,'Start Here'!$A$17:$A$56,$A53,'Start Here'!$C$17:$C$56,"&gt;=4"),_xlfn.MAXIFS(Sets!$C$2:$C$1060,Sets!$B$2:$B$1060,$A53,Sets!$D$2:$D$1060,"&gt;=4"),_xlfn.MAXIFS(Log!$C$2:$C$1001,Log!$B$2:$B$1001,$A53,Log!$D$2:$D$1001,"&gt;=4"))</f>
        <v/>
      </c>
      <c r="H53" s="13">
        <f>MAX(_xlfn.MAXIFS('Start Here'!$B$17:$B$56,'Start Here'!$A$17:$A$56,$A53,'Start Here'!$C$17:$C$56,"&gt;=5"),_xlfn.MAXIFS(Sets!$C$2:$C$1060,Sets!$B$2:$B$1060,$A53,Sets!$D$2:$D$1060,"&gt;=5"),_xlfn.MAXIFS(Log!$C$2:$C$1001,Log!$B$2:$B$1001,$A53,Log!$D$2:$D$1001,"&gt;=5"))</f>
        <v/>
      </c>
      <c r="I53" s="13">
        <f>MAX(_xlfn.MAXIFS('Start Here'!$B$17:$B$56,'Start Here'!$A$17:$A$56,$A53,'Start Here'!$C$17:$C$56,"&gt;=6"),_xlfn.MAXIFS(Sets!$C$2:$C$1060,Sets!$B$2:$B$1060,$A53,Sets!$D$2:$D$1060,"&gt;=6"),_xlfn.MAXIFS(Log!$C$2:$C$1001,Log!$B$2:$B$1001,$A53,Log!$D$2:$D$1001,"&gt;=6"))</f>
        <v/>
      </c>
      <c r="J53" s="13">
        <f>MAX(_xlfn.MAXIFS('Start Here'!$B$17:$B$56,'Start Here'!$A$17:$A$56,$A53,'Start Here'!$C$17:$C$56,"&gt;=8"),_xlfn.MAXIFS(Sets!$C$2:$C$1060,Sets!$B$2:$B$1060,$A53,Sets!$D$2:$D$1060,"&gt;=8"),_xlfn.MAXIFS(Log!$C$2:$C$1001,Log!$B$2:$B$1001,$A53,Log!$D$2:$D$1001,"&gt;=8"))</f>
        <v/>
      </c>
      <c r="K53" s="13">
        <f>MAX(_xlfn.MAXIFS('Start Here'!$B$17:$B$56,'Start Here'!$A$17:$A$56,$A53,'Start Here'!$C$17:$C$56,"&gt;=10"),_xlfn.MAXIFS(Sets!$C$2:$C$1060,Sets!$B$2:$B$1060,$A53,Sets!$D$2:$D$1060,"&gt;=10"),_xlfn.MAXIFS(Log!$C$2:$C$1001,Log!$B$2:$B$1001,$A53,Log!$D$2:$D$1001,"&gt;=10"))</f>
        <v/>
      </c>
      <c r="L53" s="13">
        <f>MAX(_xlfn.MAXIFS('Start Here'!$B$17:$B$56,'Start Here'!$A$17:$A$56,$A53,'Start Here'!$C$17:$C$56,"&gt;=12"),_xlfn.MAXIFS(Sets!$C$2:$C$1060,Sets!$B$2:$B$1060,$A53,Sets!$D$2:$D$1060,"&gt;=12"),_xlfn.MAXIFS(Log!$C$2:$C$1001,Log!$B$2:$B$1001,$A53,Log!$D$2:$D$1001,"&gt;=12"))</f>
        <v/>
      </c>
    </row>
    <row r="54">
      <c r="A54" s="23" t="inlineStr">
        <is>
          <t>Lat Pulldown</t>
        </is>
      </c>
      <c r="B54" t="inlineStr">
        <is>
          <t>accessory</t>
        </is>
      </c>
      <c r="C54" s="11">
        <f>MAX(_xlfn.MAXIFS('Start Here'!$D$17:$D$56,'Start Here'!$A$17:$A$56,$A54),_xlfn.MAXIFS(Sets!$E$2:$E$1060,Sets!$B$2:$B$1060,$A54),_xlfn.MAXIFS(Log!$E$2:$E$1001,Log!$B$2:$B$1001,$A54))</f>
        <v/>
      </c>
      <c r="D54" s="13">
        <f>MAX(_xlfn.MAXIFS('Start Here'!$B$17:$B$56,'Start Here'!$A$17:$A$56,$A54,'Start Here'!$C$17:$C$56,"&gt;=1"),_xlfn.MAXIFS(Sets!$C$2:$C$1060,Sets!$B$2:$B$1060,$A54,Sets!$D$2:$D$1060,"&gt;=1"),_xlfn.MAXIFS(Log!$C$2:$C$1001,Log!$B$2:$B$1001,$A54,Log!$D$2:$D$1001,"&gt;=1"))</f>
        <v/>
      </c>
      <c r="E54" s="13">
        <f>MAX(_xlfn.MAXIFS('Start Here'!$B$17:$B$56,'Start Here'!$A$17:$A$56,$A54,'Start Here'!$C$17:$C$56,"&gt;=2"),_xlfn.MAXIFS(Sets!$C$2:$C$1060,Sets!$B$2:$B$1060,$A54,Sets!$D$2:$D$1060,"&gt;=2"),_xlfn.MAXIFS(Log!$C$2:$C$1001,Log!$B$2:$B$1001,$A54,Log!$D$2:$D$1001,"&gt;=2"))</f>
        <v/>
      </c>
      <c r="F54" s="13">
        <f>MAX(_xlfn.MAXIFS('Start Here'!$B$17:$B$56,'Start Here'!$A$17:$A$56,$A54,'Start Here'!$C$17:$C$56,"&gt;=3"),_xlfn.MAXIFS(Sets!$C$2:$C$1060,Sets!$B$2:$B$1060,$A54,Sets!$D$2:$D$1060,"&gt;=3"),_xlfn.MAXIFS(Log!$C$2:$C$1001,Log!$B$2:$B$1001,$A54,Log!$D$2:$D$1001,"&gt;=3"))</f>
        <v/>
      </c>
      <c r="G54" s="13">
        <f>MAX(_xlfn.MAXIFS('Start Here'!$B$17:$B$56,'Start Here'!$A$17:$A$56,$A54,'Start Here'!$C$17:$C$56,"&gt;=4"),_xlfn.MAXIFS(Sets!$C$2:$C$1060,Sets!$B$2:$B$1060,$A54,Sets!$D$2:$D$1060,"&gt;=4"),_xlfn.MAXIFS(Log!$C$2:$C$1001,Log!$B$2:$B$1001,$A54,Log!$D$2:$D$1001,"&gt;=4"))</f>
        <v/>
      </c>
      <c r="H54" s="13">
        <f>MAX(_xlfn.MAXIFS('Start Here'!$B$17:$B$56,'Start Here'!$A$17:$A$56,$A54,'Start Here'!$C$17:$C$56,"&gt;=5"),_xlfn.MAXIFS(Sets!$C$2:$C$1060,Sets!$B$2:$B$1060,$A54,Sets!$D$2:$D$1060,"&gt;=5"),_xlfn.MAXIFS(Log!$C$2:$C$1001,Log!$B$2:$B$1001,$A54,Log!$D$2:$D$1001,"&gt;=5"))</f>
        <v/>
      </c>
      <c r="I54" s="13">
        <f>MAX(_xlfn.MAXIFS('Start Here'!$B$17:$B$56,'Start Here'!$A$17:$A$56,$A54,'Start Here'!$C$17:$C$56,"&gt;=6"),_xlfn.MAXIFS(Sets!$C$2:$C$1060,Sets!$B$2:$B$1060,$A54,Sets!$D$2:$D$1060,"&gt;=6"),_xlfn.MAXIFS(Log!$C$2:$C$1001,Log!$B$2:$B$1001,$A54,Log!$D$2:$D$1001,"&gt;=6"))</f>
        <v/>
      </c>
      <c r="J54" s="13">
        <f>MAX(_xlfn.MAXIFS('Start Here'!$B$17:$B$56,'Start Here'!$A$17:$A$56,$A54,'Start Here'!$C$17:$C$56,"&gt;=8"),_xlfn.MAXIFS(Sets!$C$2:$C$1060,Sets!$B$2:$B$1060,$A54,Sets!$D$2:$D$1060,"&gt;=8"),_xlfn.MAXIFS(Log!$C$2:$C$1001,Log!$B$2:$B$1001,$A54,Log!$D$2:$D$1001,"&gt;=8"))</f>
        <v/>
      </c>
      <c r="K54" s="13">
        <f>MAX(_xlfn.MAXIFS('Start Here'!$B$17:$B$56,'Start Here'!$A$17:$A$56,$A54,'Start Here'!$C$17:$C$56,"&gt;=10"),_xlfn.MAXIFS(Sets!$C$2:$C$1060,Sets!$B$2:$B$1060,$A54,Sets!$D$2:$D$1060,"&gt;=10"),_xlfn.MAXIFS(Log!$C$2:$C$1001,Log!$B$2:$B$1001,$A54,Log!$D$2:$D$1001,"&gt;=10"))</f>
        <v/>
      </c>
      <c r="L54" s="13">
        <f>MAX(_xlfn.MAXIFS('Start Here'!$B$17:$B$56,'Start Here'!$A$17:$A$56,$A54,'Start Here'!$C$17:$C$56,"&gt;=12"),_xlfn.MAXIFS(Sets!$C$2:$C$1060,Sets!$B$2:$B$1060,$A54,Sets!$D$2:$D$1060,"&gt;=12"),_xlfn.MAXIFS(Log!$C$2:$C$1001,Log!$B$2:$B$1001,$A54,Log!$D$2:$D$1001,"&gt;=12"))</f>
        <v/>
      </c>
    </row>
    <row r="55">
      <c r="A55" s="23" t="inlineStr">
        <is>
          <t>Back Extension</t>
        </is>
      </c>
      <c r="B55" t="inlineStr">
        <is>
          <t>accessory</t>
        </is>
      </c>
      <c r="C55" s="11">
        <f>MAX(_xlfn.MAXIFS('Start Here'!$D$17:$D$56,'Start Here'!$A$17:$A$56,$A55),_xlfn.MAXIFS(Sets!$E$2:$E$1060,Sets!$B$2:$B$1060,$A55),_xlfn.MAXIFS(Log!$E$2:$E$1001,Log!$B$2:$B$1001,$A55))</f>
        <v/>
      </c>
      <c r="D55" s="13">
        <f>MAX(_xlfn.MAXIFS('Start Here'!$B$17:$B$56,'Start Here'!$A$17:$A$56,$A55,'Start Here'!$C$17:$C$56,"&gt;=1"),_xlfn.MAXIFS(Sets!$C$2:$C$1060,Sets!$B$2:$B$1060,$A55,Sets!$D$2:$D$1060,"&gt;=1"),_xlfn.MAXIFS(Log!$C$2:$C$1001,Log!$B$2:$B$1001,$A55,Log!$D$2:$D$1001,"&gt;=1"))</f>
        <v/>
      </c>
      <c r="E55" s="13">
        <f>MAX(_xlfn.MAXIFS('Start Here'!$B$17:$B$56,'Start Here'!$A$17:$A$56,$A55,'Start Here'!$C$17:$C$56,"&gt;=2"),_xlfn.MAXIFS(Sets!$C$2:$C$1060,Sets!$B$2:$B$1060,$A55,Sets!$D$2:$D$1060,"&gt;=2"),_xlfn.MAXIFS(Log!$C$2:$C$1001,Log!$B$2:$B$1001,$A55,Log!$D$2:$D$1001,"&gt;=2"))</f>
        <v/>
      </c>
      <c r="F55" s="13">
        <f>MAX(_xlfn.MAXIFS('Start Here'!$B$17:$B$56,'Start Here'!$A$17:$A$56,$A55,'Start Here'!$C$17:$C$56,"&gt;=3"),_xlfn.MAXIFS(Sets!$C$2:$C$1060,Sets!$B$2:$B$1060,$A55,Sets!$D$2:$D$1060,"&gt;=3"),_xlfn.MAXIFS(Log!$C$2:$C$1001,Log!$B$2:$B$1001,$A55,Log!$D$2:$D$1001,"&gt;=3"))</f>
        <v/>
      </c>
      <c r="G55" s="13">
        <f>MAX(_xlfn.MAXIFS('Start Here'!$B$17:$B$56,'Start Here'!$A$17:$A$56,$A55,'Start Here'!$C$17:$C$56,"&gt;=4"),_xlfn.MAXIFS(Sets!$C$2:$C$1060,Sets!$B$2:$B$1060,$A55,Sets!$D$2:$D$1060,"&gt;=4"),_xlfn.MAXIFS(Log!$C$2:$C$1001,Log!$B$2:$B$1001,$A55,Log!$D$2:$D$1001,"&gt;=4"))</f>
        <v/>
      </c>
      <c r="H55" s="13">
        <f>MAX(_xlfn.MAXIFS('Start Here'!$B$17:$B$56,'Start Here'!$A$17:$A$56,$A55,'Start Here'!$C$17:$C$56,"&gt;=5"),_xlfn.MAXIFS(Sets!$C$2:$C$1060,Sets!$B$2:$B$1060,$A55,Sets!$D$2:$D$1060,"&gt;=5"),_xlfn.MAXIFS(Log!$C$2:$C$1001,Log!$B$2:$B$1001,$A55,Log!$D$2:$D$1001,"&gt;=5"))</f>
        <v/>
      </c>
      <c r="I55" s="13">
        <f>MAX(_xlfn.MAXIFS('Start Here'!$B$17:$B$56,'Start Here'!$A$17:$A$56,$A55,'Start Here'!$C$17:$C$56,"&gt;=6"),_xlfn.MAXIFS(Sets!$C$2:$C$1060,Sets!$B$2:$B$1060,$A55,Sets!$D$2:$D$1060,"&gt;=6"),_xlfn.MAXIFS(Log!$C$2:$C$1001,Log!$B$2:$B$1001,$A55,Log!$D$2:$D$1001,"&gt;=6"))</f>
        <v/>
      </c>
      <c r="J55" s="13">
        <f>MAX(_xlfn.MAXIFS('Start Here'!$B$17:$B$56,'Start Here'!$A$17:$A$56,$A55,'Start Here'!$C$17:$C$56,"&gt;=8"),_xlfn.MAXIFS(Sets!$C$2:$C$1060,Sets!$B$2:$B$1060,$A55,Sets!$D$2:$D$1060,"&gt;=8"),_xlfn.MAXIFS(Log!$C$2:$C$1001,Log!$B$2:$B$1001,$A55,Log!$D$2:$D$1001,"&gt;=8"))</f>
        <v/>
      </c>
      <c r="K55" s="13">
        <f>MAX(_xlfn.MAXIFS('Start Here'!$B$17:$B$56,'Start Here'!$A$17:$A$56,$A55,'Start Here'!$C$17:$C$56,"&gt;=10"),_xlfn.MAXIFS(Sets!$C$2:$C$1060,Sets!$B$2:$B$1060,$A55,Sets!$D$2:$D$1060,"&gt;=10"),_xlfn.MAXIFS(Log!$C$2:$C$1001,Log!$B$2:$B$1001,$A55,Log!$D$2:$D$1001,"&gt;=10"))</f>
        <v/>
      </c>
      <c r="L55" s="13">
        <f>MAX(_xlfn.MAXIFS('Start Here'!$B$17:$B$56,'Start Here'!$A$17:$A$56,$A55,'Start Here'!$C$17:$C$56,"&gt;=12"),_xlfn.MAXIFS(Sets!$C$2:$C$1060,Sets!$B$2:$B$1060,$A55,Sets!$D$2:$D$1060,"&gt;=12"),_xlfn.MAXIFS(Log!$C$2:$C$1001,Log!$B$2:$B$1001,$A55,Log!$D$2:$D$1001,"&gt;=12"))</f>
        <v/>
      </c>
    </row>
    <row r="56">
      <c r="A56" s="23" t="inlineStr">
        <is>
          <t>Plank</t>
        </is>
      </c>
      <c r="B56" t="inlineStr">
        <is>
          <t>accessory</t>
        </is>
      </c>
      <c r="C56" s="11">
        <f>MAX(_xlfn.MAXIFS('Start Here'!$D$17:$D$56,'Start Here'!$A$17:$A$56,$A56),_xlfn.MAXIFS(Sets!$E$2:$E$1060,Sets!$B$2:$B$1060,$A56),_xlfn.MAXIFS(Log!$E$2:$E$1001,Log!$B$2:$B$1001,$A56))</f>
        <v/>
      </c>
      <c r="D56" s="13">
        <f>MAX(_xlfn.MAXIFS('Start Here'!$B$17:$B$56,'Start Here'!$A$17:$A$56,$A56,'Start Here'!$C$17:$C$56,"&gt;=1"),_xlfn.MAXIFS(Sets!$C$2:$C$1060,Sets!$B$2:$B$1060,$A56,Sets!$D$2:$D$1060,"&gt;=1"),_xlfn.MAXIFS(Log!$C$2:$C$1001,Log!$B$2:$B$1001,$A56,Log!$D$2:$D$1001,"&gt;=1"))</f>
        <v/>
      </c>
      <c r="E56" s="13">
        <f>MAX(_xlfn.MAXIFS('Start Here'!$B$17:$B$56,'Start Here'!$A$17:$A$56,$A56,'Start Here'!$C$17:$C$56,"&gt;=2"),_xlfn.MAXIFS(Sets!$C$2:$C$1060,Sets!$B$2:$B$1060,$A56,Sets!$D$2:$D$1060,"&gt;=2"),_xlfn.MAXIFS(Log!$C$2:$C$1001,Log!$B$2:$B$1001,$A56,Log!$D$2:$D$1001,"&gt;=2"))</f>
        <v/>
      </c>
      <c r="F56" s="13">
        <f>MAX(_xlfn.MAXIFS('Start Here'!$B$17:$B$56,'Start Here'!$A$17:$A$56,$A56,'Start Here'!$C$17:$C$56,"&gt;=3"),_xlfn.MAXIFS(Sets!$C$2:$C$1060,Sets!$B$2:$B$1060,$A56,Sets!$D$2:$D$1060,"&gt;=3"),_xlfn.MAXIFS(Log!$C$2:$C$1001,Log!$B$2:$B$1001,$A56,Log!$D$2:$D$1001,"&gt;=3"))</f>
        <v/>
      </c>
      <c r="G56" s="13">
        <f>MAX(_xlfn.MAXIFS('Start Here'!$B$17:$B$56,'Start Here'!$A$17:$A$56,$A56,'Start Here'!$C$17:$C$56,"&gt;=4"),_xlfn.MAXIFS(Sets!$C$2:$C$1060,Sets!$B$2:$B$1060,$A56,Sets!$D$2:$D$1060,"&gt;=4"),_xlfn.MAXIFS(Log!$C$2:$C$1001,Log!$B$2:$B$1001,$A56,Log!$D$2:$D$1001,"&gt;=4"))</f>
        <v/>
      </c>
      <c r="H56" s="13">
        <f>MAX(_xlfn.MAXIFS('Start Here'!$B$17:$B$56,'Start Here'!$A$17:$A$56,$A56,'Start Here'!$C$17:$C$56,"&gt;=5"),_xlfn.MAXIFS(Sets!$C$2:$C$1060,Sets!$B$2:$B$1060,$A56,Sets!$D$2:$D$1060,"&gt;=5"),_xlfn.MAXIFS(Log!$C$2:$C$1001,Log!$B$2:$B$1001,$A56,Log!$D$2:$D$1001,"&gt;=5"))</f>
        <v/>
      </c>
      <c r="I56" s="13">
        <f>MAX(_xlfn.MAXIFS('Start Here'!$B$17:$B$56,'Start Here'!$A$17:$A$56,$A56,'Start Here'!$C$17:$C$56,"&gt;=6"),_xlfn.MAXIFS(Sets!$C$2:$C$1060,Sets!$B$2:$B$1060,$A56,Sets!$D$2:$D$1060,"&gt;=6"),_xlfn.MAXIFS(Log!$C$2:$C$1001,Log!$B$2:$B$1001,$A56,Log!$D$2:$D$1001,"&gt;=6"))</f>
        <v/>
      </c>
      <c r="J56" s="13">
        <f>MAX(_xlfn.MAXIFS('Start Here'!$B$17:$B$56,'Start Here'!$A$17:$A$56,$A56,'Start Here'!$C$17:$C$56,"&gt;=8"),_xlfn.MAXIFS(Sets!$C$2:$C$1060,Sets!$B$2:$B$1060,$A56,Sets!$D$2:$D$1060,"&gt;=8"),_xlfn.MAXIFS(Log!$C$2:$C$1001,Log!$B$2:$B$1001,$A56,Log!$D$2:$D$1001,"&gt;=8"))</f>
        <v/>
      </c>
      <c r="K56" s="13">
        <f>MAX(_xlfn.MAXIFS('Start Here'!$B$17:$B$56,'Start Here'!$A$17:$A$56,$A56,'Start Here'!$C$17:$C$56,"&gt;=10"),_xlfn.MAXIFS(Sets!$C$2:$C$1060,Sets!$B$2:$B$1060,$A56,Sets!$D$2:$D$1060,"&gt;=10"),_xlfn.MAXIFS(Log!$C$2:$C$1001,Log!$B$2:$B$1001,$A56,Log!$D$2:$D$1001,"&gt;=10"))</f>
        <v/>
      </c>
      <c r="L56" s="13">
        <f>MAX(_xlfn.MAXIFS('Start Here'!$B$17:$B$56,'Start Here'!$A$17:$A$56,$A56,'Start Here'!$C$17:$C$56,"&gt;=12"),_xlfn.MAXIFS(Sets!$C$2:$C$1060,Sets!$B$2:$B$1060,$A56,Sets!$D$2:$D$1060,"&gt;=12"),_xlfn.MAXIFS(Log!$C$2:$C$1001,Log!$B$2:$B$1001,$A56,Log!$D$2:$D$1001,"&gt;=12"))</f>
        <v/>
      </c>
    </row>
    <row r="57">
      <c r="A57" s="23" t="inlineStr">
        <is>
          <t>Incline Dumbbell Press</t>
        </is>
      </c>
      <c r="B57" t="inlineStr">
        <is>
          <t>accessory</t>
        </is>
      </c>
      <c r="C57" s="11">
        <f>MAX(_xlfn.MAXIFS('Start Here'!$D$17:$D$56,'Start Here'!$A$17:$A$56,$A57),_xlfn.MAXIFS(Sets!$E$2:$E$1060,Sets!$B$2:$B$1060,$A57),_xlfn.MAXIFS(Log!$E$2:$E$1001,Log!$B$2:$B$1001,$A57))</f>
        <v/>
      </c>
      <c r="D57" s="13">
        <f>MAX(_xlfn.MAXIFS('Start Here'!$B$17:$B$56,'Start Here'!$A$17:$A$56,$A57,'Start Here'!$C$17:$C$56,"&gt;=1"),_xlfn.MAXIFS(Sets!$C$2:$C$1060,Sets!$B$2:$B$1060,$A57,Sets!$D$2:$D$1060,"&gt;=1"),_xlfn.MAXIFS(Log!$C$2:$C$1001,Log!$B$2:$B$1001,$A57,Log!$D$2:$D$1001,"&gt;=1"))</f>
        <v/>
      </c>
      <c r="E57" s="13">
        <f>MAX(_xlfn.MAXIFS('Start Here'!$B$17:$B$56,'Start Here'!$A$17:$A$56,$A57,'Start Here'!$C$17:$C$56,"&gt;=2"),_xlfn.MAXIFS(Sets!$C$2:$C$1060,Sets!$B$2:$B$1060,$A57,Sets!$D$2:$D$1060,"&gt;=2"),_xlfn.MAXIFS(Log!$C$2:$C$1001,Log!$B$2:$B$1001,$A57,Log!$D$2:$D$1001,"&gt;=2"))</f>
        <v/>
      </c>
      <c r="F57" s="13">
        <f>MAX(_xlfn.MAXIFS('Start Here'!$B$17:$B$56,'Start Here'!$A$17:$A$56,$A57,'Start Here'!$C$17:$C$56,"&gt;=3"),_xlfn.MAXIFS(Sets!$C$2:$C$1060,Sets!$B$2:$B$1060,$A57,Sets!$D$2:$D$1060,"&gt;=3"),_xlfn.MAXIFS(Log!$C$2:$C$1001,Log!$B$2:$B$1001,$A57,Log!$D$2:$D$1001,"&gt;=3"))</f>
        <v/>
      </c>
      <c r="G57" s="13">
        <f>MAX(_xlfn.MAXIFS('Start Here'!$B$17:$B$56,'Start Here'!$A$17:$A$56,$A57,'Start Here'!$C$17:$C$56,"&gt;=4"),_xlfn.MAXIFS(Sets!$C$2:$C$1060,Sets!$B$2:$B$1060,$A57,Sets!$D$2:$D$1060,"&gt;=4"),_xlfn.MAXIFS(Log!$C$2:$C$1001,Log!$B$2:$B$1001,$A57,Log!$D$2:$D$1001,"&gt;=4"))</f>
        <v/>
      </c>
      <c r="H57" s="13">
        <f>MAX(_xlfn.MAXIFS('Start Here'!$B$17:$B$56,'Start Here'!$A$17:$A$56,$A57,'Start Here'!$C$17:$C$56,"&gt;=5"),_xlfn.MAXIFS(Sets!$C$2:$C$1060,Sets!$B$2:$B$1060,$A57,Sets!$D$2:$D$1060,"&gt;=5"),_xlfn.MAXIFS(Log!$C$2:$C$1001,Log!$B$2:$B$1001,$A57,Log!$D$2:$D$1001,"&gt;=5"))</f>
        <v/>
      </c>
      <c r="I57" s="13">
        <f>MAX(_xlfn.MAXIFS('Start Here'!$B$17:$B$56,'Start Here'!$A$17:$A$56,$A57,'Start Here'!$C$17:$C$56,"&gt;=6"),_xlfn.MAXIFS(Sets!$C$2:$C$1060,Sets!$B$2:$B$1060,$A57,Sets!$D$2:$D$1060,"&gt;=6"),_xlfn.MAXIFS(Log!$C$2:$C$1001,Log!$B$2:$B$1001,$A57,Log!$D$2:$D$1001,"&gt;=6"))</f>
        <v/>
      </c>
      <c r="J57" s="13">
        <f>MAX(_xlfn.MAXIFS('Start Here'!$B$17:$B$56,'Start Here'!$A$17:$A$56,$A57,'Start Here'!$C$17:$C$56,"&gt;=8"),_xlfn.MAXIFS(Sets!$C$2:$C$1060,Sets!$B$2:$B$1060,$A57,Sets!$D$2:$D$1060,"&gt;=8"),_xlfn.MAXIFS(Log!$C$2:$C$1001,Log!$B$2:$B$1001,$A57,Log!$D$2:$D$1001,"&gt;=8"))</f>
        <v/>
      </c>
      <c r="K57" s="13">
        <f>MAX(_xlfn.MAXIFS('Start Here'!$B$17:$B$56,'Start Here'!$A$17:$A$56,$A57,'Start Here'!$C$17:$C$56,"&gt;=10"),_xlfn.MAXIFS(Sets!$C$2:$C$1060,Sets!$B$2:$B$1060,$A57,Sets!$D$2:$D$1060,"&gt;=10"),_xlfn.MAXIFS(Log!$C$2:$C$1001,Log!$B$2:$B$1001,$A57,Log!$D$2:$D$1001,"&gt;=10"))</f>
        <v/>
      </c>
      <c r="L57" s="13">
        <f>MAX(_xlfn.MAXIFS('Start Here'!$B$17:$B$56,'Start Here'!$A$17:$A$56,$A57,'Start Here'!$C$17:$C$56,"&gt;=12"),_xlfn.MAXIFS(Sets!$C$2:$C$1060,Sets!$B$2:$B$1060,$A57,Sets!$D$2:$D$1060,"&gt;=12"),_xlfn.MAXIFS(Log!$C$2:$C$1001,Log!$B$2:$B$1001,$A57,Log!$D$2:$D$1001,"&gt;=12"))</f>
        <v/>
      </c>
    </row>
    <row r="58">
      <c r="A58" s="23" t="inlineStr">
        <is>
          <t>One-Arm Dumbbell Row</t>
        </is>
      </c>
      <c r="B58" t="inlineStr">
        <is>
          <t>accessory</t>
        </is>
      </c>
      <c r="C58" s="11">
        <f>MAX(_xlfn.MAXIFS('Start Here'!$D$17:$D$56,'Start Here'!$A$17:$A$56,$A58),_xlfn.MAXIFS(Sets!$E$2:$E$1060,Sets!$B$2:$B$1060,$A58),_xlfn.MAXIFS(Log!$E$2:$E$1001,Log!$B$2:$B$1001,$A58))</f>
        <v/>
      </c>
      <c r="D58" s="13">
        <f>MAX(_xlfn.MAXIFS('Start Here'!$B$17:$B$56,'Start Here'!$A$17:$A$56,$A58,'Start Here'!$C$17:$C$56,"&gt;=1"),_xlfn.MAXIFS(Sets!$C$2:$C$1060,Sets!$B$2:$B$1060,$A58,Sets!$D$2:$D$1060,"&gt;=1"),_xlfn.MAXIFS(Log!$C$2:$C$1001,Log!$B$2:$B$1001,$A58,Log!$D$2:$D$1001,"&gt;=1"))</f>
        <v/>
      </c>
      <c r="E58" s="13">
        <f>MAX(_xlfn.MAXIFS('Start Here'!$B$17:$B$56,'Start Here'!$A$17:$A$56,$A58,'Start Here'!$C$17:$C$56,"&gt;=2"),_xlfn.MAXIFS(Sets!$C$2:$C$1060,Sets!$B$2:$B$1060,$A58,Sets!$D$2:$D$1060,"&gt;=2"),_xlfn.MAXIFS(Log!$C$2:$C$1001,Log!$B$2:$B$1001,$A58,Log!$D$2:$D$1001,"&gt;=2"))</f>
        <v/>
      </c>
      <c r="F58" s="13">
        <f>MAX(_xlfn.MAXIFS('Start Here'!$B$17:$B$56,'Start Here'!$A$17:$A$56,$A58,'Start Here'!$C$17:$C$56,"&gt;=3"),_xlfn.MAXIFS(Sets!$C$2:$C$1060,Sets!$B$2:$B$1060,$A58,Sets!$D$2:$D$1060,"&gt;=3"),_xlfn.MAXIFS(Log!$C$2:$C$1001,Log!$B$2:$B$1001,$A58,Log!$D$2:$D$1001,"&gt;=3"))</f>
        <v/>
      </c>
      <c r="G58" s="13">
        <f>MAX(_xlfn.MAXIFS('Start Here'!$B$17:$B$56,'Start Here'!$A$17:$A$56,$A58,'Start Here'!$C$17:$C$56,"&gt;=4"),_xlfn.MAXIFS(Sets!$C$2:$C$1060,Sets!$B$2:$B$1060,$A58,Sets!$D$2:$D$1060,"&gt;=4"),_xlfn.MAXIFS(Log!$C$2:$C$1001,Log!$B$2:$B$1001,$A58,Log!$D$2:$D$1001,"&gt;=4"))</f>
        <v/>
      </c>
      <c r="H58" s="13">
        <f>MAX(_xlfn.MAXIFS('Start Here'!$B$17:$B$56,'Start Here'!$A$17:$A$56,$A58,'Start Here'!$C$17:$C$56,"&gt;=5"),_xlfn.MAXIFS(Sets!$C$2:$C$1060,Sets!$B$2:$B$1060,$A58,Sets!$D$2:$D$1060,"&gt;=5"),_xlfn.MAXIFS(Log!$C$2:$C$1001,Log!$B$2:$B$1001,$A58,Log!$D$2:$D$1001,"&gt;=5"))</f>
        <v/>
      </c>
      <c r="I58" s="13">
        <f>MAX(_xlfn.MAXIFS('Start Here'!$B$17:$B$56,'Start Here'!$A$17:$A$56,$A58,'Start Here'!$C$17:$C$56,"&gt;=6"),_xlfn.MAXIFS(Sets!$C$2:$C$1060,Sets!$B$2:$B$1060,$A58,Sets!$D$2:$D$1060,"&gt;=6"),_xlfn.MAXIFS(Log!$C$2:$C$1001,Log!$B$2:$B$1001,$A58,Log!$D$2:$D$1001,"&gt;=6"))</f>
        <v/>
      </c>
      <c r="J58" s="13">
        <f>MAX(_xlfn.MAXIFS('Start Here'!$B$17:$B$56,'Start Here'!$A$17:$A$56,$A58,'Start Here'!$C$17:$C$56,"&gt;=8"),_xlfn.MAXIFS(Sets!$C$2:$C$1060,Sets!$B$2:$B$1060,$A58,Sets!$D$2:$D$1060,"&gt;=8"),_xlfn.MAXIFS(Log!$C$2:$C$1001,Log!$B$2:$B$1001,$A58,Log!$D$2:$D$1001,"&gt;=8"))</f>
        <v/>
      </c>
      <c r="K58" s="13">
        <f>MAX(_xlfn.MAXIFS('Start Here'!$B$17:$B$56,'Start Here'!$A$17:$A$56,$A58,'Start Here'!$C$17:$C$56,"&gt;=10"),_xlfn.MAXIFS(Sets!$C$2:$C$1060,Sets!$B$2:$B$1060,$A58,Sets!$D$2:$D$1060,"&gt;=10"),_xlfn.MAXIFS(Log!$C$2:$C$1001,Log!$B$2:$B$1001,$A58,Log!$D$2:$D$1001,"&gt;=10"))</f>
        <v/>
      </c>
      <c r="L58" s="13">
        <f>MAX(_xlfn.MAXIFS('Start Here'!$B$17:$B$56,'Start Here'!$A$17:$A$56,$A58,'Start Here'!$C$17:$C$56,"&gt;=12"),_xlfn.MAXIFS(Sets!$C$2:$C$1060,Sets!$B$2:$B$1060,$A58,Sets!$D$2:$D$1060,"&gt;=12"),_xlfn.MAXIFS(Log!$C$2:$C$1001,Log!$B$2:$B$1001,$A58,Log!$D$2:$D$1001,"&gt;=12"))</f>
        <v/>
      </c>
    </row>
    <row r="59">
      <c r="A59" s="23" t="inlineStr">
        <is>
          <t>Triceps Pushdown</t>
        </is>
      </c>
      <c r="B59" t="inlineStr">
        <is>
          <t>accessory</t>
        </is>
      </c>
      <c r="C59" s="11">
        <f>MAX(_xlfn.MAXIFS('Start Here'!$D$17:$D$56,'Start Here'!$A$17:$A$56,$A59),_xlfn.MAXIFS(Sets!$E$2:$E$1060,Sets!$B$2:$B$1060,$A59),_xlfn.MAXIFS(Log!$E$2:$E$1001,Log!$B$2:$B$1001,$A59))</f>
        <v/>
      </c>
      <c r="D59" s="13">
        <f>MAX(_xlfn.MAXIFS('Start Here'!$B$17:$B$56,'Start Here'!$A$17:$A$56,$A59,'Start Here'!$C$17:$C$56,"&gt;=1"),_xlfn.MAXIFS(Sets!$C$2:$C$1060,Sets!$B$2:$B$1060,$A59,Sets!$D$2:$D$1060,"&gt;=1"),_xlfn.MAXIFS(Log!$C$2:$C$1001,Log!$B$2:$B$1001,$A59,Log!$D$2:$D$1001,"&gt;=1"))</f>
        <v/>
      </c>
      <c r="E59" s="13">
        <f>MAX(_xlfn.MAXIFS('Start Here'!$B$17:$B$56,'Start Here'!$A$17:$A$56,$A59,'Start Here'!$C$17:$C$56,"&gt;=2"),_xlfn.MAXIFS(Sets!$C$2:$C$1060,Sets!$B$2:$B$1060,$A59,Sets!$D$2:$D$1060,"&gt;=2"),_xlfn.MAXIFS(Log!$C$2:$C$1001,Log!$B$2:$B$1001,$A59,Log!$D$2:$D$1001,"&gt;=2"))</f>
        <v/>
      </c>
      <c r="F59" s="13">
        <f>MAX(_xlfn.MAXIFS('Start Here'!$B$17:$B$56,'Start Here'!$A$17:$A$56,$A59,'Start Here'!$C$17:$C$56,"&gt;=3"),_xlfn.MAXIFS(Sets!$C$2:$C$1060,Sets!$B$2:$B$1060,$A59,Sets!$D$2:$D$1060,"&gt;=3"),_xlfn.MAXIFS(Log!$C$2:$C$1001,Log!$B$2:$B$1001,$A59,Log!$D$2:$D$1001,"&gt;=3"))</f>
        <v/>
      </c>
      <c r="G59" s="13">
        <f>MAX(_xlfn.MAXIFS('Start Here'!$B$17:$B$56,'Start Here'!$A$17:$A$56,$A59,'Start Here'!$C$17:$C$56,"&gt;=4"),_xlfn.MAXIFS(Sets!$C$2:$C$1060,Sets!$B$2:$B$1060,$A59,Sets!$D$2:$D$1060,"&gt;=4"),_xlfn.MAXIFS(Log!$C$2:$C$1001,Log!$B$2:$B$1001,$A59,Log!$D$2:$D$1001,"&gt;=4"))</f>
        <v/>
      </c>
      <c r="H59" s="13">
        <f>MAX(_xlfn.MAXIFS('Start Here'!$B$17:$B$56,'Start Here'!$A$17:$A$56,$A59,'Start Here'!$C$17:$C$56,"&gt;=5"),_xlfn.MAXIFS(Sets!$C$2:$C$1060,Sets!$B$2:$B$1060,$A59,Sets!$D$2:$D$1060,"&gt;=5"),_xlfn.MAXIFS(Log!$C$2:$C$1001,Log!$B$2:$B$1001,$A59,Log!$D$2:$D$1001,"&gt;=5"))</f>
        <v/>
      </c>
      <c r="I59" s="13">
        <f>MAX(_xlfn.MAXIFS('Start Here'!$B$17:$B$56,'Start Here'!$A$17:$A$56,$A59,'Start Here'!$C$17:$C$56,"&gt;=6"),_xlfn.MAXIFS(Sets!$C$2:$C$1060,Sets!$B$2:$B$1060,$A59,Sets!$D$2:$D$1060,"&gt;=6"),_xlfn.MAXIFS(Log!$C$2:$C$1001,Log!$B$2:$B$1001,$A59,Log!$D$2:$D$1001,"&gt;=6"))</f>
        <v/>
      </c>
      <c r="J59" s="13">
        <f>MAX(_xlfn.MAXIFS('Start Here'!$B$17:$B$56,'Start Here'!$A$17:$A$56,$A59,'Start Here'!$C$17:$C$56,"&gt;=8"),_xlfn.MAXIFS(Sets!$C$2:$C$1060,Sets!$B$2:$B$1060,$A59,Sets!$D$2:$D$1060,"&gt;=8"),_xlfn.MAXIFS(Log!$C$2:$C$1001,Log!$B$2:$B$1001,$A59,Log!$D$2:$D$1001,"&gt;=8"))</f>
        <v/>
      </c>
      <c r="K59" s="13">
        <f>MAX(_xlfn.MAXIFS('Start Here'!$B$17:$B$56,'Start Here'!$A$17:$A$56,$A59,'Start Here'!$C$17:$C$56,"&gt;=10"),_xlfn.MAXIFS(Sets!$C$2:$C$1060,Sets!$B$2:$B$1060,$A59,Sets!$D$2:$D$1060,"&gt;=10"),_xlfn.MAXIFS(Log!$C$2:$C$1001,Log!$B$2:$B$1001,$A59,Log!$D$2:$D$1001,"&gt;=10"))</f>
        <v/>
      </c>
      <c r="L59" s="13">
        <f>MAX(_xlfn.MAXIFS('Start Here'!$B$17:$B$56,'Start Here'!$A$17:$A$56,$A59,'Start Here'!$C$17:$C$56,"&gt;=12"),_xlfn.MAXIFS(Sets!$C$2:$C$1060,Sets!$B$2:$B$1060,$A59,Sets!$D$2:$D$1060,"&gt;=12"),_xlfn.MAXIFS(Log!$C$2:$C$1001,Log!$B$2:$B$1001,$A59,Log!$D$2:$D$1001,"&gt;=12"))</f>
        <v/>
      </c>
    </row>
    <row r="60">
      <c r="A60" s="23" t="inlineStr">
        <is>
          <t>Walking Lunge</t>
        </is>
      </c>
      <c r="B60" t="inlineStr">
        <is>
          <t>accessory</t>
        </is>
      </c>
      <c r="C60" s="11">
        <f>MAX(_xlfn.MAXIFS('Start Here'!$D$17:$D$56,'Start Here'!$A$17:$A$56,$A60),_xlfn.MAXIFS(Sets!$E$2:$E$1060,Sets!$B$2:$B$1060,$A60),_xlfn.MAXIFS(Log!$E$2:$E$1001,Log!$B$2:$B$1001,$A60))</f>
        <v/>
      </c>
      <c r="D60" s="13">
        <f>MAX(_xlfn.MAXIFS('Start Here'!$B$17:$B$56,'Start Here'!$A$17:$A$56,$A60,'Start Here'!$C$17:$C$56,"&gt;=1"),_xlfn.MAXIFS(Sets!$C$2:$C$1060,Sets!$B$2:$B$1060,$A60,Sets!$D$2:$D$1060,"&gt;=1"),_xlfn.MAXIFS(Log!$C$2:$C$1001,Log!$B$2:$B$1001,$A60,Log!$D$2:$D$1001,"&gt;=1"))</f>
        <v/>
      </c>
      <c r="E60" s="13">
        <f>MAX(_xlfn.MAXIFS('Start Here'!$B$17:$B$56,'Start Here'!$A$17:$A$56,$A60,'Start Here'!$C$17:$C$56,"&gt;=2"),_xlfn.MAXIFS(Sets!$C$2:$C$1060,Sets!$B$2:$B$1060,$A60,Sets!$D$2:$D$1060,"&gt;=2"),_xlfn.MAXIFS(Log!$C$2:$C$1001,Log!$B$2:$B$1001,$A60,Log!$D$2:$D$1001,"&gt;=2"))</f>
        <v/>
      </c>
      <c r="F60" s="13">
        <f>MAX(_xlfn.MAXIFS('Start Here'!$B$17:$B$56,'Start Here'!$A$17:$A$56,$A60,'Start Here'!$C$17:$C$56,"&gt;=3"),_xlfn.MAXIFS(Sets!$C$2:$C$1060,Sets!$B$2:$B$1060,$A60,Sets!$D$2:$D$1060,"&gt;=3"),_xlfn.MAXIFS(Log!$C$2:$C$1001,Log!$B$2:$B$1001,$A60,Log!$D$2:$D$1001,"&gt;=3"))</f>
        <v/>
      </c>
      <c r="G60" s="13">
        <f>MAX(_xlfn.MAXIFS('Start Here'!$B$17:$B$56,'Start Here'!$A$17:$A$56,$A60,'Start Here'!$C$17:$C$56,"&gt;=4"),_xlfn.MAXIFS(Sets!$C$2:$C$1060,Sets!$B$2:$B$1060,$A60,Sets!$D$2:$D$1060,"&gt;=4"),_xlfn.MAXIFS(Log!$C$2:$C$1001,Log!$B$2:$B$1001,$A60,Log!$D$2:$D$1001,"&gt;=4"))</f>
        <v/>
      </c>
      <c r="H60" s="13">
        <f>MAX(_xlfn.MAXIFS('Start Here'!$B$17:$B$56,'Start Here'!$A$17:$A$56,$A60,'Start Here'!$C$17:$C$56,"&gt;=5"),_xlfn.MAXIFS(Sets!$C$2:$C$1060,Sets!$B$2:$B$1060,$A60,Sets!$D$2:$D$1060,"&gt;=5"),_xlfn.MAXIFS(Log!$C$2:$C$1001,Log!$B$2:$B$1001,$A60,Log!$D$2:$D$1001,"&gt;=5"))</f>
        <v/>
      </c>
      <c r="I60" s="13">
        <f>MAX(_xlfn.MAXIFS('Start Here'!$B$17:$B$56,'Start Here'!$A$17:$A$56,$A60,'Start Here'!$C$17:$C$56,"&gt;=6"),_xlfn.MAXIFS(Sets!$C$2:$C$1060,Sets!$B$2:$B$1060,$A60,Sets!$D$2:$D$1060,"&gt;=6"),_xlfn.MAXIFS(Log!$C$2:$C$1001,Log!$B$2:$B$1001,$A60,Log!$D$2:$D$1001,"&gt;=6"))</f>
        <v/>
      </c>
      <c r="J60" s="13">
        <f>MAX(_xlfn.MAXIFS('Start Here'!$B$17:$B$56,'Start Here'!$A$17:$A$56,$A60,'Start Here'!$C$17:$C$56,"&gt;=8"),_xlfn.MAXIFS(Sets!$C$2:$C$1060,Sets!$B$2:$B$1060,$A60,Sets!$D$2:$D$1060,"&gt;=8"),_xlfn.MAXIFS(Log!$C$2:$C$1001,Log!$B$2:$B$1001,$A60,Log!$D$2:$D$1001,"&gt;=8"))</f>
        <v/>
      </c>
      <c r="K60" s="13">
        <f>MAX(_xlfn.MAXIFS('Start Here'!$B$17:$B$56,'Start Here'!$A$17:$A$56,$A60,'Start Here'!$C$17:$C$56,"&gt;=10"),_xlfn.MAXIFS(Sets!$C$2:$C$1060,Sets!$B$2:$B$1060,$A60,Sets!$D$2:$D$1060,"&gt;=10"),_xlfn.MAXIFS(Log!$C$2:$C$1001,Log!$B$2:$B$1001,$A60,Log!$D$2:$D$1001,"&gt;=10"))</f>
        <v/>
      </c>
      <c r="L60" s="13">
        <f>MAX(_xlfn.MAXIFS('Start Here'!$B$17:$B$56,'Start Here'!$A$17:$A$56,$A60,'Start Here'!$C$17:$C$56,"&gt;=12"),_xlfn.MAXIFS(Sets!$C$2:$C$1060,Sets!$B$2:$B$1060,$A60,Sets!$D$2:$D$1060,"&gt;=12"),_xlfn.MAXIFS(Log!$C$2:$C$1001,Log!$B$2:$B$1001,$A60,Log!$D$2:$D$1001,"&gt;=12"))</f>
        <v/>
      </c>
    </row>
    <row r="61">
      <c r="A61" s="23" t="inlineStr">
        <is>
          <t>Leg Press</t>
        </is>
      </c>
      <c r="B61" t="inlineStr">
        <is>
          <t>accessory</t>
        </is>
      </c>
      <c r="C61" s="11">
        <f>MAX(_xlfn.MAXIFS('Start Here'!$D$17:$D$56,'Start Here'!$A$17:$A$56,$A61),_xlfn.MAXIFS(Sets!$E$2:$E$1060,Sets!$B$2:$B$1060,$A61),_xlfn.MAXIFS(Log!$E$2:$E$1001,Log!$B$2:$B$1001,$A61))</f>
        <v/>
      </c>
      <c r="D61" s="13">
        <f>MAX(_xlfn.MAXIFS('Start Here'!$B$17:$B$56,'Start Here'!$A$17:$A$56,$A61,'Start Here'!$C$17:$C$56,"&gt;=1"),_xlfn.MAXIFS(Sets!$C$2:$C$1060,Sets!$B$2:$B$1060,$A61,Sets!$D$2:$D$1060,"&gt;=1"),_xlfn.MAXIFS(Log!$C$2:$C$1001,Log!$B$2:$B$1001,$A61,Log!$D$2:$D$1001,"&gt;=1"))</f>
        <v/>
      </c>
      <c r="E61" s="13">
        <f>MAX(_xlfn.MAXIFS('Start Here'!$B$17:$B$56,'Start Here'!$A$17:$A$56,$A61,'Start Here'!$C$17:$C$56,"&gt;=2"),_xlfn.MAXIFS(Sets!$C$2:$C$1060,Sets!$B$2:$B$1060,$A61,Sets!$D$2:$D$1060,"&gt;=2"),_xlfn.MAXIFS(Log!$C$2:$C$1001,Log!$B$2:$B$1001,$A61,Log!$D$2:$D$1001,"&gt;=2"))</f>
        <v/>
      </c>
      <c r="F61" s="13">
        <f>MAX(_xlfn.MAXIFS('Start Here'!$B$17:$B$56,'Start Here'!$A$17:$A$56,$A61,'Start Here'!$C$17:$C$56,"&gt;=3"),_xlfn.MAXIFS(Sets!$C$2:$C$1060,Sets!$B$2:$B$1060,$A61,Sets!$D$2:$D$1060,"&gt;=3"),_xlfn.MAXIFS(Log!$C$2:$C$1001,Log!$B$2:$B$1001,$A61,Log!$D$2:$D$1001,"&gt;=3"))</f>
        <v/>
      </c>
      <c r="G61" s="13">
        <f>MAX(_xlfn.MAXIFS('Start Here'!$B$17:$B$56,'Start Here'!$A$17:$A$56,$A61,'Start Here'!$C$17:$C$56,"&gt;=4"),_xlfn.MAXIFS(Sets!$C$2:$C$1060,Sets!$B$2:$B$1060,$A61,Sets!$D$2:$D$1060,"&gt;=4"),_xlfn.MAXIFS(Log!$C$2:$C$1001,Log!$B$2:$B$1001,$A61,Log!$D$2:$D$1001,"&gt;=4"))</f>
        <v/>
      </c>
      <c r="H61" s="13">
        <f>MAX(_xlfn.MAXIFS('Start Here'!$B$17:$B$56,'Start Here'!$A$17:$A$56,$A61,'Start Here'!$C$17:$C$56,"&gt;=5"),_xlfn.MAXIFS(Sets!$C$2:$C$1060,Sets!$B$2:$B$1060,$A61,Sets!$D$2:$D$1060,"&gt;=5"),_xlfn.MAXIFS(Log!$C$2:$C$1001,Log!$B$2:$B$1001,$A61,Log!$D$2:$D$1001,"&gt;=5"))</f>
        <v/>
      </c>
      <c r="I61" s="13">
        <f>MAX(_xlfn.MAXIFS('Start Here'!$B$17:$B$56,'Start Here'!$A$17:$A$56,$A61,'Start Here'!$C$17:$C$56,"&gt;=6"),_xlfn.MAXIFS(Sets!$C$2:$C$1060,Sets!$B$2:$B$1060,$A61,Sets!$D$2:$D$1060,"&gt;=6"),_xlfn.MAXIFS(Log!$C$2:$C$1001,Log!$B$2:$B$1001,$A61,Log!$D$2:$D$1001,"&gt;=6"))</f>
        <v/>
      </c>
      <c r="J61" s="13">
        <f>MAX(_xlfn.MAXIFS('Start Here'!$B$17:$B$56,'Start Here'!$A$17:$A$56,$A61,'Start Here'!$C$17:$C$56,"&gt;=8"),_xlfn.MAXIFS(Sets!$C$2:$C$1060,Sets!$B$2:$B$1060,$A61,Sets!$D$2:$D$1060,"&gt;=8"),_xlfn.MAXIFS(Log!$C$2:$C$1001,Log!$B$2:$B$1001,$A61,Log!$D$2:$D$1001,"&gt;=8"))</f>
        <v/>
      </c>
      <c r="K61" s="13">
        <f>MAX(_xlfn.MAXIFS('Start Here'!$B$17:$B$56,'Start Here'!$A$17:$A$56,$A61,'Start Here'!$C$17:$C$56,"&gt;=10"),_xlfn.MAXIFS(Sets!$C$2:$C$1060,Sets!$B$2:$B$1060,$A61,Sets!$D$2:$D$1060,"&gt;=10"),_xlfn.MAXIFS(Log!$C$2:$C$1001,Log!$B$2:$B$1001,$A61,Log!$D$2:$D$1001,"&gt;=10"))</f>
        <v/>
      </c>
      <c r="L61" s="13">
        <f>MAX(_xlfn.MAXIFS('Start Here'!$B$17:$B$56,'Start Here'!$A$17:$A$56,$A61,'Start Here'!$C$17:$C$56,"&gt;=12"),_xlfn.MAXIFS(Sets!$C$2:$C$1060,Sets!$B$2:$B$1060,$A61,Sets!$D$2:$D$1060,"&gt;=12"),_xlfn.MAXIFS(Log!$C$2:$C$1001,Log!$B$2:$B$1001,$A61,Log!$D$2:$D$1001,"&gt;=12"))</f>
        <v/>
      </c>
    </row>
    <row r="62">
      <c r="A62" s="23" t="inlineStr">
        <is>
          <t>Hanging Leg Raise</t>
        </is>
      </c>
      <c r="B62" t="inlineStr">
        <is>
          <t>accessory</t>
        </is>
      </c>
      <c r="C62" s="11">
        <f>MAX(_xlfn.MAXIFS('Start Here'!$D$17:$D$56,'Start Here'!$A$17:$A$56,$A62),_xlfn.MAXIFS(Sets!$E$2:$E$1060,Sets!$B$2:$B$1060,$A62),_xlfn.MAXIFS(Log!$E$2:$E$1001,Log!$B$2:$B$1001,$A62))</f>
        <v/>
      </c>
      <c r="D62" s="13">
        <f>MAX(_xlfn.MAXIFS('Start Here'!$B$17:$B$56,'Start Here'!$A$17:$A$56,$A62,'Start Here'!$C$17:$C$56,"&gt;=1"),_xlfn.MAXIFS(Sets!$C$2:$C$1060,Sets!$B$2:$B$1060,$A62,Sets!$D$2:$D$1060,"&gt;=1"),_xlfn.MAXIFS(Log!$C$2:$C$1001,Log!$B$2:$B$1001,$A62,Log!$D$2:$D$1001,"&gt;=1"))</f>
        <v/>
      </c>
      <c r="E62" s="13">
        <f>MAX(_xlfn.MAXIFS('Start Here'!$B$17:$B$56,'Start Here'!$A$17:$A$56,$A62,'Start Here'!$C$17:$C$56,"&gt;=2"),_xlfn.MAXIFS(Sets!$C$2:$C$1060,Sets!$B$2:$B$1060,$A62,Sets!$D$2:$D$1060,"&gt;=2"),_xlfn.MAXIFS(Log!$C$2:$C$1001,Log!$B$2:$B$1001,$A62,Log!$D$2:$D$1001,"&gt;=2"))</f>
        <v/>
      </c>
      <c r="F62" s="13">
        <f>MAX(_xlfn.MAXIFS('Start Here'!$B$17:$B$56,'Start Here'!$A$17:$A$56,$A62,'Start Here'!$C$17:$C$56,"&gt;=3"),_xlfn.MAXIFS(Sets!$C$2:$C$1060,Sets!$B$2:$B$1060,$A62,Sets!$D$2:$D$1060,"&gt;=3"),_xlfn.MAXIFS(Log!$C$2:$C$1001,Log!$B$2:$B$1001,$A62,Log!$D$2:$D$1001,"&gt;=3"))</f>
        <v/>
      </c>
      <c r="G62" s="13">
        <f>MAX(_xlfn.MAXIFS('Start Here'!$B$17:$B$56,'Start Here'!$A$17:$A$56,$A62,'Start Here'!$C$17:$C$56,"&gt;=4"),_xlfn.MAXIFS(Sets!$C$2:$C$1060,Sets!$B$2:$B$1060,$A62,Sets!$D$2:$D$1060,"&gt;=4"),_xlfn.MAXIFS(Log!$C$2:$C$1001,Log!$B$2:$B$1001,$A62,Log!$D$2:$D$1001,"&gt;=4"))</f>
        <v/>
      </c>
      <c r="H62" s="13">
        <f>MAX(_xlfn.MAXIFS('Start Here'!$B$17:$B$56,'Start Here'!$A$17:$A$56,$A62,'Start Here'!$C$17:$C$56,"&gt;=5"),_xlfn.MAXIFS(Sets!$C$2:$C$1060,Sets!$B$2:$B$1060,$A62,Sets!$D$2:$D$1060,"&gt;=5"),_xlfn.MAXIFS(Log!$C$2:$C$1001,Log!$B$2:$B$1001,$A62,Log!$D$2:$D$1001,"&gt;=5"))</f>
        <v/>
      </c>
      <c r="I62" s="13">
        <f>MAX(_xlfn.MAXIFS('Start Here'!$B$17:$B$56,'Start Here'!$A$17:$A$56,$A62,'Start Here'!$C$17:$C$56,"&gt;=6"),_xlfn.MAXIFS(Sets!$C$2:$C$1060,Sets!$B$2:$B$1060,$A62,Sets!$D$2:$D$1060,"&gt;=6"),_xlfn.MAXIFS(Log!$C$2:$C$1001,Log!$B$2:$B$1001,$A62,Log!$D$2:$D$1001,"&gt;=6"))</f>
        <v/>
      </c>
      <c r="J62" s="13">
        <f>MAX(_xlfn.MAXIFS('Start Here'!$B$17:$B$56,'Start Here'!$A$17:$A$56,$A62,'Start Here'!$C$17:$C$56,"&gt;=8"),_xlfn.MAXIFS(Sets!$C$2:$C$1060,Sets!$B$2:$B$1060,$A62,Sets!$D$2:$D$1060,"&gt;=8"),_xlfn.MAXIFS(Log!$C$2:$C$1001,Log!$B$2:$B$1001,$A62,Log!$D$2:$D$1001,"&gt;=8"))</f>
        <v/>
      </c>
      <c r="K62" s="13">
        <f>MAX(_xlfn.MAXIFS('Start Here'!$B$17:$B$56,'Start Here'!$A$17:$A$56,$A62,'Start Here'!$C$17:$C$56,"&gt;=10"),_xlfn.MAXIFS(Sets!$C$2:$C$1060,Sets!$B$2:$B$1060,$A62,Sets!$D$2:$D$1060,"&gt;=10"),_xlfn.MAXIFS(Log!$C$2:$C$1001,Log!$B$2:$B$1001,$A62,Log!$D$2:$D$1001,"&gt;=10"))</f>
        <v/>
      </c>
      <c r="L62" s="13">
        <f>MAX(_xlfn.MAXIFS('Start Here'!$B$17:$B$56,'Start Here'!$A$17:$A$56,$A62,'Start Here'!$C$17:$C$56,"&gt;=12"),_xlfn.MAXIFS(Sets!$C$2:$C$1060,Sets!$B$2:$B$1060,$A62,Sets!$D$2:$D$1060,"&gt;=12"),_xlfn.MAXIFS(Log!$C$2:$C$1001,Log!$B$2:$B$1001,$A62,Log!$D$2:$D$1001,"&gt;=12"))</f>
        <v/>
      </c>
    </row>
    <row r="63">
      <c r="A63" s="23" t="inlineStr">
        <is>
          <t>Dip</t>
        </is>
      </c>
      <c r="B63" t="inlineStr">
        <is>
          <t>accessory</t>
        </is>
      </c>
      <c r="C63" s="11">
        <f>MAX(_xlfn.MAXIFS('Start Here'!$D$17:$D$56,'Start Here'!$A$17:$A$56,$A63),_xlfn.MAXIFS(Sets!$E$2:$E$1060,Sets!$B$2:$B$1060,$A63),_xlfn.MAXIFS(Log!$E$2:$E$1001,Log!$B$2:$B$1001,$A63))</f>
        <v/>
      </c>
      <c r="D63" s="13">
        <f>MAX(_xlfn.MAXIFS('Start Here'!$B$17:$B$56,'Start Here'!$A$17:$A$56,$A63,'Start Here'!$C$17:$C$56,"&gt;=1"),_xlfn.MAXIFS(Sets!$C$2:$C$1060,Sets!$B$2:$B$1060,$A63,Sets!$D$2:$D$1060,"&gt;=1"),_xlfn.MAXIFS(Log!$C$2:$C$1001,Log!$B$2:$B$1001,$A63,Log!$D$2:$D$1001,"&gt;=1"))</f>
        <v/>
      </c>
      <c r="E63" s="13">
        <f>MAX(_xlfn.MAXIFS('Start Here'!$B$17:$B$56,'Start Here'!$A$17:$A$56,$A63,'Start Here'!$C$17:$C$56,"&gt;=2"),_xlfn.MAXIFS(Sets!$C$2:$C$1060,Sets!$B$2:$B$1060,$A63,Sets!$D$2:$D$1060,"&gt;=2"),_xlfn.MAXIFS(Log!$C$2:$C$1001,Log!$B$2:$B$1001,$A63,Log!$D$2:$D$1001,"&gt;=2"))</f>
        <v/>
      </c>
      <c r="F63" s="13">
        <f>MAX(_xlfn.MAXIFS('Start Here'!$B$17:$B$56,'Start Here'!$A$17:$A$56,$A63,'Start Here'!$C$17:$C$56,"&gt;=3"),_xlfn.MAXIFS(Sets!$C$2:$C$1060,Sets!$B$2:$B$1060,$A63,Sets!$D$2:$D$1060,"&gt;=3"),_xlfn.MAXIFS(Log!$C$2:$C$1001,Log!$B$2:$B$1001,$A63,Log!$D$2:$D$1001,"&gt;=3"))</f>
        <v/>
      </c>
      <c r="G63" s="13">
        <f>MAX(_xlfn.MAXIFS('Start Here'!$B$17:$B$56,'Start Here'!$A$17:$A$56,$A63,'Start Here'!$C$17:$C$56,"&gt;=4"),_xlfn.MAXIFS(Sets!$C$2:$C$1060,Sets!$B$2:$B$1060,$A63,Sets!$D$2:$D$1060,"&gt;=4"),_xlfn.MAXIFS(Log!$C$2:$C$1001,Log!$B$2:$B$1001,$A63,Log!$D$2:$D$1001,"&gt;=4"))</f>
        <v/>
      </c>
      <c r="H63" s="13">
        <f>MAX(_xlfn.MAXIFS('Start Here'!$B$17:$B$56,'Start Here'!$A$17:$A$56,$A63,'Start Here'!$C$17:$C$56,"&gt;=5"),_xlfn.MAXIFS(Sets!$C$2:$C$1060,Sets!$B$2:$B$1060,$A63,Sets!$D$2:$D$1060,"&gt;=5"),_xlfn.MAXIFS(Log!$C$2:$C$1001,Log!$B$2:$B$1001,$A63,Log!$D$2:$D$1001,"&gt;=5"))</f>
        <v/>
      </c>
      <c r="I63" s="13">
        <f>MAX(_xlfn.MAXIFS('Start Here'!$B$17:$B$56,'Start Here'!$A$17:$A$56,$A63,'Start Here'!$C$17:$C$56,"&gt;=6"),_xlfn.MAXIFS(Sets!$C$2:$C$1060,Sets!$B$2:$B$1060,$A63,Sets!$D$2:$D$1060,"&gt;=6"),_xlfn.MAXIFS(Log!$C$2:$C$1001,Log!$B$2:$B$1001,$A63,Log!$D$2:$D$1001,"&gt;=6"))</f>
        <v/>
      </c>
      <c r="J63" s="13">
        <f>MAX(_xlfn.MAXIFS('Start Here'!$B$17:$B$56,'Start Here'!$A$17:$A$56,$A63,'Start Here'!$C$17:$C$56,"&gt;=8"),_xlfn.MAXIFS(Sets!$C$2:$C$1060,Sets!$B$2:$B$1060,$A63,Sets!$D$2:$D$1060,"&gt;=8"),_xlfn.MAXIFS(Log!$C$2:$C$1001,Log!$B$2:$B$1001,$A63,Log!$D$2:$D$1001,"&gt;=8"))</f>
        <v/>
      </c>
      <c r="K63" s="13">
        <f>MAX(_xlfn.MAXIFS('Start Here'!$B$17:$B$56,'Start Here'!$A$17:$A$56,$A63,'Start Here'!$C$17:$C$56,"&gt;=10"),_xlfn.MAXIFS(Sets!$C$2:$C$1060,Sets!$B$2:$B$1060,$A63,Sets!$D$2:$D$1060,"&gt;=10"),_xlfn.MAXIFS(Log!$C$2:$C$1001,Log!$B$2:$B$1001,$A63,Log!$D$2:$D$1001,"&gt;=10"))</f>
        <v/>
      </c>
      <c r="L63" s="13">
        <f>MAX(_xlfn.MAXIFS('Start Here'!$B$17:$B$56,'Start Here'!$A$17:$A$56,$A63,'Start Here'!$C$17:$C$56,"&gt;=12"),_xlfn.MAXIFS(Sets!$C$2:$C$1060,Sets!$B$2:$B$1060,$A63,Sets!$D$2:$D$1060,"&gt;=12"),_xlfn.MAXIFS(Log!$C$2:$C$1001,Log!$B$2:$B$1001,$A63,Log!$D$2:$D$1001,"&gt;=12"))</f>
        <v/>
      </c>
    </row>
    <row r="64">
      <c r="A64" s="23" t="inlineStr">
        <is>
          <t>Hammer Curl</t>
        </is>
      </c>
      <c r="B64" t="inlineStr">
        <is>
          <t>accessory</t>
        </is>
      </c>
      <c r="C64" s="11">
        <f>MAX(_xlfn.MAXIFS('Start Here'!$D$17:$D$56,'Start Here'!$A$17:$A$56,$A64),_xlfn.MAXIFS(Sets!$E$2:$E$1060,Sets!$B$2:$B$1060,$A64),_xlfn.MAXIFS(Log!$E$2:$E$1001,Log!$B$2:$B$1001,$A64))</f>
        <v/>
      </c>
      <c r="D64" s="13">
        <f>MAX(_xlfn.MAXIFS('Start Here'!$B$17:$B$56,'Start Here'!$A$17:$A$56,$A64,'Start Here'!$C$17:$C$56,"&gt;=1"),_xlfn.MAXIFS(Sets!$C$2:$C$1060,Sets!$B$2:$B$1060,$A64,Sets!$D$2:$D$1060,"&gt;=1"),_xlfn.MAXIFS(Log!$C$2:$C$1001,Log!$B$2:$B$1001,$A64,Log!$D$2:$D$1001,"&gt;=1"))</f>
        <v/>
      </c>
      <c r="E64" s="13">
        <f>MAX(_xlfn.MAXIFS('Start Here'!$B$17:$B$56,'Start Here'!$A$17:$A$56,$A64,'Start Here'!$C$17:$C$56,"&gt;=2"),_xlfn.MAXIFS(Sets!$C$2:$C$1060,Sets!$B$2:$B$1060,$A64,Sets!$D$2:$D$1060,"&gt;=2"),_xlfn.MAXIFS(Log!$C$2:$C$1001,Log!$B$2:$B$1001,$A64,Log!$D$2:$D$1001,"&gt;=2"))</f>
        <v/>
      </c>
      <c r="F64" s="13">
        <f>MAX(_xlfn.MAXIFS('Start Here'!$B$17:$B$56,'Start Here'!$A$17:$A$56,$A64,'Start Here'!$C$17:$C$56,"&gt;=3"),_xlfn.MAXIFS(Sets!$C$2:$C$1060,Sets!$B$2:$B$1060,$A64,Sets!$D$2:$D$1060,"&gt;=3"),_xlfn.MAXIFS(Log!$C$2:$C$1001,Log!$B$2:$B$1001,$A64,Log!$D$2:$D$1001,"&gt;=3"))</f>
        <v/>
      </c>
      <c r="G64" s="13">
        <f>MAX(_xlfn.MAXIFS('Start Here'!$B$17:$B$56,'Start Here'!$A$17:$A$56,$A64,'Start Here'!$C$17:$C$56,"&gt;=4"),_xlfn.MAXIFS(Sets!$C$2:$C$1060,Sets!$B$2:$B$1060,$A64,Sets!$D$2:$D$1060,"&gt;=4"),_xlfn.MAXIFS(Log!$C$2:$C$1001,Log!$B$2:$B$1001,$A64,Log!$D$2:$D$1001,"&gt;=4"))</f>
        <v/>
      </c>
      <c r="H64" s="13">
        <f>MAX(_xlfn.MAXIFS('Start Here'!$B$17:$B$56,'Start Here'!$A$17:$A$56,$A64,'Start Here'!$C$17:$C$56,"&gt;=5"),_xlfn.MAXIFS(Sets!$C$2:$C$1060,Sets!$B$2:$B$1060,$A64,Sets!$D$2:$D$1060,"&gt;=5"),_xlfn.MAXIFS(Log!$C$2:$C$1001,Log!$B$2:$B$1001,$A64,Log!$D$2:$D$1001,"&gt;=5"))</f>
        <v/>
      </c>
      <c r="I64" s="13">
        <f>MAX(_xlfn.MAXIFS('Start Here'!$B$17:$B$56,'Start Here'!$A$17:$A$56,$A64,'Start Here'!$C$17:$C$56,"&gt;=6"),_xlfn.MAXIFS(Sets!$C$2:$C$1060,Sets!$B$2:$B$1060,$A64,Sets!$D$2:$D$1060,"&gt;=6"),_xlfn.MAXIFS(Log!$C$2:$C$1001,Log!$B$2:$B$1001,$A64,Log!$D$2:$D$1001,"&gt;=6"))</f>
        <v/>
      </c>
      <c r="J64" s="13">
        <f>MAX(_xlfn.MAXIFS('Start Here'!$B$17:$B$56,'Start Here'!$A$17:$A$56,$A64,'Start Here'!$C$17:$C$56,"&gt;=8"),_xlfn.MAXIFS(Sets!$C$2:$C$1060,Sets!$B$2:$B$1060,$A64,Sets!$D$2:$D$1060,"&gt;=8"),_xlfn.MAXIFS(Log!$C$2:$C$1001,Log!$B$2:$B$1001,$A64,Log!$D$2:$D$1001,"&gt;=8"))</f>
        <v/>
      </c>
      <c r="K64" s="13">
        <f>MAX(_xlfn.MAXIFS('Start Here'!$B$17:$B$56,'Start Here'!$A$17:$A$56,$A64,'Start Here'!$C$17:$C$56,"&gt;=10"),_xlfn.MAXIFS(Sets!$C$2:$C$1060,Sets!$B$2:$B$1060,$A64,Sets!$D$2:$D$1060,"&gt;=10"),_xlfn.MAXIFS(Log!$C$2:$C$1001,Log!$B$2:$B$1001,$A64,Log!$D$2:$D$1001,"&gt;=10"))</f>
        <v/>
      </c>
      <c r="L64" s="13">
        <f>MAX(_xlfn.MAXIFS('Start Here'!$B$17:$B$56,'Start Here'!$A$17:$A$56,$A64,'Start Here'!$C$17:$C$56,"&gt;=12"),_xlfn.MAXIFS(Sets!$C$2:$C$1060,Sets!$B$2:$B$1060,$A64,Sets!$D$2:$D$1060,"&gt;=12"),_xlfn.MAXIFS(Log!$C$2:$C$1001,Log!$B$2:$B$1001,$A64,Log!$D$2:$D$1001,"&gt;=12"))</f>
        <v/>
      </c>
    </row>
    <row r="65">
      <c r="A65" s="23" t="inlineStr">
        <is>
          <t>Lateral Raise</t>
        </is>
      </c>
      <c r="B65" t="inlineStr">
        <is>
          <t>accessory</t>
        </is>
      </c>
      <c r="C65" s="11">
        <f>MAX(_xlfn.MAXIFS('Start Here'!$D$17:$D$56,'Start Here'!$A$17:$A$56,$A65),_xlfn.MAXIFS(Sets!$E$2:$E$1060,Sets!$B$2:$B$1060,$A65),_xlfn.MAXIFS(Log!$E$2:$E$1001,Log!$B$2:$B$1001,$A65))</f>
        <v/>
      </c>
      <c r="D65" s="13">
        <f>MAX(_xlfn.MAXIFS('Start Here'!$B$17:$B$56,'Start Here'!$A$17:$A$56,$A65,'Start Here'!$C$17:$C$56,"&gt;=1"),_xlfn.MAXIFS(Sets!$C$2:$C$1060,Sets!$B$2:$B$1060,$A65,Sets!$D$2:$D$1060,"&gt;=1"),_xlfn.MAXIFS(Log!$C$2:$C$1001,Log!$B$2:$B$1001,$A65,Log!$D$2:$D$1001,"&gt;=1"))</f>
        <v/>
      </c>
      <c r="E65" s="13">
        <f>MAX(_xlfn.MAXIFS('Start Here'!$B$17:$B$56,'Start Here'!$A$17:$A$56,$A65,'Start Here'!$C$17:$C$56,"&gt;=2"),_xlfn.MAXIFS(Sets!$C$2:$C$1060,Sets!$B$2:$B$1060,$A65,Sets!$D$2:$D$1060,"&gt;=2"),_xlfn.MAXIFS(Log!$C$2:$C$1001,Log!$B$2:$B$1001,$A65,Log!$D$2:$D$1001,"&gt;=2"))</f>
        <v/>
      </c>
      <c r="F65" s="13">
        <f>MAX(_xlfn.MAXIFS('Start Here'!$B$17:$B$56,'Start Here'!$A$17:$A$56,$A65,'Start Here'!$C$17:$C$56,"&gt;=3"),_xlfn.MAXIFS(Sets!$C$2:$C$1060,Sets!$B$2:$B$1060,$A65,Sets!$D$2:$D$1060,"&gt;=3"),_xlfn.MAXIFS(Log!$C$2:$C$1001,Log!$B$2:$B$1001,$A65,Log!$D$2:$D$1001,"&gt;=3"))</f>
        <v/>
      </c>
      <c r="G65" s="13">
        <f>MAX(_xlfn.MAXIFS('Start Here'!$B$17:$B$56,'Start Here'!$A$17:$A$56,$A65,'Start Here'!$C$17:$C$56,"&gt;=4"),_xlfn.MAXIFS(Sets!$C$2:$C$1060,Sets!$B$2:$B$1060,$A65,Sets!$D$2:$D$1060,"&gt;=4"),_xlfn.MAXIFS(Log!$C$2:$C$1001,Log!$B$2:$B$1001,$A65,Log!$D$2:$D$1001,"&gt;=4"))</f>
        <v/>
      </c>
      <c r="H65" s="13">
        <f>MAX(_xlfn.MAXIFS('Start Here'!$B$17:$B$56,'Start Here'!$A$17:$A$56,$A65,'Start Here'!$C$17:$C$56,"&gt;=5"),_xlfn.MAXIFS(Sets!$C$2:$C$1060,Sets!$B$2:$B$1060,$A65,Sets!$D$2:$D$1060,"&gt;=5"),_xlfn.MAXIFS(Log!$C$2:$C$1001,Log!$B$2:$B$1001,$A65,Log!$D$2:$D$1001,"&gt;=5"))</f>
        <v/>
      </c>
      <c r="I65" s="13">
        <f>MAX(_xlfn.MAXIFS('Start Here'!$B$17:$B$56,'Start Here'!$A$17:$A$56,$A65,'Start Here'!$C$17:$C$56,"&gt;=6"),_xlfn.MAXIFS(Sets!$C$2:$C$1060,Sets!$B$2:$B$1060,$A65,Sets!$D$2:$D$1060,"&gt;=6"),_xlfn.MAXIFS(Log!$C$2:$C$1001,Log!$B$2:$B$1001,$A65,Log!$D$2:$D$1001,"&gt;=6"))</f>
        <v/>
      </c>
      <c r="J65" s="13">
        <f>MAX(_xlfn.MAXIFS('Start Here'!$B$17:$B$56,'Start Here'!$A$17:$A$56,$A65,'Start Here'!$C$17:$C$56,"&gt;=8"),_xlfn.MAXIFS(Sets!$C$2:$C$1060,Sets!$B$2:$B$1060,$A65,Sets!$D$2:$D$1060,"&gt;=8"),_xlfn.MAXIFS(Log!$C$2:$C$1001,Log!$B$2:$B$1001,$A65,Log!$D$2:$D$1001,"&gt;=8"))</f>
        <v/>
      </c>
      <c r="K65" s="13">
        <f>MAX(_xlfn.MAXIFS('Start Here'!$B$17:$B$56,'Start Here'!$A$17:$A$56,$A65,'Start Here'!$C$17:$C$56,"&gt;=10"),_xlfn.MAXIFS(Sets!$C$2:$C$1060,Sets!$B$2:$B$1060,$A65,Sets!$D$2:$D$1060,"&gt;=10"),_xlfn.MAXIFS(Log!$C$2:$C$1001,Log!$B$2:$B$1001,$A65,Log!$D$2:$D$1001,"&gt;=10"))</f>
        <v/>
      </c>
      <c r="L65" s="13">
        <f>MAX(_xlfn.MAXIFS('Start Here'!$B$17:$B$56,'Start Here'!$A$17:$A$56,$A65,'Start Here'!$C$17:$C$56,"&gt;=12"),_xlfn.MAXIFS(Sets!$C$2:$C$1060,Sets!$B$2:$B$1060,$A65,Sets!$D$2:$D$1060,"&gt;=12"),_xlfn.MAXIFS(Log!$C$2:$C$1001,Log!$B$2:$B$1001,$A65,Log!$D$2:$D$1001,"&gt;=12"))</f>
        <v/>
      </c>
    </row>
    <row r="66">
      <c r="A66" s="23" t="inlineStr">
        <is>
          <t>Reverse Hyper</t>
        </is>
      </c>
      <c r="B66" t="inlineStr">
        <is>
          <t>accessory</t>
        </is>
      </c>
      <c r="C66" s="11">
        <f>MAX(_xlfn.MAXIFS('Start Here'!$D$17:$D$56,'Start Here'!$A$17:$A$56,$A66),_xlfn.MAXIFS(Sets!$E$2:$E$1060,Sets!$B$2:$B$1060,$A66),_xlfn.MAXIFS(Log!$E$2:$E$1001,Log!$B$2:$B$1001,$A66))</f>
        <v/>
      </c>
      <c r="D66" s="13">
        <f>MAX(_xlfn.MAXIFS('Start Here'!$B$17:$B$56,'Start Here'!$A$17:$A$56,$A66,'Start Here'!$C$17:$C$56,"&gt;=1"),_xlfn.MAXIFS(Sets!$C$2:$C$1060,Sets!$B$2:$B$1060,$A66,Sets!$D$2:$D$1060,"&gt;=1"),_xlfn.MAXIFS(Log!$C$2:$C$1001,Log!$B$2:$B$1001,$A66,Log!$D$2:$D$1001,"&gt;=1"))</f>
        <v/>
      </c>
      <c r="E66" s="13">
        <f>MAX(_xlfn.MAXIFS('Start Here'!$B$17:$B$56,'Start Here'!$A$17:$A$56,$A66,'Start Here'!$C$17:$C$56,"&gt;=2"),_xlfn.MAXIFS(Sets!$C$2:$C$1060,Sets!$B$2:$B$1060,$A66,Sets!$D$2:$D$1060,"&gt;=2"),_xlfn.MAXIFS(Log!$C$2:$C$1001,Log!$B$2:$B$1001,$A66,Log!$D$2:$D$1001,"&gt;=2"))</f>
        <v/>
      </c>
      <c r="F66" s="13">
        <f>MAX(_xlfn.MAXIFS('Start Here'!$B$17:$B$56,'Start Here'!$A$17:$A$56,$A66,'Start Here'!$C$17:$C$56,"&gt;=3"),_xlfn.MAXIFS(Sets!$C$2:$C$1060,Sets!$B$2:$B$1060,$A66,Sets!$D$2:$D$1060,"&gt;=3"),_xlfn.MAXIFS(Log!$C$2:$C$1001,Log!$B$2:$B$1001,$A66,Log!$D$2:$D$1001,"&gt;=3"))</f>
        <v/>
      </c>
      <c r="G66" s="13">
        <f>MAX(_xlfn.MAXIFS('Start Here'!$B$17:$B$56,'Start Here'!$A$17:$A$56,$A66,'Start Here'!$C$17:$C$56,"&gt;=4"),_xlfn.MAXIFS(Sets!$C$2:$C$1060,Sets!$B$2:$B$1060,$A66,Sets!$D$2:$D$1060,"&gt;=4"),_xlfn.MAXIFS(Log!$C$2:$C$1001,Log!$B$2:$B$1001,$A66,Log!$D$2:$D$1001,"&gt;=4"))</f>
        <v/>
      </c>
      <c r="H66" s="13">
        <f>MAX(_xlfn.MAXIFS('Start Here'!$B$17:$B$56,'Start Here'!$A$17:$A$56,$A66,'Start Here'!$C$17:$C$56,"&gt;=5"),_xlfn.MAXIFS(Sets!$C$2:$C$1060,Sets!$B$2:$B$1060,$A66,Sets!$D$2:$D$1060,"&gt;=5"),_xlfn.MAXIFS(Log!$C$2:$C$1001,Log!$B$2:$B$1001,$A66,Log!$D$2:$D$1001,"&gt;=5"))</f>
        <v/>
      </c>
      <c r="I66" s="13">
        <f>MAX(_xlfn.MAXIFS('Start Here'!$B$17:$B$56,'Start Here'!$A$17:$A$56,$A66,'Start Here'!$C$17:$C$56,"&gt;=6"),_xlfn.MAXIFS(Sets!$C$2:$C$1060,Sets!$B$2:$B$1060,$A66,Sets!$D$2:$D$1060,"&gt;=6"),_xlfn.MAXIFS(Log!$C$2:$C$1001,Log!$B$2:$B$1001,$A66,Log!$D$2:$D$1001,"&gt;=6"))</f>
        <v/>
      </c>
      <c r="J66" s="13">
        <f>MAX(_xlfn.MAXIFS('Start Here'!$B$17:$B$56,'Start Here'!$A$17:$A$56,$A66,'Start Here'!$C$17:$C$56,"&gt;=8"),_xlfn.MAXIFS(Sets!$C$2:$C$1060,Sets!$B$2:$B$1060,$A66,Sets!$D$2:$D$1060,"&gt;=8"),_xlfn.MAXIFS(Log!$C$2:$C$1001,Log!$B$2:$B$1001,$A66,Log!$D$2:$D$1001,"&gt;=8"))</f>
        <v/>
      </c>
      <c r="K66" s="13">
        <f>MAX(_xlfn.MAXIFS('Start Here'!$B$17:$B$56,'Start Here'!$A$17:$A$56,$A66,'Start Here'!$C$17:$C$56,"&gt;=10"),_xlfn.MAXIFS(Sets!$C$2:$C$1060,Sets!$B$2:$B$1060,$A66,Sets!$D$2:$D$1060,"&gt;=10"),_xlfn.MAXIFS(Log!$C$2:$C$1001,Log!$B$2:$B$1001,$A66,Log!$D$2:$D$1001,"&gt;=10"))</f>
        <v/>
      </c>
      <c r="L66" s="13">
        <f>MAX(_xlfn.MAXIFS('Start Here'!$B$17:$B$56,'Start Here'!$A$17:$A$56,$A66,'Start Here'!$C$17:$C$56,"&gt;=12"),_xlfn.MAXIFS(Sets!$C$2:$C$1060,Sets!$B$2:$B$1060,$A66,Sets!$D$2:$D$1060,"&gt;=12"),_xlfn.MAXIFS(Log!$C$2:$C$1001,Log!$B$2:$B$1001,$A66,Log!$D$2:$D$1001,"&gt;=12"))</f>
        <v/>
      </c>
    </row>
    <row r="67">
      <c r="A67" s="23" t="inlineStr">
        <is>
          <t>Good Morning</t>
        </is>
      </c>
      <c r="B67" t="inlineStr">
        <is>
          <t>accessory</t>
        </is>
      </c>
      <c r="C67" s="11">
        <f>MAX(_xlfn.MAXIFS('Start Here'!$D$17:$D$56,'Start Here'!$A$17:$A$56,$A67),_xlfn.MAXIFS(Sets!$E$2:$E$1060,Sets!$B$2:$B$1060,$A67),_xlfn.MAXIFS(Log!$E$2:$E$1001,Log!$B$2:$B$1001,$A67))</f>
        <v/>
      </c>
      <c r="D67" s="13">
        <f>MAX(_xlfn.MAXIFS('Start Here'!$B$17:$B$56,'Start Here'!$A$17:$A$56,$A67,'Start Here'!$C$17:$C$56,"&gt;=1"),_xlfn.MAXIFS(Sets!$C$2:$C$1060,Sets!$B$2:$B$1060,$A67,Sets!$D$2:$D$1060,"&gt;=1"),_xlfn.MAXIFS(Log!$C$2:$C$1001,Log!$B$2:$B$1001,$A67,Log!$D$2:$D$1001,"&gt;=1"))</f>
        <v/>
      </c>
      <c r="E67" s="13">
        <f>MAX(_xlfn.MAXIFS('Start Here'!$B$17:$B$56,'Start Here'!$A$17:$A$56,$A67,'Start Here'!$C$17:$C$56,"&gt;=2"),_xlfn.MAXIFS(Sets!$C$2:$C$1060,Sets!$B$2:$B$1060,$A67,Sets!$D$2:$D$1060,"&gt;=2"),_xlfn.MAXIFS(Log!$C$2:$C$1001,Log!$B$2:$B$1001,$A67,Log!$D$2:$D$1001,"&gt;=2"))</f>
        <v/>
      </c>
      <c r="F67" s="13">
        <f>MAX(_xlfn.MAXIFS('Start Here'!$B$17:$B$56,'Start Here'!$A$17:$A$56,$A67,'Start Here'!$C$17:$C$56,"&gt;=3"),_xlfn.MAXIFS(Sets!$C$2:$C$1060,Sets!$B$2:$B$1060,$A67,Sets!$D$2:$D$1060,"&gt;=3"),_xlfn.MAXIFS(Log!$C$2:$C$1001,Log!$B$2:$B$1001,$A67,Log!$D$2:$D$1001,"&gt;=3"))</f>
        <v/>
      </c>
      <c r="G67" s="13">
        <f>MAX(_xlfn.MAXIFS('Start Here'!$B$17:$B$56,'Start Here'!$A$17:$A$56,$A67,'Start Here'!$C$17:$C$56,"&gt;=4"),_xlfn.MAXIFS(Sets!$C$2:$C$1060,Sets!$B$2:$B$1060,$A67,Sets!$D$2:$D$1060,"&gt;=4"),_xlfn.MAXIFS(Log!$C$2:$C$1001,Log!$B$2:$B$1001,$A67,Log!$D$2:$D$1001,"&gt;=4"))</f>
        <v/>
      </c>
      <c r="H67" s="13">
        <f>MAX(_xlfn.MAXIFS('Start Here'!$B$17:$B$56,'Start Here'!$A$17:$A$56,$A67,'Start Here'!$C$17:$C$56,"&gt;=5"),_xlfn.MAXIFS(Sets!$C$2:$C$1060,Sets!$B$2:$B$1060,$A67,Sets!$D$2:$D$1060,"&gt;=5"),_xlfn.MAXIFS(Log!$C$2:$C$1001,Log!$B$2:$B$1001,$A67,Log!$D$2:$D$1001,"&gt;=5"))</f>
        <v/>
      </c>
      <c r="I67" s="13">
        <f>MAX(_xlfn.MAXIFS('Start Here'!$B$17:$B$56,'Start Here'!$A$17:$A$56,$A67,'Start Here'!$C$17:$C$56,"&gt;=6"),_xlfn.MAXIFS(Sets!$C$2:$C$1060,Sets!$B$2:$B$1060,$A67,Sets!$D$2:$D$1060,"&gt;=6"),_xlfn.MAXIFS(Log!$C$2:$C$1001,Log!$B$2:$B$1001,$A67,Log!$D$2:$D$1001,"&gt;=6"))</f>
        <v/>
      </c>
      <c r="J67" s="13">
        <f>MAX(_xlfn.MAXIFS('Start Here'!$B$17:$B$56,'Start Here'!$A$17:$A$56,$A67,'Start Here'!$C$17:$C$56,"&gt;=8"),_xlfn.MAXIFS(Sets!$C$2:$C$1060,Sets!$B$2:$B$1060,$A67,Sets!$D$2:$D$1060,"&gt;=8"),_xlfn.MAXIFS(Log!$C$2:$C$1001,Log!$B$2:$B$1001,$A67,Log!$D$2:$D$1001,"&gt;=8"))</f>
        <v/>
      </c>
      <c r="K67" s="13">
        <f>MAX(_xlfn.MAXIFS('Start Here'!$B$17:$B$56,'Start Here'!$A$17:$A$56,$A67,'Start Here'!$C$17:$C$56,"&gt;=10"),_xlfn.MAXIFS(Sets!$C$2:$C$1060,Sets!$B$2:$B$1060,$A67,Sets!$D$2:$D$1060,"&gt;=10"),_xlfn.MAXIFS(Log!$C$2:$C$1001,Log!$B$2:$B$1001,$A67,Log!$D$2:$D$1001,"&gt;=10"))</f>
        <v/>
      </c>
      <c r="L67" s="13">
        <f>MAX(_xlfn.MAXIFS('Start Here'!$B$17:$B$56,'Start Here'!$A$17:$A$56,$A67,'Start Here'!$C$17:$C$56,"&gt;=12"),_xlfn.MAXIFS(Sets!$C$2:$C$1060,Sets!$B$2:$B$1060,$A67,Sets!$D$2:$D$1060,"&gt;=12"),_xlfn.MAXIFS(Log!$C$2:$C$1001,Log!$B$2:$B$1001,$A67,Log!$D$2:$D$1001,"&gt;=12"))</f>
        <v/>
      </c>
    </row>
    <row r="68">
      <c r="A68" s="23" t="inlineStr">
        <is>
          <t>Glute-Ham Raise</t>
        </is>
      </c>
      <c r="B68" t="inlineStr">
        <is>
          <t>accessory</t>
        </is>
      </c>
      <c r="C68" s="11">
        <f>MAX(_xlfn.MAXIFS('Start Here'!$D$17:$D$56,'Start Here'!$A$17:$A$56,$A68),_xlfn.MAXIFS(Sets!$E$2:$E$1060,Sets!$B$2:$B$1060,$A68),_xlfn.MAXIFS(Log!$E$2:$E$1001,Log!$B$2:$B$1001,$A68))</f>
        <v/>
      </c>
      <c r="D68" s="13">
        <f>MAX(_xlfn.MAXIFS('Start Here'!$B$17:$B$56,'Start Here'!$A$17:$A$56,$A68,'Start Here'!$C$17:$C$56,"&gt;=1"),_xlfn.MAXIFS(Sets!$C$2:$C$1060,Sets!$B$2:$B$1060,$A68,Sets!$D$2:$D$1060,"&gt;=1"),_xlfn.MAXIFS(Log!$C$2:$C$1001,Log!$B$2:$B$1001,$A68,Log!$D$2:$D$1001,"&gt;=1"))</f>
        <v/>
      </c>
      <c r="E68" s="13">
        <f>MAX(_xlfn.MAXIFS('Start Here'!$B$17:$B$56,'Start Here'!$A$17:$A$56,$A68,'Start Here'!$C$17:$C$56,"&gt;=2"),_xlfn.MAXIFS(Sets!$C$2:$C$1060,Sets!$B$2:$B$1060,$A68,Sets!$D$2:$D$1060,"&gt;=2"),_xlfn.MAXIFS(Log!$C$2:$C$1001,Log!$B$2:$B$1001,$A68,Log!$D$2:$D$1001,"&gt;=2"))</f>
        <v/>
      </c>
      <c r="F68" s="13">
        <f>MAX(_xlfn.MAXIFS('Start Here'!$B$17:$B$56,'Start Here'!$A$17:$A$56,$A68,'Start Here'!$C$17:$C$56,"&gt;=3"),_xlfn.MAXIFS(Sets!$C$2:$C$1060,Sets!$B$2:$B$1060,$A68,Sets!$D$2:$D$1060,"&gt;=3"),_xlfn.MAXIFS(Log!$C$2:$C$1001,Log!$B$2:$B$1001,$A68,Log!$D$2:$D$1001,"&gt;=3"))</f>
        <v/>
      </c>
      <c r="G68" s="13">
        <f>MAX(_xlfn.MAXIFS('Start Here'!$B$17:$B$56,'Start Here'!$A$17:$A$56,$A68,'Start Here'!$C$17:$C$56,"&gt;=4"),_xlfn.MAXIFS(Sets!$C$2:$C$1060,Sets!$B$2:$B$1060,$A68,Sets!$D$2:$D$1060,"&gt;=4"),_xlfn.MAXIFS(Log!$C$2:$C$1001,Log!$B$2:$B$1001,$A68,Log!$D$2:$D$1001,"&gt;=4"))</f>
        <v/>
      </c>
      <c r="H68" s="13">
        <f>MAX(_xlfn.MAXIFS('Start Here'!$B$17:$B$56,'Start Here'!$A$17:$A$56,$A68,'Start Here'!$C$17:$C$56,"&gt;=5"),_xlfn.MAXIFS(Sets!$C$2:$C$1060,Sets!$B$2:$B$1060,$A68,Sets!$D$2:$D$1060,"&gt;=5"),_xlfn.MAXIFS(Log!$C$2:$C$1001,Log!$B$2:$B$1001,$A68,Log!$D$2:$D$1001,"&gt;=5"))</f>
        <v/>
      </c>
      <c r="I68" s="13">
        <f>MAX(_xlfn.MAXIFS('Start Here'!$B$17:$B$56,'Start Here'!$A$17:$A$56,$A68,'Start Here'!$C$17:$C$56,"&gt;=6"),_xlfn.MAXIFS(Sets!$C$2:$C$1060,Sets!$B$2:$B$1060,$A68,Sets!$D$2:$D$1060,"&gt;=6"),_xlfn.MAXIFS(Log!$C$2:$C$1001,Log!$B$2:$B$1001,$A68,Log!$D$2:$D$1001,"&gt;=6"))</f>
        <v/>
      </c>
      <c r="J68" s="13">
        <f>MAX(_xlfn.MAXIFS('Start Here'!$B$17:$B$56,'Start Here'!$A$17:$A$56,$A68,'Start Here'!$C$17:$C$56,"&gt;=8"),_xlfn.MAXIFS(Sets!$C$2:$C$1060,Sets!$B$2:$B$1060,$A68,Sets!$D$2:$D$1060,"&gt;=8"),_xlfn.MAXIFS(Log!$C$2:$C$1001,Log!$B$2:$B$1001,$A68,Log!$D$2:$D$1001,"&gt;=8"))</f>
        <v/>
      </c>
      <c r="K68" s="13">
        <f>MAX(_xlfn.MAXIFS('Start Here'!$B$17:$B$56,'Start Here'!$A$17:$A$56,$A68,'Start Here'!$C$17:$C$56,"&gt;=10"),_xlfn.MAXIFS(Sets!$C$2:$C$1060,Sets!$B$2:$B$1060,$A68,Sets!$D$2:$D$1060,"&gt;=10"),_xlfn.MAXIFS(Log!$C$2:$C$1001,Log!$B$2:$B$1001,$A68,Log!$D$2:$D$1001,"&gt;=10"))</f>
        <v/>
      </c>
      <c r="L68" s="13">
        <f>MAX(_xlfn.MAXIFS('Start Here'!$B$17:$B$56,'Start Here'!$A$17:$A$56,$A68,'Start Here'!$C$17:$C$56,"&gt;=12"),_xlfn.MAXIFS(Sets!$C$2:$C$1060,Sets!$B$2:$B$1060,$A68,Sets!$D$2:$D$1060,"&gt;=12"),_xlfn.MAXIFS(Log!$C$2:$C$1001,Log!$B$2:$B$1001,$A68,Log!$D$2:$D$1001,"&gt;=12"))</f>
        <v/>
      </c>
    </row>
    <row r="69">
      <c r="A69" s="23" t="inlineStr">
        <is>
          <t>Box Jump</t>
        </is>
      </c>
      <c r="B69" t="inlineStr">
        <is>
          <t>plyo</t>
        </is>
      </c>
      <c r="D69" s="13">
        <f>MAX(_xlfn.MAXIFS('Start Here'!$B$17:$B$56,'Start Here'!$A$17:$A$56,$A69,'Start Here'!$C$17:$C$56,"&gt;=1"),_xlfn.MAXIFS(Sets!$C$2:$C$1060,Sets!$B$2:$B$1060,$A69,Sets!$D$2:$D$1060,"&gt;=1"),_xlfn.MAXIFS(Log!$C$2:$C$1001,Log!$B$2:$B$1001,$A69,Log!$D$2:$D$1001,"&gt;=1"))</f>
        <v/>
      </c>
    </row>
    <row r="70">
      <c r="A70" s="23" t="inlineStr">
        <is>
          <t>Broad Jump</t>
        </is>
      </c>
      <c r="B70" t="inlineStr">
        <is>
          <t>plyo</t>
        </is>
      </c>
      <c r="D70" s="13">
        <f>MAX(_xlfn.MAXIFS('Start Here'!$B$17:$B$56,'Start Here'!$A$17:$A$56,$A70,'Start Here'!$C$17:$C$56,"&gt;=1"),_xlfn.MAXIFS(Sets!$C$2:$C$1060,Sets!$B$2:$B$1060,$A70,Sets!$D$2:$D$1060,"&gt;=1"),_xlfn.MAXIFS(Log!$C$2:$C$1001,Log!$B$2:$B$1001,$A70,Log!$D$2:$D$1001,"&gt;=1"))</f>
        <v/>
      </c>
    </row>
    <row r="72">
      <c r="A72" t="inlineStr">
        <is>
          <t>NRM = heaviest weight lifted for at least N reps (a 5-rep set also counts toward your 3RM). Jumps: the 1RM column is your best height / distance. Pulls from Start Here, every week and Log.</t>
        </is>
      </c>
    </row>
  </sheetData>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I72"/>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26" customWidth="1" min="1" max="1"/>
    <col width="10" customWidth="1" min="2" max="2"/>
    <col width="15" customWidth="1" min="3" max="3"/>
    <col width="7" customWidth="1" min="4" max="4"/>
    <col width="12" customWidth="1" min="5" max="5"/>
    <col width="12" customWidth="1" min="6" max="6"/>
    <col width="12" customWidth="1" min="7" max="7"/>
    <col width="12" customWidth="1" min="8" max="8"/>
    <col width="13" customWidth="1" min="9" max="9"/>
  </cols>
  <sheetData>
    <row r="1" ht="32" customHeight="1">
      <c r="A1" s="5" t="inlineStr">
        <is>
          <t>Exercise</t>
        </is>
      </c>
      <c r="B1" s="5" t="inlineStr">
        <is>
          <t>Type</t>
        </is>
      </c>
      <c r="C1" s="5" t="inlineStr">
        <is>
          <t>Parent lift</t>
        </is>
      </c>
      <c r="D1" s="5" t="inlineStr">
        <is>
          <t>Ratio</t>
        </is>
      </c>
      <c r="E1" s="5" t="inlineStr">
        <is>
          <t>Cycle 1
(weeks 1-12)</t>
        </is>
      </c>
      <c r="F1" s="5" t="inlineStr">
        <is>
          <t>Cycle 2
(weeks 13-24)</t>
        </is>
      </c>
      <c r="G1" s="5" t="inlineStr">
        <is>
          <t>Cycle 3
(weeks 25-36)</t>
        </is>
      </c>
      <c r="H1" s="5" t="inlineStr">
        <is>
          <t>Cycle 4
(weeks 37-48)</t>
        </is>
      </c>
      <c r="I1" s="5" t="inlineStr">
        <is>
          <t>Transition
(weeks 49-52)</t>
        </is>
      </c>
    </row>
    <row r="2">
      <c r="A2" s="10" t="inlineStr">
        <is>
          <t>Squat</t>
        </is>
      </c>
      <c r="B2" t="inlineStr">
        <is>
          <t>main</t>
        </is>
      </c>
      <c r="E2" s="36">
        <f>IF(MAX(_xlfn.MAXIFS('Start Here'!$D$17:$D$56,'Start Here'!$A$17:$A$56,$A2),_xlfn.MAXIFS(Sets!$E$2:$E$1060,Sets!$B$2:$B$1060,$A2,Sets!$A$2:$A$1060,"&lt;"&amp;('Start Here'!$B$7+0)),_xlfn.MAXIFS(Log!$E$2:$E$1001,Log!$B$2:$B$1001,$A2,Log!$A$2:$A$1001,"&lt;"&amp;('Start Here'!$B$7+0)))&gt;0,ROUND(MAX(_xlfn.MAXIFS('Start Here'!$D$17:$D$56,'Start Here'!$A$17:$A$56,$A2),_xlfn.MAXIFS(Sets!$E$2:$E$1060,Sets!$B$2:$B$1060,$A2,Sets!$A$2:$A$1060,"&lt;"&amp;('Start Here'!$B$7+0)),_xlfn.MAXIFS(Log!$E$2:$E$1001,Log!$B$2:$B$1001,$A2,Log!$A$2:$A$1001,"&lt;"&amp;('Start Here'!$B$7+0))),1),"")</f>
        <v/>
      </c>
      <c r="F2" s="36">
        <f>IF(MAX(_xlfn.MAXIFS('Start Here'!$D$17:$D$56,'Start Here'!$A$17:$A$56,$A2),_xlfn.MAXIFS(Sets!$E$2:$E$1060,Sets!$B$2:$B$1060,$A2,Sets!$A$2:$A$1060,"&lt;"&amp;('Start Here'!$B$7+84)),_xlfn.MAXIFS(Log!$E$2:$E$1001,Log!$B$2:$B$1001,$A2,Log!$A$2:$A$1001,"&lt;"&amp;('Start Here'!$B$7+84)))&gt;0,ROUND(MAX(_xlfn.MAXIFS('Start Here'!$D$17:$D$56,'Start Here'!$A$17:$A$56,$A2),_xlfn.MAXIFS(Sets!$E$2:$E$1060,Sets!$B$2:$B$1060,$A2,Sets!$A$2:$A$1060,"&lt;"&amp;('Start Here'!$B$7+84)),_xlfn.MAXIFS(Log!$E$2:$E$1001,Log!$B$2:$B$1001,$A2,Log!$A$2:$A$1001,"&lt;"&amp;('Start Here'!$B$7+84))),1),"")</f>
        <v/>
      </c>
      <c r="G2" s="36">
        <f>IF(MAX(_xlfn.MAXIFS('Start Here'!$D$17:$D$56,'Start Here'!$A$17:$A$56,$A2),_xlfn.MAXIFS(Sets!$E$2:$E$1060,Sets!$B$2:$B$1060,$A2,Sets!$A$2:$A$1060,"&lt;"&amp;('Start Here'!$B$7+168)),_xlfn.MAXIFS(Log!$E$2:$E$1001,Log!$B$2:$B$1001,$A2,Log!$A$2:$A$1001,"&lt;"&amp;('Start Here'!$B$7+168)))&gt;0,ROUND(MAX(_xlfn.MAXIFS('Start Here'!$D$17:$D$56,'Start Here'!$A$17:$A$56,$A2),_xlfn.MAXIFS(Sets!$E$2:$E$1060,Sets!$B$2:$B$1060,$A2,Sets!$A$2:$A$1060,"&lt;"&amp;('Start Here'!$B$7+168)),_xlfn.MAXIFS(Log!$E$2:$E$1001,Log!$B$2:$B$1001,$A2,Log!$A$2:$A$1001,"&lt;"&amp;('Start Here'!$B$7+168))),1),"")</f>
        <v/>
      </c>
      <c r="H2" s="36">
        <f>IF(MAX(_xlfn.MAXIFS('Start Here'!$D$17:$D$56,'Start Here'!$A$17:$A$56,$A2),_xlfn.MAXIFS(Sets!$E$2:$E$1060,Sets!$B$2:$B$1060,$A2,Sets!$A$2:$A$1060,"&lt;"&amp;('Start Here'!$B$7+252)),_xlfn.MAXIFS(Log!$E$2:$E$1001,Log!$B$2:$B$1001,$A2,Log!$A$2:$A$1001,"&lt;"&amp;('Start Here'!$B$7+252)))&gt;0,ROUND(MAX(_xlfn.MAXIFS('Start Here'!$D$17:$D$56,'Start Here'!$A$17:$A$56,$A2),_xlfn.MAXIFS(Sets!$E$2:$E$1060,Sets!$B$2:$B$1060,$A2,Sets!$A$2:$A$1060,"&lt;"&amp;('Start Here'!$B$7+252)),_xlfn.MAXIFS(Log!$E$2:$E$1001,Log!$B$2:$B$1001,$A2,Log!$A$2:$A$1001,"&lt;"&amp;('Start Here'!$B$7+252))),1),"")</f>
        <v/>
      </c>
      <c r="I2" s="36">
        <f>IF(MAX(_xlfn.MAXIFS('Start Here'!$D$17:$D$56,'Start Here'!$A$17:$A$56,$A2),_xlfn.MAXIFS(Sets!$E$2:$E$1060,Sets!$B$2:$B$1060,$A2,Sets!$A$2:$A$1060,"&lt;"&amp;('Start Here'!$B$7+336)),_xlfn.MAXIFS(Log!$E$2:$E$1001,Log!$B$2:$B$1001,$A2,Log!$A$2:$A$1001,"&lt;"&amp;('Start Here'!$B$7+336)))&gt;0,ROUND(MAX(_xlfn.MAXIFS('Start Here'!$D$17:$D$56,'Start Here'!$A$17:$A$56,$A2),_xlfn.MAXIFS(Sets!$E$2:$E$1060,Sets!$B$2:$B$1060,$A2,Sets!$A$2:$A$1060,"&lt;"&amp;('Start Here'!$B$7+336)),_xlfn.MAXIFS(Log!$E$2:$E$1001,Log!$B$2:$B$1001,$A2,Log!$A$2:$A$1001,"&lt;"&amp;('Start Here'!$B$7+336))),1),"")</f>
        <v/>
      </c>
    </row>
    <row r="3">
      <c r="A3" s="10" t="inlineStr">
        <is>
          <t>Bench Press</t>
        </is>
      </c>
      <c r="B3" t="inlineStr">
        <is>
          <t>main</t>
        </is>
      </c>
      <c r="E3" s="36">
        <f>IF(MAX(_xlfn.MAXIFS('Start Here'!$D$17:$D$56,'Start Here'!$A$17:$A$56,$A3),_xlfn.MAXIFS(Sets!$E$2:$E$1060,Sets!$B$2:$B$1060,$A3,Sets!$A$2:$A$1060,"&lt;"&amp;('Start Here'!$B$7+0)),_xlfn.MAXIFS(Log!$E$2:$E$1001,Log!$B$2:$B$1001,$A3,Log!$A$2:$A$1001,"&lt;"&amp;('Start Here'!$B$7+0)))&gt;0,ROUND(MAX(_xlfn.MAXIFS('Start Here'!$D$17:$D$56,'Start Here'!$A$17:$A$56,$A3),_xlfn.MAXIFS(Sets!$E$2:$E$1060,Sets!$B$2:$B$1060,$A3,Sets!$A$2:$A$1060,"&lt;"&amp;('Start Here'!$B$7+0)),_xlfn.MAXIFS(Log!$E$2:$E$1001,Log!$B$2:$B$1001,$A3,Log!$A$2:$A$1001,"&lt;"&amp;('Start Here'!$B$7+0))),1),"")</f>
        <v/>
      </c>
      <c r="F3" s="36">
        <f>IF(MAX(_xlfn.MAXIFS('Start Here'!$D$17:$D$56,'Start Here'!$A$17:$A$56,$A3),_xlfn.MAXIFS(Sets!$E$2:$E$1060,Sets!$B$2:$B$1060,$A3,Sets!$A$2:$A$1060,"&lt;"&amp;('Start Here'!$B$7+84)),_xlfn.MAXIFS(Log!$E$2:$E$1001,Log!$B$2:$B$1001,$A3,Log!$A$2:$A$1001,"&lt;"&amp;('Start Here'!$B$7+84)))&gt;0,ROUND(MAX(_xlfn.MAXIFS('Start Here'!$D$17:$D$56,'Start Here'!$A$17:$A$56,$A3),_xlfn.MAXIFS(Sets!$E$2:$E$1060,Sets!$B$2:$B$1060,$A3,Sets!$A$2:$A$1060,"&lt;"&amp;('Start Here'!$B$7+84)),_xlfn.MAXIFS(Log!$E$2:$E$1001,Log!$B$2:$B$1001,$A3,Log!$A$2:$A$1001,"&lt;"&amp;('Start Here'!$B$7+84))),1),"")</f>
        <v/>
      </c>
      <c r="G3" s="36">
        <f>IF(MAX(_xlfn.MAXIFS('Start Here'!$D$17:$D$56,'Start Here'!$A$17:$A$56,$A3),_xlfn.MAXIFS(Sets!$E$2:$E$1060,Sets!$B$2:$B$1060,$A3,Sets!$A$2:$A$1060,"&lt;"&amp;('Start Here'!$B$7+168)),_xlfn.MAXIFS(Log!$E$2:$E$1001,Log!$B$2:$B$1001,$A3,Log!$A$2:$A$1001,"&lt;"&amp;('Start Here'!$B$7+168)))&gt;0,ROUND(MAX(_xlfn.MAXIFS('Start Here'!$D$17:$D$56,'Start Here'!$A$17:$A$56,$A3),_xlfn.MAXIFS(Sets!$E$2:$E$1060,Sets!$B$2:$B$1060,$A3,Sets!$A$2:$A$1060,"&lt;"&amp;('Start Here'!$B$7+168)),_xlfn.MAXIFS(Log!$E$2:$E$1001,Log!$B$2:$B$1001,$A3,Log!$A$2:$A$1001,"&lt;"&amp;('Start Here'!$B$7+168))),1),"")</f>
        <v/>
      </c>
      <c r="H3" s="36">
        <f>IF(MAX(_xlfn.MAXIFS('Start Here'!$D$17:$D$56,'Start Here'!$A$17:$A$56,$A3),_xlfn.MAXIFS(Sets!$E$2:$E$1060,Sets!$B$2:$B$1060,$A3,Sets!$A$2:$A$1060,"&lt;"&amp;('Start Here'!$B$7+252)),_xlfn.MAXIFS(Log!$E$2:$E$1001,Log!$B$2:$B$1001,$A3,Log!$A$2:$A$1001,"&lt;"&amp;('Start Here'!$B$7+252)))&gt;0,ROUND(MAX(_xlfn.MAXIFS('Start Here'!$D$17:$D$56,'Start Here'!$A$17:$A$56,$A3),_xlfn.MAXIFS(Sets!$E$2:$E$1060,Sets!$B$2:$B$1060,$A3,Sets!$A$2:$A$1060,"&lt;"&amp;('Start Here'!$B$7+252)),_xlfn.MAXIFS(Log!$E$2:$E$1001,Log!$B$2:$B$1001,$A3,Log!$A$2:$A$1001,"&lt;"&amp;('Start Here'!$B$7+252))),1),"")</f>
        <v/>
      </c>
      <c r="I3" s="36">
        <f>IF(MAX(_xlfn.MAXIFS('Start Here'!$D$17:$D$56,'Start Here'!$A$17:$A$56,$A3),_xlfn.MAXIFS(Sets!$E$2:$E$1060,Sets!$B$2:$B$1060,$A3,Sets!$A$2:$A$1060,"&lt;"&amp;('Start Here'!$B$7+336)),_xlfn.MAXIFS(Log!$E$2:$E$1001,Log!$B$2:$B$1001,$A3,Log!$A$2:$A$1001,"&lt;"&amp;('Start Here'!$B$7+336)))&gt;0,ROUND(MAX(_xlfn.MAXIFS('Start Here'!$D$17:$D$56,'Start Here'!$A$17:$A$56,$A3),_xlfn.MAXIFS(Sets!$E$2:$E$1060,Sets!$B$2:$B$1060,$A3,Sets!$A$2:$A$1060,"&lt;"&amp;('Start Here'!$B$7+336)),_xlfn.MAXIFS(Log!$E$2:$E$1001,Log!$B$2:$B$1001,$A3,Log!$A$2:$A$1001,"&lt;"&amp;('Start Here'!$B$7+336))),1),"")</f>
        <v/>
      </c>
    </row>
    <row r="4">
      <c r="A4" s="10" t="inlineStr">
        <is>
          <t>Deadlift</t>
        </is>
      </c>
      <c r="B4" t="inlineStr">
        <is>
          <t>main</t>
        </is>
      </c>
      <c r="E4" s="36">
        <f>IF(MAX(_xlfn.MAXIFS('Start Here'!$D$17:$D$56,'Start Here'!$A$17:$A$56,$A4),_xlfn.MAXIFS(Sets!$E$2:$E$1060,Sets!$B$2:$B$1060,$A4,Sets!$A$2:$A$1060,"&lt;"&amp;('Start Here'!$B$7+0)),_xlfn.MAXIFS(Log!$E$2:$E$1001,Log!$B$2:$B$1001,$A4,Log!$A$2:$A$1001,"&lt;"&amp;('Start Here'!$B$7+0)))&gt;0,ROUND(MAX(_xlfn.MAXIFS('Start Here'!$D$17:$D$56,'Start Here'!$A$17:$A$56,$A4),_xlfn.MAXIFS(Sets!$E$2:$E$1060,Sets!$B$2:$B$1060,$A4,Sets!$A$2:$A$1060,"&lt;"&amp;('Start Here'!$B$7+0)),_xlfn.MAXIFS(Log!$E$2:$E$1001,Log!$B$2:$B$1001,$A4,Log!$A$2:$A$1001,"&lt;"&amp;('Start Here'!$B$7+0))),1),"")</f>
        <v/>
      </c>
      <c r="F4" s="36">
        <f>IF(MAX(_xlfn.MAXIFS('Start Here'!$D$17:$D$56,'Start Here'!$A$17:$A$56,$A4),_xlfn.MAXIFS(Sets!$E$2:$E$1060,Sets!$B$2:$B$1060,$A4,Sets!$A$2:$A$1060,"&lt;"&amp;('Start Here'!$B$7+84)),_xlfn.MAXIFS(Log!$E$2:$E$1001,Log!$B$2:$B$1001,$A4,Log!$A$2:$A$1001,"&lt;"&amp;('Start Here'!$B$7+84)))&gt;0,ROUND(MAX(_xlfn.MAXIFS('Start Here'!$D$17:$D$56,'Start Here'!$A$17:$A$56,$A4),_xlfn.MAXIFS(Sets!$E$2:$E$1060,Sets!$B$2:$B$1060,$A4,Sets!$A$2:$A$1060,"&lt;"&amp;('Start Here'!$B$7+84)),_xlfn.MAXIFS(Log!$E$2:$E$1001,Log!$B$2:$B$1001,$A4,Log!$A$2:$A$1001,"&lt;"&amp;('Start Here'!$B$7+84))),1),"")</f>
        <v/>
      </c>
      <c r="G4" s="36">
        <f>IF(MAX(_xlfn.MAXIFS('Start Here'!$D$17:$D$56,'Start Here'!$A$17:$A$56,$A4),_xlfn.MAXIFS(Sets!$E$2:$E$1060,Sets!$B$2:$B$1060,$A4,Sets!$A$2:$A$1060,"&lt;"&amp;('Start Here'!$B$7+168)),_xlfn.MAXIFS(Log!$E$2:$E$1001,Log!$B$2:$B$1001,$A4,Log!$A$2:$A$1001,"&lt;"&amp;('Start Here'!$B$7+168)))&gt;0,ROUND(MAX(_xlfn.MAXIFS('Start Here'!$D$17:$D$56,'Start Here'!$A$17:$A$56,$A4),_xlfn.MAXIFS(Sets!$E$2:$E$1060,Sets!$B$2:$B$1060,$A4,Sets!$A$2:$A$1060,"&lt;"&amp;('Start Here'!$B$7+168)),_xlfn.MAXIFS(Log!$E$2:$E$1001,Log!$B$2:$B$1001,$A4,Log!$A$2:$A$1001,"&lt;"&amp;('Start Here'!$B$7+168))),1),"")</f>
        <v/>
      </c>
      <c r="H4" s="36">
        <f>IF(MAX(_xlfn.MAXIFS('Start Here'!$D$17:$D$56,'Start Here'!$A$17:$A$56,$A4),_xlfn.MAXIFS(Sets!$E$2:$E$1060,Sets!$B$2:$B$1060,$A4,Sets!$A$2:$A$1060,"&lt;"&amp;('Start Here'!$B$7+252)),_xlfn.MAXIFS(Log!$E$2:$E$1001,Log!$B$2:$B$1001,$A4,Log!$A$2:$A$1001,"&lt;"&amp;('Start Here'!$B$7+252)))&gt;0,ROUND(MAX(_xlfn.MAXIFS('Start Here'!$D$17:$D$56,'Start Here'!$A$17:$A$56,$A4),_xlfn.MAXIFS(Sets!$E$2:$E$1060,Sets!$B$2:$B$1060,$A4,Sets!$A$2:$A$1060,"&lt;"&amp;('Start Here'!$B$7+252)),_xlfn.MAXIFS(Log!$E$2:$E$1001,Log!$B$2:$B$1001,$A4,Log!$A$2:$A$1001,"&lt;"&amp;('Start Here'!$B$7+252))),1),"")</f>
        <v/>
      </c>
      <c r="I4" s="36">
        <f>IF(MAX(_xlfn.MAXIFS('Start Here'!$D$17:$D$56,'Start Here'!$A$17:$A$56,$A4),_xlfn.MAXIFS(Sets!$E$2:$E$1060,Sets!$B$2:$B$1060,$A4,Sets!$A$2:$A$1060,"&lt;"&amp;('Start Here'!$B$7+336)),_xlfn.MAXIFS(Log!$E$2:$E$1001,Log!$B$2:$B$1001,$A4,Log!$A$2:$A$1001,"&lt;"&amp;('Start Here'!$B$7+336)))&gt;0,ROUND(MAX(_xlfn.MAXIFS('Start Here'!$D$17:$D$56,'Start Here'!$A$17:$A$56,$A4),_xlfn.MAXIFS(Sets!$E$2:$E$1060,Sets!$B$2:$B$1060,$A4,Sets!$A$2:$A$1060,"&lt;"&amp;('Start Here'!$B$7+336)),_xlfn.MAXIFS(Log!$E$2:$E$1001,Log!$B$2:$B$1001,$A4,Log!$A$2:$A$1001,"&lt;"&amp;('Start Here'!$B$7+336))),1),"")</f>
        <v/>
      </c>
    </row>
    <row r="5">
      <c r="A5" s="10" t="inlineStr">
        <is>
          <t>Overhead Press</t>
        </is>
      </c>
      <c r="B5" t="inlineStr">
        <is>
          <t>main</t>
        </is>
      </c>
      <c r="E5" s="36">
        <f>IF(MAX(_xlfn.MAXIFS('Start Here'!$D$17:$D$56,'Start Here'!$A$17:$A$56,$A5),_xlfn.MAXIFS(Sets!$E$2:$E$1060,Sets!$B$2:$B$1060,$A5,Sets!$A$2:$A$1060,"&lt;"&amp;('Start Here'!$B$7+0)),_xlfn.MAXIFS(Log!$E$2:$E$1001,Log!$B$2:$B$1001,$A5,Log!$A$2:$A$1001,"&lt;"&amp;('Start Here'!$B$7+0)))&gt;0,ROUND(MAX(_xlfn.MAXIFS('Start Here'!$D$17:$D$56,'Start Here'!$A$17:$A$56,$A5),_xlfn.MAXIFS(Sets!$E$2:$E$1060,Sets!$B$2:$B$1060,$A5,Sets!$A$2:$A$1060,"&lt;"&amp;('Start Here'!$B$7+0)),_xlfn.MAXIFS(Log!$E$2:$E$1001,Log!$B$2:$B$1001,$A5,Log!$A$2:$A$1001,"&lt;"&amp;('Start Here'!$B$7+0))),1),"")</f>
        <v/>
      </c>
      <c r="F5" s="36">
        <f>IF(MAX(_xlfn.MAXIFS('Start Here'!$D$17:$D$56,'Start Here'!$A$17:$A$56,$A5),_xlfn.MAXIFS(Sets!$E$2:$E$1060,Sets!$B$2:$B$1060,$A5,Sets!$A$2:$A$1060,"&lt;"&amp;('Start Here'!$B$7+84)),_xlfn.MAXIFS(Log!$E$2:$E$1001,Log!$B$2:$B$1001,$A5,Log!$A$2:$A$1001,"&lt;"&amp;('Start Here'!$B$7+84)))&gt;0,ROUND(MAX(_xlfn.MAXIFS('Start Here'!$D$17:$D$56,'Start Here'!$A$17:$A$56,$A5),_xlfn.MAXIFS(Sets!$E$2:$E$1060,Sets!$B$2:$B$1060,$A5,Sets!$A$2:$A$1060,"&lt;"&amp;('Start Here'!$B$7+84)),_xlfn.MAXIFS(Log!$E$2:$E$1001,Log!$B$2:$B$1001,$A5,Log!$A$2:$A$1001,"&lt;"&amp;('Start Here'!$B$7+84))),1),"")</f>
        <v/>
      </c>
      <c r="G5" s="36">
        <f>IF(MAX(_xlfn.MAXIFS('Start Here'!$D$17:$D$56,'Start Here'!$A$17:$A$56,$A5),_xlfn.MAXIFS(Sets!$E$2:$E$1060,Sets!$B$2:$B$1060,$A5,Sets!$A$2:$A$1060,"&lt;"&amp;('Start Here'!$B$7+168)),_xlfn.MAXIFS(Log!$E$2:$E$1001,Log!$B$2:$B$1001,$A5,Log!$A$2:$A$1001,"&lt;"&amp;('Start Here'!$B$7+168)))&gt;0,ROUND(MAX(_xlfn.MAXIFS('Start Here'!$D$17:$D$56,'Start Here'!$A$17:$A$56,$A5),_xlfn.MAXIFS(Sets!$E$2:$E$1060,Sets!$B$2:$B$1060,$A5,Sets!$A$2:$A$1060,"&lt;"&amp;('Start Here'!$B$7+168)),_xlfn.MAXIFS(Log!$E$2:$E$1001,Log!$B$2:$B$1001,$A5,Log!$A$2:$A$1001,"&lt;"&amp;('Start Here'!$B$7+168))),1),"")</f>
        <v/>
      </c>
      <c r="H5" s="36">
        <f>IF(MAX(_xlfn.MAXIFS('Start Here'!$D$17:$D$56,'Start Here'!$A$17:$A$56,$A5),_xlfn.MAXIFS(Sets!$E$2:$E$1060,Sets!$B$2:$B$1060,$A5,Sets!$A$2:$A$1060,"&lt;"&amp;('Start Here'!$B$7+252)),_xlfn.MAXIFS(Log!$E$2:$E$1001,Log!$B$2:$B$1001,$A5,Log!$A$2:$A$1001,"&lt;"&amp;('Start Here'!$B$7+252)))&gt;0,ROUND(MAX(_xlfn.MAXIFS('Start Here'!$D$17:$D$56,'Start Here'!$A$17:$A$56,$A5),_xlfn.MAXIFS(Sets!$E$2:$E$1060,Sets!$B$2:$B$1060,$A5,Sets!$A$2:$A$1060,"&lt;"&amp;('Start Here'!$B$7+252)),_xlfn.MAXIFS(Log!$E$2:$E$1001,Log!$B$2:$B$1001,$A5,Log!$A$2:$A$1001,"&lt;"&amp;('Start Here'!$B$7+252))),1),"")</f>
        <v/>
      </c>
      <c r="I5" s="36">
        <f>IF(MAX(_xlfn.MAXIFS('Start Here'!$D$17:$D$56,'Start Here'!$A$17:$A$56,$A5),_xlfn.MAXIFS(Sets!$E$2:$E$1060,Sets!$B$2:$B$1060,$A5,Sets!$A$2:$A$1060,"&lt;"&amp;('Start Here'!$B$7+336)),_xlfn.MAXIFS(Log!$E$2:$E$1001,Log!$B$2:$B$1001,$A5,Log!$A$2:$A$1001,"&lt;"&amp;('Start Here'!$B$7+336)))&gt;0,ROUND(MAX(_xlfn.MAXIFS('Start Here'!$D$17:$D$56,'Start Here'!$A$17:$A$56,$A5),_xlfn.MAXIFS(Sets!$E$2:$E$1060,Sets!$B$2:$B$1060,$A5,Sets!$A$2:$A$1060,"&lt;"&amp;('Start Here'!$B$7+336)),_xlfn.MAXIFS(Log!$E$2:$E$1001,Log!$B$2:$B$1001,$A5,Log!$A$2:$A$1001,"&lt;"&amp;('Start Here'!$B$7+336))),1),"")</f>
        <v/>
      </c>
    </row>
    <row r="6">
      <c r="A6" s="10" t="inlineStr">
        <is>
          <t>Snatch</t>
        </is>
      </c>
      <c r="B6" t="inlineStr">
        <is>
          <t>main</t>
        </is>
      </c>
      <c r="E6" s="36">
        <f>IF(MAX(_xlfn.MAXIFS('Start Here'!$D$17:$D$56,'Start Here'!$A$17:$A$56,$A6),_xlfn.MAXIFS(Sets!$E$2:$E$1060,Sets!$B$2:$B$1060,$A6,Sets!$A$2:$A$1060,"&lt;"&amp;('Start Here'!$B$7+0)),_xlfn.MAXIFS(Log!$E$2:$E$1001,Log!$B$2:$B$1001,$A6,Log!$A$2:$A$1001,"&lt;"&amp;('Start Here'!$B$7+0)))&gt;0,ROUND(MAX(_xlfn.MAXIFS('Start Here'!$D$17:$D$56,'Start Here'!$A$17:$A$56,$A6),_xlfn.MAXIFS(Sets!$E$2:$E$1060,Sets!$B$2:$B$1060,$A6,Sets!$A$2:$A$1060,"&lt;"&amp;('Start Here'!$B$7+0)),_xlfn.MAXIFS(Log!$E$2:$E$1001,Log!$B$2:$B$1001,$A6,Log!$A$2:$A$1001,"&lt;"&amp;('Start Here'!$B$7+0))),1),"")</f>
        <v/>
      </c>
      <c r="F6" s="36">
        <f>IF(MAX(_xlfn.MAXIFS('Start Here'!$D$17:$D$56,'Start Here'!$A$17:$A$56,$A6),_xlfn.MAXIFS(Sets!$E$2:$E$1060,Sets!$B$2:$B$1060,$A6,Sets!$A$2:$A$1060,"&lt;"&amp;('Start Here'!$B$7+84)),_xlfn.MAXIFS(Log!$E$2:$E$1001,Log!$B$2:$B$1001,$A6,Log!$A$2:$A$1001,"&lt;"&amp;('Start Here'!$B$7+84)))&gt;0,ROUND(MAX(_xlfn.MAXIFS('Start Here'!$D$17:$D$56,'Start Here'!$A$17:$A$56,$A6),_xlfn.MAXIFS(Sets!$E$2:$E$1060,Sets!$B$2:$B$1060,$A6,Sets!$A$2:$A$1060,"&lt;"&amp;('Start Here'!$B$7+84)),_xlfn.MAXIFS(Log!$E$2:$E$1001,Log!$B$2:$B$1001,$A6,Log!$A$2:$A$1001,"&lt;"&amp;('Start Here'!$B$7+84))),1),"")</f>
        <v/>
      </c>
      <c r="G6" s="36">
        <f>IF(MAX(_xlfn.MAXIFS('Start Here'!$D$17:$D$56,'Start Here'!$A$17:$A$56,$A6),_xlfn.MAXIFS(Sets!$E$2:$E$1060,Sets!$B$2:$B$1060,$A6,Sets!$A$2:$A$1060,"&lt;"&amp;('Start Here'!$B$7+168)),_xlfn.MAXIFS(Log!$E$2:$E$1001,Log!$B$2:$B$1001,$A6,Log!$A$2:$A$1001,"&lt;"&amp;('Start Here'!$B$7+168)))&gt;0,ROUND(MAX(_xlfn.MAXIFS('Start Here'!$D$17:$D$56,'Start Here'!$A$17:$A$56,$A6),_xlfn.MAXIFS(Sets!$E$2:$E$1060,Sets!$B$2:$B$1060,$A6,Sets!$A$2:$A$1060,"&lt;"&amp;('Start Here'!$B$7+168)),_xlfn.MAXIFS(Log!$E$2:$E$1001,Log!$B$2:$B$1001,$A6,Log!$A$2:$A$1001,"&lt;"&amp;('Start Here'!$B$7+168))),1),"")</f>
        <v/>
      </c>
      <c r="H6" s="36">
        <f>IF(MAX(_xlfn.MAXIFS('Start Here'!$D$17:$D$56,'Start Here'!$A$17:$A$56,$A6),_xlfn.MAXIFS(Sets!$E$2:$E$1060,Sets!$B$2:$B$1060,$A6,Sets!$A$2:$A$1060,"&lt;"&amp;('Start Here'!$B$7+252)),_xlfn.MAXIFS(Log!$E$2:$E$1001,Log!$B$2:$B$1001,$A6,Log!$A$2:$A$1001,"&lt;"&amp;('Start Here'!$B$7+252)))&gt;0,ROUND(MAX(_xlfn.MAXIFS('Start Here'!$D$17:$D$56,'Start Here'!$A$17:$A$56,$A6),_xlfn.MAXIFS(Sets!$E$2:$E$1060,Sets!$B$2:$B$1060,$A6,Sets!$A$2:$A$1060,"&lt;"&amp;('Start Here'!$B$7+252)),_xlfn.MAXIFS(Log!$E$2:$E$1001,Log!$B$2:$B$1001,$A6,Log!$A$2:$A$1001,"&lt;"&amp;('Start Here'!$B$7+252))),1),"")</f>
        <v/>
      </c>
      <c r="I6" s="36">
        <f>IF(MAX(_xlfn.MAXIFS('Start Here'!$D$17:$D$56,'Start Here'!$A$17:$A$56,$A6),_xlfn.MAXIFS(Sets!$E$2:$E$1060,Sets!$B$2:$B$1060,$A6,Sets!$A$2:$A$1060,"&lt;"&amp;('Start Here'!$B$7+336)),_xlfn.MAXIFS(Log!$E$2:$E$1001,Log!$B$2:$B$1001,$A6,Log!$A$2:$A$1001,"&lt;"&amp;('Start Here'!$B$7+336)))&gt;0,ROUND(MAX(_xlfn.MAXIFS('Start Here'!$D$17:$D$56,'Start Here'!$A$17:$A$56,$A6),_xlfn.MAXIFS(Sets!$E$2:$E$1060,Sets!$B$2:$B$1060,$A6,Sets!$A$2:$A$1060,"&lt;"&amp;('Start Here'!$B$7+336)),_xlfn.MAXIFS(Log!$E$2:$E$1001,Log!$B$2:$B$1001,$A6,Log!$A$2:$A$1001,"&lt;"&amp;('Start Here'!$B$7+336))),1),"")</f>
        <v/>
      </c>
    </row>
    <row r="7">
      <c r="A7" s="10" t="inlineStr">
        <is>
          <t>Clean &amp; Jerk</t>
        </is>
      </c>
      <c r="B7" t="inlineStr">
        <is>
          <t>main</t>
        </is>
      </c>
      <c r="E7" s="36">
        <f>IF(MAX(_xlfn.MAXIFS('Start Here'!$D$17:$D$56,'Start Here'!$A$17:$A$56,$A7),_xlfn.MAXIFS(Sets!$E$2:$E$1060,Sets!$B$2:$B$1060,$A7,Sets!$A$2:$A$1060,"&lt;"&amp;('Start Here'!$B$7+0)),_xlfn.MAXIFS(Log!$E$2:$E$1001,Log!$B$2:$B$1001,$A7,Log!$A$2:$A$1001,"&lt;"&amp;('Start Here'!$B$7+0)))&gt;0,ROUND(MAX(_xlfn.MAXIFS('Start Here'!$D$17:$D$56,'Start Here'!$A$17:$A$56,$A7),_xlfn.MAXIFS(Sets!$E$2:$E$1060,Sets!$B$2:$B$1060,$A7,Sets!$A$2:$A$1060,"&lt;"&amp;('Start Here'!$B$7+0)),_xlfn.MAXIFS(Log!$E$2:$E$1001,Log!$B$2:$B$1001,$A7,Log!$A$2:$A$1001,"&lt;"&amp;('Start Here'!$B$7+0))),1),"")</f>
        <v/>
      </c>
      <c r="F7" s="36">
        <f>IF(MAX(_xlfn.MAXIFS('Start Here'!$D$17:$D$56,'Start Here'!$A$17:$A$56,$A7),_xlfn.MAXIFS(Sets!$E$2:$E$1060,Sets!$B$2:$B$1060,$A7,Sets!$A$2:$A$1060,"&lt;"&amp;('Start Here'!$B$7+84)),_xlfn.MAXIFS(Log!$E$2:$E$1001,Log!$B$2:$B$1001,$A7,Log!$A$2:$A$1001,"&lt;"&amp;('Start Here'!$B$7+84)))&gt;0,ROUND(MAX(_xlfn.MAXIFS('Start Here'!$D$17:$D$56,'Start Here'!$A$17:$A$56,$A7),_xlfn.MAXIFS(Sets!$E$2:$E$1060,Sets!$B$2:$B$1060,$A7,Sets!$A$2:$A$1060,"&lt;"&amp;('Start Here'!$B$7+84)),_xlfn.MAXIFS(Log!$E$2:$E$1001,Log!$B$2:$B$1001,$A7,Log!$A$2:$A$1001,"&lt;"&amp;('Start Here'!$B$7+84))),1),"")</f>
        <v/>
      </c>
      <c r="G7" s="36">
        <f>IF(MAX(_xlfn.MAXIFS('Start Here'!$D$17:$D$56,'Start Here'!$A$17:$A$56,$A7),_xlfn.MAXIFS(Sets!$E$2:$E$1060,Sets!$B$2:$B$1060,$A7,Sets!$A$2:$A$1060,"&lt;"&amp;('Start Here'!$B$7+168)),_xlfn.MAXIFS(Log!$E$2:$E$1001,Log!$B$2:$B$1001,$A7,Log!$A$2:$A$1001,"&lt;"&amp;('Start Here'!$B$7+168)))&gt;0,ROUND(MAX(_xlfn.MAXIFS('Start Here'!$D$17:$D$56,'Start Here'!$A$17:$A$56,$A7),_xlfn.MAXIFS(Sets!$E$2:$E$1060,Sets!$B$2:$B$1060,$A7,Sets!$A$2:$A$1060,"&lt;"&amp;('Start Here'!$B$7+168)),_xlfn.MAXIFS(Log!$E$2:$E$1001,Log!$B$2:$B$1001,$A7,Log!$A$2:$A$1001,"&lt;"&amp;('Start Here'!$B$7+168))),1),"")</f>
        <v/>
      </c>
      <c r="H7" s="36">
        <f>IF(MAX(_xlfn.MAXIFS('Start Here'!$D$17:$D$56,'Start Here'!$A$17:$A$56,$A7),_xlfn.MAXIFS(Sets!$E$2:$E$1060,Sets!$B$2:$B$1060,$A7,Sets!$A$2:$A$1060,"&lt;"&amp;('Start Here'!$B$7+252)),_xlfn.MAXIFS(Log!$E$2:$E$1001,Log!$B$2:$B$1001,$A7,Log!$A$2:$A$1001,"&lt;"&amp;('Start Here'!$B$7+252)))&gt;0,ROUND(MAX(_xlfn.MAXIFS('Start Here'!$D$17:$D$56,'Start Here'!$A$17:$A$56,$A7),_xlfn.MAXIFS(Sets!$E$2:$E$1060,Sets!$B$2:$B$1060,$A7,Sets!$A$2:$A$1060,"&lt;"&amp;('Start Here'!$B$7+252)),_xlfn.MAXIFS(Log!$E$2:$E$1001,Log!$B$2:$B$1001,$A7,Log!$A$2:$A$1001,"&lt;"&amp;('Start Here'!$B$7+252))),1),"")</f>
        <v/>
      </c>
      <c r="I7" s="36">
        <f>IF(MAX(_xlfn.MAXIFS('Start Here'!$D$17:$D$56,'Start Here'!$A$17:$A$56,$A7),_xlfn.MAXIFS(Sets!$E$2:$E$1060,Sets!$B$2:$B$1060,$A7,Sets!$A$2:$A$1060,"&lt;"&amp;('Start Here'!$B$7+336)),_xlfn.MAXIFS(Log!$E$2:$E$1001,Log!$B$2:$B$1001,$A7,Log!$A$2:$A$1001,"&lt;"&amp;('Start Here'!$B$7+336)))&gt;0,ROUND(MAX(_xlfn.MAXIFS('Start Here'!$D$17:$D$56,'Start Here'!$A$17:$A$56,$A7),_xlfn.MAXIFS(Sets!$E$2:$E$1060,Sets!$B$2:$B$1060,$A7,Sets!$A$2:$A$1060,"&lt;"&amp;('Start Here'!$B$7+336)),_xlfn.MAXIFS(Log!$E$2:$E$1001,Log!$B$2:$B$1001,$A7,Log!$A$2:$A$1001,"&lt;"&amp;('Start Here'!$B$7+336))),1),"")</f>
        <v/>
      </c>
    </row>
    <row r="8">
      <c r="A8" s="23" t="inlineStr">
        <is>
          <t>Box Squat</t>
        </is>
      </c>
      <c r="B8" t="inlineStr">
        <is>
          <t>variation</t>
        </is>
      </c>
      <c r="C8" t="inlineStr">
        <is>
          <t>Squat</t>
        </is>
      </c>
      <c r="D8" t="n">
        <v>0.9</v>
      </c>
      <c r="E8" s="36">
        <f>IF(MAX(_xlfn.MAXIFS('Start Here'!$D$17:$D$56,'Start Here'!$A$17:$A$56,$A8),_xlfn.MAXIFS(Sets!$E$2:$E$1060,Sets!$B$2:$B$1060,$A8,Sets!$A$2:$A$1060,"&lt;"&amp;('Start Here'!$B$7+0)),_xlfn.MAXIFS(Log!$E$2:$E$1001,Log!$B$2:$B$1001,$A8,Log!$A$2:$A$1001,"&lt;"&amp;('Start Here'!$B$7+0)))&gt;0,ROUND(MAX(_xlfn.MAXIFS('Start Here'!$D$17:$D$56,'Start Here'!$A$17:$A$56,$A8),_xlfn.MAXIFS(Sets!$E$2:$E$1060,Sets!$B$2:$B$1060,$A8,Sets!$A$2:$A$1060,"&lt;"&amp;('Start Here'!$B$7+0)),_xlfn.MAXIFS(Log!$E$2:$E$1001,Log!$B$2:$B$1001,$A8,Log!$A$2:$A$1001,"&lt;"&amp;('Start Here'!$B$7+0))),1),IF(N(E2)&gt;0,ROUND(E2*$D8,1),""))</f>
        <v/>
      </c>
      <c r="F8" s="36">
        <f>IF(MAX(_xlfn.MAXIFS('Start Here'!$D$17:$D$56,'Start Here'!$A$17:$A$56,$A8),_xlfn.MAXIFS(Sets!$E$2:$E$1060,Sets!$B$2:$B$1060,$A8,Sets!$A$2:$A$1060,"&lt;"&amp;('Start Here'!$B$7+84)),_xlfn.MAXIFS(Log!$E$2:$E$1001,Log!$B$2:$B$1001,$A8,Log!$A$2:$A$1001,"&lt;"&amp;('Start Here'!$B$7+84)))&gt;0,ROUND(MAX(_xlfn.MAXIFS('Start Here'!$D$17:$D$56,'Start Here'!$A$17:$A$56,$A8),_xlfn.MAXIFS(Sets!$E$2:$E$1060,Sets!$B$2:$B$1060,$A8,Sets!$A$2:$A$1060,"&lt;"&amp;('Start Here'!$B$7+84)),_xlfn.MAXIFS(Log!$E$2:$E$1001,Log!$B$2:$B$1001,$A8,Log!$A$2:$A$1001,"&lt;"&amp;('Start Here'!$B$7+84))),1),IF(N(F2)&gt;0,ROUND(F2*$D8,1),""))</f>
        <v/>
      </c>
      <c r="G8" s="36">
        <f>IF(MAX(_xlfn.MAXIFS('Start Here'!$D$17:$D$56,'Start Here'!$A$17:$A$56,$A8),_xlfn.MAXIFS(Sets!$E$2:$E$1060,Sets!$B$2:$B$1060,$A8,Sets!$A$2:$A$1060,"&lt;"&amp;('Start Here'!$B$7+168)),_xlfn.MAXIFS(Log!$E$2:$E$1001,Log!$B$2:$B$1001,$A8,Log!$A$2:$A$1001,"&lt;"&amp;('Start Here'!$B$7+168)))&gt;0,ROUND(MAX(_xlfn.MAXIFS('Start Here'!$D$17:$D$56,'Start Here'!$A$17:$A$56,$A8),_xlfn.MAXIFS(Sets!$E$2:$E$1060,Sets!$B$2:$B$1060,$A8,Sets!$A$2:$A$1060,"&lt;"&amp;('Start Here'!$B$7+168)),_xlfn.MAXIFS(Log!$E$2:$E$1001,Log!$B$2:$B$1001,$A8,Log!$A$2:$A$1001,"&lt;"&amp;('Start Here'!$B$7+168))),1),IF(N(G2)&gt;0,ROUND(G2*$D8,1),""))</f>
        <v/>
      </c>
      <c r="H8" s="36">
        <f>IF(MAX(_xlfn.MAXIFS('Start Here'!$D$17:$D$56,'Start Here'!$A$17:$A$56,$A8),_xlfn.MAXIFS(Sets!$E$2:$E$1060,Sets!$B$2:$B$1060,$A8,Sets!$A$2:$A$1060,"&lt;"&amp;('Start Here'!$B$7+252)),_xlfn.MAXIFS(Log!$E$2:$E$1001,Log!$B$2:$B$1001,$A8,Log!$A$2:$A$1001,"&lt;"&amp;('Start Here'!$B$7+252)))&gt;0,ROUND(MAX(_xlfn.MAXIFS('Start Here'!$D$17:$D$56,'Start Here'!$A$17:$A$56,$A8),_xlfn.MAXIFS(Sets!$E$2:$E$1060,Sets!$B$2:$B$1060,$A8,Sets!$A$2:$A$1060,"&lt;"&amp;('Start Here'!$B$7+252)),_xlfn.MAXIFS(Log!$E$2:$E$1001,Log!$B$2:$B$1001,$A8,Log!$A$2:$A$1001,"&lt;"&amp;('Start Here'!$B$7+252))),1),IF(N(H2)&gt;0,ROUND(H2*$D8,1),""))</f>
        <v/>
      </c>
      <c r="I8" s="36">
        <f>IF(MAX(_xlfn.MAXIFS('Start Here'!$D$17:$D$56,'Start Here'!$A$17:$A$56,$A8),_xlfn.MAXIFS(Sets!$E$2:$E$1060,Sets!$B$2:$B$1060,$A8,Sets!$A$2:$A$1060,"&lt;"&amp;('Start Here'!$B$7+336)),_xlfn.MAXIFS(Log!$E$2:$E$1001,Log!$B$2:$B$1001,$A8,Log!$A$2:$A$1001,"&lt;"&amp;('Start Here'!$B$7+336)))&gt;0,ROUND(MAX(_xlfn.MAXIFS('Start Here'!$D$17:$D$56,'Start Here'!$A$17:$A$56,$A8),_xlfn.MAXIFS(Sets!$E$2:$E$1060,Sets!$B$2:$B$1060,$A8,Sets!$A$2:$A$1060,"&lt;"&amp;('Start Here'!$B$7+336)),_xlfn.MAXIFS(Log!$E$2:$E$1001,Log!$B$2:$B$1001,$A8,Log!$A$2:$A$1001,"&lt;"&amp;('Start Here'!$B$7+336))),1),IF(N(I2)&gt;0,ROUND(I2*$D8,1),""))</f>
        <v/>
      </c>
    </row>
    <row r="9">
      <c r="A9" s="23" t="inlineStr">
        <is>
          <t>Pause Squat</t>
        </is>
      </c>
      <c r="B9" t="inlineStr">
        <is>
          <t>variation</t>
        </is>
      </c>
      <c r="C9" t="inlineStr">
        <is>
          <t>Squat</t>
        </is>
      </c>
      <c r="D9" t="n">
        <v>0.85</v>
      </c>
      <c r="E9" s="36">
        <f>IF(MAX(_xlfn.MAXIFS('Start Here'!$D$17:$D$56,'Start Here'!$A$17:$A$56,$A9),_xlfn.MAXIFS(Sets!$E$2:$E$1060,Sets!$B$2:$B$1060,$A9,Sets!$A$2:$A$1060,"&lt;"&amp;('Start Here'!$B$7+0)),_xlfn.MAXIFS(Log!$E$2:$E$1001,Log!$B$2:$B$1001,$A9,Log!$A$2:$A$1001,"&lt;"&amp;('Start Here'!$B$7+0)))&gt;0,ROUND(MAX(_xlfn.MAXIFS('Start Here'!$D$17:$D$56,'Start Here'!$A$17:$A$56,$A9),_xlfn.MAXIFS(Sets!$E$2:$E$1060,Sets!$B$2:$B$1060,$A9,Sets!$A$2:$A$1060,"&lt;"&amp;('Start Here'!$B$7+0)),_xlfn.MAXIFS(Log!$E$2:$E$1001,Log!$B$2:$B$1001,$A9,Log!$A$2:$A$1001,"&lt;"&amp;('Start Here'!$B$7+0))),1),IF(N(E2)&gt;0,ROUND(E2*$D9,1),""))</f>
        <v/>
      </c>
      <c r="F9" s="36">
        <f>IF(MAX(_xlfn.MAXIFS('Start Here'!$D$17:$D$56,'Start Here'!$A$17:$A$56,$A9),_xlfn.MAXIFS(Sets!$E$2:$E$1060,Sets!$B$2:$B$1060,$A9,Sets!$A$2:$A$1060,"&lt;"&amp;('Start Here'!$B$7+84)),_xlfn.MAXIFS(Log!$E$2:$E$1001,Log!$B$2:$B$1001,$A9,Log!$A$2:$A$1001,"&lt;"&amp;('Start Here'!$B$7+84)))&gt;0,ROUND(MAX(_xlfn.MAXIFS('Start Here'!$D$17:$D$56,'Start Here'!$A$17:$A$56,$A9),_xlfn.MAXIFS(Sets!$E$2:$E$1060,Sets!$B$2:$B$1060,$A9,Sets!$A$2:$A$1060,"&lt;"&amp;('Start Here'!$B$7+84)),_xlfn.MAXIFS(Log!$E$2:$E$1001,Log!$B$2:$B$1001,$A9,Log!$A$2:$A$1001,"&lt;"&amp;('Start Here'!$B$7+84))),1),IF(N(F2)&gt;0,ROUND(F2*$D9,1),""))</f>
        <v/>
      </c>
      <c r="G9" s="36">
        <f>IF(MAX(_xlfn.MAXIFS('Start Here'!$D$17:$D$56,'Start Here'!$A$17:$A$56,$A9),_xlfn.MAXIFS(Sets!$E$2:$E$1060,Sets!$B$2:$B$1060,$A9,Sets!$A$2:$A$1060,"&lt;"&amp;('Start Here'!$B$7+168)),_xlfn.MAXIFS(Log!$E$2:$E$1001,Log!$B$2:$B$1001,$A9,Log!$A$2:$A$1001,"&lt;"&amp;('Start Here'!$B$7+168)))&gt;0,ROUND(MAX(_xlfn.MAXIFS('Start Here'!$D$17:$D$56,'Start Here'!$A$17:$A$56,$A9),_xlfn.MAXIFS(Sets!$E$2:$E$1060,Sets!$B$2:$B$1060,$A9,Sets!$A$2:$A$1060,"&lt;"&amp;('Start Here'!$B$7+168)),_xlfn.MAXIFS(Log!$E$2:$E$1001,Log!$B$2:$B$1001,$A9,Log!$A$2:$A$1001,"&lt;"&amp;('Start Here'!$B$7+168))),1),IF(N(G2)&gt;0,ROUND(G2*$D9,1),""))</f>
        <v/>
      </c>
      <c r="H9" s="36">
        <f>IF(MAX(_xlfn.MAXIFS('Start Here'!$D$17:$D$56,'Start Here'!$A$17:$A$56,$A9),_xlfn.MAXIFS(Sets!$E$2:$E$1060,Sets!$B$2:$B$1060,$A9,Sets!$A$2:$A$1060,"&lt;"&amp;('Start Here'!$B$7+252)),_xlfn.MAXIFS(Log!$E$2:$E$1001,Log!$B$2:$B$1001,$A9,Log!$A$2:$A$1001,"&lt;"&amp;('Start Here'!$B$7+252)))&gt;0,ROUND(MAX(_xlfn.MAXIFS('Start Here'!$D$17:$D$56,'Start Here'!$A$17:$A$56,$A9),_xlfn.MAXIFS(Sets!$E$2:$E$1060,Sets!$B$2:$B$1060,$A9,Sets!$A$2:$A$1060,"&lt;"&amp;('Start Here'!$B$7+252)),_xlfn.MAXIFS(Log!$E$2:$E$1001,Log!$B$2:$B$1001,$A9,Log!$A$2:$A$1001,"&lt;"&amp;('Start Here'!$B$7+252))),1),IF(N(H2)&gt;0,ROUND(H2*$D9,1),""))</f>
        <v/>
      </c>
      <c r="I9" s="36">
        <f>IF(MAX(_xlfn.MAXIFS('Start Here'!$D$17:$D$56,'Start Here'!$A$17:$A$56,$A9),_xlfn.MAXIFS(Sets!$E$2:$E$1060,Sets!$B$2:$B$1060,$A9,Sets!$A$2:$A$1060,"&lt;"&amp;('Start Here'!$B$7+336)),_xlfn.MAXIFS(Log!$E$2:$E$1001,Log!$B$2:$B$1001,$A9,Log!$A$2:$A$1001,"&lt;"&amp;('Start Here'!$B$7+336)))&gt;0,ROUND(MAX(_xlfn.MAXIFS('Start Here'!$D$17:$D$56,'Start Here'!$A$17:$A$56,$A9),_xlfn.MAXIFS(Sets!$E$2:$E$1060,Sets!$B$2:$B$1060,$A9,Sets!$A$2:$A$1060,"&lt;"&amp;('Start Here'!$B$7+336)),_xlfn.MAXIFS(Log!$E$2:$E$1001,Log!$B$2:$B$1001,$A9,Log!$A$2:$A$1001,"&lt;"&amp;('Start Here'!$B$7+336))),1),IF(N(I2)&gt;0,ROUND(I2*$D9,1),""))</f>
        <v/>
      </c>
    </row>
    <row r="10">
      <c r="A10" s="23" t="inlineStr">
        <is>
          <t>Front Squat</t>
        </is>
      </c>
      <c r="B10" t="inlineStr">
        <is>
          <t>variation</t>
        </is>
      </c>
      <c r="C10" t="inlineStr">
        <is>
          <t>Squat</t>
        </is>
      </c>
      <c r="D10" t="n">
        <v>0.8</v>
      </c>
      <c r="E10" s="36">
        <f>IF(MAX(_xlfn.MAXIFS('Start Here'!$D$17:$D$56,'Start Here'!$A$17:$A$56,$A10),_xlfn.MAXIFS(Sets!$E$2:$E$1060,Sets!$B$2:$B$1060,$A10,Sets!$A$2:$A$1060,"&lt;"&amp;('Start Here'!$B$7+0)),_xlfn.MAXIFS(Log!$E$2:$E$1001,Log!$B$2:$B$1001,$A10,Log!$A$2:$A$1001,"&lt;"&amp;('Start Here'!$B$7+0)))&gt;0,ROUND(MAX(_xlfn.MAXIFS('Start Here'!$D$17:$D$56,'Start Here'!$A$17:$A$56,$A10),_xlfn.MAXIFS(Sets!$E$2:$E$1060,Sets!$B$2:$B$1060,$A10,Sets!$A$2:$A$1060,"&lt;"&amp;('Start Here'!$B$7+0)),_xlfn.MAXIFS(Log!$E$2:$E$1001,Log!$B$2:$B$1001,$A10,Log!$A$2:$A$1001,"&lt;"&amp;('Start Here'!$B$7+0))),1),IF(N(E2)&gt;0,ROUND(E2*$D10,1),""))</f>
        <v/>
      </c>
      <c r="F10" s="36">
        <f>IF(MAX(_xlfn.MAXIFS('Start Here'!$D$17:$D$56,'Start Here'!$A$17:$A$56,$A10),_xlfn.MAXIFS(Sets!$E$2:$E$1060,Sets!$B$2:$B$1060,$A10,Sets!$A$2:$A$1060,"&lt;"&amp;('Start Here'!$B$7+84)),_xlfn.MAXIFS(Log!$E$2:$E$1001,Log!$B$2:$B$1001,$A10,Log!$A$2:$A$1001,"&lt;"&amp;('Start Here'!$B$7+84)))&gt;0,ROUND(MAX(_xlfn.MAXIFS('Start Here'!$D$17:$D$56,'Start Here'!$A$17:$A$56,$A10),_xlfn.MAXIFS(Sets!$E$2:$E$1060,Sets!$B$2:$B$1060,$A10,Sets!$A$2:$A$1060,"&lt;"&amp;('Start Here'!$B$7+84)),_xlfn.MAXIFS(Log!$E$2:$E$1001,Log!$B$2:$B$1001,$A10,Log!$A$2:$A$1001,"&lt;"&amp;('Start Here'!$B$7+84))),1),IF(N(F2)&gt;0,ROUND(F2*$D10,1),""))</f>
        <v/>
      </c>
      <c r="G10" s="36">
        <f>IF(MAX(_xlfn.MAXIFS('Start Here'!$D$17:$D$56,'Start Here'!$A$17:$A$56,$A10),_xlfn.MAXIFS(Sets!$E$2:$E$1060,Sets!$B$2:$B$1060,$A10,Sets!$A$2:$A$1060,"&lt;"&amp;('Start Here'!$B$7+168)),_xlfn.MAXIFS(Log!$E$2:$E$1001,Log!$B$2:$B$1001,$A10,Log!$A$2:$A$1001,"&lt;"&amp;('Start Here'!$B$7+168)))&gt;0,ROUND(MAX(_xlfn.MAXIFS('Start Here'!$D$17:$D$56,'Start Here'!$A$17:$A$56,$A10),_xlfn.MAXIFS(Sets!$E$2:$E$1060,Sets!$B$2:$B$1060,$A10,Sets!$A$2:$A$1060,"&lt;"&amp;('Start Here'!$B$7+168)),_xlfn.MAXIFS(Log!$E$2:$E$1001,Log!$B$2:$B$1001,$A10,Log!$A$2:$A$1001,"&lt;"&amp;('Start Here'!$B$7+168))),1),IF(N(G2)&gt;0,ROUND(G2*$D10,1),""))</f>
        <v/>
      </c>
      <c r="H10" s="36">
        <f>IF(MAX(_xlfn.MAXIFS('Start Here'!$D$17:$D$56,'Start Here'!$A$17:$A$56,$A10),_xlfn.MAXIFS(Sets!$E$2:$E$1060,Sets!$B$2:$B$1060,$A10,Sets!$A$2:$A$1060,"&lt;"&amp;('Start Here'!$B$7+252)),_xlfn.MAXIFS(Log!$E$2:$E$1001,Log!$B$2:$B$1001,$A10,Log!$A$2:$A$1001,"&lt;"&amp;('Start Here'!$B$7+252)))&gt;0,ROUND(MAX(_xlfn.MAXIFS('Start Here'!$D$17:$D$56,'Start Here'!$A$17:$A$56,$A10),_xlfn.MAXIFS(Sets!$E$2:$E$1060,Sets!$B$2:$B$1060,$A10,Sets!$A$2:$A$1060,"&lt;"&amp;('Start Here'!$B$7+252)),_xlfn.MAXIFS(Log!$E$2:$E$1001,Log!$B$2:$B$1001,$A10,Log!$A$2:$A$1001,"&lt;"&amp;('Start Here'!$B$7+252))),1),IF(N(H2)&gt;0,ROUND(H2*$D10,1),""))</f>
        <v/>
      </c>
      <c r="I10" s="36">
        <f>IF(MAX(_xlfn.MAXIFS('Start Here'!$D$17:$D$56,'Start Here'!$A$17:$A$56,$A10),_xlfn.MAXIFS(Sets!$E$2:$E$1060,Sets!$B$2:$B$1060,$A10,Sets!$A$2:$A$1060,"&lt;"&amp;('Start Here'!$B$7+336)),_xlfn.MAXIFS(Log!$E$2:$E$1001,Log!$B$2:$B$1001,$A10,Log!$A$2:$A$1001,"&lt;"&amp;('Start Here'!$B$7+336)))&gt;0,ROUND(MAX(_xlfn.MAXIFS('Start Here'!$D$17:$D$56,'Start Here'!$A$17:$A$56,$A10),_xlfn.MAXIFS(Sets!$E$2:$E$1060,Sets!$B$2:$B$1060,$A10,Sets!$A$2:$A$1060,"&lt;"&amp;('Start Here'!$B$7+336)),_xlfn.MAXIFS(Log!$E$2:$E$1001,Log!$B$2:$B$1001,$A10,Log!$A$2:$A$1001,"&lt;"&amp;('Start Here'!$B$7+336))),1),IF(N(I2)&gt;0,ROUND(I2*$D10,1),""))</f>
        <v/>
      </c>
    </row>
    <row r="11">
      <c r="A11" s="23" t="inlineStr">
        <is>
          <t>Safety Bar Squat</t>
        </is>
      </c>
      <c r="B11" t="inlineStr">
        <is>
          <t>variation</t>
        </is>
      </c>
      <c r="C11" t="inlineStr">
        <is>
          <t>Squat</t>
        </is>
      </c>
      <c r="D11" t="n">
        <v>0.9</v>
      </c>
      <c r="E11" s="36">
        <f>IF(MAX(_xlfn.MAXIFS('Start Here'!$D$17:$D$56,'Start Here'!$A$17:$A$56,$A11),_xlfn.MAXIFS(Sets!$E$2:$E$1060,Sets!$B$2:$B$1060,$A11,Sets!$A$2:$A$1060,"&lt;"&amp;('Start Here'!$B$7+0)),_xlfn.MAXIFS(Log!$E$2:$E$1001,Log!$B$2:$B$1001,$A11,Log!$A$2:$A$1001,"&lt;"&amp;('Start Here'!$B$7+0)))&gt;0,ROUND(MAX(_xlfn.MAXIFS('Start Here'!$D$17:$D$56,'Start Here'!$A$17:$A$56,$A11),_xlfn.MAXIFS(Sets!$E$2:$E$1060,Sets!$B$2:$B$1060,$A11,Sets!$A$2:$A$1060,"&lt;"&amp;('Start Here'!$B$7+0)),_xlfn.MAXIFS(Log!$E$2:$E$1001,Log!$B$2:$B$1001,$A11,Log!$A$2:$A$1001,"&lt;"&amp;('Start Here'!$B$7+0))),1),IF(N(E2)&gt;0,ROUND(E2*$D11,1),""))</f>
        <v/>
      </c>
      <c r="F11" s="36">
        <f>IF(MAX(_xlfn.MAXIFS('Start Here'!$D$17:$D$56,'Start Here'!$A$17:$A$56,$A11),_xlfn.MAXIFS(Sets!$E$2:$E$1060,Sets!$B$2:$B$1060,$A11,Sets!$A$2:$A$1060,"&lt;"&amp;('Start Here'!$B$7+84)),_xlfn.MAXIFS(Log!$E$2:$E$1001,Log!$B$2:$B$1001,$A11,Log!$A$2:$A$1001,"&lt;"&amp;('Start Here'!$B$7+84)))&gt;0,ROUND(MAX(_xlfn.MAXIFS('Start Here'!$D$17:$D$56,'Start Here'!$A$17:$A$56,$A11),_xlfn.MAXIFS(Sets!$E$2:$E$1060,Sets!$B$2:$B$1060,$A11,Sets!$A$2:$A$1060,"&lt;"&amp;('Start Here'!$B$7+84)),_xlfn.MAXIFS(Log!$E$2:$E$1001,Log!$B$2:$B$1001,$A11,Log!$A$2:$A$1001,"&lt;"&amp;('Start Here'!$B$7+84))),1),IF(N(F2)&gt;0,ROUND(F2*$D11,1),""))</f>
        <v/>
      </c>
      <c r="G11" s="36">
        <f>IF(MAX(_xlfn.MAXIFS('Start Here'!$D$17:$D$56,'Start Here'!$A$17:$A$56,$A11),_xlfn.MAXIFS(Sets!$E$2:$E$1060,Sets!$B$2:$B$1060,$A11,Sets!$A$2:$A$1060,"&lt;"&amp;('Start Here'!$B$7+168)),_xlfn.MAXIFS(Log!$E$2:$E$1001,Log!$B$2:$B$1001,$A11,Log!$A$2:$A$1001,"&lt;"&amp;('Start Here'!$B$7+168)))&gt;0,ROUND(MAX(_xlfn.MAXIFS('Start Here'!$D$17:$D$56,'Start Here'!$A$17:$A$56,$A11),_xlfn.MAXIFS(Sets!$E$2:$E$1060,Sets!$B$2:$B$1060,$A11,Sets!$A$2:$A$1060,"&lt;"&amp;('Start Here'!$B$7+168)),_xlfn.MAXIFS(Log!$E$2:$E$1001,Log!$B$2:$B$1001,$A11,Log!$A$2:$A$1001,"&lt;"&amp;('Start Here'!$B$7+168))),1),IF(N(G2)&gt;0,ROUND(G2*$D11,1),""))</f>
        <v/>
      </c>
      <c r="H11" s="36">
        <f>IF(MAX(_xlfn.MAXIFS('Start Here'!$D$17:$D$56,'Start Here'!$A$17:$A$56,$A11),_xlfn.MAXIFS(Sets!$E$2:$E$1060,Sets!$B$2:$B$1060,$A11,Sets!$A$2:$A$1060,"&lt;"&amp;('Start Here'!$B$7+252)),_xlfn.MAXIFS(Log!$E$2:$E$1001,Log!$B$2:$B$1001,$A11,Log!$A$2:$A$1001,"&lt;"&amp;('Start Here'!$B$7+252)))&gt;0,ROUND(MAX(_xlfn.MAXIFS('Start Here'!$D$17:$D$56,'Start Here'!$A$17:$A$56,$A11),_xlfn.MAXIFS(Sets!$E$2:$E$1060,Sets!$B$2:$B$1060,$A11,Sets!$A$2:$A$1060,"&lt;"&amp;('Start Here'!$B$7+252)),_xlfn.MAXIFS(Log!$E$2:$E$1001,Log!$B$2:$B$1001,$A11,Log!$A$2:$A$1001,"&lt;"&amp;('Start Here'!$B$7+252))),1),IF(N(H2)&gt;0,ROUND(H2*$D11,1),""))</f>
        <v/>
      </c>
      <c r="I11" s="36">
        <f>IF(MAX(_xlfn.MAXIFS('Start Here'!$D$17:$D$56,'Start Here'!$A$17:$A$56,$A11),_xlfn.MAXIFS(Sets!$E$2:$E$1060,Sets!$B$2:$B$1060,$A11,Sets!$A$2:$A$1060,"&lt;"&amp;('Start Here'!$B$7+336)),_xlfn.MAXIFS(Log!$E$2:$E$1001,Log!$B$2:$B$1001,$A11,Log!$A$2:$A$1001,"&lt;"&amp;('Start Here'!$B$7+336)))&gt;0,ROUND(MAX(_xlfn.MAXIFS('Start Here'!$D$17:$D$56,'Start Here'!$A$17:$A$56,$A11),_xlfn.MAXIFS(Sets!$E$2:$E$1060,Sets!$B$2:$B$1060,$A11,Sets!$A$2:$A$1060,"&lt;"&amp;('Start Here'!$B$7+336)),_xlfn.MAXIFS(Log!$E$2:$E$1001,Log!$B$2:$B$1001,$A11,Log!$A$2:$A$1001,"&lt;"&amp;('Start Here'!$B$7+336))),1),IF(N(I2)&gt;0,ROUND(I2*$D11,1),""))</f>
        <v/>
      </c>
    </row>
    <row r="12">
      <c r="A12" s="23" t="inlineStr">
        <is>
          <t>Pin Squat</t>
        </is>
      </c>
      <c r="B12" t="inlineStr">
        <is>
          <t>variation</t>
        </is>
      </c>
      <c r="C12" t="inlineStr">
        <is>
          <t>Squat</t>
        </is>
      </c>
      <c r="D12" t="n">
        <v>0.85</v>
      </c>
      <c r="E12" s="36">
        <f>IF(MAX(_xlfn.MAXIFS('Start Here'!$D$17:$D$56,'Start Here'!$A$17:$A$56,$A12),_xlfn.MAXIFS(Sets!$E$2:$E$1060,Sets!$B$2:$B$1060,$A12,Sets!$A$2:$A$1060,"&lt;"&amp;('Start Here'!$B$7+0)),_xlfn.MAXIFS(Log!$E$2:$E$1001,Log!$B$2:$B$1001,$A12,Log!$A$2:$A$1001,"&lt;"&amp;('Start Here'!$B$7+0)))&gt;0,ROUND(MAX(_xlfn.MAXIFS('Start Here'!$D$17:$D$56,'Start Here'!$A$17:$A$56,$A12),_xlfn.MAXIFS(Sets!$E$2:$E$1060,Sets!$B$2:$B$1060,$A12,Sets!$A$2:$A$1060,"&lt;"&amp;('Start Here'!$B$7+0)),_xlfn.MAXIFS(Log!$E$2:$E$1001,Log!$B$2:$B$1001,$A12,Log!$A$2:$A$1001,"&lt;"&amp;('Start Here'!$B$7+0))),1),IF(N(E2)&gt;0,ROUND(E2*$D12,1),""))</f>
        <v/>
      </c>
      <c r="F12" s="36">
        <f>IF(MAX(_xlfn.MAXIFS('Start Here'!$D$17:$D$56,'Start Here'!$A$17:$A$56,$A12),_xlfn.MAXIFS(Sets!$E$2:$E$1060,Sets!$B$2:$B$1060,$A12,Sets!$A$2:$A$1060,"&lt;"&amp;('Start Here'!$B$7+84)),_xlfn.MAXIFS(Log!$E$2:$E$1001,Log!$B$2:$B$1001,$A12,Log!$A$2:$A$1001,"&lt;"&amp;('Start Here'!$B$7+84)))&gt;0,ROUND(MAX(_xlfn.MAXIFS('Start Here'!$D$17:$D$56,'Start Here'!$A$17:$A$56,$A12),_xlfn.MAXIFS(Sets!$E$2:$E$1060,Sets!$B$2:$B$1060,$A12,Sets!$A$2:$A$1060,"&lt;"&amp;('Start Here'!$B$7+84)),_xlfn.MAXIFS(Log!$E$2:$E$1001,Log!$B$2:$B$1001,$A12,Log!$A$2:$A$1001,"&lt;"&amp;('Start Here'!$B$7+84))),1),IF(N(F2)&gt;0,ROUND(F2*$D12,1),""))</f>
        <v/>
      </c>
      <c r="G12" s="36">
        <f>IF(MAX(_xlfn.MAXIFS('Start Here'!$D$17:$D$56,'Start Here'!$A$17:$A$56,$A12),_xlfn.MAXIFS(Sets!$E$2:$E$1060,Sets!$B$2:$B$1060,$A12,Sets!$A$2:$A$1060,"&lt;"&amp;('Start Here'!$B$7+168)),_xlfn.MAXIFS(Log!$E$2:$E$1001,Log!$B$2:$B$1001,$A12,Log!$A$2:$A$1001,"&lt;"&amp;('Start Here'!$B$7+168)))&gt;0,ROUND(MAX(_xlfn.MAXIFS('Start Here'!$D$17:$D$56,'Start Here'!$A$17:$A$56,$A12),_xlfn.MAXIFS(Sets!$E$2:$E$1060,Sets!$B$2:$B$1060,$A12,Sets!$A$2:$A$1060,"&lt;"&amp;('Start Here'!$B$7+168)),_xlfn.MAXIFS(Log!$E$2:$E$1001,Log!$B$2:$B$1001,$A12,Log!$A$2:$A$1001,"&lt;"&amp;('Start Here'!$B$7+168))),1),IF(N(G2)&gt;0,ROUND(G2*$D12,1),""))</f>
        <v/>
      </c>
      <c r="H12" s="36">
        <f>IF(MAX(_xlfn.MAXIFS('Start Here'!$D$17:$D$56,'Start Here'!$A$17:$A$56,$A12),_xlfn.MAXIFS(Sets!$E$2:$E$1060,Sets!$B$2:$B$1060,$A12,Sets!$A$2:$A$1060,"&lt;"&amp;('Start Here'!$B$7+252)),_xlfn.MAXIFS(Log!$E$2:$E$1001,Log!$B$2:$B$1001,$A12,Log!$A$2:$A$1001,"&lt;"&amp;('Start Here'!$B$7+252)))&gt;0,ROUND(MAX(_xlfn.MAXIFS('Start Here'!$D$17:$D$56,'Start Here'!$A$17:$A$56,$A12),_xlfn.MAXIFS(Sets!$E$2:$E$1060,Sets!$B$2:$B$1060,$A12,Sets!$A$2:$A$1060,"&lt;"&amp;('Start Here'!$B$7+252)),_xlfn.MAXIFS(Log!$E$2:$E$1001,Log!$B$2:$B$1001,$A12,Log!$A$2:$A$1001,"&lt;"&amp;('Start Here'!$B$7+252))),1),IF(N(H2)&gt;0,ROUND(H2*$D12,1),""))</f>
        <v/>
      </c>
      <c r="I12" s="36">
        <f>IF(MAX(_xlfn.MAXIFS('Start Here'!$D$17:$D$56,'Start Here'!$A$17:$A$56,$A12),_xlfn.MAXIFS(Sets!$E$2:$E$1060,Sets!$B$2:$B$1060,$A12,Sets!$A$2:$A$1060,"&lt;"&amp;('Start Here'!$B$7+336)),_xlfn.MAXIFS(Log!$E$2:$E$1001,Log!$B$2:$B$1001,$A12,Log!$A$2:$A$1001,"&lt;"&amp;('Start Here'!$B$7+336)))&gt;0,ROUND(MAX(_xlfn.MAXIFS('Start Here'!$D$17:$D$56,'Start Here'!$A$17:$A$56,$A12),_xlfn.MAXIFS(Sets!$E$2:$E$1060,Sets!$B$2:$B$1060,$A12,Sets!$A$2:$A$1060,"&lt;"&amp;('Start Here'!$B$7+336)),_xlfn.MAXIFS(Log!$E$2:$E$1001,Log!$B$2:$B$1001,$A12,Log!$A$2:$A$1001,"&lt;"&amp;('Start Here'!$B$7+336))),1),IF(N(I2)&gt;0,ROUND(I2*$D12,1),""))</f>
        <v/>
      </c>
    </row>
    <row r="13">
      <c r="A13" s="23" t="inlineStr">
        <is>
          <t>Tempo Squat</t>
        </is>
      </c>
      <c r="B13" t="inlineStr">
        <is>
          <t>variation</t>
        </is>
      </c>
      <c r="C13" t="inlineStr">
        <is>
          <t>Squat</t>
        </is>
      </c>
      <c r="D13" t="n">
        <v>0.8</v>
      </c>
      <c r="E13" s="36">
        <f>IF(MAX(_xlfn.MAXIFS('Start Here'!$D$17:$D$56,'Start Here'!$A$17:$A$56,$A13),_xlfn.MAXIFS(Sets!$E$2:$E$1060,Sets!$B$2:$B$1060,$A13,Sets!$A$2:$A$1060,"&lt;"&amp;('Start Here'!$B$7+0)),_xlfn.MAXIFS(Log!$E$2:$E$1001,Log!$B$2:$B$1001,$A13,Log!$A$2:$A$1001,"&lt;"&amp;('Start Here'!$B$7+0)))&gt;0,ROUND(MAX(_xlfn.MAXIFS('Start Here'!$D$17:$D$56,'Start Here'!$A$17:$A$56,$A13),_xlfn.MAXIFS(Sets!$E$2:$E$1060,Sets!$B$2:$B$1060,$A13,Sets!$A$2:$A$1060,"&lt;"&amp;('Start Here'!$B$7+0)),_xlfn.MAXIFS(Log!$E$2:$E$1001,Log!$B$2:$B$1001,$A13,Log!$A$2:$A$1001,"&lt;"&amp;('Start Here'!$B$7+0))),1),IF(N(E2)&gt;0,ROUND(E2*$D13,1),""))</f>
        <v/>
      </c>
      <c r="F13" s="36">
        <f>IF(MAX(_xlfn.MAXIFS('Start Here'!$D$17:$D$56,'Start Here'!$A$17:$A$56,$A13),_xlfn.MAXIFS(Sets!$E$2:$E$1060,Sets!$B$2:$B$1060,$A13,Sets!$A$2:$A$1060,"&lt;"&amp;('Start Here'!$B$7+84)),_xlfn.MAXIFS(Log!$E$2:$E$1001,Log!$B$2:$B$1001,$A13,Log!$A$2:$A$1001,"&lt;"&amp;('Start Here'!$B$7+84)))&gt;0,ROUND(MAX(_xlfn.MAXIFS('Start Here'!$D$17:$D$56,'Start Here'!$A$17:$A$56,$A13),_xlfn.MAXIFS(Sets!$E$2:$E$1060,Sets!$B$2:$B$1060,$A13,Sets!$A$2:$A$1060,"&lt;"&amp;('Start Here'!$B$7+84)),_xlfn.MAXIFS(Log!$E$2:$E$1001,Log!$B$2:$B$1001,$A13,Log!$A$2:$A$1001,"&lt;"&amp;('Start Here'!$B$7+84))),1),IF(N(F2)&gt;0,ROUND(F2*$D13,1),""))</f>
        <v/>
      </c>
      <c r="G13" s="36">
        <f>IF(MAX(_xlfn.MAXIFS('Start Here'!$D$17:$D$56,'Start Here'!$A$17:$A$56,$A13),_xlfn.MAXIFS(Sets!$E$2:$E$1060,Sets!$B$2:$B$1060,$A13,Sets!$A$2:$A$1060,"&lt;"&amp;('Start Here'!$B$7+168)),_xlfn.MAXIFS(Log!$E$2:$E$1001,Log!$B$2:$B$1001,$A13,Log!$A$2:$A$1001,"&lt;"&amp;('Start Here'!$B$7+168)))&gt;0,ROUND(MAX(_xlfn.MAXIFS('Start Here'!$D$17:$D$56,'Start Here'!$A$17:$A$56,$A13),_xlfn.MAXIFS(Sets!$E$2:$E$1060,Sets!$B$2:$B$1060,$A13,Sets!$A$2:$A$1060,"&lt;"&amp;('Start Here'!$B$7+168)),_xlfn.MAXIFS(Log!$E$2:$E$1001,Log!$B$2:$B$1001,$A13,Log!$A$2:$A$1001,"&lt;"&amp;('Start Here'!$B$7+168))),1),IF(N(G2)&gt;0,ROUND(G2*$D13,1),""))</f>
        <v/>
      </c>
      <c r="H13" s="36">
        <f>IF(MAX(_xlfn.MAXIFS('Start Here'!$D$17:$D$56,'Start Here'!$A$17:$A$56,$A13),_xlfn.MAXIFS(Sets!$E$2:$E$1060,Sets!$B$2:$B$1060,$A13,Sets!$A$2:$A$1060,"&lt;"&amp;('Start Here'!$B$7+252)),_xlfn.MAXIFS(Log!$E$2:$E$1001,Log!$B$2:$B$1001,$A13,Log!$A$2:$A$1001,"&lt;"&amp;('Start Here'!$B$7+252)))&gt;0,ROUND(MAX(_xlfn.MAXIFS('Start Here'!$D$17:$D$56,'Start Here'!$A$17:$A$56,$A13),_xlfn.MAXIFS(Sets!$E$2:$E$1060,Sets!$B$2:$B$1060,$A13,Sets!$A$2:$A$1060,"&lt;"&amp;('Start Here'!$B$7+252)),_xlfn.MAXIFS(Log!$E$2:$E$1001,Log!$B$2:$B$1001,$A13,Log!$A$2:$A$1001,"&lt;"&amp;('Start Here'!$B$7+252))),1),IF(N(H2)&gt;0,ROUND(H2*$D13,1),""))</f>
        <v/>
      </c>
      <c r="I13" s="36">
        <f>IF(MAX(_xlfn.MAXIFS('Start Here'!$D$17:$D$56,'Start Here'!$A$17:$A$56,$A13),_xlfn.MAXIFS(Sets!$E$2:$E$1060,Sets!$B$2:$B$1060,$A13,Sets!$A$2:$A$1060,"&lt;"&amp;('Start Here'!$B$7+336)),_xlfn.MAXIFS(Log!$E$2:$E$1001,Log!$B$2:$B$1001,$A13,Log!$A$2:$A$1001,"&lt;"&amp;('Start Here'!$B$7+336)))&gt;0,ROUND(MAX(_xlfn.MAXIFS('Start Here'!$D$17:$D$56,'Start Here'!$A$17:$A$56,$A13),_xlfn.MAXIFS(Sets!$E$2:$E$1060,Sets!$B$2:$B$1060,$A13,Sets!$A$2:$A$1060,"&lt;"&amp;('Start Here'!$B$7+336)),_xlfn.MAXIFS(Log!$E$2:$E$1001,Log!$B$2:$B$1001,$A13,Log!$A$2:$A$1001,"&lt;"&amp;('Start Here'!$B$7+336))),1),IF(N(I2)&gt;0,ROUND(I2*$D13,1),""))</f>
        <v/>
      </c>
    </row>
    <row r="14">
      <c r="A14" s="23" t="inlineStr">
        <is>
          <t>Close-Grip Bench Press</t>
        </is>
      </c>
      <c r="B14" t="inlineStr">
        <is>
          <t>variation</t>
        </is>
      </c>
      <c r="C14" t="inlineStr">
        <is>
          <t>Bench Press</t>
        </is>
      </c>
      <c r="D14" t="n">
        <v>0.92</v>
      </c>
      <c r="E14" s="36">
        <f>IF(MAX(_xlfn.MAXIFS('Start Here'!$D$17:$D$56,'Start Here'!$A$17:$A$56,$A14),_xlfn.MAXIFS(Sets!$E$2:$E$1060,Sets!$B$2:$B$1060,$A14,Sets!$A$2:$A$1060,"&lt;"&amp;('Start Here'!$B$7+0)),_xlfn.MAXIFS(Log!$E$2:$E$1001,Log!$B$2:$B$1001,$A14,Log!$A$2:$A$1001,"&lt;"&amp;('Start Here'!$B$7+0)))&gt;0,ROUND(MAX(_xlfn.MAXIFS('Start Here'!$D$17:$D$56,'Start Here'!$A$17:$A$56,$A14),_xlfn.MAXIFS(Sets!$E$2:$E$1060,Sets!$B$2:$B$1060,$A14,Sets!$A$2:$A$1060,"&lt;"&amp;('Start Here'!$B$7+0)),_xlfn.MAXIFS(Log!$E$2:$E$1001,Log!$B$2:$B$1001,$A14,Log!$A$2:$A$1001,"&lt;"&amp;('Start Here'!$B$7+0))),1),IF(N(E3)&gt;0,ROUND(E3*$D14,1),""))</f>
        <v/>
      </c>
      <c r="F14" s="36">
        <f>IF(MAX(_xlfn.MAXIFS('Start Here'!$D$17:$D$56,'Start Here'!$A$17:$A$56,$A14),_xlfn.MAXIFS(Sets!$E$2:$E$1060,Sets!$B$2:$B$1060,$A14,Sets!$A$2:$A$1060,"&lt;"&amp;('Start Here'!$B$7+84)),_xlfn.MAXIFS(Log!$E$2:$E$1001,Log!$B$2:$B$1001,$A14,Log!$A$2:$A$1001,"&lt;"&amp;('Start Here'!$B$7+84)))&gt;0,ROUND(MAX(_xlfn.MAXIFS('Start Here'!$D$17:$D$56,'Start Here'!$A$17:$A$56,$A14),_xlfn.MAXIFS(Sets!$E$2:$E$1060,Sets!$B$2:$B$1060,$A14,Sets!$A$2:$A$1060,"&lt;"&amp;('Start Here'!$B$7+84)),_xlfn.MAXIFS(Log!$E$2:$E$1001,Log!$B$2:$B$1001,$A14,Log!$A$2:$A$1001,"&lt;"&amp;('Start Here'!$B$7+84))),1),IF(N(F3)&gt;0,ROUND(F3*$D14,1),""))</f>
        <v/>
      </c>
      <c r="G14" s="36">
        <f>IF(MAX(_xlfn.MAXIFS('Start Here'!$D$17:$D$56,'Start Here'!$A$17:$A$56,$A14),_xlfn.MAXIFS(Sets!$E$2:$E$1060,Sets!$B$2:$B$1060,$A14,Sets!$A$2:$A$1060,"&lt;"&amp;('Start Here'!$B$7+168)),_xlfn.MAXIFS(Log!$E$2:$E$1001,Log!$B$2:$B$1001,$A14,Log!$A$2:$A$1001,"&lt;"&amp;('Start Here'!$B$7+168)))&gt;0,ROUND(MAX(_xlfn.MAXIFS('Start Here'!$D$17:$D$56,'Start Here'!$A$17:$A$56,$A14),_xlfn.MAXIFS(Sets!$E$2:$E$1060,Sets!$B$2:$B$1060,$A14,Sets!$A$2:$A$1060,"&lt;"&amp;('Start Here'!$B$7+168)),_xlfn.MAXIFS(Log!$E$2:$E$1001,Log!$B$2:$B$1001,$A14,Log!$A$2:$A$1001,"&lt;"&amp;('Start Here'!$B$7+168))),1),IF(N(G3)&gt;0,ROUND(G3*$D14,1),""))</f>
        <v/>
      </c>
      <c r="H14" s="36">
        <f>IF(MAX(_xlfn.MAXIFS('Start Here'!$D$17:$D$56,'Start Here'!$A$17:$A$56,$A14),_xlfn.MAXIFS(Sets!$E$2:$E$1060,Sets!$B$2:$B$1060,$A14,Sets!$A$2:$A$1060,"&lt;"&amp;('Start Here'!$B$7+252)),_xlfn.MAXIFS(Log!$E$2:$E$1001,Log!$B$2:$B$1001,$A14,Log!$A$2:$A$1001,"&lt;"&amp;('Start Here'!$B$7+252)))&gt;0,ROUND(MAX(_xlfn.MAXIFS('Start Here'!$D$17:$D$56,'Start Here'!$A$17:$A$56,$A14),_xlfn.MAXIFS(Sets!$E$2:$E$1060,Sets!$B$2:$B$1060,$A14,Sets!$A$2:$A$1060,"&lt;"&amp;('Start Here'!$B$7+252)),_xlfn.MAXIFS(Log!$E$2:$E$1001,Log!$B$2:$B$1001,$A14,Log!$A$2:$A$1001,"&lt;"&amp;('Start Here'!$B$7+252))),1),IF(N(H3)&gt;0,ROUND(H3*$D14,1),""))</f>
        <v/>
      </c>
      <c r="I14" s="36">
        <f>IF(MAX(_xlfn.MAXIFS('Start Here'!$D$17:$D$56,'Start Here'!$A$17:$A$56,$A14),_xlfn.MAXIFS(Sets!$E$2:$E$1060,Sets!$B$2:$B$1060,$A14,Sets!$A$2:$A$1060,"&lt;"&amp;('Start Here'!$B$7+336)),_xlfn.MAXIFS(Log!$E$2:$E$1001,Log!$B$2:$B$1001,$A14,Log!$A$2:$A$1001,"&lt;"&amp;('Start Here'!$B$7+336)))&gt;0,ROUND(MAX(_xlfn.MAXIFS('Start Here'!$D$17:$D$56,'Start Here'!$A$17:$A$56,$A14),_xlfn.MAXIFS(Sets!$E$2:$E$1060,Sets!$B$2:$B$1060,$A14,Sets!$A$2:$A$1060,"&lt;"&amp;('Start Here'!$B$7+336)),_xlfn.MAXIFS(Log!$E$2:$E$1001,Log!$B$2:$B$1001,$A14,Log!$A$2:$A$1001,"&lt;"&amp;('Start Here'!$B$7+336))),1),IF(N(I3)&gt;0,ROUND(I3*$D14,1),""))</f>
        <v/>
      </c>
    </row>
    <row r="15">
      <c r="A15" s="23" t="inlineStr">
        <is>
          <t>1-Board Press</t>
        </is>
      </c>
      <c r="B15" t="inlineStr">
        <is>
          <t>variation</t>
        </is>
      </c>
      <c r="C15" t="inlineStr">
        <is>
          <t>Bench Press</t>
        </is>
      </c>
      <c r="D15" t="n">
        <v>1.03</v>
      </c>
      <c r="E15" s="36">
        <f>IF(MAX(_xlfn.MAXIFS('Start Here'!$D$17:$D$56,'Start Here'!$A$17:$A$56,$A15),_xlfn.MAXIFS(Sets!$E$2:$E$1060,Sets!$B$2:$B$1060,$A15,Sets!$A$2:$A$1060,"&lt;"&amp;('Start Here'!$B$7+0)),_xlfn.MAXIFS(Log!$E$2:$E$1001,Log!$B$2:$B$1001,$A15,Log!$A$2:$A$1001,"&lt;"&amp;('Start Here'!$B$7+0)))&gt;0,ROUND(MAX(_xlfn.MAXIFS('Start Here'!$D$17:$D$56,'Start Here'!$A$17:$A$56,$A15),_xlfn.MAXIFS(Sets!$E$2:$E$1060,Sets!$B$2:$B$1060,$A15,Sets!$A$2:$A$1060,"&lt;"&amp;('Start Here'!$B$7+0)),_xlfn.MAXIFS(Log!$E$2:$E$1001,Log!$B$2:$B$1001,$A15,Log!$A$2:$A$1001,"&lt;"&amp;('Start Here'!$B$7+0))),1),IF(N(E3)&gt;0,ROUND(E3*$D15,1),""))</f>
        <v/>
      </c>
      <c r="F15" s="36">
        <f>IF(MAX(_xlfn.MAXIFS('Start Here'!$D$17:$D$56,'Start Here'!$A$17:$A$56,$A15),_xlfn.MAXIFS(Sets!$E$2:$E$1060,Sets!$B$2:$B$1060,$A15,Sets!$A$2:$A$1060,"&lt;"&amp;('Start Here'!$B$7+84)),_xlfn.MAXIFS(Log!$E$2:$E$1001,Log!$B$2:$B$1001,$A15,Log!$A$2:$A$1001,"&lt;"&amp;('Start Here'!$B$7+84)))&gt;0,ROUND(MAX(_xlfn.MAXIFS('Start Here'!$D$17:$D$56,'Start Here'!$A$17:$A$56,$A15),_xlfn.MAXIFS(Sets!$E$2:$E$1060,Sets!$B$2:$B$1060,$A15,Sets!$A$2:$A$1060,"&lt;"&amp;('Start Here'!$B$7+84)),_xlfn.MAXIFS(Log!$E$2:$E$1001,Log!$B$2:$B$1001,$A15,Log!$A$2:$A$1001,"&lt;"&amp;('Start Here'!$B$7+84))),1),IF(N(F3)&gt;0,ROUND(F3*$D15,1),""))</f>
        <v/>
      </c>
      <c r="G15" s="36">
        <f>IF(MAX(_xlfn.MAXIFS('Start Here'!$D$17:$D$56,'Start Here'!$A$17:$A$56,$A15),_xlfn.MAXIFS(Sets!$E$2:$E$1060,Sets!$B$2:$B$1060,$A15,Sets!$A$2:$A$1060,"&lt;"&amp;('Start Here'!$B$7+168)),_xlfn.MAXIFS(Log!$E$2:$E$1001,Log!$B$2:$B$1001,$A15,Log!$A$2:$A$1001,"&lt;"&amp;('Start Here'!$B$7+168)))&gt;0,ROUND(MAX(_xlfn.MAXIFS('Start Here'!$D$17:$D$56,'Start Here'!$A$17:$A$56,$A15),_xlfn.MAXIFS(Sets!$E$2:$E$1060,Sets!$B$2:$B$1060,$A15,Sets!$A$2:$A$1060,"&lt;"&amp;('Start Here'!$B$7+168)),_xlfn.MAXIFS(Log!$E$2:$E$1001,Log!$B$2:$B$1001,$A15,Log!$A$2:$A$1001,"&lt;"&amp;('Start Here'!$B$7+168))),1),IF(N(G3)&gt;0,ROUND(G3*$D15,1),""))</f>
        <v/>
      </c>
      <c r="H15" s="36">
        <f>IF(MAX(_xlfn.MAXIFS('Start Here'!$D$17:$D$56,'Start Here'!$A$17:$A$56,$A15),_xlfn.MAXIFS(Sets!$E$2:$E$1060,Sets!$B$2:$B$1060,$A15,Sets!$A$2:$A$1060,"&lt;"&amp;('Start Here'!$B$7+252)),_xlfn.MAXIFS(Log!$E$2:$E$1001,Log!$B$2:$B$1001,$A15,Log!$A$2:$A$1001,"&lt;"&amp;('Start Here'!$B$7+252)))&gt;0,ROUND(MAX(_xlfn.MAXIFS('Start Here'!$D$17:$D$56,'Start Here'!$A$17:$A$56,$A15),_xlfn.MAXIFS(Sets!$E$2:$E$1060,Sets!$B$2:$B$1060,$A15,Sets!$A$2:$A$1060,"&lt;"&amp;('Start Here'!$B$7+252)),_xlfn.MAXIFS(Log!$E$2:$E$1001,Log!$B$2:$B$1001,$A15,Log!$A$2:$A$1001,"&lt;"&amp;('Start Here'!$B$7+252))),1),IF(N(H3)&gt;0,ROUND(H3*$D15,1),""))</f>
        <v/>
      </c>
      <c r="I15" s="36">
        <f>IF(MAX(_xlfn.MAXIFS('Start Here'!$D$17:$D$56,'Start Here'!$A$17:$A$56,$A15),_xlfn.MAXIFS(Sets!$E$2:$E$1060,Sets!$B$2:$B$1060,$A15,Sets!$A$2:$A$1060,"&lt;"&amp;('Start Here'!$B$7+336)),_xlfn.MAXIFS(Log!$E$2:$E$1001,Log!$B$2:$B$1001,$A15,Log!$A$2:$A$1001,"&lt;"&amp;('Start Here'!$B$7+336)))&gt;0,ROUND(MAX(_xlfn.MAXIFS('Start Here'!$D$17:$D$56,'Start Here'!$A$17:$A$56,$A15),_xlfn.MAXIFS(Sets!$E$2:$E$1060,Sets!$B$2:$B$1060,$A15,Sets!$A$2:$A$1060,"&lt;"&amp;('Start Here'!$B$7+336)),_xlfn.MAXIFS(Log!$E$2:$E$1001,Log!$B$2:$B$1001,$A15,Log!$A$2:$A$1001,"&lt;"&amp;('Start Here'!$B$7+336))),1),IF(N(I3)&gt;0,ROUND(I3*$D15,1),""))</f>
        <v/>
      </c>
    </row>
    <row r="16">
      <c r="A16" s="23" t="inlineStr">
        <is>
          <t>2-Board Press</t>
        </is>
      </c>
      <c r="B16" t="inlineStr">
        <is>
          <t>variation</t>
        </is>
      </c>
      <c r="C16" t="inlineStr">
        <is>
          <t>Bench Press</t>
        </is>
      </c>
      <c r="D16" t="n">
        <v>1.06</v>
      </c>
      <c r="E16" s="36">
        <f>IF(MAX(_xlfn.MAXIFS('Start Here'!$D$17:$D$56,'Start Here'!$A$17:$A$56,$A16),_xlfn.MAXIFS(Sets!$E$2:$E$1060,Sets!$B$2:$B$1060,$A16,Sets!$A$2:$A$1060,"&lt;"&amp;('Start Here'!$B$7+0)),_xlfn.MAXIFS(Log!$E$2:$E$1001,Log!$B$2:$B$1001,$A16,Log!$A$2:$A$1001,"&lt;"&amp;('Start Here'!$B$7+0)))&gt;0,ROUND(MAX(_xlfn.MAXIFS('Start Here'!$D$17:$D$56,'Start Here'!$A$17:$A$56,$A16),_xlfn.MAXIFS(Sets!$E$2:$E$1060,Sets!$B$2:$B$1060,$A16,Sets!$A$2:$A$1060,"&lt;"&amp;('Start Here'!$B$7+0)),_xlfn.MAXIFS(Log!$E$2:$E$1001,Log!$B$2:$B$1001,$A16,Log!$A$2:$A$1001,"&lt;"&amp;('Start Here'!$B$7+0))),1),IF(N(E3)&gt;0,ROUND(E3*$D16,1),""))</f>
        <v/>
      </c>
      <c r="F16" s="36">
        <f>IF(MAX(_xlfn.MAXIFS('Start Here'!$D$17:$D$56,'Start Here'!$A$17:$A$56,$A16),_xlfn.MAXIFS(Sets!$E$2:$E$1060,Sets!$B$2:$B$1060,$A16,Sets!$A$2:$A$1060,"&lt;"&amp;('Start Here'!$B$7+84)),_xlfn.MAXIFS(Log!$E$2:$E$1001,Log!$B$2:$B$1001,$A16,Log!$A$2:$A$1001,"&lt;"&amp;('Start Here'!$B$7+84)))&gt;0,ROUND(MAX(_xlfn.MAXIFS('Start Here'!$D$17:$D$56,'Start Here'!$A$17:$A$56,$A16),_xlfn.MAXIFS(Sets!$E$2:$E$1060,Sets!$B$2:$B$1060,$A16,Sets!$A$2:$A$1060,"&lt;"&amp;('Start Here'!$B$7+84)),_xlfn.MAXIFS(Log!$E$2:$E$1001,Log!$B$2:$B$1001,$A16,Log!$A$2:$A$1001,"&lt;"&amp;('Start Here'!$B$7+84))),1),IF(N(F3)&gt;0,ROUND(F3*$D16,1),""))</f>
        <v/>
      </c>
      <c r="G16" s="36">
        <f>IF(MAX(_xlfn.MAXIFS('Start Here'!$D$17:$D$56,'Start Here'!$A$17:$A$56,$A16),_xlfn.MAXIFS(Sets!$E$2:$E$1060,Sets!$B$2:$B$1060,$A16,Sets!$A$2:$A$1060,"&lt;"&amp;('Start Here'!$B$7+168)),_xlfn.MAXIFS(Log!$E$2:$E$1001,Log!$B$2:$B$1001,$A16,Log!$A$2:$A$1001,"&lt;"&amp;('Start Here'!$B$7+168)))&gt;0,ROUND(MAX(_xlfn.MAXIFS('Start Here'!$D$17:$D$56,'Start Here'!$A$17:$A$56,$A16),_xlfn.MAXIFS(Sets!$E$2:$E$1060,Sets!$B$2:$B$1060,$A16,Sets!$A$2:$A$1060,"&lt;"&amp;('Start Here'!$B$7+168)),_xlfn.MAXIFS(Log!$E$2:$E$1001,Log!$B$2:$B$1001,$A16,Log!$A$2:$A$1001,"&lt;"&amp;('Start Here'!$B$7+168))),1),IF(N(G3)&gt;0,ROUND(G3*$D16,1),""))</f>
        <v/>
      </c>
      <c r="H16" s="36">
        <f>IF(MAX(_xlfn.MAXIFS('Start Here'!$D$17:$D$56,'Start Here'!$A$17:$A$56,$A16),_xlfn.MAXIFS(Sets!$E$2:$E$1060,Sets!$B$2:$B$1060,$A16,Sets!$A$2:$A$1060,"&lt;"&amp;('Start Here'!$B$7+252)),_xlfn.MAXIFS(Log!$E$2:$E$1001,Log!$B$2:$B$1001,$A16,Log!$A$2:$A$1001,"&lt;"&amp;('Start Here'!$B$7+252)))&gt;0,ROUND(MAX(_xlfn.MAXIFS('Start Here'!$D$17:$D$56,'Start Here'!$A$17:$A$56,$A16),_xlfn.MAXIFS(Sets!$E$2:$E$1060,Sets!$B$2:$B$1060,$A16,Sets!$A$2:$A$1060,"&lt;"&amp;('Start Here'!$B$7+252)),_xlfn.MAXIFS(Log!$E$2:$E$1001,Log!$B$2:$B$1001,$A16,Log!$A$2:$A$1001,"&lt;"&amp;('Start Here'!$B$7+252))),1),IF(N(H3)&gt;0,ROUND(H3*$D16,1),""))</f>
        <v/>
      </c>
      <c r="I16" s="36">
        <f>IF(MAX(_xlfn.MAXIFS('Start Here'!$D$17:$D$56,'Start Here'!$A$17:$A$56,$A16),_xlfn.MAXIFS(Sets!$E$2:$E$1060,Sets!$B$2:$B$1060,$A16,Sets!$A$2:$A$1060,"&lt;"&amp;('Start Here'!$B$7+336)),_xlfn.MAXIFS(Log!$E$2:$E$1001,Log!$B$2:$B$1001,$A16,Log!$A$2:$A$1001,"&lt;"&amp;('Start Here'!$B$7+336)))&gt;0,ROUND(MAX(_xlfn.MAXIFS('Start Here'!$D$17:$D$56,'Start Here'!$A$17:$A$56,$A16),_xlfn.MAXIFS(Sets!$E$2:$E$1060,Sets!$B$2:$B$1060,$A16,Sets!$A$2:$A$1060,"&lt;"&amp;('Start Here'!$B$7+336)),_xlfn.MAXIFS(Log!$E$2:$E$1001,Log!$B$2:$B$1001,$A16,Log!$A$2:$A$1001,"&lt;"&amp;('Start Here'!$B$7+336))),1),IF(N(I3)&gt;0,ROUND(I3*$D16,1),""))</f>
        <v/>
      </c>
    </row>
    <row r="17">
      <c r="A17" s="23" t="inlineStr">
        <is>
          <t>3-Board Press</t>
        </is>
      </c>
      <c r="B17" t="inlineStr">
        <is>
          <t>variation</t>
        </is>
      </c>
      <c r="C17" t="inlineStr">
        <is>
          <t>Bench Press</t>
        </is>
      </c>
      <c r="D17" t="n">
        <v>1.1</v>
      </c>
      <c r="E17" s="36">
        <f>IF(MAX(_xlfn.MAXIFS('Start Here'!$D$17:$D$56,'Start Here'!$A$17:$A$56,$A17),_xlfn.MAXIFS(Sets!$E$2:$E$1060,Sets!$B$2:$B$1060,$A17,Sets!$A$2:$A$1060,"&lt;"&amp;('Start Here'!$B$7+0)),_xlfn.MAXIFS(Log!$E$2:$E$1001,Log!$B$2:$B$1001,$A17,Log!$A$2:$A$1001,"&lt;"&amp;('Start Here'!$B$7+0)))&gt;0,ROUND(MAX(_xlfn.MAXIFS('Start Here'!$D$17:$D$56,'Start Here'!$A$17:$A$56,$A17),_xlfn.MAXIFS(Sets!$E$2:$E$1060,Sets!$B$2:$B$1060,$A17,Sets!$A$2:$A$1060,"&lt;"&amp;('Start Here'!$B$7+0)),_xlfn.MAXIFS(Log!$E$2:$E$1001,Log!$B$2:$B$1001,$A17,Log!$A$2:$A$1001,"&lt;"&amp;('Start Here'!$B$7+0))),1),IF(N(E3)&gt;0,ROUND(E3*$D17,1),""))</f>
        <v/>
      </c>
      <c r="F17" s="36">
        <f>IF(MAX(_xlfn.MAXIFS('Start Here'!$D$17:$D$56,'Start Here'!$A$17:$A$56,$A17),_xlfn.MAXIFS(Sets!$E$2:$E$1060,Sets!$B$2:$B$1060,$A17,Sets!$A$2:$A$1060,"&lt;"&amp;('Start Here'!$B$7+84)),_xlfn.MAXIFS(Log!$E$2:$E$1001,Log!$B$2:$B$1001,$A17,Log!$A$2:$A$1001,"&lt;"&amp;('Start Here'!$B$7+84)))&gt;0,ROUND(MAX(_xlfn.MAXIFS('Start Here'!$D$17:$D$56,'Start Here'!$A$17:$A$56,$A17),_xlfn.MAXIFS(Sets!$E$2:$E$1060,Sets!$B$2:$B$1060,$A17,Sets!$A$2:$A$1060,"&lt;"&amp;('Start Here'!$B$7+84)),_xlfn.MAXIFS(Log!$E$2:$E$1001,Log!$B$2:$B$1001,$A17,Log!$A$2:$A$1001,"&lt;"&amp;('Start Here'!$B$7+84))),1),IF(N(F3)&gt;0,ROUND(F3*$D17,1),""))</f>
        <v/>
      </c>
      <c r="G17" s="36">
        <f>IF(MAX(_xlfn.MAXIFS('Start Here'!$D$17:$D$56,'Start Here'!$A$17:$A$56,$A17),_xlfn.MAXIFS(Sets!$E$2:$E$1060,Sets!$B$2:$B$1060,$A17,Sets!$A$2:$A$1060,"&lt;"&amp;('Start Here'!$B$7+168)),_xlfn.MAXIFS(Log!$E$2:$E$1001,Log!$B$2:$B$1001,$A17,Log!$A$2:$A$1001,"&lt;"&amp;('Start Here'!$B$7+168)))&gt;0,ROUND(MAX(_xlfn.MAXIFS('Start Here'!$D$17:$D$56,'Start Here'!$A$17:$A$56,$A17),_xlfn.MAXIFS(Sets!$E$2:$E$1060,Sets!$B$2:$B$1060,$A17,Sets!$A$2:$A$1060,"&lt;"&amp;('Start Here'!$B$7+168)),_xlfn.MAXIFS(Log!$E$2:$E$1001,Log!$B$2:$B$1001,$A17,Log!$A$2:$A$1001,"&lt;"&amp;('Start Here'!$B$7+168))),1),IF(N(G3)&gt;0,ROUND(G3*$D17,1),""))</f>
        <v/>
      </c>
      <c r="H17" s="36">
        <f>IF(MAX(_xlfn.MAXIFS('Start Here'!$D$17:$D$56,'Start Here'!$A$17:$A$56,$A17),_xlfn.MAXIFS(Sets!$E$2:$E$1060,Sets!$B$2:$B$1060,$A17,Sets!$A$2:$A$1060,"&lt;"&amp;('Start Here'!$B$7+252)),_xlfn.MAXIFS(Log!$E$2:$E$1001,Log!$B$2:$B$1001,$A17,Log!$A$2:$A$1001,"&lt;"&amp;('Start Here'!$B$7+252)))&gt;0,ROUND(MAX(_xlfn.MAXIFS('Start Here'!$D$17:$D$56,'Start Here'!$A$17:$A$56,$A17),_xlfn.MAXIFS(Sets!$E$2:$E$1060,Sets!$B$2:$B$1060,$A17,Sets!$A$2:$A$1060,"&lt;"&amp;('Start Here'!$B$7+252)),_xlfn.MAXIFS(Log!$E$2:$E$1001,Log!$B$2:$B$1001,$A17,Log!$A$2:$A$1001,"&lt;"&amp;('Start Here'!$B$7+252))),1),IF(N(H3)&gt;0,ROUND(H3*$D17,1),""))</f>
        <v/>
      </c>
      <c r="I17" s="36">
        <f>IF(MAX(_xlfn.MAXIFS('Start Here'!$D$17:$D$56,'Start Here'!$A$17:$A$56,$A17),_xlfn.MAXIFS(Sets!$E$2:$E$1060,Sets!$B$2:$B$1060,$A17,Sets!$A$2:$A$1060,"&lt;"&amp;('Start Here'!$B$7+336)),_xlfn.MAXIFS(Log!$E$2:$E$1001,Log!$B$2:$B$1001,$A17,Log!$A$2:$A$1001,"&lt;"&amp;('Start Here'!$B$7+336)))&gt;0,ROUND(MAX(_xlfn.MAXIFS('Start Here'!$D$17:$D$56,'Start Here'!$A$17:$A$56,$A17),_xlfn.MAXIFS(Sets!$E$2:$E$1060,Sets!$B$2:$B$1060,$A17,Sets!$A$2:$A$1060,"&lt;"&amp;('Start Here'!$B$7+336)),_xlfn.MAXIFS(Log!$E$2:$E$1001,Log!$B$2:$B$1001,$A17,Log!$A$2:$A$1001,"&lt;"&amp;('Start Here'!$B$7+336))),1),IF(N(I3)&gt;0,ROUND(I3*$D17,1),""))</f>
        <v/>
      </c>
    </row>
    <row r="18">
      <c r="A18" s="23" t="inlineStr">
        <is>
          <t>Pause Bench Press</t>
        </is>
      </c>
      <c r="B18" t="inlineStr">
        <is>
          <t>variation</t>
        </is>
      </c>
      <c r="C18" t="inlineStr">
        <is>
          <t>Bench Press</t>
        </is>
      </c>
      <c r="D18" t="n">
        <v>0.95</v>
      </c>
      <c r="E18" s="36">
        <f>IF(MAX(_xlfn.MAXIFS('Start Here'!$D$17:$D$56,'Start Here'!$A$17:$A$56,$A18),_xlfn.MAXIFS(Sets!$E$2:$E$1060,Sets!$B$2:$B$1060,$A18,Sets!$A$2:$A$1060,"&lt;"&amp;('Start Here'!$B$7+0)),_xlfn.MAXIFS(Log!$E$2:$E$1001,Log!$B$2:$B$1001,$A18,Log!$A$2:$A$1001,"&lt;"&amp;('Start Here'!$B$7+0)))&gt;0,ROUND(MAX(_xlfn.MAXIFS('Start Here'!$D$17:$D$56,'Start Here'!$A$17:$A$56,$A18),_xlfn.MAXIFS(Sets!$E$2:$E$1060,Sets!$B$2:$B$1060,$A18,Sets!$A$2:$A$1060,"&lt;"&amp;('Start Here'!$B$7+0)),_xlfn.MAXIFS(Log!$E$2:$E$1001,Log!$B$2:$B$1001,$A18,Log!$A$2:$A$1001,"&lt;"&amp;('Start Here'!$B$7+0))),1),IF(N(E3)&gt;0,ROUND(E3*$D18,1),""))</f>
        <v/>
      </c>
      <c r="F18" s="36">
        <f>IF(MAX(_xlfn.MAXIFS('Start Here'!$D$17:$D$56,'Start Here'!$A$17:$A$56,$A18),_xlfn.MAXIFS(Sets!$E$2:$E$1060,Sets!$B$2:$B$1060,$A18,Sets!$A$2:$A$1060,"&lt;"&amp;('Start Here'!$B$7+84)),_xlfn.MAXIFS(Log!$E$2:$E$1001,Log!$B$2:$B$1001,$A18,Log!$A$2:$A$1001,"&lt;"&amp;('Start Here'!$B$7+84)))&gt;0,ROUND(MAX(_xlfn.MAXIFS('Start Here'!$D$17:$D$56,'Start Here'!$A$17:$A$56,$A18),_xlfn.MAXIFS(Sets!$E$2:$E$1060,Sets!$B$2:$B$1060,$A18,Sets!$A$2:$A$1060,"&lt;"&amp;('Start Here'!$B$7+84)),_xlfn.MAXIFS(Log!$E$2:$E$1001,Log!$B$2:$B$1001,$A18,Log!$A$2:$A$1001,"&lt;"&amp;('Start Here'!$B$7+84))),1),IF(N(F3)&gt;0,ROUND(F3*$D18,1),""))</f>
        <v/>
      </c>
      <c r="G18" s="36">
        <f>IF(MAX(_xlfn.MAXIFS('Start Here'!$D$17:$D$56,'Start Here'!$A$17:$A$56,$A18),_xlfn.MAXIFS(Sets!$E$2:$E$1060,Sets!$B$2:$B$1060,$A18,Sets!$A$2:$A$1060,"&lt;"&amp;('Start Here'!$B$7+168)),_xlfn.MAXIFS(Log!$E$2:$E$1001,Log!$B$2:$B$1001,$A18,Log!$A$2:$A$1001,"&lt;"&amp;('Start Here'!$B$7+168)))&gt;0,ROUND(MAX(_xlfn.MAXIFS('Start Here'!$D$17:$D$56,'Start Here'!$A$17:$A$56,$A18),_xlfn.MAXIFS(Sets!$E$2:$E$1060,Sets!$B$2:$B$1060,$A18,Sets!$A$2:$A$1060,"&lt;"&amp;('Start Here'!$B$7+168)),_xlfn.MAXIFS(Log!$E$2:$E$1001,Log!$B$2:$B$1001,$A18,Log!$A$2:$A$1001,"&lt;"&amp;('Start Here'!$B$7+168))),1),IF(N(G3)&gt;0,ROUND(G3*$D18,1),""))</f>
        <v/>
      </c>
      <c r="H18" s="36">
        <f>IF(MAX(_xlfn.MAXIFS('Start Here'!$D$17:$D$56,'Start Here'!$A$17:$A$56,$A18),_xlfn.MAXIFS(Sets!$E$2:$E$1060,Sets!$B$2:$B$1060,$A18,Sets!$A$2:$A$1060,"&lt;"&amp;('Start Here'!$B$7+252)),_xlfn.MAXIFS(Log!$E$2:$E$1001,Log!$B$2:$B$1001,$A18,Log!$A$2:$A$1001,"&lt;"&amp;('Start Here'!$B$7+252)))&gt;0,ROUND(MAX(_xlfn.MAXIFS('Start Here'!$D$17:$D$56,'Start Here'!$A$17:$A$56,$A18),_xlfn.MAXIFS(Sets!$E$2:$E$1060,Sets!$B$2:$B$1060,$A18,Sets!$A$2:$A$1060,"&lt;"&amp;('Start Here'!$B$7+252)),_xlfn.MAXIFS(Log!$E$2:$E$1001,Log!$B$2:$B$1001,$A18,Log!$A$2:$A$1001,"&lt;"&amp;('Start Here'!$B$7+252))),1),IF(N(H3)&gt;0,ROUND(H3*$D18,1),""))</f>
        <v/>
      </c>
      <c r="I18" s="36">
        <f>IF(MAX(_xlfn.MAXIFS('Start Here'!$D$17:$D$56,'Start Here'!$A$17:$A$56,$A18),_xlfn.MAXIFS(Sets!$E$2:$E$1060,Sets!$B$2:$B$1060,$A18,Sets!$A$2:$A$1060,"&lt;"&amp;('Start Here'!$B$7+336)),_xlfn.MAXIFS(Log!$E$2:$E$1001,Log!$B$2:$B$1001,$A18,Log!$A$2:$A$1001,"&lt;"&amp;('Start Here'!$B$7+336)))&gt;0,ROUND(MAX(_xlfn.MAXIFS('Start Here'!$D$17:$D$56,'Start Here'!$A$17:$A$56,$A18),_xlfn.MAXIFS(Sets!$E$2:$E$1060,Sets!$B$2:$B$1060,$A18,Sets!$A$2:$A$1060,"&lt;"&amp;('Start Here'!$B$7+336)),_xlfn.MAXIFS(Log!$E$2:$E$1001,Log!$B$2:$B$1001,$A18,Log!$A$2:$A$1001,"&lt;"&amp;('Start Here'!$B$7+336))),1),IF(N(I3)&gt;0,ROUND(I3*$D18,1),""))</f>
        <v/>
      </c>
    </row>
    <row r="19">
      <c r="A19" s="23" t="inlineStr">
        <is>
          <t>Floor Press</t>
        </is>
      </c>
      <c r="B19" t="inlineStr">
        <is>
          <t>variation</t>
        </is>
      </c>
      <c r="C19" t="inlineStr">
        <is>
          <t>Bench Press</t>
        </is>
      </c>
      <c r="D19" t="n">
        <v>0.95</v>
      </c>
      <c r="E19" s="36">
        <f>IF(MAX(_xlfn.MAXIFS('Start Here'!$D$17:$D$56,'Start Here'!$A$17:$A$56,$A19),_xlfn.MAXIFS(Sets!$E$2:$E$1060,Sets!$B$2:$B$1060,$A19,Sets!$A$2:$A$1060,"&lt;"&amp;('Start Here'!$B$7+0)),_xlfn.MAXIFS(Log!$E$2:$E$1001,Log!$B$2:$B$1001,$A19,Log!$A$2:$A$1001,"&lt;"&amp;('Start Here'!$B$7+0)))&gt;0,ROUND(MAX(_xlfn.MAXIFS('Start Here'!$D$17:$D$56,'Start Here'!$A$17:$A$56,$A19),_xlfn.MAXIFS(Sets!$E$2:$E$1060,Sets!$B$2:$B$1060,$A19,Sets!$A$2:$A$1060,"&lt;"&amp;('Start Here'!$B$7+0)),_xlfn.MAXIFS(Log!$E$2:$E$1001,Log!$B$2:$B$1001,$A19,Log!$A$2:$A$1001,"&lt;"&amp;('Start Here'!$B$7+0))),1),IF(N(E3)&gt;0,ROUND(E3*$D19,1),""))</f>
        <v/>
      </c>
      <c r="F19" s="36">
        <f>IF(MAX(_xlfn.MAXIFS('Start Here'!$D$17:$D$56,'Start Here'!$A$17:$A$56,$A19),_xlfn.MAXIFS(Sets!$E$2:$E$1060,Sets!$B$2:$B$1060,$A19,Sets!$A$2:$A$1060,"&lt;"&amp;('Start Here'!$B$7+84)),_xlfn.MAXIFS(Log!$E$2:$E$1001,Log!$B$2:$B$1001,$A19,Log!$A$2:$A$1001,"&lt;"&amp;('Start Here'!$B$7+84)))&gt;0,ROUND(MAX(_xlfn.MAXIFS('Start Here'!$D$17:$D$56,'Start Here'!$A$17:$A$56,$A19),_xlfn.MAXIFS(Sets!$E$2:$E$1060,Sets!$B$2:$B$1060,$A19,Sets!$A$2:$A$1060,"&lt;"&amp;('Start Here'!$B$7+84)),_xlfn.MAXIFS(Log!$E$2:$E$1001,Log!$B$2:$B$1001,$A19,Log!$A$2:$A$1001,"&lt;"&amp;('Start Here'!$B$7+84))),1),IF(N(F3)&gt;0,ROUND(F3*$D19,1),""))</f>
        <v/>
      </c>
      <c r="G19" s="36">
        <f>IF(MAX(_xlfn.MAXIFS('Start Here'!$D$17:$D$56,'Start Here'!$A$17:$A$56,$A19),_xlfn.MAXIFS(Sets!$E$2:$E$1060,Sets!$B$2:$B$1060,$A19,Sets!$A$2:$A$1060,"&lt;"&amp;('Start Here'!$B$7+168)),_xlfn.MAXIFS(Log!$E$2:$E$1001,Log!$B$2:$B$1001,$A19,Log!$A$2:$A$1001,"&lt;"&amp;('Start Here'!$B$7+168)))&gt;0,ROUND(MAX(_xlfn.MAXIFS('Start Here'!$D$17:$D$56,'Start Here'!$A$17:$A$56,$A19),_xlfn.MAXIFS(Sets!$E$2:$E$1060,Sets!$B$2:$B$1060,$A19,Sets!$A$2:$A$1060,"&lt;"&amp;('Start Here'!$B$7+168)),_xlfn.MAXIFS(Log!$E$2:$E$1001,Log!$B$2:$B$1001,$A19,Log!$A$2:$A$1001,"&lt;"&amp;('Start Here'!$B$7+168))),1),IF(N(G3)&gt;0,ROUND(G3*$D19,1),""))</f>
        <v/>
      </c>
      <c r="H19" s="36">
        <f>IF(MAX(_xlfn.MAXIFS('Start Here'!$D$17:$D$56,'Start Here'!$A$17:$A$56,$A19),_xlfn.MAXIFS(Sets!$E$2:$E$1060,Sets!$B$2:$B$1060,$A19,Sets!$A$2:$A$1060,"&lt;"&amp;('Start Here'!$B$7+252)),_xlfn.MAXIFS(Log!$E$2:$E$1001,Log!$B$2:$B$1001,$A19,Log!$A$2:$A$1001,"&lt;"&amp;('Start Here'!$B$7+252)))&gt;0,ROUND(MAX(_xlfn.MAXIFS('Start Here'!$D$17:$D$56,'Start Here'!$A$17:$A$56,$A19),_xlfn.MAXIFS(Sets!$E$2:$E$1060,Sets!$B$2:$B$1060,$A19,Sets!$A$2:$A$1060,"&lt;"&amp;('Start Here'!$B$7+252)),_xlfn.MAXIFS(Log!$E$2:$E$1001,Log!$B$2:$B$1001,$A19,Log!$A$2:$A$1001,"&lt;"&amp;('Start Here'!$B$7+252))),1),IF(N(H3)&gt;0,ROUND(H3*$D19,1),""))</f>
        <v/>
      </c>
      <c r="I19" s="36">
        <f>IF(MAX(_xlfn.MAXIFS('Start Here'!$D$17:$D$56,'Start Here'!$A$17:$A$56,$A19),_xlfn.MAXIFS(Sets!$E$2:$E$1060,Sets!$B$2:$B$1060,$A19,Sets!$A$2:$A$1060,"&lt;"&amp;('Start Here'!$B$7+336)),_xlfn.MAXIFS(Log!$E$2:$E$1001,Log!$B$2:$B$1001,$A19,Log!$A$2:$A$1001,"&lt;"&amp;('Start Here'!$B$7+336)))&gt;0,ROUND(MAX(_xlfn.MAXIFS('Start Here'!$D$17:$D$56,'Start Here'!$A$17:$A$56,$A19),_xlfn.MAXIFS(Sets!$E$2:$E$1060,Sets!$B$2:$B$1060,$A19,Sets!$A$2:$A$1060,"&lt;"&amp;('Start Here'!$B$7+336)),_xlfn.MAXIFS(Log!$E$2:$E$1001,Log!$B$2:$B$1001,$A19,Log!$A$2:$A$1001,"&lt;"&amp;('Start Here'!$B$7+336))),1),IF(N(I3)&gt;0,ROUND(I3*$D19,1),""))</f>
        <v/>
      </c>
    </row>
    <row r="20">
      <c r="A20" s="23" t="inlineStr">
        <is>
          <t>Pin Press</t>
        </is>
      </c>
      <c r="B20" t="inlineStr">
        <is>
          <t>variation</t>
        </is>
      </c>
      <c r="C20" t="inlineStr">
        <is>
          <t>Bench Press</t>
        </is>
      </c>
      <c r="D20" t="n">
        <v>1</v>
      </c>
      <c r="E20" s="36">
        <f>IF(MAX(_xlfn.MAXIFS('Start Here'!$D$17:$D$56,'Start Here'!$A$17:$A$56,$A20),_xlfn.MAXIFS(Sets!$E$2:$E$1060,Sets!$B$2:$B$1060,$A20,Sets!$A$2:$A$1060,"&lt;"&amp;('Start Here'!$B$7+0)),_xlfn.MAXIFS(Log!$E$2:$E$1001,Log!$B$2:$B$1001,$A20,Log!$A$2:$A$1001,"&lt;"&amp;('Start Here'!$B$7+0)))&gt;0,ROUND(MAX(_xlfn.MAXIFS('Start Here'!$D$17:$D$56,'Start Here'!$A$17:$A$56,$A20),_xlfn.MAXIFS(Sets!$E$2:$E$1060,Sets!$B$2:$B$1060,$A20,Sets!$A$2:$A$1060,"&lt;"&amp;('Start Here'!$B$7+0)),_xlfn.MAXIFS(Log!$E$2:$E$1001,Log!$B$2:$B$1001,$A20,Log!$A$2:$A$1001,"&lt;"&amp;('Start Here'!$B$7+0))),1),IF(N(E3)&gt;0,ROUND(E3*$D20,1),""))</f>
        <v/>
      </c>
      <c r="F20" s="36">
        <f>IF(MAX(_xlfn.MAXIFS('Start Here'!$D$17:$D$56,'Start Here'!$A$17:$A$56,$A20),_xlfn.MAXIFS(Sets!$E$2:$E$1060,Sets!$B$2:$B$1060,$A20,Sets!$A$2:$A$1060,"&lt;"&amp;('Start Here'!$B$7+84)),_xlfn.MAXIFS(Log!$E$2:$E$1001,Log!$B$2:$B$1001,$A20,Log!$A$2:$A$1001,"&lt;"&amp;('Start Here'!$B$7+84)))&gt;0,ROUND(MAX(_xlfn.MAXIFS('Start Here'!$D$17:$D$56,'Start Here'!$A$17:$A$56,$A20),_xlfn.MAXIFS(Sets!$E$2:$E$1060,Sets!$B$2:$B$1060,$A20,Sets!$A$2:$A$1060,"&lt;"&amp;('Start Here'!$B$7+84)),_xlfn.MAXIFS(Log!$E$2:$E$1001,Log!$B$2:$B$1001,$A20,Log!$A$2:$A$1001,"&lt;"&amp;('Start Here'!$B$7+84))),1),IF(N(F3)&gt;0,ROUND(F3*$D20,1),""))</f>
        <v/>
      </c>
      <c r="G20" s="36">
        <f>IF(MAX(_xlfn.MAXIFS('Start Here'!$D$17:$D$56,'Start Here'!$A$17:$A$56,$A20),_xlfn.MAXIFS(Sets!$E$2:$E$1060,Sets!$B$2:$B$1060,$A20,Sets!$A$2:$A$1060,"&lt;"&amp;('Start Here'!$B$7+168)),_xlfn.MAXIFS(Log!$E$2:$E$1001,Log!$B$2:$B$1001,$A20,Log!$A$2:$A$1001,"&lt;"&amp;('Start Here'!$B$7+168)))&gt;0,ROUND(MAX(_xlfn.MAXIFS('Start Here'!$D$17:$D$56,'Start Here'!$A$17:$A$56,$A20),_xlfn.MAXIFS(Sets!$E$2:$E$1060,Sets!$B$2:$B$1060,$A20,Sets!$A$2:$A$1060,"&lt;"&amp;('Start Here'!$B$7+168)),_xlfn.MAXIFS(Log!$E$2:$E$1001,Log!$B$2:$B$1001,$A20,Log!$A$2:$A$1001,"&lt;"&amp;('Start Here'!$B$7+168))),1),IF(N(G3)&gt;0,ROUND(G3*$D20,1),""))</f>
        <v/>
      </c>
      <c r="H20" s="36">
        <f>IF(MAX(_xlfn.MAXIFS('Start Here'!$D$17:$D$56,'Start Here'!$A$17:$A$56,$A20),_xlfn.MAXIFS(Sets!$E$2:$E$1060,Sets!$B$2:$B$1060,$A20,Sets!$A$2:$A$1060,"&lt;"&amp;('Start Here'!$B$7+252)),_xlfn.MAXIFS(Log!$E$2:$E$1001,Log!$B$2:$B$1001,$A20,Log!$A$2:$A$1001,"&lt;"&amp;('Start Here'!$B$7+252)))&gt;0,ROUND(MAX(_xlfn.MAXIFS('Start Here'!$D$17:$D$56,'Start Here'!$A$17:$A$56,$A20),_xlfn.MAXIFS(Sets!$E$2:$E$1060,Sets!$B$2:$B$1060,$A20,Sets!$A$2:$A$1060,"&lt;"&amp;('Start Here'!$B$7+252)),_xlfn.MAXIFS(Log!$E$2:$E$1001,Log!$B$2:$B$1001,$A20,Log!$A$2:$A$1001,"&lt;"&amp;('Start Here'!$B$7+252))),1),IF(N(H3)&gt;0,ROUND(H3*$D20,1),""))</f>
        <v/>
      </c>
      <c r="I20" s="36">
        <f>IF(MAX(_xlfn.MAXIFS('Start Here'!$D$17:$D$56,'Start Here'!$A$17:$A$56,$A20),_xlfn.MAXIFS(Sets!$E$2:$E$1060,Sets!$B$2:$B$1060,$A20,Sets!$A$2:$A$1060,"&lt;"&amp;('Start Here'!$B$7+336)),_xlfn.MAXIFS(Log!$E$2:$E$1001,Log!$B$2:$B$1001,$A20,Log!$A$2:$A$1001,"&lt;"&amp;('Start Here'!$B$7+336)))&gt;0,ROUND(MAX(_xlfn.MAXIFS('Start Here'!$D$17:$D$56,'Start Here'!$A$17:$A$56,$A20),_xlfn.MAXIFS(Sets!$E$2:$E$1060,Sets!$B$2:$B$1060,$A20,Sets!$A$2:$A$1060,"&lt;"&amp;('Start Here'!$B$7+336)),_xlfn.MAXIFS(Log!$E$2:$E$1001,Log!$B$2:$B$1001,$A20,Log!$A$2:$A$1001,"&lt;"&amp;('Start Here'!$B$7+336))),1),IF(N(I3)&gt;0,ROUND(I3*$D20,1),""))</f>
        <v/>
      </c>
    </row>
    <row r="21">
      <c r="A21" s="23" t="inlineStr">
        <is>
          <t>Spoto Press</t>
        </is>
      </c>
      <c r="B21" t="inlineStr">
        <is>
          <t>variation</t>
        </is>
      </c>
      <c r="C21" t="inlineStr">
        <is>
          <t>Bench Press</t>
        </is>
      </c>
      <c r="D21" t="n">
        <v>0.93</v>
      </c>
      <c r="E21" s="36">
        <f>IF(MAX(_xlfn.MAXIFS('Start Here'!$D$17:$D$56,'Start Here'!$A$17:$A$56,$A21),_xlfn.MAXIFS(Sets!$E$2:$E$1060,Sets!$B$2:$B$1060,$A21,Sets!$A$2:$A$1060,"&lt;"&amp;('Start Here'!$B$7+0)),_xlfn.MAXIFS(Log!$E$2:$E$1001,Log!$B$2:$B$1001,$A21,Log!$A$2:$A$1001,"&lt;"&amp;('Start Here'!$B$7+0)))&gt;0,ROUND(MAX(_xlfn.MAXIFS('Start Here'!$D$17:$D$56,'Start Here'!$A$17:$A$56,$A21),_xlfn.MAXIFS(Sets!$E$2:$E$1060,Sets!$B$2:$B$1060,$A21,Sets!$A$2:$A$1060,"&lt;"&amp;('Start Here'!$B$7+0)),_xlfn.MAXIFS(Log!$E$2:$E$1001,Log!$B$2:$B$1001,$A21,Log!$A$2:$A$1001,"&lt;"&amp;('Start Here'!$B$7+0))),1),IF(N(E3)&gt;0,ROUND(E3*$D21,1),""))</f>
        <v/>
      </c>
      <c r="F21" s="36">
        <f>IF(MAX(_xlfn.MAXIFS('Start Here'!$D$17:$D$56,'Start Here'!$A$17:$A$56,$A21),_xlfn.MAXIFS(Sets!$E$2:$E$1060,Sets!$B$2:$B$1060,$A21,Sets!$A$2:$A$1060,"&lt;"&amp;('Start Here'!$B$7+84)),_xlfn.MAXIFS(Log!$E$2:$E$1001,Log!$B$2:$B$1001,$A21,Log!$A$2:$A$1001,"&lt;"&amp;('Start Here'!$B$7+84)))&gt;0,ROUND(MAX(_xlfn.MAXIFS('Start Here'!$D$17:$D$56,'Start Here'!$A$17:$A$56,$A21),_xlfn.MAXIFS(Sets!$E$2:$E$1060,Sets!$B$2:$B$1060,$A21,Sets!$A$2:$A$1060,"&lt;"&amp;('Start Here'!$B$7+84)),_xlfn.MAXIFS(Log!$E$2:$E$1001,Log!$B$2:$B$1001,$A21,Log!$A$2:$A$1001,"&lt;"&amp;('Start Here'!$B$7+84))),1),IF(N(F3)&gt;0,ROUND(F3*$D21,1),""))</f>
        <v/>
      </c>
      <c r="G21" s="36">
        <f>IF(MAX(_xlfn.MAXIFS('Start Here'!$D$17:$D$56,'Start Here'!$A$17:$A$56,$A21),_xlfn.MAXIFS(Sets!$E$2:$E$1060,Sets!$B$2:$B$1060,$A21,Sets!$A$2:$A$1060,"&lt;"&amp;('Start Here'!$B$7+168)),_xlfn.MAXIFS(Log!$E$2:$E$1001,Log!$B$2:$B$1001,$A21,Log!$A$2:$A$1001,"&lt;"&amp;('Start Here'!$B$7+168)))&gt;0,ROUND(MAX(_xlfn.MAXIFS('Start Here'!$D$17:$D$56,'Start Here'!$A$17:$A$56,$A21),_xlfn.MAXIFS(Sets!$E$2:$E$1060,Sets!$B$2:$B$1060,$A21,Sets!$A$2:$A$1060,"&lt;"&amp;('Start Here'!$B$7+168)),_xlfn.MAXIFS(Log!$E$2:$E$1001,Log!$B$2:$B$1001,$A21,Log!$A$2:$A$1001,"&lt;"&amp;('Start Here'!$B$7+168))),1),IF(N(G3)&gt;0,ROUND(G3*$D21,1),""))</f>
        <v/>
      </c>
      <c r="H21" s="36">
        <f>IF(MAX(_xlfn.MAXIFS('Start Here'!$D$17:$D$56,'Start Here'!$A$17:$A$56,$A21),_xlfn.MAXIFS(Sets!$E$2:$E$1060,Sets!$B$2:$B$1060,$A21,Sets!$A$2:$A$1060,"&lt;"&amp;('Start Here'!$B$7+252)),_xlfn.MAXIFS(Log!$E$2:$E$1001,Log!$B$2:$B$1001,$A21,Log!$A$2:$A$1001,"&lt;"&amp;('Start Here'!$B$7+252)))&gt;0,ROUND(MAX(_xlfn.MAXIFS('Start Here'!$D$17:$D$56,'Start Here'!$A$17:$A$56,$A21),_xlfn.MAXIFS(Sets!$E$2:$E$1060,Sets!$B$2:$B$1060,$A21,Sets!$A$2:$A$1060,"&lt;"&amp;('Start Here'!$B$7+252)),_xlfn.MAXIFS(Log!$E$2:$E$1001,Log!$B$2:$B$1001,$A21,Log!$A$2:$A$1001,"&lt;"&amp;('Start Here'!$B$7+252))),1),IF(N(H3)&gt;0,ROUND(H3*$D21,1),""))</f>
        <v/>
      </c>
      <c r="I21" s="36">
        <f>IF(MAX(_xlfn.MAXIFS('Start Here'!$D$17:$D$56,'Start Here'!$A$17:$A$56,$A21),_xlfn.MAXIFS(Sets!$E$2:$E$1060,Sets!$B$2:$B$1060,$A21,Sets!$A$2:$A$1060,"&lt;"&amp;('Start Here'!$B$7+336)),_xlfn.MAXIFS(Log!$E$2:$E$1001,Log!$B$2:$B$1001,$A21,Log!$A$2:$A$1001,"&lt;"&amp;('Start Here'!$B$7+336)))&gt;0,ROUND(MAX(_xlfn.MAXIFS('Start Here'!$D$17:$D$56,'Start Here'!$A$17:$A$56,$A21),_xlfn.MAXIFS(Sets!$E$2:$E$1060,Sets!$B$2:$B$1060,$A21,Sets!$A$2:$A$1060,"&lt;"&amp;('Start Here'!$B$7+336)),_xlfn.MAXIFS(Log!$E$2:$E$1001,Log!$B$2:$B$1001,$A21,Log!$A$2:$A$1001,"&lt;"&amp;('Start Here'!$B$7+336))),1),IF(N(I3)&gt;0,ROUND(I3*$D21,1),""))</f>
        <v/>
      </c>
    </row>
    <row r="22">
      <c r="A22" s="23" t="inlineStr">
        <is>
          <t>Incline Bench Press</t>
        </is>
      </c>
      <c r="B22" t="inlineStr">
        <is>
          <t>variation</t>
        </is>
      </c>
      <c r="C22" t="inlineStr">
        <is>
          <t>Bench Press</t>
        </is>
      </c>
      <c r="D22" t="n">
        <v>0.8</v>
      </c>
      <c r="E22" s="36">
        <f>IF(MAX(_xlfn.MAXIFS('Start Here'!$D$17:$D$56,'Start Here'!$A$17:$A$56,$A22),_xlfn.MAXIFS(Sets!$E$2:$E$1060,Sets!$B$2:$B$1060,$A22,Sets!$A$2:$A$1060,"&lt;"&amp;('Start Here'!$B$7+0)),_xlfn.MAXIFS(Log!$E$2:$E$1001,Log!$B$2:$B$1001,$A22,Log!$A$2:$A$1001,"&lt;"&amp;('Start Here'!$B$7+0)))&gt;0,ROUND(MAX(_xlfn.MAXIFS('Start Here'!$D$17:$D$56,'Start Here'!$A$17:$A$56,$A22),_xlfn.MAXIFS(Sets!$E$2:$E$1060,Sets!$B$2:$B$1060,$A22,Sets!$A$2:$A$1060,"&lt;"&amp;('Start Here'!$B$7+0)),_xlfn.MAXIFS(Log!$E$2:$E$1001,Log!$B$2:$B$1001,$A22,Log!$A$2:$A$1001,"&lt;"&amp;('Start Here'!$B$7+0))),1),IF(N(E3)&gt;0,ROUND(E3*$D22,1),""))</f>
        <v/>
      </c>
      <c r="F22" s="36">
        <f>IF(MAX(_xlfn.MAXIFS('Start Here'!$D$17:$D$56,'Start Here'!$A$17:$A$56,$A22),_xlfn.MAXIFS(Sets!$E$2:$E$1060,Sets!$B$2:$B$1060,$A22,Sets!$A$2:$A$1060,"&lt;"&amp;('Start Here'!$B$7+84)),_xlfn.MAXIFS(Log!$E$2:$E$1001,Log!$B$2:$B$1001,$A22,Log!$A$2:$A$1001,"&lt;"&amp;('Start Here'!$B$7+84)))&gt;0,ROUND(MAX(_xlfn.MAXIFS('Start Here'!$D$17:$D$56,'Start Here'!$A$17:$A$56,$A22),_xlfn.MAXIFS(Sets!$E$2:$E$1060,Sets!$B$2:$B$1060,$A22,Sets!$A$2:$A$1060,"&lt;"&amp;('Start Here'!$B$7+84)),_xlfn.MAXIFS(Log!$E$2:$E$1001,Log!$B$2:$B$1001,$A22,Log!$A$2:$A$1001,"&lt;"&amp;('Start Here'!$B$7+84))),1),IF(N(F3)&gt;0,ROUND(F3*$D22,1),""))</f>
        <v/>
      </c>
      <c r="G22" s="36">
        <f>IF(MAX(_xlfn.MAXIFS('Start Here'!$D$17:$D$56,'Start Here'!$A$17:$A$56,$A22),_xlfn.MAXIFS(Sets!$E$2:$E$1060,Sets!$B$2:$B$1060,$A22,Sets!$A$2:$A$1060,"&lt;"&amp;('Start Here'!$B$7+168)),_xlfn.MAXIFS(Log!$E$2:$E$1001,Log!$B$2:$B$1001,$A22,Log!$A$2:$A$1001,"&lt;"&amp;('Start Here'!$B$7+168)))&gt;0,ROUND(MAX(_xlfn.MAXIFS('Start Here'!$D$17:$D$56,'Start Here'!$A$17:$A$56,$A22),_xlfn.MAXIFS(Sets!$E$2:$E$1060,Sets!$B$2:$B$1060,$A22,Sets!$A$2:$A$1060,"&lt;"&amp;('Start Here'!$B$7+168)),_xlfn.MAXIFS(Log!$E$2:$E$1001,Log!$B$2:$B$1001,$A22,Log!$A$2:$A$1001,"&lt;"&amp;('Start Here'!$B$7+168))),1),IF(N(G3)&gt;0,ROUND(G3*$D22,1),""))</f>
        <v/>
      </c>
      <c r="H22" s="36">
        <f>IF(MAX(_xlfn.MAXIFS('Start Here'!$D$17:$D$56,'Start Here'!$A$17:$A$56,$A22),_xlfn.MAXIFS(Sets!$E$2:$E$1060,Sets!$B$2:$B$1060,$A22,Sets!$A$2:$A$1060,"&lt;"&amp;('Start Here'!$B$7+252)),_xlfn.MAXIFS(Log!$E$2:$E$1001,Log!$B$2:$B$1001,$A22,Log!$A$2:$A$1001,"&lt;"&amp;('Start Here'!$B$7+252)))&gt;0,ROUND(MAX(_xlfn.MAXIFS('Start Here'!$D$17:$D$56,'Start Here'!$A$17:$A$56,$A22),_xlfn.MAXIFS(Sets!$E$2:$E$1060,Sets!$B$2:$B$1060,$A22,Sets!$A$2:$A$1060,"&lt;"&amp;('Start Here'!$B$7+252)),_xlfn.MAXIFS(Log!$E$2:$E$1001,Log!$B$2:$B$1001,$A22,Log!$A$2:$A$1001,"&lt;"&amp;('Start Here'!$B$7+252))),1),IF(N(H3)&gt;0,ROUND(H3*$D22,1),""))</f>
        <v/>
      </c>
      <c r="I22" s="36">
        <f>IF(MAX(_xlfn.MAXIFS('Start Here'!$D$17:$D$56,'Start Here'!$A$17:$A$56,$A22),_xlfn.MAXIFS(Sets!$E$2:$E$1060,Sets!$B$2:$B$1060,$A22,Sets!$A$2:$A$1060,"&lt;"&amp;('Start Here'!$B$7+336)),_xlfn.MAXIFS(Log!$E$2:$E$1001,Log!$B$2:$B$1001,$A22,Log!$A$2:$A$1001,"&lt;"&amp;('Start Here'!$B$7+336)))&gt;0,ROUND(MAX(_xlfn.MAXIFS('Start Here'!$D$17:$D$56,'Start Here'!$A$17:$A$56,$A22),_xlfn.MAXIFS(Sets!$E$2:$E$1060,Sets!$B$2:$B$1060,$A22,Sets!$A$2:$A$1060,"&lt;"&amp;('Start Here'!$B$7+336)),_xlfn.MAXIFS(Log!$E$2:$E$1001,Log!$B$2:$B$1001,$A22,Log!$A$2:$A$1001,"&lt;"&amp;('Start Here'!$B$7+336))),1),IF(N(I3)&gt;0,ROUND(I3*$D22,1),""))</f>
        <v/>
      </c>
    </row>
    <row r="23">
      <c r="A23" s="23" t="inlineStr">
        <is>
          <t>Romanian Deadlift</t>
        </is>
      </c>
      <c r="B23" t="inlineStr">
        <is>
          <t>variation</t>
        </is>
      </c>
      <c r="C23" t="inlineStr">
        <is>
          <t>Deadlift</t>
        </is>
      </c>
      <c r="D23" t="n">
        <v>0.7</v>
      </c>
      <c r="E23" s="36">
        <f>IF(MAX(_xlfn.MAXIFS('Start Here'!$D$17:$D$56,'Start Here'!$A$17:$A$56,$A23),_xlfn.MAXIFS(Sets!$E$2:$E$1060,Sets!$B$2:$B$1060,$A23,Sets!$A$2:$A$1060,"&lt;"&amp;('Start Here'!$B$7+0)),_xlfn.MAXIFS(Log!$E$2:$E$1001,Log!$B$2:$B$1001,$A23,Log!$A$2:$A$1001,"&lt;"&amp;('Start Here'!$B$7+0)))&gt;0,ROUND(MAX(_xlfn.MAXIFS('Start Here'!$D$17:$D$56,'Start Here'!$A$17:$A$56,$A23),_xlfn.MAXIFS(Sets!$E$2:$E$1060,Sets!$B$2:$B$1060,$A23,Sets!$A$2:$A$1060,"&lt;"&amp;('Start Here'!$B$7+0)),_xlfn.MAXIFS(Log!$E$2:$E$1001,Log!$B$2:$B$1001,$A23,Log!$A$2:$A$1001,"&lt;"&amp;('Start Here'!$B$7+0))),1),IF(N(E4)&gt;0,ROUND(E4*$D23,1),""))</f>
        <v/>
      </c>
      <c r="F23" s="36">
        <f>IF(MAX(_xlfn.MAXIFS('Start Here'!$D$17:$D$56,'Start Here'!$A$17:$A$56,$A23),_xlfn.MAXIFS(Sets!$E$2:$E$1060,Sets!$B$2:$B$1060,$A23,Sets!$A$2:$A$1060,"&lt;"&amp;('Start Here'!$B$7+84)),_xlfn.MAXIFS(Log!$E$2:$E$1001,Log!$B$2:$B$1001,$A23,Log!$A$2:$A$1001,"&lt;"&amp;('Start Here'!$B$7+84)))&gt;0,ROUND(MAX(_xlfn.MAXIFS('Start Here'!$D$17:$D$56,'Start Here'!$A$17:$A$56,$A23),_xlfn.MAXIFS(Sets!$E$2:$E$1060,Sets!$B$2:$B$1060,$A23,Sets!$A$2:$A$1060,"&lt;"&amp;('Start Here'!$B$7+84)),_xlfn.MAXIFS(Log!$E$2:$E$1001,Log!$B$2:$B$1001,$A23,Log!$A$2:$A$1001,"&lt;"&amp;('Start Here'!$B$7+84))),1),IF(N(F4)&gt;0,ROUND(F4*$D23,1),""))</f>
        <v/>
      </c>
      <c r="G23" s="36">
        <f>IF(MAX(_xlfn.MAXIFS('Start Here'!$D$17:$D$56,'Start Here'!$A$17:$A$56,$A23),_xlfn.MAXIFS(Sets!$E$2:$E$1060,Sets!$B$2:$B$1060,$A23,Sets!$A$2:$A$1060,"&lt;"&amp;('Start Here'!$B$7+168)),_xlfn.MAXIFS(Log!$E$2:$E$1001,Log!$B$2:$B$1001,$A23,Log!$A$2:$A$1001,"&lt;"&amp;('Start Here'!$B$7+168)))&gt;0,ROUND(MAX(_xlfn.MAXIFS('Start Here'!$D$17:$D$56,'Start Here'!$A$17:$A$56,$A23),_xlfn.MAXIFS(Sets!$E$2:$E$1060,Sets!$B$2:$B$1060,$A23,Sets!$A$2:$A$1060,"&lt;"&amp;('Start Here'!$B$7+168)),_xlfn.MAXIFS(Log!$E$2:$E$1001,Log!$B$2:$B$1001,$A23,Log!$A$2:$A$1001,"&lt;"&amp;('Start Here'!$B$7+168))),1),IF(N(G4)&gt;0,ROUND(G4*$D23,1),""))</f>
        <v/>
      </c>
      <c r="H23" s="36">
        <f>IF(MAX(_xlfn.MAXIFS('Start Here'!$D$17:$D$56,'Start Here'!$A$17:$A$56,$A23),_xlfn.MAXIFS(Sets!$E$2:$E$1060,Sets!$B$2:$B$1060,$A23,Sets!$A$2:$A$1060,"&lt;"&amp;('Start Here'!$B$7+252)),_xlfn.MAXIFS(Log!$E$2:$E$1001,Log!$B$2:$B$1001,$A23,Log!$A$2:$A$1001,"&lt;"&amp;('Start Here'!$B$7+252)))&gt;0,ROUND(MAX(_xlfn.MAXIFS('Start Here'!$D$17:$D$56,'Start Here'!$A$17:$A$56,$A23),_xlfn.MAXIFS(Sets!$E$2:$E$1060,Sets!$B$2:$B$1060,$A23,Sets!$A$2:$A$1060,"&lt;"&amp;('Start Here'!$B$7+252)),_xlfn.MAXIFS(Log!$E$2:$E$1001,Log!$B$2:$B$1001,$A23,Log!$A$2:$A$1001,"&lt;"&amp;('Start Here'!$B$7+252))),1),IF(N(H4)&gt;0,ROUND(H4*$D23,1),""))</f>
        <v/>
      </c>
      <c r="I23" s="36">
        <f>IF(MAX(_xlfn.MAXIFS('Start Here'!$D$17:$D$56,'Start Here'!$A$17:$A$56,$A23),_xlfn.MAXIFS(Sets!$E$2:$E$1060,Sets!$B$2:$B$1060,$A23,Sets!$A$2:$A$1060,"&lt;"&amp;('Start Here'!$B$7+336)),_xlfn.MAXIFS(Log!$E$2:$E$1001,Log!$B$2:$B$1001,$A23,Log!$A$2:$A$1001,"&lt;"&amp;('Start Here'!$B$7+336)))&gt;0,ROUND(MAX(_xlfn.MAXIFS('Start Here'!$D$17:$D$56,'Start Here'!$A$17:$A$56,$A23),_xlfn.MAXIFS(Sets!$E$2:$E$1060,Sets!$B$2:$B$1060,$A23,Sets!$A$2:$A$1060,"&lt;"&amp;('Start Here'!$B$7+336)),_xlfn.MAXIFS(Log!$E$2:$E$1001,Log!$B$2:$B$1001,$A23,Log!$A$2:$A$1001,"&lt;"&amp;('Start Here'!$B$7+336))),1),IF(N(I4)&gt;0,ROUND(I4*$D23,1),""))</f>
        <v/>
      </c>
    </row>
    <row r="24">
      <c r="A24" s="23" t="inlineStr">
        <is>
          <t>Deficit Deadlift</t>
        </is>
      </c>
      <c r="B24" t="inlineStr">
        <is>
          <t>variation</t>
        </is>
      </c>
      <c r="C24" t="inlineStr">
        <is>
          <t>Deadlift</t>
        </is>
      </c>
      <c r="D24" t="n">
        <v>0.9</v>
      </c>
      <c r="E24" s="36">
        <f>IF(MAX(_xlfn.MAXIFS('Start Here'!$D$17:$D$56,'Start Here'!$A$17:$A$56,$A24),_xlfn.MAXIFS(Sets!$E$2:$E$1060,Sets!$B$2:$B$1060,$A24,Sets!$A$2:$A$1060,"&lt;"&amp;('Start Here'!$B$7+0)),_xlfn.MAXIFS(Log!$E$2:$E$1001,Log!$B$2:$B$1001,$A24,Log!$A$2:$A$1001,"&lt;"&amp;('Start Here'!$B$7+0)))&gt;0,ROUND(MAX(_xlfn.MAXIFS('Start Here'!$D$17:$D$56,'Start Here'!$A$17:$A$56,$A24),_xlfn.MAXIFS(Sets!$E$2:$E$1060,Sets!$B$2:$B$1060,$A24,Sets!$A$2:$A$1060,"&lt;"&amp;('Start Here'!$B$7+0)),_xlfn.MAXIFS(Log!$E$2:$E$1001,Log!$B$2:$B$1001,$A24,Log!$A$2:$A$1001,"&lt;"&amp;('Start Here'!$B$7+0))),1),IF(N(E4)&gt;0,ROUND(E4*$D24,1),""))</f>
        <v/>
      </c>
      <c r="F24" s="36">
        <f>IF(MAX(_xlfn.MAXIFS('Start Here'!$D$17:$D$56,'Start Here'!$A$17:$A$56,$A24),_xlfn.MAXIFS(Sets!$E$2:$E$1060,Sets!$B$2:$B$1060,$A24,Sets!$A$2:$A$1060,"&lt;"&amp;('Start Here'!$B$7+84)),_xlfn.MAXIFS(Log!$E$2:$E$1001,Log!$B$2:$B$1001,$A24,Log!$A$2:$A$1001,"&lt;"&amp;('Start Here'!$B$7+84)))&gt;0,ROUND(MAX(_xlfn.MAXIFS('Start Here'!$D$17:$D$56,'Start Here'!$A$17:$A$56,$A24),_xlfn.MAXIFS(Sets!$E$2:$E$1060,Sets!$B$2:$B$1060,$A24,Sets!$A$2:$A$1060,"&lt;"&amp;('Start Here'!$B$7+84)),_xlfn.MAXIFS(Log!$E$2:$E$1001,Log!$B$2:$B$1001,$A24,Log!$A$2:$A$1001,"&lt;"&amp;('Start Here'!$B$7+84))),1),IF(N(F4)&gt;0,ROUND(F4*$D24,1),""))</f>
        <v/>
      </c>
      <c r="G24" s="36">
        <f>IF(MAX(_xlfn.MAXIFS('Start Here'!$D$17:$D$56,'Start Here'!$A$17:$A$56,$A24),_xlfn.MAXIFS(Sets!$E$2:$E$1060,Sets!$B$2:$B$1060,$A24,Sets!$A$2:$A$1060,"&lt;"&amp;('Start Here'!$B$7+168)),_xlfn.MAXIFS(Log!$E$2:$E$1001,Log!$B$2:$B$1001,$A24,Log!$A$2:$A$1001,"&lt;"&amp;('Start Here'!$B$7+168)))&gt;0,ROUND(MAX(_xlfn.MAXIFS('Start Here'!$D$17:$D$56,'Start Here'!$A$17:$A$56,$A24),_xlfn.MAXIFS(Sets!$E$2:$E$1060,Sets!$B$2:$B$1060,$A24,Sets!$A$2:$A$1060,"&lt;"&amp;('Start Here'!$B$7+168)),_xlfn.MAXIFS(Log!$E$2:$E$1001,Log!$B$2:$B$1001,$A24,Log!$A$2:$A$1001,"&lt;"&amp;('Start Here'!$B$7+168))),1),IF(N(G4)&gt;0,ROUND(G4*$D24,1),""))</f>
        <v/>
      </c>
      <c r="H24" s="36">
        <f>IF(MAX(_xlfn.MAXIFS('Start Here'!$D$17:$D$56,'Start Here'!$A$17:$A$56,$A24),_xlfn.MAXIFS(Sets!$E$2:$E$1060,Sets!$B$2:$B$1060,$A24,Sets!$A$2:$A$1060,"&lt;"&amp;('Start Here'!$B$7+252)),_xlfn.MAXIFS(Log!$E$2:$E$1001,Log!$B$2:$B$1001,$A24,Log!$A$2:$A$1001,"&lt;"&amp;('Start Here'!$B$7+252)))&gt;0,ROUND(MAX(_xlfn.MAXIFS('Start Here'!$D$17:$D$56,'Start Here'!$A$17:$A$56,$A24),_xlfn.MAXIFS(Sets!$E$2:$E$1060,Sets!$B$2:$B$1060,$A24,Sets!$A$2:$A$1060,"&lt;"&amp;('Start Here'!$B$7+252)),_xlfn.MAXIFS(Log!$E$2:$E$1001,Log!$B$2:$B$1001,$A24,Log!$A$2:$A$1001,"&lt;"&amp;('Start Here'!$B$7+252))),1),IF(N(H4)&gt;0,ROUND(H4*$D24,1),""))</f>
        <v/>
      </c>
      <c r="I24" s="36">
        <f>IF(MAX(_xlfn.MAXIFS('Start Here'!$D$17:$D$56,'Start Here'!$A$17:$A$56,$A24),_xlfn.MAXIFS(Sets!$E$2:$E$1060,Sets!$B$2:$B$1060,$A24,Sets!$A$2:$A$1060,"&lt;"&amp;('Start Here'!$B$7+336)),_xlfn.MAXIFS(Log!$E$2:$E$1001,Log!$B$2:$B$1001,$A24,Log!$A$2:$A$1001,"&lt;"&amp;('Start Here'!$B$7+336)))&gt;0,ROUND(MAX(_xlfn.MAXIFS('Start Here'!$D$17:$D$56,'Start Here'!$A$17:$A$56,$A24),_xlfn.MAXIFS(Sets!$E$2:$E$1060,Sets!$B$2:$B$1060,$A24,Sets!$A$2:$A$1060,"&lt;"&amp;('Start Here'!$B$7+336)),_xlfn.MAXIFS(Log!$E$2:$E$1001,Log!$B$2:$B$1001,$A24,Log!$A$2:$A$1001,"&lt;"&amp;('Start Here'!$B$7+336))),1),IF(N(I4)&gt;0,ROUND(I4*$D24,1),""))</f>
        <v/>
      </c>
    </row>
    <row r="25">
      <c r="A25" s="23" t="inlineStr">
        <is>
          <t>Paused Deadlift</t>
        </is>
      </c>
      <c r="B25" t="inlineStr">
        <is>
          <t>variation</t>
        </is>
      </c>
      <c r="C25" t="inlineStr">
        <is>
          <t>Deadlift</t>
        </is>
      </c>
      <c r="D25" t="n">
        <v>0.85</v>
      </c>
      <c r="E25" s="36">
        <f>IF(MAX(_xlfn.MAXIFS('Start Here'!$D$17:$D$56,'Start Here'!$A$17:$A$56,$A25),_xlfn.MAXIFS(Sets!$E$2:$E$1060,Sets!$B$2:$B$1060,$A25,Sets!$A$2:$A$1060,"&lt;"&amp;('Start Here'!$B$7+0)),_xlfn.MAXIFS(Log!$E$2:$E$1001,Log!$B$2:$B$1001,$A25,Log!$A$2:$A$1001,"&lt;"&amp;('Start Here'!$B$7+0)))&gt;0,ROUND(MAX(_xlfn.MAXIFS('Start Here'!$D$17:$D$56,'Start Here'!$A$17:$A$56,$A25),_xlfn.MAXIFS(Sets!$E$2:$E$1060,Sets!$B$2:$B$1060,$A25,Sets!$A$2:$A$1060,"&lt;"&amp;('Start Here'!$B$7+0)),_xlfn.MAXIFS(Log!$E$2:$E$1001,Log!$B$2:$B$1001,$A25,Log!$A$2:$A$1001,"&lt;"&amp;('Start Here'!$B$7+0))),1),IF(N(E4)&gt;0,ROUND(E4*$D25,1),""))</f>
        <v/>
      </c>
      <c r="F25" s="36">
        <f>IF(MAX(_xlfn.MAXIFS('Start Here'!$D$17:$D$56,'Start Here'!$A$17:$A$56,$A25),_xlfn.MAXIFS(Sets!$E$2:$E$1060,Sets!$B$2:$B$1060,$A25,Sets!$A$2:$A$1060,"&lt;"&amp;('Start Here'!$B$7+84)),_xlfn.MAXIFS(Log!$E$2:$E$1001,Log!$B$2:$B$1001,$A25,Log!$A$2:$A$1001,"&lt;"&amp;('Start Here'!$B$7+84)))&gt;0,ROUND(MAX(_xlfn.MAXIFS('Start Here'!$D$17:$D$56,'Start Here'!$A$17:$A$56,$A25),_xlfn.MAXIFS(Sets!$E$2:$E$1060,Sets!$B$2:$B$1060,$A25,Sets!$A$2:$A$1060,"&lt;"&amp;('Start Here'!$B$7+84)),_xlfn.MAXIFS(Log!$E$2:$E$1001,Log!$B$2:$B$1001,$A25,Log!$A$2:$A$1001,"&lt;"&amp;('Start Here'!$B$7+84))),1),IF(N(F4)&gt;0,ROUND(F4*$D25,1),""))</f>
        <v/>
      </c>
      <c r="G25" s="36">
        <f>IF(MAX(_xlfn.MAXIFS('Start Here'!$D$17:$D$56,'Start Here'!$A$17:$A$56,$A25),_xlfn.MAXIFS(Sets!$E$2:$E$1060,Sets!$B$2:$B$1060,$A25,Sets!$A$2:$A$1060,"&lt;"&amp;('Start Here'!$B$7+168)),_xlfn.MAXIFS(Log!$E$2:$E$1001,Log!$B$2:$B$1001,$A25,Log!$A$2:$A$1001,"&lt;"&amp;('Start Here'!$B$7+168)))&gt;0,ROUND(MAX(_xlfn.MAXIFS('Start Here'!$D$17:$D$56,'Start Here'!$A$17:$A$56,$A25),_xlfn.MAXIFS(Sets!$E$2:$E$1060,Sets!$B$2:$B$1060,$A25,Sets!$A$2:$A$1060,"&lt;"&amp;('Start Here'!$B$7+168)),_xlfn.MAXIFS(Log!$E$2:$E$1001,Log!$B$2:$B$1001,$A25,Log!$A$2:$A$1001,"&lt;"&amp;('Start Here'!$B$7+168))),1),IF(N(G4)&gt;0,ROUND(G4*$D25,1),""))</f>
        <v/>
      </c>
      <c r="H25" s="36">
        <f>IF(MAX(_xlfn.MAXIFS('Start Here'!$D$17:$D$56,'Start Here'!$A$17:$A$56,$A25),_xlfn.MAXIFS(Sets!$E$2:$E$1060,Sets!$B$2:$B$1060,$A25,Sets!$A$2:$A$1060,"&lt;"&amp;('Start Here'!$B$7+252)),_xlfn.MAXIFS(Log!$E$2:$E$1001,Log!$B$2:$B$1001,$A25,Log!$A$2:$A$1001,"&lt;"&amp;('Start Here'!$B$7+252)))&gt;0,ROUND(MAX(_xlfn.MAXIFS('Start Here'!$D$17:$D$56,'Start Here'!$A$17:$A$56,$A25),_xlfn.MAXIFS(Sets!$E$2:$E$1060,Sets!$B$2:$B$1060,$A25,Sets!$A$2:$A$1060,"&lt;"&amp;('Start Here'!$B$7+252)),_xlfn.MAXIFS(Log!$E$2:$E$1001,Log!$B$2:$B$1001,$A25,Log!$A$2:$A$1001,"&lt;"&amp;('Start Here'!$B$7+252))),1),IF(N(H4)&gt;0,ROUND(H4*$D25,1),""))</f>
        <v/>
      </c>
      <c r="I25" s="36">
        <f>IF(MAX(_xlfn.MAXIFS('Start Here'!$D$17:$D$56,'Start Here'!$A$17:$A$56,$A25),_xlfn.MAXIFS(Sets!$E$2:$E$1060,Sets!$B$2:$B$1060,$A25,Sets!$A$2:$A$1060,"&lt;"&amp;('Start Here'!$B$7+336)),_xlfn.MAXIFS(Log!$E$2:$E$1001,Log!$B$2:$B$1001,$A25,Log!$A$2:$A$1001,"&lt;"&amp;('Start Here'!$B$7+336)))&gt;0,ROUND(MAX(_xlfn.MAXIFS('Start Here'!$D$17:$D$56,'Start Here'!$A$17:$A$56,$A25),_xlfn.MAXIFS(Sets!$E$2:$E$1060,Sets!$B$2:$B$1060,$A25,Sets!$A$2:$A$1060,"&lt;"&amp;('Start Here'!$B$7+336)),_xlfn.MAXIFS(Log!$E$2:$E$1001,Log!$B$2:$B$1001,$A25,Log!$A$2:$A$1001,"&lt;"&amp;('Start Here'!$B$7+336))),1),IF(N(I4)&gt;0,ROUND(I4*$D25,1),""))</f>
        <v/>
      </c>
    </row>
    <row r="26">
      <c r="A26" s="23" t="inlineStr">
        <is>
          <t>Block Pull</t>
        </is>
      </c>
      <c r="B26" t="inlineStr">
        <is>
          <t>variation</t>
        </is>
      </c>
      <c r="C26" t="inlineStr">
        <is>
          <t>Deadlift</t>
        </is>
      </c>
      <c r="D26" t="n">
        <v>1.05</v>
      </c>
      <c r="E26" s="36">
        <f>IF(MAX(_xlfn.MAXIFS('Start Here'!$D$17:$D$56,'Start Here'!$A$17:$A$56,$A26),_xlfn.MAXIFS(Sets!$E$2:$E$1060,Sets!$B$2:$B$1060,$A26,Sets!$A$2:$A$1060,"&lt;"&amp;('Start Here'!$B$7+0)),_xlfn.MAXIFS(Log!$E$2:$E$1001,Log!$B$2:$B$1001,$A26,Log!$A$2:$A$1001,"&lt;"&amp;('Start Here'!$B$7+0)))&gt;0,ROUND(MAX(_xlfn.MAXIFS('Start Here'!$D$17:$D$56,'Start Here'!$A$17:$A$56,$A26),_xlfn.MAXIFS(Sets!$E$2:$E$1060,Sets!$B$2:$B$1060,$A26,Sets!$A$2:$A$1060,"&lt;"&amp;('Start Here'!$B$7+0)),_xlfn.MAXIFS(Log!$E$2:$E$1001,Log!$B$2:$B$1001,$A26,Log!$A$2:$A$1001,"&lt;"&amp;('Start Here'!$B$7+0))),1),IF(N(E4)&gt;0,ROUND(E4*$D26,1),""))</f>
        <v/>
      </c>
      <c r="F26" s="36">
        <f>IF(MAX(_xlfn.MAXIFS('Start Here'!$D$17:$D$56,'Start Here'!$A$17:$A$56,$A26),_xlfn.MAXIFS(Sets!$E$2:$E$1060,Sets!$B$2:$B$1060,$A26,Sets!$A$2:$A$1060,"&lt;"&amp;('Start Here'!$B$7+84)),_xlfn.MAXIFS(Log!$E$2:$E$1001,Log!$B$2:$B$1001,$A26,Log!$A$2:$A$1001,"&lt;"&amp;('Start Here'!$B$7+84)))&gt;0,ROUND(MAX(_xlfn.MAXIFS('Start Here'!$D$17:$D$56,'Start Here'!$A$17:$A$56,$A26),_xlfn.MAXIFS(Sets!$E$2:$E$1060,Sets!$B$2:$B$1060,$A26,Sets!$A$2:$A$1060,"&lt;"&amp;('Start Here'!$B$7+84)),_xlfn.MAXIFS(Log!$E$2:$E$1001,Log!$B$2:$B$1001,$A26,Log!$A$2:$A$1001,"&lt;"&amp;('Start Here'!$B$7+84))),1),IF(N(F4)&gt;0,ROUND(F4*$D26,1),""))</f>
        <v/>
      </c>
      <c r="G26" s="36">
        <f>IF(MAX(_xlfn.MAXIFS('Start Here'!$D$17:$D$56,'Start Here'!$A$17:$A$56,$A26),_xlfn.MAXIFS(Sets!$E$2:$E$1060,Sets!$B$2:$B$1060,$A26,Sets!$A$2:$A$1060,"&lt;"&amp;('Start Here'!$B$7+168)),_xlfn.MAXIFS(Log!$E$2:$E$1001,Log!$B$2:$B$1001,$A26,Log!$A$2:$A$1001,"&lt;"&amp;('Start Here'!$B$7+168)))&gt;0,ROUND(MAX(_xlfn.MAXIFS('Start Here'!$D$17:$D$56,'Start Here'!$A$17:$A$56,$A26),_xlfn.MAXIFS(Sets!$E$2:$E$1060,Sets!$B$2:$B$1060,$A26,Sets!$A$2:$A$1060,"&lt;"&amp;('Start Here'!$B$7+168)),_xlfn.MAXIFS(Log!$E$2:$E$1001,Log!$B$2:$B$1001,$A26,Log!$A$2:$A$1001,"&lt;"&amp;('Start Here'!$B$7+168))),1),IF(N(G4)&gt;0,ROUND(G4*$D26,1),""))</f>
        <v/>
      </c>
      <c r="H26" s="36">
        <f>IF(MAX(_xlfn.MAXIFS('Start Here'!$D$17:$D$56,'Start Here'!$A$17:$A$56,$A26),_xlfn.MAXIFS(Sets!$E$2:$E$1060,Sets!$B$2:$B$1060,$A26,Sets!$A$2:$A$1060,"&lt;"&amp;('Start Here'!$B$7+252)),_xlfn.MAXIFS(Log!$E$2:$E$1001,Log!$B$2:$B$1001,$A26,Log!$A$2:$A$1001,"&lt;"&amp;('Start Here'!$B$7+252)))&gt;0,ROUND(MAX(_xlfn.MAXIFS('Start Here'!$D$17:$D$56,'Start Here'!$A$17:$A$56,$A26),_xlfn.MAXIFS(Sets!$E$2:$E$1060,Sets!$B$2:$B$1060,$A26,Sets!$A$2:$A$1060,"&lt;"&amp;('Start Here'!$B$7+252)),_xlfn.MAXIFS(Log!$E$2:$E$1001,Log!$B$2:$B$1001,$A26,Log!$A$2:$A$1001,"&lt;"&amp;('Start Here'!$B$7+252))),1),IF(N(H4)&gt;0,ROUND(H4*$D26,1),""))</f>
        <v/>
      </c>
      <c r="I26" s="36">
        <f>IF(MAX(_xlfn.MAXIFS('Start Here'!$D$17:$D$56,'Start Here'!$A$17:$A$56,$A26),_xlfn.MAXIFS(Sets!$E$2:$E$1060,Sets!$B$2:$B$1060,$A26,Sets!$A$2:$A$1060,"&lt;"&amp;('Start Here'!$B$7+336)),_xlfn.MAXIFS(Log!$E$2:$E$1001,Log!$B$2:$B$1001,$A26,Log!$A$2:$A$1001,"&lt;"&amp;('Start Here'!$B$7+336)))&gt;0,ROUND(MAX(_xlfn.MAXIFS('Start Here'!$D$17:$D$56,'Start Here'!$A$17:$A$56,$A26),_xlfn.MAXIFS(Sets!$E$2:$E$1060,Sets!$B$2:$B$1060,$A26,Sets!$A$2:$A$1060,"&lt;"&amp;('Start Here'!$B$7+336)),_xlfn.MAXIFS(Log!$E$2:$E$1001,Log!$B$2:$B$1001,$A26,Log!$A$2:$A$1001,"&lt;"&amp;('Start Here'!$B$7+336))),1),IF(N(I4)&gt;0,ROUND(I4*$D26,1),""))</f>
        <v/>
      </c>
    </row>
    <row r="27">
      <c r="A27" s="23" t="inlineStr">
        <is>
          <t>Rack Pull</t>
        </is>
      </c>
      <c r="B27" t="inlineStr">
        <is>
          <t>variation</t>
        </is>
      </c>
      <c r="C27" t="inlineStr">
        <is>
          <t>Deadlift</t>
        </is>
      </c>
      <c r="D27" t="n">
        <v>1.1</v>
      </c>
      <c r="E27" s="36">
        <f>IF(MAX(_xlfn.MAXIFS('Start Here'!$D$17:$D$56,'Start Here'!$A$17:$A$56,$A27),_xlfn.MAXIFS(Sets!$E$2:$E$1060,Sets!$B$2:$B$1060,$A27,Sets!$A$2:$A$1060,"&lt;"&amp;('Start Here'!$B$7+0)),_xlfn.MAXIFS(Log!$E$2:$E$1001,Log!$B$2:$B$1001,$A27,Log!$A$2:$A$1001,"&lt;"&amp;('Start Here'!$B$7+0)))&gt;0,ROUND(MAX(_xlfn.MAXIFS('Start Here'!$D$17:$D$56,'Start Here'!$A$17:$A$56,$A27),_xlfn.MAXIFS(Sets!$E$2:$E$1060,Sets!$B$2:$B$1060,$A27,Sets!$A$2:$A$1060,"&lt;"&amp;('Start Here'!$B$7+0)),_xlfn.MAXIFS(Log!$E$2:$E$1001,Log!$B$2:$B$1001,$A27,Log!$A$2:$A$1001,"&lt;"&amp;('Start Here'!$B$7+0))),1),IF(N(E4)&gt;0,ROUND(E4*$D27,1),""))</f>
        <v/>
      </c>
      <c r="F27" s="36">
        <f>IF(MAX(_xlfn.MAXIFS('Start Here'!$D$17:$D$56,'Start Here'!$A$17:$A$56,$A27),_xlfn.MAXIFS(Sets!$E$2:$E$1060,Sets!$B$2:$B$1060,$A27,Sets!$A$2:$A$1060,"&lt;"&amp;('Start Here'!$B$7+84)),_xlfn.MAXIFS(Log!$E$2:$E$1001,Log!$B$2:$B$1001,$A27,Log!$A$2:$A$1001,"&lt;"&amp;('Start Here'!$B$7+84)))&gt;0,ROUND(MAX(_xlfn.MAXIFS('Start Here'!$D$17:$D$56,'Start Here'!$A$17:$A$56,$A27),_xlfn.MAXIFS(Sets!$E$2:$E$1060,Sets!$B$2:$B$1060,$A27,Sets!$A$2:$A$1060,"&lt;"&amp;('Start Here'!$B$7+84)),_xlfn.MAXIFS(Log!$E$2:$E$1001,Log!$B$2:$B$1001,$A27,Log!$A$2:$A$1001,"&lt;"&amp;('Start Here'!$B$7+84))),1),IF(N(F4)&gt;0,ROUND(F4*$D27,1),""))</f>
        <v/>
      </c>
      <c r="G27" s="36">
        <f>IF(MAX(_xlfn.MAXIFS('Start Here'!$D$17:$D$56,'Start Here'!$A$17:$A$56,$A27),_xlfn.MAXIFS(Sets!$E$2:$E$1060,Sets!$B$2:$B$1060,$A27,Sets!$A$2:$A$1060,"&lt;"&amp;('Start Here'!$B$7+168)),_xlfn.MAXIFS(Log!$E$2:$E$1001,Log!$B$2:$B$1001,$A27,Log!$A$2:$A$1001,"&lt;"&amp;('Start Here'!$B$7+168)))&gt;0,ROUND(MAX(_xlfn.MAXIFS('Start Here'!$D$17:$D$56,'Start Here'!$A$17:$A$56,$A27),_xlfn.MAXIFS(Sets!$E$2:$E$1060,Sets!$B$2:$B$1060,$A27,Sets!$A$2:$A$1060,"&lt;"&amp;('Start Here'!$B$7+168)),_xlfn.MAXIFS(Log!$E$2:$E$1001,Log!$B$2:$B$1001,$A27,Log!$A$2:$A$1001,"&lt;"&amp;('Start Here'!$B$7+168))),1),IF(N(G4)&gt;0,ROUND(G4*$D27,1),""))</f>
        <v/>
      </c>
      <c r="H27" s="36">
        <f>IF(MAX(_xlfn.MAXIFS('Start Here'!$D$17:$D$56,'Start Here'!$A$17:$A$56,$A27),_xlfn.MAXIFS(Sets!$E$2:$E$1060,Sets!$B$2:$B$1060,$A27,Sets!$A$2:$A$1060,"&lt;"&amp;('Start Here'!$B$7+252)),_xlfn.MAXIFS(Log!$E$2:$E$1001,Log!$B$2:$B$1001,$A27,Log!$A$2:$A$1001,"&lt;"&amp;('Start Here'!$B$7+252)))&gt;0,ROUND(MAX(_xlfn.MAXIFS('Start Here'!$D$17:$D$56,'Start Here'!$A$17:$A$56,$A27),_xlfn.MAXIFS(Sets!$E$2:$E$1060,Sets!$B$2:$B$1060,$A27,Sets!$A$2:$A$1060,"&lt;"&amp;('Start Here'!$B$7+252)),_xlfn.MAXIFS(Log!$E$2:$E$1001,Log!$B$2:$B$1001,$A27,Log!$A$2:$A$1001,"&lt;"&amp;('Start Here'!$B$7+252))),1),IF(N(H4)&gt;0,ROUND(H4*$D27,1),""))</f>
        <v/>
      </c>
      <c r="I27" s="36">
        <f>IF(MAX(_xlfn.MAXIFS('Start Here'!$D$17:$D$56,'Start Here'!$A$17:$A$56,$A27),_xlfn.MAXIFS(Sets!$E$2:$E$1060,Sets!$B$2:$B$1060,$A27,Sets!$A$2:$A$1060,"&lt;"&amp;('Start Here'!$B$7+336)),_xlfn.MAXIFS(Log!$E$2:$E$1001,Log!$B$2:$B$1001,$A27,Log!$A$2:$A$1001,"&lt;"&amp;('Start Here'!$B$7+336)))&gt;0,ROUND(MAX(_xlfn.MAXIFS('Start Here'!$D$17:$D$56,'Start Here'!$A$17:$A$56,$A27),_xlfn.MAXIFS(Sets!$E$2:$E$1060,Sets!$B$2:$B$1060,$A27,Sets!$A$2:$A$1060,"&lt;"&amp;('Start Here'!$B$7+336)),_xlfn.MAXIFS(Log!$E$2:$E$1001,Log!$B$2:$B$1001,$A27,Log!$A$2:$A$1001,"&lt;"&amp;('Start Here'!$B$7+336))),1),IF(N(I4)&gt;0,ROUND(I4*$D27,1),""))</f>
        <v/>
      </c>
    </row>
    <row r="28">
      <c r="A28" s="23" t="inlineStr">
        <is>
          <t>Sumo Deadlift</t>
        </is>
      </c>
      <c r="B28" t="inlineStr">
        <is>
          <t>variation</t>
        </is>
      </c>
      <c r="C28" t="inlineStr">
        <is>
          <t>Deadlift</t>
        </is>
      </c>
      <c r="D28" t="n">
        <v>1</v>
      </c>
      <c r="E28" s="36">
        <f>IF(MAX(_xlfn.MAXIFS('Start Here'!$D$17:$D$56,'Start Here'!$A$17:$A$56,$A28),_xlfn.MAXIFS(Sets!$E$2:$E$1060,Sets!$B$2:$B$1060,$A28,Sets!$A$2:$A$1060,"&lt;"&amp;('Start Here'!$B$7+0)),_xlfn.MAXIFS(Log!$E$2:$E$1001,Log!$B$2:$B$1001,$A28,Log!$A$2:$A$1001,"&lt;"&amp;('Start Here'!$B$7+0)))&gt;0,ROUND(MAX(_xlfn.MAXIFS('Start Here'!$D$17:$D$56,'Start Here'!$A$17:$A$56,$A28),_xlfn.MAXIFS(Sets!$E$2:$E$1060,Sets!$B$2:$B$1060,$A28,Sets!$A$2:$A$1060,"&lt;"&amp;('Start Here'!$B$7+0)),_xlfn.MAXIFS(Log!$E$2:$E$1001,Log!$B$2:$B$1001,$A28,Log!$A$2:$A$1001,"&lt;"&amp;('Start Here'!$B$7+0))),1),IF(N(E4)&gt;0,ROUND(E4*$D28,1),""))</f>
        <v/>
      </c>
      <c r="F28" s="36">
        <f>IF(MAX(_xlfn.MAXIFS('Start Here'!$D$17:$D$56,'Start Here'!$A$17:$A$56,$A28),_xlfn.MAXIFS(Sets!$E$2:$E$1060,Sets!$B$2:$B$1060,$A28,Sets!$A$2:$A$1060,"&lt;"&amp;('Start Here'!$B$7+84)),_xlfn.MAXIFS(Log!$E$2:$E$1001,Log!$B$2:$B$1001,$A28,Log!$A$2:$A$1001,"&lt;"&amp;('Start Here'!$B$7+84)))&gt;0,ROUND(MAX(_xlfn.MAXIFS('Start Here'!$D$17:$D$56,'Start Here'!$A$17:$A$56,$A28),_xlfn.MAXIFS(Sets!$E$2:$E$1060,Sets!$B$2:$B$1060,$A28,Sets!$A$2:$A$1060,"&lt;"&amp;('Start Here'!$B$7+84)),_xlfn.MAXIFS(Log!$E$2:$E$1001,Log!$B$2:$B$1001,$A28,Log!$A$2:$A$1001,"&lt;"&amp;('Start Here'!$B$7+84))),1),IF(N(F4)&gt;0,ROUND(F4*$D28,1),""))</f>
        <v/>
      </c>
      <c r="G28" s="36">
        <f>IF(MAX(_xlfn.MAXIFS('Start Here'!$D$17:$D$56,'Start Here'!$A$17:$A$56,$A28),_xlfn.MAXIFS(Sets!$E$2:$E$1060,Sets!$B$2:$B$1060,$A28,Sets!$A$2:$A$1060,"&lt;"&amp;('Start Here'!$B$7+168)),_xlfn.MAXIFS(Log!$E$2:$E$1001,Log!$B$2:$B$1001,$A28,Log!$A$2:$A$1001,"&lt;"&amp;('Start Here'!$B$7+168)))&gt;0,ROUND(MAX(_xlfn.MAXIFS('Start Here'!$D$17:$D$56,'Start Here'!$A$17:$A$56,$A28),_xlfn.MAXIFS(Sets!$E$2:$E$1060,Sets!$B$2:$B$1060,$A28,Sets!$A$2:$A$1060,"&lt;"&amp;('Start Here'!$B$7+168)),_xlfn.MAXIFS(Log!$E$2:$E$1001,Log!$B$2:$B$1001,$A28,Log!$A$2:$A$1001,"&lt;"&amp;('Start Here'!$B$7+168))),1),IF(N(G4)&gt;0,ROUND(G4*$D28,1),""))</f>
        <v/>
      </c>
      <c r="H28" s="36">
        <f>IF(MAX(_xlfn.MAXIFS('Start Here'!$D$17:$D$56,'Start Here'!$A$17:$A$56,$A28),_xlfn.MAXIFS(Sets!$E$2:$E$1060,Sets!$B$2:$B$1060,$A28,Sets!$A$2:$A$1060,"&lt;"&amp;('Start Here'!$B$7+252)),_xlfn.MAXIFS(Log!$E$2:$E$1001,Log!$B$2:$B$1001,$A28,Log!$A$2:$A$1001,"&lt;"&amp;('Start Here'!$B$7+252)))&gt;0,ROUND(MAX(_xlfn.MAXIFS('Start Here'!$D$17:$D$56,'Start Here'!$A$17:$A$56,$A28),_xlfn.MAXIFS(Sets!$E$2:$E$1060,Sets!$B$2:$B$1060,$A28,Sets!$A$2:$A$1060,"&lt;"&amp;('Start Here'!$B$7+252)),_xlfn.MAXIFS(Log!$E$2:$E$1001,Log!$B$2:$B$1001,$A28,Log!$A$2:$A$1001,"&lt;"&amp;('Start Here'!$B$7+252))),1),IF(N(H4)&gt;0,ROUND(H4*$D28,1),""))</f>
        <v/>
      </c>
      <c r="I28" s="36">
        <f>IF(MAX(_xlfn.MAXIFS('Start Here'!$D$17:$D$56,'Start Here'!$A$17:$A$56,$A28),_xlfn.MAXIFS(Sets!$E$2:$E$1060,Sets!$B$2:$B$1060,$A28,Sets!$A$2:$A$1060,"&lt;"&amp;('Start Here'!$B$7+336)),_xlfn.MAXIFS(Log!$E$2:$E$1001,Log!$B$2:$B$1001,$A28,Log!$A$2:$A$1001,"&lt;"&amp;('Start Here'!$B$7+336)))&gt;0,ROUND(MAX(_xlfn.MAXIFS('Start Here'!$D$17:$D$56,'Start Here'!$A$17:$A$56,$A28),_xlfn.MAXIFS(Sets!$E$2:$E$1060,Sets!$B$2:$B$1060,$A28,Sets!$A$2:$A$1060,"&lt;"&amp;('Start Here'!$B$7+336)),_xlfn.MAXIFS(Log!$E$2:$E$1001,Log!$B$2:$B$1001,$A28,Log!$A$2:$A$1001,"&lt;"&amp;('Start Here'!$B$7+336))),1),IF(N(I4)&gt;0,ROUND(I4*$D28,1),""))</f>
        <v/>
      </c>
    </row>
    <row r="29">
      <c r="A29" s="23" t="inlineStr">
        <is>
          <t>Snatch-Grip Deadlift</t>
        </is>
      </c>
      <c r="B29" t="inlineStr">
        <is>
          <t>variation</t>
        </is>
      </c>
      <c r="C29" t="inlineStr">
        <is>
          <t>Deadlift</t>
        </is>
      </c>
      <c r="D29" t="n">
        <v>0.8</v>
      </c>
      <c r="E29" s="36">
        <f>IF(MAX(_xlfn.MAXIFS('Start Here'!$D$17:$D$56,'Start Here'!$A$17:$A$56,$A29),_xlfn.MAXIFS(Sets!$E$2:$E$1060,Sets!$B$2:$B$1060,$A29,Sets!$A$2:$A$1060,"&lt;"&amp;('Start Here'!$B$7+0)),_xlfn.MAXIFS(Log!$E$2:$E$1001,Log!$B$2:$B$1001,$A29,Log!$A$2:$A$1001,"&lt;"&amp;('Start Here'!$B$7+0)))&gt;0,ROUND(MAX(_xlfn.MAXIFS('Start Here'!$D$17:$D$56,'Start Here'!$A$17:$A$56,$A29),_xlfn.MAXIFS(Sets!$E$2:$E$1060,Sets!$B$2:$B$1060,$A29,Sets!$A$2:$A$1060,"&lt;"&amp;('Start Here'!$B$7+0)),_xlfn.MAXIFS(Log!$E$2:$E$1001,Log!$B$2:$B$1001,$A29,Log!$A$2:$A$1001,"&lt;"&amp;('Start Here'!$B$7+0))),1),IF(N(E4)&gt;0,ROUND(E4*$D29,1),""))</f>
        <v/>
      </c>
      <c r="F29" s="36">
        <f>IF(MAX(_xlfn.MAXIFS('Start Here'!$D$17:$D$56,'Start Here'!$A$17:$A$56,$A29),_xlfn.MAXIFS(Sets!$E$2:$E$1060,Sets!$B$2:$B$1060,$A29,Sets!$A$2:$A$1060,"&lt;"&amp;('Start Here'!$B$7+84)),_xlfn.MAXIFS(Log!$E$2:$E$1001,Log!$B$2:$B$1001,$A29,Log!$A$2:$A$1001,"&lt;"&amp;('Start Here'!$B$7+84)))&gt;0,ROUND(MAX(_xlfn.MAXIFS('Start Here'!$D$17:$D$56,'Start Here'!$A$17:$A$56,$A29),_xlfn.MAXIFS(Sets!$E$2:$E$1060,Sets!$B$2:$B$1060,$A29,Sets!$A$2:$A$1060,"&lt;"&amp;('Start Here'!$B$7+84)),_xlfn.MAXIFS(Log!$E$2:$E$1001,Log!$B$2:$B$1001,$A29,Log!$A$2:$A$1001,"&lt;"&amp;('Start Here'!$B$7+84))),1),IF(N(F4)&gt;0,ROUND(F4*$D29,1),""))</f>
        <v/>
      </c>
      <c r="G29" s="36">
        <f>IF(MAX(_xlfn.MAXIFS('Start Here'!$D$17:$D$56,'Start Here'!$A$17:$A$56,$A29),_xlfn.MAXIFS(Sets!$E$2:$E$1060,Sets!$B$2:$B$1060,$A29,Sets!$A$2:$A$1060,"&lt;"&amp;('Start Here'!$B$7+168)),_xlfn.MAXIFS(Log!$E$2:$E$1001,Log!$B$2:$B$1001,$A29,Log!$A$2:$A$1001,"&lt;"&amp;('Start Here'!$B$7+168)))&gt;0,ROUND(MAX(_xlfn.MAXIFS('Start Here'!$D$17:$D$56,'Start Here'!$A$17:$A$56,$A29),_xlfn.MAXIFS(Sets!$E$2:$E$1060,Sets!$B$2:$B$1060,$A29,Sets!$A$2:$A$1060,"&lt;"&amp;('Start Here'!$B$7+168)),_xlfn.MAXIFS(Log!$E$2:$E$1001,Log!$B$2:$B$1001,$A29,Log!$A$2:$A$1001,"&lt;"&amp;('Start Here'!$B$7+168))),1),IF(N(G4)&gt;0,ROUND(G4*$D29,1),""))</f>
        <v/>
      </c>
      <c r="H29" s="36">
        <f>IF(MAX(_xlfn.MAXIFS('Start Here'!$D$17:$D$56,'Start Here'!$A$17:$A$56,$A29),_xlfn.MAXIFS(Sets!$E$2:$E$1060,Sets!$B$2:$B$1060,$A29,Sets!$A$2:$A$1060,"&lt;"&amp;('Start Here'!$B$7+252)),_xlfn.MAXIFS(Log!$E$2:$E$1001,Log!$B$2:$B$1001,$A29,Log!$A$2:$A$1001,"&lt;"&amp;('Start Here'!$B$7+252)))&gt;0,ROUND(MAX(_xlfn.MAXIFS('Start Here'!$D$17:$D$56,'Start Here'!$A$17:$A$56,$A29),_xlfn.MAXIFS(Sets!$E$2:$E$1060,Sets!$B$2:$B$1060,$A29,Sets!$A$2:$A$1060,"&lt;"&amp;('Start Here'!$B$7+252)),_xlfn.MAXIFS(Log!$E$2:$E$1001,Log!$B$2:$B$1001,$A29,Log!$A$2:$A$1001,"&lt;"&amp;('Start Here'!$B$7+252))),1),IF(N(H4)&gt;0,ROUND(H4*$D29,1),""))</f>
        <v/>
      </c>
      <c r="I29" s="36">
        <f>IF(MAX(_xlfn.MAXIFS('Start Here'!$D$17:$D$56,'Start Here'!$A$17:$A$56,$A29),_xlfn.MAXIFS(Sets!$E$2:$E$1060,Sets!$B$2:$B$1060,$A29,Sets!$A$2:$A$1060,"&lt;"&amp;('Start Here'!$B$7+336)),_xlfn.MAXIFS(Log!$E$2:$E$1001,Log!$B$2:$B$1001,$A29,Log!$A$2:$A$1001,"&lt;"&amp;('Start Here'!$B$7+336)))&gt;0,ROUND(MAX(_xlfn.MAXIFS('Start Here'!$D$17:$D$56,'Start Here'!$A$17:$A$56,$A29),_xlfn.MAXIFS(Sets!$E$2:$E$1060,Sets!$B$2:$B$1060,$A29,Sets!$A$2:$A$1060,"&lt;"&amp;('Start Here'!$B$7+336)),_xlfn.MAXIFS(Log!$E$2:$E$1001,Log!$B$2:$B$1001,$A29,Log!$A$2:$A$1001,"&lt;"&amp;('Start Here'!$B$7+336))),1),IF(N(I4)&gt;0,ROUND(I4*$D29,1),""))</f>
        <v/>
      </c>
    </row>
    <row r="30">
      <c r="A30" s="23" t="inlineStr">
        <is>
          <t>Push Press</t>
        </is>
      </c>
      <c r="B30" t="inlineStr">
        <is>
          <t>variation</t>
        </is>
      </c>
      <c r="C30" t="inlineStr">
        <is>
          <t>Overhead Press</t>
        </is>
      </c>
      <c r="D30" t="n">
        <v>1.2</v>
      </c>
      <c r="E30" s="36">
        <f>IF(MAX(_xlfn.MAXIFS('Start Here'!$D$17:$D$56,'Start Here'!$A$17:$A$56,$A30),_xlfn.MAXIFS(Sets!$E$2:$E$1060,Sets!$B$2:$B$1060,$A30,Sets!$A$2:$A$1060,"&lt;"&amp;('Start Here'!$B$7+0)),_xlfn.MAXIFS(Log!$E$2:$E$1001,Log!$B$2:$B$1001,$A30,Log!$A$2:$A$1001,"&lt;"&amp;('Start Here'!$B$7+0)))&gt;0,ROUND(MAX(_xlfn.MAXIFS('Start Here'!$D$17:$D$56,'Start Here'!$A$17:$A$56,$A30),_xlfn.MAXIFS(Sets!$E$2:$E$1060,Sets!$B$2:$B$1060,$A30,Sets!$A$2:$A$1060,"&lt;"&amp;('Start Here'!$B$7+0)),_xlfn.MAXIFS(Log!$E$2:$E$1001,Log!$B$2:$B$1001,$A30,Log!$A$2:$A$1001,"&lt;"&amp;('Start Here'!$B$7+0))),1),IF(N(E5)&gt;0,ROUND(E5*$D30,1),""))</f>
        <v/>
      </c>
      <c r="F30" s="36">
        <f>IF(MAX(_xlfn.MAXIFS('Start Here'!$D$17:$D$56,'Start Here'!$A$17:$A$56,$A30),_xlfn.MAXIFS(Sets!$E$2:$E$1060,Sets!$B$2:$B$1060,$A30,Sets!$A$2:$A$1060,"&lt;"&amp;('Start Here'!$B$7+84)),_xlfn.MAXIFS(Log!$E$2:$E$1001,Log!$B$2:$B$1001,$A30,Log!$A$2:$A$1001,"&lt;"&amp;('Start Here'!$B$7+84)))&gt;0,ROUND(MAX(_xlfn.MAXIFS('Start Here'!$D$17:$D$56,'Start Here'!$A$17:$A$56,$A30),_xlfn.MAXIFS(Sets!$E$2:$E$1060,Sets!$B$2:$B$1060,$A30,Sets!$A$2:$A$1060,"&lt;"&amp;('Start Here'!$B$7+84)),_xlfn.MAXIFS(Log!$E$2:$E$1001,Log!$B$2:$B$1001,$A30,Log!$A$2:$A$1001,"&lt;"&amp;('Start Here'!$B$7+84))),1),IF(N(F5)&gt;0,ROUND(F5*$D30,1),""))</f>
        <v/>
      </c>
      <c r="G30" s="36">
        <f>IF(MAX(_xlfn.MAXIFS('Start Here'!$D$17:$D$56,'Start Here'!$A$17:$A$56,$A30),_xlfn.MAXIFS(Sets!$E$2:$E$1060,Sets!$B$2:$B$1060,$A30,Sets!$A$2:$A$1060,"&lt;"&amp;('Start Here'!$B$7+168)),_xlfn.MAXIFS(Log!$E$2:$E$1001,Log!$B$2:$B$1001,$A30,Log!$A$2:$A$1001,"&lt;"&amp;('Start Here'!$B$7+168)))&gt;0,ROUND(MAX(_xlfn.MAXIFS('Start Here'!$D$17:$D$56,'Start Here'!$A$17:$A$56,$A30),_xlfn.MAXIFS(Sets!$E$2:$E$1060,Sets!$B$2:$B$1060,$A30,Sets!$A$2:$A$1060,"&lt;"&amp;('Start Here'!$B$7+168)),_xlfn.MAXIFS(Log!$E$2:$E$1001,Log!$B$2:$B$1001,$A30,Log!$A$2:$A$1001,"&lt;"&amp;('Start Here'!$B$7+168))),1),IF(N(G5)&gt;0,ROUND(G5*$D30,1),""))</f>
        <v/>
      </c>
      <c r="H30" s="36">
        <f>IF(MAX(_xlfn.MAXIFS('Start Here'!$D$17:$D$56,'Start Here'!$A$17:$A$56,$A30),_xlfn.MAXIFS(Sets!$E$2:$E$1060,Sets!$B$2:$B$1060,$A30,Sets!$A$2:$A$1060,"&lt;"&amp;('Start Here'!$B$7+252)),_xlfn.MAXIFS(Log!$E$2:$E$1001,Log!$B$2:$B$1001,$A30,Log!$A$2:$A$1001,"&lt;"&amp;('Start Here'!$B$7+252)))&gt;0,ROUND(MAX(_xlfn.MAXIFS('Start Here'!$D$17:$D$56,'Start Here'!$A$17:$A$56,$A30),_xlfn.MAXIFS(Sets!$E$2:$E$1060,Sets!$B$2:$B$1060,$A30,Sets!$A$2:$A$1060,"&lt;"&amp;('Start Here'!$B$7+252)),_xlfn.MAXIFS(Log!$E$2:$E$1001,Log!$B$2:$B$1001,$A30,Log!$A$2:$A$1001,"&lt;"&amp;('Start Here'!$B$7+252))),1),IF(N(H5)&gt;0,ROUND(H5*$D30,1),""))</f>
        <v/>
      </c>
      <c r="I30" s="36">
        <f>IF(MAX(_xlfn.MAXIFS('Start Here'!$D$17:$D$56,'Start Here'!$A$17:$A$56,$A30),_xlfn.MAXIFS(Sets!$E$2:$E$1060,Sets!$B$2:$B$1060,$A30,Sets!$A$2:$A$1060,"&lt;"&amp;('Start Here'!$B$7+336)),_xlfn.MAXIFS(Log!$E$2:$E$1001,Log!$B$2:$B$1001,$A30,Log!$A$2:$A$1001,"&lt;"&amp;('Start Here'!$B$7+336)))&gt;0,ROUND(MAX(_xlfn.MAXIFS('Start Here'!$D$17:$D$56,'Start Here'!$A$17:$A$56,$A30),_xlfn.MAXIFS(Sets!$E$2:$E$1060,Sets!$B$2:$B$1060,$A30,Sets!$A$2:$A$1060,"&lt;"&amp;('Start Here'!$B$7+336)),_xlfn.MAXIFS(Log!$E$2:$E$1001,Log!$B$2:$B$1001,$A30,Log!$A$2:$A$1001,"&lt;"&amp;('Start Here'!$B$7+336))),1),IF(N(I5)&gt;0,ROUND(I5*$D30,1),""))</f>
        <v/>
      </c>
    </row>
    <row r="31">
      <c r="A31" s="23" t="inlineStr">
        <is>
          <t>Seated Overhead Press</t>
        </is>
      </c>
      <c r="B31" t="inlineStr">
        <is>
          <t>variation</t>
        </is>
      </c>
      <c r="C31" t="inlineStr">
        <is>
          <t>Overhead Press</t>
        </is>
      </c>
      <c r="D31" t="n">
        <v>0.9</v>
      </c>
      <c r="E31" s="36">
        <f>IF(MAX(_xlfn.MAXIFS('Start Here'!$D$17:$D$56,'Start Here'!$A$17:$A$56,$A31),_xlfn.MAXIFS(Sets!$E$2:$E$1060,Sets!$B$2:$B$1060,$A31,Sets!$A$2:$A$1060,"&lt;"&amp;('Start Here'!$B$7+0)),_xlfn.MAXIFS(Log!$E$2:$E$1001,Log!$B$2:$B$1001,$A31,Log!$A$2:$A$1001,"&lt;"&amp;('Start Here'!$B$7+0)))&gt;0,ROUND(MAX(_xlfn.MAXIFS('Start Here'!$D$17:$D$56,'Start Here'!$A$17:$A$56,$A31),_xlfn.MAXIFS(Sets!$E$2:$E$1060,Sets!$B$2:$B$1060,$A31,Sets!$A$2:$A$1060,"&lt;"&amp;('Start Here'!$B$7+0)),_xlfn.MAXIFS(Log!$E$2:$E$1001,Log!$B$2:$B$1001,$A31,Log!$A$2:$A$1001,"&lt;"&amp;('Start Here'!$B$7+0))),1),IF(N(E5)&gt;0,ROUND(E5*$D31,1),""))</f>
        <v/>
      </c>
      <c r="F31" s="36">
        <f>IF(MAX(_xlfn.MAXIFS('Start Here'!$D$17:$D$56,'Start Here'!$A$17:$A$56,$A31),_xlfn.MAXIFS(Sets!$E$2:$E$1060,Sets!$B$2:$B$1060,$A31,Sets!$A$2:$A$1060,"&lt;"&amp;('Start Here'!$B$7+84)),_xlfn.MAXIFS(Log!$E$2:$E$1001,Log!$B$2:$B$1001,$A31,Log!$A$2:$A$1001,"&lt;"&amp;('Start Here'!$B$7+84)))&gt;0,ROUND(MAX(_xlfn.MAXIFS('Start Here'!$D$17:$D$56,'Start Here'!$A$17:$A$56,$A31),_xlfn.MAXIFS(Sets!$E$2:$E$1060,Sets!$B$2:$B$1060,$A31,Sets!$A$2:$A$1060,"&lt;"&amp;('Start Here'!$B$7+84)),_xlfn.MAXIFS(Log!$E$2:$E$1001,Log!$B$2:$B$1001,$A31,Log!$A$2:$A$1001,"&lt;"&amp;('Start Here'!$B$7+84))),1),IF(N(F5)&gt;0,ROUND(F5*$D31,1),""))</f>
        <v/>
      </c>
      <c r="G31" s="36">
        <f>IF(MAX(_xlfn.MAXIFS('Start Here'!$D$17:$D$56,'Start Here'!$A$17:$A$56,$A31),_xlfn.MAXIFS(Sets!$E$2:$E$1060,Sets!$B$2:$B$1060,$A31,Sets!$A$2:$A$1060,"&lt;"&amp;('Start Here'!$B$7+168)),_xlfn.MAXIFS(Log!$E$2:$E$1001,Log!$B$2:$B$1001,$A31,Log!$A$2:$A$1001,"&lt;"&amp;('Start Here'!$B$7+168)))&gt;0,ROUND(MAX(_xlfn.MAXIFS('Start Here'!$D$17:$D$56,'Start Here'!$A$17:$A$56,$A31),_xlfn.MAXIFS(Sets!$E$2:$E$1060,Sets!$B$2:$B$1060,$A31,Sets!$A$2:$A$1060,"&lt;"&amp;('Start Here'!$B$7+168)),_xlfn.MAXIFS(Log!$E$2:$E$1001,Log!$B$2:$B$1001,$A31,Log!$A$2:$A$1001,"&lt;"&amp;('Start Here'!$B$7+168))),1),IF(N(G5)&gt;0,ROUND(G5*$D31,1),""))</f>
        <v/>
      </c>
      <c r="H31" s="36">
        <f>IF(MAX(_xlfn.MAXIFS('Start Here'!$D$17:$D$56,'Start Here'!$A$17:$A$56,$A31),_xlfn.MAXIFS(Sets!$E$2:$E$1060,Sets!$B$2:$B$1060,$A31,Sets!$A$2:$A$1060,"&lt;"&amp;('Start Here'!$B$7+252)),_xlfn.MAXIFS(Log!$E$2:$E$1001,Log!$B$2:$B$1001,$A31,Log!$A$2:$A$1001,"&lt;"&amp;('Start Here'!$B$7+252)))&gt;0,ROUND(MAX(_xlfn.MAXIFS('Start Here'!$D$17:$D$56,'Start Here'!$A$17:$A$56,$A31),_xlfn.MAXIFS(Sets!$E$2:$E$1060,Sets!$B$2:$B$1060,$A31,Sets!$A$2:$A$1060,"&lt;"&amp;('Start Here'!$B$7+252)),_xlfn.MAXIFS(Log!$E$2:$E$1001,Log!$B$2:$B$1001,$A31,Log!$A$2:$A$1001,"&lt;"&amp;('Start Here'!$B$7+252))),1),IF(N(H5)&gt;0,ROUND(H5*$D31,1),""))</f>
        <v/>
      </c>
      <c r="I31" s="36">
        <f>IF(MAX(_xlfn.MAXIFS('Start Here'!$D$17:$D$56,'Start Here'!$A$17:$A$56,$A31),_xlfn.MAXIFS(Sets!$E$2:$E$1060,Sets!$B$2:$B$1060,$A31,Sets!$A$2:$A$1060,"&lt;"&amp;('Start Here'!$B$7+336)),_xlfn.MAXIFS(Log!$E$2:$E$1001,Log!$B$2:$B$1001,$A31,Log!$A$2:$A$1001,"&lt;"&amp;('Start Here'!$B$7+336)))&gt;0,ROUND(MAX(_xlfn.MAXIFS('Start Here'!$D$17:$D$56,'Start Here'!$A$17:$A$56,$A31),_xlfn.MAXIFS(Sets!$E$2:$E$1060,Sets!$B$2:$B$1060,$A31,Sets!$A$2:$A$1060,"&lt;"&amp;('Start Here'!$B$7+336)),_xlfn.MAXIFS(Log!$E$2:$E$1001,Log!$B$2:$B$1001,$A31,Log!$A$2:$A$1001,"&lt;"&amp;('Start Here'!$B$7+336))),1),IF(N(I5)&gt;0,ROUND(I5*$D31,1),""))</f>
        <v/>
      </c>
    </row>
    <row r="32">
      <c r="A32" s="23" t="inlineStr">
        <is>
          <t>Z Press</t>
        </is>
      </c>
      <c r="B32" t="inlineStr">
        <is>
          <t>variation</t>
        </is>
      </c>
      <c r="C32" t="inlineStr">
        <is>
          <t>Overhead Press</t>
        </is>
      </c>
      <c r="D32" t="n">
        <v>0.8</v>
      </c>
      <c r="E32" s="36">
        <f>IF(MAX(_xlfn.MAXIFS('Start Here'!$D$17:$D$56,'Start Here'!$A$17:$A$56,$A32),_xlfn.MAXIFS(Sets!$E$2:$E$1060,Sets!$B$2:$B$1060,$A32,Sets!$A$2:$A$1060,"&lt;"&amp;('Start Here'!$B$7+0)),_xlfn.MAXIFS(Log!$E$2:$E$1001,Log!$B$2:$B$1001,$A32,Log!$A$2:$A$1001,"&lt;"&amp;('Start Here'!$B$7+0)))&gt;0,ROUND(MAX(_xlfn.MAXIFS('Start Here'!$D$17:$D$56,'Start Here'!$A$17:$A$56,$A32),_xlfn.MAXIFS(Sets!$E$2:$E$1060,Sets!$B$2:$B$1060,$A32,Sets!$A$2:$A$1060,"&lt;"&amp;('Start Here'!$B$7+0)),_xlfn.MAXIFS(Log!$E$2:$E$1001,Log!$B$2:$B$1001,$A32,Log!$A$2:$A$1001,"&lt;"&amp;('Start Here'!$B$7+0))),1),IF(N(E5)&gt;0,ROUND(E5*$D32,1),""))</f>
        <v/>
      </c>
      <c r="F32" s="36">
        <f>IF(MAX(_xlfn.MAXIFS('Start Here'!$D$17:$D$56,'Start Here'!$A$17:$A$56,$A32),_xlfn.MAXIFS(Sets!$E$2:$E$1060,Sets!$B$2:$B$1060,$A32,Sets!$A$2:$A$1060,"&lt;"&amp;('Start Here'!$B$7+84)),_xlfn.MAXIFS(Log!$E$2:$E$1001,Log!$B$2:$B$1001,$A32,Log!$A$2:$A$1001,"&lt;"&amp;('Start Here'!$B$7+84)))&gt;0,ROUND(MAX(_xlfn.MAXIFS('Start Here'!$D$17:$D$56,'Start Here'!$A$17:$A$56,$A32),_xlfn.MAXIFS(Sets!$E$2:$E$1060,Sets!$B$2:$B$1060,$A32,Sets!$A$2:$A$1060,"&lt;"&amp;('Start Here'!$B$7+84)),_xlfn.MAXIFS(Log!$E$2:$E$1001,Log!$B$2:$B$1001,$A32,Log!$A$2:$A$1001,"&lt;"&amp;('Start Here'!$B$7+84))),1),IF(N(F5)&gt;0,ROUND(F5*$D32,1),""))</f>
        <v/>
      </c>
      <c r="G32" s="36">
        <f>IF(MAX(_xlfn.MAXIFS('Start Here'!$D$17:$D$56,'Start Here'!$A$17:$A$56,$A32),_xlfn.MAXIFS(Sets!$E$2:$E$1060,Sets!$B$2:$B$1060,$A32,Sets!$A$2:$A$1060,"&lt;"&amp;('Start Here'!$B$7+168)),_xlfn.MAXIFS(Log!$E$2:$E$1001,Log!$B$2:$B$1001,$A32,Log!$A$2:$A$1001,"&lt;"&amp;('Start Here'!$B$7+168)))&gt;0,ROUND(MAX(_xlfn.MAXIFS('Start Here'!$D$17:$D$56,'Start Here'!$A$17:$A$56,$A32),_xlfn.MAXIFS(Sets!$E$2:$E$1060,Sets!$B$2:$B$1060,$A32,Sets!$A$2:$A$1060,"&lt;"&amp;('Start Here'!$B$7+168)),_xlfn.MAXIFS(Log!$E$2:$E$1001,Log!$B$2:$B$1001,$A32,Log!$A$2:$A$1001,"&lt;"&amp;('Start Here'!$B$7+168))),1),IF(N(G5)&gt;0,ROUND(G5*$D32,1),""))</f>
        <v/>
      </c>
      <c r="H32" s="36">
        <f>IF(MAX(_xlfn.MAXIFS('Start Here'!$D$17:$D$56,'Start Here'!$A$17:$A$56,$A32),_xlfn.MAXIFS(Sets!$E$2:$E$1060,Sets!$B$2:$B$1060,$A32,Sets!$A$2:$A$1060,"&lt;"&amp;('Start Here'!$B$7+252)),_xlfn.MAXIFS(Log!$E$2:$E$1001,Log!$B$2:$B$1001,$A32,Log!$A$2:$A$1001,"&lt;"&amp;('Start Here'!$B$7+252)))&gt;0,ROUND(MAX(_xlfn.MAXIFS('Start Here'!$D$17:$D$56,'Start Here'!$A$17:$A$56,$A32),_xlfn.MAXIFS(Sets!$E$2:$E$1060,Sets!$B$2:$B$1060,$A32,Sets!$A$2:$A$1060,"&lt;"&amp;('Start Here'!$B$7+252)),_xlfn.MAXIFS(Log!$E$2:$E$1001,Log!$B$2:$B$1001,$A32,Log!$A$2:$A$1001,"&lt;"&amp;('Start Here'!$B$7+252))),1),IF(N(H5)&gt;0,ROUND(H5*$D32,1),""))</f>
        <v/>
      </c>
      <c r="I32" s="36">
        <f>IF(MAX(_xlfn.MAXIFS('Start Here'!$D$17:$D$56,'Start Here'!$A$17:$A$56,$A32),_xlfn.MAXIFS(Sets!$E$2:$E$1060,Sets!$B$2:$B$1060,$A32,Sets!$A$2:$A$1060,"&lt;"&amp;('Start Here'!$B$7+336)),_xlfn.MAXIFS(Log!$E$2:$E$1001,Log!$B$2:$B$1001,$A32,Log!$A$2:$A$1001,"&lt;"&amp;('Start Here'!$B$7+336)))&gt;0,ROUND(MAX(_xlfn.MAXIFS('Start Here'!$D$17:$D$56,'Start Here'!$A$17:$A$56,$A32),_xlfn.MAXIFS(Sets!$E$2:$E$1060,Sets!$B$2:$B$1060,$A32,Sets!$A$2:$A$1060,"&lt;"&amp;('Start Here'!$B$7+336)),_xlfn.MAXIFS(Log!$E$2:$E$1001,Log!$B$2:$B$1001,$A32,Log!$A$2:$A$1001,"&lt;"&amp;('Start Here'!$B$7+336))),1),IF(N(I5)&gt;0,ROUND(I5*$D32,1),""))</f>
        <v/>
      </c>
    </row>
    <row r="33">
      <c r="A33" s="23" t="inlineStr">
        <is>
          <t>Behind-the-Neck Press</t>
        </is>
      </c>
      <c r="B33" t="inlineStr">
        <is>
          <t>variation</t>
        </is>
      </c>
      <c r="C33" t="inlineStr">
        <is>
          <t>Overhead Press</t>
        </is>
      </c>
      <c r="D33" t="n">
        <v>0.85</v>
      </c>
      <c r="E33" s="36">
        <f>IF(MAX(_xlfn.MAXIFS('Start Here'!$D$17:$D$56,'Start Here'!$A$17:$A$56,$A33),_xlfn.MAXIFS(Sets!$E$2:$E$1060,Sets!$B$2:$B$1060,$A33,Sets!$A$2:$A$1060,"&lt;"&amp;('Start Here'!$B$7+0)),_xlfn.MAXIFS(Log!$E$2:$E$1001,Log!$B$2:$B$1001,$A33,Log!$A$2:$A$1001,"&lt;"&amp;('Start Here'!$B$7+0)))&gt;0,ROUND(MAX(_xlfn.MAXIFS('Start Here'!$D$17:$D$56,'Start Here'!$A$17:$A$56,$A33),_xlfn.MAXIFS(Sets!$E$2:$E$1060,Sets!$B$2:$B$1060,$A33,Sets!$A$2:$A$1060,"&lt;"&amp;('Start Here'!$B$7+0)),_xlfn.MAXIFS(Log!$E$2:$E$1001,Log!$B$2:$B$1001,$A33,Log!$A$2:$A$1001,"&lt;"&amp;('Start Here'!$B$7+0))),1),IF(N(E5)&gt;0,ROUND(E5*$D33,1),""))</f>
        <v/>
      </c>
      <c r="F33" s="36">
        <f>IF(MAX(_xlfn.MAXIFS('Start Here'!$D$17:$D$56,'Start Here'!$A$17:$A$56,$A33),_xlfn.MAXIFS(Sets!$E$2:$E$1060,Sets!$B$2:$B$1060,$A33,Sets!$A$2:$A$1060,"&lt;"&amp;('Start Here'!$B$7+84)),_xlfn.MAXIFS(Log!$E$2:$E$1001,Log!$B$2:$B$1001,$A33,Log!$A$2:$A$1001,"&lt;"&amp;('Start Here'!$B$7+84)))&gt;0,ROUND(MAX(_xlfn.MAXIFS('Start Here'!$D$17:$D$56,'Start Here'!$A$17:$A$56,$A33),_xlfn.MAXIFS(Sets!$E$2:$E$1060,Sets!$B$2:$B$1060,$A33,Sets!$A$2:$A$1060,"&lt;"&amp;('Start Here'!$B$7+84)),_xlfn.MAXIFS(Log!$E$2:$E$1001,Log!$B$2:$B$1001,$A33,Log!$A$2:$A$1001,"&lt;"&amp;('Start Here'!$B$7+84))),1),IF(N(F5)&gt;0,ROUND(F5*$D33,1),""))</f>
        <v/>
      </c>
      <c r="G33" s="36">
        <f>IF(MAX(_xlfn.MAXIFS('Start Here'!$D$17:$D$56,'Start Here'!$A$17:$A$56,$A33),_xlfn.MAXIFS(Sets!$E$2:$E$1060,Sets!$B$2:$B$1060,$A33,Sets!$A$2:$A$1060,"&lt;"&amp;('Start Here'!$B$7+168)),_xlfn.MAXIFS(Log!$E$2:$E$1001,Log!$B$2:$B$1001,$A33,Log!$A$2:$A$1001,"&lt;"&amp;('Start Here'!$B$7+168)))&gt;0,ROUND(MAX(_xlfn.MAXIFS('Start Here'!$D$17:$D$56,'Start Here'!$A$17:$A$56,$A33),_xlfn.MAXIFS(Sets!$E$2:$E$1060,Sets!$B$2:$B$1060,$A33,Sets!$A$2:$A$1060,"&lt;"&amp;('Start Here'!$B$7+168)),_xlfn.MAXIFS(Log!$E$2:$E$1001,Log!$B$2:$B$1001,$A33,Log!$A$2:$A$1001,"&lt;"&amp;('Start Here'!$B$7+168))),1),IF(N(G5)&gt;0,ROUND(G5*$D33,1),""))</f>
        <v/>
      </c>
      <c r="H33" s="36">
        <f>IF(MAX(_xlfn.MAXIFS('Start Here'!$D$17:$D$56,'Start Here'!$A$17:$A$56,$A33),_xlfn.MAXIFS(Sets!$E$2:$E$1060,Sets!$B$2:$B$1060,$A33,Sets!$A$2:$A$1060,"&lt;"&amp;('Start Here'!$B$7+252)),_xlfn.MAXIFS(Log!$E$2:$E$1001,Log!$B$2:$B$1001,$A33,Log!$A$2:$A$1001,"&lt;"&amp;('Start Here'!$B$7+252)))&gt;0,ROUND(MAX(_xlfn.MAXIFS('Start Here'!$D$17:$D$56,'Start Here'!$A$17:$A$56,$A33),_xlfn.MAXIFS(Sets!$E$2:$E$1060,Sets!$B$2:$B$1060,$A33,Sets!$A$2:$A$1060,"&lt;"&amp;('Start Here'!$B$7+252)),_xlfn.MAXIFS(Log!$E$2:$E$1001,Log!$B$2:$B$1001,$A33,Log!$A$2:$A$1001,"&lt;"&amp;('Start Here'!$B$7+252))),1),IF(N(H5)&gt;0,ROUND(H5*$D33,1),""))</f>
        <v/>
      </c>
      <c r="I33" s="36">
        <f>IF(MAX(_xlfn.MAXIFS('Start Here'!$D$17:$D$56,'Start Here'!$A$17:$A$56,$A33),_xlfn.MAXIFS(Sets!$E$2:$E$1060,Sets!$B$2:$B$1060,$A33,Sets!$A$2:$A$1060,"&lt;"&amp;('Start Here'!$B$7+336)),_xlfn.MAXIFS(Log!$E$2:$E$1001,Log!$B$2:$B$1001,$A33,Log!$A$2:$A$1001,"&lt;"&amp;('Start Here'!$B$7+336)))&gt;0,ROUND(MAX(_xlfn.MAXIFS('Start Here'!$D$17:$D$56,'Start Here'!$A$17:$A$56,$A33),_xlfn.MAXIFS(Sets!$E$2:$E$1060,Sets!$B$2:$B$1060,$A33,Sets!$A$2:$A$1060,"&lt;"&amp;('Start Here'!$B$7+336)),_xlfn.MAXIFS(Log!$E$2:$E$1001,Log!$B$2:$B$1001,$A33,Log!$A$2:$A$1001,"&lt;"&amp;('Start Here'!$B$7+336))),1),IF(N(I5)&gt;0,ROUND(I5*$D33,1),""))</f>
        <v/>
      </c>
    </row>
    <row r="34">
      <c r="A34" s="23" t="inlineStr">
        <is>
          <t>Power Snatch</t>
        </is>
      </c>
      <c r="B34" t="inlineStr">
        <is>
          <t>variation</t>
        </is>
      </c>
      <c r="C34" t="inlineStr">
        <is>
          <t>Snatch</t>
        </is>
      </c>
      <c r="D34" t="n">
        <v>0.82</v>
      </c>
      <c r="E34" s="36">
        <f>IF(MAX(_xlfn.MAXIFS('Start Here'!$D$17:$D$56,'Start Here'!$A$17:$A$56,$A34),_xlfn.MAXIFS(Sets!$E$2:$E$1060,Sets!$B$2:$B$1060,$A34,Sets!$A$2:$A$1060,"&lt;"&amp;('Start Here'!$B$7+0)),_xlfn.MAXIFS(Log!$E$2:$E$1001,Log!$B$2:$B$1001,$A34,Log!$A$2:$A$1001,"&lt;"&amp;('Start Here'!$B$7+0)))&gt;0,ROUND(MAX(_xlfn.MAXIFS('Start Here'!$D$17:$D$56,'Start Here'!$A$17:$A$56,$A34),_xlfn.MAXIFS(Sets!$E$2:$E$1060,Sets!$B$2:$B$1060,$A34,Sets!$A$2:$A$1060,"&lt;"&amp;('Start Here'!$B$7+0)),_xlfn.MAXIFS(Log!$E$2:$E$1001,Log!$B$2:$B$1001,$A34,Log!$A$2:$A$1001,"&lt;"&amp;('Start Here'!$B$7+0))),1),IF(N(E6)&gt;0,ROUND(E6*$D34,1),""))</f>
        <v/>
      </c>
      <c r="F34" s="36">
        <f>IF(MAX(_xlfn.MAXIFS('Start Here'!$D$17:$D$56,'Start Here'!$A$17:$A$56,$A34),_xlfn.MAXIFS(Sets!$E$2:$E$1060,Sets!$B$2:$B$1060,$A34,Sets!$A$2:$A$1060,"&lt;"&amp;('Start Here'!$B$7+84)),_xlfn.MAXIFS(Log!$E$2:$E$1001,Log!$B$2:$B$1001,$A34,Log!$A$2:$A$1001,"&lt;"&amp;('Start Here'!$B$7+84)))&gt;0,ROUND(MAX(_xlfn.MAXIFS('Start Here'!$D$17:$D$56,'Start Here'!$A$17:$A$56,$A34),_xlfn.MAXIFS(Sets!$E$2:$E$1060,Sets!$B$2:$B$1060,$A34,Sets!$A$2:$A$1060,"&lt;"&amp;('Start Here'!$B$7+84)),_xlfn.MAXIFS(Log!$E$2:$E$1001,Log!$B$2:$B$1001,$A34,Log!$A$2:$A$1001,"&lt;"&amp;('Start Here'!$B$7+84))),1),IF(N(F6)&gt;0,ROUND(F6*$D34,1),""))</f>
        <v/>
      </c>
      <c r="G34" s="36">
        <f>IF(MAX(_xlfn.MAXIFS('Start Here'!$D$17:$D$56,'Start Here'!$A$17:$A$56,$A34),_xlfn.MAXIFS(Sets!$E$2:$E$1060,Sets!$B$2:$B$1060,$A34,Sets!$A$2:$A$1060,"&lt;"&amp;('Start Here'!$B$7+168)),_xlfn.MAXIFS(Log!$E$2:$E$1001,Log!$B$2:$B$1001,$A34,Log!$A$2:$A$1001,"&lt;"&amp;('Start Here'!$B$7+168)))&gt;0,ROUND(MAX(_xlfn.MAXIFS('Start Here'!$D$17:$D$56,'Start Here'!$A$17:$A$56,$A34),_xlfn.MAXIFS(Sets!$E$2:$E$1060,Sets!$B$2:$B$1060,$A34,Sets!$A$2:$A$1060,"&lt;"&amp;('Start Here'!$B$7+168)),_xlfn.MAXIFS(Log!$E$2:$E$1001,Log!$B$2:$B$1001,$A34,Log!$A$2:$A$1001,"&lt;"&amp;('Start Here'!$B$7+168))),1),IF(N(G6)&gt;0,ROUND(G6*$D34,1),""))</f>
        <v/>
      </c>
      <c r="H34" s="36">
        <f>IF(MAX(_xlfn.MAXIFS('Start Here'!$D$17:$D$56,'Start Here'!$A$17:$A$56,$A34),_xlfn.MAXIFS(Sets!$E$2:$E$1060,Sets!$B$2:$B$1060,$A34,Sets!$A$2:$A$1060,"&lt;"&amp;('Start Here'!$B$7+252)),_xlfn.MAXIFS(Log!$E$2:$E$1001,Log!$B$2:$B$1001,$A34,Log!$A$2:$A$1001,"&lt;"&amp;('Start Here'!$B$7+252)))&gt;0,ROUND(MAX(_xlfn.MAXIFS('Start Here'!$D$17:$D$56,'Start Here'!$A$17:$A$56,$A34),_xlfn.MAXIFS(Sets!$E$2:$E$1060,Sets!$B$2:$B$1060,$A34,Sets!$A$2:$A$1060,"&lt;"&amp;('Start Here'!$B$7+252)),_xlfn.MAXIFS(Log!$E$2:$E$1001,Log!$B$2:$B$1001,$A34,Log!$A$2:$A$1001,"&lt;"&amp;('Start Here'!$B$7+252))),1),IF(N(H6)&gt;0,ROUND(H6*$D34,1),""))</f>
        <v/>
      </c>
      <c r="I34" s="36">
        <f>IF(MAX(_xlfn.MAXIFS('Start Here'!$D$17:$D$56,'Start Here'!$A$17:$A$56,$A34),_xlfn.MAXIFS(Sets!$E$2:$E$1060,Sets!$B$2:$B$1060,$A34,Sets!$A$2:$A$1060,"&lt;"&amp;('Start Here'!$B$7+336)),_xlfn.MAXIFS(Log!$E$2:$E$1001,Log!$B$2:$B$1001,$A34,Log!$A$2:$A$1001,"&lt;"&amp;('Start Here'!$B$7+336)))&gt;0,ROUND(MAX(_xlfn.MAXIFS('Start Here'!$D$17:$D$56,'Start Here'!$A$17:$A$56,$A34),_xlfn.MAXIFS(Sets!$E$2:$E$1060,Sets!$B$2:$B$1060,$A34,Sets!$A$2:$A$1060,"&lt;"&amp;('Start Here'!$B$7+336)),_xlfn.MAXIFS(Log!$E$2:$E$1001,Log!$B$2:$B$1001,$A34,Log!$A$2:$A$1001,"&lt;"&amp;('Start Here'!$B$7+336))),1),IF(N(I6)&gt;0,ROUND(I6*$D34,1),""))</f>
        <v/>
      </c>
    </row>
    <row r="35">
      <c r="A35" s="23" t="inlineStr">
        <is>
          <t>Hang Snatch</t>
        </is>
      </c>
      <c r="B35" t="inlineStr">
        <is>
          <t>variation</t>
        </is>
      </c>
      <c r="C35" t="inlineStr">
        <is>
          <t>Snatch</t>
        </is>
      </c>
      <c r="D35" t="n">
        <v>0.95</v>
      </c>
      <c r="E35" s="36">
        <f>IF(MAX(_xlfn.MAXIFS('Start Here'!$D$17:$D$56,'Start Here'!$A$17:$A$56,$A35),_xlfn.MAXIFS(Sets!$E$2:$E$1060,Sets!$B$2:$B$1060,$A35,Sets!$A$2:$A$1060,"&lt;"&amp;('Start Here'!$B$7+0)),_xlfn.MAXIFS(Log!$E$2:$E$1001,Log!$B$2:$B$1001,$A35,Log!$A$2:$A$1001,"&lt;"&amp;('Start Here'!$B$7+0)))&gt;0,ROUND(MAX(_xlfn.MAXIFS('Start Here'!$D$17:$D$56,'Start Here'!$A$17:$A$56,$A35),_xlfn.MAXIFS(Sets!$E$2:$E$1060,Sets!$B$2:$B$1060,$A35,Sets!$A$2:$A$1060,"&lt;"&amp;('Start Here'!$B$7+0)),_xlfn.MAXIFS(Log!$E$2:$E$1001,Log!$B$2:$B$1001,$A35,Log!$A$2:$A$1001,"&lt;"&amp;('Start Here'!$B$7+0))),1),IF(N(E6)&gt;0,ROUND(E6*$D35,1),""))</f>
        <v/>
      </c>
      <c r="F35" s="36">
        <f>IF(MAX(_xlfn.MAXIFS('Start Here'!$D$17:$D$56,'Start Here'!$A$17:$A$56,$A35),_xlfn.MAXIFS(Sets!$E$2:$E$1060,Sets!$B$2:$B$1060,$A35,Sets!$A$2:$A$1060,"&lt;"&amp;('Start Here'!$B$7+84)),_xlfn.MAXIFS(Log!$E$2:$E$1001,Log!$B$2:$B$1001,$A35,Log!$A$2:$A$1001,"&lt;"&amp;('Start Here'!$B$7+84)))&gt;0,ROUND(MAX(_xlfn.MAXIFS('Start Here'!$D$17:$D$56,'Start Here'!$A$17:$A$56,$A35),_xlfn.MAXIFS(Sets!$E$2:$E$1060,Sets!$B$2:$B$1060,$A35,Sets!$A$2:$A$1060,"&lt;"&amp;('Start Here'!$B$7+84)),_xlfn.MAXIFS(Log!$E$2:$E$1001,Log!$B$2:$B$1001,$A35,Log!$A$2:$A$1001,"&lt;"&amp;('Start Here'!$B$7+84))),1),IF(N(F6)&gt;0,ROUND(F6*$D35,1),""))</f>
        <v/>
      </c>
      <c r="G35" s="36">
        <f>IF(MAX(_xlfn.MAXIFS('Start Here'!$D$17:$D$56,'Start Here'!$A$17:$A$56,$A35),_xlfn.MAXIFS(Sets!$E$2:$E$1060,Sets!$B$2:$B$1060,$A35,Sets!$A$2:$A$1060,"&lt;"&amp;('Start Here'!$B$7+168)),_xlfn.MAXIFS(Log!$E$2:$E$1001,Log!$B$2:$B$1001,$A35,Log!$A$2:$A$1001,"&lt;"&amp;('Start Here'!$B$7+168)))&gt;0,ROUND(MAX(_xlfn.MAXIFS('Start Here'!$D$17:$D$56,'Start Here'!$A$17:$A$56,$A35),_xlfn.MAXIFS(Sets!$E$2:$E$1060,Sets!$B$2:$B$1060,$A35,Sets!$A$2:$A$1060,"&lt;"&amp;('Start Here'!$B$7+168)),_xlfn.MAXIFS(Log!$E$2:$E$1001,Log!$B$2:$B$1001,$A35,Log!$A$2:$A$1001,"&lt;"&amp;('Start Here'!$B$7+168))),1),IF(N(G6)&gt;0,ROUND(G6*$D35,1),""))</f>
        <v/>
      </c>
      <c r="H35" s="36">
        <f>IF(MAX(_xlfn.MAXIFS('Start Here'!$D$17:$D$56,'Start Here'!$A$17:$A$56,$A35),_xlfn.MAXIFS(Sets!$E$2:$E$1060,Sets!$B$2:$B$1060,$A35,Sets!$A$2:$A$1060,"&lt;"&amp;('Start Here'!$B$7+252)),_xlfn.MAXIFS(Log!$E$2:$E$1001,Log!$B$2:$B$1001,$A35,Log!$A$2:$A$1001,"&lt;"&amp;('Start Here'!$B$7+252)))&gt;0,ROUND(MAX(_xlfn.MAXIFS('Start Here'!$D$17:$D$56,'Start Here'!$A$17:$A$56,$A35),_xlfn.MAXIFS(Sets!$E$2:$E$1060,Sets!$B$2:$B$1060,$A35,Sets!$A$2:$A$1060,"&lt;"&amp;('Start Here'!$B$7+252)),_xlfn.MAXIFS(Log!$E$2:$E$1001,Log!$B$2:$B$1001,$A35,Log!$A$2:$A$1001,"&lt;"&amp;('Start Here'!$B$7+252))),1),IF(N(H6)&gt;0,ROUND(H6*$D35,1),""))</f>
        <v/>
      </c>
      <c r="I35" s="36">
        <f>IF(MAX(_xlfn.MAXIFS('Start Here'!$D$17:$D$56,'Start Here'!$A$17:$A$56,$A35),_xlfn.MAXIFS(Sets!$E$2:$E$1060,Sets!$B$2:$B$1060,$A35,Sets!$A$2:$A$1060,"&lt;"&amp;('Start Here'!$B$7+336)),_xlfn.MAXIFS(Log!$E$2:$E$1001,Log!$B$2:$B$1001,$A35,Log!$A$2:$A$1001,"&lt;"&amp;('Start Here'!$B$7+336)))&gt;0,ROUND(MAX(_xlfn.MAXIFS('Start Here'!$D$17:$D$56,'Start Here'!$A$17:$A$56,$A35),_xlfn.MAXIFS(Sets!$E$2:$E$1060,Sets!$B$2:$B$1060,$A35,Sets!$A$2:$A$1060,"&lt;"&amp;('Start Here'!$B$7+336)),_xlfn.MAXIFS(Log!$E$2:$E$1001,Log!$B$2:$B$1001,$A35,Log!$A$2:$A$1001,"&lt;"&amp;('Start Here'!$B$7+336))),1),IF(N(I6)&gt;0,ROUND(I6*$D35,1),""))</f>
        <v/>
      </c>
    </row>
    <row r="36">
      <c r="A36" s="23" t="inlineStr">
        <is>
          <t>Hang Power Snatch</t>
        </is>
      </c>
      <c r="B36" t="inlineStr">
        <is>
          <t>variation</t>
        </is>
      </c>
      <c r="C36" t="inlineStr">
        <is>
          <t>Snatch</t>
        </is>
      </c>
      <c r="D36" t="n">
        <v>0.78</v>
      </c>
      <c r="E36" s="36">
        <f>IF(MAX(_xlfn.MAXIFS('Start Here'!$D$17:$D$56,'Start Here'!$A$17:$A$56,$A36),_xlfn.MAXIFS(Sets!$E$2:$E$1060,Sets!$B$2:$B$1060,$A36,Sets!$A$2:$A$1060,"&lt;"&amp;('Start Here'!$B$7+0)),_xlfn.MAXIFS(Log!$E$2:$E$1001,Log!$B$2:$B$1001,$A36,Log!$A$2:$A$1001,"&lt;"&amp;('Start Here'!$B$7+0)))&gt;0,ROUND(MAX(_xlfn.MAXIFS('Start Here'!$D$17:$D$56,'Start Here'!$A$17:$A$56,$A36),_xlfn.MAXIFS(Sets!$E$2:$E$1060,Sets!$B$2:$B$1060,$A36,Sets!$A$2:$A$1060,"&lt;"&amp;('Start Here'!$B$7+0)),_xlfn.MAXIFS(Log!$E$2:$E$1001,Log!$B$2:$B$1001,$A36,Log!$A$2:$A$1001,"&lt;"&amp;('Start Here'!$B$7+0))),1),IF(N(E6)&gt;0,ROUND(E6*$D36,1),""))</f>
        <v/>
      </c>
      <c r="F36" s="36">
        <f>IF(MAX(_xlfn.MAXIFS('Start Here'!$D$17:$D$56,'Start Here'!$A$17:$A$56,$A36),_xlfn.MAXIFS(Sets!$E$2:$E$1060,Sets!$B$2:$B$1060,$A36,Sets!$A$2:$A$1060,"&lt;"&amp;('Start Here'!$B$7+84)),_xlfn.MAXIFS(Log!$E$2:$E$1001,Log!$B$2:$B$1001,$A36,Log!$A$2:$A$1001,"&lt;"&amp;('Start Here'!$B$7+84)))&gt;0,ROUND(MAX(_xlfn.MAXIFS('Start Here'!$D$17:$D$56,'Start Here'!$A$17:$A$56,$A36),_xlfn.MAXIFS(Sets!$E$2:$E$1060,Sets!$B$2:$B$1060,$A36,Sets!$A$2:$A$1060,"&lt;"&amp;('Start Here'!$B$7+84)),_xlfn.MAXIFS(Log!$E$2:$E$1001,Log!$B$2:$B$1001,$A36,Log!$A$2:$A$1001,"&lt;"&amp;('Start Here'!$B$7+84))),1),IF(N(F6)&gt;0,ROUND(F6*$D36,1),""))</f>
        <v/>
      </c>
      <c r="G36" s="36">
        <f>IF(MAX(_xlfn.MAXIFS('Start Here'!$D$17:$D$56,'Start Here'!$A$17:$A$56,$A36),_xlfn.MAXIFS(Sets!$E$2:$E$1060,Sets!$B$2:$B$1060,$A36,Sets!$A$2:$A$1060,"&lt;"&amp;('Start Here'!$B$7+168)),_xlfn.MAXIFS(Log!$E$2:$E$1001,Log!$B$2:$B$1001,$A36,Log!$A$2:$A$1001,"&lt;"&amp;('Start Here'!$B$7+168)))&gt;0,ROUND(MAX(_xlfn.MAXIFS('Start Here'!$D$17:$D$56,'Start Here'!$A$17:$A$56,$A36),_xlfn.MAXIFS(Sets!$E$2:$E$1060,Sets!$B$2:$B$1060,$A36,Sets!$A$2:$A$1060,"&lt;"&amp;('Start Here'!$B$7+168)),_xlfn.MAXIFS(Log!$E$2:$E$1001,Log!$B$2:$B$1001,$A36,Log!$A$2:$A$1001,"&lt;"&amp;('Start Here'!$B$7+168))),1),IF(N(G6)&gt;0,ROUND(G6*$D36,1),""))</f>
        <v/>
      </c>
      <c r="H36" s="36">
        <f>IF(MAX(_xlfn.MAXIFS('Start Here'!$D$17:$D$56,'Start Here'!$A$17:$A$56,$A36),_xlfn.MAXIFS(Sets!$E$2:$E$1060,Sets!$B$2:$B$1060,$A36,Sets!$A$2:$A$1060,"&lt;"&amp;('Start Here'!$B$7+252)),_xlfn.MAXIFS(Log!$E$2:$E$1001,Log!$B$2:$B$1001,$A36,Log!$A$2:$A$1001,"&lt;"&amp;('Start Here'!$B$7+252)))&gt;0,ROUND(MAX(_xlfn.MAXIFS('Start Here'!$D$17:$D$56,'Start Here'!$A$17:$A$56,$A36),_xlfn.MAXIFS(Sets!$E$2:$E$1060,Sets!$B$2:$B$1060,$A36,Sets!$A$2:$A$1060,"&lt;"&amp;('Start Here'!$B$7+252)),_xlfn.MAXIFS(Log!$E$2:$E$1001,Log!$B$2:$B$1001,$A36,Log!$A$2:$A$1001,"&lt;"&amp;('Start Here'!$B$7+252))),1),IF(N(H6)&gt;0,ROUND(H6*$D36,1),""))</f>
        <v/>
      </c>
      <c r="I36" s="36">
        <f>IF(MAX(_xlfn.MAXIFS('Start Here'!$D$17:$D$56,'Start Here'!$A$17:$A$56,$A36),_xlfn.MAXIFS(Sets!$E$2:$E$1060,Sets!$B$2:$B$1060,$A36,Sets!$A$2:$A$1060,"&lt;"&amp;('Start Here'!$B$7+336)),_xlfn.MAXIFS(Log!$E$2:$E$1001,Log!$B$2:$B$1001,$A36,Log!$A$2:$A$1001,"&lt;"&amp;('Start Here'!$B$7+336)))&gt;0,ROUND(MAX(_xlfn.MAXIFS('Start Here'!$D$17:$D$56,'Start Here'!$A$17:$A$56,$A36),_xlfn.MAXIFS(Sets!$E$2:$E$1060,Sets!$B$2:$B$1060,$A36,Sets!$A$2:$A$1060,"&lt;"&amp;('Start Here'!$B$7+336)),_xlfn.MAXIFS(Log!$E$2:$E$1001,Log!$B$2:$B$1001,$A36,Log!$A$2:$A$1001,"&lt;"&amp;('Start Here'!$B$7+336))),1),IF(N(I6)&gt;0,ROUND(I6*$D36,1),""))</f>
        <v/>
      </c>
    </row>
    <row r="37">
      <c r="A37" s="23" t="inlineStr">
        <is>
          <t>Muscle Snatch</t>
        </is>
      </c>
      <c r="B37" t="inlineStr">
        <is>
          <t>variation</t>
        </is>
      </c>
      <c r="C37" t="inlineStr">
        <is>
          <t>Snatch</t>
        </is>
      </c>
      <c r="D37" t="n">
        <v>0.65</v>
      </c>
      <c r="E37" s="36">
        <f>IF(MAX(_xlfn.MAXIFS('Start Here'!$D$17:$D$56,'Start Here'!$A$17:$A$56,$A37),_xlfn.MAXIFS(Sets!$E$2:$E$1060,Sets!$B$2:$B$1060,$A37,Sets!$A$2:$A$1060,"&lt;"&amp;('Start Here'!$B$7+0)),_xlfn.MAXIFS(Log!$E$2:$E$1001,Log!$B$2:$B$1001,$A37,Log!$A$2:$A$1001,"&lt;"&amp;('Start Here'!$B$7+0)))&gt;0,ROUND(MAX(_xlfn.MAXIFS('Start Here'!$D$17:$D$56,'Start Here'!$A$17:$A$56,$A37),_xlfn.MAXIFS(Sets!$E$2:$E$1060,Sets!$B$2:$B$1060,$A37,Sets!$A$2:$A$1060,"&lt;"&amp;('Start Here'!$B$7+0)),_xlfn.MAXIFS(Log!$E$2:$E$1001,Log!$B$2:$B$1001,$A37,Log!$A$2:$A$1001,"&lt;"&amp;('Start Here'!$B$7+0))),1),IF(N(E6)&gt;0,ROUND(E6*$D37,1),""))</f>
        <v/>
      </c>
      <c r="F37" s="36">
        <f>IF(MAX(_xlfn.MAXIFS('Start Here'!$D$17:$D$56,'Start Here'!$A$17:$A$56,$A37),_xlfn.MAXIFS(Sets!$E$2:$E$1060,Sets!$B$2:$B$1060,$A37,Sets!$A$2:$A$1060,"&lt;"&amp;('Start Here'!$B$7+84)),_xlfn.MAXIFS(Log!$E$2:$E$1001,Log!$B$2:$B$1001,$A37,Log!$A$2:$A$1001,"&lt;"&amp;('Start Here'!$B$7+84)))&gt;0,ROUND(MAX(_xlfn.MAXIFS('Start Here'!$D$17:$D$56,'Start Here'!$A$17:$A$56,$A37),_xlfn.MAXIFS(Sets!$E$2:$E$1060,Sets!$B$2:$B$1060,$A37,Sets!$A$2:$A$1060,"&lt;"&amp;('Start Here'!$B$7+84)),_xlfn.MAXIFS(Log!$E$2:$E$1001,Log!$B$2:$B$1001,$A37,Log!$A$2:$A$1001,"&lt;"&amp;('Start Here'!$B$7+84))),1),IF(N(F6)&gt;0,ROUND(F6*$D37,1),""))</f>
        <v/>
      </c>
      <c r="G37" s="36">
        <f>IF(MAX(_xlfn.MAXIFS('Start Here'!$D$17:$D$56,'Start Here'!$A$17:$A$56,$A37),_xlfn.MAXIFS(Sets!$E$2:$E$1060,Sets!$B$2:$B$1060,$A37,Sets!$A$2:$A$1060,"&lt;"&amp;('Start Here'!$B$7+168)),_xlfn.MAXIFS(Log!$E$2:$E$1001,Log!$B$2:$B$1001,$A37,Log!$A$2:$A$1001,"&lt;"&amp;('Start Here'!$B$7+168)))&gt;0,ROUND(MAX(_xlfn.MAXIFS('Start Here'!$D$17:$D$56,'Start Here'!$A$17:$A$56,$A37),_xlfn.MAXIFS(Sets!$E$2:$E$1060,Sets!$B$2:$B$1060,$A37,Sets!$A$2:$A$1060,"&lt;"&amp;('Start Here'!$B$7+168)),_xlfn.MAXIFS(Log!$E$2:$E$1001,Log!$B$2:$B$1001,$A37,Log!$A$2:$A$1001,"&lt;"&amp;('Start Here'!$B$7+168))),1),IF(N(G6)&gt;0,ROUND(G6*$D37,1),""))</f>
        <v/>
      </c>
      <c r="H37" s="36">
        <f>IF(MAX(_xlfn.MAXIFS('Start Here'!$D$17:$D$56,'Start Here'!$A$17:$A$56,$A37),_xlfn.MAXIFS(Sets!$E$2:$E$1060,Sets!$B$2:$B$1060,$A37,Sets!$A$2:$A$1060,"&lt;"&amp;('Start Here'!$B$7+252)),_xlfn.MAXIFS(Log!$E$2:$E$1001,Log!$B$2:$B$1001,$A37,Log!$A$2:$A$1001,"&lt;"&amp;('Start Here'!$B$7+252)))&gt;0,ROUND(MAX(_xlfn.MAXIFS('Start Here'!$D$17:$D$56,'Start Here'!$A$17:$A$56,$A37),_xlfn.MAXIFS(Sets!$E$2:$E$1060,Sets!$B$2:$B$1060,$A37,Sets!$A$2:$A$1060,"&lt;"&amp;('Start Here'!$B$7+252)),_xlfn.MAXIFS(Log!$E$2:$E$1001,Log!$B$2:$B$1001,$A37,Log!$A$2:$A$1001,"&lt;"&amp;('Start Here'!$B$7+252))),1),IF(N(H6)&gt;0,ROUND(H6*$D37,1),""))</f>
        <v/>
      </c>
      <c r="I37" s="36">
        <f>IF(MAX(_xlfn.MAXIFS('Start Here'!$D$17:$D$56,'Start Here'!$A$17:$A$56,$A37),_xlfn.MAXIFS(Sets!$E$2:$E$1060,Sets!$B$2:$B$1060,$A37,Sets!$A$2:$A$1060,"&lt;"&amp;('Start Here'!$B$7+336)),_xlfn.MAXIFS(Log!$E$2:$E$1001,Log!$B$2:$B$1001,$A37,Log!$A$2:$A$1001,"&lt;"&amp;('Start Here'!$B$7+336)))&gt;0,ROUND(MAX(_xlfn.MAXIFS('Start Here'!$D$17:$D$56,'Start Here'!$A$17:$A$56,$A37),_xlfn.MAXIFS(Sets!$E$2:$E$1060,Sets!$B$2:$B$1060,$A37,Sets!$A$2:$A$1060,"&lt;"&amp;('Start Here'!$B$7+336)),_xlfn.MAXIFS(Log!$E$2:$E$1001,Log!$B$2:$B$1001,$A37,Log!$A$2:$A$1001,"&lt;"&amp;('Start Here'!$B$7+336))),1),IF(N(I6)&gt;0,ROUND(I6*$D37,1),""))</f>
        <v/>
      </c>
    </row>
    <row r="38">
      <c r="A38" s="23" t="inlineStr">
        <is>
          <t>Snatch Balance</t>
        </is>
      </c>
      <c r="B38" t="inlineStr">
        <is>
          <t>variation</t>
        </is>
      </c>
      <c r="C38" t="inlineStr">
        <is>
          <t>Snatch</t>
        </is>
      </c>
      <c r="D38" t="n">
        <v>1.05</v>
      </c>
      <c r="E38" s="36">
        <f>IF(MAX(_xlfn.MAXIFS('Start Here'!$D$17:$D$56,'Start Here'!$A$17:$A$56,$A38),_xlfn.MAXIFS(Sets!$E$2:$E$1060,Sets!$B$2:$B$1060,$A38,Sets!$A$2:$A$1060,"&lt;"&amp;('Start Here'!$B$7+0)),_xlfn.MAXIFS(Log!$E$2:$E$1001,Log!$B$2:$B$1001,$A38,Log!$A$2:$A$1001,"&lt;"&amp;('Start Here'!$B$7+0)))&gt;0,ROUND(MAX(_xlfn.MAXIFS('Start Here'!$D$17:$D$56,'Start Here'!$A$17:$A$56,$A38),_xlfn.MAXIFS(Sets!$E$2:$E$1060,Sets!$B$2:$B$1060,$A38,Sets!$A$2:$A$1060,"&lt;"&amp;('Start Here'!$B$7+0)),_xlfn.MAXIFS(Log!$E$2:$E$1001,Log!$B$2:$B$1001,$A38,Log!$A$2:$A$1001,"&lt;"&amp;('Start Here'!$B$7+0))),1),IF(N(E6)&gt;0,ROUND(E6*$D38,1),""))</f>
        <v/>
      </c>
      <c r="F38" s="36">
        <f>IF(MAX(_xlfn.MAXIFS('Start Here'!$D$17:$D$56,'Start Here'!$A$17:$A$56,$A38),_xlfn.MAXIFS(Sets!$E$2:$E$1060,Sets!$B$2:$B$1060,$A38,Sets!$A$2:$A$1060,"&lt;"&amp;('Start Here'!$B$7+84)),_xlfn.MAXIFS(Log!$E$2:$E$1001,Log!$B$2:$B$1001,$A38,Log!$A$2:$A$1001,"&lt;"&amp;('Start Here'!$B$7+84)))&gt;0,ROUND(MAX(_xlfn.MAXIFS('Start Here'!$D$17:$D$56,'Start Here'!$A$17:$A$56,$A38),_xlfn.MAXIFS(Sets!$E$2:$E$1060,Sets!$B$2:$B$1060,$A38,Sets!$A$2:$A$1060,"&lt;"&amp;('Start Here'!$B$7+84)),_xlfn.MAXIFS(Log!$E$2:$E$1001,Log!$B$2:$B$1001,$A38,Log!$A$2:$A$1001,"&lt;"&amp;('Start Here'!$B$7+84))),1),IF(N(F6)&gt;0,ROUND(F6*$D38,1),""))</f>
        <v/>
      </c>
      <c r="G38" s="36">
        <f>IF(MAX(_xlfn.MAXIFS('Start Here'!$D$17:$D$56,'Start Here'!$A$17:$A$56,$A38),_xlfn.MAXIFS(Sets!$E$2:$E$1060,Sets!$B$2:$B$1060,$A38,Sets!$A$2:$A$1060,"&lt;"&amp;('Start Here'!$B$7+168)),_xlfn.MAXIFS(Log!$E$2:$E$1001,Log!$B$2:$B$1001,$A38,Log!$A$2:$A$1001,"&lt;"&amp;('Start Here'!$B$7+168)))&gt;0,ROUND(MAX(_xlfn.MAXIFS('Start Here'!$D$17:$D$56,'Start Here'!$A$17:$A$56,$A38),_xlfn.MAXIFS(Sets!$E$2:$E$1060,Sets!$B$2:$B$1060,$A38,Sets!$A$2:$A$1060,"&lt;"&amp;('Start Here'!$B$7+168)),_xlfn.MAXIFS(Log!$E$2:$E$1001,Log!$B$2:$B$1001,$A38,Log!$A$2:$A$1001,"&lt;"&amp;('Start Here'!$B$7+168))),1),IF(N(G6)&gt;0,ROUND(G6*$D38,1),""))</f>
        <v/>
      </c>
      <c r="H38" s="36">
        <f>IF(MAX(_xlfn.MAXIFS('Start Here'!$D$17:$D$56,'Start Here'!$A$17:$A$56,$A38),_xlfn.MAXIFS(Sets!$E$2:$E$1060,Sets!$B$2:$B$1060,$A38,Sets!$A$2:$A$1060,"&lt;"&amp;('Start Here'!$B$7+252)),_xlfn.MAXIFS(Log!$E$2:$E$1001,Log!$B$2:$B$1001,$A38,Log!$A$2:$A$1001,"&lt;"&amp;('Start Here'!$B$7+252)))&gt;0,ROUND(MAX(_xlfn.MAXIFS('Start Here'!$D$17:$D$56,'Start Here'!$A$17:$A$56,$A38),_xlfn.MAXIFS(Sets!$E$2:$E$1060,Sets!$B$2:$B$1060,$A38,Sets!$A$2:$A$1060,"&lt;"&amp;('Start Here'!$B$7+252)),_xlfn.MAXIFS(Log!$E$2:$E$1001,Log!$B$2:$B$1001,$A38,Log!$A$2:$A$1001,"&lt;"&amp;('Start Here'!$B$7+252))),1),IF(N(H6)&gt;0,ROUND(H6*$D38,1),""))</f>
        <v/>
      </c>
      <c r="I38" s="36">
        <f>IF(MAX(_xlfn.MAXIFS('Start Here'!$D$17:$D$56,'Start Here'!$A$17:$A$56,$A38),_xlfn.MAXIFS(Sets!$E$2:$E$1060,Sets!$B$2:$B$1060,$A38,Sets!$A$2:$A$1060,"&lt;"&amp;('Start Here'!$B$7+336)),_xlfn.MAXIFS(Log!$E$2:$E$1001,Log!$B$2:$B$1001,$A38,Log!$A$2:$A$1001,"&lt;"&amp;('Start Here'!$B$7+336)))&gt;0,ROUND(MAX(_xlfn.MAXIFS('Start Here'!$D$17:$D$56,'Start Here'!$A$17:$A$56,$A38),_xlfn.MAXIFS(Sets!$E$2:$E$1060,Sets!$B$2:$B$1060,$A38,Sets!$A$2:$A$1060,"&lt;"&amp;('Start Here'!$B$7+336)),_xlfn.MAXIFS(Log!$E$2:$E$1001,Log!$B$2:$B$1001,$A38,Log!$A$2:$A$1001,"&lt;"&amp;('Start Here'!$B$7+336))),1),IF(N(I6)&gt;0,ROUND(I6*$D38,1),""))</f>
        <v/>
      </c>
    </row>
    <row r="39">
      <c r="A39" s="23" t="inlineStr">
        <is>
          <t>Snatch Pull</t>
        </is>
      </c>
      <c r="B39" t="inlineStr">
        <is>
          <t>variation</t>
        </is>
      </c>
      <c r="C39" t="inlineStr">
        <is>
          <t>Snatch</t>
        </is>
      </c>
      <c r="D39" t="n">
        <v>1.15</v>
      </c>
      <c r="E39" s="36">
        <f>IF(MAX(_xlfn.MAXIFS('Start Here'!$D$17:$D$56,'Start Here'!$A$17:$A$56,$A39),_xlfn.MAXIFS(Sets!$E$2:$E$1060,Sets!$B$2:$B$1060,$A39,Sets!$A$2:$A$1060,"&lt;"&amp;('Start Here'!$B$7+0)),_xlfn.MAXIFS(Log!$E$2:$E$1001,Log!$B$2:$B$1001,$A39,Log!$A$2:$A$1001,"&lt;"&amp;('Start Here'!$B$7+0)))&gt;0,ROUND(MAX(_xlfn.MAXIFS('Start Here'!$D$17:$D$56,'Start Here'!$A$17:$A$56,$A39),_xlfn.MAXIFS(Sets!$E$2:$E$1060,Sets!$B$2:$B$1060,$A39,Sets!$A$2:$A$1060,"&lt;"&amp;('Start Here'!$B$7+0)),_xlfn.MAXIFS(Log!$E$2:$E$1001,Log!$B$2:$B$1001,$A39,Log!$A$2:$A$1001,"&lt;"&amp;('Start Here'!$B$7+0))),1),IF(N(E6)&gt;0,ROUND(E6*$D39,1),""))</f>
        <v/>
      </c>
      <c r="F39" s="36">
        <f>IF(MAX(_xlfn.MAXIFS('Start Here'!$D$17:$D$56,'Start Here'!$A$17:$A$56,$A39),_xlfn.MAXIFS(Sets!$E$2:$E$1060,Sets!$B$2:$B$1060,$A39,Sets!$A$2:$A$1060,"&lt;"&amp;('Start Here'!$B$7+84)),_xlfn.MAXIFS(Log!$E$2:$E$1001,Log!$B$2:$B$1001,$A39,Log!$A$2:$A$1001,"&lt;"&amp;('Start Here'!$B$7+84)))&gt;0,ROUND(MAX(_xlfn.MAXIFS('Start Here'!$D$17:$D$56,'Start Here'!$A$17:$A$56,$A39),_xlfn.MAXIFS(Sets!$E$2:$E$1060,Sets!$B$2:$B$1060,$A39,Sets!$A$2:$A$1060,"&lt;"&amp;('Start Here'!$B$7+84)),_xlfn.MAXIFS(Log!$E$2:$E$1001,Log!$B$2:$B$1001,$A39,Log!$A$2:$A$1001,"&lt;"&amp;('Start Here'!$B$7+84))),1),IF(N(F6)&gt;0,ROUND(F6*$D39,1),""))</f>
        <v/>
      </c>
      <c r="G39" s="36">
        <f>IF(MAX(_xlfn.MAXIFS('Start Here'!$D$17:$D$56,'Start Here'!$A$17:$A$56,$A39),_xlfn.MAXIFS(Sets!$E$2:$E$1060,Sets!$B$2:$B$1060,$A39,Sets!$A$2:$A$1060,"&lt;"&amp;('Start Here'!$B$7+168)),_xlfn.MAXIFS(Log!$E$2:$E$1001,Log!$B$2:$B$1001,$A39,Log!$A$2:$A$1001,"&lt;"&amp;('Start Here'!$B$7+168)))&gt;0,ROUND(MAX(_xlfn.MAXIFS('Start Here'!$D$17:$D$56,'Start Here'!$A$17:$A$56,$A39),_xlfn.MAXIFS(Sets!$E$2:$E$1060,Sets!$B$2:$B$1060,$A39,Sets!$A$2:$A$1060,"&lt;"&amp;('Start Here'!$B$7+168)),_xlfn.MAXIFS(Log!$E$2:$E$1001,Log!$B$2:$B$1001,$A39,Log!$A$2:$A$1001,"&lt;"&amp;('Start Here'!$B$7+168))),1),IF(N(G6)&gt;0,ROUND(G6*$D39,1),""))</f>
        <v/>
      </c>
      <c r="H39" s="36">
        <f>IF(MAX(_xlfn.MAXIFS('Start Here'!$D$17:$D$56,'Start Here'!$A$17:$A$56,$A39),_xlfn.MAXIFS(Sets!$E$2:$E$1060,Sets!$B$2:$B$1060,$A39,Sets!$A$2:$A$1060,"&lt;"&amp;('Start Here'!$B$7+252)),_xlfn.MAXIFS(Log!$E$2:$E$1001,Log!$B$2:$B$1001,$A39,Log!$A$2:$A$1001,"&lt;"&amp;('Start Here'!$B$7+252)))&gt;0,ROUND(MAX(_xlfn.MAXIFS('Start Here'!$D$17:$D$56,'Start Here'!$A$17:$A$56,$A39),_xlfn.MAXIFS(Sets!$E$2:$E$1060,Sets!$B$2:$B$1060,$A39,Sets!$A$2:$A$1060,"&lt;"&amp;('Start Here'!$B$7+252)),_xlfn.MAXIFS(Log!$E$2:$E$1001,Log!$B$2:$B$1001,$A39,Log!$A$2:$A$1001,"&lt;"&amp;('Start Here'!$B$7+252))),1),IF(N(H6)&gt;0,ROUND(H6*$D39,1),""))</f>
        <v/>
      </c>
      <c r="I39" s="36">
        <f>IF(MAX(_xlfn.MAXIFS('Start Here'!$D$17:$D$56,'Start Here'!$A$17:$A$56,$A39),_xlfn.MAXIFS(Sets!$E$2:$E$1060,Sets!$B$2:$B$1060,$A39,Sets!$A$2:$A$1060,"&lt;"&amp;('Start Here'!$B$7+336)),_xlfn.MAXIFS(Log!$E$2:$E$1001,Log!$B$2:$B$1001,$A39,Log!$A$2:$A$1001,"&lt;"&amp;('Start Here'!$B$7+336)))&gt;0,ROUND(MAX(_xlfn.MAXIFS('Start Here'!$D$17:$D$56,'Start Here'!$A$17:$A$56,$A39),_xlfn.MAXIFS(Sets!$E$2:$E$1060,Sets!$B$2:$B$1060,$A39,Sets!$A$2:$A$1060,"&lt;"&amp;('Start Here'!$B$7+336)),_xlfn.MAXIFS(Log!$E$2:$E$1001,Log!$B$2:$B$1001,$A39,Log!$A$2:$A$1001,"&lt;"&amp;('Start Here'!$B$7+336))),1),IF(N(I6)&gt;0,ROUND(I6*$D39,1),""))</f>
        <v/>
      </c>
    </row>
    <row r="40">
      <c r="A40" s="23" t="inlineStr">
        <is>
          <t>Block Snatch</t>
        </is>
      </c>
      <c r="B40" t="inlineStr">
        <is>
          <t>variation</t>
        </is>
      </c>
      <c r="C40" t="inlineStr">
        <is>
          <t>Snatch</t>
        </is>
      </c>
      <c r="D40" t="n">
        <v>0.95</v>
      </c>
      <c r="E40" s="36">
        <f>IF(MAX(_xlfn.MAXIFS('Start Here'!$D$17:$D$56,'Start Here'!$A$17:$A$56,$A40),_xlfn.MAXIFS(Sets!$E$2:$E$1060,Sets!$B$2:$B$1060,$A40,Sets!$A$2:$A$1060,"&lt;"&amp;('Start Here'!$B$7+0)),_xlfn.MAXIFS(Log!$E$2:$E$1001,Log!$B$2:$B$1001,$A40,Log!$A$2:$A$1001,"&lt;"&amp;('Start Here'!$B$7+0)))&gt;0,ROUND(MAX(_xlfn.MAXIFS('Start Here'!$D$17:$D$56,'Start Here'!$A$17:$A$56,$A40),_xlfn.MAXIFS(Sets!$E$2:$E$1060,Sets!$B$2:$B$1060,$A40,Sets!$A$2:$A$1060,"&lt;"&amp;('Start Here'!$B$7+0)),_xlfn.MAXIFS(Log!$E$2:$E$1001,Log!$B$2:$B$1001,$A40,Log!$A$2:$A$1001,"&lt;"&amp;('Start Here'!$B$7+0))),1),IF(N(E6)&gt;0,ROUND(E6*$D40,1),""))</f>
        <v/>
      </c>
      <c r="F40" s="36">
        <f>IF(MAX(_xlfn.MAXIFS('Start Here'!$D$17:$D$56,'Start Here'!$A$17:$A$56,$A40),_xlfn.MAXIFS(Sets!$E$2:$E$1060,Sets!$B$2:$B$1060,$A40,Sets!$A$2:$A$1060,"&lt;"&amp;('Start Here'!$B$7+84)),_xlfn.MAXIFS(Log!$E$2:$E$1001,Log!$B$2:$B$1001,$A40,Log!$A$2:$A$1001,"&lt;"&amp;('Start Here'!$B$7+84)))&gt;0,ROUND(MAX(_xlfn.MAXIFS('Start Here'!$D$17:$D$56,'Start Here'!$A$17:$A$56,$A40),_xlfn.MAXIFS(Sets!$E$2:$E$1060,Sets!$B$2:$B$1060,$A40,Sets!$A$2:$A$1060,"&lt;"&amp;('Start Here'!$B$7+84)),_xlfn.MAXIFS(Log!$E$2:$E$1001,Log!$B$2:$B$1001,$A40,Log!$A$2:$A$1001,"&lt;"&amp;('Start Here'!$B$7+84))),1),IF(N(F6)&gt;0,ROUND(F6*$D40,1),""))</f>
        <v/>
      </c>
      <c r="G40" s="36">
        <f>IF(MAX(_xlfn.MAXIFS('Start Here'!$D$17:$D$56,'Start Here'!$A$17:$A$56,$A40),_xlfn.MAXIFS(Sets!$E$2:$E$1060,Sets!$B$2:$B$1060,$A40,Sets!$A$2:$A$1060,"&lt;"&amp;('Start Here'!$B$7+168)),_xlfn.MAXIFS(Log!$E$2:$E$1001,Log!$B$2:$B$1001,$A40,Log!$A$2:$A$1001,"&lt;"&amp;('Start Here'!$B$7+168)))&gt;0,ROUND(MAX(_xlfn.MAXIFS('Start Here'!$D$17:$D$56,'Start Here'!$A$17:$A$56,$A40),_xlfn.MAXIFS(Sets!$E$2:$E$1060,Sets!$B$2:$B$1060,$A40,Sets!$A$2:$A$1060,"&lt;"&amp;('Start Here'!$B$7+168)),_xlfn.MAXIFS(Log!$E$2:$E$1001,Log!$B$2:$B$1001,$A40,Log!$A$2:$A$1001,"&lt;"&amp;('Start Here'!$B$7+168))),1),IF(N(G6)&gt;0,ROUND(G6*$D40,1),""))</f>
        <v/>
      </c>
      <c r="H40" s="36">
        <f>IF(MAX(_xlfn.MAXIFS('Start Here'!$D$17:$D$56,'Start Here'!$A$17:$A$56,$A40),_xlfn.MAXIFS(Sets!$E$2:$E$1060,Sets!$B$2:$B$1060,$A40,Sets!$A$2:$A$1060,"&lt;"&amp;('Start Here'!$B$7+252)),_xlfn.MAXIFS(Log!$E$2:$E$1001,Log!$B$2:$B$1001,$A40,Log!$A$2:$A$1001,"&lt;"&amp;('Start Here'!$B$7+252)))&gt;0,ROUND(MAX(_xlfn.MAXIFS('Start Here'!$D$17:$D$56,'Start Here'!$A$17:$A$56,$A40),_xlfn.MAXIFS(Sets!$E$2:$E$1060,Sets!$B$2:$B$1060,$A40,Sets!$A$2:$A$1060,"&lt;"&amp;('Start Here'!$B$7+252)),_xlfn.MAXIFS(Log!$E$2:$E$1001,Log!$B$2:$B$1001,$A40,Log!$A$2:$A$1001,"&lt;"&amp;('Start Here'!$B$7+252))),1),IF(N(H6)&gt;0,ROUND(H6*$D40,1),""))</f>
        <v/>
      </c>
      <c r="I40" s="36">
        <f>IF(MAX(_xlfn.MAXIFS('Start Here'!$D$17:$D$56,'Start Here'!$A$17:$A$56,$A40),_xlfn.MAXIFS(Sets!$E$2:$E$1060,Sets!$B$2:$B$1060,$A40,Sets!$A$2:$A$1060,"&lt;"&amp;('Start Here'!$B$7+336)),_xlfn.MAXIFS(Log!$E$2:$E$1001,Log!$B$2:$B$1001,$A40,Log!$A$2:$A$1001,"&lt;"&amp;('Start Here'!$B$7+336)))&gt;0,ROUND(MAX(_xlfn.MAXIFS('Start Here'!$D$17:$D$56,'Start Here'!$A$17:$A$56,$A40),_xlfn.MAXIFS(Sets!$E$2:$E$1060,Sets!$B$2:$B$1060,$A40,Sets!$A$2:$A$1060,"&lt;"&amp;('Start Here'!$B$7+336)),_xlfn.MAXIFS(Log!$E$2:$E$1001,Log!$B$2:$B$1001,$A40,Log!$A$2:$A$1001,"&lt;"&amp;('Start Here'!$B$7+336))),1),IF(N(I6)&gt;0,ROUND(I6*$D40,1),""))</f>
        <v/>
      </c>
    </row>
    <row r="41">
      <c r="A41" s="23" t="inlineStr">
        <is>
          <t>Clean</t>
        </is>
      </c>
      <c r="B41" t="inlineStr">
        <is>
          <t>variation</t>
        </is>
      </c>
      <c r="C41" t="inlineStr">
        <is>
          <t>Clean &amp; Jerk</t>
        </is>
      </c>
      <c r="D41" t="n">
        <v>1.03</v>
      </c>
      <c r="E41" s="36">
        <f>IF(MAX(_xlfn.MAXIFS('Start Here'!$D$17:$D$56,'Start Here'!$A$17:$A$56,$A41),_xlfn.MAXIFS(Sets!$E$2:$E$1060,Sets!$B$2:$B$1060,$A41,Sets!$A$2:$A$1060,"&lt;"&amp;('Start Here'!$B$7+0)),_xlfn.MAXIFS(Log!$E$2:$E$1001,Log!$B$2:$B$1001,$A41,Log!$A$2:$A$1001,"&lt;"&amp;('Start Here'!$B$7+0)))&gt;0,ROUND(MAX(_xlfn.MAXIFS('Start Here'!$D$17:$D$56,'Start Here'!$A$17:$A$56,$A41),_xlfn.MAXIFS(Sets!$E$2:$E$1060,Sets!$B$2:$B$1060,$A41,Sets!$A$2:$A$1060,"&lt;"&amp;('Start Here'!$B$7+0)),_xlfn.MAXIFS(Log!$E$2:$E$1001,Log!$B$2:$B$1001,$A41,Log!$A$2:$A$1001,"&lt;"&amp;('Start Here'!$B$7+0))),1),IF(N(E7)&gt;0,ROUND(E7*$D41,1),""))</f>
        <v/>
      </c>
      <c r="F41" s="36">
        <f>IF(MAX(_xlfn.MAXIFS('Start Here'!$D$17:$D$56,'Start Here'!$A$17:$A$56,$A41),_xlfn.MAXIFS(Sets!$E$2:$E$1060,Sets!$B$2:$B$1060,$A41,Sets!$A$2:$A$1060,"&lt;"&amp;('Start Here'!$B$7+84)),_xlfn.MAXIFS(Log!$E$2:$E$1001,Log!$B$2:$B$1001,$A41,Log!$A$2:$A$1001,"&lt;"&amp;('Start Here'!$B$7+84)))&gt;0,ROUND(MAX(_xlfn.MAXIFS('Start Here'!$D$17:$D$56,'Start Here'!$A$17:$A$56,$A41),_xlfn.MAXIFS(Sets!$E$2:$E$1060,Sets!$B$2:$B$1060,$A41,Sets!$A$2:$A$1060,"&lt;"&amp;('Start Here'!$B$7+84)),_xlfn.MAXIFS(Log!$E$2:$E$1001,Log!$B$2:$B$1001,$A41,Log!$A$2:$A$1001,"&lt;"&amp;('Start Here'!$B$7+84))),1),IF(N(F7)&gt;0,ROUND(F7*$D41,1),""))</f>
        <v/>
      </c>
      <c r="G41" s="36">
        <f>IF(MAX(_xlfn.MAXIFS('Start Here'!$D$17:$D$56,'Start Here'!$A$17:$A$56,$A41),_xlfn.MAXIFS(Sets!$E$2:$E$1060,Sets!$B$2:$B$1060,$A41,Sets!$A$2:$A$1060,"&lt;"&amp;('Start Here'!$B$7+168)),_xlfn.MAXIFS(Log!$E$2:$E$1001,Log!$B$2:$B$1001,$A41,Log!$A$2:$A$1001,"&lt;"&amp;('Start Here'!$B$7+168)))&gt;0,ROUND(MAX(_xlfn.MAXIFS('Start Here'!$D$17:$D$56,'Start Here'!$A$17:$A$56,$A41),_xlfn.MAXIFS(Sets!$E$2:$E$1060,Sets!$B$2:$B$1060,$A41,Sets!$A$2:$A$1060,"&lt;"&amp;('Start Here'!$B$7+168)),_xlfn.MAXIFS(Log!$E$2:$E$1001,Log!$B$2:$B$1001,$A41,Log!$A$2:$A$1001,"&lt;"&amp;('Start Here'!$B$7+168))),1),IF(N(G7)&gt;0,ROUND(G7*$D41,1),""))</f>
        <v/>
      </c>
      <c r="H41" s="36">
        <f>IF(MAX(_xlfn.MAXIFS('Start Here'!$D$17:$D$56,'Start Here'!$A$17:$A$56,$A41),_xlfn.MAXIFS(Sets!$E$2:$E$1060,Sets!$B$2:$B$1060,$A41,Sets!$A$2:$A$1060,"&lt;"&amp;('Start Here'!$B$7+252)),_xlfn.MAXIFS(Log!$E$2:$E$1001,Log!$B$2:$B$1001,$A41,Log!$A$2:$A$1001,"&lt;"&amp;('Start Here'!$B$7+252)))&gt;0,ROUND(MAX(_xlfn.MAXIFS('Start Here'!$D$17:$D$56,'Start Here'!$A$17:$A$56,$A41),_xlfn.MAXIFS(Sets!$E$2:$E$1060,Sets!$B$2:$B$1060,$A41,Sets!$A$2:$A$1060,"&lt;"&amp;('Start Here'!$B$7+252)),_xlfn.MAXIFS(Log!$E$2:$E$1001,Log!$B$2:$B$1001,$A41,Log!$A$2:$A$1001,"&lt;"&amp;('Start Here'!$B$7+252))),1),IF(N(H7)&gt;0,ROUND(H7*$D41,1),""))</f>
        <v/>
      </c>
      <c r="I41" s="36">
        <f>IF(MAX(_xlfn.MAXIFS('Start Here'!$D$17:$D$56,'Start Here'!$A$17:$A$56,$A41),_xlfn.MAXIFS(Sets!$E$2:$E$1060,Sets!$B$2:$B$1060,$A41,Sets!$A$2:$A$1060,"&lt;"&amp;('Start Here'!$B$7+336)),_xlfn.MAXIFS(Log!$E$2:$E$1001,Log!$B$2:$B$1001,$A41,Log!$A$2:$A$1001,"&lt;"&amp;('Start Here'!$B$7+336)))&gt;0,ROUND(MAX(_xlfn.MAXIFS('Start Here'!$D$17:$D$56,'Start Here'!$A$17:$A$56,$A41),_xlfn.MAXIFS(Sets!$E$2:$E$1060,Sets!$B$2:$B$1060,$A41,Sets!$A$2:$A$1060,"&lt;"&amp;('Start Here'!$B$7+336)),_xlfn.MAXIFS(Log!$E$2:$E$1001,Log!$B$2:$B$1001,$A41,Log!$A$2:$A$1001,"&lt;"&amp;('Start Here'!$B$7+336))),1),IF(N(I7)&gt;0,ROUND(I7*$D41,1),""))</f>
        <v/>
      </c>
    </row>
    <row r="42">
      <c r="A42" s="23" t="inlineStr">
        <is>
          <t>Power Clean</t>
        </is>
      </c>
      <c r="B42" t="inlineStr">
        <is>
          <t>variation</t>
        </is>
      </c>
      <c r="C42" t="inlineStr">
        <is>
          <t>Clean &amp; Jerk</t>
        </is>
      </c>
      <c r="D42" t="n">
        <v>0.85</v>
      </c>
      <c r="E42" s="36">
        <f>IF(MAX(_xlfn.MAXIFS('Start Here'!$D$17:$D$56,'Start Here'!$A$17:$A$56,$A42),_xlfn.MAXIFS(Sets!$E$2:$E$1060,Sets!$B$2:$B$1060,$A42,Sets!$A$2:$A$1060,"&lt;"&amp;('Start Here'!$B$7+0)),_xlfn.MAXIFS(Log!$E$2:$E$1001,Log!$B$2:$B$1001,$A42,Log!$A$2:$A$1001,"&lt;"&amp;('Start Here'!$B$7+0)))&gt;0,ROUND(MAX(_xlfn.MAXIFS('Start Here'!$D$17:$D$56,'Start Here'!$A$17:$A$56,$A42),_xlfn.MAXIFS(Sets!$E$2:$E$1060,Sets!$B$2:$B$1060,$A42,Sets!$A$2:$A$1060,"&lt;"&amp;('Start Here'!$B$7+0)),_xlfn.MAXIFS(Log!$E$2:$E$1001,Log!$B$2:$B$1001,$A42,Log!$A$2:$A$1001,"&lt;"&amp;('Start Here'!$B$7+0))),1),IF(N(E7)&gt;0,ROUND(E7*$D42,1),""))</f>
        <v/>
      </c>
      <c r="F42" s="36">
        <f>IF(MAX(_xlfn.MAXIFS('Start Here'!$D$17:$D$56,'Start Here'!$A$17:$A$56,$A42),_xlfn.MAXIFS(Sets!$E$2:$E$1060,Sets!$B$2:$B$1060,$A42,Sets!$A$2:$A$1060,"&lt;"&amp;('Start Here'!$B$7+84)),_xlfn.MAXIFS(Log!$E$2:$E$1001,Log!$B$2:$B$1001,$A42,Log!$A$2:$A$1001,"&lt;"&amp;('Start Here'!$B$7+84)))&gt;0,ROUND(MAX(_xlfn.MAXIFS('Start Here'!$D$17:$D$56,'Start Here'!$A$17:$A$56,$A42),_xlfn.MAXIFS(Sets!$E$2:$E$1060,Sets!$B$2:$B$1060,$A42,Sets!$A$2:$A$1060,"&lt;"&amp;('Start Here'!$B$7+84)),_xlfn.MAXIFS(Log!$E$2:$E$1001,Log!$B$2:$B$1001,$A42,Log!$A$2:$A$1001,"&lt;"&amp;('Start Here'!$B$7+84))),1),IF(N(F7)&gt;0,ROUND(F7*$D42,1),""))</f>
        <v/>
      </c>
      <c r="G42" s="36">
        <f>IF(MAX(_xlfn.MAXIFS('Start Here'!$D$17:$D$56,'Start Here'!$A$17:$A$56,$A42),_xlfn.MAXIFS(Sets!$E$2:$E$1060,Sets!$B$2:$B$1060,$A42,Sets!$A$2:$A$1060,"&lt;"&amp;('Start Here'!$B$7+168)),_xlfn.MAXIFS(Log!$E$2:$E$1001,Log!$B$2:$B$1001,$A42,Log!$A$2:$A$1001,"&lt;"&amp;('Start Here'!$B$7+168)))&gt;0,ROUND(MAX(_xlfn.MAXIFS('Start Here'!$D$17:$D$56,'Start Here'!$A$17:$A$56,$A42),_xlfn.MAXIFS(Sets!$E$2:$E$1060,Sets!$B$2:$B$1060,$A42,Sets!$A$2:$A$1060,"&lt;"&amp;('Start Here'!$B$7+168)),_xlfn.MAXIFS(Log!$E$2:$E$1001,Log!$B$2:$B$1001,$A42,Log!$A$2:$A$1001,"&lt;"&amp;('Start Here'!$B$7+168))),1),IF(N(G7)&gt;0,ROUND(G7*$D42,1),""))</f>
        <v/>
      </c>
      <c r="H42" s="36">
        <f>IF(MAX(_xlfn.MAXIFS('Start Here'!$D$17:$D$56,'Start Here'!$A$17:$A$56,$A42),_xlfn.MAXIFS(Sets!$E$2:$E$1060,Sets!$B$2:$B$1060,$A42,Sets!$A$2:$A$1060,"&lt;"&amp;('Start Here'!$B$7+252)),_xlfn.MAXIFS(Log!$E$2:$E$1001,Log!$B$2:$B$1001,$A42,Log!$A$2:$A$1001,"&lt;"&amp;('Start Here'!$B$7+252)))&gt;0,ROUND(MAX(_xlfn.MAXIFS('Start Here'!$D$17:$D$56,'Start Here'!$A$17:$A$56,$A42),_xlfn.MAXIFS(Sets!$E$2:$E$1060,Sets!$B$2:$B$1060,$A42,Sets!$A$2:$A$1060,"&lt;"&amp;('Start Here'!$B$7+252)),_xlfn.MAXIFS(Log!$E$2:$E$1001,Log!$B$2:$B$1001,$A42,Log!$A$2:$A$1001,"&lt;"&amp;('Start Here'!$B$7+252))),1),IF(N(H7)&gt;0,ROUND(H7*$D42,1),""))</f>
        <v/>
      </c>
      <c r="I42" s="36">
        <f>IF(MAX(_xlfn.MAXIFS('Start Here'!$D$17:$D$56,'Start Here'!$A$17:$A$56,$A42),_xlfn.MAXIFS(Sets!$E$2:$E$1060,Sets!$B$2:$B$1060,$A42,Sets!$A$2:$A$1060,"&lt;"&amp;('Start Here'!$B$7+336)),_xlfn.MAXIFS(Log!$E$2:$E$1001,Log!$B$2:$B$1001,$A42,Log!$A$2:$A$1001,"&lt;"&amp;('Start Here'!$B$7+336)))&gt;0,ROUND(MAX(_xlfn.MAXIFS('Start Here'!$D$17:$D$56,'Start Here'!$A$17:$A$56,$A42),_xlfn.MAXIFS(Sets!$E$2:$E$1060,Sets!$B$2:$B$1060,$A42,Sets!$A$2:$A$1060,"&lt;"&amp;('Start Here'!$B$7+336)),_xlfn.MAXIFS(Log!$E$2:$E$1001,Log!$B$2:$B$1001,$A42,Log!$A$2:$A$1001,"&lt;"&amp;('Start Here'!$B$7+336))),1),IF(N(I7)&gt;0,ROUND(I7*$D42,1),""))</f>
        <v/>
      </c>
    </row>
    <row r="43">
      <c r="A43" s="23" t="inlineStr">
        <is>
          <t>Hang Clean</t>
        </is>
      </c>
      <c r="B43" t="inlineStr">
        <is>
          <t>variation</t>
        </is>
      </c>
      <c r="C43" t="inlineStr">
        <is>
          <t>Clean &amp; Jerk</t>
        </is>
      </c>
      <c r="D43" t="n">
        <v>0.95</v>
      </c>
      <c r="E43" s="36">
        <f>IF(MAX(_xlfn.MAXIFS('Start Here'!$D$17:$D$56,'Start Here'!$A$17:$A$56,$A43),_xlfn.MAXIFS(Sets!$E$2:$E$1060,Sets!$B$2:$B$1060,$A43,Sets!$A$2:$A$1060,"&lt;"&amp;('Start Here'!$B$7+0)),_xlfn.MAXIFS(Log!$E$2:$E$1001,Log!$B$2:$B$1001,$A43,Log!$A$2:$A$1001,"&lt;"&amp;('Start Here'!$B$7+0)))&gt;0,ROUND(MAX(_xlfn.MAXIFS('Start Here'!$D$17:$D$56,'Start Here'!$A$17:$A$56,$A43),_xlfn.MAXIFS(Sets!$E$2:$E$1060,Sets!$B$2:$B$1060,$A43,Sets!$A$2:$A$1060,"&lt;"&amp;('Start Here'!$B$7+0)),_xlfn.MAXIFS(Log!$E$2:$E$1001,Log!$B$2:$B$1001,$A43,Log!$A$2:$A$1001,"&lt;"&amp;('Start Here'!$B$7+0))),1),IF(N(E7)&gt;0,ROUND(E7*$D43,1),""))</f>
        <v/>
      </c>
      <c r="F43" s="36">
        <f>IF(MAX(_xlfn.MAXIFS('Start Here'!$D$17:$D$56,'Start Here'!$A$17:$A$56,$A43),_xlfn.MAXIFS(Sets!$E$2:$E$1060,Sets!$B$2:$B$1060,$A43,Sets!$A$2:$A$1060,"&lt;"&amp;('Start Here'!$B$7+84)),_xlfn.MAXIFS(Log!$E$2:$E$1001,Log!$B$2:$B$1001,$A43,Log!$A$2:$A$1001,"&lt;"&amp;('Start Here'!$B$7+84)))&gt;0,ROUND(MAX(_xlfn.MAXIFS('Start Here'!$D$17:$D$56,'Start Here'!$A$17:$A$56,$A43),_xlfn.MAXIFS(Sets!$E$2:$E$1060,Sets!$B$2:$B$1060,$A43,Sets!$A$2:$A$1060,"&lt;"&amp;('Start Here'!$B$7+84)),_xlfn.MAXIFS(Log!$E$2:$E$1001,Log!$B$2:$B$1001,$A43,Log!$A$2:$A$1001,"&lt;"&amp;('Start Here'!$B$7+84))),1),IF(N(F7)&gt;0,ROUND(F7*$D43,1),""))</f>
        <v/>
      </c>
      <c r="G43" s="36">
        <f>IF(MAX(_xlfn.MAXIFS('Start Here'!$D$17:$D$56,'Start Here'!$A$17:$A$56,$A43),_xlfn.MAXIFS(Sets!$E$2:$E$1060,Sets!$B$2:$B$1060,$A43,Sets!$A$2:$A$1060,"&lt;"&amp;('Start Here'!$B$7+168)),_xlfn.MAXIFS(Log!$E$2:$E$1001,Log!$B$2:$B$1001,$A43,Log!$A$2:$A$1001,"&lt;"&amp;('Start Here'!$B$7+168)))&gt;0,ROUND(MAX(_xlfn.MAXIFS('Start Here'!$D$17:$D$56,'Start Here'!$A$17:$A$56,$A43),_xlfn.MAXIFS(Sets!$E$2:$E$1060,Sets!$B$2:$B$1060,$A43,Sets!$A$2:$A$1060,"&lt;"&amp;('Start Here'!$B$7+168)),_xlfn.MAXIFS(Log!$E$2:$E$1001,Log!$B$2:$B$1001,$A43,Log!$A$2:$A$1001,"&lt;"&amp;('Start Here'!$B$7+168))),1),IF(N(G7)&gt;0,ROUND(G7*$D43,1),""))</f>
        <v/>
      </c>
      <c r="H43" s="36">
        <f>IF(MAX(_xlfn.MAXIFS('Start Here'!$D$17:$D$56,'Start Here'!$A$17:$A$56,$A43),_xlfn.MAXIFS(Sets!$E$2:$E$1060,Sets!$B$2:$B$1060,$A43,Sets!$A$2:$A$1060,"&lt;"&amp;('Start Here'!$B$7+252)),_xlfn.MAXIFS(Log!$E$2:$E$1001,Log!$B$2:$B$1001,$A43,Log!$A$2:$A$1001,"&lt;"&amp;('Start Here'!$B$7+252)))&gt;0,ROUND(MAX(_xlfn.MAXIFS('Start Here'!$D$17:$D$56,'Start Here'!$A$17:$A$56,$A43),_xlfn.MAXIFS(Sets!$E$2:$E$1060,Sets!$B$2:$B$1060,$A43,Sets!$A$2:$A$1060,"&lt;"&amp;('Start Here'!$B$7+252)),_xlfn.MAXIFS(Log!$E$2:$E$1001,Log!$B$2:$B$1001,$A43,Log!$A$2:$A$1001,"&lt;"&amp;('Start Here'!$B$7+252))),1),IF(N(H7)&gt;0,ROUND(H7*$D43,1),""))</f>
        <v/>
      </c>
      <c r="I43" s="36">
        <f>IF(MAX(_xlfn.MAXIFS('Start Here'!$D$17:$D$56,'Start Here'!$A$17:$A$56,$A43),_xlfn.MAXIFS(Sets!$E$2:$E$1060,Sets!$B$2:$B$1060,$A43,Sets!$A$2:$A$1060,"&lt;"&amp;('Start Here'!$B$7+336)),_xlfn.MAXIFS(Log!$E$2:$E$1001,Log!$B$2:$B$1001,$A43,Log!$A$2:$A$1001,"&lt;"&amp;('Start Here'!$B$7+336)))&gt;0,ROUND(MAX(_xlfn.MAXIFS('Start Here'!$D$17:$D$56,'Start Here'!$A$17:$A$56,$A43),_xlfn.MAXIFS(Sets!$E$2:$E$1060,Sets!$B$2:$B$1060,$A43,Sets!$A$2:$A$1060,"&lt;"&amp;('Start Here'!$B$7+336)),_xlfn.MAXIFS(Log!$E$2:$E$1001,Log!$B$2:$B$1001,$A43,Log!$A$2:$A$1001,"&lt;"&amp;('Start Here'!$B$7+336))),1),IF(N(I7)&gt;0,ROUND(I7*$D43,1),""))</f>
        <v/>
      </c>
    </row>
    <row r="44">
      <c r="A44" s="23" t="inlineStr">
        <is>
          <t>Hang Power Clean</t>
        </is>
      </c>
      <c r="B44" t="inlineStr">
        <is>
          <t>variation</t>
        </is>
      </c>
      <c r="C44" t="inlineStr">
        <is>
          <t>Clean &amp; Jerk</t>
        </is>
      </c>
      <c r="D44" t="n">
        <v>0.8</v>
      </c>
      <c r="E44" s="36">
        <f>IF(MAX(_xlfn.MAXIFS('Start Here'!$D$17:$D$56,'Start Here'!$A$17:$A$56,$A44),_xlfn.MAXIFS(Sets!$E$2:$E$1060,Sets!$B$2:$B$1060,$A44,Sets!$A$2:$A$1060,"&lt;"&amp;('Start Here'!$B$7+0)),_xlfn.MAXIFS(Log!$E$2:$E$1001,Log!$B$2:$B$1001,$A44,Log!$A$2:$A$1001,"&lt;"&amp;('Start Here'!$B$7+0)))&gt;0,ROUND(MAX(_xlfn.MAXIFS('Start Here'!$D$17:$D$56,'Start Here'!$A$17:$A$56,$A44),_xlfn.MAXIFS(Sets!$E$2:$E$1060,Sets!$B$2:$B$1060,$A44,Sets!$A$2:$A$1060,"&lt;"&amp;('Start Here'!$B$7+0)),_xlfn.MAXIFS(Log!$E$2:$E$1001,Log!$B$2:$B$1001,$A44,Log!$A$2:$A$1001,"&lt;"&amp;('Start Here'!$B$7+0))),1),IF(N(E7)&gt;0,ROUND(E7*$D44,1),""))</f>
        <v/>
      </c>
      <c r="F44" s="36">
        <f>IF(MAX(_xlfn.MAXIFS('Start Here'!$D$17:$D$56,'Start Here'!$A$17:$A$56,$A44),_xlfn.MAXIFS(Sets!$E$2:$E$1060,Sets!$B$2:$B$1060,$A44,Sets!$A$2:$A$1060,"&lt;"&amp;('Start Here'!$B$7+84)),_xlfn.MAXIFS(Log!$E$2:$E$1001,Log!$B$2:$B$1001,$A44,Log!$A$2:$A$1001,"&lt;"&amp;('Start Here'!$B$7+84)))&gt;0,ROUND(MAX(_xlfn.MAXIFS('Start Here'!$D$17:$D$56,'Start Here'!$A$17:$A$56,$A44),_xlfn.MAXIFS(Sets!$E$2:$E$1060,Sets!$B$2:$B$1060,$A44,Sets!$A$2:$A$1060,"&lt;"&amp;('Start Here'!$B$7+84)),_xlfn.MAXIFS(Log!$E$2:$E$1001,Log!$B$2:$B$1001,$A44,Log!$A$2:$A$1001,"&lt;"&amp;('Start Here'!$B$7+84))),1),IF(N(F7)&gt;0,ROUND(F7*$D44,1),""))</f>
        <v/>
      </c>
      <c r="G44" s="36">
        <f>IF(MAX(_xlfn.MAXIFS('Start Here'!$D$17:$D$56,'Start Here'!$A$17:$A$56,$A44),_xlfn.MAXIFS(Sets!$E$2:$E$1060,Sets!$B$2:$B$1060,$A44,Sets!$A$2:$A$1060,"&lt;"&amp;('Start Here'!$B$7+168)),_xlfn.MAXIFS(Log!$E$2:$E$1001,Log!$B$2:$B$1001,$A44,Log!$A$2:$A$1001,"&lt;"&amp;('Start Here'!$B$7+168)))&gt;0,ROUND(MAX(_xlfn.MAXIFS('Start Here'!$D$17:$D$56,'Start Here'!$A$17:$A$56,$A44),_xlfn.MAXIFS(Sets!$E$2:$E$1060,Sets!$B$2:$B$1060,$A44,Sets!$A$2:$A$1060,"&lt;"&amp;('Start Here'!$B$7+168)),_xlfn.MAXIFS(Log!$E$2:$E$1001,Log!$B$2:$B$1001,$A44,Log!$A$2:$A$1001,"&lt;"&amp;('Start Here'!$B$7+168))),1),IF(N(G7)&gt;0,ROUND(G7*$D44,1),""))</f>
        <v/>
      </c>
      <c r="H44" s="36">
        <f>IF(MAX(_xlfn.MAXIFS('Start Here'!$D$17:$D$56,'Start Here'!$A$17:$A$56,$A44),_xlfn.MAXIFS(Sets!$E$2:$E$1060,Sets!$B$2:$B$1060,$A44,Sets!$A$2:$A$1060,"&lt;"&amp;('Start Here'!$B$7+252)),_xlfn.MAXIFS(Log!$E$2:$E$1001,Log!$B$2:$B$1001,$A44,Log!$A$2:$A$1001,"&lt;"&amp;('Start Here'!$B$7+252)))&gt;0,ROUND(MAX(_xlfn.MAXIFS('Start Here'!$D$17:$D$56,'Start Here'!$A$17:$A$56,$A44),_xlfn.MAXIFS(Sets!$E$2:$E$1060,Sets!$B$2:$B$1060,$A44,Sets!$A$2:$A$1060,"&lt;"&amp;('Start Here'!$B$7+252)),_xlfn.MAXIFS(Log!$E$2:$E$1001,Log!$B$2:$B$1001,$A44,Log!$A$2:$A$1001,"&lt;"&amp;('Start Here'!$B$7+252))),1),IF(N(H7)&gt;0,ROUND(H7*$D44,1),""))</f>
        <v/>
      </c>
      <c r="I44" s="36">
        <f>IF(MAX(_xlfn.MAXIFS('Start Here'!$D$17:$D$56,'Start Here'!$A$17:$A$56,$A44),_xlfn.MAXIFS(Sets!$E$2:$E$1060,Sets!$B$2:$B$1060,$A44,Sets!$A$2:$A$1060,"&lt;"&amp;('Start Here'!$B$7+336)),_xlfn.MAXIFS(Log!$E$2:$E$1001,Log!$B$2:$B$1001,$A44,Log!$A$2:$A$1001,"&lt;"&amp;('Start Here'!$B$7+336)))&gt;0,ROUND(MAX(_xlfn.MAXIFS('Start Here'!$D$17:$D$56,'Start Here'!$A$17:$A$56,$A44),_xlfn.MAXIFS(Sets!$E$2:$E$1060,Sets!$B$2:$B$1060,$A44,Sets!$A$2:$A$1060,"&lt;"&amp;('Start Here'!$B$7+336)),_xlfn.MAXIFS(Log!$E$2:$E$1001,Log!$B$2:$B$1001,$A44,Log!$A$2:$A$1001,"&lt;"&amp;('Start Here'!$B$7+336))),1),IF(N(I7)&gt;0,ROUND(I7*$D44,1),""))</f>
        <v/>
      </c>
    </row>
    <row r="45">
      <c r="A45" s="23" t="inlineStr">
        <is>
          <t>Push Jerk</t>
        </is>
      </c>
      <c r="B45" t="inlineStr">
        <is>
          <t>variation</t>
        </is>
      </c>
      <c r="C45" t="inlineStr">
        <is>
          <t>Clean &amp; Jerk</t>
        </is>
      </c>
      <c r="D45" t="n">
        <v>1</v>
      </c>
      <c r="E45" s="36">
        <f>IF(MAX(_xlfn.MAXIFS('Start Here'!$D$17:$D$56,'Start Here'!$A$17:$A$56,$A45),_xlfn.MAXIFS(Sets!$E$2:$E$1060,Sets!$B$2:$B$1060,$A45,Sets!$A$2:$A$1060,"&lt;"&amp;('Start Here'!$B$7+0)),_xlfn.MAXIFS(Log!$E$2:$E$1001,Log!$B$2:$B$1001,$A45,Log!$A$2:$A$1001,"&lt;"&amp;('Start Here'!$B$7+0)))&gt;0,ROUND(MAX(_xlfn.MAXIFS('Start Here'!$D$17:$D$56,'Start Here'!$A$17:$A$56,$A45),_xlfn.MAXIFS(Sets!$E$2:$E$1060,Sets!$B$2:$B$1060,$A45,Sets!$A$2:$A$1060,"&lt;"&amp;('Start Here'!$B$7+0)),_xlfn.MAXIFS(Log!$E$2:$E$1001,Log!$B$2:$B$1001,$A45,Log!$A$2:$A$1001,"&lt;"&amp;('Start Here'!$B$7+0))),1),IF(N(E7)&gt;0,ROUND(E7*$D45,1),""))</f>
        <v/>
      </c>
      <c r="F45" s="36">
        <f>IF(MAX(_xlfn.MAXIFS('Start Here'!$D$17:$D$56,'Start Here'!$A$17:$A$56,$A45),_xlfn.MAXIFS(Sets!$E$2:$E$1060,Sets!$B$2:$B$1060,$A45,Sets!$A$2:$A$1060,"&lt;"&amp;('Start Here'!$B$7+84)),_xlfn.MAXIFS(Log!$E$2:$E$1001,Log!$B$2:$B$1001,$A45,Log!$A$2:$A$1001,"&lt;"&amp;('Start Here'!$B$7+84)))&gt;0,ROUND(MAX(_xlfn.MAXIFS('Start Here'!$D$17:$D$56,'Start Here'!$A$17:$A$56,$A45),_xlfn.MAXIFS(Sets!$E$2:$E$1060,Sets!$B$2:$B$1060,$A45,Sets!$A$2:$A$1060,"&lt;"&amp;('Start Here'!$B$7+84)),_xlfn.MAXIFS(Log!$E$2:$E$1001,Log!$B$2:$B$1001,$A45,Log!$A$2:$A$1001,"&lt;"&amp;('Start Here'!$B$7+84))),1),IF(N(F7)&gt;0,ROUND(F7*$D45,1),""))</f>
        <v/>
      </c>
      <c r="G45" s="36">
        <f>IF(MAX(_xlfn.MAXIFS('Start Here'!$D$17:$D$56,'Start Here'!$A$17:$A$56,$A45),_xlfn.MAXIFS(Sets!$E$2:$E$1060,Sets!$B$2:$B$1060,$A45,Sets!$A$2:$A$1060,"&lt;"&amp;('Start Here'!$B$7+168)),_xlfn.MAXIFS(Log!$E$2:$E$1001,Log!$B$2:$B$1001,$A45,Log!$A$2:$A$1001,"&lt;"&amp;('Start Here'!$B$7+168)))&gt;0,ROUND(MAX(_xlfn.MAXIFS('Start Here'!$D$17:$D$56,'Start Here'!$A$17:$A$56,$A45),_xlfn.MAXIFS(Sets!$E$2:$E$1060,Sets!$B$2:$B$1060,$A45,Sets!$A$2:$A$1060,"&lt;"&amp;('Start Here'!$B$7+168)),_xlfn.MAXIFS(Log!$E$2:$E$1001,Log!$B$2:$B$1001,$A45,Log!$A$2:$A$1001,"&lt;"&amp;('Start Here'!$B$7+168))),1),IF(N(G7)&gt;0,ROUND(G7*$D45,1),""))</f>
        <v/>
      </c>
      <c r="H45" s="36">
        <f>IF(MAX(_xlfn.MAXIFS('Start Here'!$D$17:$D$56,'Start Here'!$A$17:$A$56,$A45),_xlfn.MAXIFS(Sets!$E$2:$E$1060,Sets!$B$2:$B$1060,$A45,Sets!$A$2:$A$1060,"&lt;"&amp;('Start Here'!$B$7+252)),_xlfn.MAXIFS(Log!$E$2:$E$1001,Log!$B$2:$B$1001,$A45,Log!$A$2:$A$1001,"&lt;"&amp;('Start Here'!$B$7+252)))&gt;0,ROUND(MAX(_xlfn.MAXIFS('Start Here'!$D$17:$D$56,'Start Here'!$A$17:$A$56,$A45),_xlfn.MAXIFS(Sets!$E$2:$E$1060,Sets!$B$2:$B$1060,$A45,Sets!$A$2:$A$1060,"&lt;"&amp;('Start Here'!$B$7+252)),_xlfn.MAXIFS(Log!$E$2:$E$1001,Log!$B$2:$B$1001,$A45,Log!$A$2:$A$1001,"&lt;"&amp;('Start Here'!$B$7+252))),1),IF(N(H7)&gt;0,ROUND(H7*$D45,1),""))</f>
        <v/>
      </c>
      <c r="I45" s="36">
        <f>IF(MAX(_xlfn.MAXIFS('Start Here'!$D$17:$D$56,'Start Here'!$A$17:$A$56,$A45),_xlfn.MAXIFS(Sets!$E$2:$E$1060,Sets!$B$2:$B$1060,$A45,Sets!$A$2:$A$1060,"&lt;"&amp;('Start Here'!$B$7+336)),_xlfn.MAXIFS(Log!$E$2:$E$1001,Log!$B$2:$B$1001,$A45,Log!$A$2:$A$1001,"&lt;"&amp;('Start Here'!$B$7+336)))&gt;0,ROUND(MAX(_xlfn.MAXIFS('Start Here'!$D$17:$D$56,'Start Here'!$A$17:$A$56,$A45),_xlfn.MAXIFS(Sets!$E$2:$E$1060,Sets!$B$2:$B$1060,$A45,Sets!$A$2:$A$1060,"&lt;"&amp;('Start Here'!$B$7+336)),_xlfn.MAXIFS(Log!$E$2:$E$1001,Log!$B$2:$B$1001,$A45,Log!$A$2:$A$1001,"&lt;"&amp;('Start Here'!$B$7+336))),1),IF(N(I7)&gt;0,ROUND(I7*$D45,1),""))</f>
        <v/>
      </c>
    </row>
    <row r="46">
      <c r="A46" s="23" t="inlineStr">
        <is>
          <t>Split Jerk</t>
        </is>
      </c>
      <c r="B46" t="inlineStr">
        <is>
          <t>variation</t>
        </is>
      </c>
      <c r="C46" t="inlineStr">
        <is>
          <t>Clean &amp; Jerk</t>
        </is>
      </c>
      <c r="D46" t="n">
        <v>1.03</v>
      </c>
      <c r="E46" s="36">
        <f>IF(MAX(_xlfn.MAXIFS('Start Here'!$D$17:$D$56,'Start Here'!$A$17:$A$56,$A46),_xlfn.MAXIFS(Sets!$E$2:$E$1060,Sets!$B$2:$B$1060,$A46,Sets!$A$2:$A$1060,"&lt;"&amp;('Start Here'!$B$7+0)),_xlfn.MAXIFS(Log!$E$2:$E$1001,Log!$B$2:$B$1001,$A46,Log!$A$2:$A$1001,"&lt;"&amp;('Start Here'!$B$7+0)))&gt;0,ROUND(MAX(_xlfn.MAXIFS('Start Here'!$D$17:$D$56,'Start Here'!$A$17:$A$56,$A46),_xlfn.MAXIFS(Sets!$E$2:$E$1060,Sets!$B$2:$B$1060,$A46,Sets!$A$2:$A$1060,"&lt;"&amp;('Start Here'!$B$7+0)),_xlfn.MAXIFS(Log!$E$2:$E$1001,Log!$B$2:$B$1001,$A46,Log!$A$2:$A$1001,"&lt;"&amp;('Start Here'!$B$7+0))),1),IF(N(E7)&gt;0,ROUND(E7*$D46,1),""))</f>
        <v/>
      </c>
      <c r="F46" s="36">
        <f>IF(MAX(_xlfn.MAXIFS('Start Here'!$D$17:$D$56,'Start Here'!$A$17:$A$56,$A46),_xlfn.MAXIFS(Sets!$E$2:$E$1060,Sets!$B$2:$B$1060,$A46,Sets!$A$2:$A$1060,"&lt;"&amp;('Start Here'!$B$7+84)),_xlfn.MAXIFS(Log!$E$2:$E$1001,Log!$B$2:$B$1001,$A46,Log!$A$2:$A$1001,"&lt;"&amp;('Start Here'!$B$7+84)))&gt;0,ROUND(MAX(_xlfn.MAXIFS('Start Here'!$D$17:$D$56,'Start Here'!$A$17:$A$56,$A46),_xlfn.MAXIFS(Sets!$E$2:$E$1060,Sets!$B$2:$B$1060,$A46,Sets!$A$2:$A$1060,"&lt;"&amp;('Start Here'!$B$7+84)),_xlfn.MAXIFS(Log!$E$2:$E$1001,Log!$B$2:$B$1001,$A46,Log!$A$2:$A$1001,"&lt;"&amp;('Start Here'!$B$7+84))),1),IF(N(F7)&gt;0,ROUND(F7*$D46,1),""))</f>
        <v/>
      </c>
      <c r="G46" s="36">
        <f>IF(MAX(_xlfn.MAXIFS('Start Here'!$D$17:$D$56,'Start Here'!$A$17:$A$56,$A46),_xlfn.MAXIFS(Sets!$E$2:$E$1060,Sets!$B$2:$B$1060,$A46,Sets!$A$2:$A$1060,"&lt;"&amp;('Start Here'!$B$7+168)),_xlfn.MAXIFS(Log!$E$2:$E$1001,Log!$B$2:$B$1001,$A46,Log!$A$2:$A$1001,"&lt;"&amp;('Start Here'!$B$7+168)))&gt;0,ROUND(MAX(_xlfn.MAXIFS('Start Here'!$D$17:$D$56,'Start Here'!$A$17:$A$56,$A46),_xlfn.MAXIFS(Sets!$E$2:$E$1060,Sets!$B$2:$B$1060,$A46,Sets!$A$2:$A$1060,"&lt;"&amp;('Start Here'!$B$7+168)),_xlfn.MAXIFS(Log!$E$2:$E$1001,Log!$B$2:$B$1001,$A46,Log!$A$2:$A$1001,"&lt;"&amp;('Start Here'!$B$7+168))),1),IF(N(G7)&gt;0,ROUND(G7*$D46,1),""))</f>
        <v/>
      </c>
      <c r="H46" s="36">
        <f>IF(MAX(_xlfn.MAXIFS('Start Here'!$D$17:$D$56,'Start Here'!$A$17:$A$56,$A46),_xlfn.MAXIFS(Sets!$E$2:$E$1060,Sets!$B$2:$B$1060,$A46,Sets!$A$2:$A$1060,"&lt;"&amp;('Start Here'!$B$7+252)),_xlfn.MAXIFS(Log!$E$2:$E$1001,Log!$B$2:$B$1001,$A46,Log!$A$2:$A$1001,"&lt;"&amp;('Start Here'!$B$7+252)))&gt;0,ROUND(MAX(_xlfn.MAXIFS('Start Here'!$D$17:$D$56,'Start Here'!$A$17:$A$56,$A46),_xlfn.MAXIFS(Sets!$E$2:$E$1060,Sets!$B$2:$B$1060,$A46,Sets!$A$2:$A$1060,"&lt;"&amp;('Start Here'!$B$7+252)),_xlfn.MAXIFS(Log!$E$2:$E$1001,Log!$B$2:$B$1001,$A46,Log!$A$2:$A$1001,"&lt;"&amp;('Start Here'!$B$7+252))),1),IF(N(H7)&gt;0,ROUND(H7*$D46,1),""))</f>
        <v/>
      </c>
      <c r="I46" s="36">
        <f>IF(MAX(_xlfn.MAXIFS('Start Here'!$D$17:$D$56,'Start Here'!$A$17:$A$56,$A46),_xlfn.MAXIFS(Sets!$E$2:$E$1060,Sets!$B$2:$B$1060,$A46,Sets!$A$2:$A$1060,"&lt;"&amp;('Start Here'!$B$7+336)),_xlfn.MAXIFS(Log!$E$2:$E$1001,Log!$B$2:$B$1001,$A46,Log!$A$2:$A$1001,"&lt;"&amp;('Start Here'!$B$7+336)))&gt;0,ROUND(MAX(_xlfn.MAXIFS('Start Here'!$D$17:$D$56,'Start Here'!$A$17:$A$56,$A46),_xlfn.MAXIFS(Sets!$E$2:$E$1060,Sets!$B$2:$B$1060,$A46,Sets!$A$2:$A$1060,"&lt;"&amp;('Start Here'!$B$7+336)),_xlfn.MAXIFS(Log!$E$2:$E$1001,Log!$B$2:$B$1001,$A46,Log!$A$2:$A$1001,"&lt;"&amp;('Start Here'!$B$7+336))),1),IF(N(I7)&gt;0,ROUND(I7*$D46,1),""))</f>
        <v/>
      </c>
    </row>
    <row r="47">
      <c r="A47" s="23" t="inlineStr">
        <is>
          <t>Push Press (Jerk Rack)</t>
        </is>
      </c>
      <c r="B47" t="inlineStr">
        <is>
          <t>variation</t>
        </is>
      </c>
      <c r="C47" t="inlineStr">
        <is>
          <t>Clean &amp; Jerk</t>
        </is>
      </c>
      <c r="D47" t="n">
        <v>0.85</v>
      </c>
      <c r="E47" s="36">
        <f>IF(MAX(_xlfn.MAXIFS('Start Here'!$D$17:$D$56,'Start Here'!$A$17:$A$56,$A47),_xlfn.MAXIFS(Sets!$E$2:$E$1060,Sets!$B$2:$B$1060,$A47,Sets!$A$2:$A$1060,"&lt;"&amp;('Start Here'!$B$7+0)),_xlfn.MAXIFS(Log!$E$2:$E$1001,Log!$B$2:$B$1001,$A47,Log!$A$2:$A$1001,"&lt;"&amp;('Start Here'!$B$7+0)))&gt;0,ROUND(MAX(_xlfn.MAXIFS('Start Here'!$D$17:$D$56,'Start Here'!$A$17:$A$56,$A47),_xlfn.MAXIFS(Sets!$E$2:$E$1060,Sets!$B$2:$B$1060,$A47,Sets!$A$2:$A$1060,"&lt;"&amp;('Start Here'!$B$7+0)),_xlfn.MAXIFS(Log!$E$2:$E$1001,Log!$B$2:$B$1001,$A47,Log!$A$2:$A$1001,"&lt;"&amp;('Start Here'!$B$7+0))),1),IF(N(E7)&gt;0,ROUND(E7*$D47,1),""))</f>
        <v/>
      </c>
      <c r="F47" s="36">
        <f>IF(MAX(_xlfn.MAXIFS('Start Here'!$D$17:$D$56,'Start Here'!$A$17:$A$56,$A47),_xlfn.MAXIFS(Sets!$E$2:$E$1060,Sets!$B$2:$B$1060,$A47,Sets!$A$2:$A$1060,"&lt;"&amp;('Start Here'!$B$7+84)),_xlfn.MAXIFS(Log!$E$2:$E$1001,Log!$B$2:$B$1001,$A47,Log!$A$2:$A$1001,"&lt;"&amp;('Start Here'!$B$7+84)))&gt;0,ROUND(MAX(_xlfn.MAXIFS('Start Here'!$D$17:$D$56,'Start Here'!$A$17:$A$56,$A47),_xlfn.MAXIFS(Sets!$E$2:$E$1060,Sets!$B$2:$B$1060,$A47,Sets!$A$2:$A$1060,"&lt;"&amp;('Start Here'!$B$7+84)),_xlfn.MAXIFS(Log!$E$2:$E$1001,Log!$B$2:$B$1001,$A47,Log!$A$2:$A$1001,"&lt;"&amp;('Start Here'!$B$7+84))),1),IF(N(F7)&gt;0,ROUND(F7*$D47,1),""))</f>
        <v/>
      </c>
      <c r="G47" s="36">
        <f>IF(MAX(_xlfn.MAXIFS('Start Here'!$D$17:$D$56,'Start Here'!$A$17:$A$56,$A47),_xlfn.MAXIFS(Sets!$E$2:$E$1060,Sets!$B$2:$B$1060,$A47,Sets!$A$2:$A$1060,"&lt;"&amp;('Start Here'!$B$7+168)),_xlfn.MAXIFS(Log!$E$2:$E$1001,Log!$B$2:$B$1001,$A47,Log!$A$2:$A$1001,"&lt;"&amp;('Start Here'!$B$7+168)))&gt;0,ROUND(MAX(_xlfn.MAXIFS('Start Here'!$D$17:$D$56,'Start Here'!$A$17:$A$56,$A47),_xlfn.MAXIFS(Sets!$E$2:$E$1060,Sets!$B$2:$B$1060,$A47,Sets!$A$2:$A$1060,"&lt;"&amp;('Start Here'!$B$7+168)),_xlfn.MAXIFS(Log!$E$2:$E$1001,Log!$B$2:$B$1001,$A47,Log!$A$2:$A$1001,"&lt;"&amp;('Start Here'!$B$7+168))),1),IF(N(G7)&gt;0,ROUND(G7*$D47,1),""))</f>
        <v/>
      </c>
      <c r="H47" s="36">
        <f>IF(MAX(_xlfn.MAXIFS('Start Here'!$D$17:$D$56,'Start Here'!$A$17:$A$56,$A47),_xlfn.MAXIFS(Sets!$E$2:$E$1060,Sets!$B$2:$B$1060,$A47,Sets!$A$2:$A$1060,"&lt;"&amp;('Start Here'!$B$7+252)),_xlfn.MAXIFS(Log!$E$2:$E$1001,Log!$B$2:$B$1001,$A47,Log!$A$2:$A$1001,"&lt;"&amp;('Start Here'!$B$7+252)))&gt;0,ROUND(MAX(_xlfn.MAXIFS('Start Here'!$D$17:$D$56,'Start Here'!$A$17:$A$56,$A47),_xlfn.MAXIFS(Sets!$E$2:$E$1060,Sets!$B$2:$B$1060,$A47,Sets!$A$2:$A$1060,"&lt;"&amp;('Start Here'!$B$7+252)),_xlfn.MAXIFS(Log!$E$2:$E$1001,Log!$B$2:$B$1001,$A47,Log!$A$2:$A$1001,"&lt;"&amp;('Start Here'!$B$7+252))),1),IF(N(H7)&gt;0,ROUND(H7*$D47,1),""))</f>
        <v/>
      </c>
      <c r="I47" s="36">
        <f>IF(MAX(_xlfn.MAXIFS('Start Here'!$D$17:$D$56,'Start Here'!$A$17:$A$56,$A47),_xlfn.MAXIFS(Sets!$E$2:$E$1060,Sets!$B$2:$B$1060,$A47,Sets!$A$2:$A$1060,"&lt;"&amp;('Start Here'!$B$7+336)),_xlfn.MAXIFS(Log!$E$2:$E$1001,Log!$B$2:$B$1001,$A47,Log!$A$2:$A$1001,"&lt;"&amp;('Start Here'!$B$7+336)))&gt;0,ROUND(MAX(_xlfn.MAXIFS('Start Here'!$D$17:$D$56,'Start Here'!$A$17:$A$56,$A47),_xlfn.MAXIFS(Sets!$E$2:$E$1060,Sets!$B$2:$B$1060,$A47,Sets!$A$2:$A$1060,"&lt;"&amp;('Start Here'!$B$7+336)),_xlfn.MAXIFS(Log!$E$2:$E$1001,Log!$B$2:$B$1001,$A47,Log!$A$2:$A$1001,"&lt;"&amp;('Start Here'!$B$7+336))),1),IF(N(I7)&gt;0,ROUND(I7*$D47,1),""))</f>
        <v/>
      </c>
    </row>
    <row r="48">
      <c r="A48" s="23" t="inlineStr">
        <is>
          <t>Clean Pull</t>
        </is>
      </c>
      <c r="B48" t="inlineStr">
        <is>
          <t>variation</t>
        </is>
      </c>
      <c r="C48" t="inlineStr">
        <is>
          <t>Clean &amp; Jerk</t>
        </is>
      </c>
      <c r="D48" t="n">
        <v>1.2</v>
      </c>
      <c r="E48" s="36">
        <f>IF(MAX(_xlfn.MAXIFS('Start Here'!$D$17:$D$56,'Start Here'!$A$17:$A$56,$A48),_xlfn.MAXIFS(Sets!$E$2:$E$1060,Sets!$B$2:$B$1060,$A48,Sets!$A$2:$A$1060,"&lt;"&amp;('Start Here'!$B$7+0)),_xlfn.MAXIFS(Log!$E$2:$E$1001,Log!$B$2:$B$1001,$A48,Log!$A$2:$A$1001,"&lt;"&amp;('Start Here'!$B$7+0)))&gt;0,ROUND(MAX(_xlfn.MAXIFS('Start Here'!$D$17:$D$56,'Start Here'!$A$17:$A$56,$A48),_xlfn.MAXIFS(Sets!$E$2:$E$1060,Sets!$B$2:$B$1060,$A48,Sets!$A$2:$A$1060,"&lt;"&amp;('Start Here'!$B$7+0)),_xlfn.MAXIFS(Log!$E$2:$E$1001,Log!$B$2:$B$1001,$A48,Log!$A$2:$A$1001,"&lt;"&amp;('Start Here'!$B$7+0))),1),IF(N(E7)&gt;0,ROUND(E7*$D48,1),""))</f>
        <v/>
      </c>
      <c r="F48" s="36">
        <f>IF(MAX(_xlfn.MAXIFS('Start Here'!$D$17:$D$56,'Start Here'!$A$17:$A$56,$A48),_xlfn.MAXIFS(Sets!$E$2:$E$1060,Sets!$B$2:$B$1060,$A48,Sets!$A$2:$A$1060,"&lt;"&amp;('Start Here'!$B$7+84)),_xlfn.MAXIFS(Log!$E$2:$E$1001,Log!$B$2:$B$1001,$A48,Log!$A$2:$A$1001,"&lt;"&amp;('Start Here'!$B$7+84)))&gt;0,ROUND(MAX(_xlfn.MAXIFS('Start Here'!$D$17:$D$56,'Start Here'!$A$17:$A$56,$A48),_xlfn.MAXIFS(Sets!$E$2:$E$1060,Sets!$B$2:$B$1060,$A48,Sets!$A$2:$A$1060,"&lt;"&amp;('Start Here'!$B$7+84)),_xlfn.MAXIFS(Log!$E$2:$E$1001,Log!$B$2:$B$1001,$A48,Log!$A$2:$A$1001,"&lt;"&amp;('Start Here'!$B$7+84))),1),IF(N(F7)&gt;0,ROUND(F7*$D48,1),""))</f>
        <v/>
      </c>
      <c r="G48" s="36">
        <f>IF(MAX(_xlfn.MAXIFS('Start Here'!$D$17:$D$56,'Start Here'!$A$17:$A$56,$A48),_xlfn.MAXIFS(Sets!$E$2:$E$1060,Sets!$B$2:$B$1060,$A48,Sets!$A$2:$A$1060,"&lt;"&amp;('Start Here'!$B$7+168)),_xlfn.MAXIFS(Log!$E$2:$E$1001,Log!$B$2:$B$1001,$A48,Log!$A$2:$A$1001,"&lt;"&amp;('Start Here'!$B$7+168)))&gt;0,ROUND(MAX(_xlfn.MAXIFS('Start Here'!$D$17:$D$56,'Start Here'!$A$17:$A$56,$A48),_xlfn.MAXIFS(Sets!$E$2:$E$1060,Sets!$B$2:$B$1060,$A48,Sets!$A$2:$A$1060,"&lt;"&amp;('Start Here'!$B$7+168)),_xlfn.MAXIFS(Log!$E$2:$E$1001,Log!$B$2:$B$1001,$A48,Log!$A$2:$A$1001,"&lt;"&amp;('Start Here'!$B$7+168))),1),IF(N(G7)&gt;0,ROUND(G7*$D48,1),""))</f>
        <v/>
      </c>
      <c r="H48" s="36">
        <f>IF(MAX(_xlfn.MAXIFS('Start Here'!$D$17:$D$56,'Start Here'!$A$17:$A$56,$A48),_xlfn.MAXIFS(Sets!$E$2:$E$1060,Sets!$B$2:$B$1060,$A48,Sets!$A$2:$A$1060,"&lt;"&amp;('Start Here'!$B$7+252)),_xlfn.MAXIFS(Log!$E$2:$E$1001,Log!$B$2:$B$1001,$A48,Log!$A$2:$A$1001,"&lt;"&amp;('Start Here'!$B$7+252)))&gt;0,ROUND(MAX(_xlfn.MAXIFS('Start Here'!$D$17:$D$56,'Start Here'!$A$17:$A$56,$A48),_xlfn.MAXIFS(Sets!$E$2:$E$1060,Sets!$B$2:$B$1060,$A48,Sets!$A$2:$A$1060,"&lt;"&amp;('Start Here'!$B$7+252)),_xlfn.MAXIFS(Log!$E$2:$E$1001,Log!$B$2:$B$1001,$A48,Log!$A$2:$A$1001,"&lt;"&amp;('Start Here'!$B$7+252))),1),IF(N(H7)&gt;0,ROUND(H7*$D48,1),""))</f>
        <v/>
      </c>
      <c r="I48" s="36">
        <f>IF(MAX(_xlfn.MAXIFS('Start Here'!$D$17:$D$56,'Start Here'!$A$17:$A$56,$A48),_xlfn.MAXIFS(Sets!$E$2:$E$1060,Sets!$B$2:$B$1060,$A48,Sets!$A$2:$A$1060,"&lt;"&amp;('Start Here'!$B$7+336)),_xlfn.MAXIFS(Log!$E$2:$E$1001,Log!$B$2:$B$1001,$A48,Log!$A$2:$A$1001,"&lt;"&amp;('Start Here'!$B$7+336)))&gt;0,ROUND(MAX(_xlfn.MAXIFS('Start Here'!$D$17:$D$56,'Start Here'!$A$17:$A$56,$A48),_xlfn.MAXIFS(Sets!$E$2:$E$1060,Sets!$B$2:$B$1060,$A48,Sets!$A$2:$A$1060,"&lt;"&amp;('Start Here'!$B$7+336)),_xlfn.MAXIFS(Log!$E$2:$E$1001,Log!$B$2:$B$1001,$A48,Log!$A$2:$A$1001,"&lt;"&amp;('Start Here'!$B$7+336))),1),IF(N(I7)&gt;0,ROUND(I7*$D48,1),""))</f>
        <v/>
      </c>
    </row>
    <row r="49">
      <c r="A49" s="23" t="inlineStr">
        <is>
          <t>Block Clean</t>
        </is>
      </c>
      <c r="B49" t="inlineStr">
        <is>
          <t>variation</t>
        </is>
      </c>
      <c r="C49" t="inlineStr">
        <is>
          <t>Clean &amp; Jerk</t>
        </is>
      </c>
      <c r="D49" t="n">
        <v>0.95</v>
      </c>
      <c r="E49" s="36">
        <f>IF(MAX(_xlfn.MAXIFS('Start Here'!$D$17:$D$56,'Start Here'!$A$17:$A$56,$A49),_xlfn.MAXIFS(Sets!$E$2:$E$1060,Sets!$B$2:$B$1060,$A49,Sets!$A$2:$A$1060,"&lt;"&amp;('Start Here'!$B$7+0)),_xlfn.MAXIFS(Log!$E$2:$E$1001,Log!$B$2:$B$1001,$A49,Log!$A$2:$A$1001,"&lt;"&amp;('Start Here'!$B$7+0)))&gt;0,ROUND(MAX(_xlfn.MAXIFS('Start Here'!$D$17:$D$56,'Start Here'!$A$17:$A$56,$A49),_xlfn.MAXIFS(Sets!$E$2:$E$1060,Sets!$B$2:$B$1060,$A49,Sets!$A$2:$A$1060,"&lt;"&amp;('Start Here'!$B$7+0)),_xlfn.MAXIFS(Log!$E$2:$E$1001,Log!$B$2:$B$1001,$A49,Log!$A$2:$A$1001,"&lt;"&amp;('Start Here'!$B$7+0))),1),IF(N(E7)&gt;0,ROUND(E7*$D49,1),""))</f>
        <v/>
      </c>
      <c r="F49" s="36">
        <f>IF(MAX(_xlfn.MAXIFS('Start Here'!$D$17:$D$56,'Start Here'!$A$17:$A$56,$A49),_xlfn.MAXIFS(Sets!$E$2:$E$1060,Sets!$B$2:$B$1060,$A49,Sets!$A$2:$A$1060,"&lt;"&amp;('Start Here'!$B$7+84)),_xlfn.MAXIFS(Log!$E$2:$E$1001,Log!$B$2:$B$1001,$A49,Log!$A$2:$A$1001,"&lt;"&amp;('Start Here'!$B$7+84)))&gt;0,ROUND(MAX(_xlfn.MAXIFS('Start Here'!$D$17:$D$56,'Start Here'!$A$17:$A$56,$A49),_xlfn.MAXIFS(Sets!$E$2:$E$1060,Sets!$B$2:$B$1060,$A49,Sets!$A$2:$A$1060,"&lt;"&amp;('Start Here'!$B$7+84)),_xlfn.MAXIFS(Log!$E$2:$E$1001,Log!$B$2:$B$1001,$A49,Log!$A$2:$A$1001,"&lt;"&amp;('Start Here'!$B$7+84))),1),IF(N(F7)&gt;0,ROUND(F7*$D49,1),""))</f>
        <v/>
      </c>
      <c r="G49" s="36">
        <f>IF(MAX(_xlfn.MAXIFS('Start Here'!$D$17:$D$56,'Start Here'!$A$17:$A$56,$A49),_xlfn.MAXIFS(Sets!$E$2:$E$1060,Sets!$B$2:$B$1060,$A49,Sets!$A$2:$A$1060,"&lt;"&amp;('Start Here'!$B$7+168)),_xlfn.MAXIFS(Log!$E$2:$E$1001,Log!$B$2:$B$1001,$A49,Log!$A$2:$A$1001,"&lt;"&amp;('Start Here'!$B$7+168)))&gt;0,ROUND(MAX(_xlfn.MAXIFS('Start Here'!$D$17:$D$56,'Start Here'!$A$17:$A$56,$A49),_xlfn.MAXIFS(Sets!$E$2:$E$1060,Sets!$B$2:$B$1060,$A49,Sets!$A$2:$A$1060,"&lt;"&amp;('Start Here'!$B$7+168)),_xlfn.MAXIFS(Log!$E$2:$E$1001,Log!$B$2:$B$1001,$A49,Log!$A$2:$A$1001,"&lt;"&amp;('Start Here'!$B$7+168))),1),IF(N(G7)&gt;0,ROUND(G7*$D49,1),""))</f>
        <v/>
      </c>
      <c r="H49" s="36">
        <f>IF(MAX(_xlfn.MAXIFS('Start Here'!$D$17:$D$56,'Start Here'!$A$17:$A$56,$A49),_xlfn.MAXIFS(Sets!$E$2:$E$1060,Sets!$B$2:$B$1060,$A49,Sets!$A$2:$A$1060,"&lt;"&amp;('Start Here'!$B$7+252)),_xlfn.MAXIFS(Log!$E$2:$E$1001,Log!$B$2:$B$1001,$A49,Log!$A$2:$A$1001,"&lt;"&amp;('Start Here'!$B$7+252)))&gt;0,ROUND(MAX(_xlfn.MAXIFS('Start Here'!$D$17:$D$56,'Start Here'!$A$17:$A$56,$A49),_xlfn.MAXIFS(Sets!$E$2:$E$1060,Sets!$B$2:$B$1060,$A49,Sets!$A$2:$A$1060,"&lt;"&amp;('Start Here'!$B$7+252)),_xlfn.MAXIFS(Log!$E$2:$E$1001,Log!$B$2:$B$1001,$A49,Log!$A$2:$A$1001,"&lt;"&amp;('Start Here'!$B$7+252))),1),IF(N(H7)&gt;0,ROUND(H7*$D49,1),""))</f>
        <v/>
      </c>
      <c r="I49" s="36">
        <f>IF(MAX(_xlfn.MAXIFS('Start Here'!$D$17:$D$56,'Start Here'!$A$17:$A$56,$A49),_xlfn.MAXIFS(Sets!$E$2:$E$1060,Sets!$B$2:$B$1060,$A49,Sets!$A$2:$A$1060,"&lt;"&amp;('Start Here'!$B$7+336)),_xlfn.MAXIFS(Log!$E$2:$E$1001,Log!$B$2:$B$1001,$A49,Log!$A$2:$A$1001,"&lt;"&amp;('Start Here'!$B$7+336)))&gt;0,ROUND(MAX(_xlfn.MAXIFS('Start Here'!$D$17:$D$56,'Start Here'!$A$17:$A$56,$A49),_xlfn.MAXIFS(Sets!$E$2:$E$1060,Sets!$B$2:$B$1060,$A49,Sets!$A$2:$A$1060,"&lt;"&amp;('Start Here'!$B$7+336)),_xlfn.MAXIFS(Log!$E$2:$E$1001,Log!$B$2:$B$1001,$A49,Log!$A$2:$A$1001,"&lt;"&amp;('Start Here'!$B$7+336))),1),IF(N(I7)&gt;0,ROUND(I7*$D49,1),""))</f>
        <v/>
      </c>
    </row>
    <row r="50">
      <c r="A50" s="23" t="inlineStr">
        <is>
          <t>Barbell Row</t>
        </is>
      </c>
      <c r="B50" t="inlineStr">
        <is>
          <t>accessory</t>
        </is>
      </c>
    </row>
    <row r="51">
      <c r="A51" s="23" t="inlineStr">
        <is>
          <t>Face Pull</t>
        </is>
      </c>
      <c r="B51" t="inlineStr">
        <is>
          <t>accessory</t>
        </is>
      </c>
    </row>
    <row r="52">
      <c r="A52" s="23" t="inlineStr">
        <is>
          <t>Dumbbell Curl</t>
        </is>
      </c>
      <c r="B52" t="inlineStr">
        <is>
          <t>accessory</t>
        </is>
      </c>
    </row>
    <row r="53">
      <c r="A53" s="23" t="inlineStr">
        <is>
          <t>Chin-up</t>
        </is>
      </c>
      <c r="B53" t="inlineStr">
        <is>
          <t>accessory</t>
        </is>
      </c>
    </row>
    <row r="54">
      <c r="A54" s="23" t="inlineStr">
        <is>
          <t>Lat Pulldown</t>
        </is>
      </c>
      <c r="B54" t="inlineStr">
        <is>
          <t>accessory</t>
        </is>
      </c>
    </row>
    <row r="55">
      <c r="A55" s="23" t="inlineStr">
        <is>
          <t>Back Extension</t>
        </is>
      </c>
      <c r="B55" t="inlineStr">
        <is>
          <t>accessory</t>
        </is>
      </c>
    </row>
    <row r="56">
      <c r="A56" s="23" t="inlineStr">
        <is>
          <t>Plank</t>
        </is>
      </c>
      <c r="B56" t="inlineStr">
        <is>
          <t>accessory</t>
        </is>
      </c>
    </row>
    <row r="57">
      <c r="A57" s="23" t="inlineStr">
        <is>
          <t>Incline Dumbbell Press</t>
        </is>
      </c>
      <c r="B57" t="inlineStr">
        <is>
          <t>accessory</t>
        </is>
      </c>
    </row>
    <row r="58">
      <c r="A58" s="23" t="inlineStr">
        <is>
          <t>One-Arm Dumbbell Row</t>
        </is>
      </c>
      <c r="B58" t="inlineStr">
        <is>
          <t>accessory</t>
        </is>
      </c>
    </row>
    <row r="59">
      <c r="A59" s="23" t="inlineStr">
        <is>
          <t>Triceps Pushdown</t>
        </is>
      </c>
      <c r="B59" t="inlineStr">
        <is>
          <t>accessory</t>
        </is>
      </c>
    </row>
    <row r="60">
      <c r="A60" s="23" t="inlineStr">
        <is>
          <t>Walking Lunge</t>
        </is>
      </c>
      <c r="B60" t="inlineStr">
        <is>
          <t>accessory</t>
        </is>
      </c>
    </row>
    <row r="61">
      <c r="A61" s="23" t="inlineStr">
        <is>
          <t>Leg Press</t>
        </is>
      </c>
      <c r="B61" t="inlineStr">
        <is>
          <t>accessory</t>
        </is>
      </c>
    </row>
    <row r="62">
      <c r="A62" s="23" t="inlineStr">
        <is>
          <t>Hanging Leg Raise</t>
        </is>
      </c>
      <c r="B62" t="inlineStr">
        <is>
          <t>accessory</t>
        </is>
      </c>
    </row>
    <row r="63">
      <c r="A63" s="23" t="inlineStr">
        <is>
          <t>Dip</t>
        </is>
      </c>
      <c r="B63" t="inlineStr">
        <is>
          <t>accessory</t>
        </is>
      </c>
    </row>
    <row r="64">
      <c r="A64" s="23" t="inlineStr">
        <is>
          <t>Hammer Curl</t>
        </is>
      </c>
      <c r="B64" t="inlineStr">
        <is>
          <t>accessory</t>
        </is>
      </c>
    </row>
    <row r="65">
      <c r="A65" s="23" t="inlineStr">
        <is>
          <t>Lateral Raise</t>
        </is>
      </c>
      <c r="B65" t="inlineStr">
        <is>
          <t>accessory</t>
        </is>
      </c>
    </row>
    <row r="66">
      <c r="A66" s="23" t="inlineStr">
        <is>
          <t>Reverse Hyper</t>
        </is>
      </c>
      <c r="B66" t="inlineStr">
        <is>
          <t>accessory</t>
        </is>
      </c>
    </row>
    <row r="67">
      <c r="A67" s="23" t="inlineStr">
        <is>
          <t>Good Morning</t>
        </is>
      </c>
      <c r="B67" t="inlineStr">
        <is>
          <t>accessory</t>
        </is>
      </c>
    </row>
    <row r="68">
      <c r="A68" s="23" t="inlineStr">
        <is>
          <t>Glute-Ham Raise</t>
        </is>
      </c>
      <c r="B68" t="inlineStr">
        <is>
          <t>accessory</t>
        </is>
      </c>
    </row>
    <row r="69">
      <c r="A69" s="23" t="inlineStr">
        <is>
          <t>Box Jump</t>
        </is>
      </c>
      <c r="B69" t="inlineStr">
        <is>
          <t>plyo</t>
        </is>
      </c>
    </row>
    <row r="70">
      <c r="A70" s="23" t="inlineStr">
        <is>
          <t>Broad Jump</t>
        </is>
      </c>
      <c r="B70" t="inlineStr">
        <is>
          <t>plyo</t>
        </is>
      </c>
    </row>
    <row r="72">
      <c r="A72" t="inlineStr">
        <is>
          <t>Training max = best estimated 1RM logged before the cycle starts. Grey italics = estimated from the parent lift x ratio (no sets logged yet).</t>
        </is>
      </c>
    </row>
  </sheetData>
  <conditionalFormatting sqref="E2:I70">
    <cfRule type="expression" priority="1" dxfId="0">
      <formula>AND($B2="variation",E2&lt;&gt;"",PRs!$C2=0)</formula>
    </cfRule>
  </conditionalFormatting>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L56"/>
  <sheetViews>
    <sheetView workbookViewId="0">
      <selection activeCell="A1" sqref="A1"/>
    </sheetView>
  </sheetViews>
  <sheetFormatPr baseColWidth="8" defaultRowHeight="15"/>
  <cols>
    <col width="7" customWidth="1" min="1" max="1"/>
    <col width="12" customWidth="1" min="2" max="2"/>
    <col width="12" customWidth="1" min="3" max="3"/>
    <col width="3" customWidth="1" min="4" max="4"/>
    <col width="7" customWidth="1" min="5" max="5"/>
    <col width="12" customWidth="1" min="6" max="6"/>
    <col width="12" customWidth="1" min="7" max="7"/>
    <col width="11" customWidth="1" min="8" max="8"/>
    <col width="22" customWidth="1" min="9" max="9"/>
    <col width="13" customWidth="1" min="10" max="10"/>
    <col width="11" customWidth="1" min="11" max="11"/>
    <col width="10" customWidth="1" min="12" max="12"/>
  </cols>
  <sheetData>
    <row r="1">
      <c r="A1" s="2" t="inlineStr">
        <is>
          <t>Bodyweight - weekly</t>
        </is>
      </c>
      <c r="E1" s="2" t="inlineStr">
        <is>
          <t>Body fat - monthly</t>
        </is>
      </c>
    </row>
    <row r="2">
      <c r="A2" t="inlineStr">
        <is>
          <t>Entered at the top of each week sheet.</t>
        </is>
      </c>
      <c r="E2" t="inlineStr">
        <is>
          <t>Same method, same place, same time of day every month. How-to guide below.</t>
        </is>
      </c>
    </row>
    <row r="3">
      <c r="A3" s="5" t="inlineStr">
        <is>
          <t>Week</t>
        </is>
      </c>
      <c r="B3" s="5" t="inlineStr">
        <is>
          <t>Week of</t>
        </is>
      </c>
      <c r="C3" s="5" t="inlineStr">
        <is>
          <t>Bodyweight</t>
        </is>
      </c>
      <c r="E3" s="5" t="inlineStr">
        <is>
          <t>Month</t>
        </is>
      </c>
      <c r="F3" s="5" t="inlineStr">
        <is>
          <t>Test around</t>
        </is>
      </c>
      <c r="G3" s="5" t="inlineStr">
        <is>
          <t>Date tested</t>
        </is>
      </c>
      <c r="H3" s="5" t="inlineStr">
        <is>
          <t>Body fat %</t>
        </is>
      </c>
      <c r="I3" s="5" t="inlineStr">
        <is>
          <t>Method</t>
        </is>
      </c>
      <c r="J3" s="5" t="inlineStr">
        <is>
          <t>Weight at test</t>
        </is>
      </c>
      <c r="K3" s="5" t="inlineStr">
        <is>
          <t>Lean mass</t>
        </is>
      </c>
      <c r="L3" s="5" t="inlineStr">
        <is>
          <t>Fat mass</t>
        </is>
      </c>
    </row>
    <row r="4">
      <c r="A4" s="37" t="n">
        <v>0</v>
      </c>
      <c r="B4" s="38">
        <f>'Start Here'!$B$7+-7</f>
        <v/>
      </c>
      <c r="C4" s="3">
        <f>IF('Week 00'!C3="","",'Week 00'!C3)</f>
        <v/>
      </c>
      <c r="E4" s="3" t="inlineStr">
        <is>
          <t>Start</t>
        </is>
      </c>
      <c r="F4" s="38">
        <f>'Start Here'!$B$7</f>
        <v/>
      </c>
      <c r="G4" s="3" t="n"/>
      <c r="H4" s="3">
        <f>IF('Start Here'!$B$10="","",'Start Here'!$B$10)</f>
        <v/>
      </c>
      <c r="I4" s="3">
        <f>IF('Start Here'!$B$11="","",'Start Here'!$B$11)</f>
        <v/>
      </c>
      <c r="J4" s="3">
        <f>IF('Start Here'!$B$9="","",'Start Here'!$B$9)</f>
        <v/>
      </c>
      <c r="K4" s="3">
        <f>IF(OR(H4="",J4=""),"",ROUND(J4*(1-H4/100),1))</f>
        <v/>
      </c>
      <c r="L4" s="3">
        <f>IF(OR(H4="",J4=""),"",ROUND(J4*H4/100,1))</f>
        <v/>
      </c>
    </row>
    <row r="5">
      <c r="A5" s="37" t="n">
        <v>1</v>
      </c>
      <c r="B5" s="38">
        <f>'Start Here'!$B$7+0</f>
        <v/>
      </c>
      <c r="C5" s="3">
        <f>IF('Week 01'!C3="","",'Week 01'!C3)</f>
        <v/>
      </c>
      <c r="E5" s="3" t="n">
        <v>1</v>
      </c>
      <c r="F5" s="38">
        <f>'Start Here'!$B$7+0</f>
        <v/>
      </c>
      <c r="G5" s="9" t="n"/>
      <c r="H5" s="4" t="n"/>
      <c r="I5" s="4" t="n"/>
      <c r="J5" s="4" t="n"/>
      <c r="K5" s="3">
        <f>IF(OR(H5="",J5=""),"",ROUND(J5*(1-H5/100),1))</f>
        <v/>
      </c>
      <c r="L5" s="3">
        <f>IF(OR(H5="",J5=""),"",ROUND(J5*H5/100,1))</f>
        <v/>
      </c>
    </row>
    <row r="6">
      <c r="A6" s="37" t="n">
        <v>2</v>
      </c>
      <c r="B6" s="38">
        <f>'Start Here'!$B$7+7</f>
        <v/>
      </c>
      <c r="C6" s="3">
        <f>IF('Week 02'!C3="","",'Week 02'!C3)</f>
        <v/>
      </c>
      <c r="E6" s="3" t="n">
        <v>2</v>
      </c>
      <c r="F6" s="38">
        <f>'Start Here'!$B$7+28</f>
        <v/>
      </c>
      <c r="G6" s="9" t="n"/>
      <c r="H6" s="4" t="n"/>
      <c r="I6" s="4" t="n"/>
      <c r="J6" s="4" t="n"/>
      <c r="K6" s="3">
        <f>IF(OR(H6="",J6=""),"",ROUND(J6*(1-H6/100),1))</f>
        <v/>
      </c>
      <c r="L6" s="3">
        <f>IF(OR(H6="",J6=""),"",ROUND(J6*H6/100,1))</f>
        <v/>
      </c>
    </row>
    <row r="7">
      <c r="A7" s="37" t="n">
        <v>3</v>
      </c>
      <c r="B7" s="38">
        <f>'Start Here'!$B$7+14</f>
        <v/>
      </c>
      <c r="C7" s="3">
        <f>IF('Week 03'!C3="","",'Week 03'!C3)</f>
        <v/>
      </c>
      <c r="E7" s="3" t="n">
        <v>3</v>
      </c>
      <c r="F7" s="38">
        <f>'Start Here'!$B$7+63</f>
        <v/>
      </c>
      <c r="G7" s="9" t="n"/>
      <c r="H7" s="4" t="n"/>
      <c r="I7" s="4" t="n"/>
      <c r="J7" s="4" t="n"/>
      <c r="K7" s="3">
        <f>IF(OR(H7="",J7=""),"",ROUND(J7*(1-H7/100),1))</f>
        <v/>
      </c>
      <c r="L7" s="3">
        <f>IF(OR(H7="",J7=""),"",ROUND(J7*H7/100,1))</f>
        <v/>
      </c>
    </row>
    <row r="8">
      <c r="A8" s="37" t="n">
        <v>4</v>
      </c>
      <c r="B8" s="38">
        <f>'Start Here'!$B$7+21</f>
        <v/>
      </c>
      <c r="C8" s="3">
        <f>IF('Week 04'!C3="","",'Week 04'!C3)</f>
        <v/>
      </c>
      <c r="E8" s="3" t="n">
        <v>4</v>
      </c>
      <c r="F8" s="38">
        <f>'Start Here'!$B$7+91</f>
        <v/>
      </c>
      <c r="G8" s="9" t="n"/>
      <c r="H8" s="4" t="n"/>
      <c r="I8" s="4" t="n"/>
      <c r="J8" s="4" t="n"/>
      <c r="K8" s="3">
        <f>IF(OR(H8="",J8=""),"",ROUND(J8*(1-H8/100),1))</f>
        <v/>
      </c>
      <c r="L8" s="3">
        <f>IF(OR(H8="",J8=""),"",ROUND(J8*H8/100,1))</f>
        <v/>
      </c>
    </row>
    <row r="9">
      <c r="A9" s="37" t="n">
        <v>5</v>
      </c>
      <c r="B9" s="38">
        <f>'Start Here'!$B$7+28</f>
        <v/>
      </c>
      <c r="C9" s="3">
        <f>IF('Week 05'!C3="","",'Week 05'!C3)</f>
        <v/>
      </c>
      <c r="E9" s="3" t="n">
        <v>5</v>
      </c>
      <c r="F9" s="38">
        <f>'Start Here'!$B$7+119</f>
        <v/>
      </c>
      <c r="G9" s="9" t="n"/>
      <c r="H9" s="4" t="n"/>
      <c r="I9" s="4" t="n"/>
      <c r="J9" s="4" t="n"/>
      <c r="K9" s="3">
        <f>IF(OR(H9="",J9=""),"",ROUND(J9*(1-H9/100),1))</f>
        <v/>
      </c>
      <c r="L9" s="3">
        <f>IF(OR(H9="",J9=""),"",ROUND(J9*H9/100,1))</f>
        <v/>
      </c>
    </row>
    <row r="10">
      <c r="A10" s="37" t="n">
        <v>6</v>
      </c>
      <c r="B10" s="38">
        <f>'Start Here'!$B$7+35</f>
        <v/>
      </c>
      <c r="C10" s="3">
        <f>IF('Week 06'!C3="","",'Week 06'!C3)</f>
        <v/>
      </c>
      <c r="E10" s="3" t="n">
        <v>6</v>
      </c>
      <c r="F10" s="38">
        <f>'Start Here'!$B$7+154</f>
        <v/>
      </c>
      <c r="G10" s="9" t="n"/>
      <c r="H10" s="4" t="n"/>
      <c r="I10" s="4" t="n"/>
      <c r="J10" s="4" t="n"/>
      <c r="K10" s="3">
        <f>IF(OR(H10="",J10=""),"",ROUND(J10*(1-H10/100),1))</f>
        <v/>
      </c>
      <c r="L10" s="3">
        <f>IF(OR(H10="",J10=""),"",ROUND(J10*H10/100,1))</f>
        <v/>
      </c>
    </row>
    <row r="11">
      <c r="A11" s="37" t="n">
        <v>7</v>
      </c>
      <c r="B11" s="38">
        <f>'Start Here'!$B$7+42</f>
        <v/>
      </c>
      <c r="C11" s="3">
        <f>IF('Week 07'!C3="","",'Week 07'!C3)</f>
        <v/>
      </c>
      <c r="E11" s="3" t="n">
        <v>7</v>
      </c>
      <c r="F11" s="38">
        <f>'Start Here'!$B$7+182</f>
        <v/>
      </c>
      <c r="G11" s="9" t="n"/>
      <c r="H11" s="4" t="n"/>
      <c r="I11" s="4" t="n"/>
      <c r="J11" s="4" t="n"/>
      <c r="K11" s="3">
        <f>IF(OR(H11="",J11=""),"",ROUND(J11*(1-H11/100),1))</f>
        <v/>
      </c>
      <c r="L11" s="3">
        <f>IF(OR(H11="",J11=""),"",ROUND(J11*H11/100,1))</f>
        <v/>
      </c>
    </row>
    <row r="12">
      <c r="A12" s="37" t="n">
        <v>8</v>
      </c>
      <c r="B12" s="38">
        <f>'Start Here'!$B$7+49</f>
        <v/>
      </c>
      <c r="C12" s="3">
        <f>IF('Week 08'!C3="","",'Week 08'!C3)</f>
        <v/>
      </c>
      <c r="E12" s="3" t="n">
        <v>8</v>
      </c>
      <c r="F12" s="38">
        <f>'Start Here'!$B$7+210</f>
        <v/>
      </c>
      <c r="G12" s="9" t="n"/>
      <c r="H12" s="4" t="n"/>
      <c r="I12" s="4" t="n"/>
      <c r="J12" s="4" t="n"/>
      <c r="K12" s="3">
        <f>IF(OR(H12="",J12=""),"",ROUND(J12*(1-H12/100),1))</f>
        <v/>
      </c>
      <c r="L12" s="3">
        <f>IF(OR(H12="",J12=""),"",ROUND(J12*H12/100,1))</f>
        <v/>
      </c>
    </row>
    <row r="13">
      <c r="A13" s="37" t="n">
        <v>9</v>
      </c>
      <c r="B13" s="38">
        <f>'Start Here'!$B$7+56</f>
        <v/>
      </c>
      <c r="C13" s="3">
        <f>IF('Week 09'!C3="","",'Week 09'!C3)</f>
        <v/>
      </c>
      <c r="E13" s="3" t="n">
        <v>9</v>
      </c>
      <c r="F13" s="38">
        <f>'Start Here'!$B$7+245</f>
        <v/>
      </c>
      <c r="G13" s="9" t="n"/>
      <c r="H13" s="4" t="n"/>
      <c r="I13" s="4" t="n"/>
      <c r="J13" s="4" t="n"/>
      <c r="K13" s="3">
        <f>IF(OR(H13="",J13=""),"",ROUND(J13*(1-H13/100),1))</f>
        <v/>
      </c>
      <c r="L13" s="3">
        <f>IF(OR(H13="",J13=""),"",ROUND(J13*H13/100,1))</f>
        <v/>
      </c>
    </row>
    <row r="14">
      <c r="A14" s="37" t="n">
        <v>10</v>
      </c>
      <c r="B14" s="38">
        <f>'Start Here'!$B$7+63</f>
        <v/>
      </c>
      <c r="C14" s="3">
        <f>IF('Week 10'!C3="","",'Week 10'!C3)</f>
        <v/>
      </c>
      <c r="E14" s="3" t="n">
        <v>10</v>
      </c>
      <c r="F14" s="38">
        <f>'Start Here'!$B$7+273</f>
        <v/>
      </c>
      <c r="G14" s="9" t="n"/>
      <c r="H14" s="4" t="n"/>
      <c r="I14" s="4" t="n"/>
      <c r="J14" s="4" t="n"/>
      <c r="K14" s="3">
        <f>IF(OR(H14="",J14=""),"",ROUND(J14*(1-H14/100),1))</f>
        <v/>
      </c>
      <c r="L14" s="3">
        <f>IF(OR(H14="",J14=""),"",ROUND(J14*H14/100,1))</f>
        <v/>
      </c>
    </row>
    <row r="15">
      <c r="A15" s="37" t="n">
        <v>11</v>
      </c>
      <c r="B15" s="38">
        <f>'Start Here'!$B$7+70</f>
        <v/>
      </c>
      <c r="C15" s="3">
        <f>IF('Week 11'!C3="","",'Week 11'!C3)</f>
        <v/>
      </c>
      <c r="E15" s="3" t="n">
        <v>11</v>
      </c>
      <c r="F15" s="38">
        <f>'Start Here'!$B$7+301</f>
        <v/>
      </c>
      <c r="G15" s="9" t="n"/>
      <c r="H15" s="4" t="n"/>
      <c r="I15" s="4" t="n"/>
      <c r="J15" s="4" t="n"/>
      <c r="K15" s="3">
        <f>IF(OR(H15="",J15=""),"",ROUND(J15*(1-H15/100),1))</f>
        <v/>
      </c>
      <c r="L15" s="3">
        <f>IF(OR(H15="",J15=""),"",ROUND(J15*H15/100,1))</f>
        <v/>
      </c>
    </row>
    <row r="16">
      <c r="A16" s="37" t="n">
        <v>12</v>
      </c>
      <c r="B16" s="38">
        <f>'Start Here'!$B$7+77</f>
        <v/>
      </c>
      <c r="C16" s="3">
        <f>IF('Week 12'!C3="","",'Week 12'!C3)</f>
        <v/>
      </c>
      <c r="E16" s="3" t="n">
        <v>12</v>
      </c>
      <c r="F16" s="38">
        <f>'Start Here'!$B$7+336</f>
        <v/>
      </c>
      <c r="G16" s="9" t="n"/>
      <c r="H16" s="4" t="n"/>
      <c r="I16" s="4" t="n"/>
      <c r="J16" s="4" t="n"/>
      <c r="K16" s="3">
        <f>IF(OR(H16="",J16=""),"",ROUND(J16*(1-H16/100),1))</f>
        <v/>
      </c>
      <c r="L16" s="3">
        <f>IF(OR(H16="",J16=""),"",ROUND(J16*H16/100,1))</f>
        <v/>
      </c>
    </row>
    <row r="17">
      <c r="A17" s="37" t="n">
        <v>13</v>
      </c>
      <c r="B17" s="38">
        <f>'Start Here'!$B$7+84</f>
        <v/>
      </c>
      <c r="C17" s="3">
        <f>IF('Week 13'!C3="","",'Week 13'!C3)</f>
        <v/>
      </c>
    </row>
    <row r="18">
      <c r="A18" s="37" t="n">
        <v>14</v>
      </c>
      <c r="B18" s="38">
        <f>'Start Here'!$B$7+91</f>
        <v/>
      </c>
      <c r="C18" s="3">
        <f>IF('Week 14'!C3="","",'Week 14'!C3)</f>
        <v/>
      </c>
    </row>
    <row r="19">
      <c r="A19" s="37" t="n">
        <v>15</v>
      </c>
      <c r="B19" s="38">
        <f>'Start Here'!$B$7+98</f>
        <v/>
      </c>
      <c r="C19" s="3">
        <f>IF('Week 15'!C3="","",'Week 15'!C3)</f>
        <v/>
      </c>
      <c r="E19" s="10" t="inlineStr">
        <is>
          <t>How to measure body fat once a month</t>
        </is>
      </c>
    </row>
    <row r="20">
      <c r="A20" s="37" t="n">
        <v>16</v>
      </c>
      <c r="B20" s="38">
        <f>'Start Here'!$B$7+105</f>
        <v/>
      </c>
      <c r="C20" s="3">
        <f>IF('Week 16'!C3="","",'Week 16'!C3)</f>
        <v/>
      </c>
      <c r="E20" t="inlineStr"/>
    </row>
    <row r="21">
      <c r="A21" s="37" t="n">
        <v>17</v>
      </c>
      <c r="B21" s="38">
        <f>'Start Here'!$B$7+112</f>
        <v/>
      </c>
      <c r="C21" s="3">
        <f>IF('Week 17'!C3="","",'Week 17'!C3)</f>
        <v/>
      </c>
      <c r="E21" t="inlineStr">
        <is>
          <t>Pick ONE method and stick with it - different methods disagree by several percent,</t>
        </is>
      </c>
    </row>
    <row r="22">
      <c r="A22" s="37" t="n">
        <v>18</v>
      </c>
      <c r="B22" s="38">
        <f>'Start Here'!$B$7+119</f>
        <v/>
      </c>
      <c r="C22" s="3">
        <f>IF('Week 18'!C3="","",'Week 18'!C3)</f>
        <v/>
      </c>
      <c r="E22" t="inlineStr">
        <is>
          <t>so the trend from a single method matters far more than any one number.</t>
        </is>
      </c>
    </row>
    <row r="23">
      <c r="A23" s="37" t="n">
        <v>19</v>
      </c>
      <c r="B23" s="38">
        <f>'Start Here'!$B$7+126</f>
        <v/>
      </c>
      <c r="C23" s="3">
        <f>IF('Week 19'!C3="","",'Week 19'!C3)</f>
        <v/>
      </c>
      <c r="E23" t="inlineStr"/>
    </row>
    <row r="24">
      <c r="A24" s="37" t="n">
        <v>20</v>
      </c>
      <c r="B24" s="38">
        <f>'Start Here'!$B$7+133</f>
        <v/>
      </c>
      <c r="C24" s="3">
        <f>IF('Week 20'!C3="","",'Week 20'!C3)</f>
        <v/>
      </c>
      <c r="E24" s="10" t="inlineStr">
        <is>
          <t>Bod Pod (air displacement)</t>
        </is>
      </c>
    </row>
    <row r="25">
      <c r="A25" s="37" t="n">
        <v>21</v>
      </c>
      <c r="B25" s="38">
        <f>'Start Here'!$B$7+140</f>
        <v/>
      </c>
      <c r="C25" s="3">
        <f>IF('Week 21'!C3="","",'Week 21'!C3)</f>
        <v/>
      </c>
      <c r="E25" t="inlineStr">
        <is>
          <t xml:space="preserve">  - Find one at a university kinesiology/exercise-science lab, sports-medicine clinic</t>
        </is>
      </c>
    </row>
    <row r="26">
      <c r="A26" s="37" t="n">
        <v>22</v>
      </c>
      <c r="B26" s="38">
        <f>'Start Here'!$B$7+147</f>
        <v/>
      </c>
      <c r="C26" s="3">
        <f>IF('Week 22'!C3="","",'Week 22'!C3)</f>
        <v/>
      </c>
      <c r="E26" t="inlineStr">
        <is>
          <t xml:space="preserve">    or larger gym; search "Bod Pod near me". Usually $25-$60 per test.</t>
        </is>
      </c>
    </row>
    <row r="27">
      <c r="A27" s="37" t="n">
        <v>23</v>
      </c>
      <c r="B27" s="38">
        <f>'Start Here'!$B$7+154</f>
        <v/>
      </c>
      <c r="C27" s="3">
        <f>IF('Week 23'!C3="","",'Week 23'!C3)</f>
        <v/>
      </c>
      <c r="E27" t="inlineStr">
        <is>
          <t xml:space="preserve">  - Wear tight, minimal clothing (compression shorts / sports bra) and a swim cap.</t>
        </is>
      </c>
    </row>
    <row r="28">
      <c r="A28" s="37" t="n">
        <v>24</v>
      </c>
      <c r="B28" s="38">
        <f>'Start Here'!$B$7+161</f>
        <v/>
      </c>
      <c r="C28" s="3">
        <f>IF('Week 24'!C3="","",'Week 24'!C3)</f>
        <v/>
      </c>
      <c r="E28" t="inlineStr">
        <is>
          <t xml:space="preserve">  - Test fasted (no food 2-3 h), no exercise that day, empty bladder.</t>
        </is>
      </c>
    </row>
    <row r="29">
      <c r="A29" s="37" t="n">
        <v>25</v>
      </c>
      <c r="B29" s="38">
        <f>'Start Here'!$B$7+168</f>
        <v/>
      </c>
      <c r="C29" s="3">
        <f>IF('Week 25'!C3="","",'Week 25'!C3)</f>
        <v/>
      </c>
      <c r="E29" t="inlineStr"/>
    </row>
    <row r="30">
      <c r="A30" s="37" t="n">
        <v>26</v>
      </c>
      <c r="B30" s="38">
        <f>'Start Here'!$B$7+175</f>
        <v/>
      </c>
      <c r="C30" s="3">
        <f>IF('Week 26'!C3="","",'Week 26'!C3)</f>
        <v/>
      </c>
      <c r="E30" s="10" t="inlineStr">
        <is>
          <t>InBody (bioelectrical impedance scale)</t>
        </is>
      </c>
    </row>
    <row r="31">
      <c r="A31" s="37" t="n">
        <v>27</v>
      </c>
      <c r="B31" s="38">
        <f>'Start Here'!$B$7+182</f>
        <v/>
      </c>
      <c r="C31" s="3">
        <f>IF('Week 27'!C3="","",'Week 27'!C3)</f>
        <v/>
      </c>
      <c r="E31" t="inlineStr">
        <is>
          <t xml:space="preserve">  - Many gyms, chiropractors, physical therapists and nutrition clinics have one;</t>
        </is>
      </c>
    </row>
    <row r="32">
      <c r="A32" s="37" t="n">
        <v>28</v>
      </c>
      <c r="B32" s="38">
        <f>'Start Here'!$B$7+189</f>
        <v/>
      </c>
      <c r="C32" s="3">
        <f>IF('Week 28'!C3="","",'Week 28'!C3)</f>
        <v/>
      </c>
      <c r="E32" t="inlineStr">
        <is>
          <t xml:space="preserve">    often free or $10-$30.</t>
        </is>
      </c>
    </row>
    <row r="33">
      <c r="A33" s="37" t="n">
        <v>29</v>
      </c>
      <c r="B33" s="38">
        <f>'Start Here'!$B$7+196</f>
        <v/>
      </c>
      <c r="C33" s="3">
        <f>IF('Week 29'!C3="","",'Week 29'!C3)</f>
        <v/>
      </c>
      <c r="E33" t="inlineStr">
        <is>
          <t xml:space="preserve">  - Hydration changes the reading a lot: test first thing in the morning, before</t>
        </is>
      </c>
    </row>
    <row r="34">
      <c r="A34" s="37" t="n">
        <v>30</v>
      </c>
      <c r="B34" s="38">
        <f>'Start Here'!$B$7+203</f>
        <v/>
      </c>
      <c r="C34" s="3">
        <f>IF('Week 30'!C3="","",'Week 30'!C3)</f>
        <v/>
      </c>
      <c r="E34" t="inlineStr">
        <is>
          <t xml:space="preserve">    eating, drinking large amounts, caffeine or training. Empty bladder, no lotion,</t>
        </is>
      </c>
    </row>
    <row r="35">
      <c r="A35" s="37" t="n">
        <v>31</v>
      </c>
      <c r="B35" s="38">
        <f>'Start Here'!$B$7+210</f>
        <v/>
      </c>
      <c r="C35" s="3">
        <f>IF('Week 31'!C3="","",'Week 31'!C3)</f>
        <v/>
      </c>
      <c r="E35" t="inlineStr">
        <is>
          <t xml:space="preserve">    stand barefoot on clean electrodes.</t>
        </is>
      </c>
    </row>
    <row r="36">
      <c r="A36" s="37" t="n">
        <v>32</v>
      </c>
      <c r="B36" s="38">
        <f>'Start Here'!$B$7+217</f>
        <v/>
      </c>
      <c r="C36" s="3">
        <f>IF('Week 32'!C3="","",'Week 32'!C3)</f>
        <v/>
      </c>
      <c r="E36" t="inlineStr"/>
    </row>
    <row r="37">
      <c r="A37" s="37" t="n">
        <v>33</v>
      </c>
      <c r="B37" s="38">
        <f>'Start Here'!$B$7+224</f>
        <v/>
      </c>
      <c r="C37" s="3">
        <f>IF('Week 33'!C3="","",'Week 33'!C3)</f>
        <v/>
      </c>
      <c r="E37" s="10" t="inlineStr">
        <is>
          <t>Hydrostatic / underwater weighing ("dunk tank", "float tank")</t>
        </is>
      </c>
    </row>
    <row r="38">
      <c r="A38" s="37" t="n">
        <v>34</v>
      </c>
      <c r="B38" s="38">
        <f>'Start Here'!$B$7+231</f>
        <v/>
      </c>
      <c r="C38" s="3">
        <f>IF('Week 34'!C3="","",'Week 34'!C3)</f>
        <v/>
      </c>
      <c r="E38" t="inlineStr">
        <is>
          <t xml:space="preserve">  - Offered by university labs, sports-performance centers and mobile body-fat</t>
        </is>
      </c>
    </row>
    <row r="39">
      <c r="A39" s="37" t="n">
        <v>35</v>
      </c>
      <c r="B39" s="38">
        <f>'Start Here'!$B$7+238</f>
        <v/>
      </c>
      <c r="C39" s="3">
        <f>IF('Week 35'!C3="","",'Week 35'!C3)</f>
        <v/>
      </c>
      <c r="E39" t="inlineStr">
        <is>
          <t xml:space="preserve">    trucks that visit gyms; usually $40-$75.</t>
        </is>
      </c>
    </row>
    <row r="40">
      <c r="A40" s="37" t="n">
        <v>36</v>
      </c>
      <c r="B40" s="38">
        <f>'Start Here'!$B$7+245</f>
        <v/>
      </c>
      <c r="C40" s="3">
        <f>IF('Week 36'!C3="","",'Week 36'!C3)</f>
        <v/>
      </c>
      <c r="E40" t="inlineStr">
        <is>
          <t xml:space="preserve">  - Fasted 3-4 h, no training that day. You exhale fully while submerged, so</t>
        </is>
      </c>
    </row>
    <row r="41">
      <c r="A41" s="37" t="n">
        <v>37</v>
      </c>
      <c r="B41" s="38">
        <f>'Start Here'!$B$7+252</f>
        <v/>
      </c>
      <c r="C41" s="3">
        <f>IF('Week 37'!C3="","",'Week 37'!C3)</f>
        <v/>
      </c>
      <c r="E41" t="inlineStr">
        <is>
          <t xml:space="preserve">    practice a slow, complete exhale; the tester usually takes 3 readings.</t>
        </is>
      </c>
    </row>
    <row r="42">
      <c r="A42" s="37" t="n">
        <v>38</v>
      </c>
      <c r="B42" s="38">
        <f>'Start Here'!$B$7+259</f>
        <v/>
      </c>
      <c r="C42" s="3">
        <f>IF('Week 38'!C3="","",'Week 38'!C3)</f>
        <v/>
      </c>
      <c r="E42" t="inlineStr"/>
    </row>
    <row r="43">
      <c r="A43" s="37" t="n">
        <v>39</v>
      </c>
      <c r="B43" s="38">
        <f>'Start Here'!$B$7+266</f>
        <v/>
      </c>
      <c r="C43" s="3">
        <f>IF('Week 39'!C3="","",'Week 39'!C3)</f>
        <v/>
      </c>
      <c r="E43" s="10" t="inlineStr">
        <is>
          <t>For every method</t>
        </is>
      </c>
    </row>
    <row r="44">
      <c r="A44" s="37" t="n">
        <v>40</v>
      </c>
      <c r="B44" s="38">
        <f>'Start Here'!$B$7+273</f>
        <v/>
      </c>
      <c r="C44" s="3">
        <f>IF('Week 40'!C3="","",'Week 40'!C3)</f>
        <v/>
      </c>
      <c r="E44" t="inlineStr">
        <is>
          <t xml:space="preserve">  - Same method, same place, same time of day, same pre-test routine each month.</t>
        </is>
      </c>
    </row>
    <row r="45">
      <c r="A45" s="37" t="n">
        <v>41</v>
      </c>
      <c r="B45" s="38">
        <f>'Start Here'!$B$7+280</f>
        <v/>
      </c>
      <c r="C45" s="3">
        <f>IF('Week 41'!C3="","",'Week 41'!C3)</f>
        <v/>
      </c>
      <c r="E45" t="inlineStr">
        <is>
          <t xml:space="preserve">  - Test in a deload week if you can, not right after a hard session.</t>
        </is>
      </c>
    </row>
    <row r="46">
      <c r="A46" s="37" t="n">
        <v>42</v>
      </c>
      <c r="B46" s="38">
        <f>'Start Here'!$B$7+287</f>
        <v/>
      </c>
      <c r="C46" s="3">
        <f>IF('Week 42'!C3="","",'Week 42'!C3)</f>
        <v/>
      </c>
      <c r="E46" t="inlineStr">
        <is>
          <t xml:space="preserve">  - Record the date, your body-fat %, the method, and the weight the test measured.</t>
        </is>
      </c>
    </row>
    <row r="47">
      <c r="A47" s="37" t="n">
        <v>43</v>
      </c>
      <c r="B47" s="38">
        <f>'Start Here'!$B$7+294</f>
        <v/>
      </c>
      <c r="C47" s="3">
        <f>IF('Week 43'!C3="","",'Week 43'!C3)</f>
        <v/>
      </c>
    </row>
    <row r="48">
      <c r="A48" s="37" t="n">
        <v>44</v>
      </c>
      <c r="B48" s="38">
        <f>'Start Here'!$B$7+301</f>
        <v/>
      </c>
      <c r="C48" s="3">
        <f>IF('Week 44'!C3="","",'Week 44'!C3)</f>
        <v/>
      </c>
    </row>
    <row r="49">
      <c r="A49" s="37" t="n">
        <v>45</v>
      </c>
      <c r="B49" s="38">
        <f>'Start Here'!$B$7+308</f>
        <v/>
      </c>
      <c r="C49" s="3">
        <f>IF('Week 45'!C3="","",'Week 45'!C3)</f>
        <v/>
      </c>
    </row>
    <row r="50">
      <c r="A50" s="37" t="n">
        <v>46</v>
      </c>
      <c r="B50" s="38">
        <f>'Start Here'!$B$7+315</f>
        <v/>
      </c>
      <c r="C50" s="3">
        <f>IF('Week 46'!C3="","",'Week 46'!C3)</f>
        <v/>
      </c>
    </row>
    <row r="51">
      <c r="A51" s="37" t="n">
        <v>47</v>
      </c>
      <c r="B51" s="38">
        <f>'Start Here'!$B$7+322</f>
        <v/>
      </c>
      <c r="C51" s="3">
        <f>IF('Week 47'!C3="","",'Week 47'!C3)</f>
        <v/>
      </c>
    </row>
    <row r="52">
      <c r="A52" s="37" t="n">
        <v>48</v>
      </c>
      <c r="B52" s="38">
        <f>'Start Here'!$B$7+329</f>
        <v/>
      </c>
      <c r="C52" s="3">
        <f>IF('Week 48'!C3="","",'Week 48'!C3)</f>
        <v/>
      </c>
    </row>
    <row r="53">
      <c r="A53" s="37" t="n">
        <v>49</v>
      </c>
      <c r="B53" s="38">
        <f>'Start Here'!$B$7+336</f>
        <v/>
      </c>
      <c r="C53" s="3">
        <f>IF('Week 49'!C3="","",'Week 49'!C3)</f>
        <v/>
      </c>
    </row>
    <row r="54">
      <c r="A54" s="37" t="n">
        <v>50</v>
      </c>
      <c r="B54" s="38">
        <f>'Start Here'!$B$7+343</f>
        <v/>
      </c>
      <c r="C54" s="3">
        <f>IF('Week 50'!C3="","",'Week 50'!C3)</f>
        <v/>
      </c>
    </row>
    <row r="55">
      <c r="A55" s="37" t="n">
        <v>51</v>
      </c>
      <c r="B55" s="38">
        <f>'Start Here'!$B$7+350</f>
        <v/>
      </c>
      <c r="C55" s="3">
        <f>IF('Week 51'!C3="","",'Week 51'!C3)</f>
        <v/>
      </c>
    </row>
    <row r="56">
      <c r="A56" s="37" t="n">
        <v>52</v>
      </c>
      <c r="B56" s="38">
        <f>'Start Here'!$B$7+357</f>
        <v/>
      </c>
      <c r="C56" s="3">
        <f>IF('Week 52'!C3="","",'Week 52'!C3)</f>
        <v/>
      </c>
    </row>
  </sheetData>
  <dataValidations count="1">
    <dataValidation sqref="I5 I6 I7 I8 I9 I10 I11 I12 I13 I14 I15 I16" showDropDown="0" showInputMessage="0" showErrorMessage="0" allowBlank="1" type="list">
      <formula1>Lists!$B$1:$B$6</formula1>
    </dataValidation>
  </dataValidations>
  <hyperlinks>
    <hyperlink xmlns:r="http://schemas.openxmlformats.org/officeDocument/2006/relationships" ref="A4" r:id="rId1"/>
    <hyperlink xmlns:r="http://schemas.openxmlformats.org/officeDocument/2006/relationships" ref="A5" r:id="rId2"/>
    <hyperlink xmlns:r="http://schemas.openxmlformats.org/officeDocument/2006/relationships" ref="A6" r:id="rId3"/>
    <hyperlink xmlns:r="http://schemas.openxmlformats.org/officeDocument/2006/relationships" ref="A7" r:id="rId4"/>
    <hyperlink xmlns:r="http://schemas.openxmlformats.org/officeDocument/2006/relationships" ref="A8" r:id="rId5"/>
    <hyperlink xmlns:r="http://schemas.openxmlformats.org/officeDocument/2006/relationships" ref="A9" r:id="rId6"/>
    <hyperlink xmlns:r="http://schemas.openxmlformats.org/officeDocument/2006/relationships" ref="A10" r:id="rId7"/>
    <hyperlink xmlns:r="http://schemas.openxmlformats.org/officeDocument/2006/relationships" ref="A11" r:id="rId8"/>
    <hyperlink xmlns:r="http://schemas.openxmlformats.org/officeDocument/2006/relationships" ref="A12" r:id="rId9"/>
    <hyperlink xmlns:r="http://schemas.openxmlformats.org/officeDocument/2006/relationships" ref="A13" r:id="rId10"/>
    <hyperlink xmlns:r="http://schemas.openxmlformats.org/officeDocument/2006/relationships" ref="A14" r:id="rId11"/>
    <hyperlink xmlns:r="http://schemas.openxmlformats.org/officeDocument/2006/relationships" ref="A15" r:id="rId12"/>
    <hyperlink xmlns:r="http://schemas.openxmlformats.org/officeDocument/2006/relationships" ref="A16" r:id="rId13"/>
    <hyperlink xmlns:r="http://schemas.openxmlformats.org/officeDocument/2006/relationships" ref="A17" r:id="rId14"/>
    <hyperlink xmlns:r="http://schemas.openxmlformats.org/officeDocument/2006/relationships" ref="A18" r:id="rId15"/>
    <hyperlink xmlns:r="http://schemas.openxmlformats.org/officeDocument/2006/relationships" ref="A19" r:id="rId16"/>
    <hyperlink xmlns:r="http://schemas.openxmlformats.org/officeDocument/2006/relationships" ref="A20" r:id="rId17"/>
    <hyperlink xmlns:r="http://schemas.openxmlformats.org/officeDocument/2006/relationships" ref="A21" r:id="rId18"/>
    <hyperlink xmlns:r="http://schemas.openxmlformats.org/officeDocument/2006/relationships" ref="A22" r:id="rId19"/>
    <hyperlink xmlns:r="http://schemas.openxmlformats.org/officeDocument/2006/relationships" ref="A23" r:id="rId20"/>
    <hyperlink xmlns:r="http://schemas.openxmlformats.org/officeDocument/2006/relationships" ref="A24" r:id="rId21"/>
    <hyperlink xmlns:r="http://schemas.openxmlformats.org/officeDocument/2006/relationships" ref="A25" r:id="rId22"/>
    <hyperlink xmlns:r="http://schemas.openxmlformats.org/officeDocument/2006/relationships" ref="A26" r:id="rId23"/>
    <hyperlink xmlns:r="http://schemas.openxmlformats.org/officeDocument/2006/relationships" ref="A27" r:id="rId24"/>
    <hyperlink xmlns:r="http://schemas.openxmlformats.org/officeDocument/2006/relationships" ref="A28" r:id="rId25"/>
    <hyperlink xmlns:r="http://schemas.openxmlformats.org/officeDocument/2006/relationships" ref="A29" r:id="rId26"/>
    <hyperlink xmlns:r="http://schemas.openxmlformats.org/officeDocument/2006/relationships" ref="A30" r:id="rId27"/>
    <hyperlink xmlns:r="http://schemas.openxmlformats.org/officeDocument/2006/relationships" ref="A31" r:id="rId28"/>
    <hyperlink xmlns:r="http://schemas.openxmlformats.org/officeDocument/2006/relationships" ref="A32" r:id="rId29"/>
    <hyperlink xmlns:r="http://schemas.openxmlformats.org/officeDocument/2006/relationships" ref="A33" r:id="rId30"/>
    <hyperlink xmlns:r="http://schemas.openxmlformats.org/officeDocument/2006/relationships" ref="A34" r:id="rId31"/>
    <hyperlink xmlns:r="http://schemas.openxmlformats.org/officeDocument/2006/relationships" ref="A35" r:id="rId32"/>
    <hyperlink xmlns:r="http://schemas.openxmlformats.org/officeDocument/2006/relationships" ref="A36" r:id="rId33"/>
    <hyperlink xmlns:r="http://schemas.openxmlformats.org/officeDocument/2006/relationships" ref="A37" r:id="rId34"/>
    <hyperlink xmlns:r="http://schemas.openxmlformats.org/officeDocument/2006/relationships" ref="A38" r:id="rId35"/>
    <hyperlink xmlns:r="http://schemas.openxmlformats.org/officeDocument/2006/relationships" ref="A39" r:id="rId36"/>
    <hyperlink xmlns:r="http://schemas.openxmlformats.org/officeDocument/2006/relationships" ref="A40" r:id="rId37"/>
    <hyperlink xmlns:r="http://schemas.openxmlformats.org/officeDocument/2006/relationships" ref="A41" r:id="rId38"/>
    <hyperlink xmlns:r="http://schemas.openxmlformats.org/officeDocument/2006/relationships" ref="A42" r:id="rId39"/>
    <hyperlink xmlns:r="http://schemas.openxmlformats.org/officeDocument/2006/relationships" ref="A43" r:id="rId40"/>
    <hyperlink xmlns:r="http://schemas.openxmlformats.org/officeDocument/2006/relationships" ref="A44" r:id="rId41"/>
    <hyperlink xmlns:r="http://schemas.openxmlformats.org/officeDocument/2006/relationships" ref="A45" r:id="rId42"/>
    <hyperlink xmlns:r="http://schemas.openxmlformats.org/officeDocument/2006/relationships" ref="A46" r:id="rId43"/>
    <hyperlink xmlns:r="http://schemas.openxmlformats.org/officeDocument/2006/relationships" ref="A47" r:id="rId44"/>
    <hyperlink xmlns:r="http://schemas.openxmlformats.org/officeDocument/2006/relationships" ref="A48" r:id="rId45"/>
    <hyperlink xmlns:r="http://schemas.openxmlformats.org/officeDocument/2006/relationships" ref="A49" r:id="rId46"/>
    <hyperlink xmlns:r="http://schemas.openxmlformats.org/officeDocument/2006/relationships" ref="A50" r:id="rId47"/>
    <hyperlink xmlns:r="http://schemas.openxmlformats.org/officeDocument/2006/relationships" ref="A51" r:id="rId48"/>
    <hyperlink xmlns:r="http://schemas.openxmlformats.org/officeDocument/2006/relationships" ref="A52" r:id="rId49"/>
    <hyperlink xmlns:r="http://schemas.openxmlformats.org/officeDocument/2006/relationships" ref="A53" r:id="rId50"/>
    <hyperlink xmlns:r="http://schemas.openxmlformats.org/officeDocument/2006/relationships" ref="A54" r:id="rId51"/>
    <hyperlink xmlns:r="http://schemas.openxmlformats.org/officeDocument/2006/relationships" ref="A55" r:id="rId52"/>
    <hyperlink xmlns:r="http://schemas.openxmlformats.org/officeDocument/2006/relationships" ref="A56" r:id="rId53"/>
  </hyperlinks>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J10"/>
  <sheetViews>
    <sheetView workbookViewId="0">
      <selection activeCell="A1" sqref="A1"/>
    </sheetView>
  </sheetViews>
  <sheetFormatPr baseColWidth="8" defaultRowHeight="15"/>
  <cols>
    <col width="16" customWidth="1" min="1" max="1"/>
    <col width="7" customWidth="1" min="2" max="2"/>
    <col width="11" customWidth="1" min="3" max="3"/>
    <col width="11" customWidth="1" min="4" max="4"/>
    <col width="11" customWidth="1" min="5" max="5"/>
    <col width="11" customWidth="1" min="6" max="6"/>
    <col width="11" customWidth="1" min="7" max="7"/>
    <col width="11" customWidth="1" min="8" max="8"/>
    <col width="12" customWidth="1" min="9" max="9"/>
    <col width="11" customWidth="1" min="10" max="10"/>
  </cols>
  <sheetData>
    <row r="1">
      <c r="A1" s="24" t="inlineStr">
        <is>
          <t>Progress - strength vs bodyweight and body fat</t>
        </is>
      </c>
    </row>
    <row r="3">
      <c r="A3" s="5" t="inlineStr">
        <is>
          <t>Checkpoint</t>
        </is>
      </c>
      <c r="B3" s="5" t="inlineStr">
        <is>
          <t>Week</t>
        </is>
      </c>
      <c r="C3" s="5" t="inlineStr">
        <is>
          <t>Squat</t>
        </is>
      </c>
      <c r="D3" s="5" t="inlineStr">
        <is>
          <t>Bench Press</t>
        </is>
      </c>
      <c r="E3" s="5" t="inlineStr">
        <is>
          <t>Deadlift</t>
        </is>
      </c>
      <c r="F3" s="5" t="inlineStr">
        <is>
          <t>Overhead Press</t>
        </is>
      </c>
      <c r="G3" s="5" t="inlineStr">
        <is>
          <t>Snatch</t>
        </is>
      </c>
      <c r="H3" s="5" t="inlineStr">
        <is>
          <t>Clean &amp; Jerk</t>
        </is>
      </c>
      <c r="I3" s="5" t="inlineStr">
        <is>
          <t>Bodyweight</t>
        </is>
      </c>
      <c r="J3" s="5" t="inlineStr">
        <is>
          <t>Body fat %</t>
        </is>
      </c>
    </row>
    <row r="4">
      <c r="A4" s="3" t="inlineStr">
        <is>
          <t>Start</t>
        </is>
      </c>
      <c r="B4" s="3" t="n">
        <v>1</v>
      </c>
      <c r="C4" s="39">
        <f>IF(Maxes!E2="",NA(),Maxes!E2)</f>
        <v/>
      </c>
      <c r="D4" s="39">
        <f>IF(Maxes!E3="",NA(),Maxes!E3)</f>
        <v/>
      </c>
      <c r="E4" s="39">
        <f>IF(Maxes!E4="",NA(),Maxes!E4)</f>
        <v/>
      </c>
      <c r="F4" s="39">
        <f>IF(Maxes!E5="",NA(),Maxes!E5)</f>
        <v/>
      </c>
      <c r="G4" s="39">
        <f>IF(Maxes!E6="",NA(),Maxes!E6)</f>
        <v/>
      </c>
      <c r="H4" s="39">
        <f>IF(Maxes!E7="",NA(),Maxes!E7)</f>
        <v/>
      </c>
      <c r="I4" s="3">
        <f>IFERROR(LOOKUP(2,1/((Body!$A$4:$A$56&lt;=B4)*(Body!$C$4:$C$56&lt;&gt;"")),Body!$C$4:$C$56),IF('Start Here'!$B$9="",NA(),'Start Here'!$B$9))</f>
        <v/>
      </c>
      <c r="J4" s="3">
        <f>IFERROR(LOOKUP(2,1/((ROW(Body!$H$4:$H$16)-4&lt;=0)*(Body!$H$4:$H$16&lt;&gt;"")),Body!$H$4:$H$16),NA())</f>
        <v/>
      </c>
    </row>
    <row r="5">
      <c r="A5" s="3" t="inlineStr">
        <is>
          <t>After cycle 1</t>
        </is>
      </c>
      <c r="B5" s="3" t="n">
        <v>13</v>
      </c>
      <c r="C5" s="39">
        <f>IF(Maxes!F2="",NA(),Maxes!F2)</f>
        <v/>
      </c>
      <c r="D5" s="39">
        <f>IF(Maxes!F3="",NA(),Maxes!F3)</f>
        <v/>
      </c>
      <c r="E5" s="39">
        <f>IF(Maxes!F4="",NA(),Maxes!F4)</f>
        <v/>
      </c>
      <c r="F5" s="39">
        <f>IF(Maxes!F5="",NA(),Maxes!F5)</f>
        <v/>
      </c>
      <c r="G5" s="39">
        <f>IF(Maxes!F6="",NA(),Maxes!F6)</f>
        <v/>
      </c>
      <c r="H5" s="39">
        <f>IF(Maxes!F7="",NA(),Maxes!F7)</f>
        <v/>
      </c>
      <c r="I5" s="3">
        <f>IFERROR(LOOKUP(2,1/((Body!$A$4:$A$56&lt;=B5)*(Body!$C$4:$C$56&lt;&gt;"")),Body!$C$4:$C$56),IF('Start Here'!$B$9="",NA(),'Start Here'!$B$9))</f>
        <v/>
      </c>
      <c r="J5" s="3">
        <f>IFERROR(LOOKUP(2,1/((ROW(Body!$H$4:$H$16)-4&lt;=2)*(Body!$H$4:$H$16&lt;&gt;"")),Body!$H$4:$H$16),NA())</f>
        <v/>
      </c>
    </row>
    <row r="6">
      <c r="A6" s="3" t="inlineStr">
        <is>
          <t>After cycle 2</t>
        </is>
      </c>
      <c r="B6" s="3" t="n">
        <v>25</v>
      </c>
      <c r="C6" s="39">
        <f>IF(Maxes!G2="",NA(),Maxes!G2)</f>
        <v/>
      </c>
      <c r="D6" s="39">
        <f>IF(Maxes!G3="",NA(),Maxes!G3)</f>
        <v/>
      </c>
      <c r="E6" s="39">
        <f>IF(Maxes!G4="",NA(),Maxes!G4)</f>
        <v/>
      </c>
      <c r="F6" s="39">
        <f>IF(Maxes!G5="",NA(),Maxes!G5)</f>
        <v/>
      </c>
      <c r="G6" s="39">
        <f>IF(Maxes!G6="",NA(),Maxes!G6)</f>
        <v/>
      </c>
      <c r="H6" s="39">
        <f>IF(Maxes!G7="",NA(),Maxes!G7)</f>
        <v/>
      </c>
      <c r="I6" s="3">
        <f>IFERROR(LOOKUP(2,1/((Body!$A$4:$A$56&lt;=B6)*(Body!$C$4:$C$56&lt;&gt;"")),Body!$C$4:$C$56),IF('Start Here'!$B$9="",NA(),'Start Here'!$B$9))</f>
        <v/>
      </c>
      <c r="J6" s="3">
        <f>IFERROR(LOOKUP(2,1/((ROW(Body!$H$4:$H$16)-4&lt;=5)*(Body!$H$4:$H$16&lt;&gt;"")),Body!$H$4:$H$16),NA())</f>
        <v/>
      </c>
    </row>
    <row r="7">
      <c r="A7" s="3" t="inlineStr">
        <is>
          <t>After cycle 3</t>
        </is>
      </c>
      <c r="B7" s="3" t="n">
        <v>37</v>
      </c>
      <c r="C7" s="39">
        <f>IF(Maxes!H2="",NA(),Maxes!H2)</f>
        <v/>
      </c>
      <c r="D7" s="39">
        <f>IF(Maxes!H3="",NA(),Maxes!H3)</f>
        <v/>
      </c>
      <c r="E7" s="39">
        <f>IF(Maxes!H4="",NA(),Maxes!H4)</f>
        <v/>
      </c>
      <c r="F7" s="39">
        <f>IF(Maxes!H5="",NA(),Maxes!H5)</f>
        <v/>
      </c>
      <c r="G7" s="39">
        <f>IF(Maxes!H6="",NA(),Maxes!H6)</f>
        <v/>
      </c>
      <c r="H7" s="39">
        <f>IF(Maxes!H7="",NA(),Maxes!H7)</f>
        <v/>
      </c>
      <c r="I7" s="3">
        <f>IFERROR(LOOKUP(2,1/((Body!$A$4:$A$56&lt;=B7)*(Body!$C$4:$C$56&lt;&gt;"")),Body!$C$4:$C$56),IF('Start Here'!$B$9="",NA(),'Start Here'!$B$9))</f>
        <v/>
      </c>
      <c r="J7" s="3">
        <f>IFERROR(LOOKUP(2,1/((ROW(Body!$H$4:$H$16)-4&lt;=8)*(Body!$H$4:$H$16&lt;&gt;"")),Body!$H$4:$H$16),NA())</f>
        <v/>
      </c>
    </row>
    <row r="8">
      <c r="A8" s="3" t="inlineStr">
        <is>
          <t>After cycle 4</t>
        </is>
      </c>
      <c r="B8" s="3" t="n">
        <v>49</v>
      </c>
      <c r="C8" s="39">
        <f>IF(Maxes!I2="",NA(),Maxes!I2)</f>
        <v/>
      </c>
      <c r="D8" s="39">
        <f>IF(Maxes!I3="",NA(),Maxes!I3)</f>
        <v/>
      </c>
      <c r="E8" s="39">
        <f>IF(Maxes!I4="",NA(),Maxes!I4)</f>
        <v/>
      </c>
      <c r="F8" s="39">
        <f>IF(Maxes!I5="",NA(),Maxes!I5)</f>
        <v/>
      </c>
      <c r="G8" s="39">
        <f>IF(Maxes!I6="",NA(),Maxes!I6)</f>
        <v/>
      </c>
      <c r="H8" s="39">
        <f>IF(Maxes!I7="",NA(),Maxes!I7)</f>
        <v/>
      </c>
      <c r="I8" s="3">
        <f>IFERROR(LOOKUP(2,1/((Body!$A$4:$A$56&lt;=B8)*(Body!$C$4:$C$56&lt;&gt;"")),Body!$C$4:$C$56),IF('Start Here'!$B$9="",NA(),'Start Here'!$B$9))</f>
        <v/>
      </c>
      <c r="J8" s="3">
        <f>IFERROR(LOOKUP(2,1/((ROW(Body!$H$4:$H$16)-4&lt;=11)*(Body!$H$4:$H$16&lt;&gt;"")),Body!$H$4:$H$16),NA())</f>
        <v/>
      </c>
    </row>
    <row r="10">
      <c r="A10" t="inlineStr">
        <is>
          <t>Strength = training max at each checkpoint (best estimated 1RM so far). #N/A just means no data yet.</t>
        </is>
      </c>
    </row>
  </sheetData>
  <pageMargins left="0.75" right="0.75" top="1" bottom="1" header="0.5" footer="0.5"/>
  <drawing xmlns:r="http://schemas.openxmlformats.org/officeDocument/2006/relationships" r:id="rId1"/>
</worksheet>
</file>

<file path=xl/worksheets/sheet60.xml><?xml version="1.0" encoding="utf-8"?>
<worksheet xmlns="http://schemas.openxmlformats.org/spreadsheetml/2006/main">
  <sheetPr>
    <outlinePr summaryBelow="1" summaryRight="1"/>
    <pageSetUpPr/>
  </sheetPr>
  <dimension ref="A1:E1060"/>
  <sheetViews>
    <sheetView workbookViewId="0">
      <selection activeCell="A1" sqref="A1"/>
    </sheetView>
  </sheetViews>
  <sheetFormatPr baseColWidth="8" defaultRowHeight="15"/>
  <sheetData>
    <row r="1">
      <c r="A1" t="inlineStr">
        <is>
          <t>Date</t>
        </is>
      </c>
      <c r="B1" t="inlineStr">
        <is>
          <t>Exercise</t>
        </is>
      </c>
      <c r="C1" t="inlineStr">
        <is>
          <t>Weight</t>
        </is>
      </c>
      <c r="D1" t="inlineStr">
        <is>
          <t>Reps</t>
        </is>
      </c>
      <c r="E1" t="inlineStr">
        <is>
          <t>Est. 1RM</t>
        </is>
      </c>
    </row>
    <row r="2">
      <c r="A2">
        <f>'Week 00'!B6</f>
        <v/>
      </c>
      <c r="B2">
        <f>'Week 00'!C6</f>
        <v/>
      </c>
      <c r="C2">
        <f>IF('Week 00'!I6="","",'Week 00'!I6)</f>
        <v/>
      </c>
      <c r="D2">
        <f>IF('Week 00'!I6="","",IF('Week 00'!J6="",1,'Week 00'!J6))</f>
        <v/>
      </c>
      <c r="E2">
        <f>IF(OR(C2="",D2=""),"",IF(D2=1,C2,ROUND(C2*(1+D2/30),1)))</f>
        <v/>
      </c>
    </row>
    <row r="3">
      <c r="A3">
        <f>'Week 00'!B7</f>
        <v/>
      </c>
      <c r="B3">
        <f>'Week 00'!C7</f>
        <v/>
      </c>
      <c r="C3">
        <f>IF('Week 00'!I7="","",'Week 00'!I7)</f>
        <v/>
      </c>
      <c r="D3">
        <f>IF('Week 00'!I7="","",IF('Week 00'!J7="",1,'Week 00'!J7))</f>
        <v/>
      </c>
      <c r="E3">
        <f>IF(OR(C3="",D3=""),"",IF(D3=1,C3,ROUND(C3*(1+D3/30),1)))</f>
        <v/>
      </c>
    </row>
    <row r="4">
      <c r="A4">
        <f>'Week 00'!B8</f>
        <v/>
      </c>
      <c r="B4">
        <f>'Week 00'!C8</f>
        <v/>
      </c>
      <c r="C4">
        <f>IF('Week 00'!I8="","",'Week 00'!I8)</f>
        <v/>
      </c>
      <c r="D4">
        <f>IF('Week 00'!I8="","",IF('Week 00'!J8="",1,'Week 00'!J8))</f>
        <v/>
      </c>
      <c r="E4">
        <f>IF(OR(C4="",D4=""),"",IF(D4=1,C4,ROUND(C4*(1+D4/30),1)))</f>
        <v/>
      </c>
    </row>
    <row r="5">
      <c r="A5">
        <f>'Week 00'!B9</f>
        <v/>
      </c>
      <c r="B5">
        <f>'Week 00'!C9</f>
        <v/>
      </c>
      <c r="C5">
        <f>IF('Week 00'!I9="","",'Week 00'!I9)</f>
        <v/>
      </c>
      <c r="D5">
        <f>IF('Week 00'!I9="","",IF('Week 00'!J9="",1,'Week 00'!J9))</f>
        <v/>
      </c>
      <c r="E5">
        <f>IF(OR(C5="",D5=""),"",IF(D5=1,C5,ROUND(C5*(1+D5/30),1)))</f>
        <v/>
      </c>
    </row>
    <row r="6">
      <c r="A6">
        <f>'Week 00'!B10</f>
        <v/>
      </c>
      <c r="B6">
        <f>'Week 00'!C10</f>
        <v/>
      </c>
      <c r="C6">
        <f>IF('Week 00'!I10="","",'Week 00'!I10)</f>
        <v/>
      </c>
      <c r="D6">
        <f>IF('Week 00'!I10="","",IF('Week 00'!J10="",1,'Week 00'!J10))</f>
        <v/>
      </c>
      <c r="E6">
        <f>IF(OR(C6="",D6=""),"",IF(D6=1,C6,ROUND(C6*(1+D6/30),1)))</f>
        <v/>
      </c>
    </row>
    <row r="7">
      <c r="A7">
        <f>'Week 00'!B11</f>
        <v/>
      </c>
      <c r="B7">
        <f>'Week 00'!C11</f>
        <v/>
      </c>
      <c r="C7">
        <f>IF('Week 00'!I11="","",'Week 00'!I11)</f>
        <v/>
      </c>
      <c r="D7">
        <f>IF('Week 00'!I11="","",IF('Week 00'!J11="",1,'Week 00'!J11))</f>
        <v/>
      </c>
      <c r="E7">
        <f>IF(OR(C7="",D7=""),"",IF(D7=1,C7,ROUND(C7*(1+D7/30),1)))</f>
        <v/>
      </c>
    </row>
    <row r="8">
      <c r="A8">
        <f>'Week 00'!B12</f>
        <v/>
      </c>
      <c r="B8">
        <f>'Week 00'!C12</f>
        <v/>
      </c>
      <c r="C8">
        <f>IF('Week 00'!I12="","",'Week 00'!I12)</f>
        <v/>
      </c>
      <c r="D8">
        <f>IF('Week 00'!I12="","",IF('Week 00'!J12="",1,'Week 00'!J12))</f>
        <v/>
      </c>
      <c r="E8">
        <f>IF(OR(C8="",D8=""),"",IF(D8=1,C8,ROUND(C8*(1+D8/30),1)))</f>
        <v/>
      </c>
    </row>
    <row r="9">
      <c r="A9">
        <f>'Week 00'!B13</f>
        <v/>
      </c>
      <c r="B9">
        <f>'Week 00'!C13</f>
        <v/>
      </c>
      <c r="C9">
        <f>IF('Week 00'!I13="","",'Week 00'!I13)</f>
        <v/>
      </c>
      <c r="D9">
        <f>IF('Week 00'!I13="","",IF('Week 00'!J13="",1,'Week 00'!J13))</f>
        <v/>
      </c>
      <c r="E9">
        <f>IF(OR(C9="",D9=""),"",IF(D9=1,C9,ROUND(C9*(1+D9/30),1)))</f>
        <v/>
      </c>
    </row>
    <row r="10">
      <c r="A10">
        <f>'Week 00'!B14</f>
        <v/>
      </c>
      <c r="B10">
        <f>'Week 00'!C14</f>
        <v/>
      </c>
      <c r="C10">
        <f>IF('Week 00'!I14="","",'Week 00'!I14)</f>
        <v/>
      </c>
      <c r="D10">
        <f>IF('Week 00'!I14="","",IF('Week 00'!J14="",1,'Week 00'!J14))</f>
        <v/>
      </c>
      <c r="E10">
        <f>IF(OR(C10="",D10=""),"",IF(D10=1,C10,ROUND(C10*(1+D10/30),1)))</f>
        <v/>
      </c>
    </row>
    <row r="11">
      <c r="A11">
        <f>'Week 00'!B15</f>
        <v/>
      </c>
      <c r="B11">
        <f>'Week 00'!C15</f>
        <v/>
      </c>
      <c r="C11">
        <f>IF('Week 00'!I15="","",'Week 00'!I15)</f>
        <v/>
      </c>
      <c r="D11">
        <f>IF('Week 00'!I15="","",IF('Week 00'!J15="",1,'Week 00'!J15))</f>
        <v/>
      </c>
      <c r="E11">
        <f>IF(OR(C11="",D11=""),"",IF(D11=1,C11,ROUND(C11*(1+D11/30),1)))</f>
        <v/>
      </c>
    </row>
    <row r="12">
      <c r="A12">
        <f>'Week 00'!B16</f>
        <v/>
      </c>
      <c r="B12">
        <f>'Week 00'!C16</f>
        <v/>
      </c>
      <c r="C12">
        <f>IF('Week 00'!I16="","",'Week 00'!I16)</f>
        <v/>
      </c>
      <c r="D12">
        <f>IF('Week 00'!I16="","",IF('Week 00'!J16="",1,'Week 00'!J16))</f>
        <v/>
      </c>
      <c r="E12">
        <f>IF(OR(C12="",D12=""),"",IF(D12=1,C12,ROUND(C12*(1+D12/30),1)))</f>
        <v/>
      </c>
    </row>
    <row r="13">
      <c r="A13">
        <f>'Week 00'!B17</f>
        <v/>
      </c>
      <c r="B13">
        <f>'Week 00'!C17</f>
        <v/>
      </c>
      <c r="C13">
        <f>IF('Week 00'!I17="","",'Week 00'!I17)</f>
        <v/>
      </c>
      <c r="D13">
        <f>IF('Week 00'!I17="","",IF('Week 00'!J17="",1,'Week 00'!J17))</f>
        <v/>
      </c>
      <c r="E13">
        <f>IF(OR(C13="",D13=""),"",IF(D13=1,C13,ROUND(C13*(1+D13/30),1)))</f>
        <v/>
      </c>
    </row>
    <row r="14">
      <c r="A14">
        <f>'Week 00'!B18</f>
        <v/>
      </c>
      <c r="B14">
        <f>'Week 00'!C18</f>
        <v/>
      </c>
      <c r="C14">
        <f>IF('Week 00'!I18="","",'Week 00'!I18)</f>
        <v/>
      </c>
      <c r="D14">
        <f>IF('Week 00'!I18="","",IF('Week 00'!J18="",1,'Week 00'!J18))</f>
        <v/>
      </c>
      <c r="E14">
        <f>IF(OR(C14="",D14=""),"",IF(D14=1,C14,ROUND(C14*(1+D14/30),1)))</f>
        <v/>
      </c>
    </row>
    <row r="15">
      <c r="A15">
        <f>'Week 00'!B19</f>
        <v/>
      </c>
      <c r="B15">
        <f>'Week 00'!C19</f>
        <v/>
      </c>
      <c r="C15">
        <f>IF('Week 00'!I19="","",'Week 00'!I19)</f>
        <v/>
      </c>
      <c r="D15">
        <f>IF('Week 00'!I19="","",IF('Week 00'!J19="",1,'Week 00'!J19))</f>
        <v/>
      </c>
      <c r="E15">
        <f>IF(OR(C15="",D15=""),"",IF(D15=1,C15,ROUND(C15*(1+D15/30),1)))</f>
        <v/>
      </c>
    </row>
    <row r="16">
      <c r="A16">
        <f>'Week 00'!B20</f>
        <v/>
      </c>
      <c r="B16">
        <f>'Week 00'!C20</f>
        <v/>
      </c>
      <c r="C16">
        <f>IF('Week 00'!I20="","",'Week 00'!I20)</f>
        <v/>
      </c>
      <c r="D16">
        <f>IF('Week 00'!I20="","",IF('Week 00'!J20="",1,'Week 00'!J20))</f>
        <v/>
      </c>
      <c r="E16">
        <f>IF(OR(C16="",D16=""),"",IF(D16=1,C16,ROUND(C16*(1+D16/30),1)))</f>
        <v/>
      </c>
    </row>
    <row r="17">
      <c r="A17">
        <f>'Week 00'!B21</f>
        <v/>
      </c>
      <c r="B17">
        <f>'Week 00'!C21</f>
        <v/>
      </c>
      <c r="C17">
        <f>IF('Week 00'!I21="","",'Week 00'!I21)</f>
        <v/>
      </c>
      <c r="D17">
        <f>IF('Week 00'!I21="","",IF('Week 00'!J21="",1,'Week 00'!J21))</f>
        <v/>
      </c>
      <c r="E17">
        <f>IF(OR(C17="",D17=""),"",IF(D17=1,C17,ROUND(C17*(1+D17/30),1)))</f>
        <v/>
      </c>
    </row>
    <row r="18">
      <c r="A18">
        <f>'Week 00'!B22</f>
        <v/>
      </c>
      <c r="B18">
        <f>'Week 00'!C22</f>
        <v/>
      </c>
      <c r="C18">
        <f>IF('Week 00'!I22="","",'Week 00'!I22)</f>
        <v/>
      </c>
      <c r="D18">
        <f>IF('Week 00'!I22="","",IF('Week 00'!J22="",1,'Week 00'!J22))</f>
        <v/>
      </c>
      <c r="E18">
        <f>IF(OR(C18="",D18=""),"",IF(D18=1,C18,ROUND(C18*(1+D18/30),1)))</f>
        <v/>
      </c>
    </row>
    <row r="19">
      <c r="A19">
        <f>'Week 00'!B23</f>
        <v/>
      </c>
      <c r="B19">
        <f>'Week 00'!C23</f>
        <v/>
      </c>
      <c r="C19">
        <f>IF('Week 00'!I23="","",'Week 00'!I23)</f>
        <v/>
      </c>
      <c r="D19">
        <f>IF('Week 00'!I23="","",IF('Week 00'!J23="",1,'Week 00'!J23))</f>
        <v/>
      </c>
      <c r="E19">
        <f>IF(OR(C19="",D19=""),"",IF(D19=1,C19,ROUND(C19*(1+D19/30),1)))</f>
        <v/>
      </c>
    </row>
    <row r="20">
      <c r="A20">
        <f>'Week 00'!B24</f>
        <v/>
      </c>
      <c r="B20">
        <f>'Week 00'!C24</f>
        <v/>
      </c>
      <c r="C20">
        <f>IF('Week 00'!I24="","",'Week 00'!I24)</f>
        <v/>
      </c>
      <c r="D20">
        <f>IF('Week 00'!I24="","",IF('Week 00'!J24="",1,'Week 00'!J24))</f>
        <v/>
      </c>
      <c r="E20">
        <f>IF(OR(C20="",D20=""),"",IF(D20=1,C20,ROUND(C20*(1+D20/30),1)))</f>
        <v/>
      </c>
    </row>
    <row r="21">
      <c r="A21">
        <f>'Week 01'!B6</f>
        <v/>
      </c>
      <c r="B21">
        <f>'Week 01'!C6</f>
        <v/>
      </c>
      <c r="C21">
        <f>IF('Week 01'!I6="","",'Week 01'!I6)</f>
        <v/>
      </c>
      <c r="D21">
        <f>IF('Week 01'!I6="","",IF('Week 01'!J6="",1,'Week 01'!J6))</f>
        <v/>
      </c>
      <c r="E21">
        <f>IF(OR(C21="",D21=""),"",IF(D21=1,C21,ROUND(C21*(1+D21/30),1)))</f>
        <v/>
      </c>
    </row>
    <row r="22">
      <c r="A22">
        <f>'Week 01'!B7</f>
        <v/>
      </c>
      <c r="B22">
        <f>'Week 01'!C7</f>
        <v/>
      </c>
      <c r="C22">
        <f>IF('Week 01'!I7="","",'Week 01'!I7)</f>
        <v/>
      </c>
      <c r="D22">
        <f>IF('Week 01'!I7="","",IF('Week 01'!J7="",1,'Week 01'!J7))</f>
        <v/>
      </c>
      <c r="E22">
        <f>IF(OR(C22="",D22=""),"",IF(D22=1,C22,ROUND(C22*(1+D22/30),1)))</f>
        <v/>
      </c>
    </row>
    <row r="23">
      <c r="A23">
        <f>'Week 01'!B8</f>
        <v/>
      </c>
      <c r="B23">
        <f>'Week 01'!C8</f>
        <v/>
      </c>
      <c r="C23">
        <f>IF('Week 01'!I8="","",'Week 01'!I8)</f>
        <v/>
      </c>
      <c r="D23">
        <f>IF('Week 01'!I8="","",IF('Week 01'!J8="",1,'Week 01'!J8))</f>
        <v/>
      </c>
      <c r="E23">
        <f>IF(OR(C23="",D23=""),"",IF(D23=1,C23,ROUND(C23*(1+D23/30),1)))</f>
        <v/>
      </c>
    </row>
    <row r="24">
      <c r="A24">
        <f>'Week 01'!B9</f>
        <v/>
      </c>
      <c r="B24">
        <f>'Week 01'!C9</f>
        <v/>
      </c>
      <c r="C24">
        <f>IF('Week 01'!I9="","",'Week 01'!I9)</f>
        <v/>
      </c>
      <c r="D24">
        <f>IF('Week 01'!I9="","",IF('Week 01'!J9="",1,'Week 01'!J9))</f>
        <v/>
      </c>
      <c r="E24">
        <f>IF(OR(C24="",D24=""),"",IF(D24=1,C24,ROUND(C24*(1+D24/30),1)))</f>
        <v/>
      </c>
    </row>
    <row r="25">
      <c r="A25">
        <f>'Week 01'!B10</f>
        <v/>
      </c>
      <c r="B25">
        <f>'Week 01'!C10</f>
        <v/>
      </c>
      <c r="C25">
        <f>IF('Week 01'!I10="","",'Week 01'!I10)</f>
        <v/>
      </c>
      <c r="D25">
        <f>IF('Week 01'!I10="","",IF('Week 01'!J10="",1,'Week 01'!J10))</f>
        <v/>
      </c>
      <c r="E25">
        <f>IF(OR(C25="",D25=""),"",IF(D25=1,C25,ROUND(C25*(1+D25/30),1)))</f>
        <v/>
      </c>
    </row>
    <row r="26">
      <c r="A26">
        <f>'Week 01'!B11</f>
        <v/>
      </c>
      <c r="B26">
        <f>'Week 01'!C11</f>
        <v/>
      </c>
      <c r="C26">
        <f>IF('Week 01'!I11="","",'Week 01'!I11)</f>
        <v/>
      </c>
      <c r="D26">
        <f>IF('Week 01'!I11="","",IF('Week 01'!J11="",1,'Week 01'!J11))</f>
        <v/>
      </c>
      <c r="E26">
        <f>IF(OR(C26="",D26=""),"",IF(D26=1,C26,ROUND(C26*(1+D26/30),1)))</f>
        <v/>
      </c>
    </row>
    <row r="27">
      <c r="A27">
        <f>'Week 01'!B12</f>
        <v/>
      </c>
      <c r="B27">
        <f>'Week 01'!C12</f>
        <v/>
      </c>
      <c r="C27">
        <f>IF('Week 01'!I12="","",'Week 01'!I12)</f>
        <v/>
      </c>
      <c r="D27">
        <f>IF('Week 01'!I12="","",IF('Week 01'!J12="",1,'Week 01'!J12))</f>
        <v/>
      </c>
      <c r="E27">
        <f>IF(OR(C27="",D27=""),"",IF(D27=1,C27,ROUND(C27*(1+D27/30),1)))</f>
        <v/>
      </c>
    </row>
    <row r="28">
      <c r="A28">
        <f>'Week 01'!B13</f>
        <v/>
      </c>
      <c r="B28">
        <f>'Week 01'!C13</f>
        <v/>
      </c>
      <c r="C28">
        <f>IF('Week 01'!I13="","",'Week 01'!I13)</f>
        <v/>
      </c>
      <c r="D28">
        <f>IF('Week 01'!I13="","",IF('Week 01'!J13="",1,'Week 01'!J13))</f>
        <v/>
      </c>
      <c r="E28">
        <f>IF(OR(C28="",D28=""),"",IF(D28=1,C28,ROUND(C28*(1+D28/30),1)))</f>
        <v/>
      </c>
    </row>
    <row r="29">
      <c r="A29">
        <f>'Week 01'!B14</f>
        <v/>
      </c>
      <c r="B29">
        <f>'Week 01'!C14</f>
        <v/>
      </c>
      <c r="C29">
        <f>IF('Week 01'!I14="","",'Week 01'!I14)</f>
        <v/>
      </c>
      <c r="D29">
        <f>IF('Week 01'!I14="","",IF('Week 01'!J14="",1,'Week 01'!J14))</f>
        <v/>
      </c>
      <c r="E29">
        <f>IF(OR(C29="",D29=""),"",IF(D29=1,C29,ROUND(C29*(1+D29/30),1)))</f>
        <v/>
      </c>
    </row>
    <row r="30">
      <c r="A30">
        <f>'Week 01'!B15</f>
        <v/>
      </c>
      <c r="B30">
        <f>'Week 01'!C15</f>
        <v/>
      </c>
      <c r="C30">
        <f>IF('Week 01'!I15="","",'Week 01'!I15)</f>
        <v/>
      </c>
      <c r="D30">
        <f>IF('Week 01'!I15="","",IF('Week 01'!J15="",1,'Week 01'!J15))</f>
        <v/>
      </c>
      <c r="E30">
        <f>IF(OR(C30="",D30=""),"",IF(D30=1,C30,ROUND(C30*(1+D30/30),1)))</f>
        <v/>
      </c>
    </row>
    <row r="31">
      <c r="A31">
        <f>'Week 01'!B16</f>
        <v/>
      </c>
      <c r="B31">
        <f>'Week 01'!C16</f>
        <v/>
      </c>
      <c r="C31">
        <f>IF('Week 01'!I16="","",'Week 01'!I16)</f>
        <v/>
      </c>
      <c r="D31">
        <f>IF('Week 01'!I16="","",IF('Week 01'!J16="",1,'Week 01'!J16))</f>
        <v/>
      </c>
      <c r="E31">
        <f>IF(OR(C31="",D31=""),"",IF(D31=1,C31,ROUND(C31*(1+D31/30),1)))</f>
        <v/>
      </c>
    </row>
    <row r="32">
      <c r="A32">
        <f>'Week 01'!B17</f>
        <v/>
      </c>
      <c r="B32">
        <f>'Week 01'!C17</f>
        <v/>
      </c>
      <c r="C32">
        <f>IF('Week 01'!I17="","",'Week 01'!I17)</f>
        <v/>
      </c>
      <c r="D32">
        <f>IF('Week 01'!I17="","",IF('Week 01'!J17="",1,'Week 01'!J17))</f>
        <v/>
      </c>
      <c r="E32">
        <f>IF(OR(C32="",D32=""),"",IF(D32=1,C32,ROUND(C32*(1+D32/30),1)))</f>
        <v/>
      </c>
    </row>
    <row r="33">
      <c r="A33">
        <f>'Week 01'!B18</f>
        <v/>
      </c>
      <c r="B33">
        <f>'Week 01'!C18</f>
        <v/>
      </c>
      <c r="C33">
        <f>IF('Week 01'!I18="","",'Week 01'!I18)</f>
        <v/>
      </c>
      <c r="D33">
        <f>IF('Week 01'!I18="","",IF('Week 01'!J18="",1,'Week 01'!J18))</f>
        <v/>
      </c>
      <c r="E33">
        <f>IF(OR(C33="",D33=""),"",IF(D33=1,C33,ROUND(C33*(1+D33/30),1)))</f>
        <v/>
      </c>
    </row>
    <row r="34">
      <c r="A34">
        <f>'Week 01'!B19</f>
        <v/>
      </c>
      <c r="B34">
        <f>'Week 01'!C19</f>
        <v/>
      </c>
      <c r="C34">
        <f>IF('Week 01'!I19="","",'Week 01'!I19)</f>
        <v/>
      </c>
      <c r="D34">
        <f>IF('Week 01'!I19="","",IF('Week 01'!J19="",1,'Week 01'!J19))</f>
        <v/>
      </c>
      <c r="E34">
        <f>IF(OR(C34="",D34=""),"",IF(D34=1,C34,ROUND(C34*(1+D34/30),1)))</f>
        <v/>
      </c>
    </row>
    <row r="35">
      <c r="A35">
        <f>'Week 01'!B20</f>
        <v/>
      </c>
      <c r="B35">
        <f>'Week 01'!C20</f>
        <v/>
      </c>
      <c r="C35">
        <f>IF('Week 01'!I20="","",'Week 01'!I20)</f>
        <v/>
      </c>
      <c r="D35">
        <f>IF('Week 01'!I20="","",IF('Week 01'!J20="",1,'Week 01'!J20))</f>
        <v/>
      </c>
      <c r="E35">
        <f>IF(OR(C35="",D35=""),"",IF(D35=1,C35,ROUND(C35*(1+D35/30),1)))</f>
        <v/>
      </c>
    </row>
    <row r="36">
      <c r="A36">
        <f>'Week 01'!B21</f>
        <v/>
      </c>
      <c r="B36">
        <f>'Week 01'!C21</f>
        <v/>
      </c>
      <c r="C36">
        <f>IF('Week 01'!I21="","",'Week 01'!I21)</f>
        <v/>
      </c>
      <c r="D36">
        <f>IF('Week 01'!I21="","",IF('Week 01'!J21="",1,'Week 01'!J21))</f>
        <v/>
      </c>
      <c r="E36">
        <f>IF(OR(C36="",D36=""),"",IF(D36=1,C36,ROUND(C36*(1+D36/30),1)))</f>
        <v/>
      </c>
    </row>
    <row r="37">
      <c r="A37">
        <f>'Week 01'!B22</f>
        <v/>
      </c>
      <c r="B37">
        <f>'Week 01'!C22</f>
        <v/>
      </c>
      <c r="C37">
        <f>IF('Week 01'!I22="","",'Week 01'!I22)</f>
        <v/>
      </c>
      <c r="D37">
        <f>IF('Week 01'!I22="","",IF('Week 01'!J22="",1,'Week 01'!J22))</f>
        <v/>
      </c>
      <c r="E37">
        <f>IF(OR(C37="",D37=""),"",IF(D37=1,C37,ROUND(C37*(1+D37/30),1)))</f>
        <v/>
      </c>
    </row>
    <row r="38">
      <c r="A38">
        <f>'Week 01'!B23</f>
        <v/>
      </c>
      <c r="B38">
        <f>'Week 01'!C23</f>
        <v/>
      </c>
      <c r="C38">
        <f>IF('Week 01'!I23="","",'Week 01'!I23)</f>
        <v/>
      </c>
      <c r="D38">
        <f>IF('Week 01'!I23="","",IF('Week 01'!J23="",1,'Week 01'!J23))</f>
        <v/>
      </c>
      <c r="E38">
        <f>IF(OR(C38="",D38=""),"",IF(D38=1,C38,ROUND(C38*(1+D38/30),1)))</f>
        <v/>
      </c>
    </row>
    <row r="39">
      <c r="A39">
        <f>'Week 01'!B24</f>
        <v/>
      </c>
      <c r="B39">
        <f>'Week 01'!C24</f>
        <v/>
      </c>
      <c r="C39">
        <f>IF('Week 01'!I24="","",'Week 01'!I24)</f>
        <v/>
      </c>
      <c r="D39">
        <f>IF('Week 01'!I24="","",IF('Week 01'!J24="",1,'Week 01'!J24))</f>
        <v/>
      </c>
      <c r="E39">
        <f>IF(OR(C39="",D39=""),"",IF(D39=1,C39,ROUND(C39*(1+D39/30),1)))</f>
        <v/>
      </c>
    </row>
    <row r="40">
      <c r="A40">
        <f>'Week 01'!B25</f>
        <v/>
      </c>
      <c r="B40">
        <f>'Week 01'!C25</f>
        <v/>
      </c>
      <c r="C40">
        <f>IF('Week 01'!I25="","",'Week 01'!I25)</f>
        <v/>
      </c>
      <c r="D40">
        <f>IF('Week 01'!I25="","",IF('Week 01'!J25="",1,'Week 01'!J25))</f>
        <v/>
      </c>
      <c r="E40">
        <f>IF(OR(C40="",D40=""),"",IF(D40=1,C40,ROUND(C40*(1+D40/30),1)))</f>
        <v/>
      </c>
    </row>
    <row r="41">
      <c r="A41">
        <f>'Week 02'!B6</f>
        <v/>
      </c>
      <c r="B41">
        <f>'Week 02'!C6</f>
        <v/>
      </c>
      <c r="C41">
        <f>IF('Week 02'!I6="","",'Week 02'!I6)</f>
        <v/>
      </c>
      <c r="D41">
        <f>IF('Week 02'!I6="","",IF('Week 02'!J6="",1,'Week 02'!J6))</f>
        <v/>
      </c>
      <c r="E41">
        <f>IF(OR(C41="",D41=""),"",IF(D41=1,C41,ROUND(C41*(1+D41/30),1)))</f>
        <v/>
      </c>
    </row>
    <row r="42">
      <c r="A42">
        <f>'Week 02'!B7</f>
        <v/>
      </c>
      <c r="B42">
        <f>'Week 02'!C7</f>
        <v/>
      </c>
      <c r="C42">
        <f>IF('Week 02'!I7="","",'Week 02'!I7)</f>
        <v/>
      </c>
      <c r="D42">
        <f>IF('Week 02'!I7="","",IF('Week 02'!J7="",1,'Week 02'!J7))</f>
        <v/>
      </c>
      <c r="E42">
        <f>IF(OR(C42="",D42=""),"",IF(D42=1,C42,ROUND(C42*(1+D42/30),1)))</f>
        <v/>
      </c>
    </row>
    <row r="43">
      <c r="A43">
        <f>'Week 02'!B8</f>
        <v/>
      </c>
      <c r="B43">
        <f>'Week 02'!C8</f>
        <v/>
      </c>
      <c r="C43">
        <f>IF('Week 02'!I8="","",'Week 02'!I8)</f>
        <v/>
      </c>
      <c r="D43">
        <f>IF('Week 02'!I8="","",IF('Week 02'!J8="",1,'Week 02'!J8))</f>
        <v/>
      </c>
      <c r="E43">
        <f>IF(OR(C43="",D43=""),"",IF(D43=1,C43,ROUND(C43*(1+D43/30),1)))</f>
        <v/>
      </c>
    </row>
    <row r="44">
      <c r="A44">
        <f>'Week 02'!B9</f>
        <v/>
      </c>
      <c r="B44">
        <f>'Week 02'!C9</f>
        <v/>
      </c>
      <c r="C44">
        <f>IF('Week 02'!I9="","",'Week 02'!I9)</f>
        <v/>
      </c>
      <c r="D44">
        <f>IF('Week 02'!I9="","",IF('Week 02'!J9="",1,'Week 02'!J9))</f>
        <v/>
      </c>
      <c r="E44">
        <f>IF(OR(C44="",D44=""),"",IF(D44=1,C44,ROUND(C44*(1+D44/30),1)))</f>
        <v/>
      </c>
    </row>
    <row r="45">
      <c r="A45">
        <f>'Week 02'!B10</f>
        <v/>
      </c>
      <c r="B45">
        <f>'Week 02'!C10</f>
        <v/>
      </c>
      <c r="C45">
        <f>IF('Week 02'!I10="","",'Week 02'!I10)</f>
        <v/>
      </c>
      <c r="D45">
        <f>IF('Week 02'!I10="","",IF('Week 02'!J10="",1,'Week 02'!J10))</f>
        <v/>
      </c>
      <c r="E45">
        <f>IF(OR(C45="",D45=""),"",IF(D45=1,C45,ROUND(C45*(1+D45/30),1)))</f>
        <v/>
      </c>
    </row>
    <row r="46">
      <c r="A46">
        <f>'Week 02'!B11</f>
        <v/>
      </c>
      <c r="B46">
        <f>'Week 02'!C11</f>
        <v/>
      </c>
      <c r="C46">
        <f>IF('Week 02'!I11="","",'Week 02'!I11)</f>
        <v/>
      </c>
      <c r="D46">
        <f>IF('Week 02'!I11="","",IF('Week 02'!J11="",1,'Week 02'!J11))</f>
        <v/>
      </c>
      <c r="E46">
        <f>IF(OR(C46="",D46=""),"",IF(D46=1,C46,ROUND(C46*(1+D46/30),1)))</f>
        <v/>
      </c>
    </row>
    <row r="47">
      <c r="A47">
        <f>'Week 02'!B12</f>
        <v/>
      </c>
      <c r="B47">
        <f>'Week 02'!C12</f>
        <v/>
      </c>
      <c r="C47">
        <f>IF('Week 02'!I12="","",'Week 02'!I12)</f>
        <v/>
      </c>
      <c r="D47">
        <f>IF('Week 02'!I12="","",IF('Week 02'!J12="",1,'Week 02'!J12))</f>
        <v/>
      </c>
      <c r="E47">
        <f>IF(OR(C47="",D47=""),"",IF(D47=1,C47,ROUND(C47*(1+D47/30),1)))</f>
        <v/>
      </c>
    </row>
    <row r="48">
      <c r="A48">
        <f>'Week 02'!B13</f>
        <v/>
      </c>
      <c r="B48">
        <f>'Week 02'!C13</f>
        <v/>
      </c>
      <c r="C48">
        <f>IF('Week 02'!I13="","",'Week 02'!I13)</f>
        <v/>
      </c>
      <c r="D48">
        <f>IF('Week 02'!I13="","",IF('Week 02'!J13="",1,'Week 02'!J13))</f>
        <v/>
      </c>
      <c r="E48">
        <f>IF(OR(C48="",D48=""),"",IF(D48=1,C48,ROUND(C48*(1+D48/30),1)))</f>
        <v/>
      </c>
    </row>
    <row r="49">
      <c r="A49">
        <f>'Week 02'!B14</f>
        <v/>
      </c>
      <c r="B49">
        <f>'Week 02'!C14</f>
        <v/>
      </c>
      <c r="C49">
        <f>IF('Week 02'!I14="","",'Week 02'!I14)</f>
        <v/>
      </c>
      <c r="D49">
        <f>IF('Week 02'!I14="","",IF('Week 02'!J14="",1,'Week 02'!J14))</f>
        <v/>
      </c>
      <c r="E49">
        <f>IF(OR(C49="",D49=""),"",IF(D49=1,C49,ROUND(C49*(1+D49/30),1)))</f>
        <v/>
      </c>
    </row>
    <row r="50">
      <c r="A50">
        <f>'Week 02'!B15</f>
        <v/>
      </c>
      <c r="B50">
        <f>'Week 02'!C15</f>
        <v/>
      </c>
      <c r="C50">
        <f>IF('Week 02'!I15="","",'Week 02'!I15)</f>
        <v/>
      </c>
      <c r="D50">
        <f>IF('Week 02'!I15="","",IF('Week 02'!J15="",1,'Week 02'!J15))</f>
        <v/>
      </c>
      <c r="E50">
        <f>IF(OR(C50="",D50=""),"",IF(D50=1,C50,ROUND(C50*(1+D50/30),1)))</f>
        <v/>
      </c>
    </row>
    <row r="51">
      <c r="A51">
        <f>'Week 02'!B16</f>
        <v/>
      </c>
      <c r="B51">
        <f>'Week 02'!C16</f>
        <v/>
      </c>
      <c r="C51">
        <f>IF('Week 02'!I16="","",'Week 02'!I16)</f>
        <v/>
      </c>
      <c r="D51">
        <f>IF('Week 02'!I16="","",IF('Week 02'!J16="",1,'Week 02'!J16))</f>
        <v/>
      </c>
      <c r="E51">
        <f>IF(OR(C51="",D51=""),"",IF(D51=1,C51,ROUND(C51*(1+D51/30),1)))</f>
        <v/>
      </c>
    </row>
    <row r="52">
      <c r="A52">
        <f>'Week 02'!B17</f>
        <v/>
      </c>
      <c r="B52">
        <f>'Week 02'!C17</f>
        <v/>
      </c>
      <c r="C52">
        <f>IF('Week 02'!I17="","",'Week 02'!I17)</f>
        <v/>
      </c>
      <c r="D52">
        <f>IF('Week 02'!I17="","",IF('Week 02'!J17="",1,'Week 02'!J17))</f>
        <v/>
      </c>
      <c r="E52">
        <f>IF(OR(C52="",D52=""),"",IF(D52=1,C52,ROUND(C52*(1+D52/30),1)))</f>
        <v/>
      </c>
    </row>
    <row r="53">
      <c r="A53">
        <f>'Week 02'!B18</f>
        <v/>
      </c>
      <c r="B53">
        <f>'Week 02'!C18</f>
        <v/>
      </c>
      <c r="C53">
        <f>IF('Week 02'!I18="","",'Week 02'!I18)</f>
        <v/>
      </c>
      <c r="D53">
        <f>IF('Week 02'!I18="","",IF('Week 02'!J18="",1,'Week 02'!J18))</f>
        <v/>
      </c>
      <c r="E53">
        <f>IF(OR(C53="",D53=""),"",IF(D53=1,C53,ROUND(C53*(1+D53/30),1)))</f>
        <v/>
      </c>
    </row>
    <row r="54">
      <c r="A54">
        <f>'Week 02'!B19</f>
        <v/>
      </c>
      <c r="B54">
        <f>'Week 02'!C19</f>
        <v/>
      </c>
      <c r="C54">
        <f>IF('Week 02'!I19="","",'Week 02'!I19)</f>
        <v/>
      </c>
      <c r="D54">
        <f>IF('Week 02'!I19="","",IF('Week 02'!J19="",1,'Week 02'!J19))</f>
        <v/>
      </c>
      <c r="E54">
        <f>IF(OR(C54="",D54=""),"",IF(D54=1,C54,ROUND(C54*(1+D54/30),1)))</f>
        <v/>
      </c>
    </row>
    <row r="55">
      <c r="A55">
        <f>'Week 02'!B20</f>
        <v/>
      </c>
      <c r="B55">
        <f>'Week 02'!C20</f>
        <v/>
      </c>
      <c r="C55">
        <f>IF('Week 02'!I20="","",'Week 02'!I20)</f>
        <v/>
      </c>
      <c r="D55">
        <f>IF('Week 02'!I20="","",IF('Week 02'!J20="",1,'Week 02'!J20))</f>
        <v/>
      </c>
      <c r="E55">
        <f>IF(OR(C55="",D55=""),"",IF(D55=1,C55,ROUND(C55*(1+D55/30),1)))</f>
        <v/>
      </c>
    </row>
    <row r="56">
      <c r="A56">
        <f>'Week 02'!B21</f>
        <v/>
      </c>
      <c r="B56">
        <f>'Week 02'!C21</f>
        <v/>
      </c>
      <c r="C56">
        <f>IF('Week 02'!I21="","",'Week 02'!I21)</f>
        <v/>
      </c>
      <c r="D56">
        <f>IF('Week 02'!I21="","",IF('Week 02'!J21="",1,'Week 02'!J21))</f>
        <v/>
      </c>
      <c r="E56">
        <f>IF(OR(C56="",D56=""),"",IF(D56=1,C56,ROUND(C56*(1+D56/30),1)))</f>
        <v/>
      </c>
    </row>
    <row r="57">
      <c r="A57">
        <f>'Week 02'!B22</f>
        <v/>
      </c>
      <c r="B57">
        <f>'Week 02'!C22</f>
        <v/>
      </c>
      <c r="C57">
        <f>IF('Week 02'!I22="","",'Week 02'!I22)</f>
        <v/>
      </c>
      <c r="D57">
        <f>IF('Week 02'!I22="","",IF('Week 02'!J22="",1,'Week 02'!J22))</f>
        <v/>
      </c>
      <c r="E57">
        <f>IF(OR(C57="",D57=""),"",IF(D57=1,C57,ROUND(C57*(1+D57/30),1)))</f>
        <v/>
      </c>
    </row>
    <row r="58">
      <c r="A58">
        <f>'Week 02'!B23</f>
        <v/>
      </c>
      <c r="B58">
        <f>'Week 02'!C23</f>
        <v/>
      </c>
      <c r="C58">
        <f>IF('Week 02'!I23="","",'Week 02'!I23)</f>
        <v/>
      </c>
      <c r="D58">
        <f>IF('Week 02'!I23="","",IF('Week 02'!J23="",1,'Week 02'!J23))</f>
        <v/>
      </c>
      <c r="E58">
        <f>IF(OR(C58="",D58=""),"",IF(D58=1,C58,ROUND(C58*(1+D58/30),1)))</f>
        <v/>
      </c>
    </row>
    <row r="59">
      <c r="A59">
        <f>'Week 02'!B24</f>
        <v/>
      </c>
      <c r="B59">
        <f>'Week 02'!C24</f>
        <v/>
      </c>
      <c r="C59">
        <f>IF('Week 02'!I24="","",'Week 02'!I24)</f>
        <v/>
      </c>
      <c r="D59">
        <f>IF('Week 02'!I24="","",IF('Week 02'!J24="",1,'Week 02'!J24))</f>
        <v/>
      </c>
      <c r="E59">
        <f>IF(OR(C59="",D59=""),"",IF(D59=1,C59,ROUND(C59*(1+D59/30),1)))</f>
        <v/>
      </c>
    </row>
    <row r="60">
      <c r="A60">
        <f>'Week 02'!B25</f>
        <v/>
      </c>
      <c r="B60">
        <f>'Week 02'!C25</f>
        <v/>
      </c>
      <c r="C60">
        <f>IF('Week 02'!I25="","",'Week 02'!I25)</f>
        <v/>
      </c>
      <c r="D60">
        <f>IF('Week 02'!I25="","",IF('Week 02'!J25="",1,'Week 02'!J25))</f>
        <v/>
      </c>
      <c r="E60">
        <f>IF(OR(C60="",D60=""),"",IF(D60=1,C60,ROUND(C60*(1+D60/30),1)))</f>
        <v/>
      </c>
    </row>
    <row r="61">
      <c r="A61">
        <f>'Week 03'!B6</f>
        <v/>
      </c>
      <c r="B61">
        <f>'Week 03'!C6</f>
        <v/>
      </c>
      <c r="C61">
        <f>IF('Week 03'!I6="","",'Week 03'!I6)</f>
        <v/>
      </c>
      <c r="D61">
        <f>IF('Week 03'!I6="","",IF('Week 03'!J6="",1,'Week 03'!J6))</f>
        <v/>
      </c>
      <c r="E61">
        <f>IF(OR(C61="",D61=""),"",IF(D61=1,C61,ROUND(C61*(1+D61/30),1)))</f>
        <v/>
      </c>
    </row>
    <row r="62">
      <c r="A62">
        <f>'Week 03'!B7</f>
        <v/>
      </c>
      <c r="B62">
        <f>'Week 03'!C7</f>
        <v/>
      </c>
      <c r="C62">
        <f>IF('Week 03'!I7="","",'Week 03'!I7)</f>
        <v/>
      </c>
      <c r="D62">
        <f>IF('Week 03'!I7="","",IF('Week 03'!J7="",1,'Week 03'!J7))</f>
        <v/>
      </c>
      <c r="E62">
        <f>IF(OR(C62="",D62=""),"",IF(D62=1,C62,ROUND(C62*(1+D62/30),1)))</f>
        <v/>
      </c>
    </row>
    <row r="63">
      <c r="A63">
        <f>'Week 03'!B8</f>
        <v/>
      </c>
      <c r="B63">
        <f>'Week 03'!C8</f>
        <v/>
      </c>
      <c r="C63">
        <f>IF('Week 03'!I8="","",'Week 03'!I8)</f>
        <v/>
      </c>
      <c r="D63">
        <f>IF('Week 03'!I8="","",IF('Week 03'!J8="",1,'Week 03'!J8))</f>
        <v/>
      </c>
      <c r="E63">
        <f>IF(OR(C63="",D63=""),"",IF(D63=1,C63,ROUND(C63*(1+D63/30),1)))</f>
        <v/>
      </c>
    </row>
    <row r="64">
      <c r="A64">
        <f>'Week 03'!B9</f>
        <v/>
      </c>
      <c r="B64">
        <f>'Week 03'!C9</f>
        <v/>
      </c>
      <c r="C64">
        <f>IF('Week 03'!I9="","",'Week 03'!I9)</f>
        <v/>
      </c>
      <c r="D64">
        <f>IF('Week 03'!I9="","",IF('Week 03'!J9="",1,'Week 03'!J9))</f>
        <v/>
      </c>
      <c r="E64">
        <f>IF(OR(C64="",D64=""),"",IF(D64=1,C64,ROUND(C64*(1+D64/30),1)))</f>
        <v/>
      </c>
    </row>
    <row r="65">
      <c r="A65">
        <f>'Week 03'!B10</f>
        <v/>
      </c>
      <c r="B65">
        <f>'Week 03'!C10</f>
        <v/>
      </c>
      <c r="C65">
        <f>IF('Week 03'!I10="","",'Week 03'!I10)</f>
        <v/>
      </c>
      <c r="D65">
        <f>IF('Week 03'!I10="","",IF('Week 03'!J10="",1,'Week 03'!J10))</f>
        <v/>
      </c>
      <c r="E65">
        <f>IF(OR(C65="",D65=""),"",IF(D65=1,C65,ROUND(C65*(1+D65/30),1)))</f>
        <v/>
      </c>
    </row>
    <row r="66">
      <c r="A66">
        <f>'Week 03'!B11</f>
        <v/>
      </c>
      <c r="B66">
        <f>'Week 03'!C11</f>
        <v/>
      </c>
      <c r="C66">
        <f>IF('Week 03'!I11="","",'Week 03'!I11)</f>
        <v/>
      </c>
      <c r="D66">
        <f>IF('Week 03'!I11="","",IF('Week 03'!J11="",1,'Week 03'!J11))</f>
        <v/>
      </c>
      <c r="E66">
        <f>IF(OR(C66="",D66=""),"",IF(D66=1,C66,ROUND(C66*(1+D66/30),1)))</f>
        <v/>
      </c>
    </row>
    <row r="67">
      <c r="A67">
        <f>'Week 03'!B12</f>
        <v/>
      </c>
      <c r="B67">
        <f>'Week 03'!C12</f>
        <v/>
      </c>
      <c r="C67">
        <f>IF('Week 03'!I12="","",'Week 03'!I12)</f>
        <v/>
      </c>
      <c r="D67">
        <f>IF('Week 03'!I12="","",IF('Week 03'!J12="",1,'Week 03'!J12))</f>
        <v/>
      </c>
      <c r="E67">
        <f>IF(OR(C67="",D67=""),"",IF(D67=1,C67,ROUND(C67*(1+D67/30),1)))</f>
        <v/>
      </c>
    </row>
    <row r="68">
      <c r="A68">
        <f>'Week 03'!B13</f>
        <v/>
      </c>
      <c r="B68">
        <f>'Week 03'!C13</f>
        <v/>
      </c>
      <c r="C68">
        <f>IF('Week 03'!I13="","",'Week 03'!I13)</f>
        <v/>
      </c>
      <c r="D68">
        <f>IF('Week 03'!I13="","",IF('Week 03'!J13="",1,'Week 03'!J13))</f>
        <v/>
      </c>
      <c r="E68">
        <f>IF(OR(C68="",D68=""),"",IF(D68=1,C68,ROUND(C68*(1+D68/30),1)))</f>
        <v/>
      </c>
    </row>
    <row r="69">
      <c r="A69">
        <f>'Week 03'!B14</f>
        <v/>
      </c>
      <c r="B69">
        <f>'Week 03'!C14</f>
        <v/>
      </c>
      <c r="C69">
        <f>IF('Week 03'!I14="","",'Week 03'!I14)</f>
        <v/>
      </c>
      <c r="D69">
        <f>IF('Week 03'!I14="","",IF('Week 03'!J14="",1,'Week 03'!J14))</f>
        <v/>
      </c>
      <c r="E69">
        <f>IF(OR(C69="",D69=""),"",IF(D69=1,C69,ROUND(C69*(1+D69/30),1)))</f>
        <v/>
      </c>
    </row>
    <row r="70">
      <c r="A70">
        <f>'Week 03'!B15</f>
        <v/>
      </c>
      <c r="B70">
        <f>'Week 03'!C15</f>
        <v/>
      </c>
      <c r="C70">
        <f>IF('Week 03'!I15="","",'Week 03'!I15)</f>
        <v/>
      </c>
      <c r="D70">
        <f>IF('Week 03'!I15="","",IF('Week 03'!J15="",1,'Week 03'!J15))</f>
        <v/>
      </c>
      <c r="E70">
        <f>IF(OR(C70="",D70=""),"",IF(D70=1,C70,ROUND(C70*(1+D70/30),1)))</f>
        <v/>
      </c>
    </row>
    <row r="71">
      <c r="A71">
        <f>'Week 03'!B16</f>
        <v/>
      </c>
      <c r="B71">
        <f>'Week 03'!C16</f>
        <v/>
      </c>
      <c r="C71">
        <f>IF('Week 03'!I16="","",'Week 03'!I16)</f>
        <v/>
      </c>
      <c r="D71">
        <f>IF('Week 03'!I16="","",IF('Week 03'!J16="",1,'Week 03'!J16))</f>
        <v/>
      </c>
      <c r="E71">
        <f>IF(OR(C71="",D71=""),"",IF(D71=1,C71,ROUND(C71*(1+D71/30),1)))</f>
        <v/>
      </c>
    </row>
    <row r="72">
      <c r="A72">
        <f>'Week 03'!B17</f>
        <v/>
      </c>
      <c r="B72">
        <f>'Week 03'!C17</f>
        <v/>
      </c>
      <c r="C72">
        <f>IF('Week 03'!I17="","",'Week 03'!I17)</f>
        <v/>
      </c>
      <c r="D72">
        <f>IF('Week 03'!I17="","",IF('Week 03'!J17="",1,'Week 03'!J17))</f>
        <v/>
      </c>
      <c r="E72">
        <f>IF(OR(C72="",D72=""),"",IF(D72=1,C72,ROUND(C72*(1+D72/30),1)))</f>
        <v/>
      </c>
    </row>
    <row r="73">
      <c r="A73">
        <f>'Week 03'!B18</f>
        <v/>
      </c>
      <c r="B73">
        <f>'Week 03'!C18</f>
        <v/>
      </c>
      <c r="C73">
        <f>IF('Week 03'!I18="","",'Week 03'!I18)</f>
        <v/>
      </c>
      <c r="D73">
        <f>IF('Week 03'!I18="","",IF('Week 03'!J18="",1,'Week 03'!J18))</f>
        <v/>
      </c>
      <c r="E73">
        <f>IF(OR(C73="",D73=""),"",IF(D73=1,C73,ROUND(C73*(1+D73/30),1)))</f>
        <v/>
      </c>
    </row>
    <row r="74">
      <c r="A74">
        <f>'Week 03'!B19</f>
        <v/>
      </c>
      <c r="B74">
        <f>'Week 03'!C19</f>
        <v/>
      </c>
      <c r="C74">
        <f>IF('Week 03'!I19="","",'Week 03'!I19)</f>
        <v/>
      </c>
      <c r="D74">
        <f>IF('Week 03'!I19="","",IF('Week 03'!J19="",1,'Week 03'!J19))</f>
        <v/>
      </c>
      <c r="E74">
        <f>IF(OR(C74="",D74=""),"",IF(D74=1,C74,ROUND(C74*(1+D74/30),1)))</f>
        <v/>
      </c>
    </row>
    <row r="75">
      <c r="A75">
        <f>'Week 03'!B20</f>
        <v/>
      </c>
      <c r="B75">
        <f>'Week 03'!C20</f>
        <v/>
      </c>
      <c r="C75">
        <f>IF('Week 03'!I20="","",'Week 03'!I20)</f>
        <v/>
      </c>
      <c r="D75">
        <f>IF('Week 03'!I20="","",IF('Week 03'!J20="",1,'Week 03'!J20))</f>
        <v/>
      </c>
      <c r="E75">
        <f>IF(OR(C75="",D75=""),"",IF(D75=1,C75,ROUND(C75*(1+D75/30),1)))</f>
        <v/>
      </c>
    </row>
    <row r="76">
      <c r="A76">
        <f>'Week 03'!B21</f>
        <v/>
      </c>
      <c r="B76">
        <f>'Week 03'!C21</f>
        <v/>
      </c>
      <c r="C76">
        <f>IF('Week 03'!I21="","",'Week 03'!I21)</f>
        <v/>
      </c>
      <c r="D76">
        <f>IF('Week 03'!I21="","",IF('Week 03'!J21="",1,'Week 03'!J21))</f>
        <v/>
      </c>
      <c r="E76">
        <f>IF(OR(C76="",D76=""),"",IF(D76=1,C76,ROUND(C76*(1+D76/30),1)))</f>
        <v/>
      </c>
    </row>
    <row r="77">
      <c r="A77">
        <f>'Week 03'!B22</f>
        <v/>
      </c>
      <c r="B77">
        <f>'Week 03'!C22</f>
        <v/>
      </c>
      <c r="C77">
        <f>IF('Week 03'!I22="","",'Week 03'!I22)</f>
        <v/>
      </c>
      <c r="D77">
        <f>IF('Week 03'!I22="","",IF('Week 03'!J22="",1,'Week 03'!J22))</f>
        <v/>
      </c>
      <c r="E77">
        <f>IF(OR(C77="",D77=""),"",IF(D77=1,C77,ROUND(C77*(1+D77/30),1)))</f>
        <v/>
      </c>
    </row>
    <row r="78">
      <c r="A78">
        <f>'Week 03'!B23</f>
        <v/>
      </c>
      <c r="B78">
        <f>'Week 03'!C23</f>
        <v/>
      </c>
      <c r="C78">
        <f>IF('Week 03'!I23="","",'Week 03'!I23)</f>
        <v/>
      </c>
      <c r="D78">
        <f>IF('Week 03'!I23="","",IF('Week 03'!J23="",1,'Week 03'!J23))</f>
        <v/>
      </c>
      <c r="E78">
        <f>IF(OR(C78="",D78=""),"",IF(D78=1,C78,ROUND(C78*(1+D78/30),1)))</f>
        <v/>
      </c>
    </row>
    <row r="79">
      <c r="A79">
        <f>'Week 03'!B24</f>
        <v/>
      </c>
      <c r="B79">
        <f>'Week 03'!C24</f>
        <v/>
      </c>
      <c r="C79">
        <f>IF('Week 03'!I24="","",'Week 03'!I24)</f>
        <v/>
      </c>
      <c r="D79">
        <f>IF('Week 03'!I24="","",IF('Week 03'!J24="",1,'Week 03'!J24))</f>
        <v/>
      </c>
      <c r="E79">
        <f>IF(OR(C79="",D79=""),"",IF(D79=1,C79,ROUND(C79*(1+D79/30),1)))</f>
        <v/>
      </c>
    </row>
    <row r="80">
      <c r="A80">
        <f>'Week 03'!B25</f>
        <v/>
      </c>
      <c r="B80">
        <f>'Week 03'!C25</f>
        <v/>
      </c>
      <c r="C80">
        <f>IF('Week 03'!I25="","",'Week 03'!I25)</f>
        <v/>
      </c>
      <c r="D80">
        <f>IF('Week 03'!I25="","",IF('Week 03'!J25="",1,'Week 03'!J25))</f>
        <v/>
      </c>
      <c r="E80">
        <f>IF(OR(C80="",D80=""),"",IF(D80=1,C80,ROUND(C80*(1+D80/30),1)))</f>
        <v/>
      </c>
    </row>
    <row r="81">
      <c r="A81">
        <f>'Week 04'!B6</f>
        <v/>
      </c>
      <c r="B81">
        <f>'Week 04'!C6</f>
        <v/>
      </c>
      <c r="C81">
        <f>IF('Week 04'!I6="","",'Week 04'!I6)</f>
        <v/>
      </c>
      <c r="D81">
        <f>IF('Week 04'!I6="","",IF('Week 04'!J6="",1,'Week 04'!J6))</f>
        <v/>
      </c>
      <c r="E81">
        <f>IF(OR(C81="",D81=""),"",IF(D81=1,C81,ROUND(C81*(1+D81/30),1)))</f>
        <v/>
      </c>
    </row>
    <row r="82">
      <c r="A82">
        <f>'Week 04'!B7</f>
        <v/>
      </c>
      <c r="B82">
        <f>'Week 04'!C7</f>
        <v/>
      </c>
      <c r="C82">
        <f>IF('Week 04'!I7="","",'Week 04'!I7)</f>
        <v/>
      </c>
      <c r="D82">
        <f>IF('Week 04'!I7="","",IF('Week 04'!J7="",1,'Week 04'!J7))</f>
        <v/>
      </c>
      <c r="E82">
        <f>IF(OR(C82="",D82=""),"",IF(D82=1,C82,ROUND(C82*(1+D82/30),1)))</f>
        <v/>
      </c>
    </row>
    <row r="83">
      <c r="A83">
        <f>'Week 04'!B8</f>
        <v/>
      </c>
      <c r="B83">
        <f>'Week 04'!C8</f>
        <v/>
      </c>
      <c r="C83">
        <f>IF('Week 04'!I8="","",'Week 04'!I8)</f>
        <v/>
      </c>
      <c r="D83">
        <f>IF('Week 04'!I8="","",IF('Week 04'!J8="",1,'Week 04'!J8))</f>
        <v/>
      </c>
      <c r="E83">
        <f>IF(OR(C83="",D83=""),"",IF(D83=1,C83,ROUND(C83*(1+D83/30),1)))</f>
        <v/>
      </c>
    </row>
    <row r="84">
      <c r="A84">
        <f>'Week 04'!B9</f>
        <v/>
      </c>
      <c r="B84">
        <f>'Week 04'!C9</f>
        <v/>
      </c>
      <c r="C84">
        <f>IF('Week 04'!I9="","",'Week 04'!I9)</f>
        <v/>
      </c>
      <c r="D84">
        <f>IF('Week 04'!I9="","",IF('Week 04'!J9="",1,'Week 04'!J9))</f>
        <v/>
      </c>
      <c r="E84">
        <f>IF(OR(C84="",D84=""),"",IF(D84=1,C84,ROUND(C84*(1+D84/30),1)))</f>
        <v/>
      </c>
    </row>
    <row r="85">
      <c r="A85">
        <f>'Week 04'!B10</f>
        <v/>
      </c>
      <c r="B85">
        <f>'Week 04'!C10</f>
        <v/>
      </c>
      <c r="C85">
        <f>IF('Week 04'!I10="","",'Week 04'!I10)</f>
        <v/>
      </c>
      <c r="D85">
        <f>IF('Week 04'!I10="","",IF('Week 04'!J10="",1,'Week 04'!J10))</f>
        <v/>
      </c>
      <c r="E85">
        <f>IF(OR(C85="",D85=""),"",IF(D85=1,C85,ROUND(C85*(1+D85/30),1)))</f>
        <v/>
      </c>
    </row>
    <row r="86">
      <c r="A86">
        <f>'Week 04'!B11</f>
        <v/>
      </c>
      <c r="B86">
        <f>'Week 04'!C11</f>
        <v/>
      </c>
      <c r="C86">
        <f>IF('Week 04'!I11="","",'Week 04'!I11)</f>
        <v/>
      </c>
      <c r="D86">
        <f>IF('Week 04'!I11="","",IF('Week 04'!J11="",1,'Week 04'!J11))</f>
        <v/>
      </c>
      <c r="E86">
        <f>IF(OR(C86="",D86=""),"",IF(D86=1,C86,ROUND(C86*(1+D86/30),1)))</f>
        <v/>
      </c>
    </row>
    <row r="87">
      <c r="A87">
        <f>'Week 04'!B12</f>
        <v/>
      </c>
      <c r="B87">
        <f>'Week 04'!C12</f>
        <v/>
      </c>
      <c r="C87">
        <f>IF('Week 04'!I12="","",'Week 04'!I12)</f>
        <v/>
      </c>
      <c r="D87">
        <f>IF('Week 04'!I12="","",IF('Week 04'!J12="",1,'Week 04'!J12))</f>
        <v/>
      </c>
      <c r="E87">
        <f>IF(OR(C87="",D87=""),"",IF(D87=1,C87,ROUND(C87*(1+D87/30),1)))</f>
        <v/>
      </c>
    </row>
    <row r="88">
      <c r="A88">
        <f>'Week 04'!B13</f>
        <v/>
      </c>
      <c r="B88">
        <f>'Week 04'!C13</f>
        <v/>
      </c>
      <c r="C88">
        <f>IF('Week 04'!I13="","",'Week 04'!I13)</f>
        <v/>
      </c>
      <c r="D88">
        <f>IF('Week 04'!I13="","",IF('Week 04'!J13="",1,'Week 04'!J13))</f>
        <v/>
      </c>
      <c r="E88">
        <f>IF(OR(C88="",D88=""),"",IF(D88=1,C88,ROUND(C88*(1+D88/30),1)))</f>
        <v/>
      </c>
    </row>
    <row r="89">
      <c r="A89">
        <f>'Week 04'!B14</f>
        <v/>
      </c>
      <c r="B89">
        <f>'Week 04'!C14</f>
        <v/>
      </c>
      <c r="C89">
        <f>IF('Week 04'!I14="","",'Week 04'!I14)</f>
        <v/>
      </c>
      <c r="D89">
        <f>IF('Week 04'!I14="","",IF('Week 04'!J14="",1,'Week 04'!J14))</f>
        <v/>
      </c>
      <c r="E89">
        <f>IF(OR(C89="",D89=""),"",IF(D89=1,C89,ROUND(C89*(1+D89/30),1)))</f>
        <v/>
      </c>
    </row>
    <row r="90">
      <c r="A90">
        <f>'Week 04'!B15</f>
        <v/>
      </c>
      <c r="B90">
        <f>'Week 04'!C15</f>
        <v/>
      </c>
      <c r="C90">
        <f>IF('Week 04'!I15="","",'Week 04'!I15)</f>
        <v/>
      </c>
      <c r="D90">
        <f>IF('Week 04'!I15="","",IF('Week 04'!J15="",1,'Week 04'!J15))</f>
        <v/>
      </c>
      <c r="E90">
        <f>IF(OR(C90="",D90=""),"",IF(D90=1,C90,ROUND(C90*(1+D90/30),1)))</f>
        <v/>
      </c>
    </row>
    <row r="91">
      <c r="A91">
        <f>'Week 04'!B16</f>
        <v/>
      </c>
      <c r="B91">
        <f>'Week 04'!C16</f>
        <v/>
      </c>
      <c r="C91">
        <f>IF('Week 04'!I16="","",'Week 04'!I16)</f>
        <v/>
      </c>
      <c r="D91">
        <f>IF('Week 04'!I16="","",IF('Week 04'!J16="",1,'Week 04'!J16))</f>
        <v/>
      </c>
      <c r="E91">
        <f>IF(OR(C91="",D91=""),"",IF(D91=1,C91,ROUND(C91*(1+D91/30),1)))</f>
        <v/>
      </c>
    </row>
    <row r="92">
      <c r="A92">
        <f>'Week 04'!B17</f>
        <v/>
      </c>
      <c r="B92">
        <f>'Week 04'!C17</f>
        <v/>
      </c>
      <c r="C92">
        <f>IF('Week 04'!I17="","",'Week 04'!I17)</f>
        <v/>
      </c>
      <c r="D92">
        <f>IF('Week 04'!I17="","",IF('Week 04'!J17="",1,'Week 04'!J17))</f>
        <v/>
      </c>
      <c r="E92">
        <f>IF(OR(C92="",D92=""),"",IF(D92=1,C92,ROUND(C92*(1+D92/30),1)))</f>
        <v/>
      </c>
    </row>
    <row r="93">
      <c r="A93">
        <f>'Week 04'!B18</f>
        <v/>
      </c>
      <c r="B93">
        <f>'Week 04'!C18</f>
        <v/>
      </c>
      <c r="C93">
        <f>IF('Week 04'!I18="","",'Week 04'!I18)</f>
        <v/>
      </c>
      <c r="D93">
        <f>IF('Week 04'!I18="","",IF('Week 04'!J18="",1,'Week 04'!J18))</f>
        <v/>
      </c>
      <c r="E93">
        <f>IF(OR(C93="",D93=""),"",IF(D93=1,C93,ROUND(C93*(1+D93/30),1)))</f>
        <v/>
      </c>
    </row>
    <row r="94">
      <c r="A94">
        <f>'Week 04'!B19</f>
        <v/>
      </c>
      <c r="B94">
        <f>'Week 04'!C19</f>
        <v/>
      </c>
      <c r="C94">
        <f>IF('Week 04'!I19="","",'Week 04'!I19)</f>
        <v/>
      </c>
      <c r="D94">
        <f>IF('Week 04'!I19="","",IF('Week 04'!J19="",1,'Week 04'!J19))</f>
        <v/>
      </c>
      <c r="E94">
        <f>IF(OR(C94="",D94=""),"",IF(D94=1,C94,ROUND(C94*(1+D94/30),1)))</f>
        <v/>
      </c>
    </row>
    <row r="95">
      <c r="A95">
        <f>'Week 04'!B20</f>
        <v/>
      </c>
      <c r="B95">
        <f>'Week 04'!C20</f>
        <v/>
      </c>
      <c r="C95">
        <f>IF('Week 04'!I20="","",'Week 04'!I20)</f>
        <v/>
      </c>
      <c r="D95">
        <f>IF('Week 04'!I20="","",IF('Week 04'!J20="",1,'Week 04'!J20))</f>
        <v/>
      </c>
      <c r="E95">
        <f>IF(OR(C95="",D95=""),"",IF(D95=1,C95,ROUND(C95*(1+D95/30),1)))</f>
        <v/>
      </c>
    </row>
    <row r="96">
      <c r="A96">
        <f>'Week 04'!B21</f>
        <v/>
      </c>
      <c r="B96">
        <f>'Week 04'!C21</f>
        <v/>
      </c>
      <c r="C96">
        <f>IF('Week 04'!I21="","",'Week 04'!I21)</f>
        <v/>
      </c>
      <c r="D96">
        <f>IF('Week 04'!I21="","",IF('Week 04'!J21="",1,'Week 04'!J21))</f>
        <v/>
      </c>
      <c r="E96">
        <f>IF(OR(C96="",D96=""),"",IF(D96=1,C96,ROUND(C96*(1+D96/30),1)))</f>
        <v/>
      </c>
    </row>
    <row r="97">
      <c r="A97">
        <f>'Week 04'!B22</f>
        <v/>
      </c>
      <c r="B97">
        <f>'Week 04'!C22</f>
        <v/>
      </c>
      <c r="C97">
        <f>IF('Week 04'!I22="","",'Week 04'!I22)</f>
        <v/>
      </c>
      <c r="D97">
        <f>IF('Week 04'!I22="","",IF('Week 04'!J22="",1,'Week 04'!J22))</f>
        <v/>
      </c>
      <c r="E97">
        <f>IF(OR(C97="",D97=""),"",IF(D97=1,C97,ROUND(C97*(1+D97/30),1)))</f>
        <v/>
      </c>
    </row>
    <row r="98">
      <c r="A98">
        <f>'Week 04'!B23</f>
        <v/>
      </c>
      <c r="B98">
        <f>'Week 04'!C23</f>
        <v/>
      </c>
      <c r="C98">
        <f>IF('Week 04'!I23="","",'Week 04'!I23)</f>
        <v/>
      </c>
      <c r="D98">
        <f>IF('Week 04'!I23="","",IF('Week 04'!J23="",1,'Week 04'!J23))</f>
        <v/>
      </c>
      <c r="E98">
        <f>IF(OR(C98="",D98=""),"",IF(D98=1,C98,ROUND(C98*(1+D98/30),1)))</f>
        <v/>
      </c>
    </row>
    <row r="99">
      <c r="A99">
        <f>'Week 04'!B24</f>
        <v/>
      </c>
      <c r="B99">
        <f>'Week 04'!C24</f>
        <v/>
      </c>
      <c r="C99">
        <f>IF('Week 04'!I24="","",'Week 04'!I24)</f>
        <v/>
      </c>
      <c r="D99">
        <f>IF('Week 04'!I24="","",IF('Week 04'!J24="",1,'Week 04'!J24))</f>
        <v/>
      </c>
      <c r="E99">
        <f>IF(OR(C99="",D99=""),"",IF(D99=1,C99,ROUND(C99*(1+D99/30),1)))</f>
        <v/>
      </c>
    </row>
    <row r="100">
      <c r="A100">
        <f>'Week 04'!B25</f>
        <v/>
      </c>
      <c r="B100">
        <f>'Week 04'!C25</f>
        <v/>
      </c>
      <c r="C100">
        <f>IF('Week 04'!I25="","",'Week 04'!I25)</f>
        <v/>
      </c>
      <c r="D100">
        <f>IF('Week 04'!I25="","",IF('Week 04'!J25="",1,'Week 04'!J25))</f>
        <v/>
      </c>
      <c r="E100">
        <f>IF(OR(C100="",D100=""),"",IF(D100=1,C100,ROUND(C100*(1+D100/30),1)))</f>
        <v/>
      </c>
    </row>
    <row r="101">
      <c r="A101">
        <f>'Week 05'!B6</f>
        <v/>
      </c>
      <c r="B101">
        <f>'Week 05'!C6</f>
        <v/>
      </c>
      <c r="C101">
        <f>IF('Week 05'!I6="","",'Week 05'!I6)</f>
        <v/>
      </c>
      <c r="D101">
        <f>IF('Week 05'!I6="","",IF('Week 05'!J6="",1,'Week 05'!J6))</f>
        <v/>
      </c>
      <c r="E101">
        <f>IF(OR(C101="",D101=""),"",IF(D101=1,C101,ROUND(C101*(1+D101/30),1)))</f>
        <v/>
      </c>
    </row>
    <row r="102">
      <c r="A102">
        <f>'Week 05'!B7</f>
        <v/>
      </c>
      <c r="B102">
        <f>'Week 05'!C7</f>
        <v/>
      </c>
      <c r="C102">
        <f>IF('Week 05'!I7="","",'Week 05'!I7)</f>
        <v/>
      </c>
      <c r="D102">
        <f>IF('Week 05'!I7="","",IF('Week 05'!J7="",1,'Week 05'!J7))</f>
        <v/>
      </c>
      <c r="E102">
        <f>IF(OR(C102="",D102=""),"",IF(D102=1,C102,ROUND(C102*(1+D102/30),1)))</f>
        <v/>
      </c>
    </row>
    <row r="103">
      <c r="A103">
        <f>'Week 05'!B8</f>
        <v/>
      </c>
      <c r="B103">
        <f>'Week 05'!C8</f>
        <v/>
      </c>
      <c r="C103">
        <f>IF('Week 05'!I8="","",'Week 05'!I8)</f>
        <v/>
      </c>
      <c r="D103">
        <f>IF('Week 05'!I8="","",IF('Week 05'!J8="",1,'Week 05'!J8))</f>
        <v/>
      </c>
      <c r="E103">
        <f>IF(OR(C103="",D103=""),"",IF(D103=1,C103,ROUND(C103*(1+D103/30),1)))</f>
        <v/>
      </c>
    </row>
    <row r="104">
      <c r="A104">
        <f>'Week 05'!B9</f>
        <v/>
      </c>
      <c r="B104">
        <f>'Week 05'!C9</f>
        <v/>
      </c>
      <c r="C104">
        <f>IF('Week 05'!I9="","",'Week 05'!I9)</f>
        <v/>
      </c>
      <c r="D104">
        <f>IF('Week 05'!I9="","",IF('Week 05'!J9="",1,'Week 05'!J9))</f>
        <v/>
      </c>
      <c r="E104">
        <f>IF(OR(C104="",D104=""),"",IF(D104=1,C104,ROUND(C104*(1+D104/30),1)))</f>
        <v/>
      </c>
    </row>
    <row r="105">
      <c r="A105">
        <f>'Week 05'!B10</f>
        <v/>
      </c>
      <c r="B105">
        <f>'Week 05'!C10</f>
        <v/>
      </c>
      <c r="C105">
        <f>IF('Week 05'!I10="","",'Week 05'!I10)</f>
        <v/>
      </c>
      <c r="D105">
        <f>IF('Week 05'!I10="","",IF('Week 05'!J10="",1,'Week 05'!J10))</f>
        <v/>
      </c>
      <c r="E105">
        <f>IF(OR(C105="",D105=""),"",IF(D105=1,C105,ROUND(C105*(1+D105/30),1)))</f>
        <v/>
      </c>
    </row>
    <row r="106">
      <c r="A106">
        <f>'Week 05'!B11</f>
        <v/>
      </c>
      <c r="B106">
        <f>'Week 05'!C11</f>
        <v/>
      </c>
      <c r="C106">
        <f>IF('Week 05'!I11="","",'Week 05'!I11)</f>
        <v/>
      </c>
      <c r="D106">
        <f>IF('Week 05'!I11="","",IF('Week 05'!J11="",1,'Week 05'!J11))</f>
        <v/>
      </c>
      <c r="E106">
        <f>IF(OR(C106="",D106=""),"",IF(D106=1,C106,ROUND(C106*(1+D106/30),1)))</f>
        <v/>
      </c>
    </row>
    <row r="107">
      <c r="A107">
        <f>'Week 05'!B12</f>
        <v/>
      </c>
      <c r="B107">
        <f>'Week 05'!C12</f>
        <v/>
      </c>
      <c r="C107">
        <f>IF('Week 05'!I12="","",'Week 05'!I12)</f>
        <v/>
      </c>
      <c r="D107">
        <f>IF('Week 05'!I12="","",IF('Week 05'!J12="",1,'Week 05'!J12))</f>
        <v/>
      </c>
      <c r="E107">
        <f>IF(OR(C107="",D107=""),"",IF(D107=1,C107,ROUND(C107*(1+D107/30),1)))</f>
        <v/>
      </c>
    </row>
    <row r="108">
      <c r="A108">
        <f>'Week 05'!B13</f>
        <v/>
      </c>
      <c r="B108">
        <f>'Week 05'!C13</f>
        <v/>
      </c>
      <c r="C108">
        <f>IF('Week 05'!I13="","",'Week 05'!I13)</f>
        <v/>
      </c>
      <c r="D108">
        <f>IF('Week 05'!I13="","",IF('Week 05'!J13="",1,'Week 05'!J13))</f>
        <v/>
      </c>
      <c r="E108">
        <f>IF(OR(C108="",D108=""),"",IF(D108=1,C108,ROUND(C108*(1+D108/30),1)))</f>
        <v/>
      </c>
    </row>
    <row r="109">
      <c r="A109">
        <f>'Week 05'!B14</f>
        <v/>
      </c>
      <c r="B109">
        <f>'Week 05'!C14</f>
        <v/>
      </c>
      <c r="C109">
        <f>IF('Week 05'!I14="","",'Week 05'!I14)</f>
        <v/>
      </c>
      <c r="D109">
        <f>IF('Week 05'!I14="","",IF('Week 05'!J14="",1,'Week 05'!J14))</f>
        <v/>
      </c>
      <c r="E109">
        <f>IF(OR(C109="",D109=""),"",IF(D109=1,C109,ROUND(C109*(1+D109/30),1)))</f>
        <v/>
      </c>
    </row>
    <row r="110">
      <c r="A110">
        <f>'Week 05'!B15</f>
        <v/>
      </c>
      <c r="B110">
        <f>'Week 05'!C15</f>
        <v/>
      </c>
      <c r="C110">
        <f>IF('Week 05'!I15="","",'Week 05'!I15)</f>
        <v/>
      </c>
      <c r="D110">
        <f>IF('Week 05'!I15="","",IF('Week 05'!J15="",1,'Week 05'!J15))</f>
        <v/>
      </c>
      <c r="E110">
        <f>IF(OR(C110="",D110=""),"",IF(D110=1,C110,ROUND(C110*(1+D110/30),1)))</f>
        <v/>
      </c>
    </row>
    <row r="111">
      <c r="A111">
        <f>'Week 05'!B16</f>
        <v/>
      </c>
      <c r="B111">
        <f>'Week 05'!C16</f>
        <v/>
      </c>
      <c r="C111">
        <f>IF('Week 05'!I16="","",'Week 05'!I16)</f>
        <v/>
      </c>
      <c r="D111">
        <f>IF('Week 05'!I16="","",IF('Week 05'!J16="",1,'Week 05'!J16))</f>
        <v/>
      </c>
      <c r="E111">
        <f>IF(OR(C111="",D111=""),"",IF(D111=1,C111,ROUND(C111*(1+D111/30),1)))</f>
        <v/>
      </c>
    </row>
    <row r="112">
      <c r="A112">
        <f>'Week 05'!B17</f>
        <v/>
      </c>
      <c r="B112">
        <f>'Week 05'!C17</f>
        <v/>
      </c>
      <c r="C112">
        <f>IF('Week 05'!I17="","",'Week 05'!I17)</f>
        <v/>
      </c>
      <c r="D112">
        <f>IF('Week 05'!I17="","",IF('Week 05'!J17="",1,'Week 05'!J17))</f>
        <v/>
      </c>
      <c r="E112">
        <f>IF(OR(C112="",D112=""),"",IF(D112=1,C112,ROUND(C112*(1+D112/30),1)))</f>
        <v/>
      </c>
    </row>
    <row r="113">
      <c r="A113">
        <f>'Week 05'!B18</f>
        <v/>
      </c>
      <c r="B113">
        <f>'Week 05'!C18</f>
        <v/>
      </c>
      <c r="C113">
        <f>IF('Week 05'!I18="","",'Week 05'!I18)</f>
        <v/>
      </c>
      <c r="D113">
        <f>IF('Week 05'!I18="","",IF('Week 05'!J18="",1,'Week 05'!J18))</f>
        <v/>
      </c>
      <c r="E113">
        <f>IF(OR(C113="",D113=""),"",IF(D113=1,C113,ROUND(C113*(1+D113/30),1)))</f>
        <v/>
      </c>
    </row>
    <row r="114">
      <c r="A114">
        <f>'Week 05'!B19</f>
        <v/>
      </c>
      <c r="B114">
        <f>'Week 05'!C19</f>
        <v/>
      </c>
      <c r="C114">
        <f>IF('Week 05'!I19="","",'Week 05'!I19)</f>
        <v/>
      </c>
      <c r="D114">
        <f>IF('Week 05'!I19="","",IF('Week 05'!J19="",1,'Week 05'!J19))</f>
        <v/>
      </c>
      <c r="E114">
        <f>IF(OR(C114="",D114=""),"",IF(D114=1,C114,ROUND(C114*(1+D114/30),1)))</f>
        <v/>
      </c>
    </row>
    <row r="115">
      <c r="A115">
        <f>'Week 05'!B20</f>
        <v/>
      </c>
      <c r="B115">
        <f>'Week 05'!C20</f>
        <v/>
      </c>
      <c r="C115">
        <f>IF('Week 05'!I20="","",'Week 05'!I20)</f>
        <v/>
      </c>
      <c r="D115">
        <f>IF('Week 05'!I20="","",IF('Week 05'!J20="",1,'Week 05'!J20))</f>
        <v/>
      </c>
      <c r="E115">
        <f>IF(OR(C115="",D115=""),"",IF(D115=1,C115,ROUND(C115*(1+D115/30),1)))</f>
        <v/>
      </c>
    </row>
    <row r="116">
      <c r="A116">
        <f>'Week 05'!B21</f>
        <v/>
      </c>
      <c r="B116">
        <f>'Week 05'!C21</f>
        <v/>
      </c>
      <c r="C116">
        <f>IF('Week 05'!I21="","",'Week 05'!I21)</f>
        <v/>
      </c>
      <c r="D116">
        <f>IF('Week 05'!I21="","",IF('Week 05'!J21="",1,'Week 05'!J21))</f>
        <v/>
      </c>
      <c r="E116">
        <f>IF(OR(C116="",D116=""),"",IF(D116=1,C116,ROUND(C116*(1+D116/30),1)))</f>
        <v/>
      </c>
    </row>
    <row r="117">
      <c r="A117">
        <f>'Week 05'!B22</f>
        <v/>
      </c>
      <c r="B117">
        <f>'Week 05'!C22</f>
        <v/>
      </c>
      <c r="C117">
        <f>IF('Week 05'!I22="","",'Week 05'!I22)</f>
        <v/>
      </c>
      <c r="D117">
        <f>IF('Week 05'!I22="","",IF('Week 05'!J22="",1,'Week 05'!J22))</f>
        <v/>
      </c>
      <c r="E117">
        <f>IF(OR(C117="",D117=""),"",IF(D117=1,C117,ROUND(C117*(1+D117/30),1)))</f>
        <v/>
      </c>
    </row>
    <row r="118">
      <c r="A118">
        <f>'Week 05'!B23</f>
        <v/>
      </c>
      <c r="B118">
        <f>'Week 05'!C23</f>
        <v/>
      </c>
      <c r="C118">
        <f>IF('Week 05'!I23="","",'Week 05'!I23)</f>
        <v/>
      </c>
      <c r="D118">
        <f>IF('Week 05'!I23="","",IF('Week 05'!J23="",1,'Week 05'!J23))</f>
        <v/>
      </c>
      <c r="E118">
        <f>IF(OR(C118="",D118=""),"",IF(D118=1,C118,ROUND(C118*(1+D118/30),1)))</f>
        <v/>
      </c>
    </row>
    <row r="119">
      <c r="A119">
        <f>'Week 05'!B24</f>
        <v/>
      </c>
      <c r="B119">
        <f>'Week 05'!C24</f>
        <v/>
      </c>
      <c r="C119">
        <f>IF('Week 05'!I24="","",'Week 05'!I24)</f>
        <v/>
      </c>
      <c r="D119">
        <f>IF('Week 05'!I24="","",IF('Week 05'!J24="",1,'Week 05'!J24))</f>
        <v/>
      </c>
      <c r="E119">
        <f>IF(OR(C119="",D119=""),"",IF(D119=1,C119,ROUND(C119*(1+D119/30),1)))</f>
        <v/>
      </c>
    </row>
    <row r="120">
      <c r="A120">
        <f>'Week 05'!B25</f>
        <v/>
      </c>
      <c r="B120">
        <f>'Week 05'!C25</f>
        <v/>
      </c>
      <c r="C120">
        <f>IF('Week 05'!I25="","",'Week 05'!I25)</f>
        <v/>
      </c>
      <c r="D120">
        <f>IF('Week 05'!I25="","",IF('Week 05'!J25="",1,'Week 05'!J25))</f>
        <v/>
      </c>
      <c r="E120">
        <f>IF(OR(C120="",D120=""),"",IF(D120=1,C120,ROUND(C120*(1+D120/30),1)))</f>
        <v/>
      </c>
    </row>
    <row r="121">
      <c r="A121">
        <f>'Week 06'!B6</f>
        <v/>
      </c>
      <c r="B121">
        <f>'Week 06'!C6</f>
        <v/>
      </c>
      <c r="C121">
        <f>IF('Week 06'!I6="","",'Week 06'!I6)</f>
        <v/>
      </c>
      <c r="D121">
        <f>IF('Week 06'!I6="","",IF('Week 06'!J6="",1,'Week 06'!J6))</f>
        <v/>
      </c>
      <c r="E121">
        <f>IF(OR(C121="",D121=""),"",IF(D121=1,C121,ROUND(C121*(1+D121/30),1)))</f>
        <v/>
      </c>
    </row>
    <row r="122">
      <c r="A122">
        <f>'Week 06'!B7</f>
        <v/>
      </c>
      <c r="B122">
        <f>'Week 06'!C7</f>
        <v/>
      </c>
      <c r="C122">
        <f>IF('Week 06'!I7="","",'Week 06'!I7)</f>
        <v/>
      </c>
      <c r="D122">
        <f>IF('Week 06'!I7="","",IF('Week 06'!J7="",1,'Week 06'!J7))</f>
        <v/>
      </c>
      <c r="E122">
        <f>IF(OR(C122="",D122=""),"",IF(D122=1,C122,ROUND(C122*(1+D122/30),1)))</f>
        <v/>
      </c>
    </row>
    <row r="123">
      <c r="A123">
        <f>'Week 06'!B8</f>
        <v/>
      </c>
      <c r="B123">
        <f>'Week 06'!C8</f>
        <v/>
      </c>
      <c r="C123">
        <f>IF('Week 06'!I8="","",'Week 06'!I8)</f>
        <v/>
      </c>
      <c r="D123">
        <f>IF('Week 06'!I8="","",IF('Week 06'!J8="",1,'Week 06'!J8))</f>
        <v/>
      </c>
      <c r="E123">
        <f>IF(OR(C123="",D123=""),"",IF(D123=1,C123,ROUND(C123*(1+D123/30),1)))</f>
        <v/>
      </c>
    </row>
    <row r="124">
      <c r="A124">
        <f>'Week 06'!B9</f>
        <v/>
      </c>
      <c r="B124">
        <f>'Week 06'!C9</f>
        <v/>
      </c>
      <c r="C124">
        <f>IF('Week 06'!I9="","",'Week 06'!I9)</f>
        <v/>
      </c>
      <c r="D124">
        <f>IF('Week 06'!I9="","",IF('Week 06'!J9="",1,'Week 06'!J9))</f>
        <v/>
      </c>
      <c r="E124">
        <f>IF(OR(C124="",D124=""),"",IF(D124=1,C124,ROUND(C124*(1+D124/30),1)))</f>
        <v/>
      </c>
    </row>
    <row r="125">
      <c r="A125">
        <f>'Week 06'!B10</f>
        <v/>
      </c>
      <c r="B125">
        <f>'Week 06'!C10</f>
        <v/>
      </c>
      <c r="C125">
        <f>IF('Week 06'!I10="","",'Week 06'!I10)</f>
        <v/>
      </c>
      <c r="D125">
        <f>IF('Week 06'!I10="","",IF('Week 06'!J10="",1,'Week 06'!J10))</f>
        <v/>
      </c>
      <c r="E125">
        <f>IF(OR(C125="",D125=""),"",IF(D125=1,C125,ROUND(C125*(1+D125/30),1)))</f>
        <v/>
      </c>
    </row>
    <row r="126">
      <c r="A126">
        <f>'Week 06'!B11</f>
        <v/>
      </c>
      <c r="B126">
        <f>'Week 06'!C11</f>
        <v/>
      </c>
      <c r="C126">
        <f>IF('Week 06'!I11="","",'Week 06'!I11)</f>
        <v/>
      </c>
      <c r="D126">
        <f>IF('Week 06'!I11="","",IF('Week 06'!J11="",1,'Week 06'!J11))</f>
        <v/>
      </c>
      <c r="E126">
        <f>IF(OR(C126="",D126=""),"",IF(D126=1,C126,ROUND(C126*(1+D126/30),1)))</f>
        <v/>
      </c>
    </row>
    <row r="127">
      <c r="A127">
        <f>'Week 06'!B12</f>
        <v/>
      </c>
      <c r="B127">
        <f>'Week 06'!C12</f>
        <v/>
      </c>
      <c r="C127">
        <f>IF('Week 06'!I12="","",'Week 06'!I12)</f>
        <v/>
      </c>
      <c r="D127">
        <f>IF('Week 06'!I12="","",IF('Week 06'!J12="",1,'Week 06'!J12))</f>
        <v/>
      </c>
      <c r="E127">
        <f>IF(OR(C127="",D127=""),"",IF(D127=1,C127,ROUND(C127*(1+D127/30),1)))</f>
        <v/>
      </c>
    </row>
    <row r="128">
      <c r="A128">
        <f>'Week 06'!B13</f>
        <v/>
      </c>
      <c r="B128">
        <f>'Week 06'!C13</f>
        <v/>
      </c>
      <c r="C128">
        <f>IF('Week 06'!I13="","",'Week 06'!I13)</f>
        <v/>
      </c>
      <c r="D128">
        <f>IF('Week 06'!I13="","",IF('Week 06'!J13="",1,'Week 06'!J13))</f>
        <v/>
      </c>
      <c r="E128">
        <f>IF(OR(C128="",D128=""),"",IF(D128=1,C128,ROUND(C128*(1+D128/30),1)))</f>
        <v/>
      </c>
    </row>
    <row r="129">
      <c r="A129">
        <f>'Week 06'!B14</f>
        <v/>
      </c>
      <c r="B129">
        <f>'Week 06'!C14</f>
        <v/>
      </c>
      <c r="C129">
        <f>IF('Week 06'!I14="","",'Week 06'!I14)</f>
        <v/>
      </c>
      <c r="D129">
        <f>IF('Week 06'!I14="","",IF('Week 06'!J14="",1,'Week 06'!J14))</f>
        <v/>
      </c>
      <c r="E129">
        <f>IF(OR(C129="",D129=""),"",IF(D129=1,C129,ROUND(C129*(1+D129/30),1)))</f>
        <v/>
      </c>
    </row>
    <row r="130">
      <c r="A130">
        <f>'Week 06'!B15</f>
        <v/>
      </c>
      <c r="B130">
        <f>'Week 06'!C15</f>
        <v/>
      </c>
      <c r="C130">
        <f>IF('Week 06'!I15="","",'Week 06'!I15)</f>
        <v/>
      </c>
      <c r="D130">
        <f>IF('Week 06'!I15="","",IF('Week 06'!J15="",1,'Week 06'!J15))</f>
        <v/>
      </c>
      <c r="E130">
        <f>IF(OR(C130="",D130=""),"",IF(D130=1,C130,ROUND(C130*(1+D130/30),1)))</f>
        <v/>
      </c>
    </row>
    <row r="131">
      <c r="A131">
        <f>'Week 06'!B16</f>
        <v/>
      </c>
      <c r="B131">
        <f>'Week 06'!C16</f>
        <v/>
      </c>
      <c r="C131">
        <f>IF('Week 06'!I16="","",'Week 06'!I16)</f>
        <v/>
      </c>
      <c r="D131">
        <f>IF('Week 06'!I16="","",IF('Week 06'!J16="",1,'Week 06'!J16))</f>
        <v/>
      </c>
      <c r="E131">
        <f>IF(OR(C131="",D131=""),"",IF(D131=1,C131,ROUND(C131*(1+D131/30),1)))</f>
        <v/>
      </c>
    </row>
    <row r="132">
      <c r="A132">
        <f>'Week 06'!B17</f>
        <v/>
      </c>
      <c r="B132">
        <f>'Week 06'!C17</f>
        <v/>
      </c>
      <c r="C132">
        <f>IF('Week 06'!I17="","",'Week 06'!I17)</f>
        <v/>
      </c>
      <c r="D132">
        <f>IF('Week 06'!I17="","",IF('Week 06'!J17="",1,'Week 06'!J17))</f>
        <v/>
      </c>
      <c r="E132">
        <f>IF(OR(C132="",D132=""),"",IF(D132=1,C132,ROUND(C132*(1+D132/30),1)))</f>
        <v/>
      </c>
    </row>
    <row r="133">
      <c r="A133">
        <f>'Week 06'!B18</f>
        <v/>
      </c>
      <c r="B133">
        <f>'Week 06'!C18</f>
        <v/>
      </c>
      <c r="C133">
        <f>IF('Week 06'!I18="","",'Week 06'!I18)</f>
        <v/>
      </c>
      <c r="D133">
        <f>IF('Week 06'!I18="","",IF('Week 06'!J18="",1,'Week 06'!J18))</f>
        <v/>
      </c>
      <c r="E133">
        <f>IF(OR(C133="",D133=""),"",IF(D133=1,C133,ROUND(C133*(1+D133/30),1)))</f>
        <v/>
      </c>
    </row>
    <row r="134">
      <c r="A134">
        <f>'Week 06'!B19</f>
        <v/>
      </c>
      <c r="B134">
        <f>'Week 06'!C19</f>
        <v/>
      </c>
      <c r="C134">
        <f>IF('Week 06'!I19="","",'Week 06'!I19)</f>
        <v/>
      </c>
      <c r="D134">
        <f>IF('Week 06'!I19="","",IF('Week 06'!J19="",1,'Week 06'!J19))</f>
        <v/>
      </c>
      <c r="E134">
        <f>IF(OR(C134="",D134=""),"",IF(D134=1,C134,ROUND(C134*(1+D134/30),1)))</f>
        <v/>
      </c>
    </row>
    <row r="135">
      <c r="A135">
        <f>'Week 06'!B20</f>
        <v/>
      </c>
      <c r="B135">
        <f>'Week 06'!C20</f>
        <v/>
      </c>
      <c r="C135">
        <f>IF('Week 06'!I20="","",'Week 06'!I20)</f>
        <v/>
      </c>
      <c r="D135">
        <f>IF('Week 06'!I20="","",IF('Week 06'!J20="",1,'Week 06'!J20))</f>
        <v/>
      </c>
      <c r="E135">
        <f>IF(OR(C135="",D135=""),"",IF(D135=1,C135,ROUND(C135*(1+D135/30),1)))</f>
        <v/>
      </c>
    </row>
    <row r="136">
      <c r="A136">
        <f>'Week 06'!B21</f>
        <v/>
      </c>
      <c r="B136">
        <f>'Week 06'!C21</f>
        <v/>
      </c>
      <c r="C136">
        <f>IF('Week 06'!I21="","",'Week 06'!I21)</f>
        <v/>
      </c>
      <c r="D136">
        <f>IF('Week 06'!I21="","",IF('Week 06'!J21="",1,'Week 06'!J21))</f>
        <v/>
      </c>
      <c r="E136">
        <f>IF(OR(C136="",D136=""),"",IF(D136=1,C136,ROUND(C136*(1+D136/30),1)))</f>
        <v/>
      </c>
    </row>
    <row r="137">
      <c r="A137">
        <f>'Week 06'!B22</f>
        <v/>
      </c>
      <c r="B137">
        <f>'Week 06'!C22</f>
        <v/>
      </c>
      <c r="C137">
        <f>IF('Week 06'!I22="","",'Week 06'!I22)</f>
        <v/>
      </c>
      <c r="D137">
        <f>IF('Week 06'!I22="","",IF('Week 06'!J22="",1,'Week 06'!J22))</f>
        <v/>
      </c>
      <c r="E137">
        <f>IF(OR(C137="",D137=""),"",IF(D137=1,C137,ROUND(C137*(1+D137/30),1)))</f>
        <v/>
      </c>
    </row>
    <row r="138">
      <c r="A138">
        <f>'Week 06'!B23</f>
        <v/>
      </c>
      <c r="B138">
        <f>'Week 06'!C23</f>
        <v/>
      </c>
      <c r="C138">
        <f>IF('Week 06'!I23="","",'Week 06'!I23)</f>
        <v/>
      </c>
      <c r="D138">
        <f>IF('Week 06'!I23="","",IF('Week 06'!J23="",1,'Week 06'!J23))</f>
        <v/>
      </c>
      <c r="E138">
        <f>IF(OR(C138="",D138=""),"",IF(D138=1,C138,ROUND(C138*(1+D138/30),1)))</f>
        <v/>
      </c>
    </row>
    <row r="139">
      <c r="A139">
        <f>'Week 06'!B24</f>
        <v/>
      </c>
      <c r="B139">
        <f>'Week 06'!C24</f>
        <v/>
      </c>
      <c r="C139">
        <f>IF('Week 06'!I24="","",'Week 06'!I24)</f>
        <v/>
      </c>
      <c r="D139">
        <f>IF('Week 06'!I24="","",IF('Week 06'!J24="",1,'Week 06'!J24))</f>
        <v/>
      </c>
      <c r="E139">
        <f>IF(OR(C139="",D139=""),"",IF(D139=1,C139,ROUND(C139*(1+D139/30),1)))</f>
        <v/>
      </c>
    </row>
    <row r="140">
      <c r="A140">
        <f>'Week 06'!B25</f>
        <v/>
      </c>
      <c r="B140">
        <f>'Week 06'!C25</f>
        <v/>
      </c>
      <c r="C140">
        <f>IF('Week 06'!I25="","",'Week 06'!I25)</f>
        <v/>
      </c>
      <c r="D140">
        <f>IF('Week 06'!I25="","",IF('Week 06'!J25="",1,'Week 06'!J25))</f>
        <v/>
      </c>
      <c r="E140">
        <f>IF(OR(C140="",D140=""),"",IF(D140=1,C140,ROUND(C140*(1+D140/30),1)))</f>
        <v/>
      </c>
    </row>
    <row r="141">
      <c r="A141">
        <f>'Week 07'!B6</f>
        <v/>
      </c>
      <c r="B141">
        <f>'Week 07'!C6</f>
        <v/>
      </c>
      <c r="C141">
        <f>IF('Week 07'!I6="","",'Week 07'!I6)</f>
        <v/>
      </c>
      <c r="D141">
        <f>IF('Week 07'!I6="","",IF('Week 07'!J6="",1,'Week 07'!J6))</f>
        <v/>
      </c>
      <c r="E141">
        <f>IF(OR(C141="",D141=""),"",IF(D141=1,C141,ROUND(C141*(1+D141/30),1)))</f>
        <v/>
      </c>
    </row>
    <row r="142">
      <c r="A142">
        <f>'Week 07'!B7</f>
        <v/>
      </c>
      <c r="B142">
        <f>'Week 07'!C7</f>
        <v/>
      </c>
      <c r="C142">
        <f>IF('Week 07'!I7="","",'Week 07'!I7)</f>
        <v/>
      </c>
      <c r="D142">
        <f>IF('Week 07'!I7="","",IF('Week 07'!J7="",1,'Week 07'!J7))</f>
        <v/>
      </c>
      <c r="E142">
        <f>IF(OR(C142="",D142=""),"",IF(D142=1,C142,ROUND(C142*(1+D142/30),1)))</f>
        <v/>
      </c>
    </row>
    <row r="143">
      <c r="A143">
        <f>'Week 07'!B8</f>
        <v/>
      </c>
      <c r="B143">
        <f>'Week 07'!C8</f>
        <v/>
      </c>
      <c r="C143">
        <f>IF('Week 07'!I8="","",'Week 07'!I8)</f>
        <v/>
      </c>
      <c r="D143">
        <f>IF('Week 07'!I8="","",IF('Week 07'!J8="",1,'Week 07'!J8))</f>
        <v/>
      </c>
      <c r="E143">
        <f>IF(OR(C143="",D143=""),"",IF(D143=1,C143,ROUND(C143*(1+D143/30),1)))</f>
        <v/>
      </c>
    </row>
    <row r="144">
      <c r="A144">
        <f>'Week 07'!B9</f>
        <v/>
      </c>
      <c r="B144">
        <f>'Week 07'!C9</f>
        <v/>
      </c>
      <c r="C144">
        <f>IF('Week 07'!I9="","",'Week 07'!I9)</f>
        <v/>
      </c>
      <c r="D144">
        <f>IF('Week 07'!I9="","",IF('Week 07'!J9="",1,'Week 07'!J9))</f>
        <v/>
      </c>
      <c r="E144">
        <f>IF(OR(C144="",D144=""),"",IF(D144=1,C144,ROUND(C144*(1+D144/30),1)))</f>
        <v/>
      </c>
    </row>
    <row r="145">
      <c r="A145">
        <f>'Week 07'!B10</f>
        <v/>
      </c>
      <c r="B145">
        <f>'Week 07'!C10</f>
        <v/>
      </c>
      <c r="C145">
        <f>IF('Week 07'!I10="","",'Week 07'!I10)</f>
        <v/>
      </c>
      <c r="D145">
        <f>IF('Week 07'!I10="","",IF('Week 07'!J10="",1,'Week 07'!J10))</f>
        <v/>
      </c>
      <c r="E145">
        <f>IF(OR(C145="",D145=""),"",IF(D145=1,C145,ROUND(C145*(1+D145/30),1)))</f>
        <v/>
      </c>
    </row>
    <row r="146">
      <c r="A146">
        <f>'Week 07'!B11</f>
        <v/>
      </c>
      <c r="B146">
        <f>'Week 07'!C11</f>
        <v/>
      </c>
      <c r="C146">
        <f>IF('Week 07'!I11="","",'Week 07'!I11)</f>
        <v/>
      </c>
      <c r="D146">
        <f>IF('Week 07'!I11="","",IF('Week 07'!J11="",1,'Week 07'!J11))</f>
        <v/>
      </c>
      <c r="E146">
        <f>IF(OR(C146="",D146=""),"",IF(D146=1,C146,ROUND(C146*(1+D146/30),1)))</f>
        <v/>
      </c>
    </row>
    <row r="147">
      <c r="A147">
        <f>'Week 07'!B12</f>
        <v/>
      </c>
      <c r="B147">
        <f>'Week 07'!C12</f>
        <v/>
      </c>
      <c r="C147">
        <f>IF('Week 07'!I12="","",'Week 07'!I12)</f>
        <v/>
      </c>
      <c r="D147">
        <f>IF('Week 07'!I12="","",IF('Week 07'!J12="",1,'Week 07'!J12))</f>
        <v/>
      </c>
      <c r="E147">
        <f>IF(OR(C147="",D147=""),"",IF(D147=1,C147,ROUND(C147*(1+D147/30),1)))</f>
        <v/>
      </c>
    </row>
    <row r="148">
      <c r="A148">
        <f>'Week 07'!B13</f>
        <v/>
      </c>
      <c r="B148">
        <f>'Week 07'!C13</f>
        <v/>
      </c>
      <c r="C148">
        <f>IF('Week 07'!I13="","",'Week 07'!I13)</f>
        <v/>
      </c>
      <c r="D148">
        <f>IF('Week 07'!I13="","",IF('Week 07'!J13="",1,'Week 07'!J13))</f>
        <v/>
      </c>
      <c r="E148">
        <f>IF(OR(C148="",D148=""),"",IF(D148=1,C148,ROUND(C148*(1+D148/30),1)))</f>
        <v/>
      </c>
    </row>
    <row r="149">
      <c r="A149">
        <f>'Week 07'!B14</f>
        <v/>
      </c>
      <c r="B149">
        <f>'Week 07'!C14</f>
        <v/>
      </c>
      <c r="C149">
        <f>IF('Week 07'!I14="","",'Week 07'!I14)</f>
        <v/>
      </c>
      <c r="D149">
        <f>IF('Week 07'!I14="","",IF('Week 07'!J14="",1,'Week 07'!J14))</f>
        <v/>
      </c>
      <c r="E149">
        <f>IF(OR(C149="",D149=""),"",IF(D149=1,C149,ROUND(C149*(1+D149/30),1)))</f>
        <v/>
      </c>
    </row>
    <row r="150">
      <c r="A150">
        <f>'Week 07'!B15</f>
        <v/>
      </c>
      <c r="B150">
        <f>'Week 07'!C15</f>
        <v/>
      </c>
      <c r="C150">
        <f>IF('Week 07'!I15="","",'Week 07'!I15)</f>
        <v/>
      </c>
      <c r="D150">
        <f>IF('Week 07'!I15="","",IF('Week 07'!J15="",1,'Week 07'!J15))</f>
        <v/>
      </c>
      <c r="E150">
        <f>IF(OR(C150="",D150=""),"",IF(D150=1,C150,ROUND(C150*(1+D150/30),1)))</f>
        <v/>
      </c>
    </row>
    <row r="151">
      <c r="A151">
        <f>'Week 07'!B16</f>
        <v/>
      </c>
      <c r="B151">
        <f>'Week 07'!C16</f>
        <v/>
      </c>
      <c r="C151">
        <f>IF('Week 07'!I16="","",'Week 07'!I16)</f>
        <v/>
      </c>
      <c r="D151">
        <f>IF('Week 07'!I16="","",IF('Week 07'!J16="",1,'Week 07'!J16))</f>
        <v/>
      </c>
      <c r="E151">
        <f>IF(OR(C151="",D151=""),"",IF(D151=1,C151,ROUND(C151*(1+D151/30),1)))</f>
        <v/>
      </c>
    </row>
    <row r="152">
      <c r="A152">
        <f>'Week 07'!B17</f>
        <v/>
      </c>
      <c r="B152">
        <f>'Week 07'!C17</f>
        <v/>
      </c>
      <c r="C152">
        <f>IF('Week 07'!I17="","",'Week 07'!I17)</f>
        <v/>
      </c>
      <c r="D152">
        <f>IF('Week 07'!I17="","",IF('Week 07'!J17="",1,'Week 07'!J17))</f>
        <v/>
      </c>
      <c r="E152">
        <f>IF(OR(C152="",D152=""),"",IF(D152=1,C152,ROUND(C152*(1+D152/30),1)))</f>
        <v/>
      </c>
    </row>
    <row r="153">
      <c r="A153">
        <f>'Week 07'!B18</f>
        <v/>
      </c>
      <c r="B153">
        <f>'Week 07'!C18</f>
        <v/>
      </c>
      <c r="C153">
        <f>IF('Week 07'!I18="","",'Week 07'!I18)</f>
        <v/>
      </c>
      <c r="D153">
        <f>IF('Week 07'!I18="","",IF('Week 07'!J18="",1,'Week 07'!J18))</f>
        <v/>
      </c>
      <c r="E153">
        <f>IF(OR(C153="",D153=""),"",IF(D153=1,C153,ROUND(C153*(1+D153/30),1)))</f>
        <v/>
      </c>
    </row>
    <row r="154">
      <c r="A154">
        <f>'Week 07'!B19</f>
        <v/>
      </c>
      <c r="B154">
        <f>'Week 07'!C19</f>
        <v/>
      </c>
      <c r="C154">
        <f>IF('Week 07'!I19="","",'Week 07'!I19)</f>
        <v/>
      </c>
      <c r="D154">
        <f>IF('Week 07'!I19="","",IF('Week 07'!J19="",1,'Week 07'!J19))</f>
        <v/>
      </c>
      <c r="E154">
        <f>IF(OR(C154="",D154=""),"",IF(D154=1,C154,ROUND(C154*(1+D154/30),1)))</f>
        <v/>
      </c>
    </row>
    <row r="155">
      <c r="A155">
        <f>'Week 07'!B20</f>
        <v/>
      </c>
      <c r="B155">
        <f>'Week 07'!C20</f>
        <v/>
      </c>
      <c r="C155">
        <f>IF('Week 07'!I20="","",'Week 07'!I20)</f>
        <v/>
      </c>
      <c r="D155">
        <f>IF('Week 07'!I20="","",IF('Week 07'!J20="",1,'Week 07'!J20))</f>
        <v/>
      </c>
      <c r="E155">
        <f>IF(OR(C155="",D155=""),"",IF(D155=1,C155,ROUND(C155*(1+D155/30),1)))</f>
        <v/>
      </c>
    </row>
    <row r="156">
      <c r="A156">
        <f>'Week 07'!B21</f>
        <v/>
      </c>
      <c r="B156">
        <f>'Week 07'!C21</f>
        <v/>
      </c>
      <c r="C156">
        <f>IF('Week 07'!I21="","",'Week 07'!I21)</f>
        <v/>
      </c>
      <c r="D156">
        <f>IF('Week 07'!I21="","",IF('Week 07'!J21="",1,'Week 07'!J21))</f>
        <v/>
      </c>
      <c r="E156">
        <f>IF(OR(C156="",D156=""),"",IF(D156=1,C156,ROUND(C156*(1+D156/30),1)))</f>
        <v/>
      </c>
    </row>
    <row r="157">
      <c r="A157">
        <f>'Week 07'!B22</f>
        <v/>
      </c>
      <c r="B157">
        <f>'Week 07'!C22</f>
        <v/>
      </c>
      <c r="C157">
        <f>IF('Week 07'!I22="","",'Week 07'!I22)</f>
        <v/>
      </c>
      <c r="D157">
        <f>IF('Week 07'!I22="","",IF('Week 07'!J22="",1,'Week 07'!J22))</f>
        <v/>
      </c>
      <c r="E157">
        <f>IF(OR(C157="",D157=""),"",IF(D157=1,C157,ROUND(C157*(1+D157/30),1)))</f>
        <v/>
      </c>
    </row>
    <row r="158">
      <c r="A158">
        <f>'Week 07'!B23</f>
        <v/>
      </c>
      <c r="B158">
        <f>'Week 07'!C23</f>
        <v/>
      </c>
      <c r="C158">
        <f>IF('Week 07'!I23="","",'Week 07'!I23)</f>
        <v/>
      </c>
      <c r="D158">
        <f>IF('Week 07'!I23="","",IF('Week 07'!J23="",1,'Week 07'!J23))</f>
        <v/>
      </c>
      <c r="E158">
        <f>IF(OR(C158="",D158=""),"",IF(D158=1,C158,ROUND(C158*(1+D158/30),1)))</f>
        <v/>
      </c>
    </row>
    <row r="159">
      <c r="A159">
        <f>'Week 07'!B24</f>
        <v/>
      </c>
      <c r="B159">
        <f>'Week 07'!C24</f>
        <v/>
      </c>
      <c r="C159">
        <f>IF('Week 07'!I24="","",'Week 07'!I24)</f>
        <v/>
      </c>
      <c r="D159">
        <f>IF('Week 07'!I24="","",IF('Week 07'!J24="",1,'Week 07'!J24))</f>
        <v/>
      </c>
      <c r="E159">
        <f>IF(OR(C159="",D159=""),"",IF(D159=1,C159,ROUND(C159*(1+D159/30),1)))</f>
        <v/>
      </c>
    </row>
    <row r="160">
      <c r="A160">
        <f>'Week 07'!B25</f>
        <v/>
      </c>
      <c r="B160">
        <f>'Week 07'!C25</f>
        <v/>
      </c>
      <c r="C160">
        <f>IF('Week 07'!I25="","",'Week 07'!I25)</f>
        <v/>
      </c>
      <c r="D160">
        <f>IF('Week 07'!I25="","",IF('Week 07'!J25="",1,'Week 07'!J25))</f>
        <v/>
      </c>
      <c r="E160">
        <f>IF(OR(C160="",D160=""),"",IF(D160=1,C160,ROUND(C160*(1+D160/30),1)))</f>
        <v/>
      </c>
    </row>
    <row r="161">
      <c r="A161">
        <f>'Week 08'!B6</f>
        <v/>
      </c>
      <c r="B161">
        <f>'Week 08'!C6</f>
        <v/>
      </c>
      <c r="C161">
        <f>IF('Week 08'!I6="","",'Week 08'!I6)</f>
        <v/>
      </c>
      <c r="D161">
        <f>IF('Week 08'!I6="","",IF('Week 08'!J6="",1,'Week 08'!J6))</f>
        <v/>
      </c>
      <c r="E161">
        <f>IF(OR(C161="",D161=""),"",IF(D161=1,C161,ROUND(C161*(1+D161/30),1)))</f>
        <v/>
      </c>
    </row>
    <row r="162">
      <c r="A162">
        <f>'Week 08'!B7</f>
        <v/>
      </c>
      <c r="B162">
        <f>'Week 08'!C7</f>
        <v/>
      </c>
      <c r="C162">
        <f>IF('Week 08'!I7="","",'Week 08'!I7)</f>
        <v/>
      </c>
      <c r="D162">
        <f>IF('Week 08'!I7="","",IF('Week 08'!J7="",1,'Week 08'!J7))</f>
        <v/>
      </c>
      <c r="E162">
        <f>IF(OR(C162="",D162=""),"",IF(D162=1,C162,ROUND(C162*(1+D162/30),1)))</f>
        <v/>
      </c>
    </row>
    <row r="163">
      <c r="A163">
        <f>'Week 08'!B8</f>
        <v/>
      </c>
      <c r="B163">
        <f>'Week 08'!C8</f>
        <v/>
      </c>
      <c r="C163">
        <f>IF('Week 08'!I8="","",'Week 08'!I8)</f>
        <v/>
      </c>
      <c r="D163">
        <f>IF('Week 08'!I8="","",IF('Week 08'!J8="",1,'Week 08'!J8))</f>
        <v/>
      </c>
      <c r="E163">
        <f>IF(OR(C163="",D163=""),"",IF(D163=1,C163,ROUND(C163*(1+D163/30),1)))</f>
        <v/>
      </c>
    </row>
    <row r="164">
      <c r="A164">
        <f>'Week 08'!B9</f>
        <v/>
      </c>
      <c r="B164">
        <f>'Week 08'!C9</f>
        <v/>
      </c>
      <c r="C164">
        <f>IF('Week 08'!I9="","",'Week 08'!I9)</f>
        <v/>
      </c>
      <c r="D164">
        <f>IF('Week 08'!I9="","",IF('Week 08'!J9="",1,'Week 08'!J9))</f>
        <v/>
      </c>
      <c r="E164">
        <f>IF(OR(C164="",D164=""),"",IF(D164=1,C164,ROUND(C164*(1+D164/30),1)))</f>
        <v/>
      </c>
    </row>
    <row r="165">
      <c r="A165">
        <f>'Week 08'!B10</f>
        <v/>
      </c>
      <c r="B165">
        <f>'Week 08'!C10</f>
        <v/>
      </c>
      <c r="C165">
        <f>IF('Week 08'!I10="","",'Week 08'!I10)</f>
        <v/>
      </c>
      <c r="D165">
        <f>IF('Week 08'!I10="","",IF('Week 08'!J10="",1,'Week 08'!J10))</f>
        <v/>
      </c>
      <c r="E165">
        <f>IF(OR(C165="",D165=""),"",IF(D165=1,C165,ROUND(C165*(1+D165/30),1)))</f>
        <v/>
      </c>
    </row>
    <row r="166">
      <c r="A166">
        <f>'Week 08'!B11</f>
        <v/>
      </c>
      <c r="B166">
        <f>'Week 08'!C11</f>
        <v/>
      </c>
      <c r="C166">
        <f>IF('Week 08'!I11="","",'Week 08'!I11)</f>
        <v/>
      </c>
      <c r="D166">
        <f>IF('Week 08'!I11="","",IF('Week 08'!J11="",1,'Week 08'!J11))</f>
        <v/>
      </c>
      <c r="E166">
        <f>IF(OR(C166="",D166=""),"",IF(D166=1,C166,ROUND(C166*(1+D166/30),1)))</f>
        <v/>
      </c>
    </row>
    <row r="167">
      <c r="A167">
        <f>'Week 08'!B12</f>
        <v/>
      </c>
      <c r="B167">
        <f>'Week 08'!C12</f>
        <v/>
      </c>
      <c r="C167">
        <f>IF('Week 08'!I12="","",'Week 08'!I12)</f>
        <v/>
      </c>
      <c r="D167">
        <f>IF('Week 08'!I12="","",IF('Week 08'!J12="",1,'Week 08'!J12))</f>
        <v/>
      </c>
      <c r="E167">
        <f>IF(OR(C167="",D167=""),"",IF(D167=1,C167,ROUND(C167*(1+D167/30),1)))</f>
        <v/>
      </c>
    </row>
    <row r="168">
      <c r="A168">
        <f>'Week 08'!B13</f>
        <v/>
      </c>
      <c r="B168">
        <f>'Week 08'!C13</f>
        <v/>
      </c>
      <c r="C168">
        <f>IF('Week 08'!I13="","",'Week 08'!I13)</f>
        <v/>
      </c>
      <c r="D168">
        <f>IF('Week 08'!I13="","",IF('Week 08'!J13="",1,'Week 08'!J13))</f>
        <v/>
      </c>
      <c r="E168">
        <f>IF(OR(C168="",D168=""),"",IF(D168=1,C168,ROUND(C168*(1+D168/30),1)))</f>
        <v/>
      </c>
    </row>
    <row r="169">
      <c r="A169">
        <f>'Week 08'!B14</f>
        <v/>
      </c>
      <c r="B169">
        <f>'Week 08'!C14</f>
        <v/>
      </c>
      <c r="C169">
        <f>IF('Week 08'!I14="","",'Week 08'!I14)</f>
        <v/>
      </c>
      <c r="D169">
        <f>IF('Week 08'!I14="","",IF('Week 08'!J14="",1,'Week 08'!J14))</f>
        <v/>
      </c>
      <c r="E169">
        <f>IF(OR(C169="",D169=""),"",IF(D169=1,C169,ROUND(C169*(1+D169/30),1)))</f>
        <v/>
      </c>
    </row>
    <row r="170">
      <c r="A170">
        <f>'Week 08'!B15</f>
        <v/>
      </c>
      <c r="B170">
        <f>'Week 08'!C15</f>
        <v/>
      </c>
      <c r="C170">
        <f>IF('Week 08'!I15="","",'Week 08'!I15)</f>
        <v/>
      </c>
      <c r="D170">
        <f>IF('Week 08'!I15="","",IF('Week 08'!J15="",1,'Week 08'!J15))</f>
        <v/>
      </c>
      <c r="E170">
        <f>IF(OR(C170="",D170=""),"",IF(D170=1,C170,ROUND(C170*(1+D170/30),1)))</f>
        <v/>
      </c>
    </row>
    <row r="171">
      <c r="A171">
        <f>'Week 08'!B16</f>
        <v/>
      </c>
      <c r="B171">
        <f>'Week 08'!C16</f>
        <v/>
      </c>
      <c r="C171">
        <f>IF('Week 08'!I16="","",'Week 08'!I16)</f>
        <v/>
      </c>
      <c r="D171">
        <f>IF('Week 08'!I16="","",IF('Week 08'!J16="",1,'Week 08'!J16))</f>
        <v/>
      </c>
      <c r="E171">
        <f>IF(OR(C171="",D171=""),"",IF(D171=1,C171,ROUND(C171*(1+D171/30),1)))</f>
        <v/>
      </c>
    </row>
    <row r="172">
      <c r="A172">
        <f>'Week 08'!B17</f>
        <v/>
      </c>
      <c r="B172">
        <f>'Week 08'!C17</f>
        <v/>
      </c>
      <c r="C172">
        <f>IF('Week 08'!I17="","",'Week 08'!I17)</f>
        <v/>
      </c>
      <c r="D172">
        <f>IF('Week 08'!I17="","",IF('Week 08'!J17="",1,'Week 08'!J17))</f>
        <v/>
      </c>
      <c r="E172">
        <f>IF(OR(C172="",D172=""),"",IF(D172=1,C172,ROUND(C172*(1+D172/30),1)))</f>
        <v/>
      </c>
    </row>
    <row r="173">
      <c r="A173">
        <f>'Week 08'!B18</f>
        <v/>
      </c>
      <c r="B173">
        <f>'Week 08'!C18</f>
        <v/>
      </c>
      <c r="C173">
        <f>IF('Week 08'!I18="","",'Week 08'!I18)</f>
        <v/>
      </c>
      <c r="D173">
        <f>IF('Week 08'!I18="","",IF('Week 08'!J18="",1,'Week 08'!J18))</f>
        <v/>
      </c>
      <c r="E173">
        <f>IF(OR(C173="",D173=""),"",IF(D173=1,C173,ROUND(C173*(1+D173/30),1)))</f>
        <v/>
      </c>
    </row>
    <row r="174">
      <c r="A174">
        <f>'Week 08'!B19</f>
        <v/>
      </c>
      <c r="B174">
        <f>'Week 08'!C19</f>
        <v/>
      </c>
      <c r="C174">
        <f>IF('Week 08'!I19="","",'Week 08'!I19)</f>
        <v/>
      </c>
      <c r="D174">
        <f>IF('Week 08'!I19="","",IF('Week 08'!J19="",1,'Week 08'!J19))</f>
        <v/>
      </c>
      <c r="E174">
        <f>IF(OR(C174="",D174=""),"",IF(D174=1,C174,ROUND(C174*(1+D174/30),1)))</f>
        <v/>
      </c>
    </row>
    <row r="175">
      <c r="A175">
        <f>'Week 08'!B20</f>
        <v/>
      </c>
      <c r="B175">
        <f>'Week 08'!C20</f>
        <v/>
      </c>
      <c r="C175">
        <f>IF('Week 08'!I20="","",'Week 08'!I20)</f>
        <v/>
      </c>
      <c r="D175">
        <f>IF('Week 08'!I20="","",IF('Week 08'!J20="",1,'Week 08'!J20))</f>
        <v/>
      </c>
      <c r="E175">
        <f>IF(OR(C175="",D175=""),"",IF(D175=1,C175,ROUND(C175*(1+D175/30),1)))</f>
        <v/>
      </c>
    </row>
    <row r="176">
      <c r="A176">
        <f>'Week 08'!B21</f>
        <v/>
      </c>
      <c r="B176">
        <f>'Week 08'!C21</f>
        <v/>
      </c>
      <c r="C176">
        <f>IF('Week 08'!I21="","",'Week 08'!I21)</f>
        <v/>
      </c>
      <c r="D176">
        <f>IF('Week 08'!I21="","",IF('Week 08'!J21="",1,'Week 08'!J21))</f>
        <v/>
      </c>
      <c r="E176">
        <f>IF(OR(C176="",D176=""),"",IF(D176=1,C176,ROUND(C176*(1+D176/30),1)))</f>
        <v/>
      </c>
    </row>
    <row r="177">
      <c r="A177">
        <f>'Week 08'!B22</f>
        <v/>
      </c>
      <c r="B177">
        <f>'Week 08'!C22</f>
        <v/>
      </c>
      <c r="C177">
        <f>IF('Week 08'!I22="","",'Week 08'!I22)</f>
        <v/>
      </c>
      <c r="D177">
        <f>IF('Week 08'!I22="","",IF('Week 08'!J22="",1,'Week 08'!J22))</f>
        <v/>
      </c>
      <c r="E177">
        <f>IF(OR(C177="",D177=""),"",IF(D177=1,C177,ROUND(C177*(1+D177/30),1)))</f>
        <v/>
      </c>
    </row>
    <row r="178">
      <c r="A178">
        <f>'Week 08'!B23</f>
        <v/>
      </c>
      <c r="B178">
        <f>'Week 08'!C23</f>
        <v/>
      </c>
      <c r="C178">
        <f>IF('Week 08'!I23="","",'Week 08'!I23)</f>
        <v/>
      </c>
      <c r="D178">
        <f>IF('Week 08'!I23="","",IF('Week 08'!J23="",1,'Week 08'!J23))</f>
        <v/>
      </c>
      <c r="E178">
        <f>IF(OR(C178="",D178=""),"",IF(D178=1,C178,ROUND(C178*(1+D178/30),1)))</f>
        <v/>
      </c>
    </row>
    <row r="179">
      <c r="A179">
        <f>'Week 08'!B24</f>
        <v/>
      </c>
      <c r="B179">
        <f>'Week 08'!C24</f>
        <v/>
      </c>
      <c r="C179">
        <f>IF('Week 08'!I24="","",'Week 08'!I24)</f>
        <v/>
      </c>
      <c r="D179">
        <f>IF('Week 08'!I24="","",IF('Week 08'!J24="",1,'Week 08'!J24))</f>
        <v/>
      </c>
      <c r="E179">
        <f>IF(OR(C179="",D179=""),"",IF(D179=1,C179,ROUND(C179*(1+D179/30),1)))</f>
        <v/>
      </c>
    </row>
    <row r="180">
      <c r="A180">
        <f>'Week 08'!B25</f>
        <v/>
      </c>
      <c r="B180">
        <f>'Week 08'!C25</f>
        <v/>
      </c>
      <c r="C180">
        <f>IF('Week 08'!I25="","",'Week 08'!I25)</f>
        <v/>
      </c>
      <c r="D180">
        <f>IF('Week 08'!I25="","",IF('Week 08'!J25="",1,'Week 08'!J25))</f>
        <v/>
      </c>
      <c r="E180">
        <f>IF(OR(C180="",D180=""),"",IF(D180=1,C180,ROUND(C180*(1+D180/30),1)))</f>
        <v/>
      </c>
    </row>
    <row r="181">
      <c r="A181">
        <f>'Week 09'!B6</f>
        <v/>
      </c>
      <c r="B181">
        <f>'Week 09'!C6</f>
        <v/>
      </c>
      <c r="C181">
        <f>IF('Week 09'!I6="","",'Week 09'!I6)</f>
        <v/>
      </c>
      <c r="D181">
        <f>IF('Week 09'!I6="","",IF('Week 09'!J6="",1,'Week 09'!J6))</f>
        <v/>
      </c>
      <c r="E181">
        <f>IF(OR(C181="",D181=""),"",IF(D181=1,C181,ROUND(C181*(1+D181/30),1)))</f>
        <v/>
      </c>
    </row>
    <row r="182">
      <c r="A182">
        <f>'Week 09'!B7</f>
        <v/>
      </c>
      <c r="B182">
        <f>'Week 09'!C7</f>
        <v/>
      </c>
      <c r="C182">
        <f>IF('Week 09'!I7="","",'Week 09'!I7)</f>
        <v/>
      </c>
      <c r="D182">
        <f>IF('Week 09'!I7="","",IF('Week 09'!J7="",1,'Week 09'!J7))</f>
        <v/>
      </c>
      <c r="E182">
        <f>IF(OR(C182="",D182=""),"",IF(D182=1,C182,ROUND(C182*(1+D182/30),1)))</f>
        <v/>
      </c>
    </row>
    <row r="183">
      <c r="A183">
        <f>'Week 09'!B8</f>
        <v/>
      </c>
      <c r="B183">
        <f>'Week 09'!C8</f>
        <v/>
      </c>
      <c r="C183">
        <f>IF('Week 09'!I8="","",'Week 09'!I8)</f>
        <v/>
      </c>
      <c r="D183">
        <f>IF('Week 09'!I8="","",IF('Week 09'!J8="",1,'Week 09'!J8))</f>
        <v/>
      </c>
      <c r="E183">
        <f>IF(OR(C183="",D183=""),"",IF(D183=1,C183,ROUND(C183*(1+D183/30),1)))</f>
        <v/>
      </c>
    </row>
    <row r="184">
      <c r="A184">
        <f>'Week 09'!B9</f>
        <v/>
      </c>
      <c r="B184">
        <f>'Week 09'!C9</f>
        <v/>
      </c>
      <c r="C184">
        <f>IF('Week 09'!I9="","",'Week 09'!I9)</f>
        <v/>
      </c>
      <c r="D184">
        <f>IF('Week 09'!I9="","",IF('Week 09'!J9="",1,'Week 09'!J9))</f>
        <v/>
      </c>
      <c r="E184">
        <f>IF(OR(C184="",D184=""),"",IF(D184=1,C184,ROUND(C184*(1+D184/30),1)))</f>
        <v/>
      </c>
    </row>
    <row r="185">
      <c r="A185">
        <f>'Week 09'!B10</f>
        <v/>
      </c>
      <c r="B185">
        <f>'Week 09'!C10</f>
        <v/>
      </c>
      <c r="C185">
        <f>IF('Week 09'!I10="","",'Week 09'!I10)</f>
        <v/>
      </c>
      <c r="D185">
        <f>IF('Week 09'!I10="","",IF('Week 09'!J10="",1,'Week 09'!J10))</f>
        <v/>
      </c>
      <c r="E185">
        <f>IF(OR(C185="",D185=""),"",IF(D185=1,C185,ROUND(C185*(1+D185/30),1)))</f>
        <v/>
      </c>
    </row>
    <row r="186">
      <c r="A186">
        <f>'Week 09'!B11</f>
        <v/>
      </c>
      <c r="B186">
        <f>'Week 09'!C11</f>
        <v/>
      </c>
      <c r="C186">
        <f>IF('Week 09'!I11="","",'Week 09'!I11)</f>
        <v/>
      </c>
      <c r="D186">
        <f>IF('Week 09'!I11="","",IF('Week 09'!J11="",1,'Week 09'!J11))</f>
        <v/>
      </c>
      <c r="E186">
        <f>IF(OR(C186="",D186=""),"",IF(D186=1,C186,ROUND(C186*(1+D186/30),1)))</f>
        <v/>
      </c>
    </row>
    <row r="187">
      <c r="A187">
        <f>'Week 09'!B12</f>
        <v/>
      </c>
      <c r="B187">
        <f>'Week 09'!C12</f>
        <v/>
      </c>
      <c r="C187">
        <f>IF('Week 09'!I12="","",'Week 09'!I12)</f>
        <v/>
      </c>
      <c r="D187">
        <f>IF('Week 09'!I12="","",IF('Week 09'!J12="",1,'Week 09'!J12))</f>
        <v/>
      </c>
      <c r="E187">
        <f>IF(OR(C187="",D187=""),"",IF(D187=1,C187,ROUND(C187*(1+D187/30),1)))</f>
        <v/>
      </c>
    </row>
    <row r="188">
      <c r="A188">
        <f>'Week 09'!B13</f>
        <v/>
      </c>
      <c r="B188">
        <f>'Week 09'!C13</f>
        <v/>
      </c>
      <c r="C188">
        <f>IF('Week 09'!I13="","",'Week 09'!I13)</f>
        <v/>
      </c>
      <c r="D188">
        <f>IF('Week 09'!I13="","",IF('Week 09'!J13="",1,'Week 09'!J13))</f>
        <v/>
      </c>
      <c r="E188">
        <f>IF(OR(C188="",D188=""),"",IF(D188=1,C188,ROUND(C188*(1+D188/30),1)))</f>
        <v/>
      </c>
    </row>
    <row r="189">
      <c r="A189">
        <f>'Week 09'!B14</f>
        <v/>
      </c>
      <c r="B189">
        <f>'Week 09'!C14</f>
        <v/>
      </c>
      <c r="C189">
        <f>IF('Week 09'!I14="","",'Week 09'!I14)</f>
        <v/>
      </c>
      <c r="D189">
        <f>IF('Week 09'!I14="","",IF('Week 09'!J14="",1,'Week 09'!J14))</f>
        <v/>
      </c>
      <c r="E189">
        <f>IF(OR(C189="",D189=""),"",IF(D189=1,C189,ROUND(C189*(1+D189/30),1)))</f>
        <v/>
      </c>
    </row>
    <row r="190">
      <c r="A190">
        <f>'Week 09'!B15</f>
        <v/>
      </c>
      <c r="B190">
        <f>'Week 09'!C15</f>
        <v/>
      </c>
      <c r="C190">
        <f>IF('Week 09'!I15="","",'Week 09'!I15)</f>
        <v/>
      </c>
      <c r="D190">
        <f>IF('Week 09'!I15="","",IF('Week 09'!J15="",1,'Week 09'!J15))</f>
        <v/>
      </c>
      <c r="E190">
        <f>IF(OR(C190="",D190=""),"",IF(D190=1,C190,ROUND(C190*(1+D190/30),1)))</f>
        <v/>
      </c>
    </row>
    <row r="191">
      <c r="A191">
        <f>'Week 09'!B16</f>
        <v/>
      </c>
      <c r="B191">
        <f>'Week 09'!C16</f>
        <v/>
      </c>
      <c r="C191">
        <f>IF('Week 09'!I16="","",'Week 09'!I16)</f>
        <v/>
      </c>
      <c r="D191">
        <f>IF('Week 09'!I16="","",IF('Week 09'!J16="",1,'Week 09'!J16))</f>
        <v/>
      </c>
      <c r="E191">
        <f>IF(OR(C191="",D191=""),"",IF(D191=1,C191,ROUND(C191*(1+D191/30),1)))</f>
        <v/>
      </c>
    </row>
    <row r="192">
      <c r="A192">
        <f>'Week 09'!B17</f>
        <v/>
      </c>
      <c r="B192">
        <f>'Week 09'!C17</f>
        <v/>
      </c>
      <c r="C192">
        <f>IF('Week 09'!I17="","",'Week 09'!I17)</f>
        <v/>
      </c>
      <c r="D192">
        <f>IF('Week 09'!I17="","",IF('Week 09'!J17="",1,'Week 09'!J17))</f>
        <v/>
      </c>
      <c r="E192">
        <f>IF(OR(C192="",D192=""),"",IF(D192=1,C192,ROUND(C192*(1+D192/30),1)))</f>
        <v/>
      </c>
    </row>
    <row r="193">
      <c r="A193">
        <f>'Week 09'!B18</f>
        <v/>
      </c>
      <c r="B193">
        <f>'Week 09'!C18</f>
        <v/>
      </c>
      <c r="C193">
        <f>IF('Week 09'!I18="","",'Week 09'!I18)</f>
        <v/>
      </c>
      <c r="D193">
        <f>IF('Week 09'!I18="","",IF('Week 09'!J18="",1,'Week 09'!J18))</f>
        <v/>
      </c>
      <c r="E193">
        <f>IF(OR(C193="",D193=""),"",IF(D193=1,C193,ROUND(C193*(1+D193/30),1)))</f>
        <v/>
      </c>
    </row>
    <row r="194">
      <c r="A194">
        <f>'Week 09'!B19</f>
        <v/>
      </c>
      <c r="B194">
        <f>'Week 09'!C19</f>
        <v/>
      </c>
      <c r="C194">
        <f>IF('Week 09'!I19="","",'Week 09'!I19)</f>
        <v/>
      </c>
      <c r="D194">
        <f>IF('Week 09'!I19="","",IF('Week 09'!J19="",1,'Week 09'!J19))</f>
        <v/>
      </c>
      <c r="E194">
        <f>IF(OR(C194="",D194=""),"",IF(D194=1,C194,ROUND(C194*(1+D194/30),1)))</f>
        <v/>
      </c>
    </row>
    <row r="195">
      <c r="A195">
        <f>'Week 09'!B20</f>
        <v/>
      </c>
      <c r="B195">
        <f>'Week 09'!C20</f>
        <v/>
      </c>
      <c r="C195">
        <f>IF('Week 09'!I20="","",'Week 09'!I20)</f>
        <v/>
      </c>
      <c r="D195">
        <f>IF('Week 09'!I20="","",IF('Week 09'!J20="",1,'Week 09'!J20))</f>
        <v/>
      </c>
      <c r="E195">
        <f>IF(OR(C195="",D195=""),"",IF(D195=1,C195,ROUND(C195*(1+D195/30),1)))</f>
        <v/>
      </c>
    </row>
    <row r="196">
      <c r="A196">
        <f>'Week 09'!B21</f>
        <v/>
      </c>
      <c r="B196">
        <f>'Week 09'!C21</f>
        <v/>
      </c>
      <c r="C196">
        <f>IF('Week 09'!I21="","",'Week 09'!I21)</f>
        <v/>
      </c>
      <c r="D196">
        <f>IF('Week 09'!I21="","",IF('Week 09'!J21="",1,'Week 09'!J21))</f>
        <v/>
      </c>
      <c r="E196">
        <f>IF(OR(C196="",D196=""),"",IF(D196=1,C196,ROUND(C196*(1+D196/30),1)))</f>
        <v/>
      </c>
    </row>
    <row r="197">
      <c r="A197">
        <f>'Week 09'!B22</f>
        <v/>
      </c>
      <c r="B197">
        <f>'Week 09'!C22</f>
        <v/>
      </c>
      <c r="C197">
        <f>IF('Week 09'!I22="","",'Week 09'!I22)</f>
        <v/>
      </c>
      <c r="D197">
        <f>IF('Week 09'!I22="","",IF('Week 09'!J22="",1,'Week 09'!J22))</f>
        <v/>
      </c>
      <c r="E197">
        <f>IF(OR(C197="",D197=""),"",IF(D197=1,C197,ROUND(C197*(1+D197/30),1)))</f>
        <v/>
      </c>
    </row>
    <row r="198">
      <c r="A198">
        <f>'Week 09'!B23</f>
        <v/>
      </c>
      <c r="B198">
        <f>'Week 09'!C23</f>
        <v/>
      </c>
      <c r="C198">
        <f>IF('Week 09'!I23="","",'Week 09'!I23)</f>
        <v/>
      </c>
      <c r="D198">
        <f>IF('Week 09'!I23="","",IF('Week 09'!J23="",1,'Week 09'!J23))</f>
        <v/>
      </c>
      <c r="E198">
        <f>IF(OR(C198="",D198=""),"",IF(D198=1,C198,ROUND(C198*(1+D198/30),1)))</f>
        <v/>
      </c>
    </row>
    <row r="199">
      <c r="A199">
        <f>'Week 09'!B24</f>
        <v/>
      </c>
      <c r="B199">
        <f>'Week 09'!C24</f>
        <v/>
      </c>
      <c r="C199">
        <f>IF('Week 09'!I24="","",'Week 09'!I24)</f>
        <v/>
      </c>
      <c r="D199">
        <f>IF('Week 09'!I24="","",IF('Week 09'!J24="",1,'Week 09'!J24))</f>
        <v/>
      </c>
      <c r="E199">
        <f>IF(OR(C199="",D199=""),"",IF(D199=1,C199,ROUND(C199*(1+D199/30),1)))</f>
        <v/>
      </c>
    </row>
    <row r="200">
      <c r="A200">
        <f>'Week 09'!B25</f>
        <v/>
      </c>
      <c r="B200">
        <f>'Week 09'!C25</f>
        <v/>
      </c>
      <c r="C200">
        <f>IF('Week 09'!I25="","",'Week 09'!I25)</f>
        <v/>
      </c>
      <c r="D200">
        <f>IF('Week 09'!I25="","",IF('Week 09'!J25="",1,'Week 09'!J25))</f>
        <v/>
      </c>
      <c r="E200">
        <f>IF(OR(C200="",D200=""),"",IF(D200=1,C200,ROUND(C200*(1+D200/30),1)))</f>
        <v/>
      </c>
    </row>
    <row r="201">
      <c r="A201">
        <f>'Week 10'!B6</f>
        <v/>
      </c>
      <c r="B201">
        <f>'Week 10'!C6</f>
        <v/>
      </c>
      <c r="C201">
        <f>IF('Week 10'!I6="","",'Week 10'!I6)</f>
        <v/>
      </c>
      <c r="D201">
        <f>IF('Week 10'!I6="","",IF('Week 10'!J6="",1,'Week 10'!J6))</f>
        <v/>
      </c>
      <c r="E201">
        <f>IF(OR(C201="",D201=""),"",IF(D201=1,C201,ROUND(C201*(1+D201/30),1)))</f>
        <v/>
      </c>
    </row>
    <row r="202">
      <c r="A202">
        <f>'Week 10'!B7</f>
        <v/>
      </c>
      <c r="B202">
        <f>'Week 10'!C7</f>
        <v/>
      </c>
      <c r="C202">
        <f>IF('Week 10'!I7="","",'Week 10'!I7)</f>
        <v/>
      </c>
      <c r="D202">
        <f>IF('Week 10'!I7="","",IF('Week 10'!J7="",1,'Week 10'!J7))</f>
        <v/>
      </c>
      <c r="E202">
        <f>IF(OR(C202="",D202=""),"",IF(D202=1,C202,ROUND(C202*(1+D202/30),1)))</f>
        <v/>
      </c>
    </row>
    <row r="203">
      <c r="A203">
        <f>'Week 10'!B8</f>
        <v/>
      </c>
      <c r="B203">
        <f>'Week 10'!C8</f>
        <v/>
      </c>
      <c r="C203">
        <f>IF('Week 10'!I8="","",'Week 10'!I8)</f>
        <v/>
      </c>
      <c r="D203">
        <f>IF('Week 10'!I8="","",IF('Week 10'!J8="",1,'Week 10'!J8))</f>
        <v/>
      </c>
      <c r="E203">
        <f>IF(OR(C203="",D203=""),"",IF(D203=1,C203,ROUND(C203*(1+D203/30),1)))</f>
        <v/>
      </c>
    </row>
    <row r="204">
      <c r="A204">
        <f>'Week 10'!B9</f>
        <v/>
      </c>
      <c r="B204">
        <f>'Week 10'!C9</f>
        <v/>
      </c>
      <c r="C204">
        <f>IF('Week 10'!I9="","",'Week 10'!I9)</f>
        <v/>
      </c>
      <c r="D204">
        <f>IF('Week 10'!I9="","",IF('Week 10'!J9="",1,'Week 10'!J9))</f>
        <v/>
      </c>
      <c r="E204">
        <f>IF(OR(C204="",D204=""),"",IF(D204=1,C204,ROUND(C204*(1+D204/30),1)))</f>
        <v/>
      </c>
    </row>
    <row r="205">
      <c r="A205">
        <f>'Week 10'!B10</f>
        <v/>
      </c>
      <c r="B205">
        <f>'Week 10'!C10</f>
        <v/>
      </c>
      <c r="C205">
        <f>IF('Week 10'!I10="","",'Week 10'!I10)</f>
        <v/>
      </c>
      <c r="D205">
        <f>IF('Week 10'!I10="","",IF('Week 10'!J10="",1,'Week 10'!J10))</f>
        <v/>
      </c>
      <c r="E205">
        <f>IF(OR(C205="",D205=""),"",IF(D205=1,C205,ROUND(C205*(1+D205/30),1)))</f>
        <v/>
      </c>
    </row>
    <row r="206">
      <c r="A206">
        <f>'Week 10'!B11</f>
        <v/>
      </c>
      <c r="B206">
        <f>'Week 10'!C11</f>
        <v/>
      </c>
      <c r="C206">
        <f>IF('Week 10'!I11="","",'Week 10'!I11)</f>
        <v/>
      </c>
      <c r="D206">
        <f>IF('Week 10'!I11="","",IF('Week 10'!J11="",1,'Week 10'!J11))</f>
        <v/>
      </c>
      <c r="E206">
        <f>IF(OR(C206="",D206=""),"",IF(D206=1,C206,ROUND(C206*(1+D206/30),1)))</f>
        <v/>
      </c>
    </row>
    <row r="207">
      <c r="A207">
        <f>'Week 10'!B12</f>
        <v/>
      </c>
      <c r="B207">
        <f>'Week 10'!C12</f>
        <v/>
      </c>
      <c r="C207">
        <f>IF('Week 10'!I12="","",'Week 10'!I12)</f>
        <v/>
      </c>
      <c r="D207">
        <f>IF('Week 10'!I12="","",IF('Week 10'!J12="",1,'Week 10'!J12))</f>
        <v/>
      </c>
      <c r="E207">
        <f>IF(OR(C207="",D207=""),"",IF(D207=1,C207,ROUND(C207*(1+D207/30),1)))</f>
        <v/>
      </c>
    </row>
    <row r="208">
      <c r="A208">
        <f>'Week 10'!B13</f>
        <v/>
      </c>
      <c r="B208">
        <f>'Week 10'!C13</f>
        <v/>
      </c>
      <c r="C208">
        <f>IF('Week 10'!I13="","",'Week 10'!I13)</f>
        <v/>
      </c>
      <c r="D208">
        <f>IF('Week 10'!I13="","",IF('Week 10'!J13="",1,'Week 10'!J13))</f>
        <v/>
      </c>
      <c r="E208">
        <f>IF(OR(C208="",D208=""),"",IF(D208=1,C208,ROUND(C208*(1+D208/30),1)))</f>
        <v/>
      </c>
    </row>
    <row r="209">
      <c r="A209">
        <f>'Week 10'!B14</f>
        <v/>
      </c>
      <c r="B209">
        <f>'Week 10'!C14</f>
        <v/>
      </c>
      <c r="C209">
        <f>IF('Week 10'!I14="","",'Week 10'!I14)</f>
        <v/>
      </c>
      <c r="D209">
        <f>IF('Week 10'!I14="","",IF('Week 10'!J14="",1,'Week 10'!J14))</f>
        <v/>
      </c>
      <c r="E209">
        <f>IF(OR(C209="",D209=""),"",IF(D209=1,C209,ROUND(C209*(1+D209/30),1)))</f>
        <v/>
      </c>
    </row>
    <row r="210">
      <c r="A210">
        <f>'Week 10'!B15</f>
        <v/>
      </c>
      <c r="B210">
        <f>'Week 10'!C15</f>
        <v/>
      </c>
      <c r="C210">
        <f>IF('Week 10'!I15="","",'Week 10'!I15)</f>
        <v/>
      </c>
      <c r="D210">
        <f>IF('Week 10'!I15="","",IF('Week 10'!J15="",1,'Week 10'!J15))</f>
        <v/>
      </c>
      <c r="E210">
        <f>IF(OR(C210="",D210=""),"",IF(D210=1,C210,ROUND(C210*(1+D210/30),1)))</f>
        <v/>
      </c>
    </row>
    <row r="211">
      <c r="A211">
        <f>'Week 10'!B16</f>
        <v/>
      </c>
      <c r="B211">
        <f>'Week 10'!C16</f>
        <v/>
      </c>
      <c r="C211">
        <f>IF('Week 10'!I16="","",'Week 10'!I16)</f>
        <v/>
      </c>
      <c r="D211">
        <f>IF('Week 10'!I16="","",IF('Week 10'!J16="",1,'Week 10'!J16))</f>
        <v/>
      </c>
      <c r="E211">
        <f>IF(OR(C211="",D211=""),"",IF(D211=1,C211,ROUND(C211*(1+D211/30),1)))</f>
        <v/>
      </c>
    </row>
    <row r="212">
      <c r="A212">
        <f>'Week 10'!B17</f>
        <v/>
      </c>
      <c r="B212">
        <f>'Week 10'!C17</f>
        <v/>
      </c>
      <c r="C212">
        <f>IF('Week 10'!I17="","",'Week 10'!I17)</f>
        <v/>
      </c>
      <c r="D212">
        <f>IF('Week 10'!I17="","",IF('Week 10'!J17="",1,'Week 10'!J17))</f>
        <v/>
      </c>
      <c r="E212">
        <f>IF(OR(C212="",D212=""),"",IF(D212=1,C212,ROUND(C212*(1+D212/30),1)))</f>
        <v/>
      </c>
    </row>
    <row r="213">
      <c r="A213">
        <f>'Week 10'!B18</f>
        <v/>
      </c>
      <c r="B213">
        <f>'Week 10'!C18</f>
        <v/>
      </c>
      <c r="C213">
        <f>IF('Week 10'!I18="","",'Week 10'!I18)</f>
        <v/>
      </c>
      <c r="D213">
        <f>IF('Week 10'!I18="","",IF('Week 10'!J18="",1,'Week 10'!J18))</f>
        <v/>
      </c>
      <c r="E213">
        <f>IF(OR(C213="",D213=""),"",IF(D213=1,C213,ROUND(C213*(1+D213/30),1)))</f>
        <v/>
      </c>
    </row>
    <row r="214">
      <c r="A214">
        <f>'Week 10'!B19</f>
        <v/>
      </c>
      <c r="B214">
        <f>'Week 10'!C19</f>
        <v/>
      </c>
      <c r="C214">
        <f>IF('Week 10'!I19="","",'Week 10'!I19)</f>
        <v/>
      </c>
      <c r="D214">
        <f>IF('Week 10'!I19="","",IF('Week 10'!J19="",1,'Week 10'!J19))</f>
        <v/>
      </c>
      <c r="E214">
        <f>IF(OR(C214="",D214=""),"",IF(D214=1,C214,ROUND(C214*(1+D214/30),1)))</f>
        <v/>
      </c>
    </row>
    <row r="215">
      <c r="A215">
        <f>'Week 10'!B20</f>
        <v/>
      </c>
      <c r="B215">
        <f>'Week 10'!C20</f>
        <v/>
      </c>
      <c r="C215">
        <f>IF('Week 10'!I20="","",'Week 10'!I20)</f>
        <v/>
      </c>
      <c r="D215">
        <f>IF('Week 10'!I20="","",IF('Week 10'!J20="",1,'Week 10'!J20))</f>
        <v/>
      </c>
      <c r="E215">
        <f>IF(OR(C215="",D215=""),"",IF(D215=1,C215,ROUND(C215*(1+D215/30),1)))</f>
        <v/>
      </c>
    </row>
    <row r="216">
      <c r="A216">
        <f>'Week 10'!B21</f>
        <v/>
      </c>
      <c r="B216">
        <f>'Week 10'!C21</f>
        <v/>
      </c>
      <c r="C216">
        <f>IF('Week 10'!I21="","",'Week 10'!I21)</f>
        <v/>
      </c>
      <c r="D216">
        <f>IF('Week 10'!I21="","",IF('Week 10'!J21="",1,'Week 10'!J21))</f>
        <v/>
      </c>
      <c r="E216">
        <f>IF(OR(C216="",D216=""),"",IF(D216=1,C216,ROUND(C216*(1+D216/30),1)))</f>
        <v/>
      </c>
    </row>
    <row r="217">
      <c r="A217">
        <f>'Week 10'!B22</f>
        <v/>
      </c>
      <c r="B217">
        <f>'Week 10'!C22</f>
        <v/>
      </c>
      <c r="C217">
        <f>IF('Week 10'!I22="","",'Week 10'!I22)</f>
        <v/>
      </c>
      <c r="D217">
        <f>IF('Week 10'!I22="","",IF('Week 10'!J22="",1,'Week 10'!J22))</f>
        <v/>
      </c>
      <c r="E217">
        <f>IF(OR(C217="",D217=""),"",IF(D217=1,C217,ROUND(C217*(1+D217/30),1)))</f>
        <v/>
      </c>
    </row>
    <row r="218">
      <c r="A218">
        <f>'Week 10'!B23</f>
        <v/>
      </c>
      <c r="B218">
        <f>'Week 10'!C23</f>
        <v/>
      </c>
      <c r="C218">
        <f>IF('Week 10'!I23="","",'Week 10'!I23)</f>
        <v/>
      </c>
      <c r="D218">
        <f>IF('Week 10'!I23="","",IF('Week 10'!J23="",1,'Week 10'!J23))</f>
        <v/>
      </c>
      <c r="E218">
        <f>IF(OR(C218="",D218=""),"",IF(D218=1,C218,ROUND(C218*(1+D218/30),1)))</f>
        <v/>
      </c>
    </row>
    <row r="219">
      <c r="A219">
        <f>'Week 10'!B24</f>
        <v/>
      </c>
      <c r="B219">
        <f>'Week 10'!C24</f>
        <v/>
      </c>
      <c r="C219">
        <f>IF('Week 10'!I24="","",'Week 10'!I24)</f>
        <v/>
      </c>
      <c r="D219">
        <f>IF('Week 10'!I24="","",IF('Week 10'!J24="",1,'Week 10'!J24))</f>
        <v/>
      </c>
      <c r="E219">
        <f>IF(OR(C219="",D219=""),"",IF(D219=1,C219,ROUND(C219*(1+D219/30),1)))</f>
        <v/>
      </c>
    </row>
    <row r="220">
      <c r="A220">
        <f>'Week 10'!B25</f>
        <v/>
      </c>
      <c r="B220">
        <f>'Week 10'!C25</f>
        <v/>
      </c>
      <c r="C220">
        <f>IF('Week 10'!I25="","",'Week 10'!I25)</f>
        <v/>
      </c>
      <c r="D220">
        <f>IF('Week 10'!I25="","",IF('Week 10'!J25="",1,'Week 10'!J25))</f>
        <v/>
      </c>
      <c r="E220">
        <f>IF(OR(C220="",D220=""),"",IF(D220=1,C220,ROUND(C220*(1+D220/30),1)))</f>
        <v/>
      </c>
    </row>
    <row r="221">
      <c r="A221">
        <f>'Week 11'!B6</f>
        <v/>
      </c>
      <c r="B221">
        <f>'Week 11'!C6</f>
        <v/>
      </c>
      <c r="C221">
        <f>IF('Week 11'!I6="","",'Week 11'!I6)</f>
        <v/>
      </c>
      <c r="D221">
        <f>IF('Week 11'!I6="","",IF('Week 11'!J6="",1,'Week 11'!J6))</f>
        <v/>
      </c>
      <c r="E221">
        <f>IF(OR(C221="",D221=""),"",IF(D221=1,C221,ROUND(C221*(1+D221/30),1)))</f>
        <v/>
      </c>
    </row>
    <row r="222">
      <c r="A222">
        <f>'Week 11'!B7</f>
        <v/>
      </c>
      <c r="B222">
        <f>'Week 11'!C7</f>
        <v/>
      </c>
      <c r="C222">
        <f>IF('Week 11'!I7="","",'Week 11'!I7)</f>
        <v/>
      </c>
      <c r="D222">
        <f>IF('Week 11'!I7="","",IF('Week 11'!J7="",1,'Week 11'!J7))</f>
        <v/>
      </c>
      <c r="E222">
        <f>IF(OR(C222="",D222=""),"",IF(D222=1,C222,ROUND(C222*(1+D222/30),1)))</f>
        <v/>
      </c>
    </row>
    <row r="223">
      <c r="A223">
        <f>'Week 11'!B8</f>
        <v/>
      </c>
      <c r="B223">
        <f>'Week 11'!C8</f>
        <v/>
      </c>
      <c r="C223">
        <f>IF('Week 11'!I8="","",'Week 11'!I8)</f>
        <v/>
      </c>
      <c r="D223">
        <f>IF('Week 11'!I8="","",IF('Week 11'!J8="",1,'Week 11'!J8))</f>
        <v/>
      </c>
      <c r="E223">
        <f>IF(OR(C223="",D223=""),"",IF(D223=1,C223,ROUND(C223*(1+D223/30),1)))</f>
        <v/>
      </c>
    </row>
    <row r="224">
      <c r="A224">
        <f>'Week 11'!B9</f>
        <v/>
      </c>
      <c r="B224">
        <f>'Week 11'!C9</f>
        <v/>
      </c>
      <c r="C224">
        <f>IF('Week 11'!I9="","",'Week 11'!I9)</f>
        <v/>
      </c>
      <c r="D224">
        <f>IF('Week 11'!I9="","",IF('Week 11'!J9="",1,'Week 11'!J9))</f>
        <v/>
      </c>
      <c r="E224">
        <f>IF(OR(C224="",D224=""),"",IF(D224=1,C224,ROUND(C224*(1+D224/30),1)))</f>
        <v/>
      </c>
    </row>
    <row r="225">
      <c r="A225">
        <f>'Week 11'!B10</f>
        <v/>
      </c>
      <c r="B225">
        <f>'Week 11'!C10</f>
        <v/>
      </c>
      <c r="C225">
        <f>IF('Week 11'!I10="","",'Week 11'!I10)</f>
        <v/>
      </c>
      <c r="D225">
        <f>IF('Week 11'!I10="","",IF('Week 11'!J10="",1,'Week 11'!J10))</f>
        <v/>
      </c>
      <c r="E225">
        <f>IF(OR(C225="",D225=""),"",IF(D225=1,C225,ROUND(C225*(1+D225/30),1)))</f>
        <v/>
      </c>
    </row>
    <row r="226">
      <c r="A226">
        <f>'Week 11'!B11</f>
        <v/>
      </c>
      <c r="B226">
        <f>'Week 11'!C11</f>
        <v/>
      </c>
      <c r="C226">
        <f>IF('Week 11'!I11="","",'Week 11'!I11)</f>
        <v/>
      </c>
      <c r="D226">
        <f>IF('Week 11'!I11="","",IF('Week 11'!J11="",1,'Week 11'!J11))</f>
        <v/>
      </c>
      <c r="E226">
        <f>IF(OR(C226="",D226=""),"",IF(D226=1,C226,ROUND(C226*(1+D226/30),1)))</f>
        <v/>
      </c>
    </row>
    <row r="227">
      <c r="A227">
        <f>'Week 11'!B12</f>
        <v/>
      </c>
      <c r="B227">
        <f>'Week 11'!C12</f>
        <v/>
      </c>
      <c r="C227">
        <f>IF('Week 11'!I12="","",'Week 11'!I12)</f>
        <v/>
      </c>
      <c r="D227">
        <f>IF('Week 11'!I12="","",IF('Week 11'!J12="",1,'Week 11'!J12))</f>
        <v/>
      </c>
      <c r="E227">
        <f>IF(OR(C227="",D227=""),"",IF(D227=1,C227,ROUND(C227*(1+D227/30),1)))</f>
        <v/>
      </c>
    </row>
    <row r="228">
      <c r="A228">
        <f>'Week 11'!B13</f>
        <v/>
      </c>
      <c r="B228">
        <f>'Week 11'!C13</f>
        <v/>
      </c>
      <c r="C228">
        <f>IF('Week 11'!I13="","",'Week 11'!I13)</f>
        <v/>
      </c>
      <c r="D228">
        <f>IF('Week 11'!I13="","",IF('Week 11'!J13="",1,'Week 11'!J13))</f>
        <v/>
      </c>
      <c r="E228">
        <f>IF(OR(C228="",D228=""),"",IF(D228=1,C228,ROUND(C228*(1+D228/30),1)))</f>
        <v/>
      </c>
    </row>
    <row r="229">
      <c r="A229">
        <f>'Week 11'!B14</f>
        <v/>
      </c>
      <c r="B229">
        <f>'Week 11'!C14</f>
        <v/>
      </c>
      <c r="C229">
        <f>IF('Week 11'!I14="","",'Week 11'!I14)</f>
        <v/>
      </c>
      <c r="D229">
        <f>IF('Week 11'!I14="","",IF('Week 11'!J14="",1,'Week 11'!J14))</f>
        <v/>
      </c>
      <c r="E229">
        <f>IF(OR(C229="",D229=""),"",IF(D229=1,C229,ROUND(C229*(1+D229/30),1)))</f>
        <v/>
      </c>
    </row>
    <row r="230">
      <c r="A230">
        <f>'Week 11'!B15</f>
        <v/>
      </c>
      <c r="B230">
        <f>'Week 11'!C15</f>
        <v/>
      </c>
      <c r="C230">
        <f>IF('Week 11'!I15="","",'Week 11'!I15)</f>
        <v/>
      </c>
      <c r="D230">
        <f>IF('Week 11'!I15="","",IF('Week 11'!J15="",1,'Week 11'!J15))</f>
        <v/>
      </c>
      <c r="E230">
        <f>IF(OR(C230="",D230=""),"",IF(D230=1,C230,ROUND(C230*(1+D230/30),1)))</f>
        <v/>
      </c>
    </row>
    <row r="231">
      <c r="A231">
        <f>'Week 11'!B16</f>
        <v/>
      </c>
      <c r="B231">
        <f>'Week 11'!C16</f>
        <v/>
      </c>
      <c r="C231">
        <f>IF('Week 11'!I16="","",'Week 11'!I16)</f>
        <v/>
      </c>
      <c r="D231">
        <f>IF('Week 11'!I16="","",IF('Week 11'!J16="",1,'Week 11'!J16))</f>
        <v/>
      </c>
      <c r="E231">
        <f>IF(OR(C231="",D231=""),"",IF(D231=1,C231,ROUND(C231*(1+D231/30),1)))</f>
        <v/>
      </c>
    </row>
    <row r="232">
      <c r="A232">
        <f>'Week 11'!B17</f>
        <v/>
      </c>
      <c r="B232">
        <f>'Week 11'!C17</f>
        <v/>
      </c>
      <c r="C232">
        <f>IF('Week 11'!I17="","",'Week 11'!I17)</f>
        <v/>
      </c>
      <c r="D232">
        <f>IF('Week 11'!I17="","",IF('Week 11'!J17="",1,'Week 11'!J17))</f>
        <v/>
      </c>
      <c r="E232">
        <f>IF(OR(C232="",D232=""),"",IF(D232=1,C232,ROUND(C232*(1+D232/30),1)))</f>
        <v/>
      </c>
    </row>
    <row r="233">
      <c r="A233">
        <f>'Week 11'!B18</f>
        <v/>
      </c>
      <c r="B233">
        <f>'Week 11'!C18</f>
        <v/>
      </c>
      <c r="C233">
        <f>IF('Week 11'!I18="","",'Week 11'!I18)</f>
        <v/>
      </c>
      <c r="D233">
        <f>IF('Week 11'!I18="","",IF('Week 11'!J18="",1,'Week 11'!J18))</f>
        <v/>
      </c>
      <c r="E233">
        <f>IF(OR(C233="",D233=""),"",IF(D233=1,C233,ROUND(C233*(1+D233/30),1)))</f>
        <v/>
      </c>
    </row>
    <row r="234">
      <c r="A234">
        <f>'Week 11'!B19</f>
        <v/>
      </c>
      <c r="B234">
        <f>'Week 11'!C19</f>
        <v/>
      </c>
      <c r="C234">
        <f>IF('Week 11'!I19="","",'Week 11'!I19)</f>
        <v/>
      </c>
      <c r="D234">
        <f>IF('Week 11'!I19="","",IF('Week 11'!J19="",1,'Week 11'!J19))</f>
        <v/>
      </c>
      <c r="E234">
        <f>IF(OR(C234="",D234=""),"",IF(D234=1,C234,ROUND(C234*(1+D234/30),1)))</f>
        <v/>
      </c>
    </row>
    <row r="235">
      <c r="A235">
        <f>'Week 11'!B20</f>
        <v/>
      </c>
      <c r="B235">
        <f>'Week 11'!C20</f>
        <v/>
      </c>
      <c r="C235">
        <f>IF('Week 11'!I20="","",'Week 11'!I20)</f>
        <v/>
      </c>
      <c r="D235">
        <f>IF('Week 11'!I20="","",IF('Week 11'!J20="",1,'Week 11'!J20))</f>
        <v/>
      </c>
      <c r="E235">
        <f>IF(OR(C235="",D235=""),"",IF(D235=1,C235,ROUND(C235*(1+D235/30),1)))</f>
        <v/>
      </c>
    </row>
    <row r="236">
      <c r="A236">
        <f>'Week 11'!B21</f>
        <v/>
      </c>
      <c r="B236">
        <f>'Week 11'!C21</f>
        <v/>
      </c>
      <c r="C236">
        <f>IF('Week 11'!I21="","",'Week 11'!I21)</f>
        <v/>
      </c>
      <c r="D236">
        <f>IF('Week 11'!I21="","",IF('Week 11'!J21="",1,'Week 11'!J21))</f>
        <v/>
      </c>
      <c r="E236">
        <f>IF(OR(C236="",D236=""),"",IF(D236=1,C236,ROUND(C236*(1+D236/30),1)))</f>
        <v/>
      </c>
    </row>
    <row r="237">
      <c r="A237">
        <f>'Week 11'!B22</f>
        <v/>
      </c>
      <c r="B237">
        <f>'Week 11'!C22</f>
        <v/>
      </c>
      <c r="C237">
        <f>IF('Week 11'!I22="","",'Week 11'!I22)</f>
        <v/>
      </c>
      <c r="D237">
        <f>IF('Week 11'!I22="","",IF('Week 11'!J22="",1,'Week 11'!J22))</f>
        <v/>
      </c>
      <c r="E237">
        <f>IF(OR(C237="",D237=""),"",IF(D237=1,C237,ROUND(C237*(1+D237/30),1)))</f>
        <v/>
      </c>
    </row>
    <row r="238">
      <c r="A238">
        <f>'Week 11'!B23</f>
        <v/>
      </c>
      <c r="B238">
        <f>'Week 11'!C23</f>
        <v/>
      </c>
      <c r="C238">
        <f>IF('Week 11'!I23="","",'Week 11'!I23)</f>
        <v/>
      </c>
      <c r="D238">
        <f>IF('Week 11'!I23="","",IF('Week 11'!J23="",1,'Week 11'!J23))</f>
        <v/>
      </c>
      <c r="E238">
        <f>IF(OR(C238="",D238=""),"",IF(D238=1,C238,ROUND(C238*(1+D238/30),1)))</f>
        <v/>
      </c>
    </row>
    <row r="239">
      <c r="A239">
        <f>'Week 11'!B24</f>
        <v/>
      </c>
      <c r="B239">
        <f>'Week 11'!C24</f>
        <v/>
      </c>
      <c r="C239">
        <f>IF('Week 11'!I24="","",'Week 11'!I24)</f>
        <v/>
      </c>
      <c r="D239">
        <f>IF('Week 11'!I24="","",IF('Week 11'!J24="",1,'Week 11'!J24))</f>
        <v/>
      </c>
      <c r="E239">
        <f>IF(OR(C239="",D239=""),"",IF(D239=1,C239,ROUND(C239*(1+D239/30),1)))</f>
        <v/>
      </c>
    </row>
    <row r="240">
      <c r="A240">
        <f>'Week 11'!B25</f>
        <v/>
      </c>
      <c r="B240">
        <f>'Week 11'!C25</f>
        <v/>
      </c>
      <c r="C240">
        <f>IF('Week 11'!I25="","",'Week 11'!I25)</f>
        <v/>
      </c>
      <c r="D240">
        <f>IF('Week 11'!I25="","",IF('Week 11'!J25="",1,'Week 11'!J25))</f>
        <v/>
      </c>
      <c r="E240">
        <f>IF(OR(C240="",D240=""),"",IF(D240=1,C240,ROUND(C240*(1+D240/30),1)))</f>
        <v/>
      </c>
    </row>
    <row r="241">
      <c r="A241">
        <f>'Week 12'!B6</f>
        <v/>
      </c>
      <c r="B241">
        <f>'Week 12'!C6</f>
        <v/>
      </c>
      <c r="C241">
        <f>IF('Week 12'!I6="","",'Week 12'!I6)</f>
        <v/>
      </c>
      <c r="D241">
        <f>IF('Week 12'!I6="","",IF('Week 12'!J6="",1,'Week 12'!J6))</f>
        <v/>
      </c>
      <c r="E241">
        <f>IF(OR(C241="",D241=""),"",IF(D241=1,C241,ROUND(C241*(1+D241/30),1)))</f>
        <v/>
      </c>
    </row>
    <row r="242">
      <c r="A242">
        <f>'Week 12'!B7</f>
        <v/>
      </c>
      <c r="B242">
        <f>'Week 12'!C7</f>
        <v/>
      </c>
      <c r="C242">
        <f>IF('Week 12'!I7="","",'Week 12'!I7)</f>
        <v/>
      </c>
      <c r="D242">
        <f>IF('Week 12'!I7="","",IF('Week 12'!J7="",1,'Week 12'!J7))</f>
        <v/>
      </c>
      <c r="E242">
        <f>IF(OR(C242="",D242=""),"",IF(D242=1,C242,ROUND(C242*(1+D242/30),1)))</f>
        <v/>
      </c>
    </row>
    <row r="243">
      <c r="A243">
        <f>'Week 12'!B8</f>
        <v/>
      </c>
      <c r="B243">
        <f>'Week 12'!C8</f>
        <v/>
      </c>
      <c r="C243">
        <f>IF('Week 12'!I8="","",'Week 12'!I8)</f>
        <v/>
      </c>
      <c r="D243">
        <f>IF('Week 12'!I8="","",IF('Week 12'!J8="",1,'Week 12'!J8))</f>
        <v/>
      </c>
      <c r="E243">
        <f>IF(OR(C243="",D243=""),"",IF(D243=1,C243,ROUND(C243*(1+D243/30),1)))</f>
        <v/>
      </c>
    </row>
    <row r="244">
      <c r="A244">
        <f>'Week 12'!B9</f>
        <v/>
      </c>
      <c r="B244">
        <f>'Week 12'!C9</f>
        <v/>
      </c>
      <c r="C244">
        <f>IF('Week 12'!I9="","",'Week 12'!I9)</f>
        <v/>
      </c>
      <c r="D244">
        <f>IF('Week 12'!I9="","",IF('Week 12'!J9="",1,'Week 12'!J9))</f>
        <v/>
      </c>
      <c r="E244">
        <f>IF(OR(C244="",D244=""),"",IF(D244=1,C244,ROUND(C244*(1+D244/30),1)))</f>
        <v/>
      </c>
    </row>
    <row r="245">
      <c r="A245">
        <f>'Week 12'!B10</f>
        <v/>
      </c>
      <c r="B245">
        <f>'Week 12'!C10</f>
        <v/>
      </c>
      <c r="C245">
        <f>IF('Week 12'!I10="","",'Week 12'!I10)</f>
        <v/>
      </c>
      <c r="D245">
        <f>IF('Week 12'!I10="","",IF('Week 12'!J10="",1,'Week 12'!J10))</f>
        <v/>
      </c>
      <c r="E245">
        <f>IF(OR(C245="",D245=""),"",IF(D245=1,C245,ROUND(C245*(1+D245/30),1)))</f>
        <v/>
      </c>
    </row>
    <row r="246">
      <c r="A246">
        <f>'Week 12'!B11</f>
        <v/>
      </c>
      <c r="B246">
        <f>'Week 12'!C11</f>
        <v/>
      </c>
      <c r="C246">
        <f>IF('Week 12'!I11="","",'Week 12'!I11)</f>
        <v/>
      </c>
      <c r="D246">
        <f>IF('Week 12'!I11="","",IF('Week 12'!J11="",1,'Week 12'!J11))</f>
        <v/>
      </c>
      <c r="E246">
        <f>IF(OR(C246="",D246=""),"",IF(D246=1,C246,ROUND(C246*(1+D246/30),1)))</f>
        <v/>
      </c>
    </row>
    <row r="247">
      <c r="A247">
        <f>'Week 12'!B12</f>
        <v/>
      </c>
      <c r="B247">
        <f>'Week 12'!C12</f>
        <v/>
      </c>
      <c r="C247">
        <f>IF('Week 12'!I12="","",'Week 12'!I12)</f>
        <v/>
      </c>
      <c r="D247">
        <f>IF('Week 12'!I12="","",IF('Week 12'!J12="",1,'Week 12'!J12))</f>
        <v/>
      </c>
      <c r="E247">
        <f>IF(OR(C247="",D247=""),"",IF(D247=1,C247,ROUND(C247*(1+D247/30),1)))</f>
        <v/>
      </c>
    </row>
    <row r="248">
      <c r="A248">
        <f>'Week 12'!B13</f>
        <v/>
      </c>
      <c r="B248">
        <f>'Week 12'!C13</f>
        <v/>
      </c>
      <c r="C248">
        <f>IF('Week 12'!I13="","",'Week 12'!I13)</f>
        <v/>
      </c>
      <c r="D248">
        <f>IF('Week 12'!I13="","",IF('Week 12'!J13="",1,'Week 12'!J13))</f>
        <v/>
      </c>
      <c r="E248">
        <f>IF(OR(C248="",D248=""),"",IF(D248=1,C248,ROUND(C248*(1+D248/30),1)))</f>
        <v/>
      </c>
    </row>
    <row r="249">
      <c r="A249">
        <f>'Week 12'!B14</f>
        <v/>
      </c>
      <c r="B249">
        <f>'Week 12'!C14</f>
        <v/>
      </c>
      <c r="C249">
        <f>IF('Week 12'!I14="","",'Week 12'!I14)</f>
        <v/>
      </c>
      <c r="D249">
        <f>IF('Week 12'!I14="","",IF('Week 12'!J14="",1,'Week 12'!J14))</f>
        <v/>
      </c>
      <c r="E249">
        <f>IF(OR(C249="",D249=""),"",IF(D249=1,C249,ROUND(C249*(1+D249/30),1)))</f>
        <v/>
      </c>
    </row>
    <row r="250">
      <c r="A250">
        <f>'Week 12'!B15</f>
        <v/>
      </c>
      <c r="B250">
        <f>'Week 12'!C15</f>
        <v/>
      </c>
      <c r="C250">
        <f>IF('Week 12'!I15="","",'Week 12'!I15)</f>
        <v/>
      </c>
      <c r="D250">
        <f>IF('Week 12'!I15="","",IF('Week 12'!J15="",1,'Week 12'!J15))</f>
        <v/>
      </c>
      <c r="E250">
        <f>IF(OR(C250="",D250=""),"",IF(D250=1,C250,ROUND(C250*(1+D250/30),1)))</f>
        <v/>
      </c>
    </row>
    <row r="251">
      <c r="A251">
        <f>'Week 12'!B16</f>
        <v/>
      </c>
      <c r="B251">
        <f>'Week 12'!C16</f>
        <v/>
      </c>
      <c r="C251">
        <f>IF('Week 12'!I16="","",'Week 12'!I16)</f>
        <v/>
      </c>
      <c r="D251">
        <f>IF('Week 12'!I16="","",IF('Week 12'!J16="",1,'Week 12'!J16))</f>
        <v/>
      </c>
      <c r="E251">
        <f>IF(OR(C251="",D251=""),"",IF(D251=1,C251,ROUND(C251*(1+D251/30),1)))</f>
        <v/>
      </c>
    </row>
    <row r="252">
      <c r="A252">
        <f>'Week 12'!B17</f>
        <v/>
      </c>
      <c r="B252">
        <f>'Week 12'!C17</f>
        <v/>
      </c>
      <c r="C252">
        <f>IF('Week 12'!I17="","",'Week 12'!I17)</f>
        <v/>
      </c>
      <c r="D252">
        <f>IF('Week 12'!I17="","",IF('Week 12'!J17="",1,'Week 12'!J17))</f>
        <v/>
      </c>
      <c r="E252">
        <f>IF(OR(C252="",D252=""),"",IF(D252=1,C252,ROUND(C252*(1+D252/30),1)))</f>
        <v/>
      </c>
    </row>
    <row r="253">
      <c r="A253">
        <f>'Week 12'!B18</f>
        <v/>
      </c>
      <c r="B253">
        <f>'Week 12'!C18</f>
        <v/>
      </c>
      <c r="C253">
        <f>IF('Week 12'!I18="","",'Week 12'!I18)</f>
        <v/>
      </c>
      <c r="D253">
        <f>IF('Week 12'!I18="","",IF('Week 12'!J18="",1,'Week 12'!J18))</f>
        <v/>
      </c>
      <c r="E253">
        <f>IF(OR(C253="",D253=""),"",IF(D253=1,C253,ROUND(C253*(1+D253/30),1)))</f>
        <v/>
      </c>
    </row>
    <row r="254">
      <c r="A254">
        <f>'Week 12'!B19</f>
        <v/>
      </c>
      <c r="B254">
        <f>'Week 12'!C19</f>
        <v/>
      </c>
      <c r="C254">
        <f>IF('Week 12'!I19="","",'Week 12'!I19)</f>
        <v/>
      </c>
      <c r="D254">
        <f>IF('Week 12'!I19="","",IF('Week 12'!J19="",1,'Week 12'!J19))</f>
        <v/>
      </c>
      <c r="E254">
        <f>IF(OR(C254="",D254=""),"",IF(D254=1,C254,ROUND(C254*(1+D254/30),1)))</f>
        <v/>
      </c>
    </row>
    <row r="255">
      <c r="A255">
        <f>'Week 12'!B20</f>
        <v/>
      </c>
      <c r="B255">
        <f>'Week 12'!C20</f>
        <v/>
      </c>
      <c r="C255">
        <f>IF('Week 12'!I20="","",'Week 12'!I20)</f>
        <v/>
      </c>
      <c r="D255">
        <f>IF('Week 12'!I20="","",IF('Week 12'!J20="",1,'Week 12'!J20))</f>
        <v/>
      </c>
      <c r="E255">
        <f>IF(OR(C255="",D255=""),"",IF(D255=1,C255,ROUND(C255*(1+D255/30),1)))</f>
        <v/>
      </c>
    </row>
    <row r="256">
      <c r="A256">
        <f>'Week 12'!B21</f>
        <v/>
      </c>
      <c r="B256">
        <f>'Week 12'!C21</f>
        <v/>
      </c>
      <c r="C256">
        <f>IF('Week 12'!I21="","",'Week 12'!I21)</f>
        <v/>
      </c>
      <c r="D256">
        <f>IF('Week 12'!I21="","",IF('Week 12'!J21="",1,'Week 12'!J21))</f>
        <v/>
      </c>
      <c r="E256">
        <f>IF(OR(C256="",D256=""),"",IF(D256=1,C256,ROUND(C256*(1+D256/30),1)))</f>
        <v/>
      </c>
    </row>
    <row r="257">
      <c r="A257">
        <f>'Week 12'!B22</f>
        <v/>
      </c>
      <c r="B257">
        <f>'Week 12'!C22</f>
        <v/>
      </c>
      <c r="C257">
        <f>IF('Week 12'!I22="","",'Week 12'!I22)</f>
        <v/>
      </c>
      <c r="D257">
        <f>IF('Week 12'!I22="","",IF('Week 12'!J22="",1,'Week 12'!J22))</f>
        <v/>
      </c>
      <c r="E257">
        <f>IF(OR(C257="",D257=""),"",IF(D257=1,C257,ROUND(C257*(1+D257/30),1)))</f>
        <v/>
      </c>
    </row>
    <row r="258">
      <c r="A258">
        <f>'Week 12'!B23</f>
        <v/>
      </c>
      <c r="B258">
        <f>'Week 12'!C23</f>
        <v/>
      </c>
      <c r="C258">
        <f>IF('Week 12'!I23="","",'Week 12'!I23)</f>
        <v/>
      </c>
      <c r="D258">
        <f>IF('Week 12'!I23="","",IF('Week 12'!J23="",1,'Week 12'!J23))</f>
        <v/>
      </c>
      <c r="E258">
        <f>IF(OR(C258="",D258=""),"",IF(D258=1,C258,ROUND(C258*(1+D258/30),1)))</f>
        <v/>
      </c>
    </row>
    <row r="259">
      <c r="A259">
        <f>'Week 12'!B24</f>
        <v/>
      </c>
      <c r="B259">
        <f>'Week 12'!C24</f>
        <v/>
      </c>
      <c r="C259">
        <f>IF('Week 12'!I24="","",'Week 12'!I24)</f>
        <v/>
      </c>
      <c r="D259">
        <f>IF('Week 12'!I24="","",IF('Week 12'!J24="",1,'Week 12'!J24))</f>
        <v/>
      </c>
      <c r="E259">
        <f>IF(OR(C259="",D259=""),"",IF(D259=1,C259,ROUND(C259*(1+D259/30),1)))</f>
        <v/>
      </c>
    </row>
    <row r="260">
      <c r="A260">
        <f>'Week 12'!B25</f>
        <v/>
      </c>
      <c r="B260">
        <f>'Week 12'!C25</f>
        <v/>
      </c>
      <c r="C260">
        <f>IF('Week 12'!I25="","",'Week 12'!I25)</f>
        <v/>
      </c>
      <c r="D260">
        <f>IF('Week 12'!I25="","",IF('Week 12'!J25="",1,'Week 12'!J25))</f>
        <v/>
      </c>
      <c r="E260">
        <f>IF(OR(C260="",D260=""),"",IF(D260=1,C260,ROUND(C260*(1+D260/30),1)))</f>
        <v/>
      </c>
    </row>
    <row r="261">
      <c r="A261">
        <f>'Week 13'!B6</f>
        <v/>
      </c>
      <c r="B261">
        <f>'Week 13'!C6</f>
        <v/>
      </c>
      <c r="C261">
        <f>IF('Week 13'!I6="","",'Week 13'!I6)</f>
        <v/>
      </c>
      <c r="D261">
        <f>IF('Week 13'!I6="","",IF('Week 13'!J6="",1,'Week 13'!J6))</f>
        <v/>
      </c>
      <c r="E261">
        <f>IF(OR(C261="",D261=""),"",IF(D261=1,C261,ROUND(C261*(1+D261/30),1)))</f>
        <v/>
      </c>
    </row>
    <row r="262">
      <c r="A262">
        <f>'Week 13'!B7</f>
        <v/>
      </c>
      <c r="B262">
        <f>'Week 13'!C7</f>
        <v/>
      </c>
      <c r="C262">
        <f>IF('Week 13'!I7="","",'Week 13'!I7)</f>
        <v/>
      </c>
      <c r="D262">
        <f>IF('Week 13'!I7="","",IF('Week 13'!J7="",1,'Week 13'!J7))</f>
        <v/>
      </c>
      <c r="E262">
        <f>IF(OR(C262="",D262=""),"",IF(D262=1,C262,ROUND(C262*(1+D262/30),1)))</f>
        <v/>
      </c>
    </row>
    <row r="263">
      <c r="A263">
        <f>'Week 13'!B8</f>
        <v/>
      </c>
      <c r="B263">
        <f>'Week 13'!C8</f>
        <v/>
      </c>
      <c r="C263">
        <f>IF('Week 13'!I8="","",'Week 13'!I8)</f>
        <v/>
      </c>
      <c r="D263">
        <f>IF('Week 13'!I8="","",IF('Week 13'!J8="",1,'Week 13'!J8))</f>
        <v/>
      </c>
      <c r="E263">
        <f>IF(OR(C263="",D263=""),"",IF(D263=1,C263,ROUND(C263*(1+D263/30),1)))</f>
        <v/>
      </c>
    </row>
    <row r="264">
      <c r="A264">
        <f>'Week 13'!B9</f>
        <v/>
      </c>
      <c r="B264">
        <f>'Week 13'!C9</f>
        <v/>
      </c>
      <c r="C264">
        <f>IF('Week 13'!I9="","",'Week 13'!I9)</f>
        <v/>
      </c>
      <c r="D264">
        <f>IF('Week 13'!I9="","",IF('Week 13'!J9="",1,'Week 13'!J9))</f>
        <v/>
      </c>
      <c r="E264">
        <f>IF(OR(C264="",D264=""),"",IF(D264=1,C264,ROUND(C264*(1+D264/30),1)))</f>
        <v/>
      </c>
    </row>
    <row r="265">
      <c r="A265">
        <f>'Week 13'!B10</f>
        <v/>
      </c>
      <c r="B265">
        <f>'Week 13'!C10</f>
        <v/>
      </c>
      <c r="C265">
        <f>IF('Week 13'!I10="","",'Week 13'!I10)</f>
        <v/>
      </c>
      <c r="D265">
        <f>IF('Week 13'!I10="","",IF('Week 13'!J10="",1,'Week 13'!J10))</f>
        <v/>
      </c>
      <c r="E265">
        <f>IF(OR(C265="",D265=""),"",IF(D265=1,C265,ROUND(C265*(1+D265/30),1)))</f>
        <v/>
      </c>
    </row>
    <row r="266">
      <c r="A266">
        <f>'Week 13'!B11</f>
        <v/>
      </c>
      <c r="B266">
        <f>'Week 13'!C11</f>
        <v/>
      </c>
      <c r="C266">
        <f>IF('Week 13'!I11="","",'Week 13'!I11)</f>
        <v/>
      </c>
      <c r="D266">
        <f>IF('Week 13'!I11="","",IF('Week 13'!J11="",1,'Week 13'!J11))</f>
        <v/>
      </c>
      <c r="E266">
        <f>IF(OR(C266="",D266=""),"",IF(D266=1,C266,ROUND(C266*(1+D266/30),1)))</f>
        <v/>
      </c>
    </row>
    <row r="267">
      <c r="A267">
        <f>'Week 13'!B12</f>
        <v/>
      </c>
      <c r="B267">
        <f>'Week 13'!C12</f>
        <v/>
      </c>
      <c r="C267">
        <f>IF('Week 13'!I12="","",'Week 13'!I12)</f>
        <v/>
      </c>
      <c r="D267">
        <f>IF('Week 13'!I12="","",IF('Week 13'!J12="",1,'Week 13'!J12))</f>
        <v/>
      </c>
      <c r="E267">
        <f>IF(OR(C267="",D267=""),"",IF(D267=1,C267,ROUND(C267*(1+D267/30),1)))</f>
        <v/>
      </c>
    </row>
    <row r="268">
      <c r="A268">
        <f>'Week 13'!B13</f>
        <v/>
      </c>
      <c r="B268">
        <f>'Week 13'!C13</f>
        <v/>
      </c>
      <c r="C268">
        <f>IF('Week 13'!I13="","",'Week 13'!I13)</f>
        <v/>
      </c>
      <c r="D268">
        <f>IF('Week 13'!I13="","",IF('Week 13'!J13="",1,'Week 13'!J13))</f>
        <v/>
      </c>
      <c r="E268">
        <f>IF(OR(C268="",D268=""),"",IF(D268=1,C268,ROUND(C268*(1+D268/30),1)))</f>
        <v/>
      </c>
    </row>
    <row r="269">
      <c r="A269">
        <f>'Week 13'!B14</f>
        <v/>
      </c>
      <c r="B269">
        <f>'Week 13'!C14</f>
        <v/>
      </c>
      <c r="C269">
        <f>IF('Week 13'!I14="","",'Week 13'!I14)</f>
        <v/>
      </c>
      <c r="D269">
        <f>IF('Week 13'!I14="","",IF('Week 13'!J14="",1,'Week 13'!J14))</f>
        <v/>
      </c>
      <c r="E269">
        <f>IF(OR(C269="",D269=""),"",IF(D269=1,C269,ROUND(C269*(1+D269/30),1)))</f>
        <v/>
      </c>
    </row>
    <row r="270">
      <c r="A270">
        <f>'Week 13'!B15</f>
        <v/>
      </c>
      <c r="B270">
        <f>'Week 13'!C15</f>
        <v/>
      </c>
      <c r="C270">
        <f>IF('Week 13'!I15="","",'Week 13'!I15)</f>
        <v/>
      </c>
      <c r="D270">
        <f>IF('Week 13'!I15="","",IF('Week 13'!J15="",1,'Week 13'!J15))</f>
        <v/>
      </c>
      <c r="E270">
        <f>IF(OR(C270="",D270=""),"",IF(D270=1,C270,ROUND(C270*(1+D270/30),1)))</f>
        <v/>
      </c>
    </row>
    <row r="271">
      <c r="A271">
        <f>'Week 13'!B16</f>
        <v/>
      </c>
      <c r="B271">
        <f>'Week 13'!C16</f>
        <v/>
      </c>
      <c r="C271">
        <f>IF('Week 13'!I16="","",'Week 13'!I16)</f>
        <v/>
      </c>
      <c r="D271">
        <f>IF('Week 13'!I16="","",IF('Week 13'!J16="",1,'Week 13'!J16))</f>
        <v/>
      </c>
      <c r="E271">
        <f>IF(OR(C271="",D271=""),"",IF(D271=1,C271,ROUND(C271*(1+D271/30),1)))</f>
        <v/>
      </c>
    </row>
    <row r="272">
      <c r="A272">
        <f>'Week 13'!B17</f>
        <v/>
      </c>
      <c r="B272">
        <f>'Week 13'!C17</f>
        <v/>
      </c>
      <c r="C272">
        <f>IF('Week 13'!I17="","",'Week 13'!I17)</f>
        <v/>
      </c>
      <c r="D272">
        <f>IF('Week 13'!I17="","",IF('Week 13'!J17="",1,'Week 13'!J17))</f>
        <v/>
      </c>
      <c r="E272">
        <f>IF(OR(C272="",D272=""),"",IF(D272=1,C272,ROUND(C272*(1+D272/30),1)))</f>
        <v/>
      </c>
    </row>
    <row r="273">
      <c r="A273">
        <f>'Week 13'!B18</f>
        <v/>
      </c>
      <c r="B273">
        <f>'Week 13'!C18</f>
        <v/>
      </c>
      <c r="C273">
        <f>IF('Week 13'!I18="","",'Week 13'!I18)</f>
        <v/>
      </c>
      <c r="D273">
        <f>IF('Week 13'!I18="","",IF('Week 13'!J18="",1,'Week 13'!J18))</f>
        <v/>
      </c>
      <c r="E273">
        <f>IF(OR(C273="",D273=""),"",IF(D273=1,C273,ROUND(C273*(1+D273/30),1)))</f>
        <v/>
      </c>
    </row>
    <row r="274">
      <c r="A274">
        <f>'Week 13'!B19</f>
        <v/>
      </c>
      <c r="B274">
        <f>'Week 13'!C19</f>
        <v/>
      </c>
      <c r="C274">
        <f>IF('Week 13'!I19="","",'Week 13'!I19)</f>
        <v/>
      </c>
      <c r="D274">
        <f>IF('Week 13'!I19="","",IF('Week 13'!J19="",1,'Week 13'!J19))</f>
        <v/>
      </c>
      <c r="E274">
        <f>IF(OR(C274="",D274=""),"",IF(D274=1,C274,ROUND(C274*(1+D274/30),1)))</f>
        <v/>
      </c>
    </row>
    <row r="275">
      <c r="A275">
        <f>'Week 13'!B20</f>
        <v/>
      </c>
      <c r="B275">
        <f>'Week 13'!C20</f>
        <v/>
      </c>
      <c r="C275">
        <f>IF('Week 13'!I20="","",'Week 13'!I20)</f>
        <v/>
      </c>
      <c r="D275">
        <f>IF('Week 13'!I20="","",IF('Week 13'!J20="",1,'Week 13'!J20))</f>
        <v/>
      </c>
      <c r="E275">
        <f>IF(OR(C275="",D275=""),"",IF(D275=1,C275,ROUND(C275*(1+D275/30),1)))</f>
        <v/>
      </c>
    </row>
    <row r="276">
      <c r="A276">
        <f>'Week 13'!B21</f>
        <v/>
      </c>
      <c r="B276">
        <f>'Week 13'!C21</f>
        <v/>
      </c>
      <c r="C276">
        <f>IF('Week 13'!I21="","",'Week 13'!I21)</f>
        <v/>
      </c>
      <c r="D276">
        <f>IF('Week 13'!I21="","",IF('Week 13'!J21="",1,'Week 13'!J21))</f>
        <v/>
      </c>
      <c r="E276">
        <f>IF(OR(C276="",D276=""),"",IF(D276=1,C276,ROUND(C276*(1+D276/30),1)))</f>
        <v/>
      </c>
    </row>
    <row r="277">
      <c r="A277">
        <f>'Week 13'!B22</f>
        <v/>
      </c>
      <c r="B277">
        <f>'Week 13'!C22</f>
        <v/>
      </c>
      <c r="C277">
        <f>IF('Week 13'!I22="","",'Week 13'!I22)</f>
        <v/>
      </c>
      <c r="D277">
        <f>IF('Week 13'!I22="","",IF('Week 13'!J22="",1,'Week 13'!J22))</f>
        <v/>
      </c>
      <c r="E277">
        <f>IF(OR(C277="",D277=""),"",IF(D277=1,C277,ROUND(C277*(1+D277/30),1)))</f>
        <v/>
      </c>
    </row>
    <row r="278">
      <c r="A278">
        <f>'Week 13'!B23</f>
        <v/>
      </c>
      <c r="B278">
        <f>'Week 13'!C23</f>
        <v/>
      </c>
      <c r="C278">
        <f>IF('Week 13'!I23="","",'Week 13'!I23)</f>
        <v/>
      </c>
      <c r="D278">
        <f>IF('Week 13'!I23="","",IF('Week 13'!J23="",1,'Week 13'!J23))</f>
        <v/>
      </c>
      <c r="E278">
        <f>IF(OR(C278="",D278=""),"",IF(D278=1,C278,ROUND(C278*(1+D278/30),1)))</f>
        <v/>
      </c>
    </row>
    <row r="279">
      <c r="A279">
        <f>'Week 13'!B24</f>
        <v/>
      </c>
      <c r="B279">
        <f>'Week 13'!C24</f>
        <v/>
      </c>
      <c r="C279">
        <f>IF('Week 13'!I24="","",'Week 13'!I24)</f>
        <v/>
      </c>
      <c r="D279">
        <f>IF('Week 13'!I24="","",IF('Week 13'!J24="",1,'Week 13'!J24))</f>
        <v/>
      </c>
      <c r="E279">
        <f>IF(OR(C279="",D279=""),"",IF(D279=1,C279,ROUND(C279*(1+D279/30),1)))</f>
        <v/>
      </c>
    </row>
    <row r="280">
      <c r="A280">
        <f>'Week 13'!B25</f>
        <v/>
      </c>
      <c r="B280">
        <f>'Week 13'!C25</f>
        <v/>
      </c>
      <c r="C280">
        <f>IF('Week 13'!I25="","",'Week 13'!I25)</f>
        <v/>
      </c>
      <c r="D280">
        <f>IF('Week 13'!I25="","",IF('Week 13'!J25="",1,'Week 13'!J25))</f>
        <v/>
      </c>
      <c r="E280">
        <f>IF(OR(C280="",D280=""),"",IF(D280=1,C280,ROUND(C280*(1+D280/30),1)))</f>
        <v/>
      </c>
    </row>
    <row r="281">
      <c r="A281">
        <f>'Week 14'!B6</f>
        <v/>
      </c>
      <c r="B281">
        <f>'Week 14'!C6</f>
        <v/>
      </c>
      <c r="C281">
        <f>IF('Week 14'!I6="","",'Week 14'!I6)</f>
        <v/>
      </c>
      <c r="D281">
        <f>IF('Week 14'!I6="","",IF('Week 14'!J6="",1,'Week 14'!J6))</f>
        <v/>
      </c>
      <c r="E281">
        <f>IF(OR(C281="",D281=""),"",IF(D281=1,C281,ROUND(C281*(1+D281/30),1)))</f>
        <v/>
      </c>
    </row>
    <row r="282">
      <c r="A282">
        <f>'Week 14'!B7</f>
        <v/>
      </c>
      <c r="B282">
        <f>'Week 14'!C7</f>
        <v/>
      </c>
      <c r="C282">
        <f>IF('Week 14'!I7="","",'Week 14'!I7)</f>
        <v/>
      </c>
      <c r="D282">
        <f>IF('Week 14'!I7="","",IF('Week 14'!J7="",1,'Week 14'!J7))</f>
        <v/>
      </c>
      <c r="E282">
        <f>IF(OR(C282="",D282=""),"",IF(D282=1,C282,ROUND(C282*(1+D282/30),1)))</f>
        <v/>
      </c>
    </row>
    <row r="283">
      <c r="A283">
        <f>'Week 14'!B8</f>
        <v/>
      </c>
      <c r="B283">
        <f>'Week 14'!C8</f>
        <v/>
      </c>
      <c r="C283">
        <f>IF('Week 14'!I8="","",'Week 14'!I8)</f>
        <v/>
      </c>
      <c r="D283">
        <f>IF('Week 14'!I8="","",IF('Week 14'!J8="",1,'Week 14'!J8))</f>
        <v/>
      </c>
      <c r="E283">
        <f>IF(OR(C283="",D283=""),"",IF(D283=1,C283,ROUND(C283*(1+D283/30),1)))</f>
        <v/>
      </c>
    </row>
    <row r="284">
      <c r="A284">
        <f>'Week 14'!B9</f>
        <v/>
      </c>
      <c r="B284">
        <f>'Week 14'!C9</f>
        <v/>
      </c>
      <c r="C284">
        <f>IF('Week 14'!I9="","",'Week 14'!I9)</f>
        <v/>
      </c>
      <c r="D284">
        <f>IF('Week 14'!I9="","",IF('Week 14'!J9="",1,'Week 14'!J9))</f>
        <v/>
      </c>
      <c r="E284">
        <f>IF(OR(C284="",D284=""),"",IF(D284=1,C284,ROUND(C284*(1+D284/30),1)))</f>
        <v/>
      </c>
    </row>
    <row r="285">
      <c r="A285">
        <f>'Week 14'!B10</f>
        <v/>
      </c>
      <c r="B285">
        <f>'Week 14'!C10</f>
        <v/>
      </c>
      <c r="C285">
        <f>IF('Week 14'!I10="","",'Week 14'!I10)</f>
        <v/>
      </c>
      <c r="D285">
        <f>IF('Week 14'!I10="","",IF('Week 14'!J10="",1,'Week 14'!J10))</f>
        <v/>
      </c>
      <c r="E285">
        <f>IF(OR(C285="",D285=""),"",IF(D285=1,C285,ROUND(C285*(1+D285/30),1)))</f>
        <v/>
      </c>
    </row>
    <row r="286">
      <c r="A286">
        <f>'Week 14'!B11</f>
        <v/>
      </c>
      <c r="B286">
        <f>'Week 14'!C11</f>
        <v/>
      </c>
      <c r="C286">
        <f>IF('Week 14'!I11="","",'Week 14'!I11)</f>
        <v/>
      </c>
      <c r="D286">
        <f>IF('Week 14'!I11="","",IF('Week 14'!J11="",1,'Week 14'!J11))</f>
        <v/>
      </c>
      <c r="E286">
        <f>IF(OR(C286="",D286=""),"",IF(D286=1,C286,ROUND(C286*(1+D286/30),1)))</f>
        <v/>
      </c>
    </row>
    <row r="287">
      <c r="A287">
        <f>'Week 14'!B12</f>
        <v/>
      </c>
      <c r="B287">
        <f>'Week 14'!C12</f>
        <v/>
      </c>
      <c r="C287">
        <f>IF('Week 14'!I12="","",'Week 14'!I12)</f>
        <v/>
      </c>
      <c r="D287">
        <f>IF('Week 14'!I12="","",IF('Week 14'!J12="",1,'Week 14'!J12))</f>
        <v/>
      </c>
      <c r="E287">
        <f>IF(OR(C287="",D287=""),"",IF(D287=1,C287,ROUND(C287*(1+D287/30),1)))</f>
        <v/>
      </c>
    </row>
    <row r="288">
      <c r="A288">
        <f>'Week 14'!B13</f>
        <v/>
      </c>
      <c r="B288">
        <f>'Week 14'!C13</f>
        <v/>
      </c>
      <c r="C288">
        <f>IF('Week 14'!I13="","",'Week 14'!I13)</f>
        <v/>
      </c>
      <c r="D288">
        <f>IF('Week 14'!I13="","",IF('Week 14'!J13="",1,'Week 14'!J13))</f>
        <v/>
      </c>
      <c r="E288">
        <f>IF(OR(C288="",D288=""),"",IF(D288=1,C288,ROUND(C288*(1+D288/30),1)))</f>
        <v/>
      </c>
    </row>
    <row r="289">
      <c r="A289">
        <f>'Week 14'!B14</f>
        <v/>
      </c>
      <c r="B289">
        <f>'Week 14'!C14</f>
        <v/>
      </c>
      <c r="C289">
        <f>IF('Week 14'!I14="","",'Week 14'!I14)</f>
        <v/>
      </c>
      <c r="D289">
        <f>IF('Week 14'!I14="","",IF('Week 14'!J14="",1,'Week 14'!J14))</f>
        <v/>
      </c>
      <c r="E289">
        <f>IF(OR(C289="",D289=""),"",IF(D289=1,C289,ROUND(C289*(1+D289/30),1)))</f>
        <v/>
      </c>
    </row>
    <row r="290">
      <c r="A290">
        <f>'Week 14'!B15</f>
        <v/>
      </c>
      <c r="B290">
        <f>'Week 14'!C15</f>
        <v/>
      </c>
      <c r="C290">
        <f>IF('Week 14'!I15="","",'Week 14'!I15)</f>
        <v/>
      </c>
      <c r="D290">
        <f>IF('Week 14'!I15="","",IF('Week 14'!J15="",1,'Week 14'!J15))</f>
        <v/>
      </c>
      <c r="E290">
        <f>IF(OR(C290="",D290=""),"",IF(D290=1,C290,ROUND(C290*(1+D290/30),1)))</f>
        <v/>
      </c>
    </row>
    <row r="291">
      <c r="A291">
        <f>'Week 14'!B16</f>
        <v/>
      </c>
      <c r="B291">
        <f>'Week 14'!C16</f>
        <v/>
      </c>
      <c r="C291">
        <f>IF('Week 14'!I16="","",'Week 14'!I16)</f>
        <v/>
      </c>
      <c r="D291">
        <f>IF('Week 14'!I16="","",IF('Week 14'!J16="",1,'Week 14'!J16))</f>
        <v/>
      </c>
      <c r="E291">
        <f>IF(OR(C291="",D291=""),"",IF(D291=1,C291,ROUND(C291*(1+D291/30),1)))</f>
        <v/>
      </c>
    </row>
    <row r="292">
      <c r="A292">
        <f>'Week 14'!B17</f>
        <v/>
      </c>
      <c r="B292">
        <f>'Week 14'!C17</f>
        <v/>
      </c>
      <c r="C292">
        <f>IF('Week 14'!I17="","",'Week 14'!I17)</f>
        <v/>
      </c>
      <c r="D292">
        <f>IF('Week 14'!I17="","",IF('Week 14'!J17="",1,'Week 14'!J17))</f>
        <v/>
      </c>
      <c r="E292">
        <f>IF(OR(C292="",D292=""),"",IF(D292=1,C292,ROUND(C292*(1+D292/30),1)))</f>
        <v/>
      </c>
    </row>
    <row r="293">
      <c r="A293">
        <f>'Week 14'!B18</f>
        <v/>
      </c>
      <c r="B293">
        <f>'Week 14'!C18</f>
        <v/>
      </c>
      <c r="C293">
        <f>IF('Week 14'!I18="","",'Week 14'!I18)</f>
        <v/>
      </c>
      <c r="D293">
        <f>IF('Week 14'!I18="","",IF('Week 14'!J18="",1,'Week 14'!J18))</f>
        <v/>
      </c>
      <c r="E293">
        <f>IF(OR(C293="",D293=""),"",IF(D293=1,C293,ROUND(C293*(1+D293/30),1)))</f>
        <v/>
      </c>
    </row>
    <row r="294">
      <c r="A294">
        <f>'Week 14'!B19</f>
        <v/>
      </c>
      <c r="B294">
        <f>'Week 14'!C19</f>
        <v/>
      </c>
      <c r="C294">
        <f>IF('Week 14'!I19="","",'Week 14'!I19)</f>
        <v/>
      </c>
      <c r="D294">
        <f>IF('Week 14'!I19="","",IF('Week 14'!J19="",1,'Week 14'!J19))</f>
        <v/>
      </c>
      <c r="E294">
        <f>IF(OR(C294="",D294=""),"",IF(D294=1,C294,ROUND(C294*(1+D294/30),1)))</f>
        <v/>
      </c>
    </row>
    <row r="295">
      <c r="A295">
        <f>'Week 14'!B20</f>
        <v/>
      </c>
      <c r="B295">
        <f>'Week 14'!C20</f>
        <v/>
      </c>
      <c r="C295">
        <f>IF('Week 14'!I20="","",'Week 14'!I20)</f>
        <v/>
      </c>
      <c r="D295">
        <f>IF('Week 14'!I20="","",IF('Week 14'!J20="",1,'Week 14'!J20))</f>
        <v/>
      </c>
      <c r="E295">
        <f>IF(OR(C295="",D295=""),"",IF(D295=1,C295,ROUND(C295*(1+D295/30),1)))</f>
        <v/>
      </c>
    </row>
    <row r="296">
      <c r="A296">
        <f>'Week 14'!B21</f>
        <v/>
      </c>
      <c r="B296">
        <f>'Week 14'!C21</f>
        <v/>
      </c>
      <c r="C296">
        <f>IF('Week 14'!I21="","",'Week 14'!I21)</f>
        <v/>
      </c>
      <c r="D296">
        <f>IF('Week 14'!I21="","",IF('Week 14'!J21="",1,'Week 14'!J21))</f>
        <v/>
      </c>
      <c r="E296">
        <f>IF(OR(C296="",D296=""),"",IF(D296=1,C296,ROUND(C296*(1+D296/30),1)))</f>
        <v/>
      </c>
    </row>
    <row r="297">
      <c r="A297">
        <f>'Week 14'!B22</f>
        <v/>
      </c>
      <c r="B297">
        <f>'Week 14'!C22</f>
        <v/>
      </c>
      <c r="C297">
        <f>IF('Week 14'!I22="","",'Week 14'!I22)</f>
        <v/>
      </c>
      <c r="D297">
        <f>IF('Week 14'!I22="","",IF('Week 14'!J22="",1,'Week 14'!J22))</f>
        <v/>
      </c>
      <c r="E297">
        <f>IF(OR(C297="",D297=""),"",IF(D297=1,C297,ROUND(C297*(1+D297/30),1)))</f>
        <v/>
      </c>
    </row>
    <row r="298">
      <c r="A298">
        <f>'Week 14'!B23</f>
        <v/>
      </c>
      <c r="B298">
        <f>'Week 14'!C23</f>
        <v/>
      </c>
      <c r="C298">
        <f>IF('Week 14'!I23="","",'Week 14'!I23)</f>
        <v/>
      </c>
      <c r="D298">
        <f>IF('Week 14'!I23="","",IF('Week 14'!J23="",1,'Week 14'!J23))</f>
        <v/>
      </c>
      <c r="E298">
        <f>IF(OR(C298="",D298=""),"",IF(D298=1,C298,ROUND(C298*(1+D298/30),1)))</f>
        <v/>
      </c>
    </row>
    <row r="299">
      <c r="A299">
        <f>'Week 14'!B24</f>
        <v/>
      </c>
      <c r="B299">
        <f>'Week 14'!C24</f>
        <v/>
      </c>
      <c r="C299">
        <f>IF('Week 14'!I24="","",'Week 14'!I24)</f>
        <v/>
      </c>
      <c r="D299">
        <f>IF('Week 14'!I24="","",IF('Week 14'!J24="",1,'Week 14'!J24))</f>
        <v/>
      </c>
      <c r="E299">
        <f>IF(OR(C299="",D299=""),"",IF(D299=1,C299,ROUND(C299*(1+D299/30),1)))</f>
        <v/>
      </c>
    </row>
    <row r="300">
      <c r="A300">
        <f>'Week 14'!B25</f>
        <v/>
      </c>
      <c r="B300">
        <f>'Week 14'!C25</f>
        <v/>
      </c>
      <c r="C300">
        <f>IF('Week 14'!I25="","",'Week 14'!I25)</f>
        <v/>
      </c>
      <c r="D300">
        <f>IF('Week 14'!I25="","",IF('Week 14'!J25="",1,'Week 14'!J25))</f>
        <v/>
      </c>
      <c r="E300">
        <f>IF(OR(C300="",D300=""),"",IF(D300=1,C300,ROUND(C300*(1+D300/30),1)))</f>
        <v/>
      </c>
    </row>
    <row r="301">
      <c r="A301">
        <f>'Week 15'!B6</f>
        <v/>
      </c>
      <c r="B301">
        <f>'Week 15'!C6</f>
        <v/>
      </c>
      <c r="C301">
        <f>IF('Week 15'!I6="","",'Week 15'!I6)</f>
        <v/>
      </c>
      <c r="D301">
        <f>IF('Week 15'!I6="","",IF('Week 15'!J6="",1,'Week 15'!J6))</f>
        <v/>
      </c>
      <c r="E301">
        <f>IF(OR(C301="",D301=""),"",IF(D301=1,C301,ROUND(C301*(1+D301/30),1)))</f>
        <v/>
      </c>
    </row>
    <row r="302">
      <c r="A302">
        <f>'Week 15'!B7</f>
        <v/>
      </c>
      <c r="B302">
        <f>'Week 15'!C7</f>
        <v/>
      </c>
      <c r="C302">
        <f>IF('Week 15'!I7="","",'Week 15'!I7)</f>
        <v/>
      </c>
      <c r="D302">
        <f>IF('Week 15'!I7="","",IF('Week 15'!J7="",1,'Week 15'!J7))</f>
        <v/>
      </c>
      <c r="E302">
        <f>IF(OR(C302="",D302=""),"",IF(D302=1,C302,ROUND(C302*(1+D302/30),1)))</f>
        <v/>
      </c>
    </row>
    <row r="303">
      <c r="A303">
        <f>'Week 15'!B8</f>
        <v/>
      </c>
      <c r="B303">
        <f>'Week 15'!C8</f>
        <v/>
      </c>
      <c r="C303">
        <f>IF('Week 15'!I8="","",'Week 15'!I8)</f>
        <v/>
      </c>
      <c r="D303">
        <f>IF('Week 15'!I8="","",IF('Week 15'!J8="",1,'Week 15'!J8))</f>
        <v/>
      </c>
      <c r="E303">
        <f>IF(OR(C303="",D303=""),"",IF(D303=1,C303,ROUND(C303*(1+D303/30),1)))</f>
        <v/>
      </c>
    </row>
    <row r="304">
      <c r="A304">
        <f>'Week 15'!B9</f>
        <v/>
      </c>
      <c r="B304">
        <f>'Week 15'!C9</f>
        <v/>
      </c>
      <c r="C304">
        <f>IF('Week 15'!I9="","",'Week 15'!I9)</f>
        <v/>
      </c>
      <c r="D304">
        <f>IF('Week 15'!I9="","",IF('Week 15'!J9="",1,'Week 15'!J9))</f>
        <v/>
      </c>
      <c r="E304">
        <f>IF(OR(C304="",D304=""),"",IF(D304=1,C304,ROUND(C304*(1+D304/30),1)))</f>
        <v/>
      </c>
    </row>
    <row r="305">
      <c r="A305">
        <f>'Week 15'!B10</f>
        <v/>
      </c>
      <c r="B305">
        <f>'Week 15'!C10</f>
        <v/>
      </c>
      <c r="C305">
        <f>IF('Week 15'!I10="","",'Week 15'!I10)</f>
        <v/>
      </c>
      <c r="D305">
        <f>IF('Week 15'!I10="","",IF('Week 15'!J10="",1,'Week 15'!J10))</f>
        <v/>
      </c>
      <c r="E305">
        <f>IF(OR(C305="",D305=""),"",IF(D305=1,C305,ROUND(C305*(1+D305/30),1)))</f>
        <v/>
      </c>
    </row>
    <row r="306">
      <c r="A306">
        <f>'Week 15'!B11</f>
        <v/>
      </c>
      <c r="B306">
        <f>'Week 15'!C11</f>
        <v/>
      </c>
      <c r="C306">
        <f>IF('Week 15'!I11="","",'Week 15'!I11)</f>
        <v/>
      </c>
      <c r="D306">
        <f>IF('Week 15'!I11="","",IF('Week 15'!J11="",1,'Week 15'!J11))</f>
        <v/>
      </c>
      <c r="E306">
        <f>IF(OR(C306="",D306=""),"",IF(D306=1,C306,ROUND(C306*(1+D306/30),1)))</f>
        <v/>
      </c>
    </row>
    <row r="307">
      <c r="A307">
        <f>'Week 15'!B12</f>
        <v/>
      </c>
      <c r="B307">
        <f>'Week 15'!C12</f>
        <v/>
      </c>
      <c r="C307">
        <f>IF('Week 15'!I12="","",'Week 15'!I12)</f>
        <v/>
      </c>
      <c r="D307">
        <f>IF('Week 15'!I12="","",IF('Week 15'!J12="",1,'Week 15'!J12))</f>
        <v/>
      </c>
      <c r="E307">
        <f>IF(OR(C307="",D307=""),"",IF(D307=1,C307,ROUND(C307*(1+D307/30),1)))</f>
        <v/>
      </c>
    </row>
    <row r="308">
      <c r="A308">
        <f>'Week 15'!B13</f>
        <v/>
      </c>
      <c r="B308">
        <f>'Week 15'!C13</f>
        <v/>
      </c>
      <c r="C308">
        <f>IF('Week 15'!I13="","",'Week 15'!I13)</f>
        <v/>
      </c>
      <c r="D308">
        <f>IF('Week 15'!I13="","",IF('Week 15'!J13="",1,'Week 15'!J13))</f>
        <v/>
      </c>
      <c r="E308">
        <f>IF(OR(C308="",D308=""),"",IF(D308=1,C308,ROUND(C308*(1+D308/30),1)))</f>
        <v/>
      </c>
    </row>
    <row r="309">
      <c r="A309">
        <f>'Week 15'!B14</f>
        <v/>
      </c>
      <c r="B309">
        <f>'Week 15'!C14</f>
        <v/>
      </c>
      <c r="C309">
        <f>IF('Week 15'!I14="","",'Week 15'!I14)</f>
        <v/>
      </c>
      <c r="D309">
        <f>IF('Week 15'!I14="","",IF('Week 15'!J14="",1,'Week 15'!J14))</f>
        <v/>
      </c>
      <c r="E309">
        <f>IF(OR(C309="",D309=""),"",IF(D309=1,C309,ROUND(C309*(1+D309/30),1)))</f>
        <v/>
      </c>
    </row>
    <row r="310">
      <c r="A310">
        <f>'Week 15'!B15</f>
        <v/>
      </c>
      <c r="B310">
        <f>'Week 15'!C15</f>
        <v/>
      </c>
      <c r="C310">
        <f>IF('Week 15'!I15="","",'Week 15'!I15)</f>
        <v/>
      </c>
      <c r="D310">
        <f>IF('Week 15'!I15="","",IF('Week 15'!J15="",1,'Week 15'!J15))</f>
        <v/>
      </c>
      <c r="E310">
        <f>IF(OR(C310="",D310=""),"",IF(D310=1,C310,ROUND(C310*(1+D310/30),1)))</f>
        <v/>
      </c>
    </row>
    <row r="311">
      <c r="A311">
        <f>'Week 15'!B16</f>
        <v/>
      </c>
      <c r="B311">
        <f>'Week 15'!C16</f>
        <v/>
      </c>
      <c r="C311">
        <f>IF('Week 15'!I16="","",'Week 15'!I16)</f>
        <v/>
      </c>
      <c r="D311">
        <f>IF('Week 15'!I16="","",IF('Week 15'!J16="",1,'Week 15'!J16))</f>
        <v/>
      </c>
      <c r="E311">
        <f>IF(OR(C311="",D311=""),"",IF(D311=1,C311,ROUND(C311*(1+D311/30),1)))</f>
        <v/>
      </c>
    </row>
    <row r="312">
      <c r="A312">
        <f>'Week 15'!B17</f>
        <v/>
      </c>
      <c r="B312">
        <f>'Week 15'!C17</f>
        <v/>
      </c>
      <c r="C312">
        <f>IF('Week 15'!I17="","",'Week 15'!I17)</f>
        <v/>
      </c>
      <c r="D312">
        <f>IF('Week 15'!I17="","",IF('Week 15'!J17="",1,'Week 15'!J17))</f>
        <v/>
      </c>
      <c r="E312">
        <f>IF(OR(C312="",D312=""),"",IF(D312=1,C312,ROUND(C312*(1+D312/30),1)))</f>
        <v/>
      </c>
    </row>
    <row r="313">
      <c r="A313">
        <f>'Week 15'!B18</f>
        <v/>
      </c>
      <c r="B313">
        <f>'Week 15'!C18</f>
        <v/>
      </c>
      <c r="C313">
        <f>IF('Week 15'!I18="","",'Week 15'!I18)</f>
        <v/>
      </c>
      <c r="D313">
        <f>IF('Week 15'!I18="","",IF('Week 15'!J18="",1,'Week 15'!J18))</f>
        <v/>
      </c>
      <c r="E313">
        <f>IF(OR(C313="",D313=""),"",IF(D313=1,C313,ROUND(C313*(1+D313/30),1)))</f>
        <v/>
      </c>
    </row>
    <row r="314">
      <c r="A314">
        <f>'Week 15'!B19</f>
        <v/>
      </c>
      <c r="B314">
        <f>'Week 15'!C19</f>
        <v/>
      </c>
      <c r="C314">
        <f>IF('Week 15'!I19="","",'Week 15'!I19)</f>
        <v/>
      </c>
      <c r="D314">
        <f>IF('Week 15'!I19="","",IF('Week 15'!J19="",1,'Week 15'!J19))</f>
        <v/>
      </c>
      <c r="E314">
        <f>IF(OR(C314="",D314=""),"",IF(D314=1,C314,ROUND(C314*(1+D314/30),1)))</f>
        <v/>
      </c>
    </row>
    <row r="315">
      <c r="A315">
        <f>'Week 15'!B20</f>
        <v/>
      </c>
      <c r="B315">
        <f>'Week 15'!C20</f>
        <v/>
      </c>
      <c r="C315">
        <f>IF('Week 15'!I20="","",'Week 15'!I20)</f>
        <v/>
      </c>
      <c r="D315">
        <f>IF('Week 15'!I20="","",IF('Week 15'!J20="",1,'Week 15'!J20))</f>
        <v/>
      </c>
      <c r="E315">
        <f>IF(OR(C315="",D315=""),"",IF(D315=1,C315,ROUND(C315*(1+D315/30),1)))</f>
        <v/>
      </c>
    </row>
    <row r="316">
      <c r="A316">
        <f>'Week 15'!B21</f>
        <v/>
      </c>
      <c r="B316">
        <f>'Week 15'!C21</f>
        <v/>
      </c>
      <c r="C316">
        <f>IF('Week 15'!I21="","",'Week 15'!I21)</f>
        <v/>
      </c>
      <c r="D316">
        <f>IF('Week 15'!I21="","",IF('Week 15'!J21="",1,'Week 15'!J21))</f>
        <v/>
      </c>
      <c r="E316">
        <f>IF(OR(C316="",D316=""),"",IF(D316=1,C316,ROUND(C316*(1+D316/30),1)))</f>
        <v/>
      </c>
    </row>
    <row r="317">
      <c r="A317">
        <f>'Week 15'!B22</f>
        <v/>
      </c>
      <c r="B317">
        <f>'Week 15'!C22</f>
        <v/>
      </c>
      <c r="C317">
        <f>IF('Week 15'!I22="","",'Week 15'!I22)</f>
        <v/>
      </c>
      <c r="D317">
        <f>IF('Week 15'!I22="","",IF('Week 15'!J22="",1,'Week 15'!J22))</f>
        <v/>
      </c>
      <c r="E317">
        <f>IF(OR(C317="",D317=""),"",IF(D317=1,C317,ROUND(C317*(1+D317/30),1)))</f>
        <v/>
      </c>
    </row>
    <row r="318">
      <c r="A318">
        <f>'Week 15'!B23</f>
        <v/>
      </c>
      <c r="B318">
        <f>'Week 15'!C23</f>
        <v/>
      </c>
      <c r="C318">
        <f>IF('Week 15'!I23="","",'Week 15'!I23)</f>
        <v/>
      </c>
      <c r="D318">
        <f>IF('Week 15'!I23="","",IF('Week 15'!J23="",1,'Week 15'!J23))</f>
        <v/>
      </c>
      <c r="E318">
        <f>IF(OR(C318="",D318=""),"",IF(D318=1,C318,ROUND(C318*(1+D318/30),1)))</f>
        <v/>
      </c>
    </row>
    <row r="319">
      <c r="A319">
        <f>'Week 15'!B24</f>
        <v/>
      </c>
      <c r="B319">
        <f>'Week 15'!C24</f>
        <v/>
      </c>
      <c r="C319">
        <f>IF('Week 15'!I24="","",'Week 15'!I24)</f>
        <v/>
      </c>
      <c r="D319">
        <f>IF('Week 15'!I24="","",IF('Week 15'!J24="",1,'Week 15'!J24))</f>
        <v/>
      </c>
      <c r="E319">
        <f>IF(OR(C319="",D319=""),"",IF(D319=1,C319,ROUND(C319*(1+D319/30),1)))</f>
        <v/>
      </c>
    </row>
    <row r="320">
      <c r="A320">
        <f>'Week 15'!B25</f>
        <v/>
      </c>
      <c r="B320">
        <f>'Week 15'!C25</f>
        <v/>
      </c>
      <c r="C320">
        <f>IF('Week 15'!I25="","",'Week 15'!I25)</f>
        <v/>
      </c>
      <c r="D320">
        <f>IF('Week 15'!I25="","",IF('Week 15'!J25="",1,'Week 15'!J25))</f>
        <v/>
      </c>
      <c r="E320">
        <f>IF(OR(C320="",D320=""),"",IF(D320=1,C320,ROUND(C320*(1+D320/30),1)))</f>
        <v/>
      </c>
    </row>
    <row r="321">
      <c r="A321">
        <f>'Week 16'!B6</f>
        <v/>
      </c>
      <c r="B321">
        <f>'Week 16'!C6</f>
        <v/>
      </c>
      <c r="C321">
        <f>IF('Week 16'!I6="","",'Week 16'!I6)</f>
        <v/>
      </c>
      <c r="D321">
        <f>IF('Week 16'!I6="","",IF('Week 16'!J6="",1,'Week 16'!J6))</f>
        <v/>
      </c>
      <c r="E321">
        <f>IF(OR(C321="",D321=""),"",IF(D321=1,C321,ROUND(C321*(1+D321/30),1)))</f>
        <v/>
      </c>
    </row>
    <row r="322">
      <c r="A322">
        <f>'Week 16'!B7</f>
        <v/>
      </c>
      <c r="B322">
        <f>'Week 16'!C7</f>
        <v/>
      </c>
      <c r="C322">
        <f>IF('Week 16'!I7="","",'Week 16'!I7)</f>
        <v/>
      </c>
      <c r="D322">
        <f>IF('Week 16'!I7="","",IF('Week 16'!J7="",1,'Week 16'!J7))</f>
        <v/>
      </c>
      <c r="E322">
        <f>IF(OR(C322="",D322=""),"",IF(D322=1,C322,ROUND(C322*(1+D322/30),1)))</f>
        <v/>
      </c>
    </row>
    <row r="323">
      <c r="A323">
        <f>'Week 16'!B8</f>
        <v/>
      </c>
      <c r="B323">
        <f>'Week 16'!C8</f>
        <v/>
      </c>
      <c r="C323">
        <f>IF('Week 16'!I8="","",'Week 16'!I8)</f>
        <v/>
      </c>
      <c r="D323">
        <f>IF('Week 16'!I8="","",IF('Week 16'!J8="",1,'Week 16'!J8))</f>
        <v/>
      </c>
      <c r="E323">
        <f>IF(OR(C323="",D323=""),"",IF(D323=1,C323,ROUND(C323*(1+D323/30),1)))</f>
        <v/>
      </c>
    </row>
    <row r="324">
      <c r="A324">
        <f>'Week 16'!B9</f>
        <v/>
      </c>
      <c r="B324">
        <f>'Week 16'!C9</f>
        <v/>
      </c>
      <c r="C324">
        <f>IF('Week 16'!I9="","",'Week 16'!I9)</f>
        <v/>
      </c>
      <c r="D324">
        <f>IF('Week 16'!I9="","",IF('Week 16'!J9="",1,'Week 16'!J9))</f>
        <v/>
      </c>
      <c r="E324">
        <f>IF(OR(C324="",D324=""),"",IF(D324=1,C324,ROUND(C324*(1+D324/30),1)))</f>
        <v/>
      </c>
    </row>
    <row r="325">
      <c r="A325">
        <f>'Week 16'!B10</f>
        <v/>
      </c>
      <c r="B325">
        <f>'Week 16'!C10</f>
        <v/>
      </c>
      <c r="C325">
        <f>IF('Week 16'!I10="","",'Week 16'!I10)</f>
        <v/>
      </c>
      <c r="D325">
        <f>IF('Week 16'!I10="","",IF('Week 16'!J10="",1,'Week 16'!J10))</f>
        <v/>
      </c>
      <c r="E325">
        <f>IF(OR(C325="",D325=""),"",IF(D325=1,C325,ROUND(C325*(1+D325/30),1)))</f>
        <v/>
      </c>
    </row>
    <row r="326">
      <c r="A326">
        <f>'Week 16'!B11</f>
        <v/>
      </c>
      <c r="B326">
        <f>'Week 16'!C11</f>
        <v/>
      </c>
      <c r="C326">
        <f>IF('Week 16'!I11="","",'Week 16'!I11)</f>
        <v/>
      </c>
      <c r="D326">
        <f>IF('Week 16'!I11="","",IF('Week 16'!J11="",1,'Week 16'!J11))</f>
        <v/>
      </c>
      <c r="E326">
        <f>IF(OR(C326="",D326=""),"",IF(D326=1,C326,ROUND(C326*(1+D326/30),1)))</f>
        <v/>
      </c>
    </row>
    <row r="327">
      <c r="A327">
        <f>'Week 16'!B12</f>
        <v/>
      </c>
      <c r="B327">
        <f>'Week 16'!C12</f>
        <v/>
      </c>
      <c r="C327">
        <f>IF('Week 16'!I12="","",'Week 16'!I12)</f>
        <v/>
      </c>
      <c r="D327">
        <f>IF('Week 16'!I12="","",IF('Week 16'!J12="",1,'Week 16'!J12))</f>
        <v/>
      </c>
      <c r="E327">
        <f>IF(OR(C327="",D327=""),"",IF(D327=1,C327,ROUND(C327*(1+D327/30),1)))</f>
        <v/>
      </c>
    </row>
    <row r="328">
      <c r="A328">
        <f>'Week 16'!B13</f>
        <v/>
      </c>
      <c r="B328">
        <f>'Week 16'!C13</f>
        <v/>
      </c>
      <c r="C328">
        <f>IF('Week 16'!I13="","",'Week 16'!I13)</f>
        <v/>
      </c>
      <c r="D328">
        <f>IF('Week 16'!I13="","",IF('Week 16'!J13="",1,'Week 16'!J13))</f>
        <v/>
      </c>
      <c r="E328">
        <f>IF(OR(C328="",D328=""),"",IF(D328=1,C328,ROUND(C328*(1+D328/30),1)))</f>
        <v/>
      </c>
    </row>
    <row r="329">
      <c r="A329">
        <f>'Week 16'!B14</f>
        <v/>
      </c>
      <c r="B329">
        <f>'Week 16'!C14</f>
        <v/>
      </c>
      <c r="C329">
        <f>IF('Week 16'!I14="","",'Week 16'!I14)</f>
        <v/>
      </c>
      <c r="D329">
        <f>IF('Week 16'!I14="","",IF('Week 16'!J14="",1,'Week 16'!J14))</f>
        <v/>
      </c>
      <c r="E329">
        <f>IF(OR(C329="",D329=""),"",IF(D329=1,C329,ROUND(C329*(1+D329/30),1)))</f>
        <v/>
      </c>
    </row>
    <row r="330">
      <c r="A330">
        <f>'Week 16'!B15</f>
        <v/>
      </c>
      <c r="B330">
        <f>'Week 16'!C15</f>
        <v/>
      </c>
      <c r="C330">
        <f>IF('Week 16'!I15="","",'Week 16'!I15)</f>
        <v/>
      </c>
      <c r="D330">
        <f>IF('Week 16'!I15="","",IF('Week 16'!J15="",1,'Week 16'!J15))</f>
        <v/>
      </c>
      <c r="E330">
        <f>IF(OR(C330="",D330=""),"",IF(D330=1,C330,ROUND(C330*(1+D330/30),1)))</f>
        <v/>
      </c>
    </row>
    <row r="331">
      <c r="A331">
        <f>'Week 16'!B16</f>
        <v/>
      </c>
      <c r="B331">
        <f>'Week 16'!C16</f>
        <v/>
      </c>
      <c r="C331">
        <f>IF('Week 16'!I16="","",'Week 16'!I16)</f>
        <v/>
      </c>
      <c r="D331">
        <f>IF('Week 16'!I16="","",IF('Week 16'!J16="",1,'Week 16'!J16))</f>
        <v/>
      </c>
      <c r="E331">
        <f>IF(OR(C331="",D331=""),"",IF(D331=1,C331,ROUND(C331*(1+D331/30),1)))</f>
        <v/>
      </c>
    </row>
    <row r="332">
      <c r="A332">
        <f>'Week 16'!B17</f>
        <v/>
      </c>
      <c r="B332">
        <f>'Week 16'!C17</f>
        <v/>
      </c>
      <c r="C332">
        <f>IF('Week 16'!I17="","",'Week 16'!I17)</f>
        <v/>
      </c>
      <c r="D332">
        <f>IF('Week 16'!I17="","",IF('Week 16'!J17="",1,'Week 16'!J17))</f>
        <v/>
      </c>
      <c r="E332">
        <f>IF(OR(C332="",D332=""),"",IF(D332=1,C332,ROUND(C332*(1+D332/30),1)))</f>
        <v/>
      </c>
    </row>
    <row r="333">
      <c r="A333">
        <f>'Week 16'!B18</f>
        <v/>
      </c>
      <c r="B333">
        <f>'Week 16'!C18</f>
        <v/>
      </c>
      <c r="C333">
        <f>IF('Week 16'!I18="","",'Week 16'!I18)</f>
        <v/>
      </c>
      <c r="D333">
        <f>IF('Week 16'!I18="","",IF('Week 16'!J18="",1,'Week 16'!J18))</f>
        <v/>
      </c>
      <c r="E333">
        <f>IF(OR(C333="",D333=""),"",IF(D333=1,C333,ROUND(C333*(1+D333/30),1)))</f>
        <v/>
      </c>
    </row>
    <row r="334">
      <c r="A334">
        <f>'Week 16'!B19</f>
        <v/>
      </c>
      <c r="B334">
        <f>'Week 16'!C19</f>
        <v/>
      </c>
      <c r="C334">
        <f>IF('Week 16'!I19="","",'Week 16'!I19)</f>
        <v/>
      </c>
      <c r="D334">
        <f>IF('Week 16'!I19="","",IF('Week 16'!J19="",1,'Week 16'!J19))</f>
        <v/>
      </c>
      <c r="E334">
        <f>IF(OR(C334="",D334=""),"",IF(D334=1,C334,ROUND(C334*(1+D334/30),1)))</f>
        <v/>
      </c>
    </row>
    <row r="335">
      <c r="A335">
        <f>'Week 16'!B20</f>
        <v/>
      </c>
      <c r="B335">
        <f>'Week 16'!C20</f>
        <v/>
      </c>
      <c r="C335">
        <f>IF('Week 16'!I20="","",'Week 16'!I20)</f>
        <v/>
      </c>
      <c r="D335">
        <f>IF('Week 16'!I20="","",IF('Week 16'!J20="",1,'Week 16'!J20))</f>
        <v/>
      </c>
      <c r="E335">
        <f>IF(OR(C335="",D335=""),"",IF(D335=1,C335,ROUND(C335*(1+D335/30),1)))</f>
        <v/>
      </c>
    </row>
    <row r="336">
      <c r="A336">
        <f>'Week 16'!B21</f>
        <v/>
      </c>
      <c r="B336">
        <f>'Week 16'!C21</f>
        <v/>
      </c>
      <c r="C336">
        <f>IF('Week 16'!I21="","",'Week 16'!I21)</f>
        <v/>
      </c>
      <c r="D336">
        <f>IF('Week 16'!I21="","",IF('Week 16'!J21="",1,'Week 16'!J21))</f>
        <v/>
      </c>
      <c r="E336">
        <f>IF(OR(C336="",D336=""),"",IF(D336=1,C336,ROUND(C336*(1+D336/30),1)))</f>
        <v/>
      </c>
    </row>
    <row r="337">
      <c r="A337">
        <f>'Week 16'!B22</f>
        <v/>
      </c>
      <c r="B337">
        <f>'Week 16'!C22</f>
        <v/>
      </c>
      <c r="C337">
        <f>IF('Week 16'!I22="","",'Week 16'!I22)</f>
        <v/>
      </c>
      <c r="D337">
        <f>IF('Week 16'!I22="","",IF('Week 16'!J22="",1,'Week 16'!J22))</f>
        <v/>
      </c>
      <c r="E337">
        <f>IF(OR(C337="",D337=""),"",IF(D337=1,C337,ROUND(C337*(1+D337/30),1)))</f>
        <v/>
      </c>
    </row>
    <row r="338">
      <c r="A338">
        <f>'Week 16'!B23</f>
        <v/>
      </c>
      <c r="B338">
        <f>'Week 16'!C23</f>
        <v/>
      </c>
      <c r="C338">
        <f>IF('Week 16'!I23="","",'Week 16'!I23)</f>
        <v/>
      </c>
      <c r="D338">
        <f>IF('Week 16'!I23="","",IF('Week 16'!J23="",1,'Week 16'!J23))</f>
        <v/>
      </c>
      <c r="E338">
        <f>IF(OR(C338="",D338=""),"",IF(D338=1,C338,ROUND(C338*(1+D338/30),1)))</f>
        <v/>
      </c>
    </row>
    <row r="339">
      <c r="A339">
        <f>'Week 16'!B24</f>
        <v/>
      </c>
      <c r="B339">
        <f>'Week 16'!C24</f>
        <v/>
      </c>
      <c r="C339">
        <f>IF('Week 16'!I24="","",'Week 16'!I24)</f>
        <v/>
      </c>
      <c r="D339">
        <f>IF('Week 16'!I24="","",IF('Week 16'!J24="",1,'Week 16'!J24))</f>
        <v/>
      </c>
      <c r="E339">
        <f>IF(OR(C339="",D339=""),"",IF(D339=1,C339,ROUND(C339*(1+D339/30),1)))</f>
        <v/>
      </c>
    </row>
    <row r="340">
      <c r="A340">
        <f>'Week 16'!B25</f>
        <v/>
      </c>
      <c r="B340">
        <f>'Week 16'!C25</f>
        <v/>
      </c>
      <c r="C340">
        <f>IF('Week 16'!I25="","",'Week 16'!I25)</f>
        <v/>
      </c>
      <c r="D340">
        <f>IF('Week 16'!I25="","",IF('Week 16'!J25="",1,'Week 16'!J25))</f>
        <v/>
      </c>
      <c r="E340">
        <f>IF(OR(C340="",D340=""),"",IF(D340=1,C340,ROUND(C340*(1+D340/30),1)))</f>
        <v/>
      </c>
    </row>
    <row r="341">
      <c r="A341">
        <f>'Week 17'!B6</f>
        <v/>
      </c>
      <c r="B341">
        <f>'Week 17'!C6</f>
        <v/>
      </c>
      <c r="C341">
        <f>IF('Week 17'!I6="","",'Week 17'!I6)</f>
        <v/>
      </c>
      <c r="D341">
        <f>IF('Week 17'!I6="","",IF('Week 17'!J6="",1,'Week 17'!J6))</f>
        <v/>
      </c>
      <c r="E341">
        <f>IF(OR(C341="",D341=""),"",IF(D341=1,C341,ROUND(C341*(1+D341/30),1)))</f>
        <v/>
      </c>
    </row>
    <row r="342">
      <c r="A342">
        <f>'Week 17'!B7</f>
        <v/>
      </c>
      <c r="B342">
        <f>'Week 17'!C7</f>
        <v/>
      </c>
      <c r="C342">
        <f>IF('Week 17'!I7="","",'Week 17'!I7)</f>
        <v/>
      </c>
      <c r="D342">
        <f>IF('Week 17'!I7="","",IF('Week 17'!J7="",1,'Week 17'!J7))</f>
        <v/>
      </c>
      <c r="E342">
        <f>IF(OR(C342="",D342=""),"",IF(D342=1,C342,ROUND(C342*(1+D342/30),1)))</f>
        <v/>
      </c>
    </row>
    <row r="343">
      <c r="A343">
        <f>'Week 17'!B8</f>
        <v/>
      </c>
      <c r="B343">
        <f>'Week 17'!C8</f>
        <v/>
      </c>
      <c r="C343">
        <f>IF('Week 17'!I8="","",'Week 17'!I8)</f>
        <v/>
      </c>
      <c r="D343">
        <f>IF('Week 17'!I8="","",IF('Week 17'!J8="",1,'Week 17'!J8))</f>
        <v/>
      </c>
      <c r="E343">
        <f>IF(OR(C343="",D343=""),"",IF(D343=1,C343,ROUND(C343*(1+D343/30),1)))</f>
        <v/>
      </c>
    </row>
    <row r="344">
      <c r="A344">
        <f>'Week 17'!B9</f>
        <v/>
      </c>
      <c r="B344">
        <f>'Week 17'!C9</f>
        <v/>
      </c>
      <c r="C344">
        <f>IF('Week 17'!I9="","",'Week 17'!I9)</f>
        <v/>
      </c>
      <c r="D344">
        <f>IF('Week 17'!I9="","",IF('Week 17'!J9="",1,'Week 17'!J9))</f>
        <v/>
      </c>
      <c r="E344">
        <f>IF(OR(C344="",D344=""),"",IF(D344=1,C344,ROUND(C344*(1+D344/30),1)))</f>
        <v/>
      </c>
    </row>
    <row r="345">
      <c r="A345">
        <f>'Week 17'!B10</f>
        <v/>
      </c>
      <c r="B345">
        <f>'Week 17'!C10</f>
        <v/>
      </c>
      <c r="C345">
        <f>IF('Week 17'!I10="","",'Week 17'!I10)</f>
        <v/>
      </c>
      <c r="D345">
        <f>IF('Week 17'!I10="","",IF('Week 17'!J10="",1,'Week 17'!J10))</f>
        <v/>
      </c>
      <c r="E345">
        <f>IF(OR(C345="",D345=""),"",IF(D345=1,C345,ROUND(C345*(1+D345/30),1)))</f>
        <v/>
      </c>
    </row>
    <row r="346">
      <c r="A346">
        <f>'Week 17'!B11</f>
        <v/>
      </c>
      <c r="B346">
        <f>'Week 17'!C11</f>
        <v/>
      </c>
      <c r="C346">
        <f>IF('Week 17'!I11="","",'Week 17'!I11)</f>
        <v/>
      </c>
      <c r="D346">
        <f>IF('Week 17'!I11="","",IF('Week 17'!J11="",1,'Week 17'!J11))</f>
        <v/>
      </c>
      <c r="E346">
        <f>IF(OR(C346="",D346=""),"",IF(D346=1,C346,ROUND(C346*(1+D346/30),1)))</f>
        <v/>
      </c>
    </row>
    <row r="347">
      <c r="A347">
        <f>'Week 17'!B12</f>
        <v/>
      </c>
      <c r="B347">
        <f>'Week 17'!C12</f>
        <v/>
      </c>
      <c r="C347">
        <f>IF('Week 17'!I12="","",'Week 17'!I12)</f>
        <v/>
      </c>
      <c r="D347">
        <f>IF('Week 17'!I12="","",IF('Week 17'!J12="",1,'Week 17'!J12))</f>
        <v/>
      </c>
      <c r="E347">
        <f>IF(OR(C347="",D347=""),"",IF(D347=1,C347,ROUND(C347*(1+D347/30),1)))</f>
        <v/>
      </c>
    </row>
    <row r="348">
      <c r="A348">
        <f>'Week 17'!B13</f>
        <v/>
      </c>
      <c r="B348">
        <f>'Week 17'!C13</f>
        <v/>
      </c>
      <c r="C348">
        <f>IF('Week 17'!I13="","",'Week 17'!I13)</f>
        <v/>
      </c>
      <c r="D348">
        <f>IF('Week 17'!I13="","",IF('Week 17'!J13="",1,'Week 17'!J13))</f>
        <v/>
      </c>
      <c r="E348">
        <f>IF(OR(C348="",D348=""),"",IF(D348=1,C348,ROUND(C348*(1+D348/30),1)))</f>
        <v/>
      </c>
    </row>
    <row r="349">
      <c r="A349">
        <f>'Week 17'!B14</f>
        <v/>
      </c>
      <c r="B349">
        <f>'Week 17'!C14</f>
        <v/>
      </c>
      <c r="C349">
        <f>IF('Week 17'!I14="","",'Week 17'!I14)</f>
        <v/>
      </c>
      <c r="D349">
        <f>IF('Week 17'!I14="","",IF('Week 17'!J14="",1,'Week 17'!J14))</f>
        <v/>
      </c>
      <c r="E349">
        <f>IF(OR(C349="",D349=""),"",IF(D349=1,C349,ROUND(C349*(1+D349/30),1)))</f>
        <v/>
      </c>
    </row>
    <row r="350">
      <c r="A350">
        <f>'Week 17'!B15</f>
        <v/>
      </c>
      <c r="B350">
        <f>'Week 17'!C15</f>
        <v/>
      </c>
      <c r="C350">
        <f>IF('Week 17'!I15="","",'Week 17'!I15)</f>
        <v/>
      </c>
      <c r="D350">
        <f>IF('Week 17'!I15="","",IF('Week 17'!J15="",1,'Week 17'!J15))</f>
        <v/>
      </c>
      <c r="E350">
        <f>IF(OR(C350="",D350=""),"",IF(D350=1,C350,ROUND(C350*(1+D350/30),1)))</f>
        <v/>
      </c>
    </row>
    <row r="351">
      <c r="A351">
        <f>'Week 17'!B16</f>
        <v/>
      </c>
      <c r="B351">
        <f>'Week 17'!C16</f>
        <v/>
      </c>
      <c r="C351">
        <f>IF('Week 17'!I16="","",'Week 17'!I16)</f>
        <v/>
      </c>
      <c r="D351">
        <f>IF('Week 17'!I16="","",IF('Week 17'!J16="",1,'Week 17'!J16))</f>
        <v/>
      </c>
      <c r="E351">
        <f>IF(OR(C351="",D351=""),"",IF(D351=1,C351,ROUND(C351*(1+D351/30),1)))</f>
        <v/>
      </c>
    </row>
    <row r="352">
      <c r="A352">
        <f>'Week 17'!B17</f>
        <v/>
      </c>
      <c r="B352">
        <f>'Week 17'!C17</f>
        <v/>
      </c>
      <c r="C352">
        <f>IF('Week 17'!I17="","",'Week 17'!I17)</f>
        <v/>
      </c>
      <c r="D352">
        <f>IF('Week 17'!I17="","",IF('Week 17'!J17="",1,'Week 17'!J17))</f>
        <v/>
      </c>
      <c r="E352">
        <f>IF(OR(C352="",D352=""),"",IF(D352=1,C352,ROUND(C352*(1+D352/30),1)))</f>
        <v/>
      </c>
    </row>
    <row r="353">
      <c r="A353">
        <f>'Week 17'!B18</f>
        <v/>
      </c>
      <c r="B353">
        <f>'Week 17'!C18</f>
        <v/>
      </c>
      <c r="C353">
        <f>IF('Week 17'!I18="","",'Week 17'!I18)</f>
        <v/>
      </c>
      <c r="D353">
        <f>IF('Week 17'!I18="","",IF('Week 17'!J18="",1,'Week 17'!J18))</f>
        <v/>
      </c>
      <c r="E353">
        <f>IF(OR(C353="",D353=""),"",IF(D353=1,C353,ROUND(C353*(1+D353/30),1)))</f>
        <v/>
      </c>
    </row>
    <row r="354">
      <c r="A354">
        <f>'Week 17'!B19</f>
        <v/>
      </c>
      <c r="B354">
        <f>'Week 17'!C19</f>
        <v/>
      </c>
      <c r="C354">
        <f>IF('Week 17'!I19="","",'Week 17'!I19)</f>
        <v/>
      </c>
      <c r="D354">
        <f>IF('Week 17'!I19="","",IF('Week 17'!J19="",1,'Week 17'!J19))</f>
        <v/>
      </c>
      <c r="E354">
        <f>IF(OR(C354="",D354=""),"",IF(D354=1,C354,ROUND(C354*(1+D354/30),1)))</f>
        <v/>
      </c>
    </row>
    <row r="355">
      <c r="A355">
        <f>'Week 17'!B20</f>
        <v/>
      </c>
      <c r="B355">
        <f>'Week 17'!C20</f>
        <v/>
      </c>
      <c r="C355">
        <f>IF('Week 17'!I20="","",'Week 17'!I20)</f>
        <v/>
      </c>
      <c r="D355">
        <f>IF('Week 17'!I20="","",IF('Week 17'!J20="",1,'Week 17'!J20))</f>
        <v/>
      </c>
      <c r="E355">
        <f>IF(OR(C355="",D355=""),"",IF(D355=1,C355,ROUND(C355*(1+D355/30),1)))</f>
        <v/>
      </c>
    </row>
    <row r="356">
      <c r="A356">
        <f>'Week 17'!B21</f>
        <v/>
      </c>
      <c r="B356">
        <f>'Week 17'!C21</f>
        <v/>
      </c>
      <c r="C356">
        <f>IF('Week 17'!I21="","",'Week 17'!I21)</f>
        <v/>
      </c>
      <c r="D356">
        <f>IF('Week 17'!I21="","",IF('Week 17'!J21="",1,'Week 17'!J21))</f>
        <v/>
      </c>
      <c r="E356">
        <f>IF(OR(C356="",D356=""),"",IF(D356=1,C356,ROUND(C356*(1+D356/30),1)))</f>
        <v/>
      </c>
    </row>
    <row r="357">
      <c r="A357">
        <f>'Week 17'!B22</f>
        <v/>
      </c>
      <c r="B357">
        <f>'Week 17'!C22</f>
        <v/>
      </c>
      <c r="C357">
        <f>IF('Week 17'!I22="","",'Week 17'!I22)</f>
        <v/>
      </c>
      <c r="D357">
        <f>IF('Week 17'!I22="","",IF('Week 17'!J22="",1,'Week 17'!J22))</f>
        <v/>
      </c>
      <c r="E357">
        <f>IF(OR(C357="",D357=""),"",IF(D357=1,C357,ROUND(C357*(1+D357/30),1)))</f>
        <v/>
      </c>
    </row>
    <row r="358">
      <c r="A358">
        <f>'Week 17'!B23</f>
        <v/>
      </c>
      <c r="B358">
        <f>'Week 17'!C23</f>
        <v/>
      </c>
      <c r="C358">
        <f>IF('Week 17'!I23="","",'Week 17'!I23)</f>
        <v/>
      </c>
      <c r="D358">
        <f>IF('Week 17'!I23="","",IF('Week 17'!J23="",1,'Week 17'!J23))</f>
        <v/>
      </c>
      <c r="E358">
        <f>IF(OR(C358="",D358=""),"",IF(D358=1,C358,ROUND(C358*(1+D358/30),1)))</f>
        <v/>
      </c>
    </row>
    <row r="359">
      <c r="A359">
        <f>'Week 17'!B24</f>
        <v/>
      </c>
      <c r="B359">
        <f>'Week 17'!C24</f>
        <v/>
      </c>
      <c r="C359">
        <f>IF('Week 17'!I24="","",'Week 17'!I24)</f>
        <v/>
      </c>
      <c r="D359">
        <f>IF('Week 17'!I24="","",IF('Week 17'!J24="",1,'Week 17'!J24))</f>
        <v/>
      </c>
      <c r="E359">
        <f>IF(OR(C359="",D359=""),"",IF(D359=1,C359,ROUND(C359*(1+D359/30),1)))</f>
        <v/>
      </c>
    </row>
    <row r="360">
      <c r="A360">
        <f>'Week 17'!B25</f>
        <v/>
      </c>
      <c r="B360">
        <f>'Week 17'!C25</f>
        <v/>
      </c>
      <c r="C360">
        <f>IF('Week 17'!I25="","",'Week 17'!I25)</f>
        <v/>
      </c>
      <c r="D360">
        <f>IF('Week 17'!I25="","",IF('Week 17'!J25="",1,'Week 17'!J25))</f>
        <v/>
      </c>
      <c r="E360">
        <f>IF(OR(C360="",D360=""),"",IF(D360=1,C360,ROUND(C360*(1+D360/30),1)))</f>
        <v/>
      </c>
    </row>
    <row r="361">
      <c r="A361">
        <f>'Week 18'!B6</f>
        <v/>
      </c>
      <c r="B361">
        <f>'Week 18'!C6</f>
        <v/>
      </c>
      <c r="C361">
        <f>IF('Week 18'!I6="","",'Week 18'!I6)</f>
        <v/>
      </c>
      <c r="D361">
        <f>IF('Week 18'!I6="","",IF('Week 18'!J6="",1,'Week 18'!J6))</f>
        <v/>
      </c>
      <c r="E361">
        <f>IF(OR(C361="",D361=""),"",IF(D361=1,C361,ROUND(C361*(1+D361/30),1)))</f>
        <v/>
      </c>
    </row>
    <row r="362">
      <c r="A362">
        <f>'Week 18'!B7</f>
        <v/>
      </c>
      <c r="B362">
        <f>'Week 18'!C7</f>
        <v/>
      </c>
      <c r="C362">
        <f>IF('Week 18'!I7="","",'Week 18'!I7)</f>
        <v/>
      </c>
      <c r="D362">
        <f>IF('Week 18'!I7="","",IF('Week 18'!J7="",1,'Week 18'!J7))</f>
        <v/>
      </c>
      <c r="E362">
        <f>IF(OR(C362="",D362=""),"",IF(D362=1,C362,ROUND(C362*(1+D362/30),1)))</f>
        <v/>
      </c>
    </row>
    <row r="363">
      <c r="A363">
        <f>'Week 18'!B8</f>
        <v/>
      </c>
      <c r="B363">
        <f>'Week 18'!C8</f>
        <v/>
      </c>
      <c r="C363">
        <f>IF('Week 18'!I8="","",'Week 18'!I8)</f>
        <v/>
      </c>
      <c r="D363">
        <f>IF('Week 18'!I8="","",IF('Week 18'!J8="",1,'Week 18'!J8))</f>
        <v/>
      </c>
      <c r="E363">
        <f>IF(OR(C363="",D363=""),"",IF(D363=1,C363,ROUND(C363*(1+D363/30),1)))</f>
        <v/>
      </c>
    </row>
    <row r="364">
      <c r="A364">
        <f>'Week 18'!B9</f>
        <v/>
      </c>
      <c r="B364">
        <f>'Week 18'!C9</f>
        <v/>
      </c>
      <c r="C364">
        <f>IF('Week 18'!I9="","",'Week 18'!I9)</f>
        <v/>
      </c>
      <c r="D364">
        <f>IF('Week 18'!I9="","",IF('Week 18'!J9="",1,'Week 18'!J9))</f>
        <v/>
      </c>
      <c r="E364">
        <f>IF(OR(C364="",D364=""),"",IF(D364=1,C364,ROUND(C364*(1+D364/30),1)))</f>
        <v/>
      </c>
    </row>
    <row r="365">
      <c r="A365">
        <f>'Week 18'!B10</f>
        <v/>
      </c>
      <c r="B365">
        <f>'Week 18'!C10</f>
        <v/>
      </c>
      <c r="C365">
        <f>IF('Week 18'!I10="","",'Week 18'!I10)</f>
        <v/>
      </c>
      <c r="D365">
        <f>IF('Week 18'!I10="","",IF('Week 18'!J10="",1,'Week 18'!J10))</f>
        <v/>
      </c>
      <c r="E365">
        <f>IF(OR(C365="",D365=""),"",IF(D365=1,C365,ROUND(C365*(1+D365/30),1)))</f>
        <v/>
      </c>
    </row>
    <row r="366">
      <c r="A366">
        <f>'Week 18'!B11</f>
        <v/>
      </c>
      <c r="B366">
        <f>'Week 18'!C11</f>
        <v/>
      </c>
      <c r="C366">
        <f>IF('Week 18'!I11="","",'Week 18'!I11)</f>
        <v/>
      </c>
      <c r="D366">
        <f>IF('Week 18'!I11="","",IF('Week 18'!J11="",1,'Week 18'!J11))</f>
        <v/>
      </c>
      <c r="E366">
        <f>IF(OR(C366="",D366=""),"",IF(D366=1,C366,ROUND(C366*(1+D366/30),1)))</f>
        <v/>
      </c>
    </row>
    <row r="367">
      <c r="A367">
        <f>'Week 18'!B12</f>
        <v/>
      </c>
      <c r="B367">
        <f>'Week 18'!C12</f>
        <v/>
      </c>
      <c r="C367">
        <f>IF('Week 18'!I12="","",'Week 18'!I12)</f>
        <v/>
      </c>
      <c r="D367">
        <f>IF('Week 18'!I12="","",IF('Week 18'!J12="",1,'Week 18'!J12))</f>
        <v/>
      </c>
      <c r="E367">
        <f>IF(OR(C367="",D367=""),"",IF(D367=1,C367,ROUND(C367*(1+D367/30),1)))</f>
        <v/>
      </c>
    </row>
    <row r="368">
      <c r="A368">
        <f>'Week 18'!B13</f>
        <v/>
      </c>
      <c r="B368">
        <f>'Week 18'!C13</f>
        <v/>
      </c>
      <c r="C368">
        <f>IF('Week 18'!I13="","",'Week 18'!I13)</f>
        <v/>
      </c>
      <c r="D368">
        <f>IF('Week 18'!I13="","",IF('Week 18'!J13="",1,'Week 18'!J13))</f>
        <v/>
      </c>
      <c r="E368">
        <f>IF(OR(C368="",D368=""),"",IF(D368=1,C368,ROUND(C368*(1+D368/30),1)))</f>
        <v/>
      </c>
    </row>
    <row r="369">
      <c r="A369">
        <f>'Week 18'!B14</f>
        <v/>
      </c>
      <c r="B369">
        <f>'Week 18'!C14</f>
        <v/>
      </c>
      <c r="C369">
        <f>IF('Week 18'!I14="","",'Week 18'!I14)</f>
        <v/>
      </c>
      <c r="D369">
        <f>IF('Week 18'!I14="","",IF('Week 18'!J14="",1,'Week 18'!J14))</f>
        <v/>
      </c>
      <c r="E369">
        <f>IF(OR(C369="",D369=""),"",IF(D369=1,C369,ROUND(C369*(1+D369/30),1)))</f>
        <v/>
      </c>
    </row>
    <row r="370">
      <c r="A370">
        <f>'Week 18'!B15</f>
        <v/>
      </c>
      <c r="B370">
        <f>'Week 18'!C15</f>
        <v/>
      </c>
      <c r="C370">
        <f>IF('Week 18'!I15="","",'Week 18'!I15)</f>
        <v/>
      </c>
      <c r="D370">
        <f>IF('Week 18'!I15="","",IF('Week 18'!J15="",1,'Week 18'!J15))</f>
        <v/>
      </c>
      <c r="E370">
        <f>IF(OR(C370="",D370=""),"",IF(D370=1,C370,ROUND(C370*(1+D370/30),1)))</f>
        <v/>
      </c>
    </row>
    <row r="371">
      <c r="A371">
        <f>'Week 18'!B16</f>
        <v/>
      </c>
      <c r="B371">
        <f>'Week 18'!C16</f>
        <v/>
      </c>
      <c r="C371">
        <f>IF('Week 18'!I16="","",'Week 18'!I16)</f>
        <v/>
      </c>
      <c r="D371">
        <f>IF('Week 18'!I16="","",IF('Week 18'!J16="",1,'Week 18'!J16))</f>
        <v/>
      </c>
      <c r="E371">
        <f>IF(OR(C371="",D371=""),"",IF(D371=1,C371,ROUND(C371*(1+D371/30),1)))</f>
        <v/>
      </c>
    </row>
    <row r="372">
      <c r="A372">
        <f>'Week 18'!B17</f>
        <v/>
      </c>
      <c r="B372">
        <f>'Week 18'!C17</f>
        <v/>
      </c>
      <c r="C372">
        <f>IF('Week 18'!I17="","",'Week 18'!I17)</f>
        <v/>
      </c>
      <c r="D372">
        <f>IF('Week 18'!I17="","",IF('Week 18'!J17="",1,'Week 18'!J17))</f>
        <v/>
      </c>
      <c r="E372">
        <f>IF(OR(C372="",D372=""),"",IF(D372=1,C372,ROUND(C372*(1+D372/30),1)))</f>
        <v/>
      </c>
    </row>
    <row r="373">
      <c r="A373">
        <f>'Week 18'!B18</f>
        <v/>
      </c>
      <c r="B373">
        <f>'Week 18'!C18</f>
        <v/>
      </c>
      <c r="C373">
        <f>IF('Week 18'!I18="","",'Week 18'!I18)</f>
        <v/>
      </c>
      <c r="D373">
        <f>IF('Week 18'!I18="","",IF('Week 18'!J18="",1,'Week 18'!J18))</f>
        <v/>
      </c>
      <c r="E373">
        <f>IF(OR(C373="",D373=""),"",IF(D373=1,C373,ROUND(C373*(1+D373/30),1)))</f>
        <v/>
      </c>
    </row>
    <row r="374">
      <c r="A374">
        <f>'Week 18'!B19</f>
        <v/>
      </c>
      <c r="B374">
        <f>'Week 18'!C19</f>
        <v/>
      </c>
      <c r="C374">
        <f>IF('Week 18'!I19="","",'Week 18'!I19)</f>
        <v/>
      </c>
      <c r="D374">
        <f>IF('Week 18'!I19="","",IF('Week 18'!J19="",1,'Week 18'!J19))</f>
        <v/>
      </c>
      <c r="E374">
        <f>IF(OR(C374="",D374=""),"",IF(D374=1,C374,ROUND(C374*(1+D374/30),1)))</f>
        <v/>
      </c>
    </row>
    <row r="375">
      <c r="A375">
        <f>'Week 18'!B20</f>
        <v/>
      </c>
      <c r="B375">
        <f>'Week 18'!C20</f>
        <v/>
      </c>
      <c r="C375">
        <f>IF('Week 18'!I20="","",'Week 18'!I20)</f>
        <v/>
      </c>
      <c r="D375">
        <f>IF('Week 18'!I20="","",IF('Week 18'!J20="",1,'Week 18'!J20))</f>
        <v/>
      </c>
      <c r="E375">
        <f>IF(OR(C375="",D375=""),"",IF(D375=1,C375,ROUND(C375*(1+D375/30),1)))</f>
        <v/>
      </c>
    </row>
    <row r="376">
      <c r="A376">
        <f>'Week 18'!B21</f>
        <v/>
      </c>
      <c r="B376">
        <f>'Week 18'!C21</f>
        <v/>
      </c>
      <c r="C376">
        <f>IF('Week 18'!I21="","",'Week 18'!I21)</f>
        <v/>
      </c>
      <c r="D376">
        <f>IF('Week 18'!I21="","",IF('Week 18'!J21="",1,'Week 18'!J21))</f>
        <v/>
      </c>
      <c r="E376">
        <f>IF(OR(C376="",D376=""),"",IF(D376=1,C376,ROUND(C376*(1+D376/30),1)))</f>
        <v/>
      </c>
    </row>
    <row r="377">
      <c r="A377">
        <f>'Week 18'!B22</f>
        <v/>
      </c>
      <c r="B377">
        <f>'Week 18'!C22</f>
        <v/>
      </c>
      <c r="C377">
        <f>IF('Week 18'!I22="","",'Week 18'!I22)</f>
        <v/>
      </c>
      <c r="D377">
        <f>IF('Week 18'!I22="","",IF('Week 18'!J22="",1,'Week 18'!J22))</f>
        <v/>
      </c>
      <c r="E377">
        <f>IF(OR(C377="",D377=""),"",IF(D377=1,C377,ROUND(C377*(1+D377/30),1)))</f>
        <v/>
      </c>
    </row>
    <row r="378">
      <c r="A378">
        <f>'Week 18'!B23</f>
        <v/>
      </c>
      <c r="B378">
        <f>'Week 18'!C23</f>
        <v/>
      </c>
      <c r="C378">
        <f>IF('Week 18'!I23="","",'Week 18'!I23)</f>
        <v/>
      </c>
      <c r="D378">
        <f>IF('Week 18'!I23="","",IF('Week 18'!J23="",1,'Week 18'!J23))</f>
        <v/>
      </c>
      <c r="E378">
        <f>IF(OR(C378="",D378=""),"",IF(D378=1,C378,ROUND(C378*(1+D378/30),1)))</f>
        <v/>
      </c>
    </row>
    <row r="379">
      <c r="A379">
        <f>'Week 18'!B24</f>
        <v/>
      </c>
      <c r="B379">
        <f>'Week 18'!C24</f>
        <v/>
      </c>
      <c r="C379">
        <f>IF('Week 18'!I24="","",'Week 18'!I24)</f>
        <v/>
      </c>
      <c r="D379">
        <f>IF('Week 18'!I24="","",IF('Week 18'!J24="",1,'Week 18'!J24))</f>
        <v/>
      </c>
      <c r="E379">
        <f>IF(OR(C379="",D379=""),"",IF(D379=1,C379,ROUND(C379*(1+D379/30),1)))</f>
        <v/>
      </c>
    </row>
    <row r="380">
      <c r="A380">
        <f>'Week 18'!B25</f>
        <v/>
      </c>
      <c r="B380">
        <f>'Week 18'!C25</f>
        <v/>
      </c>
      <c r="C380">
        <f>IF('Week 18'!I25="","",'Week 18'!I25)</f>
        <v/>
      </c>
      <c r="D380">
        <f>IF('Week 18'!I25="","",IF('Week 18'!J25="",1,'Week 18'!J25))</f>
        <v/>
      </c>
      <c r="E380">
        <f>IF(OR(C380="",D380=""),"",IF(D380=1,C380,ROUND(C380*(1+D380/30),1)))</f>
        <v/>
      </c>
    </row>
    <row r="381">
      <c r="A381">
        <f>'Week 19'!B6</f>
        <v/>
      </c>
      <c r="B381">
        <f>'Week 19'!C6</f>
        <v/>
      </c>
      <c r="C381">
        <f>IF('Week 19'!I6="","",'Week 19'!I6)</f>
        <v/>
      </c>
      <c r="D381">
        <f>IF('Week 19'!I6="","",IF('Week 19'!J6="",1,'Week 19'!J6))</f>
        <v/>
      </c>
      <c r="E381">
        <f>IF(OR(C381="",D381=""),"",IF(D381=1,C381,ROUND(C381*(1+D381/30),1)))</f>
        <v/>
      </c>
    </row>
    <row r="382">
      <c r="A382">
        <f>'Week 19'!B7</f>
        <v/>
      </c>
      <c r="B382">
        <f>'Week 19'!C7</f>
        <v/>
      </c>
      <c r="C382">
        <f>IF('Week 19'!I7="","",'Week 19'!I7)</f>
        <v/>
      </c>
      <c r="D382">
        <f>IF('Week 19'!I7="","",IF('Week 19'!J7="",1,'Week 19'!J7))</f>
        <v/>
      </c>
      <c r="E382">
        <f>IF(OR(C382="",D382=""),"",IF(D382=1,C382,ROUND(C382*(1+D382/30),1)))</f>
        <v/>
      </c>
    </row>
    <row r="383">
      <c r="A383">
        <f>'Week 19'!B8</f>
        <v/>
      </c>
      <c r="B383">
        <f>'Week 19'!C8</f>
        <v/>
      </c>
      <c r="C383">
        <f>IF('Week 19'!I8="","",'Week 19'!I8)</f>
        <v/>
      </c>
      <c r="D383">
        <f>IF('Week 19'!I8="","",IF('Week 19'!J8="",1,'Week 19'!J8))</f>
        <v/>
      </c>
      <c r="E383">
        <f>IF(OR(C383="",D383=""),"",IF(D383=1,C383,ROUND(C383*(1+D383/30),1)))</f>
        <v/>
      </c>
    </row>
    <row r="384">
      <c r="A384">
        <f>'Week 19'!B9</f>
        <v/>
      </c>
      <c r="B384">
        <f>'Week 19'!C9</f>
        <v/>
      </c>
      <c r="C384">
        <f>IF('Week 19'!I9="","",'Week 19'!I9)</f>
        <v/>
      </c>
      <c r="D384">
        <f>IF('Week 19'!I9="","",IF('Week 19'!J9="",1,'Week 19'!J9))</f>
        <v/>
      </c>
      <c r="E384">
        <f>IF(OR(C384="",D384=""),"",IF(D384=1,C384,ROUND(C384*(1+D384/30),1)))</f>
        <v/>
      </c>
    </row>
    <row r="385">
      <c r="A385">
        <f>'Week 19'!B10</f>
        <v/>
      </c>
      <c r="B385">
        <f>'Week 19'!C10</f>
        <v/>
      </c>
      <c r="C385">
        <f>IF('Week 19'!I10="","",'Week 19'!I10)</f>
        <v/>
      </c>
      <c r="D385">
        <f>IF('Week 19'!I10="","",IF('Week 19'!J10="",1,'Week 19'!J10))</f>
        <v/>
      </c>
      <c r="E385">
        <f>IF(OR(C385="",D385=""),"",IF(D385=1,C385,ROUND(C385*(1+D385/30),1)))</f>
        <v/>
      </c>
    </row>
    <row r="386">
      <c r="A386">
        <f>'Week 19'!B11</f>
        <v/>
      </c>
      <c r="B386">
        <f>'Week 19'!C11</f>
        <v/>
      </c>
      <c r="C386">
        <f>IF('Week 19'!I11="","",'Week 19'!I11)</f>
        <v/>
      </c>
      <c r="D386">
        <f>IF('Week 19'!I11="","",IF('Week 19'!J11="",1,'Week 19'!J11))</f>
        <v/>
      </c>
      <c r="E386">
        <f>IF(OR(C386="",D386=""),"",IF(D386=1,C386,ROUND(C386*(1+D386/30),1)))</f>
        <v/>
      </c>
    </row>
    <row r="387">
      <c r="A387">
        <f>'Week 19'!B12</f>
        <v/>
      </c>
      <c r="B387">
        <f>'Week 19'!C12</f>
        <v/>
      </c>
      <c r="C387">
        <f>IF('Week 19'!I12="","",'Week 19'!I12)</f>
        <v/>
      </c>
      <c r="D387">
        <f>IF('Week 19'!I12="","",IF('Week 19'!J12="",1,'Week 19'!J12))</f>
        <v/>
      </c>
      <c r="E387">
        <f>IF(OR(C387="",D387=""),"",IF(D387=1,C387,ROUND(C387*(1+D387/30),1)))</f>
        <v/>
      </c>
    </row>
    <row r="388">
      <c r="A388">
        <f>'Week 19'!B13</f>
        <v/>
      </c>
      <c r="B388">
        <f>'Week 19'!C13</f>
        <v/>
      </c>
      <c r="C388">
        <f>IF('Week 19'!I13="","",'Week 19'!I13)</f>
        <v/>
      </c>
      <c r="D388">
        <f>IF('Week 19'!I13="","",IF('Week 19'!J13="",1,'Week 19'!J13))</f>
        <v/>
      </c>
      <c r="E388">
        <f>IF(OR(C388="",D388=""),"",IF(D388=1,C388,ROUND(C388*(1+D388/30),1)))</f>
        <v/>
      </c>
    </row>
    <row r="389">
      <c r="A389">
        <f>'Week 19'!B14</f>
        <v/>
      </c>
      <c r="B389">
        <f>'Week 19'!C14</f>
        <v/>
      </c>
      <c r="C389">
        <f>IF('Week 19'!I14="","",'Week 19'!I14)</f>
        <v/>
      </c>
      <c r="D389">
        <f>IF('Week 19'!I14="","",IF('Week 19'!J14="",1,'Week 19'!J14))</f>
        <v/>
      </c>
      <c r="E389">
        <f>IF(OR(C389="",D389=""),"",IF(D389=1,C389,ROUND(C389*(1+D389/30),1)))</f>
        <v/>
      </c>
    </row>
    <row r="390">
      <c r="A390">
        <f>'Week 19'!B15</f>
        <v/>
      </c>
      <c r="B390">
        <f>'Week 19'!C15</f>
        <v/>
      </c>
      <c r="C390">
        <f>IF('Week 19'!I15="","",'Week 19'!I15)</f>
        <v/>
      </c>
      <c r="D390">
        <f>IF('Week 19'!I15="","",IF('Week 19'!J15="",1,'Week 19'!J15))</f>
        <v/>
      </c>
      <c r="E390">
        <f>IF(OR(C390="",D390=""),"",IF(D390=1,C390,ROUND(C390*(1+D390/30),1)))</f>
        <v/>
      </c>
    </row>
    <row r="391">
      <c r="A391">
        <f>'Week 19'!B16</f>
        <v/>
      </c>
      <c r="B391">
        <f>'Week 19'!C16</f>
        <v/>
      </c>
      <c r="C391">
        <f>IF('Week 19'!I16="","",'Week 19'!I16)</f>
        <v/>
      </c>
      <c r="D391">
        <f>IF('Week 19'!I16="","",IF('Week 19'!J16="",1,'Week 19'!J16))</f>
        <v/>
      </c>
      <c r="E391">
        <f>IF(OR(C391="",D391=""),"",IF(D391=1,C391,ROUND(C391*(1+D391/30),1)))</f>
        <v/>
      </c>
    </row>
    <row r="392">
      <c r="A392">
        <f>'Week 19'!B17</f>
        <v/>
      </c>
      <c r="B392">
        <f>'Week 19'!C17</f>
        <v/>
      </c>
      <c r="C392">
        <f>IF('Week 19'!I17="","",'Week 19'!I17)</f>
        <v/>
      </c>
      <c r="D392">
        <f>IF('Week 19'!I17="","",IF('Week 19'!J17="",1,'Week 19'!J17))</f>
        <v/>
      </c>
      <c r="E392">
        <f>IF(OR(C392="",D392=""),"",IF(D392=1,C392,ROUND(C392*(1+D392/30),1)))</f>
        <v/>
      </c>
    </row>
    <row r="393">
      <c r="A393">
        <f>'Week 19'!B18</f>
        <v/>
      </c>
      <c r="B393">
        <f>'Week 19'!C18</f>
        <v/>
      </c>
      <c r="C393">
        <f>IF('Week 19'!I18="","",'Week 19'!I18)</f>
        <v/>
      </c>
      <c r="D393">
        <f>IF('Week 19'!I18="","",IF('Week 19'!J18="",1,'Week 19'!J18))</f>
        <v/>
      </c>
      <c r="E393">
        <f>IF(OR(C393="",D393=""),"",IF(D393=1,C393,ROUND(C393*(1+D393/30),1)))</f>
        <v/>
      </c>
    </row>
    <row r="394">
      <c r="A394">
        <f>'Week 19'!B19</f>
        <v/>
      </c>
      <c r="B394">
        <f>'Week 19'!C19</f>
        <v/>
      </c>
      <c r="C394">
        <f>IF('Week 19'!I19="","",'Week 19'!I19)</f>
        <v/>
      </c>
      <c r="D394">
        <f>IF('Week 19'!I19="","",IF('Week 19'!J19="",1,'Week 19'!J19))</f>
        <v/>
      </c>
      <c r="E394">
        <f>IF(OR(C394="",D394=""),"",IF(D394=1,C394,ROUND(C394*(1+D394/30),1)))</f>
        <v/>
      </c>
    </row>
    <row r="395">
      <c r="A395">
        <f>'Week 19'!B20</f>
        <v/>
      </c>
      <c r="B395">
        <f>'Week 19'!C20</f>
        <v/>
      </c>
      <c r="C395">
        <f>IF('Week 19'!I20="","",'Week 19'!I20)</f>
        <v/>
      </c>
      <c r="D395">
        <f>IF('Week 19'!I20="","",IF('Week 19'!J20="",1,'Week 19'!J20))</f>
        <v/>
      </c>
      <c r="E395">
        <f>IF(OR(C395="",D395=""),"",IF(D395=1,C395,ROUND(C395*(1+D395/30),1)))</f>
        <v/>
      </c>
    </row>
    <row r="396">
      <c r="A396">
        <f>'Week 19'!B21</f>
        <v/>
      </c>
      <c r="B396">
        <f>'Week 19'!C21</f>
        <v/>
      </c>
      <c r="C396">
        <f>IF('Week 19'!I21="","",'Week 19'!I21)</f>
        <v/>
      </c>
      <c r="D396">
        <f>IF('Week 19'!I21="","",IF('Week 19'!J21="",1,'Week 19'!J21))</f>
        <v/>
      </c>
      <c r="E396">
        <f>IF(OR(C396="",D396=""),"",IF(D396=1,C396,ROUND(C396*(1+D396/30),1)))</f>
        <v/>
      </c>
    </row>
    <row r="397">
      <c r="A397">
        <f>'Week 19'!B22</f>
        <v/>
      </c>
      <c r="B397">
        <f>'Week 19'!C22</f>
        <v/>
      </c>
      <c r="C397">
        <f>IF('Week 19'!I22="","",'Week 19'!I22)</f>
        <v/>
      </c>
      <c r="D397">
        <f>IF('Week 19'!I22="","",IF('Week 19'!J22="",1,'Week 19'!J22))</f>
        <v/>
      </c>
      <c r="E397">
        <f>IF(OR(C397="",D397=""),"",IF(D397=1,C397,ROUND(C397*(1+D397/30),1)))</f>
        <v/>
      </c>
    </row>
    <row r="398">
      <c r="A398">
        <f>'Week 19'!B23</f>
        <v/>
      </c>
      <c r="B398">
        <f>'Week 19'!C23</f>
        <v/>
      </c>
      <c r="C398">
        <f>IF('Week 19'!I23="","",'Week 19'!I23)</f>
        <v/>
      </c>
      <c r="D398">
        <f>IF('Week 19'!I23="","",IF('Week 19'!J23="",1,'Week 19'!J23))</f>
        <v/>
      </c>
      <c r="E398">
        <f>IF(OR(C398="",D398=""),"",IF(D398=1,C398,ROUND(C398*(1+D398/30),1)))</f>
        <v/>
      </c>
    </row>
    <row r="399">
      <c r="A399">
        <f>'Week 19'!B24</f>
        <v/>
      </c>
      <c r="B399">
        <f>'Week 19'!C24</f>
        <v/>
      </c>
      <c r="C399">
        <f>IF('Week 19'!I24="","",'Week 19'!I24)</f>
        <v/>
      </c>
      <c r="D399">
        <f>IF('Week 19'!I24="","",IF('Week 19'!J24="",1,'Week 19'!J24))</f>
        <v/>
      </c>
      <c r="E399">
        <f>IF(OR(C399="",D399=""),"",IF(D399=1,C399,ROUND(C399*(1+D399/30),1)))</f>
        <v/>
      </c>
    </row>
    <row r="400">
      <c r="A400">
        <f>'Week 19'!B25</f>
        <v/>
      </c>
      <c r="B400">
        <f>'Week 19'!C25</f>
        <v/>
      </c>
      <c r="C400">
        <f>IF('Week 19'!I25="","",'Week 19'!I25)</f>
        <v/>
      </c>
      <c r="D400">
        <f>IF('Week 19'!I25="","",IF('Week 19'!J25="",1,'Week 19'!J25))</f>
        <v/>
      </c>
      <c r="E400">
        <f>IF(OR(C400="",D400=""),"",IF(D400=1,C400,ROUND(C400*(1+D400/30),1)))</f>
        <v/>
      </c>
    </row>
    <row r="401">
      <c r="A401">
        <f>'Week 20'!B6</f>
        <v/>
      </c>
      <c r="B401">
        <f>'Week 20'!C6</f>
        <v/>
      </c>
      <c r="C401">
        <f>IF('Week 20'!I6="","",'Week 20'!I6)</f>
        <v/>
      </c>
      <c r="D401">
        <f>IF('Week 20'!I6="","",IF('Week 20'!J6="",1,'Week 20'!J6))</f>
        <v/>
      </c>
      <c r="E401">
        <f>IF(OR(C401="",D401=""),"",IF(D401=1,C401,ROUND(C401*(1+D401/30),1)))</f>
        <v/>
      </c>
    </row>
    <row r="402">
      <c r="A402">
        <f>'Week 20'!B7</f>
        <v/>
      </c>
      <c r="B402">
        <f>'Week 20'!C7</f>
        <v/>
      </c>
      <c r="C402">
        <f>IF('Week 20'!I7="","",'Week 20'!I7)</f>
        <v/>
      </c>
      <c r="D402">
        <f>IF('Week 20'!I7="","",IF('Week 20'!J7="",1,'Week 20'!J7))</f>
        <v/>
      </c>
      <c r="E402">
        <f>IF(OR(C402="",D402=""),"",IF(D402=1,C402,ROUND(C402*(1+D402/30),1)))</f>
        <v/>
      </c>
    </row>
    <row r="403">
      <c r="A403">
        <f>'Week 20'!B8</f>
        <v/>
      </c>
      <c r="B403">
        <f>'Week 20'!C8</f>
        <v/>
      </c>
      <c r="C403">
        <f>IF('Week 20'!I8="","",'Week 20'!I8)</f>
        <v/>
      </c>
      <c r="D403">
        <f>IF('Week 20'!I8="","",IF('Week 20'!J8="",1,'Week 20'!J8))</f>
        <v/>
      </c>
      <c r="E403">
        <f>IF(OR(C403="",D403=""),"",IF(D403=1,C403,ROUND(C403*(1+D403/30),1)))</f>
        <v/>
      </c>
    </row>
    <row r="404">
      <c r="A404">
        <f>'Week 20'!B9</f>
        <v/>
      </c>
      <c r="B404">
        <f>'Week 20'!C9</f>
        <v/>
      </c>
      <c r="C404">
        <f>IF('Week 20'!I9="","",'Week 20'!I9)</f>
        <v/>
      </c>
      <c r="D404">
        <f>IF('Week 20'!I9="","",IF('Week 20'!J9="",1,'Week 20'!J9))</f>
        <v/>
      </c>
      <c r="E404">
        <f>IF(OR(C404="",D404=""),"",IF(D404=1,C404,ROUND(C404*(1+D404/30),1)))</f>
        <v/>
      </c>
    </row>
    <row r="405">
      <c r="A405">
        <f>'Week 20'!B10</f>
        <v/>
      </c>
      <c r="B405">
        <f>'Week 20'!C10</f>
        <v/>
      </c>
      <c r="C405">
        <f>IF('Week 20'!I10="","",'Week 20'!I10)</f>
        <v/>
      </c>
      <c r="D405">
        <f>IF('Week 20'!I10="","",IF('Week 20'!J10="",1,'Week 20'!J10))</f>
        <v/>
      </c>
      <c r="E405">
        <f>IF(OR(C405="",D405=""),"",IF(D405=1,C405,ROUND(C405*(1+D405/30),1)))</f>
        <v/>
      </c>
    </row>
    <row r="406">
      <c r="A406">
        <f>'Week 20'!B11</f>
        <v/>
      </c>
      <c r="B406">
        <f>'Week 20'!C11</f>
        <v/>
      </c>
      <c r="C406">
        <f>IF('Week 20'!I11="","",'Week 20'!I11)</f>
        <v/>
      </c>
      <c r="D406">
        <f>IF('Week 20'!I11="","",IF('Week 20'!J11="",1,'Week 20'!J11))</f>
        <v/>
      </c>
      <c r="E406">
        <f>IF(OR(C406="",D406=""),"",IF(D406=1,C406,ROUND(C406*(1+D406/30),1)))</f>
        <v/>
      </c>
    </row>
    <row r="407">
      <c r="A407">
        <f>'Week 20'!B12</f>
        <v/>
      </c>
      <c r="B407">
        <f>'Week 20'!C12</f>
        <v/>
      </c>
      <c r="C407">
        <f>IF('Week 20'!I12="","",'Week 20'!I12)</f>
        <v/>
      </c>
      <c r="D407">
        <f>IF('Week 20'!I12="","",IF('Week 20'!J12="",1,'Week 20'!J12))</f>
        <v/>
      </c>
      <c r="E407">
        <f>IF(OR(C407="",D407=""),"",IF(D407=1,C407,ROUND(C407*(1+D407/30),1)))</f>
        <v/>
      </c>
    </row>
    <row r="408">
      <c r="A408">
        <f>'Week 20'!B13</f>
        <v/>
      </c>
      <c r="B408">
        <f>'Week 20'!C13</f>
        <v/>
      </c>
      <c r="C408">
        <f>IF('Week 20'!I13="","",'Week 20'!I13)</f>
        <v/>
      </c>
      <c r="D408">
        <f>IF('Week 20'!I13="","",IF('Week 20'!J13="",1,'Week 20'!J13))</f>
        <v/>
      </c>
      <c r="E408">
        <f>IF(OR(C408="",D408=""),"",IF(D408=1,C408,ROUND(C408*(1+D408/30),1)))</f>
        <v/>
      </c>
    </row>
    <row r="409">
      <c r="A409">
        <f>'Week 20'!B14</f>
        <v/>
      </c>
      <c r="B409">
        <f>'Week 20'!C14</f>
        <v/>
      </c>
      <c r="C409">
        <f>IF('Week 20'!I14="","",'Week 20'!I14)</f>
        <v/>
      </c>
      <c r="D409">
        <f>IF('Week 20'!I14="","",IF('Week 20'!J14="",1,'Week 20'!J14))</f>
        <v/>
      </c>
      <c r="E409">
        <f>IF(OR(C409="",D409=""),"",IF(D409=1,C409,ROUND(C409*(1+D409/30),1)))</f>
        <v/>
      </c>
    </row>
    <row r="410">
      <c r="A410">
        <f>'Week 20'!B15</f>
        <v/>
      </c>
      <c r="B410">
        <f>'Week 20'!C15</f>
        <v/>
      </c>
      <c r="C410">
        <f>IF('Week 20'!I15="","",'Week 20'!I15)</f>
        <v/>
      </c>
      <c r="D410">
        <f>IF('Week 20'!I15="","",IF('Week 20'!J15="",1,'Week 20'!J15))</f>
        <v/>
      </c>
      <c r="E410">
        <f>IF(OR(C410="",D410=""),"",IF(D410=1,C410,ROUND(C410*(1+D410/30),1)))</f>
        <v/>
      </c>
    </row>
    <row r="411">
      <c r="A411">
        <f>'Week 20'!B16</f>
        <v/>
      </c>
      <c r="B411">
        <f>'Week 20'!C16</f>
        <v/>
      </c>
      <c r="C411">
        <f>IF('Week 20'!I16="","",'Week 20'!I16)</f>
        <v/>
      </c>
      <c r="D411">
        <f>IF('Week 20'!I16="","",IF('Week 20'!J16="",1,'Week 20'!J16))</f>
        <v/>
      </c>
      <c r="E411">
        <f>IF(OR(C411="",D411=""),"",IF(D411=1,C411,ROUND(C411*(1+D411/30),1)))</f>
        <v/>
      </c>
    </row>
    <row r="412">
      <c r="A412">
        <f>'Week 20'!B17</f>
        <v/>
      </c>
      <c r="B412">
        <f>'Week 20'!C17</f>
        <v/>
      </c>
      <c r="C412">
        <f>IF('Week 20'!I17="","",'Week 20'!I17)</f>
        <v/>
      </c>
      <c r="D412">
        <f>IF('Week 20'!I17="","",IF('Week 20'!J17="",1,'Week 20'!J17))</f>
        <v/>
      </c>
      <c r="E412">
        <f>IF(OR(C412="",D412=""),"",IF(D412=1,C412,ROUND(C412*(1+D412/30),1)))</f>
        <v/>
      </c>
    </row>
    <row r="413">
      <c r="A413">
        <f>'Week 20'!B18</f>
        <v/>
      </c>
      <c r="B413">
        <f>'Week 20'!C18</f>
        <v/>
      </c>
      <c r="C413">
        <f>IF('Week 20'!I18="","",'Week 20'!I18)</f>
        <v/>
      </c>
      <c r="D413">
        <f>IF('Week 20'!I18="","",IF('Week 20'!J18="",1,'Week 20'!J18))</f>
        <v/>
      </c>
      <c r="E413">
        <f>IF(OR(C413="",D413=""),"",IF(D413=1,C413,ROUND(C413*(1+D413/30),1)))</f>
        <v/>
      </c>
    </row>
    <row r="414">
      <c r="A414">
        <f>'Week 20'!B19</f>
        <v/>
      </c>
      <c r="B414">
        <f>'Week 20'!C19</f>
        <v/>
      </c>
      <c r="C414">
        <f>IF('Week 20'!I19="","",'Week 20'!I19)</f>
        <v/>
      </c>
      <c r="D414">
        <f>IF('Week 20'!I19="","",IF('Week 20'!J19="",1,'Week 20'!J19))</f>
        <v/>
      </c>
      <c r="E414">
        <f>IF(OR(C414="",D414=""),"",IF(D414=1,C414,ROUND(C414*(1+D414/30),1)))</f>
        <v/>
      </c>
    </row>
    <row r="415">
      <c r="A415">
        <f>'Week 20'!B20</f>
        <v/>
      </c>
      <c r="B415">
        <f>'Week 20'!C20</f>
        <v/>
      </c>
      <c r="C415">
        <f>IF('Week 20'!I20="","",'Week 20'!I20)</f>
        <v/>
      </c>
      <c r="D415">
        <f>IF('Week 20'!I20="","",IF('Week 20'!J20="",1,'Week 20'!J20))</f>
        <v/>
      </c>
      <c r="E415">
        <f>IF(OR(C415="",D415=""),"",IF(D415=1,C415,ROUND(C415*(1+D415/30),1)))</f>
        <v/>
      </c>
    </row>
    <row r="416">
      <c r="A416">
        <f>'Week 20'!B21</f>
        <v/>
      </c>
      <c r="B416">
        <f>'Week 20'!C21</f>
        <v/>
      </c>
      <c r="C416">
        <f>IF('Week 20'!I21="","",'Week 20'!I21)</f>
        <v/>
      </c>
      <c r="D416">
        <f>IF('Week 20'!I21="","",IF('Week 20'!J21="",1,'Week 20'!J21))</f>
        <v/>
      </c>
      <c r="E416">
        <f>IF(OR(C416="",D416=""),"",IF(D416=1,C416,ROUND(C416*(1+D416/30),1)))</f>
        <v/>
      </c>
    </row>
    <row r="417">
      <c r="A417">
        <f>'Week 20'!B22</f>
        <v/>
      </c>
      <c r="B417">
        <f>'Week 20'!C22</f>
        <v/>
      </c>
      <c r="C417">
        <f>IF('Week 20'!I22="","",'Week 20'!I22)</f>
        <v/>
      </c>
      <c r="D417">
        <f>IF('Week 20'!I22="","",IF('Week 20'!J22="",1,'Week 20'!J22))</f>
        <v/>
      </c>
      <c r="E417">
        <f>IF(OR(C417="",D417=""),"",IF(D417=1,C417,ROUND(C417*(1+D417/30),1)))</f>
        <v/>
      </c>
    </row>
    <row r="418">
      <c r="A418">
        <f>'Week 20'!B23</f>
        <v/>
      </c>
      <c r="B418">
        <f>'Week 20'!C23</f>
        <v/>
      </c>
      <c r="C418">
        <f>IF('Week 20'!I23="","",'Week 20'!I23)</f>
        <v/>
      </c>
      <c r="D418">
        <f>IF('Week 20'!I23="","",IF('Week 20'!J23="",1,'Week 20'!J23))</f>
        <v/>
      </c>
      <c r="E418">
        <f>IF(OR(C418="",D418=""),"",IF(D418=1,C418,ROUND(C418*(1+D418/30),1)))</f>
        <v/>
      </c>
    </row>
    <row r="419">
      <c r="A419">
        <f>'Week 20'!B24</f>
        <v/>
      </c>
      <c r="B419">
        <f>'Week 20'!C24</f>
        <v/>
      </c>
      <c r="C419">
        <f>IF('Week 20'!I24="","",'Week 20'!I24)</f>
        <v/>
      </c>
      <c r="D419">
        <f>IF('Week 20'!I24="","",IF('Week 20'!J24="",1,'Week 20'!J24))</f>
        <v/>
      </c>
      <c r="E419">
        <f>IF(OR(C419="",D419=""),"",IF(D419=1,C419,ROUND(C419*(1+D419/30),1)))</f>
        <v/>
      </c>
    </row>
    <row r="420">
      <c r="A420">
        <f>'Week 20'!B25</f>
        <v/>
      </c>
      <c r="B420">
        <f>'Week 20'!C25</f>
        <v/>
      </c>
      <c r="C420">
        <f>IF('Week 20'!I25="","",'Week 20'!I25)</f>
        <v/>
      </c>
      <c r="D420">
        <f>IF('Week 20'!I25="","",IF('Week 20'!J25="",1,'Week 20'!J25))</f>
        <v/>
      </c>
      <c r="E420">
        <f>IF(OR(C420="",D420=""),"",IF(D420=1,C420,ROUND(C420*(1+D420/30),1)))</f>
        <v/>
      </c>
    </row>
    <row r="421">
      <c r="A421">
        <f>'Week 21'!B6</f>
        <v/>
      </c>
      <c r="B421">
        <f>'Week 21'!C6</f>
        <v/>
      </c>
      <c r="C421">
        <f>IF('Week 21'!I6="","",'Week 21'!I6)</f>
        <v/>
      </c>
      <c r="D421">
        <f>IF('Week 21'!I6="","",IF('Week 21'!J6="",1,'Week 21'!J6))</f>
        <v/>
      </c>
      <c r="E421">
        <f>IF(OR(C421="",D421=""),"",IF(D421=1,C421,ROUND(C421*(1+D421/30),1)))</f>
        <v/>
      </c>
    </row>
    <row r="422">
      <c r="A422">
        <f>'Week 21'!B7</f>
        <v/>
      </c>
      <c r="B422">
        <f>'Week 21'!C7</f>
        <v/>
      </c>
      <c r="C422">
        <f>IF('Week 21'!I7="","",'Week 21'!I7)</f>
        <v/>
      </c>
      <c r="D422">
        <f>IF('Week 21'!I7="","",IF('Week 21'!J7="",1,'Week 21'!J7))</f>
        <v/>
      </c>
      <c r="E422">
        <f>IF(OR(C422="",D422=""),"",IF(D422=1,C422,ROUND(C422*(1+D422/30),1)))</f>
        <v/>
      </c>
    </row>
    <row r="423">
      <c r="A423">
        <f>'Week 21'!B8</f>
        <v/>
      </c>
      <c r="B423">
        <f>'Week 21'!C8</f>
        <v/>
      </c>
      <c r="C423">
        <f>IF('Week 21'!I8="","",'Week 21'!I8)</f>
        <v/>
      </c>
      <c r="D423">
        <f>IF('Week 21'!I8="","",IF('Week 21'!J8="",1,'Week 21'!J8))</f>
        <v/>
      </c>
      <c r="E423">
        <f>IF(OR(C423="",D423=""),"",IF(D423=1,C423,ROUND(C423*(1+D423/30),1)))</f>
        <v/>
      </c>
    </row>
    <row r="424">
      <c r="A424">
        <f>'Week 21'!B9</f>
        <v/>
      </c>
      <c r="B424">
        <f>'Week 21'!C9</f>
        <v/>
      </c>
      <c r="C424">
        <f>IF('Week 21'!I9="","",'Week 21'!I9)</f>
        <v/>
      </c>
      <c r="D424">
        <f>IF('Week 21'!I9="","",IF('Week 21'!J9="",1,'Week 21'!J9))</f>
        <v/>
      </c>
      <c r="E424">
        <f>IF(OR(C424="",D424=""),"",IF(D424=1,C424,ROUND(C424*(1+D424/30),1)))</f>
        <v/>
      </c>
    </row>
    <row r="425">
      <c r="A425">
        <f>'Week 21'!B10</f>
        <v/>
      </c>
      <c r="B425">
        <f>'Week 21'!C10</f>
        <v/>
      </c>
      <c r="C425">
        <f>IF('Week 21'!I10="","",'Week 21'!I10)</f>
        <v/>
      </c>
      <c r="D425">
        <f>IF('Week 21'!I10="","",IF('Week 21'!J10="",1,'Week 21'!J10))</f>
        <v/>
      </c>
      <c r="E425">
        <f>IF(OR(C425="",D425=""),"",IF(D425=1,C425,ROUND(C425*(1+D425/30),1)))</f>
        <v/>
      </c>
    </row>
    <row r="426">
      <c r="A426">
        <f>'Week 21'!B11</f>
        <v/>
      </c>
      <c r="B426">
        <f>'Week 21'!C11</f>
        <v/>
      </c>
      <c r="C426">
        <f>IF('Week 21'!I11="","",'Week 21'!I11)</f>
        <v/>
      </c>
      <c r="D426">
        <f>IF('Week 21'!I11="","",IF('Week 21'!J11="",1,'Week 21'!J11))</f>
        <v/>
      </c>
      <c r="E426">
        <f>IF(OR(C426="",D426=""),"",IF(D426=1,C426,ROUND(C426*(1+D426/30),1)))</f>
        <v/>
      </c>
    </row>
    <row r="427">
      <c r="A427">
        <f>'Week 21'!B12</f>
        <v/>
      </c>
      <c r="B427">
        <f>'Week 21'!C12</f>
        <v/>
      </c>
      <c r="C427">
        <f>IF('Week 21'!I12="","",'Week 21'!I12)</f>
        <v/>
      </c>
      <c r="D427">
        <f>IF('Week 21'!I12="","",IF('Week 21'!J12="",1,'Week 21'!J12))</f>
        <v/>
      </c>
      <c r="E427">
        <f>IF(OR(C427="",D427=""),"",IF(D427=1,C427,ROUND(C427*(1+D427/30),1)))</f>
        <v/>
      </c>
    </row>
    <row r="428">
      <c r="A428">
        <f>'Week 21'!B13</f>
        <v/>
      </c>
      <c r="B428">
        <f>'Week 21'!C13</f>
        <v/>
      </c>
      <c r="C428">
        <f>IF('Week 21'!I13="","",'Week 21'!I13)</f>
        <v/>
      </c>
      <c r="D428">
        <f>IF('Week 21'!I13="","",IF('Week 21'!J13="",1,'Week 21'!J13))</f>
        <v/>
      </c>
      <c r="E428">
        <f>IF(OR(C428="",D428=""),"",IF(D428=1,C428,ROUND(C428*(1+D428/30),1)))</f>
        <v/>
      </c>
    </row>
    <row r="429">
      <c r="A429">
        <f>'Week 21'!B14</f>
        <v/>
      </c>
      <c r="B429">
        <f>'Week 21'!C14</f>
        <v/>
      </c>
      <c r="C429">
        <f>IF('Week 21'!I14="","",'Week 21'!I14)</f>
        <v/>
      </c>
      <c r="D429">
        <f>IF('Week 21'!I14="","",IF('Week 21'!J14="",1,'Week 21'!J14))</f>
        <v/>
      </c>
      <c r="E429">
        <f>IF(OR(C429="",D429=""),"",IF(D429=1,C429,ROUND(C429*(1+D429/30),1)))</f>
        <v/>
      </c>
    </row>
    <row r="430">
      <c r="A430">
        <f>'Week 21'!B15</f>
        <v/>
      </c>
      <c r="B430">
        <f>'Week 21'!C15</f>
        <v/>
      </c>
      <c r="C430">
        <f>IF('Week 21'!I15="","",'Week 21'!I15)</f>
        <v/>
      </c>
      <c r="D430">
        <f>IF('Week 21'!I15="","",IF('Week 21'!J15="",1,'Week 21'!J15))</f>
        <v/>
      </c>
      <c r="E430">
        <f>IF(OR(C430="",D430=""),"",IF(D430=1,C430,ROUND(C430*(1+D430/30),1)))</f>
        <v/>
      </c>
    </row>
    <row r="431">
      <c r="A431">
        <f>'Week 21'!B16</f>
        <v/>
      </c>
      <c r="B431">
        <f>'Week 21'!C16</f>
        <v/>
      </c>
      <c r="C431">
        <f>IF('Week 21'!I16="","",'Week 21'!I16)</f>
        <v/>
      </c>
      <c r="D431">
        <f>IF('Week 21'!I16="","",IF('Week 21'!J16="",1,'Week 21'!J16))</f>
        <v/>
      </c>
      <c r="E431">
        <f>IF(OR(C431="",D431=""),"",IF(D431=1,C431,ROUND(C431*(1+D431/30),1)))</f>
        <v/>
      </c>
    </row>
    <row r="432">
      <c r="A432">
        <f>'Week 21'!B17</f>
        <v/>
      </c>
      <c r="B432">
        <f>'Week 21'!C17</f>
        <v/>
      </c>
      <c r="C432">
        <f>IF('Week 21'!I17="","",'Week 21'!I17)</f>
        <v/>
      </c>
      <c r="D432">
        <f>IF('Week 21'!I17="","",IF('Week 21'!J17="",1,'Week 21'!J17))</f>
        <v/>
      </c>
      <c r="E432">
        <f>IF(OR(C432="",D432=""),"",IF(D432=1,C432,ROUND(C432*(1+D432/30),1)))</f>
        <v/>
      </c>
    </row>
    <row r="433">
      <c r="A433">
        <f>'Week 21'!B18</f>
        <v/>
      </c>
      <c r="B433">
        <f>'Week 21'!C18</f>
        <v/>
      </c>
      <c r="C433">
        <f>IF('Week 21'!I18="","",'Week 21'!I18)</f>
        <v/>
      </c>
      <c r="D433">
        <f>IF('Week 21'!I18="","",IF('Week 21'!J18="",1,'Week 21'!J18))</f>
        <v/>
      </c>
      <c r="E433">
        <f>IF(OR(C433="",D433=""),"",IF(D433=1,C433,ROUND(C433*(1+D433/30),1)))</f>
        <v/>
      </c>
    </row>
    <row r="434">
      <c r="A434">
        <f>'Week 21'!B19</f>
        <v/>
      </c>
      <c r="B434">
        <f>'Week 21'!C19</f>
        <v/>
      </c>
      <c r="C434">
        <f>IF('Week 21'!I19="","",'Week 21'!I19)</f>
        <v/>
      </c>
      <c r="D434">
        <f>IF('Week 21'!I19="","",IF('Week 21'!J19="",1,'Week 21'!J19))</f>
        <v/>
      </c>
      <c r="E434">
        <f>IF(OR(C434="",D434=""),"",IF(D434=1,C434,ROUND(C434*(1+D434/30),1)))</f>
        <v/>
      </c>
    </row>
    <row r="435">
      <c r="A435">
        <f>'Week 21'!B20</f>
        <v/>
      </c>
      <c r="B435">
        <f>'Week 21'!C20</f>
        <v/>
      </c>
      <c r="C435">
        <f>IF('Week 21'!I20="","",'Week 21'!I20)</f>
        <v/>
      </c>
      <c r="D435">
        <f>IF('Week 21'!I20="","",IF('Week 21'!J20="",1,'Week 21'!J20))</f>
        <v/>
      </c>
      <c r="E435">
        <f>IF(OR(C435="",D435=""),"",IF(D435=1,C435,ROUND(C435*(1+D435/30),1)))</f>
        <v/>
      </c>
    </row>
    <row r="436">
      <c r="A436">
        <f>'Week 21'!B21</f>
        <v/>
      </c>
      <c r="B436">
        <f>'Week 21'!C21</f>
        <v/>
      </c>
      <c r="C436">
        <f>IF('Week 21'!I21="","",'Week 21'!I21)</f>
        <v/>
      </c>
      <c r="D436">
        <f>IF('Week 21'!I21="","",IF('Week 21'!J21="",1,'Week 21'!J21))</f>
        <v/>
      </c>
      <c r="E436">
        <f>IF(OR(C436="",D436=""),"",IF(D436=1,C436,ROUND(C436*(1+D436/30),1)))</f>
        <v/>
      </c>
    </row>
    <row r="437">
      <c r="A437">
        <f>'Week 21'!B22</f>
        <v/>
      </c>
      <c r="B437">
        <f>'Week 21'!C22</f>
        <v/>
      </c>
      <c r="C437">
        <f>IF('Week 21'!I22="","",'Week 21'!I22)</f>
        <v/>
      </c>
      <c r="D437">
        <f>IF('Week 21'!I22="","",IF('Week 21'!J22="",1,'Week 21'!J22))</f>
        <v/>
      </c>
      <c r="E437">
        <f>IF(OR(C437="",D437=""),"",IF(D437=1,C437,ROUND(C437*(1+D437/30),1)))</f>
        <v/>
      </c>
    </row>
    <row r="438">
      <c r="A438">
        <f>'Week 21'!B23</f>
        <v/>
      </c>
      <c r="B438">
        <f>'Week 21'!C23</f>
        <v/>
      </c>
      <c r="C438">
        <f>IF('Week 21'!I23="","",'Week 21'!I23)</f>
        <v/>
      </c>
      <c r="D438">
        <f>IF('Week 21'!I23="","",IF('Week 21'!J23="",1,'Week 21'!J23))</f>
        <v/>
      </c>
      <c r="E438">
        <f>IF(OR(C438="",D438=""),"",IF(D438=1,C438,ROUND(C438*(1+D438/30),1)))</f>
        <v/>
      </c>
    </row>
    <row r="439">
      <c r="A439">
        <f>'Week 21'!B24</f>
        <v/>
      </c>
      <c r="B439">
        <f>'Week 21'!C24</f>
        <v/>
      </c>
      <c r="C439">
        <f>IF('Week 21'!I24="","",'Week 21'!I24)</f>
        <v/>
      </c>
      <c r="D439">
        <f>IF('Week 21'!I24="","",IF('Week 21'!J24="",1,'Week 21'!J24))</f>
        <v/>
      </c>
      <c r="E439">
        <f>IF(OR(C439="",D439=""),"",IF(D439=1,C439,ROUND(C439*(1+D439/30),1)))</f>
        <v/>
      </c>
    </row>
    <row r="440">
      <c r="A440">
        <f>'Week 21'!B25</f>
        <v/>
      </c>
      <c r="B440">
        <f>'Week 21'!C25</f>
        <v/>
      </c>
      <c r="C440">
        <f>IF('Week 21'!I25="","",'Week 21'!I25)</f>
        <v/>
      </c>
      <c r="D440">
        <f>IF('Week 21'!I25="","",IF('Week 21'!J25="",1,'Week 21'!J25))</f>
        <v/>
      </c>
      <c r="E440">
        <f>IF(OR(C440="",D440=""),"",IF(D440=1,C440,ROUND(C440*(1+D440/30),1)))</f>
        <v/>
      </c>
    </row>
    <row r="441">
      <c r="A441">
        <f>'Week 22'!B6</f>
        <v/>
      </c>
      <c r="B441">
        <f>'Week 22'!C6</f>
        <v/>
      </c>
      <c r="C441">
        <f>IF('Week 22'!I6="","",'Week 22'!I6)</f>
        <v/>
      </c>
      <c r="D441">
        <f>IF('Week 22'!I6="","",IF('Week 22'!J6="",1,'Week 22'!J6))</f>
        <v/>
      </c>
      <c r="E441">
        <f>IF(OR(C441="",D441=""),"",IF(D441=1,C441,ROUND(C441*(1+D441/30),1)))</f>
        <v/>
      </c>
    </row>
    <row r="442">
      <c r="A442">
        <f>'Week 22'!B7</f>
        <v/>
      </c>
      <c r="B442">
        <f>'Week 22'!C7</f>
        <v/>
      </c>
      <c r="C442">
        <f>IF('Week 22'!I7="","",'Week 22'!I7)</f>
        <v/>
      </c>
      <c r="D442">
        <f>IF('Week 22'!I7="","",IF('Week 22'!J7="",1,'Week 22'!J7))</f>
        <v/>
      </c>
      <c r="E442">
        <f>IF(OR(C442="",D442=""),"",IF(D442=1,C442,ROUND(C442*(1+D442/30),1)))</f>
        <v/>
      </c>
    </row>
    <row r="443">
      <c r="A443">
        <f>'Week 22'!B8</f>
        <v/>
      </c>
      <c r="B443">
        <f>'Week 22'!C8</f>
        <v/>
      </c>
      <c r="C443">
        <f>IF('Week 22'!I8="","",'Week 22'!I8)</f>
        <v/>
      </c>
      <c r="D443">
        <f>IF('Week 22'!I8="","",IF('Week 22'!J8="",1,'Week 22'!J8))</f>
        <v/>
      </c>
      <c r="E443">
        <f>IF(OR(C443="",D443=""),"",IF(D443=1,C443,ROUND(C443*(1+D443/30),1)))</f>
        <v/>
      </c>
    </row>
    <row r="444">
      <c r="A444">
        <f>'Week 22'!B9</f>
        <v/>
      </c>
      <c r="B444">
        <f>'Week 22'!C9</f>
        <v/>
      </c>
      <c r="C444">
        <f>IF('Week 22'!I9="","",'Week 22'!I9)</f>
        <v/>
      </c>
      <c r="D444">
        <f>IF('Week 22'!I9="","",IF('Week 22'!J9="",1,'Week 22'!J9))</f>
        <v/>
      </c>
      <c r="E444">
        <f>IF(OR(C444="",D444=""),"",IF(D444=1,C444,ROUND(C444*(1+D444/30),1)))</f>
        <v/>
      </c>
    </row>
    <row r="445">
      <c r="A445">
        <f>'Week 22'!B10</f>
        <v/>
      </c>
      <c r="B445">
        <f>'Week 22'!C10</f>
        <v/>
      </c>
      <c r="C445">
        <f>IF('Week 22'!I10="","",'Week 22'!I10)</f>
        <v/>
      </c>
      <c r="D445">
        <f>IF('Week 22'!I10="","",IF('Week 22'!J10="",1,'Week 22'!J10))</f>
        <v/>
      </c>
      <c r="E445">
        <f>IF(OR(C445="",D445=""),"",IF(D445=1,C445,ROUND(C445*(1+D445/30),1)))</f>
        <v/>
      </c>
    </row>
    <row r="446">
      <c r="A446">
        <f>'Week 22'!B11</f>
        <v/>
      </c>
      <c r="B446">
        <f>'Week 22'!C11</f>
        <v/>
      </c>
      <c r="C446">
        <f>IF('Week 22'!I11="","",'Week 22'!I11)</f>
        <v/>
      </c>
      <c r="D446">
        <f>IF('Week 22'!I11="","",IF('Week 22'!J11="",1,'Week 22'!J11))</f>
        <v/>
      </c>
      <c r="E446">
        <f>IF(OR(C446="",D446=""),"",IF(D446=1,C446,ROUND(C446*(1+D446/30),1)))</f>
        <v/>
      </c>
    </row>
    <row r="447">
      <c r="A447">
        <f>'Week 22'!B12</f>
        <v/>
      </c>
      <c r="B447">
        <f>'Week 22'!C12</f>
        <v/>
      </c>
      <c r="C447">
        <f>IF('Week 22'!I12="","",'Week 22'!I12)</f>
        <v/>
      </c>
      <c r="D447">
        <f>IF('Week 22'!I12="","",IF('Week 22'!J12="",1,'Week 22'!J12))</f>
        <v/>
      </c>
      <c r="E447">
        <f>IF(OR(C447="",D447=""),"",IF(D447=1,C447,ROUND(C447*(1+D447/30),1)))</f>
        <v/>
      </c>
    </row>
    <row r="448">
      <c r="A448">
        <f>'Week 22'!B13</f>
        <v/>
      </c>
      <c r="B448">
        <f>'Week 22'!C13</f>
        <v/>
      </c>
      <c r="C448">
        <f>IF('Week 22'!I13="","",'Week 22'!I13)</f>
        <v/>
      </c>
      <c r="D448">
        <f>IF('Week 22'!I13="","",IF('Week 22'!J13="",1,'Week 22'!J13))</f>
        <v/>
      </c>
      <c r="E448">
        <f>IF(OR(C448="",D448=""),"",IF(D448=1,C448,ROUND(C448*(1+D448/30),1)))</f>
        <v/>
      </c>
    </row>
    <row r="449">
      <c r="A449">
        <f>'Week 22'!B14</f>
        <v/>
      </c>
      <c r="B449">
        <f>'Week 22'!C14</f>
        <v/>
      </c>
      <c r="C449">
        <f>IF('Week 22'!I14="","",'Week 22'!I14)</f>
        <v/>
      </c>
      <c r="D449">
        <f>IF('Week 22'!I14="","",IF('Week 22'!J14="",1,'Week 22'!J14))</f>
        <v/>
      </c>
      <c r="E449">
        <f>IF(OR(C449="",D449=""),"",IF(D449=1,C449,ROUND(C449*(1+D449/30),1)))</f>
        <v/>
      </c>
    </row>
    <row r="450">
      <c r="A450">
        <f>'Week 22'!B15</f>
        <v/>
      </c>
      <c r="B450">
        <f>'Week 22'!C15</f>
        <v/>
      </c>
      <c r="C450">
        <f>IF('Week 22'!I15="","",'Week 22'!I15)</f>
        <v/>
      </c>
      <c r="D450">
        <f>IF('Week 22'!I15="","",IF('Week 22'!J15="",1,'Week 22'!J15))</f>
        <v/>
      </c>
      <c r="E450">
        <f>IF(OR(C450="",D450=""),"",IF(D450=1,C450,ROUND(C450*(1+D450/30),1)))</f>
        <v/>
      </c>
    </row>
    <row r="451">
      <c r="A451">
        <f>'Week 22'!B16</f>
        <v/>
      </c>
      <c r="B451">
        <f>'Week 22'!C16</f>
        <v/>
      </c>
      <c r="C451">
        <f>IF('Week 22'!I16="","",'Week 22'!I16)</f>
        <v/>
      </c>
      <c r="D451">
        <f>IF('Week 22'!I16="","",IF('Week 22'!J16="",1,'Week 22'!J16))</f>
        <v/>
      </c>
      <c r="E451">
        <f>IF(OR(C451="",D451=""),"",IF(D451=1,C451,ROUND(C451*(1+D451/30),1)))</f>
        <v/>
      </c>
    </row>
    <row r="452">
      <c r="A452">
        <f>'Week 22'!B17</f>
        <v/>
      </c>
      <c r="B452">
        <f>'Week 22'!C17</f>
        <v/>
      </c>
      <c r="C452">
        <f>IF('Week 22'!I17="","",'Week 22'!I17)</f>
        <v/>
      </c>
      <c r="D452">
        <f>IF('Week 22'!I17="","",IF('Week 22'!J17="",1,'Week 22'!J17))</f>
        <v/>
      </c>
      <c r="E452">
        <f>IF(OR(C452="",D452=""),"",IF(D452=1,C452,ROUND(C452*(1+D452/30),1)))</f>
        <v/>
      </c>
    </row>
    <row r="453">
      <c r="A453">
        <f>'Week 22'!B18</f>
        <v/>
      </c>
      <c r="B453">
        <f>'Week 22'!C18</f>
        <v/>
      </c>
      <c r="C453">
        <f>IF('Week 22'!I18="","",'Week 22'!I18)</f>
        <v/>
      </c>
      <c r="D453">
        <f>IF('Week 22'!I18="","",IF('Week 22'!J18="",1,'Week 22'!J18))</f>
        <v/>
      </c>
      <c r="E453">
        <f>IF(OR(C453="",D453=""),"",IF(D453=1,C453,ROUND(C453*(1+D453/30),1)))</f>
        <v/>
      </c>
    </row>
    <row r="454">
      <c r="A454">
        <f>'Week 22'!B19</f>
        <v/>
      </c>
      <c r="B454">
        <f>'Week 22'!C19</f>
        <v/>
      </c>
      <c r="C454">
        <f>IF('Week 22'!I19="","",'Week 22'!I19)</f>
        <v/>
      </c>
      <c r="D454">
        <f>IF('Week 22'!I19="","",IF('Week 22'!J19="",1,'Week 22'!J19))</f>
        <v/>
      </c>
      <c r="E454">
        <f>IF(OR(C454="",D454=""),"",IF(D454=1,C454,ROUND(C454*(1+D454/30),1)))</f>
        <v/>
      </c>
    </row>
    <row r="455">
      <c r="A455">
        <f>'Week 22'!B20</f>
        <v/>
      </c>
      <c r="B455">
        <f>'Week 22'!C20</f>
        <v/>
      </c>
      <c r="C455">
        <f>IF('Week 22'!I20="","",'Week 22'!I20)</f>
        <v/>
      </c>
      <c r="D455">
        <f>IF('Week 22'!I20="","",IF('Week 22'!J20="",1,'Week 22'!J20))</f>
        <v/>
      </c>
      <c r="E455">
        <f>IF(OR(C455="",D455=""),"",IF(D455=1,C455,ROUND(C455*(1+D455/30),1)))</f>
        <v/>
      </c>
    </row>
    <row r="456">
      <c r="A456">
        <f>'Week 22'!B21</f>
        <v/>
      </c>
      <c r="B456">
        <f>'Week 22'!C21</f>
        <v/>
      </c>
      <c r="C456">
        <f>IF('Week 22'!I21="","",'Week 22'!I21)</f>
        <v/>
      </c>
      <c r="D456">
        <f>IF('Week 22'!I21="","",IF('Week 22'!J21="",1,'Week 22'!J21))</f>
        <v/>
      </c>
      <c r="E456">
        <f>IF(OR(C456="",D456=""),"",IF(D456=1,C456,ROUND(C456*(1+D456/30),1)))</f>
        <v/>
      </c>
    </row>
    <row r="457">
      <c r="A457">
        <f>'Week 22'!B22</f>
        <v/>
      </c>
      <c r="B457">
        <f>'Week 22'!C22</f>
        <v/>
      </c>
      <c r="C457">
        <f>IF('Week 22'!I22="","",'Week 22'!I22)</f>
        <v/>
      </c>
      <c r="D457">
        <f>IF('Week 22'!I22="","",IF('Week 22'!J22="",1,'Week 22'!J22))</f>
        <v/>
      </c>
      <c r="E457">
        <f>IF(OR(C457="",D457=""),"",IF(D457=1,C457,ROUND(C457*(1+D457/30),1)))</f>
        <v/>
      </c>
    </row>
    <row r="458">
      <c r="A458">
        <f>'Week 22'!B23</f>
        <v/>
      </c>
      <c r="B458">
        <f>'Week 22'!C23</f>
        <v/>
      </c>
      <c r="C458">
        <f>IF('Week 22'!I23="","",'Week 22'!I23)</f>
        <v/>
      </c>
      <c r="D458">
        <f>IF('Week 22'!I23="","",IF('Week 22'!J23="",1,'Week 22'!J23))</f>
        <v/>
      </c>
      <c r="E458">
        <f>IF(OR(C458="",D458=""),"",IF(D458=1,C458,ROUND(C458*(1+D458/30),1)))</f>
        <v/>
      </c>
    </row>
    <row r="459">
      <c r="A459">
        <f>'Week 22'!B24</f>
        <v/>
      </c>
      <c r="B459">
        <f>'Week 22'!C24</f>
        <v/>
      </c>
      <c r="C459">
        <f>IF('Week 22'!I24="","",'Week 22'!I24)</f>
        <v/>
      </c>
      <c r="D459">
        <f>IF('Week 22'!I24="","",IF('Week 22'!J24="",1,'Week 22'!J24))</f>
        <v/>
      </c>
      <c r="E459">
        <f>IF(OR(C459="",D459=""),"",IF(D459=1,C459,ROUND(C459*(1+D459/30),1)))</f>
        <v/>
      </c>
    </row>
    <row r="460">
      <c r="A460">
        <f>'Week 22'!B25</f>
        <v/>
      </c>
      <c r="B460">
        <f>'Week 22'!C25</f>
        <v/>
      </c>
      <c r="C460">
        <f>IF('Week 22'!I25="","",'Week 22'!I25)</f>
        <v/>
      </c>
      <c r="D460">
        <f>IF('Week 22'!I25="","",IF('Week 22'!J25="",1,'Week 22'!J25))</f>
        <v/>
      </c>
      <c r="E460">
        <f>IF(OR(C460="",D460=""),"",IF(D460=1,C460,ROUND(C460*(1+D460/30),1)))</f>
        <v/>
      </c>
    </row>
    <row r="461">
      <c r="A461">
        <f>'Week 23'!B6</f>
        <v/>
      </c>
      <c r="B461">
        <f>'Week 23'!C6</f>
        <v/>
      </c>
      <c r="C461">
        <f>IF('Week 23'!I6="","",'Week 23'!I6)</f>
        <v/>
      </c>
      <c r="D461">
        <f>IF('Week 23'!I6="","",IF('Week 23'!J6="",1,'Week 23'!J6))</f>
        <v/>
      </c>
      <c r="E461">
        <f>IF(OR(C461="",D461=""),"",IF(D461=1,C461,ROUND(C461*(1+D461/30),1)))</f>
        <v/>
      </c>
    </row>
    <row r="462">
      <c r="A462">
        <f>'Week 23'!B7</f>
        <v/>
      </c>
      <c r="B462">
        <f>'Week 23'!C7</f>
        <v/>
      </c>
      <c r="C462">
        <f>IF('Week 23'!I7="","",'Week 23'!I7)</f>
        <v/>
      </c>
      <c r="D462">
        <f>IF('Week 23'!I7="","",IF('Week 23'!J7="",1,'Week 23'!J7))</f>
        <v/>
      </c>
      <c r="E462">
        <f>IF(OR(C462="",D462=""),"",IF(D462=1,C462,ROUND(C462*(1+D462/30),1)))</f>
        <v/>
      </c>
    </row>
    <row r="463">
      <c r="A463">
        <f>'Week 23'!B8</f>
        <v/>
      </c>
      <c r="B463">
        <f>'Week 23'!C8</f>
        <v/>
      </c>
      <c r="C463">
        <f>IF('Week 23'!I8="","",'Week 23'!I8)</f>
        <v/>
      </c>
      <c r="D463">
        <f>IF('Week 23'!I8="","",IF('Week 23'!J8="",1,'Week 23'!J8))</f>
        <v/>
      </c>
      <c r="E463">
        <f>IF(OR(C463="",D463=""),"",IF(D463=1,C463,ROUND(C463*(1+D463/30),1)))</f>
        <v/>
      </c>
    </row>
    <row r="464">
      <c r="A464">
        <f>'Week 23'!B9</f>
        <v/>
      </c>
      <c r="B464">
        <f>'Week 23'!C9</f>
        <v/>
      </c>
      <c r="C464">
        <f>IF('Week 23'!I9="","",'Week 23'!I9)</f>
        <v/>
      </c>
      <c r="D464">
        <f>IF('Week 23'!I9="","",IF('Week 23'!J9="",1,'Week 23'!J9))</f>
        <v/>
      </c>
      <c r="E464">
        <f>IF(OR(C464="",D464=""),"",IF(D464=1,C464,ROUND(C464*(1+D464/30),1)))</f>
        <v/>
      </c>
    </row>
    <row r="465">
      <c r="A465">
        <f>'Week 23'!B10</f>
        <v/>
      </c>
      <c r="B465">
        <f>'Week 23'!C10</f>
        <v/>
      </c>
      <c r="C465">
        <f>IF('Week 23'!I10="","",'Week 23'!I10)</f>
        <v/>
      </c>
      <c r="D465">
        <f>IF('Week 23'!I10="","",IF('Week 23'!J10="",1,'Week 23'!J10))</f>
        <v/>
      </c>
      <c r="E465">
        <f>IF(OR(C465="",D465=""),"",IF(D465=1,C465,ROUND(C465*(1+D465/30),1)))</f>
        <v/>
      </c>
    </row>
    <row r="466">
      <c r="A466">
        <f>'Week 23'!B11</f>
        <v/>
      </c>
      <c r="B466">
        <f>'Week 23'!C11</f>
        <v/>
      </c>
      <c r="C466">
        <f>IF('Week 23'!I11="","",'Week 23'!I11)</f>
        <v/>
      </c>
      <c r="D466">
        <f>IF('Week 23'!I11="","",IF('Week 23'!J11="",1,'Week 23'!J11))</f>
        <v/>
      </c>
      <c r="E466">
        <f>IF(OR(C466="",D466=""),"",IF(D466=1,C466,ROUND(C466*(1+D466/30),1)))</f>
        <v/>
      </c>
    </row>
    <row r="467">
      <c r="A467">
        <f>'Week 23'!B12</f>
        <v/>
      </c>
      <c r="B467">
        <f>'Week 23'!C12</f>
        <v/>
      </c>
      <c r="C467">
        <f>IF('Week 23'!I12="","",'Week 23'!I12)</f>
        <v/>
      </c>
      <c r="D467">
        <f>IF('Week 23'!I12="","",IF('Week 23'!J12="",1,'Week 23'!J12))</f>
        <v/>
      </c>
      <c r="E467">
        <f>IF(OR(C467="",D467=""),"",IF(D467=1,C467,ROUND(C467*(1+D467/30),1)))</f>
        <v/>
      </c>
    </row>
    <row r="468">
      <c r="A468">
        <f>'Week 23'!B13</f>
        <v/>
      </c>
      <c r="B468">
        <f>'Week 23'!C13</f>
        <v/>
      </c>
      <c r="C468">
        <f>IF('Week 23'!I13="","",'Week 23'!I13)</f>
        <v/>
      </c>
      <c r="D468">
        <f>IF('Week 23'!I13="","",IF('Week 23'!J13="",1,'Week 23'!J13))</f>
        <v/>
      </c>
      <c r="E468">
        <f>IF(OR(C468="",D468=""),"",IF(D468=1,C468,ROUND(C468*(1+D468/30),1)))</f>
        <v/>
      </c>
    </row>
    <row r="469">
      <c r="A469">
        <f>'Week 23'!B14</f>
        <v/>
      </c>
      <c r="B469">
        <f>'Week 23'!C14</f>
        <v/>
      </c>
      <c r="C469">
        <f>IF('Week 23'!I14="","",'Week 23'!I14)</f>
        <v/>
      </c>
      <c r="D469">
        <f>IF('Week 23'!I14="","",IF('Week 23'!J14="",1,'Week 23'!J14))</f>
        <v/>
      </c>
      <c r="E469">
        <f>IF(OR(C469="",D469=""),"",IF(D469=1,C469,ROUND(C469*(1+D469/30),1)))</f>
        <v/>
      </c>
    </row>
    <row r="470">
      <c r="A470">
        <f>'Week 23'!B15</f>
        <v/>
      </c>
      <c r="B470">
        <f>'Week 23'!C15</f>
        <v/>
      </c>
      <c r="C470">
        <f>IF('Week 23'!I15="","",'Week 23'!I15)</f>
        <v/>
      </c>
      <c r="D470">
        <f>IF('Week 23'!I15="","",IF('Week 23'!J15="",1,'Week 23'!J15))</f>
        <v/>
      </c>
      <c r="E470">
        <f>IF(OR(C470="",D470=""),"",IF(D470=1,C470,ROUND(C470*(1+D470/30),1)))</f>
        <v/>
      </c>
    </row>
    <row r="471">
      <c r="A471">
        <f>'Week 23'!B16</f>
        <v/>
      </c>
      <c r="B471">
        <f>'Week 23'!C16</f>
        <v/>
      </c>
      <c r="C471">
        <f>IF('Week 23'!I16="","",'Week 23'!I16)</f>
        <v/>
      </c>
      <c r="D471">
        <f>IF('Week 23'!I16="","",IF('Week 23'!J16="",1,'Week 23'!J16))</f>
        <v/>
      </c>
      <c r="E471">
        <f>IF(OR(C471="",D471=""),"",IF(D471=1,C471,ROUND(C471*(1+D471/30),1)))</f>
        <v/>
      </c>
    </row>
    <row r="472">
      <c r="A472">
        <f>'Week 23'!B17</f>
        <v/>
      </c>
      <c r="B472">
        <f>'Week 23'!C17</f>
        <v/>
      </c>
      <c r="C472">
        <f>IF('Week 23'!I17="","",'Week 23'!I17)</f>
        <v/>
      </c>
      <c r="D472">
        <f>IF('Week 23'!I17="","",IF('Week 23'!J17="",1,'Week 23'!J17))</f>
        <v/>
      </c>
      <c r="E472">
        <f>IF(OR(C472="",D472=""),"",IF(D472=1,C472,ROUND(C472*(1+D472/30),1)))</f>
        <v/>
      </c>
    </row>
    <row r="473">
      <c r="A473">
        <f>'Week 23'!B18</f>
        <v/>
      </c>
      <c r="B473">
        <f>'Week 23'!C18</f>
        <v/>
      </c>
      <c r="C473">
        <f>IF('Week 23'!I18="","",'Week 23'!I18)</f>
        <v/>
      </c>
      <c r="D473">
        <f>IF('Week 23'!I18="","",IF('Week 23'!J18="",1,'Week 23'!J18))</f>
        <v/>
      </c>
      <c r="E473">
        <f>IF(OR(C473="",D473=""),"",IF(D473=1,C473,ROUND(C473*(1+D473/30),1)))</f>
        <v/>
      </c>
    </row>
    <row r="474">
      <c r="A474">
        <f>'Week 23'!B19</f>
        <v/>
      </c>
      <c r="B474">
        <f>'Week 23'!C19</f>
        <v/>
      </c>
      <c r="C474">
        <f>IF('Week 23'!I19="","",'Week 23'!I19)</f>
        <v/>
      </c>
      <c r="D474">
        <f>IF('Week 23'!I19="","",IF('Week 23'!J19="",1,'Week 23'!J19))</f>
        <v/>
      </c>
      <c r="E474">
        <f>IF(OR(C474="",D474=""),"",IF(D474=1,C474,ROUND(C474*(1+D474/30),1)))</f>
        <v/>
      </c>
    </row>
    <row r="475">
      <c r="A475">
        <f>'Week 23'!B20</f>
        <v/>
      </c>
      <c r="B475">
        <f>'Week 23'!C20</f>
        <v/>
      </c>
      <c r="C475">
        <f>IF('Week 23'!I20="","",'Week 23'!I20)</f>
        <v/>
      </c>
      <c r="D475">
        <f>IF('Week 23'!I20="","",IF('Week 23'!J20="",1,'Week 23'!J20))</f>
        <v/>
      </c>
      <c r="E475">
        <f>IF(OR(C475="",D475=""),"",IF(D475=1,C475,ROUND(C475*(1+D475/30),1)))</f>
        <v/>
      </c>
    </row>
    <row r="476">
      <c r="A476">
        <f>'Week 23'!B21</f>
        <v/>
      </c>
      <c r="B476">
        <f>'Week 23'!C21</f>
        <v/>
      </c>
      <c r="C476">
        <f>IF('Week 23'!I21="","",'Week 23'!I21)</f>
        <v/>
      </c>
      <c r="D476">
        <f>IF('Week 23'!I21="","",IF('Week 23'!J21="",1,'Week 23'!J21))</f>
        <v/>
      </c>
      <c r="E476">
        <f>IF(OR(C476="",D476=""),"",IF(D476=1,C476,ROUND(C476*(1+D476/30),1)))</f>
        <v/>
      </c>
    </row>
    <row r="477">
      <c r="A477">
        <f>'Week 23'!B22</f>
        <v/>
      </c>
      <c r="B477">
        <f>'Week 23'!C22</f>
        <v/>
      </c>
      <c r="C477">
        <f>IF('Week 23'!I22="","",'Week 23'!I22)</f>
        <v/>
      </c>
      <c r="D477">
        <f>IF('Week 23'!I22="","",IF('Week 23'!J22="",1,'Week 23'!J22))</f>
        <v/>
      </c>
      <c r="E477">
        <f>IF(OR(C477="",D477=""),"",IF(D477=1,C477,ROUND(C477*(1+D477/30),1)))</f>
        <v/>
      </c>
    </row>
    <row r="478">
      <c r="A478">
        <f>'Week 23'!B23</f>
        <v/>
      </c>
      <c r="B478">
        <f>'Week 23'!C23</f>
        <v/>
      </c>
      <c r="C478">
        <f>IF('Week 23'!I23="","",'Week 23'!I23)</f>
        <v/>
      </c>
      <c r="D478">
        <f>IF('Week 23'!I23="","",IF('Week 23'!J23="",1,'Week 23'!J23))</f>
        <v/>
      </c>
      <c r="E478">
        <f>IF(OR(C478="",D478=""),"",IF(D478=1,C478,ROUND(C478*(1+D478/30),1)))</f>
        <v/>
      </c>
    </row>
    <row r="479">
      <c r="A479">
        <f>'Week 23'!B24</f>
        <v/>
      </c>
      <c r="B479">
        <f>'Week 23'!C24</f>
        <v/>
      </c>
      <c r="C479">
        <f>IF('Week 23'!I24="","",'Week 23'!I24)</f>
        <v/>
      </c>
      <c r="D479">
        <f>IF('Week 23'!I24="","",IF('Week 23'!J24="",1,'Week 23'!J24))</f>
        <v/>
      </c>
      <c r="E479">
        <f>IF(OR(C479="",D479=""),"",IF(D479=1,C479,ROUND(C479*(1+D479/30),1)))</f>
        <v/>
      </c>
    </row>
    <row r="480">
      <c r="A480">
        <f>'Week 23'!B25</f>
        <v/>
      </c>
      <c r="B480">
        <f>'Week 23'!C25</f>
        <v/>
      </c>
      <c r="C480">
        <f>IF('Week 23'!I25="","",'Week 23'!I25)</f>
        <v/>
      </c>
      <c r="D480">
        <f>IF('Week 23'!I25="","",IF('Week 23'!J25="",1,'Week 23'!J25))</f>
        <v/>
      </c>
      <c r="E480">
        <f>IF(OR(C480="",D480=""),"",IF(D480=1,C480,ROUND(C480*(1+D480/30),1)))</f>
        <v/>
      </c>
    </row>
    <row r="481">
      <c r="A481">
        <f>'Week 24'!B6</f>
        <v/>
      </c>
      <c r="B481">
        <f>'Week 24'!C6</f>
        <v/>
      </c>
      <c r="C481">
        <f>IF('Week 24'!I6="","",'Week 24'!I6)</f>
        <v/>
      </c>
      <c r="D481">
        <f>IF('Week 24'!I6="","",IF('Week 24'!J6="",1,'Week 24'!J6))</f>
        <v/>
      </c>
      <c r="E481">
        <f>IF(OR(C481="",D481=""),"",IF(D481=1,C481,ROUND(C481*(1+D481/30),1)))</f>
        <v/>
      </c>
    </row>
    <row r="482">
      <c r="A482">
        <f>'Week 24'!B7</f>
        <v/>
      </c>
      <c r="B482">
        <f>'Week 24'!C7</f>
        <v/>
      </c>
      <c r="C482">
        <f>IF('Week 24'!I7="","",'Week 24'!I7)</f>
        <v/>
      </c>
      <c r="D482">
        <f>IF('Week 24'!I7="","",IF('Week 24'!J7="",1,'Week 24'!J7))</f>
        <v/>
      </c>
      <c r="E482">
        <f>IF(OR(C482="",D482=""),"",IF(D482=1,C482,ROUND(C482*(1+D482/30),1)))</f>
        <v/>
      </c>
    </row>
    <row r="483">
      <c r="A483">
        <f>'Week 24'!B8</f>
        <v/>
      </c>
      <c r="B483">
        <f>'Week 24'!C8</f>
        <v/>
      </c>
      <c r="C483">
        <f>IF('Week 24'!I8="","",'Week 24'!I8)</f>
        <v/>
      </c>
      <c r="D483">
        <f>IF('Week 24'!I8="","",IF('Week 24'!J8="",1,'Week 24'!J8))</f>
        <v/>
      </c>
      <c r="E483">
        <f>IF(OR(C483="",D483=""),"",IF(D483=1,C483,ROUND(C483*(1+D483/30),1)))</f>
        <v/>
      </c>
    </row>
    <row r="484">
      <c r="A484">
        <f>'Week 24'!B9</f>
        <v/>
      </c>
      <c r="B484">
        <f>'Week 24'!C9</f>
        <v/>
      </c>
      <c r="C484">
        <f>IF('Week 24'!I9="","",'Week 24'!I9)</f>
        <v/>
      </c>
      <c r="D484">
        <f>IF('Week 24'!I9="","",IF('Week 24'!J9="",1,'Week 24'!J9))</f>
        <v/>
      </c>
      <c r="E484">
        <f>IF(OR(C484="",D484=""),"",IF(D484=1,C484,ROUND(C484*(1+D484/30),1)))</f>
        <v/>
      </c>
    </row>
    <row r="485">
      <c r="A485">
        <f>'Week 24'!B10</f>
        <v/>
      </c>
      <c r="B485">
        <f>'Week 24'!C10</f>
        <v/>
      </c>
      <c r="C485">
        <f>IF('Week 24'!I10="","",'Week 24'!I10)</f>
        <v/>
      </c>
      <c r="D485">
        <f>IF('Week 24'!I10="","",IF('Week 24'!J10="",1,'Week 24'!J10))</f>
        <v/>
      </c>
      <c r="E485">
        <f>IF(OR(C485="",D485=""),"",IF(D485=1,C485,ROUND(C485*(1+D485/30),1)))</f>
        <v/>
      </c>
    </row>
    <row r="486">
      <c r="A486">
        <f>'Week 24'!B11</f>
        <v/>
      </c>
      <c r="B486">
        <f>'Week 24'!C11</f>
        <v/>
      </c>
      <c r="C486">
        <f>IF('Week 24'!I11="","",'Week 24'!I11)</f>
        <v/>
      </c>
      <c r="D486">
        <f>IF('Week 24'!I11="","",IF('Week 24'!J11="",1,'Week 24'!J11))</f>
        <v/>
      </c>
      <c r="E486">
        <f>IF(OR(C486="",D486=""),"",IF(D486=1,C486,ROUND(C486*(1+D486/30),1)))</f>
        <v/>
      </c>
    </row>
    <row r="487">
      <c r="A487">
        <f>'Week 24'!B12</f>
        <v/>
      </c>
      <c r="B487">
        <f>'Week 24'!C12</f>
        <v/>
      </c>
      <c r="C487">
        <f>IF('Week 24'!I12="","",'Week 24'!I12)</f>
        <v/>
      </c>
      <c r="D487">
        <f>IF('Week 24'!I12="","",IF('Week 24'!J12="",1,'Week 24'!J12))</f>
        <v/>
      </c>
      <c r="E487">
        <f>IF(OR(C487="",D487=""),"",IF(D487=1,C487,ROUND(C487*(1+D487/30),1)))</f>
        <v/>
      </c>
    </row>
    <row r="488">
      <c r="A488">
        <f>'Week 24'!B13</f>
        <v/>
      </c>
      <c r="B488">
        <f>'Week 24'!C13</f>
        <v/>
      </c>
      <c r="C488">
        <f>IF('Week 24'!I13="","",'Week 24'!I13)</f>
        <v/>
      </c>
      <c r="D488">
        <f>IF('Week 24'!I13="","",IF('Week 24'!J13="",1,'Week 24'!J13))</f>
        <v/>
      </c>
      <c r="E488">
        <f>IF(OR(C488="",D488=""),"",IF(D488=1,C488,ROUND(C488*(1+D488/30),1)))</f>
        <v/>
      </c>
    </row>
    <row r="489">
      <c r="A489">
        <f>'Week 24'!B14</f>
        <v/>
      </c>
      <c r="B489">
        <f>'Week 24'!C14</f>
        <v/>
      </c>
      <c r="C489">
        <f>IF('Week 24'!I14="","",'Week 24'!I14)</f>
        <v/>
      </c>
      <c r="D489">
        <f>IF('Week 24'!I14="","",IF('Week 24'!J14="",1,'Week 24'!J14))</f>
        <v/>
      </c>
      <c r="E489">
        <f>IF(OR(C489="",D489=""),"",IF(D489=1,C489,ROUND(C489*(1+D489/30),1)))</f>
        <v/>
      </c>
    </row>
    <row r="490">
      <c r="A490">
        <f>'Week 24'!B15</f>
        <v/>
      </c>
      <c r="B490">
        <f>'Week 24'!C15</f>
        <v/>
      </c>
      <c r="C490">
        <f>IF('Week 24'!I15="","",'Week 24'!I15)</f>
        <v/>
      </c>
      <c r="D490">
        <f>IF('Week 24'!I15="","",IF('Week 24'!J15="",1,'Week 24'!J15))</f>
        <v/>
      </c>
      <c r="E490">
        <f>IF(OR(C490="",D490=""),"",IF(D490=1,C490,ROUND(C490*(1+D490/30),1)))</f>
        <v/>
      </c>
    </row>
    <row r="491">
      <c r="A491">
        <f>'Week 24'!B16</f>
        <v/>
      </c>
      <c r="B491">
        <f>'Week 24'!C16</f>
        <v/>
      </c>
      <c r="C491">
        <f>IF('Week 24'!I16="","",'Week 24'!I16)</f>
        <v/>
      </c>
      <c r="D491">
        <f>IF('Week 24'!I16="","",IF('Week 24'!J16="",1,'Week 24'!J16))</f>
        <v/>
      </c>
      <c r="E491">
        <f>IF(OR(C491="",D491=""),"",IF(D491=1,C491,ROUND(C491*(1+D491/30),1)))</f>
        <v/>
      </c>
    </row>
    <row r="492">
      <c r="A492">
        <f>'Week 24'!B17</f>
        <v/>
      </c>
      <c r="B492">
        <f>'Week 24'!C17</f>
        <v/>
      </c>
      <c r="C492">
        <f>IF('Week 24'!I17="","",'Week 24'!I17)</f>
        <v/>
      </c>
      <c r="D492">
        <f>IF('Week 24'!I17="","",IF('Week 24'!J17="",1,'Week 24'!J17))</f>
        <v/>
      </c>
      <c r="E492">
        <f>IF(OR(C492="",D492=""),"",IF(D492=1,C492,ROUND(C492*(1+D492/30),1)))</f>
        <v/>
      </c>
    </row>
    <row r="493">
      <c r="A493">
        <f>'Week 24'!B18</f>
        <v/>
      </c>
      <c r="B493">
        <f>'Week 24'!C18</f>
        <v/>
      </c>
      <c r="C493">
        <f>IF('Week 24'!I18="","",'Week 24'!I18)</f>
        <v/>
      </c>
      <c r="D493">
        <f>IF('Week 24'!I18="","",IF('Week 24'!J18="",1,'Week 24'!J18))</f>
        <v/>
      </c>
      <c r="E493">
        <f>IF(OR(C493="",D493=""),"",IF(D493=1,C493,ROUND(C493*(1+D493/30),1)))</f>
        <v/>
      </c>
    </row>
    <row r="494">
      <c r="A494">
        <f>'Week 24'!B19</f>
        <v/>
      </c>
      <c r="B494">
        <f>'Week 24'!C19</f>
        <v/>
      </c>
      <c r="C494">
        <f>IF('Week 24'!I19="","",'Week 24'!I19)</f>
        <v/>
      </c>
      <c r="D494">
        <f>IF('Week 24'!I19="","",IF('Week 24'!J19="",1,'Week 24'!J19))</f>
        <v/>
      </c>
      <c r="E494">
        <f>IF(OR(C494="",D494=""),"",IF(D494=1,C494,ROUND(C494*(1+D494/30),1)))</f>
        <v/>
      </c>
    </row>
    <row r="495">
      <c r="A495">
        <f>'Week 24'!B20</f>
        <v/>
      </c>
      <c r="B495">
        <f>'Week 24'!C20</f>
        <v/>
      </c>
      <c r="C495">
        <f>IF('Week 24'!I20="","",'Week 24'!I20)</f>
        <v/>
      </c>
      <c r="D495">
        <f>IF('Week 24'!I20="","",IF('Week 24'!J20="",1,'Week 24'!J20))</f>
        <v/>
      </c>
      <c r="E495">
        <f>IF(OR(C495="",D495=""),"",IF(D495=1,C495,ROUND(C495*(1+D495/30),1)))</f>
        <v/>
      </c>
    </row>
    <row r="496">
      <c r="A496">
        <f>'Week 24'!B21</f>
        <v/>
      </c>
      <c r="B496">
        <f>'Week 24'!C21</f>
        <v/>
      </c>
      <c r="C496">
        <f>IF('Week 24'!I21="","",'Week 24'!I21)</f>
        <v/>
      </c>
      <c r="D496">
        <f>IF('Week 24'!I21="","",IF('Week 24'!J21="",1,'Week 24'!J21))</f>
        <v/>
      </c>
      <c r="E496">
        <f>IF(OR(C496="",D496=""),"",IF(D496=1,C496,ROUND(C496*(1+D496/30),1)))</f>
        <v/>
      </c>
    </row>
    <row r="497">
      <c r="A497">
        <f>'Week 24'!B22</f>
        <v/>
      </c>
      <c r="B497">
        <f>'Week 24'!C22</f>
        <v/>
      </c>
      <c r="C497">
        <f>IF('Week 24'!I22="","",'Week 24'!I22)</f>
        <v/>
      </c>
      <c r="D497">
        <f>IF('Week 24'!I22="","",IF('Week 24'!J22="",1,'Week 24'!J22))</f>
        <v/>
      </c>
      <c r="E497">
        <f>IF(OR(C497="",D497=""),"",IF(D497=1,C497,ROUND(C497*(1+D497/30),1)))</f>
        <v/>
      </c>
    </row>
    <row r="498">
      <c r="A498">
        <f>'Week 24'!B23</f>
        <v/>
      </c>
      <c r="B498">
        <f>'Week 24'!C23</f>
        <v/>
      </c>
      <c r="C498">
        <f>IF('Week 24'!I23="","",'Week 24'!I23)</f>
        <v/>
      </c>
      <c r="D498">
        <f>IF('Week 24'!I23="","",IF('Week 24'!J23="",1,'Week 24'!J23))</f>
        <v/>
      </c>
      <c r="E498">
        <f>IF(OR(C498="",D498=""),"",IF(D498=1,C498,ROUND(C498*(1+D498/30),1)))</f>
        <v/>
      </c>
    </row>
    <row r="499">
      <c r="A499">
        <f>'Week 24'!B24</f>
        <v/>
      </c>
      <c r="B499">
        <f>'Week 24'!C24</f>
        <v/>
      </c>
      <c r="C499">
        <f>IF('Week 24'!I24="","",'Week 24'!I24)</f>
        <v/>
      </c>
      <c r="D499">
        <f>IF('Week 24'!I24="","",IF('Week 24'!J24="",1,'Week 24'!J24))</f>
        <v/>
      </c>
      <c r="E499">
        <f>IF(OR(C499="",D499=""),"",IF(D499=1,C499,ROUND(C499*(1+D499/30),1)))</f>
        <v/>
      </c>
    </row>
    <row r="500">
      <c r="A500">
        <f>'Week 24'!B25</f>
        <v/>
      </c>
      <c r="B500">
        <f>'Week 24'!C25</f>
        <v/>
      </c>
      <c r="C500">
        <f>IF('Week 24'!I25="","",'Week 24'!I25)</f>
        <v/>
      </c>
      <c r="D500">
        <f>IF('Week 24'!I25="","",IF('Week 24'!J25="",1,'Week 24'!J25))</f>
        <v/>
      </c>
      <c r="E500">
        <f>IF(OR(C500="",D500=""),"",IF(D500=1,C500,ROUND(C500*(1+D500/30),1)))</f>
        <v/>
      </c>
    </row>
    <row r="501">
      <c r="A501">
        <f>'Week 25'!B6</f>
        <v/>
      </c>
      <c r="B501">
        <f>'Week 25'!C6</f>
        <v/>
      </c>
      <c r="C501">
        <f>IF('Week 25'!I6="","",'Week 25'!I6)</f>
        <v/>
      </c>
      <c r="D501">
        <f>IF('Week 25'!I6="","",IF('Week 25'!J6="",1,'Week 25'!J6))</f>
        <v/>
      </c>
      <c r="E501">
        <f>IF(OR(C501="",D501=""),"",IF(D501=1,C501,ROUND(C501*(1+D501/30),1)))</f>
        <v/>
      </c>
    </row>
    <row r="502">
      <c r="A502">
        <f>'Week 25'!B7</f>
        <v/>
      </c>
      <c r="B502">
        <f>'Week 25'!C7</f>
        <v/>
      </c>
      <c r="C502">
        <f>IF('Week 25'!I7="","",'Week 25'!I7)</f>
        <v/>
      </c>
      <c r="D502">
        <f>IF('Week 25'!I7="","",IF('Week 25'!J7="",1,'Week 25'!J7))</f>
        <v/>
      </c>
      <c r="E502">
        <f>IF(OR(C502="",D502=""),"",IF(D502=1,C502,ROUND(C502*(1+D502/30),1)))</f>
        <v/>
      </c>
    </row>
    <row r="503">
      <c r="A503">
        <f>'Week 25'!B8</f>
        <v/>
      </c>
      <c r="B503">
        <f>'Week 25'!C8</f>
        <v/>
      </c>
      <c r="C503">
        <f>IF('Week 25'!I8="","",'Week 25'!I8)</f>
        <v/>
      </c>
      <c r="D503">
        <f>IF('Week 25'!I8="","",IF('Week 25'!J8="",1,'Week 25'!J8))</f>
        <v/>
      </c>
      <c r="E503">
        <f>IF(OR(C503="",D503=""),"",IF(D503=1,C503,ROUND(C503*(1+D503/30),1)))</f>
        <v/>
      </c>
    </row>
    <row r="504">
      <c r="A504">
        <f>'Week 25'!B9</f>
        <v/>
      </c>
      <c r="B504">
        <f>'Week 25'!C9</f>
        <v/>
      </c>
      <c r="C504">
        <f>IF('Week 25'!I9="","",'Week 25'!I9)</f>
        <v/>
      </c>
      <c r="D504">
        <f>IF('Week 25'!I9="","",IF('Week 25'!J9="",1,'Week 25'!J9))</f>
        <v/>
      </c>
      <c r="E504">
        <f>IF(OR(C504="",D504=""),"",IF(D504=1,C504,ROUND(C504*(1+D504/30),1)))</f>
        <v/>
      </c>
    </row>
    <row r="505">
      <c r="A505">
        <f>'Week 25'!B10</f>
        <v/>
      </c>
      <c r="B505">
        <f>'Week 25'!C10</f>
        <v/>
      </c>
      <c r="C505">
        <f>IF('Week 25'!I10="","",'Week 25'!I10)</f>
        <v/>
      </c>
      <c r="D505">
        <f>IF('Week 25'!I10="","",IF('Week 25'!J10="",1,'Week 25'!J10))</f>
        <v/>
      </c>
      <c r="E505">
        <f>IF(OR(C505="",D505=""),"",IF(D505=1,C505,ROUND(C505*(1+D505/30),1)))</f>
        <v/>
      </c>
    </row>
    <row r="506">
      <c r="A506">
        <f>'Week 25'!B11</f>
        <v/>
      </c>
      <c r="B506">
        <f>'Week 25'!C11</f>
        <v/>
      </c>
      <c r="C506">
        <f>IF('Week 25'!I11="","",'Week 25'!I11)</f>
        <v/>
      </c>
      <c r="D506">
        <f>IF('Week 25'!I11="","",IF('Week 25'!J11="",1,'Week 25'!J11))</f>
        <v/>
      </c>
      <c r="E506">
        <f>IF(OR(C506="",D506=""),"",IF(D506=1,C506,ROUND(C506*(1+D506/30),1)))</f>
        <v/>
      </c>
    </row>
    <row r="507">
      <c r="A507">
        <f>'Week 25'!B12</f>
        <v/>
      </c>
      <c r="B507">
        <f>'Week 25'!C12</f>
        <v/>
      </c>
      <c r="C507">
        <f>IF('Week 25'!I12="","",'Week 25'!I12)</f>
        <v/>
      </c>
      <c r="D507">
        <f>IF('Week 25'!I12="","",IF('Week 25'!J12="",1,'Week 25'!J12))</f>
        <v/>
      </c>
      <c r="E507">
        <f>IF(OR(C507="",D507=""),"",IF(D507=1,C507,ROUND(C507*(1+D507/30),1)))</f>
        <v/>
      </c>
    </row>
    <row r="508">
      <c r="A508">
        <f>'Week 25'!B13</f>
        <v/>
      </c>
      <c r="B508">
        <f>'Week 25'!C13</f>
        <v/>
      </c>
      <c r="C508">
        <f>IF('Week 25'!I13="","",'Week 25'!I13)</f>
        <v/>
      </c>
      <c r="D508">
        <f>IF('Week 25'!I13="","",IF('Week 25'!J13="",1,'Week 25'!J13))</f>
        <v/>
      </c>
      <c r="E508">
        <f>IF(OR(C508="",D508=""),"",IF(D508=1,C508,ROUND(C508*(1+D508/30),1)))</f>
        <v/>
      </c>
    </row>
    <row r="509">
      <c r="A509">
        <f>'Week 25'!B14</f>
        <v/>
      </c>
      <c r="B509">
        <f>'Week 25'!C14</f>
        <v/>
      </c>
      <c r="C509">
        <f>IF('Week 25'!I14="","",'Week 25'!I14)</f>
        <v/>
      </c>
      <c r="D509">
        <f>IF('Week 25'!I14="","",IF('Week 25'!J14="",1,'Week 25'!J14))</f>
        <v/>
      </c>
      <c r="E509">
        <f>IF(OR(C509="",D509=""),"",IF(D509=1,C509,ROUND(C509*(1+D509/30),1)))</f>
        <v/>
      </c>
    </row>
    <row r="510">
      <c r="A510">
        <f>'Week 25'!B15</f>
        <v/>
      </c>
      <c r="B510">
        <f>'Week 25'!C15</f>
        <v/>
      </c>
      <c r="C510">
        <f>IF('Week 25'!I15="","",'Week 25'!I15)</f>
        <v/>
      </c>
      <c r="D510">
        <f>IF('Week 25'!I15="","",IF('Week 25'!J15="",1,'Week 25'!J15))</f>
        <v/>
      </c>
      <c r="E510">
        <f>IF(OR(C510="",D510=""),"",IF(D510=1,C510,ROUND(C510*(1+D510/30),1)))</f>
        <v/>
      </c>
    </row>
    <row r="511">
      <c r="A511">
        <f>'Week 25'!B16</f>
        <v/>
      </c>
      <c r="B511">
        <f>'Week 25'!C16</f>
        <v/>
      </c>
      <c r="C511">
        <f>IF('Week 25'!I16="","",'Week 25'!I16)</f>
        <v/>
      </c>
      <c r="D511">
        <f>IF('Week 25'!I16="","",IF('Week 25'!J16="",1,'Week 25'!J16))</f>
        <v/>
      </c>
      <c r="E511">
        <f>IF(OR(C511="",D511=""),"",IF(D511=1,C511,ROUND(C511*(1+D511/30),1)))</f>
        <v/>
      </c>
    </row>
    <row r="512">
      <c r="A512">
        <f>'Week 25'!B17</f>
        <v/>
      </c>
      <c r="B512">
        <f>'Week 25'!C17</f>
        <v/>
      </c>
      <c r="C512">
        <f>IF('Week 25'!I17="","",'Week 25'!I17)</f>
        <v/>
      </c>
      <c r="D512">
        <f>IF('Week 25'!I17="","",IF('Week 25'!J17="",1,'Week 25'!J17))</f>
        <v/>
      </c>
      <c r="E512">
        <f>IF(OR(C512="",D512=""),"",IF(D512=1,C512,ROUND(C512*(1+D512/30),1)))</f>
        <v/>
      </c>
    </row>
    <row r="513">
      <c r="A513">
        <f>'Week 25'!B18</f>
        <v/>
      </c>
      <c r="B513">
        <f>'Week 25'!C18</f>
        <v/>
      </c>
      <c r="C513">
        <f>IF('Week 25'!I18="","",'Week 25'!I18)</f>
        <v/>
      </c>
      <c r="D513">
        <f>IF('Week 25'!I18="","",IF('Week 25'!J18="",1,'Week 25'!J18))</f>
        <v/>
      </c>
      <c r="E513">
        <f>IF(OR(C513="",D513=""),"",IF(D513=1,C513,ROUND(C513*(1+D513/30),1)))</f>
        <v/>
      </c>
    </row>
    <row r="514">
      <c r="A514">
        <f>'Week 25'!B19</f>
        <v/>
      </c>
      <c r="B514">
        <f>'Week 25'!C19</f>
        <v/>
      </c>
      <c r="C514">
        <f>IF('Week 25'!I19="","",'Week 25'!I19)</f>
        <v/>
      </c>
      <c r="D514">
        <f>IF('Week 25'!I19="","",IF('Week 25'!J19="",1,'Week 25'!J19))</f>
        <v/>
      </c>
      <c r="E514">
        <f>IF(OR(C514="",D514=""),"",IF(D514=1,C514,ROUND(C514*(1+D514/30),1)))</f>
        <v/>
      </c>
    </row>
    <row r="515">
      <c r="A515">
        <f>'Week 25'!B20</f>
        <v/>
      </c>
      <c r="B515">
        <f>'Week 25'!C20</f>
        <v/>
      </c>
      <c r="C515">
        <f>IF('Week 25'!I20="","",'Week 25'!I20)</f>
        <v/>
      </c>
      <c r="D515">
        <f>IF('Week 25'!I20="","",IF('Week 25'!J20="",1,'Week 25'!J20))</f>
        <v/>
      </c>
      <c r="E515">
        <f>IF(OR(C515="",D515=""),"",IF(D515=1,C515,ROUND(C515*(1+D515/30),1)))</f>
        <v/>
      </c>
    </row>
    <row r="516">
      <c r="A516">
        <f>'Week 25'!B21</f>
        <v/>
      </c>
      <c r="B516">
        <f>'Week 25'!C21</f>
        <v/>
      </c>
      <c r="C516">
        <f>IF('Week 25'!I21="","",'Week 25'!I21)</f>
        <v/>
      </c>
      <c r="D516">
        <f>IF('Week 25'!I21="","",IF('Week 25'!J21="",1,'Week 25'!J21))</f>
        <v/>
      </c>
      <c r="E516">
        <f>IF(OR(C516="",D516=""),"",IF(D516=1,C516,ROUND(C516*(1+D516/30),1)))</f>
        <v/>
      </c>
    </row>
    <row r="517">
      <c r="A517">
        <f>'Week 25'!B22</f>
        <v/>
      </c>
      <c r="B517">
        <f>'Week 25'!C22</f>
        <v/>
      </c>
      <c r="C517">
        <f>IF('Week 25'!I22="","",'Week 25'!I22)</f>
        <v/>
      </c>
      <c r="D517">
        <f>IF('Week 25'!I22="","",IF('Week 25'!J22="",1,'Week 25'!J22))</f>
        <v/>
      </c>
      <c r="E517">
        <f>IF(OR(C517="",D517=""),"",IF(D517=1,C517,ROUND(C517*(1+D517/30),1)))</f>
        <v/>
      </c>
    </row>
    <row r="518">
      <c r="A518">
        <f>'Week 25'!B23</f>
        <v/>
      </c>
      <c r="B518">
        <f>'Week 25'!C23</f>
        <v/>
      </c>
      <c r="C518">
        <f>IF('Week 25'!I23="","",'Week 25'!I23)</f>
        <v/>
      </c>
      <c r="D518">
        <f>IF('Week 25'!I23="","",IF('Week 25'!J23="",1,'Week 25'!J23))</f>
        <v/>
      </c>
      <c r="E518">
        <f>IF(OR(C518="",D518=""),"",IF(D518=1,C518,ROUND(C518*(1+D518/30),1)))</f>
        <v/>
      </c>
    </row>
    <row r="519">
      <c r="A519">
        <f>'Week 25'!B24</f>
        <v/>
      </c>
      <c r="B519">
        <f>'Week 25'!C24</f>
        <v/>
      </c>
      <c r="C519">
        <f>IF('Week 25'!I24="","",'Week 25'!I24)</f>
        <v/>
      </c>
      <c r="D519">
        <f>IF('Week 25'!I24="","",IF('Week 25'!J24="",1,'Week 25'!J24))</f>
        <v/>
      </c>
      <c r="E519">
        <f>IF(OR(C519="",D519=""),"",IF(D519=1,C519,ROUND(C519*(1+D519/30),1)))</f>
        <v/>
      </c>
    </row>
    <row r="520">
      <c r="A520">
        <f>'Week 25'!B25</f>
        <v/>
      </c>
      <c r="B520">
        <f>'Week 25'!C25</f>
        <v/>
      </c>
      <c r="C520">
        <f>IF('Week 25'!I25="","",'Week 25'!I25)</f>
        <v/>
      </c>
      <c r="D520">
        <f>IF('Week 25'!I25="","",IF('Week 25'!J25="",1,'Week 25'!J25))</f>
        <v/>
      </c>
      <c r="E520">
        <f>IF(OR(C520="",D520=""),"",IF(D520=1,C520,ROUND(C520*(1+D520/30),1)))</f>
        <v/>
      </c>
    </row>
    <row r="521">
      <c r="A521">
        <f>'Week 26'!B6</f>
        <v/>
      </c>
      <c r="B521">
        <f>'Week 26'!C6</f>
        <v/>
      </c>
      <c r="C521">
        <f>IF('Week 26'!I6="","",'Week 26'!I6)</f>
        <v/>
      </c>
      <c r="D521">
        <f>IF('Week 26'!I6="","",IF('Week 26'!J6="",1,'Week 26'!J6))</f>
        <v/>
      </c>
      <c r="E521">
        <f>IF(OR(C521="",D521=""),"",IF(D521=1,C521,ROUND(C521*(1+D521/30),1)))</f>
        <v/>
      </c>
    </row>
    <row r="522">
      <c r="A522">
        <f>'Week 26'!B7</f>
        <v/>
      </c>
      <c r="B522">
        <f>'Week 26'!C7</f>
        <v/>
      </c>
      <c r="C522">
        <f>IF('Week 26'!I7="","",'Week 26'!I7)</f>
        <v/>
      </c>
      <c r="D522">
        <f>IF('Week 26'!I7="","",IF('Week 26'!J7="",1,'Week 26'!J7))</f>
        <v/>
      </c>
      <c r="E522">
        <f>IF(OR(C522="",D522=""),"",IF(D522=1,C522,ROUND(C522*(1+D522/30),1)))</f>
        <v/>
      </c>
    </row>
    <row r="523">
      <c r="A523">
        <f>'Week 26'!B8</f>
        <v/>
      </c>
      <c r="B523">
        <f>'Week 26'!C8</f>
        <v/>
      </c>
      <c r="C523">
        <f>IF('Week 26'!I8="","",'Week 26'!I8)</f>
        <v/>
      </c>
      <c r="D523">
        <f>IF('Week 26'!I8="","",IF('Week 26'!J8="",1,'Week 26'!J8))</f>
        <v/>
      </c>
      <c r="E523">
        <f>IF(OR(C523="",D523=""),"",IF(D523=1,C523,ROUND(C523*(1+D523/30),1)))</f>
        <v/>
      </c>
    </row>
    <row r="524">
      <c r="A524">
        <f>'Week 26'!B9</f>
        <v/>
      </c>
      <c r="B524">
        <f>'Week 26'!C9</f>
        <v/>
      </c>
      <c r="C524">
        <f>IF('Week 26'!I9="","",'Week 26'!I9)</f>
        <v/>
      </c>
      <c r="D524">
        <f>IF('Week 26'!I9="","",IF('Week 26'!J9="",1,'Week 26'!J9))</f>
        <v/>
      </c>
      <c r="E524">
        <f>IF(OR(C524="",D524=""),"",IF(D524=1,C524,ROUND(C524*(1+D524/30),1)))</f>
        <v/>
      </c>
    </row>
    <row r="525">
      <c r="A525">
        <f>'Week 26'!B10</f>
        <v/>
      </c>
      <c r="B525">
        <f>'Week 26'!C10</f>
        <v/>
      </c>
      <c r="C525">
        <f>IF('Week 26'!I10="","",'Week 26'!I10)</f>
        <v/>
      </c>
      <c r="D525">
        <f>IF('Week 26'!I10="","",IF('Week 26'!J10="",1,'Week 26'!J10))</f>
        <v/>
      </c>
      <c r="E525">
        <f>IF(OR(C525="",D525=""),"",IF(D525=1,C525,ROUND(C525*(1+D525/30),1)))</f>
        <v/>
      </c>
    </row>
    <row r="526">
      <c r="A526">
        <f>'Week 26'!B11</f>
        <v/>
      </c>
      <c r="B526">
        <f>'Week 26'!C11</f>
        <v/>
      </c>
      <c r="C526">
        <f>IF('Week 26'!I11="","",'Week 26'!I11)</f>
        <v/>
      </c>
      <c r="D526">
        <f>IF('Week 26'!I11="","",IF('Week 26'!J11="",1,'Week 26'!J11))</f>
        <v/>
      </c>
      <c r="E526">
        <f>IF(OR(C526="",D526=""),"",IF(D526=1,C526,ROUND(C526*(1+D526/30),1)))</f>
        <v/>
      </c>
    </row>
    <row r="527">
      <c r="A527">
        <f>'Week 26'!B12</f>
        <v/>
      </c>
      <c r="B527">
        <f>'Week 26'!C12</f>
        <v/>
      </c>
      <c r="C527">
        <f>IF('Week 26'!I12="","",'Week 26'!I12)</f>
        <v/>
      </c>
      <c r="D527">
        <f>IF('Week 26'!I12="","",IF('Week 26'!J12="",1,'Week 26'!J12))</f>
        <v/>
      </c>
      <c r="E527">
        <f>IF(OR(C527="",D527=""),"",IF(D527=1,C527,ROUND(C527*(1+D527/30),1)))</f>
        <v/>
      </c>
    </row>
    <row r="528">
      <c r="A528">
        <f>'Week 26'!B13</f>
        <v/>
      </c>
      <c r="B528">
        <f>'Week 26'!C13</f>
        <v/>
      </c>
      <c r="C528">
        <f>IF('Week 26'!I13="","",'Week 26'!I13)</f>
        <v/>
      </c>
      <c r="D528">
        <f>IF('Week 26'!I13="","",IF('Week 26'!J13="",1,'Week 26'!J13))</f>
        <v/>
      </c>
      <c r="E528">
        <f>IF(OR(C528="",D528=""),"",IF(D528=1,C528,ROUND(C528*(1+D528/30),1)))</f>
        <v/>
      </c>
    </row>
    <row r="529">
      <c r="A529">
        <f>'Week 26'!B14</f>
        <v/>
      </c>
      <c r="B529">
        <f>'Week 26'!C14</f>
        <v/>
      </c>
      <c r="C529">
        <f>IF('Week 26'!I14="","",'Week 26'!I14)</f>
        <v/>
      </c>
      <c r="D529">
        <f>IF('Week 26'!I14="","",IF('Week 26'!J14="",1,'Week 26'!J14))</f>
        <v/>
      </c>
      <c r="E529">
        <f>IF(OR(C529="",D529=""),"",IF(D529=1,C529,ROUND(C529*(1+D529/30),1)))</f>
        <v/>
      </c>
    </row>
    <row r="530">
      <c r="A530">
        <f>'Week 26'!B15</f>
        <v/>
      </c>
      <c r="B530">
        <f>'Week 26'!C15</f>
        <v/>
      </c>
      <c r="C530">
        <f>IF('Week 26'!I15="","",'Week 26'!I15)</f>
        <v/>
      </c>
      <c r="D530">
        <f>IF('Week 26'!I15="","",IF('Week 26'!J15="",1,'Week 26'!J15))</f>
        <v/>
      </c>
      <c r="E530">
        <f>IF(OR(C530="",D530=""),"",IF(D530=1,C530,ROUND(C530*(1+D530/30),1)))</f>
        <v/>
      </c>
    </row>
    <row r="531">
      <c r="A531">
        <f>'Week 26'!B16</f>
        <v/>
      </c>
      <c r="B531">
        <f>'Week 26'!C16</f>
        <v/>
      </c>
      <c r="C531">
        <f>IF('Week 26'!I16="","",'Week 26'!I16)</f>
        <v/>
      </c>
      <c r="D531">
        <f>IF('Week 26'!I16="","",IF('Week 26'!J16="",1,'Week 26'!J16))</f>
        <v/>
      </c>
      <c r="E531">
        <f>IF(OR(C531="",D531=""),"",IF(D531=1,C531,ROUND(C531*(1+D531/30),1)))</f>
        <v/>
      </c>
    </row>
    <row r="532">
      <c r="A532">
        <f>'Week 26'!B17</f>
        <v/>
      </c>
      <c r="B532">
        <f>'Week 26'!C17</f>
        <v/>
      </c>
      <c r="C532">
        <f>IF('Week 26'!I17="","",'Week 26'!I17)</f>
        <v/>
      </c>
      <c r="D532">
        <f>IF('Week 26'!I17="","",IF('Week 26'!J17="",1,'Week 26'!J17))</f>
        <v/>
      </c>
      <c r="E532">
        <f>IF(OR(C532="",D532=""),"",IF(D532=1,C532,ROUND(C532*(1+D532/30),1)))</f>
        <v/>
      </c>
    </row>
    <row r="533">
      <c r="A533">
        <f>'Week 26'!B18</f>
        <v/>
      </c>
      <c r="B533">
        <f>'Week 26'!C18</f>
        <v/>
      </c>
      <c r="C533">
        <f>IF('Week 26'!I18="","",'Week 26'!I18)</f>
        <v/>
      </c>
      <c r="D533">
        <f>IF('Week 26'!I18="","",IF('Week 26'!J18="",1,'Week 26'!J18))</f>
        <v/>
      </c>
      <c r="E533">
        <f>IF(OR(C533="",D533=""),"",IF(D533=1,C533,ROUND(C533*(1+D533/30),1)))</f>
        <v/>
      </c>
    </row>
    <row r="534">
      <c r="A534">
        <f>'Week 26'!B19</f>
        <v/>
      </c>
      <c r="B534">
        <f>'Week 26'!C19</f>
        <v/>
      </c>
      <c r="C534">
        <f>IF('Week 26'!I19="","",'Week 26'!I19)</f>
        <v/>
      </c>
      <c r="D534">
        <f>IF('Week 26'!I19="","",IF('Week 26'!J19="",1,'Week 26'!J19))</f>
        <v/>
      </c>
      <c r="E534">
        <f>IF(OR(C534="",D534=""),"",IF(D534=1,C534,ROUND(C534*(1+D534/30),1)))</f>
        <v/>
      </c>
    </row>
    <row r="535">
      <c r="A535">
        <f>'Week 26'!B20</f>
        <v/>
      </c>
      <c r="B535">
        <f>'Week 26'!C20</f>
        <v/>
      </c>
      <c r="C535">
        <f>IF('Week 26'!I20="","",'Week 26'!I20)</f>
        <v/>
      </c>
      <c r="D535">
        <f>IF('Week 26'!I20="","",IF('Week 26'!J20="",1,'Week 26'!J20))</f>
        <v/>
      </c>
      <c r="E535">
        <f>IF(OR(C535="",D535=""),"",IF(D535=1,C535,ROUND(C535*(1+D535/30),1)))</f>
        <v/>
      </c>
    </row>
    <row r="536">
      <c r="A536">
        <f>'Week 26'!B21</f>
        <v/>
      </c>
      <c r="B536">
        <f>'Week 26'!C21</f>
        <v/>
      </c>
      <c r="C536">
        <f>IF('Week 26'!I21="","",'Week 26'!I21)</f>
        <v/>
      </c>
      <c r="D536">
        <f>IF('Week 26'!I21="","",IF('Week 26'!J21="",1,'Week 26'!J21))</f>
        <v/>
      </c>
      <c r="E536">
        <f>IF(OR(C536="",D536=""),"",IF(D536=1,C536,ROUND(C536*(1+D536/30),1)))</f>
        <v/>
      </c>
    </row>
    <row r="537">
      <c r="A537">
        <f>'Week 26'!B22</f>
        <v/>
      </c>
      <c r="B537">
        <f>'Week 26'!C22</f>
        <v/>
      </c>
      <c r="C537">
        <f>IF('Week 26'!I22="","",'Week 26'!I22)</f>
        <v/>
      </c>
      <c r="D537">
        <f>IF('Week 26'!I22="","",IF('Week 26'!J22="",1,'Week 26'!J22))</f>
        <v/>
      </c>
      <c r="E537">
        <f>IF(OR(C537="",D537=""),"",IF(D537=1,C537,ROUND(C537*(1+D537/30),1)))</f>
        <v/>
      </c>
    </row>
    <row r="538">
      <c r="A538">
        <f>'Week 26'!B23</f>
        <v/>
      </c>
      <c r="B538">
        <f>'Week 26'!C23</f>
        <v/>
      </c>
      <c r="C538">
        <f>IF('Week 26'!I23="","",'Week 26'!I23)</f>
        <v/>
      </c>
      <c r="D538">
        <f>IF('Week 26'!I23="","",IF('Week 26'!J23="",1,'Week 26'!J23))</f>
        <v/>
      </c>
      <c r="E538">
        <f>IF(OR(C538="",D538=""),"",IF(D538=1,C538,ROUND(C538*(1+D538/30),1)))</f>
        <v/>
      </c>
    </row>
    <row r="539">
      <c r="A539">
        <f>'Week 26'!B24</f>
        <v/>
      </c>
      <c r="B539">
        <f>'Week 26'!C24</f>
        <v/>
      </c>
      <c r="C539">
        <f>IF('Week 26'!I24="","",'Week 26'!I24)</f>
        <v/>
      </c>
      <c r="D539">
        <f>IF('Week 26'!I24="","",IF('Week 26'!J24="",1,'Week 26'!J24))</f>
        <v/>
      </c>
      <c r="E539">
        <f>IF(OR(C539="",D539=""),"",IF(D539=1,C539,ROUND(C539*(1+D539/30),1)))</f>
        <v/>
      </c>
    </row>
    <row r="540">
      <c r="A540">
        <f>'Week 26'!B25</f>
        <v/>
      </c>
      <c r="B540">
        <f>'Week 26'!C25</f>
        <v/>
      </c>
      <c r="C540">
        <f>IF('Week 26'!I25="","",'Week 26'!I25)</f>
        <v/>
      </c>
      <c r="D540">
        <f>IF('Week 26'!I25="","",IF('Week 26'!J25="",1,'Week 26'!J25))</f>
        <v/>
      </c>
      <c r="E540">
        <f>IF(OR(C540="",D540=""),"",IF(D540=1,C540,ROUND(C540*(1+D540/30),1)))</f>
        <v/>
      </c>
    </row>
    <row r="541">
      <c r="A541">
        <f>'Week 27'!B6</f>
        <v/>
      </c>
      <c r="B541">
        <f>'Week 27'!C6</f>
        <v/>
      </c>
      <c r="C541">
        <f>IF('Week 27'!I6="","",'Week 27'!I6)</f>
        <v/>
      </c>
      <c r="D541">
        <f>IF('Week 27'!I6="","",IF('Week 27'!J6="",1,'Week 27'!J6))</f>
        <v/>
      </c>
      <c r="E541">
        <f>IF(OR(C541="",D541=""),"",IF(D541=1,C541,ROUND(C541*(1+D541/30),1)))</f>
        <v/>
      </c>
    </row>
    <row r="542">
      <c r="A542">
        <f>'Week 27'!B7</f>
        <v/>
      </c>
      <c r="B542">
        <f>'Week 27'!C7</f>
        <v/>
      </c>
      <c r="C542">
        <f>IF('Week 27'!I7="","",'Week 27'!I7)</f>
        <v/>
      </c>
      <c r="D542">
        <f>IF('Week 27'!I7="","",IF('Week 27'!J7="",1,'Week 27'!J7))</f>
        <v/>
      </c>
      <c r="E542">
        <f>IF(OR(C542="",D542=""),"",IF(D542=1,C542,ROUND(C542*(1+D542/30),1)))</f>
        <v/>
      </c>
    </row>
    <row r="543">
      <c r="A543">
        <f>'Week 27'!B8</f>
        <v/>
      </c>
      <c r="B543">
        <f>'Week 27'!C8</f>
        <v/>
      </c>
      <c r="C543">
        <f>IF('Week 27'!I8="","",'Week 27'!I8)</f>
        <v/>
      </c>
      <c r="D543">
        <f>IF('Week 27'!I8="","",IF('Week 27'!J8="",1,'Week 27'!J8))</f>
        <v/>
      </c>
      <c r="E543">
        <f>IF(OR(C543="",D543=""),"",IF(D543=1,C543,ROUND(C543*(1+D543/30),1)))</f>
        <v/>
      </c>
    </row>
    <row r="544">
      <c r="A544">
        <f>'Week 27'!B9</f>
        <v/>
      </c>
      <c r="B544">
        <f>'Week 27'!C9</f>
        <v/>
      </c>
      <c r="C544">
        <f>IF('Week 27'!I9="","",'Week 27'!I9)</f>
        <v/>
      </c>
      <c r="D544">
        <f>IF('Week 27'!I9="","",IF('Week 27'!J9="",1,'Week 27'!J9))</f>
        <v/>
      </c>
      <c r="E544">
        <f>IF(OR(C544="",D544=""),"",IF(D544=1,C544,ROUND(C544*(1+D544/30),1)))</f>
        <v/>
      </c>
    </row>
    <row r="545">
      <c r="A545">
        <f>'Week 27'!B10</f>
        <v/>
      </c>
      <c r="B545">
        <f>'Week 27'!C10</f>
        <v/>
      </c>
      <c r="C545">
        <f>IF('Week 27'!I10="","",'Week 27'!I10)</f>
        <v/>
      </c>
      <c r="D545">
        <f>IF('Week 27'!I10="","",IF('Week 27'!J10="",1,'Week 27'!J10))</f>
        <v/>
      </c>
      <c r="E545">
        <f>IF(OR(C545="",D545=""),"",IF(D545=1,C545,ROUND(C545*(1+D545/30),1)))</f>
        <v/>
      </c>
    </row>
    <row r="546">
      <c r="A546">
        <f>'Week 27'!B11</f>
        <v/>
      </c>
      <c r="B546">
        <f>'Week 27'!C11</f>
        <v/>
      </c>
      <c r="C546">
        <f>IF('Week 27'!I11="","",'Week 27'!I11)</f>
        <v/>
      </c>
      <c r="D546">
        <f>IF('Week 27'!I11="","",IF('Week 27'!J11="",1,'Week 27'!J11))</f>
        <v/>
      </c>
      <c r="E546">
        <f>IF(OR(C546="",D546=""),"",IF(D546=1,C546,ROUND(C546*(1+D546/30),1)))</f>
        <v/>
      </c>
    </row>
    <row r="547">
      <c r="A547">
        <f>'Week 27'!B12</f>
        <v/>
      </c>
      <c r="B547">
        <f>'Week 27'!C12</f>
        <v/>
      </c>
      <c r="C547">
        <f>IF('Week 27'!I12="","",'Week 27'!I12)</f>
        <v/>
      </c>
      <c r="D547">
        <f>IF('Week 27'!I12="","",IF('Week 27'!J12="",1,'Week 27'!J12))</f>
        <v/>
      </c>
      <c r="E547">
        <f>IF(OR(C547="",D547=""),"",IF(D547=1,C547,ROUND(C547*(1+D547/30),1)))</f>
        <v/>
      </c>
    </row>
    <row r="548">
      <c r="A548">
        <f>'Week 27'!B13</f>
        <v/>
      </c>
      <c r="B548">
        <f>'Week 27'!C13</f>
        <v/>
      </c>
      <c r="C548">
        <f>IF('Week 27'!I13="","",'Week 27'!I13)</f>
        <v/>
      </c>
      <c r="D548">
        <f>IF('Week 27'!I13="","",IF('Week 27'!J13="",1,'Week 27'!J13))</f>
        <v/>
      </c>
      <c r="E548">
        <f>IF(OR(C548="",D548=""),"",IF(D548=1,C548,ROUND(C548*(1+D548/30),1)))</f>
        <v/>
      </c>
    </row>
    <row r="549">
      <c r="A549">
        <f>'Week 27'!B14</f>
        <v/>
      </c>
      <c r="B549">
        <f>'Week 27'!C14</f>
        <v/>
      </c>
      <c r="C549">
        <f>IF('Week 27'!I14="","",'Week 27'!I14)</f>
        <v/>
      </c>
      <c r="D549">
        <f>IF('Week 27'!I14="","",IF('Week 27'!J14="",1,'Week 27'!J14))</f>
        <v/>
      </c>
      <c r="E549">
        <f>IF(OR(C549="",D549=""),"",IF(D549=1,C549,ROUND(C549*(1+D549/30),1)))</f>
        <v/>
      </c>
    </row>
    <row r="550">
      <c r="A550">
        <f>'Week 27'!B15</f>
        <v/>
      </c>
      <c r="B550">
        <f>'Week 27'!C15</f>
        <v/>
      </c>
      <c r="C550">
        <f>IF('Week 27'!I15="","",'Week 27'!I15)</f>
        <v/>
      </c>
      <c r="D550">
        <f>IF('Week 27'!I15="","",IF('Week 27'!J15="",1,'Week 27'!J15))</f>
        <v/>
      </c>
      <c r="E550">
        <f>IF(OR(C550="",D550=""),"",IF(D550=1,C550,ROUND(C550*(1+D550/30),1)))</f>
        <v/>
      </c>
    </row>
    <row r="551">
      <c r="A551">
        <f>'Week 27'!B16</f>
        <v/>
      </c>
      <c r="B551">
        <f>'Week 27'!C16</f>
        <v/>
      </c>
      <c r="C551">
        <f>IF('Week 27'!I16="","",'Week 27'!I16)</f>
        <v/>
      </c>
      <c r="D551">
        <f>IF('Week 27'!I16="","",IF('Week 27'!J16="",1,'Week 27'!J16))</f>
        <v/>
      </c>
      <c r="E551">
        <f>IF(OR(C551="",D551=""),"",IF(D551=1,C551,ROUND(C551*(1+D551/30),1)))</f>
        <v/>
      </c>
    </row>
    <row r="552">
      <c r="A552">
        <f>'Week 27'!B17</f>
        <v/>
      </c>
      <c r="B552">
        <f>'Week 27'!C17</f>
        <v/>
      </c>
      <c r="C552">
        <f>IF('Week 27'!I17="","",'Week 27'!I17)</f>
        <v/>
      </c>
      <c r="D552">
        <f>IF('Week 27'!I17="","",IF('Week 27'!J17="",1,'Week 27'!J17))</f>
        <v/>
      </c>
      <c r="E552">
        <f>IF(OR(C552="",D552=""),"",IF(D552=1,C552,ROUND(C552*(1+D552/30),1)))</f>
        <v/>
      </c>
    </row>
    <row r="553">
      <c r="A553">
        <f>'Week 27'!B18</f>
        <v/>
      </c>
      <c r="B553">
        <f>'Week 27'!C18</f>
        <v/>
      </c>
      <c r="C553">
        <f>IF('Week 27'!I18="","",'Week 27'!I18)</f>
        <v/>
      </c>
      <c r="D553">
        <f>IF('Week 27'!I18="","",IF('Week 27'!J18="",1,'Week 27'!J18))</f>
        <v/>
      </c>
      <c r="E553">
        <f>IF(OR(C553="",D553=""),"",IF(D553=1,C553,ROUND(C553*(1+D553/30),1)))</f>
        <v/>
      </c>
    </row>
    <row r="554">
      <c r="A554">
        <f>'Week 27'!B19</f>
        <v/>
      </c>
      <c r="B554">
        <f>'Week 27'!C19</f>
        <v/>
      </c>
      <c r="C554">
        <f>IF('Week 27'!I19="","",'Week 27'!I19)</f>
        <v/>
      </c>
      <c r="D554">
        <f>IF('Week 27'!I19="","",IF('Week 27'!J19="",1,'Week 27'!J19))</f>
        <v/>
      </c>
      <c r="E554">
        <f>IF(OR(C554="",D554=""),"",IF(D554=1,C554,ROUND(C554*(1+D554/30),1)))</f>
        <v/>
      </c>
    </row>
    <row r="555">
      <c r="A555">
        <f>'Week 27'!B20</f>
        <v/>
      </c>
      <c r="B555">
        <f>'Week 27'!C20</f>
        <v/>
      </c>
      <c r="C555">
        <f>IF('Week 27'!I20="","",'Week 27'!I20)</f>
        <v/>
      </c>
      <c r="D555">
        <f>IF('Week 27'!I20="","",IF('Week 27'!J20="",1,'Week 27'!J20))</f>
        <v/>
      </c>
      <c r="E555">
        <f>IF(OR(C555="",D555=""),"",IF(D555=1,C555,ROUND(C555*(1+D555/30),1)))</f>
        <v/>
      </c>
    </row>
    <row r="556">
      <c r="A556">
        <f>'Week 27'!B21</f>
        <v/>
      </c>
      <c r="B556">
        <f>'Week 27'!C21</f>
        <v/>
      </c>
      <c r="C556">
        <f>IF('Week 27'!I21="","",'Week 27'!I21)</f>
        <v/>
      </c>
      <c r="D556">
        <f>IF('Week 27'!I21="","",IF('Week 27'!J21="",1,'Week 27'!J21))</f>
        <v/>
      </c>
      <c r="E556">
        <f>IF(OR(C556="",D556=""),"",IF(D556=1,C556,ROUND(C556*(1+D556/30),1)))</f>
        <v/>
      </c>
    </row>
    <row r="557">
      <c r="A557">
        <f>'Week 27'!B22</f>
        <v/>
      </c>
      <c r="B557">
        <f>'Week 27'!C22</f>
        <v/>
      </c>
      <c r="C557">
        <f>IF('Week 27'!I22="","",'Week 27'!I22)</f>
        <v/>
      </c>
      <c r="D557">
        <f>IF('Week 27'!I22="","",IF('Week 27'!J22="",1,'Week 27'!J22))</f>
        <v/>
      </c>
      <c r="E557">
        <f>IF(OR(C557="",D557=""),"",IF(D557=1,C557,ROUND(C557*(1+D557/30),1)))</f>
        <v/>
      </c>
    </row>
    <row r="558">
      <c r="A558">
        <f>'Week 27'!B23</f>
        <v/>
      </c>
      <c r="B558">
        <f>'Week 27'!C23</f>
        <v/>
      </c>
      <c r="C558">
        <f>IF('Week 27'!I23="","",'Week 27'!I23)</f>
        <v/>
      </c>
      <c r="D558">
        <f>IF('Week 27'!I23="","",IF('Week 27'!J23="",1,'Week 27'!J23))</f>
        <v/>
      </c>
      <c r="E558">
        <f>IF(OR(C558="",D558=""),"",IF(D558=1,C558,ROUND(C558*(1+D558/30),1)))</f>
        <v/>
      </c>
    </row>
    <row r="559">
      <c r="A559">
        <f>'Week 27'!B24</f>
        <v/>
      </c>
      <c r="B559">
        <f>'Week 27'!C24</f>
        <v/>
      </c>
      <c r="C559">
        <f>IF('Week 27'!I24="","",'Week 27'!I24)</f>
        <v/>
      </c>
      <c r="D559">
        <f>IF('Week 27'!I24="","",IF('Week 27'!J24="",1,'Week 27'!J24))</f>
        <v/>
      </c>
      <c r="E559">
        <f>IF(OR(C559="",D559=""),"",IF(D559=1,C559,ROUND(C559*(1+D559/30),1)))</f>
        <v/>
      </c>
    </row>
    <row r="560">
      <c r="A560">
        <f>'Week 27'!B25</f>
        <v/>
      </c>
      <c r="B560">
        <f>'Week 27'!C25</f>
        <v/>
      </c>
      <c r="C560">
        <f>IF('Week 27'!I25="","",'Week 27'!I25)</f>
        <v/>
      </c>
      <c r="D560">
        <f>IF('Week 27'!I25="","",IF('Week 27'!J25="",1,'Week 27'!J25))</f>
        <v/>
      </c>
      <c r="E560">
        <f>IF(OR(C560="",D560=""),"",IF(D560=1,C560,ROUND(C560*(1+D560/30),1)))</f>
        <v/>
      </c>
    </row>
    <row r="561">
      <c r="A561">
        <f>'Week 28'!B6</f>
        <v/>
      </c>
      <c r="B561">
        <f>'Week 28'!C6</f>
        <v/>
      </c>
      <c r="C561">
        <f>IF('Week 28'!I6="","",'Week 28'!I6)</f>
        <v/>
      </c>
      <c r="D561">
        <f>IF('Week 28'!I6="","",IF('Week 28'!J6="",1,'Week 28'!J6))</f>
        <v/>
      </c>
      <c r="E561">
        <f>IF(OR(C561="",D561=""),"",IF(D561=1,C561,ROUND(C561*(1+D561/30),1)))</f>
        <v/>
      </c>
    </row>
    <row r="562">
      <c r="A562">
        <f>'Week 28'!B7</f>
        <v/>
      </c>
      <c r="B562">
        <f>'Week 28'!C7</f>
        <v/>
      </c>
      <c r="C562">
        <f>IF('Week 28'!I7="","",'Week 28'!I7)</f>
        <v/>
      </c>
      <c r="D562">
        <f>IF('Week 28'!I7="","",IF('Week 28'!J7="",1,'Week 28'!J7))</f>
        <v/>
      </c>
      <c r="E562">
        <f>IF(OR(C562="",D562=""),"",IF(D562=1,C562,ROUND(C562*(1+D562/30),1)))</f>
        <v/>
      </c>
    </row>
    <row r="563">
      <c r="A563">
        <f>'Week 28'!B8</f>
        <v/>
      </c>
      <c r="B563">
        <f>'Week 28'!C8</f>
        <v/>
      </c>
      <c r="C563">
        <f>IF('Week 28'!I8="","",'Week 28'!I8)</f>
        <v/>
      </c>
      <c r="D563">
        <f>IF('Week 28'!I8="","",IF('Week 28'!J8="",1,'Week 28'!J8))</f>
        <v/>
      </c>
      <c r="E563">
        <f>IF(OR(C563="",D563=""),"",IF(D563=1,C563,ROUND(C563*(1+D563/30),1)))</f>
        <v/>
      </c>
    </row>
    <row r="564">
      <c r="A564">
        <f>'Week 28'!B9</f>
        <v/>
      </c>
      <c r="B564">
        <f>'Week 28'!C9</f>
        <v/>
      </c>
      <c r="C564">
        <f>IF('Week 28'!I9="","",'Week 28'!I9)</f>
        <v/>
      </c>
      <c r="D564">
        <f>IF('Week 28'!I9="","",IF('Week 28'!J9="",1,'Week 28'!J9))</f>
        <v/>
      </c>
      <c r="E564">
        <f>IF(OR(C564="",D564=""),"",IF(D564=1,C564,ROUND(C564*(1+D564/30),1)))</f>
        <v/>
      </c>
    </row>
    <row r="565">
      <c r="A565">
        <f>'Week 28'!B10</f>
        <v/>
      </c>
      <c r="B565">
        <f>'Week 28'!C10</f>
        <v/>
      </c>
      <c r="C565">
        <f>IF('Week 28'!I10="","",'Week 28'!I10)</f>
        <v/>
      </c>
      <c r="D565">
        <f>IF('Week 28'!I10="","",IF('Week 28'!J10="",1,'Week 28'!J10))</f>
        <v/>
      </c>
      <c r="E565">
        <f>IF(OR(C565="",D565=""),"",IF(D565=1,C565,ROUND(C565*(1+D565/30),1)))</f>
        <v/>
      </c>
    </row>
    <row r="566">
      <c r="A566">
        <f>'Week 28'!B11</f>
        <v/>
      </c>
      <c r="B566">
        <f>'Week 28'!C11</f>
        <v/>
      </c>
      <c r="C566">
        <f>IF('Week 28'!I11="","",'Week 28'!I11)</f>
        <v/>
      </c>
      <c r="D566">
        <f>IF('Week 28'!I11="","",IF('Week 28'!J11="",1,'Week 28'!J11))</f>
        <v/>
      </c>
      <c r="E566">
        <f>IF(OR(C566="",D566=""),"",IF(D566=1,C566,ROUND(C566*(1+D566/30),1)))</f>
        <v/>
      </c>
    </row>
    <row r="567">
      <c r="A567">
        <f>'Week 28'!B12</f>
        <v/>
      </c>
      <c r="B567">
        <f>'Week 28'!C12</f>
        <v/>
      </c>
      <c r="C567">
        <f>IF('Week 28'!I12="","",'Week 28'!I12)</f>
        <v/>
      </c>
      <c r="D567">
        <f>IF('Week 28'!I12="","",IF('Week 28'!J12="",1,'Week 28'!J12))</f>
        <v/>
      </c>
      <c r="E567">
        <f>IF(OR(C567="",D567=""),"",IF(D567=1,C567,ROUND(C567*(1+D567/30),1)))</f>
        <v/>
      </c>
    </row>
    <row r="568">
      <c r="A568">
        <f>'Week 28'!B13</f>
        <v/>
      </c>
      <c r="B568">
        <f>'Week 28'!C13</f>
        <v/>
      </c>
      <c r="C568">
        <f>IF('Week 28'!I13="","",'Week 28'!I13)</f>
        <v/>
      </c>
      <c r="D568">
        <f>IF('Week 28'!I13="","",IF('Week 28'!J13="",1,'Week 28'!J13))</f>
        <v/>
      </c>
      <c r="E568">
        <f>IF(OR(C568="",D568=""),"",IF(D568=1,C568,ROUND(C568*(1+D568/30),1)))</f>
        <v/>
      </c>
    </row>
    <row r="569">
      <c r="A569">
        <f>'Week 28'!B14</f>
        <v/>
      </c>
      <c r="B569">
        <f>'Week 28'!C14</f>
        <v/>
      </c>
      <c r="C569">
        <f>IF('Week 28'!I14="","",'Week 28'!I14)</f>
        <v/>
      </c>
      <c r="D569">
        <f>IF('Week 28'!I14="","",IF('Week 28'!J14="",1,'Week 28'!J14))</f>
        <v/>
      </c>
      <c r="E569">
        <f>IF(OR(C569="",D569=""),"",IF(D569=1,C569,ROUND(C569*(1+D569/30),1)))</f>
        <v/>
      </c>
    </row>
    <row r="570">
      <c r="A570">
        <f>'Week 28'!B15</f>
        <v/>
      </c>
      <c r="B570">
        <f>'Week 28'!C15</f>
        <v/>
      </c>
      <c r="C570">
        <f>IF('Week 28'!I15="","",'Week 28'!I15)</f>
        <v/>
      </c>
      <c r="D570">
        <f>IF('Week 28'!I15="","",IF('Week 28'!J15="",1,'Week 28'!J15))</f>
        <v/>
      </c>
      <c r="E570">
        <f>IF(OR(C570="",D570=""),"",IF(D570=1,C570,ROUND(C570*(1+D570/30),1)))</f>
        <v/>
      </c>
    </row>
    <row r="571">
      <c r="A571">
        <f>'Week 28'!B16</f>
        <v/>
      </c>
      <c r="B571">
        <f>'Week 28'!C16</f>
        <v/>
      </c>
      <c r="C571">
        <f>IF('Week 28'!I16="","",'Week 28'!I16)</f>
        <v/>
      </c>
      <c r="D571">
        <f>IF('Week 28'!I16="","",IF('Week 28'!J16="",1,'Week 28'!J16))</f>
        <v/>
      </c>
      <c r="E571">
        <f>IF(OR(C571="",D571=""),"",IF(D571=1,C571,ROUND(C571*(1+D571/30),1)))</f>
        <v/>
      </c>
    </row>
    <row r="572">
      <c r="A572">
        <f>'Week 28'!B17</f>
        <v/>
      </c>
      <c r="B572">
        <f>'Week 28'!C17</f>
        <v/>
      </c>
      <c r="C572">
        <f>IF('Week 28'!I17="","",'Week 28'!I17)</f>
        <v/>
      </c>
      <c r="D572">
        <f>IF('Week 28'!I17="","",IF('Week 28'!J17="",1,'Week 28'!J17))</f>
        <v/>
      </c>
      <c r="E572">
        <f>IF(OR(C572="",D572=""),"",IF(D572=1,C572,ROUND(C572*(1+D572/30),1)))</f>
        <v/>
      </c>
    </row>
    <row r="573">
      <c r="A573">
        <f>'Week 28'!B18</f>
        <v/>
      </c>
      <c r="B573">
        <f>'Week 28'!C18</f>
        <v/>
      </c>
      <c r="C573">
        <f>IF('Week 28'!I18="","",'Week 28'!I18)</f>
        <v/>
      </c>
      <c r="D573">
        <f>IF('Week 28'!I18="","",IF('Week 28'!J18="",1,'Week 28'!J18))</f>
        <v/>
      </c>
      <c r="E573">
        <f>IF(OR(C573="",D573=""),"",IF(D573=1,C573,ROUND(C573*(1+D573/30),1)))</f>
        <v/>
      </c>
    </row>
    <row r="574">
      <c r="A574">
        <f>'Week 28'!B19</f>
        <v/>
      </c>
      <c r="B574">
        <f>'Week 28'!C19</f>
        <v/>
      </c>
      <c r="C574">
        <f>IF('Week 28'!I19="","",'Week 28'!I19)</f>
        <v/>
      </c>
      <c r="D574">
        <f>IF('Week 28'!I19="","",IF('Week 28'!J19="",1,'Week 28'!J19))</f>
        <v/>
      </c>
      <c r="E574">
        <f>IF(OR(C574="",D574=""),"",IF(D574=1,C574,ROUND(C574*(1+D574/30),1)))</f>
        <v/>
      </c>
    </row>
    <row r="575">
      <c r="A575">
        <f>'Week 28'!B20</f>
        <v/>
      </c>
      <c r="B575">
        <f>'Week 28'!C20</f>
        <v/>
      </c>
      <c r="C575">
        <f>IF('Week 28'!I20="","",'Week 28'!I20)</f>
        <v/>
      </c>
      <c r="D575">
        <f>IF('Week 28'!I20="","",IF('Week 28'!J20="",1,'Week 28'!J20))</f>
        <v/>
      </c>
      <c r="E575">
        <f>IF(OR(C575="",D575=""),"",IF(D575=1,C575,ROUND(C575*(1+D575/30),1)))</f>
        <v/>
      </c>
    </row>
    <row r="576">
      <c r="A576">
        <f>'Week 28'!B21</f>
        <v/>
      </c>
      <c r="B576">
        <f>'Week 28'!C21</f>
        <v/>
      </c>
      <c r="C576">
        <f>IF('Week 28'!I21="","",'Week 28'!I21)</f>
        <v/>
      </c>
      <c r="D576">
        <f>IF('Week 28'!I21="","",IF('Week 28'!J21="",1,'Week 28'!J21))</f>
        <v/>
      </c>
      <c r="E576">
        <f>IF(OR(C576="",D576=""),"",IF(D576=1,C576,ROUND(C576*(1+D576/30),1)))</f>
        <v/>
      </c>
    </row>
    <row r="577">
      <c r="A577">
        <f>'Week 28'!B22</f>
        <v/>
      </c>
      <c r="B577">
        <f>'Week 28'!C22</f>
        <v/>
      </c>
      <c r="C577">
        <f>IF('Week 28'!I22="","",'Week 28'!I22)</f>
        <v/>
      </c>
      <c r="D577">
        <f>IF('Week 28'!I22="","",IF('Week 28'!J22="",1,'Week 28'!J22))</f>
        <v/>
      </c>
      <c r="E577">
        <f>IF(OR(C577="",D577=""),"",IF(D577=1,C577,ROUND(C577*(1+D577/30),1)))</f>
        <v/>
      </c>
    </row>
    <row r="578">
      <c r="A578">
        <f>'Week 28'!B23</f>
        <v/>
      </c>
      <c r="B578">
        <f>'Week 28'!C23</f>
        <v/>
      </c>
      <c r="C578">
        <f>IF('Week 28'!I23="","",'Week 28'!I23)</f>
        <v/>
      </c>
      <c r="D578">
        <f>IF('Week 28'!I23="","",IF('Week 28'!J23="",1,'Week 28'!J23))</f>
        <v/>
      </c>
      <c r="E578">
        <f>IF(OR(C578="",D578=""),"",IF(D578=1,C578,ROUND(C578*(1+D578/30),1)))</f>
        <v/>
      </c>
    </row>
    <row r="579">
      <c r="A579">
        <f>'Week 28'!B24</f>
        <v/>
      </c>
      <c r="B579">
        <f>'Week 28'!C24</f>
        <v/>
      </c>
      <c r="C579">
        <f>IF('Week 28'!I24="","",'Week 28'!I24)</f>
        <v/>
      </c>
      <c r="D579">
        <f>IF('Week 28'!I24="","",IF('Week 28'!J24="",1,'Week 28'!J24))</f>
        <v/>
      </c>
      <c r="E579">
        <f>IF(OR(C579="",D579=""),"",IF(D579=1,C579,ROUND(C579*(1+D579/30),1)))</f>
        <v/>
      </c>
    </row>
    <row r="580">
      <c r="A580">
        <f>'Week 28'!B25</f>
        <v/>
      </c>
      <c r="B580">
        <f>'Week 28'!C25</f>
        <v/>
      </c>
      <c r="C580">
        <f>IF('Week 28'!I25="","",'Week 28'!I25)</f>
        <v/>
      </c>
      <c r="D580">
        <f>IF('Week 28'!I25="","",IF('Week 28'!J25="",1,'Week 28'!J25))</f>
        <v/>
      </c>
      <c r="E580">
        <f>IF(OR(C580="",D580=""),"",IF(D580=1,C580,ROUND(C580*(1+D580/30),1)))</f>
        <v/>
      </c>
    </row>
    <row r="581">
      <c r="A581">
        <f>'Week 29'!B6</f>
        <v/>
      </c>
      <c r="B581">
        <f>'Week 29'!C6</f>
        <v/>
      </c>
      <c r="C581">
        <f>IF('Week 29'!I6="","",'Week 29'!I6)</f>
        <v/>
      </c>
      <c r="D581">
        <f>IF('Week 29'!I6="","",IF('Week 29'!J6="",1,'Week 29'!J6))</f>
        <v/>
      </c>
      <c r="E581">
        <f>IF(OR(C581="",D581=""),"",IF(D581=1,C581,ROUND(C581*(1+D581/30),1)))</f>
        <v/>
      </c>
    </row>
    <row r="582">
      <c r="A582">
        <f>'Week 29'!B7</f>
        <v/>
      </c>
      <c r="B582">
        <f>'Week 29'!C7</f>
        <v/>
      </c>
      <c r="C582">
        <f>IF('Week 29'!I7="","",'Week 29'!I7)</f>
        <v/>
      </c>
      <c r="D582">
        <f>IF('Week 29'!I7="","",IF('Week 29'!J7="",1,'Week 29'!J7))</f>
        <v/>
      </c>
      <c r="E582">
        <f>IF(OR(C582="",D582=""),"",IF(D582=1,C582,ROUND(C582*(1+D582/30),1)))</f>
        <v/>
      </c>
    </row>
    <row r="583">
      <c r="A583">
        <f>'Week 29'!B8</f>
        <v/>
      </c>
      <c r="B583">
        <f>'Week 29'!C8</f>
        <v/>
      </c>
      <c r="C583">
        <f>IF('Week 29'!I8="","",'Week 29'!I8)</f>
        <v/>
      </c>
      <c r="D583">
        <f>IF('Week 29'!I8="","",IF('Week 29'!J8="",1,'Week 29'!J8))</f>
        <v/>
      </c>
      <c r="E583">
        <f>IF(OR(C583="",D583=""),"",IF(D583=1,C583,ROUND(C583*(1+D583/30),1)))</f>
        <v/>
      </c>
    </row>
    <row r="584">
      <c r="A584">
        <f>'Week 29'!B9</f>
        <v/>
      </c>
      <c r="B584">
        <f>'Week 29'!C9</f>
        <v/>
      </c>
      <c r="C584">
        <f>IF('Week 29'!I9="","",'Week 29'!I9)</f>
        <v/>
      </c>
      <c r="D584">
        <f>IF('Week 29'!I9="","",IF('Week 29'!J9="",1,'Week 29'!J9))</f>
        <v/>
      </c>
      <c r="E584">
        <f>IF(OR(C584="",D584=""),"",IF(D584=1,C584,ROUND(C584*(1+D584/30),1)))</f>
        <v/>
      </c>
    </row>
    <row r="585">
      <c r="A585">
        <f>'Week 29'!B10</f>
        <v/>
      </c>
      <c r="B585">
        <f>'Week 29'!C10</f>
        <v/>
      </c>
      <c r="C585">
        <f>IF('Week 29'!I10="","",'Week 29'!I10)</f>
        <v/>
      </c>
      <c r="D585">
        <f>IF('Week 29'!I10="","",IF('Week 29'!J10="",1,'Week 29'!J10))</f>
        <v/>
      </c>
      <c r="E585">
        <f>IF(OR(C585="",D585=""),"",IF(D585=1,C585,ROUND(C585*(1+D585/30),1)))</f>
        <v/>
      </c>
    </row>
    <row r="586">
      <c r="A586">
        <f>'Week 29'!B11</f>
        <v/>
      </c>
      <c r="B586">
        <f>'Week 29'!C11</f>
        <v/>
      </c>
      <c r="C586">
        <f>IF('Week 29'!I11="","",'Week 29'!I11)</f>
        <v/>
      </c>
      <c r="D586">
        <f>IF('Week 29'!I11="","",IF('Week 29'!J11="",1,'Week 29'!J11))</f>
        <v/>
      </c>
      <c r="E586">
        <f>IF(OR(C586="",D586=""),"",IF(D586=1,C586,ROUND(C586*(1+D586/30),1)))</f>
        <v/>
      </c>
    </row>
    <row r="587">
      <c r="A587">
        <f>'Week 29'!B12</f>
        <v/>
      </c>
      <c r="B587">
        <f>'Week 29'!C12</f>
        <v/>
      </c>
      <c r="C587">
        <f>IF('Week 29'!I12="","",'Week 29'!I12)</f>
        <v/>
      </c>
      <c r="D587">
        <f>IF('Week 29'!I12="","",IF('Week 29'!J12="",1,'Week 29'!J12))</f>
        <v/>
      </c>
      <c r="E587">
        <f>IF(OR(C587="",D587=""),"",IF(D587=1,C587,ROUND(C587*(1+D587/30),1)))</f>
        <v/>
      </c>
    </row>
    <row r="588">
      <c r="A588">
        <f>'Week 29'!B13</f>
        <v/>
      </c>
      <c r="B588">
        <f>'Week 29'!C13</f>
        <v/>
      </c>
      <c r="C588">
        <f>IF('Week 29'!I13="","",'Week 29'!I13)</f>
        <v/>
      </c>
      <c r="D588">
        <f>IF('Week 29'!I13="","",IF('Week 29'!J13="",1,'Week 29'!J13))</f>
        <v/>
      </c>
      <c r="E588">
        <f>IF(OR(C588="",D588=""),"",IF(D588=1,C588,ROUND(C588*(1+D588/30),1)))</f>
        <v/>
      </c>
    </row>
    <row r="589">
      <c r="A589">
        <f>'Week 29'!B14</f>
        <v/>
      </c>
      <c r="B589">
        <f>'Week 29'!C14</f>
        <v/>
      </c>
      <c r="C589">
        <f>IF('Week 29'!I14="","",'Week 29'!I14)</f>
        <v/>
      </c>
      <c r="D589">
        <f>IF('Week 29'!I14="","",IF('Week 29'!J14="",1,'Week 29'!J14))</f>
        <v/>
      </c>
      <c r="E589">
        <f>IF(OR(C589="",D589=""),"",IF(D589=1,C589,ROUND(C589*(1+D589/30),1)))</f>
        <v/>
      </c>
    </row>
    <row r="590">
      <c r="A590">
        <f>'Week 29'!B15</f>
        <v/>
      </c>
      <c r="B590">
        <f>'Week 29'!C15</f>
        <v/>
      </c>
      <c r="C590">
        <f>IF('Week 29'!I15="","",'Week 29'!I15)</f>
        <v/>
      </c>
      <c r="D590">
        <f>IF('Week 29'!I15="","",IF('Week 29'!J15="",1,'Week 29'!J15))</f>
        <v/>
      </c>
      <c r="E590">
        <f>IF(OR(C590="",D590=""),"",IF(D590=1,C590,ROUND(C590*(1+D590/30),1)))</f>
        <v/>
      </c>
    </row>
    <row r="591">
      <c r="A591">
        <f>'Week 29'!B16</f>
        <v/>
      </c>
      <c r="B591">
        <f>'Week 29'!C16</f>
        <v/>
      </c>
      <c r="C591">
        <f>IF('Week 29'!I16="","",'Week 29'!I16)</f>
        <v/>
      </c>
      <c r="D591">
        <f>IF('Week 29'!I16="","",IF('Week 29'!J16="",1,'Week 29'!J16))</f>
        <v/>
      </c>
      <c r="E591">
        <f>IF(OR(C591="",D591=""),"",IF(D591=1,C591,ROUND(C591*(1+D591/30),1)))</f>
        <v/>
      </c>
    </row>
    <row r="592">
      <c r="A592">
        <f>'Week 29'!B17</f>
        <v/>
      </c>
      <c r="B592">
        <f>'Week 29'!C17</f>
        <v/>
      </c>
      <c r="C592">
        <f>IF('Week 29'!I17="","",'Week 29'!I17)</f>
        <v/>
      </c>
      <c r="D592">
        <f>IF('Week 29'!I17="","",IF('Week 29'!J17="",1,'Week 29'!J17))</f>
        <v/>
      </c>
      <c r="E592">
        <f>IF(OR(C592="",D592=""),"",IF(D592=1,C592,ROUND(C592*(1+D592/30),1)))</f>
        <v/>
      </c>
    </row>
    <row r="593">
      <c r="A593">
        <f>'Week 29'!B18</f>
        <v/>
      </c>
      <c r="B593">
        <f>'Week 29'!C18</f>
        <v/>
      </c>
      <c r="C593">
        <f>IF('Week 29'!I18="","",'Week 29'!I18)</f>
        <v/>
      </c>
      <c r="D593">
        <f>IF('Week 29'!I18="","",IF('Week 29'!J18="",1,'Week 29'!J18))</f>
        <v/>
      </c>
      <c r="E593">
        <f>IF(OR(C593="",D593=""),"",IF(D593=1,C593,ROUND(C593*(1+D593/30),1)))</f>
        <v/>
      </c>
    </row>
    <row r="594">
      <c r="A594">
        <f>'Week 29'!B19</f>
        <v/>
      </c>
      <c r="B594">
        <f>'Week 29'!C19</f>
        <v/>
      </c>
      <c r="C594">
        <f>IF('Week 29'!I19="","",'Week 29'!I19)</f>
        <v/>
      </c>
      <c r="D594">
        <f>IF('Week 29'!I19="","",IF('Week 29'!J19="",1,'Week 29'!J19))</f>
        <v/>
      </c>
      <c r="E594">
        <f>IF(OR(C594="",D594=""),"",IF(D594=1,C594,ROUND(C594*(1+D594/30),1)))</f>
        <v/>
      </c>
    </row>
    <row r="595">
      <c r="A595">
        <f>'Week 29'!B20</f>
        <v/>
      </c>
      <c r="B595">
        <f>'Week 29'!C20</f>
        <v/>
      </c>
      <c r="C595">
        <f>IF('Week 29'!I20="","",'Week 29'!I20)</f>
        <v/>
      </c>
      <c r="D595">
        <f>IF('Week 29'!I20="","",IF('Week 29'!J20="",1,'Week 29'!J20))</f>
        <v/>
      </c>
      <c r="E595">
        <f>IF(OR(C595="",D595=""),"",IF(D595=1,C595,ROUND(C595*(1+D595/30),1)))</f>
        <v/>
      </c>
    </row>
    <row r="596">
      <c r="A596">
        <f>'Week 29'!B21</f>
        <v/>
      </c>
      <c r="B596">
        <f>'Week 29'!C21</f>
        <v/>
      </c>
      <c r="C596">
        <f>IF('Week 29'!I21="","",'Week 29'!I21)</f>
        <v/>
      </c>
      <c r="D596">
        <f>IF('Week 29'!I21="","",IF('Week 29'!J21="",1,'Week 29'!J21))</f>
        <v/>
      </c>
      <c r="E596">
        <f>IF(OR(C596="",D596=""),"",IF(D596=1,C596,ROUND(C596*(1+D596/30),1)))</f>
        <v/>
      </c>
    </row>
    <row r="597">
      <c r="A597">
        <f>'Week 29'!B22</f>
        <v/>
      </c>
      <c r="B597">
        <f>'Week 29'!C22</f>
        <v/>
      </c>
      <c r="C597">
        <f>IF('Week 29'!I22="","",'Week 29'!I22)</f>
        <v/>
      </c>
      <c r="D597">
        <f>IF('Week 29'!I22="","",IF('Week 29'!J22="",1,'Week 29'!J22))</f>
        <v/>
      </c>
      <c r="E597">
        <f>IF(OR(C597="",D597=""),"",IF(D597=1,C597,ROUND(C597*(1+D597/30),1)))</f>
        <v/>
      </c>
    </row>
    <row r="598">
      <c r="A598">
        <f>'Week 29'!B23</f>
        <v/>
      </c>
      <c r="B598">
        <f>'Week 29'!C23</f>
        <v/>
      </c>
      <c r="C598">
        <f>IF('Week 29'!I23="","",'Week 29'!I23)</f>
        <v/>
      </c>
      <c r="D598">
        <f>IF('Week 29'!I23="","",IF('Week 29'!J23="",1,'Week 29'!J23))</f>
        <v/>
      </c>
      <c r="E598">
        <f>IF(OR(C598="",D598=""),"",IF(D598=1,C598,ROUND(C598*(1+D598/30),1)))</f>
        <v/>
      </c>
    </row>
    <row r="599">
      <c r="A599">
        <f>'Week 29'!B24</f>
        <v/>
      </c>
      <c r="B599">
        <f>'Week 29'!C24</f>
        <v/>
      </c>
      <c r="C599">
        <f>IF('Week 29'!I24="","",'Week 29'!I24)</f>
        <v/>
      </c>
      <c r="D599">
        <f>IF('Week 29'!I24="","",IF('Week 29'!J24="",1,'Week 29'!J24))</f>
        <v/>
      </c>
      <c r="E599">
        <f>IF(OR(C599="",D599=""),"",IF(D599=1,C599,ROUND(C599*(1+D599/30),1)))</f>
        <v/>
      </c>
    </row>
    <row r="600">
      <c r="A600">
        <f>'Week 29'!B25</f>
        <v/>
      </c>
      <c r="B600">
        <f>'Week 29'!C25</f>
        <v/>
      </c>
      <c r="C600">
        <f>IF('Week 29'!I25="","",'Week 29'!I25)</f>
        <v/>
      </c>
      <c r="D600">
        <f>IF('Week 29'!I25="","",IF('Week 29'!J25="",1,'Week 29'!J25))</f>
        <v/>
      </c>
      <c r="E600">
        <f>IF(OR(C600="",D600=""),"",IF(D600=1,C600,ROUND(C600*(1+D600/30),1)))</f>
        <v/>
      </c>
    </row>
    <row r="601">
      <c r="A601">
        <f>'Week 30'!B6</f>
        <v/>
      </c>
      <c r="B601">
        <f>'Week 30'!C6</f>
        <v/>
      </c>
      <c r="C601">
        <f>IF('Week 30'!I6="","",'Week 30'!I6)</f>
        <v/>
      </c>
      <c r="D601">
        <f>IF('Week 30'!I6="","",IF('Week 30'!J6="",1,'Week 30'!J6))</f>
        <v/>
      </c>
      <c r="E601">
        <f>IF(OR(C601="",D601=""),"",IF(D601=1,C601,ROUND(C601*(1+D601/30),1)))</f>
        <v/>
      </c>
    </row>
    <row r="602">
      <c r="A602">
        <f>'Week 30'!B7</f>
        <v/>
      </c>
      <c r="B602">
        <f>'Week 30'!C7</f>
        <v/>
      </c>
      <c r="C602">
        <f>IF('Week 30'!I7="","",'Week 30'!I7)</f>
        <v/>
      </c>
      <c r="D602">
        <f>IF('Week 30'!I7="","",IF('Week 30'!J7="",1,'Week 30'!J7))</f>
        <v/>
      </c>
      <c r="E602">
        <f>IF(OR(C602="",D602=""),"",IF(D602=1,C602,ROUND(C602*(1+D602/30),1)))</f>
        <v/>
      </c>
    </row>
    <row r="603">
      <c r="A603">
        <f>'Week 30'!B8</f>
        <v/>
      </c>
      <c r="B603">
        <f>'Week 30'!C8</f>
        <v/>
      </c>
      <c r="C603">
        <f>IF('Week 30'!I8="","",'Week 30'!I8)</f>
        <v/>
      </c>
      <c r="D603">
        <f>IF('Week 30'!I8="","",IF('Week 30'!J8="",1,'Week 30'!J8))</f>
        <v/>
      </c>
      <c r="E603">
        <f>IF(OR(C603="",D603=""),"",IF(D603=1,C603,ROUND(C603*(1+D603/30),1)))</f>
        <v/>
      </c>
    </row>
    <row r="604">
      <c r="A604">
        <f>'Week 30'!B9</f>
        <v/>
      </c>
      <c r="B604">
        <f>'Week 30'!C9</f>
        <v/>
      </c>
      <c r="C604">
        <f>IF('Week 30'!I9="","",'Week 30'!I9)</f>
        <v/>
      </c>
      <c r="D604">
        <f>IF('Week 30'!I9="","",IF('Week 30'!J9="",1,'Week 30'!J9))</f>
        <v/>
      </c>
      <c r="E604">
        <f>IF(OR(C604="",D604=""),"",IF(D604=1,C604,ROUND(C604*(1+D604/30),1)))</f>
        <v/>
      </c>
    </row>
    <row r="605">
      <c r="A605">
        <f>'Week 30'!B10</f>
        <v/>
      </c>
      <c r="B605">
        <f>'Week 30'!C10</f>
        <v/>
      </c>
      <c r="C605">
        <f>IF('Week 30'!I10="","",'Week 30'!I10)</f>
        <v/>
      </c>
      <c r="D605">
        <f>IF('Week 30'!I10="","",IF('Week 30'!J10="",1,'Week 30'!J10))</f>
        <v/>
      </c>
      <c r="E605">
        <f>IF(OR(C605="",D605=""),"",IF(D605=1,C605,ROUND(C605*(1+D605/30),1)))</f>
        <v/>
      </c>
    </row>
    <row r="606">
      <c r="A606">
        <f>'Week 30'!B11</f>
        <v/>
      </c>
      <c r="B606">
        <f>'Week 30'!C11</f>
        <v/>
      </c>
      <c r="C606">
        <f>IF('Week 30'!I11="","",'Week 30'!I11)</f>
        <v/>
      </c>
      <c r="D606">
        <f>IF('Week 30'!I11="","",IF('Week 30'!J11="",1,'Week 30'!J11))</f>
        <v/>
      </c>
      <c r="E606">
        <f>IF(OR(C606="",D606=""),"",IF(D606=1,C606,ROUND(C606*(1+D606/30),1)))</f>
        <v/>
      </c>
    </row>
    <row r="607">
      <c r="A607">
        <f>'Week 30'!B12</f>
        <v/>
      </c>
      <c r="B607">
        <f>'Week 30'!C12</f>
        <v/>
      </c>
      <c r="C607">
        <f>IF('Week 30'!I12="","",'Week 30'!I12)</f>
        <v/>
      </c>
      <c r="D607">
        <f>IF('Week 30'!I12="","",IF('Week 30'!J12="",1,'Week 30'!J12))</f>
        <v/>
      </c>
      <c r="E607">
        <f>IF(OR(C607="",D607=""),"",IF(D607=1,C607,ROUND(C607*(1+D607/30),1)))</f>
        <v/>
      </c>
    </row>
    <row r="608">
      <c r="A608">
        <f>'Week 30'!B13</f>
        <v/>
      </c>
      <c r="B608">
        <f>'Week 30'!C13</f>
        <v/>
      </c>
      <c r="C608">
        <f>IF('Week 30'!I13="","",'Week 30'!I13)</f>
        <v/>
      </c>
      <c r="D608">
        <f>IF('Week 30'!I13="","",IF('Week 30'!J13="",1,'Week 30'!J13))</f>
        <v/>
      </c>
      <c r="E608">
        <f>IF(OR(C608="",D608=""),"",IF(D608=1,C608,ROUND(C608*(1+D608/30),1)))</f>
        <v/>
      </c>
    </row>
    <row r="609">
      <c r="A609">
        <f>'Week 30'!B14</f>
        <v/>
      </c>
      <c r="B609">
        <f>'Week 30'!C14</f>
        <v/>
      </c>
      <c r="C609">
        <f>IF('Week 30'!I14="","",'Week 30'!I14)</f>
        <v/>
      </c>
      <c r="D609">
        <f>IF('Week 30'!I14="","",IF('Week 30'!J14="",1,'Week 30'!J14))</f>
        <v/>
      </c>
      <c r="E609">
        <f>IF(OR(C609="",D609=""),"",IF(D609=1,C609,ROUND(C609*(1+D609/30),1)))</f>
        <v/>
      </c>
    </row>
    <row r="610">
      <c r="A610">
        <f>'Week 30'!B15</f>
        <v/>
      </c>
      <c r="B610">
        <f>'Week 30'!C15</f>
        <v/>
      </c>
      <c r="C610">
        <f>IF('Week 30'!I15="","",'Week 30'!I15)</f>
        <v/>
      </c>
      <c r="D610">
        <f>IF('Week 30'!I15="","",IF('Week 30'!J15="",1,'Week 30'!J15))</f>
        <v/>
      </c>
      <c r="E610">
        <f>IF(OR(C610="",D610=""),"",IF(D610=1,C610,ROUND(C610*(1+D610/30),1)))</f>
        <v/>
      </c>
    </row>
    <row r="611">
      <c r="A611">
        <f>'Week 30'!B16</f>
        <v/>
      </c>
      <c r="B611">
        <f>'Week 30'!C16</f>
        <v/>
      </c>
      <c r="C611">
        <f>IF('Week 30'!I16="","",'Week 30'!I16)</f>
        <v/>
      </c>
      <c r="D611">
        <f>IF('Week 30'!I16="","",IF('Week 30'!J16="",1,'Week 30'!J16))</f>
        <v/>
      </c>
      <c r="E611">
        <f>IF(OR(C611="",D611=""),"",IF(D611=1,C611,ROUND(C611*(1+D611/30),1)))</f>
        <v/>
      </c>
    </row>
    <row r="612">
      <c r="A612">
        <f>'Week 30'!B17</f>
        <v/>
      </c>
      <c r="B612">
        <f>'Week 30'!C17</f>
        <v/>
      </c>
      <c r="C612">
        <f>IF('Week 30'!I17="","",'Week 30'!I17)</f>
        <v/>
      </c>
      <c r="D612">
        <f>IF('Week 30'!I17="","",IF('Week 30'!J17="",1,'Week 30'!J17))</f>
        <v/>
      </c>
      <c r="E612">
        <f>IF(OR(C612="",D612=""),"",IF(D612=1,C612,ROUND(C612*(1+D612/30),1)))</f>
        <v/>
      </c>
    </row>
    <row r="613">
      <c r="A613">
        <f>'Week 30'!B18</f>
        <v/>
      </c>
      <c r="B613">
        <f>'Week 30'!C18</f>
        <v/>
      </c>
      <c r="C613">
        <f>IF('Week 30'!I18="","",'Week 30'!I18)</f>
        <v/>
      </c>
      <c r="D613">
        <f>IF('Week 30'!I18="","",IF('Week 30'!J18="",1,'Week 30'!J18))</f>
        <v/>
      </c>
      <c r="E613">
        <f>IF(OR(C613="",D613=""),"",IF(D613=1,C613,ROUND(C613*(1+D613/30),1)))</f>
        <v/>
      </c>
    </row>
    <row r="614">
      <c r="A614">
        <f>'Week 30'!B19</f>
        <v/>
      </c>
      <c r="B614">
        <f>'Week 30'!C19</f>
        <v/>
      </c>
      <c r="C614">
        <f>IF('Week 30'!I19="","",'Week 30'!I19)</f>
        <v/>
      </c>
      <c r="D614">
        <f>IF('Week 30'!I19="","",IF('Week 30'!J19="",1,'Week 30'!J19))</f>
        <v/>
      </c>
      <c r="E614">
        <f>IF(OR(C614="",D614=""),"",IF(D614=1,C614,ROUND(C614*(1+D614/30),1)))</f>
        <v/>
      </c>
    </row>
    <row r="615">
      <c r="A615">
        <f>'Week 30'!B20</f>
        <v/>
      </c>
      <c r="B615">
        <f>'Week 30'!C20</f>
        <v/>
      </c>
      <c r="C615">
        <f>IF('Week 30'!I20="","",'Week 30'!I20)</f>
        <v/>
      </c>
      <c r="D615">
        <f>IF('Week 30'!I20="","",IF('Week 30'!J20="",1,'Week 30'!J20))</f>
        <v/>
      </c>
      <c r="E615">
        <f>IF(OR(C615="",D615=""),"",IF(D615=1,C615,ROUND(C615*(1+D615/30),1)))</f>
        <v/>
      </c>
    </row>
    <row r="616">
      <c r="A616">
        <f>'Week 30'!B21</f>
        <v/>
      </c>
      <c r="B616">
        <f>'Week 30'!C21</f>
        <v/>
      </c>
      <c r="C616">
        <f>IF('Week 30'!I21="","",'Week 30'!I21)</f>
        <v/>
      </c>
      <c r="D616">
        <f>IF('Week 30'!I21="","",IF('Week 30'!J21="",1,'Week 30'!J21))</f>
        <v/>
      </c>
      <c r="E616">
        <f>IF(OR(C616="",D616=""),"",IF(D616=1,C616,ROUND(C616*(1+D616/30),1)))</f>
        <v/>
      </c>
    </row>
    <row r="617">
      <c r="A617">
        <f>'Week 30'!B22</f>
        <v/>
      </c>
      <c r="B617">
        <f>'Week 30'!C22</f>
        <v/>
      </c>
      <c r="C617">
        <f>IF('Week 30'!I22="","",'Week 30'!I22)</f>
        <v/>
      </c>
      <c r="D617">
        <f>IF('Week 30'!I22="","",IF('Week 30'!J22="",1,'Week 30'!J22))</f>
        <v/>
      </c>
      <c r="E617">
        <f>IF(OR(C617="",D617=""),"",IF(D617=1,C617,ROUND(C617*(1+D617/30),1)))</f>
        <v/>
      </c>
    </row>
    <row r="618">
      <c r="A618">
        <f>'Week 30'!B23</f>
        <v/>
      </c>
      <c r="B618">
        <f>'Week 30'!C23</f>
        <v/>
      </c>
      <c r="C618">
        <f>IF('Week 30'!I23="","",'Week 30'!I23)</f>
        <v/>
      </c>
      <c r="D618">
        <f>IF('Week 30'!I23="","",IF('Week 30'!J23="",1,'Week 30'!J23))</f>
        <v/>
      </c>
      <c r="E618">
        <f>IF(OR(C618="",D618=""),"",IF(D618=1,C618,ROUND(C618*(1+D618/30),1)))</f>
        <v/>
      </c>
    </row>
    <row r="619">
      <c r="A619">
        <f>'Week 30'!B24</f>
        <v/>
      </c>
      <c r="B619">
        <f>'Week 30'!C24</f>
        <v/>
      </c>
      <c r="C619">
        <f>IF('Week 30'!I24="","",'Week 30'!I24)</f>
        <v/>
      </c>
      <c r="D619">
        <f>IF('Week 30'!I24="","",IF('Week 30'!J24="",1,'Week 30'!J24))</f>
        <v/>
      </c>
      <c r="E619">
        <f>IF(OR(C619="",D619=""),"",IF(D619=1,C619,ROUND(C619*(1+D619/30),1)))</f>
        <v/>
      </c>
    </row>
    <row r="620">
      <c r="A620">
        <f>'Week 30'!B25</f>
        <v/>
      </c>
      <c r="B620">
        <f>'Week 30'!C25</f>
        <v/>
      </c>
      <c r="C620">
        <f>IF('Week 30'!I25="","",'Week 30'!I25)</f>
        <v/>
      </c>
      <c r="D620">
        <f>IF('Week 30'!I25="","",IF('Week 30'!J25="",1,'Week 30'!J25))</f>
        <v/>
      </c>
      <c r="E620">
        <f>IF(OR(C620="",D620=""),"",IF(D620=1,C620,ROUND(C620*(1+D620/30),1)))</f>
        <v/>
      </c>
    </row>
    <row r="621">
      <c r="A621">
        <f>'Week 31'!B6</f>
        <v/>
      </c>
      <c r="B621">
        <f>'Week 31'!C6</f>
        <v/>
      </c>
      <c r="C621">
        <f>IF('Week 31'!I6="","",'Week 31'!I6)</f>
        <v/>
      </c>
      <c r="D621">
        <f>IF('Week 31'!I6="","",IF('Week 31'!J6="",1,'Week 31'!J6))</f>
        <v/>
      </c>
      <c r="E621">
        <f>IF(OR(C621="",D621=""),"",IF(D621=1,C621,ROUND(C621*(1+D621/30),1)))</f>
        <v/>
      </c>
    </row>
    <row r="622">
      <c r="A622">
        <f>'Week 31'!B7</f>
        <v/>
      </c>
      <c r="B622">
        <f>'Week 31'!C7</f>
        <v/>
      </c>
      <c r="C622">
        <f>IF('Week 31'!I7="","",'Week 31'!I7)</f>
        <v/>
      </c>
      <c r="D622">
        <f>IF('Week 31'!I7="","",IF('Week 31'!J7="",1,'Week 31'!J7))</f>
        <v/>
      </c>
      <c r="E622">
        <f>IF(OR(C622="",D622=""),"",IF(D622=1,C622,ROUND(C622*(1+D622/30),1)))</f>
        <v/>
      </c>
    </row>
    <row r="623">
      <c r="A623">
        <f>'Week 31'!B8</f>
        <v/>
      </c>
      <c r="B623">
        <f>'Week 31'!C8</f>
        <v/>
      </c>
      <c r="C623">
        <f>IF('Week 31'!I8="","",'Week 31'!I8)</f>
        <v/>
      </c>
      <c r="D623">
        <f>IF('Week 31'!I8="","",IF('Week 31'!J8="",1,'Week 31'!J8))</f>
        <v/>
      </c>
      <c r="E623">
        <f>IF(OR(C623="",D623=""),"",IF(D623=1,C623,ROUND(C623*(1+D623/30),1)))</f>
        <v/>
      </c>
    </row>
    <row r="624">
      <c r="A624">
        <f>'Week 31'!B9</f>
        <v/>
      </c>
      <c r="B624">
        <f>'Week 31'!C9</f>
        <v/>
      </c>
      <c r="C624">
        <f>IF('Week 31'!I9="","",'Week 31'!I9)</f>
        <v/>
      </c>
      <c r="D624">
        <f>IF('Week 31'!I9="","",IF('Week 31'!J9="",1,'Week 31'!J9))</f>
        <v/>
      </c>
      <c r="E624">
        <f>IF(OR(C624="",D624=""),"",IF(D624=1,C624,ROUND(C624*(1+D624/30),1)))</f>
        <v/>
      </c>
    </row>
    <row r="625">
      <c r="A625">
        <f>'Week 31'!B10</f>
        <v/>
      </c>
      <c r="B625">
        <f>'Week 31'!C10</f>
        <v/>
      </c>
      <c r="C625">
        <f>IF('Week 31'!I10="","",'Week 31'!I10)</f>
        <v/>
      </c>
      <c r="D625">
        <f>IF('Week 31'!I10="","",IF('Week 31'!J10="",1,'Week 31'!J10))</f>
        <v/>
      </c>
      <c r="E625">
        <f>IF(OR(C625="",D625=""),"",IF(D625=1,C625,ROUND(C625*(1+D625/30),1)))</f>
        <v/>
      </c>
    </row>
    <row r="626">
      <c r="A626">
        <f>'Week 31'!B11</f>
        <v/>
      </c>
      <c r="B626">
        <f>'Week 31'!C11</f>
        <v/>
      </c>
      <c r="C626">
        <f>IF('Week 31'!I11="","",'Week 31'!I11)</f>
        <v/>
      </c>
      <c r="D626">
        <f>IF('Week 31'!I11="","",IF('Week 31'!J11="",1,'Week 31'!J11))</f>
        <v/>
      </c>
      <c r="E626">
        <f>IF(OR(C626="",D626=""),"",IF(D626=1,C626,ROUND(C626*(1+D626/30),1)))</f>
        <v/>
      </c>
    </row>
    <row r="627">
      <c r="A627">
        <f>'Week 31'!B12</f>
        <v/>
      </c>
      <c r="B627">
        <f>'Week 31'!C12</f>
        <v/>
      </c>
      <c r="C627">
        <f>IF('Week 31'!I12="","",'Week 31'!I12)</f>
        <v/>
      </c>
      <c r="D627">
        <f>IF('Week 31'!I12="","",IF('Week 31'!J12="",1,'Week 31'!J12))</f>
        <v/>
      </c>
      <c r="E627">
        <f>IF(OR(C627="",D627=""),"",IF(D627=1,C627,ROUND(C627*(1+D627/30),1)))</f>
        <v/>
      </c>
    </row>
    <row r="628">
      <c r="A628">
        <f>'Week 31'!B13</f>
        <v/>
      </c>
      <c r="B628">
        <f>'Week 31'!C13</f>
        <v/>
      </c>
      <c r="C628">
        <f>IF('Week 31'!I13="","",'Week 31'!I13)</f>
        <v/>
      </c>
      <c r="D628">
        <f>IF('Week 31'!I13="","",IF('Week 31'!J13="",1,'Week 31'!J13))</f>
        <v/>
      </c>
      <c r="E628">
        <f>IF(OR(C628="",D628=""),"",IF(D628=1,C628,ROUND(C628*(1+D628/30),1)))</f>
        <v/>
      </c>
    </row>
    <row r="629">
      <c r="A629">
        <f>'Week 31'!B14</f>
        <v/>
      </c>
      <c r="B629">
        <f>'Week 31'!C14</f>
        <v/>
      </c>
      <c r="C629">
        <f>IF('Week 31'!I14="","",'Week 31'!I14)</f>
        <v/>
      </c>
      <c r="D629">
        <f>IF('Week 31'!I14="","",IF('Week 31'!J14="",1,'Week 31'!J14))</f>
        <v/>
      </c>
      <c r="E629">
        <f>IF(OR(C629="",D629=""),"",IF(D629=1,C629,ROUND(C629*(1+D629/30),1)))</f>
        <v/>
      </c>
    </row>
    <row r="630">
      <c r="A630">
        <f>'Week 31'!B15</f>
        <v/>
      </c>
      <c r="B630">
        <f>'Week 31'!C15</f>
        <v/>
      </c>
      <c r="C630">
        <f>IF('Week 31'!I15="","",'Week 31'!I15)</f>
        <v/>
      </c>
      <c r="D630">
        <f>IF('Week 31'!I15="","",IF('Week 31'!J15="",1,'Week 31'!J15))</f>
        <v/>
      </c>
      <c r="E630">
        <f>IF(OR(C630="",D630=""),"",IF(D630=1,C630,ROUND(C630*(1+D630/30),1)))</f>
        <v/>
      </c>
    </row>
    <row r="631">
      <c r="A631">
        <f>'Week 31'!B16</f>
        <v/>
      </c>
      <c r="B631">
        <f>'Week 31'!C16</f>
        <v/>
      </c>
      <c r="C631">
        <f>IF('Week 31'!I16="","",'Week 31'!I16)</f>
        <v/>
      </c>
      <c r="D631">
        <f>IF('Week 31'!I16="","",IF('Week 31'!J16="",1,'Week 31'!J16))</f>
        <v/>
      </c>
      <c r="E631">
        <f>IF(OR(C631="",D631=""),"",IF(D631=1,C631,ROUND(C631*(1+D631/30),1)))</f>
        <v/>
      </c>
    </row>
    <row r="632">
      <c r="A632">
        <f>'Week 31'!B17</f>
        <v/>
      </c>
      <c r="B632">
        <f>'Week 31'!C17</f>
        <v/>
      </c>
      <c r="C632">
        <f>IF('Week 31'!I17="","",'Week 31'!I17)</f>
        <v/>
      </c>
      <c r="D632">
        <f>IF('Week 31'!I17="","",IF('Week 31'!J17="",1,'Week 31'!J17))</f>
        <v/>
      </c>
      <c r="E632">
        <f>IF(OR(C632="",D632=""),"",IF(D632=1,C632,ROUND(C632*(1+D632/30),1)))</f>
        <v/>
      </c>
    </row>
    <row r="633">
      <c r="A633">
        <f>'Week 31'!B18</f>
        <v/>
      </c>
      <c r="B633">
        <f>'Week 31'!C18</f>
        <v/>
      </c>
      <c r="C633">
        <f>IF('Week 31'!I18="","",'Week 31'!I18)</f>
        <v/>
      </c>
      <c r="D633">
        <f>IF('Week 31'!I18="","",IF('Week 31'!J18="",1,'Week 31'!J18))</f>
        <v/>
      </c>
      <c r="E633">
        <f>IF(OR(C633="",D633=""),"",IF(D633=1,C633,ROUND(C633*(1+D633/30),1)))</f>
        <v/>
      </c>
    </row>
    <row r="634">
      <c r="A634">
        <f>'Week 31'!B19</f>
        <v/>
      </c>
      <c r="B634">
        <f>'Week 31'!C19</f>
        <v/>
      </c>
      <c r="C634">
        <f>IF('Week 31'!I19="","",'Week 31'!I19)</f>
        <v/>
      </c>
      <c r="D634">
        <f>IF('Week 31'!I19="","",IF('Week 31'!J19="",1,'Week 31'!J19))</f>
        <v/>
      </c>
      <c r="E634">
        <f>IF(OR(C634="",D634=""),"",IF(D634=1,C634,ROUND(C634*(1+D634/30),1)))</f>
        <v/>
      </c>
    </row>
    <row r="635">
      <c r="A635">
        <f>'Week 31'!B20</f>
        <v/>
      </c>
      <c r="B635">
        <f>'Week 31'!C20</f>
        <v/>
      </c>
      <c r="C635">
        <f>IF('Week 31'!I20="","",'Week 31'!I20)</f>
        <v/>
      </c>
      <c r="D635">
        <f>IF('Week 31'!I20="","",IF('Week 31'!J20="",1,'Week 31'!J20))</f>
        <v/>
      </c>
      <c r="E635">
        <f>IF(OR(C635="",D635=""),"",IF(D635=1,C635,ROUND(C635*(1+D635/30),1)))</f>
        <v/>
      </c>
    </row>
    <row r="636">
      <c r="A636">
        <f>'Week 31'!B21</f>
        <v/>
      </c>
      <c r="B636">
        <f>'Week 31'!C21</f>
        <v/>
      </c>
      <c r="C636">
        <f>IF('Week 31'!I21="","",'Week 31'!I21)</f>
        <v/>
      </c>
      <c r="D636">
        <f>IF('Week 31'!I21="","",IF('Week 31'!J21="",1,'Week 31'!J21))</f>
        <v/>
      </c>
      <c r="E636">
        <f>IF(OR(C636="",D636=""),"",IF(D636=1,C636,ROUND(C636*(1+D636/30),1)))</f>
        <v/>
      </c>
    </row>
    <row r="637">
      <c r="A637">
        <f>'Week 31'!B22</f>
        <v/>
      </c>
      <c r="B637">
        <f>'Week 31'!C22</f>
        <v/>
      </c>
      <c r="C637">
        <f>IF('Week 31'!I22="","",'Week 31'!I22)</f>
        <v/>
      </c>
      <c r="D637">
        <f>IF('Week 31'!I22="","",IF('Week 31'!J22="",1,'Week 31'!J22))</f>
        <v/>
      </c>
      <c r="E637">
        <f>IF(OR(C637="",D637=""),"",IF(D637=1,C637,ROUND(C637*(1+D637/30),1)))</f>
        <v/>
      </c>
    </row>
    <row r="638">
      <c r="A638">
        <f>'Week 31'!B23</f>
        <v/>
      </c>
      <c r="B638">
        <f>'Week 31'!C23</f>
        <v/>
      </c>
      <c r="C638">
        <f>IF('Week 31'!I23="","",'Week 31'!I23)</f>
        <v/>
      </c>
      <c r="D638">
        <f>IF('Week 31'!I23="","",IF('Week 31'!J23="",1,'Week 31'!J23))</f>
        <v/>
      </c>
      <c r="E638">
        <f>IF(OR(C638="",D638=""),"",IF(D638=1,C638,ROUND(C638*(1+D638/30),1)))</f>
        <v/>
      </c>
    </row>
    <row r="639">
      <c r="A639">
        <f>'Week 31'!B24</f>
        <v/>
      </c>
      <c r="B639">
        <f>'Week 31'!C24</f>
        <v/>
      </c>
      <c r="C639">
        <f>IF('Week 31'!I24="","",'Week 31'!I24)</f>
        <v/>
      </c>
      <c r="D639">
        <f>IF('Week 31'!I24="","",IF('Week 31'!J24="",1,'Week 31'!J24))</f>
        <v/>
      </c>
      <c r="E639">
        <f>IF(OR(C639="",D639=""),"",IF(D639=1,C639,ROUND(C639*(1+D639/30),1)))</f>
        <v/>
      </c>
    </row>
    <row r="640">
      <c r="A640">
        <f>'Week 31'!B25</f>
        <v/>
      </c>
      <c r="B640">
        <f>'Week 31'!C25</f>
        <v/>
      </c>
      <c r="C640">
        <f>IF('Week 31'!I25="","",'Week 31'!I25)</f>
        <v/>
      </c>
      <c r="D640">
        <f>IF('Week 31'!I25="","",IF('Week 31'!J25="",1,'Week 31'!J25))</f>
        <v/>
      </c>
      <c r="E640">
        <f>IF(OR(C640="",D640=""),"",IF(D640=1,C640,ROUND(C640*(1+D640/30),1)))</f>
        <v/>
      </c>
    </row>
    <row r="641">
      <c r="A641">
        <f>'Week 32'!B6</f>
        <v/>
      </c>
      <c r="B641">
        <f>'Week 32'!C6</f>
        <v/>
      </c>
      <c r="C641">
        <f>IF('Week 32'!I6="","",'Week 32'!I6)</f>
        <v/>
      </c>
      <c r="D641">
        <f>IF('Week 32'!I6="","",IF('Week 32'!J6="",1,'Week 32'!J6))</f>
        <v/>
      </c>
      <c r="E641">
        <f>IF(OR(C641="",D641=""),"",IF(D641=1,C641,ROUND(C641*(1+D641/30),1)))</f>
        <v/>
      </c>
    </row>
    <row r="642">
      <c r="A642">
        <f>'Week 32'!B7</f>
        <v/>
      </c>
      <c r="B642">
        <f>'Week 32'!C7</f>
        <v/>
      </c>
      <c r="C642">
        <f>IF('Week 32'!I7="","",'Week 32'!I7)</f>
        <v/>
      </c>
      <c r="D642">
        <f>IF('Week 32'!I7="","",IF('Week 32'!J7="",1,'Week 32'!J7))</f>
        <v/>
      </c>
      <c r="E642">
        <f>IF(OR(C642="",D642=""),"",IF(D642=1,C642,ROUND(C642*(1+D642/30),1)))</f>
        <v/>
      </c>
    </row>
    <row r="643">
      <c r="A643">
        <f>'Week 32'!B8</f>
        <v/>
      </c>
      <c r="B643">
        <f>'Week 32'!C8</f>
        <v/>
      </c>
      <c r="C643">
        <f>IF('Week 32'!I8="","",'Week 32'!I8)</f>
        <v/>
      </c>
      <c r="D643">
        <f>IF('Week 32'!I8="","",IF('Week 32'!J8="",1,'Week 32'!J8))</f>
        <v/>
      </c>
      <c r="E643">
        <f>IF(OR(C643="",D643=""),"",IF(D643=1,C643,ROUND(C643*(1+D643/30),1)))</f>
        <v/>
      </c>
    </row>
    <row r="644">
      <c r="A644">
        <f>'Week 32'!B9</f>
        <v/>
      </c>
      <c r="B644">
        <f>'Week 32'!C9</f>
        <v/>
      </c>
      <c r="C644">
        <f>IF('Week 32'!I9="","",'Week 32'!I9)</f>
        <v/>
      </c>
      <c r="D644">
        <f>IF('Week 32'!I9="","",IF('Week 32'!J9="",1,'Week 32'!J9))</f>
        <v/>
      </c>
      <c r="E644">
        <f>IF(OR(C644="",D644=""),"",IF(D644=1,C644,ROUND(C644*(1+D644/30),1)))</f>
        <v/>
      </c>
    </row>
    <row r="645">
      <c r="A645">
        <f>'Week 32'!B10</f>
        <v/>
      </c>
      <c r="B645">
        <f>'Week 32'!C10</f>
        <v/>
      </c>
      <c r="C645">
        <f>IF('Week 32'!I10="","",'Week 32'!I10)</f>
        <v/>
      </c>
      <c r="D645">
        <f>IF('Week 32'!I10="","",IF('Week 32'!J10="",1,'Week 32'!J10))</f>
        <v/>
      </c>
      <c r="E645">
        <f>IF(OR(C645="",D645=""),"",IF(D645=1,C645,ROUND(C645*(1+D645/30),1)))</f>
        <v/>
      </c>
    </row>
    <row r="646">
      <c r="A646">
        <f>'Week 32'!B11</f>
        <v/>
      </c>
      <c r="B646">
        <f>'Week 32'!C11</f>
        <v/>
      </c>
      <c r="C646">
        <f>IF('Week 32'!I11="","",'Week 32'!I11)</f>
        <v/>
      </c>
      <c r="D646">
        <f>IF('Week 32'!I11="","",IF('Week 32'!J11="",1,'Week 32'!J11))</f>
        <v/>
      </c>
      <c r="E646">
        <f>IF(OR(C646="",D646=""),"",IF(D646=1,C646,ROUND(C646*(1+D646/30),1)))</f>
        <v/>
      </c>
    </row>
    <row r="647">
      <c r="A647">
        <f>'Week 32'!B12</f>
        <v/>
      </c>
      <c r="B647">
        <f>'Week 32'!C12</f>
        <v/>
      </c>
      <c r="C647">
        <f>IF('Week 32'!I12="","",'Week 32'!I12)</f>
        <v/>
      </c>
      <c r="D647">
        <f>IF('Week 32'!I12="","",IF('Week 32'!J12="",1,'Week 32'!J12))</f>
        <v/>
      </c>
      <c r="E647">
        <f>IF(OR(C647="",D647=""),"",IF(D647=1,C647,ROUND(C647*(1+D647/30),1)))</f>
        <v/>
      </c>
    </row>
    <row r="648">
      <c r="A648">
        <f>'Week 32'!B13</f>
        <v/>
      </c>
      <c r="B648">
        <f>'Week 32'!C13</f>
        <v/>
      </c>
      <c r="C648">
        <f>IF('Week 32'!I13="","",'Week 32'!I13)</f>
        <v/>
      </c>
      <c r="D648">
        <f>IF('Week 32'!I13="","",IF('Week 32'!J13="",1,'Week 32'!J13))</f>
        <v/>
      </c>
      <c r="E648">
        <f>IF(OR(C648="",D648=""),"",IF(D648=1,C648,ROUND(C648*(1+D648/30),1)))</f>
        <v/>
      </c>
    </row>
    <row r="649">
      <c r="A649">
        <f>'Week 32'!B14</f>
        <v/>
      </c>
      <c r="B649">
        <f>'Week 32'!C14</f>
        <v/>
      </c>
      <c r="C649">
        <f>IF('Week 32'!I14="","",'Week 32'!I14)</f>
        <v/>
      </c>
      <c r="D649">
        <f>IF('Week 32'!I14="","",IF('Week 32'!J14="",1,'Week 32'!J14))</f>
        <v/>
      </c>
      <c r="E649">
        <f>IF(OR(C649="",D649=""),"",IF(D649=1,C649,ROUND(C649*(1+D649/30),1)))</f>
        <v/>
      </c>
    </row>
    <row r="650">
      <c r="A650">
        <f>'Week 32'!B15</f>
        <v/>
      </c>
      <c r="B650">
        <f>'Week 32'!C15</f>
        <v/>
      </c>
      <c r="C650">
        <f>IF('Week 32'!I15="","",'Week 32'!I15)</f>
        <v/>
      </c>
      <c r="D650">
        <f>IF('Week 32'!I15="","",IF('Week 32'!J15="",1,'Week 32'!J15))</f>
        <v/>
      </c>
      <c r="E650">
        <f>IF(OR(C650="",D650=""),"",IF(D650=1,C650,ROUND(C650*(1+D650/30),1)))</f>
        <v/>
      </c>
    </row>
    <row r="651">
      <c r="A651">
        <f>'Week 32'!B16</f>
        <v/>
      </c>
      <c r="B651">
        <f>'Week 32'!C16</f>
        <v/>
      </c>
      <c r="C651">
        <f>IF('Week 32'!I16="","",'Week 32'!I16)</f>
        <v/>
      </c>
      <c r="D651">
        <f>IF('Week 32'!I16="","",IF('Week 32'!J16="",1,'Week 32'!J16))</f>
        <v/>
      </c>
      <c r="E651">
        <f>IF(OR(C651="",D651=""),"",IF(D651=1,C651,ROUND(C651*(1+D651/30),1)))</f>
        <v/>
      </c>
    </row>
    <row r="652">
      <c r="A652">
        <f>'Week 32'!B17</f>
        <v/>
      </c>
      <c r="B652">
        <f>'Week 32'!C17</f>
        <v/>
      </c>
      <c r="C652">
        <f>IF('Week 32'!I17="","",'Week 32'!I17)</f>
        <v/>
      </c>
      <c r="D652">
        <f>IF('Week 32'!I17="","",IF('Week 32'!J17="",1,'Week 32'!J17))</f>
        <v/>
      </c>
      <c r="E652">
        <f>IF(OR(C652="",D652=""),"",IF(D652=1,C652,ROUND(C652*(1+D652/30),1)))</f>
        <v/>
      </c>
    </row>
    <row r="653">
      <c r="A653">
        <f>'Week 32'!B18</f>
        <v/>
      </c>
      <c r="B653">
        <f>'Week 32'!C18</f>
        <v/>
      </c>
      <c r="C653">
        <f>IF('Week 32'!I18="","",'Week 32'!I18)</f>
        <v/>
      </c>
      <c r="D653">
        <f>IF('Week 32'!I18="","",IF('Week 32'!J18="",1,'Week 32'!J18))</f>
        <v/>
      </c>
      <c r="E653">
        <f>IF(OR(C653="",D653=""),"",IF(D653=1,C653,ROUND(C653*(1+D653/30),1)))</f>
        <v/>
      </c>
    </row>
    <row r="654">
      <c r="A654">
        <f>'Week 32'!B19</f>
        <v/>
      </c>
      <c r="B654">
        <f>'Week 32'!C19</f>
        <v/>
      </c>
      <c r="C654">
        <f>IF('Week 32'!I19="","",'Week 32'!I19)</f>
        <v/>
      </c>
      <c r="D654">
        <f>IF('Week 32'!I19="","",IF('Week 32'!J19="",1,'Week 32'!J19))</f>
        <v/>
      </c>
      <c r="E654">
        <f>IF(OR(C654="",D654=""),"",IF(D654=1,C654,ROUND(C654*(1+D654/30),1)))</f>
        <v/>
      </c>
    </row>
    <row r="655">
      <c r="A655">
        <f>'Week 32'!B20</f>
        <v/>
      </c>
      <c r="B655">
        <f>'Week 32'!C20</f>
        <v/>
      </c>
      <c r="C655">
        <f>IF('Week 32'!I20="","",'Week 32'!I20)</f>
        <v/>
      </c>
      <c r="D655">
        <f>IF('Week 32'!I20="","",IF('Week 32'!J20="",1,'Week 32'!J20))</f>
        <v/>
      </c>
      <c r="E655">
        <f>IF(OR(C655="",D655=""),"",IF(D655=1,C655,ROUND(C655*(1+D655/30),1)))</f>
        <v/>
      </c>
    </row>
    <row r="656">
      <c r="A656">
        <f>'Week 32'!B21</f>
        <v/>
      </c>
      <c r="B656">
        <f>'Week 32'!C21</f>
        <v/>
      </c>
      <c r="C656">
        <f>IF('Week 32'!I21="","",'Week 32'!I21)</f>
        <v/>
      </c>
      <c r="D656">
        <f>IF('Week 32'!I21="","",IF('Week 32'!J21="",1,'Week 32'!J21))</f>
        <v/>
      </c>
      <c r="E656">
        <f>IF(OR(C656="",D656=""),"",IF(D656=1,C656,ROUND(C656*(1+D656/30),1)))</f>
        <v/>
      </c>
    </row>
    <row r="657">
      <c r="A657">
        <f>'Week 32'!B22</f>
        <v/>
      </c>
      <c r="B657">
        <f>'Week 32'!C22</f>
        <v/>
      </c>
      <c r="C657">
        <f>IF('Week 32'!I22="","",'Week 32'!I22)</f>
        <v/>
      </c>
      <c r="D657">
        <f>IF('Week 32'!I22="","",IF('Week 32'!J22="",1,'Week 32'!J22))</f>
        <v/>
      </c>
      <c r="E657">
        <f>IF(OR(C657="",D657=""),"",IF(D657=1,C657,ROUND(C657*(1+D657/30),1)))</f>
        <v/>
      </c>
    </row>
    <row r="658">
      <c r="A658">
        <f>'Week 32'!B23</f>
        <v/>
      </c>
      <c r="B658">
        <f>'Week 32'!C23</f>
        <v/>
      </c>
      <c r="C658">
        <f>IF('Week 32'!I23="","",'Week 32'!I23)</f>
        <v/>
      </c>
      <c r="D658">
        <f>IF('Week 32'!I23="","",IF('Week 32'!J23="",1,'Week 32'!J23))</f>
        <v/>
      </c>
      <c r="E658">
        <f>IF(OR(C658="",D658=""),"",IF(D658=1,C658,ROUND(C658*(1+D658/30),1)))</f>
        <v/>
      </c>
    </row>
    <row r="659">
      <c r="A659">
        <f>'Week 32'!B24</f>
        <v/>
      </c>
      <c r="B659">
        <f>'Week 32'!C24</f>
        <v/>
      </c>
      <c r="C659">
        <f>IF('Week 32'!I24="","",'Week 32'!I24)</f>
        <v/>
      </c>
      <c r="D659">
        <f>IF('Week 32'!I24="","",IF('Week 32'!J24="",1,'Week 32'!J24))</f>
        <v/>
      </c>
      <c r="E659">
        <f>IF(OR(C659="",D659=""),"",IF(D659=1,C659,ROUND(C659*(1+D659/30),1)))</f>
        <v/>
      </c>
    </row>
    <row r="660">
      <c r="A660">
        <f>'Week 32'!B25</f>
        <v/>
      </c>
      <c r="B660">
        <f>'Week 32'!C25</f>
        <v/>
      </c>
      <c r="C660">
        <f>IF('Week 32'!I25="","",'Week 32'!I25)</f>
        <v/>
      </c>
      <c r="D660">
        <f>IF('Week 32'!I25="","",IF('Week 32'!J25="",1,'Week 32'!J25))</f>
        <v/>
      </c>
      <c r="E660">
        <f>IF(OR(C660="",D660=""),"",IF(D660=1,C660,ROUND(C660*(1+D660/30),1)))</f>
        <v/>
      </c>
    </row>
    <row r="661">
      <c r="A661">
        <f>'Week 33'!B6</f>
        <v/>
      </c>
      <c r="B661">
        <f>'Week 33'!C6</f>
        <v/>
      </c>
      <c r="C661">
        <f>IF('Week 33'!I6="","",'Week 33'!I6)</f>
        <v/>
      </c>
      <c r="D661">
        <f>IF('Week 33'!I6="","",IF('Week 33'!J6="",1,'Week 33'!J6))</f>
        <v/>
      </c>
      <c r="E661">
        <f>IF(OR(C661="",D661=""),"",IF(D661=1,C661,ROUND(C661*(1+D661/30),1)))</f>
        <v/>
      </c>
    </row>
    <row r="662">
      <c r="A662">
        <f>'Week 33'!B7</f>
        <v/>
      </c>
      <c r="B662">
        <f>'Week 33'!C7</f>
        <v/>
      </c>
      <c r="C662">
        <f>IF('Week 33'!I7="","",'Week 33'!I7)</f>
        <v/>
      </c>
      <c r="D662">
        <f>IF('Week 33'!I7="","",IF('Week 33'!J7="",1,'Week 33'!J7))</f>
        <v/>
      </c>
      <c r="E662">
        <f>IF(OR(C662="",D662=""),"",IF(D662=1,C662,ROUND(C662*(1+D662/30),1)))</f>
        <v/>
      </c>
    </row>
    <row r="663">
      <c r="A663">
        <f>'Week 33'!B8</f>
        <v/>
      </c>
      <c r="B663">
        <f>'Week 33'!C8</f>
        <v/>
      </c>
      <c r="C663">
        <f>IF('Week 33'!I8="","",'Week 33'!I8)</f>
        <v/>
      </c>
      <c r="D663">
        <f>IF('Week 33'!I8="","",IF('Week 33'!J8="",1,'Week 33'!J8))</f>
        <v/>
      </c>
      <c r="E663">
        <f>IF(OR(C663="",D663=""),"",IF(D663=1,C663,ROUND(C663*(1+D663/30),1)))</f>
        <v/>
      </c>
    </row>
    <row r="664">
      <c r="A664">
        <f>'Week 33'!B9</f>
        <v/>
      </c>
      <c r="B664">
        <f>'Week 33'!C9</f>
        <v/>
      </c>
      <c r="C664">
        <f>IF('Week 33'!I9="","",'Week 33'!I9)</f>
        <v/>
      </c>
      <c r="D664">
        <f>IF('Week 33'!I9="","",IF('Week 33'!J9="",1,'Week 33'!J9))</f>
        <v/>
      </c>
      <c r="E664">
        <f>IF(OR(C664="",D664=""),"",IF(D664=1,C664,ROUND(C664*(1+D664/30),1)))</f>
        <v/>
      </c>
    </row>
    <row r="665">
      <c r="A665">
        <f>'Week 33'!B10</f>
        <v/>
      </c>
      <c r="B665">
        <f>'Week 33'!C10</f>
        <v/>
      </c>
      <c r="C665">
        <f>IF('Week 33'!I10="","",'Week 33'!I10)</f>
        <v/>
      </c>
      <c r="D665">
        <f>IF('Week 33'!I10="","",IF('Week 33'!J10="",1,'Week 33'!J10))</f>
        <v/>
      </c>
      <c r="E665">
        <f>IF(OR(C665="",D665=""),"",IF(D665=1,C665,ROUND(C665*(1+D665/30),1)))</f>
        <v/>
      </c>
    </row>
    <row r="666">
      <c r="A666">
        <f>'Week 33'!B11</f>
        <v/>
      </c>
      <c r="B666">
        <f>'Week 33'!C11</f>
        <v/>
      </c>
      <c r="C666">
        <f>IF('Week 33'!I11="","",'Week 33'!I11)</f>
        <v/>
      </c>
      <c r="D666">
        <f>IF('Week 33'!I11="","",IF('Week 33'!J11="",1,'Week 33'!J11))</f>
        <v/>
      </c>
      <c r="E666">
        <f>IF(OR(C666="",D666=""),"",IF(D666=1,C666,ROUND(C666*(1+D666/30),1)))</f>
        <v/>
      </c>
    </row>
    <row r="667">
      <c r="A667">
        <f>'Week 33'!B12</f>
        <v/>
      </c>
      <c r="B667">
        <f>'Week 33'!C12</f>
        <v/>
      </c>
      <c r="C667">
        <f>IF('Week 33'!I12="","",'Week 33'!I12)</f>
        <v/>
      </c>
      <c r="D667">
        <f>IF('Week 33'!I12="","",IF('Week 33'!J12="",1,'Week 33'!J12))</f>
        <v/>
      </c>
      <c r="E667">
        <f>IF(OR(C667="",D667=""),"",IF(D667=1,C667,ROUND(C667*(1+D667/30),1)))</f>
        <v/>
      </c>
    </row>
    <row r="668">
      <c r="A668">
        <f>'Week 33'!B13</f>
        <v/>
      </c>
      <c r="B668">
        <f>'Week 33'!C13</f>
        <v/>
      </c>
      <c r="C668">
        <f>IF('Week 33'!I13="","",'Week 33'!I13)</f>
        <v/>
      </c>
      <c r="D668">
        <f>IF('Week 33'!I13="","",IF('Week 33'!J13="",1,'Week 33'!J13))</f>
        <v/>
      </c>
      <c r="E668">
        <f>IF(OR(C668="",D668=""),"",IF(D668=1,C668,ROUND(C668*(1+D668/30),1)))</f>
        <v/>
      </c>
    </row>
    <row r="669">
      <c r="A669">
        <f>'Week 33'!B14</f>
        <v/>
      </c>
      <c r="B669">
        <f>'Week 33'!C14</f>
        <v/>
      </c>
      <c r="C669">
        <f>IF('Week 33'!I14="","",'Week 33'!I14)</f>
        <v/>
      </c>
      <c r="D669">
        <f>IF('Week 33'!I14="","",IF('Week 33'!J14="",1,'Week 33'!J14))</f>
        <v/>
      </c>
      <c r="E669">
        <f>IF(OR(C669="",D669=""),"",IF(D669=1,C669,ROUND(C669*(1+D669/30),1)))</f>
        <v/>
      </c>
    </row>
    <row r="670">
      <c r="A670">
        <f>'Week 33'!B15</f>
        <v/>
      </c>
      <c r="B670">
        <f>'Week 33'!C15</f>
        <v/>
      </c>
      <c r="C670">
        <f>IF('Week 33'!I15="","",'Week 33'!I15)</f>
        <v/>
      </c>
      <c r="D670">
        <f>IF('Week 33'!I15="","",IF('Week 33'!J15="",1,'Week 33'!J15))</f>
        <v/>
      </c>
      <c r="E670">
        <f>IF(OR(C670="",D670=""),"",IF(D670=1,C670,ROUND(C670*(1+D670/30),1)))</f>
        <v/>
      </c>
    </row>
    <row r="671">
      <c r="A671">
        <f>'Week 33'!B16</f>
        <v/>
      </c>
      <c r="B671">
        <f>'Week 33'!C16</f>
        <v/>
      </c>
      <c r="C671">
        <f>IF('Week 33'!I16="","",'Week 33'!I16)</f>
        <v/>
      </c>
      <c r="D671">
        <f>IF('Week 33'!I16="","",IF('Week 33'!J16="",1,'Week 33'!J16))</f>
        <v/>
      </c>
      <c r="E671">
        <f>IF(OR(C671="",D671=""),"",IF(D671=1,C671,ROUND(C671*(1+D671/30),1)))</f>
        <v/>
      </c>
    </row>
    <row r="672">
      <c r="A672">
        <f>'Week 33'!B17</f>
        <v/>
      </c>
      <c r="B672">
        <f>'Week 33'!C17</f>
        <v/>
      </c>
      <c r="C672">
        <f>IF('Week 33'!I17="","",'Week 33'!I17)</f>
        <v/>
      </c>
      <c r="D672">
        <f>IF('Week 33'!I17="","",IF('Week 33'!J17="",1,'Week 33'!J17))</f>
        <v/>
      </c>
      <c r="E672">
        <f>IF(OR(C672="",D672=""),"",IF(D672=1,C672,ROUND(C672*(1+D672/30),1)))</f>
        <v/>
      </c>
    </row>
    <row r="673">
      <c r="A673">
        <f>'Week 33'!B18</f>
        <v/>
      </c>
      <c r="B673">
        <f>'Week 33'!C18</f>
        <v/>
      </c>
      <c r="C673">
        <f>IF('Week 33'!I18="","",'Week 33'!I18)</f>
        <v/>
      </c>
      <c r="D673">
        <f>IF('Week 33'!I18="","",IF('Week 33'!J18="",1,'Week 33'!J18))</f>
        <v/>
      </c>
      <c r="E673">
        <f>IF(OR(C673="",D673=""),"",IF(D673=1,C673,ROUND(C673*(1+D673/30),1)))</f>
        <v/>
      </c>
    </row>
    <row r="674">
      <c r="A674">
        <f>'Week 33'!B19</f>
        <v/>
      </c>
      <c r="B674">
        <f>'Week 33'!C19</f>
        <v/>
      </c>
      <c r="C674">
        <f>IF('Week 33'!I19="","",'Week 33'!I19)</f>
        <v/>
      </c>
      <c r="D674">
        <f>IF('Week 33'!I19="","",IF('Week 33'!J19="",1,'Week 33'!J19))</f>
        <v/>
      </c>
      <c r="E674">
        <f>IF(OR(C674="",D674=""),"",IF(D674=1,C674,ROUND(C674*(1+D674/30),1)))</f>
        <v/>
      </c>
    </row>
    <row r="675">
      <c r="A675">
        <f>'Week 33'!B20</f>
        <v/>
      </c>
      <c r="B675">
        <f>'Week 33'!C20</f>
        <v/>
      </c>
      <c r="C675">
        <f>IF('Week 33'!I20="","",'Week 33'!I20)</f>
        <v/>
      </c>
      <c r="D675">
        <f>IF('Week 33'!I20="","",IF('Week 33'!J20="",1,'Week 33'!J20))</f>
        <v/>
      </c>
      <c r="E675">
        <f>IF(OR(C675="",D675=""),"",IF(D675=1,C675,ROUND(C675*(1+D675/30),1)))</f>
        <v/>
      </c>
    </row>
    <row r="676">
      <c r="A676">
        <f>'Week 33'!B21</f>
        <v/>
      </c>
      <c r="B676">
        <f>'Week 33'!C21</f>
        <v/>
      </c>
      <c r="C676">
        <f>IF('Week 33'!I21="","",'Week 33'!I21)</f>
        <v/>
      </c>
      <c r="D676">
        <f>IF('Week 33'!I21="","",IF('Week 33'!J21="",1,'Week 33'!J21))</f>
        <v/>
      </c>
      <c r="E676">
        <f>IF(OR(C676="",D676=""),"",IF(D676=1,C676,ROUND(C676*(1+D676/30),1)))</f>
        <v/>
      </c>
    </row>
    <row r="677">
      <c r="A677">
        <f>'Week 33'!B22</f>
        <v/>
      </c>
      <c r="B677">
        <f>'Week 33'!C22</f>
        <v/>
      </c>
      <c r="C677">
        <f>IF('Week 33'!I22="","",'Week 33'!I22)</f>
        <v/>
      </c>
      <c r="D677">
        <f>IF('Week 33'!I22="","",IF('Week 33'!J22="",1,'Week 33'!J22))</f>
        <v/>
      </c>
      <c r="E677">
        <f>IF(OR(C677="",D677=""),"",IF(D677=1,C677,ROUND(C677*(1+D677/30),1)))</f>
        <v/>
      </c>
    </row>
    <row r="678">
      <c r="A678">
        <f>'Week 33'!B23</f>
        <v/>
      </c>
      <c r="B678">
        <f>'Week 33'!C23</f>
        <v/>
      </c>
      <c r="C678">
        <f>IF('Week 33'!I23="","",'Week 33'!I23)</f>
        <v/>
      </c>
      <c r="D678">
        <f>IF('Week 33'!I23="","",IF('Week 33'!J23="",1,'Week 33'!J23))</f>
        <v/>
      </c>
      <c r="E678">
        <f>IF(OR(C678="",D678=""),"",IF(D678=1,C678,ROUND(C678*(1+D678/30),1)))</f>
        <v/>
      </c>
    </row>
    <row r="679">
      <c r="A679">
        <f>'Week 33'!B24</f>
        <v/>
      </c>
      <c r="B679">
        <f>'Week 33'!C24</f>
        <v/>
      </c>
      <c r="C679">
        <f>IF('Week 33'!I24="","",'Week 33'!I24)</f>
        <v/>
      </c>
      <c r="D679">
        <f>IF('Week 33'!I24="","",IF('Week 33'!J24="",1,'Week 33'!J24))</f>
        <v/>
      </c>
      <c r="E679">
        <f>IF(OR(C679="",D679=""),"",IF(D679=1,C679,ROUND(C679*(1+D679/30),1)))</f>
        <v/>
      </c>
    </row>
    <row r="680">
      <c r="A680">
        <f>'Week 33'!B25</f>
        <v/>
      </c>
      <c r="B680">
        <f>'Week 33'!C25</f>
        <v/>
      </c>
      <c r="C680">
        <f>IF('Week 33'!I25="","",'Week 33'!I25)</f>
        <v/>
      </c>
      <c r="D680">
        <f>IF('Week 33'!I25="","",IF('Week 33'!J25="",1,'Week 33'!J25))</f>
        <v/>
      </c>
      <c r="E680">
        <f>IF(OR(C680="",D680=""),"",IF(D680=1,C680,ROUND(C680*(1+D680/30),1)))</f>
        <v/>
      </c>
    </row>
    <row r="681">
      <c r="A681">
        <f>'Week 34'!B6</f>
        <v/>
      </c>
      <c r="B681">
        <f>'Week 34'!C6</f>
        <v/>
      </c>
      <c r="C681">
        <f>IF('Week 34'!I6="","",'Week 34'!I6)</f>
        <v/>
      </c>
      <c r="D681">
        <f>IF('Week 34'!I6="","",IF('Week 34'!J6="",1,'Week 34'!J6))</f>
        <v/>
      </c>
      <c r="E681">
        <f>IF(OR(C681="",D681=""),"",IF(D681=1,C681,ROUND(C681*(1+D681/30),1)))</f>
        <v/>
      </c>
    </row>
    <row r="682">
      <c r="A682">
        <f>'Week 34'!B7</f>
        <v/>
      </c>
      <c r="B682">
        <f>'Week 34'!C7</f>
        <v/>
      </c>
      <c r="C682">
        <f>IF('Week 34'!I7="","",'Week 34'!I7)</f>
        <v/>
      </c>
      <c r="D682">
        <f>IF('Week 34'!I7="","",IF('Week 34'!J7="",1,'Week 34'!J7))</f>
        <v/>
      </c>
      <c r="E682">
        <f>IF(OR(C682="",D682=""),"",IF(D682=1,C682,ROUND(C682*(1+D682/30),1)))</f>
        <v/>
      </c>
    </row>
    <row r="683">
      <c r="A683">
        <f>'Week 34'!B8</f>
        <v/>
      </c>
      <c r="B683">
        <f>'Week 34'!C8</f>
        <v/>
      </c>
      <c r="C683">
        <f>IF('Week 34'!I8="","",'Week 34'!I8)</f>
        <v/>
      </c>
      <c r="D683">
        <f>IF('Week 34'!I8="","",IF('Week 34'!J8="",1,'Week 34'!J8))</f>
        <v/>
      </c>
      <c r="E683">
        <f>IF(OR(C683="",D683=""),"",IF(D683=1,C683,ROUND(C683*(1+D683/30),1)))</f>
        <v/>
      </c>
    </row>
    <row r="684">
      <c r="A684">
        <f>'Week 34'!B9</f>
        <v/>
      </c>
      <c r="B684">
        <f>'Week 34'!C9</f>
        <v/>
      </c>
      <c r="C684">
        <f>IF('Week 34'!I9="","",'Week 34'!I9)</f>
        <v/>
      </c>
      <c r="D684">
        <f>IF('Week 34'!I9="","",IF('Week 34'!J9="",1,'Week 34'!J9))</f>
        <v/>
      </c>
      <c r="E684">
        <f>IF(OR(C684="",D684=""),"",IF(D684=1,C684,ROUND(C684*(1+D684/30),1)))</f>
        <v/>
      </c>
    </row>
    <row r="685">
      <c r="A685">
        <f>'Week 34'!B10</f>
        <v/>
      </c>
      <c r="B685">
        <f>'Week 34'!C10</f>
        <v/>
      </c>
      <c r="C685">
        <f>IF('Week 34'!I10="","",'Week 34'!I10)</f>
        <v/>
      </c>
      <c r="D685">
        <f>IF('Week 34'!I10="","",IF('Week 34'!J10="",1,'Week 34'!J10))</f>
        <v/>
      </c>
      <c r="E685">
        <f>IF(OR(C685="",D685=""),"",IF(D685=1,C685,ROUND(C685*(1+D685/30),1)))</f>
        <v/>
      </c>
    </row>
    <row r="686">
      <c r="A686">
        <f>'Week 34'!B11</f>
        <v/>
      </c>
      <c r="B686">
        <f>'Week 34'!C11</f>
        <v/>
      </c>
      <c r="C686">
        <f>IF('Week 34'!I11="","",'Week 34'!I11)</f>
        <v/>
      </c>
      <c r="D686">
        <f>IF('Week 34'!I11="","",IF('Week 34'!J11="",1,'Week 34'!J11))</f>
        <v/>
      </c>
      <c r="E686">
        <f>IF(OR(C686="",D686=""),"",IF(D686=1,C686,ROUND(C686*(1+D686/30),1)))</f>
        <v/>
      </c>
    </row>
    <row r="687">
      <c r="A687">
        <f>'Week 34'!B12</f>
        <v/>
      </c>
      <c r="B687">
        <f>'Week 34'!C12</f>
        <v/>
      </c>
      <c r="C687">
        <f>IF('Week 34'!I12="","",'Week 34'!I12)</f>
        <v/>
      </c>
      <c r="D687">
        <f>IF('Week 34'!I12="","",IF('Week 34'!J12="",1,'Week 34'!J12))</f>
        <v/>
      </c>
      <c r="E687">
        <f>IF(OR(C687="",D687=""),"",IF(D687=1,C687,ROUND(C687*(1+D687/30),1)))</f>
        <v/>
      </c>
    </row>
    <row r="688">
      <c r="A688">
        <f>'Week 34'!B13</f>
        <v/>
      </c>
      <c r="B688">
        <f>'Week 34'!C13</f>
        <v/>
      </c>
      <c r="C688">
        <f>IF('Week 34'!I13="","",'Week 34'!I13)</f>
        <v/>
      </c>
      <c r="D688">
        <f>IF('Week 34'!I13="","",IF('Week 34'!J13="",1,'Week 34'!J13))</f>
        <v/>
      </c>
      <c r="E688">
        <f>IF(OR(C688="",D688=""),"",IF(D688=1,C688,ROUND(C688*(1+D688/30),1)))</f>
        <v/>
      </c>
    </row>
    <row r="689">
      <c r="A689">
        <f>'Week 34'!B14</f>
        <v/>
      </c>
      <c r="B689">
        <f>'Week 34'!C14</f>
        <v/>
      </c>
      <c r="C689">
        <f>IF('Week 34'!I14="","",'Week 34'!I14)</f>
        <v/>
      </c>
      <c r="D689">
        <f>IF('Week 34'!I14="","",IF('Week 34'!J14="",1,'Week 34'!J14))</f>
        <v/>
      </c>
      <c r="E689">
        <f>IF(OR(C689="",D689=""),"",IF(D689=1,C689,ROUND(C689*(1+D689/30),1)))</f>
        <v/>
      </c>
    </row>
    <row r="690">
      <c r="A690">
        <f>'Week 34'!B15</f>
        <v/>
      </c>
      <c r="B690">
        <f>'Week 34'!C15</f>
        <v/>
      </c>
      <c r="C690">
        <f>IF('Week 34'!I15="","",'Week 34'!I15)</f>
        <v/>
      </c>
      <c r="D690">
        <f>IF('Week 34'!I15="","",IF('Week 34'!J15="",1,'Week 34'!J15))</f>
        <v/>
      </c>
      <c r="E690">
        <f>IF(OR(C690="",D690=""),"",IF(D690=1,C690,ROUND(C690*(1+D690/30),1)))</f>
        <v/>
      </c>
    </row>
    <row r="691">
      <c r="A691">
        <f>'Week 34'!B16</f>
        <v/>
      </c>
      <c r="B691">
        <f>'Week 34'!C16</f>
        <v/>
      </c>
      <c r="C691">
        <f>IF('Week 34'!I16="","",'Week 34'!I16)</f>
        <v/>
      </c>
      <c r="D691">
        <f>IF('Week 34'!I16="","",IF('Week 34'!J16="",1,'Week 34'!J16))</f>
        <v/>
      </c>
      <c r="E691">
        <f>IF(OR(C691="",D691=""),"",IF(D691=1,C691,ROUND(C691*(1+D691/30),1)))</f>
        <v/>
      </c>
    </row>
    <row r="692">
      <c r="A692">
        <f>'Week 34'!B17</f>
        <v/>
      </c>
      <c r="B692">
        <f>'Week 34'!C17</f>
        <v/>
      </c>
      <c r="C692">
        <f>IF('Week 34'!I17="","",'Week 34'!I17)</f>
        <v/>
      </c>
      <c r="D692">
        <f>IF('Week 34'!I17="","",IF('Week 34'!J17="",1,'Week 34'!J17))</f>
        <v/>
      </c>
      <c r="E692">
        <f>IF(OR(C692="",D692=""),"",IF(D692=1,C692,ROUND(C692*(1+D692/30),1)))</f>
        <v/>
      </c>
    </row>
    <row r="693">
      <c r="A693">
        <f>'Week 34'!B18</f>
        <v/>
      </c>
      <c r="B693">
        <f>'Week 34'!C18</f>
        <v/>
      </c>
      <c r="C693">
        <f>IF('Week 34'!I18="","",'Week 34'!I18)</f>
        <v/>
      </c>
      <c r="D693">
        <f>IF('Week 34'!I18="","",IF('Week 34'!J18="",1,'Week 34'!J18))</f>
        <v/>
      </c>
      <c r="E693">
        <f>IF(OR(C693="",D693=""),"",IF(D693=1,C693,ROUND(C693*(1+D693/30),1)))</f>
        <v/>
      </c>
    </row>
    <row r="694">
      <c r="A694">
        <f>'Week 34'!B19</f>
        <v/>
      </c>
      <c r="B694">
        <f>'Week 34'!C19</f>
        <v/>
      </c>
      <c r="C694">
        <f>IF('Week 34'!I19="","",'Week 34'!I19)</f>
        <v/>
      </c>
      <c r="D694">
        <f>IF('Week 34'!I19="","",IF('Week 34'!J19="",1,'Week 34'!J19))</f>
        <v/>
      </c>
      <c r="E694">
        <f>IF(OR(C694="",D694=""),"",IF(D694=1,C694,ROUND(C694*(1+D694/30),1)))</f>
        <v/>
      </c>
    </row>
    <row r="695">
      <c r="A695">
        <f>'Week 34'!B20</f>
        <v/>
      </c>
      <c r="B695">
        <f>'Week 34'!C20</f>
        <v/>
      </c>
      <c r="C695">
        <f>IF('Week 34'!I20="","",'Week 34'!I20)</f>
        <v/>
      </c>
      <c r="D695">
        <f>IF('Week 34'!I20="","",IF('Week 34'!J20="",1,'Week 34'!J20))</f>
        <v/>
      </c>
      <c r="E695">
        <f>IF(OR(C695="",D695=""),"",IF(D695=1,C695,ROUND(C695*(1+D695/30),1)))</f>
        <v/>
      </c>
    </row>
    <row r="696">
      <c r="A696">
        <f>'Week 34'!B21</f>
        <v/>
      </c>
      <c r="B696">
        <f>'Week 34'!C21</f>
        <v/>
      </c>
      <c r="C696">
        <f>IF('Week 34'!I21="","",'Week 34'!I21)</f>
        <v/>
      </c>
      <c r="D696">
        <f>IF('Week 34'!I21="","",IF('Week 34'!J21="",1,'Week 34'!J21))</f>
        <v/>
      </c>
      <c r="E696">
        <f>IF(OR(C696="",D696=""),"",IF(D696=1,C696,ROUND(C696*(1+D696/30),1)))</f>
        <v/>
      </c>
    </row>
    <row r="697">
      <c r="A697">
        <f>'Week 34'!B22</f>
        <v/>
      </c>
      <c r="B697">
        <f>'Week 34'!C22</f>
        <v/>
      </c>
      <c r="C697">
        <f>IF('Week 34'!I22="","",'Week 34'!I22)</f>
        <v/>
      </c>
      <c r="D697">
        <f>IF('Week 34'!I22="","",IF('Week 34'!J22="",1,'Week 34'!J22))</f>
        <v/>
      </c>
      <c r="E697">
        <f>IF(OR(C697="",D697=""),"",IF(D697=1,C697,ROUND(C697*(1+D697/30),1)))</f>
        <v/>
      </c>
    </row>
    <row r="698">
      <c r="A698">
        <f>'Week 34'!B23</f>
        <v/>
      </c>
      <c r="B698">
        <f>'Week 34'!C23</f>
        <v/>
      </c>
      <c r="C698">
        <f>IF('Week 34'!I23="","",'Week 34'!I23)</f>
        <v/>
      </c>
      <c r="D698">
        <f>IF('Week 34'!I23="","",IF('Week 34'!J23="",1,'Week 34'!J23))</f>
        <v/>
      </c>
      <c r="E698">
        <f>IF(OR(C698="",D698=""),"",IF(D698=1,C698,ROUND(C698*(1+D698/30),1)))</f>
        <v/>
      </c>
    </row>
    <row r="699">
      <c r="A699">
        <f>'Week 34'!B24</f>
        <v/>
      </c>
      <c r="B699">
        <f>'Week 34'!C24</f>
        <v/>
      </c>
      <c r="C699">
        <f>IF('Week 34'!I24="","",'Week 34'!I24)</f>
        <v/>
      </c>
      <c r="D699">
        <f>IF('Week 34'!I24="","",IF('Week 34'!J24="",1,'Week 34'!J24))</f>
        <v/>
      </c>
      <c r="E699">
        <f>IF(OR(C699="",D699=""),"",IF(D699=1,C699,ROUND(C699*(1+D699/30),1)))</f>
        <v/>
      </c>
    </row>
    <row r="700">
      <c r="A700">
        <f>'Week 34'!B25</f>
        <v/>
      </c>
      <c r="B700">
        <f>'Week 34'!C25</f>
        <v/>
      </c>
      <c r="C700">
        <f>IF('Week 34'!I25="","",'Week 34'!I25)</f>
        <v/>
      </c>
      <c r="D700">
        <f>IF('Week 34'!I25="","",IF('Week 34'!J25="",1,'Week 34'!J25))</f>
        <v/>
      </c>
      <c r="E700">
        <f>IF(OR(C700="",D700=""),"",IF(D700=1,C700,ROUND(C700*(1+D700/30),1)))</f>
        <v/>
      </c>
    </row>
    <row r="701">
      <c r="A701">
        <f>'Week 35'!B6</f>
        <v/>
      </c>
      <c r="B701">
        <f>'Week 35'!C6</f>
        <v/>
      </c>
      <c r="C701">
        <f>IF('Week 35'!I6="","",'Week 35'!I6)</f>
        <v/>
      </c>
      <c r="D701">
        <f>IF('Week 35'!I6="","",IF('Week 35'!J6="",1,'Week 35'!J6))</f>
        <v/>
      </c>
      <c r="E701">
        <f>IF(OR(C701="",D701=""),"",IF(D701=1,C701,ROUND(C701*(1+D701/30),1)))</f>
        <v/>
      </c>
    </row>
    <row r="702">
      <c r="A702">
        <f>'Week 35'!B7</f>
        <v/>
      </c>
      <c r="B702">
        <f>'Week 35'!C7</f>
        <v/>
      </c>
      <c r="C702">
        <f>IF('Week 35'!I7="","",'Week 35'!I7)</f>
        <v/>
      </c>
      <c r="D702">
        <f>IF('Week 35'!I7="","",IF('Week 35'!J7="",1,'Week 35'!J7))</f>
        <v/>
      </c>
      <c r="E702">
        <f>IF(OR(C702="",D702=""),"",IF(D702=1,C702,ROUND(C702*(1+D702/30),1)))</f>
        <v/>
      </c>
    </row>
    <row r="703">
      <c r="A703">
        <f>'Week 35'!B8</f>
        <v/>
      </c>
      <c r="B703">
        <f>'Week 35'!C8</f>
        <v/>
      </c>
      <c r="C703">
        <f>IF('Week 35'!I8="","",'Week 35'!I8)</f>
        <v/>
      </c>
      <c r="D703">
        <f>IF('Week 35'!I8="","",IF('Week 35'!J8="",1,'Week 35'!J8))</f>
        <v/>
      </c>
      <c r="E703">
        <f>IF(OR(C703="",D703=""),"",IF(D703=1,C703,ROUND(C703*(1+D703/30),1)))</f>
        <v/>
      </c>
    </row>
    <row r="704">
      <c r="A704">
        <f>'Week 35'!B9</f>
        <v/>
      </c>
      <c r="B704">
        <f>'Week 35'!C9</f>
        <v/>
      </c>
      <c r="C704">
        <f>IF('Week 35'!I9="","",'Week 35'!I9)</f>
        <v/>
      </c>
      <c r="D704">
        <f>IF('Week 35'!I9="","",IF('Week 35'!J9="",1,'Week 35'!J9))</f>
        <v/>
      </c>
      <c r="E704">
        <f>IF(OR(C704="",D704=""),"",IF(D704=1,C704,ROUND(C704*(1+D704/30),1)))</f>
        <v/>
      </c>
    </row>
    <row r="705">
      <c r="A705">
        <f>'Week 35'!B10</f>
        <v/>
      </c>
      <c r="B705">
        <f>'Week 35'!C10</f>
        <v/>
      </c>
      <c r="C705">
        <f>IF('Week 35'!I10="","",'Week 35'!I10)</f>
        <v/>
      </c>
      <c r="D705">
        <f>IF('Week 35'!I10="","",IF('Week 35'!J10="",1,'Week 35'!J10))</f>
        <v/>
      </c>
      <c r="E705">
        <f>IF(OR(C705="",D705=""),"",IF(D705=1,C705,ROUND(C705*(1+D705/30),1)))</f>
        <v/>
      </c>
    </row>
    <row r="706">
      <c r="A706">
        <f>'Week 35'!B11</f>
        <v/>
      </c>
      <c r="B706">
        <f>'Week 35'!C11</f>
        <v/>
      </c>
      <c r="C706">
        <f>IF('Week 35'!I11="","",'Week 35'!I11)</f>
        <v/>
      </c>
      <c r="D706">
        <f>IF('Week 35'!I11="","",IF('Week 35'!J11="",1,'Week 35'!J11))</f>
        <v/>
      </c>
      <c r="E706">
        <f>IF(OR(C706="",D706=""),"",IF(D706=1,C706,ROUND(C706*(1+D706/30),1)))</f>
        <v/>
      </c>
    </row>
    <row r="707">
      <c r="A707">
        <f>'Week 35'!B12</f>
        <v/>
      </c>
      <c r="B707">
        <f>'Week 35'!C12</f>
        <v/>
      </c>
      <c r="C707">
        <f>IF('Week 35'!I12="","",'Week 35'!I12)</f>
        <v/>
      </c>
      <c r="D707">
        <f>IF('Week 35'!I12="","",IF('Week 35'!J12="",1,'Week 35'!J12))</f>
        <v/>
      </c>
      <c r="E707">
        <f>IF(OR(C707="",D707=""),"",IF(D707=1,C707,ROUND(C707*(1+D707/30),1)))</f>
        <v/>
      </c>
    </row>
    <row r="708">
      <c r="A708">
        <f>'Week 35'!B13</f>
        <v/>
      </c>
      <c r="B708">
        <f>'Week 35'!C13</f>
        <v/>
      </c>
      <c r="C708">
        <f>IF('Week 35'!I13="","",'Week 35'!I13)</f>
        <v/>
      </c>
      <c r="D708">
        <f>IF('Week 35'!I13="","",IF('Week 35'!J13="",1,'Week 35'!J13))</f>
        <v/>
      </c>
      <c r="E708">
        <f>IF(OR(C708="",D708=""),"",IF(D708=1,C708,ROUND(C708*(1+D708/30),1)))</f>
        <v/>
      </c>
    </row>
    <row r="709">
      <c r="A709">
        <f>'Week 35'!B14</f>
        <v/>
      </c>
      <c r="B709">
        <f>'Week 35'!C14</f>
        <v/>
      </c>
      <c r="C709">
        <f>IF('Week 35'!I14="","",'Week 35'!I14)</f>
        <v/>
      </c>
      <c r="D709">
        <f>IF('Week 35'!I14="","",IF('Week 35'!J14="",1,'Week 35'!J14))</f>
        <v/>
      </c>
      <c r="E709">
        <f>IF(OR(C709="",D709=""),"",IF(D709=1,C709,ROUND(C709*(1+D709/30),1)))</f>
        <v/>
      </c>
    </row>
    <row r="710">
      <c r="A710">
        <f>'Week 35'!B15</f>
        <v/>
      </c>
      <c r="B710">
        <f>'Week 35'!C15</f>
        <v/>
      </c>
      <c r="C710">
        <f>IF('Week 35'!I15="","",'Week 35'!I15)</f>
        <v/>
      </c>
      <c r="D710">
        <f>IF('Week 35'!I15="","",IF('Week 35'!J15="",1,'Week 35'!J15))</f>
        <v/>
      </c>
      <c r="E710">
        <f>IF(OR(C710="",D710=""),"",IF(D710=1,C710,ROUND(C710*(1+D710/30),1)))</f>
        <v/>
      </c>
    </row>
    <row r="711">
      <c r="A711">
        <f>'Week 35'!B16</f>
        <v/>
      </c>
      <c r="B711">
        <f>'Week 35'!C16</f>
        <v/>
      </c>
      <c r="C711">
        <f>IF('Week 35'!I16="","",'Week 35'!I16)</f>
        <v/>
      </c>
      <c r="D711">
        <f>IF('Week 35'!I16="","",IF('Week 35'!J16="",1,'Week 35'!J16))</f>
        <v/>
      </c>
      <c r="E711">
        <f>IF(OR(C711="",D711=""),"",IF(D711=1,C711,ROUND(C711*(1+D711/30),1)))</f>
        <v/>
      </c>
    </row>
    <row r="712">
      <c r="A712">
        <f>'Week 35'!B17</f>
        <v/>
      </c>
      <c r="B712">
        <f>'Week 35'!C17</f>
        <v/>
      </c>
      <c r="C712">
        <f>IF('Week 35'!I17="","",'Week 35'!I17)</f>
        <v/>
      </c>
      <c r="D712">
        <f>IF('Week 35'!I17="","",IF('Week 35'!J17="",1,'Week 35'!J17))</f>
        <v/>
      </c>
      <c r="E712">
        <f>IF(OR(C712="",D712=""),"",IF(D712=1,C712,ROUND(C712*(1+D712/30),1)))</f>
        <v/>
      </c>
    </row>
    <row r="713">
      <c r="A713">
        <f>'Week 35'!B18</f>
        <v/>
      </c>
      <c r="B713">
        <f>'Week 35'!C18</f>
        <v/>
      </c>
      <c r="C713">
        <f>IF('Week 35'!I18="","",'Week 35'!I18)</f>
        <v/>
      </c>
      <c r="D713">
        <f>IF('Week 35'!I18="","",IF('Week 35'!J18="",1,'Week 35'!J18))</f>
        <v/>
      </c>
      <c r="E713">
        <f>IF(OR(C713="",D713=""),"",IF(D713=1,C713,ROUND(C713*(1+D713/30),1)))</f>
        <v/>
      </c>
    </row>
    <row r="714">
      <c r="A714">
        <f>'Week 35'!B19</f>
        <v/>
      </c>
      <c r="B714">
        <f>'Week 35'!C19</f>
        <v/>
      </c>
      <c r="C714">
        <f>IF('Week 35'!I19="","",'Week 35'!I19)</f>
        <v/>
      </c>
      <c r="D714">
        <f>IF('Week 35'!I19="","",IF('Week 35'!J19="",1,'Week 35'!J19))</f>
        <v/>
      </c>
      <c r="E714">
        <f>IF(OR(C714="",D714=""),"",IF(D714=1,C714,ROUND(C714*(1+D714/30),1)))</f>
        <v/>
      </c>
    </row>
    <row r="715">
      <c r="A715">
        <f>'Week 35'!B20</f>
        <v/>
      </c>
      <c r="B715">
        <f>'Week 35'!C20</f>
        <v/>
      </c>
      <c r="C715">
        <f>IF('Week 35'!I20="","",'Week 35'!I20)</f>
        <v/>
      </c>
      <c r="D715">
        <f>IF('Week 35'!I20="","",IF('Week 35'!J20="",1,'Week 35'!J20))</f>
        <v/>
      </c>
      <c r="E715">
        <f>IF(OR(C715="",D715=""),"",IF(D715=1,C715,ROUND(C715*(1+D715/30),1)))</f>
        <v/>
      </c>
    </row>
    <row r="716">
      <c r="A716">
        <f>'Week 35'!B21</f>
        <v/>
      </c>
      <c r="B716">
        <f>'Week 35'!C21</f>
        <v/>
      </c>
      <c r="C716">
        <f>IF('Week 35'!I21="","",'Week 35'!I21)</f>
        <v/>
      </c>
      <c r="D716">
        <f>IF('Week 35'!I21="","",IF('Week 35'!J21="",1,'Week 35'!J21))</f>
        <v/>
      </c>
      <c r="E716">
        <f>IF(OR(C716="",D716=""),"",IF(D716=1,C716,ROUND(C716*(1+D716/30),1)))</f>
        <v/>
      </c>
    </row>
    <row r="717">
      <c r="A717">
        <f>'Week 35'!B22</f>
        <v/>
      </c>
      <c r="B717">
        <f>'Week 35'!C22</f>
        <v/>
      </c>
      <c r="C717">
        <f>IF('Week 35'!I22="","",'Week 35'!I22)</f>
        <v/>
      </c>
      <c r="D717">
        <f>IF('Week 35'!I22="","",IF('Week 35'!J22="",1,'Week 35'!J22))</f>
        <v/>
      </c>
      <c r="E717">
        <f>IF(OR(C717="",D717=""),"",IF(D717=1,C717,ROUND(C717*(1+D717/30),1)))</f>
        <v/>
      </c>
    </row>
    <row r="718">
      <c r="A718">
        <f>'Week 35'!B23</f>
        <v/>
      </c>
      <c r="B718">
        <f>'Week 35'!C23</f>
        <v/>
      </c>
      <c r="C718">
        <f>IF('Week 35'!I23="","",'Week 35'!I23)</f>
        <v/>
      </c>
      <c r="D718">
        <f>IF('Week 35'!I23="","",IF('Week 35'!J23="",1,'Week 35'!J23))</f>
        <v/>
      </c>
      <c r="E718">
        <f>IF(OR(C718="",D718=""),"",IF(D718=1,C718,ROUND(C718*(1+D718/30),1)))</f>
        <v/>
      </c>
    </row>
    <row r="719">
      <c r="A719">
        <f>'Week 35'!B24</f>
        <v/>
      </c>
      <c r="B719">
        <f>'Week 35'!C24</f>
        <v/>
      </c>
      <c r="C719">
        <f>IF('Week 35'!I24="","",'Week 35'!I24)</f>
        <v/>
      </c>
      <c r="D719">
        <f>IF('Week 35'!I24="","",IF('Week 35'!J24="",1,'Week 35'!J24))</f>
        <v/>
      </c>
      <c r="E719">
        <f>IF(OR(C719="",D719=""),"",IF(D719=1,C719,ROUND(C719*(1+D719/30),1)))</f>
        <v/>
      </c>
    </row>
    <row r="720">
      <c r="A720">
        <f>'Week 35'!B25</f>
        <v/>
      </c>
      <c r="B720">
        <f>'Week 35'!C25</f>
        <v/>
      </c>
      <c r="C720">
        <f>IF('Week 35'!I25="","",'Week 35'!I25)</f>
        <v/>
      </c>
      <c r="D720">
        <f>IF('Week 35'!I25="","",IF('Week 35'!J25="",1,'Week 35'!J25))</f>
        <v/>
      </c>
      <c r="E720">
        <f>IF(OR(C720="",D720=""),"",IF(D720=1,C720,ROUND(C720*(1+D720/30),1)))</f>
        <v/>
      </c>
    </row>
    <row r="721">
      <c r="A721">
        <f>'Week 36'!B6</f>
        <v/>
      </c>
      <c r="B721">
        <f>'Week 36'!C6</f>
        <v/>
      </c>
      <c r="C721">
        <f>IF('Week 36'!I6="","",'Week 36'!I6)</f>
        <v/>
      </c>
      <c r="D721">
        <f>IF('Week 36'!I6="","",IF('Week 36'!J6="",1,'Week 36'!J6))</f>
        <v/>
      </c>
      <c r="E721">
        <f>IF(OR(C721="",D721=""),"",IF(D721=1,C721,ROUND(C721*(1+D721/30),1)))</f>
        <v/>
      </c>
    </row>
    <row r="722">
      <c r="A722">
        <f>'Week 36'!B7</f>
        <v/>
      </c>
      <c r="B722">
        <f>'Week 36'!C7</f>
        <v/>
      </c>
      <c r="C722">
        <f>IF('Week 36'!I7="","",'Week 36'!I7)</f>
        <v/>
      </c>
      <c r="D722">
        <f>IF('Week 36'!I7="","",IF('Week 36'!J7="",1,'Week 36'!J7))</f>
        <v/>
      </c>
      <c r="E722">
        <f>IF(OR(C722="",D722=""),"",IF(D722=1,C722,ROUND(C722*(1+D722/30),1)))</f>
        <v/>
      </c>
    </row>
    <row r="723">
      <c r="A723">
        <f>'Week 36'!B8</f>
        <v/>
      </c>
      <c r="B723">
        <f>'Week 36'!C8</f>
        <v/>
      </c>
      <c r="C723">
        <f>IF('Week 36'!I8="","",'Week 36'!I8)</f>
        <v/>
      </c>
      <c r="D723">
        <f>IF('Week 36'!I8="","",IF('Week 36'!J8="",1,'Week 36'!J8))</f>
        <v/>
      </c>
      <c r="E723">
        <f>IF(OR(C723="",D723=""),"",IF(D723=1,C723,ROUND(C723*(1+D723/30),1)))</f>
        <v/>
      </c>
    </row>
    <row r="724">
      <c r="A724">
        <f>'Week 36'!B9</f>
        <v/>
      </c>
      <c r="B724">
        <f>'Week 36'!C9</f>
        <v/>
      </c>
      <c r="C724">
        <f>IF('Week 36'!I9="","",'Week 36'!I9)</f>
        <v/>
      </c>
      <c r="D724">
        <f>IF('Week 36'!I9="","",IF('Week 36'!J9="",1,'Week 36'!J9))</f>
        <v/>
      </c>
      <c r="E724">
        <f>IF(OR(C724="",D724=""),"",IF(D724=1,C724,ROUND(C724*(1+D724/30),1)))</f>
        <v/>
      </c>
    </row>
    <row r="725">
      <c r="A725">
        <f>'Week 36'!B10</f>
        <v/>
      </c>
      <c r="B725">
        <f>'Week 36'!C10</f>
        <v/>
      </c>
      <c r="C725">
        <f>IF('Week 36'!I10="","",'Week 36'!I10)</f>
        <v/>
      </c>
      <c r="D725">
        <f>IF('Week 36'!I10="","",IF('Week 36'!J10="",1,'Week 36'!J10))</f>
        <v/>
      </c>
      <c r="E725">
        <f>IF(OR(C725="",D725=""),"",IF(D725=1,C725,ROUND(C725*(1+D725/30),1)))</f>
        <v/>
      </c>
    </row>
    <row r="726">
      <c r="A726">
        <f>'Week 36'!B11</f>
        <v/>
      </c>
      <c r="B726">
        <f>'Week 36'!C11</f>
        <v/>
      </c>
      <c r="C726">
        <f>IF('Week 36'!I11="","",'Week 36'!I11)</f>
        <v/>
      </c>
      <c r="D726">
        <f>IF('Week 36'!I11="","",IF('Week 36'!J11="",1,'Week 36'!J11))</f>
        <v/>
      </c>
      <c r="E726">
        <f>IF(OR(C726="",D726=""),"",IF(D726=1,C726,ROUND(C726*(1+D726/30),1)))</f>
        <v/>
      </c>
    </row>
    <row r="727">
      <c r="A727">
        <f>'Week 36'!B12</f>
        <v/>
      </c>
      <c r="B727">
        <f>'Week 36'!C12</f>
        <v/>
      </c>
      <c r="C727">
        <f>IF('Week 36'!I12="","",'Week 36'!I12)</f>
        <v/>
      </c>
      <c r="D727">
        <f>IF('Week 36'!I12="","",IF('Week 36'!J12="",1,'Week 36'!J12))</f>
        <v/>
      </c>
      <c r="E727">
        <f>IF(OR(C727="",D727=""),"",IF(D727=1,C727,ROUND(C727*(1+D727/30),1)))</f>
        <v/>
      </c>
    </row>
    <row r="728">
      <c r="A728">
        <f>'Week 36'!B13</f>
        <v/>
      </c>
      <c r="B728">
        <f>'Week 36'!C13</f>
        <v/>
      </c>
      <c r="C728">
        <f>IF('Week 36'!I13="","",'Week 36'!I13)</f>
        <v/>
      </c>
      <c r="D728">
        <f>IF('Week 36'!I13="","",IF('Week 36'!J13="",1,'Week 36'!J13))</f>
        <v/>
      </c>
      <c r="E728">
        <f>IF(OR(C728="",D728=""),"",IF(D728=1,C728,ROUND(C728*(1+D728/30),1)))</f>
        <v/>
      </c>
    </row>
    <row r="729">
      <c r="A729">
        <f>'Week 36'!B14</f>
        <v/>
      </c>
      <c r="B729">
        <f>'Week 36'!C14</f>
        <v/>
      </c>
      <c r="C729">
        <f>IF('Week 36'!I14="","",'Week 36'!I14)</f>
        <v/>
      </c>
      <c r="D729">
        <f>IF('Week 36'!I14="","",IF('Week 36'!J14="",1,'Week 36'!J14))</f>
        <v/>
      </c>
      <c r="E729">
        <f>IF(OR(C729="",D729=""),"",IF(D729=1,C729,ROUND(C729*(1+D729/30),1)))</f>
        <v/>
      </c>
    </row>
    <row r="730">
      <c r="A730">
        <f>'Week 36'!B15</f>
        <v/>
      </c>
      <c r="B730">
        <f>'Week 36'!C15</f>
        <v/>
      </c>
      <c r="C730">
        <f>IF('Week 36'!I15="","",'Week 36'!I15)</f>
        <v/>
      </c>
      <c r="D730">
        <f>IF('Week 36'!I15="","",IF('Week 36'!J15="",1,'Week 36'!J15))</f>
        <v/>
      </c>
      <c r="E730">
        <f>IF(OR(C730="",D730=""),"",IF(D730=1,C730,ROUND(C730*(1+D730/30),1)))</f>
        <v/>
      </c>
    </row>
    <row r="731">
      <c r="A731">
        <f>'Week 36'!B16</f>
        <v/>
      </c>
      <c r="B731">
        <f>'Week 36'!C16</f>
        <v/>
      </c>
      <c r="C731">
        <f>IF('Week 36'!I16="","",'Week 36'!I16)</f>
        <v/>
      </c>
      <c r="D731">
        <f>IF('Week 36'!I16="","",IF('Week 36'!J16="",1,'Week 36'!J16))</f>
        <v/>
      </c>
      <c r="E731">
        <f>IF(OR(C731="",D731=""),"",IF(D731=1,C731,ROUND(C731*(1+D731/30),1)))</f>
        <v/>
      </c>
    </row>
    <row r="732">
      <c r="A732">
        <f>'Week 36'!B17</f>
        <v/>
      </c>
      <c r="B732">
        <f>'Week 36'!C17</f>
        <v/>
      </c>
      <c r="C732">
        <f>IF('Week 36'!I17="","",'Week 36'!I17)</f>
        <v/>
      </c>
      <c r="D732">
        <f>IF('Week 36'!I17="","",IF('Week 36'!J17="",1,'Week 36'!J17))</f>
        <v/>
      </c>
      <c r="E732">
        <f>IF(OR(C732="",D732=""),"",IF(D732=1,C732,ROUND(C732*(1+D732/30),1)))</f>
        <v/>
      </c>
    </row>
    <row r="733">
      <c r="A733">
        <f>'Week 36'!B18</f>
        <v/>
      </c>
      <c r="B733">
        <f>'Week 36'!C18</f>
        <v/>
      </c>
      <c r="C733">
        <f>IF('Week 36'!I18="","",'Week 36'!I18)</f>
        <v/>
      </c>
      <c r="D733">
        <f>IF('Week 36'!I18="","",IF('Week 36'!J18="",1,'Week 36'!J18))</f>
        <v/>
      </c>
      <c r="E733">
        <f>IF(OR(C733="",D733=""),"",IF(D733=1,C733,ROUND(C733*(1+D733/30),1)))</f>
        <v/>
      </c>
    </row>
    <row r="734">
      <c r="A734">
        <f>'Week 36'!B19</f>
        <v/>
      </c>
      <c r="B734">
        <f>'Week 36'!C19</f>
        <v/>
      </c>
      <c r="C734">
        <f>IF('Week 36'!I19="","",'Week 36'!I19)</f>
        <v/>
      </c>
      <c r="D734">
        <f>IF('Week 36'!I19="","",IF('Week 36'!J19="",1,'Week 36'!J19))</f>
        <v/>
      </c>
      <c r="E734">
        <f>IF(OR(C734="",D734=""),"",IF(D734=1,C734,ROUND(C734*(1+D734/30),1)))</f>
        <v/>
      </c>
    </row>
    <row r="735">
      <c r="A735">
        <f>'Week 36'!B20</f>
        <v/>
      </c>
      <c r="B735">
        <f>'Week 36'!C20</f>
        <v/>
      </c>
      <c r="C735">
        <f>IF('Week 36'!I20="","",'Week 36'!I20)</f>
        <v/>
      </c>
      <c r="D735">
        <f>IF('Week 36'!I20="","",IF('Week 36'!J20="",1,'Week 36'!J20))</f>
        <v/>
      </c>
      <c r="E735">
        <f>IF(OR(C735="",D735=""),"",IF(D735=1,C735,ROUND(C735*(1+D735/30),1)))</f>
        <v/>
      </c>
    </row>
    <row r="736">
      <c r="A736">
        <f>'Week 36'!B21</f>
        <v/>
      </c>
      <c r="B736">
        <f>'Week 36'!C21</f>
        <v/>
      </c>
      <c r="C736">
        <f>IF('Week 36'!I21="","",'Week 36'!I21)</f>
        <v/>
      </c>
      <c r="D736">
        <f>IF('Week 36'!I21="","",IF('Week 36'!J21="",1,'Week 36'!J21))</f>
        <v/>
      </c>
      <c r="E736">
        <f>IF(OR(C736="",D736=""),"",IF(D736=1,C736,ROUND(C736*(1+D736/30),1)))</f>
        <v/>
      </c>
    </row>
    <row r="737">
      <c r="A737">
        <f>'Week 36'!B22</f>
        <v/>
      </c>
      <c r="B737">
        <f>'Week 36'!C22</f>
        <v/>
      </c>
      <c r="C737">
        <f>IF('Week 36'!I22="","",'Week 36'!I22)</f>
        <v/>
      </c>
      <c r="D737">
        <f>IF('Week 36'!I22="","",IF('Week 36'!J22="",1,'Week 36'!J22))</f>
        <v/>
      </c>
      <c r="E737">
        <f>IF(OR(C737="",D737=""),"",IF(D737=1,C737,ROUND(C737*(1+D737/30),1)))</f>
        <v/>
      </c>
    </row>
    <row r="738">
      <c r="A738">
        <f>'Week 36'!B23</f>
        <v/>
      </c>
      <c r="B738">
        <f>'Week 36'!C23</f>
        <v/>
      </c>
      <c r="C738">
        <f>IF('Week 36'!I23="","",'Week 36'!I23)</f>
        <v/>
      </c>
      <c r="D738">
        <f>IF('Week 36'!I23="","",IF('Week 36'!J23="",1,'Week 36'!J23))</f>
        <v/>
      </c>
      <c r="E738">
        <f>IF(OR(C738="",D738=""),"",IF(D738=1,C738,ROUND(C738*(1+D738/30),1)))</f>
        <v/>
      </c>
    </row>
    <row r="739">
      <c r="A739">
        <f>'Week 36'!B24</f>
        <v/>
      </c>
      <c r="B739">
        <f>'Week 36'!C24</f>
        <v/>
      </c>
      <c r="C739">
        <f>IF('Week 36'!I24="","",'Week 36'!I24)</f>
        <v/>
      </c>
      <c r="D739">
        <f>IF('Week 36'!I24="","",IF('Week 36'!J24="",1,'Week 36'!J24))</f>
        <v/>
      </c>
      <c r="E739">
        <f>IF(OR(C739="",D739=""),"",IF(D739=1,C739,ROUND(C739*(1+D739/30),1)))</f>
        <v/>
      </c>
    </row>
    <row r="740">
      <c r="A740">
        <f>'Week 36'!B25</f>
        <v/>
      </c>
      <c r="B740">
        <f>'Week 36'!C25</f>
        <v/>
      </c>
      <c r="C740">
        <f>IF('Week 36'!I25="","",'Week 36'!I25)</f>
        <v/>
      </c>
      <c r="D740">
        <f>IF('Week 36'!I25="","",IF('Week 36'!J25="",1,'Week 36'!J25))</f>
        <v/>
      </c>
      <c r="E740">
        <f>IF(OR(C740="",D740=""),"",IF(D740=1,C740,ROUND(C740*(1+D740/30),1)))</f>
        <v/>
      </c>
    </row>
    <row r="741">
      <c r="A741">
        <f>'Week 37'!B6</f>
        <v/>
      </c>
      <c r="B741">
        <f>'Week 37'!C6</f>
        <v/>
      </c>
      <c r="C741">
        <f>IF('Week 37'!I6="","",'Week 37'!I6)</f>
        <v/>
      </c>
      <c r="D741">
        <f>IF('Week 37'!I6="","",IF('Week 37'!J6="",1,'Week 37'!J6))</f>
        <v/>
      </c>
      <c r="E741">
        <f>IF(OR(C741="",D741=""),"",IF(D741=1,C741,ROUND(C741*(1+D741/30),1)))</f>
        <v/>
      </c>
    </row>
    <row r="742">
      <c r="A742">
        <f>'Week 37'!B7</f>
        <v/>
      </c>
      <c r="B742">
        <f>'Week 37'!C7</f>
        <v/>
      </c>
      <c r="C742">
        <f>IF('Week 37'!I7="","",'Week 37'!I7)</f>
        <v/>
      </c>
      <c r="D742">
        <f>IF('Week 37'!I7="","",IF('Week 37'!J7="",1,'Week 37'!J7))</f>
        <v/>
      </c>
      <c r="E742">
        <f>IF(OR(C742="",D742=""),"",IF(D742=1,C742,ROUND(C742*(1+D742/30),1)))</f>
        <v/>
      </c>
    </row>
    <row r="743">
      <c r="A743">
        <f>'Week 37'!B8</f>
        <v/>
      </c>
      <c r="B743">
        <f>'Week 37'!C8</f>
        <v/>
      </c>
      <c r="C743">
        <f>IF('Week 37'!I8="","",'Week 37'!I8)</f>
        <v/>
      </c>
      <c r="D743">
        <f>IF('Week 37'!I8="","",IF('Week 37'!J8="",1,'Week 37'!J8))</f>
        <v/>
      </c>
      <c r="E743">
        <f>IF(OR(C743="",D743=""),"",IF(D743=1,C743,ROUND(C743*(1+D743/30),1)))</f>
        <v/>
      </c>
    </row>
    <row r="744">
      <c r="A744">
        <f>'Week 37'!B9</f>
        <v/>
      </c>
      <c r="B744">
        <f>'Week 37'!C9</f>
        <v/>
      </c>
      <c r="C744">
        <f>IF('Week 37'!I9="","",'Week 37'!I9)</f>
        <v/>
      </c>
      <c r="D744">
        <f>IF('Week 37'!I9="","",IF('Week 37'!J9="",1,'Week 37'!J9))</f>
        <v/>
      </c>
      <c r="E744">
        <f>IF(OR(C744="",D744=""),"",IF(D744=1,C744,ROUND(C744*(1+D744/30),1)))</f>
        <v/>
      </c>
    </row>
    <row r="745">
      <c r="A745">
        <f>'Week 37'!B10</f>
        <v/>
      </c>
      <c r="B745">
        <f>'Week 37'!C10</f>
        <v/>
      </c>
      <c r="C745">
        <f>IF('Week 37'!I10="","",'Week 37'!I10)</f>
        <v/>
      </c>
      <c r="D745">
        <f>IF('Week 37'!I10="","",IF('Week 37'!J10="",1,'Week 37'!J10))</f>
        <v/>
      </c>
      <c r="E745">
        <f>IF(OR(C745="",D745=""),"",IF(D745=1,C745,ROUND(C745*(1+D745/30),1)))</f>
        <v/>
      </c>
    </row>
    <row r="746">
      <c r="A746">
        <f>'Week 37'!B11</f>
        <v/>
      </c>
      <c r="B746">
        <f>'Week 37'!C11</f>
        <v/>
      </c>
      <c r="C746">
        <f>IF('Week 37'!I11="","",'Week 37'!I11)</f>
        <v/>
      </c>
      <c r="D746">
        <f>IF('Week 37'!I11="","",IF('Week 37'!J11="",1,'Week 37'!J11))</f>
        <v/>
      </c>
      <c r="E746">
        <f>IF(OR(C746="",D746=""),"",IF(D746=1,C746,ROUND(C746*(1+D746/30),1)))</f>
        <v/>
      </c>
    </row>
    <row r="747">
      <c r="A747">
        <f>'Week 37'!B12</f>
        <v/>
      </c>
      <c r="B747">
        <f>'Week 37'!C12</f>
        <v/>
      </c>
      <c r="C747">
        <f>IF('Week 37'!I12="","",'Week 37'!I12)</f>
        <v/>
      </c>
      <c r="D747">
        <f>IF('Week 37'!I12="","",IF('Week 37'!J12="",1,'Week 37'!J12))</f>
        <v/>
      </c>
      <c r="E747">
        <f>IF(OR(C747="",D747=""),"",IF(D747=1,C747,ROUND(C747*(1+D747/30),1)))</f>
        <v/>
      </c>
    </row>
    <row r="748">
      <c r="A748">
        <f>'Week 37'!B13</f>
        <v/>
      </c>
      <c r="B748">
        <f>'Week 37'!C13</f>
        <v/>
      </c>
      <c r="C748">
        <f>IF('Week 37'!I13="","",'Week 37'!I13)</f>
        <v/>
      </c>
      <c r="D748">
        <f>IF('Week 37'!I13="","",IF('Week 37'!J13="",1,'Week 37'!J13))</f>
        <v/>
      </c>
      <c r="E748">
        <f>IF(OR(C748="",D748=""),"",IF(D748=1,C748,ROUND(C748*(1+D748/30),1)))</f>
        <v/>
      </c>
    </row>
    <row r="749">
      <c r="A749">
        <f>'Week 37'!B14</f>
        <v/>
      </c>
      <c r="B749">
        <f>'Week 37'!C14</f>
        <v/>
      </c>
      <c r="C749">
        <f>IF('Week 37'!I14="","",'Week 37'!I14)</f>
        <v/>
      </c>
      <c r="D749">
        <f>IF('Week 37'!I14="","",IF('Week 37'!J14="",1,'Week 37'!J14))</f>
        <v/>
      </c>
      <c r="E749">
        <f>IF(OR(C749="",D749=""),"",IF(D749=1,C749,ROUND(C749*(1+D749/30),1)))</f>
        <v/>
      </c>
    </row>
    <row r="750">
      <c r="A750">
        <f>'Week 37'!B15</f>
        <v/>
      </c>
      <c r="B750">
        <f>'Week 37'!C15</f>
        <v/>
      </c>
      <c r="C750">
        <f>IF('Week 37'!I15="","",'Week 37'!I15)</f>
        <v/>
      </c>
      <c r="D750">
        <f>IF('Week 37'!I15="","",IF('Week 37'!J15="",1,'Week 37'!J15))</f>
        <v/>
      </c>
      <c r="E750">
        <f>IF(OR(C750="",D750=""),"",IF(D750=1,C750,ROUND(C750*(1+D750/30),1)))</f>
        <v/>
      </c>
    </row>
    <row r="751">
      <c r="A751">
        <f>'Week 37'!B16</f>
        <v/>
      </c>
      <c r="B751">
        <f>'Week 37'!C16</f>
        <v/>
      </c>
      <c r="C751">
        <f>IF('Week 37'!I16="","",'Week 37'!I16)</f>
        <v/>
      </c>
      <c r="D751">
        <f>IF('Week 37'!I16="","",IF('Week 37'!J16="",1,'Week 37'!J16))</f>
        <v/>
      </c>
      <c r="E751">
        <f>IF(OR(C751="",D751=""),"",IF(D751=1,C751,ROUND(C751*(1+D751/30),1)))</f>
        <v/>
      </c>
    </row>
    <row r="752">
      <c r="A752">
        <f>'Week 37'!B17</f>
        <v/>
      </c>
      <c r="B752">
        <f>'Week 37'!C17</f>
        <v/>
      </c>
      <c r="C752">
        <f>IF('Week 37'!I17="","",'Week 37'!I17)</f>
        <v/>
      </c>
      <c r="D752">
        <f>IF('Week 37'!I17="","",IF('Week 37'!J17="",1,'Week 37'!J17))</f>
        <v/>
      </c>
      <c r="E752">
        <f>IF(OR(C752="",D752=""),"",IF(D752=1,C752,ROUND(C752*(1+D752/30),1)))</f>
        <v/>
      </c>
    </row>
    <row r="753">
      <c r="A753">
        <f>'Week 37'!B18</f>
        <v/>
      </c>
      <c r="B753">
        <f>'Week 37'!C18</f>
        <v/>
      </c>
      <c r="C753">
        <f>IF('Week 37'!I18="","",'Week 37'!I18)</f>
        <v/>
      </c>
      <c r="D753">
        <f>IF('Week 37'!I18="","",IF('Week 37'!J18="",1,'Week 37'!J18))</f>
        <v/>
      </c>
      <c r="E753">
        <f>IF(OR(C753="",D753=""),"",IF(D753=1,C753,ROUND(C753*(1+D753/30),1)))</f>
        <v/>
      </c>
    </row>
    <row r="754">
      <c r="A754">
        <f>'Week 37'!B19</f>
        <v/>
      </c>
      <c r="B754">
        <f>'Week 37'!C19</f>
        <v/>
      </c>
      <c r="C754">
        <f>IF('Week 37'!I19="","",'Week 37'!I19)</f>
        <v/>
      </c>
      <c r="D754">
        <f>IF('Week 37'!I19="","",IF('Week 37'!J19="",1,'Week 37'!J19))</f>
        <v/>
      </c>
      <c r="E754">
        <f>IF(OR(C754="",D754=""),"",IF(D754=1,C754,ROUND(C754*(1+D754/30),1)))</f>
        <v/>
      </c>
    </row>
    <row r="755">
      <c r="A755">
        <f>'Week 37'!B20</f>
        <v/>
      </c>
      <c r="B755">
        <f>'Week 37'!C20</f>
        <v/>
      </c>
      <c r="C755">
        <f>IF('Week 37'!I20="","",'Week 37'!I20)</f>
        <v/>
      </c>
      <c r="D755">
        <f>IF('Week 37'!I20="","",IF('Week 37'!J20="",1,'Week 37'!J20))</f>
        <v/>
      </c>
      <c r="E755">
        <f>IF(OR(C755="",D755=""),"",IF(D755=1,C755,ROUND(C755*(1+D755/30),1)))</f>
        <v/>
      </c>
    </row>
    <row r="756">
      <c r="A756">
        <f>'Week 37'!B21</f>
        <v/>
      </c>
      <c r="B756">
        <f>'Week 37'!C21</f>
        <v/>
      </c>
      <c r="C756">
        <f>IF('Week 37'!I21="","",'Week 37'!I21)</f>
        <v/>
      </c>
      <c r="D756">
        <f>IF('Week 37'!I21="","",IF('Week 37'!J21="",1,'Week 37'!J21))</f>
        <v/>
      </c>
      <c r="E756">
        <f>IF(OR(C756="",D756=""),"",IF(D756=1,C756,ROUND(C756*(1+D756/30),1)))</f>
        <v/>
      </c>
    </row>
    <row r="757">
      <c r="A757">
        <f>'Week 37'!B22</f>
        <v/>
      </c>
      <c r="B757">
        <f>'Week 37'!C22</f>
        <v/>
      </c>
      <c r="C757">
        <f>IF('Week 37'!I22="","",'Week 37'!I22)</f>
        <v/>
      </c>
      <c r="D757">
        <f>IF('Week 37'!I22="","",IF('Week 37'!J22="",1,'Week 37'!J22))</f>
        <v/>
      </c>
      <c r="E757">
        <f>IF(OR(C757="",D757=""),"",IF(D757=1,C757,ROUND(C757*(1+D757/30),1)))</f>
        <v/>
      </c>
    </row>
    <row r="758">
      <c r="A758">
        <f>'Week 37'!B23</f>
        <v/>
      </c>
      <c r="B758">
        <f>'Week 37'!C23</f>
        <v/>
      </c>
      <c r="C758">
        <f>IF('Week 37'!I23="","",'Week 37'!I23)</f>
        <v/>
      </c>
      <c r="D758">
        <f>IF('Week 37'!I23="","",IF('Week 37'!J23="",1,'Week 37'!J23))</f>
        <v/>
      </c>
      <c r="E758">
        <f>IF(OR(C758="",D758=""),"",IF(D758=1,C758,ROUND(C758*(1+D758/30),1)))</f>
        <v/>
      </c>
    </row>
    <row r="759">
      <c r="A759">
        <f>'Week 37'!B24</f>
        <v/>
      </c>
      <c r="B759">
        <f>'Week 37'!C24</f>
        <v/>
      </c>
      <c r="C759">
        <f>IF('Week 37'!I24="","",'Week 37'!I24)</f>
        <v/>
      </c>
      <c r="D759">
        <f>IF('Week 37'!I24="","",IF('Week 37'!J24="",1,'Week 37'!J24))</f>
        <v/>
      </c>
      <c r="E759">
        <f>IF(OR(C759="",D759=""),"",IF(D759=1,C759,ROUND(C759*(1+D759/30),1)))</f>
        <v/>
      </c>
    </row>
    <row r="760">
      <c r="A760">
        <f>'Week 37'!B25</f>
        <v/>
      </c>
      <c r="B760">
        <f>'Week 37'!C25</f>
        <v/>
      </c>
      <c r="C760">
        <f>IF('Week 37'!I25="","",'Week 37'!I25)</f>
        <v/>
      </c>
      <c r="D760">
        <f>IF('Week 37'!I25="","",IF('Week 37'!J25="",1,'Week 37'!J25))</f>
        <v/>
      </c>
      <c r="E760">
        <f>IF(OR(C760="",D760=""),"",IF(D760=1,C760,ROUND(C760*(1+D760/30),1)))</f>
        <v/>
      </c>
    </row>
    <row r="761">
      <c r="A761">
        <f>'Week 38'!B6</f>
        <v/>
      </c>
      <c r="B761">
        <f>'Week 38'!C6</f>
        <v/>
      </c>
      <c r="C761">
        <f>IF('Week 38'!I6="","",'Week 38'!I6)</f>
        <v/>
      </c>
      <c r="D761">
        <f>IF('Week 38'!I6="","",IF('Week 38'!J6="",1,'Week 38'!J6))</f>
        <v/>
      </c>
      <c r="E761">
        <f>IF(OR(C761="",D761=""),"",IF(D761=1,C761,ROUND(C761*(1+D761/30),1)))</f>
        <v/>
      </c>
    </row>
    <row r="762">
      <c r="A762">
        <f>'Week 38'!B7</f>
        <v/>
      </c>
      <c r="B762">
        <f>'Week 38'!C7</f>
        <v/>
      </c>
      <c r="C762">
        <f>IF('Week 38'!I7="","",'Week 38'!I7)</f>
        <v/>
      </c>
      <c r="D762">
        <f>IF('Week 38'!I7="","",IF('Week 38'!J7="",1,'Week 38'!J7))</f>
        <v/>
      </c>
      <c r="E762">
        <f>IF(OR(C762="",D762=""),"",IF(D762=1,C762,ROUND(C762*(1+D762/30),1)))</f>
        <v/>
      </c>
    </row>
    <row r="763">
      <c r="A763">
        <f>'Week 38'!B8</f>
        <v/>
      </c>
      <c r="B763">
        <f>'Week 38'!C8</f>
        <v/>
      </c>
      <c r="C763">
        <f>IF('Week 38'!I8="","",'Week 38'!I8)</f>
        <v/>
      </c>
      <c r="D763">
        <f>IF('Week 38'!I8="","",IF('Week 38'!J8="",1,'Week 38'!J8))</f>
        <v/>
      </c>
      <c r="E763">
        <f>IF(OR(C763="",D763=""),"",IF(D763=1,C763,ROUND(C763*(1+D763/30),1)))</f>
        <v/>
      </c>
    </row>
    <row r="764">
      <c r="A764">
        <f>'Week 38'!B9</f>
        <v/>
      </c>
      <c r="B764">
        <f>'Week 38'!C9</f>
        <v/>
      </c>
      <c r="C764">
        <f>IF('Week 38'!I9="","",'Week 38'!I9)</f>
        <v/>
      </c>
      <c r="D764">
        <f>IF('Week 38'!I9="","",IF('Week 38'!J9="",1,'Week 38'!J9))</f>
        <v/>
      </c>
      <c r="E764">
        <f>IF(OR(C764="",D764=""),"",IF(D764=1,C764,ROUND(C764*(1+D764/30),1)))</f>
        <v/>
      </c>
    </row>
    <row r="765">
      <c r="A765">
        <f>'Week 38'!B10</f>
        <v/>
      </c>
      <c r="B765">
        <f>'Week 38'!C10</f>
        <v/>
      </c>
      <c r="C765">
        <f>IF('Week 38'!I10="","",'Week 38'!I10)</f>
        <v/>
      </c>
      <c r="D765">
        <f>IF('Week 38'!I10="","",IF('Week 38'!J10="",1,'Week 38'!J10))</f>
        <v/>
      </c>
      <c r="E765">
        <f>IF(OR(C765="",D765=""),"",IF(D765=1,C765,ROUND(C765*(1+D765/30),1)))</f>
        <v/>
      </c>
    </row>
    <row r="766">
      <c r="A766">
        <f>'Week 38'!B11</f>
        <v/>
      </c>
      <c r="B766">
        <f>'Week 38'!C11</f>
        <v/>
      </c>
      <c r="C766">
        <f>IF('Week 38'!I11="","",'Week 38'!I11)</f>
        <v/>
      </c>
      <c r="D766">
        <f>IF('Week 38'!I11="","",IF('Week 38'!J11="",1,'Week 38'!J11))</f>
        <v/>
      </c>
      <c r="E766">
        <f>IF(OR(C766="",D766=""),"",IF(D766=1,C766,ROUND(C766*(1+D766/30),1)))</f>
        <v/>
      </c>
    </row>
    <row r="767">
      <c r="A767">
        <f>'Week 38'!B12</f>
        <v/>
      </c>
      <c r="B767">
        <f>'Week 38'!C12</f>
        <v/>
      </c>
      <c r="C767">
        <f>IF('Week 38'!I12="","",'Week 38'!I12)</f>
        <v/>
      </c>
      <c r="D767">
        <f>IF('Week 38'!I12="","",IF('Week 38'!J12="",1,'Week 38'!J12))</f>
        <v/>
      </c>
      <c r="E767">
        <f>IF(OR(C767="",D767=""),"",IF(D767=1,C767,ROUND(C767*(1+D767/30),1)))</f>
        <v/>
      </c>
    </row>
    <row r="768">
      <c r="A768">
        <f>'Week 38'!B13</f>
        <v/>
      </c>
      <c r="B768">
        <f>'Week 38'!C13</f>
        <v/>
      </c>
      <c r="C768">
        <f>IF('Week 38'!I13="","",'Week 38'!I13)</f>
        <v/>
      </c>
      <c r="D768">
        <f>IF('Week 38'!I13="","",IF('Week 38'!J13="",1,'Week 38'!J13))</f>
        <v/>
      </c>
      <c r="E768">
        <f>IF(OR(C768="",D768=""),"",IF(D768=1,C768,ROUND(C768*(1+D768/30),1)))</f>
        <v/>
      </c>
    </row>
    <row r="769">
      <c r="A769">
        <f>'Week 38'!B14</f>
        <v/>
      </c>
      <c r="B769">
        <f>'Week 38'!C14</f>
        <v/>
      </c>
      <c r="C769">
        <f>IF('Week 38'!I14="","",'Week 38'!I14)</f>
        <v/>
      </c>
      <c r="D769">
        <f>IF('Week 38'!I14="","",IF('Week 38'!J14="",1,'Week 38'!J14))</f>
        <v/>
      </c>
      <c r="E769">
        <f>IF(OR(C769="",D769=""),"",IF(D769=1,C769,ROUND(C769*(1+D769/30),1)))</f>
        <v/>
      </c>
    </row>
    <row r="770">
      <c r="A770">
        <f>'Week 38'!B15</f>
        <v/>
      </c>
      <c r="B770">
        <f>'Week 38'!C15</f>
        <v/>
      </c>
      <c r="C770">
        <f>IF('Week 38'!I15="","",'Week 38'!I15)</f>
        <v/>
      </c>
      <c r="D770">
        <f>IF('Week 38'!I15="","",IF('Week 38'!J15="",1,'Week 38'!J15))</f>
        <v/>
      </c>
      <c r="E770">
        <f>IF(OR(C770="",D770=""),"",IF(D770=1,C770,ROUND(C770*(1+D770/30),1)))</f>
        <v/>
      </c>
    </row>
    <row r="771">
      <c r="A771">
        <f>'Week 38'!B16</f>
        <v/>
      </c>
      <c r="B771">
        <f>'Week 38'!C16</f>
        <v/>
      </c>
      <c r="C771">
        <f>IF('Week 38'!I16="","",'Week 38'!I16)</f>
        <v/>
      </c>
      <c r="D771">
        <f>IF('Week 38'!I16="","",IF('Week 38'!J16="",1,'Week 38'!J16))</f>
        <v/>
      </c>
      <c r="E771">
        <f>IF(OR(C771="",D771=""),"",IF(D771=1,C771,ROUND(C771*(1+D771/30),1)))</f>
        <v/>
      </c>
    </row>
    <row r="772">
      <c r="A772">
        <f>'Week 38'!B17</f>
        <v/>
      </c>
      <c r="B772">
        <f>'Week 38'!C17</f>
        <v/>
      </c>
      <c r="C772">
        <f>IF('Week 38'!I17="","",'Week 38'!I17)</f>
        <v/>
      </c>
      <c r="D772">
        <f>IF('Week 38'!I17="","",IF('Week 38'!J17="",1,'Week 38'!J17))</f>
        <v/>
      </c>
      <c r="E772">
        <f>IF(OR(C772="",D772=""),"",IF(D772=1,C772,ROUND(C772*(1+D772/30),1)))</f>
        <v/>
      </c>
    </row>
    <row r="773">
      <c r="A773">
        <f>'Week 38'!B18</f>
        <v/>
      </c>
      <c r="B773">
        <f>'Week 38'!C18</f>
        <v/>
      </c>
      <c r="C773">
        <f>IF('Week 38'!I18="","",'Week 38'!I18)</f>
        <v/>
      </c>
      <c r="D773">
        <f>IF('Week 38'!I18="","",IF('Week 38'!J18="",1,'Week 38'!J18))</f>
        <v/>
      </c>
      <c r="E773">
        <f>IF(OR(C773="",D773=""),"",IF(D773=1,C773,ROUND(C773*(1+D773/30),1)))</f>
        <v/>
      </c>
    </row>
    <row r="774">
      <c r="A774">
        <f>'Week 38'!B19</f>
        <v/>
      </c>
      <c r="B774">
        <f>'Week 38'!C19</f>
        <v/>
      </c>
      <c r="C774">
        <f>IF('Week 38'!I19="","",'Week 38'!I19)</f>
        <v/>
      </c>
      <c r="D774">
        <f>IF('Week 38'!I19="","",IF('Week 38'!J19="",1,'Week 38'!J19))</f>
        <v/>
      </c>
      <c r="E774">
        <f>IF(OR(C774="",D774=""),"",IF(D774=1,C774,ROUND(C774*(1+D774/30),1)))</f>
        <v/>
      </c>
    </row>
    <row r="775">
      <c r="A775">
        <f>'Week 38'!B20</f>
        <v/>
      </c>
      <c r="B775">
        <f>'Week 38'!C20</f>
        <v/>
      </c>
      <c r="C775">
        <f>IF('Week 38'!I20="","",'Week 38'!I20)</f>
        <v/>
      </c>
      <c r="D775">
        <f>IF('Week 38'!I20="","",IF('Week 38'!J20="",1,'Week 38'!J20))</f>
        <v/>
      </c>
      <c r="E775">
        <f>IF(OR(C775="",D775=""),"",IF(D775=1,C775,ROUND(C775*(1+D775/30),1)))</f>
        <v/>
      </c>
    </row>
    <row r="776">
      <c r="A776">
        <f>'Week 38'!B21</f>
        <v/>
      </c>
      <c r="B776">
        <f>'Week 38'!C21</f>
        <v/>
      </c>
      <c r="C776">
        <f>IF('Week 38'!I21="","",'Week 38'!I21)</f>
        <v/>
      </c>
      <c r="D776">
        <f>IF('Week 38'!I21="","",IF('Week 38'!J21="",1,'Week 38'!J21))</f>
        <v/>
      </c>
      <c r="E776">
        <f>IF(OR(C776="",D776=""),"",IF(D776=1,C776,ROUND(C776*(1+D776/30),1)))</f>
        <v/>
      </c>
    </row>
    <row r="777">
      <c r="A777">
        <f>'Week 38'!B22</f>
        <v/>
      </c>
      <c r="B777">
        <f>'Week 38'!C22</f>
        <v/>
      </c>
      <c r="C777">
        <f>IF('Week 38'!I22="","",'Week 38'!I22)</f>
        <v/>
      </c>
      <c r="D777">
        <f>IF('Week 38'!I22="","",IF('Week 38'!J22="",1,'Week 38'!J22))</f>
        <v/>
      </c>
      <c r="E777">
        <f>IF(OR(C777="",D777=""),"",IF(D777=1,C777,ROUND(C777*(1+D777/30),1)))</f>
        <v/>
      </c>
    </row>
    <row r="778">
      <c r="A778">
        <f>'Week 38'!B23</f>
        <v/>
      </c>
      <c r="B778">
        <f>'Week 38'!C23</f>
        <v/>
      </c>
      <c r="C778">
        <f>IF('Week 38'!I23="","",'Week 38'!I23)</f>
        <v/>
      </c>
      <c r="D778">
        <f>IF('Week 38'!I23="","",IF('Week 38'!J23="",1,'Week 38'!J23))</f>
        <v/>
      </c>
      <c r="E778">
        <f>IF(OR(C778="",D778=""),"",IF(D778=1,C778,ROUND(C778*(1+D778/30),1)))</f>
        <v/>
      </c>
    </row>
    <row r="779">
      <c r="A779">
        <f>'Week 38'!B24</f>
        <v/>
      </c>
      <c r="B779">
        <f>'Week 38'!C24</f>
        <v/>
      </c>
      <c r="C779">
        <f>IF('Week 38'!I24="","",'Week 38'!I24)</f>
        <v/>
      </c>
      <c r="D779">
        <f>IF('Week 38'!I24="","",IF('Week 38'!J24="",1,'Week 38'!J24))</f>
        <v/>
      </c>
      <c r="E779">
        <f>IF(OR(C779="",D779=""),"",IF(D779=1,C779,ROUND(C779*(1+D779/30),1)))</f>
        <v/>
      </c>
    </row>
    <row r="780">
      <c r="A780">
        <f>'Week 38'!B25</f>
        <v/>
      </c>
      <c r="B780">
        <f>'Week 38'!C25</f>
        <v/>
      </c>
      <c r="C780">
        <f>IF('Week 38'!I25="","",'Week 38'!I25)</f>
        <v/>
      </c>
      <c r="D780">
        <f>IF('Week 38'!I25="","",IF('Week 38'!J25="",1,'Week 38'!J25))</f>
        <v/>
      </c>
      <c r="E780">
        <f>IF(OR(C780="",D780=""),"",IF(D780=1,C780,ROUND(C780*(1+D780/30),1)))</f>
        <v/>
      </c>
    </row>
    <row r="781">
      <c r="A781">
        <f>'Week 39'!B6</f>
        <v/>
      </c>
      <c r="B781">
        <f>'Week 39'!C6</f>
        <v/>
      </c>
      <c r="C781">
        <f>IF('Week 39'!I6="","",'Week 39'!I6)</f>
        <v/>
      </c>
      <c r="D781">
        <f>IF('Week 39'!I6="","",IF('Week 39'!J6="",1,'Week 39'!J6))</f>
        <v/>
      </c>
      <c r="E781">
        <f>IF(OR(C781="",D781=""),"",IF(D781=1,C781,ROUND(C781*(1+D781/30),1)))</f>
        <v/>
      </c>
    </row>
    <row r="782">
      <c r="A782">
        <f>'Week 39'!B7</f>
        <v/>
      </c>
      <c r="B782">
        <f>'Week 39'!C7</f>
        <v/>
      </c>
      <c r="C782">
        <f>IF('Week 39'!I7="","",'Week 39'!I7)</f>
        <v/>
      </c>
      <c r="D782">
        <f>IF('Week 39'!I7="","",IF('Week 39'!J7="",1,'Week 39'!J7))</f>
        <v/>
      </c>
      <c r="E782">
        <f>IF(OR(C782="",D782=""),"",IF(D782=1,C782,ROUND(C782*(1+D782/30),1)))</f>
        <v/>
      </c>
    </row>
    <row r="783">
      <c r="A783">
        <f>'Week 39'!B8</f>
        <v/>
      </c>
      <c r="B783">
        <f>'Week 39'!C8</f>
        <v/>
      </c>
      <c r="C783">
        <f>IF('Week 39'!I8="","",'Week 39'!I8)</f>
        <v/>
      </c>
      <c r="D783">
        <f>IF('Week 39'!I8="","",IF('Week 39'!J8="",1,'Week 39'!J8))</f>
        <v/>
      </c>
      <c r="E783">
        <f>IF(OR(C783="",D783=""),"",IF(D783=1,C783,ROUND(C783*(1+D783/30),1)))</f>
        <v/>
      </c>
    </row>
    <row r="784">
      <c r="A784">
        <f>'Week 39'!B9</f>
        <v/>
      </c>
      <c r="B784">
        <f>'Week 39'!C9</f>
        <v/>
      </c>
      <c r="C784">
        <f>IF('Week 39'!I9="","",'Week 39'!I9)</f>
        <v/>
      </c>
      <c r="D784">
        <f>IF('Week 39'!I9="","",IF('Week 39'!J9="",1,'Week 39'!J9))</f>
        <v/>
      </c>
      <c r="E784">
        <f>IF(OR(C784="",D784=""),"",IF(D784=1,C784,ROUND(C784*(1+D784/30),1)))</f>
        <v/>
      </c>
    </row>
    <row r="785">
      <c r="A785">
        <f>'Week 39'!B10</f>
        <v/>
      </c>
      <c r="B785">
        <f>'Week 39'!C10</f>
        <v/>
      </c>
      <c r="C785">
        <f>IF('Week 39'!I10="","",'Week 39'!I10)</f>
        <v/>
      </c>
      <c r="D785">
        <f>IF('Week 39'!I10="","",IF('Week 39'!J10="",1,'Week 39'!J10))</f>
        <v/>
      </c>
      <c r="E785">
        <f>IF(OR(C785="",D785=""),"",IF(D785=1,C785,ROUND(C785*(1+D785/30),1)))</f>
        <v/>
      </c>
    </row>
    <row r="786">
      <c r="A786">
        <f>'Week 39'!B11</f>
        <v/>
      </c>
      <c r="B786">
        <f>'Week 39'!C11</f>
        <v/>
      </c>
      <c r="C786">
        <f>IF('Week 39'!I11="","",'Week 39'!I11)</f>
        <v/>
      </c>
      <c r="D786">
        <f>IF('Week 39'!I11="","",IF('Week 39'!J11="",1,'Week 39'!J11))</f>
        <v/>
      </c>
      <c r="E786">
        <f>IF(OR(C786="",D786=""),"",IF(D786=1,C786,ROUND(C786*(1+D786/30),1)))</f>
        <v/>
      </c>
    </row>
    <row r="787">
      <c r="A787">
        <f>'Week 39'!B12</f>
        <v/>
      </c>
      <c r="B787">
        <f>'Week 39'!C12</f>
        <v/>
      </c>
      <c r="C787">
        <f>IF('Week 39'!I12="","",'Week 39'!I12)</f>
        <v/>
      </c>
      <c r="D787">
        <f>IF('Week 39'!I12="","",IF('Week 39'!J12="",1,'Week 39'!J12))</f>
        <v/>
      </c>
      <c r="E787">
        <f>IF(OR(C787="",D787=""),"",IF(D787=1,C787,ROUND(C787*(1+D787/30),1)))</f>
        <v/>
      </c>
    </row>
    <row r="788">
      <c r="A788">
        <f>'Week 39'!B13</f>
        <v/>
      </c>
      <c r="B788">
        <f>'Week 39'!C13</f>
        <v/>
      </c>
      <c r="C788">
        <f>IF('Week 39'!I13="","",'Week 39'!I13)</f>
        <v/>
      </c>
      <c r="D788">
        <f>IF('Week 39'!I13="","",IF('Week 39'!J13="",1,'Week 39'!J13))</f>
        <v/>
      </c>
      <c r="E788">
        <f>IF(OR(C788="",D788=""),"",IF(D788=1,C788,ROUND(C788*(1+D788/30),1)))</f>
        <v/>
      </c>
    </row>
    <row r="789">
      <c r="A789">
        <f>'Week 39'!B14</f>
        <v/>
      </c>
      <c r="B789">
        <f>'Week 39'!C14</f>
        <v/>
      </c>
      <c r="C789">
        <f>IF('Week 39'!I14="","",'Week 39'!I14)</f>
        <v/>
      </c>
      <c r="D789">
        <f>IF('Week 39'!I14="","",IF('Week 39'!J14="",1,'Week 39'!J14))</f>
        <v/>
      </c>
      <c r="E789">
        <f>IF(OR(C789="",D789=""),"",IF(D789=1,C789,ROUND(C789*(1+D789/30),1)))</f>
        <v/>
      </c>
    </row>
    <row r="790">
      <c r="A790">
        <f>'Week 39'!B15</f>
        <v/>
      </c>
      <c r="B790">
        <f>'Week 39'!C15</f>
        <v/>
      </c>
      <c r="C790">
        <f>IF('Week 39'!I15="","",'Week 39'!I15)</f>
        <v/>
      </c>
      <c r="D790">
        <f>IF('Week 39'!I15="","",IF('Week 39'!J15="",1,'Week 39'!J15))</f>
        <v/>
      </c>
      <c r="E790">
        <f>IF(OR(C790="",D790=""),"",IF(D790=1,C790,ROUND(C790*(1+D790/30),1)))</f>
        <v/>
      </c>
    </row>
    <row r="791">
      <c r="A791">
        <f>'Week 39'!B16</f>
        <v/>
      </c>
      <c r="B791">
        <f>'Week 39'!C16</f>
        <v/>
      </c>
      <c r="C791">
        <f>IF('Week 39'!I16="","",'Week 39'!I16)</f>
        <v/>
      </c>
      <c r="D791">
        <f>IF('Week 39'!I16="","",IF('Week 39'!J16="",1,'Week 39'!J16))</f>
        <v/>
      </c>
      <c r="E791">
        <f>IF(OR(C791="",D791=""),"",IF(D791=1,C791,ROUND(C791*(1+D791/30),1)))</f>
        <v/>
      </c>
    </row>
    <row r="792">
      <c r="A792">
        <f>'Week 39'!B17</f>
        <v/>
      </c>
      <c r="B792">
        <f>'Week 39'!C17</f>
        <v/>
      </c>
      <c r="C792">
        <f>IF('Week 39'!I17="","",'Week 39'!I17)</f>
        <v/>
      </c>
      <c r="D792">
        <f>IF('Week 39'!I17="","",IF('Week 39'!J17="",1,'Week 39'!J17))</f>
        <v/>
      </c>
      <c r="E792">
        <f>IF(OR(C792="",D792=""),"",IF(D792=1,C792,ROUND(C792*(1+D792/30),1)))</f>
        <v/>
      </c>
    </row>
    <row r="793">
      <c r="A793">
        <f>'Week 39'!B18</f>
        <v/>
      </c>
      <c r="B793">
        <f>'Week 39'!C18</f>
        <v/>
      </c>
      <c r="C793">
        <f>IF('Week 39'!I18="","",'Week 39'!I18)</f>
        <v/>
      </c>
      <c r="D793">
        <f>IF('Week 39'!I18="","",IF('Week 39'!J18="",1,'Week 39'!J18))</f>
        <v/>
      </c>
      <c r="E793">
        <f>IF(OR(C793="",D793=""),"",IF(D793=1,C793,ROUND(C793*(1+D793/30),1)))</f>
        <v/>
      </c>
    </row>
    <row r="794">
      <c r="A794">
        <f>'Week 39'!B19</f>
        <v/>
      </c>
      <c r="B794">
        <f>'Week 39'!C19</f>
        <v/>
      </c>
      <c r="C794">
        <f>IF('Week 39'!I19="","",'Week 39'!I19)</f>
        <v/>
      </c>
      <c r="D794">
        <f>IF('Week 39'!I19="","",IF('Week 39'!J19="",1,'Week 39'!J19))</f>
        <v/>
      </c>
      <c r="E794">
        <f>IF(OR(C794="",D794=""),"",IF(D794=1,C794,ROUND(C794*(1+D794/30),1)))</f>
        <v/>
      </c>
    </row>
    <row r="795">
      <c r="A795">
        <f>'Week 39'!B20</f>
        <v/>
      </c>
      <c r="B795">
        <f>'Week 39'!C20</f>
        <v/>
      </c>
      <c r="C795">
        <f>IF('Week 39'!I20="","",'Week 39'!I20)</f>
        <v/>
      </c>
      <c r="D795">
        <f>IF('Week 39'!I20="","",IF('Week 39'!J20="",1,'Week 39'!J20))</f>
        <v/>
      </c>
      <c r="E795">
        <f>IF(OR(C795="",D795=""),"",IF(D795=1,C795,ROUND(C795*(1+D795/30),1)))</f>
        <v/>
      </c>
    </row>
    <row r="796">
      <c r="A796">
        <f>'Week 39'!B21</f>
        <v/>
      </c>
      <c r="B796">
        <f>'Week 39'!C21</f>
        <v/>
      </c>
      <c r="C796">
        <f>IF('Week 39'!I21="","",'Week 39'!I21)</f>
        <v/>
      </c>
      <c r="D796">
        <f>IF('Week 39'!I21="","",IF('Week 39'!J21="",1,'Week 39'!J21))</f>
        <v/>
      </c>
      <c r="E796">
        <f>IF(OR(C796="",D796=""),"",IF(D796=1,C796,ROUND(C796*(1+D796/30),1)))</f>
        <v/>
      </c>
    </row>
    <row r="797">
      <c r="A797">
        <f>'Week 39'!B22</f>
        <v/>
      </c>
      <c r="B797">
        <f>'Week 39'!C22</f>
        <v/>
      </c>
      <c r="C797">
        <f>IF('Week 39'!I22="","",'Week 39'!I22)</f>
        <v/>
      </c>
      <c r="D797">
        <f>IF('Week 39'!I22="","",IF('Week 39'!J22="",1,'Week 39'!J22))</f>
        <v/>
      </c>
      <c r="E797">
        <f>IF(OR(C797="",D797=""),"",IF(D797=1,C797,ROUND(C797*(1+D797/30),1)))</f>
        <v/>
      </c>
    </row>
    <row r="798">
      <c r="A798">
        <f>'Week 39'!B23</f>
        <v/>
      </c>
      <c r="B798">
        <f>'Week 39'!C23</f>
        <v/>
      </c>
      <c r="C798">
        <f>IF('Week 39'!I23="","",'Week 39'!I23)</f>
        <v/>
      </c>
      <c r="D798">
        <f>IF('Week 39'!I23="","",IF('Week 39'!J23="",1,'Week 39'!J23))</f>
        <v/>
      </c>
      <c r="E798">
        <f>IF(OR(C798="",D798=""),"",IF(D798=1,C798,ROUND(C798*(1+D798/30),1)))</f>
        <v/>
      </c>
    </row>
    <row r="799">
      <c r="A799">
        <f>'Week 39'!B24</f>
        <v/>
      </c>
      <c r="B799">
        <f>'Week 39'!C24</f>
        <v/>
      </c>
      <c r="C799">
        <f>IF('Week 39'!I24="","",'Week 39'!I24)</f>
        <v/>
      </c>
      <c r="D799">
        <f>IF('Week 39'!I24="","",IF('Week 39'!J24="",1,'Week 39'!J24))</f>
        <v/>
      </c>
      <c r="E799">
        <f>IF(OR(C799="",D799=""),"",IF(D799=1,C799,ROUND(C799*(1+D799/30),1)))</f>
        <v/>
      </c>
    </row>
    <row r="800">
      <c r="A800">
        <f>'Week 39'!B25</f>
        <v/>
      </c>
      <c r="B800">
        <f>'Week 39'!C25</f>
        <v/>
      </c>
      <c r="C800">
        <f>IF('Week 39'!I25="","",'Week 39'!I25)</f>
        <v/>
      </c>
      <c r="D800">
        <f>IF('Week 39'!I25="","",IF('Week 39'!J25="",1,'Week 39'!J25))</f>
        <v/>
      </c>
      <c r="E800">
        <f>IF(OR(C800="",D800=""),"",IF(D800=1,C800,ROUND(C800*(1+D800/30),1)))</f>
        <v/>
      </c>
    </row>
    <row r="801">
      <c r="A801">
        <f>'Week 40'!B6</f>
        <v/>
      </c>
      <c r="B801">
        <f>'Week 40'!C6</f>
        <v/>
      </c>
      <c r="C801">
        <f>IF('Week 40'!I6="","",'Week 40'!I6)</f>
        <v/>
      </c>
      <c r="D801">
        <f>IF('Week 40'!I6="","",IF('Week 40'!J6="",1,'Week 40'!J6))</f>
        <v/>
      </c>
      <c r="E801">
        <f>IF(OR(C801="",D801=""),"",IF(D801=1,C801,ROUND(C801*(1+D801/30),1)))</f>
        <v/>
      </c>
    </row>
    <row r="802">
      <c r="A802">
        <f>'Week 40'!B7</f>
        <v/>
      </c>
      <c r="B802">
        <f>'Week 40'!C7</f>
        <v/>
      </c>
      <c r="C802">
        <f>IF('Week 40'!I7="","",'Week 40'!I7)</f>
        <v/>
      </c>
      <c r="D802">
        <f>IF('Week 40'!I7="","",IF('Week 40'!J7="",1,'Week 40'!J7))</f>
        <v/>
      </c>
      <c r="E802">
        <f>IF(OR(C802="",D802=""),"",IF(D802=1,C802,ROUND(C802*(1+D802/30),1)))</f>
        <v/>
      </c>
    </row>
    <row r="803">
      <c r="A803">
        <f>'Week 40'!B8</f>
        <v/>
      </c>
      <c r="B803">
        <f>'Week 40'!C8</f>
        <v/>
      </c>
      <c r="C803">
        <f>IF('Week 40'!I8="","",'Week 40'!I8)</f>
        <v/>
      </c>
      <c r="D803">
        <f>IF('Week 40'!I8="","",IF('Week 40'!J8="",1,'Week 40'!J8))</f>
        <v/>
      </c>
      <c r="E803">
        <f>IF(OR(C803="",D803=""),"",IF(D803=1,C803,ROUND(C803*(1+D803/30),1)))</f>
        <v/>
      </c>
    </row>
    <row r="804">
      <c r="A804">
        <f>'Week 40'!B9</f>
        <v/>
      </c>
      <c r="B804">
        <f>'Week 40'!C9</f>
        <v/>
      </c>
      <c r="C804">
        <f>IF('Week 40'!I9="","",'Week 40'!I9)</f>
        <v/>
      </c>
      <c r="D804">
        <f>IF('Week 40'!I9="","",IF('Week 40'!J9="",1,'Week 40'!J9))</f>
        <v/>
      </c>
      <c r="E804">
        <f>IF(OR(C804="",D804=""),"",IF(D804=1,C804,ROUND(C804*(1+D804/30),1)))</f>
        <v/>
      </c>
    </row>
    <row r="805">
      <c r="A805">
        <f>'Week 40'!B10</f>
        <v/>
      </c>
      <c r="B805">
        <f>'Week 40'!C10</f>
        <v/>
      </c>
      <c r="C805">
        <f>IF('Week 40'!I10="","",'Week 40'!I10)</f>
        <v/>
      </c>
      <c r="D805">
        <f>IF('Week 40'!I10="","",IF('Week 40'!J10="",1,'Week 40'!J10))</f>
        <v/>
      </c>
      <c r="E805">
        <f>IF(OR(C805="",D805=""),"",IF(D805=1,C805,ROUND(C805*(1+D805/30),1)))</f>
        <v/>
      </c>
    </row>
    <row r="806">
      <c r="A806">
        <f>'Week 40'!B11</f>
        <v/>
      </c>
      <c r="B806">
        <f>'Week 40'!C11</f>
        <v/>
      </c>
      <c r="C806">
        <f>IF('Week 40'!I11="","",'Week 40'!I11)</f>
        <v/>
      </c>
      <c r="D806">
        <f>IF('Week 40'!I11="","",IF('Week 40'!J11="",1,'Week 40'!J11))</f>
        <v/>
      </c>
      <c r="E806">
        <f>IF(OR(C806="",D806=""),"",IF(D806=1,C806,ROUND(C806*(1+D806/30),1)))</f>
        <v/>
      </c>
    </row>
    <row r="807">
      <c r="A807">
        <f>'Week 40'!B12</f>
        <v/>
      </c>
      <c r="B807">
        <f>'Week 40'!C12</f>
        <v/>
      </c>
      <c r="C807">
        <f>IF('Week 40'!I12="","",'Week 40'!I12)</f>
        <v/>
      </c>
      <c r="D807">
        <f>IF('Week 40'!I12="","",IF('Week 40'!J12="",1,'Week 40'!J12))</f>
        <v/>
      </c>
      <c r="E807">
        <f>IF(OR(C807="",D807=""),"",IF(D807=1,C807,ROUND(C807*(1+D807/30),1)))</f>
        <v/>
      </c>
    </row>
    <row r="808">
      <c r="A808">
        <f>'Week 40'!B13</f>
        <v/>
      </c>
      <c r="B808">
        <f>'Week 40'!C13</f>
        <v/>
      </c>
      <c r="C808">
        <f>IF('Week 40'!I13="","",'Week 40'!I13)</f>
        <v/>
      </c>
      <c r="D808">
        <f>IF('Week 40'!I13="","",IF('Week 40'!J13="",1,'Week 40'!J13))</f>
        <v/>
      </c>
      <c r="E808">
        <f>IF(OR(C808="",D808=""),"",IF(D808=1,C808,ROUND(C808*(1+D808/30),1)))</f>
        <v/>
      </c>
    </row>
    <row r="809">
      <c r="A809">
        <f>'Week 40'!B14</f>
        <v/>
      </c>
      <c r="B809">
        <f>'Week 40'!C14</f>
        <v/>
      </c>
      <c r="C809">
        <f>IF('Week 40'!I14="","",'Week 40'!I14)</f>
        <v/>
      </c>
      <c r="D809">
        <f>IF('Week 40'!I14="","",IF('Week 40'!J14="",1,'Week 40'!J14))</f>
        <v/>
      </c>
      <c r="E809">
        <f>IF(OR(C809="",D809=""),"",IF(D809=1,C809,ROUND(C809*(1+D809/30),1)))</f>
        <v/>
      </c>
    </row>
    <row r="810">
      <c r="A810">
        <f>'Week 40'!B15</f>
        <v/>
      </c>
      <c r="B810">
        <f>'Week 40'!C15</f>
        <v/>
      </c>
      <c r="C810">
        <f>IF('Week 40'!I15="","",'Week 40'!I15)</f>
        <v/>
      </c>
      <c r="D810">
        <f>IF('Week 40'!I15="","",IF('Week 40'!J15="",1,'Week 40'!J15))</f>
        <v/>
      </c>
      <c r="E810">
        <f>IF(OR(C810="",D810=""),"",IF(D810=1,C810,ROUND(C810*(1+D810/30),1)))</f>
        <v/>
      </c>
    </row>
    <row r="811">
      <c r="A811">
        <f>'Week 40'!B16</f>
        <v/>
      </c>
      <c r="B811">
        <f>'Week 40'!C16</f>
        <v/>
      </c>
      <c r="C811">
        <f>IF('Week 40'!I16="","",'Week 40'!I16)</f>
        <v/>
      </c>
      <c r="D811">
        <f>IF('Week 40'!I16="","",IF('Week 40'!J16="",1,'Week 40'!J16))</f>
        <v/>
      </c>
      <c r="E811">
        <f>IF(OR(C811="",D811=""),"",IF(D811=1,C811,ROUND(C811*(1+D811/30),1)))</f>
        <v/>
      </c>
    </row>
    <row r="812">
      <c r="A812">
        <f>'Week 40'!B17</f>
        <v/>
      </c>
      <c r="B812">
        <f>'Week 40'!C17</f>
        <v/>
      </c>
      <c r="C812">
        <f>IF('Week 40'!I17="","",'Week 40'!I17)</f>
        <v/>
      </c>
      <c r="D812">
        <f>IF('Week 40'!I17="","",IF('Week 40'!J17="",1,'Week 40'!J17))</f>
        <v/>
      </c>
      <c r="E812">
        <f>IF(OR(C812="",D812=""),"",IF(D812=1,C812,ROUND(C812*(1+D812/30),1)))</f>
        <v/>
      </c>
    </row>
    <row r="813">
      <c r="A813">
        <f>'Week 40'!B18</f>
        <v/>
      </c>
      <c r="B813">
        <f>'Week 40'!C18</f>
        <v/>
      </c>
      <c r="C813">
        <f>IF('Week 40'!I18="","",'Week 40'!I18)</f>
        <v/>
      </c>
      <c r="D813">
        <f>IF('Week 40'!I18="","",IF('Week 40'!J18="",1,'Week 40'!J18))</f>
        <v/>
      </c>
      <c r="E813">
        <f>IF(OR(C813="",D813=""),"",IF(D813=1,C813,ROUND(C813*(1+D813/30),1)))</f>
        <v/>
      </c>
    </row>
    <row r="814">
      <c r="A814">
        <f>'Week 40'!B19</f>
        <v/>
      </c>
      <c r="B814">
        <f>'Week 40'!C19</f>
        <v/>
      </c>
      <c r="C814">
        <f>IF('Week 40'!I19="","",'Week 40'!I19)</f>
        <v/>
      </c>
      <c r="D814">
        <f>IF('Week 40'!I19="","",IF('Week 40'!J19="",1,'Week 40'!J19))</f>
        <v/>
      </c>
      <c r="E814">
        <f>IF(OR(C814="",D814=""),"",IF(D814=1,C814,ROUND(C814*(1+D814/30),1)))</f>
        <v/>
      </c>
    </row>
    <row r="815">
      <c r="A815">
        <f>'Week 40'!B20</f>
        <v/>
      </c>
      <c r="B815">
        <f>'Week 40'!C20</f>
        <v/>
      </c>
      <c r="C815">
        <f>IF('Week 40'!I20="","",'Week 40'!I20)</f>
        <v/>
      </c>
      <c r="D815">
        <f>IF('Week 40'!I20="","",IF('Week 40'!J20="",1,'Week 40'!J20))</f>
        <v/>
      </c>
      <c r="E815">
        <f>IF(OR(C815="",D815=""),"",IF(D815=1,C815,ROUND(C815*(1+D815/30),1)))</f>
        <v/>
      </c>
    </row>
    <row r="816">
      <c r="A816">
        <f>'Week 40'!B21</f>
        <v/>
      </c>
      <c r="B816">
        <f>'Week 40'!C21</f>
        <v/>
      </c>
      <c r="C816">
        <f>IF('Week 40'!I21="","",'Week 40'!I21)</f>
        <v/>
      </c>
      <c r="D816">
        <f>IF('Week 40'!I21="","",IF('Week 40'!J21="",1,'Week 40'!J21))</f>
        <v/>
      </c>
      <c r="E816">
        <f>IF(OR(C816="",D816=""),"",IF(D816=1,C816,ROUND(C816*(1+D816/30),1)))</f>
        <v/>
      </c>
    </row>
    <row r="817">
      <c r="A817">
        <f>'Week 40'!B22</f>
        <v/>
      </c>
      <c r="B817">
        <f>'Week 40'!C22</f>
        <v/>
      </c>
      <c r="C817">
        <f>IF('Week 40'!I22="","",'Week 40'!I22)</f>
        <v/>
      </c>
      <c r="D817">
        <f>IF('Week 40'!I22="","",IF('Week 40'!J22="",1,'Week 40'!J22))</f>
        <v/>
      </c>
      <c r="E817">
        <f>IF(OR(C817="",D817=""),"",IF(D817=1,C817,ROUND(C817*(1+D817/30),1)))</f>
        <v/>
      </c>
    </row>
    <row r="818">
      <c r="A818">
        <f>'Week 40'!B23</f>
        <v/>
      </c>
      <c r="B818">
        <f>'Week 40'!C23</f>
        <v/>
      </c>
      <c r="C818">
        <f>IF('Week 40'!I23="","",'Week 40'!I23)</f>
        <v/>
      </c>
      <c r="D818">
        <f>IF('Week 40'!I23="","",IF('Week 40'!J23="",1,'Week 40'!J23))</f>
        <v/>
      </c>
      <c r="E818">
        <f>IF(OR(C818="",D818=""),"",IF(D818=1,C818,ROUND(C818*(1+D818/30),1)))</f>
        <v/>
      </c>
    </row>
    <row r="819">
      <c r="A819">
        <f>'Week 40'!B24</f>
        <v/>
      </c>
      <c r="B819">
        <f>'Week 40'!C24</f>
        <v/>
      </c>
      <c r="C819">
        <f>IF('Week 40'!I24="","",'Week 40'!I24)</f>
        <v/>
      </c>
      <c r="D819">
        <f>IF('Week 40'!I24="","",IF('Week 40'!J24="",1,'Week 40'!J24))</f>
        <v/>
      </c>
      <c r="E819">
        <f>IF(OR(C819="",D819=""),"",IF(D819=1,C819,ROUND(C819*(1+D819/30),1)))</f>
        <v/>
      </c>
    </row>
    <row r="820">
      <c r="A820">
        <f>'Week 40'!B25</f>
        <v/>
      </c>
      <c r="B820">
        <f>'Week 40'!C25</f>
        <v/>
      </c>
      <c r="C820">
        <f>IF('Week 40'!I25="","",'Week 40'!I25)</f>
        <v/>
      </c>
      <c r="D820">
        <f>IF('Week 40'!I25="","",IF('Week 40'!J25="",1,'Week 40'!J25))</f>
        <v/>
      </c>
      <c r="E820">
        <f>IF(OR(C820="",D820=""),"",IF(D820=1,C820,ROUND(C820*(1+D820/30),1)))</f>
        <v/>
      </c>
    </row>
    <row r="821">
      <c r="A821">
        <f>'Week 41'!B6</f>
        <v/>
      </c>
      <c r="B821">
        <f>'Week 41'!C6</f>
        <v/>
      </c>
      <c r="C821">
        <f>IF('Week 41'!I6="","",'Week 41'!I6)</f>
        <v/>
      </c>
      <c r="D821">
        <f>IF('Week 41'!I6="","",IF('Week 41'!J6="",1,'Week 41'!J6))</f>
        <v/>
      </c>
      <c r="E821">
        <f>IF(OR(C821="",D821=""),"",IF(D821=1,C821,ROUND(C821*(1+D821/30),1)))</f>
        <v/>
      </c>
    </row>
    <row r="822">
      <c r="A822">
        <f>'Week 41'!B7</f>
        <v/>
      </c>
      <c r="B822">
        <f>'Week 41'!C7</f>
        <v/>
      </c>
      <c r="C822">
        <f>IF('Week 41'!I7="","",'Week 41'!I7)</f>
        <v/>
      </c>
      <c r="D822">
        <f>IF('Week 41'!I7="","",IF('Week 41'!J7="",1,'Week 41'!J7))</f>
        <v/>
      </c>
      <c r="E822">
        <f>IF(OR(C822="",D822=""),"",IF(D822=1,C822,ROUND(C822*(1+D822/30),1)))</f>
        <v/>
      </c>
    </row>
    <row r="823">
      <c r="A823">
        <f>'Week 41'!B8</f>
        <v/>
      </c>
      <c r="B823">
        <f>'Week 41'!C8</f>
        <v/>
      </c>
      <c r="C823">
        <f>IF('Week 41'!I8="","",'Week 41'!I8)</f>
        <v/>
      </c>
      <c r="D823">
        <f>IF('Week 41'!I8="","",IF('Week 41'!J8="",1,'Week 41'!J8))</f>
        <v/>
      </c>
      <c r="E823">
        <f>IF(OR(C823="",D823=""),"",IF(D823=1,C823,ROUND(C823*(1+D823/30),1)))</f>
        <v/>
      </c>
    </row>
    <row r="824">
      <c r="A824">
        <f>'Week 41'!B9</f>
        <v/>
      </c>
      <c r="B824">
        <f>'Week 41'!C9</f>
        <v/>
      </c>
      <c r="C824">
        <f>IF('Week 41'!I9="","",'Week 41'!I9)</f>
        <v/>
      </c>
      <c r="D824">
        <f>IF('Week 41'!I9="","",IF('Week 41'!J9="",1,'Week 41'!J9))</f>
        <v/>
      </c>
      <c r="E824">
        <f>IF(OR(C824="",D824=""),"",IF(D824=1,C824,ROUND(C824*(1+D824/30),1)))</f>
        <v/>
      </c>
    </row>
    <row r="825">
      <c r="A825">
        <f>'Week 41'!B10</f>
        <v/>
      </c>
      <c r="B825">
        <f>'Week 41'!C10</f>
        <v/>
      </c>
      <c r="C825">
        <f>IF('Week 41'!I10="","",'Week 41'!I10)</f>
        <v/>
      </c>
      <c r="D825">
        <f>IF('Week 41'!I10="","",IF('Week 41'!J10="",1,'Week 41'!J10))</f>
        <v/>
      </c>
      <c r="E825">
        <f>IF(OR(C825="",D825=""),"",IF(D825=1,C825,ROUND(C825*(1+D825/30),1)))</f>
        <v/>
      </c>
    </row>
    <row r="826">
      <c r="A826">
        <f>'Week 41'!B11</f>
        <v/>
      </c>
      <c r="B826">
        <f>'Week 41'!C11</f>
        <v/>
      </c>
      <c r="C826">
        <f>IF('Week 41'!I11="","",'Week 41'!I11)</f>
        <v/>
      </c>
      <c r="D826">
        <f>IF('Week 41'!I11="","",IF('Week 41'!J11="",1,'Week 41'!J11))</f>
        <v/>
      </c>
      <c r="E826">
        <f>IF(OR(C826="",D826=""),"",IF(D826=1,C826,ROUND(C826*(1+D826/30),1)))</f>
        <v/>
      </c>
    </row>
    <row r="827">
      <c r="A827">
        <f>'Week 41'!B12</f>
        <v/>
      </c>
      <c r="B827">
        <f>'Week 41'!C12</f>
        <v/>
      </c>
      <c r="C827">
        <f>IF('Week 41'!I12="","",'Week 41'!I12)</f>
        <v/>
      </c>
      <c r="D827">
        <f>IF('Week 41'!I12="","",IF('Week 41'!J12="",1,'Week 41'!J12))</f>
        <v/>
      </c>
      <c r="E827">
        <f>IF(OR(C827="",D827=""),"",IF(D827=1,C827,ROUND(C827*(1+D827/30),1)))</f>
        <v/>
      </c>
    </row>
    <row r="828">
      <c r="A828">
        <f>'Week 41'!B13</f>
        <v/>
      </c>
      <c r="B828">
        <f>'Week 41'!C13</f>
        <v/>
      </c>
      <c r="C828">
        <f>IF('Week 41'!I13="","",'Week 41'!I13)</f>
        <v/>
      </c>
      <c r="D828">
        <f>IF('Week 41'!I13="","",IF('Week 41'!J13="",1,'Week 41'!J13))</f>
        <v/>
      </c>
      <c r="E828">
        <f>IF(OR(C828="",D828=""),"",IF(D828=1,C828,ROUND(C828*(1+D828/30),1)))</f>
        <v/>
      </c>
    </row>
    <row r="829">
      <c r="A829">
        <f>'Week 41'!B14</f>
        <v/>
      </c>
      <c r="B829">
        <f>'Week 41'!C14</f>
        <v/>
      </c>
      <c r="C829">
        <f>IF('Week 41'!I14="","",'Week 41'!I14)</f>
        <v/>
      </c>
      <c r="D829">
        <f>IF('Week 41'!I14="","",IF('Week 41'!J14="",1,'Week 41'!J14))</f>
        <v/>
      </c>
      <c r="E829">
        <f>IF(OR(C829="",D829=""),"",IF(D829=1,C829,ROUND(C829*(1+D829/30),1)))</f>
        <v/>
      </c>
    </row>
    <row r="830">
      <c r="A830">
        <f>'Week 41'!B15</f>
        <v/>
      </c>
      <c r="B830">
        <f>'Week 41'!C15</f>
        <v/>
      </c>
      <c r="C830">
        <f>IF('Week 41'!I15="","",'Week 41'!I15)</f>
        <v/>
      </c>
      <c r="D830">
        <f>IF('Week 41'!I15="","",IF('Week 41'!J15="",1,'Week 41'!J15))</f>
        <v/>
      </c>
      <c r="E830">
        <f>IF(OR(C830="",D830=""),"",IF(D830=1,C830,ROUND(C830*(1+D830/30),1)))</f>
        <v/>
      </c>
    </row>
    <row r="831">
      <c r="A831">
        <f>'Week 41'!B16</f>
        <v/>
      </c>
      <c r="B831">
        <f>'Week 41'!C16</f>
        <v/>
      </c>
      <c r="C831">
        <f>IF('Week 41'!I16="","",'Week 41'!I16)</f>
        <v/>
      </c>
      <c r="D831">
        <f>IF('Week 41'!I16="","",IF('Week 41'!J16="",1,'Week 41'!J16))</f>
        <v/>
      </c>
      <c r="E831">
        <f>IF(OR(C831="",D831=""),"",IF(D831=1,C831,ROUND(C831*(1+D831/30),1)))</f>
        <v/>
      </c>
    </row>
    <row r="832">
      <c r="A832">
        <f>'Week 41'!B17</f>
        <v/>
      </c>
      <c r="B832">
        <f>'Week 41'!C17</f>
        <v/>
      </c>
      <c r="C832">
        <f>IF('Week 41'!I17="","",'Week 41'!I17)</f>
        <v/>
      </c>
      <c r="D832">
        <f>IF('Week 41'!I17="","",IF('Week 41'!J17="",1,'Week 41'!J17))</f>
        <v/>
      </c>
      <c r="E832">
        <f>IF(OR(C832="",D832=""),"",IF(D832=1,C832,ROUND(C832*(1+D832/30),1)))</f>
        <v/>
      </c>
    </row>
    <row r="833">
      <c r="A833">
        <f>'Week 41'!B18</f>
        <v/>
      </c>
      <c r="B833">
        <f>'Week 41'!C18</f>
        <v/>
      </c>
      <c r="C833">
        <f>IF('Week 41'!I18="","",'Week 41'!I18)</f>
        <v/>
      </c>
      <c r="D833">
        <f>IF('Week 41'!I18="","",IF('Week 41'!J18="",1,'Week 41'!J18))</f>
        <v/>
      </c>
      <c r="E833">
        <f>IF(OR(C833="",D833=""),"",IF(D833=1,C833,ROUND(C833*(1+D833/30),1)))</f>
        <v/>
      </c>
    </row>
    <row r="834">
      <c r="A834">
        <f>'Week 41'!B19</f>
        <v/>
      </c>
      <c r="B834">
        <f>'Week 41'!C19</f>
        <v/>
      </c>
      <c r="C834">
        <f>IF('Week 41'!I19="","",'Week 41'!I19)</f>
        <v/>
      </c>
      <c r="D834">
        <f>IF('Week 41'!I19="","",IF('Week 41'!J19="",1,'Week 41'!J19))</f>
        <v/>
      </c>
      <c r="E834">
        <f>IF(OR(C834="",D834=""),"",IF(D834=1,C834,ROUND(C834*(1+D834/30),1)))</f>
        <v/>
      </c>
    </row>
    <row r="835">
      <c r="A835">
        <f>'Week 41'!B20</f>
        <v/>
      </c>
      <c r="B835">
        <f>'Week 41'!C20</f>
        <v/>
      </c>
      <c r="C835">
        <f>IF('Week 41'!I20="","",'Week 41'!I20)</f>
        <v/>
      </c>
      <c r="D835">
        <f>IF('Week 41'!I20="","",IF('Week 41'!J20="",1,'Week 41'!J20))</f>
        <v/>
      </c>
      <c r="E835">
        <f>IF(OR(C835="",D835=""),"",IF(D835=1,C835,ROUND(C835*(1+D835/30),1)))</f>
        <v/>
      </c>
    </row>
    <row r="836">
      <c r="A836">
        <f>'Week 41'!B21</f>
        <v/>
      </c>
      <c r="B836">
        <f>'Week 41'!C21</f>
        <v/>
      </c>
      <c r="C836">
        <f>IF('Week 41'!I21="","",'Week 41'!I21)</f>
        <v/>
      </c>
      <c r="D836">
        <f>IF('Week 41'!I21="","",IF('Week 41'!J21="",1,'Week 41'!J21))</f>
        <v/>
      </c>
      <c r="E836">
        <f>IF(OR(C836="",D836=""),"",IF(D836=1,C836,ROUND(C836*(1+D836/30),1)))</f>
        <v/>
      </c>
    </row>
    <row r="837">
      <c r="A837">
        <f>'Week 41'!B22</f>
        <v/>
      </c>
      <c r="B837">
        <f>'Week 41'!C22</f>
        <v/>
      </c>
      <c r="C837">
        <f>IF('Week 41'!I22="","",'Week 41'!I22)</f>
        <v/>
      </c>
      <c r="D837">
        <f>IF('Week 41'!I22="","",IF('Week 41'!J22="",1,'Week 41'!J22))</f>
        <v/>
      </c>
      <c r="E837">
        <f>IF(OR(C837="",D837=""),"",IF(D837=1,C837,ROUND(C837*(1+D837/30),1)))</f>
        <v/>
      </c>
    </row>
    <row r="838">
      <c r="A838">
        <f>'Week 41'!B23</f>
        <v/>
      </c>
      <c r="B838">
        <f>'Week 41'!C23</f>
        <v/>
      </c>
      <c r="C838">
        <f>IF('Week 41'!I23="","",'Week 41'!I23)</f>
        <v/>
      </c>
      <c r="D838">
        <f>IF('Week 41'!I23="","",IF('Week 41'!J23="",1,'Week 41'!J23))</f>
        <v/>
      </c>
      <c r="E838">
        <f>IF(OR(C838="",D838=""),"",IF(D838=1,C838,ROUND(C838*(1+D838/30),1)))</f>
        <v/>
      </c>
    </row>
    <row r="839">
      <c r="A839">
        <f>'Week 41'!B24</f>
        <v/>
      </c>
      <c r="B839">
        <f>'Week 41'!C24</f>
        <v/>
      </c>
      <c r="C839">
        <f>IF('Week 41'!I24="","",'Week 41'!I24)</f>
        <v/>
      </c>
      <c r="D839">
        <f>IF('Week 41'!I24="","",IF('Week 41'!J24="",1,'Week 41'!J24))</f>
        <v/>
      </c>
      <c r="E839">
        <f>IF(OR(C839="",D839=""),"",IF(D839=1,C839,ROUND(C839*(1+D839/30),1)))</f>
        <v/>
      </c>
    </row>
    <row r="840">
      <c r="A840">
        <f>'Week 41'!B25</f>
        <v/>
      </c>
      <c r="B840">
        <f>'Week 41'!C25</f>
        <v/>
      </c>
      <c r="C840">
        <f>IF('Week 41'!I25="","",'Week 41'!I25)</f>
        <v/>
      </c>
      <c r="D840">
        <f>IF('Week 41'!I25="","",IF('Week 41'!J25="",1,'Week 41'!J25))</f>
        <v/>
      </c>
      <c r="E840">
        <f>IF(OR(C840="",D840=""),"",IF(D840=1,C840,ROUND(C840*(1+D840/30),1)))</f>
        <v/>
      </c>
    </row>
    <row r="841">
      <c r="A841">
        <f>'Week 42'!B6</f>
        <v/>
      </c>
      <c r="B841">
        <f>'Week 42'!C6</f>
        <v/>
      </c>
      <c r="C841">
        <f>IF('Week 42'!I6="","",'Week 42'!I6)</f>
        <v/>
      </c>
      <c r="D841">
        <f>IF('Week 42'!I6="","",IF('Week 42'!J6="",1,'Week 42'!J6))</f>
        <v/>
      </c>
      <c r="E841">
        <f>IF(OR(C841="",D841=""),"",IF(D841=1,C841,ROUND(C841*(1+D841/30),1)))</f>
        <v/>
      </c>
    </row>
    <row r="842">
      <c r="A842">
        <f>'Week 42'!B7</f>
        <v/>
      </c>
      <c r="B842">
        <f>'Week 42'!C7</f>
        <v/>
      </c>
      <c r="C842">
        <f>IF('Week 42'!I7="","",'Week 42'!I7)</f>
        <v/>
      </c>
      <c r="D842">
        <f>IF('Week 42'!I7="","",IF('Week 42'!J7="",1,'Week 42'!J7))</f>
        <v/>
      </c>
      <c r="E842">
        <f>IF(OR(C842="",D842=""),"",IF(D842=1,C842,ROUND(C842*(1+D842/30),1)))</f>
        <v/>
      </c>
    </row>
    <row r="843">
      <c r="A843">
        <f>'Week 42'!B8</f>
        <v/>
      </c>
      <c r="B843">
        <f>'Week 42'!C8</f>
        <v/>
      </c>
      <c r="C843">
        <f>IF('Week 42'!I8="","",'Week 42'!I8)</f>
        <v/>
      </c>
      <c r="D843">
        <f>IF('Week 42'!I8="","",IF('Week 42'!J8="",1,'Week 42'!J8))</f>
        <v/>
      </c>
      <c r="E843">
        <f>IF(OR(C843="",D843=""),"",IF(D843=1,C843,ROUND(C843*(1+D843/30),1)))</f>
        <v/>
      </c>
    </row>
    <row r="844">
      <c r="A844">
        <f>'Week 42'!B9</f>
        <v/>
      </c>
      <c r="B844">
        <f>'Week 42'!C9</f>
        <v/>
      </c>
      <c r="C844">
        <f>IF('Week 42'!I9="","",'Week 42'!I9)</f>
        <v/>
      </c>
      <c r="D844">
        <f>IF('Week 42'!I9="","",IF('Week 42'!J9="",1,'Week 42'!J9))</f>
        <v/>
      </c>
      <c r="E844">
        <f>IF(OR(C844="",D844=""),"",IF(D844=1,C844,ROUND(C844*(1+D844/30),1)))</f>
        <v/>
      </c>
    </row>
    <row r="845">
      <c r="A845">
        <f>'Week 42'!B10</f>
        <v/>
      </c>
      <c r="B845">
        <f>'Week 42'!C10</f>
        <v/>
      </c>
      <c r="C845">
        <f>IF('Week 42'!I10="","",'Week 42'!I10)</f>
        <v/>
      </c>
      <c r="D845">
        <f>IF('Week 42'!I10="","",IF('Week 42'!J10="",1,'Week 42'!J10))</f>
        <v/>
      </c>
      <c r="E845">
        <f>IF(OR(C845="",D845=""),"",IF(D845=1,C845,ROUND(C845*(1+D845/30),1)))</f>
        <v/>
      </c>
    </row>
    <row r="846">
      <c r="A846">
        <f>'Week 42'!B11</f>
        <v/>
      </c>
      <c r="B846">
        <f>'Week 42'!C11</f>
        <v/>
      </c>
      <c r="C846">
        <f>IF('Week 42'!I11="","",'Week 42'!I11)</f>
        <v/>
      </c>
      <c r="D846">
        <f>IF('Week 42'!I11="","",IF('Week 42'!J11="",1,'Week 42'!J11))</f>
        <v/>
      </c>
      <c r="E846">
        <f>IF(OR(C846="",D846=""),"",IF(D846=1,C846,ROUND(C846*(1+D846/30),1)))</f>
        <v/>
      </c>
    </row>
    <row r="847">
      <c r="A847">
        <f>'Week 42'!B12</f>
        <v/>
      </c>
      <c r="B847">
        <f>'Week 42'!C12</f>
        <v/>
      </c>
      <c r="C847">
        <f>IF('Week 42'!I12="","",'Week 42'!I12)</f>
        <v/>
      </c>
      <c r="D847">
        <f>IF('Week 42'!I12="","",IF('Week 42'!J12="",1,'Week 42'!J12))</f>
        <v/>
      </c>
      <c r="E847">
        <f>IF(OR(C847="",D847=""),"",IF(D847=1,C847,ROUND(C847*(1+D847/30),1)))</f>
        <v/>
      </c>
    </row>
    <row r="848">
      <c r="A848">
        <f>'Week 42'!B13</f>
        <v/>
      </c>
      <c r="B848">
        <f>'Week 42'!C13</f>
        <v/>
      </c>
      <c r="C848">
        <f>IF('Week 42'!I13="","",'Week 42'!I13)</f>
        <v/>
      </c>
      <c r="D848">
        <f>IF('Week 42'!I13="","",IF('Week 42'!J13="",1,'Week 42'!J13))</f>
        <v/>
      </c>
      <c r="E848">
        <f>IF(OR(C848="",D848=""),"",IF(D848=1,C848,ROUND(C848*(1+D848/30),1)))</f>
        <v/>
      </c>
    </row>
    <row r="849">
      <c r="A849">
        <f>'Week 42'!B14</f>
        <v/>
      </c>
      <c r="B849">
        <f>'Week 42'!C14</f>
        <v/>
      </c>
      <c r="C849">
        <f>IF('Week 42'!I14="","",'Week 42'!I14)</f>
        <v/>
      </c>
      <c r="D849">
        <f>IF('Week 42'!I14="","",IF('Week 42'!J14="",1,'Week 42'!J14))</f>
        <v/>
      </c>
      <c r="E849">
        <f>IF(OR(C849="",D849=""),"",IF(D849=1,C849,ROUND(C849*(1+D849/30),1)))</f>
        <v/>
      </c>
    </row>
    <row r="850">
      <c r="A850">
        <f>'Week 42'!B15</f>
        <v/>
      </c>
      <c r="B850">
        <f>'Week 42'!C15</f>
        <v/>
      </c>
      <c r="C850">
        <f>IF('Week 42'!I15="","",'Week 42'!I15)</f>
        <v/>
      </c>
      <c r="D850">
        <f>IF('Week 42'!I15="","",IF('Week 42'!J15="",1,'Week 42'!J15))</f>
        <v/>
      </c>
      <c r="E850">
        <f>IF(OR(C850="",D850=""),"",IF(D850=1,C850,ROUND(C850*(1+D850/30),1)))</f>
        <v/>
      </c>
    </row>
    <row r="851">
      <c r="A851">
        <f>'Week 42'!B16</f>
        <v/>
      </c>
      <c r="B851">
        <f>'Week 42'!C16</f>
        <v/>
      </c>
      <c r="C851">
        <f>IF('Week 42'!I16="","",'Week 42'!I16)</f>
        <v/>
      </c>
      <c r="D851">
        <f>IF('Week 42'!I16="","",IF('Week 42'!J16="",1,'Week 42'!J16))</f>
        <v/>
      </c>
      <c r="E851">
        <f>IF(OR(C851="",D851=""),"",IF(D851=1,C851,ROUND(C851*(1+D851/30),1)))</f>
        <v/>
      </c>
    </row>
    <row r="852">
      <c r="A852">
        <f>'Week 42'!B17</f>
        <v/>
      </c>
      <c r="B852">
        <f>'Week 42'!C17</f>
        <v/>
      </c>
      <c r="C852">
        <f>IF('Week 42'!I17="","",'Week 42'!I17)</f>
        <v/>
      </c>
      <c r="D852">
        <f>IF('Week 42'!I17="","",IF('Week 42'!J17="",1,'Week 42'!J17))</f>
        <v/>
      </c>
      <c r="E852">
        <f>IF(OR(C852="",D852=""),"",IF(D852=1,C852,ROUND(C852*(1+D852/30),1)))</f>
        <v/>
      </c>
    </row>
    <row r="853">
      <c r="A853">
        <f>'Week 42'!B18</f>
        <v/>
      </c>
      <c r="B853">
        <f>'Week 42'!C18</f>
        <v/>
      </c>
      <c r="C853">
        <f>IF('Week 42'!I18="","",'Week 42'!I18)</f>
        <v/>
      </c>
      <c r="D853">
        <f>IF('Week 42'!I18="","",IF('Week 42'!J18="",1,'Week 42'!J18))</f>
        <v/>
      </c>
      <c r="E853">
        <f>IF(OR(C853="",D853=""),"",IF(D853=1,C853,ROUND(C853*(1+D853/30),1)))</f>
        <v/>
      </c>
    </row>
    <row r="854">
      <c r="A854">
        <f>'Week 42'!B19</f>
        <v/>
      </c>
      <c r="B854">
        <f>'Week 42'!C19</f>
        <v/>
      </c>
      <c r="C854">
        <f>IF('Week 42'!I19="","",'Week 42'!I19)</f>
        <v/>
      </c>
      <c r="D854">
        <f>IF('Week 42'!I19="","",IF('Week 42'!J19="",1,'Week 42'!J19))</f>
        <v/>
      </c>
      <c r="E854">
        <f>IF(OR(C854="",D854=""),"",IF(D854=1,C854,ROUND(C854*(1+D854/30),1)))</f>
        <v/>
      </c>
    </row>
    <row r="855">
      <c r="A855">
        <f>'Week 42'!B20</f>
        <v/>
      </c>
      <c r="B855">
        <f>'Week 42'!C20</f>
        <v/>
      </c>
      <c r="C855">
        <f>IF('Week 42'!I20="","",'Week 42'!I20)</f>
        <v/>
      </c>
      <c r="D855">
        <f>IF('Week 42'!I20="","",IF('Week 42'!J20="",1,'Week 42'!J20))</f>
        <v/>
      </c>
      <c r="E855">
        <f>IF(OR(C855="",D855=""),"",IF(D855=1,C855,ROUND(C855*(1+D855/30),1)))</f>
        <v/>
      </c>
    </row>
    <row r="856">
      <c r="A856">
        <f>'Week 42'!B21</f>
        <v/>
      </c>
      <c r="B856">
        <f>'Week 42'!C21</f>
        <v/>
      </c>
      <c r="C856">
        <f>IF('Week 42'!I21="","",'Week 42'!I21)</f>
        <v/>
      </c>
      <c r="D856">
        <f>IF('Week 42'!I21="","",IF('Week 42'!J21="",1,'Week 42'!J21))</f>
        <v/>
      </c>
      <c r="E856">
        <f>IF(OR(C856="",D856=""),"",IF(D856=1,C856,ROUND(C856*(1+D856/30),1)))</f>
        <v/>
      </c>
    </row>
    <row r="857">
      <c r="A857">
        <f>'Week 42'!B22</f>
        <v/>
      </c>
      <c r="B857">
        <f>'Week 42'!C22</f>
        <v/>
      </c>
      <c r="C857">
        <f>IF('Week 42'!I22="","",'Week 42'!I22)</f>
        <v/>
      </c>
      <c r="D857">
        <f>IF('Week 42'!I22="","",IF('Week 42'!J22="",1,'Week 42'!J22))</f>
        <v/>
      </c>
      <c r="E857">
        <f>IF(OR(C857="",D857=""),"",IF(D857=1,C857,ROUND(C857*(1+D857/30),1)))</f>
        <v/>
      </c>
    </row>
    <row r="858">
      <c r="A858">
        <f>'Week 42'!B23</f>
        <v/>
      </c>
      <c r="B858">
        <f>'Week 42'!C23</f>
        <v/>
      </c>
      <c r="C858">
        <f>IF('Week 42'!I23="","",'Week 42'!I23)</f>
        <v/>
      </c>
      <c r="D858">
        <f>IF('Week 42'!I23="","",IF('Week 42'!J23="",1,'Week 42'!J23))</f>
        <v/>
      </c>
      <c r="E858">
        <f>IF(OR(C858="",D858=""),"",IF(D858=1,C858,ROUND(C858*(1+D858/30),1)))</f>
        <v/>
      </c>
    </row>
    <row r="859">
      <c r="A859">
        <f>'Week 42'!B24</f>
        <v/>
      </c>
      <c r="B859">
        <f>'Week 42'!C24</f>
        <v/>
      </c>
      <c r="C859">
        <f>IF('Week 42'!I24="","",'Week 42'!I24)</f>
        <v/>
      </c>
      <c r="D859">
        <f>IF('Week 42'!I24="","",IF('Week 42'!J24="",1,'Week 42'!J24))</f>
        <v/>
      </c>
      <c r="E859">
        <f>IF(OR(C859="",D859=""),"",IF(D859=1,C859,ROUND(C859*(1+D859/30),1)))</f>
        <v/>
      </c>
    </row>
    <row r="860">
      <c r="A860">
        <f>'Week 42'!B25</f>
        <v/>
      </c>
      <c r="B860">
        <f>'Week 42'!C25</f>
        <v/>
      </c>
      <c r="C860">
        <f>IF('Week 42'!I25="","",'Week 42'!I25)</f>
        <v/>
      </c>
      <c r="D860">
        <f>IF('Week 42'!I25="","",IF('Week 42'!J25="",1,'Week 42'!J25))</f>
        <v/>
      </c>
      <c r="E860">
        <f>IF(OR(C860="",D860=""),"",IF(D860=1,C860,ROUND(C860*(1+D860/30),1)))</f>
        <v/>
      </c>
    </row>
    <row r="861">
      <c r="A861">
        <f>'Week 43'!B6</f>
        <v/>
      </c>
      <c r="B861">
        <f>'Week 43'!C6</f>
        <v/>
      </c>
      <c r="C861">
        <f>IF('Week 43'!I6="","",'Week 43'!I6)</f>
        <v/>
      </c>
      <c r="D861">
        <f>IF('Week 43'!I6="","",IF('Week 43'!J6="",1,'Week 43'!J6))</f>
        <v/>
      </c>
      <c r="E861">
        <f>IF(OR(C861="",D861=""),"",IF(D861=1,C861,ROUND(C861*(1+D861/30),1)))</f>
        <v/>
      </c>
    </row>
    <row r="862">
      <c r="A862">
        <f>'Week 43'!B7</f>
        <v/>
      </c>
      <c r="B862">
        <f>'Week 43'!C7</f>
        <v/>
      </c>
      <c r="C862">
        <f>IF('Week 43'!I7="","",'Week 43'!I7)</f>
        <v/>
      </c>
      <c r="D862">
        <f>IF('Week 43'!I7="","",IF('Week 43'!J7="",1,'Week 43'!J7))</f>
        <v/>
      </c>
      <c r="E862">
        <f>IF(OR(C862="",D862=""),"",IF(D862=1,C862,ROUND(C862*(1+D862/30),1)))</f>
        <v/>
      </c>
    </row>
    <row r="863">
      <c r="A863">
        <f>'Week 43'!B8</f>
        <v/>
      </c>
      <c r="B863">
        <f>'Week 43'!C8</f>
        <v/>
      </c>
      <c r="C863">
        <f>IF('Week 43'!I8="","",'Week 43'!I8)</f>
        <v/>
      </c>
      <c r="D863">
        <f>IF('Week 43'!I8="","",IF('Week 43'!J8="",1,'Week 43'!J8))</f>
        <v/>
      </c>
      <c r="E863">
        <f>IF(OR(C863="",D863=""),"",IF(D863=1,C863,ROUND(C863*(1+D863/30),1)))</f>
        <v/>
      </c>
    </row>
    <row r="864">
      <c r="A864">
        <f>'Week 43'!B9</f>
        <v/>
      </c>
      <c r="B864">
        <f>'Week 43'!C9</f>
        <v/>
      </c>
      <c r="C864">
        <f>IF('Week 43'!I9="","",'Week 43'!I9)</f>
        <v/>
      </c>
      <c r="D864">
        <f>IF('Week 43'!I9="","",IF('Week 43'!J9="",1,'Week 43'!J9))</f>
        <v/>
      </c>
      <c r="E864">
        <f>IF(OR(C864="",D864=""),"",IF(D864=1,C864,ROUND(C864*(1+D864/30),1)))</f>
        <v/>
      </c>
    </row>
    <row r="865">
      <c r="A865">
        <f>'Week 43'!B10</f>
        <v/>
      </c>
      <c r="B865">
        <f>'Week 43'!C10</f>
        <v/>
      </c>
      <c r="C865">
        <f>IF('Week 43'!I10="","",'Week 43'!I10)</f>
        <v/>
      </c>
      <c r="D865">
        <f>IF('Week 43'!I10="","",IF('Week 43'!J10="",1,'Week 43'!J10))</f>
        <v/>
      </c>
      <c r="E865">
        <f>IF(OR(C865="",D865=""),"",IF(D865=1,C865,ROUND(C865*(1+D865/30),1)))</f>
        <v/>
      </c>
    </row>
    <row r="866">
      <c r="A866">
        <f>'Week 43'!B11</f>
        <v/>
      </c>
      <c r="B866">
        <f>'Week 43'!C11</f>
        <v/>
      </c>
      <c r="C866">
        <f>IF('Week 43'!I11="","",'Week 43'!I11)</f>
        <v/>
      </c>
      <c r="D866">
        <f>IF('Week 43'!I11="","",IF('Week 43'!J11="",1,'Week 43'!J11))</f>
        <v/>
      </c>
      <c r="E866">
        <f>IF(OR(C866="",D866=""),"",IF(D866=1,C866,ROUND(C866*(1+D866/30),1)))</f>
        <v/>
      </c>
    </row>
    <row r="867">
      <c r="A867">
        <f>'Week 43'!B12</f>
        <v/>
      </c>
      <c r="B867">
        <f>'Week 43'!C12</f>
        <v/>
      </c>
      <c r="C867">
        <f>IF('Week 43'!I12="","",'Week 43'!I12)</f>
        <v/>
      </c>
      <c r="D867">
        <f>IF('Week 43'!I12="","",IF('Week 43'!J12="",1,'Week 43'!J12))</f>
        <v/>
      </c>
      <c r="E867">
        <f>IF(OR(C867="",D867=""),"",IF(D867=1,C867,ROUND(C867*(1+D867/30),1)))</f>
        <v/>
      </c>
    </row>
    <row r="868">
      <c r="A868">
        <f>'Week 43'!B13</f>
        <v/>
      </c>
      <c r="B868">
        <f>'Week 43'!C13</f>
        <v/>
      </c>
      <c r="C868">
        <f>IF('Week 43'!I13="","",'Week 43'!I13)</f>
        <v/>
      </c>
      <c r="D868">
        <f>IF('Week 43'!I13="","",IF('Week 43'!J13="",1,'Week 43'!J13))</f>
        <v/>
      </c>
      <c r="E868">
        <f>IF(OR(C868="",D868=""),"",IF(D868=1,C868,ROUND(C868*(1+D868/30),1)))</f>
        <v/>
      </c>
    </row>
    <row r="869">
      <c r="A869">
        <f>'Week 43'!B14</f>
        <v/>
      </c>
      <c r="B869">
        <f>'Week 43'!C14</f>
        <v/>
      </c>
      <c r="C869">
        <f>IF('Week 43'!I14="","",'Week 43'!I14)</f>
        <v/>
      </c>
      <c r="D869">
        <f>IF('Week 43'!I14="","",IF('Week 43'!J14="",1,'Week 43'!J14))</f>
        <v/>
      </c>
      <c r="E869">
        <f>IF(OR(C869="",D869=""),"",IF(D869=1,C869,ROUND(C869*(1+D869/30),1)))</f>
        <v/>
      </c>
    </row>
    <row r="870">
      <c r="A870">
        <f>'Week 43'!B15</f>
        <v/>
      </c>
      <c r="B870">
        <f>'Week 43'!C15</f>
        <v/>
      </c>
      <c r="C870">
        <f>IF('Week 43'!I15="","",'Week 43'!I15)</f>
        <v/>
      </c>
      <c r="D870">
        <f>IF('Week 43'!I15="","",IF('Week 43'!J15="",1,'Week 43'!J15))</f>
        <v/>
      </c>
      <c r="E870">
        <f>IF(OR(C870="",D870=""),"",IF(D870=1,C870,ROUND(C870*(1+D870/30),1)))</f>
        <v/>
      </c>
    </row>
    <row r="871">
      <c r="A871">
        <f>'Week 43'!B16</f>
        <v/>
      </c>
      <c r="B871">
        <f>'Week 43'!C16</f>
        <v/>
      </c>
      <c r="C871">
        <f>IF('Week 43'!I16="","",'Week 43'!I16)</f>
        <v/>
      </c>
      <c r="D871">
        <f>IF('Week 43'!I16="","",IF('Week 43'!J16="",1,'Week 43'!J16))</f>
        <v/>
      </c>
      <c r="E871">
        <f>IF(OR(C871="",D871=""),"",IF(D871=1,C871,ROUND(C871*(1+D871/30),1)))</f>
        <v/>
      </c>
    </row>
    <row r="872">
      <c r="A872">
        <f>'Week 43'!B17</f>
        <v/>
      </c>
      <c r="B872">
        <f>'Week 43'!C17</f>
        <v/>
      </c>
      <c r="C872">
        <f>IF('Week 43'!I17="","",'Week 43'!I17)</f>
        <v/>
      </c>
      <c r="D872">
        <f>IF('Week 43'!I17="","",IF('Week 43'!J17="",1,'Week 43'!J17))</f>
        <v/>
      </c>
      <c r="E872">
        <f>IF(OR(C872="",D872=""),"",IF(D872=1,C872,ROUND(C872*(1+D872/30),1)))</f>
        <v/>
      </c>
    </row>
    <row r="873">
      <c r="A873">
        <f>'Week 43'!B18</f>
        <v/>
      </c>
      <c r="B873">
        <f>'Week 43'!C18</f>
        <v/>
      </c>
      <c r="C873">
        <f>IF('Week 43'!I18="","",'Week 43'!I18)</f>
        <v/>
      </c>
      <c r="D873">
        <f>IF('Week 43'!I18="","",IF('Week 43'!J18="",1,'Week 43'!J18))</f>
        <v/>
      </c>
      <c r="E873">
        <f>IF(OR(C873="",D873=""),"",IF(D873=1,C873,ROUND(C873*(1+D873/30),1)))</f>
        <v/>
      </c>
    </row>
    <row r="874">
      <c r="A874">
        <f>'Week 43'!B19</f>
        <v/>
      </c>
      <c r="B874">
        <f>'Week 43'!C19</f>
        <v/>
      </c>
      <c r="C874">
        <f>IF('Week 43'!I19="","",'Week 43'!I19)</f>
        <v/>
      </c>
      <c r="D874">
        <f>IF('Week 43'!I19="","",IF('Week 43'!J19="",1,'Week 43'!J19))</f>
        <v/>
      </c>
      <c r="E874">
        <f>IF(OR(C874="",D874=""),"",IF(D874=1,C874,ROUND(C874*(1+D874/30),1)))</f>
        <v/>
      </c>
    </row>
    <row r="875">
      <c r="A875">
        <f>'Week 43'!B20</f>
        <v/>
      </c>
      <c r="B875">
        <f>'Week 43'!C20</f>
        <v/>
      </c>
      <c r="C875">
        <f>IF('Week 43'!I20="","",'Week 43'!I20)</f>
        <v/>
      </c>
      <c r="D875">
        <f>IF('Week 43'!I20="","",IF('Week 43'!J20="",1,'Week 43'!J20))</f>
        <v/>
      </c>
      <c r="E875">
        <f>IF(OR(C875="",D875=""),"",IF(D875=1,C875,ROUND(C875*(1+D875/30),1)))</f>
        <v/>
      </c>
    </row>
    <row r="876">
      <c r="A876">
        <f>'Week 43'!B21</f>
        <v/>
      </c>
      <c r="B876">
        <f>'Week 43'!C21</f>
        <v/>
      </c>
      <c r="C876">
        <f>IF('Week 43'!I21="","",'Week 43'!I21)</f>
        <v/>
      </c>
      <c r="D876">
        <f>IF('Week 43'!I21="","",IF('Week 43'!J21="",1,'Week 43'!J21))</f>
        <v/>
      </c>
      <c r="E876">
        <f>IF(OR(C876="",D876=""),"",IF(D876=1,C876,ROUND(C876*(1+D876/30),1)))</f>
        <v/>
      </c>
    </row>
    <row r="877">
      <c r="A877">
        <f>'Week 43'!B22</f>
        <v/>
      </c>
      <c r="B877">
        <f>'Week 43'!C22</f>
        <v/>
      </c>
      <c r="C877">
        <f>IF('Week 43'!I22="","",'Week 43'!I22)</f>
        <v/>
      </c>
      <c r="D877">
        <f>IF('Week 43'!I22="","",IF('Week 43'!J22="",1,'Week 43'!J22))</f>
        <v/>
      </c>
      <c r="E877">
        <f>IF(OR(C877="",D877=""),"",IF(D877=1,C877,ROUND(C877*(1+D877/30),1)))</f>
        <v/>
      </c>
    </row>
    <row r="878">
      <c r="A878">
        <f>'Week 43'!B23</f>
        <v/>
      </c>
      <c r="B878">
        <f>'Week 43'!C23</f>
        <v/>
      </c>
      <c r="C878">
        <f>IF('Week 43'!I23="","",'Week 43'!I23)</f>
        <v/>
      </c>
      <c r="D878">
        <f>IF('Week 43'!I23="","",IF('Week 43'!J23="",1,'Week 43'!J23))</f>
        <v/>
      </c>
      <c r="E878">
        <f>IF(OR(C878="",D878=""),"",IF(D878=1,C878,ROUND(C878*(1+D878/30),1)))</f>
        <v/>
      </c>
    </row>
    <row r="879">
      <c r="A879">
        <f>'Week 43'!B24</f>
        <v/>
      </c>
      <c r="B879">
        <f>'Week 43'!C24</f>
        <v/>
      </c>
      <c r="C879">
        <f>IF('Week 43'!I24="","",'Week 43'!I24)</f>
        <v/>
      </c>
      <c r="D879">
        <f>IF('Week 43'!I24="","",IF('Week 43'!J24="",1,'Week 43'!J24))</f>
        <v/>
      </c>
      <c r="E879">
        <f>IF(OR(C879="",D879=""),"",IF(D879=1,C879,ROUND(C879*(1+D879/30),1)))</f>
        <v/>
      </c>
    </row>
    <row r="880">
      <c r="A880">
        <f>'Week 43'!B25</f>
        <v/>
      </c>
      <c r="B880">
        <f>'Week 43'!C25</f>
        <v/>
      </c>
      <c r="C880">
        <f>IF('Week 43'!I25="","",'Week 43'!I25)</f>
        <v/>
      </c>
      <c r="D880">
        <f>IF('Week 43'!I25="","",IF('Week 43'!J25="",1,'Week 43'!J25))</f>
        <v/>
      </c>
      <c r="E880">
        <f>IF(OR(C880="",D880=""),"",IF(D880=1,C880,ROUND(C880*(1+D880/30),1)))</f>
        <v/>
      </c>
    </row>
    <row r="881">
      <c r="A881">
        <f>'Week 44'!B6</f>
        <v/>
      </c>
      <c r="B881">
        <f>'Week 44'!C6</f>
        <v/>
      </c>
      <c r="C881">
        <f>IF('Week 44'!I6="","",'Week 44'!I6)</f>
        <v/>
      </c>
      <c r="D881">
        <f>IF('Week 44'!I6="","",IF('Week 44'!J6="",1,'Week 44'!J6))</f>
        <v/>
      </c>
      <c r="E881">
        <f>IF(OR(C881="",D881=""),"",IF(D881=1,C881,ROUND(C881*(1+D881/30),1)))</f>
        <v/>
      </c>
    </row>
    <row r="882">
      <c r="A882">
        <f>'Week 44'!B7</f>
        <v/>
      </c>
      <c r="B882">
        <f>'Week 44'!C7</f>
        <v/>
      </c>
      <c r="C882">
        <f>IF('Week 44'!I7="","",'Week 44'!I7)</f>
        <v/>
      </c>
      <c r="D882">
        <f>IF('Week 44'!I7="","",IF('Week 44'!J7="",1,'Week 44'!J7))</f>
        <v/>
      </c>
      <c r="E882">
        <f>IF(OR(C882="",D882=""),"",IF(D882=1,C882,ROUND(C882*(1+D882/30),1)))</f>
        <v/>
      </c>
    </row>
    <row r="883">
      <c r="A883">
        <f>'Week 44'!B8</f>
        <v/>
      </c>
      <c r="B883">
        <f>'Week 44'!C8</f>
        <v/>
      </c>
      <c r="C883">
        <f>IF('Week 44'!I8="","",'Week 44'!I8)</f>
        <v/>
      </c>
      <c r="D883">
        <f>IF('Week 44'!I8="","",IF('Week 44'!J8="",1,'Week 44'!J8))</f>
        <v/>
      </c>
      <c r="E883">
        <f>IF(OR(C883="",D883=""),"",IF(D883=1,C883,ROUND(C883*(1+D883/30),1)))</f>
        <v/>
      </c>
    </row>
    <row r="884">
      <c r="A884">
        <f>'Week 44'!B9</f>
        <v/>
      </c>
      <c r="B884">
        <f>'Week 44'!C9</f>
        <v/>
      </c>
      <c r="C884">
        <f>IF('Week 44'!I9="","",'Week 44'!I9)</f>
        <v/>
      </c>
      <c r="D884">
        <f>IF('Week 44'!I9="","",IF('Week 44'!J9="",1,'Week 44'!J9))</f>
        <v/>
      </c>
      <c r="E884">
        <f>IF(OR(C884="",D884=""),"",IF(D884=1,C884,ROUND(C884*(1+D884/30),1)))</f>
        <v/>
      </c>
    </row>
    <row r="885">
      <c r="A885">
        <f>'Week 44'!B10</f>
        <v/>
      </c>
      <c r="B885">
        <f>'Week 44'!C10</f>
        <v/>
      </c>
      <c r="C885">
        <f>IF('Week 44'!I10="","",'Week 44'!I10)</f>
        <v/>
      </c>
      <c r="D885">
        <f>IF('Week 44'!I10="","",IF('Week 44'!J10="",1,'Week 44'!J10))</f>
        <v/>
      </c>
      <c r="E885">
        <f>IF(OR(C885="",D885=""),"",IF(D885=1,C885,ROUND(C885*(1+D885/30),1)))</f>
        <v/>
      </c>
    </row>
    <row r="886">
      <c r="A886">
        <f>'Week 44'!B11</f>
        <v/>
      </c>
      <c r="B886">
        <f>'Week 44'!C11</f>
        <v/>
      </c>
      <c r="C886">
        <f>IF('Week 44'!I11="","",'Week 44'!I11)</f>
        <v/>
      </c>
      <c r="D886">
        <f>IF('Week 44'!I11="","",IF('Week 44'!J11="",1,'Week 44'!J11))</f>
        <v/>
      </c>
      <c r="E886">
        <f>IF(OR(C886="",D886=""),"",IF(D886=1,C886,ROUND(C886*(1+D886/30),1)))</f>
        <v/>
      </c>
    </row>
    <row r="887">
      <c r="A887">
        <f>'Week 44'!B12</f>
        <v/>
      </c>
      <c r="B887">
        <f>'Week 44'!C12</f>
        <v/>
      </c>
      <c r="C887">
        <f>IF('Week 44'!I12="","",'Week 44'!I12)</f>
        <v/>
      </c>
      <c r="D887">
        <f>IF('Week 44'!I12="","",IF('Week 44'!J12="",1,'Week 44'!J12))</f>
        <v/>
      </c>
      <c r="E887">
        <f>IF(OR(C887="",D887=""),"",IF(D887=1,C887,ROUND(C887*(1+D887/30),1)))</f>
        <v/>
      </c>
    </row>
    <row r="888">
      <c r="A888">
        <f>'Week 44'!B13</f>
        <v/>
      </c>
      <c r="B888">
        <f>'Week 44'!C13</f>
        <v/>
      </c>
      <c r="C888">
        <f>IF('Week 44'!I13="","",'Week 44'!I13)</f>
        <v/>
      </c>
      <c r="D888">
        <f>IF('Week 44'!I13="","",IF('Week 44'!J13="",1,'Week 44'!J13))</f>
        <v/>
      </c>
      <c r="E888">
        <f>IF(OR(C888="",D888=""),"",IF(D888=1,C888,ROUND(C888*(1+D888/30),1)))</f>
        <v/>
      </c>
    </row>
    <row r="889">
      <c r="A889">
        <f>'Week 44'!B14</f>
        <v/>
      </c>
      <c r="B889">
        <f>'Week 44'!C14</f>
        <v/>
      </c>
      <c r="C889">
        <f>IF('Week 44'!I14="","",'Week 44'!I14)</f>
        <v/>
      </c>
      <c r="D889">
        <f>IF('Week 44'!I14="","",IF('Week 44'!J14="",1,'Week 44'!J14))</f>
        <v/>
      </c>
      <c r="E889">
        <f>IF(OR(C889="",D889=""),"",IF(D889=1,C889,ROUND(C889*(1+D889/30),1)))</f>
        <v/>
      </c>
    </row>
    <row r="890">
      <c r="A890">
        <f>'Week 44'!B15</f>
        <v/>
      </c>
      <c r="B890">
        <f>'Week 44'!C15</f>
        <v/>
      </c>
      <c r="C890">
        <f>IF('Week 44'!I15="","",'Week 44'!I15)</f>
        <v/>
      </c>
      <c r="D890">
        <f>IF('Week 44'!I15="","",IF('Week 44'!J15="",1,'Week 44'!J15))</f>
        <v/>
      </c>
      <c r="E890">
        <f>IF(OR(C890="",D890=""),"",IF(D890=1,C890,ROUND(C890*(1+D890/30),1)))</f>
        <v/>
      </c>
    </row>
    <row r="891">
      <c r="A891">
        <f>'Week 44'!B16</f>
        <v/>
      </c>
      <c r="B891">
        <f>'Week 44'!C16</f>
        <v/>
      </c>
      <c r="C891">
        <f>IF('Week 44'!I16="","",'Week 44'!I16)</f>
        <v/>
      </c>
      <c r="D891">
        <f>IF('Week 44'!I16="","",IF('Week 44'!J16="",1,'Week 44'!J16))</f>
        <v/>
      </c>
      <c r="E891">
        <f>IF(OR(C891="",D891=""),"",IF(D891=1,C891,ROUND(C891*(1+D891/30),1)))</f>
        <v/>
      </c>
    </row>
    <row r="892">
      <c r="A892">
        <f>'Week 44'!B17</f>
        <v/>
      </c>
      <c r="B892">
        <f>'Week 44'!C17</f>
        <v/>
      </c>
      <c r="C892">
        <f>IF('Week 44'!I17="","",'Week 44'!I17)</f>
        <v/>
      </c>
      <c r="D892">
        <f>IF('Week 44'!I17="","",IF('Week 44'!J17="",1,'Week 44'!J17))</f>
        <v/>
      </c>
      <c r="E892">
        <f>IF(OR(C892="",D892=""),"",IF(D892=1,C892,ROUND(C892*(1+D892/30),1)))</f>
        <v/>
      </c>
    </row>
    <row r="893">
      <c r="A893">
        <f>'Week 44'!B18</f>
        <v/>
      </c>
      <c r="B893">
        <f>'Week 44'!C18</f>
        <v/>
      </c>
      <c r="C893">
        <f>IF('Week 44'!I18="","",'Week 44'!I18)</f>
        <v/>
      </c>
      <c r="D893">
        <f>IF('Week 44'!I18="","",IF('Week 44'!J18="",1,'Week 44'!J18))</f>
        <v/>
      </c>
      <c r="E893">
        <f>IF(OR(C893="",D893=""),"",IF(D893=1,C893,ROUND(C893*(1+D893/30),1)))</f>
        <v/>
      </c>
    </row>
    <row r="894">
      <c r="A894">
        <f>'Week 44'!B19</f>
        <v/>
      </c>
      <c r="B894">
        <f>'Week 44'!C19</f>
        <v/>
      </c>
      <c r="C894">
        <f>IF('Week 44'!I19="","",'Week 44'!I19)</f>
        <v/>
      </c>
      <c r="D894">
        <f>IF('Week 44'!I19="","",IF('Week 44'!J19="",1,'Week 44'!J19))</f>
        <v/>
      </c>
      <c r="E894">
        <f>IF(OR(C894="",D894=""),"",IF(D894=1,C894,ROUND(C894*(1+D894/30),1)))</f>
        <v/>
      </c>
    </row>
    <row r="895">
      <c r="A895">
        <f>'Week 44'!B20</f>
        <v/>
      </c>
      <c r="B895">
        <f>'Week 44'!C20</f>
        <v/>
      </c>
      <c r="C895">
        <f>IF('Week 44'!I20="","",'Week 44'!I20)</f>
        <v/>
      </c>
      <c r="D895">
        <f>IF('Week 44'!I20="","",IF('Week 44'!J20="",1,'Week 44'!J20))</f>
        <v/>
      </c>
      <c r="E895">
        <f>IF(OR(C895="",D895=""),"",IF(D895=1,C895,ROUND(C895*(1+D895/30),1)))</f>
        <v/>
      </c>
    </row>
    <row r="896">
      <c r="A896">
        <f>'Week 44'!B21</f>
        <v/>
      </c>
      <c r="B896">
        <f>'Week 44'!C21</f>
        <v/>
      </c>
      <c r="C896">
        <f>IF('Week 44'!I21="","",'Week 44'!I21)</f>
        <v/>
      </c>
      <c r="D896">
        <f>IF('Week 44'!I21="","",IF('Week 44'!J21="",1,'Week 44'!J21))</f>
        <v/>
      </c>
      <c r="E896">
        <f>IF(OR(C896="",D896=""),"",IF(D896=1,C896,ROUND(C896*(1+D896/30),1)))</f>
        <v/>
      </c>
    </row>
    <row r="897">
      <c r="A897">
        <f>'Week 44'!B22</f>
        <v/>
      </c>
      <c r="B897">
        <f>'Week 44'!C22</f>
        <v/>
      </c>
      <c r="C897">
        <f>IF('Week 44'!I22="","",'Week 44'!I22)</f>
        <v/>
      </c>
      <c r="D897">
        <f>IF('Week 44'!I22="","",IF('Week 44'!J22="",1,'Week 44'!J22))</f>
        <v/>
      </c>
      <c r="E897">
        <f>IF(OR(C897="",D897=""),"",IF(D897=1,C897,ROUND(C897*(1+D897/30),1)))</f>
        <v/>
      </c>
    </row>
    <row r="898">
      <c r="A898">
        <f>'Week 44'!B23</f>
        <v/>
      </c>
      <c r="B898">
        <f>'Week 44'!C23</f>
        <v/>
      </c>
      <c r="C898">
        <f>IF('Week 44'!I23="","",'Week 44'!I23)</f>
        <v/>
      </c>
      <c r="D898">
        <f>IF('Week 44'!I23="","",IF('Week 44'!J23="",1,'Week 44'!J23))</f>
        <v/>
      </c>
      <c r="E898">
        <f>IF(OR(C898="",D898=""),"",IF(D898=1,C898,ROUND(C898*(1+D898/30),1)))</f>
        <v/>
      </c>
    </row>
    <row r="899">
      <c r="A899">
        <f>'Week 44'!B24</f>
        <v/>
      </c>
      <c r="B899">
        <f>'Week 44'!C24</f>
        <v/>
      </c>
      <c r="C899">
        <f>IF('Week 44'!I24="","",'Week 44'!I24)</f>
        <v/>
      </c>
      <c r="D899">
        <f>IF('Week 44'!I24="","",IF('Week 44'!J24="",1,'Week 44'!J24))</f>
        <v/>
      </c>
      <c r="E899">
        <f>IF(OR(C899="",D899=""),"",IF(D899=1,C899,ROUND(C899*(1+D899/30),1)))</f>
        <v/>
      </c>
    </row>
    <row r="900">
      <c r="A900">
        <f>'Week 44'!B25</f>
        <v/>
      </c>
      <c r="B900">
        <f>'Week 44'!C25</f>
        <v/>
      </c>
      <c r="C900">
        <f>IF('Week 44'!I25="","",'Week 44'!I25)</f>
        <v/>
      </c>
      <c r="D900">
        <f>IF('Week 44'!I25="","",IF('Week 44'!J25="",1,'Week 44'!J25))</f>
        <v/>
      </c>
      <c r="E900">
        <f>IF(OR(C900="",D900=""),"",IF(D900=1,C900,ROUND(C900*(1+D900/30),1)))</f>
        <v/>
      </c>
    </row>
    <row r="901">
      <c r="A901">
        <f>'Week 45'!B6</f>
        <v/>
      </c>
      <c r="B901">
        <f>'Week 45'!C6</f>
        <v/>
      </c>
      <c r="C901">
        <f>IF('Week 45'!I6="","",'Week 45'!I6)</f>
        <v/>
      </c>
      <c r="D901">
        <f>IF('Week 45'!I6="","",IF('Week 45'!J6="",1,'Week 45'!J6))</f>
        <v/>
      </c>
      <c r="E901">
        <f>IF(OR(C901="",D901=""),"",IF(D901=1,C901,ROUND(C901*(1+D901/30),1)))</f>
        <v/>
      </c>
    </row>
    <row r="902">
      <c r="A902">
        <f>'Week 45'!B7</f>
        <v/>
      </c>
      <c r="B902">
        <f>'Week 45'!C7</f>
        <v/>
      </c>
      <c r="C902">
        <f>IF('Week 45'!I7="","",'Week 45'!I7)</f>
        <v/>
      </c>
      <c r="D902">
        <f>IF('Week 45'!I7="","",IF('Week 45'!J7="",1,'Week 45'!J7))</f>
        <v/>
      </c>
      <c r="E902">
        <f>IF(OR(C902="",D902=""),"",IF(D902=1,C902,ROUND(C902*(1+D902/30),1)))</f>
        <v/>
      </c>
    </row>
    <row r="903">
      <c r="A903">
        <f>'Week 45'!B8</f>
        <v/>
      </c>
      <c r="B903">
        <f>'Week 45'!C8</f>
        <v/>
      </c>
      <c r="C903">
        <f>IF('Week 45'!I8="","",'Week 45'!I8)</f>
        <v/>
      </c>
      <c r="D903">
        <f>IF('Week 45'!I8="","",IF('Week 45'!J8="",1,'Week 45'!J8))</f>
        <v/>
      </c>
      <c r="E903">
        <f>IF(OR(C903="",D903=""),"",IF(D903=1,C903,ROUND(C903*(1+D903/30),1)))</f>
        <v/>
      </c>
    </row>
    <row r="904">
      <c r="A904">
        <f>'Week 45'!B9</f>
        <v/>
      </c>
      <c r="B904">
        <f>'Week 45'!C9</f>
        <v/>
      </c>
      <c r="C904">
        <f>IF('Week 45'!I9="","",'Week 45'!I9)</f>
        <v/>
      </c>
      <c r="D904">
        <f>IF('Week 45'!I9="","",IF('Week 45'!J9="",1,'Week 45'!J9))</f>
        <v/>
      </c>
      <c r="E904">
        <f>IF(OR(C904="",D904=""),"",IF(D904=1,C904,ROUND(C904*(1+D904/30),1)))</f>
        <v/>
      </c>
    </row>
    <row r="905">
      <c r="A905">
        <f>'Week 45'!B10</f>
        <v/>
      </c>
      <c r="B905">
        <f>'Week 45'!C10</f>
        <v/>
      </c>
      <c r="C905">
        <f>IF('Week 45'!I10="","",'Week 45'!I10)</f>
        <v/>
      </c>
      <c r="D905">
        <f>IF('Week 45'!I10="","",IF('Week 45'!J10="",1,'Week 45'!J10))</f>
        <v/>
      </c>
      <c r="E905">
        <f>IF(OR(C905="",D905=""),"",IF(D905=1,C905,ROUND(C905*(1+D905/30),1)))</f>
        <v/>
      </c>
    </row>
    <row r="906">
      <c r="A906">
        <f>'Week 45'!B11</f>
        <v/>
      </c>
      <c r="B906">
        <f>'Week 45'!C11</f>
        <v/>
      </c>
      <c r="C906">
        <f>IF('Week 45'!I11="","",'Week 45'!I11)</f>
        <v/>
      </c>
      <c r="D906">
        <f>IF('Week 45'!I11="","",IF('Week 45'!J11="",1,'Week 45'!J11))</f>
        <v/>
      </c>
      <c r="E906">
        <f>IF(OR(C906="",D906=""),"",IF(D906=1,C906,ROUND(C906*(1+D906/30),1)))</f>
        <v/>
      </c>
    </row>
    <row r="907">
      <c r="A907">
        <f>'Week 45'!B12</f>
        <v/>
      </c>
      <c r="B907">
        <f>'Week 45'!C12</f>
        <v/>
      </c>
      <c r="C907">
        <f>IF('Week 45'!I12="","",'Week 45'!I12)</f>
        <v/>
      </c>
      <c r="D907">
        <f>IF('Week 45'!I12="","",IF('Week 45'!J12="",1,'Week 45'!J12))</f>
        <v/>
      </c>
      <c r="E907">
        <f>IF(OR(C907="",D907=""),"",IF(D907=1,C907,ROUND(C907*(1+D907/30),1)))</f>
        <v/>
      </c>
    </row>
    <row r="908">
      <c r="A908">
        <f>'Week 45'!B13</f>
        <v/>
      </c>
      <c r="B908">
        <f>'Week 45'!C13</f>
        <v/>
      </c>
      <c r="C908">
        <f>IF('Week 45'!I13="","",'Week 45'!I13)</f>
        <v/>
      </c>
      <c r="D908">
        <f>IF('Week 45'!I13="","",IF('Week 45'!J13="",1,'Week 45'!J13))</f>
        <v/>
      </c>
      <c r="E908">
        <f>IF(OR(C908="",D908=""),"",IF(D908=1,C908,ROUND(C908*(1+D908/30),1)))</f>
        <v/>
      </c>
    </row>
    <row r="909">
      <c r="A909">
        <f>'Week 45'!B14</f>
        <v/>
      </c>
      <c r="B909">
        <f>'Week 45'!C14</f>
        <v/>
      </c>
      <c r="C909">
        <f>IF('Week 45'!I14="","",'Week 45'!I14)</f>
        <v/>
      </c>
      <c r="D909">
        <f>IF('Week 45'!I14="","",IF('Week 45'!J14="",1,'Week 45'!J14))</f>
        <v/>
      </c>
      <c r="E909">
        <f>IF(OR(C909="",D909=""),"",IF(D909=1,C909,ROUND(C909*(1+D909/30),1)))</f>
        <v/>
      </c>
    </row>
    <row r="910">
      <c r="A910">
        <f>'Week 45'!B15</f>
        <v/>
      </c>
      <c r="B910">
        <f>'Week 45'!C15</f>
        <v/>
      </c>
      <c r="C910">
        <f>IF('Week 45'!I15="","",'Week 45'!I15)</f>
        <v/>
      </c>
      <c r="D910">
        <f>IF('Week 45'!I15="","",IF('Week 45'!J15="",1,'Week 45'!J15))</f>
        <v/>
      </c>
      <c r="E910">
        <f>IF(OR(C910="",D910=""),"",IF(D910=1,C910,ROUND(C910*(1+D910/30),1)))</f>
        <v/>
      </c>
    </row>
    <row r="911">
      <c r="A911">
        <f>'Week 45'!B16</f>
        <v/>
      </c>
      <c r="B911">
        <f>'Week 45'!C16</f>
        <v/>
      </c>
      <c r="C911">
        <f>IF('Week 45'!I16="","",'Week 45'!I16)</f>
        <v/>
      </c>
      <c r="D911">
        <f>IF('Week 45'!I16="","",IF('Week 45'!J16="",1,'Week 45'!J16))</f>
        <v/>
      </c>
      <c r="E911">
        <f>IF(OR(C911="",D911=""),"",IF(D911=1,C911,ROUND(C911*(1+D911/30),1)))</f>
        <v/>
      </c>
    </row>
    <row r="912">
      <c r="A912">
        <f>'Week 45'!B17</f>
        <v/>
      </c>
      <c r="B912">
        <f>'Week 45'!C17</f>
        <v/>
      </c>
      <c r="C912">
        <f>IF('Week 45'!I17="","",'Week 45'!I17)</f>
        <v/>
      </c>
      <c r="D912">
        <f>IF('Week 45'!I17="","",IF('Week 45'!J17="",1,'Week 45'!J17))</f>
        <v/>
      </c>
      <c r="E912">
        <f>IF(OR(C912="",D912=""),"",IF(D912=1,C912,ROUND(C912*(1+D912/30),1)))</f>
        <v/>
      </c>
    </row>
    <row r="913">
      <c r="A913">
        <f>'Week 45'!B18</f>
        <v/>
      </c>
      <c r="B913">
        <f>'Week 45'!C18</f>
        <v/>
      </c>
      <c r="C913">
        <f>IF('Week 45'!I18="","",'Week 45'!I18)</f>
        <v/>
      </c>
      <c r="D913">
        <f>IF('Week 45'!I18="","",IF('Week 45'!J18="",1,'Week 45'!J18))</f>
        <v/>
      </c>
      <c r="E913">
        <f>IF(OR(C913="",D913=""),"",IF(D913=1,C913,ROUND(C913*(1+D913/30),1)))</f>
        <v/>
      </c>
    </row>
    <row r="914">
      <c r="A914">
        <f>'Week 45'!B19</f>
        <v/>
      </c>
      <c r="B914">
        <f>'Week 45'!C19</f>
        <v/>
      </c>
      <c r="C914">
        <f>IF('Week 45'!I19="","",'Week 45'!I19)</f>
        <v/>
      </c>
      <c r="D914">
        <f>IF('Week 45'!I19="","",IF('Week 45'!J19="",1,'Week 45'!J19))</f>
        <v/>
      </c>
      <c r="E914">
        <f>IF(OR(C914="",D914=""),"",IF(D914=1,C914,ROUND(C914*(1+D914/30),1)))</f>
        <v/>
      </c>
    </row>
    <row r="915">
      <c r="A915">
        <f>'Week 45'!B20</f>
        <v/>
      </c>
      <c r="B915">
        <f>'Week 45'!C20</f>
        <v/>
      </c>
      <c r="C915">
        <f>IF('Week 45'!I20="","",'Week 45'!I20)</f>
        <v/>
      </c>
      <c r="D915">
        <f>IF('Week 45'!I20="","",IF('Week 45'!J20="",1,'Week 45'!J20))</f>
        <v/>
      </c>
      <c r="E915">
        <f>IF(OR(C915="",D915=""),"",IF(D915=1,C915,ROUND(C915*(1+D915/30),1)))</f>
        <v/>
      </c>
    </row>
    <row r="916">
      <c r="A916">
        <f>'Week 45'!B21</f>
        <v/>
      </c>
      <c r="B916">
        <f>'Week 45'!C21</f>
        <v/>
      </c>
      <c r="C916">
        <f>IF('Week 45'!I21="","",'Week 45'!I21)</f>
        <v/>
      </c>
      <c r="D916">
        <f>IF('Week 45'!I21="","",IF('Week 45'!J21="",1,'Week 45'!J21))</f>
        <v/>
      </c>
      <c r="E916">
        <f>IF(OR(C916="",D916=""),"",IF(D916=1,C916,ROUND(C916*(1+D916/30),1)))</f>
        <v/>
      </c>
    </row>
    <row r="917">
      <c r="A917">
        <f>'Week 45'!B22</f>
        <v/>
      </c>
      <c r="B917">
        <f>'Week 45'!C22</f>
        <v/>
      </c>
      <c r="C917">
        <f>IF('Week 45'!I22="","",'Week 45'!I22)</f>
        <v/>
      </c>
      <c r="D917">
        <f>IF('Week 45'!I22="","",IF('Week 45'!J22="",1,'Week 45'!J22))</f>
        <v/>
      </c>
      <c r="E917">
        <f>IF(OR(C917="",D917=""),"",IF(D917=1,C917,ROUND(C917*(1+D917/30),1)))</f>
        <v/>
      </c>
    </row>
    <row r="918">
      <c r="A918">
        <f>'Week 45'!B23</f>
        <v/>
      </c>
      <c r="B918">
        <f>'Week 45'!C23</f>
        <v/>
      </c>
      <c r="C918">
        <f>IF('Week 45'!I23="","",'Week 45'!I23)</f>
        <v/>
      </c>
      <c r="D918">
        <f>IF('Week 45'!I23="","",IF('Week 45'!J23="",1,'Week 45'!J23))</f>
        <v/>
      </c>
      <c r="E918">
        <f>IF(OR(C918="",D918=""),"",IF(D918=1,C918,ROUND(C918*(1+D918/30),1)))</f>
        <v/>
      </c>
    </row>
    <row r="919">
      <c r="A919">
        <f>'Week 45'!B24</f>
        <v/>
      </c>
      <c r="B919">
        <f>'Week 45'!C24</f>
        <v/>
      </c>
      <c r="C919">
        <f>IF('Week 45'!I24="","",'Week 45'!I24)</f>
        <v/>
      </c>
      <c r="D919">
        <f>IF('Week 45'!I24="","",IF('Week 45'!J24="",1,'Week 45'!J24))</f>
        <v/>
      </c>
      <c r="E919">
        <f>IF(OR(C919="",D919=""),"",IF(D919=1,C919,ROUND(C919*(1+D919/30),1)))</f>
        <v/>
      </c>
    </row>
    <row r="920">
      <c r="A920">
        <f>'Week 45'!B25</f>
        <v/>
      </c>
      <c r="B920">
        <f>'Week 45'!C25</f>
        <v/>
      </c>
      <c r="C920">
        <f>IF('Week 45'!I25="","",'Week 45'!I25)</f>
        <v/>
      </c>
      <c r="D920">
        <f>IF('Week 45'!I25="","",IF('Week 45'!J25="",1,'Week 45'!J25))</f>
        <v/>
      </c>
      <c r="E920">
        <f>IF(OR(C920="",D920=""),"",IF(D920=1,C920,ROUND(C920*(1+D920/30),1)))</f>
        <v/>
      </c>
    </row>
    <row r="921">
      <c r="A921">
        <f>'Week 46'!B6</f>
        <v/>
      </c>
      <c r="B921">
        <f>'Week 46'!C6</f>
        <v/>
      </c>
      <c r="C921">
        <f>IF('Week 46'!I6="","",'Week 46'!I6)</f>
        <v/>
      </c>
      <c r="D921">
        <f>IF('Week 46'!I6="","",IF('Week 46'!J6="",1,'Week 46'!J6))</f>
        <v/>
      </c>
      <c r="E921">
        <f>IF(OR(C921="",D921=""),"",IF(D921=1,C921,ROUND(C921*(1+D921/30),1)))</f>
        <v/>
      </c>
    </row>
    <row r="922">
      <c r="A922">
        <f>'Week 46'!B7</f>
        <v/>
      </c>
      <c r="B922">
        <f>'Week 46'!C7</f>
        <v/>
      </c>
      <c r="C922">
        <f>IF('Week 46'!I7="","",'Week 46'!I7)</f>
        <v/>
      </c>
      <c r="D922">
        <f>IF('Week 46'!I7="","",IF('Week 46'!J7="",1,'Week 46'!J7))</f>
        <v/>
      </c>
      <c r="E922">
        <f>IF(OR(C922="",D922=""),"",IF(D922=1,C922,ROUND(C922*(1+D922/30),1)))</f>
        <v/>
      </c>
    </row>
    <row r="923">
      <c r="A923">
        <f>'Week 46'!B8</f>
        <v/>
      </c>
      <c r="B923">
        <f>'Week 46'!C8</f>
        <v/>
      </c>
      <c r="C923">
        <f>IF('Week 46'!I8="","",'Week 46'!I8)</f>
        <v/>
      </c>
      <c r="D923">
        <f>IF('Week 46'!I8="","",IF('Week 46'!J8="",1,'Week 46'!J8))</f>
        <v/>
      </c>
      <c r="E923">
        <f>IF(OR(C923="",D923=""),"",IF(D923=1,C923,ROUND(C923*(1+D923/30),1)))</f>
        <v/>
      </c>
    </row>
    <row r="924">
      <c r="A924">
        <f>'Week 46'!B9</f>
        <v/>
      </c>
      <c r="B924">
        <f>'Week 46'!C9</f>
        <v/>
      </c>
      <c r="C924">
        <f>IF('Week 46'!I9="","",'Week 46'!I9)</f>
        <v/>
      </c>
      <c r="D924">
        <f>IF('Week 46'!I9="","",IF('Week 46'!J9="",1,'Week 46'!J9))</f>
        <v/>
      </c>
      <c r="E924">
        <f>IF(OR(C924="",D924=""),"",IF(D924=1,C924,ROUND(C924*(1+D924/30),1)))</f>
        <v/>
      </c>
    </row>
    <row r="925">
      <c r="A925">
        <f>'Week 46'!B10</f>
        <v/>
      </c>
      <c r="B925">
        <f>'Week 46'!C10</f>
        <v/>
      </c>
      <c r="C925">
        <f>IF('Week 46'!I10="","",'Week 46'!I10)</f>
        <v/>
      </c>
      <c r="D925">
        <f>IF('Week 46'!I10="","",IF('Week 46'!J10="",1,'Week 46'!J10))</f>
        <v/>
      </c>
      <c r="E925">
        <f>IF(OR(C925="",D925=""),"",IF(D925=1,C925,ROUND(C925*(1+D925/30),1)))</f>
        <v/>
      </c>
    </row>
    <row r="926">
      <c r="A926">
        <f>'Week 46'!B11</f>
        <v/>
      </c>
      <c r="B926">
        <f>'Week 46'!C11</f>
        <v/>
      </c>
      <c r="C926">
        <f>IF('Week 46'!I11="","",'Week 46'!I11)</f>
        <v/>
      </c>
      <c r="D926">
        <f>IF('Week 46'!I11="","",IF('Week 46'!J11="",1,'Week 46'!J11))</f>
        <v/>
      </c>
      <c r="E926">
        <f>IF(OR(C926="",D926=""),"",IF(D926=1,C926,ROUND(C926*(1+D926/30),1)))</f>
        <v/>
      </c>
    </row>
    <row r="927">
      <c r="A927">
        <f>'Week 46'!B12</f>
        <v/>
      </c>
      <c r="B927">
        <f>'Week 46'!C12</f>
        <v/>
      </c>
      <c r="C927">
        <f>IF('Week 46'!I12="","",'Week 46'!I12)</f>
        <v/>
      </c>
      <c r="D927">
        <f>IF('Week 46'!I12="","",IF('Week 46'!J12="",1,'Week 46'!J12))</f>
        <v/>
      </c>
      <c r="E927">
        <f>IF(OR(C927="",D927=""),"",IF(D927=1,C927,ROUND(C927*(1+D927/30),1)))</f>
        <v/>
      </c>
    </row>
    <row r="928">
      <c r="A928">
        <f>'Week 46'!B13</f>
        <v/>
      </c>
      <c r="B928">
        <f>'Week 46'!C13</f>
        <v/>
      </c>
      <c r="C928">
        <f>IF('Week 46'!I13="","",'Week 46'!I13)</f>
        <v/>
      </c>
      <c r="D928">
        <f>IF('Week 46'!I13="","",IF('Week 46'!J13="",1,'Week 46'!J13))</f>
        <v/>
      </c>
      <c r="E928">
        <f>IF(OR(C928="",D928=""),"",IF(D928=1,C928,ROUND(C928*(1+D928/30),1)))</f>
        <v/>
      </c>
    </row>
    <row r="929">
      <c r="A929">
        <f>'Week 46'!B14</f>
        <v/>
      </c>
      <c r="B929">
        <f>'Week 46'!C14</f>
        <v/>
      </c>
      <c r="C929">
        <f>IF('Week 46'!I14="","",'Week 46'!I14)</f>
        <v/>
      </c>
      <c r="D929">
        <f>IF('Week 46'!I14="","",IF('Week 46'!J14="",1,'Week 46'!J14))</f>
        <v/>
      </c>
      <c r="E929">
        <f>IF(OR(C929="",D929=""),"",IF(D929=1,C929,ROUND(C929*(1+D929/30),1)))</f>
        <v/>
      </c>
    </row>
    <row r="930">
      <c r="A930">
        <f>'Week 46'!B15</f>
        <v/>
      </c>
      <c r="B930">
        <f>'Week 46'!C15</f>
        <v/>
      </c>
      <c r="C930">
        <f>IF('Week 46'!I15="","",'Week 46'!I15)</f>
        <v/>
      </c>
      <c r="D930">
        <f>IF('Week 46'!I15="","",IF('Week 46'!J15="",1,'Week 46'!J15))</f>
        <v/>
      </c>
      <c r="E930">
        <f>IF(OR(C930="",D930=""),"",IF(D930=1,C930,ROUND(C930*(1+D930/30),1)))</f>
        <v/>
      </c>
    </row>
    <row r="931">
      <c r="A931">
        <f>'Week 46'!B16</f>
        <v/>
      </c>
      <c r="B931">
        <f>'Week 46'!C16</f>
        <v/>
      </c>
      <c r="C931">
        <f>IF('Week 46'!I16="","",'Week 46'!I16)</f>
        <v/>
      </c>
      <c r="D931">
        <f>IF('Week 46'!I16="","",IF('Week 46'!J16="",1,'Week 46'!J16))</f>
        <v/>
      </c>
      <c r="E931">
        <f>IF(OR(C931="",D931=""),"",IF(D931=1,C931,ROUND(C931*(1+D931/30),1)))</f>
        <v/>
      </c>
    </row>
    <row r="932">
      <c r="A932">
        <f>'Week 46'!B17</f>
        <v/>
      </c>
      <c r="B932">
        <f>'Week 46'!C17</f>
        <v/>
      </c>
      <c r="C932">
        <f>IF('Week 46'!I17="","",'Week 46'!I17)</f>
        <v/>
      </c>
      <c r="D932">
        <f>IF('Week 46'!I17="","",IF('Week 46'!J17="",1,'Week 46'!J17))</f>
        <v/>
      </c>
      <c r="E932">
        <f>IF(OR(C932="",D932=""),"",IF(D932=1,C932,ROUND(C932*(1+D932/30),1)))</f>
        <v/>
      </c>
    </row>
    <row r="933">
      <c r="A933">
        <f>'Week 46'!B18</f>
        <v/>
      </c>
      <c r="B933">
        <f>'Week 46'!C18</f>
        <v/>
      </c>
      <c r="C933">
        <f>IF('Week 46'!I18="","",'Week 46'!I18)</f>
        <v/>
      </c>
      <c r="D933">
        <f>IF('Week 46'!I18="","",IF('Week 46'!J18="",1,'Week 46'!J18))</f>
        <v/>
      </c>
      <c r="E933">
        <f>IF(OR(C933="",D933=""),"",IF(D933=1,C933,ROUND(C933*(1+D933/30),1)))</f>
        <v/>
      </c>
    </row>
    <row r="934">
      <c r="A934">
        <f>'Week 46'!B19</f>
        <v/>
      </c>
      <c r="B934">
        <f>'Week 46'!C19</f>
        <v/>
      </c>
      <c r="C934">
        <f>IF('Week 46'!I19="","",'Week 46'!I19)</f>
        <v/>
      </c>
      <c r="D934">
        <f>IF('Week 46'!I19="","",IF('Week 46'!J19="",1,'Week 46'!J19))</f>
        <v/>
      </c>
      <c r="E934">
        <f>IF(OR(C934="",D934=""),"",IF(D934=1,C934,ROUND(C934*(1+D934/30),1)))</f>
        <v/>
      </c>
    </row>
    <row r="935">
      <c r="A935">
        <f>'Week 46'!B20</f>
        <v/>
      </c>
      <c r="B935">
        <f>'Week 46'!C20</f>
        <v/>
      </c>
      <c r="C935">
        <f>IF('Week 46'!I20="","",'Week 46'!I20)</f>
        <v/>
      </c>
      <c r="D935">
        <f>IF('Week 46'!I20="","",IF('Week 46'!J20="",1,'Week 46'!J20))</f>
        <v/>
      </c>
      <c r="E935">
        <f>IF(OR(C935="",D935=""),"",IF(D935=1,C935,ROUND(C935*(1+D935/30),1)))</f>
        <v/>
      </c>
    </row>
    <row r="936">
      <c r="A936">
        <f>'Week 46'!B21</f>
        <v/>
      </c>
      <c r="B936">
        <f>'Week 46'!C21</f>
        <v/>
      </c>
      <c r="C936">
        <f>IF('Week 46'!I21="","",'Week 46'!I21)</f>
        <v/>
      </c>
      <c r="D936">
        <f>IF('Week 46'!I21="","",IF('Week 46'!J21="",1,'Week 46'!J21))</f>
        <v/>
      </c>
      <c r="E936">
        <f>IF(OR(C936="",D936=""),"",IF(D936=1,C936,ROUND(C936*(1+D936/30),1)))</f>
        <v/>
      </c>
    </row>
    <row r="937">
      <c r="A937">
        <f>'Week 46'!B22</f>
        <v/>
      </c>
      <c r="B937">
        <f>'Week 46'!C22</f>
        <v/>
      </c>
      <c r="C937">
        <f>IF('Week 46'!I22="","",'Week 46'!I22)</f>
        <v/>
      </c>
      <c r="D937">
        <f>IF('Week 46'!I22="","",IF('Week 46'!J22="",1,'Week 46'!J22))</f>
        <v/>
      </c>
      <c r="E937">
        <f>IF(OR(C937="",D937=""),"",IF(D937=1,C937,ROUND(C937*(1+D937/30),1)))</f>
        <v/>
      </c>
    </row>
    <row r="938">
      <c r="A938">
        <f>'Week 46'!B23</f>
        <v/>
      </c>
      <c r="B938">
        <f>'Week 46'!C23</f>
        <v/>
      </c>
      <c r="C938">
        <f>IF('Week 46'!I23="","",'Week 46'!I23)</f>
        <v/>
      </c>
      <c r="D938">
        <f>IF('Week 46'!I23="","",IF('Week 46'!J23="",1,'Week 46'!J23))</f>
        <v/>
      </c>
      <c r="E938">
        <f>IF(OR(C938="",D938=""),"",IF(D938=1,C938,ROUND(C938*(1+D938/30),1)))</f>
        <v/>
      </c>
    </row>
    <row r="939">
      <c r="A939">
        <f>'Week 46'!B24</f>
        <v/>
      </c>
      <c r="B939">
        <f>'Week 46'!C24</f>
        <v/>
      </c>
      <c r="C939">
        <f>IF('Week 46'!I24="","",'Week 46'!I24)</f>
        <v/>
      </c>
      <c r="D939">
        <f>IF('Week 46'!I24="","",IF('Week 46'!J24="",1,'Week 46'!J24))</f>
        <v/>
      </c>
      <c r="E939">
        <f>IF(OR(C939="",D939=""),"",IF(D939=1,C939,ROUND(C939*(1+D939/30),1)))</f>
        <v/>
      </c>
    </row>
    <row r="940">
      <c r="A940">
        <f>'Week 46'!B25</f>
        <v/>
      </c>
      <c r="B940">
        <f>'Week 46'!C25</f>
        <v/>
      </c>
      <c r="C940">
        <f>IF('Week 46'!I25="","",'Week 46'!I25)</f>
        <v/>
      </c>
      <c r="D940">
        <f>IF('Week 46'!I25="","",IF('Week 46'!J25="",1,'Week 46'!J25))</f>
        <v/>
      </c>
      <c r="E940">
        <f>IF(OR(C940="",D940=""),"",IF(D940=1,C940,ROUND(C940*(1+D940/30),1)))</f>
        <v/>
      </c>
    </row>
    <row r="941">
      <c r="A941">
        <f>'Week 47'!B6</f>
        <v/>
      </c>
      <c r="B941">
        <f>'Week 47'!C6</f>
        <v/>
      </c>
      <c r="C941">
        <f>IF('Week 47'!I6="","",'Week 47'!I6)</f>
        <v/>
      </c>
      <c r="D941">
        <f>IF('Week 47'!I6="","",IF('Week 47'!J6="",1,'Week 47'!J6))</f>
        <v/>
      </c>
      <c r="E941">
        <f>IF(OR(C941="",D941=""),"",IF(D941=1,C941,ROUND(C941*(1+D941/30),1)))</f>
        <v/>
      </c>
    </row>
    <row r="942">
      <c r="A942">
        <f>'Week 47'!B7</f>
        <v/>
      </c>
      <c r="B942">
        <f>'Week 47'!C7</f>
        <v/>
      </c>
      <c r="C942">
        <f>IF('Week 47'!I7="","",'Week 47'!I7)</f>
        <v/>
      </c>
      <c r="D942">
        <f>IF('Week 47'!I7="","",IF('Week 47'!J7="",1,'Week 47'!J7))</f>
        <v/>
      </c>
      <c r="E942">
        <f>IF(OR(C942="",D942=""),"",IF(D942=1,C942,ROUND(C942*(1+D942/30),1)))</f>
        <v/>
      </c>
    </row>
    <row r="943">
      <c r="A943">
        <f>'Week 47'!B8</f>
        <v/>
      </c>
      <c r="B943">
        <f>'Week 47'!C8</f>
        <v/>
      </c>
      <c r="C943">
        <f>IF('Week 47'!I8="","",'Week 47'!I8)</f>
        <v/>
      </c>
      <c r="D943">
        <f>IF('Week 47'!I8="","",IF('Week 47'!J8="",1,'Week 47'!J8))</f>
        <v/>
      </c>
      <c r="E943">
        <f>IF(OR(C943="",D943=""),"",IF(D943=1,C943,ROUND(C943*(1+D943/30),1)))</f>
        <v/>
      </c>
    </row>
    <row r="944">
      <c r="A944">
        <f>'Week 47'!B9</f>
        <v/>
      </c>
      <c r="B944">
        <f>'Week 47'!C9</f>
        <v/>
      </c>
      <c r="C944">
        <f>IF('Week 47'!I9="","",'Week 47'!I9)</f>
        <v/>
      </c>
      <c r="D944">
        <f>IF('Week 47'!I9="","",IF('Week 47'!J9="",1,'Week 47'!J9))</f>
        <v/>
      </c>
      <c r="E944">
        <f>IF(OR(C944="",D944=""),"",IF(D944=1,C944,ROUND(C944*(1+D944/30),1)))</f>
        <v/>
      </c>
    </row>
    <row r="945">
      <c r="A945">
        <f>'Week 47'!B10</f>
        <v/>
      </c>
      <c r="B945">
        <f>'Week 47'!C10</f>
        <v/>
      </c>
      <c r="C945">
        <f>IF('Week 47'!I10="","",'Week 47'!I10)</f>
        <v/>
      </c>
      <c r="D945">
        <f>IF('Week 47'!I10="","",IF('Week 47'!J10="",1,'Week 47'!J10))</f>
        <v/>
      </c>
      <c r="E945">
        <f>IF(OR(C945="",D945=""),"",IF(D945=1,C945,ROUND(C945*(1+D945/30),1)))</f>
        <v/>
      </c>
    </row>
    <row r="946">
      <c r="A946">
        <f>'Week 47'!B11</f>
        <v/>
      </c>
      <c r="B946">
        <f>'Week 47'!C11</f>
        <v/>
      </c>
      <c r="C946">
        <f>IF('Week 47'!I11="","",'Week 47'!I11)</f>
        <v/>
      </c>
      <c r="D946">
        <f>IF('Week 47'!I11="","",IF('Week 47'!J11="",1,'Week 47'!J11))</f>
        <v/>
      </c>
      <c r="E946">
        <f>IF(OR(C946="",D946=""),"",IF(D946=1,C946,ROUND(C946*(1+D946/30),1)))</f>
        <v/>
      </c>
    </row>
    <row r="947">
      <c r="A947">
        <f>'Week 47'!B12</f>
        <v/>
      </c>
      <c r="B947">
        <f>'Week 47'!C12</f>
        <v/>
      </c>
      <c r="C947">
        <f>IF('Week 47'!I12="","",'Week 47'!I12)</f>
        <v/>
      </c>
      <c r="D947">
        <f>IF('Week 47'!I12="","",IF('Week 47'!J12="",1,'Week 47'!J12))</f>
        <v/>
      </c>
      <c r="E947">
        <f>IF(OR(C947="",D947=""),"",IF(D947=1,C947,ROUND(C947*(1+D947/30),1)))</f>
        <v/>
      </c>
    </row>
    <row r="948">
      <c r="A948">
        <f>'Week 47'!B13</f>
        <v/>
      </c>
      <c r="B948">
        <f>'Week 47'!C13</f>
        <v/>
      </c>
      <c r="C948">
        <f>IF('Week 47'!I13="","",'Week 47'!I13)</f>
        <v/>
      </c>
      <c r="D948">
        <f>IF('Week 47'!I13="","",IF('Week 47'!J13="",1,'Week 47'!J13))</f>
        <v/>
      </c>
      <c r="E948">
        <f>IF(OR(C948="",D948=""),"",IF(D948=1,C948,ROUND(C948*(1+D948/30),1)))</f>
        <v/>
      </c>
    </row>
    <row r="949">
      <c r="A949">
        <f>'Week 47'!B14</f>
        <v/>
      </c>
      <c r="B949">
        <f>'Week 47'!C14</f>
        <v/>
      </c>
      <c r="C949">
        <f>IF('Week 47'!I14="","",'Week 47'!I14)</f>
        <v/>
      </c>
      <c r="D949">
        <f>IF('Week 47'!I14="","",IF('Week 47'!J14="",1,'Week 47'!J14))</f>
        <v/>
      </c>
      <c r="E949">
        <f>IF(OR(C949="",D949=""),"",IF(D949=1,C949,ROUND(C949*(1+D949/30),1)))</f>
        <v/>
      </c>
    </row>
    <row r="950">
      <c r="A950">
        <f>'Week 47'!B15</f>
        <v/>
      </c>
      <c r="B950">
        <f>'Week 47'!C15</f>
        <v/>
      </c>
      <c r="C950">
        <f>IF('Week 47'!I15="","",'Week 47'!I15)</f>
        <v/>
      </c>
      <c r="D950">
        <f>IF('Week 47'!I15="","",IF('Week 47'!J15="",1,'Week 47'!J15))</f>
        <v/>
      </c>
      <c r="E950">
        <f>IF(OR(C950="",D950=""),"",IF(D950=1,C950,ROUND(C950*(1+D950/30),1)))</f>
        <v/>
      </c>
    </row>
    <row r="951">
      <c r="A951">
        <f>'Week 47'!B16</f>
        <v/>
      </c>
      <c r="B951">
        <f>'Week 47'!C16</f>
        <v/>
      </c>
      <c r="C951">
        <f>IF('Week 47'!I16="","",'Week 47'!I16)</f>
        <v/>
      </c>
      <c r="D951">
        <f>IF('Week 47'!I16="","",IF('Week 47'!J16="",1,'Week 47'!J16))</f>
        <v/>
      </c>
      <c r="E951">
        <f>IF(OR(C951="",D951=""),"",IF(D951=1,C951,ROUND(C951*(1+D951/30),1)))</f>
        <v/>
      </c>
    </row>
    <row r="952">
      <c r="A952">
        <f>'Week 47'!B17</f>
        <v/>
      </c>
      <c r="B952">
        <f>'Week 47'!C17</f>
        <v/>
      </c>
      <c r="C952">
        <f>IF('Week 47'!I17="","",'Week 47'!I17)</f>
        <v/>
      </c>
      <c r="D952">
        <f>IF('Week 47'!I17="","",IF('Week 47'!J17="",1,'Week 47'!J17))</f>
        <v/>
      </c>
      <c r="E952">
        <f>IF(OR(C952="",D952=""),"",IF(D952=1,C952,ROUND(C952*(1+D952/30),1)))</f>
        <v/>
      </c>
    </row>
    <row r="953">
      <c r="A953">
        <f>'Week 47'!B18</f>
        <v/>
      </c>
      <c r="B953">
        <f>'Week 47'!C18</f>
        <v/>
      </c>
      <c r="C953">
        <f>IF('Week 47'!I18="","",'Week 47'!I18)</f>
        <v/>
      </c>
      <c r="D953">
        <f>IF('Week 47'!I18="","",IF('Week 47'!J18="",1,'Week 47'!J18))</f>
        <v/>
      </c>
      <c r="E953">
        <f>IF(OR(C953="",D953=""),"",IF(D953=1,C953,ROUND(C953*(1+D953/30),1)))</f>
        <v/>
      </c>
    </row>
    <row r="954">
      <c r="A954">
        <f>'Week 47'!B19</f>
        <v/>
      </c>
      <c r="B954">
        <f>'Week 47'!C19</f>
        <v/>
      </c>
      <c r="C954">
        <f>IF('Week 47'!I19="","",'Week 47'!I19)</f>
        <v/>
      </c>
      <c r="D954">
        <f>IF('Week 47'!I19="","",IF('Week 47'!J19="",1,'Week 47'!J19))</f>
        <v/>
      </c>
      <c r="E954">
        <f>IF(OR(C954="",D954=""),"",IF(D954=1,C954,ROUND(C954*(1+D954/30),1)))</f>
        <v/>
      </c>
    </row>
    <row r="955">
      <c r="A955">
        <f>'Week 47'!B20</f>
        <v/>
      </c>
      <c r="B955">
        <f>'Week 47'!C20</f>
        <v/>
      </c>
      <c r="C955">
        <f>IF('Week 47'!I20="","",'Week 47'!I20)</f>
        <v/>
      </c>
      <c r="D955">
        <f>IF('Week 47'!I20="","",IF('Week 47'!J20="",1,'Week 47'!J20))</f>
        <v/>
      </c>
      <c r="E955">
        <f>IF(OR(C955="",D955=""),"",IF(D955=1,C955,ROUND(C955*(1+D955/30),1)))</f>
        <v/>
      </c>
    </row>
    <row r="956">
      <c r="A956">
        <f>'Week 47'!B21</f>
        <v/>
      </c>
      <c r="B956">
        <f>'Week 47'!C21</f>
        <v/>
      </c>
      <c r="C956">
        <f>IF('Week 47'!I21="","",'Week 47'!I21)</f>
        <v/>
      </c>
      <c r="D956">
        <f>IF('Week 47'!I21="","",IF('Week 47'!J21="",1,'Week 47'!J21))</f>
        <v/>
      </c>
      <c r="E956">
        <f>IF(OR(C956="",D956=""),"",IF(D956=1,C956,ROUND(C956*(1+D956/30),1)))</f>
        <v/>
      </c>
    </row>
    <row r="957">
      <c r="A957">
        <f>'Week 47'!B22</f>
        <v/>
      </c>
      <c r="B957">
        <f>'Week 47'!C22</f>
        <v/>
      </c>
      <c r="C957">
        <f>IF('Week 47'!I22="","",'Week 47'!I22)</f>
        <v/>
      </c>
      <c r="D957">
        <f>IF('Week 47'!I22="","",IF('Week 47'!J22="",1,'Week 47'!J22))</f>
        <v/>
      </c>
      <c r="E957">
        <f>IF(OR(C957="",D957=""),"",IF(D957=1,C957,ROUND(C957*(1+D957/30),1)))</f>
        <v/>
      </c>
    </row>
    <row r="958">
      <c r="A958">
        <f>'Week 47'!B23</f>
        <v/>
      </c>
      <c r="B958">
        <f>'Week 47'!C23</f>
        <v/>
      </c>
      <c r="C958">
        <f>IF('Week 47'!I23="","",'Week 47'!I23)</f>
        <v/>
      </c>
      <c r="D958">
        <f>IF('Week 47'!I23="","",IF('Week 47'!J23="",1,'Week 47'!J23))</f>
        <v/>
      </c>
      <c r="E958">
        <f>IF(OR(C958="",D958=""),"",IF(D958=1,C958,ROUND(C958*(1+D958/30),1)))</f>
        <v/>
      </c>
    </row>
    <row r="959">
      <c r="A959">
        <f>'Week 47'!B24</f>
        <v/>
      </c>
      <c r="B959">
        <f>'Week 47'!C24</f>
        <v/>
      </c>
      <c r="C959">
        <f>IF('Week 47'!I24="","",'Week 47'!I24)</f>
        <v/>
      </c>
      <c r="D959">
        <f>IF('Week 47'!I24="","",IF('Week 47'!J24="",1,'Week 47'!J24))</f>
        <v/>
      </c>
      <c r="E959">
        <f>IF(OR(C959="",D959=""),"",IF(D959=1,C959,ROUND(C959*(1+D959/30),1)))</f>
        <v/>
      </c>
    </row>
    <row r="960">
      <c r="A960">
        <f>'Week 47'!B25</f>
        <v/>
      </c>
      <c r="B960">
        <f>'Week 47'!C25</f>
        <v/>
      </c>
      <c r="C960">
        <f>IF('Week 47'!I25="","",'Week 47'!I25)</f>
        <v/>
      </c>
      <c r="D960">
        <f>IF('Week 47'!I25="","",IF('Week 47'!J25="",1,'Week 47'!J25))</f>
        <v/>
      </c>
      <c r="E960">
        <f>IF(OR(C960="",D960=""),"",IF(D960=1,C960,ROUND(C960*(1+D960/30),1)))</f>
        <v/>
      </c>
    </row>
    <row r="961">
      <c r="A961">
        <f>'Week 48'!B6</f>
        <v/>
      </c>
      <c r="B961">
        <f>'Week 48'!C6</f>
        <v/>
      </c>
      <c r="C961">
        <f>IF('Week 48'!I6="","",'Week 48'!I6)</f>
        <v/>
      </c>
      <c r="D961">
        <f>IF('Week 48'!I6="","",IF('Week 48'!J6="",1,'Week 48'!J6))</f>
        <v/>
      </c>
      <c r="E961">
        <f>IF(OR(C961="",D961=""),"",IF(D961=1,C961,ROUND(C961*(1+D961/30),1)))</f>
        <v/>
      </c>
    </row>
    <row r="962">
      <c r="A962">
        <f>'Week 48'!B7</f>
        <v/>
      </c>
      <c r="B962">
        <f>'Week 48'!C7</f>
        <v/>
      </c>
      <c r="C962">
        <f>IF('Week 48'!I7="","",'Week 48'!I7)</f>
        <v/>
      </c>
      <c r="D962">
        <f>IF('Week 48'!I7="","",IF('Week 48'!J7="",1,'Week 48'!J7))</f>
        <v/>
      </c>
      <c r="E962">
        <f>IF(OR(C962="",D962=""),"",IF(D962=1,C962,ROUND(C962*(1+D962/30),1)))</f>
        <v/>
      </c>
    </row>
    <row r="963">
      <c r="A963">
        <f>'Week 48'!B8</f>
        <v/>
      </c>
      <c r="B963">
        <f>'Week 48'!C8</f>
        <v/>
      </c>
      <c r="C963">
        <f>IF('Week 48'!I8="","",'Week 48'!I8)</f>
        <v/>
      </c>
      <c r="D963">
        <f>IF('Week 48'!I8="","",IF('Week 48'!J8="",1,'Week 48'!J8))</f>
        <v/>
      </c>
      <c r="E963">
        <f>IF(OR(C963="",D963=""),"",IF(D963=1,C963,ROUND(C963*(1+D963/30),1)))</f>
        <v/>
      </c>
    </row>
    <row r="964">
      <c r="A964">
        <f>'Week 48'!B9</f>
        <v/>
      </c>
      <c r="B964">
        <f>'Week 48'!C9</f>
        <v/>
      </c>
      <c r="C964">
        <f>IF('Week 48'!I9="","",'Week 48'!I9)</f>
        <v/>
      </c>
      <c r="D964">
        <f>IF('Week 48'!I9="","",IF('Week 48'!J9="",1,'Week 48'!J9))</f>
        <v/>
      </c>
      <c r="E964">
        <f>IF(OR(C964="",D964=""),"",IF(D964=1,C964,ROUND(C964*(1+D964/30),1)))</f>
        <v/>
      </c>
    </row>
    <row r="965">
      <c r="A965">
        <f>'Week 48'!B10</f>
        <v/>
      </c>
      <c r="B965">
        <f>'Week 48'!C10</f>
        <v/>
      </c>
      <c r="C965">
        <f>IF('Week 48'!I10="","",'Week 48'!I10)</f>
        <v/>
      </c>
      <c r="D965">
        <f>IF('Week 48'!I10="","",IF('Week 48'!J10="",1,'Week 48'!J10))</f>
        <v/>
      </c>
      <c r="E965">
        <f>IF(OR(C965="",D965=""),"",IF(D965=1,C965,ROUND(C965*(1+D965/30),1)))</f>
        <v/>
      </c>
    </row>
    <row r="966">
      <c r="A966">
        <f>'Week 48'!B11</f>
        <v/>
      </c>
      <c r="B966">
        <f>'Week 48'!C11</f>
        <v/>
      </c>
      <c r="C966">
        <f>IF('Week 48'!I11="","",'Week 48'!I11)</f>
        <v/>
      </c>
      <c r="D966">
        <f>IF('Week 48'!I11="","",IF('Week 48'!J11="",1,'Week 48'!J11))</f>
        <v/>
      </c>
      <c r="E966">
        <f>IF(OR(C966="",D966=""),"",IF(D966=1,C966,ROUND(C966*(1+D966/30),1)))</f>
        <v/>
      </c>
    </row>
    <row r="967">
      <c r="A967">
        <f>'Week 48'!B12</f>
        <v/>
      </c>
      <c r="B967">
        <f>'Week 48'!C12</f>
        <v/>
      </c>
      <c r="C967">
        <f>IF('Week 48'!I12="","",'Week 48'!I12)</f>
        <v/>
      </c>
      <c r="D967">
        <f>IF('Week 48'!I12="","",IF('Week 48'!J12="",1,'Week 48'!J12))</f>
        <v/>
      </c>
      <c r="E967">
        <f>IF(OR(C967="",D967=""),"",IF(D967=1,C967,ROUND(C967*(1+D967/30),1)))</f>
        <v/>
      </c>
    </row>
    <row r="968">
      <c r="A968">
        <f>'Week 48'!B13</f>
        <v/>
      </c>
      <c r="B968">
        <f>'Week 48'!C13</f>
        <v/>
      </c>
      <c r="C968">
        <f>IF('Week 48'!I13="","",'Week 48'!I13)</f>
        <v/>
      </c>
      <c r="D968">
        <f>IF('Week 48'!I13="","",IF('Week 48'!J13="",1,'Week 48'!J13))</f>
        <v/>
      </c>
      <c r="E968">
        <f>IF(OR(C968="",D968=""),"",IF(D968=1,C968,ROUND(C968*(1+D968/30),1)))</f>
        <v/>
      </c>
    </row>
    <row r="969">
      <c r="A969">
        <f>'Week 48'!B14</f>
        <v/>
      </c>
      <c r="B969">
        <f>'Week 48'!C14</f>
        <v/>
      </c>
      <c r="C969">
        <f>IF('Week 48'!I14="","",'Week 48'!I14)</f>
        <v/>
      </c>
      <c r="D969">
        <f>IF('Week 48'!I14="","",IF('Week 48'!J14="",1,'Week 48'!J14))</f>
        <v/>
      </c>
      <c r="E969">
        <f>IF(OR(C969="",D969=""),"",IF(D969=1,C969,ROUND(C969*(1+D969/30),1)))</f>
        <v/>
      </c>
    </row>
    <row r="970">
      <c r="A970">
        <f>'Week 48'!B15</f>
        <v/>
      </c>
      <c r="B970">
        <f>'Week 48'!C15</f>
        <v/>
      </c>
      <c r="C970">
        <f>IF('Week 48'!I15="","",'Week 48'!I15)</f>
        <v/>
      </c>
      <c r="D970">
        <f>IF('Week 48'!I15="","",IF('Week 48'!J15="",1,'Week 48'!J15))</f>
        <v/>
      </c>
      <c r="E970">
        <f>IF(OR(C970="",D970=""),"",IF(D970=1,C970,ROUND(C970*(1+D970/30),1)))</f>
        <v/>
      </c>
    </row>
    <row r="971">
      <c r="A971">
        <f>'Week 48'!B16</f>
        <v/>
      </c>
      <c r="B971">
        <f>'Week 48'!C16</f>
        <v/>
      </c>
      <c r="C971">
        <f>IF('Week 48'!I16="","",'Week 48'!I16)</f>
        <v/>
      </c>
      <c r="D971">
        <f>IF('Week 48'!I16="","",IF('Week 48'!J16="",1,'Week 48'!J16))</f>
        <v/>
      </c>
      <c r="E971">
        <f>IF(OR(C971="",D971=""),"",IF(D971=1,C971,ROUND(C971*(1+D971/30),1)))</f>
        <v/>
      </c>
    </row>
    <row r="972">
      <c r="A972">
        <f>'Week 48'!B17</f>
        <v/>
      </c>
      <c r="B972">
        <f>'Week 48'!C17</f>
        <v/>
      </c>
      <c r="C972">
        <f>IF('Week 48'!I17="","",'Week 48'!I17)</f>
        <v/>
      </c>
      <c r="D972">
        <f>IF('Week 48'!I17="","",IF('Week 48'!J17="",1,'Week 48'!J17))</f>
        <v/>
      </c>
      <c r="E972">
        <f>IF(OR(C972="",D972=""),"",IF(D972=1,C972,ROUND(C972*(1+D972/30),1)))</f>
        <v/>
      </c>
    </row>
    <row r="973">
      <c r="A973">
        <f>'Week 48'!B18</f>
        <v/>
      </c>
      <c r="B973">
        <f>'Week 48'!C18</f>
        <v/>
      </c>
      <c r="C973">
        <f>IF('Week 48'!I18="","",'Week 48'!I18)</f>
        <v/>
      </c>
      <c r="D973">
        <f>IF('Week 48'!I18="","",IF('Week 48'!J18="",1,'Week 48'!J18))</f>
        <v/>
      </c>
      <c r="E973">
        <f>IF(OR(C973="",D973=""),"",IF(D973=1,C973,ROUND(C973*(1+D973/30),1)))</f>
        <v/>
      </c>
    </row>
    <row r="974">
      <c r="A974">
        <f>'Week 48'!B19</f>
        <v/>
      </c>
      <c r="B974">
        <f>'Week 48'!C19</f>
        <v/>
      </c>
      <c r="C974">
        <f>IF('Week 48'!I19="","",'Week 48'!I19)</f>
        <v/>
      </c>
      <c r="D974">
        <f>IF('Week 48'!I19="","",IF('Week 48'!J19="",1,'Week 48'!J19))</f>
        <v/>
      </c>
      <c r="E974">
        <f>IF(OR(C974="",D974=""),"",IF(D974=1,C974,ROUND(C974*(1+D974/30),1)))</f>
        <v/>
      </c>
    </row>
    <row r="975">
      <c r="A975">
        <f>'Week 48'!B20</f>
        <v/>
      </c>
      <c r="B975">
        <f>'Week 48'!C20</f>
        <v/>
      </c>
      <c r="C975">
        <f>IF('Week 48'!I20="","",'Week 48'!I20)</f>
        <v/>
      </c>
      <c r="D975">
        <f>IF('Week 48'!I20="","",IF('Week 48'!J20="",1,'Week 48'!J20))</f>
        <v/>
      </c>
      <c r="E975">
        <f>IF(OR(C975="",D975=""),"",IF(D975=1,C975,ROUND(C975*(1+D975/30),1)))</f>
        <v/>
      </c>
    </row>
    <row r="976">
      <c r="A976">
        <f>'Week 48'!B21</f>
        <v/>
      </c>
      <c r="B976">
        <f>'Week 48'!C21</f>
        <v/>
      </c>
      <c r="C976">
        <f>IF('Week 48'!I21="","",'Week 48'!I21)</f>
        <v/>
      </c>
      <c r="D976">
        <f>IF('Week 48'!I21="","",IF('Week 48'!J21="",1,'Week 48'!J21))</f>
        <v/>
      </c>
      <c r="E976">
        <f>IF(OR(C976="",D976=""),"",IF(D976=1,C976,ROUND(C976*(1+D976/30),1)))</f>
        <v/>
      </c>
    </row>
    <row r="977">
      <c r="A977">
        <f>'Week 48'!B22</f>
        <v/>
      </c>
      <c r="B977">
        <f>'Week 48'!C22</f>
        <v/>
      </c>
      <c r="C977">
        <f>IF('Week 48'!I22="","",'Week 48'!I22)</f>
        <v/>
      </c>
      <c r="D977">
        <f>IF('Week 48'!I22="","",IF('Week 48'!J22="",1,'Week 48'!J22))</f>
        <v/>
      </c>
      <c r="E977">
        <f>IF(OR(C977="",D977=""),"",IF(D977=1,C977,ROUND(C977*(1+D977/30),1)))</f>
        <v/>
      </c>
    </row>
    <row r="978">
      <c r="A978">
        <f>'Week 48'!B23</f>
        <v/>
      </c>
      <c r="B978">
        <f>'Week 48'!C23</f>
        <v/>
      </c>
      <c r="C978">
        <f>IF('Week 48'!I23="","",'Week 48'!I23)</f>
        <v/>
      </c>
      <c r="D978">
        <f>IF('Week 48'!I23="","",IF('Week 48'!J23="",1,'Week 48'!J23))</f>
        <v/>
      </c>
      <c r="E978">
        <f>IF(OR(C978="",D978=""),"",IF(D978=1,C978,ROUND(C978*(1+D978/30),1)))</f>
        <v/>
      </c>
    </row>
    <row r="979">
      <c r="A979">
        <f>'Week 48'!B24</f>
        <v/>
      </c>
      <c r="B979">
        <f>'Week 48'!C24</f>
        <v/>
      </c>
      <c r="C979">
        <f>IF('Week 48'!I24="","",'Week 48'!I24)</f>
        <v/>
      </c>
      <c r="D979">
        <f>IF('Week 48'!I24="","",IF('Week 48'!J24="",1,'Week 48'!J24))</f>
        <v/>
      </c>
      <c r="E979">
        <f>IF(OR(C979="",D979=""),"",IF(D979=1,C979,ROUND(C979*(1+D979/30),1)))</f>
        <v/>
      </c>
    </row>
    <row r="980">
      <c r="A980">
        <f>'Week 48'!B25</f>
        <v/>
      </c>
      <c r="B980">
        <f>'Week 48'!C25</f>
        <v/>
      </c>
      <c r="C980">
        <f>IF('Week 48'!I25="","",'Week 48'!I25)</f>
        <v/>
      </c>
      <c r="D980">
        <f>IF('Week 48'!I25="","",IF('Week 48'!J25="",1,'Week 48'!J25))</f>
        <v/>
      </c>
      <c r="E980">
        <f>IF(OR(C980="",D980=""),"",IF(D980=1,C980,ROUND(C980*(1+D980/30),1)))</f>
        <v/>
      </c>
    </row>
    <row r="981">
      <c r="A981">
        <f>'Week 49'!B6</f>
        <v/>
      </c>
      <c r="B981">
        <f>'Week 49'!C6</f>
        <v/>
      </c>
      <c r="C981">
        <f>IF('Week 49'!I6="","",'Week 49'!I6)</f>
        <v/>
      </c>
      <c r="D981">
        <f>IF('Week 49'!I6="","",IF('Week 49'!J6="",1,'Week 49'!J6))</f>
        <v/>
      </c>
      <c r="E981">
        <f>IF(OR(C981="",D981=""),"",IF(D981=1,C981,ROUND(C981*(1+D981/30),1)))</f>
        <v/>
      </c>
    </row>
    <row r="982">
      <c r="A982">
        <f>'Week 49'!B7</f>
        <v/>
      </c>
      <c r="B982">
        <f>'Week 49'!C7</f>
        <v/>
      </c>
      <c r="C982">
        <f>IF('Week 49'!I7="","",'Week 49'!I7)</f>
        <v/>
      </c>
      <c r="D982">
        <f>IF('Week 49'!I7="","",IF('Week 49'!J7="",1,'Week 49'!J7))</f>
        <v/>
      </c>
      <c r="E982">
        <f>IF(OR(C982="",D982=""),"",IF(D982=1,C982,ROUND(C982*(1+D982/30),1)))</f>
        <v/>
      </c>
    </row>
    <row r="983">
      <c r="A983">
        <f>'Week 49'!B8</f>
        <v/>
      </c>
      <c r="B983">
        <f>'Week 49'!C8</f>
        <v/>
      </c>
      <c r="C983">
        <f>IF('Week 49'!I8="","",'Week 49'!I8)</f>
        <v/>
      </c>
      <c r="D983">
        <f>IF('Week 49'!I8="","",IF('Week 49'!J8="",1,'Week 49'!J8))</f>
        <v/>
      </c>
      <c r="E983">
        <f>IF(OR(C983="",D983=""),"",IF(D983=1,C983,ROUND(C983*(1+D983/30),1)))</f>
        <v/>
      </c>
    </row>
    <row r="984">
      <c r="A984">
        <f>'Week 49'!B9</f>
        <v/>
      </c>
      <c r="B984">
        <f>'Week 49'!C9</f>
        <v/>
      </c>
      <c r="C984">
        <f>IF('Week 49'!I9="","",'Week 49'!I9)</f>
        <v/>
      </c>
      <c r="D984">
        <f>IF('Week 49'!I9="","",IF('Week 49'!J9="",1,'Week 49'!J9))</f>
        <v/>
      </c>
      <c r="E984">
        <f>IF(OR(C984="",D984=""),"",IF(D984=1,C984,ROUND(C984*(1+D984/30),1)))</f>
        <v/>
      </c>
    </row>
    <row r="985">
      <c r="A985">
        <f>'Week 49'!B10</f>
        <v/>
      </c>
      <c r="B985">
        <f>'Week 49'!C10</f>
        <v/>
      </c>
      <c r="C985">
        <f>IF('Week 49'!I10="","",'Week 49'!I10)</f>
        <v/>
      </c>
      <c r="D985">
        <f>IF('Week 49'!I10="","",IF('Week 49'!J10="",1,'Week 49'!J10))</f>
        <v/>
      </c>
      <c r="E985">
        <f>IF(OR(C985="",D985=""),"",IF(D985=1,C985,ROUND(C985*(1+D985/30),1)))</f>
        <v/>
      </c>
    </row>
    <row r="986">
      <c r="A986">
        <f>'Week 49'!B11</f>
        <v/>
      </c>
      <c r="B986">
        <f>'Week 49'!C11</f>
        <v/>
      </c>
      <c r="C986">
        <f>IF('Week 49'!I11="","",'Week 49'!I11)</f>
        <v/>
      </c>
      <c r="D986">
        <f>IF('Week 49'!I11="","",IF('Week 49'!J11="",1,'Week 49'!J11))</f>
        <v/>
      </c>
      <c r="E986">
        <f>IF(OR(C986="",D986=""),"",IF(D986=1,C986,ROUND(C986*(1+D986/30),1)))</f>
        <v/>
      </c>
    </row>
    <row r="987">
      <c r="A987">
        <f>'Week 49'!B12</f>
        <v/>
      </c>
      <c r="B987">
        <f>'Week 49'!C12</f>
        <v/>
      </c>
      <c r="C987">
        <f>IF('Week 49'!I12="","",'Week 49'!I12)</f>
        <v/>
      </c>
      <c r="D987">
        <f>IF('Week 49'!I12="","",IF('Week 49'!J12="",1,'Week 49'!J12))</f>
        <v/>
      </c>
      <c r="E987">
        <f>IF(OR(C987="",D987=""),"",IF(D987=1,C987,ROUND(C987*(1+D987/30),1)))</f>
        <v/>
      </c>
    </row>
    <row r="988">
      <c r="A988">
        <f>'Week 49'!B13</f>
        <v/>
      </c>
      <c r="B988">
        <f>'Week 49'!C13</f>
        <v/>
      </c>
      <c r="C988">
        <f>IF('Week 49'!I13="","",'Week 49'!I13)</f>
        <v/>
      </c>
      <c r="D988">
        <f>IF('Week 49'!I13="","",IF('Week 49'!J13="",1,'Week 49'!J13))</f>
        <v/>
      </c>
      <c r="E988">
        <f>IF(OR(C988="",D988=""),"",IF(D988=1,C988,ROUND(C988*(1+D988/30),1)))</f>
        <v/>
      </c>
    </row>
    <row r="989">
      <c r="A989">
        <f>'Week 49'!B14</f>
        <v/>
      </c>
      <c r="B989">
        <f>'Week 49'!C14</f>
        <v/>
      </c>
      <c r="C989">
        <f>IF('Week 49'!I14="","",'Week 49'!I14)</f>
        <v/>
      </c>
      <c r="D989">
        <f>IF('Week 49'!I14="","",IF('Week 49'!J14="",1,'Week 49'!J14))</f>
        <v/>
      </c>
      <c r="E989">
        <f>IF(OR(C989="",D989=""),"",IF(D989=1,C989,ROUND(C989*(1+D989/30),1)))</f>
        <v/>
      </c>
    </row>
    <row r="990">
      <c r="A990">
        <f>'Week 49'!B15</f>
        <v/>
      </c>
      <c r="B990">
        <f>'Week 49'!C15</f>
        <v/>
      </c>
      <c r="C990">
        <f>IF('Week 49'!I15="","",'Week 49'!I15)</f>
        <v/>
      </c>
      <c r="D990">
        <f>IF('Week 49'!I15="","",IF('Week 49'!J15="",1,'Week 49'!J15))</f>
        <v/>
      </c>
      <c r="E990">
        <f>IF(OR(C990="",D990=""),"",IF(D990=1,C990,ROUND(C990*(1+D990/30),1)))</f>
        <v/>
      </c>
    </row>
    <row r="991">
      <c r="A991">
        <f>'Week 49'!B16</f>
        <v/>
      </c>
      <c r="B991">
        <f>'Week 49'!C16</f>
        <v/>
      </c>
      <c r="C991">
        <f>IF('Week 49'!I16="","",'Week 49'!I16)</f>
        <v/>
      </c>
      <c r="D991">
        <f>IF('Week 49'!I16="","",IF('Week 49'!J16="",1,'Week 49'!J16))</f>
        <v/>
      </c>
      <c r="E991">
        <f>IF(OR(C991="",D991=""),"",IF(D991=1,C991,ROUND(C991*(1+D991/30),1)))</f>
        <v/>
      </c>
    </row>
    <row r="992">
      <c r="A992">
        <f>'Week 49'!B17</f>
        <v/>
      </c>
      <c r="B992">
        <f>'Week 49'!C17</f>
        <v/>
      </c>
      <c r="C992">
        <f>IF('Week 49'!I17="","",'Week 49'!I17)</f>
        <v/>
      </c>
      <c r="D992">
        <f>IF('Week 49'!I17="","",IF('Week 49'!J17="",1,'Week 49'!J17))</f>
        <v/>
      </c>
      <c r="E992">
        <f>IF(OR(C992="",D992=""),"",IF(D992=1,C992,ROUND(C992*(1+D992/30),1)))</f>
        <v/>
      </c>
    </row>
    <row r="993">
      <c r="A993">
        <f>'Week 49'!B18</f>
        <v/>
      </c>
      <c r="B993">
        <f>'Week 49'!C18</f>
        <v/>
      </c>
      <c r="C993">
        <f>IF('Week 49'!I18="","",'Week 49'!I18)</f>
        <v/>
      </c>
      <c r="D993">
        <f>IF('Week 49'!I18="","",IF('Week 49'!J18="",1,'Week 49'!J18))</f>
        <v/>
      </c>
      <c r="E993">
        <f>IF(OR(C993="",D993=""),"",IF(D993=1,C993,ROUND(C993*(1+D993/30),1)))</f>
        <v/>
      </c>
    </row>
    <row r="994">
      <c r="A994">
        <f>'Week 49'!B19</f>
        <v/>
      </c>
      <c r="B994">
        <f>'Week 49'!C19</f>
        <v/>
      </c>
      <c r="C994">
        <f>IF('Week 49'!I19="","",'Week 49'!I19)</f>
        <v/>
      </c>
      <c r="D994">
        <f>IF('Week 49'!I19="","",IF('Week 49'!J19="",1,'Week 49'!J19))</f>
        <v/>
      </c>
      <c r="E994">
        <f>IF(OR(C994="",D994=""),"",IF(D994=1,C994,ROUND(C994*(1+D994/30),1)))</f>
        <v/>
      </c>
    </row>
    <row r="995">
      <c r="A995">
        <f>'Week 49'!B20</f>
        <v/>
      </c>
      <c r="B995">
        <f>'Week 49'!C20</f>
        <v/>
      </c>
      <c r="C995">
        <f>IF('Week 49'!I20="","",'Week 49'!I20)</f>
        <v/>
      </c>
      <c r="D995">
        <f>IF('Week 49'!I20="","",IF('Week 49'!J20="",1,'Week 49'!J20))</f>
        <v/>
      </c>
      <c r="E995">
        <f>IF(OR(C995="",D995=""),"",IF(D995=1,C995,ROUND(C995*(1+D995/30),1)))</f>
        <v/>
      </c>
    </row>
    <row r="996">
      <c r="A996">
        <f>'Week 49'!B21</f>
        <v/>
      </c>
      <c r="B996">
        <f>'Week 49'!C21</f>
        <v/>
      </c>
      <c r="C996">
        <f>IF('Week 49'!I21="","",'Week 49'!I21)</f>
        <v/>
      </c>
      <c r="D996">
        <f>IF('Week 49'!I21="","",IF('Week 49'!J21="",1,'Week 49'!J21))</f>
        <v/>
      </c>
      <c r="E996">
        <f>IF(OR(C996="",D996=""),"",IF(D996=1,C996,ROUND(C996*(1+D996/30),1)))</f>
        <v/>
      </c>
    </row>
    <row r="997">
      <c r="A997">
        <f>'Week 49'!B22</f>
        <v/>
      </c>
      <c r="B997">
        <f>'Week 49'!C22</f>
        <v/>
      </c>
      <c r="C997">
        <f>IF('Week 49'!I22="","",'Week 49'!I22)</f>
        <v/>
      </c>
      <c r="D997">
        <f>IF('Week 49'!I22="","",IF('Week 49'!J22="",1,'Week 49'!J22))</f>
        <v/>
      </c>
      <c r="E997">
        <f>IF(OR(C997="",D997=""),"",IF(D997=1,C997,ROUND(C997*(1+D997/30),1)))</f>
        <v/>
      </c>
    </row>
    <row r="998">
      <c r="A998">
        <f>'Week 49'!B23</f>
        <v/>
      </c>
      <c r="B998">
        <f>'Week 49'!C23</f>
        <v/>
      </c>
      <c r="C998">
        <f>IF('Week 49'!I23="","",'Week 49'!I23)</f>
        <v/>
      </c>
      <c r="D998">
        <f>IF('Week 49'!I23="","",IF('Week 49'!J23="",1,'Week 49'!J23))</f>
        <v/>
      </c>
      <c r="E998">
        <f>IF(OR(C998="",D998=""),"",IF(D998=1,C998,ROUND(C998*(1+D998/30),1)))</f>
        <v/>
      </c>
    </row>
    <row r="999">
      <c r="A999">
        <f>'Week 49'!B24</f>
        <v/>
      </c>
      <c r="B999">
        <f>'Week 49'!C24</f>
        <v/>
      </c>
      <c r="C999">
        <f>IF('Week 49'!I24="","",'Week 49'!I24)</f>
        <v/>
      </c>
      <c r="D999">
        <f>IF('Week 49'!I24="","",IF('Week 49'!J24="",1,'Week 49'!J24))</f>
        <v/>
      </c>
      <c r="E999">
        <f>IF(OR(C999="",D999=""),"",IF(D999=1,C999,ROUND(C999*(1+D999/30),1)))</f>
        <v/>
      </c>
    </row>
    <row r="1000">
      <c r="A1000">
        <f>'Week 49'!B25</f>
        <v/>
      </c>
      <c r="B1000">
        <f>'Week 49'!C25</f>
        <v/>
      </c>
      <c r="C1000">
        <f>IF('Week 49'!I25="","",'Week 49'!I25)</f>
        <v/>
      </c>
      <c r="D1000">
        <f>IF('Week 49'!I25="","",IF('Week 49'!J25="",1,'Week 49'!J25))</f>
        <v/>
      </c>
      <c r="E1000">
        <f>IF(OR(C1000="",D1000=""),"",IF(D1000=1,C1000,ROUND(C1000*(1+D1000/30),1)))</f>
        <v/>
      </c>
    </row>
    <row r="1001">
      <c r="A1001">
        <f>'Week 50'!B6</f>
        <v/>
      </c>
      <c r="B1001">
        <f>'Week 50'!C6</f>
        <v/>
      </c>
      <c r="C1001">
        <f>IF('Week 50'!I6="","",'Week 50'!I6)</f>
        <v/>
      </c>
      <c r="D1001">
        <f>IF('Week 50'!I6="","",IF('Week 50'!J6="",1,'Week 50'!J6))</f>
        <v/>
      </c>
      <c r="E1001">
        <f>IF(OR(C1001="",D1001=""),"",IF(D1001=1,C1001,ROUND(C1001*(1+D1001/30),1)))</f>
        <v/>
      </c>
    </row>
    <row r="1002">
      <c r="A1002">
        <f>'Week 50'!B7</f>
        <v/>
      </c>
      <c r="B1002">
        <f>'Week 50'!C7</f>
        <v/>
      </c>
      <c r="C1002">
        <f>IF('Week 50'!I7="","",'Week 50'!I7)</f>
        <v/>
      </c>
      <c r="D1002">
        <f>IF('Week 50'!I7="","",IF('Week 50'!J7="",1,'Week 50'!J7))</f>
        <v/>
      </c>
      <c r="E1002">
        <f>IF(OR(C1002="",D1002=""),"",IF(D1002=1,C1002,ROUND(C1002*(1+D1002/30),1)))</f>
        <v/>
      </c>
    </row>
    <row r="1003">
      <c r="A1003">
        <f>'Week 50'!B8</f>
        <v/>
      </c>
      <c r="B1003">
        <f>'Week 50'!C8</f>
        <v/>
      </c>
      <c r="C1003">
        <f>IF('Week 50'!I8="","",'Week 50'!I8)</f>
        <v/>
      </c>
      <c r="D1003">
        <f>IF('Week 50'!I8="","",IF('Week 50'!J8="",1,'Week 50'!J8))</f>
        <v/>
      </c>
      <c r="E1003">
        <f>IF(OR(C1003="",D1003=""),"",IF(D1003=1,C1003,ROUND(C1003*(1+D1003/30),1)))</f>
        <v/>
      </c>
    </row>
    <row r="1004">
      <c r="A1004">
        <f>'Week 50'!B9</f>
        <v/>
      </c>
      <c r="B1004">
        <f>'Week 50'!C9</f>
        <v/>
      </c>
      <c r="C1004">
        <f>IF('Week 50'!I9="","",'Week 50'!I9)</f>
        <v/>
      </c>
      <c r="D1004">
        <f>IF('Week 50'!I9="","",IF('Week 50'!J9="",1,'Week 50'!J9))</f>
        <v/>
      </c>
      <c r="E1004">
        <f>IF(OR(C1004="",D1004=""),"",IF(D1004=1,C1004,ROUND(C1004*(1+D1004/30),1)))</f>
        <v/>
      </c>
    </row>
    <row r="1005">
      <c r="A1005">
        <f>'Week 50'!B10</f>
        <v/>
      </c>
      <c r="B1005">
        <f>'Week 50'!C10</f>
        <v/>
      </c>
      <c r="C1005">
        <f>IF('Week 50'!I10="","",'Week 50'!I10)</f>
        <v/>
      </c>
      <c r="D1005">
        <f>IF('Week 50'!I10="","",IF('Week 50'!J10="",1,'Week 50'!J10))</f>
        <v/>
      </c>
      <c r="E1005">
        <f>IF(OR(C1005="",D1005=""),"",IF(D1005=1,C1005,ROUND(C1005*(1+D1005/30),1)))</f>
        <v/>
      </c>
    </row>
    <row r="1006">
      <c r="A1006">
        <f>'Week 50'!B11</f>
        <v/>
      </c>
      <c r="B1006">
        <f>'Week 50'!C11</f>
        <v/>
      </c>
      <c r="C1006">
        <f>IF('Week 50'!I11="","",'Week 50'!I11)</f>
        <v/>
      </c>
      <c r="D1006">
        <f>IF('Week 50'!I11="","",IF('Week 50'!J11="",1,'Week 50'!J11))</f>
        <v/>
      </c>
      <c r="E1006">
        <f>IF(OR(C1006="",D1006=""),"",IF(D1006=1,C1006,ROUND(C1006*(1+D1006/30),1)))</f>
        <v/>
      </c>
    </row>
    <row r="1007">
      <c r="A1007">
        <f>'Week 50'!B12</f>
        <v/>
      </c>
      <c r="B1007">
        <f>'Week 50'!C12</f>
        <v/>
      </c>
      <c r="C1007">
        <f>IF('Week 50'!I12="","",'Week 50'!I12)</f>
        <v/>
      </c>
      <c r="D1007">
        <f>IF('Week 50'!I12="","",IF('Week 50'!J12="",1,'Week 50'!J12))</f>
        <v/>
      </c>
      <c r="E1007">
        <f>IF(OR(C1007="",D1007=""),"",IF(D1007=1,C1007,ROUND(C1007*(1+D1007/30),1)))</f>
        <v/>
      </c>
    </row>
    <row r="1008">
      <c r="A1008">
        <f>'Week 50'!B13</f>
        <v/>
      </c>
      <c r="B1008">
        <f>'Week 50'!C13</f>
        <v/>
      </c>
      <c r="C1008">
        <f>IF('Week 50'!I13="","",'Week 50'!I13)</f>
        <v/>
      </c>
      <c r="D1008">
        <f>IF('Week 50'!I13="","",IF('Week 50'!J13="",1,'Week 50'!J13))</f>
        <v/>
      </c>
      <c r="E1008">
        <f>IF(OR(C1008="",D1008=""),"",IF(D1008=1,C1008,ROUND(C1008*(1+D1008/30),1)))</f>
        <v/>
      </c>
    </row>
    <row r="1009">
      <c r="A1009">
        <f>'Week 50'!B14</f>
        <v/>
      </c>
      <c r="B1009">
        <f>'Week 50'!C14</f>
        <v/>
      </c>
      <c r="C1009">
        <f>IF('Week 50'!I14="","",'Week 50'!I14)</f>
        <v/>
      </c>
      <c r="D1009">
        <f>IF('Week 50'!I14="","",IF('Week 50'!J14="",1,'Week 50'!J14))</f>
        <v/>
      </c>
      <c r="E1009">
        <f>IF(OR(C1009="",D1009=""),"",IF(D1009=1,C1009,ROUND(C1009*(1+D1009/30),1)))</f>
        <v/>
      </c>
    </row>
    <row r="1010">
      <c r="A1010">
        <f>'Week 50'!B15</f>
        <v/>
      </c>
      <c r="B1010">
        <f>'Week 50'!C15</f>
        <v/>
      </c>
      <c r="C1010">
        <f>IF('Week 50'!I15="","",'Week 50'!I15)</f>
        <v/>
      </c>
      <c r="D1010">
        <f>IF('Week 50'!I15="","",IF('Week 50'!J15="",1,'Week 50'!J15))</f>
        <v/>
      </c>
      <c r="E1010">
        <f>IF(OR(C1010="",D1010=""),"",IF(D1010=1,C1010,ROUND(C1010*(1+D1010/30),1)))</f>
        <v/>
      </c>
    </row>
    <row r="1011">
      <c r="A1011">
        <f>'Week 50'!B16</f>
        <v/>
      </c>
      <c r="B1011">
        <f>'Week 50'!C16</f>
        <v/>
      </c>
      <c r="C1011">
        <f>IF('Week 50'!I16="","",'Week 50'!I16)</f>
        <v/>
      </c>
      <c r="D1011">
        <f>IF('Week 50'!I16="","",IF('Week 50'!J16="",1,'Week 50'!J16))</f>
        <v/>
      </c>
      <c r="E1011">
        <f>IF(OR(C1011="",D1011=""),"",IF(D1011=1,C1011,ROUND(C1011*(1+D1011/30),1)))</f>
        <v/>
      </c>
    </row>
    <row r="1012">
      <c r="A1012">
        <f>'Week 50'!B17</f>
        <v/>
      </c>
      <c r="B1012">
        <f>'Week 50'!C17</f>
        <v/>
      </c>
      <c r="C1012">
        <f>IF('Week 50'!I17="","",'Week 50'!I17)</f>
        <v/>
      </c>
      <c r="D1012">
        <f>IF('Week 50'!I17="","",IF('Week 50'!J17="",1,'Week 50'!J17))</f>
        <v/>
      </c>
      <c r="E1012">
        <f>IF(OR(C1012="",D1012=""),"",IF(D1012=1,C1012,ROUND(C1012*(1+D1012/30),1)))</f>
        <v/>
      </c>
    </row>
    <row r="1013">
      <c r="A1013">
        <f>'Week 50'!B18</f>
        <v/>
      </c>
      <c r="B1013">
        <f>'Week 50'!C18</f>
        <v/>
      </c>
      <c r="C1013">
        <f>IF('Week 50'!I18="","",'Week 50'!I18)</f>
        <v/>
      </c>
      <c r="D1013">
        <f>IF('Week 50'!I18="","",IF('Week 50'!J18="",1,'Week 50'!J18))</f>
        <v/>
      </c>
      <c r="E1013">
        <f>IF(OR(C1013="",D1013=""),"",IF(D1013=1,C1013,ROUND(C1013*(1+D1013/30),1)))</f>
        <v/>
      </c>
    </row>
    <row r="1014">
      <c r="A1014">
        <f>'Week 50'!B19</f>
        <v/>
      </c>
      <c r="B1014">
        <f>'Week 50'!C19</f>
        <v/>
      </c>
      <c r="C1014">
        <f>IF('Week 50'!I19="","",'Week 50'!I19)</f>
        <v/>
      </c>
      <c r="D1014">
        <f>IF('Week 50'!I19="","",IF('Week 50'!J19="",1,'Week 50'!J19))</f>
        <v/>
      </c>
      <c r="E1014">
        <f>IF(OR(C1014="",D1014=""),"",IF(D1014=1,C1014,ROUND(C1014*(1+D1014/30),1)))</f>
        <v/>
      </c>
    </row>
    <row r="1015">
      <c r="A1015">
        <f>'Week 50'!B20</f>
        <v/>
      </c>
      <c r="B1015">
        <f>'Week 50'!C20</f>
        <v/>
      </c>
      <c r="C1015">
        <f>IF('Week 50'!I20="","",'Week 50'!I20)</f>
        <v/>
      </c>
      <c r="D1015">
        <f>IF('Week 50'!I20="","",IF('Week 50'!J20="",1,'Week 50'!J20))</f>
        <v/>
      </c>
      <c r="E1015">
        <f>IF(OR(C1015="",D1015=""),"",IF(D1015=1,C1015,ROUND(C1015*(1+D1015/30),1)))</f>
        <v/>
      </c>
    </row>
    <row r="1016">
      <c r="A1016">
        <f>'Week 50'!B21</f>
        <v/>
      </c>
      <c r="B1016">
        <f>'Week 50'!C21</f>
        <v/>
      </c>
      <c r="C1016">
        <f>IF('Week 50'!I21="","",'Week 50'!I21)</f>
        <v/>
      </c>
      <c r="D1016">
        <f>IF('Week 50'!I21="","",IF('Week 50'!J21="",1,'Week 50'!J21))</f>
        <v/>
      </c>
      <c r="E1016">
        <f>IF(OR(C1016="",D1016=""),"",IF(D1016=1,C1016,ROUND(C1016*(1+D1016/30),1)))</f>
        <v/>
      </c>
    </row>
    <row r="1017">
      <c r="A1017">
        <f>'Week 50'!B22</f>
        <v/>
      </c>
      <c r="B1017">
        <f>'Week 50'!C22</f>
        <v/>
      </c>
      <c r="C1017">
        <f>IF('Week 50'!I22="","",'Week 50'!I22)</f>
        <v/>
      </c>
      <c r="D1017">
        <f>IF('Week 50'!I22="","",IF('Week 50'!J22="",1,'Week 50'!J22))</f>
        <v/>
      </c>
      <c r="E1017">
        <f>IF(OR(C1017="",D1017=""),"",IF(D1017=1,C1017,ROUND(C1017*(1+D1017/30),1)))</f>
        <v/>
      </c>
    </row>
    <row r="1018">
      <c r="A1018">
        <f>'Week 50'!B23</f>
        <v/>
      </c>
      <c r="B1018">
        <f>'Week 50'!C23</f>
        <v/>
      </c>
      <c r="C1018">
        <f>IF('Week 50'!I23="","",'Week 50'!I23)</f>
        <v/>
      </c>
      <c r="D1018">
        <f>IF('Week 50'!I23="","",IF('Week 50'!J23="",1,'Week 50'!J23))</f>
        <v/>
      </c>
      <c r="E1018">
        <f>IF(OR(C1018="",D1018=""),"",IF(D1018=1,C1018,ROUND(C1018*(1+D1018/30),1)))</f>
        <v/>
      </c>
    </row>
    <row r="1019">
      <c r="A1019">
        <f>'Week 50'!B24</f>
        <v/>
      </c>
      <c r="B1019">
        <f>'Week 50'!C24</f>
        <v/>
      </c>
      <c r="C1019">
        <f>IF('Week 50'!I24="","",'Week 50'!I24)</f>
        <v/>
      </c>
      <c r="D1019">
        <f>IF('Week 50'!I24="","",IF('Week 50'!J24="",1,'Week 50'!J24))</f>
        <v/>
      </c>
      <c r="E1019">
        <f>IF(OR(C1019="",D1019=""),"",IF(D1019=1,C1019,ROUND(C1019*(1+D1019/30),1)))</f>
        <v/>
      </c>
    </row>
    <row r="1020">
      <c r="A1020">
        <f>'Week 50'!B25</f>
        <v/>
      </c>
      <c r="B1020">
        <f>'Week 50'!C25</f>
        <v/>
      </c>
      <c r="C1020">
        <f>IF('Week 50'!I25="","",'Week 50'!I25)</f>
        <v/>
      </c>
      <c r="D1020">
        <f>IF('Week 50'!I25="","",IF('Week 50'!J25="",1,'Week 50'!J25))</f>
        <v/>
      </c>
      <c r="E1020">
        <f>IF(OR(C1020="",D1020=""),"",IF(D1020=1,C1020,ROUND(C1020*(1+D1020/30),1)))</f>
        <v/>
      </c>
    </row>
    <row r="1021">
      <c r="A1021">
        <f>'Week 51'!B6</f>
        <v/>
      </c>
      <c r="B1021">
        <f>'Week 51'!C6</f>
        <v/>
      </c>
      <c r="C1021">
        <f>IF('Week 51'!I6="","",'Week 51'!I6)</f>
        <v/>
      </c>
      <c r="D1021">
        <f>IF('Week 51'!I6="","",IF('Week 51'!J6="",1,'Week 51'!J6))</f>
        <v/>
      </c>
      <c r="E1021">
        <f>IF(OR(C1021="",D1021=""),"",IF(D1021=1,C1021,ROUND(C1021*(1+D1021/30),1)))</f>
        <v/>
      </c>
    </row>
    <row r="1022">
      <c r="A1022">
        <f>'Week 51'!B7</f>
        <v/>
      </c>
      <c r="B1022">
        <f>'Week 51'!C7</f>
        <v/>
      </c>
      <c r="C1022">
        <f>IF('Week 51'!I7="","",'Week 51'!I7)</f>
        <v/>
      </c>
      <c r="D1022">
        <f>IF('Week 51'!I7="","",IF('Week 51'!J7="",1,'Week 51'!J7))</f>
        <v/>
      </c>
      <c r="E1022">
        <f>IF(OR(C1022="",D1022=""),"",IF(D1022=1,C1022,ROUND(C1022*(1+D1022/30),1)))</f>
        <v/>
      </c>
    </row>
    <row r="1023">
      <c r="A1023">
        <f>'Week 51'!B8</f>
        <v/>
      </c>
      <c r="B1023">
        <f>'Week 51'!C8</f>
        <v/>
      </c>
      <c r="C1023">
        <f>IF('Week 51'!I8="","",'Week 51'!I8)</f>
        <v/>
      </c>
      <c r="D1023">
        <f>IF('Week 51'!I8="","",IF('Week 51'!J8="",1,'Week 51'!J8))</f>
        <v/>
      </c>
      <c r="E1023">
        <f>IF(OR(C1023="",D1023=""),"",IF(D1023=1,C1023,ROUND(C1023*(1+D1023/30),1)))</f>
        <v/>
      </c>
    </row>
    <row r="1024">
      <c r="A1024">
        <f>'Week 51'!B9</f>
        <v/>
      </c>
      <c r="B1024">
        <f>'Week 51'!C9</f>
        <v/>
      </c>
      <c r="C1024">
        <f>IF('Week 51'!I9="","",'Week 51'!I9)</f>
        <v/>
      </c>
      <c r="D1024">
        <f>IF('Week 51'!I9="","",IF('Week 51'!J9="",1,'Week 51'!J9))</f>
        <v/>
      </c>
      <c r="E1024">
        <f>IF(OR(C1024="",D1024=""),"",IF(D1024=1,C1024,ROUND(C1024*(1+D1024/30),1)))</f>
        <v/>
      </c>
    </row>
    <row r="1025">
      <c r="A1025">
        <f>'Week 51'!B10</f>
        <v/>
      </c>
      <c r="B1025">
        <f>'Week 51'!C10</f>
        <v/>
      </c>
      <c r="C1025">
        <f>IF('Week 51'!I10="","",'Week 51'!I10)</f>
        <v/>
      </c>
      <c r="D1025">
        <f>IF('Week 51'!I10="","",IF('Week 51'!J10="",1,'Week 51'!J10))</f>
        <v/>
      </c>
      <c r="E1025">
        <f>IF(OR(C1025="",D1025=""),"",IF(D1025=1,C1025,ROUND(C1025*(1+D1025/30),1)))</f>
        <v/>
      </c>
    </row>
    <row r="1026">
      <c r="A1026">
        <f>'Week 51'!B11</f>
        <v/>
      </c>
      <c r="B1026">
        <f>'Week 51'!C11</f>
        <v/>
      </c>
      <c r="C1026">
        <f>IF('Week 51'!I11="","",'Week 51'!I11)</f>
        <v/>
      </c>
      <c r="D1026">
        <f>IF('Week 51'!I11="","",IF('Week 51'!J11="",1,'Week 51'!J11))</f>
        <v/>
      </c>
      <c r="E1026">
        <f>IF(OR(C1026="",D1026=""),"",IF(D1026=1,C1026,ROUND(C1026*(1+D1026/30),1)))</f>
        <v/>
      </c>
    </row>
    <row r="1027">
      <c r="A1027">
        <f>'Week 51'!B12</f>
        <v/>
      </c>
      <c r="B1027">
        <f>'Week 51'!C12</f>
        <v/>
      </c>
      <c r="C1027">
        <f>IF('Week 51'!I12="","",'Week 51'!I12)</f>
        <v/>
      </c>
      <c r="D1027">
        <f>IF('Week 51'!I12="","",IF('Week 51'!J12="",1,'Week 51'!J12))</f>
        <v/>
      </c>
      <c r="E1027">
        <f>IF(OR(C1027="",D1027=""),"",IF(D1027=1,C1027,ROUND(C1027*(1+D1027/30),1)))</f>
        <v/>
      </c>
    </row>
    <row r="1028">
      <c r="A1028">
        <f>'Week 51'!B13</f>
        <v/>
      </c>
      <c r="B1028">
        <f>'Week 51'!C13</f>
        <v/>
      </c>
      <c r="C1028">
        <f>IF('Week 51'!I13="","",'Week 51'!I13)</f>
        <v/>
      </c>
      <c r="D1028">
        <f>IF('Week 51'!I13="","",IF('Week 51'!J13="",1,'Week 51'!J13))</f>
        <v/>
      </c>
      <c r="E1028">
        <f>IF(OR(C1028="",D1028=""),"",IF(D1028=1,C1028,ROUND(C1028*(1+D1028/30),1)))</f>
        <v/>
      </c>
    </row>
    <row r="1029">
      <c r="A1029">
        <f>'Week 51'!B14</f>
        <v/>
      </c>
      <c r="B1029">
        <f>'Week 51'!C14</f>
        <v/>
      </c>
      <c r="C1029">
        <f>IF('Week 51'!I14="","",'Week 51'!I14)</f>
        <v/>
      </c>
      <c r="D1029">
        <f>IF('Week 51'!I14="","",IF('Week 51'!J14="",1,'Week 51'!J14))</f>
        <v/>
      </c>
      <c r="E1029">
        <f>IF(OR(C1029="",D1029=""),"",IF(D1029=1,C1029,ROUND(C1029*(1+D1029/30),1)))</f>
        <v/>
      </c>
    </row>
    <row r="1030">
      <c r="A1030">
        <f>'Week 51'!B15</f>
        <v/>
      </c>
      <c r="B1030">
        <f>'Week 51'!C15</f>
        <v/>
      </c>
      <c r="C1030">
        <f>IF('Week 51'!I15="","",'Week 51'!I15)</f>
        <v/>
      </c>
      <c r="D1030">
        <f>IF('Week 51'!I15="","",IF('Week 51'!J15="",1,'Week 51'!J15))</f>
        <v/>
      </c>
      <c r="E1030">
        <f>IF(OR(C1030="",D1030=""),"",IF(D1030=1,C1030,ROUND(C1030*(1+D1030/30),1)))</f>
        <v/>
      </c>
    </row>
    <row r="1031">
      <c r="A1031">
        <f>'Week 51'!B16</f>
        <v/>
      </c>
      <c r="B1031">
        <f>'Week 51'!C16</f>
        <v/>
      </c>
      <c r="C1031">
        <f>IF('Week 51'!I16="","",'Week 51'!I16)</f>
        <v/>
      </c>
      <c r="D1031">
        <f>IF('Week 51'!I16="","",IF('Week 51'!J16="",1,'Week 51'!J16))</f>
        <v/>
      </c>
      <c r="E1031">
        <f>IF(OR(C1031="",D1031=""),"",IF(D1031=1,C1031,ROUND(C1031*(1+D1031/30),1)))</f>
        <v/>
      </c>
    </row>
    <row r="1032">
      <c r="A1032">
        <f>'Week 51'!B17</f>
        <v/>
      </c>
      <c r="B1032">
        <f>'Week 51'!C17</f>
        <v/>
      </c>
      <c r="C1032">
        <f>IF('Week 51'!I17="","",'Week 51'!I17)</f>
        <v/>
      </c>
      <c r="D1032">
        <f>IF('Week 51'!I17="","",IF('Week 51'!J17="",1,'Week 51'!J17))</f>
        <v/>
      </c>
      <c r="E1032">
        <f>IF(OR(C1032="",D1032=""),"",IF(D1032=1,C1032,ROUND(C1032*(1+D1032/30),1)))</f>
        <v/>
      </c>
    </row>
    <row r="1033">
      <c r="A1033">
        <f>'Week 51'!B18</f>
        <v/>
      </c>
      <c r="B1033">
        <f>'Week 51'!C18</f>
        <v/>
      </c>
      <c r="C1033">
        <f>IF('Week 51'!I18="","",'Week 51'!I18)</f>
        <v/>
      </c>
      <c r="D1033">
        <f>IF('Week 51'!I18="","",IF('Week 51'!J18="",1,'Week 51'!J18))</f>
        <v/>
      </c>
      <c r="E1033">
        <f>IF(OR(C1033="",D1033=""),"",IF(D1033=1,C1033,ROUND(C1033*(1+D1033/30),1)))</f>
        <v/>
      </c>
    </row>
    <row r="1034">
      <c r="A1034">
        <f>'Week 51'!B19</f>
        <v/>
      </c>
      <c r="B1034">
        <f>'Week 51'!C19</f>
        <v/>
      </c>
      <c r="C1034">
        <f>IF('Week 51'!I19="","",'Week 51'!I19)</f>
        <v/>
      </c>
      <c r="D1034">
        <f>IF('Week 51'!I19="","",IF('Week 51'!J19="",1,'Week 51'!J19))</f>
        <v/>
      </c>
      <c r="E1034">
        <f>IF(OR(C1034="",D1034=""),"",IF(D1034=1,C1034,ROUND(C1034*(1+D1034/30),1)))</f>
        <v/>
      </c>
    </row>
    <row r="1035">
      <c r="A1035">
        <f>'Week 51'!B20</f>
        <v/>
      </c>
      <c r="B1035">
        <f>'Week 51'!C20</f>
        <v/>
      </c>
      <c r="C1035">
        <f>IF('Week 51'!I20="","",'Week 51'!I20)</f>
        <v/>
      </c>
      <c r="D1035">
        <f>IF('Week 51'!I20="","",IF('Week 51'!J20="",1,'Week 51'!J20))</f>
        <v/>
      </c>
      <c r="E1035">
        <f>IF(OR(C1035="",D1035=""),"",IF(D1035=1,C1035,ROUND(C1035*(1+D1035/30),1)))</f>
        <v/>
      </c>
    </row>
    <row r="1036">
      <c r="A1036">
        <f>'Week 51'!B21</f>
        <v/>
      </c>
      <c r="B1036">
        <f>'Week 51'!C21</f>
        <v/>
      </c>
      <c r="C1036">
        <f>IF('Week 51'!I21="","",'Week 51'!I21)</f>
        <v/>
      </c>
      <c r="D1036">
        <f>IF('Week 51'!I21="","",IF('Week 51'!J21="",1,'Week 51'!J21))</f>
        <v/>
      </c>
      <c r="E1036">
        <f>IF(OR(C1036="",D1036=""),"",IF(D1036=1,C1036,ROUND(C1036*(1+D1036/30),1)))</f>
        <v/>
      </c>
    </row>
    <row r="1037">
      <c r="A1037">
        <f>'Week 51'!B22</f>
        <v/>
      </c>
      <c r="B1037">
        <f>'Week 51'!C22</f>
        <v/>
      </c>
      <c r="C1037">
        <f>IF('Week 51'!I22="","",'Week 51'!I22)</f>
        <v/>
      </c>
      <c r="D1037">
        <f>IF('Week 51'!I22="","",IF('Week 51'!J22="",1,'Week 51'!J22))</f>
        <v/>
      </c>
      <c r="E1037">
        <f>IF(OR(C1037="",D1037=""),"",IF(D1037=1,C1037,ROUND(C1037*(1+D1037/30),1)))</f>
        <v/>
      </c>
    </row>
    <row r="1038">
      <c r="A1038">
        <f>'Week 51'!B23</f>
        <v/>
      </c>
      <c r="B1038">
        <f>'Week 51'!C23</f>
        <v/>
      </c>
      <c r="C1038">
        <f>IF('Week 51'!I23="","",'Week 51'!I23)</f>
        <v/>
      </c>
      <c r="D1038">
        <f>IF('Week 51'!I23="","",IF('Week 51'!J23="",1,'Week 51'!J23))</f>
        <v/>
      </c>
      <c r="E1038">
        <f>IF(OR(C1038="",D1038=""),"",IF(D1038=1,C1038,ROUND(C1038*(1+D1038/30),1)))</f>
        <v/>
      </c>
    </row>
    <row r="1039">
      <c r="A1039">
        <f>'Week 51'!B24</f>
        <v/>
      </c>
      <c r="B1039">
        <f>'Week 51'!C24</f>
        <v/>
      </c>
      <c r="C1039">
        <f>IF('Week 51'!I24="","",'Week 51'!I24)</f>
        <v/>
      </c>
      <c r="D1039">
        <f>IF('Week 51'!I24="","",IF('Week 51'!J24="",1,'Week 51'!J24))</f>
        <v/>
      </c>
      <c r="E1039">
        <f>IF(OR(C1039="",D1039=""),"",IF(D1039=1,C1039,ROUND(C1039*(1+D1039/30),1)))</f>
        <v/>
      </c>
    </row>
    <row r="1040">
      <c r="A1040">
        <f>'Week 51'!B25</f>
        <v/>
      </c>
      <c r="B1040">
        <f>'Week 51'!C25</f>
        <v/>
      </c>
      <c r="C1040">
        <f>IF('Week 51'!I25="","",'Week 51'!I25)</f>
        <v/>
      </c>
      <c r="D1040">
        <f>IF('Week 51'!I25="","",IF('Week 51'!J25="",1,'Week 51'!J25))</f>
        <v/>
      </c>
      <c r="E1040">
        <f>IF(OR(C1040="",D1040=""),"",IF(D1040=1,C1040,ROUND(C1040*(1+D1040/30),1)))</f>
        <v/>
      </c>
    </row>
    <row r="1041">
      <c r="A1041">
        <f>'Week 52'!B6</f>
        <v/>
      </c>
      <c r="B1041">
        <f>'Week 52'!C6</f>
        <v/>
      </c>
      <c r="C1041">
        <f>IF('Week 52'!I6="","",'Week 52'!I6)</f>
        <v/>
      </c>
      <c r="D1041">
        <f>IF('Week 52'!I6="","",IF('Week 52'!J6="",1,'Week 52'!J6))</f>
        <v/>
      </c>
      <c r="E1041">
        <f>IF(OR(C1041="",D1041=""),"",IF(D1041=1,C1041,ROUND(C1041*(1+D1041/30),1)))</f>
        <v/>
      </c>
    </row>
    <row r="1042">
      <c r="A1042">
        <f>'Week 52'!B7</f>
        <v/>
      </c>
      <c r="B1042">
        <f>'Week 52'!C7</f>
        <v/>
      </c>
      <c r="C1042">
        <f>IF('Week 52'!I7="","",'Week 52'!I7)</f>
        <v/>
      </c>
      <c r="D1042">
        <f>IF('Week 52'!I7="","",IF('Week 52'!J7="",1,'Week 52'!J7))</f>
        <v/>
      </c>
      <c r="E1042">
        <f>IF(OR(C1042="",D1042=""),"",IF(D1042=1,C1042,ROUND(C1042*(1+D1042/30),1)))</f>
        <v/>
      </c>
    </row>
    <row r="1043">
      <c r="A1043">
        <f>'Week 52'!B8</f>
        <v/>
      </c>
      <c r="B1043">
        <f>'Week 52'!C8</f>
        <v/>
      </c>
      <c r="C1043">
        <f>IF('Week 52'!I8="","",'Week 52'!I8)</f>
        <v/>
      </c>
      <c r="D1043">
        <f>IF('Week 52'!I8="","",IF('Week 52'!J8="",1,'Week 52'!J8))</f>
        <v/>
      </c>
      <c r="E1043">
        <f>IF(OR(C1043="",D1043=""),"",IF(D1043=1,C1043,ROUND(C1043*(1+D1043/30),1)))</f>
        <v/>
      </c>
    </row>
    <row r="1044">
      <c r="A1044">
        <f>'Week 52'!B9</f>
        <v/>
      </c>
      <c r="B1044">
        <f>'Week 52'!C9</f>
        <v/>
      </c>
      <c r="C1044">
        <f>IF('Week 52'!I9="","",'Week 52'!I9)</f>
        <v/>
      </c>
      <c r="D1044">
        <f>IF('Week 52'!I9="","",IF('Week 52'!J9="",1,'Week 52'!J9))</f>
        <v/>
      </c>
      <c r="E1044">
        <f>IF(OR(C1044="",D1044=""),"",IF(D1044=1,C1044,ROUND(C1044*(1+D1044/30),1)))</f>
        <v/>
      </c>
    </row>
    <row r="1045">
      <c r="A1045">
        <f>'Week 52'!B10</f>
        <v/>
      </c>
      <c r="B1045">
        <f>'Week 52'!C10</f>
        <v/>
      </c>
      <c r="C1045">
        <f>IF('Week 52'!I10="","",'Week 52'!I10)</f>
        <v/>
      </c>
      <c r="D1045">
        <f>IF('Week 52'!I10="","",IF('Week 52'!J10="",1,'Week 52'!J10))</f>
        <v/>
      </c>
      <c r="E1045">
        <f>IF(OR(C1045="",D1045=""),"",IF(D1045=1,C1045,ROUND(C1045*(1+D1045/30),1)))</f>
        <v/>
      </c>
    </row>
    <row r="1046">
      <c r="A1046">
        <f>'Week 52'!B11</f>
        <v/>
      </c>
      <c r="B1046">
        <f>'Week 52'!C11</f>
        <v/>
      </c>
      <c r="C1046">
        <f>IF('Week 52'!I11="","",'Week 52'!I11)</f>
        <v/>
      </c>
      <c r="D1046">
        <f>IF('Week 52'!I11="","",IF('Week 52'!J11="",1,'Week 52'!J11))</f>
        <v/>
      </c>
      <c r="E1046">
        <f>IF(OR(C1046="",D1046=""),"",IF(D1046=1,C1046,ROUND(C1046*(1+D1046/30),1)))</f>
        <v/>
      </c>
    </row>
    <row r="1047">
      <c r="A1047">
        <f>'Week 52'!B12</f>
        <v/>
      </c>
      <c r="B1047">
        <f>'Week 52'!C12</f>
        <v/>
      </c>
      <c r="C1047">
        <f>IF('Week 52'!I12="","",'Week 52'!I12)</f>
        <v/>
      </c>
      <c r="D1047">
        <f>IF('Week 52'!I12="","",IF('Week 52'!J12="",1,'Week 52'!J12))</f>
        <v/>
      </c>
      <c r="E1047">
        <f>IF(OR(C1047="",D1047=""),"",IF(D1047=1,C1047,ROUND(C1047*(1+D1047/30),1)))</f>
        <v/>
      </c>
    </row>
    <row r="1048">
      <c r="A1048">
        <f>'Week 52'!B13</f>
        <v/>
      </c>
      <c r="B1048">
        <f>'Week 52'!C13</f>
        <v/>
      </c>
      <c r="C1048">
        <f>IF('Week 52'!I13="","",'Week 52'!I13)</f>
        <v/>
      </c>
      <c r="D1048">
        <f>IF('Week 52'!I13="","",IF('Week 52'!J13="",1,'Week 52'!J13))</f>
        <v/>
      </c>
      <c r="E1048">
        <f>IF(OR(C1048="",D1048=""),"",IF(D1048=1,C1048,ROUND(C1048*(1+D1048/30),1)))</f>
        <v/>
      </c>
    </row>
    <row r="1049">
      <c r="A1049">
        <f>'Week 52'!B14</f>
        <v/>
      </c>
      <c r="B1049">
        <f>'Week 52'!C14</f>
        <v/>
      </c>
      <c r="C1049">
        <f>IF('Week 52'!I14="","",'Week 52'!I14)</f>
        <v/>
      </c>
      <c r="D1049">
        <f>IF('Week 52'!I14="","",IF('Week 52'!J14="",1,'Week 52'!J14))</f>
        <v/>
      </c>
      <c r="E1049">
        <f>IF(OR(C1049="",D1049=""),"",IF(D1049=1,C1049,ROUND(C1049*(1+D1049/30),1)))</f>
        <v/>
      </c>
    </row>
    <row r="1050">
      <c r="A1050">
        <f>'Week 52'!B15</f>
        <v/>
      </c>
      <c r="B1050">
        <f>'Week 52'!C15</f>
        <v/>
      </c>
      <c r="C1050">
        <f>IF('Week 52'!I15="","",'Week 52'!I15)</f>
        <v/>
      </c>
      <c r="D1050">
        <f>IF('Week 52'!I15="","",IF('Week 52'!J15="",1,'Week 52'!J15))</f>
        <v/>
      </c>
      <c r="E1050">
        <f>IF(OR(C1050="",D1050=""),"",IF(D1050=1,C1050,ROUND(C1050*(1+D1050/30),1)))</f>
        <v/>
      </c>
    </row>
    <row r="1051">
      <c r="A1051">
        <f>'Week 52'!B16</f>
        <v/>
      </c>
      <c r="B1051">
        <f>'Week 52'!C16</f>
        <v/>
      </c>
      <c r="C1051">
        <f>IF('Week 52'!I16="","",'Week 52'!I16)</f>
        <v/>
      </c>
      <c r="D1051">
        <f>IF('Week 52'!I16="","",IF('Week 52'!J16="",1,'Week 52'!J16))</f>
        <v/>
      </c>
      <c r="E1051">
        <f>IF(OR(C1051="",D1051=""),"",IF(D1051=1,C1051,ROUND(C1051*(1+D1051/30),1)))</f>
        <v/>
      </c>
    </row>
    <row r="1052">
      <c r="A1052">
        <f>'Week 52'!B17</f>
        <v/>
      </c>
      <c r="B1052">
        <f>'Week 52'!C17</f>
        <v/>
      </c>
      <c r="C1052">
        <f>IF('Week 52'!I17="","",'Week 52'!I17)</f>
        <v/>
      </c>
      <c r="D1052">
        <f>IF('Week 52'!I17="","",IF('Week 52'!J17="",1,'Week 52'!J17))</f>
        <v/>
      </c>
      <c r="E1052">
        <f>IF(OR(C1052="",D1052=""),"",IF(D1052=1,C1052,ROUND(C1052*(1+D1052/30),1)))</f>
        <v/>
      </c>
    </row>
    <row r="1053">
      <c r="A1053">
        <f>'Week 52'!B18</f>
        <v/>
      </c>
      <c r="B1053">
        <f>'Week 52'!C18</f>
        <v/>
      </c>
      <c r="C1053">
        <f>IF('Week 52'!I18="","",'Week 52'!I18)</f>
        <v/>
      </c>
      <c r="D1053">
        <f>IF('Week 52'!I18="","",IF('Week 52'!J18="",1,'Week 52'!J18))</f>
        <v/>
      </c>
      <c r="E1053">
        <f>IF(OR(C1053="",D1053=""),"",IF(D1053=1,C1053,ROUND(C1053*(1+D1053/30),1)))</f>
        <v/>
      </c>
    </row>
    <row r="1054">
      <c r="A1054">
        <f>'Week 52'!B19</f>
        <v/>
      </c>
      <c r="B1054">
        <f>'Week 52'!C19</f>
        <v/>
      </c>
      <c r="C1054">
        <f>IF('Week 52'!I19="","",'Week 52'!I19)</f>
        <v/>
      </c>
      <c r="D1054">
        <f>IF('Week 52'!I19="","",IF('Week 52'!J19="",1,'Week 52'!J19))</f>
        <v/>
      </c>
      <c r="E1054">
        <f>IF(OR(C1054="",D1054=""),"",IF(D1054=1,C1054,ROUND(C1054*(1+D1054/30),1)))</f>
        <v/>
      </c>
    </row>
    <row r="1055">
      <c r="A1055">
        <f>'Week 52'!B20</f>
        <v/>
      </c>
      <c r="B1055">
        <f>'Week 52'!C20</f>
        <v/>
      </c>
      <c r="C1055">
        <f>IF('Week 52'!I20="","",'Week 52'!I20)</f>
        <v/>
      </c>
      <c r="D1055">
        <f>IF('Week 52'!I20="","",IF('Week 52'!J20="",1,'Week 52'!J20))</f>
        <v/>
      </c>
      <c r="E1055">
        <f>IF(OR(C1055="",D1055=""),"",IF(D1055=1,C1055,ROUND(C1055*(1+D1055/30),1)))</f>
        <v/>
      </c>
    </row>
    <row r="1056">
      <c r="A1056">
        <f>'Week 52'!B21</f>
        <v/>
      </c>
      <c r="B1056">
        <f>'Week 52'!C21</f>
        <v/>
      </c>
      <c r="C1056">
        <f>IF('Week 52'!I21="","",'Week 52'!I21)</f>
        <v/>
      </c>
      <c r="D1056">
        <f>IF('Week 52'!I21="","",IF('Week 52'!J21="",1,'Week 52'!J21))</f>
        <v/>
      </c>
      <c r="E1056">
        <f>IF(OR(C1056="",D1056=""),"",IF(D1056=1,C1056,ROUND(C1056*(1+D1056/30),1)))</f>
        <v/>
      </c>
    </row>
    <row r="1057">
      <c r="A1057">
        <f>'Week 52'!B22</f>
        <v/>
      </c>
      <c r="B1057">
        <f>'Week 52'!C22</f>
        <v/>
      </c>
      <c r="C1057">
        <f>IF('Week 52'!I22="","",'Week 52'!I22)</f>
        <v/>
      </c>
      <c r="D1057">
        <f>IF('Week 52'!I22="","",IF('Week 52'!J22="",1,'Week 52'!J22))</f>
        <v/>
      </c>
      <c r="E1057">
        <f>IF(OR(C1057="",D1057=""),"",IF(D1057=1,C1057,ROUND(C1057*(1+D1057/30),1)))</f>
        <v/>
      </c>
    </row>
    <row r="1058">
      <c r="A1058">
        <f>'Week 52'!B23</f>
        <v/>
      </c>
      <c r="B1058">
        <f>'Week 52'!C23</f>
        <v/>
      </c>
      <c r="C1058">
        <f>IF('Week 52'!I23="","",'Week 52'!I23)</f>
        <v/>
      </c>
      <c r="D1058">
        <f>IF('Week 52'!I23="","",IF('Week 52'!J23="",1,'Week 52'!J23))</f>
        <v/>
      </c>
      <c r="E1058">
        <f>IF(OR(C1058="",D1058=""),"",IF(D1058=1,C1058,ROUND(C1058*(1+D1058/30),1)))</f>
        <v/>
      </c>
    </row>
    <row r="1059">
      <c r="A1059">
        <f>'Week 52'!B24</f>
        <v/>
      </c>
      <c r="B1059">
        <f>'Week 52'!C24</f>
        <v/>
      </c>
      <c r="C1059">
        <f>IF('Week 52'!I24="","",'Week 52'!I24)</f>
        <v/>
      </c>
      <c r="D1059">
        <f>IF('Week 52'!I24="","",IF('Week 52'!J24="",1,'Week 52'!J24))</f>
        <v/>
      </c>
      <c r="E1059">
        <f>IF(OR(C1059="",D1059=""),"",IF(D1059=1,C1059,ROUND(C1059*(1+D1059/30),1)))</f>
        <v/>
      </c>
    </row>
    <row r="1060">
      <c r="A1060">
        <f>'Week 52'!B25</f>
        <v/>
      </c>
      <c r="B1060">
        <f>'Week 52'!C25</f>
        <v/>
      </c>
      <c r="C1060">
        <f>IF('Week 52'!I25="","",'Week 52'!I25)</f>
        <v/>
      </c>
      <c r="D1060">
        <f>IF('Week 52'!I25="","",IF('Week 52'!J25="",1,'Week 52'!J25))</f>
        <v/>
      </c>
      <c r="E1060">
        <f>IF(OR(C1060="",D1060=""),"",IF(D1060=1,C1060,ROUND(C1060*(1+D1060/30),1)))</f>
        <v/>
      </c>
    </row>
  </sheetData>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B69"/>
  <sheetViews>
    <sheetView workbookViewId="0">
      <selection activeCell="A1" sqref="A1"/>
    </sheetView>
  </sheetViews>
  <sheetFormatPr baseColWidth="8" defaultRowHeight="15"/>
  <sheetData>
    <row r="1">
      <c r="A1" t="inlineStr">
        <is>
          <t>Squat</t>
        </is>
      </c>
      <c r="B1" t="inlineStr">
        <is>
          <t>Bod Pod</t>
        </is>
      </c>
    </row>
    <row r="2">
      <c r="A2" t="inlineStr">
        <is>
          <t>Bench Press</t>
        </is>
      </c>
      <c r="B2" t="inlineStr">
        <is>
          <t>InBody</t>
        </is>
      </c>
    </row>
    <row r="3">
      <c r="A3" t="inlineStr">
        <is>
          <t>Deadlift</t>
        </is>
      </c>
      <c r="B3" t="inlineStr">
        <is>
          <t>Hydrostatic (dunk tank)</t>
        </is>
      </c>
    </row>
    <row r="4">
      <c r="A4" t="inlineStr">
        <is>
          <t>Overhead Press</t>
        </is>
      </c>
      <c r="B4" t="inlineStr">
        <is>
          <t>DEXA</t>
        </is>
      </c>
    </row>
    <row r="5">
      <c r="A5" t="inlineStr">
        <is>
          <t>Snatch</t>
        </is>
      </c>
      <c r="B5" t="inlineStr">
        <is>
          <t>Calipers</t>
        </is>
      </c>
    </row>
    <row r="6">
      <c r="A6" t="inlineStr">
        <is>
          <t>Clean &amp; Jerk</t>
        </is>
      </c>
      <c r="B6" t="inlineStr">
        <is>
          <t>Other</t>
        </is>
      </c>
    </row>
    <row r="7">
      <c r="A7" t="inlineStr">
        <is>
          <t>Box Squat</t>
        </is>
      </c>
    </row>
    <row r="8">
      <c r="A8" t="inlineStr">
        <is>
          <t>Pause Squat</t>
        </is>
      </c>
    </row>
    <row r="9">
      <c r="A9" t="inlineStr">
        <is>
          <t>Front Squat</t>
        </is>
      </c>
    </row>
    <row r="10">
      <c r="A10" t="inlineStr">
        <is>
          <t>Safety Bar Squat</t>
        </is>
      </c>
    </row>
    <row r="11">
      <c r="A11" t="inlineStr">
        <is>
          <t>Pin Squat</t>
        </is>
      </c>
    </row>
    <row r="12">
      <c r="A12" t="inlineStr">
        <is>
          <t>Tempo Squat</t>
        </is>
      </c>
    </row>
    <row r="13">
      <c r="A13" t="inlineStr">
        <is>
          <t>Close-Grip Bench Press</t>
        </is>
      </c>
    </row>
    <row r="14">
      <c r="A14" t="inlineStr">
        <is>
          <t>1-Board Press</t>
        </is>
      </c>
    </row>
    <row r="15">
      <c r="A15" t="inlineStr">
        <is>
          <t>2-Board Press</t>
        </is>
      </c>
    </row>
    <row r="16">
      <c r="A16" t="inlineStr">
        <is>
          <t>3-Board Press</t>
        </is>
      </c>
    </row>
    <row r="17">
      <c r="A17" t="inlineStr">
        <is>
          <t>Pause Bench Press</t>
        </is>
      </c>
    </row>
    <row r="18">
      <c r="A18" t="inlineStr">
        <is>
          <t>Floor Press</t>
        </is>
      </c>
    </row>
    <row r="19">
      <c r="A19" t="inlineStr">
        <is>
          <t>Pin Press</t>
        </is>
      </c>
    </row>
    <row r="20">
      <c r="A20" t="inlineStr">
        <is>
          <t>Spoto Press</t>
        </is>
      </c>
    </row>
    <row r="21">
      <c r="A21" t="inlineStr">
        <is>
          <t>Incline Bench Press</t>
        </is>
      </c>
    </row>
    <row r="22">
      <c r="A22" t="inlineStr">
        <is>
          <t>Romanian Deadlift</t>
        </is>
      </c>
    </row>
    <row r="23">
      <c r="A23" t="inlineStr">
        <is>
          <t>Deficit Deadlift</t>
        </is>
      </c>
    </row>
    <row r="24">
      <c r="A24" t="inlineStr">
        <is>
          <t>Paused Deadlift</t>
        </is>
      </c>
    </row>
    <row r="25">
      <c r="A25" t="inlineStr">
        <is>
          <t>Block Pull</t>
        </is>
      </c>
    </row>
    <row r="26">
      <c r="A26" t="inlineStr">
        <is>
          <t>Rack Pull</t>
        </is>
      </c>
    </row>
    <row r="27">
      <c r="A27" t="inlineStr">
        <is>
          <t>Sumo Deadlift</t>
        </is>
      </c>
    </row>
    <row r="28">
      <c r="A28" t="inlineStr">
        <is>
          <t>Snatch-Grip Deadlift</t>
        </is>
      </c>
    </row>
    <row r="29">
      <c r="A29" t="inlineStr">
        <is>
          <t>Push Press</t>
        </is>
      </c>
    </row>
    <row r="30">
      <c r="A30" t="inlineStr">
        <is>
          <t>Seated Overhead Press</t>
        </is>
      </c>
    </row>
    <row r="31">
      <c r="A31" t="inlineStr">
        <is>
          <t>Z Press</t>
        </is>
      </c>
    </row>
    <row r="32">
      <c r="A32" t="inlineStr">
        <is>
          <t>Behind-the-Neck Press</t>
        </is>
      </c>
    </row>
    <row r="33">
      <c r="A33" t="inlineStr">
        <is>
          <t>Power Snatch</t>
        </is>
      </c>
    </row>
    <row r="34">
      <c r="A34" t="inlineStr">
        <is>
          <t>Hang Snatch</t>
        </is>
      </c>
    </row>
    <row r="35">
      <c r="A35" t="inlineStr">
        <is>
          <t>Hang Power Snatch</t>
        </is>
      </c>
    </row>
    <row r="36">
      <c r="A36" t="inlineStr">
        <is>
          <t>Muscle Snatch</t>
        </is>
      </c>
    </row>
    <row r="37">
      <c r="A37" t="inlineStr">
        <is>
          <t>Snatch Balance</t>
        </is>
      </c>
    </row>
    <row r="38">
      <c r="A38" t="inlineStr">
        <is>
          <t>Snatch Pull</t>
        </is>
      </c>
    </row>
    <row r="39">
      <c r="A39" t="inlineStr">
        <is>
          <t>Block Snatch</t>
        </is>
      </c>
    </row>
    <row r="40">
      <c r="A40" t="inlineStr">
        <is>
          <t>Clean</t>
        </is>
      </c>
    </row>
    <row r="41">
      <c r="A41" t="inlineStr">
        <is>
          <t>Power Clean</t>
        </is>
      </c>
    </row>
    <row r="42">
      <c r="A42" t="inlineStr">
        <is>
          <t>Hang Clean</t>
        </is>
      </c>
    </row>
    <row r="43">
      <c r="A43" t="inlineStr">
        <is>
          <t>Hang Power Clean</t>
        </is>
      </c>
    </row>
    <row r="44">
      <c r="A44" t="inlineStr">
        <is>
          <t>Push Jerk</t>
        </is>
      </c>
    </row>
    <row r="45">
      <c r="A45" t="inlineStr">
        <is>
          <t>Split Jerk</t>
        </is>
      </c>
    </row>
    <row r="46">
      <c r="A46" t="inlineStr">
        <is>
          <t>Push Press (Jerk Rack)</t>
        </is>
      </c>
    </row>
    <row r="47">
      <c r="A47" t="inlineStr">
        <is>
          <t>Clean Pull</t>
        </is>
      </c>
    </row>
    <row r="48">
      <c r="A48" t="inlineStr">
        <is>
          <t>Block Clean</t>
        </is>
      </c>
    </row>
    <row r="49">
      <c r="A49" t="inlineStr">
        <is>
          <t>Barbell Row</t>
        </is>
      </c>
    </row>
    <row r="50">
      <c r="A50" t="inlineStr">
        <is>
          <t>Face Pull</t>
        </is>
      </c>
    </row>
    <row r="51">
      <c r="A51" t="inlineStr">
        <is>
          <t>Dumbbell Curl</t>
        </is>
      </c>
    </row>
    <row r="52">
      <c r="A52" t="inlineStr">
        <is>
          <t>Chin-up</t>
        </is>
      </c>
    </row>
    <row r="53">
      <c r="A53" t="inlineStr">
        <is>
          <t>Lat Pulldown</t>
        </is>
      </c>
    </row>
    <row r="54">
      <c r="A54" t="inlineStr">
        <is>
          <t>Back Extension</t>
        </is>
      </c>
    </row>
    <row r="55">
      <c r="A55" t="inlineStr">
        <is>
          <t>Plank</t>
        </is>
      </c>
    </row>
    <row r="56">
      <c r="A56" t="inlineStr">
        <is>
          <t>Incline Dumbbell Press</t>
        </is>
      </c>
    </row>
    <row r="57">
      <c r="A57" t="inlineStr">
        <is>
          <t>One-Arm Dumbbell Row</t>
        </is>
      </c>
    </row>
    <row r="58">
      <c r="A58" t="inlineStr">
        <is>
          <t>Triceps Pushdown</t>
        </is>
      </c>
    </row>
    <row r="59">
      <c r="A59" t="inlineStr">
        <is>
          <t>Walking Lunge</t>
        </is>
      </c>
    </row>
    <row r="60">
      <c r="A60" t="inlineStr">
        <is>
          <t>Leg Press</t>
        </is>
      </c>
    </row>
    <row r="61">
      <c r="A61" t="inlineStr">
        <is>
          <t>Hanging Leg Raise</t>
        </is>
      </c>
    </row>
    <row r="62">
      <c r="A62" t="inlineStr">
        <is>
          <t>Dip</t>
        </is>
      </c>
    </row>
    <row r="63">
      <c r="A63" t="inlineStr">
        <is>
          <t>Hammer Curl</t>
        </is>
      </c>
    </row>
    <row r="64">
      <c r="A64" t="inlineStr">
        <is>
          <t>Lateral Raise</t>
        </is>
      </c>
    </row>
    <row r="65">
      <c r="A65" t="inlineStr">
        <is>
          <t>Reverse Hyper</t>
        </is>
      </c>
    </row>
    <row r="66">
      <c r="A66" t="inlineStr">
        <is>
          <t>Good Morning</t>
        </is>
      </c>
    </row>
    <row r="67">
      <c r="A67" t="inlineStr">
        <is>
          <t>Glute-Ham Raise</t>
        </is>
      </c>
    </row>
    <row r="68">
      <c r="A68" t="inlineStr">
        <is>
          <t>Box Jump</t>
        </is>
      </c>
    </row>
    <row r="69">
      <c r="A69" t="inlineStr">
        <is>
          <t>Broad Jump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2026-09-26T00:30:44Z</dcterms:created>
  <dcterms:modified xsi:type="dcterms:W3CDTF">2026-09-26T00:30:45Z</dcterms:modified>
</cp:coreProperties>
</file>